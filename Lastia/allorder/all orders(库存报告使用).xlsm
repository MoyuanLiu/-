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2630"/>
  </bookViews>
  <sheets>
    <sheet name="allorders" sheetId="1" r:id="rId1"/>
    <sheet name="数据处理(仓储使用)" sheetId="2" state="hidden" r:id="rId2"/>
    <sheet name="库存报告使用数据处理" sheetId="4" r:id="rId3"/>
    <sheet name="日期" sheetId="3" r:id="rId4"/>
    <sheet name="父sku-单价" sheetId="5" r:id="rId5"/>
  </sheets>
  <externalReferences>
    <externalReference r:id="rId6"/>
  </externalReferences>
  <definedNames>
    <definedName name="_xlnm._FilterDatabase" localSheetId="0" hidden="1">allorders!$A$1:$AG$645</definedName>
    <definedName name="_xlnm._FilterDatabase" localSheetId="4" hidden="1">'父sku-单价'!$A$1:$B$58</definedName>
    <definedName name="_xlnm._FilterDatabase" localSheetId="2" hidden="1">库存报告使用数据处理!$A$1:$G$187</definedName>
  </definedNames>
  <calcPr calcId="144525" concurrentCalc="0"/>
</workbook>
</file>

<file path=xl/sharedStrings.xml><?xml version="1.0" encoding="utf-8"?>
<sst xmlns="http://schemas.openxmlformats.org/spreadsheetml/2006/main" count="3419">
  <si>
    <t>amazon-order-id</t>
  </si>
  <si>
    <t>merchant-order-id</t>
  </si>
  <si>
    <t>purchase-date</t>
  </si>
  <si>
    <t>last-updated-date</t>
  </si>
  <si>
    <t>order-status</t>
  </si>
  <si>
    <t>fulfillment-channel</t>
  </si>
  <si>
    <t>sales-channel</t>
  </si>
  <si>
    <t>order-channel</t>
  </si>
  <si>
    <t>url</t>
  </si>
  <si>
    <t>ship-service-level</t>
  </si>
  <si>
    <t>product-name</t>
  </si>
  <si>
    <t>sku</t>
  </si>
  <si>
    <t>asin</t>
  </si>
  <si>
    <t>item-status</t>
  </si>
  <si>
    <t>quantity</t>
  </si>
  <si>
    <t>currency</t>
  </si>
  <si>
    <t>item-price</t>
  </si>
  <si>
    <t>item-tax</t>
  </si>
  <si>
    <t>shipping-price</t>
  </si>
  <si>
    <t>shipping-tax</t>
  </si>
  <si>
    <t>gift-wrap-price</t>
  </si>
  <si>
    <t>gift-wrap-tax</t>
  </si>
  <si>
    <t>item-promotion-discount</t>
  </si>
  <si>
    <t>ship-promotion-discount</t>
  </si>
  <si>
    <t>ship-city</t>
  </si>
  <si>
    <t>ship-state</t>
  </si>
  <si>
    <t>ship-postal-code</t>
  </si>
  <si>
    <t>ship-country</t>
  </si>
  <si>
    <t>promotion-ids</t>
  </si>
  <si>
    <t>customized-url</t>
  </si>
  <si>
    <t xml:space="preserve">customized-page </t>
  </si>
  <si>
    <t>日期</t>
  </si>
  <si>
    <t>113-6758799-5855428</t>
  </si>
  <si>
    <t>2018-06-11T21:55:15+00:00</t>
  </si>
  <si>
    <t>2018-06-13T02:37:03+00:00</t>
  </si>
  <si>
    <t>Shipped</t>
  </si>
  <si>
    <t>Amazon</t>
  </si>
  <si>
    <t>Amazon.com</t>
  </si>
  <si>
    <t>Standard</t>
  </si>
  <si>
    <t>Bamboo Forks 3.5 Inch, Mini Food Picks for Party, Banquet, Buffet, Catering, and Daily Life. Two Prongs - Blunt End Toothpicks for Appetizer, Cocktail</t>
  </si>
  <si>
    <t>YQ-LUHM-F111</t>
  </si>
  <si>
    <t>B07CQJ8G3M</t>
  </si>
  <si>
    <t>USD</t>
  </si>
  <si>
    <t>Hainesport</t>
  </si>
  <si>
    <t>New Jersey</t>
  </si>
  <si>
    <t>US</t>
  </si>
  <si>
    <t>111-3684295-4281039</t>
  </si>
  <si>
    <t>2018-06-11T21:49:50+00:00</t>
  </si>
  <si>
    <t>2018-06-12T08:01:20+00:00</t>
  </si>
  <si>
    <t>Expedited</t>
  </si>
  <si>
    <t>Lastia Hair Drain Catcher Clog Remover Bathroom Tub Strainer Cleaner Tool for Drain Cleaning(2 Pack)</t>
  </si>
  <si>
    <t>QLQ-LUHM121-WO</t>
  </si>
  <si>
    <t>B07CXM3QD3</t>
  </si>
  <si>
    <t>FORT WORTH</t>
  </si>
  <si>
    <t>TX</t>
  </si>
  <si>
    <t>76131-2249</t>
  </si>
  <si>
    <t>112-5716331-5051456</t>
  </si>
  <si>
    <t>2018-06-11T20:39:39+00:00</t>
  </si>
  <si>
    <t>2018-06-12T22:44:44+00:00</t>
  </si>
  <si>
    <t>SecondDay</t>
  </si>
  <si>
    <t>Lastia Solid Colorful Laundry Ball Washing Ball 1.4 inch(Set of 6) Pink and Green</t>
  </si>
  <si>
    <t>XQ-LUHM089-PI</t>
  </si>
  <si>
    <t>B07CG51FRQ</t>
  </si>
  <si>
    <t>PORT ALLEN</t>
  </si>
  <si>
    <t>LA</t>
  </si>
  <si>
    <t>70767-3913</t>
  </si>
  <si>
    <t>112-2410211-6645854</t>
  </si>
  <si>
    <t>2018-06-11T20:17:11+00:00</t>
  </si>
  <si>
    <t>2018-06-13T02:29:05+00:00</t>
  </si>
  <si>
    <t>Christmas Tree Ornaments Assortment 11 Kinds of Accessories Red and Gold</t>
  </si>
  <si>
    <t>SDSZH-RG</t>
  </si>
  <si>
    <t>B076PCPP68</t>
  </si>
  <si>
    <t>Dallas</t>
  </si>
  <si>
    <t>Texas</t>
  </si>
  <si>
    <t>113-6342137-2064233</t>
  </si>
  <si>
    <t>2018-06-11T18:41:33+00:00</t>
  </si>
  <si>
    <t>2018-06-13T02:36:13+00:00</t>
  </si>
  <si>
    <t>Monitor Memo Board Computer Monitors Notes Holder and Reminder Acrylic Message Boards Memo Pads Sticky Board For Paper Sticky Notes Panda</t>
  </si>
  <si>
    <t>BLT-WF125-PANDA</t>
  </si>
  <si>
    <t>B0788PS6BD</t>
  </si>
  <si>
    <t>SALISBURY</t>
  </si>
  <si>
    <t>MD</t>
  </si>
  <si>
    <t>21804-9363</t>
  </si>
  <si>
    <t>114-5943307-4135468</t>
  </si>
  <si>
    <t>2018-06-11T18:32:59+00:00</t>
  </si>
  <si>
    <t>2018-06-12T23:47:08+00:00</t>
  </si>
  <si>
    <t>Laundry Storage Basket for Bedroom Bathroom Kids Canvas White and Rabbits 15.7"x15.7"x19.7"</t>
  </si>
  <si>
    <t>ZYL-FLQ06-TZ-40</t>
  </si>
  <si>
    <t>B075R4RWDL</t>
  </si>
  <si>
    <t>Sebring</t>
  </si>
  <si>
    <t>Ohio</t>
  </si>
  <si>
    <t>114-8451780-2015409</t>
  </si>
  <si>
    <t>2018-06-11T18:07:16+00:00</t>
  </si>
  <si>
    <t>2018-06-12T02:20:26+00:00</t>
  </si>
  <si>
    <t>Dirty Clothes Laundry Storage Basket for Bedroom Bathroom Kids Linen Cotton White and Batman 15.7"x15.7"x19.7"</t>
  </si>
  <si>
    <t>ZYL-FLQ06-BF-40</t>
  </si>
  <si>
    <t>B076P8S1LC</t>
  </si>
  <si>
    <t>SUMMIT</t>
  </si>
  <si>
    <t>MS</t>
  </si>
  <si>
    <t>39666-6014</t>
  </si>
  <si>
    <t>113-7025838-5980250</t>
  </si>
  <si>
    <t>2018-06-11T17:29:26+00:00</t>
  </si>
  <si>
    <t>2018-06-12T23:18:39+00:00</t>
  </si>
  <si>
    <t>Inflatable Lounger Chair with Travel Bag Air Sofa Bed Hangout for Travling Hiking Camping Pool Beach Party Christmas Gift Green 94" 27"</t>
  </si>
  <si>
    <t>CQC-WF6346-GO</t>
  </si>
  <si>
    <t>B077GN3FGY</t>
  </si>
  <si>
    <t>ABILENE</t>
  </si>
  <si>
    <t>79602-5473</t>
  </si>
  <si>
    <t>Inflatable Lounger Chair with Travel Bag Air Sofa Bed Hangout for Travling Hiking Camping Pool Beach Party Christmas Gift Purple 94" 27"</t>
  </si>
  <si>
    <t>CQC-WF6346-PO</t>
  </si>
  <si>
    <t>B077GLWQYT</t>
  </si>
  <si>
    <t>113-5710167-8438659</t>
  </si>
  <si>
    <t>2018-06-11T17:15:37+00:00</t>
  </si>
  <si>
    <t>2018-06-12T05:45:06+00:00</t>
  </si>
  <si>
    <t>Lastia 5x7 Wood Photo Frame Fit For Stands Vertically on Desk Table Top Hinged Double Picture Frames</t>
  </si>
  <si>
    <t>XK-YIWUJS2-BR-7IN</t>
  </si>
  <si>
    <t>B07D4GDZTQ</t>
  </si>
  <si>
    <t>WINSTED</t>
  </si>
  <si>
    <t>CT</t>
  </si>
  <si>
    <t>06098-2127</t>
  </si>
  <si>
    <t>113-6646692-0544244</t>
  </si>
  <si>
    <t>2018-06-11T17:07:19+00:00</t>
  </si>
  <si>
    <t>2018-06-12T21:52:17+00:00</t>
  </si>
  <si>
    <t>Non Slip Coasters for Drinks Cute Coasters Silicone Coasters Car Cup Holder Coaster, 5 Pack Fruit Coasters</t>
  </si>
  <si>
    <t>BD-LUHM001-X0</t>
  </si>
  <si>
    <t>B07CVDNT4J</t>
  </si>
  <si>
    <t>CHICAGO RIDGE</t>
  </si>
  <si>
    <t>IL</t>
  </si>
  <si>
    <t>60415-2016</t>
  </si>
  <si>
    <t>114-6724203-5691417</t>
  </si>
  <si>
    <t>2018-06-11T17:06:44+00:00</t>
  </si>
  <si>
    <t>2018-06-12T18:51:17+00:00</t>
  </si>
  <si>
    <t>JUNEAU</t>
  </si>
  <si>
    <t>AK</t>
  </si>
  <si>
    <t>99801-9431</t>
  </si>
  <si>
    <t>111-6666428-3859461</t>
  </si>
  <si>
    <t>2018-06-11T17:03:56+00:00</t>
  </si>
  <si>
    <t>2018-06-12T03:23:52+00:00</t>
  </si>
  <si>
    <t>DES MOINES</t>
  </si>
  <si>
    <t>IA</t>
  </si>
  <si>
    <t>50313-3011</t>
  </si>
  <si>
    <t>112-6941745-4291401</t>
  </si>
  <si>
    <t>2018-06-11T16:15:11+00:00</t>
  </si>
  <si>
    <t>2018-06-12T02:30:21+00:00</t>
  </si>
  <si>
    <t>Monitor Memo Board Computer Monitors Notes Holder and Reminder Acrylic Message Boards Memo Pads Sticky Board For Paper Sticky Notes Lion</t>
  </si>
  <si>
    <t>BLT-WF125-LION</t>
  </si>
  <si>
    <t>B0788M5K8H</t>
  </si>
  <si>
    <t>AMARILLO</t>
  </si>
  <si>
    <t>79109-6657</t>
  </si>
  <si>
    <t>114-1096802-1199413</t>
  </si>
  <si>
    <t>2018-06-11T15:39:25+00:00</t>
  </si>
  <si>
    <t>2018-06-12T06:07:57+00:00</t>
  </si>
  <si>
    <t>ROHNERT PARK</t>
  </si>
  <si>
    <t>CA</t>
  </si>
  <si>
    <t>94928-3131</t>
  </si>
  <si>
    <t>112-1383319-5760227</t>
  </si>
  <si>
    <t>2018-06-11T14:57:42+00:00</t>
  </si>
  <si>
    <t>2018-06-12T06:43:08+00:00</t>
  </si>
  <si>
    <t>Tapestry Wall Hanging Mandala Hippie Psychedelic Bohemian Beach Towel Boho Bedspread Gold 59 x 79inches</t>
  </si>
  <si>
    <t>GT-WFTFGT200-213</t>
  </si>
  <si>
    <t>B0787XKBRG</t>
  </si>
  <si>
    <t>Cambridge</t>
  </si>
  <si>
    <t>MA</t>
  </si>
  <si>
    <t>02140-0002</t>
  </si>
  <si>
    <t>113-3472385-4474641</t>
  </si>
  <si>
    <t>2018-06-11T14:15:17+00:00</t>
  </si>
  <si>
    <t>2018-06-13T02:21:16+00:00</t>
  </si>
  <si>
    <t>Lastia Camping Tripod Stool for Fishing Hiking Outdoor Four Legs Purple 11"x11"x13.7"</t>
  </si>
  <si>
    <t>ZDD-FLQ08-PO-28</t>
  </si>
  <si>
    <t>B075R92YGF</t>
  </si>
  <si>
    <t>AURORA</t>
  </si>
  <si>
    <t>CO</t>
  </si>
  <si>
    <t>80012-6702</t>
  </si>
  <si>
    <t>111-4487186-0209004</t>
  </si>
  <si>
    <t>2018-06-11T11:41:52+00:00</t>
  </si>
  <si>
    <t>2018-06-11T20:35:24+00:00</t>
  </si>
  <si>
    <t>WEST BROOKFIELD</t>
  </si>
  <si>
    <t>01585-3218</t>
  </si>
  <si>
    <t>111-2377642-8731439</t>
  </si>
  <si>
    <t>2018-06-11T11:01:41+00:00</t>
  </si>
  <si>
    <t>2018-06-12T08:21:59+00:00</t>
  </si>
  <si>
    <t>SPRINGFIELD</t>
  </si>
  <si>
    <t>MO</t>
  </si>
  <si>
    <t>65804-1506</t>
  </si>
  <si>
    <t>113-3665617-3483406</t>
  </si>
  <si>
    <t>2018-06-12T23:53:18+00:00</t>
  </si>
  <si>
    <t>2018-06-13T16:07:51+00:00</t>
  </si>
  <si>
    <t>Printing Lunch Bags Oxford Cloth Aluminum Foil Insulated Zip Cooler Bag Portable Takeaway Film Pack Lunch Box Package Cartoon Hedgehog</t>
  </si>
  <si>
    <t>BDB-WF212-CW-M</t>
  </si>
  <si>
    <t>B0772JDLB6</t>
  </si>
  <si>
    <t>FRENCHTOWN</t>
  </si>
  <si>
    <t>NJ</t>
  </si>
  <si>
    <t>08825-1008</t>
  </si>
  <si>
    <t>113-3072203-6833034</t>
  </si>
  <si>
    <t>2018-06-12T23:51:14+00:00</t>
  </si>
  <si>
    <t>2018-06-13T17:41:45+00:00</t>
  </si>
  <si>
    <t>WARSAW</t>
  </si>
  <si>
    <t>IN</t>
  </si>
  <si>
    <t>46580-3341</t>
  </si>
  <si>
    <t>114-7364742-3635447</t>
  </si>
  <si>
    <t>2018-06-12T23:15:54+00:00</t>
  </si>
  <si>
    <t>2018-06-13T21:37:58+00:00</t>
  </si>
  <si>
    <t>NEWPORT BEACH</t>
  </si>
  <si>
    <t>92660-3220</t>
  </si>
  <si>
    <t>114-3233234-0917023</t>
  </si>
  <si>
    <t>2018-06-12T22:12:36+00:00</t>
  </si>
  <si>
    <t>2018-06-15T07:13:09+00:00</t>
  </si>
  <si>
    <t>MOCOTONO Striped Zipper Hooded Pullover 2023 Drawstring Hoodies Sweatshirts For Women Long Sleeve Warm Tops S-XL</t>
  </si>
  <si>
    <t>WY-WF1225-GR-M</t>
  </si>
  <si>
    <t>B078MFPDLS</t>
  </si>
  <si>
    <t>NORTH SALEM</t>
  </si>
  <si>
    <t>NY</t>
  </si>
  <si>
    <t>10560-1206</t>
  </si>
  <si>
    <t>璐拱????2018/06/09 3-9-25-425</t>
  </si>
  <si>
    <t>114-5471065-9215455</t>
  </si>
  <si>
    <t>2018-06-12T21:00:52+00:00</t>
  </si>
  <si>
    <t>2018-06-13T03:06:05+00:00</t>
  </si>
  <si>
    <t>North Arlington</t>
  </si>
  <si>
    <t>Nj</t>
  </si>
  <si>
    <t>114-1410436-3212226</t>
  </si>
  <si>
    <t>2018-06-12T17:29:57+00:00</t>
  </si>
  <si>
    <t>2018-06-13T20:28:30+00:00</t>
  </si>
  <si>
    <t>XK-YIWUJS2-Y0-7IN</t>
  </si>
  <si>
    <t>B07D4GT945</t>
  </si>
  <si>
    <t>GHEENS</t>
  </si>
  <si>
    <t>70355-2330</t>
  </si>
  <si>
    <t>112-4761999-0077826</t>
  </si>
  <si>
    <t>2018-06-12T17:28:38+00:00</t>
  </si>
  <si>
    <t>2018-06-13T15:54:17+00:00</t>
  </si>
  <si>
    <t>MUSKOGEE</t>
  </si>
  <si>
    <t>OK</t>
  </si>
  <si>
    <t>74403-8849</t>
  </si>
  <si>
    <t>114-6539247-4239456</t>
  </si>
  <si>
    <t>2018-06-12T16:37:56+00:00</t>
  </si>
  <si>
    <t>2018-06-14T02:08:10+00:00</t>
  </si>
  <si>
    <t>EL DORADO HILLS</t>
  </si>
  <si>
    <t>95762-9594</t>
  </si>
  <si>
    <t>113-0277340-0851475</t>
  </si>
  <si>
    <t>2018-06-12T16:03:14+00:00</t>
  </si>
  <si>
    <t>2018-06-12T21:31:03+00:00</t>
  </si>
  <si>
    <t>Creative Braided Edge Round Placemats Japanese-style Round Table Mats, Home PP Woven Mat and Anti-hot Insulation Pad 38CM(light purple)(Set of 4)</t>
  </si>
  <si>
    <t>CD-WF001-RO-1</t>
  </si>
  <si>
    <t>B077TSGJTH</t>
  </si>
  <si>
    <t>PALMETTO</t>
  </si>
  <si>
    <t>GA</t>
  </si>
  <si>
    <t>30268-1081</t>
  </si>
  <si>
    <t>113-8946348-2531455</t>
  </si>
  <si>
    <t>2018-06-12T15:24:01+00:00</t>
  </si>
  <si>
    <t>2018-06-13T15:58:37+00:00</t>
  </si>
  <si>
    <t>Lastia Baby Sleeping Bag Swaddling Blankets Autumn Winter Baby Stroller Baby Sleep Sack Zipper Design-100% Soft Cotton Ultra-Soft Absorbent - Warm for</t>
  </si>
  <si>
    <t>SL-LULW812-PI-M</t>
  </si>
  <si>
    <t>B078RNFX6F</t>
  </si>
  <si>
    <t>CAMILLUS</t>
  </si>
  <si>
    <t>13031-1808</t>
  </si>
  <si>
    <t>112-6186829-6967455</t>
  </si>
  <si>
    <t>2018-06-12T13:06:51+00:00</t>
  </si>
  <si>
    <t>2018-06-13T01:46:56+00:00</t>
  </si>
  <si>
    <t>Monitor Memo Board Computer Monitors Notes Holder and Reminder Acrylic Message Boards Memo Pads Sticky Board For Paper Sticky Notes Cow</t>
  </si>
  <si>
    <t>BLT-WF125-COW</t>
  </si>
  <si>
    <t>B0788KQVVG</t>
  </si>
  <si>
    <t>NOTTINGHAM</t>
  </si>
  <si>
    <t>21236-5016</t>
  </si>
  <si>
    <t>113-1620804-6957853</t>
  </si>
  <si>
    <t>2018-06-12T12:29:23+00:00</t>
  </si>
  <si>
    <t>2018-06-13T03:12:50+00:00</t>
  </si>
  <si>
    <t>Mini Portable Folding Stool for Camping Fishing Hiking Outdoor Four Legs Gray 11"x11"x13.7"</t>
  </si>
  <si>
    <t>ZDD-FLQ08-GR-28</t>
  </si>
  <si>
    <t>B075QG33T1</t>
  </si>
  <si>
    <t>PORTAGE</t>
  </si>
  <si>
    <t>MI</t>
  </si>
  <si>
    <t>49024-2309</t>
  </si>
  <si>
    <t>112-8215435-5395442</t>
  </si>
  <si>
    <t>2018-06-12T07:44:47+00:00</t>
  </si>
  <si>
    <t>2018-06-16T19:04:14+00:00</t>
  </si>
  <si>
    <t>Cancelled</t>
  </si>
  <si>
    <t>Unshipped</t>
  </si>
  <si>
    <t>FRESNO</t>
  </si>
  <si>
    <t>93705-4146</t>
  </si>
  <si>
    <t>114-5070544-4303446</t>
  </si>
  <si>
    <t>2018-06-12T07:44:46+00:00</t>
  </si>
  <si>
    <t>2018-06-14T18:59:22+00:00</t>
  </si>
  <si>
    <t>Premium Bra Wash Bag for Bras Laundry lingerie Bag and Delicates Set of 2 Pink</t>
  </si>
  <si>
    <t>ND-LUHM027-PI</t>
  </si>
  <si>
    <t>B07C73R2XN</t>
  </si>
  <si>
    <t>LOS ANGELES</t>
  </si>
  <si>
    <t>90005-3449</t>
  </si>
  <si>
    <t>111-2485146-9405814</t>
  </si>
  <si>
    <t>2018-06-12T05:17:37+00:00</t>
  </si>
  <si>
    <t>2018-06-12T23:32:30+00:00</t>
  </si>
  <si>
    <t>churubusco</t>
  </si>
  <si>
    <t>in</t>
  </si>
  <si>
    <t>113-5842515-5010653</t>
  </si>
  <si>
    <t>2018-06-12T02:48:43+00:00</t>
  </si>
  <si>
    <t>2018-06-13T23:13:04+00:00</t>
  </si>
  <si>
    <t>Westminster</t>
  </si>
  <si>
    <t>92683-3283</t>
  </si>
  <si>
    <t>114-9340601-2549010</t>
  </si>
  <si>
    <t>2018-06-12T02:40:04+00:00</t>
  </si>
  <si>
    <t>2018-06-13T23:18:42+00:00</t>
  </si>
  <si>
    <t>HOBOKEN</t>
  </si>
  <si>
    <t>07030-4230</t>
  </si>
  <si>
    <t>114-4114212-6266626</t>
  </si>
  <si>
    <t>2018-06-12T00:21:53+00:00</t>
  </si>
  <si>
    <t>2018-06-13T18:45:14+00:00</t>
  </si>
  <si>
    <t>MODESTO</t>
  </si>
  <si>
    <t>95356-1521</t>
  </si>
  <si>
    <t>112-7255168-8882628</t>
  </si>
  <si>
    <t>2018-06-13T23:50:50+00:00</t>
  </si>
  <si>
    <t>2018-06-15T01:32:44+00:00</t>
  </si>
  <si>
    <t>Tapestry Wall Hanging Mandala Hippie Psychedelic Bohemian Elephant Beach Towel Boho Bedspread Dark Blue Gold Queen Size 59 x 79inches</t>
  </si>
  <si>
    <t>GT-WFTFGT200-220</t>
  </si>
  <si>
    <t>B076J6VFSP</t>
  </si>
  <si>
    <t>TOLUCA LAKE</t>
  </si>
  <si>
    <t>91602-2838</t>
  </si>
  <si>
    <t>112-7241014-1849000</t>
  </si>
  <si>
    <t>2018-06-13T22:03:07+00:00</t>
  </si>
  <si>
    <t>2018-06-15T05:40:28+00:00</t>
  </si>
  <si>
    <t>DANVILLE</t>
  </si>
  <si>
    <t>94526-4401</t>
  </si>
  <si>
    <t>112-5150457-8900223</t>
  </si>
  <si>
    <t>2018-06-13T21:19:31+00:00</t>
  </si>
  <si>
    <t>2018-06-14T11:00:07+00:00</t>
  </si>
  <si>
    <t>Helotes</t>
  </si>
  <si>
    <t>114-1391919-9308267</t>
  </si>
  <si>
    <t>2018-06-13T20:36:57+00:00</t>
  </si>
  <si>
    <t>2018-06-18T17:31:47+00:00</t>
  </si>
  <si>
    <t>BAKERSFIELD</t>
  </si>
  <si>
    <t>93309-4739</t>
  </si>
  <si>
    <t>US Core Free Shipping Promotion A3JU1FCINF5SD0</t>
  </si>
  <si>
    <t>114-4751628-6314666</t>
  </si>
  <si>
    <t>2018-06-13T20:32:08+00:00</t>
  </si>
  <si>
    <t>2018-06-14T23:49:54+00:00</t>
  </si>
  <si>
    <t>Storage Cube Basket Bin for Bedroom Bathroom Kids Cotton Linen White and Stripe 12.5"x12.5"x12.5"</t>
  </si>
  <si>
    <t>ZYL-FLQ59-TW-32</t>
  </si>
  <si>
    <t>B078JJ7KDP</t>
  </si>
  <si>
    <t>STRATFORD</t>
  </si>
  <si>
    <t>06614-2506</t>
  </si>
  <si>
    <t>111-9889751-9915462</t>
  </si>
  <si>
    <t>2018-06-13T18:59:25+00:00</t>
  </si>
  <si>
    <t>2018-06-14T21:32:20+00:00</t>
  </si>
  <si>
    <t>WILMINGTON</t>
  </si>
  <si>
    <t>NC</t>
  </si>
  <si>
    <t>28409-3928</t>
  </si>
  <si>
    <t>111-5685739-1517844</t>
  </si>
  <si>
    <t>2018-06-13T18:39:44+00:00</t>
  </si>
  <si>
    <t>2018-06-14T06:07:31+00:00</t>
  </si>
  <si>
    <t>Lastia 4x6 Wood Photo Frame Fit For Stands Vertically on Desk Table Top Hinged Double Picture Frames</t>
  </si>
  <si>
    <t>XK-YIWUJS2-BR-6IN</t>
  </si>
  <si>
    <t>B07D4FWK6H</t>
  </si>
  <si>
    <t>North Smithfield</t>
  </si>
  <si>
    <t>RI</t>
  </si>
  <si>
    <t>114-5406180-0999457</t>
  </si>
  <si>
    <t>2018-06-13T18:34:48+00:00</t>
  </si>
  <si>
    <t>2018-06-15T11:04:58+00:00</t>
  </si>
  <si>
    <t>SORRENTO</t>
  </si>
  <si>
    <t>70778-3437</t>
  </si>
  <si>
    <t>112-2512318-6761043</t>
  </si>
  <si>
    <t>2018-06-13T17:58:57+00:00</t>
  </si>
  <si>
    <t>2018-06-14T07:01:24+00:00</t>
  </si>
  <si>
    <t>NEW YORK</t>
  </si>
  <si>
    <t>10017-1107</t>
  </si>
  <si>
    <t>113-5982828-1344262</t>
  </si>
  <si>
    <t>2018-06-13T17:40:06+00:00</t>
  </si>
  <si>
    <t>2018-06-15T10:17:39+00:00</t>
  </si>
  <si>
    <t>Lastia Travel Shoe Bags Set of 2 Waterproof Nylon With Zipper For Men &amp; Women(Green)</t>
  </si>
  <si>
    <t>SD-LUHM202-G0-X</t>
  </si>
  <si>
    <t>B07BRL2Y1L</t>
  </si>
  <si>
    <t>MARSHALL</t>
  </si>
  <si>
    <t>75670-3639</t>
  </si>
  <si>
    <t>114-8409324-2546647</t>
  </si>
  <si>
    <t>2018-06-13T17:31:28+00:00</t>
  </si>
  <si>
    <t>2018-06-13T23:48:38+00:00</t>
  </si>
  <si>
    <t>JEANNETTE</t>
  </si>
  <si>
    <t>PENNSYLVANIA</t>
  </si>
  <si>
    <t>15644-2812</t>
  </si>
  <si>
    <t>113-3187954-7553014</t>
  </si>
  <si>
    <t>2018-06-13T17:07:22+00:00</t>
  </si>
  <si>
    <t>2018-06-14T06:46:16+00:00</t>
  </si>
  <si>
    <t>Lastia Travel Shoe Bags Set of 2 Waterproof Nylon With Zipper For Men &amp; Women(Pink)</t>
  </si>
  <si>
    <t>SD-LUHM202-PI</t>
  </si>
  <si>
    <t>B07CVDVW47</t>
  </si>
  <si>
    <t>ERWIN</t>
  </si>
  <si>
    <t>28339-2711</t>
  </si>
  <si>
    <t>113-6508889-6883441</t>
  </si>
  <si>
    <t>2018-06-13T15:45:43+00:00</t>
  </si>
  <si>
    <t>2018-06-14T09:26:52+00:00</t>
  </si>
  <si>
    <t>WHITMORE LAKE</t>
  </si>
  <si>
    <t>48189-9479</t>
  </si>
  <si>
    <t>112-8154750-7800231</t>
  </si>
  <si>
    <t>2018-06-13T14:29:21+00:00</t>
  </si>
  <si>
    <t>2018-06-14T22:36:31+00:00</t>
  </si>
  <si>
    <t>BALTIMORE</t>
  </si>
  <si>
    <t>21202-0640</t>
  </si>
  <si>
    <t>113-6874354-4134667</t>
  </si>
  <si>
    <t>2018-06-13T12:32:00+00:00</t>
  </si>
  <si>
    <t>2018-06-15T01:14:26+00:00</t>
  </si>
  <si>
    <t>Baby Sleeping Bag Swaddling Blankets Autumn Winter Baby Stroller Baby Sleep Sack Zipper Design-100% Soft Cotton Ultra-Soft Absorbent - Warm for Baby 1</t>
  </si>
  <si>
    <t>SL-LULW818-BO-L</t>
  </si>
  <si>
    <t>B078RNM8V8</t>
  </si>
  <si>
    <t>ZIONSVILLE</t>
  </si>
  <si>
    <t>46077-5848</t>
  </si>
  <si>
    <t>111-5088558-8058628</t>
  </si>
  <si>
    <t>2018-06-13T05:57:45+00:00</t>
  </si>
  <si>
    <t>2018-06-14T07:50:52+00:00</t>
  </si>
  <si>
    <t>LA MIRADA</t>
  </si>
  <si>
    <t>90638-5757</t>
  </si>
  <si>
    <t>112-2326581-5417810</t>
  </si>
  <si>
    <t>2018-06-13T02:35:23+00:00</t>
  </si>
  <si>
    <t>2018-06-14T05:38:29+00:00</t>
  </si>
  <si>
    <t>Rockford</t>
  </si>
  <si>
    <t>49341-7450</t>
  </si>
  <si>
    <t>111-4004180-1973030</t>
  </si>
  <si>
    <t>2018-06-13T02:20:03+00:00</t>
  </si>
  <si>
    <t>2018-06-16T20:27:11+00:00</t>
  </si>
  <si>
    <t>24 pcs Shatterproof Decorative Balls Ornaments for Holiday Party Home Silver 2.36"</t>
  </si>
  <si>
    <t>BA-FLQ02-SI-6</t>
  </si>
  <si>
    <t>B075N1KNHS</t>
  </si>
  <si>
    <t>East Islip</t>
  </si>
  <si>
    <t>New York</t>
  </si>
  <si>
    <t>111-5322912-7497036</t>
  </si>
  <si>
    <t>2018-06-13T02:17:07+00:00</t>
  </si>
  <si>
    <t>2018-06-13T11:01:23+00:00</t>
  </si>
  <si>
    <t>MOCOTONO Women's Striped Hooded Pullover Drawstring Hoodies Sweatshirts Dark Blue Medium</t>
  </si>
  <si>
    <t>WY-WF1225-BO-M</t>
  </si>
  <si>
    <t>B078MFWG5N</t>
  </si>
  <si>
    <t>WEXFORD</t>
  </si>
  <si>
    <t>PA</t>
  </si>
  <si>
    <t>15090-9454</t>
  </si>
  <si>
    <t>113-3489103-6917806</t>
  </si>
  <si>
    <t>2018-06-13T02:06:07+00:00</t>
  </si>
  <si>
    <t>2018-06-14T03:59:10+00:00</t>
  </si>
  <si>
    <t>APOLLO BEACH</t>
  </si>
  <si>
    <t>FL</t>
  </si>
  <si>
    <t>33572-2528</t>
  </si>
  <si>
    <t>112-8188187-7828200</t>
  </si>
  <si>
    <t>2018-06-13T01:39:34+00:00</t>
  </si>
  <si>
    <t>2018-06-14T19:11:30+00:00</t>
  </si>
  <si>
    <t>Millington</t>
  </si>
  <si>
    <t>114-6808847-7150625</t>
  </si>
  <si>
    <t>2018-06-13T01:12:01+00:00</t>
  </si>
  <si>
    <t>2018-06-13T06:37:44+00:00</t>
  </si>
  <si>
    <t>ASTORIA</t>
  </si>
  <si>
    <t>113-0513396-7005805</t>
  </si>
  <si>
    <t>2018-06-13T00:19:56+00:00</t>
  </si>
  <si>
    <t>2018-06-14T01:07:09+00:00</t>
  </si>
  <si>
    <t>Elephant Tapestry Wall Hanging Large Wall Decor Mandala for Bedroom Blue (200150cm/7959inches)</t>
  </si>
  <si>
    <t>GT-WFY1-E4</t>
  </si>
  <si>
    <t>B077NVQNC9</t>
  </si>
  <si>
    <t>GREELEY</t>
  </si>
  <si>
    <t>80634-6517</t>
  </si>
  <si>
    <t>112-6997231-6725818</t>
  </si>
  <si>
    <t>2018-06-14T23:49:03+00:00</t>
  </si>
  <si>
    <t>2018-06-15T15:39:42+00:00</t>
  </si>
  <si>
    <t>FORISTELL</t>
  </si>
  <si>
    <t>63348-1255</t>
  </si>
  <si>
    <t>114-8487980-2021853</t>
  </si>
  <si>
    <t>2018-06-14T21:34:25+00:00</t>
  </si>
  <si>
    <t>2018-06-15T20:41:58+00:00</t>
  </si>
  <si>
    <t>SAINT JOHNS</t>
  </si>
  <si>
    <t>32259-7307</t>
  </si>
  <si>
    <t>112-6361866-8805035</t>
  </si>
  <si>
    <t>2018-06-14T21:15:07+00:00</t>
  </si>
  <si>
    <t>2018-06-16T00:54:50+00:00</t>
  </si>
  <si>
    <t>BERNARDSVILLE</t>
  </si>
  <si>
    <t>07924-1804</t>
  </si>
  <si>
    <t>112-4031619-9151442</t>
  </si>
  <si>
    <t>2018-06-14T20:18:11+00:00</t>
  </si>
  <si>
    <t>2018-06-15T02:38:56+00:00</t>
  </si>
  <si>
    <t>ELK GROVE</t>
  </si>
  <si>
    <t>95757-4332</t>
  </si>
  <si>
    <t>111-9119087-2855420</t>
  </si>
  <si>
    <t>2018-06-14T20:02:16+00:00</t>
  </si>
  <si>
    <t>2018-06-15T05:33:30+00:00</t>
  </si>
  <si>
    <t>Oakdale</t>
  </si>
  <si>
    <t>Connecticut</t>
  </si>
  <si>
    <t>113-7904195-4550602</t>
  </si>
  <si>
    <t>2018-06-14T19:40:28+00:00</t>
  </si>
  <si>
    <t>2018-06-15T03:56:22+00:00</t>
  </si>
  <si>
    <t>RIPON</t>
  </si>
  <si>
    <t>95366-2147</t>
  </si>
  <si>
    <t>111-7535862-1926627</t>
  </si>
  <si>
    <t>2018-06-14T19:10:54+00:00</t>
  </si>
  <si>
    <t>2018-06-15T21:04:24+00:00</t>
  </si>
  <si>
    <t>JACKSONVILLE</t>
  </si>
  <si>
    <t>32258-7443</t>
  </si>
  <si>
    <t>112-6501859-5394601</t>
  </si>
  <si>
    <t>2018-06-14T18:02:14+00:00</t>
  </si>
  <si>
    <t>2018-06-18T09:38:08+00:00</t>
  </si>
  <si>
    <t>PLYMOUTH</t>
  </si>
  <si>
    <t>48170-1452</t>
  </si>
  <si>
    <t>114-8344829-5555461</t>
  </si>
  <si>
    <t>2018-06-14T17:30:53+00:00</t>
  </si>
  <si>
    <t>2018-06-15T03:56:19+00:00</t>
  </si>
  <si>
    <t>European Table Runner Floral Cloth Fashion Luxury Upscale Neoclassical Table Runner Christams Wedding Decoration Pink(12x79inches)</t>
  </si>
  <si>
    <t>ZQ-WF002-PI-M</t>
  </si>
  <si>
    <t>B078H85Y7H</t>
  </si>
  <si>
    <t>DALY CITY</t>
  </si>
  <si>
    <t>94014-1511</t>
  </si>
  <si>
    <t>112-4144215-3633039</t>
  </si>
  <si>
    <t>2018-06-14T16:52:14+00:00</t>
  </si>
  <si>
    <t>2018-06-15T09:48:28+00:00</t>
  </si>
  <si>
    <t>CHICAGO</t>
  </si>
  <si>
    <t>60660-5856</t>
  </si>
  <si>
    <t>113-5850363-2944240</t>
  </si>
  <si>
    <t>2018-06-14T16:27:38+00:00</t>
  </si>
  <si>
    <t>2018-06-15T08:28:01+00:00</t>
  </si>
  <si>
    <t>GONZALES</t>
  </si>
  <si>
    <t>70737-4334</t>
  </si>
  <si>
    <t>114-4871198-4904255</t>
  </si>
  <si>
    <t>2018-06-14T16:10:11+00:00</t>
  </si>
  <si>
    <t>2018-06-15T23:09:04+00:00</t>
  </si>
  <si>
    <t>Lastia Pet Carrier Travel bag Soft Sided Airline Approved for Small Dog and Cat Oxford Gray 18"x10.5"x11"</t>
  </si>
  <si>
    <t>CWB-FLQ1703-GR-47</t>
  </si>
  <si>
    <t>B078GKCYT6</t>
  </si>
  <si>
    <t>EAST BRUNSWICK</t>
  </si>
  <si>
    <t>08816-2964</t>
  </si>
  <si>
    <t>111-9316649-8139446</t>
  </si>
  <si>
    <t>2018-06-14T14:36:37+00:00</t>
  </si>
  <si>
    <t>2018-06-15T08:04:26+00:00</t>
  </si>
  <si>
    <t>NEWBURY</t>
  </si>
  <si>
    <t>NH</t>
  </si>
  <si>
    <t>03255-5102</t>
  </si>
  <si>
    <t>112-5940514-8996261</t>
  </si>
  <si>
    <t>2018-06-14T14:13:40+00:00</t>
  </si>
  <si>
    <t>2018-06-15T04:21:04+00:00</t>
  </si>
  <si>
    <t>Placemats Woven Vinyl Heat-resistant Non Skid Washable PVC Waterproof Rectangle Table Mats Set of 4 Coffee</t>
  </si>
  <si>
    <t>CD-WF-CF</t>
  </si>
  <si>
    <t>B076J9MFHW</t>
  </si>
  <si>
    <t>EAGLE LAKE</t>
  </si>
  <si>
    <t>33839-3481</t>
  </si>
  <si>
    <t>111-7139983-4622601</t>
  </si>
  <si>
    <t>2018-06-14T13:42:31+00:00</t>
  </si>
  <si>
    <t>2018-06-14T22:44:45+00:00</t>
  </si>
  <si>
    <t>HAMPTON</t>
  </si>
  <si>
    <t>VA</t>
  </si>
  <si>
    <t>23664-1792</t>
  </si>
  <si>
    <t>111-4892767-2870625</t>
  </si>
  <si>
    <t>2018-06-14T11:48:05+00:00</t>
  </si>
  <si>
    <t>2018-06-14T23:51:23+00:00</t>
  </si>
  <si>
    <t>Lastia Summer Light Weight Water Gun Pool Beach Swimming Water Soaker for Kids and Adults 8 PCS (13.8In)</t>
  </si>
  <si>
    <t>SQ-LUHM354</t>
  </si>
  <si>
    <t>B07DKV16HS</t>
  </si>
  <si>
    <t>ISLIP TERRACE</t>
  </si>
  <si>
    <t>11752-2706</t>
  </si>
  <si>
    <t>111-8216912-0741851</t>
  </si>
  <si>
    <t>2018-06-14T11:08:18+00:00</t>
  </si>
  <si>
    <t>2018-06-15T06:16:43+00:00</t>
  </si>
  <si>
    <t>SAINT PETERSBURG</t>
  </si>
  <si>
    <t>33703-3638</t>
  </si>
  <si>
    <t>114-6912641-0353018</t>
  </si>
  <si>
    <t>2018-06-14T04:27:13+00:00</t>
  </si>
  <si>
    <t>2018-06-14T13:54:11+00:00</t>
  </si>
  <si>
    <t>Laundry Storage Basket for Bedroom Bathroom Kids Canvas Black and Plaid 15.7"x15.7"x19.7"</t>
  </si>
  <si>
    <t>ZYL-FLQ06-HG-40</t>
  </si>
  <si>
    <t>B075R4XJZV</t>
  </si>
  <si>
    <t>FLORENCE</t>
  </si>
  <si>
    <t>KY</t>
  </si>
  <si>
    <t>41042-7199</t>
  </si>
  <si>
    <t>璐拱????2018/06/01 6-8-35-529</t>
  </si>
  <si>
    <t>111-1180302-8660253</t>
  </si>
  <si>
    <t>2018-06-14T03:19:01+00:00</t>
  </si>
  <si>
    <t>2018-06-16T17:27:12+00:00</t>
  </si>
  <si>
    <t>WHITEFORD</t>
  </si>
  <si>
    <t>21160-1710</t>
  </si>
  <si>
    <t>112-0778874-6499443</t>
  </si>
  <si>
    <t>2018-06-14T03:16:43+00:00</t>
  </si>
  <si>
    <t>2018-06-16T03:53:30+00:00</t>
  </si>
  <si>
    <t>BROOKLYN</t>
  </si>
  <si>
    <t>11215-3799</t>
  </si>
  <si>
    <t>111-1487465-4401002</t>
  </si>
  <si>
    <t>2018-06-14T01:50:20+00:00</t>
  </si>
  <si>
    <t>2018-06-14T23:10:00+00:00</t>
  </si>
  <si>
    <t>Laundry Storage Basket for Bedroom Bathroom Kids Canvas White and Plaid 15.7"x15.7"x19.7"</t>
  </si>
  <si>
    <t>ZYL-FLQ06-BG-40</t>
  </si>
  <si>
    <t>B075RCQD9P</t>
  </si>
  <si>
    <t>WINTHROP</t>
  </si>
  <si>
    <t>02152-1756</t>
  </si>
  <si>
    <t>112-5182544-2481846</t>
  </si>
  <si>
    <t>2018-06-14T01:33:51+00:00</t>
  </si>
  <si>
    <t>2018-06-17T19:42:04+00:00</t>
  </si>
  <si>
    <t>PORT WASHINGTON</t>
  </si>
  <si>
    <t>11050-3228</t>
  </si>
  <si>
    <t>112-9519828-1030602</t>
  </si>
  <si>
    <t>2018-06-14T01:24:41+00:00</t>
  </si>
  <si>
    <t>2018-06-16T00:57:58+00:00</t>
  </si>
  <si>
    <t>San Francisco</t>
  </si>
  <si>
    <t>California</t>
  </si>
  <si>
    <t>113-0664948-6019407</t>
  </si>
  <si>
    <t>2018-06-14T00:12:42+00:00</t>
  </si>
  <si>
    <t>2018-06-15T08:33:56+00:00</t>
  </si>
  <si>
    <t>EASTAMPTON</t>
  </si>
  <si>
    <t>08060-3371</t>
  </si>
  <si>
    <t>114-2144087-6357814</t>
  </si>
  <si>
    <t>2018-06-14T00:07:17+00:00</t>
  </si>
  <si>
    <t>2018-06-15T02:30:07+00:00</t>
  </si>
  <si>
    <t>Antioch</t>
  </si>
  <si>
    <t>112-0577509-7947468</t>
  </si>
  <si>
    <t>2018-06-15T23:24:45+00:00</t>
  </si>
  <si>
    <t>2018-06-16T02:32:09+00:00</t>
  </si>
  <si>
    <t>Chicago</t>
  </si>
  <si>
    <t>Illinois</t>
  </si>
  <si>
    <t>111-6513998-9415418</t>
  </si>
  <si>
    <t>2018-06-15T21:10:00+00:00</t>
  </si>
  <si>
    <t>2018-06-16T16:26:05+00:00</t>
  </si>
  <si>
    <t>Plandome</t>
  </si>
  <si>
    <t>112-1611232-4022603</t>
  </si>
  <si>
    <t>2018-06-15T20:47:37+00:00</t>
  </si>
  <si>
    <t>2018-06-16T21:39:42+00:00</t>
  </si>
  <si>
    <t>RICHMOND HEIGHTS</t>
  </si>
  <si>
    <t>OH</t>
  </si>
  <si>
    <t>44143-2617</t>
  </si>
  <si>
    <t>114-0945032-7611437</t>
  </si>
  <si>
    <t>2018-06-15T20:36:32+00:00</t>
  </si>
  <si>
    <t>2018-06-17T22:51:51+00:00</t>
  </si>
  <si>
    <t>MILES</t>
  </si>
  <si>
    <t>76861-5404</t>
  </si>
  <si>
    <t>114-2381418-1816267</t>
  </si>
  <si>
    <t>2018-06-15T20:09:30+00:00</t>
  </si>
  <si>
    <t>2018-06-16T08:39:53+00:00</t>
  </si>
  <si>
    <t>60506-4952</t>
  </si>
  <si>
    <t>111-6549789-4709813</t>
  </si>
  <si>
    <t>2018-06-15T19:02:56+00:00</t>
  </si>
  <si>
    <t>2018-06-16T19:58:47+00:00</t>
  </si>
  <si>
    <t>Monitor Memo Board Computer Monitors Notes Holder and Reminder Acrylic Message Boards Memo Pads Sticky Board For Paper Sticky Notes Giraffe Right</t>
  </si>
  <si>
    <t>BLT-LUHM000-GR</t>
  </si>
  <si>
    <t>B07BVL6R55</t>
  </si>
  <si>
    <t>ATLANTA</t>
  </si>
  <si>
    <t>30328-5605</t>
  </si>
  <si>
    <t>111-1814634-0985810</t>
  </si>
  <si>
    <t>2018-06-15T18:52:16+00:00</t>
  </si>
  <si>
    <t>2018-06-16T07:34:08+00:00</t>
  </si>
  <si>
    <t>RIDGEFIELD</t>
  </si>
  <si>
    <t>06877-4820</t>
  </si>
  <si>
    <t>112-3864507-4204229</t>
  </si>
  <si>
    <t>2018-06-15T18:32:38+00:00</t>
  </si>
  <si>
    <t>2018-06-16T12:22:03+00:00</t>
  </si>
  <si>
    <t>19064-3208</t>
  </si>
  <si>
    <t>112-0364064-9286610</t>
  </si>
  <si>
    <t>2018-06-15T17:39:32+00:00</t>
  </si>
  <si>
    <t>2018-06-17T21:38:45+00:00</t>
  </si>
  <si>
    <t>MIAMI</t>
  </si>
  <si>
    <t>33195-2698</t>
  </si>
  <si>
    <t>113-1975656-7791455</t>
  </si>
  <si>
    <t>2018-06-15T15:23:23+00:00</t>
  </si>
  <si>
    <t>2018-06-18T17:43:02+00:00</t>
  </si>
  <si>
    <t>LITITZ</t>
  </si>
  <si>
    <t>17543-9627</t>
  </si>
  <si>
    <t>114-1994096-5681039</t>
  </si>
  <si>
    <t>2018-06-15T15:05:44+00:00</t>
  </si>
  <si>
    <t>2018-06-17T01:18:31+00:00</t>
  </si>
  <si>
    <t>PHILA</t>
  </si>
  <si>
    <t>19124-2006</t>
  </si>
  <si>
    <t>114-6548946-8357817</t>
  </si>
  <si>
    <t>2018-06-15T14:04:35+00:00</t>
  </si>
  <si>
    <t>2018-06-16T19:20:24+00:00</t>
  </si>
  <si>
    <t>Lastia Summer Light Weight Water Gun Pool Beach Swimming Water Soaker for Kids and Adults 8 PCS (11.8In)</t>
  </si>
  <si>
    <t>SQ-LUHM304</t>
  </si>
  <si>
    <t>B07DKWSJ1Z</t>
  </si>
  <si>
    <t>trail creek</t>
  </si>
  <si>
    <t>114-0039725-4951405</t>
  </si>
  <si>
    <t>2018-06-15T13:47:22+00:00</t>
  </si>
  <si>
    <t>2018-06-16T09:49:56+00:00</t>
  </si>
  <si>
    <t>Hanging Shelves Cotton and Linen Triangle Pattern 11.8"x11.8"x31.4"</t>
  </si>
  <si>
    <t>SND-FLQ18-SJ-80</t>
  </si>
  <si>
    <t>B0761KLYSS</t>
  </si>
  <si>
    <t>Rockville</t>
  </si>
  <si>
    <t>Md</t>
  </si>
  <si>
    <t>111-8848661-4981852</t>
  </si>
  <si>
    <t>2018-06-15T13:42:58+00:00</t>
  </si>
  <si>
    <t>2018-06-16T03:51:53+00:00</t>
  </si>
  <si>
    <t>COLUMBUS</t>
  </si>
  <si>
    <t>47201-8730</t>
  </si>
  <si>
    <t>112-6512912-2657816</t>
  </si>
  <si>
    <t>2018-06-15T12:54:24+00:00</t>
  </si>
  <si>
    <t>2018-06-16T21:33:03+00:00</t>
  </si>
  <si>
    <t>Folding Storage Cube Basket for Bedroom Bathroom Kids Cotton Linen White and Batman 12.5"x12.5"x12.5"</t>
  </si>
  <si>
    <t>ZYL-FLQ59-BF-32</t>
  </si>
  <si>
    <t>B078JQ3KLW</t>
  </si>
  <si>
    <t>GRETNA</t>
  </si>
  <si>
    <t>24557-3467</t>
  </si>
  <si>
    <t>111-0286727-0397805</t>
  </si>
  <si>
    <t>2018-06-15T12:25:03+00:00</t>
  </si>
  <si>
    <t>2018-06-15T20:32:40+00:00</t>
  </si>
  <si>
    <t>BERLIN</t>
  </si>
  <si>
    <t>06037-3002</t>
  </si>
  <si>
    <t>111-4384383-1218644</t>
  </si>
  <si>
    <t>2018-06-15T08:48:49+00:00</t>
  </si>
  <si>
    <t>2018-06-17T22:17:07+00:00</t>
  </si>
  <si>
    <t>Post-It Notes Holder Memo Board for Monitors Clip and Hold Left</t>
  </si>
  <si>
    <t>BLT-LUHM819-W0</t>
  </si>
  <si>
    <t>B07BV73Z4Q</t>
  </si>
  <si>
    <t>GOOSE CREEK</t>
  </si>
  <si>
    <t>SC</t>
  </si>
  <si>
    <t>29445-4334</t>
  </si>
  <si>
    <t>113-6526788-6785018</t>
  </si>
  <si>
    <t>2018-06-15T05:18:29+00:00</t>
  </si>
  <si>
    <t>2018-06-16T22:49:26+00:00</t>
  </si>
  <si>
    <t>Monitor Memo Board Computer Monitors Notes Holder and Reminder Acrylic Message Boards Memo Pads Sticky Board For Paper Sticky Notes Giraffe Left</t>
  </si>
  <si>
    <t>BLT-LUHM000-GL</t>
  </si>
  <si>
    <t>B07BVMP1DH</t>
  </si>
  <si>
    <t>HOUSTON</t>
  </si>
  <si>
    <t>77042-5027</t>
  </si>
  <si>
    <t>112-4909367-3729022</t>
  </si>
  <si>
    <t>2018-06-15T04:15:57+00:00</t>
  </si>
  <si>
    <t>2018-06-15T11:54:18+00:00</t>
  </si>
  <si>
    <t>Newark</t>
  </si>
  <si>
    <t>112-3213803-1941869</t>
  </si>
  <si>
    <t>2018-06-15T03:59:32+00:00</t>
  </si>
  <si>
    <t>2018-06-15T22:54:56+00:00</t>
  </si>
  <si>
    <t>STATEN ISLAND</t>
  </si>
  <si>
    <t>10309-3533</t>
  </si>
  <si>
    <t>111-3053734-1215417</t>
  </si>
  <si>
    <t>2018-06-15T03:07:54+00:00</t>
  </si>
  <si>
    <t>2018-06-16T04:46:06+00:00</t>
  </si>
  <si>
    <t>Monitor Memo Board Computer Monitors Notes Holder and Reminder Acrylic Message Boards Memo Pads Sticky Board For Paper Sticky Notes Cat</t>
  </si>
  <si>
    <t>BLT-WF125-CAT</t>
  </si>
  <si>
    <t>B078955T7Y</t>
  </si>
  <si>
    <t>WASHINGTON</t>
  </si>
  <si>
    <t>DC</t>
  </si>
  <si>
    <t>20008-1456</t>
  </si>
  <si>
    <t>111-9538740-7464267</t>
  </si>
  <si>
    <t>2018-06-15T02:59:48+00:00</t>
  </si>
  <si>
    <t>2018-06-16T19:35:03+00:00</t>
  </si>
  <si>
    <t>Watertown</t>
  </si>
  <si>
    <t>Massachusetts</t>
  </si>
  <si>
    <t>113-4011480-3462629</t>
  </si>
  <si>
    <t>2018-06-15T02:03:46+00:00</t>
  </si>
  <si>
    <t>2018-06-16T03:57:50+00:00</t>
  </si>
  <si>
    <t>HAZEL PARK</t>
  </si>
  <si>
    <t>MICHIGAN</t>
  </si>
  <si>
    <t>48030-1222</t>
  </si>
  <si>
    <t>114-3304203-5206639</t>
  </si>
  <si>
    <t>2018-06-15T01:24:51+00:00</t>
  </si>
  <si>
    <t>2018-06-15T07:41:44+00:00</t>
  </si>
  <si>
    <t>Pet Carrier Backpack Adjustable Legs Out Front Carrier Bag for Samll Medium Large Dogs Cats Rainbow XL</t>
  </si>
  <si>
    <t>CWB-WF021-RB-XL</t>
  </si>
  <si>
    <t>B0779Z2TS6</t>
  </si>
  <si>
    <t>MYERSVILLE</t>
  </si>
  <si>
    <t>21773-8502</t>
  </si>
  <si>
    <t>113-5504243-5589000</t>
  </si>
  <si>
    <t>2018-06-15T00:10:33+00:00</t>
  </si>
  <si>
    <t>2018-06-16T01:04:21+00:00</t>
  </si>
  <si>
    <t>DISTRICT HEIGHTS</t>
  </si>
  <si>
    <t>20747-4122</t>
  </si>
  <si>
    <t>112-9840803-2565841</t>
  </si>
  <si>
    <t>2018-06-16T22:44:44+00:00</t>
  </si>
  <si>
    <t>2018-06-18T00:34:02+00:00</t>
  </si>
  <si>
    <t>SAN JOSE</t>
  </si>
  <si>
    <t>95123-2284</t>
  </si>
  <si>
    <t>112-9569463-1111459</t>
  </si>
  <si>
    <t>2018-06-16T22:27:53+00:00</t>
  </si>
  <si>
    <t>2018-06-18T06:25:12+00:00</t>
  </si>
  <si>
    <t>ALEXANDRIA</t>
  </si>
  <si>
    <t>22312-3027</t>
  </si>
  <si>
    <t>112-6587672-5589830</t>
  </si>
  <si>
    <t>2018-06-16T22:12:41+00:00</t>
  </si>
  <si>
    <t>2018-06-20T03:09:36+00:00</t>
  </si>
  <si>
    <t>ORIENT</t>
  </si>
  <si>
    <t>43146-9339</t>
  </si>
  <si>
    <t>111-6004050-3425864</t>
  </si>
  <si>
    <t>2018-06-16T20:25:40+00:00</t>
  </si>
  <si>
    <t>2018-06-17T04:21:43+00:00</t>
  </si>
  <si>
    <t>MOCOTONO Striped Zipper Hooded Pullover 2021 Drawstring Hoodies Sweatshirts For Women Long Sleeve Warm Tops S-XL</t>
  </si>
  <si>
    <t>WY-WF1225-BO-XL</t>
  </si>
  <si>
    <t>B078MPBBKH</t>
  </si>
  <si>
    <t>MILL VALLEY</t>
  </si>
  <si>
    <t>94941-3247</t>
  </si>
  <si>
    <t>112-2848148-1653033</t>
  </si>
  <si>
    <t>2018-06-16T20:16:02+00:00</t>
  </si>
  <si>
    <t>2018-06-17T05:21:03+00:00</t>
  </si>
  <si>
    <t>DENVER</t>
  </si>
  <si>
    <t>111-3703614-2899439</t>
  </si>
  <si>
    <t>2018-06-16T20:04:26+00:00</t>
  </si>
  <si>
    <t>2018-06-17T06:25:03+00:00</t>
  </si>
  <si>
    <t>CHESTER</t>
  </si>
  <si>
    <t>23831-1291</t>
  </si>
  <si>
    <t>114-0846109-7410647</t>
  </si>
  <si>
    <t>2018-06-16T19:53:41+00:00</t>
  </si>
  <si>
    <t>2018-06-17T10:20:05+00:00</t>
  </si>
  <si>
    <t>WEST ALLIS</t>
  </si>
  <si>
    <t>WI</t>
  </si>
  <si>
    <t>53219-1844</t>
  </si>
  <si>
    <t>112-7014976-9024227</t>
  </si>
  <si>
    <t>2018-06-16T19:20:00+00:00</t>
  </si>
  <si>
    <t>2018-06-18T05:07:10+00:00</t>
  </si>
  <si>
    <t>111-1647076-5305027</t>
  </si>
  <si>
    <t>2018-06-16T19:04:21+00:00</t>
  </si>
  <si>
    <t>2018-06-16T23:30:38+00:00</t>
  </si>
  <si>
    <t>LEAWOOD</t>
  </si>
  <si>
    <t>KS</t>
  </si>
  <si>
    <t>66206-1613</t>
  </si>
  <si>
    <t>114-7604608-8276248</t>
  </si>
  <si>
    <t>2018-06-16T18:32:20+00:00</t>
  </si>
  <si>
    <t>2018-06-19T01:20:41+00:00</t>
  </si>
  <si>
    <t>Laundry Balls - Eco Friendly Fabric Softener Alternative(Set of 5) Color</t>
  </si>
  <si>
    <t>XQ-LUHM034-X0</t>
  </si>
  <si>
    <t>B07C76QGLV</t>
  </si>
  <si>
    <t>SAN DIEGO</t>
  </si>
  <si>
    <t>92131-4739</t>
  </si>
  <si>
    <t>113-2342099-0429803</t>
  </si>
  <si>
    <t>2018-06-16T17:59:18+00:00</t>
  </si>
  <si>
    <t>2018-06-18T04:19:19+00:00</t>
  </si>
  <si>
    <t>92116-4500</t>
  </si>
  <si>
    <t>112-5873489-7562605</t>
  </si>
  <si>
    <t>2018-06-16T17:53:16+00:00</t>
  </si>
  <si>
    <t>2018-06-19T07:19:46+00:00</t>
  </si>
  <si>
    <t>SHEPHERDSVILLE</t>
  </si>
  <si>
    <t>40165-7864</t>
  </si>
  <si>
    <t>114-9480262-6405840</t>
  </si>
  <si>
    <t>2018-06-16T16:13:35+00:00</t>
  </si>
  <si>
    <t>2018-06-17T00:55:22+00:00</t>
  </si>
  <si>
    <t>FRISCO</t>
  </si>
  <si>
    <t>75034-0161</t>
  </si>
  <si>
    <t>111-0435936-1516261</t>
  </si>
  <si>
    <t>2018-06-16T15:33:25+00:00</t>
  </si>
  <si>
    <t>2018-06-18T08:04:46+00:00</t>
  </si>
  <si>
    <t>YUCAIPA</t>
  </si>
  <si>
    <t>92399-3909</t>
  </si>
  <si>
    <t>111-8790536-1092231</t>
  </si>
  <si>
    <t>2018-06-16T15:06:50+00:00</t>
  </si>
  <si>
    <t>2018-06-17T06:37:10+00:00</t>
  </si>
  <si>
    <t>STAFFORD</t>
  </si>
  <si>
    <t>VIRGINIA</t>
  </si>
  <si>
    <t>22556-5965</t>
  </si>
  <si>
    <t>112-9013189-2505815</t>
  </si>
  <si>
    <t>2018-06-16T14:34:00+00:00</t>
  </si>
  <si>
    <t>2018-06-17T16:35:57+00:00</t>
  </si>
  <si>
    <t>Holbrook</t>
  </si>
  <si>
    <t>112-6845985-9143437</t>
  </si>
  <si>
    <t>2018-06-16T12:18:40+00:00</t>
  </si>
  <si>
    <t>2018-06-18T05:41:55+00:00</t>
  </si>
  <si>
    <t>Lastia Summer Light Weight Water Gun Pool Beach Swimming Water Soaker for Kids and Adults 8 PCS (7.9In)</t>
  </si>
  <si>
    <t>SQ-LUHM204</t>
  </si>
  <si>
    <t>B07DKXSV9P</t>
  </si>
  <si>
    <t>PURCHASE</t>
  </si>
  <si>
    <t>10577-1145</t>
  </si>
  <si>
    <t>114-0511118-0730646</t>
  </si>
  <si>
    <t>2018-06-16T05:15:10+00:00</t>
  </si>
  <si>
    <t>2018-06-17T16:51:43+00:00</t>
  </si>
  <si>
    <t>77005-4064</t>
  </si>
  <si>
    <t>114-0443033-2454638</t>
  </si>
  <si>
    <t>2018-06-16T02:11:52+00:00</t>
  </si>
  <si>
    <t>2018-06-17T06:31:24+00:00</t>
  </si>
  <si>
    <t>Fair Oaks</t>
  </si>
  <si>
    <t>111-0739759-4088259</t>
  </si>
  <si>
    <t>2018-06-17T23:42:32+00:00</t>
  </si>
  <si>
    <t>2018-06-19T01:42:01+00:00</t>
  </si>
  <si>
    <t>MIDLAND</t>
  </si>
  <si>
    <t>TEXAS</t>
  </si>
  <si>
    <t>79705-6445</t>
  </si>
  <si>
    <t>113-1638225-7227455</t>
  </si>
  <si>
    <t>2018-06-17T22:49:54+00:00</t>
  </si>
  <si>
    <t>2018-06-18T19:18:50+00:00</t>
  </si>
  <si>
    <t>Collapsible Laundry Storage Basket for Bedroom Bathroom Kids Cotton with EVA Lining White 14.3"x14.3"x14.9"</t>
  </si>
  <si>
    <t>ZYL-FLQ2013-YO-36</t>
  </si>
  <si>
    <t>B078JQVN4Q</t>
  </si>
  <si>
    <t>W. Barnstable</t>
  </si>
  <si>
    <t>113-2102089-6892257</t>
  </si>
  <si>
    <t>2018-06-17T22:05:12+00:00</t>
  </si>
  <si>
    <t>2018-06-18T19:12:50+00:00</t>
  </si>
  <si>
    <t>CLARKSVILLE</t>
  </si>
  <si>
    <t>TN</t>
  </si>
  <si>
    <t>37042-3022</t>
  </si>
  <si>
    <t>112-0033441-7222609</t>
  </si>
  <si>
    <t>2018-06-17T21:56:25+00:00</t>
  </si>
  <si>
    <t>2018-06-18T19:22:20+00:00</t>
  </si>
  <si>
    <t>HELOTES</t>
  </si>
  <si>
    <t>114-6404276-5982625</t>
  </si>
  <si>
    <t>2018-06-17T21:05:09+00:00</t>
  </si>
  <si>
    <t>2018-06-18T23:49:51+00:00</t>
  </si>
  <si>
    <t>Thomasville</t>
  </si>
  <si>
    <t>North Carolina</t>
  </si>
  <si>
    <t>114-4264106-6534658</t>
  </si>
  <si>
    <t>2018-06-17T20:36:37+00:00</t>
  </si>
  <si>
    <t>2018-06-18T02:59:23+00:00</t>
  </si>
  <si>
    <t>Lastia Summer Light Weight Water Gun Pool Beach Swimming Water Soaker for Kids and Adults 8 PCS (15.7In)</t>
  </si>
  <si>
    <t>SQ-LUHM404</t>
  </si>
  <si>
    <t>B07DKT41YL</t>
  </si>
  <si>
    <t>PLANO</t>
  </si>
  <si>
    <t>75074-7513</t>
  </si>
  <si>
    <t>113-6421702-3773810</t>
  </si>
  <si>
    <t>2018-06-17T20:14:40+00:00</t>
  </si>
  <si>
    <t>2018-06-19T00:14:53+00:00</t>
  </si>
  <si>
    <t>NextDay</t>
  </si>
  <si>
    <t>LILLIAN</t>
  </si>
  <si>
    <t>AL</t>
  </si>
  <si>
    <t>36549-4138</t>
  </si>
  <si>
    <t>114-7256195-7168253</t>
  </si>
  <si>
    <t>2018-06-17T20:12:36+00:00</t>
  </si>
  <si>
    <t>2018-06-19T20:47:11+00:00</t>
  </si>
  <si>
    <t>Carlsbad</t>
  </si>
  <si>
    <t>112-8419462-6993045</t>
  </si>
  <si>
    <t>2018-06-17T17:53:49+00:00</t>
  </si>
  <si>
    <t>2018-06-18T02:23:23+00:00</t>
  </si>
  <si>
    <t>SALEM</t>
  </si>
  <si>
    <t>OR</t>
  </si>
  <si>
    <t>97301-5048</t>
  </si>
  <si>
    <t>112-2912354-0303434</t>
  </si>
  <si>
    <t>2018-06-17T17:48:49+00:00</t>
  </si>
  <si>
    <t>2018-06-19T06:57:46+00:00</t>
  </si>
  <si>
    <t>Christmas Tree Decor Ornaments Assortment 13 Kinds of Accessories Blue and Silver</t>
  </si>
  <si>
    <t>SDSZH-BS</t>
  </si>
  <si>
    <t>B076P8MNVV</t>
  </si>
  <si>
    <t>WALL TOWNSHIP</t>
  </si>
  <si>
    <t>07719-3466</t>
  </si>
  <si>
    <t>112-4110451-4462610</t>
  </si>
  <si>
    <t>2018-06-17T16:40:29+00:00</t>
  </si>
  <si>
    <t>2018-06-18T16:42:46+00:00</t>
  </si>
  <si>
    <t>SAINT LOUIS</t>
  </si>
  <si>
    <t>63116-4803</t>
  </si>
  <si>
    <t>112-3067994-7241013</t>
  </si>
  <si>
    <t>2018-06-17T16:21:22+00:00</t>
  </si>
  <si>
    <t>2018-06-18T09:05:54+00:00</t>
  </si>
  <si>
    <t>SEBASTIAN</t>
  </si>
  <si>
    <t>32958-4327</t>
  </si>
  <si>
    <t>114-8925683-0079436</t>
  </si>
  <si>
    <t>2018-06-17T15:37:37+00:00</t>
  </si>
  <si>
    <t>2018-06-18T18:57:27+00:00</t>
  </si>
  <si>
    <t>Lastia Travel Shoe Bags Set of 4 Waterproof Nylon With Zipper For Men &amp; Women(4 Colors)</t>
  </si>
  <si>
    <t>SD-LUHM202-X0</t>
  </si>
  <si>
    <t>B07CVDJ9S8</t>
  </si>
  <si>
    <t>ORLANDO</t>
  </si>
  <si>
    <t>32835-2368</t>
  </si>
  <si>
    <t>113-8652711-1741036</t>
  </si>
  <si>
    <t>2018-06-17T13:54:20+00:00</t>
  </si>
  <si>
    <t>2018-06-18T03:26:11+00:00</t>
  </si>
  <si>
    <t>Folding Laundry Basket Hamper for Bedroom Bathroom Kids Cotton with EVA Lining White 14.3"x14.3"x14.9"</t>
  </si>
  <si>
    <t>ZYL-FLQ2013-DX-36</t>
  </si>
  <si>
    <t>B078JK429P</t>
  </si>
  <si>
    <t>10009-2338</t>
  </si>
  <si>
    <t>111-9534886-7558637</t>
  </si>
  <si>
    <t>2018-06-17T03:45:42+00:00</t>
  </si>
  <si>
    <t>2018-06-18T10:14:48+00:00</t>
  </si>
  <si>
    <t>GLENWOOD</t>
  </si>
  <si>
    <t>MN</t>
  </si>
  <si>
    <t>56334-1632</t>
  </si>
  <si>
    <t>111-4919555-0643400</t>
  </si>
  <si>
    <t>2018-06-17T00:07:33+00:00</t>
  </si>
  <si>
    <t>2018-06-17T12:45:08+00:00</t>
  </si>
  <si>
    <t>SACRAMENTO</t>
  </si>
  <si>
    <t>95864-3049</t>
  </si>
  <si>
    <t>112-6830717-1113065</t>
  </si>
  <si>
    <t>2018-06-18T23:19:48+00:00</t>
  </si>
  <si>
    <t>2018-06-21T07:59:29+00:00</t>
  </si>
  <si>
    <t>YORBA LINDA</t>
  </si>
  <si>
    <t>92887-3423</t>
  </si>
  <si>
    <t>111-3130829-9370611</t>
  </si>
  <si>
    <t>2018-06-18T22:14:11+00:00</t>
  </si>
  <si>
    <t>2018-06-20T06:27:41+00:00</t>
  </si>
  <si>
    <t>ODESSA</t>
  </si>
  <si>
    <t>33556-2350</t>
  </si>
  <si>
    <t>113-3149001-4948269</t>
  </si>
  <si>
    <t>2018-06-18T22:12:36+00:00</t>
  </si>
  <si>
    <t>2018-06-19T20:57:56+00:00</t>
  </si>
  <si>
    <t>BETHPAGE</t>
  </si>
  <si>
    <t>11714-4205</t>
  </si>
  <si>
    <t>112-4468548-9430633</t>
  </si>
  <si>
    <t>2018-06-18T21:00:30+00:00</t>
  </si>
  <si>
    <t>2018-06-20T04:04:28+00:00</t>
  </si>
  <si>
    <t>INDEPENDENCE</t>
  </si>
  <si>
    <t>44131-4610</t>
  </si>
  <si>
    <t>111-9263438-1762627</t>
  </si>
  <si>
    <t>2018-06-18T20:52:02+00:00</t>
  </si>
  <si>
    <t>2018-06-21T03:58:19+00:00</t>
  </si>
  <si>
    <t>GERMANTOWN</t>
  </si>
  <si>
    <t>20874-2199</t>
  </si>
  <si>
    <t>112-0311114-5633812</t>
  </si>
  <si>
    <t>2018-06-18T19:40:54+00:00</t>
  </si>
  <si>
    <t>2018-06-20T03:47:57+00:00</t>
  </si>
  <si>
    <t>ELK GROVE VILLAGE</t>
  </si>
  <si>
    <t>112-3643364-7509853</t>
  </si>
  <si>
    <t>2018-06-18T19:26:52+00:00</t>
  </si>
  <si>
    <t>2018-06-24T03:50:39+00:00</t>
  </si>
  <si>
    <t>MEDIA</t>
  </si>
  <si>
    <t>19063-5037</t>
  </si>
  <si>
    <t>US Core Free Shipping Promotion A3JU1FCINF5SD0,璐拱????2018/06/01 6-8-35-529</t>
  </si>
  <si>
    <t>112-1510585-9453867</t>
  </si>
  <si>
    <t>2018-06-18T15:58:30+00:00</t>
  </si>
  <si>
    <t>2018-06-19T23:37:42+00:00</t>
  </si>
  <si>
    <t>European Table Runner Floral Cloth Fashion Luxury Upscale Neoclassical Table Runner Christams Wedding Decoration Blue(12x79inches)</t>
  </si>
  <si>
    <t>ZQ-WF002-BO-M</t>
  </si>
  <si>
    <t>B078HGJSND</t>
  </si>
  <si>
    <t>CHAMPAIGN</t>
  </si>
  <si>
    <t>61821-5319</t>
  </si>
  <si>
    <t>112-2744314-2918627</t>
  </si>
  <si>
    <t>2018-06-18T15:51:31+00:00</t>
  </si>
  <si>
    <t>2018-06-19T04:04:09+00:00</t>
  </si>
  <si>
    <t>61571-9283</t>
  </si>
  <si>
    <t>114-6974863-3121064</t>
  </si>
  <si>
    <t>2018-06-18T14:17:31+00:00</t>
  </si>
  <si>
    <t>2018-06-22T20:18:09+00:00</t>
  </si>
  <si>
    <t>Ballston Spa</t>
  </si>
  <si>
    <t>114-7149682-4240248</t>
  </si>
  <si>
    <t>2018-06-18T12:34:36+00:00</t>
  </si>
  <si>
    <t>2018-06-19T19:26:50+00:00</t>
  </si>
  <si>
    <t>EDMOND</t>
  </si>
  <si>
    <t>73012-3551</t>
  </si>
  <si>
    <t>114-8622702-0950634</t>
  </si>
  <si>
    <t>2018-06-18T06:16:11+00:00</t>
  </si>
  <si>
    <t>2018-06-18T15:52:35+00:00</t>
  </si>
  <si>
    <t>Tapestry Wall Hanging Mandala Hippie Psychedelic Bohemian Elephant Beach Towel Boho Bedspread Elephant Queen Size 59 x 79inches</t>
  </si>
  <si>
    <t>GT-WFTFGT200-209</t>
  </si>
  <si>
    <t>B076J6K8RL</t>
  </si>
  <si>
    <t>LAGRANGE</t>
  </si>
  <si>
    <t>OHIO</t>
  </si>
  <si>
    <t>44050-9452</t>
  </si>
  <si>
    <t>114-1532160-5026666</t>
  </si>
  <si>
    <t>2018-06-18T06:06:35+00:00</t>
  </si>
  <si>
    <t>2018-06-19T03:19:04+00:00</t>
  </si>
  <si>
    <t>GOTHA</t>
  </si>
  <si>
    <t>34734-4502</t>
  </si>
  <si>
    <t>112-1017467-3713827</t>
  </si>
  <si>
    <t>2018-06-18T05:51:20+00:00</t>
  </si>
  <si>
    <t>2018-06-19T10:17:44+00:00</t>
  </si>
  <si>
    <t>28540-6823</t>
  </si>
  <si>
    <t>114-2179007-4272225</t>
  </si>
  <si>
    <t>2018-06-18T05:26:50+00:00</t>
  </si>
  <si>
    <t>2018-06-19T10:06:13+00:00</t>
  </si>
  <si>
    <t>90035-1721</t>
  </si>
  <si>
    <t>113-9281838-5981043</t>
  </si>
  <si>
    <t>2018-06-18T04:45:24+00:00</t>
  </si>
  <si>
    <t>2018-06-23T03:54:06+00:00</t>
  </si>
  <si>
    <t>San Mateo</t>
  </si>
  <si>
    <t>111-2837348-4335405</t>
  </si>
  <si>
    <t>2018-06-18T04:39:43+00:00</t>
  </si>
  <si>
    <t>2018-06-19T02:39:54+00:00</t>
  </si>
  <si>
    <t>GRAYSLAKE</t>
  </si>
  <si>
    <t>60030-9380</t>
  </si>
  <si>
    <t>112-7970793-5070629</t>
  </si>
  <si>
    <t>2018-06-18T04:24:56+00:00</t>
  </si>
  <si>
    <t>2018-06-18T22:56:56+00:00</t>
  </si>
  <si>
    <t>Lindenhurst</t>
  </si>
  <si>
    <t>11757-5811</t>
  </si>
  <si>
    <t>113-0865841-5157801</t>
  </si>
  <si>
    <t>2018-06-18T02:36:02+00:00</t>
  </si>
  <si>
    <t>2018-06-19T04:41:41+00:00</t>
  </si>
  <si>
    <t>SAUK CITY</t>
  </si>
  <si>
    <t>53583-9748</t>
  </si>
  <si>
    <t>114-4322882-2472235</t>
  </si>
  <si>
    <t>2018-06-18T01:37:20+00:00</t>
  </si>
  <si>
    <t>2018-06-20T00:49:15+00:00</t>
  </si>
  <si>
    <t>LOVELAND</t>
  </si>
  <si>
    <t>112-5140348-9888237</t>
  </si>
  <si>
    <t>2018-06-18T01:31:03+00:00</t>
  </si>
  <si>
    <t>2018-06-18T23:56:54+00:00</t>
  </si>
  <si>
    <t>ROYAL OAK</t>
  </si>
  <si>
    <t>48073-3317</t>
  </si>
  <si>
    <t>112-5111305-8207426</t>
  </si>
  <si>
    <t>2018-06-18T01:29:43+00:00</t>
  </si>
  <si>
    <t>2018-06-19T00:31:38+00:00</t>
  </si>
  <si>
    <t>WIMBERLEY</t>
  </si>
  <si>
    <t>78676-9368</t>
  </si>
  <si>
    <t>112-1931875-1569856</t>
  </si>
  <si>
    <t>2018-06-18T00:52:34+00:00</t>
  </si>
  <si>
    <t>2018-06-19T05:59:18+00:00</t>
  </si>
  <si>
    <t>Fullerton</t>
  </si>
  <si>
    <t>114-5574780-7152237</t>
  </si>
  <si>
    <t>2018-06-19T22:21:28+00:00</t>
  </si>
  <si>
    <t>2018-06-20T20:58:41+00:00</t>
  </si>
  <si>
    <t>Pet Carrier Backpack Adjustable Legs Out Front Carrier Bag for Samll Medium Large Dogs Cats Colorful Strip M</t>
  </si>
  <si>
    <t>CWB-WF021-QB-M</t>
  </si>
  <si>
    <t>B0779RT3RQ</t>
  </si>
  <si>
    <t>GREAT NECK</t>
  </si>
  <si>
    <t>11021-4113</t>
  </si>
  <si>
    <t>113-4112341-5016207</t>
  </si>
  <si>
    <t>2018-06-19T17:46:20+00:00</t>
  </si>
  <si>
    <t>2018-06-20T22:54:51+00:00</t>
  </si>
  <si>
    <t>LUBBOCK</t>
  </si>
  <si>
    <t>79416-3822</t>
  </si>
  <si>
    <t>114-3959364-0469021</t>
  </si>
  <si>
    <t>2018-06-19T16:42:24+00:00</t>
  </si>
  <si>
    <t>2018-06-20T03:08:18+00:00</t>
  </si>
  <si>
    <t>Chapel Hill</t>
  </si>
  <si>
    <t>111-9192841-6972249</t>
  </si>
  <si>
    <t>2018-06-19T15:46:33+00:00</t>
  </si>
  <si>
    <t>2018-06-20T02:44:43+00:00</t>
  </si>
  <si>
    <t>60611-5606</t>
  </si>
  <si>
    <t>112-8189619-1044216</t>
  </si>
  <si>
    <t>2018-06-19T15:45:45+00:00</t>
  </si>
  <si>
    <t>2018-06-20T04:26:40+00:00</t>
  </si>
  <si>
    <t>HALLANDALE BEACH</t>
  </si>
  <si>
    <t>33009-4124</t>
  </si>
  <si>
    <t>113-8315676-2597830</t>
  </si>
  <si>
    <t>2018-06-19T15:05:52+00:00</t>
  </si>
  <si>
    <t>2018-06-21T04:47:28+00:00</t>
  </si>
  <si>
    <t>77095-5313</t>
  </si>
  <si>
    <t>112-6383093-0600240</t>
  </si>
  <si>
    <t>2018-06-19T14:50:27+00:00</t>
  </si>
  <si>
    <t>2018-06-20T14:25:45+00:00</t>
  </si>
  <si>
    <t>Upper Marlboro</t>
  </si>
  <si>
    <t>113-2403784-7041866</t>
  </si>
  <si>
    <t>2018-06-19T13:36:44+00:00</t>
  </si>
  <si>
    <t>2018-06-20T22:31:57+00:00</t>
  </si>
  <si>
    <t>10001-3507</t>
  </si>
  <si>
    <t>113-3827785-4569814</t>
  </si>
  <si>
    <t>2018-06-19T13:18:06+00:00</t>
  </si>
  <si>
    <t>2018-06-21T22:27:44+00:00</t>
  </si>
  <si>
    <t>MELROSE</t>
  </si>
  <si>
    <t>02176-2116</t>
  </si>
  <si>
    <t>113-4430906-9777869</t>
  </si>
  <si>
    <t>2018-06-19T11:39:04+00:00</t>
  </si>
  <si>
    <t>2018-06-20T16:06:01+00:00</t>
  </si>
  <si>
    <t>Lastia Summer Light Weight Water Gun Pool Beach Swimming Water Soaker for Kids and Adults 4 PCS (25.6In)</t>
  </si>
  <si>
    <t>SQ-LUHM90A</t>
  </si>
  <si>
    <t>B07DKXGT8H</t>
  </si>
  <si>
    <t>Asheville</t>
  </si>
  <si>
    <t>112-7625880-0422629</t>
  </si>
  <si>
    <t>2018-06-19T06:44:42+00:00</t>
  </si>
  <si>
    <t>2018-06-20T21:43:07+00:00</t>
  </si>
  <si>
    <t>HONOLULU</t>
  </si>
  <si>
    <t>HI</t>
  </si>
  <si>
    <t>96818-5921</t>
  </si>
  <si>
    <t>111-7179141-3523461</t>
  </si>
  <si>
    <t>2018-06-19T03:37:48+00:00</t>
  </si>
  <si>
    <t>2018-06-20T05:17:50+00:00</t>
  </si>
  <si>
    <t>LEBANON</t>
  </si>
  <si>
    <t>TENNESSEE</t>
  </si>
  <si>
    <t>37087-2221</t>
  </si>
  <si>
    <t>114-8024249-4113853</t>
  </si>
  <si>
    <t>2018-06-19T03:23:21+00:00</t>
  </si>
  <si>
    <t>2018-06-20T21:41:54+00:00</t>
  </si>
  <si>
    <t>woodbury</t>
  </si>
  <si>
    <t>mn</t>
  </si>
  <si>
    <t>111-0395871-0557838</t>
  </si>
  <si>
    <t>2018-06-19T02:13:34+00:00</t>
  </si>
  <si>
    <t>2018-06-19T16:38:11+00:00</t>
  </si>
  <si>
    <t>AUSTIN</t>
  </si>
  <si>
    <t>78731-6154</t>
  </si>
  <si>
    <t>113-0223135-8221808</t>
  </si>
  <si>
    <t>2018-06-19T02:02:16+00:00</t>
  </si>
  <si>
    <t>2018-06-20T21:26:18+00:00</t>
  </si>
  <si>
    <t>Printing Lunch Bags Oxford Cloth Aluminum Foil Insulated Zip Cooler Bag Portable Takeaway Film Pack Lunch Box Package Whale Pattern</t>
  </si>
  <si>
    <t>BDB-WF212-JY-M</t>
  </si>
  <si>
    <t>B0772QKV4C</t>
  </si>
  <si>
    <t>REXBURG</t>
  </si>
  <si>
    <t>ID</t>
  </si>
  <si>
    <t>83440-3129</t>
  </si>
  <si>
    <t>111-7537549-4069854</t>
  </si>
  <si>
    <t>2018-06-19T01:24:21+00:00</t>
  </si>
  <si>
    <t>2018-06-19T20:46:33+00:00</t>
  </si>
  <si>
    <t>WOODSTOCK</t>
  </si>
  <si>
    <t>ILLINOIS</t>
  </si>
  <si>
    <t>60098-2436</t>
  </si>
  <si>
    <t>112-9296129-2633055</t>
  </si>
  <si>
    <t>2018-06-19T00:55:20+00:00</t>
  </si>
  <si>
    <t>2018-06-19T23:41:16+00:00</t>
  </si>
  <si>
    <t>BETHESDA</t>
  </si>
  <si>
    <t>20816-2453</t>
  </si>
  <si>
    <t>111-6316110-9506647</t>
  </si>
  <si>
    <t>2018-06-19T00:49:05+00:00</t>
  </si>
  <si>
    <t>2018-06-20T08:09:34+00:00</t>
  </si>
  <si>
    <t>Renton</t>
  </si>
  <si>
    <t>WA</t>
  </si>
  <si>
    <t>114-7123152-4548203</t>
  </si>
  <si>
    <t>2018-06-20T23:53:22+00:00</t>
  </si>
  <si>
    <t>2018-06-21T09:13:37+00:00</t>
  </si>
  <si>
    <t>DUBUQUE</t>
  </si>
  <si>
    <t>52001-8883</t>
  </si>
  <si>
    <t>113-7022312-7411413</t>
  </si>
  <si>
    <t>2018-06-20T23:46:12+00:00</t>
  </si>
  <si>
    <t>2018-06-22T00:47:31+00:00</t>
  </si>
  <si>
    <t>SOUTH PORTLAND</t>
  </si>
  <si>
    <t>ME</t>
  </si>
  <si>
    <t>113-5511548-4249865</t>
  </si>
  <si>
    <t>2018-06-20T21:09:46+00:00</t>
  </si>
  <si>
    <t>2018-06-22T08:07:51+00:00</t>
  </si>
  <si>
    <t>90019-5124</t>
  </si>
  <si>
    <t>114-4815660-9509024</t>
  </si>
  <si>
    <t>2018-06-20T20:21:20+00:00</t>
  </si>
  <si>
    <t>2018-06-21T20:29:21+00:00</t>
  </si>
  <si>
    <t>KANSAS CITY</t>
  </si>
  <si>
    <t>64117-2310</t>
  </si>
  <si>
    <t>114-9737044-8717853</t>
  </si>
  <si>
    <t>2018-06-20T20:01:52+00:00</t>
  </si>
  <si>
    <t>2018-06-21T06:54:53+00:00</t>
  </si>
  <si>
    <t>ROANOKE</t>
  </si>
  <si>
    <t>24018-9042</t>
  </si>
  <si>
    <t>112-9482744-1153814</t>
  </si>
  <si>
    <t>2018-06-20T18:33:25+00:00</t>
  </si>
  <si>
    <t>2018-06-21T10:37:15+00:00</t>
  </si>
  <si>
    <t>VICTORVILLE</t>
  </si>
  <si>
    <t>92395-8205</t>
  </si>
  <si>
    <t>112-9187955-6491460</t>
  </si>
  <si>
    <t>2018-06-20T17:57:11+00:00</t>
  </si>
  <si>
    <t>2018-06-20T21:45:24+00:00</t>
  </si>
  <si>
    <t>HAYWARD</t>
  </si>
  <si>
    <t>94544-8169</t>
  </si>
  <si>
    <t>112-4877777-5629802</t>
  </si>
  <si>
    <t>2018-06-20T16:31:57+00:00</t>
  </si>
  <si>
    <t>2018-06-21T04:09:48+00:00</t>
  </si>
  <si>
    <t>Placemats Woven Vinyl Heat-resistant Non Skid Washable PVC Waterproof Rectangle Table Mats Set of 4 Khaki</t>
  </si>
  <si>
    <t>CD-WF-KK</t>
  </si>
  <si>
    <t>B076J6VD3L</t>
  </si>
  <si>
    <t>GALVESTON</t>
  </si>
  <si>
    <t>77550-5772</t>
  </si>
  <si>
    <t>113-3398198-5102626</t>
  </si>
  <si>
    <t>2018-06-20T15:56:46+00:00</t>
  </si>
  <si>
    <t>2018-06-21T17:41:52+00:00</t>
  </si>
  <si>
    <t>BEEVILLE</t>
  </si>
  <si>
    <t>78102-8166</t>
  </si>
  <si>
    <t>113-2328705-5621047</t>
  </si>
  <si>
    <t>2018-06-20T14:40:55+00:00</t>
  </si>
  <si>
    <t>2018-06-21T14:01:12+00:00</t>
  </si>
  <si>
    <t>Collapsible Laundry Storage Basket for Bedroom Bathroom Kids Cotton Linen White and Semicircle 12.5"x12.5"x12.5"</t>
  </si>
  <si>
    <t>ZYL-FLQ59-BY-32</t>
  </si>
  <si>
    <t>B078JNY8M1</t>
  </si>
  <si>
    <t>30303-3751</t>
  </si>
  <si>
    <t>114-7271137-8773820</t>
  </si>
  <si>
    <t>2018-06-20T14:25:10+00:00</t>
  </si>
  <si>
    <t>2018-06-20T23:26:27+00:00</t>
  </si>
  <si>
    <t>95834-9655</t>
  </si>
  <si>
    <t>114-6071965-8297863</t>
  </si>
  <si>
    <t>2018-06-20T13:13:14+00:00</t>
  </si>
  <si>
    <t>2018-06-22T03:08:09+00:00</t>
  </si>
  <si>
    <t>Oakland</t>
  </si>
  <si>
    <t>114-0862435-5309800</t>
  </si>
  <si>
    <t>2018-06-20T12:52:35+00:00</t>
  </si>
  <si>
    <t>2018-06-21T02:54:04+00:00</t>
  </si>
  <si>
    <t>Lastia Waist Trimmer Belt Body Shaper Belly Wrap Weight Loss Workout Fitness for Women Men</t>
  </si>
  <si>
    <t>HYD-WF7995-BO-XL</t>
  </si>
  <si>
    <t>B077STZV9Y</t>
  </si>
  <si>
    <t>PEMBROKE PINES</t>
  </si>
  <si>
    <t>33028-1903</t>
  </si>
  <si>
    <t>111-3700298-9184223</t>
  </si>
  <si>
    <t>2018-06-20T04:35:33+00:00</t>
  </si>
  <si>
    <t>2018-06-21T02:06:08+00:00</t>
  </si>
  <si>
    <t>CLEVELAND</t>
  </si>
  <si>
    <t>44120-1553</t>
  </si>
  <si>
    <t>114-6061835-1177044</t>
  </si>
  <si>
    <t>2018-06-20T03:41:32+00:00</t>
  </si>
  <si>
    <t>2018-06-22T03:44:42+00:00</t>
  </si>
  <si>
    <t>CD-WF001-GR-1</t>
  </si>
  <si>
    <t>B077TGMRGP</t>
  </si>
  <si>
    <t>10019-1130</t>
  </si>
  <si>
    <t>111-3114242-6005018</t>
  </si>
  <si>
    <t>2018-06-20T01:18:05+00:00</t>
  </si>
  <si>
    <t>2018-06-20T19:29:52+00:00</t>
  </si>
  <si>
    <t>PUEBLO</t>
  </si>
  <si>
    <t>81005-3329</t>
  </si>
  <si>
    <t>113-2818179-5777866</t>
  </si>
  <si>
    <t>2018-06-20T01:01:06+00:00</t>
  </si>
  <si>
    <t>2018-06-20T09:17:52+00:00</t>
  </si>
  <si>
    <t>NEWINGTON</t>
  </si>
  <si>
    <t>CONNECTICUT</t>
  </si>
  <si>
    <t>06111-5153</t>
  </si>
  <si>
    <t>112-2101305-8438601</t>
  </si>
  <si>
    <t>2018-06-20T00:27:52+00:00</t>
  </si>
  <si>
    <t>2018-06-22T02:33:57+00:00</t>
  </si>
  <si>
    <t>60030-1103</t>
  </si>
  <si>
    <t>112-8188203-9597067</t>
  </si>
  <si>
    <t>2018-06-21T22:56:30+00:00</t>
  </si>
  <si>
    <t>2018-07-02T15:40:35+00:00</t>
  </si>
  <si>
    <t>YQ-LUHM-F114</t>
  </si>
  <si>
    <t>B07DLTWN39</t>
  </si>
  <si>
    <t>FRIDAY HARBOR</t>
  </si>
  <si>
    <t>98250-2522</t>
  </si>
  <si>
    <t>112-8834751-2755434</t>
  </si>
  <si>
    <t>2018-06-21T18:53:26+00:00</t>
  </si>
  <si>
    <t>2018-06-23T02:46:29+00:00</t>
  </si>
  <si>
    <t>FRANKLIN PARK</t>
  </si>
  <si>
    <t>08823-1537</t>
  </si>
  <si>
    <t>114-1308134-7590650</t>
  </si>
  <si>
    <t>2018-06-21T18:28:55+00:00</t>
  </si>
  <si>
    <t>2018-06-22T03:39:09+00:00</t>
  </si>
  <si>
    <t>WESTFIELD</t>
  </si>
  <si>
    <t>46074-9254</t>
  </si>
  <si>
    <t>111-5834639-6808257</t>
  </si>
  <si>
    <t>2018-06-21T18:21:51+00:00</t>
  </si>
  <si>
    <t>2018-06-22T19:29:37+00:00</t>
  </si>
  <si>
    <t>Lastia Set of 4 Natural Jute Browm Round Placemat Hand Woven Dining Table Place Mat - Thanksgiving Dinner Table Decor - Black Friday Deals</t>
  </si>
  <si>
    <t>CD-WF117-WM-1</t>
  </si>
  <si>
    <t>B077QD1DQN</t>
  </si>
  <si>
    <t>SUMMERVILLE</t>
  </si>
  <si>
    <t>29485-8631</t>
  </si>
  <si>
    <t>113-7928333-7881835</t>
  </si>
  <si>
    <t>2018-06-21T18:00:05+00:00</t>
  </si>
  <si>
    <t>2018-06-22T07:18:42+00:00</t>
  </si>
  <si>
    <t>Lastia 24 pcs Shatterproof Decorative Balls Ornaments for Holiday Party Home Silver 2.36"</t>
  </si>
  <si>
    <t>Philadelphia</t>
  </si>
  <si>
    <t>111-1234758-7329805</t>
  </si>
  <si>
    <t>2018-06-21T18:00:04+00:00</t>
  </si>
  <si>
    <t>2018-06-22T09:52:41+00:00</t>
  </si>
  <si>
    <t>60634-4817</t>
  </si>
  <si>
    <t>111-1349051-1378618</t>
  </si>
  <si>
    <t>2018-06-21T17:50:11+00:00</t>
  </si>
  <si>
    <t>2018-06-22T10:36:23+00:00</t>
  </si>
  <si>
    <t>Gray</t>
  </si>
  <si>
    <t>113-9105905-4105033</t>
  </si>
  <si>
    <t>2018-06-21T16:58:03+00:00</t>
  </si>
  <si>
    <t>2018-06-22T07:39:28+00:00</t>
  </si>
  <si>
    <t>QUINCY</t>
  </si>
  <si>
    <t>02169-1822</t>
  </si>
  <si>
    <t>113-2977603-3118667</t>
  </si>
  <si>
    <t>2018-06-21T16:54:23+00:00</t>
  </si>
  <si>
    <t>2018-06-22T20:53:04+00:00</t>
  </si>
  <si>
    <t>BENTON CITY</t>
  </si>
  <si>
    <t>99320-5719</t>
  </si>
  <si>
    <t>111-1689154-8001861</t>
  </si>
  <si>
    <t>2018-06-21T16:05:46+00:00</t>
  </si>
  <si>
    <t>2018-06-21T22:23:42+00:00</t>
  </si>
  <si>
    <t>WEYMOUTH</t>
  </si>
  <si>
    <t>02189-1815</t>
  </si>
  <si>
    <t>114-4579734-8930635</t>
  </si>
  <si>
    <t>2018-06-21T15:38:55+00:00</t>
  </si>
  <si>
    <t>2018-06-22T07:05:04+00:00</t>
  </si>
  <si>
    <t>Parkville</t>
  </si>
  <si>
    <t>MARYLAND</t>
  </si>
  <si>
    <t>111-1752552-9934655</t>
  </si>
  <si>
    <t>2018-06-21T15:12:25+00:00</t>
  </si>
  <si>
    <t>2018-06-22T17:21:40+00:00</t>
  </si>
  <si>
    <t>OAKWOOD HILLS</t>
  </si>
  <si>
    <t>60013-1134</t>
  </si>
  <si>
    <t>114-7091700-0883409</t>
  </si>
  <si>
    <t>2018-06-21T12:42:10+00:00</t>
  </si>
  <si>
    <t>2018-06-24T22:26:51+00:00</t>
  </si>
  <si>
    <t>SAYREVILLE</t>
  </si>
  <si>
    <t>08872-1154</t>
  </si>
  <si>
    <t>113-8077756-3631449</t>
  </si>
  <si>
    <t>2018-06-21T06:44:19+00:00</t>
  </si>
  <si>
    <t>2018-06-22T06:23:43+00:00</t>
  </si>
  <si>
    <t>SAN FRANCISCO</t>
  </si>
  <si>
    <t>94105-6653</t>
  </si>
  <si>
    <t>111-2619654-2177803</t>
  </si>
  <si>
    <t>2018-06-21T00:23:09+00:00</t>
  </si>
  <si>
    <t>2018-06-21T22:28:50+00:00</t>
  </si>
  <si>
    <t>HURST</t>
  </si>
  <si>
    <t>76053-4804</t>
  </si>
  <si>
    <t>113-9210297-2689840</t>
  </si>
  <si>
    <t>2018-06-22T20:40:04+00:00</t>
  </si>
  <si>
    <t>2018-06-23T09:51:31+00:00</t>
  </si>
  <si>
    <t>Annandale</t>
  </si>
  <si>
    <t>113-0673054-5443461</t>
  </si>
  <si>
    <t>2018-06-22T20:25:40+00:00</t>
  </si>
  <si>
    <t>2018-06-24T14:42:37+00:00</t>
  </si>
  <si>
    <t>Laundry Storage Basket Bin for Bedroom Bathroom Kids Linen Cotton White and Plaid 15.7"x15.7"x19.7"</t>
  </si>
  <si>
    <t>FOUNTAIN</t>
  </si>
  <si>
    <t>80817-4524</t>
  </si>
  <si>
    <t>111-7620635-5701868</t>
  </si>
  <si>
    <t>2018-06-22T19:50:17+00:00</t>
  </si>
  <si>
    <t>2018-06-23T06:01:17+00:00</t>
  </si>
  <si>
    <t>CLAYTON</t>
  </si>
  <si>
    <t>94517-1947</t>
  </si>
  <si>
    <t>112-8927678-6764259</t>
  </si>
  <si>
    <t>2018-06-22T17:49:39+00:00</t>
  </si>
  <si>
    <t>2018-06-23T06:23:50+00:00</t>
  </si>
  <si>
    <t>WAKE FOREST</t>
  </si>
  <si>
    <t>27587-6093</t>
  </si>
  <si>
    <t>112-3236576-9270653</t>
  </si>
  <si>
    <t>2018-06-22T16:42:37+00:00</t>
  </si>
  <si>
    <t>2018-06-25T19:28:56+00:00</t>
  </si>
  <si>
    <t>Folding Camping Stool for Camp Fishing Hiking Outdoor Four Legs Blue 11"x11"x13.7"</t>
  </si>
  <si>
    <t>ZDD-FLQ08-BO-28</t>
  </si>
  <si>
    <t>B075QFP51N</t>
  </si>
  <si>
    <t>Oak Creek</t>
  </si>
  <si>
    <t>53154-1079</t>
  </si>
  <si>
    <t>114-3011692-9956218</t>
  </si>
  <si>
    <t>2018-06-22T15:16:05+00:00</t>
  </si>
  <si>
    <t>2018-06-23T10:35:15+00:00</t>
  </si>
  <si>
    <t>GEORGETOWN</t>
  </si>
  <si>
    <t>78626-2419</t>
  </si>
  <si>
    <t>112-6317548-7132232</t>
  </si>
  <si>
    <t>2018-06-22T13:34:52+00:00</t>
  </si>
  <si>
    <t>2018-06-23T04:47:14+00:00</t>
  </si>
  <si>
    <t>NORTON</t>
  </si>
  <si>
    <t>02766-1722</t>
  </si>
  <si>
    <t>112-2760880-2110639</t>
  </si>
  <si>
    <t>2018-06-22T07:15:02+00:00</t>
  </si>
  <si>
    <t>2018-06-23T03:07:36+00:00</t>
  </si>
  <si>
    <t>06111-2908</t>
  </si>
  <si>
    <t>111-3864477-4928227</t>
  </si>
  <si>
    <t>2018-06-22T06:37:09+00:00</t>
  </si>
  <si>
    <t>2018-06-23T11:39:21+00:00</t>
  </si>
  <si>
    <t>EAU CLAIRE</t>
  </si>
  <si>
    <t>54703-5108</t>
  </si>
  <si>
    <t>112-6136542-3517855</t>
  </si>
  <si>
    <t>2018-06-22T06:20:44+00:00</t>
  </si>
  <si>
    <t>2018-06-22T19:08:31+00:00</t>
  </si>
  <si>
    <t>HILLSBORO</t>
  </si>
  <si>
    <t>97124-4104</t>
  </si>
  <si>
    <t>113-5422840-3378664</t>
  </si>
  <si>
    <t>2018-06-22T04:23:17+00:00</t>
  </si>
  <si>
    <t>2018-06-25T22:48:30+00:00</t>
  </si>
  <si>
    <t>GOLDEN VALLEY</t>
  </si>
  <si>
    <t>ND</t>
  </si>
  <si>
    <t>58541-9625</t>
  </si>
  <si>
    <t>114-1991765-3673852</t>
  </si>
  <si>
    <t>2018-06-22T04:00:26+00:00</t>
  </si>
  <si>
    <t>2018-06-22T18:48:29+00:00</t>
  </si>
  <si>
    <t>Lastia 24 pcs Shatterproof Decorative Balls Ornaments for Holiday Party Home Silver 1.57"</t>
  </si>
  <si>
    <t>BA-FLQ02-SI-4</t>
  </si>
  <si>
    <t>B075N4YGPD</t>
  </si>
  <si>
    <t>SWEET HOME</t>
  </si>
  <si>
    <t>OREGON</t>
  </si>
  <si>
    <t>97386-9665</t>
  </si>
  <si>
    <t>112-1395409-7091409</t>
  </si>
  <si>
    <t>2018-06-22T03:15:13+00:00</t>
  </si>
  <si>
    <t>2018-06-22T15:41:06+00:00</t>
  </si>
  <si>
    <t>SAN ANTONIO</t>
  </si>
  <si>
    <t>78247-4294</t>
  </si>
  <si>
    <t>112-4663297-3974612</t>
  </si>
  <si>
    <t>2018-06-22T02:17:35+00:00</t>
  </si>
  <si>
    <t>2018-06-25T21:45:12+00:00</t>
  </si>
  <si>
    <t>XK-YIWUJS2-Y0-6IN</t>
  </si>
  <si>
    <t>B07D4GSD2Q</t>
  </si>
  <si>
    <t>ALBUQUERQUE</t>
  </si>
  <si>
    <t>NM</t>
  </si>
  <si>
    <t>87121-5208</t>
  </si>
  <si>
    <t>112-5017751-1291468</t>
  </si>
  <si>
    <t>2018-06-22T01:54:21+00:00</t>
  </si>
  <si>
    <t>2018-06-22T16:26:13+00:00</t>
  </si>
  <si>
    <t>FARGO</t>
  </si>
  <si>
    <t>58103-8817</t>
  </si>
  <si>
    <t>111-6460283-3994641</t>
  </si>
  <si>
    <t>2018-06-22T01:36:48+00:00</t>
  </si>
  <si>
    <t>2018-06-22T20:20:02+00:00</t>
  </si>
  <si>
    <t>EVERETT</t>
  </si>
  <si>
    <t>02149-2041</t>
  </si>
  <si>
    <t>113-9466396-4604241</t>
  </si>
  <si>
    <t>2018-06-23T23:36:52+00:00</t>
  </si>
  <si>
    <t>2018-06-25T22:22:26+00:00</t>
  </si>
  <si>
    <t>Colorado Springs</t>
  </si>
  <si>
    <t>80907-6468</t>
  </si>
  <si>
    <t>114-7232646-6152254</t>
  </si>
  <si>
    <t>2018-06-23T23:28:52+00:00</t>
  </si>
  <si>
    <t>2018-06-24T19:27:00+00:00</t>
  </si>
  <si>
    <t>Lastia Drain Snake Hair Drain Clog Remover Retractable Cleaning Tool 3 Pack, with Creative Retractable Design for Easy Home Storage Blue</t>
  </si>
  <si>
    <t>QQ-LUHM-801-B0</t>
  </si>
  <si>
    <t>B07CPW1TRS</t>
  </si>
  <si>
    <t>11230-1536</t>
  </si>
  <si>
    <t>111-5054347-7524219</t>
  </si>
  <si>
    <t>2018-06-23T23:17:08+00:00</t>
  </si>
  <si>
    <t>2018-06-24T07:24:48+00:00</t>
  </si>
  <si>
    <t>HUNTSVILLE</t>
  </si>
  <si>
    <t>77320-0423</t>
  </si>
  <si>
    <t>114-4569375-6921052</t>
  </si>
  <si>
    <t>2018-06-23T23:06:34+00:00</t>
  </si>
  <si>
    <t>2018-06-24T20:04:45+00:00</t>
  </si>
  <si>
    <t>PLEASANTON</t>
  </si>
  <si>
    <t>94566-3184</t>
  </si>
  <si>
    <t>114-0819283-8319407</t>
  </si>
  <si>
    <t>2018-06-23T22:31:53+00:00</t>
  </si>
  <si>
    <t>2018-06-24T18:46:52+00:00</t>
  </si>
  <si>
    <t>CLEARWATER</t>
  </si>
  <si>
    <t>33763-2312</t>
  </si>
  <si>
    <t>112-9572472-4031414</t>
  </si>
  <si>
    <t>2018-06-23T21:23:53+00:00</t>
  </si>
  <si>
    <t>2018-06-24T03:08:24+00:00</t>
  </si>
  <si>
    <t>60030-1338</t>
  </si>
  <si>
    <t>113-4540418-5109802</t>
  </si>
  <si>
    <t>2018-06-23T21:13:45+00:00</t>
  </si>
  <si>
    <t>2018-06-25T00:38:21+00:00</t>
  </si>
  <si>
    <t>CARROLLTON</t>
  </si>
  <si>
    <t>Folding Laundry Basket Hamper for Bedroom Bathroom Kids Linen Cotton Black and Plaid 15.7"x15.7"x19.7"</t>
  </si>
  <si>
    <t>113-7118925-8100242</t>
  </si>
  <si>
    <t>2018-06-23T18:54:57+00:00</t>
  </si>
  <si>
    <t>2018-06-28T04:05:34+00:00</t>
  </si>
  <si>
    <t>BELLINGHAM</t>
  </si>
  <si>
    <t>98225-2114</t>
  </si>
  <si>
    <t>112-1091984-5436204</t>
  </si>
  <si>
    <t>2018-06-23T18:34:51+00:00</t>
  </si>
  <si>
    <t>2018-06-25T01:16:24+00:00</t>
  </si>
  <si>
    <t>LYNBROOK</t>
  </si>
  <si>
    <t>11563-1745</t>
  </si>
  <si>
    <t>111-5984526-8813026</t>
  </si>
  <si>
    <t>2018-06-23T18:26:57+00:00</t>
  </si>
  <si>
    <t>2018-06-24T11:29:00+00:00</t>
  </si>
  <si>
    <t>San Diego</t>
  </si>
  <si>
    <t>114-2964648-6021815</t>
  </si>
  <si>
    <t>2018-06-23T17:57:36+00:00</t>
  </si>
  <si>
    <t>2018-06-25T06:31:35+00:00</t>
  </si>
  <si>
    <t>OLNEY</t>
  </si>
  <si>
    <t>20832-2906</t>
  </si>
  <si>
    <t>113-2433975-7992243</t>
  </si>
  <si>
    <t>2018-06-23T17:51:29+00:00</t>
  </si>
  <si>
    <t>2018-06-25T07:27:58+00:00</t>
  </si>
  <si>
    <t>77004-3178</t>
  </si>
  <si>
    <t>113-9617659-5709023</t>
  </si>
  <si>
    <t>2018-06-23T14:46:02+00:00</t>
  </si>
  <si>
    <t>2018-06-24T23:52:34+00:00</t>
  </si>
  <si>
    <t>HOMEWORTH</t>
  </si>
  <si>
    <t>44634-9750</t>
  </si>
  <si>
    <t>112-2496669-0729023</t>
  </si>
  <si>
    <t>2018-06-23T14:30:33+00:00</t>
  </si>
  <si>
    <t>2018-06-25T04:41:14+00:00</t>
  </si>
  <si>
    <t>Maplewood</t>
  </si>
  <si>
    <t>07040-1035</t>
  </si>
  <si>
    <t>111-8996458-0344259</t>
  </si>
  <si>
    <t>2018-06-23T13:50:49+00:00</t>
  </si>
  <si>
    <t>2018-06-24T08:48:38+00:00</t>
  </si>
  <si>
    <t>WEBB CITY</t>
  </si>
  <si>
    <t>64870-2003</t>
  </si>
  <si>
    <t>113-8729200-4266611</t>
  </si>
  <si>
    <t>2018-06-23T11:40:26+00:00</t>
  </si>
  <si>
    <t>2018-06-25T01:57:21+00:00</t>
  </si>
  <si>
    <t>hinesburg</t>
  </si>
  <si>
    <t>vt</t>
  </si>
  <si>
    <t>111-9458826-4162629</t>
  </si>
  <si>
    <t>2018-06-23T05:32:26+00:00</t>
  </si>
  <si>
    <t>2018-06-26T12:01:22+00:00</t>
  </si>
  <si>
    <t>Lastia 24 pcs Shatterproof Decorative Balls Ornaments for Holiday Party Home Blue 2.36"</t>
  </si>
  <si>
    <t>BA-FLQ02-BO-6</t>
  </si>
  <si>
    <t>B075N3N55V</t>
  </si>
  <si>
    <t>Fukuoka</t>
  </si>
  <si>
    <t>810-0062</t>
  </si>
  <si>
    <t>JP</t>
  </si>
  <si>
    <t>114-9985070-7261029</t>
  </si>
  <si>
    <t>2018-06-23T03:30:33+00:00</t>
  </si>
  <si>
    <t>2018-06-23T06:28:43+00:00</t>
  </si>
  <si>
    <t>BRONX</t>
  </si>
  <si>
    <t>10463-3619</t>
  </si>
  <si>
    <t>111-4731837-5551465</t>
  </si>
  <si>
    <t>2018-06-23T03:03:21+00:00</t>
  </si>
  <si>
    <t>2018-06-24T12:24:47+00:00</t>
  </si>
  <si>
    <t>DINUBA</t>
  </si>
  <si>
    <t>93618-1725</t>
  </si>
  <si>
    <t>114-4599996-7355423</t>
  </si>
  <si>
    <t>2018-06-23T02:30:29+00:00</t>
  </si>
  <si>
    <t>2018-06-24T02:56:10+00:00</t>
  </si>
  <si>
    <t>WESTFORD</t>
  </si>
  <si>
    <t>01886-1054</t>
  </si>
  <si>
    <t>114-0184481-6073070</t>
  </si>
  <si>
    <t>2018-06-23T01:27:33+00:00</t>
  </si>
  <si>
    <t>2018-06-24T06:39:11+00:00</t>
  </si>
  <si>
    <t>37311-1422</t>
  </si>
  <si>
    <t>111-9991626-2688240</t>
  </si>
  <si>
    <t>2018-06-23T00:25:21+00:00</t>
  </si>
  <si>
    <t>2018-06-25T06:28:38+00:00</t>
  </si>
  <si>
    <t>Salisbury</t>
  </si>
  <si>
    <t>113-9032799-4903412</t>
  </si>
  <si>
    <t>2018-06-23T00:09:43+00:00</t>
  </si>
  <si>
    <t>2018-06-23T22:09:29+00:00</t>
  </si>
  <si>
    <t>SUNNYVALE</t>
  </si>
  <si>
    <t>94089-4619</t>
  </si>
  <si>
    <t>113-1633782-8980217</t>
  </si>
  <si>
    <t>2018-06-24T23:22:30+00:00</t>
  </si>
  <si>
    <t>2018-06-25T20:23:24+00:00</t>
  </si>
  <si>
    <t>FONDA</t>
  </si>
  <si>
    <t>12068-4807</t>
  </si>
  <si>
    <t>112-1065328-0521838</t>
  </si>
  <si>
    <t>2018-06-24T23:12:01+00:00</t>
  </si>
  <si>
    <t>2018-06-25T07:49:17+00:00</t>
  </si>
  <si>
    <t>BOERNE</t>
  </si>
  <si>
    <t>78015-4493</t>
  </si>
  <si>
    <t>113-6784945-5755406</t>
  </si>
  <si>
    <t>2018-06-24T21:48:51+00:00</t>
  </si>
  <si>
    <t>2018-06-26T19:47:15+00:00</t>
  </si>
  <si>
    <t>SOUTH JORDAN</t>
  </si>
  <si>
    <t>UT</t>
  </si>
  <si>
    <t>84095-1245</t>
  </si>
  <si>
    <t>113-3631127-7017854</t>
  </si>
  <si>
    <t>2018-06-24T20:28:50+00:00</t>
  </si>
  <si>
    <t>2018-06-25T08:27:33+00:00</t>
  </si>
  <si>
    <t>Palm Bay</t>
  </si>
  <si>
    <t>111-8360870-1377816</t>
  </si>
  <si>
    <t>2018-06-24T19:24:40+00:00</t>
  </si>
  <si>
    <t>2018-06-26T10:34:26+00:00</t>
  </si>
  <si>
    <t>BURBANK</t>
  </si>
  <si>
    <t>91504-2540</t>
  </si>
  <si>
    <t>114-4654722-2114611</t>
  </si>
  <si>
    <t>2018-06-24T18:47:31+00:00</t>
  </si>
  <si>
    <t>2018-06-25T02:57:50+00:00</t>
  </si>
  <si>
    <t>Pet Carrier Backpack Adjustable Legs Out Front Carrier Bag for Samll Medium Large Dogs Cats Rainbow L</t>
  </si>
  <si>
    <t>CWB-WF021-RB-L</t>
  </si>
  <si>
    <t>B077B51CYY</t>
  </si>
  <si>
    <t>Buffalo</t>
  </si>
  <si>
    <t>112-3448154-6938622</t>
  </si>
  <si>
    <t>2018-06-24T17:39:09+00:00</t>
  </si>
  <si>
    <t>2018-06-25T16:26:30+00:00</t>
  </si>
  <si>
    <t>OFALLON</t>
  </si>
  <si>
    <t>114-5830737-3965805</t>
  </si>
  <si>
    <t>2018-06-24T16:08:27+00:00</t>
  </si>
  <si>
    <t>2018-06-25T14:12:09+00:00</t>
  </si>
  <si>
    <t>WESTBURY</t>
  </si>
  <si>
    <t>11590-5425</t>
  </si>
  <si>
    <t>114-2852231-0830657</t>
  </si>
  <si>
    <t>2018-06-24T15:18:18+00:00</t>
  </si>
  <si>
    <t>2018-06-25T15:38:46+00:00</t>
  </si>
  <si>
    <t>Wayne</t>
  </si>
  <si>
    <t>48184-0694</t>
  </si>
  <si>
    <t>111-8675258-1173060</t>
  </si>
  <si>
    <t>2018-06-24T14:43:53+00:00</t>
  </si>
  <si>
    <t>2018-06-25T09:34:01+00:00</t>
  </si>
  <si>
    <t>SCOTTSDALE</t>
  </si>
  <si>
    <t>AZ</t>
  </si>
  <si>
    <t>85257-2002</t>
  </si>
  <si>
    <t>114-3170817-0688262</t>
  </si>
  <si>
    <t>2018-06-24T13:54:11+00:00</t>
  </si>
  <si>
    <t>2018-06-25T00:48:09+00:00</t>
  </si>
  <si>
    <t>FALMOUTH</t>
  </si>
  <si>
    <t>41040-7866</t>
  </si>
  <si>
    <t>112-7478484-2020200</t>
  </si>
  <si>
    <t>2018-06-24T13:30:54+00:00</t>
  </si>
  <si>
    <t>2018-06-24T22:54:57+00:00</t>
  </si>
  <si>
    <t>LOUISVILLE</t>
  </si>
  <si>
    <t>40206-2301</t>
  </si>
  <si>
    <t>111-1957035-7137024</t>
  </si>
  <si>
    <t>2018-06-24T12:57:25+00:00</t>
  </si>
  <si>
    <t>2018-06-25T10:50:19+00:00</t>
  </si>
  <si>
    <t>LAFAYETTE</t>
  </si>
  <si>
    <t>70508-6773</t>
  </si>
  <si>
    <t>111-2404784-0250658</t>
  </si>
  <si>
    <t>2018-06-24T11:22:29+00:00</t>
  </si>
  <si>
    <t>2018-06-25T06:09:49+00:00</t>
  </si>
  <si>
    <t>Pet Carrier Backpack Adjustable Legs Out Front Carrier Bag for Samll Medium Large Dogs Cats Camouflage S</t>
  </si>
  <si>
    <t>CWB-WF021-CF-S</t>
  </si>
  <si>
    <t>B0779W68GS</t>
  </si>
  <si>
    <t>SODDY DAISY</t>
  </si>
  <si>
    <t>37379-2908</t>
  </si>
  <si>
    <t>114-6546736-5153030</t>
  </si>
  <si>
    <t>2018-06-24T09:21:04+00:00</t>
  </si>
  <si>
    <t>2018-06-26T06:36:07+00:00</t>
  </si>
  <si>
    <t>MESQUITE</t>
  </si>
  <si>
    <t>NV</t>
  </si>
  <si>
    <t>89027-5114</t>
  </si>
  <si>
    <t>111-8618335-6724229</t>
  </si>
  <si>
    <t>2018-06-24T04:46:49+00:00</t>
  </si>
  <si>
    <t>2018-06-24T19:36:37+00:00</t>
  </si>
  <si>
    <t>TEMPE</t>
  </si>
  <si>
    <t>85283-4157</t>
  </si>
  <si>
    <t>111-1623686-0426638</t>
  </si>
  <si>
    <t>2018-06-24T03:43:40+00:00</t>
  </si>
  <si>
    <t>2018-06-26T15:55:02+00:00</t>
  </si>
  <si>
    <t>30268-8543</t>
  </si>
  <si>
    <t>112-9604260-5060221</t>
  </si>
  <si>
    <t>2018-06-24T02:12:22+00:00</t>
  </si>
  <si>
    <t>2018-06-24T20:27:11+00:00</t>
  </si>
  <si>
    <t>HOPKINSVILLE</t>
  </si>
  <si>
    <t>42240-1278</t>
  </si>
  <si>
    <t>114-2431527-6083433</t>
  </si>
  <si>
    <t>2018-06-24T02:07:39+00:00</t>
  </si>
  <si>
    <t>2018-06-24T19:39:30+00:00</t>
  </si>
  <si>
    <t>ROCKVILLE CENTRE</t>
  </si>
  <si>
    <t>11570-5946</t>
  </si>
  <si>
    <t>112-9920630-9429054</t>
  </si>
  <si>
    <t>2018-06-24T01:47:00+00:00</t>
  </si>
  <si>
    <t>2018-06-26T17:52:14+00:00</t>
  </si>
  <si>
    <t>32224-2321</t>
  </si>
  <si>
    <t>114-8009139-1945042</t>
  </si>
  <si>
    <t>2018-06-24T01:20:42+00:00</t>
  </si>
  <si>
    <t>2018-06-24T14:10:54+00:00</t>
  </si>
  <si>
    <t>EUSTIS</t>
  </si>
  <si>
    <t>32726-2071</t>
  </si>
  <si>
    <t>113-3880856-3407455</t>
  </si>
  <si>
    <t>2018-06-24T00:52:48+00:00</t>
  </si>
  <si>
    <t>2018-06-25T03:52:38+00:00</t>
  </si>
  <si>
    <t>Lastia Creative Braided Edge Round Placemats Japanese-style Round Table Mats, Home PP Woven Mat and Anti-hot Insulation Pad 38CM(light purple)(Set of</t>
  </si>
  <si>
    <t>CD-WF001-CF-1</t>
  </si>
  <si>
    <t>B077TH83RP</t>
  </si>
  <si>
    <t>Richmond</t>
  </si>
  <si>
    <t>Va</t>
  </si>
  <si>
    <t>113-5848824-6429849</t>
  </si>
  <si>
    <t>2018-06-24T00:50:27+00:00</t>
  </si>
  <si>
    <t>2018-06-25T08:33:12+00:00</t>
  </si>
  <si>
    <t>GLENDALE</t>
  </si>
  <si>
    <t>85308-5079</t>
  </si>
  <si>
    <t>111-0549038-7601812</t>
  </si>
  <si>
    <t>2018-06-25T23:19:18+00:00</t>
  </si>
  <si>
    <t>2018-06-27T03:11:48+00:00</t>
  </si>
  <si>
    <t>Pet Carrier Backpack Adjustable Legs Out Front Carrier Bag for Samll Medium Large Dogs Cats Colorful Strip XL</t>
  </si>
  <si>
    <t>CWB-WF021-QB-XL</t>
  </si>
  <si>
    <t>B0779RQ56M</t>
  </si>
  <si>
    <t>96816-4739</t>
  </si>
  <si>
    <t>113-4400683-7639408</t>
  </si>
  <si>
    <t>2018-06-25T22:18:06+00:00</t>
  </si>
  <si>
    <t>2018-06-26T03:37:43+00:00</t>
  </si>
  <si>
    <t>MADISON</t>
  </si>
  <si>
    <t>53704-8490</t>
  </si>
  <si>
    <t>111-7284085-5281059</t>
  </si>
  <si>
    <t>2018-06-25T21:55:12+00:00</t>
  </si>
  <si>
    <t>2018-06-26T07:44:32+00:00</t>
  </si>
  <si>
    <t>WAYNESBORO</t>
  </si>
  <si>
    <t>17268-9271</t>
  </si>
  <si>
    <t>111-6662566-3103417</t>
  </si>
  <si>
    <t>2018-06-25T21:07:05+00:00</t>
  </si>
  <si>
    <t>2018-06-26T14:26:07+00:00</t>
  </si>
  <si>
    <t>VERGENNES</t>
  </si>
  <si>
    <t>VT</t>
  </si>
  <si>
    <t>111-7789358-2610609</t>
  </si>
  <si>
    <t>2018-06-25T18:42:40+00:00</t>
  </si>
  <si>
    <t>2018-06-26T09:46:16+00:00</t>
  </si>
  <si>
    <t>OMAHA</t>
  </si>
  <si>
    <t>NE</t>
  </si>
  <si>
    <t>68137-2338</t>
  </si>
  <si>
    <t>113-6812293-8213836</t>
  </si>
  <si>
    <t>2018-06-25T17:57:19+00:00</t>
  </si>
  <si>
    <t>2018-06-26T02:03:42+00:00</t>
  </si>
  <si>
    <t>Elephant Tapestry Wall Hanging Large Wall Decor Mandala for Bedroom White Black (200150cm/7959inches)</t>
  </si>
  <si>
    <t>GT-WFY1-E2</t>
  </si>
  <si>
    <t>B07842F5P9</t>
  </si>
  <si>
    <t>BENSON</t>
  </si>
  <si>
    <t>85602-7833</t>
  </si>
  <si>
    <t>114-9570437-6378638</t>
  </si>
  <si>
    <t>2018-06-25T17:04:56+00:00</t>
  </si>
  <si>
    <t>2018-06-26T00:45:05+00:00</t>
  </si>
  <si>
    <t>94124-1726</t>
  </si>
  <si>
    <t>111-6263411-2863432</t>
  </si>
  <si>
    <t>2018-06-25T16:21:27+00:00</t>
  </si>
  <si>
    <t>2018-06-26T17:16:05+00:00</t>
  </si>
  <si>
    <t>10033-5339</t>
  </si>
  <si>
    <t>111-0282552-6970649</t>
  </si>
  <si>
    <t>2018-06-25T15:46:47+00:00</t>
  </si>
  <si>
    <t>2018-06-25T21:38:09+00:00</t>
  </si>
  <si>
    <t>Scottsdale</t>
  </si>
  <si>
    <t>111-9445690-6948223</t>
  </si>
  <si>
    <t>2018-06-25T15:38:30+00:00</t>
  </si>
  <si>
    <t>2018-06-26T21:25:21+00:00</t>
  </si>
  <si>
    <t>BRIGHTON</t>
  </si>
  <si>
    <t>48116-7717</t>
  </si>
  <si>
    <t>112-6966600-7815434</t>
  </si>
  <si>
    <t>2018-06-25T15:03:20+00:00</t>
  </si>
  <si>
    <t>2018-06-26T00:46:06+00:00</t>
  </si>
  <si>
    <t>BURLINGAME</t>
  </si>
  <si>
    <t>94010-3948</t>
  </si>
  <si>
    <t>113-2842851-8588235</t>
  </si>
  <si>
    <t>2018-06-25T14:57:18+00:00</t>
  </si>
  <si>
    <t>2018-06-26T14:25:38+00:00</t>
  </si>
  <si>
    <t>35757-7447</t>
  </si>
  <si>
    <t>113-6436624-5726642</t>
  </si>
  <si>
    <t>2018-06-25T13:57:45+00:00</t>
  </si>
  <si>
    <t>2018-06-26T19:33:55+00:00</t>
  </si>
  <si>
    <t>HOMER GLEN</t>
  </si>
  <si>
    <t>60491-6793</t>
  </si>
  <si>
    <t>111-3819156-1791405</t>
  </si>
  <si>
    <t>2018-06-25T12:34:58+00:00</t>
  </si>
  <si>
    <t>2018-06-25T12:43:33+00:00</t>
  </si>
  <si>
    <t>CHARLOTTE</t>
  </si>
  <si>
    <t>NORTH CAROLINA</t>
  </si>
  <si>
    <t>28209-2709</t>
  </si>
  <si>
    <t>111-0873982-3457037</t>
  </si>
  <si>
    <t>2018-06-25T09:41:21+00:00</t>
  </si>
  <si>
    <t>2018-06-27T04:08:06+00:00</t>
  </si>
  <si>
    <t>SPRING CITY</t>
  </si>
  <si>
    <t>19475-9638</t>
  </si>
  <si>
    <t>112-9538424-8941840</t>
  </si>
  <si>
    <t>2018-06-25T09:12:05+00:00</t>
  </si>
  <si>
    <t>2018-06-26T19:32:56+00:00</t>
  </si>
  <si>
    <t>Carrollton</t>
  </si>
  <si>
    <t>111-0105066-9391432</t>
  </si>
  <si>
    <t>2018-06-25T04:11:02+00:00</t>
  </si>
  <si>
    <t>2018-06-26T02:38:53+00:00</t>
  </si>
  <si>
    <t>ROSEVILLE</t>
  </si>
  <si>
    <t>95747-4226</t>
  </si>
  <si>
    <t>113-2233508-5316215</t>
  </si>
  <si>
    <t>2018-06-25T04:09:25+00:00</t>
  </si>
  <si>
    <t>2018-06-25T22:07:48+00:00</t>
  </si>
  <si>
    <t>PHOENIX</t>
  </si>
  <si>
    <t>85027-6010</t>
  </si>
  <si>
    <t>113-8034871-8138647</t>
  </si>
  <si>
    <t>2018-06-25T03:57:42+00:00</t>
  </si>
  <si>
    <t>2018-06-25T23:34:39+00:00</t>
  </si>
  <si>
    <t>78233-4633</t>
  </si>
  <si>
    <t>111-7913528-9493853</t>
  </si>
  <si>
    <t>2018-06-25T03:54:06+00:00</t>
  </si>
  <si>
    <t>2018-06-26T06:01:31+00:00</t>
  </si>
  <si>
    <t>Monitor Memo Board Computer Monitors Notes Holder and Reminder Acrylic Message Boards Memo Pads Sticky Board For Paper Sticky Notes Cat Right</t>
  </si>
  <si>
    <t>BLT-LUHM000-CR</t>
  </si>
  <si>
    <t>B07CDD7CHN</t>
  </si>
  <si>
    <t>NORTH CHESTERFIELD</t>
  </si>
  <si>
    <t>23237-3909</t>
  </si>
  <si>
    <t>111-5616262-5753834</t>
  </si>
  <si>
    <t>2018-06-25T02:47:23+00:00</t>
  </si>
  <si>
    <t>2018-06-26T03:01:41+00:00</t>
  </si>
  <si>
    <t>SCHWENKSVILLE</t>
  </si>
  <si>
    <t>19473-1634</t>
  </si>
  <si>
    <t>112-4019228-7209831</t>
  </si>
  <si>
    <t>2018-06-25T02:38:45+00:00</t>
  </si>
  <si>
    <t>2018-06-25T20:35:22+00:00</t>
  </si>
  <si>
    <t>68105-1499</t>
  </si>
  <si>
    <t>114-9630706-5382646</t>
  </si>
  <si>
    <t>2018-06-25T02:12:03+00:00</t>
  </si>
  <si>
    <t>2018-06-25T17:23:55+00:00</t>
  </si>
  <si>
    <t>MENOMONIE</t>
  </si>
  <si>
    <t>54751-5457</t>
  </si>
  <si>
    <t>111-1406397-8507403</t>
  </si>
  <si>
    <t>2018-06-25T02:09:04+00:00</t>
  </si>
  <si>
    <t>2018-06-27T04:43:06+00:00</t>
  </si>
  <si>
    <t>Jackson</t>
  </si>
  <si>
    <t>113-5241790-2789050</t>
  </si>
  <si>
    <t>2018-06-25T01:25:56+00:00</t>
  </si>
  <si>
    <t>2018-06-25T21:27:20+00:00</t>
  </si>
  <si>
    <t>Lastia Printing Lunch Bags Oxford Cloth Aluminum Foil Insulated Zip Cooler Bag Portable Takeaway Film Pack Lunch Box Package Tree</t>
  </si>
  <si>
    <t>BDB-WF212-SJS-M</t>
  </si>
  <si>
    <t>B0772JJ5YH</t>
  </si>
  <si>
    <t>HIALEAH</t>
  </si>
  <si>
    <t>33010-4094</t>
  </si>
  <si>
    <t>111-2525960-9663427</t>
  </si>
  <si>
    <t>2018-06-25T00:10:41+00:00</t>
  </si>
  <si>
    <t>2018-06-25T21:50:22+00:00</t>
  </si>
  <si>
    <t>GOODYEAR</t>
  </si>
  <si>
    <t>85338-9524</t>
  </si>
  <si>
    <t>111-0009567-6872279</t>
  </si>
  <si>
    <t>2018-06-26T23:36:17+00:00</t>
  </si>
  <si>
    <t>2018-06-27T23:59:01+00:00</t>
  </si>
  <si>
    <t>Whitefish Bay</t>
  </si>
  <si>
    <t>113-6360007-2630624</t>
  </si>
  <si>
    <t>2018-06-26T23:01:59+00:00</t>
  </si>
  <si>
    <t>2018-06-27T07:52:22+00:00</t>
  </si>
  <si>
    <t>porter</t>
  </si>
  <si>
    <t>tx</t>
  </si>
  <si>
    <t>113-8876991-0833867</t>
  </si>
  <si>
    <t>2018-06-26T22:10:40+00:00</t>
  </si>
  <si>
    <t>2018-06-28T05:36:46+00:00</t>
  </si>
  <si>
    <t>Lastia Placemats Woven Vinyl Heat-resistant Non Skid Washable PVC Waterproof Rectangle Table Mats Set of 4 Coffee</t>
  </si>
  <si>
    <t>ELGIN</t>
  </si>
  <si>
    <t>60120-4693</t>
  </si>
  <si>
    <t>113-3245665-6816265</t>
  </si>
  <si>
    <t>2018-06-26T21:50:36+00:00</t>
  </si>
  <si>
    <t>2018-06-27T23:21:18+00:00</t>
  </si>
  <si>
    <t>BEAVERTON</t>
  </si>
  <si>
    <t>97006-3629</t>
  </si>
  <si>
    <t>112-0681334-3772236</t>
  </si>
  <si>
    <t>2018-06-26T21:09:21+00:00</t>
  </si>
  <si>
    <t>2018-06-27T21:47:11+00:00</t>
  </si>
  <si>
    <t>San Juan</t>
  </si>
  <si>
    <t>PR</t>
  </si>
  <si>
    <t>111-9829431-6306607</t>
  </si>
  <si>
    <t>2018-06-26T20:37:14+00:00</t>
  </si>
  <si>
    <t>2018-06-27T02:08:32+00:00</t>
  </si>
  <si>
    <t>NASHVILLE</t>
  </si>
  <si>
    <t>37205-2219</t>
  </si>
  <si>
    <t>114-1605434-2450665</t>
  </si>
  <si>
    <t>2018-06-29T20:58:49+00:00</t>
  </si>
  <si>
    <t>DALLAS</t>
  </si>
  <si>
    <t>75214-4615</t>
  </si>
  <si>
    <t>114-5735981-7441809</t>
  </si>
  <si>
    <t>2018-06-26T17:40:36+00:00</t>
  </si>
  <si>
    <t>2018-06-27T17:35:09+00:00</t>
  </si>
  <si>
    <t>WOODBURY</t>
  </si>
  <si>
    <t>55125-8861</t>
  </si>
  <si>
    <t>112-9172230-9299401</t>
  </si>
  <si>
    <t>2018-06-26T17:01:56+00:00</t>
  </si>
  <si>
    <t>2018-06-28T05:43:46+00:00</t>
  </si>
  <si>
    <t>AZUSA</t>
  </si>
  <si>
    <t>91702-6257</t>
  </si>
  <si>
    <t>112-4616140-4491450</t>
  </si>
  <si>
    <t>2018-06-26T16:55:41+00:00</t>
  </si>
  <si>
    <t>2018-06-28T02:04:53+00:00</t>
  </si>
  <si>
    <t>Pet Carrier Backpack Adjustable Legs Out Front Carrier Bag for Samll Medium Large Dogs Cats Colorful Strip S</t>
  </si>
  <si>
    <t>CWB-WF021-QB-S</t>
  </si>
  <si>
    <t>B0779V1KQL</t>
  </si>
  <si>
    <t>MYRTLE CREEK</t>
  </si>
  <si>
    <t>97457-9434</t>
  </si>
  <si>
    <t>113-8067584-5113060</t>
  </si>
  <si>
    <t>2018-06-26T13:56:35+00:00</t>
  </si>
  <si>
    <t>2018-06-26T19:02:58+00:00</t>
  </si>
  <si>
    <t>10022-2814</t>
  </si>
  <si>
    <t>112-1462145-9217032</t>
  </si>
  <si>
    <t>2018-06-26T13:18:40+00:00</t>
  </si>
  <si>
    <t>2018-06-27T07:37:43+00:00</t>
  </si>
  <si>
    <t>DUNCAN</t>
  </si>
  <si>
    <t>73533-1299</t>
  </si>
  <si>
    <t>112-6096036-7970656</t>
  </si>
  <si>
    <t>2018-06-26T11:11:28+00:00</t>
  </si>
  <si>
    <t>2018-06-27T02:50:33+00:00</t>
  </si>
  <si>
    <t>Tarrytown</t>
  </si>
  <si>
    <t>112-6975721-9229014</t>
  </si>
  <si>
    <t>2018-06-26T10:24:31+00:00</t>
  </si>
  <si>
    <t>2018-06-26T22:16:29+00:00</t>
  </si>
  <si>
    <t>HARPERS FERRY</t>
  </si>
  <si>
    <t>WV</t>
  </si>
  <si>
    <t>25425-6353</t>
  </si>
  <si>
    <t>111-5035532-9643436</t>
  </si>
  <si>
    <t>2018-06-26T09:38:17+00:00</t>
  </si>
  <si>
    <t>2018-06-26T21:41:29+00:00</t>
  </si>
  <si>
    <t>SOUTH YARMOUTH</t>
  </si>
  <si>
    <t>02664-5301</t>
  </si>
  <si>
    <t>113-6465530-5037855</t>
  </si>
  <si>
    <t>2018-06-26T04:52:23+00:00</t>
  </si>
  <si>
    <t>2018-06-27T07:27:41+00:00</t>
  </si>
  <si>
    <t>85053-1022</t>
  </si>
  <si>
    <t>114-9754466-0627406</t>
  </si>
  <si>
    <t>2018-06-26T02:22:10+00:00</t>
  </si>
  <si>
    <t>2018-06-26T09:45:41+00:00</t>
  </si>
  <si>
    <t>78217-5914</t>
  </si>
  <si>
    <t>113-5662931-2651432</t>
  </si>
  <si>
    <t>2018-06-26T01:58:45+00:00</t>
  </si>
  <si>
    <t>2018-06-26T22:56:13+00:00</t>
  </si>
  <si>
    <t>DALLASTOWN</t>
  </si>
  <si>
    <t>17313-1525</t>
  </si>
  <si>
    <t>113-0138180-7837002</t>
  </si>
  <si>
    <t>2018-06-26T01:08:06+00:00</t>
  </si>
  <si>
    <t>2018-06-27T06:15:10+00:00</t>
  </si>
  <si>
    <t>Beaver Falls</t>
  </si>
  <si>
    <t>114-0332715-4586640</t>
  </si>
  <si>
    <t>2018-06-26T00:05:38+00:00</t>
  </si>
  <si>
    <t>2018-06-28T07:33:02+00:00</t>
  </si>
  <si>
    <t>APPLETON</t>
  </si>
  <si>
    <t>54915-3946</t>
  </si>
  <si>
    <t>111-9787080-9175436</t>
  </si>
  <si>
    <t>2018-06-27T22:57:57+00:00</t>
  </si>
  <si>
    <t>2018-07-04T09:21:18+00:00</t>
  </si>
  <si>
    <t>GRAND BLANC</t>
  </si>
  <si>
    <t>48439-7379</t>
  </si>
  <si>
    <t>111-9309605-1196229</t>
  </si>
  <si>
    <t>2018-06-27T22:34:58+00:00</t>
  </si>
  <si>
    <t>2018-07-02T19:44:10+00:00</t>
  </si>
  <si>
    <t>Monitor Memo Board Computer Monitors Notes Holder and Reminder Acrylic Message Boards Memo Pads Sticky Board for Paper Sticky Notes Panda</t>
  </si>
  <si>
    <t>TORRANCE</t>
  </si>
  <si>
    <t>90502-2449</t>
  </si>
  <si>
    <t>111-4390602-8996235</t>
  </si>
  <si>
    <t>2018-06-27T22:28:18+00:00</t>
  </si>
  <si>
    <t>2018-06-29T04:03:24+00:00</t>
  </si>
  <si>
    <t>Small Foldable Storage Basket waterproof Oxford Storage Bins for Toy Storage(White,7.9x5.5x6.3In)</t>
  </si>
  <si>
    <t>SNH-LUHM001-W0</t>
  </si>
  <si>
    <t>B07DQLKY6N</t>
  </si>
  <si>
    <t>94131-1011</t>
  </si>
  <si>
    <t>114-7874337-5185033</t>
  </si>
  <si>
    <t>2018-06-27T20:46:26+00:00</t>
  </si>
  <si>
    <t>2018-06-29T16:57:55+00:00</t>
  </si>
  <si>
    <t>HARLEYSVILLE</t>
  </si>
  <si>
    <t>19438-1546</t>
  </si>
  <si>
    <t>114-5855221-4661866</t>
  </si>
  <si>
    <t>2018-06-27T20:27:10+00:00</t>
  </si>
  <si>
    <t>2018-06-29T02:43:32+00:00</t>
  </si>
  <si>
    <t>GLEN ALLEN</t>
  </si>
  <si>
    <t>23059-5778</t>
  </si>
  <si>
    <t>Printing Lunch Bags Oxford Cloth Aluminum Foil Insulated Zip Cooler Bag Portable Takeaway Film Pack Lunch Box Package Cartoon Polar Bear</t>
  </si>
  <si>
    <t>BDB-WF212-BJX-M</t>
  </si>
  <si>
    <t>B0772TKSHM</t>
  </si>
  <si>
    <t>111-5117935-9256229</t>
  </si>
  <si>
    <t>2018-06-27T20:01:19+00:00</t>
  </si>
  <si>
    <t>2018-06-28T13:42:40+00:00</t>
  </si>
  <si>
    <t>TOLEDO</t>
  </si>
  <si>
    <t>43611-2736</t>
  </si>
  <si>
    <t>114-3648104-8456203</t>
  </si>
  <si>
    <t>2018-06-27T19:45:41+00:00</t>
  </si>
  <si>
    <t>2018-06-29T01:05:32+00:00</t>
  </si>
  <si>
    <t>baldwin</t>
  </si>
  <si>
    <t>ny</t>
  </si>
  <si>
    <t>114-5247300-9893811</t>
  </si>
  <si>
    <t>2018-06-27T18:27:32+00:00</t>
  </si>
  <si>
    <t>2018-06-27T21:41:00+00:00</t>
  </si>
  <si>
    <t>White Pine</t>
  </si>
  <si>
    <t>111-3170502-7894660</t>
  </si>
  <si>
    <t>2018-06-27T18:16:29+00:00</t>
  </si>
  <si>
    <t>2018-06-29T00:15:57+00:00</t>
  </si>
  <si>
    <t>Lastia Folding Stool for Camping Fishing Hiking Outdoor Camouflage 11.4"x11.4"x9.8"</t>
  </si>
  <si>
    <t>ZDD-FLQ07-MC-28</t>
  </si>
  <si>
    <t>B075QF56L3</t>
  </si>
  <si>
    <t>22302-1447</t>
  </si>
  <si>
    <t>112-1294958-5790625</t>
  </si>
  <si>
    <t>2018-06-27T18:12:19+00:00</t>
  </si>
  <si>
    <t>2018-06-29T00:56:52+00:00</t>
  </si>
  <si>
    <t>113-3332330-3014661</t>
  </si>
  <si>
    <t>2018-06-27T18:05:09+00:00</t>
  </si>
  <si>
    <t>2018-07-01T19:41:13+00:00</t>
  </si>
  <si>
    <t>Memphis</t>
  </si>
  <si>
    <t>112-3712952-0891407</t>
  </si>
  <si>
    <t>2018-06-27T18:04:15+00:00</t>
  </si>
  <si>
    <t>2018-06-28T21:31:14+00:00</t>
  </si>
  <si>
    <t>RUSTON</t>
  </si>
  <si>
    <t>113-0212335-5334603</t>
  </si>
  <si>
    <t>2018-06-27T17:21:26+00:00</t>
  </si>
  <si>
    <t>2018-06-29T05:30:55+00:00</t>
  </si>
  <si>
    <t>90026-1033</t>
  </si>
  <si>
    <t>111-8434319-3548221</t>
  </si>
  <si>
    <t>2018-06-27T16:38:17+00:00</t>
  </si>
  <si>
    <t>2018-07-04T16:51:08+00:00</t>
  </si>
  <si>
    <t>49230-9078</t>
  </si>
  <si>
    <t>112-6403778-3737005</t>
  </si>
  <si>
    <t>2018-06-27T15:20:38+00:00</t>
  </si>
  <si>
    <t>2018-06-29T01:36:40+00:00</t>
  </si>
  <si>
    <t>PORTLAND</t>
  </si>
  <si>
    <t>97213-3712</t>
  </si>
  <si>
    <t>111-5644297-9117852</t>
  </si>
  <si>
    <t>2018-06-27T15:08:56+00:00</t>
  </si>
  <si>
    <t>2018-06-28T05:02:20+00:00</t>
  </si>
  <si>
    <t>PITTSBURG</t>
  </si>
  <si>
    <t>94565-2479</t>
  </si>
  <si>
    <t>112-6327286-1905062</t>
  </si>
  <si>
    <t>2018-06-27T14:36:01+00:00</t>
  </si>
  <si>
    <t>2018-06-28T20:57:02+00:00</t>
  </si>
  <si>
    <t>77092-8807</t>
  </si>
  <si>
    <t>114-2109942-6776261</t>
  </si>
  <si>
    <t>2018-06-27T10:45:16+00:00</t>
  </si>
  <si>
    <t>2018-06-28T04:45:55+00:00</t>
  </si>
  <si>
    <t>north tonawanda</t>
  </si>
  <si>
    <t>new york</t>
  </si>
  <si>
    <t>112-3299476-2649023</t>
  </si>
  <si>
    <t>2018-06-27T10:36:50+00:00</t>
  </si>
  <si>
    <t>2018-06-27T19:21:24+00:00</t>
  </si>
  <si>
    <t>Newington</t>
  </si>
  <si>
    <t>114-5311404-3280236</t>
  </si>
  <si>
    <t>2018-06-27T06:14:37+00:00</t>
  </si>
  <si>
    <t>2018-06-29T06:33:57+00:00</t>
  </si>
  <si>
    <t>San Jose</t>
  </si>
  <si>
    <t>95132-2326</t>
  </si>
  <si>
    <t>113-2705123-2364203</t>
  </si>
  <si>
    <t>2018-06-27T04:35:38+00:00</t>
  </si>
  <si>
    <t>2018-06-28T00:06:43+00:00</t>
  </si>
  <si>
    <t>MISSOULA</t>
  </si>
  <si>
    <t>MT</t>
  </si>
  <si>
    <t>59802-3445</t>
  </si>
  <si>
    <t>114-4079224-2470631</t>
  </si>
  <si>
    <t>2018-06-27T04:07:41+00:00</t>
  </si>
  <si>
    <t>2018-06-27T19:20:10+00:00</t>
  </si>
  <si>
    <t>90008-2853</t>
  </si>
  <si>
    <t>113-6099568-1626640</t>
  </si>
  <si>
    <t>2018-06-27T04:02:08+00:00</t>
  </si>
  <si>
    <t>2018-06-28T06:31:57+00:00</t>
  </si>
  <si>
    <t>NEWARK</t>
  </si>
  <si>
    <t>94560-4869</t>
  </si>
  <si>
    <t>113-3227079-8967423</t>
  </si>
  <si>
    <t>2018-06-27T03:49:41+00:00</t>
  </si>
  <si>
    <t>2018-06-28T23:00:35+00:00</t>
  </si>
  <si>
    <t>ORCUTT</t>
  </si>
  <si>
    <t>93455-8002</t>
  </si>
  <si>
    <t>111-9465753-6395440</t>
  </si>
  <si>
    <t>2018-06-27T01:59:32+00:00</t>
  </si>
  <si>
    <t>2018-06-28T07:20:59+00:00</t>
  </si>
  <si>
    <t>Pet Carrier Backpack Adjustable Legs Out Front Carrier Bag for Samll Medium Large Dogs Cats Colorful Strip L</t>
  </si>
  <si>
    <t>CWB-WF021-QB-L</t>
  </si>
  <si>
    <t>B0779RFXY2</t>
  </si>
  <si>
    <t>EXPORT</t>
  </si>
  <si>
    <t>114-5424930-7445868</t>
  </si>
  <si>
    <t>2018-06-27T01:26:48+00:00</t>
  </si>
  <si>
    <t>2018-06-27T15:36:02+00:00</t>
  </si>
  <si>
    <t>MASON</t>
  </si>
  <si>
    <t>45040-2756</t>
  </si>
  <si>
    <t>113-1769194-5370639</t>
  </si>
  <si>
    <t>2018-06-27T01:20:01+00:00</t>
  </si>
  <si>
    <t>2018-06-27T07:42:42+00:00</t>
  </si>
  <si>
    <t>11221-5010</t>
  </si>
  <si>
    <t>113-7990056-3864229</t>
  </si>
  <si>
    <t>2018-06-27T00:23:01+00:00</t>
  </si>
  <si>
    <t>2018-06-28T05:28:47+00:00</t>
  </si>
  <si>
    <t>114-2550571-2548206</t>
  </si>
  <si>
    <t>2018-06-28T23:55:38+00:00</t>
  </si>
  <si>
    <t>2018-06-30T23:48:43+00:00</t>
  </si>
  <si>
    <t>MUNDELEIN</t>
  </si>
  <si>
    <t>60060-1483</t>
  </si>
  <si>
    <t>113-9805920-8028204</t>
  </si>
  <si>
    <t>2018-06-28T23:47:03+00:00</t>
  </si>
  <si>
    <t>2018-06-30T12:06:17+00:00</t>
  </si>
  <si>
    <t>33150-1141</t>
  </si>
  <si>
    <t>111-9780139-8088218</t>
  </si>
  <si>
    <t>2018-06-28T23:12:21+00:00</t>
  </si>
  <si>
    <t>2018-06-29T18:43:34+00:00</t>
  </si>
  <si>
    <t>OVERLAND PARK</t>
  </si>
  <si>
    <t>66223-2129</t>
  </si>
  <si>
    <t>112-0354731-9435460</t>
  </si>
  <si>
    <t>2018-06-28T22:00:27+00:00</t>
  </si>
  <si>
    <t>2018-06-30T00:31:53+00:00</t>
  </si>
  <si>
    <t>RICHBORO</t>
  </si>
  <si>
    <t>18954-1955</t>
  </si>
  <si>
    <t>114-2501199-3227457</t>
  </si>
  <si>
    <t>2018-06-28T21:28:48+00:00</t>
  </si>
  <si>
    <t>2018-06-30T02:41:12+00:00</t>
  </si>
  <si>
    <t>BELOIT</t>
  </si>
  <si>
    <t>53511-5512</t>
  </si>
  <si>
    <t>114-1320740-7897856</t>
  </si>
  <si>
    <t>2018-06-28T20:50:53+00:00</t>
  </si>
  <si>
    <t>2018-06-30T21:02:49+00:00</t>
  </si>
  <si>
    <t>Clothes and toys organizer Waterproof hamper Foldable laundry basket for storage(Elephant,13.8x13.8x17.7In)</t>
  </si>
  <si>
    <t>SNT-LUHM001-DX</t>
  </si>
  <si>
    <t>B07DQPRJPR</t>
  </si>
  <si>
    <t>Dallastown</t>
  </si>
  <si>
    <t>17313-9260</t>
  </si>
  <si>
    <t>111-4830226-4493060</t>
  </si>
  <si>
    <t>2018-06-28T20:39:19+00:00</t>
  </si>
  <si>
    <t>2018-07-02T16:10:38+00:00</t>
  </si>
  <si>
    <t>NORTH OGDEN</t>
  </si>
  <si>
    <t>84414-3427</t>
  </si>
  <si>
    <t>111-0269978-9898647</t>
  </si>
  <si>
    <t>2018-06-28T20:31:06+00:00</t>
  </si>
  <si>
    <t>2018-06-29T04:10:13+00:00</t>
  </si>
  <si>
    <t>112-2103360-2635400</t>
  </si>
  <si>
    <t>2018-06-28T20:02:53+00:00</t>
  </si>
  <si>
    <t>2018-06-30T08:37:33+00:00</t>
  </si>
  <si>
    <t>ROCHESTER</t>
  </si>
  <si>
    <t>111-7900785-5382656</t>
  </si>
  <si>
    <t>2018-06-28T19:14:55+00:00</t>
  </si>
  <si>
    <t>2018-06-29T00:47:34+00:00</t>
  </si>
  <si>
    <t>HURRICANE</t>
  </si>
  <si>
    <t>84737-2201</t>
  </si>
  <si>
    <t>113-0053300-9538628</t>
  </si>
  <si>
    <t>2018-06-28T19:07:07+00:00</t>
  </si>
  <si>
    <t>2018-07-03T15:54:28+00:00</t>
  </si>
  <si>
    <t>VIRGINIA BEACH</t>
  </si>
  <si>
    <t>23452-1853</t>
  </si>
  <si>
    <t>111-1541641-3741045</t>
  </si>
  <si>
    <t>2018-06-28T18:13:55+00:00</t>
  </si>
  <si>
    <t>2018-06-29T22:31:19+00:00</t>
  </si>
  <si>
    <t>CUYAHOGA FALLS</t>
  </si>
  <si>
    <t>44221-4332</t>
  </si>
  <si>
    <t>111-8034276-1479449</t>
  </si>
  <si>
    <t>2018-06-28T16:53:38+00:00</t>
  </si>
  <si>
    <t>2018-06-29T09:28:38+00:00</t>
  </si>
  <si>
    <t>SULPHUR SPRINGS</t>
  </si>
  <si>
    <t>75482-6915</t>
  </si>
  <si>
    <t>112-5723095-3043456</t>
  </si>
  <si>
    <t>2018-06-28T16:32:25+00:00</t>
  </si>
  <si>
    <t>2018-06-29T01:52:40+00:00</t>
  </si>
  <si>
    <t>Cropseyville</t>
  </si>
  <si>
    <t>12052-2423</t>
  </si>
  <si>
    <t>112-3992783-4926606</t>
  </si>
  <si>
    <t>2018-06-28T16:21:09+00:00</t>
  </si>
  <si>
    <t>2018-07-01T19:35:57+00:00</t>
  </si>
  <si>
    <t>RIGBY</t>
  </si>
  <si>
    <t>83442-5672</t>
  </si>
  <si>
    <t>114-2401082-4889046</t>
  </si>
  <si>
    <t>2018-06-28T16:19:15+00:00</t>
  </si>
  <si>
    <t>2018-06-30T21:16:30+00:00</t>
  </si>
  <si>
    <t>02766-1257</t>
  </si>
  <si>
    <t>111-4619306-1760223</t>
  </si>
  <si>
    <t>2018-06-28T15:24:05+00:00</t>
  </si>
  <si>
    <t>2018-06-28T20:23:20+00:00</t>
  </si>
  <si>
    <t>WICHITA</t>
  </si>
  <si>
    <t>67206-4042</t>
  </si>
  <si>
    <t>111-1693934-7184240</t>
  </si>
  <si>
    <t>2018-06-28T15:21:33+00:00</t>
  </si>
  <si>
    <t>2018-06-29T04:29:37+00:00</t>
  </si>
  <si>
    <t>UNIONVILLE</t>
  </si>
  <si>
    <t>06085-1323</t>
  </si>
  <si>
    <t>111-6386375-4815459</t>
  </si>
  <si>
    <t>2018-06-28T13:51:54+00:00</t>
  </si>
  <si>
    <t>2018-06-28T13:52:48+00:00</t>
  </si>
  <si>
    <t>113-0836592-2692205</t>
  </si>
  <si>
    <t>2018-06-28T12:37:25+00:00</t>
  </si>
  <si>
    <t>2018-06-29T03:34:02+00:00</t>
  </si>
  <si>
    <t>GODFREY</t>
  </si>
  <si>
    <t>62035-4716</t>
  </si>
  <si>
    <t>113-4883655-9633022</t>
  </si>
  <si>
    <t>2018-06-28T12:25:14+00:00</t>
  </si>
  <si>
    <t>2018-06-29T14:03:17+00:00</t>
  </si>
  <si>
    <t>DELTONA</t>
  </si>
  <si>
    <t>32725-9044</t>
  </si>
  <si>
    <t>114-3851471-3447405</t>
  </si>
  <si>
    <t>2018-06-28T12:15:16+00:00</t>
  </si>
  <si>
    <t>2018-06-29T01:31:57+00:00</t>
  </si>
  <si>
    <t>WINTER GARDEN</t>
  </si>
  <si>
    <t>34787-5450</t>
  </si>
  <si>
    <t>114-0282143-0245060</t>
  </si>
  <si>
    <t>2018-06-28T12:03:16+00:00</t>
  </si>
  <si>
    <t>2018-06-28T23:48:48+00:00</t>
  </si>
  <si>
    <t>Glen Rock</t>
  </si>
  <si>
    <t>113-2106733-0407403</t>
  </si>
  <si>
    <t>2018-06-28T05:52:43+00:00</t>
  </si>
  <si>
    <t>2018-06-28T17:45:27+00:00</t>
  </si>
  <si>
    <t>FRANKLIN</t>
  </si>
  <si>
    <t>53132-9653</t>
  </si>
  <si>
    <t>111-9162255-3210626</t>
  </si>
  <si>
    <t>2018-06-28T03:17:07+00:00</t>
  </si>
  <si>
    <t>2018-06-29T05:52:08+00:00</t>
  </si>
  <si>
    <t>PLACENTIA</t>
  </si>
  <si>
    <t>92870-2815</t>
  </si>
  <si>
    <t>112-3360277-2720266</t>
  </si>
  <si>
    <t>2018-06-28T03:04:23+00:00</t>
  </si>
  <si>
    <t>2018-06-28T17:26:32+00:00</t>
  </si>
  <si>
    <t>New Buffalo</t>
  </si>
  <si>
    <t>114-5080564-4156264</t>
  </si>
  <si>
    <t>2018-06-28T02:53:01+00:00</t>
  </si>
  <si>
    <t>2018-06-29T01:53:20+00:00</t>
  </si>
  <si>
    <t>94122-4129</t>
  </si>
  <si>
    <t>113-1716228-5425037</t>
  </si>
  <si>
    <t>2018-06-28T02:30:45+00:00</t>
  </si>
  <si>
    <t>2018-06-29T15:19:08+00:00</t>
  </si>
  <si>
    <t>PLATTSBURGH</t>
  </si>
  <si>
    <t>12901-5184</t>
  </si>
  <si>
    <t>114-0008656-1941072</t>
  </si>
  <si>
    <t>2018-06-28T02:24:44+00:00</t>
  </si>
  <si>
    <t>2018-06-28T07:37:35+00:00</t>
  </si>
  <si>
    <t>STOCKTON</t>
  </si>
  <si>
    <t>61085-1125</t>
  </si>
  <si>
    <t>112-6214324-7194643</t>
  </si>
  <si>
    <t>2018-06-28T01:25:27+00:00</t>
  </si>
  <si>
    <t>2018-06-28T15:28:05+00:00</t>
  </si>
  <si>
    <t>75217-5845</t>
  </si>
  <si>
    <t>111-1302951-3556266</t>
  </si>
  <si>
    <t>2018-06-28T00:52:32+00:00</t>
  </si>
  <si>
    <t>2018-06-28T22:26:22+00:00</t>
  </si>
  <si>
    <t>37042-4029</t>
  </si>
  <si>
    <t>112-9043375-4498632</t>
  </si>
  <si>
    <t>2018-06-29T23:14:17+00:00</t>
  </si>
  <si>
    <t>2018-07-01T07:38:04+00:00</t>
  </si>
  <si>
    <t>SLIDELL</t>
  </si>
  <si>
    <t>70458-8565</t>
  </si>
  <si>
    <t>114-7956165-9678655</t>
  </si>
  <si>
    <t>2018-06-29T23:08:51+00:00</t>
  </si>
  <si>
    <t>2018-07-01T04:00:47+00:00</t>
  </si>
  <si>
    <t>Denver</t>
  </si>
  <si>
    <t>111-2764842-3908236</t>
  </si>
  <si>
    <t>2018-06-29T23:06:39+00:00</t>
  </si>
  <si>
    <t>2018-06-30T22:28:02+00:00</t>
  </si>
  <si>
    <t>No. Ogden</t>
  </si>
  <si>
    <t>113-6929168-0189857</t>
  </si>
  <si>
    <t>2018-06-29T22:16:20+00:00</t>
  </si>
  <si>
    <t>2018-07-03T13:03:41+00:00</t>
  </si>
  <si>
    <t>11215-2817</t>
  </si>
  <si>
    <t>114-4453355-6616258</t>
  </si>
  <si>
    <t>2018-06-29T21:33:48+00:00</t>
  </si>
  <si>
    <t>2018-07-02T06:32:51+00:00</t>
  </si>
  <si>
    <t>THOUSAND OAKS</t>
  </si>
  <si>
    <t>91360-4613</t>
  </si>
  <si>
    <t>111-2397196-6797836</t>
  </si>
  <si>
    <t>2018-06-29T20:50:54+00:00</t>
  </si>
  <si>
    <t>2018-06-30T04:29:21+00:00</t>
  </si>
  <si>
    <t>MOCOTONO Women's Long Sleeve Crewneck Pullover Sweater Blouses Elegant Tops Black Large</t>
  </si>
  <si>
    <t>WY-WF1217-KO-L</t>
  </si>
  <si>
    <t>B078MJZZZN</t>
  </si>
  <si>
    <t>93308-3779</t>
  </si>
  <si>
    <t>112-1008111-6233066</t>
  </si>
  <si>
    <t>2018-06-29T19:12:19+00:00</t>
  </si>
  <si>
    <t>2018-06-30T16:53:17+00:00</t>
  </si>
  <si>
    <t>HAYMARKET</t>
  </si>
  <si>
    <t>20169-8192</t>
  </si>
  <si>
    <t>112-3011847-5420234</t>
  </si>
  <si>
    <t>2018-06-29T18:03:55+00:00</t>
  </si>
  <si>
    <t>2018-07-01T05:44:49+00:00</t>
  </si>
  <si>
    <t>BROWNSBURG</t>
  </si>
  <si>
    <t>46112-1114</t>
  </si>
  <si>
    <t>112-6600726-4305003</t>
  </si>
  <si>
    <t>2018-06-29T17:10:56+00:00</t>
  </si>
  <si>
    <t>2018-06-30T17:46:16+00:00</t>
  </si>
  <si>
    <t>60654-4918</t>
  </si>
  <si>
    <t>112-8916992-9604202</t>
  </si>
  <si>
    <t>2018-06-29T17:08:48+00:00</t>
  </si>
  <si>
    <t>2018-06-29T22:46:35+00:00</t>
  </si>
  <si>
    <t>76103-2704</t>
  </si>
  <si>
    <t>112-9656636-8792264</t>
  </si>
  <si>
    <t>2018-06-29T16:07:36+00:00</t>
  </si>
  <si>
    <t>2018-06-30T10:19:24+00:00</t>
  </si>
  <si>
    <t>CASA GRANDE</t>
  </si>
  <si>
    <t>85193-9011</t>
  </si>
  <si>
    <t>112-9461870-5764245</t>
  </si>
  <si>
    <t>2018-06-29T15:20:58+00:00</t>
  </si>
  <si>
    <t>2018-06-30T12:36:34+00:00</t>
  </si>
  <si>
    <t>OAKLAND</t>
  </si>
  <si>
    <t>94607-4365</t>
  </si>
  <si>
    <t>111-5934688-8731405</t>
  </si>
  <si>
    <t>2018-06-29T13:53:06+00:00</t>
  </si>
  <si>
    <t>2018-06-29T22:25:43+00:00</t>
  </si>
  <si>
    <t>112-8227667-8217824</t>
  </si>
  <si>
    <t>2018-06-29T13:46:59+00:00</t>
  </si>
  <si>
    <t>2018-06-30T10:45:54+00:00</t>
  </si>
  <si>
    <t>BEND</t>
  </si>
  <si>
    <t>97701-5318</t>
  </si>
  <si>
    <t>112-9279063-6089039</t>
  </si>
  <si>
    <t>2018-06-29T13:41:12+00:00</t>
  </si>
  <si>
    <t>2018-07-08T23:59:09+00:00</t>
  </si>
  <si>
    <t>Debary</t>
  </si>
  <si>
    <t>111-4964726-5041827</t>
  </si>
  <si>
    <t>2018-06-29T13:26:25+00:00</t>
  </si>
  <si>
    <t>2018-06-30T17:03:56+00:00</t>
  </si>
  <si>
    <t>25425-2509</t>
  </si>
  <si>
    <t>112-9570152-2982647</t>
  </si>
  <si>
    <t>2018-06-29T12:27:15+00:00</t>
  </si>
  <si>
    <t>2018-06-30T14:19:09+00:00</t>
  </si>
  <si>
    <t>Lastia Mesh Beach Tote Bag with Zipper Top and Insulated Picnic Cooler and Free Get A Bonus Waterproof Cellphone Case Blue</t>
  </si>
  <si>
    <t>SB-LUHM100-B0</t>
  </si>
  <si>
    <t>B07DVH33X4</t>
  </si>
  <si>
    <t>DELRAY BEACH</t>
  </si>
  <si>
    <t>33445-1323</t>
  </si>
  <si>
    <t>113-5910158-8026630</t>
  </si>
  <si>
    <t>2018-06-29T01:27:20+00:00</t>
  </si>
  <si>
    <t>2018-06-30T22:36:42+00:00</t>
  </si>
  <si>
    <t>Holyoke</t>
  </si>
  <si>
    <t>111-8982683-0091417</t>
  </si>
  <si>
    <t>2018-06-29T01:25:31+00:00</t>
  </si>
  <si>
    <t>2018-06-29T22:15:11+00:00</t>
  </si>
  <si>
    <t>Douglas</t>
  </si>
  <si>
    <t>111-0002166-1027441</t>
  </si>
  <si>
    <t>2018-06-29T01:24:39+00:00</t>
  </si>
  <si>
    <t>2018-07-01T02:35:52+00:00</t>
  </si>
  <si>
    <t>MISSION</t>
  </si>
  <si>
    <t>78572-9757</t>
  </si>
  <si>
    <t>112-4465774-2396267</t>
  </si>
  <si>
    <t>2018-06-29T01:17:20+00:00</t>
  </si>
  <si>
    <t>2018-06-29T01:47:18+00:00</t>
  </si>
  <si>
    <t>Pending</t>
  </si>
  <si>
    <t>Merchant</t>
  </si>
  <si>
    <t>3D Laser Personalized Custom Engraved Crystal Photo Vertical 5.5x3.9x1.2 Inches</t>
  </si>
  <si>
    <t>SJZP-FLQ19-SJV30-100</t>
  </si>
  <si>
    <t>B076VMW2WD</t>
  </si>
  <si>
    <t>Katy</t>
  </si>
  <si>
    <t>https://zme-caps.amazon.com/t/zkxqYh8wFo2Z/ccHHwhfMQFDxYFi0JQ6inw6mDt4zxkIgU3LhRfNaQCc/1</t>
  </si>
  <si>
    <t>http://a.co/47UHLOG</t>
  </si>
  <si>
    <t>111-2430683-6748230</t>
  </si>
  <si>
    <t>2018-06-29T01:08:13+00:00</t>
  </si>
  <si>
    <t>2018-06-29T21:01:10+00:00</t>
  </si>
  <si>
    <t>MONTICELLO</t>
  </si>
  <si>
    <t>AR</t>
  </si>
  <si>
    <t>71655-9202</t>
  </si>
  <si>
    <t>114-1602322-7172216</t>
  </si>
  <si>
    <t>2018-06-29T00:59:56+00:00</t>
  </si>
  <si>
    <t>2018-06-29T08:36:39+00:00</t>
  </si>
  <si>
    <t>64110-1053</t>
  </si>
  <si>
    <t>112-3554356-8417028</t>
  </si>
  <si>
    <t>2018-06-30T21:48:10+00:00</t>
  </si>
  <si>
    <t>2018-07-01T21:27:12+00:00</t>
  </si>
  <si>
    <t>39702-8971</t>
  </si>
  <si>
    <t>114-5968669-9469815</t>
  </si>
  <si>
    <t>2018-06-30T21:34:53+00:00</t>
  </si>
  <si>
    <t>2018-07-02T03:39:41+00:00</t>
  </si>
  <si>
    <t>10027-6821</t>
  </si>
  <si>
    <t>112-4365235-8821818</t>
  </si>
  <si>
    <t>2018-06-30T21:00:28+00:00</t>
  </si>
  <si>
    <t>2018-07-08T14:47:36+00:00</t>
  </si>
  <si>
    <t>Jacksonville</t>
  </si>
  <si>
    <t>113-2801100-1501808</t>
  </si>
  <si>
    <t>2018-06-30T20:35:05+00:00</t>
  </si>
  <si>
    <t>2018-07-01T03:01:28+00:00</t>
  </si>
  <si>
    <t>33196-5716</t>
  </si>
  <si>
    <t>113-0096092-6151447</t>
  </si>
  <si>
    <t>2018-06-30T20:15:09+00:00</t>
  </si>
  <si>
    <t>2018-07-01T09:22:41+00:00</t>
  </si>
  <si>
    <t>DURHAM</t>
  </si>
  <si>
    <t>27712-3711</t>
  </si>
  <si>
    <t>111-3679350-4667445</t>
  </si>
  <si>
    <t>2018-06-30T20:00:52+00:00</t>
  </si>
  <si>
    <t>2018-07-01T06:59:07+00:00</t>
  </si>
  <si>
    <t>CASTRO VALLEY</t>
  </si>
  <si>
    <t>94546-7213</t>
  </si>
  <si>
    <t>111-4806396-9914652</t>
  </si>
  <si>
    <t>2018-06-30T19:51:17+00:00</t>
  </si>
  <si>
    <t>2018-07-02T06:24:29+00:00</t>
  </si>
  <si>
    <t>95125-1957</t>
  </si>
  <si>
    <t>114-5646582-5220248</t>
  </si>
  <si>
    <t>2018-06-30T19:50:21+00:00</t>
  </si>
  <si>
    <t>2018-07-01T04:27:48+00:00</t>
  </si>
  <si>
    <t>22727-3248</t>
  </si>
  <si>
    <t>111-1041838-3394655</t>
  </si>
  <si>
    <t>2018-06-30T19:49:43+00:00</t>
  </si>
  <si>
    <t>2018-07-02T01:34:08+00:00</t>
  </si>
  <si>
    <t>30324-4645</t>
  </si>
  <si>
    <t>114-0063146-4397861</t>
  </si>
  <si>
    <t>2018-06-30T18:25:09+00:00</t>
  </si>
  <si>
    <t>2018-07-01T17:54:56+00:00</t>
  </si>
  <si>
    <t>Portable Tripod Stool for Camping Fishing Hiking Outdoor Four Legs Red 11"x11"x13.7"</t>
  </si>
  <si>
    <t>ZDD-FLQ08-RO-28</t>
  </si>
  <si>
    <t>B075QFMG4P</t>
  </si>
  <si>
    <t>114-9028965-6239461</t>
  </si>
  <si>
    <t>2018-06-30T18:08:32+00:00</t>
  </si>
  <si>
    <t>2018-07-01T07:58:28+00:00</t>
  </si>
  <si>
    <t>EL MONTE</t>
  </si>
  <si>
    <t>91732-3715</t>
  </si>
  <si>
    <t>114-4581625-8869007</t>
  </si>
  <si>
    <t>2018-06-30T17:38:30+00:00</t>
  </si>
  <si>
    <t>2018-07-01T10:22:07+00:00</t>
  </si>
  <si>
    <t>93309-4065</t>
  </si>
  <si>
    <t>114-7148995-2704203</t>
  </si>
  <si>
    <t>2018-06-30T17:06:32+00:00</t>
  </si>
  <si>
    <t>2018-07-01T09:34:38+00:00</t>
  </si>
  <si>
    <t>Clinton</t>
  </si>
  <si>
    <t>52732-8932</t>
  </si>
  <si>
    <t>114-8842471-0497869</t>
  </si>
  <si>
    <t>2018-06-30T14:46:18+00:00</t>
  </si>
  <si>
    <t>2018-07-01T05:04:03+00:00</t>
  </si>
  <si>
    <t>fort Campbell</t>
  </si>
  <si>
    <t>Kentucky</t>
  </si>
  <si>
    <t>113-9823053-9514651</t>
  </si>
  <si>
    <t>2018-06-30T14:42:38+00:00</t>
  </si>
  <si>
    <t>2018-07-02T00:45:14+00:00</t>
  </si>
  <si>
    <t>SOMERDALE</t>
  </si>
  <si>
    <t>08083-2216</t>
  </si>
  <si>
    <t>111-2001451-2998644</t>
  </si>
  <si>
    <t>2018-06-30T14:35:04+00:00</t>
  </si>
  <si>
    <t>2018-07-01T01:25:35+00:00</t>
  </si>
  <si>
    <t>92109-2657</t>
  </si>
  <si>
    <t>114-7351227-0077818</t>
  </si>
  <si>
    <t>2018-06-30T14:24:59+00:00</t>
  </si>
  <si>
    <t>2018-07-07T15:36:18+00:00</t>
  </si>
  <si>
    <t>Lastia 4x6 Picture Frame Multi Photo Frames Set Wall or Tabletop Display</t>
  </si>
  <si>
    <t>XK-YIWUJS-GY-6IN</t>
  </si>
  <si>
    <t>B07D4GQKTL</t>
  </si>
  <si>
    <t>POINT PLEASANT BEACH</t>
  </si>
  <si>
    <t>NEW JERSEY</t>
  </si>
  <si>
    <t>08742-2413</t>
  </si>
  <si>
    <t>113-9296834-7796231</t>
  </si>
  <si>
    <t>2018-06-30T13:43:30+00:00</t>
  </si>
  <si>
    <t>2018-07-01T07:38:05+00:00</t>
  </si>
  <si>
    <t>LOTHIAN</t>
  </si>
  <si>
    <t>20711-9541</t>
  </si>
  <si>
    <t>113-3685030-2897840</t>
  </si>
  <si>
    <t>2018-06-30T13:37:37+00:00</t>
  </si>
  <si>
    <t>2018-07-02T22:18:31+00:00</t>
  </si>
  <si>
    <t>casco</t>
  </si>
  <si>
    <t>maine</t>
  </si>
  <si>
    <t>112-1174006-2609062</t>
  </si>
  <si>
    <t>2018-06-30T13:29:19+00:00</t>
  </si>
  <si>
    <t>2018-07-01T12:36:46+00:00</t>
  </si>
  <si>
    <t>SALT LAKE CITY</t>
  </si>
  <si>
    <t>84124-2808</t>
  </si>
  <si>
    <t>112-5888111-2677868</t>
  </si>
  <si>
    <t>2018-06-30T10:42:55+00:00</t>
  </si>
  <si>
    <t>2018-07-01T10:19:05+00:00</t>
  </si>
  <si>
    <t>95111-3701</t>
  </si>
  <si>
    <t>112-1017659-2515433</t>
  </si>
  <si>
    <t>2018-06-30T03:56:07+00:00</t>
  </si>
  <si>
    <t>2018-06-30T19:22:21+00:00</t>
  </si>
  <si>
    <t>SARATOGA SPRINGS</t>
  </si>
  <si>
    <t>12866-6147</t>
  </si>
  <si>
    <t>113-2005768-8136260</t>
  </si>
  <si>
    <t>2018-06-30T03:42:45+00:00</t>
  </si>
  <si>
    <t>2018-06-30T23:11:50+00:00</t>
  </si>
  <si>
    <t>Lastia Set of 4 Natural Jute Gray Round Placemat Hand Woven Dining Table Place Mat - Thanksgiving Dinner Table Decor - Black Friday Deals</t>
  </si>
  <si>
    <t>CD-WF117-GR-1</t>
  </si>
  <si>
    <t>B0784DMK97</t>
  </si>
  <si>
    <t>HUNTINGTON BEACH</t>
  </si>
  <si>
    <t>92647-4123</t>
  </si>
  <si>
    <t>114-0282146-5492231</t>
  </si>
  <si>
    <t>2018-06-30T03:24:23+00:00</t>
  </si>
  <si>
    <t>2018-06-30T10:41:32+00:00</t>
  </si>
  <si>
    <t>95126-3556</t>
  </si>
  <si>
    <t>112-0086598-5602639</t>
  </si>
  <si>
    <t>2018-06-30T03:22:21+00:00</t>
  </si>
  <si>
    <t>2018-07-01T03:22:57+00:00</t>
  </si>
  <si>
    <t>LINCOLN</t>
  </si>
  <si>
    <t>68503-3401</t>
  </si>
  <si>
    <t>111-7710867-0552208</t>
  </si>
  <si>
    <t>2018-06-30T02:21:48+00:00</t>
  </si>
  <si>
    <t>2018-07-01T02:42:48+00:00</t>
  </si>
  <si>
    <t>REGO PARK</t>
  </si>
  <si>
    <t>11374-1026</t>
  </si>
  <si>
    <t>111-5663038-9115400</t>
  </si>
  <si>
    <t>2018-06-30T02:21:25+00:00</t>
  </si>
  <si>
    <t>2018-07-01T05:43:59+00:00</t>
  </si>
  <si>
    <t>BENSENVILLE</t>
  </si>
  <si>
    <t>60106-2612</t>
  </si>
  <si>
    <t>113-6782094-8695427</t>
  </si>
  <si>
    <t>2018-06-30T02:14:08+00:00</t>
  </si>
  <si>
    <t>2018-07-01T21:10:23+00:00</t>
  </si>
  <si>
    <t>Clothes and toys organizer Waterproof hamper Foldable laundry basket for storage(English,11x11x13.8In)</t>
  </si>
  <si>
    <t>SNT-LUHM001-HW</t>
  </si>
  <si>
    <t>B07DQP8MPM</t>
  </si>
  <si>
    <t>RONKONKOMA</t>
  </si>
  <si>
    <t>112-6374872-6635441</t>
  </si>
  <si>
    <t>2018-06-30T02:04:32+00:00</t>
  </si>
  <si>
    <t>2018-07-01T07:37:55+00:00</t>
  </si>
  <si>
    <t>SHENANDOAH</t>
  </si>
  <si>
    <t>51601-2149</t>
  </si>
  <si>
    <t>113-7314863-6355418</t>
  </si>
  <si>
    <t>2018-06-30T01:07:12+00:00</t>
  </si>
  <si>
    <t>2018-06-30T08:21:19+00:00</t>
  </si>
  <si>
    <t>33145-1951</t>
  </si>
  <si>
    <t>114-6083018-5471464</t>
  </si>
  <si>
    <t>2018-07-01T23:06:46+00:00</t>
  </si>
  <si>
    <t>2018-07-02T22:56:51+00:00</t>
  </si>
  <si>
    <t>BLOOMINGTON</t>
  </si>
  <si>
    <t>61705-6587</t>
  </si>
  <si>
    <t>112-7415703-1841055</t>
  </si>
  <si>
    <t>2018-07-01T23:04:11+00:00</t>
  </si>
  <si>
    <t>2018-07-03T15:15:35+00:00</t>
  </si>
  <si>
    <t>MILTON</t>
  </si>
  <si>
    <t>30004-7550</t>
  </si>
  <si>
    <t>114-4833858-9793839</t>
  </si>
  <si>
    <t>2018-07-01T22:50:19+00:00</t>
  </si>
  <si>
    <t>2018-07-02T12:50:44+00:00</t>
  </si>
  <si>
    <t>PERRYVILLE</t>
  </si>
  <si>
    <t>114-5808859-9736211</t>
  </si>
  <si>
    <t>2018-07-01T22:49:57+00:00</t>
  </si>
  <si>
    <t>2018-07-06T05:13:15+00:00</t>
  </si>
  <si>
    <t>EAST GRAND RAPIDS</t>
  </si>
  <si>
    <t>49506-3171</t>
  </si>
  <si>
    <t>114-2475457-5639423</t>
  </si>
  <si>
    <t>2018-07-01T22:08:59+00:00</t>
  </si>
  <si>
    <t>2018-07-03T06:38:20+00:00</t>
  </si>
  <si>
    <t>JURUPA VALLEY</t>
  </si>
  <si>
    <t>92509-5453</t>
  </si>
  <si>
    <t>113-9539870-0463459</t>
  </si>
  <si>
    <t>2018-07-01T22:07:20+00:00</t>
  </si>
  <si>
    <t>2018-07-03T21:39:59+00:00</t>
  </si>
  <si>
    <t>PRATTVILLE</t>
  </si>
  <si>
    <t>36066-1959</t>
  </si>
  <si>
    <t>111-5685488-8841042</t>
  </si>
  <si>
    <t>2018-07-01T21:55:04+00:00</t>
  </si>
  <si>
    <t>2018-07-02T13:38:41+00:00</t>
  </si>
  <si>
    <t>Sussex</t>
  </si>
  <si>
    <t>113-4797807-4695428</t>
  </si>
  <si>
    <t>2018-07-01T21:42:47+00:00</t>
  </si>
  <si>
    <t>2018-07-06T00:27:55+00:00</t>
  </si>
  <si>
    <t>Anthony</t>
  </si>
  <si>
    <t>113-0691243-8705029</t>
  </si>
  <si>
    <t>2018-07-01T21:24:06+00:00</t>
  </si>
  <si>
    <t>2018-07-03T06:16:37+00:00</t>
  </si>
  <si>
    <t>NORTH LAS VEGAS</t>
  </si>
  <si>
    <t>89081-6800</t>
  </si>
  <si>
    <t>113-8219062-4034655</t>
  </si>
  <si>
    <t>2018-07-01T21:19:41+00:00</t>
  </si>
  <si>
    <t>2018-07-03T03:58:18+00:00</t>
  </si>
  <si>
    <t>PENNGROVE</t>
  </si>
  <si>
    <t>94951-8675</t>
  </si>
  <si>
    <t>111-3449942-8834659</t>
  </si>
  <si>
    <t>2018-07-01T21:14:34+00:00</t>
  </si>
  <si>
    <t>2018-07-02T06:29:47+00:00</t>
  </si>
  <si>
    <t>21208-1378</t>
  </si>
  <si>
    <t>114-5441345-3433840</t>
  </si>
  <si>
    <t>2018-07-01T20:58:36+00:00</t>
  </si>
  <si>
    <t>2018-07-02T03:41:24+00:00</t>
  </si>
  <si>
    <t>VIAN</t>
  </si>
  <si>
    <t>74962-5202</t>
  </si>
  <si>
    <t>114-0372562-5866620</t>
  </si>
  <si>
    <t>2018-07-01T19:04:28+00:00</t>
  </si>
  <si>
    <t>2018-07-03T03:19:11+00:00</t>
  </si>
  <si>
    <t>LAKEWOOD</t>
  </si>
  <si>
    <t>08701-7389</t>
  </si>
  <si>
    <t>112-5073003-1596230</t>
  </si>
  <si>
    <t>2018-07-01T18:53:30+00:00</t>
  </si>
  <si>
    <t>2018-07-02T21:02:11+00:00</t>
  </si>
  <si>
    <t>Small Foldable Storage Basket waterproof Oxford Storage Bins for Toy Storage(Black,7.9x5.5x6.3In)</t>
  </si>
  <si>
    <t>SNH-LUHM001-K0</t>
  </si>
  <si>
    <t>B07DQLZ5KK</t>
  </si>
  <si>
    <t>WORTON</t>
  </si>
  <si>
    <t>21678-1432</t>
  </si>
  <si>
    <t>112-9871163-2900217</t>
  </si>
  <si>
    <t>2018-07-01T18:34:21+00:00</t>
  </si>
  <si>
    <t>2018-07-02T21:04:44+00:00</t>
  </si>
  <si>
    <t>KENMORE</t>
  </si>
  <si>
    <t>14217-1821</t>
  </si>
  <si>
    <t>114-6901451-6384261</t>
  </si>
  <si>
    <t>2018-07-01T17:22:42+00:00</t>
  </si>
  <si>
    <t>2018-07-02T03:32:02+00:00</t>
  </si>
  <si>
    <t>10010-1915</t>
  </si>
  <si>
    <t>111-0354518-3819436</t>
  </si>
  <si>
    <t>2018-07-01T16:57:40+00:00</t>
  </si>
  <si>
    <t>2018-07-03T01:34:42+00:00</t>
  </si>
  <si>
    <t>WEST CHESTER</t>
  </si>
  <si>
    <t>45069-2220</t>
  </si>
  <si>
    <t>111-0138038-2459447</t>
  </si>
  <si>
    <t>2018-07-01T16:36:50+00:00</t>
  </si>
  <si>
    <t>2018-07-02T04:11:48+00:00</t>
  </si>
  <si>
    <t>RUSKIN</t>
  </si>
  <si>
    <t>33570-4940</t>
  </si>
  <si>
    <t>113-6011289-0073827</t>
  </si>
  <si>
    <t>2018-07-01T15:59:49+00:00</t>
  </si>
  <si>
    <t>2018-07-02T02:12:46+00:00</t>
  </si>
  <si>
    <t>11106-1837</t>
  </si>
  <si>
    <t>113-4789660-6184210</t>
  </si>
  <si>
    <t>2018-07-01T15:39:22+00:00</t>
  </si>
  <si>
    <t>2018-07-02T05:06:13+00:00</t>
  </si>
  <si>
    <t>20874-2824</t>
  </si>
  <si>
    <t>113-9689989-9925068</t>
  </si>
  <si>
    <t>2018-07-01T14:46:53+00:00</t>
  </si>
  <si>
    <t>2018-07-03T19:06:23+00:00</t>
  </si>
  <si>
    <t>conestoga</t>
  </si>
  <si>
    <t>112-5212464-6694657</t>
  </si>
  <si>
    <t>2018-07-01T14:41:20+00:00</t>
  </si>
  <si>
    <t>2018-07-02T20:05:18+00:00</t>
  </si>
  <si>
    <t>Duluth</t>
  </si>
  <si>
    <t>113-4033060-2436218</t>
  </si>
  <si>
    <t>2018-07-01T10:21:45+00:00</t>
  </si>
  <si>
    <t>2018-07-03T00:38:03+00:00</t>
  </si>
  <si>
    <t>Clothes and toys organizer Waterproof hamper Foldable laundry basket for storage(Flag and English,13.8x13.8x17.7In)</t>
  </si>
  <si>
    <t>SNT-LUHM001-GQ</t>
  </si>
  <si>
    <t>B07DQL4VVH</t>
  </si>
  <si>
    <t>LAS VEGAS</t>
  </si>
  <si>
    <t>89148-5068</t>
  </si>
  <si>
    <t>112-3263846-3582618</t>
  </si>
  <si>
    <t>2018-07-01T10:19:46+00:00</t>
  </si>
  <si>
    <t>2018-07-01T15:30:55+00:00</t>
  </si>
  <si>
    <t>20019-6532</t>
  </si>
  <si>
    <t>113-9006263-9295411</t>
  </si>
  <si>
    <t>2018-07-01T05:10:53+00:00</t>
  </si>
  <si>
    <t>2018-07-02T05:30:36+00:00</t>
  </si>
  <si>
    <t>LONG BEACH</t>
  </si>
  <si>
    <t>90808-1942</t>
  </si>
  <si>
    <t>112-3441388-5118667</t>
  </si>
  <si>
    <t>2018-07-01T04:54:58+00:00</t>
  </si>
  <si>
    <t>2018-07-02T04:25:12+00:00</t>
  </si>
  <si>
    <t>LAGUNA NIGUEL</t>
  </si>
  <si>
    <t>92677-1864</t>
  </si>
  <si>
    <t>111-7189136-7177803</t>
  </si>
  <si>
    <t>2018-07-01T03:58:56+00:00</t>
  </si>
  <si>
    <t>2018-07-05T13:10:50+00:00</t>
  </si>
  <si>
    <t>EDON</t>
  </si>
  <si>
    <t>43518-9578</t>
  </si>
  <si>
    <t>114-0196602-6689017</t>
  </si>
  <si>
    <t>2018-07-01T03:54:47+00:00</t>
  </si>
  <si>
    <t>2018-07-02T06:51:43+00:00</t>
  </si>
  <si>
    <t>TEMECULA</t>
  </si>
  <si>
    <t>92591-3897</t>
  </si>
  <si>
    <t>111-9624806-8652219</t>
  </si>
  <si>
    <t>2018-07-01T03:54:03+00:00</t>
  </si>
  <si>
    <t>2018-07-06T00:21:14+00:00</t>
  </si>
  <si>
    <t>APO</t>
  </si>
  <si>
    <t>AE</t>
  </si>
  <si>
    <t>09464-0051</t>
  </si>
  <si>
    <t>114-5396335-5939445</t>
  </si>
  <si>
    <t>2018-07-01T03:52:41+00:00</t>
  </si>
  <si>
    <t>2018-07-01T20:25:02+00:00</t>
  </si>
  <si>
    <t>33763-2208</t>
  </si>
  <si>
    <t>111-0174066-5233801</t>
  </si>
  <si>
    <t>2018-07-01T01:50:36+00:00</t>
  </si>
  <si>
    <t>2018-07-04T16:25:07+00:00</t>
  </si>
  <si>
    <t>LANSING</t>
  </si>
  <si>
    <t>114-8167637-1153002</t>
  </si>
  <si>
    <t>2018-07-01T00:43:49+00:00</t>
  </si>
  <si>
    <t>2018-07-02T02:39:13+00:00</t>
  </si>
  <si>
    <t>MORGANTOWN</t>
  </si>
  <si>
    <t>26508-4533</t>
  </si>
  <si>
    <t>113-0279873-5118643</t>
  </si>
  <si>
    <t>2018-07-01T00:40:54+00:00</t>
  </si>
  <si>
    <t>2018-07-02T06:40:08+00:00</t>
  </si>
  <si>
    <t>NEW PORT RICHEY</t>
  </si>
  <si>
    <t>34653-5932</t>
  </si>
  <si>
    <t>112-2127120-0283465</t>
  </si>
  <si>
    <t>2018-07-01T00:04:49+00:00</t>
  </si>
  <si>
    <t>2018-07-02T03:57:28+00:00</t>
  </si>
  <si>
    <t>Roseville</t>
  </si>
  <si>
    <t>113-3667385-0053061</t>
  </si>
  <si>
    <t>2018-07-02T23:57:10+00:00</t>
  </si>
  <si>
    <t>2018-07-04T19:26:49+00:00</t>
  </si>
  <si>
    <t>WILLIAMSPORT</t>
  </si>
  <si>
    <t>17701-4318</t>
  </si>
  <si>
    <t>113-8673203-6107445</t>
  </si>
  <si>
    <t>2018-07-02T23:56:22+00:00</t>
  </si>
  <si>
    <t>2018-07-04T16:26:40+00:00</t>
  </si>
  <si>
    <t>YORK</t>
  </si>
  <si>
    <t>17403-3519</t>
  </si>
  <si>
    <t>111-5091344-3683431</t>
  </si>
  <si>
    <t>2018-07-02T23:51:07+00:00</t>
  </si>
  <si>
    <t>2018-07-04T00:40:52+00:00</t>
  </si>
  <si>
    <t>Redding</t>
  </si>
  <si>
    <t>113-7336784-2585035</t>
  </si>
  <si>
    <t>2018-07-02T22:34:31+00:00</t>
  </si>
  <si>
    <t>2018-07-03T10:36:49+00:00</t>
  </si>
  <si>
    <t>76135-2057</t>
  </si>
  <si>
    <t>111-9024047-3397808</t>
  </si>
  <si>
    <t>2018-07-02T22:29:58+00:00</t>
  </si>
  <si>
    <t>2018-07-03T23:26:39+00:00</t>
  </si>
  <si>
    <t>97216-3540</t>
  </si>
  <si>
    <t>112-9042018-4950664</t>
  </si>
  <si>
    <t>2018-07-02T20:08:09+00:00</t>
  </si>
  <si>
    <t>2018-07-08T20:31:09+00:00</t>
  </si>
  <si>
    <t>85042-6068</t>
  </si>
  <si>
    <t>111-1136626-6074635</t>
  </si>
  <si>
    <t>2018-07-02T19:05:50+00:00</t>
  </si>
  <si>
    <t>2018-07-04T14:54:07+00:00</t>
  </si>
  <si>
    <t>Small Foldable Storage Basket waterproof Oxford Storage Bins for Toy Storage(Yellow,7.9x5.5x6.3In)</t>
  </si>
  <si>
    <t>SNH-LUHM001-Y0</t>
  </si>
  <si>
    <t>B07DQL4VVL</t>
  </si>
  <si>
    <t>Felton</t>
  </si>
  <si>
    <t>DE</t>
  </si>
  <si>
    <t>112-9346289-1461018</t>
  </si>
  <si>
    <t>2018-07-02T18:42:01+00:00</t>
  </si>
  <si>
    <t>2018-07-03T02:40:22+00:00</t>
  </si>
  <si>
    <t>Pet Carrier Backpack Adjustable Legs Out Front Carrier Bag for Samll Medium Large Dogs Cats Camouflage M</t>
  </si>
  <si>
    <t>CWB-WF021-CF-M</t>
  </si>
  <si>
    <t>B0779W8MFG</t>
  </si>
  <si>
    <t>Hendersonville</t>
  </si>
  <si>
    <t>113-1169951-8301858</t>
  </si>
  <si>
    <t>2018-07-02T18:18:29+00:00</t>
  </si>
  <si>
    <t>2018-07-05T14:51:53+00:00</t>
  </si>
  <si>
    <t>37042-7275</t>
  </si>
  <si>
    <t>114-5078738-9657052</t>
  </si>
  <si>
    <t>2018-07-02T18:17:18+00:00</t>
  </si>
  <si>
    <t>2018-07-04T08:09:48+00:00</t>
  </si>
  <si>
    <t>POWELL</t>
  </si>
  <si>
    <t>43065-9075</t>
  </si>
  <si>
    <t>111-7992662-6803423</t>
  </si>
  <si>
    <t>2018-07-02T17:57:57+00:00</t>
  </si>
  <si>
    <t>2018-07-04T01:41:29+00:00</t>
  </si>
  <si>
    <t>Waterproof Laundry Storage Basket for Bedroom Bathroom Kids Linen Cotton White and Rabbits 15.7"x15.7"x19.7"</t>
  </si>
  <si>
    <t>Urbana</t>
  </si>
  <si>
    <t>114-6658851-6774642</t>
  </si>
  <si>
    <t>2018-07-02T17:25:28+00:00</t>
  </si>
  <si>
    <t>2018-07-06T20:58:26+00:00</t>
  </si>
  <si>
    <t>WHITE PLAINS</t>
  </si>
  <si>
    <t>10605-4213</t>
  </si>
  <si>
    <t>112-3098167-1469051</t>
  </si>
  <si>
    <t>2018-07-02T16:55:41+00:00</t>
  </si>
  <si>
    <t>2018-07-04T19:04:40+00:00</t>
  </si>
  <si>
    <t>MACOMB</t>
  </si>
  <si>
    <t>61455-1404</t>
  </si>
  <si>
    <t>113-5216780-3051452</t>
  </si>
  <si>
    <t>2018-07-02T16:27:18+00:00</t>
  </si>
  <si>
    <t>2018-07-03T04:58:09+00:00</t>
  </si>
  <si>
    <t>60657-4340</t>
  </si>
  <si>
    <t>113-7961254-1589858</t>
  </si>
  <si>
    <t>2018-07-02T15:57:20+00:00</t>
  </si>
  <si>
    <t>2018-07-07T03:41:43+00:00</t>
  </si>
  <si>
    <t>63131-2618</t>
  </si>
  <si>
    <t>114-7236732-7091428</t>
  </si>
  <si>
    <t>2018-07-02T13:24:39+00:00</t>
  </si>
  <si>
    <t>2018-07-03T01:23:41+00:00</t>
  </si>
  <si>
    <t>Lastia Mesh Beach Tote Bag with Zipper Top and Insulated Picnic Cooler and Free Get A Bonus Waterproof Cellphone Case Black</t>
  </si>
  <si>
    <t>SB-LUHM100-K0</t>
  </si>
  <si>
    <t>B07DVBN2KT</t>
  </si>
  <si>
    <t>10461-4739</t>
  </si>
  <si>
    <t>114-1044497-5002629</t>
  </si>
  <si>
    <t>2018-07-02T12:36:06+00:00</t>
  </si>
  <si>
    <t>2018-07-02T22:38:29+00:00</t>
  </si>
  <si>
    <t>ANDOVER</t>
  </si>
  <si>
    <t>01810-6069</t>
  </si>
  <si>
    <t>111-7050367-7821018</t>
  </si>
  <si>
    <t>2018-07-02T05:40:11+00:00</t>
  </si>
  <si>
    <t>2018-07-03T14:13:12+00:00</t>
  </si>
  <si>
    <t>IRVINE</t>
  </si>
  <si>
    <t>92604-1921</t>
  </si>
  <si>
    <t>113-7147566-1066610</t>
  </si>
  <si>
    <t>2018-07-02T04:51:58+00:00</t>
  </si>
  <si>
    <t>2018-07-02T22:41:53+00:00</t>
  </si>
  <si>
    <t>94112-2829</t>
  </si>
  <si>
    <t>113-2325542-5115423</t>
  </si>
  <si>
    <t>2018-07-02T03:30:36+00:00</t>
  </si>
  <si>
    <t>2018-07-02T19:23:41+00:00</t>
  </si>
  <si>
    <t>STERRETT</t>
  </si>
  <si>
    <t>35147-4120</t>
  </si>
  <si>
    <t>114-2525751-1103418</t>
  </si>
  <si>
    <t>2018-07-02T03:28:09+00:00</t>
  </si>
  <si>
    <t>2018-07-04T02:54:26+00:00</t>
  </si>
  <si>
    <t>LEMON GROVE</t>
  </si>
  <si>
    <t>91945-2001</t>
  </si>
  <si>
    <t>113-8396932-1106615</t>
  </si>
  <si>
    <t>2018-07-02T03:19:36+00:00</t>
  </si>
  <si>
    <t>2018-07-03T09:55:24+00:00</t>
  </si>
  <si>
    <t>Greensboro</t>
  </si>
  <si>
    <t>27408-7710</t>
  </si>
  <si>
    <t>113-6295793-1025856</t>
  </si>
  <si>
    <t>2018-07-02T03:10:39+00:00</t>
  </si>
  <si>
    <t>2018-07-02T18:57:55+00:00</t>
  </si>
  <si>
    <t>Elephant Tapestry Wall Hanging Large Wall Decor Mandala for Bedroom Purple (200150cm/7959inches)</t>
  </si>
  <si>
    <t>GT-WFY1-E3</t>
  </si>
  <si>
    <t>B077NZLTQX</t>
  </si>
  <si>
    <t>SAN PEDRO</t>
  </si>
  <si>
    <t>90731-4210</t>
  </si>
  <si>
    <t>113-3058988-1125069</t>
  </si>
  <si>
    <t>2018-07-02T02:36:05+00:00</t>
  </si>
  <si>
    <t>2018-07-02T22:39:49+00:00</t>
  </si>
  <si>
    <t>89113-1376</t>
  </si>
  <si>
    <t>112-8051496-3542639</t>
  </si>
  <si>
    <t>2018-07-02T02:33:44+00:00</t>
  </si>
  <si>
    <t>2018-07-03T03:24:40+00:00</t>
  </si>
  <si>
    <t>68504-2541</t>
  </si>
  <si>
    <t>114-7904560-0977868</t>
  </si>
  <si>
    <t>2018-07-02T01:15:34+00:00</t>
  </si>
  <si>
    <t>2018-07-03T04:26:16+00:00</t>
  </si>
  <si>
    <t>KELLER</t>
  </si>
  <si>
    <t>76248-3242</t>
  </si>
  <si>
    <t>111-7685866-4979415</t>
  </si>
  <si>
    <t>2018-07-02T00:48:09+00:00</t>
  </si>
  <si>
    <t>2018-07-02T00:53:34+00:00</t>
  </si>
  <si>
    <t>Sacramento</t>
  </si>
  <si>
    <t>Ca</t>
  </si>
  <si>
    <t>113-4375147-8524265</t>
  </si>
  <si>
    <t>2018-07-03T23:15:00+00:00</t>
  </si>
  <si>
    <t>2018-07-04T16:31:20+00:00</t>
  </si>
  <si>
    <t>VIENNA</t>
  </si>
  <si>
    <t>22180-6455</t>
  </si>
  <si>
    <t>111-8915566-4971418</t>
  </si>
  <si>
    <t>2018-07-03T22:39:30+00:00</t>
  </si>
  <si>
    <t>2018-07-04T14:46:36+00:00</t>
  </si>
  <si>
    <t>NEW BALTIMORE</t>
  </si>
  <si>
    <t>48047-5421</t>
  </si>
  <si>
    <t>111-8320201-1389031</t>
  </si>
  <si>
    <t>2018-07-03T22:30:37+00:00</t>
  </si>
  <si>
    <t>2018-07-07T22:31:42+00:00</t>
  </si>
  <si>
    <t>HILLSBOROUGH</t>
  </si>
  <si>
    <t>08844-5112</t>
  </si>
  <si>
    <t>112-1542483-1661044</t>
  </si>
  <si>
    <t>2018-07-03T21:26:42+00:00</t>
  </si>
  <si>
    <t>2018-07-06T01:54:04+00:00</t>
  </si>
  <si>
    <t>CIBOLO</t>
  </si>
  <si>
    <t>78108-3352</t>
  </si>
  <si>
    <t>111-8751079-6453833</t>
  </si>
  <si>
    <t>2018-07-03T20:17:52+00:00</t>
  </si>
  <si>
    <t>2018-07-06T01:21:17+00:00</t>
  </si>
  <si>
    <t>Stony Point</t>
  </si>
  <si>
    <t>114-8382050-9588254</t>
  </si>
  <si>
    <t>2018-07-03T19:37:26+00:00</t>
  </si>
  <si>
    <t>2018-07-04T07:56:06+00:00</t>
  </si>
  <si>
    <t>EULESS</t>
  </si>
  <si>
    <t>76039-4205</t>
  </si>
  <si>
    <t>113-0344540-9377837</t>
  </si>
  <si>
    <t>2018-07-03T18:56:42+00:00</t>
  </si>
  <si>
    <t>2018-07-04T06:29:01+00:00</t>
  </si>
  <si>
    <t>TULLAHOMA</t>
  </si>
  <si>
    <t>37388-8011</t>
  </si>
  <si>
    <t>111-0815025-7030601</t>
  </si>
  <si>
    <t>2018-07-03T18:44:50+00:00</t>
  </si>
  <si>
    <t>2018-07-04T03:57:42+00:00</t>
  </si>
  <si>
    <t>BELTON</t>
  </si>
  <si>
    <t>64012-1965</t>
  </si>
  <si>
    <t>114-4422380-8178641</t>
  </si>
  <si>
    <t>2018-07-03T18:36:54+00:00</t>
  </si>
  <si>
    <t>2018-07-04T06:39:24+00:00</t>
  </si>
  <si>
    <t>TACOMA</t>
  </si>
  <si>
    <t>98446-3321</t>
  </si>
  <si>
    <t>111-2522135-1969855</t>
  </si>
  <si>
    <t>2018-07-03T17:45:49+00:00</t>
  </si>
  <si>
    <t>2018-07-04T12:46:24+00:00</t>
  </si>
  <si>
    <t>TEMPERANCE</t>
  </si>
  <si>
    <t>48182-1382</t>
  </si>
  <si>
    <t>111-4376943-3508218</t>
  </si>
  <si>
    <t>2018-07-03T16:52:09+00:00</t>
  </si>
  <si>
    <t>2018-07-04T02:44:24+00:00</t>
  </si>
  <si>
    <t>OREM</t>
  </si>
  <si>
    <t>84058-5834</t>
  </si>
  <si>
    <t>114-2569873-9377054</t>
  </si>
  <si>
    <t>2018-07-03T16:22:21+00:00</t>
  </si>
  <si>
    <t>2018-07-04T10:40:35+00:00</t>
  </si>
  <si>
    <t>Monitor Memo Board Computer Monitors Notes Holder and Reminder Acrylic Message Boards Memo Pads Sticky Board for Paper Sticky Notes Cow</t>
  </si>
  <si>
    <t>SANTA MARIA</t>
  </si>
  <si>
    <t>93458-2745</t>
  </si>
  <si>
    <t>113-5222647-4054626</t>
  </si>
  <si>
    <t>2018-07-03T15:50:41+00:00</t>
  </si>
  <si>
    <t>2018-07-04T01:26:32+00:00</t>
  </si>
  <si>
    <t>INDIANAPOLIS</t>
  </si>
  <si>
    <t>114-1249362-7641850</t>
  </si>
  <si>
    <t>2018-07-03T13:35:32+00:00</t>
  </si>
  <si>
    <t>2018-07-05T07:51:13+00:00</t>
  </si>
  <si>
    <t>HENDERSONVILLE</t>
  </si>
  <si>
    <t>28792-8784</t>
  </si>
  <si>
    <t>111-9123989-5010619</t>
  </si>
  <si>
    <t>2018-07-03T13:12:10+00:00</t>
  </si>
  <si>
    <t>2018-07-04T00:12:19+00:00</t>
  </si>
  <si>
    <t>Commerce Township</t>
  </si>
  <si>
    <t>112-6230040-4161042</t>
  </si>
  <si>
    <t>2018-07-03T12:46:15+00:00</t>
  </si>
  <si>
    <t>2018-07-04T00:19:57+00:00</t>
  </si>
  <si>
    <t>BALDWIN</t>
  </si>
  <si>
    <t>11510-2339</t>
  </si>
  <si>
    <t>112-1578300-8279406</t>
  </si>
  <si>
    <t>2018-07-03T05:50:59+00:00</t>
  </si>
  <si>
    <t>2018-07-04T03:56:35+00:00</t>
  </si>
  <si>
    <t>111-5637354-7418654</t>
  </si>
  <si>
    <t>2018-07-03T05:05:17+00:00</t>
  </si>
  <si>
    <t>2018-07-04T07:57:59+00:00</t>
  </si>
  <si>
    <t>06877-1401</t>
  </si>
  <si>
    <t>114-9064095-2109869</t>
  </si>
  <si>
    <t>2018-07-03T03:25:50+00:00</t>
  </si>
  <si>
    <t>2018-07-04T05:31:26+00:00</t>
  </si>
  <si>
    <t>ISSAQUAH</t>
  </si>
  <si>
    <t>98027-2419</t>
  </si>
  <si>
    <t>112-1273597-6734638</t>
  </si>
  <si>
    <t>2018-07-03T03:25:49+00:00</t>
  </si>
  <si>
    <t>2018-07-04T06:21:01+00:00</t>
  </si>
  <si>
    <t>San Antonio</t>
  </si>
  <si>
    <t>112-6377253-1994656</t>
  </si>
  <si>
    <t>2018-07-03T03:22:52+00:00</t>
  </si>
  <si>
    <t>2018-07-04T02:34:26+00:00</t>
  </si>
  <si>
    <t>07657-2346</t>
  </si>
  <si>
    <t>113-2040763-4629033</t>
  </si>
  <si>
    <t>2018-07-03T02:29:56+00:00</t>
  </si>
  <si>
    <t>2018-07-04T04:31:46+00:00</t>
  </si>
  <si>
    <t>FREDERICKSBURG</t>
  </si>
  <si>
    <t>22408-2437</t>
  </si>
  <si>
    <t>111-3987576-3828220</t>
  </si>
  <si>
    <t>2018-07-03T02:11:32+00:00</t>
  </si>
  <si>
    <t>2018-07-09T17:00:48+00:00</t>
  </si>
  <si>
    <t>96818-2959</t>
  </si>
  <si>
    <t>112-8967057-8088248</t>
  </si>
  <si>
    <t>2018-07-03T02:02:37+00:00</t>
  </si>
  <si>
    <t>2018-07-03T12:30:03+00:00</t>
  </si>
  <si>
    <t>TULARE</t>
  </si>
  <si>
    <t>93274-7561</t>
  </si>
  <si>
    <t>113-1604904-4682651</t>
  </si>
  <si>
    <t>2018-07-03T02:01:03+00:00</t>
  </si>
  <si>
    <t>2018-07-03T22:24:52+00:00</t>
  </si>
  <si>
    <t>Small Foldable Storage Basket waterproof Oxford Storage Bins for Toy Storage(Green,7.9x5.5x6.3In)</t>
  </si>
  <si>
    <t>SNH-LUHM001-G0</t>
  </si>
  <si>
    <t>B07DQMT2TL</t>
  </si>
  <si>
    <t>TAYLOR</t>
  </si>
  <si>
    <t>76574-1645</t>
  </si>
  <si>
    <t>114-1948945-4274624</t>
  </si>
  <si>
    <t>2018-07-03T01:07:16+00:00</t>
  </si>
  <si>
    <t>2018-07-03T21:16:37+00:00</t>
  </si>
  <si>
    <t>11714-1712</t>
  </si>
  <si>
    <t>114-4355882-5972262</t>
  </si>
  <si>
    <t>2018-07-04T23:38:59+00:00</t>
  </si>
  <si>
    <t>2018-07-06T07:19:02+00:00</t>
  </si>
  <si>
    <t>SPRING</t>
  </si>
  <si>
    <t>77379-6920</t>
  </si>
  <si>
    <t>112-3566893-6076244</t>
  </si>
  <si>
    <t>2018-07-04T23:27:39+00:00</t>
  </si>
  <si>
    <t>2018-07-08T02:41:39+00:00</t>
  </si>
  <si>
    <t>WINSTON SALEM</t>
  </si>
  <si>
    <t>27103-4322</t>
  </si>
  <si>
    <t>112-7141993-1426656</t>
  </si>
  <si>
    <t>2018-07-04T22:21:36+00:00</t>
  </si>
  <si>
    <t>2018-07-05T21:15:18+00:00</t>
  </si>
  <si>
    <t>brooklyn</t>
  </si>
  <si>
    <t>112-2167848-8514651</t>
  </si>
  <si>
    <t>2018-07-04T21:58:57+00:00</t>
  </si>
  <si>
    <t>2018-07-07T23:21:59+00:00</t>
  </si>
  <si>
    <t>33142-4217</t>
  </si>
  <si>
    <t>112-6915440-6624233</t>
  </si>
  <si>
    <t>2018-07-04T21:55:43+00:00</t>
  </si>
  <si>
    <t>2018-07-08T01:37:10+00:00</t>
  </si>
  <si>
    <t>MOUNT VERNON</t>
  </si>
  <si>
    <t>10550-1645</t>
  </si>
  <si>
    <t>113-4004166-2577867</t>
  </si>
  <si>
    <t>2018-07-04T21:42:33+00:00</t>
  </si>
  <si>
    <t>2018-07-06T19:52:12+00:00</t>
  </si>
  <si>
    <t>Isla Vista</t>
  </si>
  <si>
    <t>93117-5103-33</t>
  </si>
  <si>
    <t>114-2225093-4148205</t>
  </si>
  <si>
    <t>2018-07-04T20:58:15+00:00</t>
  </si>
  <si>
    <t>2018-07-06T09:31:30+00:00</t>
  </si>
  <si>
    <t>CHOCOWINITY</t>
  </si>
  <si>
    <t>27817-9237</t>
  </si>
  <si>
    <t>112-3436759-0841832</t>
  </si>
  <si>
    <t>2018-07-04T20:14:37+00:00</t>
  </si>
  <si>
    <t>2018-07-08T02:40:44+00:00</t>
  </si>
  <si>
    <t>Compton</t>
  </si>
  <si>
    <t>114-0406226-3114607</t>
  </si>
  <si>
    <t>2018-07-04T18:19:09+00:00</t>
  </si>
  <si>
    <t>2018-07-05T17:17:32+00:00</t>
  </si>
  <si>
    <t>60629-2114</t>
  </si>
  <si>
    <t>111-4452463-4679421</t>
  </si>
  <si>
    <t>2018-07-04T17:26:06+00:00</t>
  </si>
  <si>
    <t>2018-07-06T10:20:23+00:00</t>
  </si>
  <si>
    <t>Wichita</t>
  </si>
  <si>
    <t>112-1069197-2725057</t>
  </si>
  <si>
    <t>2018-07-04T16:43:28+00:00</t>
  </si>
  <si>
    <t>2018-07-09T15:48:59+00:00</t>
  </si>
  <si>
    <t>Berwyn</t>
  </si>
  <si>
    <t>114-8750760-2683460</t>
  </si>
  <si>
    <t>2018-07-04T16:38:34+00:00</t>
  </si>
  <si>
    <t>2018-07-06T00:35:39+00:00</t>
  </si>
  <si>
    <t>san jose</t>
  </si>
  <si>
    <t>ca</t>
  </si>
  <si>
    <t>112-3216651-3745861</t>
  </si>
  <si>
    <t>2018-07-04T16:33:09+00:00</t>
  </si>
  <si>
    <t>2018-07-05T16:53:53+00:00</t>
  </si>
  <si>
    <t>MOUNTAIN VIEW</t>
  </si>
  <si>
    <t>94040-1665</t>
  </si>
  <si>
    <t>114-0281076-0590679</t>
  </si>
  <si>
    <t>2018-07-04T16:31:17+00:00</t>
  </si>
  <si>
    <t>2018-07-04T16:35:27+00:00</t>
  </si>
  <si>
    <t>114-6986400-1146639</t>
  </si>
  <si>
    <t>2018-07-04T15:48:45+00:00</t>
  </si>
  <si>
    <t>2018-07-05T22:59:58+00:00</t>
  </si>
  <si>
    <t>80210-5208</t>
  </si>
  <si>
    <t>114-5000226-4866612</t>
  </si>
  <si>
    <t>2018-07-04T15:25:23+00:00</t>
  </si>
  <si>
    <t>2018-07-06T06:23:04+00:00</t>
  </si>
  <si>
    <t>Portland</t>
  </si>
  <si>
    <t>113-1292646-3924227</t>
  </si>
  <si>
    <t>2018-07-04T15:14:46+00:00</t>
  </si>
  <si>
    <t>2018-07-05T19:50:13+00:00</t>
  </si>
  <si>
    <t>FISHKILL</t>
  </si>
  <si>
    <t>12524-4906</t>
  </si>
  <si>
    <t>113-2181754-2606634</t>
  </si>
  <si>
    <t>2018-07-04T14:33:01+00:00</t>
  </si>
  <si>
    <t>2018-07-05T22:29:26+00:00</t>
  </si>
  <si>
    <t>Set of 9 Grey Beverage Chill Rocks Whiskey Rocks Reusable Drinking Ice Stones Chilling Stones Gift Set</t>
  </si>
  <si>
    <t>ST-LAHM-LG-001</t>
  </si>
  <si>
    <t>B07DVJW5HD</t>
  </si>
  <si>
    <t>Brooklyn</t>
  </si>
  <si>
    <t>11235-5022</t>
  </si>
  <si>
    <t>114-0813315-0843432</t>
  </si>
  <si>
    <t>2018-07-04T14:17:08+00:00</t>
  </si>
  <si>
    <t>2018-07-06T06:10:11+00:00</t>
  </si>
  <si>
    <t>Cypress</t>
  </si>
  <si>
    <t>112-7181927-1852251</t>
  </si>
  <si>
    <t>2018-07-04T13:29:40+00:00</t>
  </si>
  <si>
    <t>2018-07-05T23:21:14+00:00</t>
  </si>
  <si>
    <t>60630-1787</t>
  </si>
  <si>
    <t>114-5669856-7330607</t>
  </si>
  <si>
    <t>2018-07-04T13:14:09+00:00</t>
  </si>
  <si>
    <t>2018-07-07T17:11:55+00:00</t>
  </si>
  <si>
    <t>COLLEGE STATION</t>
  </si>
  <si>
    <t>77845-4098</t>
  </si>
  <si>
    <t>112-4805358-2167458</t>
  </si>
  <si>
    <t>2018-07-04T11:27:29+00:00</t>
  </si>
  <si>
    <t>2018-07-05T14:15:11+00:00</t>
  </si>
  <si>
    <t>LEWIS CENTER</t>
  </si>
  <si>
    <t>43035-9270</t>
  </si>
  <si>
    <t>112-3928036-8030660</t>
  </si>
  <si>
    <t>2018-07-04T11:00:32+00:00</t>
  </si>
  <si>
    <t>2018-07-05T09:58:17+00:00</t>
  </si>
  <si>
    <t>FLORIDA</t>
  </si>
  <si>
    <t>33191-1101</t>
  </si>
  <si>
    <t>111-6502356-6419449</t>
  </si>
  <si>
    <t>2018-07-04T06:58:43+00:00</t>
  </si>
  <si>
    <t>2018-07-04T18:22:31+00:00</t>
  </si>
  <si>
    <t>98208-2147</t>
  </si>
  <si>
    <t>112-8416947-0472238</t>
  </si>
  <si>
    <t>2018-07-04T03:53:14+00:00</t>
  </si>
  <si>
    <t>2018-07-04T19:01:10+00:00</t>
  </si>
  <si>
    <t>11229-1526</t>
  </si>
  <si>
    <t>114-6612736-4935401</t>
  </si>
  <si>
    <t>2018-07-04T03:30:09+00:00</t>
  </si>
  <si>
    <t>2018-07-05T22:22:12+00:00</t>
  </si>
  <si>
    <t>FORT COLLINS</t>
  </si>
  <si>
    <t>80525-2331</t>
  </si>
  <si>
    <t>114-1499522-5517032</t>
  </si>
  <si>
    <t>2018-07-04T02:10:58+00:00</t>
  </si>
  <si>
    <t>2018-07-09T22:00:26+00:00</t>
  </si>
  <si>
    <t>HOMESTEAD</t>
  </si>
  <si>
    <t>33032-4707</t>
  </si>
  <si>
    <t>114-5214900-4233849</t>
  </si>
  <si>
    <t>2018-07-04T00:55:36+00:00</t>
  </si>
  <si>
    <t>2018-07-04T19:51:24+00:00</t>
  </si>
  <si>
    <t>UNION CITY</t>
  </si>
  <si>
    <t>07087-5108</t>
  </si>
  <si>
    <t>112-8980233-8293858</t>
  </si>
  <si>
    <t>2018-07-04T00:40:58+00:00</t>
  </si>
  <si>
    <t>2018-07-04T18:26:26+00:00</t>
  </si>
  <si>
    <t>HOCKESSIN</t>
  </si>
  <si>
    <t>DELAWARE</t>
  </si>
  <si>
    <t>19707-2001</t>
  </si>
  <si>
    <t>114-4875760-1513011</t>
  </si>
  <si>
    <t>2018-07-04T00:10:02+00:00</t>
  </si>
  <si>
    <t>2018-07-05T20:31:43+00:00</t>
  </si>
  <si>
    <t>HOBBS</t>
  </si>
  <si>
    <t>113-5222449-3437039</t>
  </si>
  <si>
    <t>2018-07-05T21:26:06+00:00</t>
  </si>
  <si>
    <t>2018-07-07T04:28:08+00:00</t>
  </si>
  <si>
    <t>Monitor Memo Board Computer Monitors Notes Holder and Reminder Acrylic Message Boards Memo Pads Sticky Board for Paper Sticky Notes Lion</t>
  </si>
  <si>
    <t>LAND O LAKES</t>
  </si>
  <si>
    <t>34638-8119</t>
  </si>
  <si>
    <t>114-7481773-7735421</t>
  </si>
  <si>
    <t>2018-07-05T21:24:25+00:00</t>
  </si>
  <si>
    <t>2018-07-06T20:30:38+00:00</t>
  </si>
  <si>
    <t>Magnetic Blocks Building Set 100 Pieces Educational Building Construction Toys for Boys and Girls Multicolor</t>
  </si>
  <si>
    <t>CLP-FLQ43-CS100-100</t>
  </si>
  <si>
    <t>B0776NWKMG</t>
  </si>
  <si>
    <t>95118-1958</t>
  </si>
  <si>
    <t>114-4778882-6640261</t>
  </si>
  <si>
    <t>2018-07-05T20:52:00+00:00</t>
  </si>
  <si>
    <t>2018-07-09T22:58:24+00:00</t>
  </si>
  <si>
    <t>Kanarraville</t>
  </si>
  <si>
    <t>Ut</t>
  </si>
  <si>
    <t>114-8442675-2723405</t>
  </si>
  <si>
    <t>2018-07-05T19:30:16+00:00</t>
  </si>
  <si>
    <t>2018-07-08T22:38:56+00:00</t>
  </si>
  <si>
    <t>FOREST</t>
  </si>
  <si>
    <t>24551-1243</t>
  </si>
  <si>
    <t>113-1380896-8377868</t>
  </si>
  <si>
    <t>2018-07-05T19:23:32+00:00</t>
  </si>
  <si>
    <t>2018-07-07T02:26:26+00:00</t>
  </si>
  <si>
    <t>AUBURN</t>
  </si>
  <si>
    <t>98092-2798</t>
  </si>
  <si>
    <t>114-5022850-1321838</t>
  </si>
  <si>
    <t>2018-07-05T19:19:12+00:00</t>
  </si>
  <si>
    <t>2018-07-06T08:40:06+00:00</t>
  </si>
  <si>
    <t>NEW CUMBERLAND</t>
  </si>
  <si>
    <t>17070-2455</t>
  </si>
  <si>
    <t>114-8224625-2869034</t>
  </si>
  <si>
    <t>2018-07-05T17:38:55+00:00</t>
  </si>
  <si>
    <t>2018-07-06T22:25:03+00:00</t>
  </si>
  <si>
    <t>63125-3538</t>
  </si>
  <si>
    <t>114-2936305-8685001</t>
  </si>
  <si>
    <t>2018-07-05T17:10:07+00:00</t>
  </si>
  <si>
    <t>2018-07-07T01:37:24+00:00</t>
  </si>
  <si>
    <t>EAST BOSTON</t>
  </si>
  <si>
    <t>02128-1441</t>
  </si>
  <si>
    <t>111-9936175-8723412</t>
  </si>
  <si>
    <t>2018-07-05T16:50:01+00:00</t>
  </si>
  <si>
    <t>2018-07-06T09:31:45+00:00</t>
  </si>
  <si>
    <t>60630-1512</t>
  </si>
  <si>
    <t>111-9250287-7266624</t>
  </si>
  <si>
    <t>2018-07-05T15:53:05+00:00</t>
  </si>
  <si>
    <t>2018-07-06T02:51:28+00:00</t>
  </si>
  <si>
    <t>Monitor Memo Board Computer Monitors Notes Holder and Reminder Acrylic Message Boards Memo Pads Sticky Board For Paper Sticky Notes Bear Left</t>
  </si>
  <si>
    <t>BLT-LUHM000-LB</t>
  </si>
  <si>
    <t>B07BVLBRWM</t>
  </si>
  <si>
    <t>GRAND JUNCTION</t>
  </si>
  <si>
    <t>81504-5501</t>
  </si>
  <si>
    <t>111-5716110-7035444</t>
  </si>
  <si>
    <t>2018-07-05T15:30:07+00:00</t>
  </si>
  <si>
    <t>2018-07-07T01:23:34+00:00</t>
  </si>
  <si>
    <t>NORTH RIDGEVILLE</t>
  </si>
  <si>
    <t>44039-1771</t>
  </si>
  <si>
    <t>111-5789434-0108246</t>
  </si>
  <si>
    <t>2018-07-05T13:31:58+00:00</t>
  </si>
  <si>
    <t>2018-07-06T15:37:48+00:00</t>
  </si>
  <si>
    <t>LIVERPOOL</t>
  </si>
  <si>
    <t>13090-1126</t>
  </si>
  <si>
    <t>112-4486319-3729015</t>
  </si>
  <si>
    <t>2018-07-05T12:52:42+00:00</t>
  </si>
  <si>
    <t>2018-07-06T23:35:53+00:00</t>
  </si>
  <si>
    <t>PATERSON</t>
  </si>
  <si>
    <t>07513-1436</t>
  </si>
  <si>
    <t>114-7706531-7833007</t>
  </si>
  <si>
    <t>2018-07-05T04:33:07+00:00</t>
  </si>
  <si>
    <t>2018-07-06T10:37:44+00:00</t>
  </si>
  <si>
    <t>Green Valley</t>
  </si>
  <si>
    <t>Az</t>
  </si>
  <si>
    <t>114-3446478-8230650</t>
  </si>
  <si>
    <t>2018-07-05T04:07:19+00:00</t>
  </si>
  <si>
    <t>2018-07-08T01:39:49+00:00</t>
  </si>
  <si>
    <t>SIMPSONVILLE</t>
  </si>
  <si>
    <t>29680-7633</t>
  </si>
  <si>
    <t>113-2791602-1105840</t>
  </si>
  <si>
    <t>2018-07-05T03:50:32+00:00</t>
  </si>
  <si>
    <t>2018-07-06T01:21:35+00:00</t>
  </si>
  <si>
    <t>SEEKONK</t>
  </si>
  <si>
    <t>02771-3017</t>
  </si>
  <si>
    <t>114-6829355-6142644</t>
  </si>
  <si>
    <t>2018-07-05T03:27:37+00:00</t>
  </si>
  <si>
    <t>2018-07-09T18:22:42+00:00</t>
  </si>
  <si>
    <t>PEACHTREE CORNERS</t>
  </si>
  <si>
    <t>30092-2489</t>
  </si>
  <si>
    <t>114-6513332-8955457</t>
  </si>
  <si>
    <t>2018-07-05T02:46:37+00:00</t>
  </si>
  <si>
    <t>2018-07-06T09:12:50+00:00</t>
  </si>
  <si>
    <t>Indialantic</t>
  </si>
  <si>
    <t>Florida</t>
  </si>
  <si>
    <t>112-6754644-5960259</t>
  </si>
  <si>
    <t>2018-07-05T01:52:54+00:00</t>
  </si>
  <si>
    <t>2018-07-09T19:24:08+00:00</t>
  </si>
  <si>
    <t>FORT LEE</t>
  </si>
  <si>
    <t>07024-7505</t>
  </si>
  <si>
    <t>113-9719417-0031437</t>
  </si>
  <si>
    <t>2018-07-05T00:30:40+00:00</t>
  </si>
  <si>
    <t>2018-07-07T04:36:32+00:00</t>
  </si>
  <si>
    <t>24019-3301</t>
  </si>
  <si>
    <t>S01-5081148-3602664</t>
  </si>
  <si>
    <t>xi761zA137</t>
  </si>
  <si>
    <t>2018-07-06T01:35:37+00:00</t>
  </si>
  <si>
    <t>2018-07-06T01:35:57+00:00</t>
  </si>
  <si>
    <t>Shipping</t>
  </si>
  <si>
    <t>Non-Amazon</t>
  </si>
  <si>
    <t>112-7154545-7082626</t>
  </si>
  <si>
    <t>2018-07-06T21:38:24+00:00</t>
  </si>
  <si>
    <t>2018-07-07T06:28:30+00:00</t>
  </si>
  <si>
    <t>PANAMA CITY</t>
  </si>
  <si>
    <t>32401-1087</t>
  </si>
  <si>
    <t>112-5695599-7298605</t>
  </si>
  <si>
    <t>2018-07-06T20:52:29+00:00</t>
  </si>
  <si>
    <t>2018-07-07T10:27:24+00:00</t>
  </si>
  <si>
    <t>Manhatten Beach</t>
  </si>
  <si>
    <t>113-9086274-3793820</t>
  </si>
  <si>
    <t>2018-07-06T20:46:32+00:00</t>
  </si>
  <si>
    <t>2018-07-08T22:26:24+00:00</t>
  </si>
  <si>
    <t>60661-5618</t>
  </si>
  <si>
    <t>114-3634213-7860234</t>
  </si>
  <si>
    <t>2018-07-06T19:02:21+00:00</t>
  </si>
  <si>
    <t>2018-07-08T00:36:11+00:00</t>
  </si>
  <si>
    <t>LYNN HAVEN</t>
  </si>
  <si>
    <t>32444-5363</t>
  </si>
  <si>
    <t>112-8678147-5753836</t>
  </si>
  <si>
    <t>2018-07-06T16:04:24+00:00</t>
  </si>
  <si>
    <t>2018-07-06T23:45:14+00:00</t>
  </si>
  <si>
    <t>WALNUT CREEK</t>
  </si>
  <si>
    <t>94598-1020</t>
  </si>
  <si>
    <t>114-7590975-1697815</t>
  </si>
  <si>
    <t>2018-07-06T15:48:56+00:00</t>
  </si>
  <si>
    <t>2018-07-07T09:41:17+00:00</t>
  </si>
  <si>
    <t>Waukesha</t>
  </si>
  <si>
    <t>Wisconsin</t>
  </si>
  <si>
    <t>112-4601710-5890651</t>
  </si>
  <si>
    <t>2018-07-06T15:33:43+00:00</t>
  </si>
  <si>
    <t>2018-07-08T11:54:52+00:00</t>
  </si>
  <si>
    <t>irrigon</t>
  </si>
  <si>
    <t>or</t>
  </si>
  <si>
    <t>111-2306582-4488261</t>
  </si>
  <si>
    <t>2018-07-06T15:31:48+00:00</t>
  </si>
  <si>
    <t>2018-07-07T10:01:27+00:00</t>
  </si>
  <si>
    <t>WAUKESHA</t>
  </si>
  <si>
    <t>53189-7220</t>
  </si>
  <si>
    <t>114-3187130-5679439</t>
  </si>
  <si>
    <t>2018-07-06T14:55:48+00:00</t>
  </si>
  <si>
    <t>2018-07-09T01:35:14+00:00</t>
  </si>
  <si>
    <t>Cincinnati</t>
  </si>
  <si>
    <t>45219-1340-41</t>
  </si>
  <si>
    <t>111-9029218-6108247</t>
  </si>
  <si>
    <t>2018-07-06T14:54:41+00:00</t>
  </si>
  <si>
    <t>2018-07-07T19:50:52+00:00</t>
  </si>
  <si>
    <t>South Bend</t>
  </si>
  <si>
    <t>112-2745131-2619403</t>
  </si>
  <si>
    <t>2018-07-06T14:43:58+00:00</t>
  </si>
  <si>
    <t>2018-07-09T23:50:27+00:00</t>
  </si>
  <si>
    <t>43065-9283</t>
  </si>
  <si>
    <t>113-1049179-5533848</t>
  </si>
  <si>
    <t>2018-07-06T14:34:51+00:00</t>
  </si>
  <si>
    <t>2018-07-06T19:40:03+00:00</t>
  </si>
  <si>
    <t>COLUMBIA</t>
  </si>
  <si>
    <t>21044-4912</t>
  </si>
  <si>
    <t>113-1241298-6262667</t>
  </si>
  <si>
    <t>2018-07-06T11:14:22+00:00</t>
  </si>
  <si>
    <t>2018-07-07T06:38:13+00:00</t>
  </si>
  <si>
    <t>TORONTO</t>
  </si>
  <si>
    <t>43964-7811</t>
  </si>
  <si>
    <t>114-8282072-5715468</t>
  </si>
  <si>
    <t>2018-07-06T11:04:57+00:00</t>
  </si>
  <si>
    <t>2018-07-06T22:39:20+00:00</t>
  </si>
  <si>
    <t>SOUTH BEND</t>
  </si>
  <si>
    <t>46637-2016</t>
  </si>
  <si>
    <t>114-0909035-0540226</t>
  </si>
  <si>
    <t>2018-07-06T04:26:12+00:00</t>
  </si>
  <si>
    <t>2018-07-06T12:44:10+00:00</t>
  </si>
  <si>
    <t>95355-8710</t>
  </si>
  <si>
    <t>113-8203331-6630641</t>
  </si>
  <si>
    <t>2018-07-06T03:10:20+00:00</t>
  </si>
  <si>
    <t>2018-07-07T16:16:50+00:00</t>
  </si>
  <si>
    <t>RIVERVIEW</t>
  </si>
  <si>
    <t>33578-4083</t>
  </si>
  <si>
    <t>111-2546530-6611422</t>
  </si>
  <si>
    <t>2018-07-06T02:16:27+00:00</t>
  </si>
  <si>
    <t>2018-07-07T13:57:13+00:00</t>
  </si>
  <si>
    <t>JEFFERSON CITY</t>
  </si>
  <si>
    <t>37760-4552</t>
  </si>
  <si>
    <t>114-8633468-5009021</t>
  </si>
  <si>
    <t>2018-07-06T02:08:08+00:00</t>
  </si>
  <si>
    <t>2018-07-07T08:27:35+00:00</t>
  </si>
  <si>
    <t>FREDERICK</t>
  </si>
  <si>
    <t>21704-8008</t>
  </si>
  <si>
    <t>111-5525705-6012265</t>
  </si>
  <si>
    <t>2018-07-06T01:33:18+00:00</t>
  </si>
  <si>
    <t>2018-07-09T09:53:47+00:00</t>
  </si>
  <si>
    <t>Montreal</t>
  </si>
  <si>
    <t>Quebec</t>
  </si>
  <si>
    <t>H2N 1A3</t>
  </si>
  <si>
    <t>113-5415434-4085804</t>
  </si>
  <si>
    <t>2018-07-06T01:24:14+00:00</t>
  </si>
  <si>
    <t>2018-07-07T04:29:58+00:00</t>
  </si>
  <si>
    <t>WALTON HILLS</t>
  </si>
  <si>
    <t>44146-4228</t>
  </si>
  <si>
    <t>112-4787299-7665863</t>
  </si>
  <si>
    <t>2018-07-06T01:05:04+00:00</t>
  </si>
  <si>
    <t>2018-07-06T10:38:30+00:00</t>
  </si>
  <si>
    <t>MANCHACA</t>
  </si>
  <si>
    <t>78652-6808</t>
  </si>
  <si>
    <t>112-9151506-3257866</t>
  </si>
  <si>
    <t>2018-07-07T19:49:51+00:00</t>
  </si>
  <si>
    <t>2018-07-08T22:26:59+00:00</t>
  </si>
  <si>
    <t>SOUTH PLAINFIELD</t>
  </si>
  <si>
    <t>07080-1520</t>
  </si>
  <si>
    <t>112-7477469-6301054</t>
  </si>
  <si>
    <t>2018-07-07T18:48:00+00:00</t>
  </si>
  <si>
    <t>2018-07-08T00:37:57+00:00</t>
  </si>
  <si>
    <t>QLQ-LUHM121-GM</t>
  </si>
  <si>
    <t>Cumming</t>
  </si>
  <si>
    <t>111-2363569-4289839</t>
  </si>
  <si>
    <t>2018-07-07T18:38:52+00:00</t>
  </si>
  <si>
    <t>2018-07-09T19:35:02+00:00</t>
  </si>
  <si>
    <t>FORT MYERS</t>
  </si>
  <si>
    <t>33919-1609</t>
  </si>
  <si>
    <t>113-1128283-6992221</t>
  </si>
  <si>
    <t>2018-07-07T18:08:05+00:00</t>
  </si>
  <si>
    <t>2018-07-07T18:12:08+00:00</t>
  </si>
  <si>
    <t>BETHLEHEM</t>
  </si>
  <si>
    <t>18015-6013</t>
  </si>
  <si>
    <t>112-1847547-8477805</t>
  </si>
  <si>
    <t>2018-07-07T17:37:58+00:00</t>
  </si>
  <si>
    <t>2018-07-09T19:01:31+00:00</t>
  </si>
  <si>
    <t>64155-1985</t>
  </si>
  <si>
    <t>111-3183201-9575447</t>
  </si>
  <si>
    <t>2018-07-07T16:43:34+00:00</t>
  </si>
  <si>
    <t>2018-07-07T16:43:44+00:00</t>
  </si>
  <si>
    <t>WESTMINSTER</t>
  </si>
  <si>
    <t>92683-1718</t>
  </si>
  <si>
    <t>111-2681184-8564235</t>
  </si>
  <si>
    <t>2018-07-07T16:13:13+00:00</t>
  </si>
  <si>
    <t>2018-07-07T16:13:17+00:00</t>
  </si>
  <si>
    <t>BREWSTER</t>
  </si>
  <si>
    <t>02631-2516</t>
  </si>
  <si>
    <t>113-6066366-0502634</t>
  </si>
  <si>
    <t>2018-07-07T15:47:02+00:00</t>
  </si>
  <si>
    <t>2018-07-09T01:25:43+00:00</t>
  </si>
  <si>
    <t>MINNEAPOLIS</t>
  </si>
  <si>
    <t>55405-2847</t>
  </si>
  <si>
    <t>112-8484479-1203410</t>
  </si>
  <si>
    <t>2018-07-07T15:18:07+00:00</t>
  </si>
  <si>
    <t>2018-07-08T16:49:26+00:00</t>
  </si>
  <si>
    <t>112-7385220-6376205</t>
  </si>
  <si>
    <t>2018-07-07T15:12:07+00:00</t>
  </si>
  <si>
    <t>2018-07-09T04:23:12+00:00</t>
  </si>
  <si>
    <t>ORANGEBURG</t>
  </si>
  <si>
    <t>29118-1215</t>
  </si>
  <si>
    <t>113-5084354-1611413</t>
  </si>
  <si>
    <t>2018-07-07T13:42:55+00:00</t>
  </si>
  <si>
    <t>2018-07-08T22:27:32+00:00</t>
  </si>
  <si>
    <t>BROOKFIELD</t>
  </si>
  <si>
    <t>06804-3533</t>
  </si>
  <si>
    <t>113-4898076-6491414</t>
  </si>
  <si>
    <t>2018-07-07T11:48:56+00:00</t>
  </si>
  <si>
    <t>2018-07-08T01:28:10+00:00</t>
  </si>
  <si>
    <t>North Attleboro</t>
  </si>
  <si>
    <t>111-9733243-8963469</t>
  </si>
  <si>
    <t>2018-07-07T10:05:21+00:00</t>
  </si>
  <si>
    <t>2018-07-07T22:50:50+00:00</t>
  </si>
  <si>
    <t>WAYZATA</t>
  </si>
  <si>
    <t>55391-3234</t>
  </si>
  <si>
    <t>114-9320691-3549065</t>
  </si>
  <si>
    <t>2018-07-07T01:15:02+00:00</t>
  </si>
  <si>
    <t>2018-07-08T21:14:06+00:00</t>
  </si>
  <si>
    <t>Atlanta</t>
  </si>
  <si>
    <t>112-7421866-1020262</t>
  </si>
  <si>
    <t>2018-07-08T23:42:36+00:00</t>
  </si>
  <si>
    <t>2018-07-09T05:25:24+00:00</t>
  </si>
  <si>
    <t>98208-2742</t>
  </si>
  <si>
    <t>114-8365265-2265868</t>
  </si>
  <si>
    <t>2018-07-08T23:04:05+00:00</t>
  </si>
  <si>
    <t>2018-07-09T07:03:41+00:00</t>
  </si>
  <si>
    <t>94105-3231</t>
  </si>
  <si>
    <t>114-4823762-0070614</t>
  </si>
  <si>
    <t>2018-07-08T22:20:22+00:00</t>
  </si>
  <si>
    <t>2018-07-08T22:20:26+00:00</t>
  </si>
  <si>
    <t>Charlotte</t>
  </si>
  <si>
    <t>113-1068181-7229853</t>
  </si>
  <si>
    <t>2018-07-08T22:19:09+00:00</t>
  </si>
  <si>
    <t>2018-07-08T22:19:13+00:00</t>
  </si>
  <si>
    <t>POST FALLS</t>
  </si>
  <si>
    <t>83854-7019</t>
  </si>
  <si>
    <t>113-4486889-8619461</t>
  </si>
  <si>
    <t>2018-07-08T21:13:10+00:00</t>
  </si>
  <si>
    <t>2018-07-09T17:42:34+00:00</t>
  </si>
  <si>
    <t>ANCHORAGE</t>
  </si>
  <si>
    <t>99516-2658</t>
  </si>
  <si>
    <t>114-5710067-5222621</t>
  </si>
  <si>
    <t>2018-07-08T20:54:10+00:00</t>
  </si>
  <si>
    <t>2018-07-09T05:22:36+00:00</t>
  </si>
  <si>
    <t>SEATTLE</t>
  </si>
  <si>
    <t>98117-5245</t>
  </si>
  <si>
    <t>113-9038758-3156241</t>
  </si>
  <si>
    <t>2018-07-08T17:55:22+00:00</t>
  </si>
  <si>
    <t>2018-07-09T09:40:35+00:00</t>
  </si>
  <si>
    <t>BUFFALO</t>
  </si>
  <si>
    <t>14216-2310</t>
  </si>
  <si>
    <t>111-7361075-0290669</t>
  </si>
  <si>
    <t>2018-07-08T17:49:24+00:00</t>
  </si>
  <si>
    <t>2018-07-08T17:51:26+00:00</t>
  </si>
  <si>
    <t>LEWES</t>
  </si>
  <si>
    <t>19958-5829</t>
  </si>
  <si>
    <t>111-3420416-0214612</t>
  </si>
  <si>
    <t>2018-07-08T17:39:53+00:00</t>
  </si>
  <si>
    <t>2018-07-09T03:01:39+00:00</t>
  </si>
  <si>
    <t>PANORAMA VILLAGE</t>
  </si>
  <si>
    <t>77304-1238</t>
  </si>
  <si>
    <t>113-4972812-3024259</t>
  </si>
  <si>
    <t>2018-07-08T15:20:09+00:00</t>
  </si>
  <si>
    <t>2018-07-09T02:16:30+00:00</t>
  </si>
  <si>
    <t>PLAINVIEW</t>
  </si>
  <si>
    <t>11803-3728</t>
  </si>
  <si>
    <t>114-9061407-7036257</t>
  </si>
  <si>
    <t>2018-07-08T14:40:25+00:00</t>
  </si>
  <si>
    <t>2018-07-08T22:08:46+00:00</t>
  </si>
  <si>
    <t>20010-3321</t>
  </si>
  <si>
    <t>113-6506275-7630626</t>
  </si>
  <si>
    <t>2018-07-08T14:36:35+00:00</t>
  </si>
  <si>
    <t>2018-07-08T14:36:40+00:00</t>
  </si>
  <si>
    <t>SHORT HILLS</t>
  </si>
  <si>
    <t>07078-3003</t>
  </si>
  <si>
    <t>111-5785217-4501866</t>
  </si>
  <si>
    <t>2018-07-08T13:17:53+00:00</t>
  </si>
  <si>
    <t>2018-07-08T13:17:57+00:00</t>
  </si>
  <si>
    <t>Dunellen</t>
  </si>
  <si>
    <t>114-9493150-6222650</t>
  </si>
  <si>
    <t>2018-07-08T07:54:26+00:00</t>
  </si>
  <si>
    <t>2018-07-08T07:54:32+00:00</t>
  </si>
  <si>
    <t>RENTON</t>
  </si>
  <si>
    <t>98059-5098</t>
  </si>
  <si>
    <t>111-0947676-5821818</t>
  </si>
  <si>
    <t>2018-07-08T03:58:04+00:00</t>
  </si>
  <si>
    <t>2018-07-09T07:16:51+00:00</t>
  </si>
  <si>
    <t>Montclair</t>
  </si>
  <si>
    <t>nj</t>
  </si>
  <si>
    <t>111-4605972-2934628</t>
  </si>
  <si>
    <t>2018-07-08T01:41:10+00:00</t>
  </si>
  <si>
    <t>2018-07-09T01:34:03+00:00</t>
  </si>
  <si>
    <t>Small Foldable Storage Basket waterproof Oxford Storage Bins for Toy Storage(Grey,7.9x5.5x6.3In)</t>
  </si>
  <si>
    <t>SNH-LUHM001-E0</t>
  </si>
  <si>
    <t>B07DQM6N3W</t>
  </si>
  <si>
    <t>RAYNE</t>
  </si>
  <si>
    <t>70578-2744</t>
  </si>
  <si>
    <t>112-7535878-6443453</t>
  </si>
  <si>
    <t>2018-07-08T00:22:43+00:00</t>
  </si>
  <si>
    <t>2018-07-08T23:25:33+00:00</t>
  </si>
  <si>
    <t>SCOTCH PLAINS</t>
  </si>
  <si>
    <t>07076-3187</t>
  </si>
  <si>
    <t>销量</t>
  </si>
  <si>
    <t>日均销量</t>
  </si>
  <si>
    <t>合计</t>
  </si>
  <si>
    <t>CWB-FLQ1703-NO-47</t>
  </si>
  <si>
    <t>父sku</t>
  </si>
  <si>
    <t>一周销量</t>
  </si>
  <si>
    <t>二周销量</t>
  </si>
  <si>
    <t>三周销量</t>
  </si>
  <si>
    <t>四周销量</t>
  </si>
  <si>
    <t>销售单价</t>
  </si>
  <si>
    <t>销售额</t>
  </si>
  <si>
    <t>总销量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</si>
  <si>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</si>
  <si>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</si>
  <si>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</si>
  <si>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</si>
  <si>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</si>
  <si>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</si>
  <si>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</si>
  <si>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</si>
  <si>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</si>
  <si>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</si>
  <si>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</si>
  <si>
    <t>单价</t>
  </si>
  <si>
    <t>YQ-LUHM</t>
  </si>
  <si>
    <t>QLQ-LUHM121</t>
  </si>
  <si>
    <t>XQ-LUHM089</t>
  </si>
  <si>
    <t>SDSZH</t>
  </si>
  <si>
    <t>BLT-WF125</t>
  </si>
  <si>
    <t>ZYL-FLQ06</t>
  </si>
  <si>
    <t>CQC-WF6346</t>
  </si>
  <si>
    <t>XK-YIWUJS2</t>
  </si>
  <si>
    <t>BD-LUHM001</t>
  </si>
  <si>
    <t>GT-WFTFGT200</t>
  </si>
  <si>
    <t>ZDD-FLQ08</t>
  </si>
  <si>
    <t>BDB-WF212</t>
  </si>
  <si>
    <t>WY-WF1225</t>
  </si>
  <si>
    <t>CD-WF001</t>
  </si>
  <si>
    <t>SL-LULW812</t>
  </si>
  <si>
    <t>ND-LUHM027</t>
  </si>
  <si>
    <t>ZYL-FLQ59</t>
  </si>
  <si>
    <t>SD-LUHM202</t>
  </si>
  <si>
    <t>BA-FLQ02</t>
  </si>
  <si>
    <t>GT-WFY1</t>
  </si>
  <si>
    <t>ZQ-WF002</t>
  </si>
  <si>
    <t>CWB-FLQ1703</t>
  </si>
  <si>
    <t>CD-WF</t>
  </si>
  <si>
    <t>SQ-LUHM</t>
  </si>
  <si>
    <t>BLT-LUHM000</t>
  </si>
  <si>
    <t>SND-FLQ18</t>
  </si>
  <si>
    <t>BLT-LUHM819</t>
  </si>
  <si>
    <t>CWB-WF021</t>
  </si>
  <si>
    <t>XQ-LUHM034</t>
  </si>
  <si>
    <t>ZYL-FLQ2013</t>
  </si>
  <si>
    <t>HYD-WF7995</t>
  </si>
  <si>
    <t>CD-WF117</t>
  </si>
  <si>
    <t>SNH-LUHM001</t>
  </si>
  <si>
    <t>ZDD-FLQ07</t>
  </si>
  <si>
    <t>WY-WF1217</t>
  </si>
  <si>
    <t>SB-LUHM100</t>
  </si>
  <si>
    <t>SJZP-FLQ19</t>
  </si>
  <si>
    <t>XK-YIWUJS</t>
  </si>
  <si>
    <t>ST-LAHM</t>
  </si>
  <si>
    <t>CLP-FLQ43</t>
  </si>
</sst>
</file>

<file path=xl/styles.xml><?xml version="1.0" encoding="utf-8"?>
<styleSheet xmlns="http://schemas.openxmlformats.org/spreadsheetml/2006/main">
  <numFmts count="5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176" formatCode="yyyy&quot;年&quot;m&quot;月&quot;d&quot;日&quot;;@"/>
  </numFmts>
  <fonts count="21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rgb="FF3F3F3F"/>
      <name val="等线"/>
      <charset val="0"/>
      <scheme val="minor"/>
    </font>
    <font>
      <b/>
      <sz val="11"/>
      <color theme="1"/>
      <name val="等线"/>
      <charset val="0"/>
      <scheme val="minor"/>
    </font>
    <font>
      <i/>
      <sz val="11"/>
      <color rgb="FF7F7F7F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rgb="FFFA7D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006100"/>
      <name val="等线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6" fillId="4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0" fillId="13" borderId="8" applyNumberFormat="0" applyFont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7" fillId="0" borderId="1" applyNumberFormat="0" applyFill="0" applyAlignment="0" applyProtection="0">
      <alignment vertical="center"/>
    </xf>
    <xf numFmtId="0" fontId="2" fillId="0" borderId="1" applyNumberFormat="0" applyFill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13" fillId="0" borderId="6" applyNumberFormat="0" applyFill="0" applyAlignment="0" applyProtection="0">
      <alignment vertical="center"/>
    </xf>
    <xf numFmtId="0" fontId="9" fillId="17" borderId="0" applyNumberFormat="0" applyBorder="0" applyAlignment="0" applyProtection="0">
      <alignment vertical="center"/>
    </xf>
    <xf numFmtId="0" fontId="3" fillId="3" borderId="2" applyNumberFormat="0" applyAlignment="0" applyProtection="0">
      <alignment vertical="center"/>
    </xf>
    <xf numFmtId="0" fontId="18" fillId="3" borderId="4" applyNumberFormat="0" applyAlignment="0" applyProtection="0">
      <alignment vertical="center"/>
    </xf>
    <xf numFmtId="0" fontId="16" fillId="11" borderId="7" applyNumberFormat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4" fillId="0" borderId="3" applyNumberFormat="0" applyFill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29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9" fillId="25" borderId="0" applyNumberFormat="0" applyBorder="0" applyAlignment="0" applyProtection="0">
      <alignment vertical="center"/>
    </xf>
  </cellStyleXfs>
  <cellXfs count="11">
    <xf numFmtId="0" fontId="0" fillId="0" borderId="0" xfId="0"/>
    <xf numFmtId="176" fontId="0" fillId="0" borderId="0" xfId="0" applyNumberFormat="1" applyAlignment="1">
      <alignment horizontal="center"/>
    </xf>
    <xf numFmtId="176" fontId="0" fillId="0" borderId="0" xfId="0" applyNumberFormat="1"/>
    <xf numFmtId="176" fontId="0" fillId="0" borderId="0" xfId="0" applyNumberFormat="1" applyAlignment="1">
      <alignment horizontal="right"/>
    </xf>
    <xf numFmtId="0" fontId="1" fillId="0" borderId="0" xfId="0" applyFont="1"/>
    <xf numFmtId="0" fontId="0" fillId="0" borderId="0" xfId="0" applyFill="1" applyBorder="1" applyAlignment="1">
      <alignment vertical="center"/>
    </xf>
    <xf numFmtId="0" fontId="0" fillId="0" borderId="0" xfId="0" applyFill="1" applyAlignment="1">
      <alignment vertical="center"/>
    </xf>
    <xf numFmtId="0" fontId="0" fillId="2" borderId="0" xfId="0" applyFill="1"/>
    <xf numFmtId="0" fontId="0" fillId="0" borderId="0" xfId="0" applyBorder="1"/>
    <xf numFmtId="176" fontId="0" fillId="2" borderId="0" xfId="0" applyNumberFormat="1" applyFill="1" applyBorder="1"/>
    <xf numFmtId="176" fontId="0" fillId="2" borderId="0" xfId="0" applyNumberFormat="1" applyFill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28575</xdr:colOff>
          <xdr:row>0</xdr:row>
          <xdr:rowOff>9525</xdr:rowOff>
        </xdr:from>
        <xdr:to>
          <xdr:col>35</xdr:col>
          <xdr:colOff>0</xdr:colOff>
          <xdr:row>1</xdr:row>
          <xdr:rowOff>171450</xdr:rowOff>
        </xdr:to>
        <xdr:sp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26298525" y="9525"/>
              <a:ext cx="1343025" cy="3429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0</xdr:row>
          <xdr:rowOff>635</xdr:rowOff>
        </xdr:from>
        <xdr:to>
          <xdr:col>4</xdr:col>
          <xdr:colOff>28575</xdr:colOff>
          <xdr:row>2</xdr:row>
          <xdr:rowOff>19685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838450" y="635"/>
              <a:ext cx="1362075" cy="3810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</xdr:row>
          <xdr:rowOff>0</xdr:rowOff>
        </xdr:from>
        <xdr:to>
          <xdr:col>4</xdr:col>
          <xdr:colOff>676275</xdr:colOff>
          <xdr:row>3</xdr:row>
          <xdr:rowOff>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143250" y="180975"/>
              <a:ext cx="1352550" cy="3619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astia\&#23376;&#29238;&#20307;SKU-&#23376;&#29238;&#20307;ASIN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sku-asin（子）"/>
      <sheetName val="子ASIN-子SKU"/>
    </sheetNames>
    <sheetDataSet>
      <sheetData sheetId="0">
        <row r="1">
          <cell r="A1" t="str">
            <v>SKU</v>
          </cell>
          <cell r="B1" t="str">
            <v>父sku</v>
          </cell>
        </row>
        <row r="2">
          <cell r="A2" t="str">
            <v>AQD-IUYL330-BK</v>
          </cell>
          <cell r="B2" t="str">
            <v>AQD-IUYL330</v>
          </cell>
        </row>
        <row r="3">
          <cell r="A3" t="str">
            <v>AQD-IUYL330-CF</v>
          </cell>
          <cell r="B3" t="str">
            <v>AQD-IUYL330</v>
          </cell>
        </row>
        <row r="4">
          <cell r="A4" t="str">
            <v>AQD-IUYL330-DB</v>
          </cell>
          <cell r="B4" t="str">
            <v>AQD-IUYL330</v>
          </cell>
        </row>
        <row r="5">
          <cell r="A5" t="str">
            <v>AQD-IUYL330-GR</v>
          </cell>
          <cell r="B5" t="str">
            <v>AQD-IUYL330</v>
          </cell>
        </row>
        <row r="6">
          <cell r="A6" t="str">
            <v>AQD-IUYL330-LB</v>
          </cell>
          <cell r="B6" t="str">
            <v>AQD-IUYL330</v>
          </cell>
        </row>
        <row r="7">
          <cell r="A7" t="str">
            <v>AQD-IUYL330-OR</v>
          </cell>
          <cell r="B7" t="str">
            <v>AQD-IUYL330</v>
          </cell>
        </row>
        <row r="8">
          <cell r="A8" t="str">
            <v>AQD-IUYL330-PK</v>
          </cell>
          <cell r="B8" t="str">
            <v>AQD-IUYL330</v>
          </cell>
        </row>
        <row r="9">
          <cell r="A9" t="str">
            <v>AQD-IUYL330-PP</v>
          </cell>
          <cell r="B9" t="str">
            <v>AQD-IUYL330</v>
          </cell>
        </row>
        <row r="10">
          <cell r="A10" t="str">
            <v>AQD-IUYL330-RD</v>
          </cell>
          <cell r="B10" t="str">
            <v>AQD-IUYL330</v>
          </cell>
        </row>
        <row r="11">
          <cell r="A11" t="str">
            <v>AQD-IUYL330-YL</v>
          </cell>
          <cell r="B11" t="str">
            <v>AQD-IUYL330</v>
          </cell>
        </row>
        <row r="12">
          <cell r="A12" t="str">
            <v>AQD-IUYL340-DP</v>
          </cell>
          <cell r="B12" t="str">
            <v>AQD-IUYL340</v>
          </cell>
        </row>
        <row r="13">
          <cell r="A13" t="str">
            <v>AQD-IUYL340-LP</v>
          </cell>
          <cell r="B13" t="str">
            <v>AQD-IUYL340</v>
          </cell>
        </row>
        <row r="14">
          <cell r="A14" t="str">
            <v>AQD-IUYL340-OR</v>
          </cell>
          <cell r="B14" t="str">
            <v>AQD-IUYL340</v>
          </cell>
        </row>
        <row r="15">
          <cell r="A15" t="str">
            <v>AQD-IUYL340-PK</v>
          </cell>
          <cell r="B15" t="str">
            <v>AQD-IUYL340</v>
          </cell>
        </row>
        <row r="16">
          <cell r="A16" t="str">
            <v>AQD-IUYL340-YL</v>
          </cell>
          <cell r="B16" t="str">
            <v>AQD-IUYL340</v>
          </cell>
        </row>
        <row r="17">
          <cell r="A17" t="str">
            <v>BA-FLQ02-BO-4</v>
          </cell>
          <cell r="B17" t="str">
            <v>BA-FLQ02</v>
          </cell>
        </row>
        <row r="18">
          <cell r="A18" t="str">
            <v>BA-FLQ02-BO-6</v>
          </cell>
          <cell r="B18" t="str">
            <v>BA-FLQ02</v>
          </cell>
        </row>
        <row r="19">
          <cell r="A19" t="str">
            <v>BA-FLQ02-GD-4</v>
          </cell>
          <cell r="B19" t="str">
            <v>BA-FLQ02</v>
          </cell>
        </row>
        <row r="20">
          <cell r="A20" t="str">
            <v>BA-FLQ02-GD-6</v>
          </cell>
          <cell r="B20" t="str">
            <v>BA-FLQ02</v>
          </cell>
        </row>
        <row r="21">
          <cell r="A21" t="str">
            <v>BA-FLQ02-LB-4</v>
          </cell>
          <cell r="B21" t="str">
            <v>BA-FLQ02</v>
          </cell>
        </row>
        <row r="22">
          <cell r="A22" t="str">
            <v>BA-FLQ02-LB-6</v>
          </cell>
          <cell r="B22" t="str">
            <v>BA-FLQ02</v>
          </cell>
        </row>
        <row r="23">
          <cell r="A23" t="str">
            <v>BA-FLQ02-R2-4</v>
          </cell>
          <cell r="B23" t="str">
            <v>BA-FLQ02</v>
          </cell>
        </row>
        <row r="24">
          <cell r="A24" t="str">
            <v>BA-FLQ02-R2-6</v>
          </cell>
          <cell r="B24" t="str">
            <v>BA-FLQ02</v>
          </cell>
        </row>
        <row r="25">
          <cell r="A25" t="str">
            <v>BA-FLQ02-RO-4</v>
          </cell>
          <cell r="B25" t="str">
            <v>BA-FLQ02</v>
          </cell>
        </row>
        <row r="26">
          <cell r="A26" t="str">
            <v>BA-FLQ02-RO-6</v>
          </cell>
          <cell r="B26" t="str">
            <v>BA-FLQ02</v>
          </cell>
        </row>
        <row r="27">
          <cell r="A27" t="str">
            <v>BA-FLQ02-SI-4</v>
          </cell>
          <cell r="B27" t="str">
            <v>BA-FLQ02</v>
          </cell>
        </row>
        <row r="28">
          <cell r="A28" t="str">
            <v>BA-FLQ02-SI-6</v>
          </cell>
          <cell r="B28" t="str">
            <v>BA-FLQ02</v>
          </cell>
        </row>
        <row r="29">
          <cell r="A29" t="str">
            <v>BA-FLQ03-CS-6</v>
          </cell>
          <cell r="B29" t="str">
            <v>BA-FLQ03</v>
          </cell>
        </row>
        <row r="30">
          <cell r="A30" t="str">
            <v>BA-FLQ03-RD-6</v>
          </cell>
          <cell r="B30" t="str">
            <v>BA-FLQ03</v>
          </cell>
        </row>
        <row r="31">
          <cell r="A31" t="str">
            <v>BA-FLQ32-BO-6</v>
          </cell>
          <cell r="B31" t="str">
            <v>BA-FLQ32</v>
          </cell>
        </row>
        <row r="32">
          <cell r="A32" t="str">
            <v>BBBD-1605A-BL</v>
          </cell>
          <cell r="B32" t="str">
            <v>BBBD-1605A</v>
          </cell>
        </row>
        <row r="33">
          <cell r="A33" t="str">
            <v>BBBD-1605A-RD</v>
          </cell>
          <cell r="B33" t="str">
            <v>BBBD-1605A</v>
          </cell>
        </row>
        <row r="34">
          <cell r="A34" t="str">
            <v>BBBD-BUSB1605A-BL</v>
          </cell>
          <cell r="B34" t="str">
            <v>BBBD-BUSB1605A</v>
          </cell>
        </row>
        <row r="35">
          <cell r="A35" t="str">
            <v>BBBD-BUSB1605A-CF</v>
          </cell>
          <cell r="B35" t="str">
            <v>BBBD-BUSB1605A</v>
          </cell>
        </row>
        <row r="36">
          <cell r="A36" t="str">
            <v>BBBD-BUSB1605A-PK</v>
          </cell>
          <cell r="B36" t="str">
            <v>BBBD-BUSB1605A</v>
          </cell>
        </row>
        <row r="37">
          <cell r="A37" t="str">
            <v>BBBD-BUSB1605A-RD</v>
          </cell>
          <cell r="B37" t="str">
            <v>BBBD-BUSB1605A</v>
          </cell>
        </row>
        <row r="38">
          <cell r="A38" t="str">
            <v>BBBD-BUSB1605B-BL</v>
          </cell>
          <cell r="B38" t="str">
            <v>BBBD-BUSB1605B</v>
          </cell>
        </row>
        <row r="39">
          <cell r="A39" t="str">
            <v>BBBD-BUSB1605B-PK</v>
          </cell>
          <cell r="B39" t="str">
            <v>BBBD-BUSB1605B</v>
          </cell>
        </row>
        <row r="40">
          <cell r="A40" t="str">
            <v>BBBD-BUSB1605B-RD</v>
          </cell>
          <cell r="B40" t="str">
            <v>BBBD-BUSB1605B</v>
          </cell>
        </row>
        <row r="41">
          <cell r="A41" t="str">
            <v>BDB-LUHM001-B0</v>
          </cell>
          <cell r="B41" t="str">
            <v>BDB-LUHM001</v>
          </cell>
        </row>
        <row r="42">
          <cell r="A42" t="str">
            <v>BDB-LUHM001-G0</v>
          </cell>
          <cell r="B42" t="str">
            <v>BDB-LUHM001</v>
          </cell>
        </row>
        <row r="43">
          <cell r="A43" t="str">
            <v>BDB-LUHM001-K0</v>
          </cell>
          <cell r="B43" t="str">
            <v>BDB-LUHM001</v>
          </cell>
        </row>
        <row r="44">
          <cell r="A44" t="str">
            <v>BDB-LUHM001-R0</v>
          </cell>
          <cell r="B44" t="str">
            <v>BDB-LUHM001</v>
          </cell>
        </row>
        <row r="45">
          <cell r="A45" t="str">
            <v>BDB-LUHM001-Y0</v>
          </cell>
          <cell r="B45" t="str">
            <v>BDB-LUHM001</v>
          </cell>
        </row>
        <row r="46">
          <cell r="A46" t="str">
            <v>BDB-LUHM001-ZL</v>
          </cell>
          <cell r="B46" t="str">
            <v>BDB-LUHM001</v>
          </cell>
        </row>
        <row r="47">
          <cell r="A47" t="str">
            <v>BDB-WF212-BJX-M</v>
          </cell>
          <cell r="B47" t="str">
            <v>BDB-WF212</v>
          </cell>
        </row>
        <row r="48">
          <cell r="A48" t="str">
            <v>BDB-WF212-CW-M</v>
          </cell>
          <cell r="B48" t="str">
            <v>BDB-WF212</v>
          </cell>
        </row>
        <row r="49">
          <cell r="A49" t="str">
            <v>BDB-WF212-JY-M</v>
          </cell>
          <cell r="B49" t="str">
            <v>BDB-WF212</v>
          </cell>
        </row>
        <row r="50">
          <cell r="A50" t="str">
            <v>BDB-WF212-SH-M</v>
          </cell>
          <cell r="B50" t="str">
            <v>BDB-WF212</v>
          </cell>
        </row>
        <row r="51">
          <cell r="A51" t="str">
            <v>BDB-WF212-SJS-M</v>
          </cell>
          <cell r="B51" t="str">
            <v>BDB-WF212</v>
          </cell>
        </row>
        <row r="52">
          <cell r="A52" t="str">
            <v>BD-LUHM001-X0</v>
          </cell>
          <cell r="B52" t="str">
            <v>BD-LUHM001</v>
          </cell>
        </row>
        <row r="53">
          <cell r="A53" t="str">
            <v>BD-LUHM010</v>
          </cell>
          <cell r="B53" t="str">
            <v>BD-LUHM010</v>
          </cell>
        </row>
        <row r="54">
          <cell r="A54" t="str">
            <v>BD-PUHM101-B0-L</v>
          </cell>
          <cell r="B54" t="str">
            <v>BD-LUHM010</v>
          </cell>
        </row>
        <row r="55">
          <cell r="A55" t="str">
            <v>BD-PUHM101-B0-M</v>
          </cell>
          <cell r="B55" t="str">
            <v>BD-LUHM010</v>
          </cell>
        </row>
        <row r="56">
          <cell r="A56" t="str">
            <v>BD-PUHM101-B0-S</v>
          </cell>
          <cell r="B56" t="str">
            <v>BD-LUHM010</v>
          </cell>
        </row>
        <row r="57">
          <cell r="A57" t="str">
            <v>BD-PUHM101-B0-XL</v>
          </cell>
          <cell r="B57" t="str">
            <v>BD-LUHM010</v>
          </cell>
        </row>
        <row r="58">
          <cell r="A58" t="str">
            <v>BD-PUHM101-G0-L</v>
          </cell>
          <cell r="B58" t="str">
            <v>BD-LUHM010</v>
          </cell>
        </row>
        <row r="59">
          <cell r="A59" t="str">
            <v>BD-PUHM101-G0-M</v>
          </cell>
          <cell r="B59" t="str">
            <v>BD-LUHM010</v>
          </cell>
        </row>
        <row r="60">
          <cell r="A60" t="str">
            <v>BD-PUHM101-G0-S</v>
          </cell>
          <cell r="B60" t="str">
            <v>BD-LUHM010</v>
          </cell>
        </row>
        <row r="61">
          <cell r="A61" t="str">
            <v>BD-PUHM101-G0-XL</v>
          </cell>
          <cell r="B61" t="str">
            <v>BD-LUHM010</v>
          </cell>
        </row>
        <row r="62">
          <cell r="A62" t="str">
            <v>BD-PUHM101-K0-L</v>
          </cell>
          <cell r="B62" t="str">
            <v>BD-LUHM010</v>
          </cell>
        </row>
        <row r="63">
          <cell r="A63" t="str">
            <v>BD-PUHM101-K0-M</v>
          </cell>
          <cell r="B63" t="str">
            <v>BD-LUHM010</v>
          </cell>
        </row>
        <row r="64">
          <cell r="A64" t="str">
            <v>BD-PUHM101-K0-S</v>
          </cell>
          <cell r="B64" t="str">
            <v>BD-LUHM010</v>
          </cell>
        </row>
        <row r="65">
          <cell r="A65" t="str">
            <v>BD-PUHM101-K0-XL</v>
          </cell>
          <cell r="B65" t="str">
            <v>BD-LUHM010</v>
          </cell>
        </row>
        <row r="66">
          <cell r="A66" t="str">
            <v>BD-PUHM101-R0-L</v>
          </cell>
          <cell r="B66" t="str">
            <v>BD-LUHM010</v>
          </cell>
        </row>
        <row r="67">
          <cell r="A67" t="str">
            <v>BD-PUHM101-R0-M</v>
          </cell>
          <cell r="B67" t="str">
            <v>BD-LUHM010</v>
          </cell>
        </row>
        <row r="68">
          <cell r="A68" t="str">
            <v>BD-PUHM101-R0-S</v>
          </cell>
          <cell r="B68" t="str">
            <v>BD-LUHM010</v>
          </cell>
        </row>
        <row r="69">
          <cell r="A69" t="str">
            <v>BD-PUHM101-R0-XL</v>
          </cell>
          <cell r="B69" t="str">
            <v>BD-LUHM010</v>
          </cell>
        </row>
        <row r="70">
          <cell r="A70" t="str">
            <v>BLT-LUHM000-CL</v>
          </cell>
          <cell r="B70" t="str">
            <v>BLT-LUHM000</v>
          </cell>
        </row>
        <row r="71">
          <cell r="A71" t="str">
            <v>BLT-LUHM000-CR</v>
          </cell>
          <cell r="B71" t="str">
            <v>BLT-LUHM000</v>
          </cell>
        </row>
        <row r="72">
          <cell r="A72" t="str">
            <v>BLT-LUHM000-GL</v>
          </cell>
          <cell r="B72" t="str">
            <v>BLT-LUHM000</v>
          </cell>
        </row>
        <row r="73">
          <cell r="A73" t="str">
            <v>BLT-LUHM000-GR</v>
          </cell>
          <cell r="B73" t="str">
            <v>BLT-LUHM000</v>
          </cell>
        </row>
        <row r="74">
          <cell r="A74" t="str">
            <v>BLT-LUHM000-LB</v>
          </cell>
          <cell r="B74" t="str">
            <v>BLT-LUHM000</v>
          </cell>
        </row>
        <row r="75">
          <cell r="A75" t="str">
            <v>BLT-LUHM000-RB</v>
          </cell>
          <cell r="B75" t="str">
            <v>BLT-LUHM000</v>
          </cell>
        </row>
        <row r="76">
          <cell r="A76" t="str">
            <v>BLT-LUHM819-W0</v>
          </cell>
          <cell r="B76" t="str">
            <v>BLT-LUHM819</v>
          </cell>
        </row>
        <row r="77">
          <cell r="A77" t="str">
            <v>BLT-NWF125-Cat</v>
          </cell>
          <cell r="B77" t="str">
            <v>BLT-NWF125</v>
          </cell>
        </row>
        <row r="78">
          <cell r="A78" t="str">
            <v>BLT-NWF125-Panda</v>
          </cell>
          <cell r="B78" t="str">
            <v>BLT-NWF125</v>
          </cell>
        </row>
        <row r="79">
          <cell r="A79" t="str">
            <v>BLT-WF125-CAT</v>
          </cell>
          <cell r="B79" t="str">
            <v>BLT-WF125</v>
          </cell>
        </row>
        <row r="80">
          <cell r="A80" t="str">
            <v>BLT-WF125-COW</v>
          </cell>
          <cell r="B80" t="str">
            <v>BLT-WF125</v>
          </cell>
        </row>
        <row r="81">
          <cell r="A81" t="str">
            <v>BLT-WF125-LION</v>
          </cell>
          <cell r="B81" t="str">
            <v>BLT-WF125</v>
          </cell>
        </row>
        <row r="82">
          <cell r="A82" t="str">
            <v>BLT-WF125-PANDA</v>
          </cell>
          <cell r="B82" t="str">
            <v>BLT-WF125</v>
          </cell>
        </row>
        <row r="83">
          <cell r="A83" t="str">
            <v>BX-PUHM000-G0-2XL</v>
          </cell>
          <cell r="B83" t="str">
            <v>BX-PUHM000</v>
          </cell>
        </row>
        <row r="84">
          <cell r="A84" t="str">
            <v>BX-PUHM000-G0-3XL</v>
          </cell>
          <cell r="B84" t="str">
            <v>BX-PUHM000</v>
          </cell>
        </row>
        <row r="85">
          <cell r="A85" t="str">
            <v>BX-PUHM000-G0-4XL</v>
          </cell>
          <cell r="B85" t="str">
            <v>BX-PUHM000</v>
          </cell>
        </row>
        <row r="86">
          <cell r="A86" t="str">
            <v>BX-PUHM000-G0-5XL</v>
          </cell>
          <cell r="B86" t="str">
            <v>BX-PUHM000</v>
          </cell>
        </row>
        <row r="87">
          <cell r="A87" t="str">
            <v>BX-PUHM000-G0-L</v>
          </cell>
          <cell r="B87" t="str">
            <v>BX-PUHM000</v>
          </cell>
        </row>
        <row r="88">
          <cell r="A88" t="str">
            <v>BX-PUHM000-G0-M</v>
          </cell>
          <cell r="B88" t="str">
            <v>BX-PUHM000</v>
          </cell>
        </row>
        <row r="89">
          <cell r="A89" t="str">
            <v>BX-PUHM000-G0-S</v>
          </cell>
          <cell r="B89" t="str">
            <v>BX-PUHM000</v>
          </cell>
        </row>
        <row r="90">
          <cell r="A90" t="str">
            <v>BX-PUHM000-G0-XL</v>
          </cell>
          <cell r="B90" t="str">
            <v>BX-PUHM000</v>
          </cell>
        </row>
        <row r="91">
          <cell r="A91" t="str">
            <v>BX-PUHM000-OR-2XL</v>
          </cell>
          <cell r="B91" t="str">
            <v>BX-PUHM000</v>
          </cell>
        </row>
        <row r="92">
          <cell r="A92" t="str">
            <v>BX-PUHM000-OR-3XL</v>
          </cell>
          <cell r="B92" t="str">
            <v>BX-PUHM000</v>
          </cell>
        </row>
        <row r="93">
          <cell r="A93" t="str">
            <v>BX-PUHM000-OR-4XL</v>
          </cell>
          <cell r="B93" t="str">
            <v>BX-PUHM000</v>
          </cell>
        </row>
        <row r="94">
          <cell r="A94" t="str">
            <v>BX-PUHM000-OR-5XL</v>
          </cell>
          <cell r="B94" t="str">
            <v>BX-PUHM000</v>
          </cell>
        </row>
        <row r="95">
          <cell r="A95" t="str">
            <v>BX-PUHM000-OR-L</v>
          </cell>
          <cell r="B95" t="str">
            <v>BX-PUHM000</v>
          </cell>
        </row>
        <row r="96">
          <cell r="A96" t="str">
            <v>BX-PUHM000-OR-M</v>
          </cell>
          <cell r="B96" t="str">
            <v>BX-PUHM000</v>
          </cell>
        </row>
        <row r="97">
          <cell r="A97" t="str">
            <v>BX-PUHM000-OR-S</v>
          </cell>
          <cell r="B97" t="str">
            <v>BX-PUHM000</v>
          </cell>
        </row>
        <row r="98">
          <cell r="A98" t="str">
            <v>BX-PUHM000-OR-XL</v>
          </cell>
          <cell r="B98" t="str">
            <v>BX-PUHM000</v>
          </cell>
        </row>
        <row r="99">
          <cell r="A99" t="str">
            <v>BX-PUHM000-P0-2XL</v>
          </cell>
          <cell r="B99" t="str">
            <v>BX-PUHM000</v>
          </cell>
        </row>
        <row r="100">
          <cell r="A100" t="str">
            <v>BX-PUHM000-P0-3XL</v>
          </cell>
          <cell r="B100" t="str">
            <v>BX-PUHM000</v>
          </cell>
        </row>
        <row r="101">
          <cell r="A101" t="str">
            <v>BX-PUHM000-P0-4XL</v>
          </cell>
          <cell r="B101" t="str">
            <v>BX-PUHM000</v>
          </cell>
        </row>
        <row r="102">
          <cell r="A102" t="str">
            <v>BX-PUHM000-P0-5XL</v>
          </cell>
          <cell r="B102" t="str">
            <v>BX-PUHM000</v>
          </cell>
        </row>
        <row r="103">
          <cell r="A103" t="str">
            <v>BX-PUHM000-P0-L</v>
          </cell>
          <cell r="B103" t="str">
            <v>BX-PUHM000</v>
          </cell>
        </row>
        <row r="104">
          <cell r="A104" t="str">
            <v>BX-PUHM000-P0-M</v>
          </cell>
          <cell r="B104" t="str">
            <v>BX-PUHM000</v>
          </cell>
        </row>
        <row r="105">
          <cell r="A105" t="str">
            <v>BX-PUHM000-P0-S</v>
          </cell>
          <cell r="B105" t="str">
            <v>BX-PUHM000</v>
          </cell>
        </row>
        <row r="106">
          <cell r="A106" t="str">
            <v>BX-PUHM000-P0-XL</v>
          </cell>
          <cell r="B106" t="str">
            <v>BX-PUHM000</v>
          </cell>
        </row>
        <row r="107">
          <cell r="A107" t="str">
            <v>BX-PUHM000-PI-2XL</v>
          </cell>
          <cell r="B107" t="str">
            <v>BX-PUHM000</v>
          </cell>
        </row>
        <row r="108">
          <cell r="A108" t="str">
            <v>BX-PUHM000-PI-3XL</v>
          </cell>
          <cell r="B108" t="str">
            <v>BX-PUHM000</v>
          </cell>
        </row>
        <row r="109">
          <cell r="A109" t="str">
            <v>BX-PUHM000-PI-4XL</v>
          </cell>
          <cell r="B109" t="str">
            <v>BX-PUHM000</v>
          </cell>
        </row>
        <row r="110">
          <cell r="A110" t="str">
            <v>BX-PUHM000-PI-5XL</v>
          </cell>
          <cell r="B110" t="str">
            <v>BX-PUHM000</v>
          </cell>
        </row>
        <row r="111">
          <cell r="A111" t="str">
            <v>BX-PUHM000-PI-L</v>
          </cell>
          <cell r="B111" t="str">
            <v>BX-PUHM000</v>
          </cell>
        </row>
        <row r="112">
          <cell r="A112" t="str">
            <v>BX-PUHM000-PI-M</v>
          </cell>
          <cell r="B112" t="str">
            <v>BX-PUHM000</v>
          </cell>
        </row>
        <row r="113">
          <cell r="A113" t="str">
            <v>BX-PUHM000-PI-S</v>
          </cell>
          <cell r="B113" t="str">
            <v>BX-PUHM000</v>
          </cell>
        </row>
        <row r="114">
          <cell r="A114" t="str">
            <v>BX-PUHM000-PI-XL</v>
          </cell>
          <cell r="B114" t="str">
            <v>BX-PUHM000</v>
          </cell>
        </row>
        <row r="115">
          <cell r="A115" t="str">
            <v>BX-PUHM000-R0-2XL</v>
          </cell>
          <cell r="B115" t="str">
            <v>BX-PUHM000</v>
          </cell>
        </row>
        <row r="116">
          <cell r="A116" t="str">
            <v>BX-PUHM000-R0-3XL</v>
          </cell>
          <cell r="B116" t="str">
            <v>BX-PUHM000</v>
          </cell>
        </row>
        <row r="117">
          <cell r="A117" t="str">
            <v>BX-PUHM000-R0-4XL</v>
          </cell>
          <cell r="B117" t="str">
            <v>BX-PUHM000</v>
          </cell>
        </row>
        <row r="118">
          <cell r="A118" t="str">
            <v>BX-PUHM000-R0-5XL</v>
          </cell>
          <cell r="B118" t="str">
            <v>BX-PUHM000</v>
          </cell>
        </row>
        <row r="119">
          <cell r="A119" t="str">
            <v>BX-PUHM000-R0-L</v>
          </cell>
          <cell r="B119" t="str">
            <v>BX-PUHM000</v>
          </cell>
        </row>
        <row r="120">
          <cell r="A120" t="str">
            <v>BX-PUHM000-R0-M</v>
          </cell>
          <cell r="B120" t="str">
            <v>BX-PUHM000</v>
          </cell>
        </row>
        <row r="121">
          <cell r="A121" t="str">
            <v>BX-PUHM000-R0-S</v>
          </cell>
          <cell r="B121" t="str">
            <v>BX-PUHM000</v>
          </cell>
        </row>
        <row r="122">
          <cell r="A122" t="str">
            <v>BX-PUHM000-R0-XL</v>
          </cell>
          <cell r="B122" t="str">
            <v>BX-PUHM000</v>
          </cell>
        </row>
        <row r="123">
          <cell r="A123" t="str">
            <v>BX-PUHM001-B0-L</v>
          </cell>
          <cell r="B123" t="str">
            <v>BX-PUHM001</v>
          </cell>
        </row>
        <row r="124">
          <cell r="A124" t="str">
            <v>BX-PUHM001-B0-M</v>
          </cell>
          <cell r="B124" t="str">
            <v>BX-PUHM001</v>
          </cell>
        </row>
        <row r="125">
          <cell r="A125" t="str">
            <v>BX-PUHM001-B0-S</v>
          </cell>
          <cell r="B125" t="str">
            <v>BX-PUHM001</v>
          </cell>
        </row>
        <row r="126">
          <cell r="A126" t="str">
            <v>BX-PUHM001-B0-XL</v>
          </cell>
          <cell r="B126" t="str">
            <v>BX-PUHM001</v>
          </cell>
        </row>
        <row r="127">
          <cell r="A127" t="str">
            <v>BX-PUHM001-B0-XS</v>
          </cell>
          <cell r="B127" t="str">
            <v>BX-PUHM001</v>
          </cell>
        </row>
        <row r="128">
          <cell r="A128" t="str">
            <v>BX-PUHM001-OR-L</v>
          </cell>
          <cell r="B128" t="str">
            <v>BX-PUHM001</v>
          </cell>
        </row>
        <row r="129">
          <cell r="A129" t="str">
            <v>BX-PUHM001-OR-M</v>
          </cell>
          <cell r="B129" t="str">
            <v>BX-PUHM001</v>
          </cell>
        </row>
        <row r="130">
          <cell r="A130" t="str">
            <v>BX-PUHM001-OR-S</v>
          </cell>
          <cell r="B130" t="str">
            <v>BX-PUHM001</v>
          </cell>
        </row>
        <row r="131">
          <cell r="A131" t="str">
            <v>BX-PUHM001-OR-XL</v>
          </cell>
          <cell r="B131" t="str">
            <v>BX-PUHM001</v>
          </cell>
        </row>
        <row r="132">
          <cell r="A132" t="str">
            <v>BX-PUHM001-OR-XS</v>
          </cell>
          <cell r="B132" t="str">
            <v>BX-PUHM001</v>
          </cell>
        </row>
        <row r="133">
          <cell r="A133" t="str">
            <v>BX-PUHM001-R0-L</v>
          </cell>
          <cell r="B133" t="str">
            <v>BX-PUHM001</v>
          </cell>
        </row>
        <row r="134">
          <cell r="A134" t="str">
            <v>BX-PUHM001-R0-M</v>
          </cell>
          <cell r="B134" t="str">
            <v>BX-PUHM001</v>
          </cell>
        </row>
        <row r="135">
          <cell r="A135" t="str">
            <v>BX-PUHM001-R0-S</v>
          </cell>
          <cell r="B135" t="str">
            <v>BX-PUHM001</v>
          </cell>
        </row>
        <row r="136">
          <cell r="A136" t="str">
            <v>BX-PUHM001-R0-XL</v>
          </cell>
          <cell r="B136" t="str">
            <v>BX-PUHM001</v>
          </cell>
        </row>
        <row r="137">
          <cell r="A137" t="str">
            <v>BX-PUHM001-R0-XS</v>
          </cell>
          <cell r="B137" t="str">
            <v>BX-PUHM001</v>
          </cell>
        </row>
        <row r="138">
          <cell r="A138" t="str">
            <v>BZ-WF211-BO</v>
          </cell>
          <cell r="B138" t="str">
            <v>BZ-WF211</v>
          </cell>
        </row>
        <row r="139">
          <cell r="A139" t="str">
            <v>BZ-WF211-BO-3M</v>
          </cell>
          <cell r="B139" t="str">
            <v>BZ-WF211</v>
          </cell>
        </row>
        <row r="140">
          <cell r="A140" t="str">
            <v>BZ-WF211-GR</v>
          </cell>
          <cell r="B140" t="str">
            <v>BZ-WF211</v>
          </cell>
        </row>
        <row r="141">
          <cell r="A141" t="str">
            <v>BZ-WF211-GR-3M</v>
          </cell>
          <cell r="B141" t="str">
            <v>BZ-WF211</v>
          </cell>
        </row>
        <row r="142">
          <cell r="A142" t="str">
            <v>BZ-WF211-PI</v>
          </cell>
          <cell r="B142" t="str">
            <v>BZ-WF211</v>
          </cell>
        </row>
        <row r="143">
          <cell r="A143" t="str">
            <v>BZ-WF211-PI-3M</v>
          </cell>
          <cell r="B143" t="str">
            <v>BZ-WF211</v>
          </cell>
        </row>
        <row r="144">
          <cell r="A144" t="str">
            <v>BZ-WF211-WO</v>
          </cell>
          <cell r="B144" t="str">
            <v>BZ-WF211</v>
          </cell>
        </row>
        <row r="145">
          <cell r="A145" t="str">
            <v>BZ-WF211-WO-3M</v>
          </cell>
          <cell r="B145" t="str">
            <v>BZ-WF211</v>
          </cell>
        </row>
        <row r="146">
          <cell r="A146" t="str">
            <v>CD-WF001-CF-1</v>
          </cell>
          <cell r="B146" t="str">
            <v>CD-WF001</v>
          </cell>
        </row>
        <row r="147">
          <cell r="A147" t="str">
            <v>CD-WF001-GO-1</v>
          </cell>
          <cell r="B147" t="str">
            <v>CD-WF001</v>
          </cell>
        </row>
        <row r="148">
          <cell r="A148" t="str">
            <v>CD-WF001-GR-1</v>
          </cell>
          <cell r="B148" t="str">
            <v>CD-WF001</v>
          </cell>
        </row>
        <row r="149">
          <cell r="A149" t="str">
            <v>CD-WF001-KK-1</v>
          </cell>
          <cell r="B149" t="str">
            <v>CD-WF001</v>
          </cell>
        </row>
        <row r="150">
          <cell r="A150" t="str">
            <v>CD-WF001-RO-1</v>
          </cell>
          <cell r="B150" t="str">
            <v>CD-WF001</v>
          </cell>
        </row>
        <row r="151">
          <cell r="A151" t="str">
            <v>CD-WF0728-4C</v>
          </cell>
          <cell r="B151" t="str">
            <v>CD-WF0728</v>
          </cell>
        </row>
        <row r="152">
          <cell r="A152" t="str">
            <v>CD-WF0728-4C-GM</v>
          </cell>
          <cell r="B152" t="str">
            <v>CD-WF0728</v>
          </cell>
        </row>
        <row r="153">
          <cell r="A153" t="str">
            <v>CD-WF117-GR-1</v>
          </cell>
          <cell r="B153" t="str">
            <v>CD-WF117</v>
          </cell>
        </row>
        <row r="154">
          <cell r="A154" t="str">
            <v>CD-WF117-WM-1</v>
          </cell>
          <cell r="B154" t="str">
            <v>CD-WF117</v>
          </cell>
        </row>
        <row r="155">
          <cell r="A155" t="str">
            <v>CD-WF482-BO</v>
          </cell>
          <cell r="B155" t="str">
            <v>CD-WF482</v>
          </cell>
        </row>
        <row r="156">
          <cell r="A156" t="str">
            <v>CD-WF482-BO-1</v>
          </cell>
          <cell r="B156" t="str">
            <v>CD-WF482</v>
          </cell>
        </row>
        <row r="157">
          <cell r="A157" t="str">
            <v>CD-WF482-CB</v>
          </cell>
          <cell r="B157" t="str">
            <v>CD-WF482</v>
          </cell>
        </row>
        <row r="158">
          <cell r="A158" t="str">
            <v>CD-WF482-CB-1</v>
          </cell>
          <cell r="B158" t="str">
            <v>CD-WF482</v>
          </cell>
        </row>
        <row r="159">
          <cell r="A159" t="str">
            <v>CD-WF482-RO</v>
          </cell>
          <cell r="B159" t="str">
            <v>CD-WF482</v>
          </cell>
        </row>
        <row r="160">
          <cell r="A160" t="str">
            <v>CD-WF482-RO-1</v>
          </cell>
          <cell r="B160" t="str">
            <v>CD-WF482</v>
          </cell>
        </row>
        <row r="161">
          <cell r="A161" t="str">
            <v>CD-WF-CF</v>
          </cell>
          <cell r="B161" t="str">
            <v>CD-WF</v>
          </cell>
        </row>
        <row r="162">
          <cell r="A162" t="str">
            <v>CD-WF-GD</v>
          </cell>
          <cell r="B162" t="str">
            <v>CD-WF</v>
          </cell>
        </row>
        <row r="163">
          <cell r="A163" t="str">
            <v>CD-WF-KK</v>
          </cell>
          <cell r="B163" t="str">
            <v>CD-WF</v>
          </cell>
        </row>
        <row r="164">
          <cell r="A164" t="str">
            <v>CD-WF-SG</v>
          </cell>
          <cell r="B164" t="str">
            <v>CD-WF</v>
          </cell>
        </row>
        <row r="165">
          <cell r="A165" t="str">
            <v>CD-WF-WO</v>
          </cell>
          <cell r="B165" t="str">
            <v>CD-WF</v>
          </cell>
        </row>
        <row r="166">
          <cell r="A166" t="str">
            <v>CLP-FLQ43-CS100-100</v>
          </cell>
          <cell r="B166" t="str">
            <v>CLP-FLQ43</v>
          </cell>
        </row>
        <row r="167">
          <cell r="A167" t="str">
            <v>CLP-FLQ43-CS60-60</v>
          </cell>
          <cell r="B167" t="str">
            <v>CLP-FLQ43</v>
          </cell>
        </row>
        <row r="168">
          <cell r="A168" t="str">
            <v>CQC-WF6346-BO</v>
          </cell>
          <cell r="B168" t="str">
            <v>CQC-WF6346</v>
          </cell>
        </row>
        <row r="169">
          <cell r="A169" t="str">
            <v>CQC-WF6346-GO</v>
          </cell>
          <cell r="B169" t="str">
            <v>CQC-WF6346</v>
          </cell>
        </row>
        <row r="170">
          <cell r="A170" t="str">
            <v>CQC-WF6346-PO</v>
          </cell>
          <cell r="B170" t="str">
            <v>CQC-WF6346</v>
          </cell>
        </row>
        <row r="171">
          <cell r="A171" t="str">
            <v>CWB-FLQ1703-GR-47</v>
          </cell>
          <cell r="B171" t="str">
            <v>CWB-FLQ1703</v>
          </cell>
        </row>
        <row r="172">
          <cell r="A172" t="str">
            <v>CWB-FLQ1703-LP-47</v>
          </cell>
          <cell r="B172" t="str">
            <v>CWB-FLQ1703</v>
          </cell>
        </row>
        <row r="173">
          <cell r="A173" t="str">
            <v>CWB-FLQ1703-NO-47</v>
          </cell>
          <cell r="B173" t="str">
            <v>CWB-FLQ1703</v>
          </cell>
        </row>
        <row r="174">
          <cell r="A174" t="str">
            <v>CWB-FLQ1703-PI-47</v>
          </cell>
          <cell r="B174" t="str">
            <v>CWB-FLQ1703</v>
          </cell>
        </row>
        <row r="175">
          <cell r="A175" t="str">
            <v>CWB-WF021-CF-L</v>
          </cell>
          <cell r="B175" t="str">
            <v>CWB-WF021</v>
          </cell>
        </row>
        <row r="176">
          <cell r="A176" t="str">
            <v>CWB-WF021-CF-M</v>
          </cell>
          <cell r="B176" t="str">
            <v>CWB-WF021</v>
          </cell>
        </row>
        <row r="177">
          <cell r="A177" t="str">
            <v>CWB-WF021-CF-S</v>
          </cell>
          <cell r="B177" t="str">
            <v>CWB-WF021</v>
          </cell>
        </row>
        <row r="178">
          <cell r="A178" t="str">
            <v>CWB-WF021-CF-XL</v>
          </cell>
          <cell r="B178" t="str">
            <v>CWB-WF021</v>
          </cell>
        </row>
        <row r="179">
          <cell r="A179" t="str">
            <v>CWB-WF021-QB-L</v>
          </cell>
          <cell r="B179" t="str">
            <v>CWB-WF021</v>
          </cell>
        </row>
        <row r="180">
          <cell r="A180" t="str">
            <v>CWB-WF021-QB-M</v>
          </cell>
          <cell r="B180" t="str">
            <v>CWB-WF021</v>
          </cell>
        </row>
        <row r="181">
          <cell r="A181" t="str">
            <v>CWB-WF021-QB-S</v>
          </cell>
          <cell r="B181" t="str">
            <v>CWB-WF021</v>
          </cell>
        </row>
        <row r="182">
          <cell r="A182" t="str">
            <v>CWB-WF021-QB-XL</v>
          </cell>
          <cell r="B182" t="str">
            <v>CWB-WF021</v>
          </cell>
        </row>
        <row r="183">
          <cell r="A183" t="str">
            <v>CWB-WF021-RB-L</v>
          </cell>
          <cell r="B183" t="str">
            <v>CWB-WF021</v>
          </cell>
        </row>
        <row r="184">
          <cell r="A184" t="str">
            <v>CWB-WF021-RB-M</v>
          </cell>
          <cell r="B184" t="str">
            <v>CWB-WF021</v>
          </cell>
        </row>
        <row r="185">
          <cell r="A185" t="str">
            <v>CWB-WF021-RB-S</v>
          </cell>
          <cell r="B185" t="str">
            <v>CWB-WF021</v>
          </cell>
        </row>
        <row r="186">
          <cell r="A186" t="str">
            <v>CWB-WF021-RB-XL</v>
          </cell>
          <cell r="B186" t="str">
            <v>CWB-WF021</v>
          </cell>
        </row>
        <row r="187">
          <cell r="A187" t="str">
            <v>DZ-IUYL200-BK</v>
          </cell>
          <cell r="B187" t="str">
            <v>DZ-IUYL200</v>
          </cell>
        </row>
        <row r="188">
          <cell r="A188" t="str">
            <v>DZ-IUYL200-GR</v>
          </cell>
          <cell r="B188" t="str">
            <v>DZ-IUYL200</v>
          </cell>
        </row>
        <row r="189">
          <cell r="A189" t="str">
            <v>DZ-IUYL210-BK</v>
          </cell>
          <cell r="B189" t="str">
            <v>DZ-IUYL210</v>
          </cell>
        </row>
        <row r="190">
          <cell r="A190" t="str">
            <v>DZ-IUYL210-GR</v>
          </cell>
          <cell r="B190" t="str">
            <v>DZ-IUYL210</v>
          </cell>
        </row>
        <row r="191">
          <cell r="A191" t="str">
            <v>DZ-IUYL220-BK</v>
          </cell>
          <cell r="B191" t="str">
            <v>DZ-IUYL220</v>
          </cell>
        </row>
        <row r="192">
          <cell r="A192" t="str">
            <v>DZ-IUYL220-GR</v>
          </cell>
          <cell r="B192" t="str">
            <v>DZ-IUYL220</v>
          </cell>
        </row>
        <row r="193">
          <cell r="A193" t="str">
            <v>GB-LUHM035-B0</v>
          </cell>
          <cell r="B193" t="str">
            <v>GB-LUHM035</v>
          </cell>
        </row>
        <row r="194">
          <cell r="A194" t="str">
            <v>GB-LUHM035-BE</v>
          </cell>
          <cell r="B194" t="str">
            <v>GB-LUHM035</v>
          </cell>
        </row>
        <row r="195">
          <cell r="A195" t="str">
            <v>GB-LUHM035-P0</v>
          </cell>
          <cell r="B195" t="str">
            <v>GB-LUHM035</v>
          </cell>
        </row>
        <row r="196">
          <cell r="A196" t="str">
            <v>GS-IUYL270</v>
          </cell>
          <cell r="B196" t="str">
            <v>GS-IUYL270</v>
          </cell>
        </row>
        <row r="197">
          <cell r="A197" t="str">
            <v>GS-IUYL280-1</v>
          </cell>
          <cell r="B197" t="str">
            <v>GS-IUYL280</v>
          </cell>
        </row>
        <row r="198">
          <cell r="A198" t="str">
            <v>GS-IUYL280-2</v>
          </cell>
          <cell r="B198" t="str">
            <v>GS-IUYL280</v>
          </cell>
        </row>
        <row r="199">
          <cell r="A199" t="str">
            <v>GS-IUYL280-3</v>
          </cell>
          <cell r="B199" t="str">
            <v>GS-IUYL280</v>
          </cell>
        </row>
        <row r="200">
          <cell r="A200" t="str">
            <v>GS-PUHM019-B0-L</v>
          </cell>
          <cell r="B200" t="str">
            <v>GS-PUHM019</v>
          </cell>
        </row>
        <row r="201">
          <cell r="A201" t="str">
            <v>GS-PUHM019-B0-M</v>
          </cell>
          <cell r="B201" t="str">
            <v>GS-PUHM019</v>
          </cell>
        </row>
        <row r="202">
          <cell r="A202" t="str">
            <v>GS-PUHM019-B0-S</v>
          </cell>
          <cell r="B202" t="str">
            <v>GS-PUHM019</v>
          </cell>
        </row>
        <row r="203">
          <cell r="A203" t="str">
            <v>GS-PUHM019-B0-XL</v>
          </cell>
          <cell r="B203" t="str">
            <v>GS-PUHM019</v>
          </cell>
        </row>
        <row r="204">
          <cell r="A204" t="str">
            <v>GS-PUHM019-K0-L</v>
          </cell>
          <cell r="B204" t="str">
            <v>GS-PUHM019</v>
          </cell>
        </row>
        <row r="205">
          <cell r="A205" t="str">
            <v>GS-PUHM019-K0-M</v>
          </cell>
          <cell r="B205" t="str">
            <v>GS-PUHM019</v>
          </cell>
        </row>
        <row r="206">
          <cell r="A206" t="str">
            <v>GS-PUHM019-K0-S</v>
          </cell>
          <cell r="B206" t="str">
            <v>GS-PUHM019</v>
          </cell>
        </row>
        <row r="207">
          <cell r="A207" t="str">
            <v>GS-PUHM019-K0-XL</v>
          </cell>
          <cell r="B207" t="str">
            <v>GS-PUHM019</v>
          </cell>
        </row>
        <row r="208">
          <cell r="A208" t="str">
            <v>GS-PUHM019-R0-L</v>
          </cell>
          <cell r="B208" t="str">
            <v>GS-PUHM019</v>
          </cell>
        </row>
        <row r="209">
          <cell r="A209" t="str">
            <v>GS-PUHM019-R0-M</v>
          </cell>
          <cell r="B209" t="str">
            <v>GS-PUHM019</v>
          </cell>
        </row>
        <row r="210">
          <cell r="A210" t="str">
            <v>GS-PUHM019-R0-S</v>
          </cell>
          <cell r="B210" t="str">
            <v>GS-PUHM019</v>
          </cell>
        </row>
        <row r="211">
          <cell r="A211" t="str">
            <v>GS-PUHM019-R0-XL</v>
          </cell>
          <cell r="B211" t="str">
            <v>GS-PUHM019</v>
          </cell>
        </row>
        <row r="212">
          <cell r="A212" t="str">
            <v>GSQPQ-WF2012-GO</v>
          </cell>
          <cell r="B212" t="str">
            <v>GSQPQ-WF2012</v>
          </cell>
        </row>
        <row r="213">
          <cell r="A213" t="str">
            <v>GT-WFTFGT200-209</v>
          </cell>
          <cell r="B213" t="str">
            <v>GT-WFTFGT200</v>
          </cell>
        </row>
        <row r="214">
          <cell r="A214" t="str">
            <v>GT-WFTFGT200-211</v>
          </cell>
          <cell r="B214" t="str">
            <v>GT-WFTFGT200</v>
          </cell>
        </row>
        <row r="215">
          <cell r="A215" t="str">
            <v>GT-WFTFGT200-213</v>
          </cell>
          <cell r="B215" t="str">
            <v>GT-WFTFGT200</v>
          </cell>
        </row>
        <row r="216">
          <cell r="A216" t="str">
            <v>GT-WFTFGT200-214</v>
          </cell>
          <cell r="B216" t="str">
            <v>GT-WFTFGT200</v>
          </cell>
        </row>
        <row r="217">
          <cell r="A217" t="str">
            <v>GT-WFTFGT200-216</v>
          </cell>
          <cell r="B217" t="str">
            <v>GT-WFTFGT200</v>
          </cell>
        </row>
        <row r="218">
          <cell r="A218" t="str">
            <v>GT-WFTFGT200-220</v>
          </cell>
          <cell r="B218" t="str">
            <v>GT-WFTFGT200</v>
          </cell>
        </row>
        <row r="219">
          <cell r="A219" t="str">
            <v>GT-WFTFGT200-221</v>
          </cell>
          <cell r="B219" t="str">
            <v>GT-WFTFGT200</v>
          </cell>
        </row>
        <row r="220">
          <cell r="A220" t="str">
            <v>GT-WFTFGT200-223</v>
          </cell>
          <cell r="B220" t="str">
            <v>GT-WFTFGT200</v>
          </cell>
        </row>
        <row r="221">
          <cell r="A221" t="str">
            <v>GT-WFTFGT200-224</v>
          </cell>
          <cell r="B221" t="str">
            <v>GT-WFTFGT200</v>
          </cell>
        </row>
        <row r="222">
          <cell r="A222" t="str">
            <v>GT-WFY1-E1</v>
          </cell>
          <cell r="B222" t="str">
            <v>GT-WFY1</v>
          </cell>
        </row>
        <row r="223">
          <cell r="A223" t="str">
            <v>GT-WFY1-E2</v>
          </cell>
          <cell r="B223" t="str">
            <v>GT-WFY1</v>
          </cell>
        </row>
        <row r="224">
          <cell r="A224" t="str">
            <v>GT-WFY1-E3</v>
          </cell>
          <cell r="B224" t="str">
            <v>GT-WFY1</v>
          </cell>
        </row>
        <row r="225">
          <cell r="A225" t="str">
            <v>GT-WFY1-E4</v>
          </cell>
          <cell r="B225" t="str">
            <v>GT-WFY1</v>
          </cell>
        </row>
        <row r="226">
          <cell r="A226" t="str">
            <v>GW-LULHY-10</v>
          </cell>
          <cell r="B226" t="str">
            <v>GW-LULHY</v>
          </cell>
        </row>
        <row r="227">
          <cell r="A227" t="str">
            <v>GW-LULHY-4.5</v>
          </cell>
          <cell r="B227" t="str">
            <v>GW-LULHY</v>
          </cell>
        </row>
        <row r="228">
          <cell r="A228" t="str">
            <v>GW-LULHY-5.1</v>
          </cell>
          <cell r="B228" t="str">
            <v>GW-LULHY</v>
          </cell>
        </row>
        <row r="229">
          <cell r="A229" t="str">
            <v>GW-LULHY-6.2</v>
          </cell>
          <cell r="B229" t="str">
            <v>GW-LULHY</v>
          </cell>
        </row>
        <row r="230">
          <cell r="A230" t="str">
            <v>GW-LULHY-7.6</v>
          </cell>
          <cell r="B230" t="str">
            <v>GW-LULHY</v>
          </cell>
        </row>
        <row r="231">
          <cell r="A231" t="str">
            <v>GW-LULHY-8.8</v>
          </cell>
          <cell r="B231" t="str">
            <v>GW-LULHY</v>
          </cell>
        </row>
        <row r="232">
          <cell r="A232" t="str">
            <v>HYD-WF7995-BO-XL</v>
          </cell>
          <cell r="B232" t="str">
            <v>HYD-WF7995</v>
          </cell>
        </row>
        <row r="233">
          <cell r="A233" t="str">
            <v>HYD-WF7995-RO-XL</v>
          </cell>
          <cell r="B233" t="str">
            <v>HYD-WF7995</v>
          </cell>
        </row>
        <row r="234">
          <cell r="A234" t="str">
            <v>HZB-QJTZ-IUYL300310</v>
          </cell>
          <cell r="B234" t="str">
            <v>HZB-QJTZ</v>
          </cell>
        </row>
        <row r="235">
          <cell r="A235" t="str">
            <v>JPTZH-FLQ10-XR-32</v>
          </cell>
          <cell r="B235" t="str">
            <v>JPTZH-FLQ10</v>
          </cell>
        </row>
        <row r="236">
          <cell r="A236" t="str">
            <v>JPTZH-FLQ11-GO-30</v>
          </cell>
          <cell r="B236" t="str">
            <v>JPTZH-FLQ11</v>
          </cell>
        </row>
        <row r="237">
          <cell r="A237" t="str">
            <v>JPTZH-FLQ13XZ</v>
          </cell>
          <cell r="B237" t="str">
            <v>JPTZH-FLQ13</v>
          </cell>
        </row>
        <row r="238">
          <cell r="A238" t="str">
            <v>JPTZH-FLQ14ML-RO-18</v>
          </cell>
          <cell r="B238" t="str">
            <v>JPTZH-FLQ14ML</v>
          </cell>
        </row>
        <row r="239">
          <cell r="A239" t="str">
            <v>KZ-LUHM000-E0-L</v>
          </cell>
          <cell r="B239" t="str">
            <v>KZ-LUHM000</v>
          </cell>
        </row>
        <row r="240">
          <cell r="A240" t="str">
            <v>KZ-LUHM000-E0-M</v>
          </cell>
          <cell r="B240" t="str">
            <v>KZ-LUHM000</v>
          </cell>
        </row>
        <row r="241">
          <cell r="A241" t="str">
            <v>KZ-LUHM000-E0-XL</v>
          </cell>
          <cell r="B241" t="str">
            <v>KZ-LUHM000</v>
          </cell>
        </row>
        <row r="242">
          <cell r="A242" t="str">
            <v>KZ-LUHM000-K0-L</v>
          </cell>
          <cell r="B242" t="str">
            <v>KZ-LUHM000</v>
          </cell>
        </row>
        <row r="243">
          <cell r="A243" t="str">
            <v>KZ-LUHM000-K0-M</v>
          </cell>
          <cell r="B243" t="str">
            <v>KZ-LUHM000</v>
          </cell>
        </row>
        <row r="244">
          <cell r="A244" t="str">
            <v>KZ-LUHM000-K0-XL</v>
          </cell>
          <cell r="B244" t="str">
            <v>KZ-LUHM000</v>
          </cell>
        </row>
        <row r="245">
          <cell r="A245" t="str">
            <v>KZ-LUHM000-R0-L</v>
          </cell>
          <cell r="B245" t="str">
            <v>KZ-LUHM000</v>
          </cell>
        </row>
        <row r="246">
          <cell r="A246" t="str">
            <v>KZ-LUHM000-R0-M</v>
          </cell>
          <cell r="B246" t="str">
            <v>KZ-LUHM000</v>
          </cell>
        </row>
        <row r="247">
          <cell r="A247" t="str">
            <v>KZ-LUHM000-R0-XL</v>
          </cell>
          <cell r="B247" t="str">
            <v>KZ-LUHM000</v>
          </cell>
        </row>
        <row r="248">
          <cell r="A248" t="str">
            <v>KZ-LUHM000-W0-L</v>
          </cell>
          <cell r="B248" t="str">
            <v>KZ-LUHM000</v>
          </cell>
        </row>
        <row r="249">
          <cell r="A249" t="str">
            <v>KZ-LUHM000-W0-M</v>
          </cell>
          <cell r="B249" t="str">
            <v>KZ-LUHM000</v>
          </cell>
        </row>
        <row r="250">
          <cell r="A250" t="str">
            <v>KZ-LUHM000-W0-XL</v>
          </cell>
          <cell r="B250" t="str">
            <v>KZ-LUHM000</v>
          </cell>
        </row>
        <row r="251">
          <cell r="A251" t="str">
            <v>KZ-LUHM000-Y0-L</v>
          </cell>
          <cell r="B251" t="str">
            <v>KZ-LUHM000</v>
          </cell>
        </row>
        <row r="252">
          <cell r="A252" t="str">
            <v>KZ-LUHM000-Y0-M</v>
          </cell>
          <cell r="B252" t="str">
            <v>KZ-LUHM000</v>
          </cell>
        </row>
        <row r="253">
          <cell r="A253" t="str">
            <v>KZ-LUHM000-Y0-XL</v>
          </cell>
          <cell r="B253" t="str">
            <v>KZ-LUHM000</v>
          </cell>
        </row>
        <row r="254">
          <cell r="A254" t="str">
            <v>KZ-LY021-BK-32</v>
          </cell>
          <cell r="B254" t="str">
            <v>KZ-LY021</v>
          </cell>
        </row>
        <row r="255">
          <cell r="A255" t="str">
            <v>KZ-LY021-BK-34</v>
          </cell>
          <cell r="B255" t="str">
            <v>KZ-LY021</v>
          </cell>
        </row>
        <row r="256">
          <cell r="A256" t="str">
            <v>KZ-LY021-BK-36</v>
          </cell>
          <cell r="B256" t="str">
            <v>KZ-LY021</v>
          </cell>
        </row>
        <row r="257">
          <cell r="A257" t="str">
            <v>KZ-LY021-BK-38</v>
          </cell>
          <cell r="B257" t="str">
            <v>KZ-LY021</v>
          </cell>
        </row>
        <row r="258">
          <cell r="A258" t="str">
            <v>KZ-LY021-BK-40</v>
          </cell>
          <cell r="B258" t="str">
            <v>KZ-LY021</v>
          </cell>
        </row>
        <row r="259">
          <cell r="A259" t="str">
            <v>KZ-LY021-BL-32</v>
          </cell>
          <cell r="B259" t="str">
            <v>KZ-LY021</v>
          </cell>
        </row>
        <row r="260">
          <cell r="A260" t="str">
            <v>KZ-LY021-BL-34</v>
          </cell>
          <cell r="B260" t="str">
            <v>KZ-LY021</v>
          </cell>
        </row>
        <row r="261">
          <cell r="A261" t="str">
            <v>KZ-LY021-BL-36</v>
          </cell>
          <cell r="B261" t="str">
            <v>KZ-LY021</v>
          </cell>
        </row>
        <row r="262">
          <cell r="A262" t="str">
            <v>KZ-LY021-BL-38</v>
          </cell>
          <cell r="B262" t="str">
            <v>KZ-LY021</v>
          </cell>
        </row>
        <row r="263">
          <cell r="A263" t="str">
            <v>KZ-LY021-BL-40</v>
          </cell>
          <cell r="B263" t="str">
            <v>KZ-LY021</v>
          </cell>
        </row>
        <row r="264">
          <cell r="A264" t="str">
            <v>KZ-LY021-GY-32</v>
          </cell>
          <cell r="B264" t="str">
            <v>KZ-LY021</v>
          </cell>
        </row>
        <row r="265">
          <cell r="A265" t="str">
            <v>KZ-LY021-GY-34</v>
          </cell>
          <cell r="B265" t="str">
            <v>KZ-LY021</v>
          </cell>
        </row>
        <row r="266">
          <cell r="A266" t="str">
            <v>KZ-LY021-GY-36</v>
          </cell>
          <cell r="B266" t="str">
            <v>KZ-LY021</v>
          </cell>
        </row>
        <row r="267">
          <cell r="A267" t="str">
            <v>KZ-LY021-GY-38</v>
          </cell>
          <cell r="B267" t="str">
            <v>KZ-LY021</v>
          </cell>
        </row>
        <row r="268">
          <cell r="A268" t="str">
            <v>KZ-LY021-GY-40</v>
          </cell>
          <cell r="B268" t="str">
            <v>KZ-LY021</v>
          </cell>
        </row>
        <row r="269">
          <cell r="A269" t="str">
            <v>KZ-LY021-KK-32</v>
          </cell>
          <cell r="B269" t="str">
            <v>KZ-LY021</v>
          </cell>
        </row>
        <row r="270">
          <cell r="A270" t="str">
            <v>KZ-LY021-KK-34</v>
          </cell>
          <cell r="B270" t="str">
            <v>KZ-LY021</v>
          </cell>
        </row>
        <row r="271">
          <cell r="A271" t="str">
            <v>KZ-LY021-KK-38</v>
          </cell>
          <cell r="B271" t="str">
            <v>KZ-LY021</v>
          </cell>
        </row>
        <row r="272">
          <cell r="A272" t="str">
            <v>KZ-LY021-KK-40</v>
          </cell>
          <cell r="B272" t="str">
            <v>KZ-LY021</v>
          </cell>
        </row>
        <row r="273">
          <cell r="A273" t="str">
            <v>KZ-LY021-NY-32</v>
          </cell>
          <cell r="B273" t="str">
            <v>KZ-LY021</v>
          </cell>
        </row>
        <row r="274">
          <cell r="A274" t="str">
            <v>KZ-LY021-NY-34</v>
          </cell>
          <cell r="B274" t="str">
            <v>KZ-LY021</v>
          </cell>
        </row>
        <row r="275">
          <cell r="A275" t="str">
            <v>KZ-LY021-NY-36</v>
          </cell>
          <cell r="B275" t="str">
            <v>KZ-LY021</v>
          </cell>
        </row>
        <row r="276">
          <cell r="A276" t="str">
            <v>KZ-LY021-NY-38</v>
          </cell>
          <cell r="B276" t="str">
            <v>KZ-LY021</v>
          </cell>
        </row>
        <row r="277">
          <cell r="A277" t="str">
            <v>KZ-LY021-NY-40</v>
          </cell>
          <cell r="B277" t="str">
            <v>KZ-LY021</v>
          </cell>
        </row>
        <row r="278">
          <cell r="A278" t="str">
            <v>KZ-LY021-WR-32</v>
          </cell>
          <cell r="B278" t="str">
            <v>KZ-LY021</v>
          </cell>
        </row>
        <row r="279">
          <cell r="A279" t="str">
            <v>KZ-LY021-WR-34</v>
          </cell>
          <cell r="B279" t="str">
            <v>KZ-LY021</v>
          </cell>
        </row>
        <row r="280">
          <cell r="A280" t="str">
            <v>KZ-LY021-WR-36</v>
          </cell>
          <cell r="B280" t="str">
            <v>KZ-LY021</v>
          </cell>
        </row>
        <row r="281">
          <cell r="A281" t="str">
            <v>KZ-LY021-WR-38</v>
          </cell>
          <cell r="B281" t="str">
            <v>KZ-LY021</v>
          </cell>
        </row>
        <row r="282">
          <cell r="A282" t="str">
            <v>KZ-LY021-WR-40</v>
          </cell>
          <cell r="B282" t="str">
            <v>KZ-LY021</v>
          </cell>
        </row>
        <row r="283">
          <cell r="A283" t="str">
            <v>LGQ-IUYL100-BL</v>
          </cell>
          <cell r="B283" t="str">
            <v>LGQ-IUYL100</v>
          </cell>
        </row>
        <row r="284">
          <cell r="A284" t="str">
            <v>LGQ-IUYL100-GN</v>
          </cell>
          <cell r="B284" t="str">
            <v>LGQ-IUYL100</v>
          </cell>
        </row>
        <row r="285">
          <cell r="A285" t="str">
            <v>LGQ-IUYL100-PK</v>
          </cell>
          <cell r="B285" t="str">
            <v>LGQ-IUYL100</v>
          </cell>
        </row>
        <row r="286">
          <cell r="A286" t="str">
            <v>LGQ-IUYL100-RD</v>
          </cell>
          <cell r="B286" t="str">
            <v>LGQ-IUYL100</v>
          </cell>
        </row>
        <row r="287">
          <cell r="A287" t="str">
            <v>LGQ-IUYL100-WT</v>
          </cell>
          <cell r="B287" t="str">
            <v>LGQ-IUYL100</v>
          </cell>
        </row>
        <row r="288">
          <cell r="A288" t="str">
            <v>LGQ-IUYL100-YL</v>
          </cell>
          <cell r="B288" t="str">
            <v>LGQ-IUYL100</v>
          </cell>
        </row>
        <row r="289">
          <cell r="A289" t="str">
            <v>LYQ-NWF10-KO-S</v>
          </cell>
          <cell r="B289" t="str">
            <v>LYQ-NWF10</v>
          </cell>
        </row>
        <row r="290">
          <cell r="A290" t="str">
            <v>LYQ-WF1010-BO-2X</v>
          </cell>
          <cell r="B290" t="str">
            <v>LYQ-WF1010</v>
          </cell>
        </row>
        <row r="291">
          <cell r="A291" t="str">
            <v>LYQ-WF1010-BO-L</v>
          </cell>
          <cell r="B291" t="str">
            <v>LYQ-WF1010</v>
          </cell>
        </row>
        <row r="292">
          <cell r="A292" t="str">
            <v>LYQ-WF1010-BO-M</v>
          </cell>
          <cell r="B292" t="str">
            <v>LYQ-WF1010</v>
          </cell>
        </row>
        <row r="293">
          <cell r="A293" t="str">
            <v>LYQ-WF1010-BO-S</v>
          </cell>
          <cell r="B293" t="str">
            <v>LYQ-WF1010</v>
          </cell>
        </row>
        <row r="294">
          <cell r="A294" t="str">
            <v>LYQ-WF1010-BO-XL</v>
          </cell>
          <cell r="B294" t="str">
            <v>LYQ-WF1010</v>
          </cell>
        </row>
        <row r="295">
          <cell r="A295" t="str">
            <v>LYQ-WF1010-K0-2L</v>
          </cell>
          <cell r="B295" t="str">
            <v>LYQ-WF1010</v>
          </cell>
        </row>
        <row r="296">
          <cell r="A296" t="str">
            <v>LYQ-WF1010-KO-L</v>
          </cell>
          <cell r="B296" t="str">
            <v>LYQ-WF1010</v>
          </cell>
        </row>
        <row r="297">
          <cell r="A297" t="str">
            <v>LYQ-WF1010-KO-M</v>
          </cell>
          <cell r="B297" t="str">
            <v>LYQ-WF1010</v>
          </cell>
        </row>
        <row r="298">
          <cell r="A298" t="str">
            <v>LYQ-WF1010-KO-S</v>
          </cell>
          <cell r="B298" t="str">
            <v>LYQ-WF1010</v>
          </cell>
        </row>
        <row r="299">
          <cell r="A299" t="str">
            <v>LYQ-WF1010-KO-XL</v>
          </cell>
          <cell r="B299" t="str">
            <v>LYQ-WF1010</v>
          </cell>
        </row>
        <row r="300">
          <cell r="A300" t="str">
            <v>LYQ-WF1010-NO-2L</v>
          </cell>
          <cell r="B300" t="str">
            <v>LYQ-WF1010</v>
          </cell>
        </row>
        <row r="301">
          <cell r="A301" t="str">
            <v>LYQ-WF1010-NO-L</v>
          </cell>
          <cell r="B301" t="str">
            <v>LYQ-WF1010</v>
          </cell>
        </row>
        <row r="302">
          <cell r="A302" t="str">
            <v>LYQ-WF1010-NO-S</v>
          </cell>
          <cell r="B302" t="str">
            <v>LYQ-WF1010</v>
          </cell>
        </row>
        <row r="303">
          <cell r="A303" t="str">
            <v>LYQ-WF1010-NO-XL</v>
          </cell>
          <cell r="B303" t="str">
            <v>LYQ-WF1010</v>
          </cell>
        </row>
        <row r="304">
          <cell r="A304" t="str">
            <v>LYQ-WF1010-NO-XS</v>
          </cell>
          <cell r="B304" t="str">
            <v>LYQ-WF1010</v>
          </cell>
        </row>
        <row r="305">
          <cell r="A305" t="str">
            <v>LYQ-WF1010-PO-2L</v>
          </cell>
          <cell r="B305" t="str">
            <v>LYQ-WF1010</v>
          </cell>
        </row>
        <row r="306">
          <cell r="A306" t="str">
            <v>LYQ-WF1010-PO-L</v>
          </cell>
          <cell r="B306" t="str">
            <v>LYQ-WF1010</v>
          </cell>
        </row>
        <row r="307">
          <cell r="A307" t="str">
            <v>LYQ-WF1010-PO-M</v>
          </cell>
          <cell r="B307" t="str">
            <v>LYQ-WF1010</v>
          </cell>
        </row>
        <row r="308">
          <cell r="A308" t="str">
            <v>LYQ-WF1010-PO-S</v>
          </cell>
          <cell r="B308" t="str">
            <v>LYQ-WF1010</v>
          </cell>
        </row>
        <row r="309">
          <cell r="A309" t="str">
            <v>LYQ-WF1010-PO-XL</v>
          </cell>
          <cell r="B309" t="str">
            <v>LYQ-WF1010</v>
          </cell>
        </row>
        <row r="310">
          <cell r="A310" t="str">
            <v>LYQ-WF1010-PO-XS</v>
          </cell>
          <cell r="B310" t="str">
            <v>LYQ-WF1010</v>
          </cell>
        </row>
        <row r="311">
          <cell r="A311" t="str">
            <v>LYQ-WF1010-WO-2L</v>
          </cell>
          <cell r="B311" t="str">
            <v>LYQ-WF1010</v>
          </cell>
        </row>
        <row r="312">
          <cell r="A312" t="str">
            <v>LYQ-WF1010-WO-M</v>
          </cell>
          <cell r="B312" t="str">
            <v>LYQ-WF1010</v>
          </cell>
        </row>
        <row r="313">
          <cell r="A313" t="str">
            <v>LYQ-WF1010-WO-XL</v>
          </cell>
          <cell r="B313" t="str">
            <v>LYQ-WF1010</v>
          </cell>
        </row>
        <row r="314">
          <cell r="A314" t="str">
            <v>LYQ-WF1010-WO-XS</v>
          </cell>
          <cell r="B314" t="str">
            <v>LYQ-WF1010</v>
          </cell>
        </row>
        <row r="315">
          <cell r="A315" t="str">
            <v>LYQ-WF7125-BO-2X</v>
          </cell>
          <cell r="B315" t="str">
            <v>LYQ-WF7125</v>
          </cell>
        </row>
        <row r="316">
          <cell r="A316" t="str">
            <v>LYQ-WF7125-BO-L</v>
          </cell>
          <cell r="B316" t="str">
            <v>LYQ-WF7125</v>
          </cell>
        </row>
        <row r="317">
          <cell r="A317" t="str">
            <v>LYQ-WF7125-BO-M</v>
          </cell>
          <cell r="B317" t="str">
            <v>LYQ-WF7125</v>
          </cell>
        </row>
        <row r="318">
          <cell r="A318" t="str">
            <v>LYQ-WF7125-BO-S</v>
          </cell>
          <cell r="B318" t="str">
            <v>LYQ-WF7125</v>
          </cell>
        </row>
        <row r="319">
          <cell r="A319" t="str">
            <v>LYQ-WF7125-BO-XL</v>
          </cell>
          <cell r="B319" t="str">
            <v>LYQ-WF7125</v>
          </cell>
        </row>
        <row r="320">
          <cell r="A320" t="str">
            <v>LYQ-WF7125-K0-2L</v>
          </cell>
          <cell r="B320" t="str">
            <v>LYQ-WF7125</v>
          </cell>
        </row>
        <row r="321">
          <cell r="A321" t="str">
            <v>LYQ-WF7125-KO-L</v>
          </cell>
          <cell r="B321" t="str">
            <v>LYQ-WF7125</v>
          </cell>
        </row>
        <row r="322">
          <cell r="A322" t="str">
            <v>LYQ-WF7125-KO-M</v>
          </cell>
          <cell r="B322" t="str">
            <v>LYQ-WF7125</v>
          </cell>
        </row>
        <row r="323">
          <cell r="A323" t="str">
            <v>LYQ-WF7125-KO-S</v>
          </cell>
          <cell r="B323" t="str">
            <v>LYQ-WF7125</v>
          </cell>
        </row>
        <row r="324">
          <cell r="A324" t="str">
            <v>LYQ-WF7125-KO-XL</v>
          </cell>
          <cell r="B324" t="str">
            <v>LYQ-WF7125</v>
          </cell>
        </row>
        <row r="325">
          <cell r="A325" t="str">
            <v>LYQ-WF7125-NO-2L</v>
          </cell>
          <cell r="B325" t="str">
            <v>LYQ-WF7125</v>
          </cell>
        </row>
        <row r="326">
          <cell r="A326" t="str">
            <v>LYQ-WF7125-NO-L</v>
          </cell>
          <cell r="B326" t="str">
            <v>LYQ-WF7125</v>
          </cell>
        </row>
        <row r="327">
          <cell r="A327" t="str">
            <v>LYQ-WF7125-NO-S</v>
          </cell>
          <cell r="B327" t="str">
            <v>LYQ-WF7125</v>
          </cell>
        </row>
        <row r="328">
          <cell r="A328" t="str">
            <v>LYQ-WF7125-NO-XL</v>
          </cell>
          <cell r="B328" t="str">
            <v>LYQ-WF7125</v>
          </cell>
        </row>
        <row r="329">
          <cell r="A329" t="str">
            <v>LYQ-WF7125-NO-XS</v>
          </cell>
          <cell r="B329" t="str">
            <v>LYQ-WF7125</v>
          </cell>
        </row>
        <row r="330">
          <cell r="A330" t="str">
            <v>LYQ-WF7125-PO-2L</v>
          </cell>
          <cell r="B330" t="str">
            <v>LYQ-WF7125</v>
          </cell>
        </row>
        <row r="331">
          <cell r="A331" t="str">
            <v>LYQ-WF7125-PO-L</v>
          </cell>
          <cell r="B331" t="str">
            <v>LYQ-WF7125</v>
          </cell>
        </row>
        <row r="332">
          <cell r="A332" t="str">
            <v>LYQ-WF7125-PO-M</v>
          </cell>
          <cell r="B332" t="str">
            <v>LYQ-WF7125</v>
          </cell>
        </row>
        <row r="333">
          <cell r="A333" t="str">
            <v>LYQ-WF7125-PO-S</v>
          </cell>
          <cell r="B333" t="str">
            <v>LYQ-WF7125</v>
          </cell>
        </row>
        <row r="334">
          <cell r="A334" t="str">
            <v>LYQ-WF7125-PO-XL</v>
          </cell>
          <cell r="B334" t="str">
            <v>LYQ-WF7125</v>
          </cell>
        </row>
        <row r="335">
          <cell r="A335" t="str">
            <v>LYQ-WF7125-PO-XS</v>
          </cell>
          <cell r="B335" t="str">
            <v>LYQ-WF7125</v>
          </cell>
        </row>
        <row r="336">
          <cell r="A336" t="str">
            <v>LYQ-WF7125-WO-2L</v>
          </cell>
          <cell r="B336" t="str">
            <v>LYQ-WF7125</v>
          </cell>
        </row>
        <row r="337">
          <cell r="A337" t="str">
            <v>LYQ-WF7125-WO-M</v>
          </cell>
          <cell r="B337" t="str">
            <v>LYQ-WF7125</v>
          </cell>
        </row>
        <row r="338">
          <cell r="A338" t="str">
            <v>LYQ-WF7125-WO-XL</v>
          </cell>
          <cell r="B338" t="str">
            <v>LYQ-WF7125</v>
          </cell>
        </row>
        <row r="339">
          <cell r="A339" t="str">
            <v>LYQ-WF7125-WO-XS</v>
          </cell>
          <cell r="B339" t="str">
            <v>LYQ-WF7125</v>
          </cell>
        </row>
        <row r="340">
          <cell r="A340" t="str">
            <v>MJ-IUYL230-BL-L</v>
          </cell>
          <cell r="B340" t="str">
            <v>MJ-IUYL230</v>
          </cell>
        </row>
        <row r="341">
          <cell r="A341" t="str">
            <v>MJ-IUYL230-BL-S</v>
          </cell>
          <cell r="B341" t="str">
            <v>MJ-IUYL230</v>
          </cell>
        </row>
        <row r="342">
          <cell r="A342" t="str">
            <v>MJ-IUYL230-CF-L</v>
          </cell>
          <cell r="B342" t="str">
            <v>MJ-IUYL230</v>
          </cell>
        </row>
        <row r="343">
          <cell r="A343" t="str">
            <v>MJ-IUYL230-CF-S</v>
          </cell>
          <cell r="B343" t="str">
            <v>MJ-IUYL230</v>
          </cell>
        </row>
        <row r="344">
          <cell r="A344" t="str">
            <v>MJ-IUYL230-PK-L</v>
          </cell>
          <cell r="B344" t="str">
            <v>MJ-IUYL230</v>
          </cell>
        </row>
        <row r="345">
          <cell r="A345" t="str">
            <v>MJ-IUYL230-PK-S</v>
          </cell>
          <cell r="B345" t="str">
            <v>MJ-IUYL230</v>
          </cell>
        </row>
        <row r="346">
          <cell r="A346" t="str">
            <v>MTT-WF04-JL-M</v>
          </cell>
          <cell r="B346" t="str">
            <v>MTT-WF04</v>
          </cell>
        </row>
        <row r="347">
          <cell r="A347" t="str">
            <v>MTT-WF04-LR-M</v>
          </cell>
          <cell r="B347" t="str">
            <v>MTT-WF04</v>
          </cell>
        </row>
        <row r="348">
          <cell r="A348" t="str">
            <v>MTT-WF04-ML-M</v>
          </cell>
          <cell r="B348" t="str">
            <v>MTT-WF04</v>
          </cell>
        </row>
        <row r="349">
          <cell r="A349" t="str">
            <v>MTT-WF04-XR-M</v>
          </cell>
          <cell r="B349" t="str">
            <v>MTT-WF04</v>
          </cell>
        </row>
        <row r="350">
          <cell r="A350" t="str">
            <v>MY-PUHM001-OR-10</v>
          </cell>
          <cell r="B350" t="str">
            <v>MY-PUHM001</v>
          </cell>
        </row>
        <row r="351">
          <cell r="A351" t="str">
            <v>MY-PUHM001-OR-12</v>
          </cell>
          <cell r="B351" t="str">
            <v>MY-PUHM001</v>
          </cell>
        </row>
        <row r="352">
          <cell r="A352" t="str">
            <v>MY-PUHM001-OR-14</v>
          </cell>
          <cell r="B352" t="str">
            <v>MY-PUHM001</v>
          </cell>
        </row>
        <row r="353">
          <cell r="A353" t="str">
            <v>MY-PUHM001-OR-16</v>
          </cell>
          <cell r="B353" t="str">
            <v>MY-PUHM001</v>
          </cell>
        </row>
        <row r="354">
          <cell r="A354" t="str">
            <v>MY-PUHM001-OR-20</v>
          </cell>
          <cell r="B354" t="str">
            <v>MY-PUHM001</v>
          </cell>
        </row>
        <row r="355">
          <cell r="A355" t="str">
            <v>MY-PUHM001-OR-24</v>
          </cell>
          <cell r="B355" t="str">
            <v>MY-PUHM001</v>
          </cell>
        </row>
        <row r="356">
          <cell r="A356" t="str">
            <v>MY-PUHM001-OR-28</v>
          </cell>
          <cell r="B356" t="str">
            <v>MY-PUHM001</v>
          </cell>
        </row>
        <row r="357">
          <cell r="A357" t="str">
            <v>MY-PUHM001-OR-8</v>
          </cell>
          <cell r="B357" t="str">
            <v>MY-PUHM001</v>
          </cell>
        </row>
        <row r="358">
          <cell r="A358" t="str">
            <v>MY-PUHM001-R0-10</v>
          </cell>
          <cell r="B358" t="str">
            <v>MY-PUHM001</v>
          </cell>
        </row>
        <row r="359">
          <cell r="A359" t="str">
            <v>MY-PUHM001-R0-12</v>
          </cell>
          <cell r="B359" t="str">
            <v>MY-PUHM001</v>
          </cell>
        </row>
        <row r="360">
          <cell r="A360" t="str">
            <v>MY-PUHM001-R0-14</v>
          </cell>
          <cell r="B360" t="str">
            <v>MY-PUHM001</v>
          </cell>
        </row>
        <row r="361">
          <cell r="A361" t="str">
            <v>MY-PUHM001-R0-16</v>
          </cell>
          <cell r="B361" t="str">
            <v>MY-PUHM001</v>
          </cell>
        </row>
        <row r="362">
          <cell r="A362" t="str">
            <v>MY-PUHM001-R0-20</v>
          </cell>
          <cell r="B362" t="str">
            <v>MY-PUHM001</v>
          </cell>
        </row>
        <row r="363">
          <cell r="A363" t="str">
            <v>MY-PUHM001-R0-24</v>
          </cell>
          <cell r="B363" t="str">
            <v>MY-PUHM001</v>
          </cell>
        </row>
        <row r="364">
          <cell r="A364" t="str">
            <v>MY-PUHM001-R0-28</v>
          </cell>
          <cell r="B364" t="str">
            <v>MY-PUHM001</v>
          </cell>
        </row>
        <row r="365">
          <cell r="A365" t="str">
            <v>MY-PUHM001-R0-8</v>
          </cell>
          <cell r="B365" t="str">
            <v>MY-PUHM001</v>
          </cell>
        </row>
        <row r="366">
          <cell r="A366" t="str">
            <v>MY-PUHM001-ZL-10</v>
          </cell>
          <cell r="B366" t="str">
            <v>MY-PUHM001</v>
          </cell>
        </row>
        <row r="367">
          <cell r="A367" t="str">
            <v>MY-PUHM001-ZL-12</v>
          </cell>
          <cell r="B367" t="str">
            <v>MY-PUHM001</v>
          </cell>
        </row>
        <row r="368">
          <cell r="A368" t="str">
            <v>MY-PUHM001-ZL-14</v>
          </cell>
          <cell r="B368" t="str">
            <v>MY-PUHM001</v>
          </cell>
        </row>
        <row r="369">
          <cell r="A369" t="str">
            <v>MY-PUHM001-ZL-16</v>
          </cell>
          <cell r="B369" t="str">
            <v>MY-PUHM001</v>
          </cell>
        </row>
        <row r="370">
          <cell r="A370" t="str">
            <v>MY-PUHM001-ZL-20</v>
          </cell>
          <cell r="B370" t="str">
            <v>MY-PUHM001</v>
          </cell>
        </row>
        <row r="371">
          <cell r="A371" t="str">
            <v>MY-PUHM001-ZL-24</v>
          </cell>
          <cell r="B371" t="str">
            <v>MY-PUHM001</v>
          </cell>
        </row>
        <row r="372">
          <cell r="A372" t="str">
            <v>MY-PUHM001-ZL-28</v>
          </cell>
          <cell r="B372" t="str">
            <v>MY-PUHM001</v>
          </cell>
        </row>
        <row r="373">
          <cell r="A373" t="str">
            <v>MY-PUHM001-ZL-8</v>
          </cell>
          <cell r="B373" t="str">
            <v>MY-PUHM001</v>
          </cell>
        </row>
        <row r="374">
          <cell r="A374" t="str">
            <v>MY-PUHM035-R0-L</v>
          </cell>
          <cell r="B374" t="str">
            <v>MY-PUHM035</v>
          </cell>
        </row>
        <row r="375">
          <cell r="A375" t="str">
            <v>MY-PUHM035-R0-M</v>
          </cell>
          <cell r="B375" t="str">
            <v>MY-PUHM035</v>
          </cell>
        </row>
        <row r="376">
          <cell r="A376" t="str">
            <v>MY-PUHM035-R0-S</v>
          </cell>
          <cell r="B376" t="str">
            <v>MY-PUHM035</v>
          </cell>
        </row>
        <row r="377">
          <cell r="A377" t="str">
            <v>MY-PUHM035-R0-XL</v>
          </cell>
          <cell r="B377" t="str">
            <v>MY-PUHM035</v>
          </cell>
        </row>
        <row r="378">
          <cell r="A378" t="str">
            <v>MY-PUHM035-R0-XXL</v>
          </cell>
          <cell r="B378" t="str">
            <v>MY-PUHM035</v>
          </cell>
        </row>
        <row r="379">
          <cell r="A379" t="str">
            <v>MY-PUHM036-B0-L</v>
          </cell>
          <cell r="B379" t="str">
            <v>MY-PUHM036</v>
          </cell>
        </row>
        <row r="380">
          <cell r="A380" t="str">
            <v>MY-PUHM036-B0-M</v>
          </cell>
          <cell r="B380" t="str">
            <v>MY-PUHM036</v>
          </cell>
        </row>
        <row r="381">
          <cell r="A381" t="str">
            <v>MY-PUHM036-B0-S</v>
          </cell>
          <cell r="B381" t="str">
            <v>MY-PUHM036</v>
          </cell>
        </row>
        <row r="382">
          <cell r="A382" t="str">
            <v>MY-PUHM036-B0-XL</v>
          </cell>
          <cell r="B382" t="str">
            <v>MY-PUHM036</v>
          </cell>
        </row>
        <row r="383">
          <cell r="A383" t="str">
            <v>MY-PUHM036-B0-XXL</v>
          </cell>
          <cell r="B383" t="str">
            <v>MY-PUHM036</v>
          </cell>
        </row>
        <row r="384">
          <cell r="A384" t="str">
            <v>MY-PUHM582-B0-L</v>
          </cell>
          <cell r="B384" t="str">
            <v>MY-PUHM582</v>
          </cell>
        </row>
        <row r="385">
          <cell r="A385" t="str">
            <v>MY-PUHM582-B0-M</v>
          </cell>
          <cell r="B385" t="str">
            <v>MY-PUHM582</v>
          </cell>
        </row>
        <row r="386">
          <cell r="A386" t="str">
            <v>MY-PUHM582-B0-S</v>
          </cell>
          <cell r="B386" t="str">
            <v>MY-PUHM582</v>
          </cell>
        </row>
        <row r="387">
          <cell r="A387" t="str">
            <v>MY-PUHM582-B0-XL</v>
          </cell>
          <cell r="B387" t="str">
            <v>MY-PUHM582</v>
          </cell>
        </row>
        <row r="388">
          <cell r="A388" t="str">
            <v>MY-PUHM582-B0-XS</v>
          </cell>
          <cell r="B388" t="str">
            <v>MY-PUHM582</v>
          </cell>
        </row>
        <row r="389">
          <cell r="A389" t="str">
            <v>MY-PUHM582-R0-L</v>
          </cell>
          <cell r="B389" t="str">
            <v>MY-PUHM582</v>
          </cell>
        </row>
        <row r="390">
          <cell r="A390" t="str">
            <v>MY-PUHM582-R0-M</v>
          </cell>
          <cell r="B390" t="str">
            <v>MY-PUHM582</v>
          </cell>
        </row>
        <row r="391">
          <cell r="A391" t="str">
            <v>MY-PUHM582-R0-S</v>
          </cell>
          <cell r="B391" t="str">
            <v>MY-PUHM582</v>
          </cell>
        </row>
        <row r="392">
          <cell r="A392" t="str">
            <v>MY-PUHM582-R0-XL</v>
          </cell>
          <cell r="B392" t="str">
            <v>MY-PUHM582</v>
          </cell>
        </row>
        <row r="393">
          <cell r="A393" t="str">
            <v>MY-PUHM582-R0-XS</v>
          </cell>
          <cell r="B393" t="str">
            <v>MY-PUHM582</v>
          </cell>
        </row>
        <row r="394">
          <cell r="A394" t="str">
            <v>ND-LUHM027-PI</v>
          </cell>
          <cell r="B394" t="str">
            <v>ND-LUHM027</v>
          </cell>
        </row>
        <row r="395">
          <cell r="A395" t="str">
            <v>Pajamas-sb001-GR-L</v>
          </cell>
          <cell r="B395" t="str">
            <v>Pajamas-sb001</v>
          </cell>
        </row>
        <row r="396">
          <cell r="A396" t="str">
            <v>Pajamas-sb001-GR-M</v>
          </cell>
          <cell r="B396" t="str">
            <v>Pajamas-sb001</v>
          </cell>
        </row>
        <row r="397">
          <cell r="A397" t="str">
            <v>Pajamas-sb001-GR-XL</v>
          </cell>
          <cell r="B397" t="str">
            <v>Pajamas-sb001</v>
          </cell>
        </row>
        <row r="398">
          <cell r="A398" t="str">
            <v>Pajamas-sb001-KK-L</v>
          </cell>
          <cell r="B398" t="str">
            <v>Pajamas-sb001</v>
          </cell>
        </row>
        <row r="399">
          <cell r="A399" t="str">
            <v>Pajamas-sb001-KK-M</v>
          </cell>
          <cell r="B399" t="str">
            <v>Pajamas-sb001</v>
          </cell>
        </row>
        <row r="400">
          <cell r="A400" t="str">
            <v>Pajamas-sb001-KK-XL</v>
          </cell>
          <cell r="B400" t="str">
            <v>Pajamas-sb001</v>
          </cell>
        </row>
        <row r="401">
          <cell r="A401" t="str">
            <v>Pajamas-sb001-NY-L</v>
          </cell>
          <cell r="B401" t="str">
            <v>Pajamas-sb001</v>
          </cell>
        </row>
        <row r="402">
          <cell r="A402" t="str">
            <v>Pajamas-sb001-NY-M</v>
          </cell>
          <cell r="B402" t="str">
            <v>Pajamas-sb001</v>
          </cell>
        </row>
        <row r="403">
          <cell r="A403" t="str">
            <v>Pajamas-sb001-NY-XL</v>
          </cell>
          <cell r="B403" t="str">
            <v>Pajamas-sb001</v>
          </cell>
        </row>
        <row r="404">
          <cell r="A404" t="str">
            <v>Pajamas-sb001-WT-M</v>
          </cell>
          <cell r="B404" t="str">
            <v>Pajamas-sb001</v>
          </cell>
        </row>
        <row r="405">
          <cell r="A405" t="str">
            <v>Pajamas-sb001-WT-XL</v>
          </cell>
          <cell r="B405" t="str">
            <v>Pajamas-sb001</v>
          </cell>
        </row>
        <row r="406">
          <cell r="A406" t="str">
            <v>QLQ-LUHM121-G0</v>
          </cell>
          <cell r="B406" t="str">
            <v>QLQ-LUHM121</v>
          </cell>
        </row>
        <row r="407">
          <cell r="A407" t="str">
            <v>QLQ-LUHM121-GM</v>
          </cell>
          <cell r="B407" t="str">
            <v>QLQ-LUHM121</v>
          </cell>
        </row>
        <row r="408">
          <cell r="A408" t="str">
            <v>QLQ-LUHM121-WO</v>
          </cell>
          <cell r="B408" t="str">
            <v>QLQ-LUHM121</v>
          </cell>
        </row>
        <row r="409">
          <cell r="A409" t="str">
            <v>QLQ-LUHM121-WT</v>
          </cell>
          <cell r="B409" t="str">
            <v>QLQ-LUHM121</v>
          </cell>
        </row>
        <row r="410">
          <cell r="A410" t="str">
            <v>QLQ-WF121-WO</v>
          </cell>
          <cell r="B410" t="str">
            <v>QLQ-WF121-WO</v>
          </cell>
        </row>
        <row r="411">
          <cell r="A411" t="str">
            <v>QQ-LUHM-801-B0</v>
          </cell>
          <cell r="B411" t="str">
            <v>QQ-LUHM-801-B0</v>
          </cell>
        </row>
        <row r="412">
          <cell r="A412" t="str">
            <v>RYMT-WF712-GO-L</v>
          </cell>
          <cell r="B412" t="str">
            <v>RYMT-WF712</v>
          </cell>
        </row>
        <row r="413">
          <cell r="A413" t="str">
            <v>RYMT-WF712-PI-L</v>
          </cell>
          <cell r="B413" t="str">
            <v>RYMT-WF712</v>
          </cell>
        </row>
        <row r="414">
          <cell r="A414" t="str">
            <v>RYMT-WF712-PO-L</v>
          </cell>
          <cell r="B414" t="str">
            <v>RYMT-WF712</v>
          </cell>
        </row>
        <row r="415">
          <cell r="A415" t="str">
            <v>RY-PUHM716-B0-L</v>
          </cell>
          <cell r="B415" t="str">
            <v>RY-PUHM716</v>
          </cell>
        </row>
        <row r="416">
          <cell r="A416" t="str">
            <v>RY-PUHM716-B0-M</v>
          </cell>
          <cell r="B416" t="str">
            <v>RY-PUHM716</v>
          </cell>
        </row>
        <row r="417">
          <cell r="A417" t="str">
            <v>RY-PUHM716-B0-S</v>
          </cell>
          <cell r="B417" t="str">
            <v>RY-PUHM716</v>
          </cell>
        </row>
        <row r="418">
          <cell r="A418" t="str">
            <v>RY-PUHM716-B0-XL</v>
          </cell>
          <cell r="B418" t="str">
            <v>RY-PUHM716</v>
          </cell>
        </row>
        <row r="419">
          <cell r="A419" t="str">
            <v>RY-PUHM716-B0-XXL</v>
          </cell>
          <cell r="B419" t="str">
            <v>RY-PUHM716</v>
          </cell>
        </row>
        <row r="420">
          <cell r="A420" t="str">
            <v>RY-PUHM716-KQ-L</v>
          </cell>
          <cell r="B420" t="str">
            <v>RY-PUHM716</v>
          </cell>
        </row>
        <row r="421">
          <cell r="A421" t="str">
            <v>RY-PUHM716-KQ-M</v>
          </cell>
          <cell r="B421" t="str">
            <v>RY-PUHM716</v>
          </cell>
        </row>
        <row r="422">
          <cell r="A422" t="str">
            <v>RY-PUHM716-KQ-S</v>
          </cell>
          <cell r="B422" t="str">
            <v>RY-PUHM716</v>
          </cell>
        </row>
        <row r="423">
          <cell r="A423" t="str">
            <v>RY-PUHM716-KQ-XL</v>
          </cell>
          <cell r="B423" t="str">
            <v>RY-PUHM716</v>
          </cell>
        </row>
        <row r="424">
          <cell r="A424" t="str">
            <v>RY-PUHM716-KQ-XXL</v>
          </cell>
          <cell r="B424" t="str">
            <v>RY-PUHM716</v>
          </cell>
        </row>
        <row r="425">
          <cell r="A425" t="str">
            <v>RY-PUHM716-PI-L</v>
          </cell>
          <cell r="B425" t="str">
            <v>RY-PUHM716</v>
          </cell>
        </row>
        <row r="426">
          <cell r="A426" t="str">
            <v>RY-PUHM716-PI-M</v>
          </cell>
          <cell r="B426" t="str">
            <v>RY-PUHM716</v>
          </cell>
        </row>
        <row r="427">
          <cell r="A427" t="str">
            <v>RY-PUHM716-PI-S</v>
          </cell>
          <cell r="B427" t="str">
            <v>RY-PUHM716</v>
          </cell>
        </row>
        <row r="428">
          <cell r="A428" t="str">
            <v>RY-PUHM716-PI-XL</v>
          </cell>
          <cell r="B428" t="str">
            <v>RY-PUHM716</v>
          </cell>
        </row>
        <row r="429">
          <cell r="A429" t="str">
            <v>RY-PUHM716-PI-XXL</v>
          </cell>
          <cell r="B429" t="str">
            <v>RY-PUHM716</v>
          </cell>
        </row>
        <row r="430">
          <cell r="A430" t="str">
            <v>SB-LUHM100-B0</v>
          </cell>
          <cell r="B430" t="str">
            <v>SB-LUHM100</v>
          </cell>
        </row>
        <row r="431">
          <cell r="A431" t="str">
            <v>SB-LUHM100-G0</v>
          </cell>
          <cell r="B431" t="str">
            <v>SB-LUHM100</v>
          </cell>
        </row>
        <row r="432">
          <cell r="A432" t="str">
            <v>SB-LUHM100-K0</v>
          </cell>
          <cell r="B432" t="str">
            <v>SB-LUHM100</v>
          </cell>
        </row>
        <row r="433">
          <cell r="A433" t="str">
            <v>SB-LUHM100-R0</v>
          </cell>
          <cell r="B433" t="str">
            <v>SB-LUHM100</v>
          </cell>
        </row>
        <row r="434">
          <cell r="A434" t="str">
            <v>scarf-0001-Blue</v>
          </cell>
          <cell r="B434" t="str">
            <v>scarf-0001</v>
          </cell>
        </row>
        <row r="435">
          <cell r="A435" t="str">
            <v>scarf-0001-Peony</v>
          </cell>
          <cell r="B435" t="str">
            <v>scarf-0001</v>
          </cell>
        </row>
        <row r="436">
          <cell r="A436" t="str">
            <v>scarf-0001-Plum</v>
          </cell>
          <cell r="B436" t="str">
            <v>scarf-0001</v>
          </cell>
        </row>
        <row r="437">
          <cell r="A437" t="str">
            <v>scarf-001-blueheart</v>
          </cell>
          <cell r="B437" t="str">
            <v>scarf-00</v>
          </cell>
        </row>
        <row r="438">
          <cell r="A438" t="str">
            <v>SCF010-A01</v>
          </cell>
          <cell r="B438" t="str">
            <v>SCF010</v>
          </cell>
        </row>
        <row r="439">
          <cell r="A439" t="str">
            <v>SCF010-A02</v>
          </cell>
          <cell r="B439" t="str">
            <v>SCF010</v>
          </cell>
        </row>
        <row r="440">
          <cell r="A440" t="str">
            <v>SCF010-A04</v>
          </cell>
          <cell r="B440" t="str">
            <v>SCF010</v>
          </cell>
        </row>
        <row r="441">
          <cell r="A441" t="str">
            <v>SCF010-A05</v>
          </cell>
          <cell r="B441" t="str">
            <v>SCF010</v>
          </cell>
        </row>
        <row r="442">
          <cell r="A442" t="str">
            <v>SCF010-A06</v>
          </cell>
          <cell r="B442" t="str">
            <v>SCF010</v>
          </cell>
        </row>
        <row r="443">
          <cell r="A443" t="str">
            <v>SCF010-A08</v>
          </cell>
          <cell r="B443" t="str">
            <v>SCF010</v>
          </cell>
        </row>
        <row r="444">
          <cell r="A444" t="str">
            <v>SCF010-A09</v>
          </cell>
          <cell r="B444" t="str">
            <v>SCF010</v>
          </cell>
        </row>
        <row r="445">
          <cell r="A445" t="str">
            <v>SCF-A01-007</v>
          </cell>
          <cell r="B445" t="str">
            <v>SCF-A01</v>
          </cell>
        </row>
        <row r="446">
          <cell r="A446" t="str">
            <v>SCF-A01-008</v>
          </cell>
          <cell r="B446" t="str">
            <v>SCF-A01</v>
          </cell>
        </row>
        <row r="447">
          <cell r="A447" t="str">
            <v>SCF-A01-009</v>
          </cell>
          <cell r="B447" t="str">
            <v>SCF-A01</v>
          </cell>
        </row>
        <row r="448">
          <cell r="A448" t="str">
            <v>SCF-A01-010</v>
          </cell>
          <cell r="B448" t="str">
            <v>SCF-A01</v>
          </cell>
        </row>
        <row r="449">
          <cell r="A449" t="str">
            <v>SCF-A01-011</v>
          </cell>
          <cell r="B449" t="str">
            <v>SCF-A01</v>
          </cell>
        </row>
        <row r="450">
          <cell r="A450" t="str">
            <v>SCF-A01-012</v>
          </cell>
          <cell r="B450" t="str">
            <v>SCF-A01</v>
          </cell>
        </row>
        <row r="451">
          <cell r="A451" t="str">
            <v>SCF-A01-013</v>
          </cell>
          <cell r="B451" t="str">
            <v>SCF-A01</v>
          </cell>
        </row>
        <row r="452">
          <cell r="A452" t="str">
            <v>SCF-B01-001</v>
          </cell>
          <cell r="B452" t="str">
            <v>SCF-B01</v>
          </cell>
        </row>
        <row r="453">
          <cell r="A453" t="str">
            <v>SCF-B01-002</v>
          </cell>
          <cell r="B453" t="str">
            <v>SCF-B01</v>
          </cell>
        </row>
        <row r="454">
          <cell r="A454" t="str">
            <v>SCF-B01-003</v>
          </cell>
          <cell r="B454" t="str">
            <v>SCF-B01</v>
          </cell>
        </row>
        <row r="455">
          <cell r="A455" t="str">
            <v>SCF-B01-004</v>
          </cell>
          <cell r="B455" t="str">
            <v>SCF-B01</v>
          </cell>
        </row>
        <row r="456">
          <cell r="A456" t="str">
            <v>SCF-B01-005</v>
          </cell>
          <cell r="B456" t="str">
            <v>SCF-B01</v>
          </cell>
        </row>
        <row r="457">
          <cell r="A457" t="str">
            <v>SCF-B01-006</v>
          </cell>
          <cell r="B457" t="str">
            <v>SCF-B01</v>
          </cell>
        </row>
        <row r="458">
          <cell r="A458" t="str">
            <v>SCF-B01-007</v>
          </cell>
          <cell r="B458" t="str">
            <v>SCF-B01</v>
          </cell>
        </row>
        <row r="459">
          <cell r="A459" t="str">
            <v>SCF-B01-008</v>
          </cell>
          <cell r="B459" t="str">
            <v>SCF-B01</v>
          </cell>
        </row>
        <row r="460">
          <cell r="A460" t="str">
            <v>SCF-B01-009</v>
          </cell>
          <cell r="B460" t="str">
            <v>SCF-B01</v>
          </cell>
        </row>
        <row r="461">
          <cell r="A461" t="str">
            <v>SCF-B01-011</v>
          </cell>
          <cell r="B461" t="str">
            <v>SCF-B01</v>
          </cell>
        </row>
        <row r="462">
          <cell r="A462" t="str">
            <v>SCF-B01-012</v>
          </cell>
          <cell r="B462" t="str">
            <v>SCF-B01</v>
          </cell>
        </row>
        <row r="463">
          <cell r="A463" t="str">
            <v>SCF-B01-013</v>
          </cell>
          <cell r="B463" t="str">
            <v>SCF-B01</v>
          </cell>
        </row>
        <row r="464">
          <cell r="A464" t="str">
            <v>SCF-B01-014</v>
          </cell>
          <cell r="B464" t="str">
            <v>SCF-B01</v>
          </cell>
        </row>
        <row r="465">
          <cell r="A465" t="str">
            <v>SCF-B01-015</v>
          </cell>
          <cell r="B465" t="str">
            <v>SCF-B01</v>
          </cell>
        </row>
        <row r="466">
          <cell r="A466" t="str">
            <v>SCF-B01-016</v>
          </cell>
          <cell r="B466" t="str">
            <v>SCF-B01</v>
          </cell>
        </row>
        <row r="467">
          <cell r="A467" t="str">
            <v>SCF-B01-017</v>
          </cell>
          <cell r="B467" t="str">
            <v>SCF-B01</v>
          </cell>
        </row>
        <row r="468">
          <cell r="A468" t="str">
            <v>SCF-B01-018</v>
          </cell>
          <cell r="B468" t="str">
            <v>SCF-B01</v>
          </cell>
        </row>
        <row r="469">
          <cell r="A469" t="str">
            <v>SCF-B01-019</v>
          </cell>
          <cell r="B469" t="str">
            <v>SCF-B01</v>
          </cell>
        </row>
        <row r="470">
          <cell r="A470" t="str">
            <v>SCF-B01-020</v>
          </cell>
          <cell r="B470" t="str">
            <v>SCF-B01</v>
          </cell>
        </row>
        <row r="471">
          <cell r="A471" t="str">
            <v>SCF-B01-021</v>
          </cell>
          <cell r="B471" t="str">
            <v>SCF-B01</v>
          </cell>
        </row>
        <row r="472">
          <cell r="A472" t="str">
            <v>SCF-B01-022</v>
          </cell>
          <cell r="B472" t="str">
            <v>SCF-B01</v>
          </cell>
        </row>
        <row r="473">
          <cell r="A473" t="str">
            <v>SCF-C01-002</v>
          </cell>
          <cell r="B473" t="str">
            <v>SCF-C01</v>
          </cell>
        </row>
        <row r="474">
          <cell r="A474" t="str">
            <v>SCF-C01-003</v>
          </cell>
          <cell r="B474" t="str">
            <v>SCF-C01</v>
          </cell>
        </row>
        <row r="475">
          <cell r="A475" t="str">
            <v>SCF-C01-005</v>
          </cell>
          <cell r="B475" t="str">
            <v>SCF-C01</v>
          </cell>
        </row>
        <row r="476">
          <cell r="A476" t="str">
            <v>SCF-C01-006</v>
          </cell>
          <cell r="B476" t="str">
            <v>SCF-C01</v>
          </cell>
        </row>
        <row r="477">
          <cell r="A477" t="str">
            <v>SCF-C01-007</v>
          </cell>
          <cell r="B477" t="str">
            <v>SCF-C01</v>
          </cell>
        </row>
        <row r="478">
          <cell r="A478" t="str">
            <v>SCF-C01-008</v>
          </cell>
          <cell r="B478" t="str">
            <v>SCF-C01</v>
          </cell>
        </row>
        <row r="479">
          <cell r="A479" t="str">
            <v>SCF-C01-009</v>
          </cell>
          <cell r="B479" t="str">
            <v>SCF-C01</v>
          </cell>
        </row>
        <row r="480">
          <cell r="A480" t="str">
            <v>SCF-C01-010</v>
          </cell>
          <cell r="B480" t="str">
            <v>SCF-C01</v>
          </cell>
        </row>
        <row r="481">
          <cell r="A481" t="str">
            <v>SCF-C01-011</v>
          </cell>
          <cell r="B481" t="str">
            <v>SCF-C01</v>
          </cell>
        </row>
        <row r="482">
          <cell r="A482" t="str">
            <v>SCF-C01-012</v>
          </cell>
          <cell r="B482" t="str">
            <v>SCF-C01</v>
          </cell>
        </row>
        <row r="483">
          <cell r="A483" t="str">
            <v>SCF-C01-013</v>
          </cell>
          <cell r="B483" t="str">
            <v>SCF-C01</v>
          </cell>
        </row>
        <row r="484">
          <cell r="A484" t="str">
            <v>SCF-C01-014</v>
          </cell>
          <cell r="B484" t="str">
            <v>SCF-C01</v>
          </cell>
        </row>
        <row r="485">
          <cell r="A485" t="str">
            <v>SCF-C01-016</v>
          </cell>
          <cell r="B485" t="str">
            <v>SCF-C01</v>
          </cell>
        </row>
        <row r="486">
          <cell r="A486" t="str">
            <v>SCF-C01-017</v>
          </cell>
          <cell r="B486" t="str">
            <v>SCF-C01</v>
          </cell>
        </row>
        <row r="487">
          <cell r="A487" t="str">
            <v>SCF-C01-018</v>
          </cell>
          <cell r="B487" t="str">
            <v>SCF-C01</v>
          </cell>
        </row>
        <row r="488">
          <cell r="A488" t="str">
            <v>SCF-C01-019</v>
          </cell>
          <cell r="B488" t="str">
            <v>SCF-C01</v>
          </cell>
        </row>
        <row r="489">
          <cell r="A489" t="str">
            <v>SCF-C01-020</v>
          </cell>
          <cell r="B489" t="str">
            <v>SCF-C01</v>
          </cell>
        </row>
        <row r="490">
          <cell r="A490" t="str">
            <v>SCF-D01-004</v>
          </cell>
          <cell r="B490" t="str">
            <v>SCF-D01</v>
          </cell>
        </row>
        <row r="491">
          <cell r="A491" t="str">
            <v>SCF-D01-006</v>
          </cell>
          <cell r="B491" t="str">
            <v>SCF-D01</v>
          </cell>
        </row>
        <row r="492">
          <cell r="A492" t="str">
            <v>SCF-D01-007</v>
          </cell>
          <cell r="B492" t="str">
            <v>SCF-D01</v>
          </cell>
        </row>
        <row r="493">
          <cell r="A493" t="str">
            <v>SCF-D01-009</v>
          </cell>
          <cell r="B493" t="str">
            <v>SCF-D01</v>
          </cell>
        </row>
        <row r="494">
          <cell r="A494" t="str">
            <v>SCF-D01-011</v>
          </cell>
          <cell r="B494" t="str">
            <v>SCF-D01</v>
          </cell>
        </row>
        <row r="495">
          <cell r="A495" t="str">
            <v>SCF-D01-012</v>
          </cell>
          <cell r="B495" t="str">
            <v>SCF-D01</v>
          </cell>
        </row>
        <row r="496">
          <cell r="A496" t="str">
            <v>SCF-D01-015</v>
          </cell>
          <cell r="B496" t="str">
            <v>SCF-D01</v>
          </cell>
        </row>
        <row r="497">
          <cell r="A497" t="str">
            <v>SCF-D01-017</v>
          </cell>
          <cell r="B497" t="str">
            <v>SCF-D01</v>
          </cell>
        </row>
        <row r="498">
          <cell r="A498" t="str">
            <v>SCF-SJ006-Navystar-OS</v>
          </cell>
          <cell r="B498" t="str">
            <v>SCF-SJ006</v>
          </cell>
        </row>
        <row r="499">
          <cell r="A499" t="str">
            <v>SCF-SJ008-KH-OS</v>
          </cell>
          <cell r="B499" t="str">
            <v>SCF-SJ006</v>
          </cell>
        </row>
        <row r="500">
          <cell r="A500" t="str">
            <v>SDCQZH-FLQ12</v>
          </cell>
          <cell r="B500" t="str">
            <v>SDCQZH-FLQ12</v>
          </cell>
        </row>
        <row r="501">
          <cell r="A501" t="str">
            <v>SD-LUHM202-B0</v>
          </cell>
          <cell r="B501" t="str">
            <v>SD-LUHM202</v>
          </cell>
        </row>
        <row r="502">
          <cell r="A502" t="str">
            <v>SD-LUHM202-G0</v>
          </cell>
          <cell r="B502" t="str">
            <v>SD-LUHM202</v>
          </cell>
        </row>
        <row r="503">
          <cell r="A503" t="str">
            <v>SD-LUHM202-G0-X</v>
          </cell>
          <cell r="B503" t="str">
            <v>SD-LUHM202</v>
          </cell>
        </row>
        <row r="504">
          <cell r="A504" t="str">
            <v>SD-LUHM202-PI</v>
          </cell>
          <cell r="B504" t="str">
            <v>SD-LUHM202</v>
          </cell>
        </row>
        <row r="505">
          <cell r="A505" t="str">
            <v>SD-LUHM202-X0</v>
          </cell>
          <cell r="B505" t="str">
            <v>SD-LUHM202</v>
          </cell>
        </row>
        <row r="506">
          <cell r="A506" t="str">
            <v>SD-LUHM202-Y0</v>
          </cell>
          <cell r="B506" t="str">
            <v>SD-LUHM202</v>
          </cell>
        </row>
        <row r="507">
          <cell r="A507" t="str">
            <v>SDMZH-FLQ09WFB-RO-30</v>
          </cell>
          <cell r="B507" t="str">
            <v>SDMZH-FLQ09WFB</v>
          </cell>
        </row>
        <row r="508">
          <cell r="A508" t="str">
            <v>SDMZH-FLQ09WFB-RO-37</v>
          </cell>
          <cell r="B508" t="str">
            <v>SDMZH-FLQ09WFB</v>
          </cell>
        </row>
        <row r="509">
          <cell r="A509" t="str">
            <v>SDMZH-FLQ10RM-RO-30</v>
          </cell>
          <cell r="B509" t="str">
            <v>SDMZH-FLQ10RM</v>
          </cell>
        </row>
        <row r="510">
          <cell r="A510" t="str">
            <v>SDMZH-FLQ10RM-RO-37</v>
          </cell>
          <cell r="B510" t="str">
            <v>SDMZH-FLQ10RM</v>
          </cell>
        </row>
        <row r="511">
          <cell r="A511" t="str">
            <v>SDSZH-BS</v>
          </cell>
          <cell r="B511" t="str">
            <v>SDSZH</v>
          </cell>
        </row>
        <row r="512">
          <cell r="A512" t="str">
            <v>SDSZH-RG</v>
          </cell>
          <cell r="B512" t="str">
            <v>SDSZH</v>
          </cell>
        </row>
        <row r="513">
          <cell r="A513" t="str">
            <v>SDSZH-TS-1</v>
          </cell>
          <cell r="B513" t="str">
            <v>SDSZH</v>
          </cell>
        </row>
        <row r="514">
          <cell r="A514" t="str">
            <v>SDSZH-TS-2</v>
          </cell>
          <cell r="B514" t="str">
            <v>SDSZH</v>
          </cell>
        </row>
        <row r="515">
          <cell r="A515" t="str">
            <v>SDSZH-TS-3</v>
          </cell>
          <cell r="B515" t="str">
            <v>SDSZH</v>
          </cell>
        </row>
        <row r="516">
          <cell r="A516" t="str">
            <v>SDSZH-TS-4</v>
          </cell>
          <cell r="B516" t="str">
            <v>SDSZH</v>
          </cell>
        </row>
        <row r="517">
          <cell r="A517" t="str">
            <v>SDSZH-TS-5</v>
          </cell>
          <cell r="B517" t="str">
            <v>SDSZH</v>
          </cell>
        </row>
        <row r="518">
          <cell r="A518" t="str">
            <v>SDSZH-TS-6</v>
          </cell>
          <cell r="B518" t="str">
            <v>SDSZH</v>
          </cell>
        </row>
        <row r="519">
          <cell r="A519" t="str">
            <v>SDWZH-FLQ15FG-ML-50</v>
          </cell>
          <cell r="B519" t="str">
            <v>SDWZH-FLQ15</v>
          </cell>
        </row>
        <row r="520">
          <cell r="A520" t="str">
            <v>SDWZH-FLQ16-XR-60</v>
          </cell>
          <cell r="B520" t="str">
            <v>SDWZH-FLQ16</v>
          </cell>
        </row>
        <row r="521">
          <cell r="A521" t="str">
            <v>SG-LUHM050-K0</v>
          </cell>
          <cell r="B521" t="str">
            <v>SG-LUHM050</v>
          </cell>
        </row>
        <row r="522">
          <cell r="A522" t="str">
            <v>SG-LUHM100-K0</v>
          </cell>
          <cell r="B522" t="str">
            <v>SG-LUHM100</v>
          </cell>
        </row>
        <row r="523">
          <cell r="A523" t="str">
            <v>SJZP-FLQ19-CYH30-100</v>
          </cell>
          <cell r="B523" t="str">
            <v>SJZP-FLQ19</v>
          </cell>
        </row>
        <row r="524">
          <cell r="A524" t="str">
            <v>SJZP-FLQ19-CYV30-100</v>
          </cell>
          <cell r="B524" t="str">
            <v>SJZP-FLQ19</v>
          </cell>
        </row>
        <row r="525">
          <cell r="A525" t="str">
            <v>SJZP-FLQ19-CYXL-50*30</v>
          </cell>
          <cell r="B525" t="str">
            <v>SJZP-FLQ19</v>
          </cell>
        </row>
        <row r="526">
          <cell r="A526" t="str">
            <v>SJZP-FLQ19-SJ-100</v>
          </cell>
          <cell r="B526" t="str">
            <v>SJZP-FLQ19</v>
          </cell>
        </row>
        <row r="527">
          <cell r="A527" t="str">
            <v>SJZP-FLQ19-SJH30-100</v>
          </cell>
          <cell r="B527" t="str">
            <v>SJZP-FLQ19</v>
          </cell>
        </row>
        <row r="528">
          <cell r="A528" t="str">
            <v>SJZP-FLQ19-SJV30-100</v>
          </cell>
          <cell r="B528" t="str">
            <v>SJZP-FLQ19</v>
          </cell>
        </row>
        <row r="529">
          <cell r="A529" t="str">
            <v>SJZP-FLQ19-SJV40-100</v>
          </cell>
          <cell r="B529" t="str">
            <v>SJZP-FLQ19</v>
          </cell>
        </row>
        <row r="530">
          <cell r="A530" t="str">
            <v>SJZP-FLQ19-SJXL-50*30</v>
          </cell>
          <cell r="B530" t="str">
            <v>SJZP-FLQ19</v>
          </cell>
        </row>
        <row r="531">
          <cell r="A531" t="str">
            <v>SJZP-FLQ19-SJYX-140</v>
          </cell>
          <cell r="B531" t="str">
            <v>SJZP-FLQ19</v>
          </cell>
        </row>
        <row r="532">
          <cell r="A532" t="str">
            <v>SJZP-FLQ19-YXCY-140</v>
          </cell>
          <cell r="B532" t="str">
            <v>SJZP-FLQ19</v>
          </cell>
        </row>
        <row r="533">
          <cell r="A533" t="str">
            <v>SKS-B334</v>
          </cell>
          <cell r="B533" t="str">
            <v>SKS-B334</v>
          </cell>
        </row>
        <row r="534">
          <cell r="A534" t="str">
            <v>SL-LULW812-BO-L</v>
          </cell>
          <cell r="B534" t="str">
            <v>SL-LULW812</v>
          </cell>
        </row>
        <row r="535">
          <cell r="A535" t="str">
            <v>SL-LULW812-BO-M</v>
          </cell>
          <cell r="B535" t="str">
            <v>SL-LULW812</v>
          </cell>
        </row>
        <row r="536">
          <cell r="A536" t="str">
            <v>SL-LULW812-PI-L</v>
          </cell>
          <cell r="B536" t="str">
            <v>SL-LULW812</v>
          </cell>
        </row>
        <row r="537">
          <cell r="A537" t="str">
            <v>SL-LULW812-PI-M</v>
          </cell>
          <cell r="B537" t="str">
            <v>SL-LULW812</v>
          </cell>
        </row>
        <row r="538">
          <cell r="A538" t="str">
            <v>SL-LULW812-RO-L</v>
          </cell>
          <cell r="B538" t="str">
            <v>SL-LULW812</v>
          </cell>
        </row>
        <row r="539">
          <cell r="A539" t="str">
            <v>SL-LULW812-RO-M</v>
          </cell>
          <cell r="B539" t="str">
            <v>SL-LULW812</v>
          </cell>
        </row>
        <row r="540">
          <cell r="A540" t="str">
            <v>SL-LULW818-BO-L</v>
          </cell>
          <cell r="B540" t="str">
            <v>SL-LULW812</v>
          </cell>
        </row>
        <row r="541">
          <cell r="A541" t="str">
            <v>SL-LULW818-BO-M</v>
          </cell>
          <cell r="B541" t="str">
            <v>SL-LULW812</v>
          </cell>
        </row>
        <row r="542">
          <cell r="A542" t="str">
            <v>SL-LULW818-PI-L</v>
          </cell>
          <cell r="B542" t="str">
            <v>SL-LULW812</v>
          </cell>
        </row>
        <row r="543">
          <cell r="A543" t="str">
            <v>SL-LULW818-PI-M</v>
          </cell>
          <cell r="B543" t="str">
            <v>SL-LULW812</v>
          </cell>
        </row>
        <row r="544">
          <cell r="A544" t="str">
            <v>SL-LULW818-RO-L</v>
          </cell>
          <cell r="B544" t="str">
            <v>SL-LULW812</v>
          </cell>
        </row>
        <row r="545">
          <cell r="A545" t="str">
            <v>SL-LULW818-RO-M</v>
          </cell>
          <cell r="B545" t="str">
            <v>SL-LULW812</v>
          </cell>
        </row>
        <row r="546">
          <cell r="A546" t="str">
            <v>SND-FLQ17-GR-108</v>
          </cell>
          <cell r="B546" t="str">
            <v>SND-FLQ17</v>
          </cell>
        </row>
        <row r="547">
          <cell r="A547" t="str">
            <v>SND-FLQ17-NO-108</v>
          </cell>
          <cell r="B547" t="str">
            <v>SND-FLQ17</v>
          </cell>
        </row>
        <row r="548">
          <cell r="A548" t="str">
            <v>SND-FLQ18-SJ-74</v>
          </cell>
          <cell r="B548" t="str">
            <v>SND-FLQ18</v>
          </cell>
        </row>
        <row r="549">
          <cell r="A549" t="str">
            <v>SND-FLQ18-SJ-80</v>
          </cell>
          <cell r="B549" t="str">
            <v>SND-FLQ18</v>
          </cell>
        </row>
        <row r="550">
          <cell r="A550" t="str">
            <v>SND-WF5150-WO</v>
          </cell>
          <cell r="B550" t="str">
            <v>SND-WF5150</v>
          </cell>
        </row>
        <row r="551">
          <cell r="A551" t="str">
            <v>SND-WF5150-WO2</v>
          </cell>
          <cell r="B551" t="str">
            <v>SND-WF5150</v>
          </cell>
        </row>
        <row r="552">
          <cell r="A552" t="str">
            <v>SNH-LUHM001-E0</v>
          </cell>
          <cell r="B552" t="str">
            <v>SNH-LUHM001</v>
          </cell>
        </row>
        <row r="553">
          <cell r="A553" t="str">
            <v>SNH-LUHM001-G0</v>
          </cell>
          <cell r="B553" t="str">
            <v>SNH-LUHM001</v>
          </cell>
        </row>
        <row r="554">
          <cell r="A554" t="str">
            <v>SNH-LUHM001-K0</v>
          </cell>
          <cell r="B554" t="str">
            <v>SNH-LUHM001</v>
          </cell>
        </row>
        <row r="555">
          <cell r="A555" t="str">
            <v>SNH-LUHM001-W0</v>
          </cell>
          <cell r="B555" t="str">
            <v>SNH-LUHM001</v>
          </cell>
        </row>
        <row r="556">
          <cell r="A556" t="str">
            <v>SNH-LUHM001-Y0</v>
          </cell>
          <cell r="B556" t="str">
            <v>SNH-LUHM001</v>
          </cell>
        </row>
        <row r="557">
          <cell r="A557" t="str">
            <v>SNT-LUHM001-BS</v>
          </cell>
          <cell r="B557" t="str">
            <v>SNH-LUHM001</v>
          </cell>
        </row>
        <row r="558">
          <cell r="A558" t="str">
            <v>SNT-LUHM001-DX</v>
          </cell>
          <cell r="B558" t="str">
            <v>SNH-LUHM001</v>
          </cell>
        </row>
        <row r="559">
          <cell r="A559" t="str">
            <v>SNT-LUHM001-GQ</v>
          </cell>
          <cell r="B559" t="str">
            <v>SNH-LUHM001</v>
          </cell>
        </row>
        <row r="560">
          <cell r="A560" t="str">
            <v>SNT-LUHM001-HW</v>
          </cell>
          <cell r="B560" t="str">
            <v>SNH-LUHM001</v>
          </cell>
        </row>
        <row r="561">
          <cell r="A561" t="str">
            <v>SNT-LUHM001-HY</v>
          </cell>
          <cell r="B561" t="str">
            <v>SNH-LUHM001</v>
          </cell>
        </row>
        <row r="562">
          <cell r="A562" t="str">
            <v>SNT-LUHM001-KT</v>
          </cell>
          <cell r="B562" t="str">
            <v>SNH-LUHM001</v>
          </cell>
        </row>
        <row r="563">
          <cell r="A563" t="str">
            <v>SNT-LUHM001-WX</v>
          </cell>
          <cell r="B563" t="str">
            <v>SNH-LUHM001</v>
          </cell>
        </row>
        <row r="564">
          <cell r="A564" t="str">
            <v>SNT-LUHM001-ZX</v>
          </cell>
          <cell r="B564" t="str">
            <v>SNH-LUHM001</v>
          </cell>
        </row>
        <row r="565">
          <cell r="A565" t="str">
            <v>SQ-LUHM204</v>
          </cell>
          <cell r="B565" t="str">
            <v>SQ-LUHM</v>
          </cell>
        </row>
        <row r="566">
          <cell r="A566" t="str">
            <v>SQ-LUHM304</v>
          </cell>
          <cell r="B566" t="str">
            <v>SQ-LUHM</v>
          </cell>
        </row>
        <row r="567">
          <cell r="A567" t="str">
            <v>SQ-LUHM354</v>
          </cell>
          <cell r="B567" t="str">
            <v>SQ-LUHM</v>
          </cell>
        </row>
        <row r="568">
          <cell r="A568" t="str">
            <v>SQ-LUHM404</v>
          </cell>
          <cell r="B568" t="str">
            <v>SQ-LUHM</v>
          </cell>
        </row>
        <row r="569">
          <cell r="A569" t="str">
            <v>SQ-LUHM90A</v>
          </cell>
          <cell r="B569" t="str">
            <v>SQ-LUHM</v>
          </cell>
        </row>
        <row r="570">
          <cell r="A570" t="str">
            <v>ST005-BK-S</v>
          </cell>
          <cell r="B570" t="str">
            <v>ST005-BK</v>
          </cell>
        </row>
        <row r="571">
          <cell r="A571" t="str">
            <v>ST005-BL1-L</v>
          </cell>
          <cell r="B571" t="str">
            <v>ST005-BL1</v>
          </cell>
        </row>
        <row r="572">
          <cell r="A572" t="str">
            <v>ST005-BL2-S</v>
          </cell>
          <cell r="B572" t="str">
            <v>ST005-BL2</v>
          </cell>
        </row>
        <row r="573">
          <cell r="A573" t="str">
            <v>ST005-GN-S</v>
          </cell>
          <cell r="B573" t="str">
            <v>ST005-GN</v>
          </cell>
        </row>
        <row r="574">
          <cell r="A574" t="str">
            <v>ST005-RD1-M</v>
          </cell>
          <cell r="B574" t="str">
            <v>ST005-RD1</v>
          </cell>
        </row>
        <row r="575">
          <cell r="A575" t="str">
            <v>ST005-RD1-S</v>
          </cell>
          <cell r="B575" t="str">
            <v>ST005-RD1</v>
          </cell>
        </row>
        <row r="576">
          <cell r="A576" t="str">
            <v>ST005-RD-S</v>
          </cell>
          <cell r="B576" t="str">
            <v>ST005-RD</v>
          </cell>
        </row>
        <row r="577">
          <cell r="A577" t="str">
            <v>ST006-BK-XL</v>
          </cell>
          <cell r="B577" t="str">
            <v>ST006-BK</v>
          </cell>
        </row>
        <row r="578">
          <cell r="A578" t="str">
            <v>ST006-BL2-S</v>
          </cell>
          <cell r="B578" t="str">
            <v>ST006-BL2</v>
          </cell>
        </row>
        <row r="579">
          <cell r="A579" t="str">
            <v>ST006-BL-S</v>
          </cell>
          <cell r="B579" t="str">
            <v>ST006-BL</v>
          </cell>
        </row>
        <row r="580">
          <cell r="A580" t="str">
            <v>ST006-CF-M</v>
          </cell>
          <cell r="B580" t="str">
            <v>ST006-CF</v>
          </cell>
        </row>
        <row r="581">
          <cell r="A581" t="str">
            <v>ST006-CF-S</v>
          </cell>
          <cell r="B581" t="str">
            <v>ST006-CF</v>
          </cell>
        </row>
        <row r="582">
          <cell r="A582" t="str">
            <v>ST006-GN-M</v>
          </cell>
          <cell r="B582" t="str">
            <v>ST006-GN</v>
          </cell>
        </row>
        <row r="583">
          <cell r="A583" t="str">
            <v>ST006-GN-S</v>
          </cell>
          <cell r="B583" t="str">
            <v>ST006-GN</v>
          </cell>
        </row>
        <row r="584">
          <cell r="A584" t="str">
            <v>ST006-RD1-S</v>
          </cell>
          <cell r="B584" t="str">
            <v>ST006-RD1</v>
          </cell>
        </row>
        <row r="585">
          <cell r="A585" t="str">
            <v>ST006-RD2-XL</v>
          </cell>
          <cell r="B585" t="str">
            <v>ST006-RD2</v>
          </cell>
        </row>
        <row r="586">
          <cell r="A586" t="str">
            <v>ST084-H15-S</v>
          </cell>
          <cell r="B586" t="str">
            <v>ST084-H15</v>
          </cell>
        </row>
        <row r="587">
          <cell r="A587" t="str">
            <v>ST084-H15-XXL</v>
          </cell>
          <cell r="B587" t="str">
            <v>ST084-H15</v>
          </cell>
        </row>
        <row r="588">
          <cell r="A588" t="str">
            <v>ST085-LB916-M</v>
          </cell>
          <cell r="B588" t="str">
            <v>ST085-LB916</v>
          </cell>
        </row>
        <row r="589">
          <cell r="A589" t="str">
            <v>ST085-LB916-S</v>
          </cell>
          <cell r="B589" t="str">
            <v>ST085-LB916</v>
          </cell>
        </row>
        <row r="590">
          <cell r="A590" t="str">
            <v>ST122-N0-2XL</v>
          </cell>
          <cell r="B590" t="str">
            <v>ST122-N0</v>
          </cell>
        </row>
        <row r="591">
          <cell r="A591" t="str">
            <v>ST122-WR-S</v>
          </cell>
          <cell r="B591" t="str">
            <v>ST122-WR</v>
          </cell>
        </row>
        <row r="592">
          <cell r="A592" t="str">
            <v>ST155-AG-30</v>
          </cell>
          <cell r="B592" t="str">
            <v>ST155-AG</v>
          </cell>
        </row>
        <row r="593">
          <cell r="A593" t="str">
            <v>ST155-AG-32</v>
          </cell>
          <cell r="B593" t="str">
            <v>ST155-AG</v>
          </cell>
        </row>
        <row r="594">
          <cell r="A594" t="str">
            <v>ST155-AG-38</v>
          </cell>
          <cell r="B594" t="str">
            <v>ST155-AG</v>
          </cell>
        </row>
        <row r="595">
          <cell r="A595" t="str">
            <v>ST166-B28-4-L</v>
          </cell>
          <cell r="B595" t="str">
            <v>ST166-B28</v>
          </cell>
        </row>
        <row r="596">
          <cell r="A596" t="str">
            <v>ST166-B28-4-S</v>
          </cell>
          <cell r="B596" t="str">
            <v>ST166-B28</v>
          </cell>
        </row>
        <row r="597">
          <cell r="A597" t="str">
            <v>ST166-B28-4-XXL</v>
          </cell>
          <cell r="B597" t="str">
            <v>ST166-B28</v>
          </cell>
        </row>
        <row r="598">
          <cell r="A598" t="str">
            <v>ST166-K33-1-L</v>
          </cell>
          <cell r="B598" t="str">
            <v>ST166-K33</v>
          </cell>
        </row>
        <row r="599">
          <cell r="A599" t="str">
            <v>ST166-K33-1-S</v>
          </cell>
          <cell r="B599" t="str">
            <v>ST166-K33</v>
          </cell>
        </row>
        <row r="600">
          <cell r="A600" t="str">
            <v>ST166-K33-1-XL</v>
          </cell>
          <cell r="B600" t="str">
            <v>ST166-K33</v>
          </cell>
        </row>
        <row r="601">
          <cell r="A601" t="str">
            <v>ST166-K33-1-XXL</v>
          </cell>
          <cell r="B601" t="str">
            <v>ST166-K33</v>
          </cell>
        </row>
        <row r="602">
          <cell r="A602" t="str">
            <v>ST166-K33-4-L</v>
          </cell>
          <cell r="B602" t="str">
            <v>ST166-K33</v>
          </cell>
        </row>
        <row r="603">
          <cell r="A603" t="str">
            <v>ST166-K33-4-M</v>
          </cell>
          <cell r="B603" t="str">
            <v>ST166-K33</v>
          </cell>
        </row>
        <row r="604">
          <cell r="A604" t="str">
            <v>ST166-K33-4-S</v>
          </cell>
          <cell r="B604" t="str">
            <v>ST166-K33</v>
          </cell>
        </row>
        <row r="605">
          <cell r="A605" t="str">
            <v>ST167-BK-XXL</v>
          </cell>
          <cell r="B605" t="str">
            <v>ST167-BK</v>
          </cell>
        </row>
        <row r="606">
          <cell r="A606" t="str">
            <v>ST167-K0-XXL</v>
          </cell>
          <cell r="B606" t="str">
            <v>ST167-K0</v>
          </cell>
        </row>
        <row r="607">
          <cell r="A607" t="str">
            <v>ST168-K77-4-XL</v>
          </cell>
          <cell r="B607" t="str">
            <v>ST168-K77</v>
          </cell>
        </row>
        <row r="608">
          <cell r="A608" t="str">
            <v>ST170-LB-L</v>
          </cell>
          <cell r="B608" t="str">
            <v>ST170-LB</v>
          </cell>
        </row>
        <row r="609">
          <cell r="A609" t="str">
            <v>ST170-LB-M</v>
          </cell>
          <cell r="B609" t="str">
            <v>ST170-LB</v>
          </cell>
        </row>
        <row r="610">
          <cell r="A610" t="str">
            <v>ST170-LB-S</v>
          </cell>
          <cell r="B610" t="str">
            <v>ST170-LB</v>
          </cell>
        </row>
        <row r="611">
          <cell r="A611" t="str">
            <v>ST170-LB-XL</v>
          </cell>
          <cell r="B611" t="str">
            <v>ST170-LB</v>
          </cell>
        </row>
        <row r="612">
          <cell r="A612" t="str">
            <v>ST170-LB-XXL</v>
          </cell>
          <cell r="B612" t="str">
            <v>ST170-LB</v>
          </cell>
        </row>
        <row r="613">
          <cell r="A613" t="str">
            <v>ST170-LG-L</v>
          </cell>
          <cell r="B613" t="str">
            <v>ST170-LG</v>
          </cell>
        </row>
        <row r="614">
          <cell r="A614" t="str">
            <v>ST170-LG-M</v>
          </cell>
          <cell r="B614" t="str">
            <v>ST170-LG</v>
          </cell>
        </row>
        <row r="615">
          <cell r="A615" t="str">
            <v>ST170-LG-S</v>
          </cell>
          <cell r="B615" t="str">
            <v>ST170-LG</v>
          </cell>
        </row>
        <row r="616">
          <cell r="A616" t="str">
            <v>ST170-LG-XXL</v>
          </cell>
          <cell r="B616" t="str">
            <v>ST170-LG</v>
          </cell>
        </row>
        <row r="617">
          <cell r="A617" t="str">
            <v>ST170-PK-M</v>
          </cell>
          <cell r="B617" t="str">
            <v>ST170-PK</v>
          </cell>
        </row>
        <row r="618">
          <cell r="A618" t="str">
            <v>ST170-PK-XL</v>
          </cell>
          <cell r="B618" t="str">
            <v>ST170-PK</v>
          </cell>
        </row>
        <row r="619">
          <cell r="A619" t="str">
            <v>ST170-PK-XXL</v>
          </cell>
          <cell r="B619" t="str">
            <v>ST170-PK</v>
          </cell>
        </row>
        <row r="620">
          <cell r="A620" t="str">
            <v>ST170-SA-M</v>
          </cell>
          <cell r="B620" t="str">
            <v>ST170-SA</v>
          </cell>
        </row>
        <row r="621">
          <cell r="A621" t="str">
            <v>ST170-SA-S</v>
          </cell>
          <cell r="B621" t="str">
            <v>ST170-SA</v>
          </cell>
        </row>
        <row r="622">
          <cell r="A622" t="str">
            <v>ST170-SA-XL</v>
          </cell>
          <cell r="B622" t="str">
            <v>ST170-SA</v>
          </cell>
        </row>
        <row r="623">
          <cell r="A623" t="str">
            <v>ST170-SA-XXL</v>
          </cell>
          <cell r="B623" t="str">
            <v>ST170-SA</v>
          </cell>
        </row>
        <row r="624">
          <cell r="A624" t="str">
            <v>ST170-WR-L</v>
          </cell>
          <cell r="B624" t="str">
            <v>ST170-WR</v>
          </cell>
        </row>
        <row r="625">
          <cell r="A625" t="str">
            <v>ST170-WR-S</v>
          </cell>
          <cell r="B625" t="str">
            <v>ST170-WR</v>
          </cell>
        </row>
        <row r="626">
          <cell r="A626" t="str">
            <v>ST170-WR-XL</v>
          </cell>
          <cell r="B626" t="str">
            <v>ST170-WR</v>
          </cell>
        </row>
        <row r="627">
          <cell r="A627" t="str">
            <v>ST170-WT-M</v>
          </cell>
          <cell r="B627" t="str">
            <v>ST170-WT</v>
          </cell>
        </row>
        <row r="628">
          <cell r="A628" t="str">
            <v>ST170-WT-S</v>
          </cell>
          <cell r="B628" t="str">
            <v>ST170-WT</v>
          </cell>
        </row>
        <row r="629">
          <cell r="A629" t="str">
            <v>ST170-ZL-L</v>
          </cell>
          <cell r="B629" t="str">
            <v>ST170-ZL</v>
          </cell>
        </row>
        <row r="630">
          <cell r="A630" t="str">
            <v>ST170-ZL-M</v>
          </cell>
          <cell r="B630" t="str">
            <v>ST170-ZL</v>
          </cell>
        </row>
        <row r="631">
          <cell r="A631" t="str">
            <v>ST170-ZL-S</v>
          </cell>
          <cell r="B631" t="str">
            <v>ST170-ZL</v>
          </cell>
        </row>
        <row r="632">
          <cell r="A632" t="str">
            <v>ST170-ZL-XL</v>
          </cell>
          <cell r="B632" t="str">
            <v>ST170-ZL</v>
          </cell>
        </row>
        <row r="633">
          <cell r="A633" t="str">
            <v>ST171-LB916-M</v>
          </cell>
          <cell r="B633" t="str">
            <v>ST171-LB916</v>
          </cell>
        </row>
        <row r="634">
          <cell r="A634" t="str">
            <v>ST171-LB916-S</v>
          </cell>
          <cell r="B634" t="str">
            <v>ST171-LB916</v>
          </cell>
        </row>
        <row r="635">
          <cell r="A635" t="str">
            <v>ST171-LB916-XXL</v>
          </cell>
          <cell r="B635" t="str">
            <v>ST171-LB916</v>
          </cell>
        </row>
        <row r="636">
          <cell r="A636" t="str">
            <v>ST171-Sa911-L</v>
          </cell>
          <cell r="B636" t="str">
            <v>ST171-Sa911</v>
          </cell>
        </row>
        <row r="637">
          <cell r="A637" t="str">
            <v>ST171-Sa911-M</v>
          </cell>
          <cell r="B637" t="str">
            <v>ST171-Sa911</v>
          </cell>
        </row>
        <row r="638">
          <cell r="A638" t="str">
            <v>ST171-Sa911-S</v>
          </cell>
          <cell r="B638" t="str">
            <v>ST171-Sa911</v>
          </cell>
        </row>
        <row r="639">
          <cell r="A639" t="str">
            <v>ST171-Sa911-XL</v>
          </cell>
          <cell r="B639" t="str">
            <v>ST171-Sa911</v>
          </cell>
        </row>
        <row r="640">
          <cell r="A640" t="str">
            <v>ST171-W902-M</v>
          </cell>
          <cell r="B640" t="str">
            <v>ST171-W902</v>
          </cell>
        </row>
        <row r="641">
          <cell r="A641" t="str">
            <v>ST171-W902-XL</v>
          </cell>
          <cell r="B641" t="str">
            <v>ST171-W902</v>
          </cell>
        </row>
        <row r="642">
          <cell r="A642" t="str">
            <v>ST172-BK-L</v>
          </cell>
          <cell r="B642" t="str">
            <v>ST172-BK</v>
          </cell>
        </row>
        <row r="643">
          <cell r="A643" t="str">
            <v>ST172-BK-M</v>
          </cell>
          <cell r="B643" t="str">
            <v>ST172-BK</v>
          </cell>
        </row>
        <row r="644">
          <cell r="A644" t="str">
            <v>ST172-BK-S</v>
          </cell>
          <cell r="B644" t="str">
            <v>ST172-BK</v>
          </cell>
        </row>
        <row r="645">
          <cell r="A645" t="str">
            <v>ST172-BK-XL</v>
          </cell>
          <cell r="B645" t="str">
            <v>ST172-BK</v>
          </cell>
        </row>
        <row r="646">
          <cell r="A646" t="str">
            <v>ST172-BL-L</v>
          </cell>
          <cell r="B646" t="str">
            <v>ST172-BL</v>
          </cell>
        </row>
        <row r="647">
          <cell r="A647" t="str">
            <v>ST172-BL-M</v>
          </cell>
          <cell r="B647" t="str">
            <v>ST172-BL</v>
          </cell>
        </row>
        <row r="648">
          <cell r="A648" t="str">
            <v>ST172-BL-S</v>
          </cell>
          <cell r="B648" t="str">
            <v>ST172-BL</v>
          </cell>
        </row>
        <row r="649">
          <cell r="A649" t="str">
            <v>ST172-BL-XL</v>
          </cell>
          <cell r="B649" t="str">
            <v>ST172-BL</v>
          </cell>
        </row>
        <row r="650">
          <cell r="A650" t="str">
            <v>ST172-BL-XXL</v>
          </cell>
          <cell r="B650" t="str">
            <v>ST172-BL</v>
          </cell>
        </row>
        <row r="651">
          <cell r="A651" t="str">
            <v>ST172-GR-L</v>
          </cell>
          <cell r="B651" t="str">
            <v>ST172-GR</v>
          </cell>
        </row>
        <row r="652">
          <cell r="A652" t="str">
            <v>ST172-GR-M</v>
          </cell>
          <cell r="B652" t="str">
            <v>ST172-GR</v>
          </cell>
        </row>
        <row r="653">
          <cell r="A653" t="str">
            <v>ST172-GR-S</v>
          </cell>
          <cell r="B653" t="str">
            <v>ST172-GR</v>
          </cell>
        </row>
        <row r="654">
          <cell r="A654" t="str">
            <v>ST172-GR-XL</v>
          </cell>
          <cell r="B654" t="str">
            <v>ST172-GR</v>
          </cell>
        </row>
        <row r="655">
          <cell r="A655" t="str">
            <v>ST172-GR-XXL</v>
          </cell>
          <cell r="B655" t="str">
            <v>ST172-GR</v>
          </cell>
        </row>
        <row r="656">
          <cell r="A656" t="str">
            <v>ST172-NY-L</v>
          </cell>
          <cell r="B656" t="str">
            <v>ST172-NY</v>
          </cell>
        </row>
        <row r="657">
          <cell r="A657" t="str">
            <v>ST172-NY-M</v>
          </cell>
          <cell r="B657" t="str">
            <v>ST172-NY</v>
          </cell>
        </row>
        <row r="658">
          <cell r="A658" t="str">
            <v>ST172-NY-S</v>
          </cell>
          <cell r="B658" t="str">
            <v>ST172-NY</v>
          </cell>
        </row>
        <row r="659">
          <cell r="A659" t="str">
            <v>ST172-NY-XL</v>
          </cell>
          <cell r="B659" t="str">
            <v>ST172-NY</v>
          </cell>
        </row>
        <row r="660">
          <cell r="A660" t="str">
            <v>ST172-NY-XXL</v>
          </cell>
          <cell r="B660" t="str">
            <v>ST172-NY</v>
          </cell>
        </row>
        <row r="661">
          <cell r="A661" t="str">
            <v>ST172-PK-L</v>
          </cell>
          <cell r="B661" t="str">
            <v>ST172-PK</v>
          </cell>
        </row>
        <row r="662">
          <cell r="A662" t="str">
            <v>ST172-PK-M</v>
          </cell>
          <cell r="B662" t="str">
            <v>ST172-PK</v>
          </cell>
        </row>
        <row r="663">
          <cell r="A663" t="str">
            <v>ST172-PK-S</v>
          </cell>
          <cell r="B663" t="str">
            <v>ST172-PK</v>
          </cell>
        </row>
        <row r="664">
          <cell r="A664" t="str">
            <v>ST172-PK-XL</v>
          </cell>
          <cell r="B664" t="str">
            <v>ST172-PK</v>
          </cell>
        </row>
        <row r="665">
          <cell r="A665" t="str">
            <v>ST172-PK-XXL</v>
          </cell>
          <cell r="B665" t="str">
            <v>ST172-PK</v>
          </cell>
        </row>
        <row r="666">
          <cell r="A666" t="str">
            <v>ST172-PP-L</v>
          </cell>
          <cell r="B666" t="str">
            <v>ST172-PP</v>
          </cell>
        </row>
        <row r="667">
          <cell r="A667" t="str">
            <v>ST172-PP-M</v>
          </cell>
          <cell r="B667" t="str">
            <v>ST172-PP</v>
          </cell>
        </row>
        <row r="668">
          <cell r="A668" t="str">
            <v>ST172-PP-S</v>
          </cell>
          <cell r="B668" t="str">
            <v>ST172-PP</v>
          </cell>
        </row>
        <row r="669">
          <cell r="A669" t="str">
            <v>ST172-PP-XL</v>
          </cell>
          <cell r="B669" t="str">
            <v>ST172-PP</v>
          </cell>
        </row>
        <row r="670">
          <cell r="A670" t="str">
            <v>ST172-WR-L</v>
          </cell>
          <cell r="B670" t="str">
            <v>ST172-WR</v>
          </cell>
        </row>
        <row r="671">
          <cell r="A671" t="str">
            <v>ST172-WR-M</v>
          </cell>
          <cell r="B671" t="str">
            <v>ST172-WR</v>
          </cell>
        </row>
        <row r="672">
          <cell r="A672" t="str">
            <v>ST172-WR-S</v>
          </cell>
          <cell r="B672" t="str">
            <v>ST172-WR</v>
          </cell>
        </row>
        <row r="673">
          <cell r="A673" t="str">
            <v>ST172-WR-XL</v>
          </cell>
          <cell r="B673" t="str">
            <v>ST172-WR</v>
          </cell>
        </row>
        <row r="674">
          <cell r="A674" t="str">
            <v>ST172-WR-XXL</v>
          </cell>
          <cell r="B674" t="str">
            <v>ST172-WR</v>
          </cell>
        </row>
        <row r="675">
          <cell r="A675" t="str">
            <v>ST172-WT1-L</v>
          </cell>
          <cell r="B675" t="str">
            <v>ST172-WT1</v>
          </cell>
        </row>
        <row r="676">
          <cell r="A676" t="str">
            <v>ST172-WT1-M</v>
          </cell>
          <cell r="B676" t="str">
            <v>ST172-WT1</v>
          </cell>
        </row>
        <row r="677">
          <cell r="A677" t="str">
            <v>ST172-WT1-S</v>
          </cell>
          <cell r="B677" t="str">
            <v>ST172-WT1</v>
          </cell>
        </row>
        <row r="678">
          <cell r="A678" t="str">
            <v>ST172-WT1-XL</v>
          </cell>
          <cell r="B678" t="str">
            <v>ST172-WT1</v>
          </cell>
        </row>
        <row r="679">
          <cell r="A679" t="str">
            <v>ST172-WT1-XXL</v>
          </cell>
          <cell r="B679" t="str">
            <v>ST172-WT1</v>
          </cell>
        </row>
        <row r="680">
          <cell r="A680" t="str">
            <v>ST172-WT2-L</v>
          </cell>
          <cell r="B680" t="str">
            <v>ST172-WT2</v>
          </cell>
        </row>
        <row r="681">
          <cell r="A681" t="str">
            <v>ST172-WT2-M</v>
          </cell>
          <cell r="B681" t="str">
            <v>ST172-WT2</v>
          </cell>
        </row>
        <row r="682">
          <cell r="A682" t="str">
            <v>ST172-WT2-S</v>
          </cell>
          <cell r="B682" t="str">
            <v>ST172-WT2</v>
          </cell>
        </row>
        <row r="683">
          <cell r="A683" t="str">
            <v>ST172-WT2-XL</v>
          </cell>
          <cell r="B683" t="str">
            <v>ST172-WT2</v>
          </cell>
        </row>
        <row r="684">
          <cell r="A684" t="str">
            <v>ST172-WT2-XXL</v>
          </cell>
          <cell r="B684" t="str">
            <v>ST172-WT2</v>
          </cell>
        </row>
        <row r="685">
          <cell r="A685" t="str">
            <v>ST173-BK-L</v>
          </cell>
          <cell r="B685" t="str">
            <v>ST173-BK</v>
          </cell>
        </row>
        <row r="686">
          <cell r="A686" t="str">
            <v>ST173-BK-S</v>
          </cell>
          <cell r="B686" t="str">
            <v>ST173-BK</v>
          </cell>
        </row>
        <row r="687">
          <cell r="A687" t="str">
            <v>ST173-BK-XL</v>
          </cell>
          <cell r="B687" t="str">
            <v>ST173-BK</v>
          </cell>
        </row>
        <row r="688">
          <cell r="A688" t="str">
            <v>ST173-BK-XXL</v>
          </cell>
          <cell r="B688" t="str">
            <v>ST173-BK</v>
          </cell>
        </row>
        <row r="689">
          <cell r="A689" t="str">
            <v>ST173-BL-L</v>
          </cell>
          <cell r="B689" t="str">
            <v>ST173-BL</v>
          </cell>
        </row>
        <row r="690">
          <cell r="A690" t="str">
            <v>ST173-BL-M</v>
          </cell>
          <cell r="B690" t="str">
            <v>ST173-BL</v>
          </cell>
        </row>
        <row r="691">
          <cell r="A691" t="str">
            <v>ST173-BL-S</v>
          </cell>
          <cell r="B691" t="str">
            <v>ST173-BL</v>
          </cell>
        </row>
        <row r="692">
          <cell r="A692" t="str">
            <v>ST173-BL-XL</v>
          </cell>
          <cell r="B692" t="str">
            <v>ST173-BL</v>
          </cell>
        </row>
        <row r="693">
          <cell r="A693" t="str">
            <v>ST173-BL-XXL</v>
          </cell>
          <cell r="B693" t="str">
            <v>ST173-BL</v>
          </cell>
        </row>
        <row r="694">
          <cell r="A694" t="str">
            <v>ST173-GR-L</v>
          </cell>
          <cell r="B694" t="str">
            <v>ST173-GR</v>
          </cell>
        </row>
        <row r="695">
          <cell r="A695" t="str">
            <v>ST173-GR-M</v>
          </cell>
          <cell r="B695" t="str">
            <v>ST173-GR</v>
          </cell>
        </row>
        <row r="696">
          <cell r="A696" t="str">
            <v>ST173-GR-S</v>
          </cell>
          <cell r="B696" t="str">
            <v>ST173-GR</v>
          </cell>
        </row>
        <row r="697">
          <cell r="A697" t="str">
            <v>ST173-GR-XL</v>
          </cell>
          <cell r="B697" t="str">
            <v>ST173-GR</v>
          </cell>
        </row>
        <row r="698">
          <cell r="A698" t="str">
            <v>ST173-GR-XXL</v>
          </cell>
          <cell r="B698" t="str">
            <v>ST173-GR</v>
          </cell>
        </row>
        <row r="699">
          <cell r="A699" t="str">
            <v>ST173-NY-L</v>
          </cell>
          <cell r="B699" t="str">
            <v>ST173-NY</v>
          </cell>
        </row>
        <row r="700">
          <cell r="A700" t="str">
            <v>ST173-NY-M</v>
          </cell>
          <cell r="B700" t="str">
            <v>ST173-NY</v>
          </cell>
        </row>
        <row r="701">
          <cell r="A701" t="str">
            <v>ST173-NY-S</v>
          </cell>
          <cell r="B701" t="str">
            <v>ST173-NY</v>
          </cell>
        </row>
        <row r="702">
          <cell r="A702" t="str">
            <v>ST173-NY-XL</v>
          </cell>
          <cell r="B702" t="str">
            <v>ST173-NY</v>
          </cell>
        </row>
        <row r="703">
          <cell r="A703" t="str">
            <v>ST173-NY-XXL</v>
          </cell>
          <cell r="B703" t="str">
            <v>ST173-NY</v>
          </cell>
        </row>
        <row r="704">
          <cell r="A704" t="str">
            <v>ST173-PK-L</v>
          </cell>
          <cell r="B704" t="str">
            <v>ST173-PK</v>
          </cell>
        </row>
        <row r="705">
          <cell r="A705" t="str">
            <v>ST173-PK-M</v>
          </cell>
          <cell r="B705" t="str">
            <v>ST173-PK</v>
          </cell>
        </row>
        <row r="706">
          <cell r="A706" t="str">
            <v>ST173-PK-S</v>
          </cell>
          <cell r="B706" t="str">
            <v>ST173-PK</v>
          </cell>
        </row>
        <row r="707">
          <cell r="A707" t="str">
            <v>ST173-PK-XL</v>
          </cell>
          <cell r="B707" t="str">
            <v>ST173-PK</v>
          </cell>
        </row>
        <row r="708">
          <cell r="A708" t="str">
            <v>ST173-PK-XXL</v>
          </cell>
          <cell r="B708" t="str">
            <v>ST173-PK</v>
          </cell>
        </row>
        <row r="709">
          <cell r="A709" t="str">
            <v>ST173-PP-L</v>
          </cell>
          <cell r="B709" t="str">
            <v>ST173-PP</v>
          </cell>
        </row>
        <row r="710">
          <cell r="A710" t="str">
            <v>ST173-PP-S</v>
          </cell>
          <cell r="B710" t="str">
            <v>ST173-PP</v>
          </cell>
        </row>
        <row r="711">
          <cell r="A711" t="str">
            <v>ST173-WR-L</v>
          </cell>
          <cell r="B711" t="str">
            <v>ST173-WR</v>
          </cell>
        </row>
        <row r="712">
          <cell r="A712" t="str">
            <v>ST173-WR-M</v>
          </cell>
          <cell r="B712" t="str">
            <v>ST173-WR</v>
          </cell>
        </row>
        <row r="713">
          <cell r="A713" t="str">
            <v>ST173-WR-S</v>
          </cell>
          <cell r="B713" t="str">
            <v>ST173-WR</v>
          </cell>
        </row>
        <row r="714">
          <cell r="A714" t="str">
            <v>ST173-WR-XL</v>
          </cell>
          <cell r="B714" t="str">
            <v>ST173-WR</v>
          </cell>
        </row>
        <row r="715">
          <cell r="A715" t="str">
            <v>ST173-WR-XXL</v>
          </cell>
          <cell r="B715" t="str">
            <v>ST173-WR</v>
          </cell>
        </row>
        <row r="716">
          <cell r="A716" t="str">
            <v>ST173-WT1-L</v>
          </cell>
          <cell r="B716" t="str">
            <v>ST173-WT1</v>
          </cell>
        </row>
        <row r="717">
          <cell r="A717" t="str">
            <v>ST173-WT1-M</v>
          </cell>
          <cell r="B717" t="str">
            <v>ST173-WT1</v>
          </cell>
        </row>
        <row r="718">
          <cell r="A718" t="str">
            <v>ST173-WT1-S</v>
          </cell>
          <cell r="B718" t="str">
            <v>ST173-WT1</v>
          </cell>
        </row>
        <row r="719">
          <cell r="A719" t="str">
            <v>ST173-WT1-XXL</v>
          </cell>
          <cell r="B719" t="str">
            <v>ST173-WT1</v>
          </cell>
        </row>
        <row r="720">
          <cell r="A720" t="str">
            <v>ST173-WT2-L</v>
          </cell>
          <cell r="B720" t="str">
            <v>ST173-WT2</v>
          </cell>
        </row>
        <row r="721">
          <cell r="A721" t="str">
            <v>ST173-WT2-S</v>
          </cell>
          <cell r="B721" t="str">
            <v>ST173-WT2</v>
          </cell>
        </row>
        <row r="722">
          <cell r="A722" t="str">
            <v>ST173-WT2-XL</v>
          </cell>
          <cell r="B722" t="str">
            <v>ST173-WT2</v>
          </cell>
        </row>
        <row r="723">
          <cell r="A723" t="str">
            <v>ST-FLQ110-KO-L</v>
          </cell>
          <cell r="B723" t="str">
            <v>ST-FLQ110</v>
          </cell>
        </row>
        <row r="724">
          <cell r="A724" t="str">
            <v>ST-FLQ110-KO-M</v>
          </cell>
          <cell r="B724" t="str">
            <v>ST-FLQ110</v>
          </cell>
        </row>
        <row r="725">
          <cell r="A725" t="str">
            <v>ST-FLQ110-KO-XL</v>
          </cell>
          <cell r="B725" t="str">
            <v>ST-FLQ110</v>
          </cell>
        </row>
        <row r="726">
          <cell r="A726" t="str">
            <v>ST-FLQ110-PI-L</v>
          </cell>
          <cell r="B726" t="str">
            <v>ST-FLQ110</v>
          </cell>
        </row>
        <row r="727">
          <cell r="A727" t="str">
            <v>ST-FLQ110-PI-M</v>
          </cell>
          <cell r="B727" t="str">
            <v>ST-FLQ110</v>
          </cell>
        </row>
        <row r="728">
          <cell r="A728" t="str">
            <v>ST-FLQ110-PI-S</v>
          </cell>
          <cell r="B728" t="str">
            <v>ST-FLQ110</v>
          </cell>
        </row>
        <row r="729">
          <cell r="A729" t="str">
            <v>ST-K157-B0-32</v>
          </cell>
          <cell r="B729" t="str">
            <v>ST-K157</v>
          </cell>
        </row>
        <row r="730">
          <cell r="A730" t="str">
            <v>ST-K157-KQ-32</v>
          </cell>
          <cell r="B730" t="str">
            <v>ST-K157</v>
          </cell>
        </row>
        <row r="731">
          <cell r="A731" t="str">
            <v>ST-K157-KQ-34</v>
          </cell>
          <cell r="B731" t="str">
            <v>ST-K157</v>
          </cell>
        </row>
        <row r="732">
          <cell r="A732" t="str">
            <v>ST-K559-K0-44</v>
          </cell>
          <cell r="B732" t="str">
            <v>ST-K559</v>
          </cell>
        </row>
        <row r="733">
          <cell r="A733" t="str">
            <v>ST-K559-KQ-32</v>
          </cell>
          <cell r="B733" t="str">
            <v>ST-K559</v>
          </cell>
        </row>
        <row r="734">
          <cell r="A734" t="str">
            <v>ST-K559-KQ-34</v>
          </cell>
          <cell r="B734" t="str">
            <v>ST-K559</v>
          </cell>
        </row>
        <row r="735">
          <cell r="A735" t="str">
            <v>ST-K559-KQ-44</v>
          </cell>
          <cell r="B735" t="str">
            <v>ST-K559</v>
          </cell>
        </row>
        <row r="736">
          <cell r="A736" t="str">
            <v>ST-K559-OR-32</v>
          </cell>
          <cell r="B736" t="str">
            <v>ST-K559</v>
          </cell>
        </row>
        <row r="737">
          <cell r="A737" t="str">
            <v>ST-LAHM-LG-001</v>
          </cell>
          <cell r="B737" t="str">
            <v>ST-LAHM</v>
          </cell>
        </row>
        <row r="738">
          <cell r="A738" t="str">
            <v>SZ-IUYL002</v>
          </cell>
          <cell r="B738" t="str">
            <v>SZ-IUYL002</v>
          </cell>
        </row>
        <row r="739">
          <cell r="A739" t="str">
            <v>TEST-BR-6IN</v>
          </cell>
          <cell r="B739" t="str">
            <v>TEST-BR-6IN</v>
          </cell>
        </row>
        <row r="740">
          <cell r="A740" t="str">
            <v>TESTY0-6IN</v>
          </cell>
          <cell r="B740" t="str">
            <v>TESTY0-6IN</v>
          </cell>
        </row>
        <row r="741">
          <cell r="A741" t="str">
            <v>TEST-Y0-7IN</v>
          </cell>
          <cell r="B741" t="str">
            <v>TEST-Y0-7IN</v>
          </cell>
        </row>
        <row r="742">
          <cell r="A742" t="str">
            <v>TZ-IUYL240-BEAR-L</v>
          </cell>
          <cell r="B742" t="str">
            <v>TZ-IUYL240</v>
          </cell>
        </row>
        <row r="743">
          <cell r="A743" t="str">
            <v>TZ-IUYL240-BEAR-M</v>
          </cell>
          <cell r="B743" t="str">
            <v>TZ-IUYL240</v>
          </cell>
        </row>
        <row r="744">
          <cell r="A744" t="str">
            <v>TZ-IUYL240-BEAR-S</v>
          </cell>
          <cell r="B744" t="str">
            <v>TZ-IUYL240</v>
          </cell>
        </row>
        <row r="745">
          <cell r="A745" t="str">
            <v>TZ-IUYL240-BONE-L</v>
          </cell>
          <cell r="B745" t="str">
            <v>TZ-IUYL240</v>
          </cell>
        </row>
        <row r="746">
          <cell r="A746" t="str">
            <v>TZ-IUYL240-BONE-M</v>
          </cell>
          <cell r="B746" t="str">
            <v>TZ-IUYL240</v>
          </cell>
        </row>
        <row r="747">
          <cell r="A747" t="str">
            <v>TZ-IUYL240-BONE-S</v>
          </cell>
          <cell r="B747" t="str">
            <v>TZ-IUYL240</v>
          </cell>
        </row>
        <row r="748">
          <cell r="A748" t="str">
            <v>TZ-IUYL240-DOT2-L</v>
          </cell>
          <cell r="B748" t="str">
            <v>TZ-IUYL240</v>
          </cell>
        </row>
        <row r="749">
          <cell r="A749" t="str">
            <v>TZ-IUYL240-DOT2-M</v>
          </cell>
          <cell r="B749" t="str">
            <v>TZ-IUYL240</v>
          </cell>
        </row>
        <row r="750">
          <cell r="A750" t="str">
            <v>TZ-IUYL240-DOT2-S</v>
          </cell>
          <cell r="B750" t="str">
            <v>TZ-IUYL240</v>
          </cell>
        </row>
        <row r="751">
          <cell r="A751" t="str">
            <v>TZ-IUYL240-DOT-L</v>
          </cell>
          <cell r="B751" t="str">
            <v>TZ-IUYL240</v>
          </cell>
        </row>
        <row r="752">
          <cell r="A752" t="str">
            <v>TZ-IUYL240-DOT-M</v>
          </cell>
          <cell r="B752" t="str">
            <v>TZ-IUYL240</v>
          </cell>
        </row>
        <row r="753">
          <cell r="A753" t="str">
            <v>TZ-IUYL240-DOT-S</v>
          </cell>
          <cell r="B753" t="str">
            <v>TZ-IUYL240</v>
          </cell>
        </row>
        <row r="754">
          <cell r="A754" t="str">
            <v>TZ-IUYL240-ELPH-L</v>
          </cell>
          <cell r="B754" t="str">
            <v>TZ-IUYL240</v>
          </cell>
        </row>
        <row r="755">
          <cell r="A755" t="str">
            <v>TZ-IUYL240-ELPH-M</v>
          </cell>
          <cell r="B755" t="str">
            <v>TZ-IUYL240</v>
          </cell>
        </row>
        <row r="756">
          <cell r="A756" t="str">
            <v>TZ-IUYL240-ELPH-S</v>
          </cell>
          <cell r="B756" t="str">
            <v>TZ-IUYL240</v>
          </cell>
        </row>
        <row r="757">
          <cell r="A757" t="str">
            <v>TZ-IUYL240LHY-BONE-L</v>
          </cell>
          <cell r="B757" t="str">
            <v>TZ-IUYL240LHY</v>
          </cell>
        </row>
        <row r="758">
          <cell r="A758" t="str">
            <v>TZ-IUYL240LHY-BONE-M</v>
          </cell>
          <cell r="B758" t="str">
            <v>TZ-IUYL240LHY</v>
          </cell>
        </row>
        <row r="759">
          <cell r="A759" t="str">
            <v>TZ-IUYL240LHY-BONE-S</v>
          </cell>
          <cell r="B759" t="str">
            <v>TZ-IUYL240LHY</v>
          </cell>
        </row>
        <row r="760">
          <cell r="A760" t="str">
            <v>TZ-IUYL240LHY-DOT-L</v>
          </cell>
          <cell r="B760" t="str">
            <v>TZ-IUYL240LHY</v>
          </cell>
        </row>
        <row r="761">
          <cell r="A761" t="str">
            <v>TZ-IUYL240LHY-DOT-M</v>
          </cell>
          <cell r="B761" t="str">
            <v>TZ-IUYL240LHY</v>
          </cell>
        </row>
        <row r="762">
          <cell r="A762" t="str">
            <v>TZ-IUYL240LHY-DOT-S</v>
          </cell>
          <cell r="B762" t="str">
            <v>TZ-IUYL240LHY</v>
          </cell>
        </row>
        <row r="763">
          <cell r="A763" t="str">
            <v>TZ-IUYL240LHY-ELPH-L</v>
          </cell>
          <cell r="B763" t="str">
            <v>TZ-IUYL240LHY</v>
          </cell>
        </row>
        <row r="764">
          <cell r="A764" t="str">
            <v>TZ-IUYL240LHY-ELPH-M</v>
          </cell>
          <cell r="B764" t="str">
            <v>TZ-IUYL240LHY</v>
          </cell>
        </row>
        <row r="765">
          <cell r="A765" t="str">
            <v>TZ-IUYL240LHY-ELPH-S</v>
          </cell>
          <cell r="B765" t="str">
            <v>TZ-IUYL240LHY</v>
          </cell>
        </row>
        <row r="766">
          <cell r="A766" t="str">
            <v>TZ-IUYL240LHY-PAW-L</v>
          </cell>
          <cell r="B766" t="str">
            <v>TZ-IUYL240LHY</v>
          </cell>
        </row>
        <row r="767">
          <cell r="A767" t="str">
            <v>TZ-IUYL240LHY-PAW-M</v>
          </cell>
          <cell r="B767" t="str">
            <v>TZ-IUYL240LHY</v>
          </cell>
        </row>
        <row r="768">
          <cell r="A768" t="str">
            <v>TZ-IUYL240LHY-PAW-S</v>
          </cell>
          <cell r="B768" t="str">
            <v>TZ-IUYL240LHY</v>
          </cell>
        </row>
        <row r="769">
          <cell r="A769" t="str">
            <v>TZ-IUYL240LHY-STAR-L</v>
          </cell>
          <cell r="B769" t="str">
            <v>TZ-IUYL240LHY</v>
          </cell>
        </row>
        <row r="770">
          <cell r="A770" t="str">
            <v>TZ-IUYL240LHY-STAR-M</v>
          </cell>
          <cell r="B770" t="str">
            <v>TZ-IUYL240LHY</v>
          </cell>
        </row>
        <row r="771">
          <cell r="A771" t="str">
            <v>TZ-IUYL240LHY-STAR-S</v>
          </cell>
          <cell r="B771" t="str">
            <v>TZ-IUYL240LHY</v>
          </cell>
        </row>
        <row r="772">
          <cell r="A772" t="str">
            <v>TZ-IUYL240LHY-STRAWBERRY-L</v>
          </cell>
          <cell r="B772" t="str">
            <v>TZ-IUYL240LHY</v>
          </cell>
        </row>
        <row r="773">
          <cell r="A773" t="str">
            <v>TZ-IUYL240LHY-STRAWBERRY-M</v>
          </cell>
          <cell r="B773" t="str">
            <v>TZ-IUYL240LHY</v>
          </cell>
        </row>
        <row r="774">
          <cell r="A774" t="str">
            <v>TZ-IUYL240LHY-STRAWBERRY-S</v>
          </cell>
          <cell r="B774" t="str">
            <v>TZ-IUYL240LHY</v>
          </cell>
        </row>
        <row r="775">
          <cell r="A775" t="str">
            <v>TZ-IUYL240-LOVE-L</v>
          </cell>
          <cell r="B775" t="str">
            <v>TZ-IUYL240</v>
          </cell>
        </row>
        <row r="776">
          <cell r="A776" t="str">
            <v>TZ-IUYL240-LOVE-M</v>
          </cell>
          <cell r="B776" t="str">
            <v>TZ-IUYL240</v>
          </cell>
        </row>
        <row r="777">
          <cell r="A777" t="str">
            <v>TZ-IUYL240-LOVE-S</v>
          </cell>
          <cell r="B777" t="str">
            <v>TZ-IUYL240</v>
          </cell>
        </row>
        <row r="778">
          <cell r="A778" t="str">
            <v>TZ-IUYL240-PAW-L</v>
          </cell>
          <cell r="B778" t="str">
            <v>TZ-IUYL240</v>
          </cell>
        </row>
        <row r="779">
          <cell r="A779" t="str">
            <v>TZ-IUYL240-PAW-M</v>
          </cell>
          <cell r="B779" t="str">
            <v>TZ-IUYL240</v>
          </cell>
        </row>
        <row r="780">
          <cell r="A780" t="str">
            <v>TZ-IUYL240-PAW-S</v>
          </cell>
          <cell r="B780" t="str">
            <v>TZ-IUYL240</v>
          </cell>
        </row>
        <row r="781">
          <cell r="A781" t="str">
            <v>TZ-IUYL240-RABBIT-L</v>
          </cell>
          <cell r="B781" t="str">
            <v>TZ-IUYL240</v>
          </cell>
        </row>
        <row r="782">
          <cell r="A782" t="str">
            <v>TZ-IUYL240-RABBIT-M</v>
          </cell>
          <cell r="B782" t="str">
            <v>TZ-IUYL240</v>
          </cell>
        </row>
        <row r="783">
          <cell r="A783" t="str">
            <v>TZ-IUYL240-RABBIT-S</v>
          </cell>
          <cell r="B783" t="str">
            <v>TZ-IUYL240</v>
          </cell>
        </row>
        <row r="784">
          <cell r="A784" t="str">
            <v>TZ-IUYL240-STAR-L</v>
          </cell>
          <cell r="B784" t="str">
            <v>TZ-IUYL240</v>
          </cell>
        </row>
        <row r="785">
          <cell r="A785" t="str">
            <v>TZ-IUYL240-STAR-M</v>
          </cell>
          <cell r="B785" t="str">
            <v>TZ-IUYL240</v>
          </cell>
        </row>
        <row r="786">
          <cell r="A786" t="str">
            <v>TZ-IUYL240-STAR-S</v>
          </cell>
          <cell r="B786" t="str">
            <v>TZ-IUYL240</v>
          </cell>
        </row>
        <row r="787">
          <cell r="A787" t="str">
            <v>TZ-IUYL240-STRAWBERRY-L</v>
          </cell>
          <cell r="B787" t="str">
            <v>TZ-IUYL240</v>
          </cell>
        </row>
        <row r="788">
          <cell r="A788" t="str">
            <v>TZ-IUYL240-STRAWBERRY-M</v>
          </cell>
          <cell r="B788" t="str">
            <v>TZ-IUYL240</v>
          </cell>
        </row>
        <row r="789">
          <cell r="A789" t="str">
            <v>TZ-IUYL240-STRAWBERRY-S</v>
          </cell>
          <cell r="B789" t="str">
            <v>TZ-IUYL240</v>
          </cell>
        </row>
        <row r="790">
          <cell r="A790" t="str">
            <v>TZ-SY240-BONE-S</v>
          </cell>
          <cell r="B790" t="str">
            <v>TZ-SY240</v>
          </cell>
        </row>
        <row r="791">
          <cell r="A791" t="str">
            <v>TZ-SY240-ELPH-S</v>
          </cell>
          <cell r="B791" t="str">
            <v>TZ-SY240</v>
          </cell>
        </row>
        <row r="792">
          <cell r="A792" t="str">
            <v>TZ-SY240-STRAWBERRY-S</v>
          </cell>
          <cell r="B792" t="str">
            <v>TZ-SY240</v>
          </cell>
        </row>
        <row r="793">
          <cell r="A793" t="str">
            <v>WB-LUHM002-B0</v>
          </cell>
          <cell r="B793" t="str">
            <v>WB-LUHM002</v>
          </cell>
        </row>
        <row r="794">
          <cell r="A794" t="str">
            <v>WB-LUHM002-E0</v>
          </cell>
          <cell r="B794" t="str">
            <v>WB-LUHM002</v>
          </cell>
        </row>
        <row r="795">
          <cell r="A795" t="str">
            <v>WB-LUHM002-G0</v>
          </cell>
          <cell r="B795" t="str">
            <v>WB-LUHM002</v>
          </cell>
        </row>
        <row r="796">
          <cell r="A796" t="str">
            <v>WB-LUHM002-R0</v>
          </cell>
          <cell r="B796" t="str">
            <v>WB-LUHM002</v>
          </cell>
        </row>
        <row r="797">
          <cell r="A797" t="str">
            <v>WR-FLQ01-HJ-60</v>
          </cell>
          <cell r="B797" t="str">
            <v>WR-FLQ01</v>
          </cell>
        </row>
        <row r="798">
          <cell r="A798" t="str">
            <v>WR-FLQ01-HZ-60</v>
          </cell>
          <cell r="B798" t="str">
            <v>WR-FLQ01</v>
          </cell>
        </row>
        <row r="799">
          <cell r="A799" t="str">
            <v>WR-FLQ01-LD-60</v>
          </cell>
          <cell r="B799" t="str">
            <v>WR-FLQ01</v>
          </cell>
        </row>
        <row r="800">
          <cell r="A800" t="str">
            <v>WR-FLQ01-RO-60</v>
          </cell>
          <cell r="B800" t="str">
            <v>WR-FLQ01</v>
          </cell>
        </row>
        <row r="801">
          <cell r="A801" t="str">
            <v>WR-FLQ01-YO-60</v>
          </cell>
          <cell r="B801" t="str">
            <v>WR-FLQ01</v>
          </cell>
        </row>
        <row r="802">
          <cell r="A802" t="str">
            <v>WY-WF1217-GR-L</v>
          </cell>
          <cell r="B802" t="str">
            <v>WY-WF1217</v>
          </cell>
        </row>
        <row r="803">
          <cell r="A803" t="str">
            <v>WY-WF1217-GR-M</v>
          </cell>
          <cell r="B803" t="str">
            <v>WY-WF1217</v>
          </cell>
        </row>
        <row r="804">
          <cell r="A804" t="str">
            <v>WY-WF1217-GR-S</v>
          </cell>
          <cell r="B804" t="str">
            <v>WY-WF1217</v>
          </cell>
        </row>
        <row r="805">
          <cell r="A805" t="str">
            <v>WY-WF1217-GR-XL</v>
          </cell>
          <cell r="B805" t="str">
            <v>WY-WF1217</v>
          </cell>
        </row>
        <row r="806">
          <cell r="A806" t="str">
            <v>WY-WF1217-KO-L</v>
          </cell>
          <cell r="B806" t="str">
            <v>WY-WF1217</v>
          </cell>
        </row>
        <row r="807">
          <cell r="A807" t="str">
            <v>WY-WF1217-KO-M</v>
          </cell>
          <cell r="B807" t="str">
            <v>WY-WF1217</v>
          </cell>
        </row>
        <row r="808">
          <cell r="A808" t="str">
            <v>WY-WF1217-KO-S</v>
          </cell>
          <cell r="B808" t="str">
            <v>WY-WF1217</v>
          </cell>
        </row>
        <row r="809">
          <cell r="A809" t="str">
            <v>WY-WF1217-KO-XL</v>
          </cell>
          <cell r="B809" t="str">
            <v>WY-WF1217</v>
          </cell>
        </row>
        <row r="810">
          <cell r="A810" t="str">
            <v>WY-WF1217-RO-L</v>
          </cell>
          <cell r="B810" t="str">
            <v>WY-WF1217</v>
          </cell>
        </row>
        <row r="811">
          <cell r="A811" t="str">
            <v>WY-WF1217-RO-M</v>
          </cell>
          <cell r="B811" t="str">
            <v>WY-WF1217</v>
          </cell>
        </row>
        <row r="812">
          <cell r="A812" t="str">
            <v>WY-WF1217-RO-S</v>
          </cell>
          <cell r="B812" t="str">
            <v>WY-WF1217</v>
          </cell>
        </row>
        <row r="813">
          <cell r="A813" t="str">
            <v>WY-WF1217-RO-XL</v>
          </cell>
          <cell r="B813" t="str">
            <v>WY-WF1217</v>
          </cell>
        </row>
        <row r="814">
          <cell r="A814" t="str">
            <v>WY-WF1217-YO-L</v>
          </cell>
          <cell r="B814" t="str">
            <v>WY-WF1217</v>
          </cell>
        </row>
        <row r="815">
          <cell r="A815" t="str">
            <v>WY-WF1217-YO-M</v>
          </cell>
          <cell r="B815" t="str">
            <v>WY-WF1217</v>
          </cell>
        </row>
        <row r="816">
          <cell r="A816" t="str">
            <v>WY-WF1217-YO-S</v>
          </cell>
          <cell r="B816" t="str">
            <v>WY-WF1217</v>
          </cell>
        </row>
        <row r="817">
          <cell r="A817" t="str">
            <v>WY-WF1217-YO-XL</v>
          </cell>
          <cell r="B817" t="str">
            <v>WY-WF1217</v>
          </cell>
        </row>
        <row r="818">
          <cell r="A818" t="str">
            <v>WY-WF1225-BO-L</v>
          </cell>
          <cell r="B818" t="str">
            <v>WY-WF1225</v>
          </cell>
        </row>
        <row r="819">
          <cell r="A819" t="str">
            <v>WY-WF1225-BO-M</v>
          </cell>
          <cell r="B819" t="str">
            <v>WY-WF1225</v>
          </cell>
        </row>
        <row r="820">
          <cell r="A820" t="str">
            <v>WY-WF1225-BO-S</v>
          </cell>
          <cell r="B820" t="str">
            <v>WY-WF1225</v>
          </cell>
        </row>
        <row r="821">
          <cell r="A821" t="str">
            <v>WY-WF1225-BO-XL</v>
          </cell>
          <cell r="B821" t="str">
            <v>WY-WF1225</v>
          </cell>
        </row>
        <row r="822">
          <cell r="A822" t="str">
            <v>WY-WF1225-GR-L</v>
          </cell>
          <cell r="B822" t="str">
            <v>WY-WF1225</v>
          </cell>
        </row>
        <row r="823">
          <cell r="A823" t="str">
            <v>WY-WF1225-GR-M</v>
          </cell>
          <cell r="B823" t="str">
            <v>WY-WF1225</v>
          </cell>
        </row>
        <row r="824">
          <cell r="A824" t="str">
            <v>WY-WF1225-GR-S</v>
          </cell>
          <cell r="B824" t="str">
            <v>WY-WF1225</v>
          </cell>
        </row>
        <row r="825">
          <cell r="A825" t="str">
            <v>WY-WF1225-GR-XL</v>
          </cell>
          <cell r="B825" t="str">
            <v>WY-WF1225</v>
          </cell>
        </row>
        <row r="826">
          <cell r="A826" t="str">
            <v>XK-YIWUJS2-BR-6IN</v>
          </cell>
          <cell r="B826" t="str">
            <v>XK-YIWUJS2</v>
          </cell>
        </row>
        <row r="827">
          <cell r="A827" t="str">
            <v>XK-YIWUJS2-BR-7IN</v>
          </cell>
          <cell r="B827" t="str">
            <v>XK-YIWUJS2</v>
          </cell>
        </row>
        <row r="828">
          <cell r="A828" t="str">
            <v>XK-YIWUJS2-Y0-6IN</v>
          </cell>
          <cell r="B828" t="str">
            <v>XK-YIWUJS2</v>
          </cell>
        </row>
        <row r="829">
          <cell r="A829" t="str">
            <v>XK-YIWUJS2-Y0-7IN</v>
          </cell>
          <cell r="B829" t="str">
            <v>XK-YIWUJS2</v>
          </cell>
        </row>
        <row r="830">
          <cell r="A830" t="str">
            <v>XK-YIWUJS-GY-6IN</v>
          </cell>
          <cell r="B830" t="str">
            <v>XK-YIWUJS</v>
          </cell>
        </row>
        <row r="831">
          <cell r="A831" t="str">
            <v>XK-YIWUJS-GY-7IN</v>
          </cell>
          <cell r="B831" t="str">
            <v>XK-YIWUJS</v>
          </cell>
        </row>
        <row r="832">
          <cell r="A832" t="str">
            <v>XK-YIWUJS-Y0-6IN</v>
          </cell>
          <cell r="B832" t="str">
            <v>XK-YIWUJS</v>
          </cell>
        </row>
        <row r="833">
          <cell r="A833" t="str">
            <v>XK-YIWUJS-Y0-7IN</v>
          </cell>
          <cell r="B833" t="str">
            <v>XK-YIWUJS</v>
          </cell>
        </row>
        <row r="834">
          <cell r="A834" t="str">
            <v>XM-LUHM111-X0</v>
          </cell>
          <cell r="B834" t="str">
            <v>XM-LUHM111</v>
          </cell>
        </row>
        <row r="835">
          <cell r="A835" t="str">
            <v>XQ-IUYL260-BK-M</v>
          </cell>
          <cell r="B835" t="str">
            <v>XQ-IUYL260</v>
          </cell>
        </row>
        <row r="836">
          <cell r="A836" t="str">
            <v>XQ-IUYL260-BK-S</v>
          </cell>
          <cell r="B836" t="str">
            <v>XQ-IUYL260</v>
          </cell>
        </row>
        <row r="837">
          <cell r="A837" t="str">
            <v>XQ-IUYL260-BL1-M</v>
          </cell>
          <cell r="B837" t="str">
            <v>XQ-IUYL260</v>
          </cell>
        </row>
        <row r="838">
          <cell r="A838" t="str">
            <v>XQ-IUYL260-BL1-S</v>
          </cell>
          <cell r="B838" t="str">
            <v>XQ-IUYL260</v>
          </cell>
        </row>
        <row r="839">
          <cell r="A839" t="str">
            <v>XQ-IUYL260-BL2-M</v>
          </cell>
          <cell r="B839" t="str">
            <v>XQ-IUYL260</v>
          </cell>
        </row>
        <row r="840">
          <cell r="A840" t="str">
            <v>XQ-IUYL260-BL2-S</v>
          </cell>
          <cell r="B840" t="str">
            <v>XQ-IUYL260</v>
          </cell>
        </row>
        <row r="841">
          <cell r="A841" t="str">
            <v>XQ-IUYL260-GN-M</v>
          </cell>
          <cell r="B841" t="str">
            <v>XQ-IUYL260</v>
          </cell>
        </row>
        <row r="842">
          <cell r="A842" t="str">
            <v>XQ-IUYL260-GN-S</v>
          </cell>
          <cell r="B842" t="str">
            <v>XQ-IUYL260</v>
          </cell>
        </row>
        <row r="843">
          <cell r="A843" t="str">
            <v>XQ-IUYL260-PK-M</v>
          </cell>
          <cell r="B843" t="str">
            <v>XQ-IUYL260</v>
          </cell>
        </row>
        <row r="844">
          <cell r="A844" t="str">
            <v>XQ-IUYL260-PK-S</v>
          </cell>
          <cell r="B844" t="str">
            <v>XQ-IUYL260</v>
          </cell>
        </row>
        <row r="845">
          <cell r="A845" t="str">
            <v>XQ-IUYL260-PP-M</v>
          </cell>
          <cell r="B845" t="str">
            <v>XQ-IUYL260</v>
          </cell>
        </row>
        <row r="846">
          <cell r="A846" t="str">
            <v>XQ-IUYL260-PP-S</v>
          </cell>
          <cell r="B846" t="str">
            <v>XQ-IUYL260</v>
          </cell>
        </row>
        <row r="847">
          <cell r="A847" t="str">
            <v>XQ-IUYL260-RD-M</v>
          </cell>
          <cell r="B847" t="str">
            <v>XQ-IUYL260</v>
          </cell>
        </row>
        <row r="848">
          <cell r="A848" t="str">
            <v>XQ-IUYL260-RD-S</v>
          </cell>
          <cell r="B848" t="str">
            <v>XQ-IUYL260</v>
          </cell>
        </row>
        <row r="849">
          <cell r="A849" t="str">
            <v>XQ-IUYL260-YL-M</v>
          </cell>
          <cell r="B849" t="str">
            <v>XQ-IUYL260</v>
          </cell>
        </row>
        <row r="850">
          <cell r="A850" t="str">
            <v>XQ-IUYL260-YL-S</v>
          </cell>
          <cell r="B850" t="str">
            <v>XQ-IUYL260</v>
          </cell>
        </row>
        <row r="851">
          <cell r="A851" t="str">
            <v>XQ-IUYL320-BK-L</v>
          </cell>
          <cell r="B851" t="str">
            <v>XQ-IUYL320</v>
          </cell>
        </row>
        <row r="852">
          <cell r="A852" t="str">
            <v>XQ-IUYL320-BK-M</v>
          </cell>
          <cell r="B852" t="str">
            <v>XQ-IUYL320</v>
          </cell>
        </row>
        <row r="853">
          <cell r="A853" t="str">
            <v>XQ-IUYL320-BK-S</v>
          </cell>
          <cell r="B853" t="str">
            <v>XQ-IUYL320</v>
          </cell>
        </row>
        <row r="854">
          <cell r="A854" t="str">
            <v>XQ-IUYL320-BK-XL</v>
          </cell>
          <cell r="B854" t="str">
            <v>XQ-IUYL320</v>
          </cell>
        </row>
        <row r="855">
          <cell r="A855" t="str">
            <v>XQ-IUYL320-BL-L</v>
          </cell>
          <cell r="B855" t="str">
            <v>XQ-IUYL320</v>
          </cell>
        </row>
        <row r="856">
          <cell r="A856" t="str">
            <v>XQ-IUYL320-BL-M</v>
          </cell>
          <cell r="B856" t="str">
            <v>XQ-IUYL320</v>
          </cell>
        </row>
        <row r="857">
          <cell r="A857" t="str">
            <v>XQ-IUYL320-BL-S</v>
          </cell>
          <cell r="B857" t="str">
            <v>XQ-IUYL320</v>
          </cell>
        </row>
        <row r="858">
          <cell r="A858" t="str">
            <v>XQ-IUYL320-BL-XL</v>
          </cell>
          <cell r="B858" t="str">
            <v>XQ-IUYL320</v>
          </cell>
        </row>
        <row r="859">
          <cell r="A859" t="str">
            <v>XQ-IUYL320-CF-L</v>
          </cell>
          <cell r="B859" t="str">
            <v>XQ-IUYL320</v>
          </cell>
        </row>
        <row r="860">
          <cell r="A860" t="str">
            <v>XQ-IUYL320-CF-M</v>
          </cell>
          <cell r="B860" t="str">
            <v>XQ-IUYL320</v>
          </cell>
        </row>
        <row r="861">
          <cell r="A861" t="str">
            <v>XQ-IUYL320-CF-S</v>
          </cell>
          <cell r="B861" t="str">
            <v>XQ-IUYL320</v>
          </cell>
        </row>
        <row r="862">
          <cell r="A862" t="str">
            <v>XQ-IUYL320-CF-XL</v>
          </cell>
          <cell r="B862" t="str">
            <v>XQ-IUYL320</v>
          </cell>
        </row>
        <row r="863">
          <cell r="A863" t="str">
            <v>XQ-IUYL320-DB-L</v>
          </cell>
          <cell r="B863" t="str">
            <v>XQ-IUYL320</v>
          </cell>
        </row>
        <row r="864">
          <cell r="A864" t="str">
            <v>XQ-IUYL320-DB-M</v>
          </cell>
          <cell r="B864" t="str">
            <v>XQ-IUYL320</v>
          </cell>
        </row>
        <row r="865">
          <cell r="A865" t="str">
            <v>XQ-IUYL320-DB-S</v>
          </cell>
          <cell r="B865" t="str">
            <v>XQ-IUYL320</v>
          </cell>
        </row>
        <row r="866">
          <cell r="A866" t="str">
            <v>XQ-IUYL320-DB-XL</v>
          </cell>
          <cell r="B866" t="str">
            <v>XQ-IUYL320</v>
          </cell>
        </row>
        <row r="867">
          <cell r="A867" t="str">
            <v>XQ-IUYL320-GN-L</v>
          </cell>
          <cell r="B867" t="str">
            <v>XQ-IUYL320</v>
          </cell>
        </row>
        <row r="868">
          <cell r="A868" t="str">
            <v>XQ-IUYL320-GN-M</v>
          </cell>
          <cell r="B868" t="str">
            <v>XQ-IUYL320</v>
          </cell>
        </row>
        <row r="869">
          <cell r="A869" t="str">
            <v>XQ-IUYL320-GN-S</v>
          </cell>
          <cell r="B869" t="str">
            <v>XQ-IUYL320</v>
          </cell>
        </row>
        <row r="870">
          <cell r="A870" t="str">
            <v>XQ-IUYL320-GN-XL</v>
          </cell>
          <cell r="B870" t="str">
            <v>XQ-IUYL320</v>
          </cell>
        </row>
        <row r="871">
          <cell r="A871" t="str">
            <v>XQ-IUYL320-PK-L</v>
          </cell>
          <cell r="B871" t="str">
            <v>XQ-IUYL320</v>
          </cell>
        </row>
        <row r="872">
          <cell r="A872" t="str">
            <v>XQ-IUYL320-PK-M</v>
          </cell>
          <cell r="B872" t="str">
            <v>XQ-IUYL320</v>
          </cell>
        </row>
        <row r="873">
          <cell r="A873" t="str">
            <v>XQ-IUYL320-PK-S</v>
          </cell>
          <cell r="B873" t="str">
            <v>XQ-IUYL320</v>
          </cell>
        </row>
        <row r="874">
          <cell r="A874" t="str">
            <v>XQ-IUYL320-PK-XL</v>
          </cell>
          <cell r="B874" t="str">
            <v>XQ-IUYL320</v>
          </cell>
        </row>
        <row r="875">
          <cell r="A875" t="str">
            <v>XQ-IUYL320-PP-L</v>
          </cell>
          <cell r="B875" t="str">
            <v>XQ-IUYL320</v>
          </cell>
        </row>
        <row r="876">
          <cell r="A876" t="str">
            <v>XQ-IUYL320-PP-M</v>
          </cell>
          <cell r="B876" t="str">
            <v>XQ-IUYL320</v>
          </cell>
        </row>
        <row r="877">
          <cell r="A877" t="str">
            <v>XQ-IUYL320-PP-S</v>
          </cell>
          <cell r="B877" t="str">
            <v>XQ-IUYL320</v>
          </cell>
        </row>
        <row r="878">
          <cell r="A878" t="str">
            <v>XQ-IUYL320-PP-XL</v>
          </cell>
          <cell r="B878" t="str">
            <v>XQ-IUYL320</v>
          </cell>
        </row>
        <row r="879">
          <cell r="A879" t="str">
            <v>XQ-IUYL320-RD-L</v>
          </cell>
          <cell r="B879" t="str">
            <v>XQ-IUYL320</v>
          </cell>
        </row>
        <row r="880">
          <cell r="A880" t="str">
            <v>XQ-IUYL320-RD-M</v>
          </cell>
          <cell r="B880" t="str">
            <v>XQ-IUYL320</v>
          </cell>
        </row>
        <row r="881">
          <cell r="A881" t="str">
            <v>XQ-IUYL320-RD-S</v>
          </cell>
          <cell r="B881" t="str">
            <v>XQ-IUYL320</v>
          </cell>
        </row>
        <row r="882">
          <cell r="A882" t="str">
            <v>XQ-IUYL320-RD-XL</v>
          </cell>
          <cell r="B882" t="str">
            <v>XQ-IUYL320</v>
          </cell>
        </row>
        <row r="883">
          <cell r="A883" t="str">
            <v>XQ-IUYL320-YL-L</v>
          </cell>
          <cell r="B883" t="str">
            <v>XQ-IUYL320</v>
          </cell>
        </row>
        <row r="884">
          <cell r="A884" t="str">
            <v>XQ-IUYL320-YL-M</v>
          </cell>
          <cell r="B884" t="str">
            <v>XQ-IUYL320</v>
          </cell>
        </row>
        <row r="885">
          <cell r="A885" t="str">
            <v>XQ-IUYL320-YL-S</v>
          </cell>
          <cell r="B885" t="str">
            <v>XQ-IUYL320</v>
          </cell>
        </row>
        <row r="886">
          <cell r="A886" t="str">
            <v>XQ-IUYL320-YL-XL</v>
          </cell>
          <cell r="B886" t="str">
            <v>XQ-IUYL320</v>
          </cell>
        </row>
        <row r="887">
          <cell r="A887" t="str">
            <v>XQ-LUHM034-X0</v>
          </cell>
          <cell r="B887" t="str">
            <v>XQ-LUHM034</v>
          </cell>
        </row>
        <row r="888">
          <cell r="A888" t="str">
            <v>XQ-LUHM089-PI</v>
          </cell>
          <cell r="B888" t="str">
            <v>XQ-LUHM089</v>
          </cell>
        </row>
        <row r="889">
          <cell r="A889" t="str">
            <v>XYD-F02-3C-3S</v>
          </cell>
          <cell r="B889" t="str">
            <v>XYD-F02</v>
          </cell>
        </row>
        <row r="890">
          <cell r="A890" t="str">
            <v>YQ-LUHM-F111</v>
          </cell>
          <cell r="B890" t="str">
            <v>YQ-LUHM</v>
          </cell>
        </row>
        <row r="891">
          <cell r="A891" t="str">
            <v>YQ-LUHM-F112</v>
          </cell>
          <cell r="B891" t="str">
            <v>YQ-LUHM</v>
          </cell>
        </row>
        <row r="892">
          <cell r="A892" t="str">
            <v>YQ-LUHM-F114</v>
          </cell>
          <cell r="B892" t="str">
            <v>YQ-LUHM</v>
          </cell>
        </row>
        <row r="893">
          <cell r="A893" t="str">
            <v>ZB-WF029-CF-L</v>
          </cell>
          <cell r="B893" t="str">
            <v>ZB-WF029</v>
          </cell>
        </row>
        <row r="894">
          <cell r="A894" t="str">
            <v>ZB-WF029-CF-M</v>
          </cell>
          <cell r="B894" t="str">
            <v>ZB-WF029</v>
          </cell>
        </row>
        <row r="895">
          <cell r="A895" t="str">
            <v>ZB-WF029-WO-L</v>
          </cell>
          <cell r="B895" t="str">
            <v>ZB-WF029</v>
          </cell>
        </row>
        <row r="896">
          <cell r="A896" t="str">
            <v>ZB-WF029-WO-M</v>
          </cell>
          <cell r="B896" t="str">
            <v>ZB-WF029</v>
          </cell>
        </row>
        <row r="897">
          <cell r="A897" t="str">
            <v>ZDD-FLQ07-MC-28</v>
          </cell>
          <cell r="B897" t="str">
            <v>ZDD-FLQ07</v>
          </cell>
        </row>
        <row r="898">
          <cell r="A898" t="str">
            <v>ZDD-FLQ08-BO-28</v>
          </cell>
          <cell r="B898" t="str">
            <v>ZDD-FLQ08</v>
          </cell>
        </row>
        <row r="899">
          <cell r="A899" t="str">
            <v>ZDD-FLQ08-GR-28</v>
          </cell>
          <cell r="B899" t="str">
            <v>ZDD-FLQ08</v>
          </cell>
        </row>
        <row r="900">
          <cell r="A900" t="str">
            <v>ZDD-FLQ08-PO-28</v>
          </cell>
          <cell r="B900" t="str">
            <v>ZDD-FLQ08</v>
          </cell>
        </row>
        <row r="901">
          <cell r="A901" t="str">
            <v>ZDD-FLQ08-R2-28</v>
          </cell>
          <cell r="B901" t="str">
            <v>ZDD-FLQ08</v>
          </cell>
        </row>
        <row r="902">
          <cell r="A902" t="str">
            <v>ZDD-FLQ08-RO-28</v>
          </cell>
          <cell r="B902" t="str">
            <v>ZDD-FLQ08</v>
          </cell>
        </row>
        <row r="903">
          <cell r="A903" t="str">
            <v>ZQ-WF002-BO-M</v>
          </cell>
          <cell r="B903" t="str">
            <v>ZQ-WF002</v>
          </cell>
        </row>
        <row r="904">
          <cell r="A904" t="str">
            <v>ZQ-WF002-PI-M</v>
          </cell>
          <cell r="B904" t="str">
            <v>ZQ-WF002</v>
          </cell>
        </row>
        <row r="905">
          <cell r="A905" t="str">
            <v>ZYL-FLQ06-BF-40</v>
          </cell>
          <cell r="B905" t="str">
            <v>ZYL-FLQ06</v>
          </cell>
        </row>
        <row r="906">
          <cell r="A906" t="str">
            <v>ZYL-FLQ06-BG-40</v>
          </cell>
          <cell r="B906" t="str">
            <v>ZYL-FLQ06</v>
          </cell>
        </row>
        <row r="907">
          <cell r="A907" t="str">
            <v>ZYL-FLQ06-BY-40</v>
          </cell>
          <cell r="B907" t="str">
            <v>ZYL-FLQ06</v>
          </cell>
        </row>
        <row r="908">
          <cell r="A908" t="str">
            <v>ZYL-FLQ06-HG-40</v>
          </cell>
          <cell r="B908" t="str">
            <v>ZYL-FLQ06</v>
          </cell>
        </row>
        <row r="909">
          <cell r="A909" t="str">
            <v>ZYL-FLQ06-TZ-40</v>
          </cell>
          <cell r="B909" t="str">
            <v>ZYL-FLQ06</v>
          </cell>
        </row>
        <row r="910">
          <cell r="A910" t="str">
            <v>ZYL-FLQ06-WZ-40</v>
          </cell>
          <cell r="B910" t="str">
            <v>ZYL-FLQ06</v>
          </cell>
        </row>
        <row r="911">
          <cell r="A911" t="str">
            <v>ZYL-FLQ06-ZM-40</v>
          </cell>
          <cell r="B911" t="str">
            <v>ZYL-FLQ06</v>
          </cell>
        </row>
        <row r="912">
          <cell r="A912" t="str">
            <v>ZYL-FLQ2013-DX-36</v>
          </cell>
          <cell r="B912" t="str">
            <v>ZYL-FLQ2013</v>
          </cell>
        </row>
        <row r="913">
          <cell r="A913" t="str">
            <v>ZYL-FLQ2013-RO-36</v>
          </cell>
          <cell r="B913" t="str">
            <v>ZYL-FLQ2013</v>
          </cell>
        </row>
        <row r="914">
          <cell r="A914" t="str">
            <v>ZYL-FLQ2013-YO-36</v>
          </cell>
          <cell r="B914" t="str">
            <v>ZYL-FLQ2013</v>
          </cell>
        </row>
        <row r="915">
          <cell r="A915" t="str">
            <v>ZYL-FLQ59-BF-32</v>
          </cell>
          <cell r="B915" t="str">
            <v>ZYL-FLQ59</v>
          </cell>
        </row>
        <row r="916">
          <cell r="A916" t="str">
            <v>ZYL-FLQ59-BY-32</v>
          </cell>
          <cell r="B916" t="str">
            <v>ZYL-FLQ59</v>
          </cell>
        </row>
        <row r="917">
          <cell r="A917" t="str">
            <v>ZYL-FLQ59-TW-32</v>
          </cell>
          <cell r="B917" t="str">
            <v>ZYL-FLQ59</v>
          </cell>
        </row>
        <row r="918">
          <cell r="A918" t="str">
            <v>ZYL-FLQ59-TZ-32</v>
          </cell>
          <cell r="B918" t="str">
            <v>ZYL-FLQ59</v>
          </cell>
        </row>
        <row r="919">
          <cell r="A919" t="str">
            <v>ZYL-FLQ59-YD-32</v>
          </cell>
          <cell r="B919" t="str">
            <v>ZYL-FLQ59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4" Type="http://schemas.openxmlformats.org/officeDocument/2006/relationships/image" Target="../media/image3.wmf"/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G16067"/>
  <sheetViews>
    <sheetView tabSelected="1" topLeftCell="N1" workbookViewId="0">
      <selection activeCell="AG593" sqref="AG2:AG653"/>
    </sheetView>
  </sheetViews>
  <sheetFormatPr defaultColWidth="9" defaultRowHeight="14.25"/>
  <cols>
    <col min="2" max="2" width="12.625"/>
    <col min="3" max="3" width="18.375" customWidth="1"/>
    <col min="12" max="12" width="24" customWidth="1"/>
    <col min="13" max="13" width="21.75" customWidth="1"/>
    <col min="31" max="31" width="9.375"/>
    <col min="33" max="33" width="15.625" style="7" customWidth="1"/>
  </cols>
  <sheetData>
    <row r="1" spans="1:33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6" t="s">
        <v>17</v>
      </c>
      <c r="S1" s="6" t="s">
        <v>18</v>
      </c>
      <c r="T1" s="6" t="s">
        <v>19</v>
      </c>
      <c r="U1" s="6" t="s">
        <v>20</v>
      </c>
      <c r="V1" s="6" t="s">
        <v>21</v>
      </c>
      <c r="W1" s="6" t="s">
        <v>22</v>
      </c>
      <c r="X1" s="6" t="s">
        <v>23</v>
      </c>
      <c r="Y1" s="6" t="s">
        <v>24</v>
      </c>
      <c r="Z1" s="6" t="s">
        <v>25</v>
      </c>
      <c r="AA1" s="6" t="s">
        <v>26</v>
      </c>
      <c r="AB1" s="6" t="s">
        <v>27</v>
      </c>
      <c r="AC1" s="6" t="s">
        <v>28</v>
      </c>
      <c r="AD1" s="6" t="s">
        <v>29</v>
      </c>
      <c r="AE1" s="6" t="s">
        <v>30</v>
      </c>
      <c r="AG1" s="7" t="s">
        <v>31</v>
      </c>
    </row>
    <row r="2" spans="1:33">
      <c r="A2" s="5" t="s">
        <v>32</v>
      </c>
      <c r="B2" s="5" t="s">
        <v>32</v>
      </c>
      <c r="C2" s="5" t="s">
        <v>33</v>
      </c>
      <c r="D2" s="5" t="s">
        <v>34</v>
      </c>
      <c r="E2" s="5" t="s">
        <v>35</v>
      </c>
      <c r="F2" s="5" t="s">
        <v>36</v>
      </c>
      <c r="G2" s="5" t="s">
        <v>37</v>
      </c>
      <c r="H2" s="5"/>
      <c r="I2" s="5"/>
      <c r="J2" s="5" t="s">
        <v>38</v>
      </c>
      <c r="K2" s="5" t="s">
        <v>39</v>
      </c>
      <c r="L2" s="5" t="s">
        <v>40</v>
      </c>
      <c r="M2" s="5" t="s">
        <v>41</v>
      </c>
      <c r="N2" s="5" t="s">
        <v>35</v>
      </c>
      <c r="O2" s="5">
        <v>1</v>
      </c>
      <c r="P2" s="5" t="s">
        <v>42</v>
      </c>
      <c r="Q2" s="5">
        <v>7.99</v>
      </c>
      <c r="R2" s="5"/>
      <c r="S2" s="5"/>
      <c r="T2" s="5"/>
      <c r="U2" s="5"/>
      <c r="V2" s="5"/>
      <c r="W2" s="5"/>
      <c r="X2" s="5"/>
      <c r="Y2" s="5" t="s">
        <v>43</v>
      </c>
      <c r="Z2" s="5" t="s">
        <v>44</v>
      </c>
      <c r="AA2" s="5">
        <v>8036</v>
      </c>
      <c r="AB2" s="5" t="s">
        <v>45</v>
      </c>
      <c r="AC2" s="5"/>
      <c r="AD2" s="5"/>
      <c r="AE2" s="5"/>
      <c r="AF2" s="5"/>
      <c r="AG2" s="9">
        <f t="shared" ref="AG2:AG65" si="0">DATEVALUE(LEFT(C2,10))</f>
        <v>43262</v>
      </c>
    </row>
    <row r="3" s="6" customFormat="1" spans="1:33">
      <c r="A3" s="5" t="s">
        <v>46</v>
      </c>
      <c r="B3" s="5" t="s">
        <v>46</v>
      </c>
      <c r="C3" s="5" t="s">
        <v>47</v>
      </c>
      <c r="D3" s="5" t="s">
        <v>48</v>
      </c>
      <c r="E3" s="5" t="s">
        <v>35</v>
      </c>
      <c r="F3" s="5" t="s">
        <v>36</v>
      </c>
      <c r="G3" s="5" t="s">
        <v>37</v>
      </c>
      <c r="H3" s="5"/>
      <c r="I3" s="5"/>
      <c r="J3" s="5" t="s">
        <v>49</v>
      </c>
      <c r="K3" s="5" t="s">
        <v>50</v>
      </c>
      <c r="L3" s="5" t="s">
        <v>51</v>
      </c>
      <c r="M3" s="5" t="s">
        <v>52</v>
      </c>
      <c r="N3" s="5" t="s">
        <v>35</v>
      </c>
      <c r="O3" s="5">
        <v>1</v>
      </c>
      <c r="P3" s="5" t="s">
        <v>42</v>
      </c>
      <c r="Q3" s="5">
        <v>7</v>
      </c>
      <c r="R3" s="5"/>
      <c r="S3" s="5">
        <v>3.99</v>
      </c>
      <c r="T3" s="5"/>
      <c r="U3" s="5"/>
      <c r="V3" s="5"/>
      <c r="W3" s="5"/>
      <c r="X3" s="5">
        <v>3.99</v>
      </c>
      <c r="Y3" s="5" t="s">
        <v>53</v>
      </c>
      <c r="Z3" s="5" t="s">
        <v>54</v>
      </c>
      <c r="AA3" s="5" t="s">
        <v>55</v>
      </c>
      <c r="AB3" s="5" t="s">
        <v>45</v>
      </c>
      <c r="AC3" s="5"/>
      <c r="AD3" s="5"/>
      <c r="AE3" s="5"/>
      <c r="AF3" s="8"/>
      <c r="AG3" s="9">
        <f t="shared" si="0"/>
        <v>43262</v>
      </c>
    </row>
    <row r="4" s="6" customFormat="1" spans="1:33">
      <c r="A4" s="5" t="s">
        <v>56</v>
      </c>
      <c r="B4" s="5" t="s">
        <v>56</v>
      </c>
      <c r="C4" s="5" t="s">
        <v>57</v>
      </c>
      <c r="D4" s="5" t="s">
        <v>58</v>
      </c>
      <c r="E4" s="5" t="s">
        <v>35</v>
      </c>
      <c r="F4" s="5" t="s">
        <v>36</v>
      </c>
      <c r="G4" s="5" t="s">
        <v>37</v>
      </c>
      <c r="H4" s="5"/>
      <c r="I4" s="5"/>
      <c r="J4" s="5" t="s">
        <v>59</v>
      </c>
      <c r="K4" s="5" t="s">
        <v>60</v>
      </c>
      <c r="L4" s="5" t="s">
        <v>61</v>
      </c>
      <c r="M4" s="5" t="s">
        <v>62</v>
      </c>
      <c r="N4" s="5" t="s">
        <v>35</v>
      </c>
      <c r="O4" s="5">
        <v>1</v>
      </c>
      <c r="P4" s="5" t="s">
        <v>42</v>
      </c>
      <c r="Q4" s="5">
        <v>9.99</v>
      </c>
      <c r="R4" s="5"/>
      <c r="S4" s="5"/>
      <c r="T4" s="5"/>
      <c r="U4" s="5"/>
      <c r="V4" s="5"/>
      <c r="W4" s="5"/>
      <c r="X4" s="5"/>
      <c r="Y4" s="5" t="s">
        <v>63</v>
      </c>
      <c r="Z4" s="5" t="s">
        <v>64</v>
      </c>
      <c r="AA4" s="5" t="s">
        <v>65</v>
      </c>
      <c r="AB4" s="5" t="s">
        <v>45</v>
      </c>
      <c r="AC4" s="5"/>
      <c r="AD4" s="5"/>
      <c r="AE4" s="5"/>
      <c r="AF4" s="8"/>
      <c r="AG4" s="9">
        <f t="shared" si="0"/>
        <v>43262</v>
      </c>
    </row>
    <row r="5" s="6" customFormat="1" spans="1:33">
      <c r="A5" s="5" t="s">
        <v>66</v>
      </c>
      <c r="B5" s="5" t="s">
        <v>66</v>
      </c>
      <c r="C5" s="5" t="s">
        <v>67</v>
      </c>
      <c r="D5" s="5" t="s">
        <v>68</v>
      </c>
      <c r="E5" s="5" t="s">
        <v>35</v>
      </c>
      <c r="F5" s="5" t="s">
        <v>36</v>
      </c>
      <c r="G5" s="5" t="s">
        <v>37</v>
      </c>
      <c r="H5" s="5"/>
      <c r="I5" s="5"/>
      <c r="J5" s="5" t="s">
        <v>59</v>
      </c>
      <c r="K5" s="5" t="s">
        <v>69</v>
      </c>
      <c r="L5" s="5" t="s">
        <v>70</v>
      </c>
      <c r="M5" s="5" t="s">
        <v>71</v>
      </c>
      <c r="N5" s="5" t="s">
        <v>35</v>
      </c>
      <c r="O5" s="5">
        <v>1</v>
      </c>
      <c r="P5" s="5" t="s">
        <v>42</v>
      </c>
      <c r="Q5" s="5">
        <v>15.92</v>
      </c>
      <c r="R5" s="5"/>
      <c r="S5" s="5"/>
      <c r="T5" s="5"/>
      <c r="U5" s="5"/>
      <c r="V5" s="5"/>
      <c r="W5" s="5"/>
      <c r="X5" s="5"/>
      <c r="Y5" s="5" t="s">
        <v>72</v>
      </c>
      <c r="Z5" s="5" t="s">
        <v>73</v>
      </c>
      <c r="AA5" s="5">
        <v>75218</v>
      </c>
      <c r="AB5" s="5" t="s">
        <v>45</v>
      </c>
      <c r="AC5" s="5"/>
      <c r="AD5" s="5"/>
      <c r="AE5" s="5"/>
      <c r="AF5" s="8"/>
      <c r="AG5" s="9">
        <f t="shared" si="0"/>
        <v>43262</v>
      </c>
    </row>
    <row r="6" s="6" customFormat="1" spans="1:33">
      <c r="A6" s="5" t="s">
        <v>74</v>
      </c>
      <c r="B6" s="5" t="s">
        <v>74</v>
      </c>
      <c r="C6" s="5" t="s">
        <v>75</v>
      </c>
      <c r="D6" s="5" t="s">
        <v>76</v>
      </c>
      <c r="E6" s="5" t="s">
        <v>35</v>
      </c>
      <c r="F6" s="5" t="s">
        <v>36</v>
      </c>
      <c r="G6" s="5" t="s">
        <v>37</v>
      </c>
      <c r="H6" s="5"/>
      <c r="I6" s="5"/>
      <c r="J6" s="5" t="s">
        <v>59</v>
      </c>
      <c r="K6" s="5" t="s">
        <v>77</v>
      </c>
      <c r="L6" s="5" t="s">
        <v>78</v>
      </c>
      <c r="M6" s="5" t="s">
        <v>79</v>
      </c>
      <c r="N6" s="5" t="s">
        <v>35</v>
      </c>
      <c r="O6" s="5">
        <v>1</v>
      </c>
      <c r="P6" s="5" t="s">
        <v>42</v>
      </c>
      <c r="Q6" s="5">
        <v>8.99</v>
      </c>
      <c r="R6" s="5"/>
      <c r="S6" s="5"/>
      <c r="T6" s="5"/>
      <c r="U6" s="5"/>
      <c r="V6" s="5"/>
      <c r="W6" s="5"/>
      <c r="X6" s="5"/>
      <c r="Y6" s="5" t="s">
        <v>80</v>
      </c>
      <c r="Z6" s="5" t="s">
        <v>81</v>
      </c>
      <c r="AA6" s="5" t="s">
        <v>82</v>
      </c>
      <c r="AB6" s="5" t="s">
        <v>45</v>
      </c>
      <c r="AC6" s="5"/>
      <c r="AD6" s="5"/>
      <c r="AE6" s="5"/>
      <c r="AF6" s="8"/>
      <c r="AG6" s="9">
        <f t="shared" si="0"/>
        <v>43262</v>
      </c>
    </row>
    <row r="7" s="6" customFormat="1" spans="1:33">
      <c r="A7" s="5" t="s">
        <v>83</v>
      </c>
      <c r="B7" s="5" t="s">
        <v>83</v>
      </c>
      <c r="C7" s="5" t="s">
        <v>84</v>
      </c>
      <c r="D7" s="5" t="s">
        <v>85</v>
      </c>
      <c r="E7" s="5" t="s">
        <v>35</v>
      </c>
      <c r="F7" s="5" t="s">
        <v>36</v>
      </c>
      <c r="G7" s="5" t="s">
        <v>37</v>
      </c>
      <c r="H7" s="5"/>
      <c r="I7" s="5"/>
      <c r="J7" s="5" t="s">
        <v>38</v>
      </c>
      <c r="K7" s="5" t="s">
        <v>86</v>
      </c>
      <c r="L7" s="5" t="s">
        <v>87</v>
      </c>
      <c r="M7" s="5" t="s">
        <v>88</v>
      </c>
      <c r="N7" s="5" t="s">
        <v>35</v>
      </c>
      <c r="O7" s="5">
        <v>1</v>
      </c>
      <c r="P7" s="5" t="s">
        <v>42</v>
      </c>
      <c r="Q7" s="5">
        <v>14.99</v>
      </c>
      <c r="R7" s="5"/>
      <c r="S7" s="5">
        <v>2.91</v>
      </c>
      <c r="T7" s="5"/>
      <c r="U7" s="5"/>
      <c r="V7" s="5"/>
      <c r="W7" s="5"/>
      <c r="X7" s="5"/>
      <c r="Y7" s="5" t="s">
        <v>89</v>
      </c>
      <c r="Z7" s="5" t="s">
        <v>90</v>
      </c>
      <c r="AA7" s="5">
        <v>44672</v>
      </c>
      <c r="AB7" s="5" t="s">
        <v>45</v>
      </c>
      <c r="AC7" s="5"/>
      <c r="AD7" s="5"/>
      <c r="AE7" s="5"/>
      <c r="AF7" s="8"/>
      <c r="AG7" s="9">
        <f t="shared" si="0"/>
        <v>43262</v>
      </c>
    </row>
    <row r="8" s="6" customFormat="1" spans="1:33">
      <c r="A8" s="5" t="s">
        <v>91</v>
      </c>
      <c r="B8" s="5" t="s">
        <v>91</v>
      </c>
      <c r="C8" s="5" t="s">
        <v>92</v>
      </c>
      <c r="D8" s="5" t="s">
        <v>93</v>
      </c>
      <c r="E8" s="5" t="s">
        <v>35</v>
      </c>
      <c r="F8" s="5" t="s">
        <v>36</v>
      </c>
      <c r="G8" s="5" t="s">
        <v>37</v>
      </c>
      <c r="H8" s="5"/>
      <c r="I8" s="5"/>
      <c r="J8" s="5" t="s">
        <v>59</v>
      </c>
      <c r="K8" s="5" t="s">
        <v>94</v>
      </c>
      <c r="L8" s="5" t="s">
        <v>95</v>
      </c>
      <c r="M8" s="5" t="s">
        <v>96</v>
      </c>
      <c r="N8" s="5" t="s">
        <v>35</v>
      </c>
      <c r="O8" s="5">
        <v>1</v>
      </c>
      <c r="P8" s="5" t="s">
        <v>42</v>
      </c>
      <c r="Q8" s="5">
        <v>14.99</v>
      </c>
      <c r="R8" s="5"/>
      <c r="S8" s="5"/>
      <c r="T8" s="5"/>
      <c r="U8" s="5"/>
      <c r="V8" s="5"/>
      <c r="W8" s="5"/>
      <c r="X8" s="5"/>
      <c r="Y8" s="5" t="s">
        <v>97</v>
      </c>
      <c r="Z8" s="5" t="s">
        <v>98</v>
      </c>
      <c r="AA8" s="5" t="s">
        <v>99</v>
      </c>
      <c r="AB8" s="5" t="s">
        <v>45</v>
      </c>
      <c r="AC8" s="5"/>
      <c r="AD8" s="5"/>
      <c r="AE8" s="5"/>
      <c r="AF8" s="8"/>
      <c r="AG8" s="9">
        <f t="shared" si="0"/>
        <v>43262</v>
      </c>
    </row>
    <row r="9" s="6" customFormat="1" spans="1:33">
      <c r="A9" s="5" t="s">
        <v>100</v>
      </c>
      <c r="B9" s="5" t="s">
        <v>100</v>
      </c>
      <c r="C9" s="5" t="s">
        <v>101</v>
      </c>
      <c r="D9" s="5" t="s">
        <v>102</v>
      </c>
      <c r="E9" s="5" t="s">
        <v>35</v>
      </c>
      <c r="F9" s="5" t="s">
        <v>36</v>
      </c>
      <c r="G9" s="5" t="s">
        <v>37</v>
      </c>
      <c r="H9" s="5"/>
      <c r="I9" s="5"/>
      <c r="J9" s="5" t="s">
        <v>59</v>
      </c>
      <c r="K9" s="5" t="s">
        <v>103</v>
      </c>
      <c r="L9" s="5" t="s">
        <v>104</v>
      </c>
      <c r="M9" s="5" t="s">
        <v>105</v>
      </c>
      <c r="N9" s="5" t="s">
        <v>35</v>
      </c>
      <c r="O9" s="5">
        <v>1</v>
      </c>
      <c r="P9" s="5" t="s">
        <v>42</v>
      </c>
      <c r="Q9" s="5">
        <v>12.99</v>
      </c>
      <c r="R9" s="5"/>
      <c r="S9" s="5"/>
      <c r="T9" s="5"/>
      <c r="U9" s="5"/>
      <c r="V9" s="5"/>
      <c r="W9" s="5"/>
      <c r="X9" s="5"/>
      <c r="Y9" s="5" t="s">
        <v>106</v>
      </c>
      <c r="Z9" s="5" t="s">
        <v>54</v>
      </c>
      <c r="AA9" s="5" t="s">
        <v>107</v>
      </c>
      <c r="AB9" s="5" t="s">
        <v>45</v>
      </c>
      <c r="AC9" s="5"/>
      <c r="AD9" s="5"/>
      <c r="AE9" s="5"/>
      <c r="AF9" s="8"/>
      <c r="AG9" s="9">
        <f t="shared" si="0"/>
        <v>43262</v>
      </c>
    </row>
    <row r="10" s="6" customFormat="1" spans="1:33">
      <c r="A10" s="5" t="s">
        <v>100</v>
      </c>
      <c r="B10" s="5" t="s">
        <v>100</v>
      </c>
      <c r="C10" s="5" t="s">
        <v>101</v>
      </c>
      <c r="D10" s="5" t="s">
        <v>102</v>
      </c>
      <c r="E10" s="5" t="s">
        <v>35</v>
      </c>
      <c r="F10" s="5" t="s">
        <v>36</v>
      </c>
      <c r="G10" s="5" t="s">
        <v>37</v>
      </c>
      <c r="H10" s="5"/>
      <c r="I10" s="5"/>
      <c r="J10" s="5" t="s">
        <v>59</v>
      </c>
      <c r="K10" s="5" t="s">
        <v>108</v>
      </c>
      <c r="L10" s="5" t="s">
        <v>109</v>
      </c>
      <c r="M10" s="5" t="s">
        <v>110</v>
      </c>
      <c r="N10" s="5" t="s">
        <v>35</v>
      </c>
      <c r="O10" s="5">
        <v>1</v>
      </c>
      <c r="P10" s="5" t="s">
        <v>42</v>
      </c>
      <c r="Q10" s="5">
        <v>12.99</v>
      </c>
      <c r="R10" s="5"/>
      <c r="S10" s="5"/>
      <c r="T10" s="5"/>
      <c r="U10" s="5"/>
      <c r="V10" s="5"/>
      <c r="W10" s="5"/>
      <c r="X10" s="5"/>
      <c r="Y10" s="5" t="s">
        <v>106</v>
      </c>
      <c r="Z10" s="5" t="s">
        <v>54</v>
      </c>
      <c r="AA10" s="5" t="s">
        <v>107</v>
      </c>
      <c r="AB10" s="5" t="s">
        <v>45</v>
      </c>
      <c r="AC10" s="5"/>
      <c r="AD10" s="5"/>
      <c r="AE10" s="5"/>
      <c r="AF10" s="8"/>
      <c r="AG10" s="9">
        <f t="shared" si="0"/>
        <v>43262</v>
      </c>
    </row>
    <row r="11" s="6" customFormat="1" spans="1:33">
      <c r="A11" s="5" t="s">
        <v>111</v>
      </c>
      <c r="B11" s="5" t="s">
        <v>111</v>
      </c>
      <c r="C11" s="5" t="s">
        <v>112</v>
      </c>
      <c r="D11" s="5" t="s">
        <v>113</v>
      </c>
      <c r="E11" s="5" t="s">
        <v>35</v>
      </c>
      <c r="F11" s="5" t="s">
        <v>36</v>
      </c>
      <c r="G11" s="5" t="s">
        <v>37</v>
      </c>
      <c r="H11" s="5"/>
      <c r="I11" s="5"/>
      <c r="J11" s="5" t="s">
        <v>59</v>
      </c>
      <c r="K11" s="5" t="s">
        <v>114</v>
      </c>
      <c r="L11" s="5" t="s">
        <v>115</v>
      </c>
      <c r="M11" s="5" t="s">
        <v>116</v>
      </c>
      <c r="N11" s="5" t="s">
        <v>35</v>
      </c>
      <c r="O11" s="5">
        <v>1</v>
      </c>
      <c r="P11" s="5" t="s">
        <v>42</v>
      </c>
      <c r="Q11" s="5">
        <v>13.99</v>
      </c>
      <c r="R11" s="5"/>
      <c r="S11" s="5"/>
      <c r="T11" s="5"/>
      <c r="U11" s="5"/>
      <c r="V11" s="5"/>
      <c r="W11" s="5"/>
      <c r="X11" s="5"/>
      <c r="Y11" s="5" t="s">
        <v>117</v>
      </c>
      <c r="Z11" s="5" t="s">
        <v>118</v>
      </c>
      <c r="AA11" s="5" t="s">
        <v>119</v>
      </c>
      <c r="AB11" s="5" t="s">
        <v>45</v>
      </c>
      <c r="AC11" s="5"/>
      <c r="AD11" s="5"/>
      <c r="AE11" s="5"/>
      <c r="AF11" s="8"/>
      <c r="AG11" s="9">
        <f t="shared" si="0"/>
        <v>43262</v>
      </c>
    </row>
    <row r="12" s="6" customFormat="1" spans="1:33">
      <c r="A12" s="5" t="s">
        <v>120</v>
      </c>
      <c r="B12" s="5" t="s">
        <v>120</v>
      </c>
      <c r="C12" s="5" t="s">
        <v>121</v>
      </c>
      <c r="D12" s="5" t="s">
        <v>122</v>
      </c>
      <c r="E12" s="5" t="s">
        <v>35</v>
      </c>
      <c r="F12" s="5" t="s">
        <v>36</v>
      </c>
      <c r="G12" s="5" t="s">
        <v>37</v>
      </c>
      <c r="H12" s="5"/>
      <c r="I12" s="5"/>
      <c r="J12" s="5" t="s">
        <v>38</v>
      </c>
      <c r="K12" s="5" t="s">
        <v>123</v>
      </c>
      <c r="L12" s="5" t="s">
        <v>124</v>
      </c>
      <c r="M12" s="5" t="s">
        <v>125</v>
      </c>
      <c r="N12" s="5" t="s">
        <v>35</v>
      </c>
      <c r="O12" s="5">
        <v>1</v>
      </c>
      <c r="P12" s="5" t="s">
        <v>42</v>
      </c>
      <c r="Q12" s="5">
        <v>9.99</v>
      </c>
      <c r="R12" s="5"/>
      <c r="S12" s="5"/>
      <c r="T12" s="5"/>
      <c r="U12" s="5"/>
      <c r="V12" s="5"/>
      <c r="W12" s="5"/>
      <c r="X12" s="5"/>
      <c r="Y12" s="5" t="s">
        <v>126</v>
      </c>
      <c r="Z12" s="5" t="s">
        <v>127</v>
      </c>
      <c r="AA12" s="5" t="s">
        <v>128</v>
      </c>
      <c r="AB12" s="5" t="s">
        <v>45</v>
      </c>
      <c r="AC12" s="5"/>
      <c r="AD12" s="5"/>
      <c r="AE12" s="5"/>
      <c r="AF12" s="8"/>
      <c r="AG12" s="9">
        <f t="shared" si="0"/>
        <v>43262</v>
      </c>
    </row>
    <row r="13" s="6" customFormat="1" spans="1:33">
      <c r="A13" s="5" t="s">
        <v>129</v>
      </c>
      <c r="B13" s="5" t="s">
        <v>129</v>
      </c>
      <c r="C13" s="5" t="s">
        <v>130</v>
      </c>
      <c r="D13" s="5" t="s">
        <v>131</v>
      </c>
      <c r="E13" s="5" t="s">
        <v>35</v>
      </c>
      <c r="F13" s="5" t="s">
        <v>36</v>
      </c>
      <c r="G13" s="5" t="s">
        <v>37</v>
      </c>
      <c r="H13" s="5"/>
      <c r="I13" s="5"/>
      <c r="J13" s="5" t="s">
        <v>38</v>
      </c>
      <c r="K13" s="5" t="s">
        <v>50</v>
      </c>
      <c r="L13" s="5" t="s">
        <v>51</v>
      </c>
      <c r="M13" s="5" t="s">
        <v>52</v>
      </c>
      <c r="N13" s="5" t="s">
        <v>35</v>
      </c>
      <c r="O13" s="5">
        <v>1</v>
      </c>
      <c r="P13" s="5" t="s">
        <v>42</v>
      </c>
      <c r="Q13" s="5">
        <v>7</v>
      </c>
      <c r="R13" s="5"/>
      <c r="S13" s="5"/>
      <c r="T13" s="5"/>
      <c r="U13" s="5"/>
      <c r="V13" s="5"/>
      <c r="W13" s="5"/>
      <c r="X13" s="5"/>
      <c r="Y13" s="5" t="s">
        <v>132</v>
      </c>
      <c r="Z13" s="5" t="s">
        <v>133</v>
      </c>
      <c r="AA13" s="5" t="s">
        <v>134</v>
      </c>
      <c r="AB13" s="5" t="s">
        <v>45</v>
      </c>
      <c r="AC13" s="5"/>
      <c r="AD13" s="5"/>
      <c r="AE13" s="5"/>
      <c r="AF13" s="8"/>
      <c r="AG13" s="9">
        <f t="shared" si="0"/>
        <v>43262</v>
      </c>
    </row>
    <row r="14" s="6" customFormat="1" spans="1:33">
      <c r="A14" s="5" t="s">
        <v>135</v>
      </c>
      <c r="B14" s="5" t="s">
        <v>135</v>
      </c>
      <c r="C14" s="5" t="s">
        <v>136</v>
      </c>
      <c r="D14" s="5" t="s">
        <v>137</v>
      </c>
      <c r="E14" s="5" t="s">
        <v>35</v>
      </c>
      <c r="F14" s="5" t="s">
        <v>36</v>
      </c>
      <c r="G14" s="5" t="s">
        <v>37</v>
      </c>
      <c r="H14" s="5"/>
      <c r="I14" s="5"/>
      <c r="J14" s="5" t="s">
        <v>59</v>
      </c>
      <c r="K14" s="5" t="s">
        <v>50</v>
      </c>
      <c r="L14" s="5" t="s">
        <v>51</v>
      </c>
      <c r="M14" s="5" t="s">
        <v>52</v>
      </c>
      <c r="N14" s="5" t="s">
        <v>35</v>
      </c>
      <c r="O14" s="5">
        <v>1</v>
      </c>
      <c r="P14" s="5" t="s">
        <v>42</v>
      </c>
      <c r="Q14" s="5">
        <v>7</v>
      </c>
      <c r="R14" s="5"/>
      <c r="S14" s="5"/>
      <c r="T14" s="5"/>
      <c r="U14" s="5"/>
      <c r="V14" s="5"/>
      <c r="W14" s="5"/>
      <c r="X14" s="5"/>
      <c r="Y14" s="5" t="s">
        <v>138</v>
      </c>
      <c r="Z14" s="5" t="s">
        <v>139</v>
      </c>
      <c r="AA14" s="5" t="s">
        <v>140</v>
      </c>
      <c r="AB14" s="5" t="s">
        <v>45</v>
      </c>
      <c r="AC14" s="5"/>
      <c r="AD14" s="5"/>
      <c r="AE14" s="5"/>
      <c r="AF14" s="8"/>
      <c r="AG14" s="9">
        <f t="shared" si="0"/>
        <v>43262</v>
      </c>
    </row>
    <row r="15" s="6" customFormat="1" spans="1:33">
      <c r="A15" s="5" t="s">
        <v>141</v>
      </c>
      <c r="B15" s="5" t="s">
        <v>141</v>
      </c>
      <c r="C15" s="5" t="s">
        <v>142</v>
      </c>
      <c r="D15" s="5" t="s">
        <v>143</v>
      </c>
      <c r="E15" s="5" t="s">
        <v>35</v>
      </c>
      <c r="F15" s="5" t="s">
        <v>36</v>
      </c>
      <c r="G15" s="5" t="s">
        <v>37</v>
      </c>
      <c r="H15" s="5"/>
      <c r="I15" s="5"/>
      <c r="J15" s="5" t="s">
        <v>59</v>
      </c>
      <c r="K15" s="5" t="s">
        <v>144</v>
      </c>
      <c r="L15" s="5" t="s">
        <v>145</v>
      </c>
      <c r="M15" s="5" t="s">
        <v>146</v>
      </c>
      <c r="N15" s="5" t="s">
        <v>35</v>
      </c>
      <c r="O15" s="5">
        <v>1</v>
      </c>
      <c r="P15" s="5" t="s">
        <v>42</v>
      </c>
      <c r="Q15" s="5">
        <v>8.99</v>
      </c>
      <c r="R15" s="5"/>
      <c r="S15" s="5"/>
      <c r="T15" s="5"/>
      <c r="U15" s="5"/>
      <c r="V15" s="5"/>
      <c r="W15" s="5"/>
      <c r="X15" s="5"/>
      <c r="Y15" s="5" t="s">
        <v>147</v>
      </c>
      <c r="Z15" s="5" t="s">
        <v>54</v>
      </c>
      <c r="AA15" s="5" t="s">
        <v>148</v>
      </c>
      <c r="AB15" s="5" t="s">
        <v>45</v>
      </c>
      <c r="AC15" s="5"/>
      <c r="AD15" s="5"/>
      <c r="AE15" s="5"/>
      <c r="AF15" s="8"/>
      <c r="AG15" s="9">
        <f t="shared" si="0"/>
        <v>43262</v>
      </c>
    </row>
    <row r="16" s="6" customFormat="1" spans="1:33">
      <c r="A16" s="5" t="s">
        <v>149</v>
      </c>
      <c r="B16" s="5" t="s">
        <v>149</v>
      </c>
      <c r="C16" s="5" t="s">
        <v>150</v>
      </c>
      <c r="D16" s="5" t="s">
        <v>151</v>
      </c>
      <c r="E16" s="5" t="s">
        <v>35</v>
      </c>
      <c r="F16" s="5" t="s">
        <v>36</v>
      </c>
      <c r="G16" s="5" t="s">
        <v>37</v>
      </c>
      <c r="H16" s="5"/>
      <c r="I16" s="5"/>
      <c r="J16" s="5" t="s">
        <v>59</v>
      </c>
      <c r="K16" s="5" t="s">
        <v>50</v>
      </c>
      <c r="L16" s="5" t="s">
        <v>51</v>
      </c>
      <c r="M16" s="5" t="s">
        <v>52</v>
      </c>
      <c r="N16" s="5" t="s">
        <v>35</v>
      </c>
      <c r="O16" s="5">
        <v>1</v>
      </c>
      <c r="P16" s="5" t="s">
        <v>42</v>
      </c>
      <c r="Q16" s="5">
        <v>7</v>
      </c>
      <c r="R16" s="5"/>
      <c r="S16" s="5"/>
      <c r="T16" s="5"/>
      <c r="U16" s="5"/>
      <c r="V16" s="5"/>
      <c r="W16" s="5"/>
      <c r="X16" s="5"/>
      <c r="Y16" s="5" t="s">
        <v>152</v>
      </c>
      <c r="Z16" s="5" t="s">
        <v>153</v>
      </c>
      <c r="AA16" s="5" t="s">
        <v>154</v>
      </c>
      <c r="AB16" s="5" t="s">
        <v>45</v>
      </c>
      <c r="AC16" s="5"/>
      <c r="AD16" s="5"/>
      <c r="AE16" s="5"/>
      <c r="AF16" s="8"/>
      <c r="AG16" s="9">
        <f t="shared" si="0"/>
        <v>43262</v>
      </c>
    </row>
    <row r="17" s="6" customFormat="1" spans="1:33">
      <c r="A17" s="5" t="s">
        <v>155</v>
      </c>
      <c r="B17" s="5" t="s">
        <v>155</v>
      </c>
      <c r="C17" s="5" t="s">
        <v>156</v>
      </c>
      <c r="D17" s="5" t="s">
        <v>157</v>
      </c>
      <c r="E17" s="5" t="s">
        <v>35</v>
      </c>
      <c r="F17" s="5" t="s">
        <v>36</v>
      </c>
      <c r="G17" s="5" t="s">
        <v>37</v>
      </c>
      <c r="H17" s="5"/>
      <c r="I17" s="5"/>
      <c r="J17" s="5" t="s">
        <v>59</v>
      </c>
      <c r="K17" s="5" t="s">
        <v>158</v>
      </c>
      <c r="L17" s="5" t="s">
        <v>159</v>
      </c>
      <c r="M17" s="5" t="s">
        <v>160</v>
      </c>
      <c r="N17" s="5" t="s">
        <v>35</v>
      </c>
      <c r="O17" s="5">
        <v>1</v>
      </c>
      <c r="P17" s="5" t="s">
        <v>42</v>
      </c>
      <c r="Q17" s="5">
        <v>13.99</v>
      </c>
      <c r="R17" s="5"/>
      <c r="S17" s="5"/>
      <c r="T17" s="5"/>
      <c r="U17" s="5"/>
      <c r="V17" s="5"/>
      <c r="W17" s="5"/>
      <c r="X17" s="5"/>
      <c r="Y17" s="5" t="s">
        <v>161</v>
      </c>
      <c r="Z17" s="5" t="s">
        <v>162</v>
      </c>
      <c r="AA17" s="5" t="s">
        <v>163</v>
      </c>
      <c r="AB17" s="5" t="s">
        <v>45</v>
      </c>
      <c r="AC17" s="5"/>
      <c r="AD17" s="5"/>
      <c r="AE17" s="5"/>
      <c r="AF17" s="8"/>
      <c r="AG17" s="9">
        <f t="shared" si="0"/>
        <v>43262</v>
      </c>
    </row>
    <row r="18" s="6" customFormat="1" spans="1:33">
      <c r="A18" s="5" t="s">
        <v>164</v>
      </c>
      <c r="B18" s="5" t="s">
        <v>164</v>
      </c>
      <c r="C18" s="5" t="s">
        <v>165</v>
      </c>
      <c r="D18" s="5" t="s">
        <v>166</v>
      </c>
      <c r="E18" s="5" t="s">
        <v>35</v>
      </c>
      <c r="F18" s="5" t="s">
        <v>36</v>
      </c>
      <c r="G18" s="5" t="s">
        <v>37</v>
      </c>
      <c r="H18" s="5"/>
      <c r="I18" s="5"/>
      <c r="J18" s="5" t="s">
        <v>59</v>
      </c>
      <c r="K18" s="5" t="s">
        <v>167</v>
      </c>
      <c r="L18" s="5" t="s">
        <v>168</v>
      </c>
      <c r="M18" s="5" t="s">
        <v>169</v>
      </c>
      <c r="N18" s="5" t="s">
        <v>35</v>
      </c>
      <c r="O18" s="5">
        <v>1</v>
      </c>
      <c r="P18" s="5" t="s">
        <v>42</v>
      </c>
      <c r="Q18" s="5">
        <v>15.99</v>
      </c>
      <c r="R18" s="5"/>
      <c r="S18" s="5"/>
      <c r="T18" s="5"/>
      <c r="U18" s="5"/>
      <c r="V18" s="5"/>
      <c r="W18" s="5"/>
      <c r="X18" s="5"/>
      <c r="Y18" s="5" t="s">
        <v>170</v>
      </c>
      <c r="Z18" s="5" t="s">
        <v>171</v>
      </c>
      <c r="AA18" s="5" t="s">
        <v>172</v>
      </c>
      <c r="AB18" s="5" t="s">
        <v>45</v>
      </c>
      <c r="AC18" s="5"/>
      <c r="AD18" s="5"/>
      <c r="AE18" s="5"/>
      <c r="AF18" s="8"/>
      <c r="AG18" s="9">
        <f t="shared" si="0"/>
        <v>43262</v>
      </c>
    </row>
    <row r="19" s="6" customFormat="1" spans="1:33">
      <c r="A19" s="5" t="s">
        <v>173</v>
      </c>
      <c r="B19" s="5" t="s">
        <v>173</v>
      </c>
      <c r="C19" s="5" t="s">
        <v>174</v>
      </c>
      <c r="D19" s="5" t="s">
        <v>175</v>
      </c>
      <c r="E19" s="5" t="s">
        <v>35</v>
      </c>
      <c r="F19" s="5" t="s">
        <v>36</v>
      </c>
      <c r="G19" s="5" t="s">
        <v>37</v>
      </c>
      <c r="H19" s="5"/>
      <c r="I19" s="5"/>
      <c r="J19" s="5" t="s">
        <v>59</v>
      </c>
      <c r="K19" s="5" t="s">
        <v>50</v>
      </c>
      <c r="L19" s="5" t="s">
        <v>51</v>
      </c>
      <c r="M19" s="5" t="s">
        <v>52</v>
      </c>
      <c r="N19" s="5" t="s">
        <v>35</v>
      </c>
      <c r="O19" s="5">
        <v>1</v>
      </c>
      <c r="P19" s="5" t="s">
        <v>42</v>
      </c>
      <c r="Q19" s="5">
        <v>7</v>
      </c>
      <c r="R19" s="5"/>
      <c r="S19" s="5"/>
      <c r="T19" s="5"/>
      <c r="U19" s="5"/>
      <c r="V19" s="5"/>
      <c r="W19" s="5"/>
      <c r="X19" s="5"/>
      <c r="Y19" s="5" t="s">
        <v>176</v>
      </c>
      <c r="Z19" s="5" t="s">
        <v>162</v>
      </c>
      <c r="AA19" s="5" t="s">
        <v>177</v>
      </c>
      <c r="AB19" s="5" t="s">
        <v>45</v>
      </c>
      <c r="AC19" s="5"/>
      <c r="AD19" s="5"/>
      <c r="AE19" s="5"/>
      <c r="AF19" s="8"/>
      <c r="AG19" s="9">
        <f t="shared" si="0"/>
        <v>43262</v>
      </c>
    </row>
    <row r="20" s="6" customFormat="1" spans="1:33">
      <c r="A20" s="5" t="s">
        <v>178</v>
      </c>
      <c r="B20" s="5" t="s">
        <v>178</v>
      </c>
      <c r="C20" s="5" t="s">
        <v>179</v>
      </c>
      <c r="D20" s="5" t="s">
        <v>180</v>
      </c>
      <c r="E20" s="5" t="s">
        <v>35</v>
      </c>
      <c r="F20" s="5" t="s">
        <v>36</v>
      </c>
      <c r="G20" s="5" t="s">
        <v>37</v>
      </c>
      <c r="H20" s="5"/>
      <c r="I20" s="5"/>
      <c r="J20" s="5" t="s">
        <v>38</v>
      </c>
      <c r="K20" s="5" t="s">
        <v>123</v>
      </c>
      <c r="L20" s="5" t="s">
        <v>124</v>
      </c>
      <c r="M20" s="5" t="s">
        <v>125</v>
      </c>
      <c r="N20" s="5" t="s">
        <v>35</v>
      </c>
      <c r="O20" s="5">
        <v>1</v>
      </c>
      <c r="P20" s="5" t="s">
        <v>42</v>
      </c>
      <c r="Q20" s="5">
        <v>9.99</v>
      </c>
      <c r="R20" s="5"/>
      <c r="S20" s="5"/>
      <c r="T20" s="5"/>
      <c r="U20" s="5"/>
      <c r="V20" s="5"/>
      <c r="W20" s="5"/>
      <c r="X20" s="5"/>
      <c r="Y20" s="5" t="s">
        <v>181</v>
      </c>
      <c r="Z20" s="5" t="s">
        <v>182</v>
      </c>
      <c r="AA20" s="5" t="s">
        <v>183</v>
      </c>
      <c r="AB20" s="5" t="s">
        <v>45</v>
      </c>
      <c r="AC20" s="5"/>
      <c r="AD20" s="5"/>
      <c r="AE20" s="5"/>
      <c r="AF20" s="8"/>
      <c r="AG20" s="9">
        <f t="shared" si="0"/>
        <v>43262</v>
      </c>
    </row>
    <row r="21" s="6" customFormat="1" spans="1:33">
      <c r="A21" s="5" t="s">
        <v>184</v>
      </c>
      <c r="B21" s="5" t="s">
        <v>184</v>
      </c>
      <c r="C21" s="5" t="s">
        <v>185</v>
      </c>
      <c r="D21" s="5" t="s">
        <v>186</v>
      </c>
      <c r="E21" s="5" t="s">
        <v>35</v>
      </c>
      <c r="F21" s="5" t="s">
        <v>36</v>
      </c>
      <c r="G21" s="5" t="s">
        <v>37</v>
      </c>
      <c r="H21" s="5"/>
      <c r="I21" s="5"/>
      <c r="J21" s="5" t="s">
        <v>59</v>
      </c>
      <c r="K21" s="5" t="s">
        <v>187</v>
      </c>
      <c r="L21" s="5" t="s">
        <v>188</v>
      </c>
      <c r="M21" s="5" t="s">
        <v>189</v>
      </c>
      <c r="N21" s="5" t="s">
        <v>35</v>
      </c>
      <c r="O21" s="5">
        <v>1</v>
      </c>
      <c r="P21" s="5" t="s">
        <v>42</v>
      </c>
      <c r="Q21" s="5">
        <v>9.99</v>
      </c>
      <c r="R21" s="5"/>
      <c r="S21" s="5"/>
      <c r="T21" s="5"/>
      <c r="U21" s="5"/>
      <c r="V21" s="5"/>
      <c r="W21" s="5"/>
      <c r="X21" s="5"/>
      <c r="Y21" s="5" t="s">
        <v>190</v>
      </c>
      <c r="Z21" s="5" t="s">
        <v>191</v>
      </c>
      <c r="AA21" s="5" t="s">
        <v>192</v>
      </c>
      <c r="AB21" s="5" t="s">
        <v>45</v>
      </c>
      <c r="AC21" s="5"/>
      <c r="AD21" s="5"/>
      <c r="AE21" s="5"/>
      <c r="AF21" s="8"/>
      <c r="AG21" s="9">
        <f t="shared" si="0"/>
        <v>43263</v>
      </c>
    </row>
    <row r="22" s="6" customFormat="1" spans="1:33">
      <c r="A22" s="5" t="s">
        <v>193</v>
      </c>
      <c r="B22" s="5" t="s">
        <v>193</v>
      </c>
      <c r="C22" s="5" t="s">
        <v>194</v>
      </c>
      <c r="D22" s="5" t="s">
        <v>195</v>
      </c>
      <c r="E22" s="5" t="s">
        <v>35</v>
      </c>
      <c r="F22" s="5" t="s">
        <v>36</v>
      </c>
      <c r="G22" s="5" t="s">
        <v>37</v>
      </c>
      <c r="H22" s="5"/>
      <c r="I22" s="5"/>
      <c r="J22" s="5" t="s">
        <v>59</v>
      </c>
      <c r="K22" s="5" t="s">
        <v>94</v>
      </c>
      <c r="L22" s="5" t="s">
        <v>95</v>
      </c>
      <c r="M22" s="5" t="s">
        <v>96</v>
      </c>
      <c r="N22" s="5" t="s">
        <v>35</v>
      </c>
      <c r="O22" s="5">
        <v>1</v>
      </c>
      <c r="P22" s="5" t="s">
        <v>42</v>
      </c>
      <c r="Q22" s="5">
        <v>14.99</v>
      </c>
      <c r="R22" s="5"/>
      <c r="S22" s="5"/>
      <c r="T22" s="5"/>
      <c r="U22" s="5"/>
      <c r="V22" s="5"/>
      <c r="W22" s="5"/>
      <c r="X22" s="5"/>
      <c r="Y22" s="5" t="s">
        <v>196</v>
      </c>
      <c r="Z22" s="5" t="s">
        <v>197</v>
      </c>
      <c r="AA22" s="5" t="s">
        <v>198</v>
      </c>
      <c r="AB22" s="5" t="s">
        <v>45</v>
      </c>
      <c r="AC22" s="5"/>
      <c r="AD22" s="5"/>
      <c r="AE22" s="5"/>
      <c r="AF22" s="8"/>
      <c r="AG22" s="9">
        <f t="shared" si="0"/>
        <v>43263</v>
      </c>
    </row>
    <row r="23" s="6" customFormat="1" spans="1:33">
      <c r="A23" s="5" t="s">
        <v>199</v>
      </c>
      <c r="B23" s="5" t="s">
        <v>199</v>
      </c>
      <c r="C23" s="5" t="s">
        <v>200</v>
      </c>
      <c r="D23" s="5" t="s">
        <v>201</v>
      </c>
      <c r="E23" s="5" t="s">
        <v>35</v>
      </c>
      <c r="F23" s="5" t="s">
        <v>36</v>
      </c>
      <c r="G23" s="5" t="s">
        <v>37</v>
      </c>
      <c r="H23" s="5"/>
      <c r="I23" s="5"/>
      <c r="J23" s="5" t="s">
        <v>59</v>
      </c>
      <c r="K23" s="5" t="s">
        <v>50</v>
      </c>
      <c r="L23" s="5" t="s">
        <v>51</v>
      </c>
      <c r="M23" s="5" t="s">
        <v>52</v>
      </c>
      <c r="N23" s="5" t="s">
        <v>35</v>
      </c>
      <c r="O23" s="5">
        <v>1</v>
      </c>
      <c r="P23" s="5" t="s">
        <v>42</v>
      </c>
      <c r="Q23" s="5">
        <v>7</v>
      </c>
      <c r="R23" s="5"/>
      <c r="S23" s="5"/>
      <c r="T23" s="5"/>
      <c r="U23" s="5"/>
      <c r="V23" s="5"/>
      <c r="W23" s="5"/>
      <c r="X23" s="5"/>
      <c r="Y23" s="5" t="s">
        <v>202</v>
      </c>
      <c r="Z23" s="5" t="s">
        <v>153</v>
      </c>
      <c r="AA23" s="5" t="s">
        <v>203</v>
      </c>
      <c r="AB23" s="5" t="s">
        <v>45</v>
      </c>
      <c r="AC23" s="5"/>
      <c r="AD23" s="5"/>
      <c r="AE23" s="5"/>
      <c r="AF23" s="8"/>
      <c r="AG23" s="9">
        <f t="shared" si="0"/>
        <v>43263</v>
      </c>
    </row>
    <row r="24" s="6" customFormat="1" spans="1:33">
      <c r="A24" s="5" t="s">
        <v>204</v>
      </c>
      <c r="B24" s="5" t="s">
        <v>204</v>
      </c>
      <c r="C24" s="5" t="s">
        <v>205</v>
      </c>
      <c r="D24" s="5" t="s">
        <v>206</v>
      </c>
      <c r="E24" s="5" t="s">
        <v>35</v>
      </c>
      <c r="F24" s="5" t="s">
        <v>36</v>
      </c>
      <c r="G24" s="5" t="s">
        <v>37</v>
      </c>
      <c r="H24" s="5"/>
      <c r="I24" s="5"/>
      <c r="J24" s="5" t="s">
        <v>59</v>
      </c>
      <c r="K24" s="5" t="s">
        <v>207</v>
      </c>
      <c r="L24" s="5" t="s">
        <v>208</v>
      </c>
      <c r="M24" s="5" t="s">
        <v>209</v>
      </c>
      <c r="N24" s="5" t="s">
        <v>35</v>
      </c>
      <c r="O24" s="5">
        <v>1</v>
      </c>
      <c r="P24" s="5" t="s">
        <v>42</v>
      </c>
      <c r="Q24" s="5">
        <v>21.98</v>
      </c>
      <c r="R24" s="5"/>
      <c r="S24" s="5"/>
      <c r="T24" s="5"/>
      <c r="U24" s="5"/>
      <c r="V24" s="5"/>
      <c r="W24" s="5">
        <v>4.4</v>
      </c>
      <c r="X24" s="5"/>
      <c r="Y24" s="5" t="s">
        <v>210</v>
      </c>
      <c r="Z24" s="5" t="s">
        <v>211</v>
      </c>
      <c r="AA24" s="5" t="s">
        <v>212</v>
      </c>
      <c r="AB24" s="5" t="s">
        <v>45</v>
      </c>
      <c r="AC24" s="5" t="s">
        <v>213</v>
      </c>
      <c r="AD24" s="5"/>
      <c r="AE24" s="5"/>
      <c r="AF24" s="8"/>
      <c r="AG24" s="9">
        <f t="shared" si="0"/>
        <v>43263</v>
      </c>
    </row>
    <row r="25" s="6" customFormat="1" spans="1:33">
      <c r="A25" s="5" t="s">
        <v>214</v>
      </c>
      <c r="B25" s="5" t="s">
        <v>214</v>
      </c>
      <c r="C25" s="5" t="s">
        <v>215</v>
      </c>
      <c r="D25" s="5" t="s">
        <v>216</v>
      </c>
      <c r="E25" s="5" t="s">
        <v>35</v>
      </c>
      <c r="F25" s="5" t="s">
        <v>36</v>
      </c>
      <c r="G25" s="5" t="s">
        <v>37</v>
      </c>
      <c r="H25" s="5"/>
      <c r="I25" s="5"/>
      <c r="J25" s="5" t="s">
        <v>59</v>
      </c>
      <c r="K25" s="5" t="s">
        <v>50</v>
      </c>
      <c r="L25" s="5" t="s">
        <v>51</v>
      </c>
      <c r="M25" s="5" t="s">
        <v>52</v>
      </c>
      <c r="N25" s="5" t="s">
        <v>35</v>
      </c>
      <c r="O25" s="5">
        <v>1</v>
      </c>
      <c r="P25" s="5" t="s">
        <v>42</v>
      </c>
      <c r="Q25" s="5">
        <v>7</v>
      </c>
      <c r="R25" s="5"/>
      <c r="S25" s="5"/>
      <c r="T25" s="5"/>
      <c r="U25" s="5"/>
      <c r="V25" s="5"/>
      <c r="W25" s="5"/>
      <c r="X25" s="5"/>
      <c r="Y25" s="5" t="s">
        <v>217</v>
      </c>
      <c r="Z25" s="5" t="s">
        <v>218</v>
      </c>
      <c r="AA25" s="5">
        <v>7031</v>
      </c>
      <c r="AB25" s="5" t="s">
        <v>45</v>
      </c>
      <c r="AC25" s="5"/>
      <c r="AD25" s="5"/>
      <c r="AE25" s="5"/>
      <c r="AF25" s="8"/>
      <c r="AG25" s="9">
        <f t="shared" si="0"/>
        <v>43263</v>
      </c>
    </row>
    <row r="26" s="6" customFormat="1" spans="1:33">
      <c r="A26" s="5" t="s">
        <v>219</v>
      </c>
      <c r="B26" s="5" t="s">
        <v>219</v>
      </c>
      <c r="C26" s="5" t="s">
        <v>220</v>
      </c>
      <c r="D26" s="5" t="s">
        <v>221</v>
      </c>
      <c r="E26" s="5" t="s">
        <v>35</v>
      </c>
      <c r="F26" s="5" t="s">
        <v>36</v>
      </c>
      <c r="G26" s="5" t="s">
        <v>37</v>
      </c>
      <c r="H26" s="5"/>
      <c r="I26" s="5"/>
      <c r="J26" s="5" t="s">
        <v>59</v>
      </c>
      <c r="K26" s="5" t="s">
        <v>114</v>
      </c>
      <c r="L26" s="5" t="s">
        <v>222</v>
      </c>
      <c r="M26" s="5" t="s">
        <v>223</v>
      </c>
      <c r="N26" s="5" t="s">
        <v>35</v>
      </c>
      <c r="O26" s="5">
        <v>1</v>
      </c>
      <c r="P26" s="5" t="s">
        <v>42</v>
      </c>
      <c r="Q26" s="5">
        <v>13.99</v>
      </c>
      <c r="R26" s="5"/>
      <c r="S26" s="5"/>
      <c r="T26" s="5"/>
      <c r="U26" s="5"/>
      <c r="V26" s="5"/>
      <c r="W26" s="5"/>
      <c r="X26" s="5"/>
      <c r="Y26" s="5" t="s">
        <v>224</v>
      </c>
      <c r="Z26" s="5" t="s">
        <v>64</v>
      </c>
      <c r="AA26" s="5" t="s">
        <v>225</v>
      </c>
      <c r="AB26" s="5" t="s">
        <v>45</v>
      </c>
      <c r="AC26" s="5"/>
      <c r="AD26" s="5"/>
      <c r="AE26" s="5"/>
      <c r="AF26" s="8"/>
      <c r="AG26" s="9">
        <f t="shared" si="0"/>
        <v>43263</v>
      </c>
    </row>
    <row r="27" s="6" customFormat="1" spans="1:33">
      <c r="A27" s="5" t="s">
        <v>226</v>
      </c>
      <c r="B27" s="5" t="s">
        <v>226</v>
      </c>
      <c r="C27" s="5" t="s">
        <v>227</v>
      </c>
      <c r="D27" s="5" t="s">
        <v>228</v>
      </c>
      <c r="E27" s="5" t="s">
        <v>35</v>
      </c>
      <c r="F27" s="5" t="s">
        <v>36</v>
      </c>
      <c r="G27" s="5" t="s">
        <v>37</v>
      </c>
      <c r="H27" s="5"/>
      <c r="I27" s="5"/>
      <c r="J27" s="5" t="s">
        <v>59</v>
      </c>
      <c r="K27" s="5" t="s">
        <v>50</v>
      </c>
      <c r="L27" s="5" t="s">
        <v>51</v>
      </c>
      <c r="M27" s="5" t="s">
        <v>52</v>
      </c>
      <c r="N27" s="5" t="s">
        <v>35</v>
      </c>
      <c r="O27" s="5">
        <v>1</v>
      </c>
      <c r="P27" s="5" t="s">
        <v>42</v>
      </c>
      <c r="Q27" s="5">
        <v>7</v>
      </c>
      <c r="R27" s="5"/>
      <c r="S27" s="5"/>
      <c r="T27" s="5"/>
      <c r="U27" s="5"/>
      <c r="V27" s="5"/>
      <c r="W27" s="5"/>
      <c r="X27" s="5"/>
      <c r="Y27" s="5" t="s">
        <v>229</v>
      </c>
      <c r="Z27" s="5" t="s">
        <v>230</v>
      </c>
      <c r="AA27" s="5" t="s">
        <v>231</v>
      </c>
      <c r="AB27" s="5" t="s">
        <v>45</v>
      </c>
      <c r="AC27" s="5"/>
      <c r="AD27" s="5"/>
      <c r="AE27" s="5"/>
      <c r="AF27" s="8"/>
      <c r="AG27" s="9">
        <f t="shared" si="0"/>
        <v>43263</v>
      </c>
    </row>
    <row r="28" s="6" customFormat="1" spans="1:33">
      <c r="A28" s="5" t="s">
        <v>232</v>
      </c>
      <c r="B28" s="5" t="s">
        <v>232</v>
      </c>
      <c r="C28" s="5" t="s">
        <v>233</v>
      </c>
      <c r="D28" s="5" t="s">
        <v>234</v>
      </c>
      <c r="E28" s="5" t="s">
        <v>35</v>
      </c>
      <c r="F28" s="5" t="s">
        <v>36</v>
      </c>
      <c r="G28" s="5" t="s">
        <v>37</v>
      </c>
      <c r="H28" s="5"/>
      <c r="I28" s="5"/>
      <c r="J28" s="5" t="s">
        <v>59</v>
      </c>
      <c r="K28" s="5" t="s">
        <v>77</v>
      </c>
      <c r="L28" s="5" t="s">
        <v>78</v>
      </c>
      <c r="M28" s="5" t="s">
        <v>79</v>
      </c>
      <c r="N28" s="5" t="s">
        <v>35</v>
      </c>
      <c r="O28" s="5">
        <v>1</v>
      </c>
      <c r="P28" s="5" t="s">
        <v>42</v>
      </c>
      <c r="Q28" s="5">
        <v>8.99</v>
      </c>
      <c r="R28" s="5"/>
      <c r="S28" s="5"/>
      <c r="T28" s="5"/>
      <c r="U28" s="5"/>
      <c r="V28" s="5"/>
      <c r="W28" s="5"/>
      <c r="X28" s="5"/>
      <c r="Y28" s="5" t="s">
        <v>235</v>
      </c>
      <c r="Z28" s="5" t="s">
        <v>153</v>
      </c>
      <c r="AA28" s="5" t="s">
        <v>236</v>
      </c>
      <c r="AB28" s="5" t="s">
        <v>45</v>
      </c>
      <c r="AC28" s="5"/>
      <c r="AD28" s="5"/>
      <c r="AE28" s="5"/>
      <c r="AF28" s="8"/>
      <c r="AG28" s="9">
        <f t="shared" si="0"/>
        <v>43263</v>
      </c>
    </row>
    <row r="29" s="6" customFormat="1" spans="1:33">
      <c r="A29" s="5" t="s">
        <v>237</v>
      </c>
      <c r="B29" s="5" t="s">
        <v>237</v>
      </c>
      <c r="C29" s="5" t="s">
        <v>238</v>
      </c>
      <c r="D29" s="5" t="s">
        <v>239</v>
      </c>
      <c r="E29" s="5" t="s">
        <v>35</v>
      </c>
      <c r="F29" s="5" t="s">
        <v>36</v>
      </c>
      <c r="G29" s="5" t="s">
        <v>37</v>
      </c>
      <c r="H29" s="5"/>
      <c r="I29" s="5"/>
      <c r="J29" s="5" t="s">
        <v>59</v>
      </c>
      <c r="K29" s="5" t="s">
        <v>240</v>
      </c>
      <c r="L29" s="5" t="s">
        <v>241</v>
      </c>
      <c r="M29" s="5" t="s">
        <v>242</v>
      </c>
      <c r="N29" s="5" t="s">
        <v>35</v>
      </c>
      <c r="O29" s="5">
        <v>1</v>
      </c>
      <c r="P29" s="5" t="s">
        <v>42</v>
      </c>
      <c r="Q29" s="5">
        <v>11.33</v>
      </c>
      <c r="R29" s="5"/>
      <c r="S29" s="5"/>
      <c r="T29" s="5"/>
      <c r="U29" s="5"/>
      <c r="V29" s="5"/>
      <c r="W29" s="5"/>
      <c r="X29" s="5"/>
      <c r="Y29" s="5" t="s">
        <v>243</v>
      </c>
      <c r="Z29" s="5" t="s">
        <v>244</v>
      </c>
      <c r="AA29" s="5" t="s">
        <v>245</v>
      </c>
      <c r="AB29" s="5" t="s">
        <v>45</v>
      </c>
      <c r="AC29" s="5"/>
      <c r="AD29" s="5"/>
      <c r="AE29" s="5"/>
      <c r="AF29" s="8"/>
      <c r="AG29" s="9">
        <f t="shared" si="0"/>
        <v>43263</v>
      </c>
    </row>
    <row r="30" s="6" customFormat="1" spans="1:33">
      <c r="A30" s="5" t="s">
        <v>246</v>
      </c>
      <c r="B30" s="5" t="s">
        <v>246</v>
      </c>
      <c r="C30" s="5" t="s">
        <v>247</v>
      </c>
      <c r="D30" s="5" t="s">
        <v>248</v>
      </c>
      <c r="E30" s="5" t="s">
        <v>35</v>
      </c>
      <c r="F30" s="5" t="s">
        <v>36</v>
      </c>
      <c r="G30" s="5" t="s">
        <v>37</v>
      </c>
      <c r="H30" s="5"/>
      <c r="I30" s="5"/>
      <c r="J30" s="5" t="s">
        <v>59</v>
      </c>
      <c r="K30" s="5" t="s">
        <v>249</v>
      </c>
      <c r="L30" s="5" t="s">
        <v>250</v>
      </c>
      <c r="M30" s="5" t="s">
        <v>251</v>
      </c>
      <c r="N30" s="5" t="s">
        <v>35</v>
      </c>
      <c r="O30" s="5">
        <v>1</v>
      </c>
      <c r="P30" s="5" t="s">
        <v>42</v>
      </c>
      <c r="Q30" s="5">
        <v>15</v>
      </c>
      <c r="R30" s="5"/>
      <c r="S30" s="5"/>
      <c r="T30" s="5"/>
      <c r="U30" s="5"/>
      <c r="V30" s="5"/>
      <c r="W30" s="5"/>
      <c r="X30" s="5"/>
      <c r="Y30" s="5" t="s">
        <v>252</v>
      </c>
      <c r="Z30" s="5" t="s">
        <v>211</v>
      </c>
      <c r="AA30" s="5" t="s">
        <v>253</v>
      </c>
      <c r="AB30" s="5" t="s">
        <v>45</v>
      </c>
      <c r="AC30" s="5"/>
      <c r="AD30" s="5"/>
      <c r="AE30" s="5"/>
      <c r="AF30" s="8"/>
      <c r="AG30" s="9">
        <f t="shared" si="0"/>
        <v>43263</v>
      </c>
    </row>
    <row r="31" s="6" customFormat="1" spans="1:33">
      <c r="A31" s="5" t="s">
        <v>254</v>
      </c>
      <c r="B31" s="5" t="s">
        <v>254</v>
      </c>
      <c r="C31" s="5" t="s">
        <v>255</v>
      </c>
      <c r="D31" s="5" t="s">
        <v>256</v>
      </c>
      <c r="E31" s="5" t="s">
        <v>35</v>
      </c>
      <c r="F31" s="5" t="s">
        <v>36</v>
      </c>
      <c r="G31" s="5" t="s">
        <v>37</v>
      </c>
      <c r="H31" s="5"/>
      <c r="I31" s="5"/>
      <c r="J31" s="5" t="s">
        <v>59</v>
      </c>
      <c r="K31" s="5" t="s">
        <v>257</v>
      </c>
      <c r="L31" s="5" t="s">
        <v>258</v>
      </c>
      <c r="M31" s="5" t="s">
        <v>259</v>
      </c>
      <c r="N31" s="5" t="s">
        <v>35</v>
      </c>
      <c r="O31" s="5">
        <v>1</v>
      </c>
      <c r="P31" s="5" t="s">
        <v>42</v>
      </c>
      <c r="Q31" s="5">
        <v>8.99</v>
      </c>
      <c r="R31" s="5"/>
      <c r="S31" s="5"/>
      <c r="T31" s="5"/>
      <c r="U31" s="5"/>
      <c r="V31" s="5"/>
      <c r="W31" s="5"/>
      <c r="X31" s="5"/>
      <c r="Y31" s="5" t="s">
        <v>260</v>
      </c>
      <c r="Z31" s="5" t="s">
        <v>81</v>
      </c>
      <c r="AA31" s="5" t="s">
        <v>261</v>
      </c>
      <c r="AB31" s="5" t="s">
        <v>45</v>
      </c>
      <c r="AC31" s="5"/>
      <c r="AD31" s="5"/>
      <c r="AE31" s="5"/>
      <c r="AF31" s="8"/>
      <c r="AG31" s="9">
        <f t="shared" si="0"/>
        <v>43263</v>
      </c>
    </row>
    <row r="32" s="6" customFormat="1" spans="1:33">
      <c r="A32" s="5" t="s">
        <v>262</v>
      </c>
      <c r="B32" s="5" t="s">
        <v>262</v>
      </c>
      <c r="C32" s="5" t="s">
        <v>263</v>
      </c>
      <c r="D32" s="5" t="s">
        <v>264</v>
      </c>
      <c r="E32" s="5" t="s">
        <v>35</v>
      </c>
      <c r="F32" s="5" t="s">
        <v>36</v>
      </c>
      <c r="G32" s="5" t="s">
        <v>37</v>
      </c>
      <c r="H32" s="5"/>
      <c r="I32" s="5"/>
      <c r="J32" s="5" t="s">
        <v>59</v>
      </c>
      <c r="K32" s="5" t="s">
        <v>265</v>
      </c>
      <c r="L32" s="5" t="s">
        <v>266</v>
      </c>
      <c r="M32" s="5" t="s">
        <v>267</v>
      </c>
      <c r="N32" s="5" t="s">
        <v>35</v>
      </c>
      <c r="O32" s="5">
        <v>1</v>
      </c>
      <c r="P32" s="5" t="s">
        <v>42</v>
      </c>
      <c r="Q32" s="5">
        <v>15.99</v>
      </c>
      <c r="R32" s="5"/>
      <c r="S32" s="5"/>
      <c r="T32" s="5"/>
      <c r="U32" s="5"/>
      <c r="V32" s="5"/>
      <c r="W32" s="5"/>
      <c r="X32" s="5"/>
      <c r="Y32" s="5" t="s">
        <v>268</v>
      </c>
      <c r="Z32" s="5" t="s">
        <v>269</v>
      </c>
      <c r="AA32" s="5" t="s">
        <v>270</v>
      </c>
      <c r="AB32" s="5" t="s">
        <v>45</v>
      </c>
      <c r="AC32" s="5"/>
      <c r="AD32" s="5"/>
      <c r="AE32" s="5"/>
      <c r="AF32" s="8"/>
      <c r="AG32" s="9">
        <f t="shared" si="0"/>
        <v>43263</v>
      </c>
    </row>
    <row r="33" s="6" customFormat="1" spans="1:33">
      <c r="A33" s="5" t="s">
        <v>271</v>
      </c>
      <c r="B33" s="5" t="s">
        <v>271</v>
      </c>
      <c r="C33" s="5" t="s">
        <v>272</v>
      </c>
      <c r="D33" s="5" t="s">
        <v>273</v>
      </c>
      <c r="E33" s="5" t="s">
        <v>274</v>
      </c>
      <c r="F33" s="5" t="s">
        <v>36</v>
      </c>
      <c r="G33" s="5" t="s">
        <v>37</v>
      </c>
      <c r="H33" s="5"/>
      <c r="I33" s="5"/>
      <c r="J33" s="5" t="s">
        <v>59</v>
      </c>
      <c r="K33" s="5" t="s">
        <v>60</v>
      </c>
      <c r="L33" s="5" t="s">
        <v>61</v>
      </c>
      <c r="M33" s="5" t="s">
        <v>62</v>
      </c>
      <c r="N33" s="5" t="s">
        <v>275</v>
      </c>
      <c r="O33" s="5">
        <v>1</v>
      </c>
      <c r="P33" s="5" t="s">
        <v>42</v>
      </c>
      <c r="Q33" s="5">
        <v>9.99</v>
      </c>
      <c r="R33" s="5"/>
      <c r="S33" s="5"/>
      <c r="T33" s="5"/>
      <c r="U33" s="5"/>
      <c r="V33" s="5"/>
      <c r="W33" s="5"/>
      <c r="X33" s="5"/>
      <c r="Y33" s="5" t="s">
        <v>276</v>
      </c>
      <c r="Z33" s="5" t="s">
        <v>153</v>
      </c>
      <c r="AA33" s="5" t="s">
        <v>277</v>
      </c>
      <c r="AB33" s="5" t="s">
        <v>45</v>
      </c>
      <c r="AC33" s="5"/>
      <c r="AD33" s="5"/>
      <c r="AE33" s="5"/>
      <c r="AF33" s="8"/>
      <c r="AG33" s="9">
        <f t="shared" si="0"/>
        <v>43263</v>
      </c>
    </row>
    <row r="34" s="6" customFormat="1" spans="1:33">
      <c r="A34" s="5" t="s">
        <v>278</v>
      </c>
      <c r="B34" s="5" t="s">
        <v>278</v>
      </c>
      <c r="C34" s="5" t="s">
        <v>279</v>
      </c>
      <c r="D34" s="5" t="s">
        <v>280</v>
      </c>
      <c r="E34" s="5" t="s">
        <v>35</v>
      </c>
      <c r="F34" s="5" t="s">
        <v>36</v>
      </c>
      <c r="G34" s="5" t="s">
        <v>37</v>
      </c>
      <c r="H34" s="5"/>
      <c r="I34" s="5"/>
      <c r="J34" s="5" t="s">
        <v>38</v>
      </c>
      <c r="K34" s="5" t="s">
        <v>281</v>
      </c>
      <c r="L34" s="5" t="s">
        <v>282</v>
      </c>
      <c r="M34" s="5" t="s">
        <v>283</v>
      </c>
      <c r="N34" s="5" t="s">
        <v>35</v>
      </c>
      <c r="O34" s="5">
        <v>1</v>
      </c>
      <c r="P34" s="5" t="s">
        <v>42</v>
      </c>
      <c r="Q34" s="5">
        <v>9.99</v>
      </c>
      <c r="R34" s="5"/>
      <c r="S34" s="5"/>
      <c r="T34" s="5"/>
      <c r="U34" s="5"/>
      <c r="V34" s="5"/>
      <c r="W34" s="5"/>
      <c r="X34" s="5"/>
      <c r="Y34" s="5" t="s">
        <v>284</v>
      </c>
      <c r="Z34" s="5" t="s">
        <v>153</v>
      </c>
      <c r="AA34" s="5" t="s">
        <v>285</v>
      </c>
      <c r="AB34" s="5" t="s">
        <v>45</v>
      </c>
      <c r="AC34" s="5"/>
      <c r="AD34" s="5"/>
      <c r="AE34" s="5"/>
      <c r="AF34" s="8"/>
      <c r="AG34" s="9">
        <f t="shared" si="0"/>
        <v>43263</v>
      </c>
    </row>
    <row r="35" s="6" customFormat="1" spans="1:33">
      <c r="A35" s="5" t="s">
        <v>286</v>
      </c>
      <c r="B35" s="5" t="s">
        <v>286</v>
      </c>
      <c r="C35" s="5" t="s">
        <v>287</v>
      </c>
      <c r="D35" s="5" t="s">
        <v>288</v>
      </c>
      <c r="E35" s="5" t="s">
        <v>35</v>
      </c>
      <c r="F35" s="5" t="s">
        <v>36</v>
      </c>
      <c r="G35" s="5" t="s">
        <v>37</v>
      </c>
      <c r="H35" s="5"/>
      <c r="I35" s="5"/>
      <c r="J35" s="5" t="s">
        <v>59</v>
      </c>
      <c r="K35" s="5" t="s">
        <v>50</v>
      </c>
      <c r="L35" s="5" t="s">
        <v>51</v>
      </c>
      <c r="M35" s="5" t="s">
        <v>52</v>
      </c>
      <c r="N35" s="5" t="s">
        <v>35</v>
      </c>
      <c r="O35" s="5">
        <v>1</v>
      </c>
      <c r="P35" s="5" t="s">
        <v>42</v>
      </c>
      <c r="Q35" s="5">
        <v>7</v>
      </c>
      <c r="R35" s="5"/>
      <c r="S35" s="5"/>
      <c r="T35" s="5"/>
      <c r="U35" s="5"/>
      <c r="V35" s="5"/>
      <c r="W35" s="5"/>
      <c r="X35" s="5"/>
      <c r="Y35" s="5" t="s">
        <v>289</v>
      </c>
      <c r="Z35" s="5" t="s">
        <v>290</v>
      </c>
      <c r="AA35" s="5">
        <v>46723</v>
      </c>
      <c r="AB35" s="5" t="s">
        <v>45</v>
      </c>
      <c r="AC35" s="5"/>
      <c r="AD35" s="5"/>
      <c r="AE35" s="5"/>
      <c r="AF35" s="8"/>
      <c r="AG35" s="9">
        <f t="shared" si="0"/>
        <v>43263</v>
      </c>
    </row>
    <row r="36" s="6" customFormat="1" spans="1:33">
      <c r="A36" s="5" t="s">
        <v>291</v>
      </c>
      <c r="B36" s="5" t="s">
        <v>291</v>
      </c>
      <c r="C36" s="5" t="s">
        <v>292</v>
      </c>
      <c r="D36" s="5" t="s">
        <v>293</v>
      </c>
      <c r="E36" s="5" t="s">
        <v>35</v>
      </c>
      <c r="F36" s="5" t="s">
        <v>36</v>
      </c>
      <c r="G36" s="5" t="s">
        <v>37</v>
      </c>
      <c r="H36" s="5"/>
      <c r="I36" s="5"/>
      <c r="J36" s="5" t="s">
        <v>49</v>
      </c>
      <c r="K36" s="5" t="s">
        <v>281</v>
      </c>
      <c r="L36" s="5" t="s">
        <v>282</v>
      </c>
      <c r="M36" s="5" t="s">
        <v>283</v>
      </c>
      <c r="N36" s="5" t="s">
        <v>35</v>
      </c>
      <c r="O36" s="5">
        <v>1</v>
      </c>
      <c r="P36" s="5" t="s">
        <v>42</v>
      </c>
      <c r="Q36" s="5">
        <v>9.99</v>
      </c>
      <c r="R36" s="5"/>
      <c r="S36" s="5"/>
      <c r="T36" s="5"/>
      <c r="U36" s="5"/>
      <c r="V36" s="5"/>
      <c r="W36" s="5"/>
      <c r="X36" s="5"/>
      <c r="Y36" s="5" t="s">
        <v>294</v>
      </c>
      <c r="Z36" s="5" t="s">
        <v>153</v>
      </c>
      <c r="AA36" s="5" t="s">
        <v>295</v>
      </c>
      <c r="AB36" s="5" t="s">
        <v>45</v>
      </c>
      <c r="AC36" s="5"/>
      <c r="AD36" s="5"/>
      <c r="AE36" s="5"/>
      <c r="AF36" s="8"/>
      <c r="AG36" s="9">
        <f t="shared" si="0"/>
        <v>43263</v>
      </c>
    </row>
    <row r="37" s="6" customFormat="1" spans="1:33">
      <c r="A37" s="5" t="s">
        <v>296</v>
      </c>
      <c r="B37" s="5" t="s">
        <v>296</v>
      </c>
      <c r="C37" s="5" t="s">
        <v>297</v>
      </c>
      <c r="D37" s="5" t="s">
        <v>298</v>
      </c>
      <c r="E37" s="5" t="s">
        <v>35</v>
      </c>
      <c r="F37" s="5" t="s">
        <v>36</v>
      </c>
      <c r="G37" s="5" t="s">
        <v>37</v>
      </c>
      <c r="H37" s="5"/>
      <c r="I37" s="5"/>
      <c r="J37" s="5" t="s">
        <v>59</v>
      </c>
      <c r="K37" s="5" t="s">
        <v>103</v>
      </c>
      <c r="L37" s="5" t="s">
        <v>104</v>
      </c>
      <c r="M37" s="5" t="s">
        <v>105</v>
      </c>
      <c r="N37" s="5" t="s">
        <v>35</v>
      </c>
      <c r="O37" s="5">
        <v>1</v>
      </c>
      <c r="P37" s="5" t="s">
        <v>42</v>
      </c>
      <c r="Q37" s="5">
        <v>12.99</v>
      </c>
      <c r="R37" s="5"/>
      <c r="S37" s="5"/>
      <c r="T37" s="5"/>
      <c r="U37" s="5"/>
      <c r="V37" s="5"/>
      <c r="W37" s="5"/>
      <c r="X37" s="5"/>
      <c r="Y37" s="5" t="s">
        <v>299</v>
      </c>
      <c r="Z37" s="5" t="s">
        <v>191</v>
      </c>
      <c r="AA37" s="5" t="s">
        <v>300</v>
      </c>
      <c r="AB37" s="5" t="s">
        <v>45</v>
      </c>
      <c r="AC37" s="5"/>
      <c r="AD37" s="5"/>
      <c r="AE37" s="5"/>
      <c r="AG37" s="9">
        <f t="shared" si="0"/>
        <v>43263</v>
      </c>
    </row>
    <row r="38" s="6" customFormat="1" spans="1:33">
      <c r="A38" s="5" t="s">
        <v>301</v>
      </c>
      <c r="B38" s="5" t="s">
        <v>301</v>
      </c>
      <c r="C38" s="5" t="s">
        <v>302</v>
      </c>
      <c r="D38" s="5" t="s">
        <v>303</v>
      </c>
      <c r="E38" s="5" t="s">
        <v>35</v>
      </c>
      <c r="F38" s="5" t="s">
        <v>36</v>
      </c>
      <c r="G38" s="5" t="s">
        <v>37</v>
      </c>
      <c r="H38" s="5"/>
      <c r="I38" s="5"/>
      <c r="J38" s="5" t="s">
        <v>59</v>
      </c>
      <c r="K38" s="5" t="s">
        <v>103</v>
      </c>
      <c r="L38" s="5" t="s">
        <v>104</v>
      </c>
      <c r="M38" s="5" t="s">
        <v>105</v>
      </c>
      <c r="N38" s="5" t="s">
        <v>35</v>
      </c>
      <c r="O38" s="5">
        <v>1</v>
      </c>
      <c r="P38" s="5" t="s">
        <v>42</v>
      </c>
      <c r="Q38" s="5">
        <v>12.99</v>
      </c>
      <c r="R38" s="5"/>
      <c r="S38" s="5"/>
      <c r="T38" s="5"/>
      <c r="U38" s="5"/>
      <c r="V38" s="5"/>
      <c r="W38" s="5"/>
      <c r="X38" s="5"/>
      <c r="Y38" s="5" t="s">
        <v>304</v>
      </c>
      <c r="Z38" s="5" t="s">
        <v>153</v>
      </c>
      <c r="AA38" s="5" t="s">
        <v>305</v>
      </c>
      <c r="AB38" s="5" t="s">
        <v>45</v>
      </c>
      <c r="AC38" s="5"/>
      <c r="AD38" s="5"/>
      <c r="AE38" s="5"/>
      <c r="AG38" s="9">
        <f t="shared" si="0"/>
        <v>43263</v>
      </c>
    </row>
    <row r="39" s="6" customFormat="1" spans="1:33">
      <c r="A39" s="5" t="s">
        <v>306</v>
      </c>
      <c r="B39" s="5" t="s">
        <v>306</v>
      </c>
      <c r="C39" s="5" t="s">
        <v>307</v>
      </c>
      <c r="D39" s="5" t="s">
        <v>308</v>
      </c>
      <c r="E39" s="5" t="s">
        <v>35</v>
      </c>
      <c r="F39" s="5" t="s">
        <v>36</v>
      </c>
      <c r="G39" s="5" t="s">
        <v>37</v>
      </c>
      <c r="H39" s="5"/>
      <c r="I39" s="5"/>
      <c r="J39" s="5" t="s">
        <v>59</v>
      </c>
      <c r="K39" s="5" t="s">
        <v>309</v>
      </c>
      <c r="L39" s="5" t="s">
        <v>310</v>
      </c>
      <c r="M39" s="5" t="s">
        <v>311</v>
      </c>
      <c r="N39" s="5" t="s">
        <v>35</v>
      </c>
      <c r="O39" s="5">
        <v>1</v>
      </c>
      <c r="P39" s="5" t="s">
        <v>42</v>
      </c>
      <c r="Q39" s="5">
        <v>13.99</v>
      </c>
      <c r="R39" s="5"/>
      <c r="S39" s="5"/>
      <c r="T39" s="5"/>
      <c r="U39" s="5"/>
      <c r="V39" s="5"/>
      <c r="W39" s="5"/>
      <c r="X39" s="5"/>
      <c r="Y39" s="5" t="s">
        <v>312</v>
      </c>
      <c r="Z39" s="5" t="s">
        <v>153</v>
      </c>
      <c r="AA39" s="5" t="s">
        <v>313</v>
      </c>
      <c r="AB39" s="5" t="s">
        <v>45</v>
      </c>
      <c r="AC39" s="5"/>
      <c r="AD39" s="5"/>
      <c r="AE39" s="5"/>
      <c r="AG39" s="9">
        <f t="shared" si="0"/>
        <v>43264</v>
      </c>
    </row>
    <row r="40" s="6" customFormat="1" spans="1:33">
      <c r="A40" s="5" t="s">
        <v>314</v>
      </c>
      <c r="B40" s="5" t="s">
        <v>314</v>
      </c>
      <c r="C40" s="5" t="s">
        <v>315</v>
      </c>
      <c r="D40" s="5" t="s">
        <v>316</v>
      </c>
      <c r="E40" s="5" t="s">
        <v>35</v>
      </c>
      <c r="F40" s="5" t="s">
        <v>36</v>
      </c>
      <c r="G40" s="5" t="s">
        <v>37</v>
      </c>
      <c r="H40" s="5"/>
      <c r="I40" s="5"/>
      <c r="J40" s="5" t="s">
        <v>59</v>
      </c>
      <c r="K40" s="5" t="s">
        <v>94</v>
      </c>
      <c r="L40" s="5" t="s">
        <v>95</v>
      </c>
      <c r="M40" s="5" t="s">
        <v>96</v>
      </c>
      <c r="N40" s="5" t="s">
        <v>35</v>
      </c>
      <c r="O40" s="5">
        <v>1</v>
      </c>
      <c r="P40" s="5" t="s">
        <v>42</v>
      </c>
      <c r="Q40" s="5">
        <v>14.99</v>
      </c>
      <c r="R40" s="5"/>
      <c r="S40" s="5"/>
      <c r="T40" s="5"/>
      <c r="U40" s="5"/>
      <c r="V40" s="5"/>
      <c r="W40" s="5"/>
      <c r="X40" s="5"/>
      <c r="Y40" s="5" t="s">
        <v>317</v>
      </c>
      <c r="Z40" s="5" t="s">
        <v>153</v>
      </c>
      <c r="AA40" s="5" t="s">
        <v>318</v>
      </c>
      <c r="AB40" s="5" t="s">
        <v>45</v>
      </c>
      <c r="AC40" s="5"/>
      <c r="AD40" s="5"/>
      <c r="AE40" s="5"/>
      <c r="AG40" s="9">
        <f t="shared" si="0"/>
        <v>43264</v>
      </c>
    </row>
    <row r="41" s="6" customFormat="1" spans="1:33">
      <c r="A41" s="5" t="s">
        <v>319</v>
      </c>
      <c r="B41" s="5" t="s">
        <v>319</v>
      </c>
      <c r="C41" s="5" t="s">
        <v>320</v>
      </c>
      <c r="D41" s="5" t="s">
        <v>321</v>
      </c>
      <c r="E41" s="5" t="s">
        <v>35</v>
      </c>
      <c r="F41" s="5" t="s">
        <v>36</v>
      </c>
      <c r="G41" s="5" t="s">
        <v>37</v>
      </c>
      <c r="H41" s="5"/>
      <c r="I41" s="5"/>
      <c r="J41" s="5" t="s">
        <v>59</v>
      </c>
      <c r="K41" s="5" t="s">
        <v>50</v>
      </c>
      <c r="L41" s="5" t="s">
        <v>51</v>
      </c>
      <c r="M41" s="5" t="s">
        <v>52</v>
      </c>
      <c r="N41" s="5" t="s">
        <v>35</v>
      </c>
      <c r="O41" s="5">
        <v>1</v>
      </c>
      <c r="P41" s="5" t="s">
        <v>42</v>
      </c>
      <c r="Q41" s="5">
        <v>7</v>
      </c>
      <c r="R41" s="5"/>
      <c r="S41" s="5"/>
      <c r="T41" s="5"/>
      <c r="U41" s="5"/>
      <c r="V41" s="5"/>
      <c r="W41" s="5"/>
      <c r="X41" s="5"/>
      <c r="Y41" s="5" t="s">
        <v>322</v>
      </c>
      <c r="Z41" s="5" t="s">
        <v>54</v>
      </c>
      <c r="AA41" s="5">
        <v>78023</v>
      </c>
      <c r="AB41" s="5" t="s">
        <v>45</v>
      </c>
      <c r="AC41" s="5"/>
      <c r="AD41" s="5"/>
      <c r="AE41" s="5"/>
      <c r="AG41" s="9">
        <f t="shared" si="0"/>
        <v>43264</v>
      </c>
    </row>
    <row r="42" s="6" customFormat="1" spans="1:33">
      <c r="A42" s="5" t="s">
        <v>323</v>
      </c>
      <c r="B42" s="5" t="s">
        <v>323</v>
      </c>
      <c r="C42" s="5" t="s">
        <v>324</v>
      </c>
      <c r="D42" s="5" t="s">
        <v>325</v>
      </c>
      <c r="E42" s="5" t="s">
        <v>35</v>
      </c>
      <c r="F42" s="5" t="s">
        <v>36</v>
      </c>
      <c r="G42" s="5" t="s">
        <v>37</v>
      </c>
      <c r="H42" s="5"/>
      <c r="I42" s="5"/>
      <c r="J42" s="5" t="s">
        <v>38</v>
      </c>
      <c r="K42" s="5" t="s">
        <v>50</v>
      </c>
      <c r="L42" s="5" t="s">
        <v>51</v>
      </c>
      <c r="M42" s="5" t="s">
        <v>52</v>
      </c>
      <c r="N42" s="5" t="s">
        <v>35</v>
      </c>
      <c r="O42" s="5">
        <v>1</v>
      </c>
      <c r="P42" s="5" t="s">
        <v>42</v>
      </c>
      <c r="Q42" s="5">
        <v>7</v>
      </c>
      <c r="R42" s="5"/>
      <c r="S42" s="5">
        <v>1.89</v>
      </c>
      <c r="T42" s="5"/>
      <c r="U42" s="5"/>
      <c r="V42" s="5"/>
      <c r="W42" s="5"/>
      <c r="X42" s="5">
        <v>1.89</v>
      </c>
      <c r="Y42" s="5" t="s">
        <v>326</v>
      </c>
      <c r="Z42" s="5" t="s">
        <v>153</v>
      </c>
      <c r="AA42" s="5" t="s">
        <v>327</v>
      </c>
      <c r="AB42" s="5" t="s">
        <v>45</v>
      </c>
      <c r="AC42" s="5" t="s">
        <v>328</v>
      </c>
      <c r="AD42" s="5"/>
      <c r="AE42" s="5"/>
      <c r="AG42" s="9">
        <f t="shared" si="0"/>
        <v>43264</v>
      </c>
    </row>
    <row r="43" s="6" customFormat="1" spans="1:33">
      <c r="A43" s="5" t="s">
        <v>329</v>
      </c>
      <c r="B43" s="5" t="s">
        <v>329</v>
      </c>
      <c r="C43" s="5" t="s">
        <v>330</v>
      </c>
      <c r="D43" s="5" t="s">
        <v>331</v>
      </c>
      <c r="E43" s="5" t="s">
        <v>35</v>
      </c>
      <c r="F43" s="5" t="s">
        <v>36</v>
      </c>
      <c r="G43" s="5" t="s">
        <v>37</v>
      </c>
      <c r="H43" s="5"/>
      <c r="I43" s="5"/>
      <c r="J43" s="5" t="s">
        <v>59</v>
      </c>
      <c r="K43" s="5" t="s">
        <v>332</v>
      </c>
      <c r="L43" s="5" t="s">
        <v>333</v>
      </c>
      <c r="M43" s="5" t="s">
        <v>334</v>
      </c>
      <c r="N43" s="5" t="s">
        <v>35</v>
      </c>
      <c r="O43" s="5">
        <v>1</v>
      </c>
      <c r="P43" s="5" t="s">
        <v>42</v>
      </c>
      <c r="Q43" s="5">
        <v>13.23</v>
      </c>
      <c r="R43" s="5"/>
      <c r="S43" s="5"/>
      <c r="T43" s="5"/>
      <c r="U43" s="5"/>
      <c r="V43" s="5"/>
      <c r="W43" s="5"/>
      <c r="X43" s="5"/>
      <c r="Y43" s="5" t="s">
        <v>335</v>
      </c>
      <c r="Z43" s="5" t="s">
        <v>118</v>
      </c>
      <c r="AA43" s="5" t="s">
        <v>336</v>
      </c>
      <c r="AB43" s="5" t="s">
        <v>45</v>
      </c>
      <c r="AC43" s="5"/>
      <c r="AD43" s="5"/>
      <c r="AE43" s="5"/>
      <c r="AG43" s="9">
        <f t="shared" si="0"/>
        <v>43264</v>
      </c>
    </row>
    <row r="44" s="6" customFormat="1" spans="1:33">
      <c r="A44" s="5" t="s">
        <v>337</v>
      </c>
      <c r="B44" s="5" t="s">
        <v>337</v>
      </c>
      <c r="C44" s="5" t="s">
        <v>338</v>
      </c>
      <c r="D44" s="5" t="s">
        <v>339</v>
      </c>
      <c r="E44" s="5" t="s">
        <v>35</v>
      </c>
      <c r="F44" s="5" t="s">
        <v>36</v>
      </c>
      <c r="G44" s="5" t="s">
        <v>37</v>
      </c>
      <c r="H44" s="5"/>
      <c r="I44" s="5"/>
      <c r="J44" s="5" t="s">
        <v>59</v>
      </c>
      <c r="K44" s="5" t="s">
        <v>114</v>
      </c>
      <c r="L44" s="5" t="s">
        <v>115</v>
      </c>
      <c r="M44" s="5" t="s">
        <v>116</v>
      </c>
      <c r="N44" s="5" t="s">
        <v>35</v>
      </c>
      <c r="O44" s="5">
        <v>1</v>
      </c>
      <c r="P44" s="5" t="s">
        <v>42</v>
      </c>
      <c r="Q44" s="5">
        <v>13.99</v>
      </c>
      <c r="R44" s="5"/>
      <c r="S44" s="5"/>
      <c r="T44" s="5"/>
      <c r="U44" s="5"/>
      <c r="V44" s="5"/>
      <c r="W44" s="5"/>
      <c r="X44" s="5"/>
      <c r="Y44" s="5" t="s">
        <v>340</v>
      </c>
      <c r="Z44" s="5" t="s">
        <v>341</v>
      </c>
      <c r="AA44" s="5" t="s">
        <v>342</v>
      </c>
      <c r="AB44" s="5" t="s">
        <v>45</v>
      </c>
      <c r="AC44" s="5"/>
      <c r="AD44" s="5"/>
      <c r="AE44" s="5"/>
      <c r="AG44" s="9">
        <f t="shared" si="0"/>
        <v>43264</v>
      </c>
    </row>
    <row r="45" s="6" customFormat="1" spans="1:33">
      <c r="A45" s="5" t="s">
        <v>343</v>
      </c>
      <c r="B45" s="5" t="s">
        <v>343</v>
      </c>
      <c r="C45" s="5" t="s">
        <v>344</v>
      </c>
      <c r="D45" s="5" t="s">
        <v>345</v>
      </c>
      <c r="E45" s="5" t="s">
        <v>35</v>
      </c>
      <c r="F45" s="5" t="s">
        <v>36</v>
      </c>
      <c r="G45" s="5" t="s">
        <v>37</v>
      </c>
      <c r="H45" s="5"/>
      <c r="I45" s="5"/>
      <c r="J45" s="5" t="s">
        <v>59</v>
      </c>
      <c r="K45" s="5" t="s">
        <v>346</v>
      </c>
      <c r="L45" s="5" t="s">
        <v>347</v>
      </c>
      <c r="M45" s="5" t="s">
        <v>348</v>
      </c>
      <c r="N45" s="5" t="s">
        <v>35</v>
      </c>
      <c r="O45" s="5">
        <v>1</v>
      </c>
      <c r="P45" s="5" t="s">
        <v>42</v>
      </c>
      <c r="Q45" s="5">
        <v>12.99</v>
      </c>
      <c r="R45" s="5"/>
      <c r="S45" s="5"/>
      <c r="T45" s="5"/>
      <c r="U45" s="5"/>
      <c r="V45" s="5"/>
      <c r="W45" s="5"/>
      <c r="X45" s="5"/>
      <c r="Y45" s="5" t="s">
        <v>349</v>
      </c>
      <c r="Z45" s="5" t="s">
        <v>350</v>
      </c>
      <c r="AA45" s="5">
        <v>2896</v>
      </c>
      <c r="AB45" s="5" t="s">
        <v>45</v>
      </c>
      <c r="AC45" s="5"/>
      <c r="AD45" s="5"/>
      <c r="AE45" s="5"/>
      <c r="AG45" s="9">
        <f t="shared" si="0"/>
        <v>43264</v>
      </c>
    </row>
    <row r="46" s="6" customFormat="1" spans="1:33">
      <c r="A46" s="5" t="s">
        <v>351</v>
      </c>
      <c r="B46" s="5" t="s">
        <v>351</v>
      </c>
      <c r="C46" s="5" t="s">
        <v>352</v>
      </c>
      <c r="D46" s="5" t="s">
        <v>353</v>
      </c>
      <c r="E46" s="5" t="s">
        <v>35</v>
      </c>
      <c r="F46" s="5" t="s">
        <v>36</v>
      </c>
      <c r="G46" s="5" t="s">
        <v>37</v>
      </c>
      <c r="H46" s="5"/>
      <c r="I46" s="5"/>
      <c r="J46" s="5" t="s">
        <v>59</v>
      </c>
      <c r="K46" s="5" t="s">
        <v>50</v>
      </c>
      <c r="L46" s="5" t="s">
        <v>51</v>
      </c>
      <c r="M46" s="5" t="s">
        <v>52</v>
      </c>
      <c r="N46" s="5" t="s">
        <v>35</v>
      </c>
      <c r="O46" s="5">
        <v>1</v>
      </c>
      <c r="P46" s="5" t="s">
        <v>42</v>
      </c>
      <c r="Q46" s="5">
        <v>7</v>
      </c>
      <c r="R46" s="5"/>
      <c r="S46" s="5"/>
      <c r="T46" s="5"/>
      <c r="U46" s="5"/>
      <c r="V46" s="5"/>
      <c r="W46" s="5"/>
      <c r="X46" s="5"/>
      <c r="Y46" s="5" t="s">
        <v>354</v>
      </c>
      <c r="Z46" s="5" t="s">
        <v>64</v>
      </c>
      <c r="AA46" s="5" t="s">
        <v>355</v>
      </c>
      <c r="AB46" s="5" t="s">
        <v>45</v>
      </c>
      <c r="AC46" s="5"/>
      <c r="AD46" s="5"/>
      <c r="AE46" s="5"/>
      <c r="AG46" s="9">
        <f t="shared" si="0"/>
        <v>43264</v>
      </c>
    </row>
    <row r="47" s="6" customFormat="1" spans="1:33">
      <c r="A47" s="5" t="s">
        <v>356</v>
      </c>
      <c r="B47" s="5" t="s">
        <v>356</v>
      </c>
      <c r="C47" s="5" t="s">
        <v>357</v>
      </c>
      <c r="D47" s="5" t="s">
        <v>358</v>
      </c>
      <c r="E47" s="5" t="s">
        <v>35</v>
      </c>
      <c r="F47" s="5" t="s">
        <v>36</v>
      </c>
      <c r="G47" s="5" t="s">
        <v>37</v>
      </c>
      <c r="H47" s="5"/>
      <c r="I47" s="5"/>
      <c r="J47" s="5" t="s">
        <v>59</v>
      </c>
      <c r="K47" s="5" t="s">
        <v>50</v>
      </c>
      <c r="L47" s="5" t="s">
        <v>51</v>
      </c>
      <c r="M47" s="5" t="s">
        <v>52</v>
      </c>
      <c r="N47" s="5" t="s">
        <v>35</v>
      </c>
      <c r="O47" s="5">
        <v>2</v>
      </c>
      <c r="P47" s="5" t="s">
        <v>42</v>
      </c>
      <c r="Q47" s="5">
        <v>14</v>
      </c>
      <c r="R47" s="5"/>
      <c r="S47" s="5"/>
      <c r="T47" s="5"/>
      <c r="U47" s="5"/>
      <c r="V47" s="5"/>
      <c r="W47" s="5"/>
      <c r="X47" s="5"/>
      <c r="Y47" s="5" t="s">
        <v>359</v>
      </c>
      <c r="Z47" s="5" t="s">
        <v>211</v>
      </c>
      <c r="AA47" s="5" t="s">
        <v>360</v>
      </c>
      <c r="AB47" s="5" t="s">
        <v>45</v>
      </c>
      <c r="AC47" s="5"/>
      <c r="AD47" s="5"/>
      <c r="AE47" s="5"/>
      <c r="AG47" s="9">
        <f t="shared" si="0"/>
        <v>43264</v>
      </c>
    </row>
    <row r="48" s="6" customFormat="1" spans="1:33">
      <c r="A48" s="5" t="s">
        <v>361</v>
      </c>
      <c r="B48" s="5" t="s">
        <v>361</v>
      </c>
      <c r="C48" s="5" t="s">
        <v>362</v>
      </c>
      <c r="D48" s="5" t="s">
        <v>363</v>
      </c>
      <c r="E48" s="5" t="s">
        <v>35</v>
      </c>
      <c r="F48" s="5" t="s">
        <v>36</v>
      </c>
      <c r="G48" s="5" t="s">
        <v>37</v>
      </c>
      <c r="H48" s="5"/>
      <c r="I48" s="5"/>
      <c r="J48" s="5" t="s">
        <v>38</v>
      </c>
      <c r="K48" s="5" t="s">
        <v>364</v>
      </c>
      <c r="L48" s="5" t="s">
        <v>365</v>
      </c>
      <c r="M48" s="5" t="s">
        <v>366</v>
      </c>
      <c r="N48" s="5" t="s">
        <v>35</v>
      </c>
      <c r="O48" s="5">
        <v>1</v>
      </c>
      <c r="P48" s="5" t="s">
        <v>42</v>
      </c>
      <c r="Q48" s="5">
        <v>7.99</v>
      </c>
      <c r="R48" s="5"/>
      <c r="S48" s="5">
        <v>3.71</v>
      </c>
      <c r="T48" s="5"/>
      <c r="U48" s="5"/>
      <c r="V48" s="5"/>
      <c r="W48" s="5"/>
      <c r="X48" s="5">
        <v>3.71</v>
      </c>
      <c r="Y48" s="5" t="s">
        <v>367</v>
      </c>
      <c r="Z48" s="5" t="s">
        <v>54</v>
      </c>
      <c r="AA48" s="5" t="s">
        <v>368</v>
      </c>
      <c r="AB48" s="5" t="s">
        <v>45</v>
      </c>
      <c r="AC48" s="5" t="s">
        <v>328</v>
      </c>
      <c r="AD48" s="5"/>
      <c r="AE48" s="5"/>
      <c r="AG48" s="9">
        <f t="shared" si="0"/>
        <v>43264</v>
      </c>
    </row>
    <row r="49" s="6" customFormat="1" spans="1:33">
      <c r="A49" s="5" t="s">
        <v>369</v>
      </c>
      <c r="B49" s="5" t="s">
        <v>369</v>
      </c>
      <c r="C49" s="5" t="s">
        <v>370</v>
      </c>
      <c r="D49" s="5" t="s">
        <v>371</v>
      </c>
      <c r="E49" s="5" t="s">
        <v>35</v>
      </c>
      <c r="F49" s="5" t="s">
        <v>36</v>
      </c>
      <c r="G49" s="5" t="s">
        <v>37</v>
      </c>
      <c r="H49" s="5"/>
      <c r="I49" s="5"/>
      <c r="J49" s="5" t="s">
        <v>59</v>
      </c>
      <c r="K49" s="5" t="s">
        <v>50</v>
      </c>
      <c r="L49" s="5" t="s">
        <v>51</v>
      </c>
      <c r="M49" s="5" t="s">
        <v>52</v>
      </c>
      <c r="N49" s="5" t="s">
        <v>35</v>
      </c>
      <c r="O49" s="5">
        <v>1</v>
      </c>
      <c r="P49" s="5" t="s">
        <v>42</v>
      </c>
      <c r="Q49" s="5">
        <v>7</v>
      </c>
      <c r="R49" s="5">
        <v>0.42</v>
      </c>
      <c r="S49" s="5"/>
      <c r="T49" s="5"/>
      <c r="U49" s="5"/>
      <c r="V49" s="5"/>
      <c r="W49" s="5"/>
      <c r="X49" s="5"/>
      <c r="Y49" s="5" t="s">
        <v>372</v>
      </c>
      <c r="Z49" s="5" t="s">
        <v>373</v>
      </c>
      <c r="AA49" s="5" t="s">
        <v>374</v>
      </c>
      <c r="AB49" s="5" t="s">
        <v>45</v>
      </c>
      <c r="AC49" s="5"/>
      <c r="AD49" s="5"/>
      <c r="AE49" s="5"/>
      <c r="AG49" s="9">
        <f t="shared" si="0"/>
        <v>43264</v>
      </c>
    </row>
    <row r="50" s="6" customFormat="1" spans="1:33">
      <c r="A50" s="5" t="s">
        <v>375</v>
      </c>
      <c r="B50" s="5" t="s">
        <v>375</v>
      </c>
      <c r="C50" s="5" t="s">
        <v>376</v>
      </c>
      <c r="D50" s="5" t="s">
        <v>377</v>
      </c>
      <c r="E50" s="5" t="s">
        <v>35</v>
      </c>
      <c r="F50" s="5" t="s">
        <v>36</v>
      </c>
      <c r="G50" s="5" t="s">
        <v>37</v>
      </c>
      <c r="H50" s="5"/>
      <c r="I50" s="5"/>
      <c r="J50" s="5" t="s">
        <v>59</v>
      </c>
      <c r="K50" s="5" t="s">
        <v>378</v>
      </c>
      <c r="L50" s="5" t="s">
        <v>379</v>
      </c>
      <c r="M50" s="5" t="s">
        <v>380</v>
      </c>
      <c r="N50" s="5" t="s">
        <v>35</v>
      </c>
      <c r="O50" s="5">
        <v>1</v>
      </c>
      <c r="P50" s="5" t="s">
        <v>42</v>
      </c>
      <c r="Q50" s="5">
        <v>7.99</v>
      </c>
      <c r="R50" s="5"/>
      <c r="S50" s="5"/>
      <c r="T50" s="5"/>
      <c r="U50" s="5"/>
      <c r="V50" s="5"/>
      <c r="W50" s="5"/>
      <c r="X50" s="5"/>
      <c r="Y50" s="5" t="s">
        <v>381</v>
      </c>
      <c r="Z50" s="5" t="s">
        <v>341</v>
      </c>
      <c r="AA50" s="5" t="s">
        <v>382</v>
      </c>
      <c r="AB50" s="5" t="s">
        <v>45</v>
      </c>
      <c r="AC50" s="5"/>
      <c r="AD50" s="5"/>
      <c r="AE50" s="5"/>
      <c r="AG50" s="9">
        <f t="shared" si="0"/>
        <v>43264</v>
      </c>
    </row>
    <row r="51" s="6" customFormat="1" spans="1:33">
      <c r="A51" s="5" t="s">
        <v>383</v>
      </c>
      <c r="B51" s="5" t="s">
        <v>383</v>
      </c>
      <c r="C51" s="5" t="s">
        <v>384</v>
      </c>
      <c r="D51" s="5" t="s">
        <v>385</v>
      </c>
      <c r="E51" s="5" t="s">
        <v>35</v>
      </c>
      <c r="F51" s="5" t="s">
        <v>36</v>
      </c>
      <c r="G51" s="5" t="s">
        <v>37</v>
      </c>
      <c r="H51" s="5"/>
      <c r="I51" s="5"/>
      <c r="J51" s="5" t="s">
        <v>59</v>
      </c>
      <c r="K51" s="5" t="s">
        <v>50</v>
      </c>
      <c r="L51" s="5" t="s">
        <v>51</v>
      </c>
      <c r="M51" s="5" t="s">
        <v>52</v>
      </c>
      <c r="N51" s="5" t="s">
        <v>35</v>
      </c>
      <c r="O51" s="5">
        <v>1</v>
      </c>
      <c r="P51" s="5" t="s">
        <v>42</v>
      </c>
      <c r="Q51" s="5">
        <v>7</v>
      </c>
      <c r="R51" s="5"/>
      <c r="S51" s="5"/>
      <c r="T51" s="5"/>
      <c r="U51" s="5"/>
      <c r="V51" s="5"/>
      <c r="W51" s="5"/>
      <c r="X51" s="5"/>
      <c r="Y51" s="5" t="s">
        <v>386</v>
      </c>
      <c r="Z51" s="5" t="s">
        <v>269</v>
      </c>
      <c r="AA51" s="5" t="s">
        <v>387</v>
      </c>
      <c r="AB51" s="5" t="s">
        <v>45</v>
      </c>
      <c r="AC51" s="5"/>
      <c r="AD51" s="5"/>
      <c r="AE51" s="5"/>
      <c r="AG51" s="9">
        <f t="shared" si="0"/>
        <v>43264</v>
      </c>
    </row>
    <row r="52" s="6" customFormat="1" spans="1:33">
      <c r="A52" s="5" t="s">
        <v>388</v>
      </c>
      <c r="B52" s="5" t="s">
        <v>388</v>
      </c>
      <c r="C52" s="5" t="s">
        <v>389</v>
      </c>
      <c r="D52" s="5" t="s">
        <v>390</v>
      </c>
      <c r="E52" s="5" t="s">
        <v>35</v>
      </c>
      <c r="F52" s="5" t="s">
        <v>36</v>
      </c>
      <c r="G52" s="5" t="s">
        <v>37</v>
      </c>
      <c r="H52" s="5"/>
      <c r="I52" s="5"/>
      <c r="J52" s="5" t="s">
        <v>59</v>
      </c>
      <c r="K52" s="5" t="s">
        <v>50</v>
      </c>
      <c r="L52" s="5" t="s">
        <v>51</v>
      </c>
      <c r="M52" s="5" t="s">
        <v>52</v>
      </c>
      <c r="N52" s="5" t="s">
        <v>35</v>
      </c>
      <c r="O52" s="5">
        <v>1</v>
      </c>
      <c r="P52" s="5" t="s">
        <v>42</v>
      </c>
      <c r="Q52" s="5">
        <v>7</v>
      </c>
      <c r="R52" s="5"/>
      <c r="S52" s="5"/>
      <c r="T52" s="5"/>
      <c r="U52" s="5"/>
      <c r="V52" s="5"/>
      <c r="W52" s="5"/>
      <c r="X52" s="5"/>
      <c r="Y52" s="5" t="s">
        <v>391</v>
      </c>
      <c r="Z52" s="5" t="s">
        <v>81</v>
      </c>
      <c r="AA52" s="5" t="s">
        <v>392</v>
      </c>
      <c r="AB52" s="5" t="s">
        <v>45</v>
      </c>
      <c r="AC52" s="5"/>
      <c r="AD52" s="5"/>
      <c r="AE52" s="5"/>
      <c r="AG52" s="9">
        <f t="shared" si="0"/>
        <v>43264</v>
      </c>
    </row>
    <row r="53" s="6" customFormat="1" spans="1:33">
      <c r="A53" s="5" t="s">
        <v>393</v>
      </c>
      <c r="B53" s="5" t="s">
        <v>393</v>
      </c>
      <c r="C53" s="5" t="s">
        <v>394</v>
      </c>
      <c r="D53" s="5" t="s">
        <v>395</v>
      </c>
      <c r="E53" s="5" t="s">
        <v>35</v>
      </c>
      <c r="F53" s="5" t="s">
        <v>36</v>
      </c>
      <c r="G53" s="5" t="s">
        <v>37</v>
      </c>
      <c r="H53" s="5"/>
      <c r="I53" s="5"/>
      <c r="J53" s="5" t="s">
        <v>59</v>
      </c>
      <c r="K53" s="5" t="s">
        <v>396</v>
      </c>
      <c r="L53" s="5" t="s">
        <v>397</v>
      </c>
      <c r="M53" s="5" t="s">
        <v>398</v>
      </c>
      <c r="N53" s="5" t="s">
        <v>35</v>
      </c>
      <c r="O53" s="5">
        <v>1</v>
      </c>
      <c r="P53" s="5" t="s">
        <v>42</v>
      </c>
      <c r="Q53" s="5">
        <v>15.99</v>
      </c>
      <c r="R53" s="5"/>
      <c r="S53" s="5"/>
      <c r="T53" s="5"/>
      <c r="U53" s="5"/>
      <c r="V53" s="5"/>
      <c r="W53" s="5"/>
      <c r="X53" s="5"/>
      <c r="Y53" s="5" t="s">
        <v>399</v>
      </c>
      <c r="Z53" s="5" t="s">
        <v>197</v>
      </c>
      <c r="AA53" s="5" t="s">
        <v>400</v>
      </c>
      <c r="AB53" s="5" t="s">
        <v>45</v>
      </c>
      <c r="AC53" s="5"/>
      <c r="AD53" s="5"/>
      <c r="AE53" s="5"/>
      <c r="AG53" s="9">
        <f t="shared" si="0"/>
        <v>43264</v>
      </c>
    </row>
    <row r="54" s="6" customFormat="1" spans="1:33">
      <c r="A54" s="5" t="s">
        <v>401</v>
      </c>
      <c r="B54" s="5" t="s">
        <v>401</v>
      </c>
      <c r="C54" s="5" t="s">
        <v>402</v>
      </c>
      <c r="D54" s="5" t="s">
        <v>403</v>
      </c>
      <c r="E54" s="5" t="s">
        <v>35</v>
      </c>
      <c r="F54" s="5" t="s">
        <v>36</v>
      </c>
      <c r="G54" s="5" t="s">
        <v>37</v>
      </c>
      <c r="H54" s="5"/>
      <c r="I54" s="5"/>
      <c r="J54" s="5" t="s">
        <v>59</v>
      </c>
      <c r="K54" s="5" t="s">
        <v>50</v>
      </c>
      <c r="L54" s="5" t="s">
        <v>51</v>
      </c>
      <c r="M54" s="5" t="s">
        <v>52</v>
      </c>
      <c r="N54" s="5" t="s">
        <v>35</v>
      </c>
      <c r="O54" s="5">
        <v>1</v>
      </c>
      <c r="P54" s="5" t="s">
        <v>42</v>
      </c>
      <c r="Q54" s="5">
        <v>7</v>
      </c>
      <c r="R54" s="5"/>
      <c r="S54" s="5"/>
      <c r="T54" s="5"/>
      <c r="U54" s="5"/>
      <c r="V54" s="5"/>
      <c r="W54" s="5"/>
      <c r="X54" s="5"/>
      <c r="Y54" s="5" t="s">
        <v>404</v>
      </c>
      <c r="Z54" s="5" t="s">
        <v>153</v>
      </c>
      <c r="AA54" s="5" t="s">
        <v>405</v>
      </c>
      <c r="AB54" s="5" t="s">
        <v>45</v>
      </c>
      <c r="AC54" s="5"/>
      <c r="AD54" s="5"/>
      <c r="AE54" s="5"/>
      <c r="AG54" s="9">
        <f t="shared" si="0"/>
        <v>43264</v>
      </c>
    </row>
    <row r="55" s="6" customFormat="1" spans="1:33">
      <c r="A55" s="5" t="s">
        <v>406</v>
      </c>
      <c r="B55" s="5" t="s">
        <v>406</v>
      </c>
      <c r="C55" s="5" t="s">
        <v>407</v>
      </c>
      <c r="D55" s="5" t="s">
        <v>408</v>
      </c>
      <c r="E55" s="5" t="s">
        <v>35</v>
      </c>
      <c r="F55" s="5" t="s">
        <v>36</v>
      </c>
      <c r="G55" s="5" t="s">
        <v>37</v>
      </c>
      <c r="H55" s="5"/>
      <c r="I55" s="5"/>
      <c r="J55" s="5" t="s">
        <v>59</v>
      </c>
      <c r="K55" s="5" t="s">
        <v>332</v>
      </c>
      <c r="L55" s="5" t="s">
        <v>333</v>
      </c>
      <c r="M55" s="5" t="s">
        <v>334</v>
      </c>
      <c r="N55" s="5" t="s">
        <v>35</v>
      </c>
      <c r="O55" s="5">
        <v>1</v>
      </c>
      <c r="P55" s="5" t="s">
        <v>42</v>
      </c>
      <c r="Q55" s="5">
        <v>13.23</v>
      </c>
      <c r="R55" s="5"/>
      <c r="S55" s="5"/>
      <c r="T55" s="5"/>
      <c r="U55" s="5"/>
      <c r="V55" s="5"/>
      <c r="W55" s="5"/>
      <c r="X55" s="5"/>
      <c r="Y55" s="5" t="s">
        <v>409</v>
      </c>
      <c r="Z55" s="5" t="s">
        <v>269</v>
      </c>
      <c r="AA55" s="5" t="s">
        <v>410</v>
      </c>
      <c r="AB55" s="5" t="s">
        <v>45</v>
      </c>
      <c r="AC55" s="5"/>
      <c r="AD55" s="5"/>
      <c r="AE55" s="5"/>
      <c r="AG55" s="9">
        <f t="shared" si="0"/>
        <v>43264</v>
      </c>
    </row>
    <row r="56" s="6" customFormat="1" spans="1:33">
      <c r="A56" s="5" t="s">
        <v>411</v>
      </c>
      <c r="B56" s="5" t="s">
        <v>411</v>
      </c>
      <c r="C56" s="5" t="s">
        <v>412</v>
      </c>
      <c r="D56" s="5" t="s">
        <v>413</v>
      </c>
      <c r="E56" s="5" t="s">
        <v>35</v>
      </c>
      <c r="F56" s="5" t="s">
        <v>36</v>
      </c>
      <c r="G56" s="5" t="s">
        <v>37</v>
      </c>
      <c r="H56" s="5"/>
      <c r="I56" s="5"/>
      <c r="J56" s="5" t="s">
        <v>38</v>
      </c>
      <c r="K56" s="5" t="s">
        <v>414</v>
      </c>
      <c r="L56" s="5" t="s">
        <v>415</v>
      </c>
      <c r="M56" s="5" t="s">
        <v>416</v>
      </c>
      <c r="N56" s="5" t="s">
        <v>35</v>
      </c>
      <c r="O56" s="5">
        <v>3</v>
      </c>
      <c r="P56" s="5" t="s">
        <v>42</v>
      </c>
      <c r="Q56" s="5">
        <v>38.97</v>
      </c>
      <c r="R56" s="5"/>
      <c r="S56" s="5">
        <v>6.12</v>
      </c>
      <c r="T56" s="5"/>
      <c r="U56" s="5"/>
      <c r="V56" s="5"/>
      <c r="W56" s="5"/>
      <c r="X56" s="5">
        <v>6.12</v>
      </c>
      <c r="Y56" s="5" t="s">
        <v>417</v>
      </c>
      <c r="Z56" s="5" t="s">
        <v>418</v>
      </c>
      <c r="AA56" s="5">
        <v>11730</v>
      </c>
      <c r="AB56" s="5" t="s">
        <v>45</v>
      </c>
      <c r="AC56" s="5" t="s">
        <v>328</v>
      </c>
      <c r="AD56" s="5"/>
      <c r="AE56" s="5"/>
      <c r="AG56" s="9">
        <f t="shared" si="0"/>
        <v>43264</v>
      </c>
    </row>
    <row r="57" s="6" customFormat="1" spans="1:33">
      <c r="A57" s="5" t="s">
        <v>419</v>
      </c>
      <c r="B57" s="5" t="s">
        <v>419</v>
      </c>
      <c r="C57" s="5" t="s">
        <v>420</v>
      </c>
      <c r="D57" s="5" t="s">
        <v>421</v>
      </c>
      <c r="E57" s="5" t="s">
        <v>35</v>
      </c>
      <c r="F57" s="5" t="s">
        <v>36</v>
      </c>
      <c r="G57" s="5" t="s">
        <v>37</v>
      </c>
      <c r="H57" s="5"/>
      <c r="I57" s="5"/>
      <c r="J57" s="5" t="s">
        <v>59</v>
      </c>
      <c r="K57" s="5" t="s">
        <v>422</v>
      </c>
      <c r="L57" s="5" t="s">
        <v>423</v>
      </c>
      <c r="M57" s="5" t="s">
        <v>424</v>
      </c>
      <c r="N57" s="5" t="s">
        <v>35</v>
      </c>
      <c r="O57" s="5">
        <v>1</v>
      </c>
      <c r="P57" s="5" t="s">
        <v>42</v>
      </c>
      <c r="Q57" s="5">
        <v>21.98</v>
      </c>
      <c r="R57" s="5"/>
      <c r="S57" s="5"/>
      <c r="T57" s="5"/>
      <c r="U57" s="5"/>
      <c r="V57" s="5"/>
      <c r="W57" s="5">
        <v>4.4</v>
      </c>
      <c r="X57" s="5"/>
      <c r="Y57" s="5" t="s">
        <v>425</v>
      </c>
      <c r="Z57" s="5" t="s">
        <v>426</v>
      </c>
      <c r="AA57" s="5" t="s">
        <v>427</v>
      </c>
      <c r="AB57" s="5" t="s">
        <v>45</v>
      </c>
      <c r="AC57" s="5" t="s">
        <v>213</v>
      </c>
      <c r="AD57" s="5"/>
      <c r="AE57" s="5"/>
      <c r="AG57" s="9">
        <f t="shared" si="0"/>
        <v>43264</v>
      </c>
    </row>
    <row r="58" s="6" customFormat="1" spans="1:33">
      <c r="A58" s="5" t="s">
        <v>428</v>
      </c>
      <c r="B58" s="5" t="s">
        <v>428</v>
      </c>
      <c r="C58" s="5" t="s">
        <v>429</v>
      </c>
      <c r="D58" s="5" t="s">
        <v>430</v>
      </c>
      <c r="E58" s="5" t="s">
        <v>35</v>
      </c>
      <c r="F58" s="5" t="s">
        <v>36</v>
      </c>
      <c r="G58" s="5" t="s">
        <v>37</v>
      </c>
      <c r="H58" s="5"/>
      <c r="I58" s="5"/>
      <c r="J58" s="5" t="s">
        <v>59</v>
      </c>
      <c r="K58" s="5" t="s">
        <v>50</v>
      </c>
      <c r="L58" s="5" t="s">
        <v>51</v>
      </c>
      <c r="M58" s="5" t="s">
        <v>52</v>
      </c>
      <c r="N58" s="5" t="s">
        <v>35</v>
      </c>
      <c r="O58" s="5">
        <v>1</v>
      </c>
      <c r="P58" s="5" t="s">
        <v>42</v>
      </c>
      <c r="Q58" s="5">
        <v>7</v>
      </c>
      <c r="R58" s="5"/>
      <c r="S58" s="5"/>
      <c r="T58" s="5"/>
      <c r="U58" s="5"/>
      <c r="V58" s="5"/>
      <c r="W58" s="5"/>
      <c r="X58" s="5"/>
      <c r="Y58" s="5" t="s">
        <v>431</v>
      </c>
      <c r="Z58" s="5" t="s">
        <v>432</v>
      </c>
      <c r="AA58" s="5" t="s">
        <v>433</v>
      </c>
      <c r="AB58" s="5" t="s">
        <v>45</v>
      </c>
      <c r="AC58" s="5"/>
      <c r="AD58" s="5"/>
      <c r="AE58" s="5"/>
      <c r="AG58" s="9">
        <f t="shared" si="0"/>
        <v>43264</v>
      </c>
    </row>
    <row r="59" s="6" customFormat="1" spans="1:33">
      <c r="A59" s="5" t="s">
        <v>434</v>
      </c>
      <c r="B59" s="5" t="s">
        <v>434</v>
      </c>
      <c r="C59" s="5" t="s">
        <v>435</v>
      </c>
      <c r="D59" s="5" t="s">
        <v>436</v>
      </c>
      <c r="E59" s="5" t="s">
        <v>35</v>
      </c>
      <c r="F59" s="5" t="s">
        <v>36</v>
      </c>
      <c r="G59" s="5" t="s">
        <v>37</v>
      </c>
      <c r="H59" s="5"/>
      <c r="I59" s="5"/>
      <c r="J59" s="5" t="s">
        <v>59</v>
      </c>
      <c r="K59" s="5" t="s">
        <v>114</v>
      </c>
      <c r="L59" s="5" t="s">
        <v>115</v>
      </c>
      <c r="M59" s="5" t="s">
        <v>116</v>
      </c>
      <c r="N59" s="5" t="s">
        <v>35</v>
      </c>
      <c r="O59" s="5">
        <v>1</v>
      </c>
      <c r="P59" s="5" t="s">
        <v>42</v>
      </c>
      <c r="Q59" s="5">
        <v>13.99</v>
      </c>
      <c r="R59" s="5"/>
      <c r="S59" s="5"/>
      <c r="T59" s="5"/>
      <c r="U59" s="5"/>
      <c r="V59" s="5"/>
      <c r="W59" s="5"/>
      <c r="X59" s="5"/>
      <c r="Y59" s="5" t="s">
        <v>437</v>
      </c>
      <c r="Z59" s="5" t="s">
        <v>191</v>
      </c>
      <c r="AA59" s="5">
        <v>7946</v>
      </c>
      <c r="AB59" s="5" t="s">
        <v>45</v>
      </c>
      <c r="AC59" s="5"/>
      <c r="AD59" s="5"/>
      <c r="AE59" s="5"/>
      <c r="AG59" s="9">
        <f t="shared" si="0"/>
        <v>43264</v>
      </c>
    </row>
    <row r="60" s="6" customFormat="1" spans="1:33">
      <c r="A60" s="5" t="s">
        <v>438</v>
      </c>
      <c r="B60" s="5" t="s">
        <v>438</v>
      </c>
      <c r="C60" s="5" t="s">
        <v>439</v>
      </c>
      <c r="D60" s="5" t="s">
        <v>440</v>
      </c>
      <c r="E60" s="5" t="s">
        <v>35</v>
      </c>
      <c r="F60" s="5" t="s">
        <v>36</v>
      </c>
      <c r="G60" s="5" t="s">
        <v>37</v>
      </c>
      <c r="H60" s="5"/>
      <c r="I60" s="5"/>
      <c r="J60" s="5" t="s">
        <v>59</v>
      </c>
      <c r="K60" s="5" t="s">
        <v>50</v>
      </c>
      <c r="L60" s="5" t="s">
        <v>51</v>
      </c>
      <c r="M60" s="5" t="s">
        <v>52</v>
      </c>
      <c r="N60" s="5" t="s">
        <v>35</v>
      </c>
      <c r="O60" s="5">
        <v>1</v>
      </c>
      <c r="P60" s="5" t="s">
        <v>42</v>
      </c>
      <c r="Q60" s="5">
        <v>7</v>
      </c>
      <c r="R60" s="5"/>
      <c r="S60" s="5"/>
      <c r="T60" s="5"/>
      <c r="U60" s="5"/>
      <c r="V60" s="5"/>
      <c r="W60" s="5"/>
      <c r="X60" s="5"/>
      <c r="Y60" s="5" t="s">
        <v>441</v>
      </c>
      <c r="Z60" s="5" t="s">
        <v>211</v>
      </c>
      <c r="AA60" s="5">
        <v>11102</v>
      </c>
      <c r="AB60" s="5" t="s">
        <v>45</v>
      </c>
      <c r="AC60" s="5"/>
      <c r="AD60" s="5"/>
      <c r="AE60" s="5"/>
      <c r="AG60" s="9">
        <f t="shared" si="0"/>
        <v>43264</v>
      </c>
    </row>
    <row r="61" s="6" customFormat="1" spans="1:33">
      <c r="A61" s="5" t="s">
        <v>442</v>
      </c>
      <c r="B61" s="5" t="s">
        <v>442</v>
      </c>
      <c r="C61" s="5" t="s">
        <v>443</v>
      </c>
      <c r="D61" s="5" t="s">
        <v>444</v>
      </c>
      <c r="E61" s="5" t="s">
        <v>35</v>
      </c>
      <c r="F61" s="5" t="s">
        <v>36</v>
      </c>
      <c r="G61" s="5" t="s">
        <v>37</v>
      </c>
      <c r="H61" s="5"/>
      <c r="I61" s="5"/>
      <c r="J61" s="5" t="s">
        <v>59</v>
      </c>
      <c r="K61" s="5" t="s">
        <v>445</v>
      </c>
      <c r="L61" s="5" t="s">
        <v>446</v>
      </c>
      <c r="M61" s="5" t="s">
        <v>447</v>
      </c>
      <c r="N61" s="5" t="s">
        <v>35</v>
      </c>
      <c r="O61" s="5">
        <v>1</v>
      </c>
      <c r="P61" s="5" t="s">
        <v>42</v>
      </c>
      <c r="Q61" s="5">
        <v>13.99</v>
      </c>
      <c r="R61" s="5"/>
      <c r="S61" s="5"/>
      <c r="T61" s="5"/>
      <c r="U61" s="5"/>
      <c r="V61" s="5"/>
      <c r="W61" s="5"/>
      <c r="X61" s="5"/>
      <c r="Y61" s="5" t="s">
        <v>448</v>
      </c>
      <c r="Z61" s="5" t="s">
        <v>171</v>
      </c>
      <c r="AA61" s="5" t="s">
        <v>449</v>
      </c>
      <c r="AB61" s="5" t="s">
        <v>45</v>
      </c>
      <c r="AC61" s="5"/>
      <c r="AD61" s="5"/>
      <c r="AE61" s="5"/>
      <c r="AG61" s="9">
        <f t="shared" si="0"/>
        <v>43264</v>
      </c>
    </row>
    <row r="62" s="6" customFormat="1" spans="1:33">
      <c r="A62" s="5" t="s">
        <v>450</v>
      </c>
      <c r="B62" s="5" t="s">
        <v>450</v>
      </c>
      <c r="C62" s="5" t="s">
        <v>451</v>
      </c>
      <c r="D62" s="5" t="s">
        <v>452</v>
      </c>
      <c r="E62" s="5" t="s">
        <v>35</v>
      </c>
      <c r="F62" s="5" t="s">
        <v>36</v>
      </c>
      <c r="G62" s="5" t="s">
        <v>37</v>
      </c>
      <c r="H62" s="5"/>
      <c r="I62" s="5"/>
      <c r="J62" s="5" t="s">
        <v>59</v>
      </c>
      <c r="K62" s="5" t="s">
        <v>50</v>
      </c>
      <c r="L62" s="5" t="s">
        <v>51</v>
      </c>
      <c r="M62" s="5" t="s">
        <v>52</v>
      </c>
      <c r="N62" s="5" t="s">
        <v>35</v>
      </c>
      <c r="O62" s="5">
        <v>1</v>
      </c>
      <c r="P62" s="5" t="s">
        <v>42</v>
      </c>
      <c r="Q62" s="5">
        <v>7</v>
      </c>
      <c r="R62" s="5"/>
      <c r="S62" s="5"/>
      <c r="T62" s="5"/>
      <c r="U62" s="5"/>
      <c r="V62" s="5"/>
      <c r="W62" s="5"/>
      <c r="X62" s="5"/>
      <c r="Y62" s="5" t="s">
        <v>453</v>
      </c>
      <c r="Z62" s="5" t="s">
        <v>182</v>
      </c>
      <c r="AA62" s="5" t="s">
        <v>454</v>
      </c>
      <c r="AB62" s="5" t="s">
        <v>45</v>
      </c>
      <c r="AC62" s="5"/>
      <c r="AD62" s="5"/>
      <c r="AE62" s="5"/>
      <c r="AF62"/>
      <c r="AG62" s="9">
        <f t="shared" si="0"/>
        <v>43265</v>
      </c>
    </row>
    <row r="63" s="6" customFormat="1" spans="1:33">
      <c r="A63" s="5" t="s">
        <v>455</v>
      </c>
      <c r="B63" s="5" t="s">
        <v>455</v>
      </c>
      <c r="C63" s="5" t="s">
        <v>456</v>
      </c>
      <c r="D63" s="5" t="s">
        <v>457</v>
      </c>
      <c r="E63" s="5" t="s">
        <v>35</v>
      </c>
      <c r="F63" s="5" t="s">
        <v>36</v>
      </c>
      <c r="G63" s="5" t="s">
        <v>37</v>
      </c>
      <c r="H63" s="5"/>
      <c r="I63" s="5"/>
      <c r="J63" s="5" t="s">
        <v>59</v>
      </c>
      <c r="K63" s="5" t="s">
        <v>50</v>
      </c>
      <c r="L63" s="5" t="s">
        <v>51</v>
      </c>
      <c r="M63" s="5" t="s">
        <v>52</v>
      </c>
      <c r="N63" s="5" t="s">
        <v>35</v>
      </c>
      <c r="O63" s="5">
        <v>1</v>
      </c>
      <c r="P63" s="5" t="s">
        <v>42</v>
      </c>
      <c r="Q63" s="5">
        <v>7</v>
      </c>
      <c r="R63" s="5"/>
      <c r="S63" s="5"/>
      <c r="T63" s="5"/>
      <c r="U63" s="5"/>
      <c r="V63" s="5"/>
      <c r="W63" s="5"/>
      <c r="X63" s="5"/>
      <c r="Y63" s="5" t="s">
        <v>458</v>
      </c>
      <c r="Z63" s="5" t="s">
        <v>432</v>
      </c>
      <c r="AA63" s="5" t="s">
        <v>459</v>
      </c>
      <c r="AB63" s="5" t="s">
        <v>45</v>
      </c>
      <c r="AC63" s="5"/>
      <c r="AD63" s="5"/>
      <c r="AE63" s="5"/>
      <c r="AF63"/>
      <c r="AG63" s="9">
        <f t="shared" si="0"/>
        <v>43265</v>
      </c>
    </row>
    <row r="64" s="6" customFormat="1" spans="1:33">
      <c r="A64" s="5" t="s">
        <v>460</v>
      </c>
      <c r="B64" s="5" t="s">
        <v>460</v>
      </c>
      <c r="C64" s="5" t="s">
        <v>461</v>
      </c>
      <c r="D64" s="5" t="s">
        <v>462</v>
      </c>
      <c r="E64" s="5" t="s">
        <v>35</v>
      </c>
      <c r="F64" s="5" t="s">
        <v>36</v>
      </c>
      <c r="G64" s="5" t="s">
        <v>37</v>
      </c>
      <c r="H64" s="5"/>
      <c r="I64" s="5"/>
      <c r="J64" s="5" t="s">
        <v>59</v>
      </c>
      <c r="K64" s="5" t="s">
        <v>50</v>
      </c>
      <c r="L64" s="5" t="s">
        <v>51</v>
      </c>
      <c r="M64" s="5" t="s">
        <v>52</v>
      </c>
      <c r="N64" s="5" t="s">
        <v>35</v>
      </c>
      <c r="O64" s="5">
        <v>1</v>
      </c>
      <c r="P64" s="5" t="s">
        <v>42</v>
      </c>
      <c r="Q64" s="5">
        <v>7</v>
      </c>
      <c r="R64" s="5"/>
      <c r="S64" s="5"/>
      <c r="T64" s="5"/>
      <c r="U64" s="5"/>
      <c r="V64" s="5"/>
      <c r="W64" s="5"/>
      <c r="X64" s="5"/>
      <c r="Y64" s="5" t="s">
        <v>463</v>
      </c>
      <c r="Z64" s="5" t="s">
        <v>191</v>
      </c>
      <c r="AA64" s="5" t="s">
        <v>464</v>
      </c>
      <c r="AB64" s="5" t="s">
        <v>45</v>
      </c>
      <c r="AC64" s="5"/>
      <c r="AD64" s="5"/>
      <c r="AE64" s="5"/>
      <c r="AF64"/>
      <c r="AG64" s="9">
        <f t="shared" si="0"/>
        <v>43265</v>
      </c>
    </row>
    <row r="65" s="6" customFormat="1" spans="1:33">
      <c r="A65" s="5" t="s">
        <v>465</v>
      </c>
      <c r="B65" s="5" t="s">
        <v>465</v>
      </c>
      <c r="C65" s="5" t="s">
        <v>466</v>
      </c>
      <c r="D65" s="5" t="s">
        <v>467</v>
      </c>
      <c r="E65" s="5" t="s">
        <v>35</v>
      </c>
      <c r="F65" s="5" t="s">
        <v>36</v>
      </c>
      <c r="G65" s="5" t="s">
        <v>37</v>
      </c>
      <c r="H65" s="5"/>
      <c r="I65" s="5"/>
      <c r="J65" s="5" t="s">
        <v>49</v>
      </c>
      <c r="K65" s="5" t="s">
        <v>114</v>
      </c>
      <c r="L65" s="5" t="s">
        <v>115</v>
      </c>
      <c r="M65" s="5" t="s">
        <v>116</v>
      </c>
      <c r="N65" s="5" t="s">
        <v>35</v>
      </c>
      <c r="O65" s="5">
        <v>1</v>
      </c>
      <c r="P65" s="5" t="s">
        <v>42</v>
      </c>
      <c r="Q65" s="5">
        <v>13.99</v>
      </c>
      <c r="R65" s="5"/>
      <c r="S65" s="5">
        <v>2</v>
      </c>
      <c r="T65" s="5"/>
      <c r="U65" s="5"/>
      <c r="V65" s="5"/>
      <c r="W65" s="5"/>
      <c r="X65" s="5">
        <v>2</v>
      </c>
      <c r="Y65" s="5" t="s">
        <v>468</v>
      </c>
      <c r="Z65" s="5" t="s">
        <v>153</v>
      </c>
      <c r="AA65" s="5" t="s">
        <v>469</v>
      </c>
      <c r="AB65" s="5" t="s">
        <v>45</v>
      </c>
      <c r="AC65" s="5"/>
      <c r="AD65" s="5"/>
      <c r="AE65" s="5"/>
      <c r="AF65"/>
      <c r="AG65" s="9">
        <f t="shared" si="0"/>
        <v>43265</v>
      </c>
    </row>
    <row r="66" s="6" customFormat="1" spans="1:33">
      <c r="A66" s="5" t="s">
        <v>470</v>
      </c>
      <c r="B66" s="5" t="s">
        <v>470</v>
      </c>
      <c r="C66" s="5" t="s">
        <v>471</v>
      </c>
      <c r="D66" s="5" t="s">
        <v>472</v>
      </c>
      <c r="E66" s="5" t="s">
        <v>35</v>
      </c>
      <c r="F66" s="5" t="s">
        <v>36</v>
      </c>
      <c r="G66" s="5" t="s">
        <v>37</v>
      </c>
      <c r="H66" s="5"/>
      <c r="I66" s="5"/>
      <c r="J66" s="5" t="s">
        <v>59</v>
      </c>
      <c r="K66" s="5" t="s">
        <v>114</v>
      </c>
      <c r="L66" s="5" t="s">
        <v>115</v>
      </c>
      <c r="M66" s="5" t="s">
        <v>116</v>
      </c>
      <c r="N66" s="5" t="s">
        <v>35</v>
      </c>
      <c r="O66" s="5">
        <v>1</v>
      </c>
      <c r="P66" s="5" t="s">
        <v>42</v>
      </c>
      <c r="Q66" s="5">
        <v>13.99</v>
      </c>
      <c r="R66" s="5"/>
      <c r="S66" s="5"/>
      <c r="T66" s="5"/>
      <c r="U66" s="5"/>
      <c r="V66" s="5"/>
      <c r="W66" s="5"/>
      <c r="X66" s="5"/>
      <c r="Y66" s="5" t="s">
        <v>473</v>
      </c>
      <c r="Z66" s="5" t="s">
        <v>474</v>
      </c>
      <c r="AA66" s="5">
        <v>6370</v>
      </c>
      <c r="AB66" s="5" t="s">
        <v>45</v>
      </c>
      <c r="AC66" s="5"/>
      <c r="AD66" s="5"/>
      <c r="AE66" s="5"/>
      <c r="AF66"/>
      <c r="AG66" s="9">
        <f t="shared" ref="AG66:AG129" si="1">DATEVALUE(LEFT(C66,10))</f>
        <v>43265</v>
      </c>
    </row>
    <row r="67" s="6" customFormat="1" spans="1:33">
      <c r="A67" s="5" t="s">
        <v>475</v>
      </c>
      <c r="B67" s="5" t="s">
        <v>475</v>
      </c>
      <c r="C67" s="5" t="s">
        <v>476</v>
      </c>
      <c r="D67" s="5" t="s">
        <v>477</v>
      </c>
      <c r="E67" s="5" t="s">
        <v>35</v>
      </c>
      <c r="F67" s="5" t="s">
        <v>36</v>
      </c>
      <c r="G67" s="5" t="s">
        <v>37</v>
      </c>
      <c r="H67" s="5"/>
      <c r="I67" s="5"/>
      <c r="J67" s="5" t="s">
        <v>49</v>
      </c>
      <c r="K67" s="5" t="s">
        <v>114</v>
      </c>
      <c r="L67" s="5" t="s">
        <v>115</v>
      </c>
      <c r="M67" s="5" t="s">
        <v>116</v>
      </c>
      <c r="N67" s="5" t="s">
        <v>35</v>
      </c>
      <c r="O67" s="5">
        <v>1</v>
      </c>
      <c r="P67" s="5" t="s">
        <v>42</v>
      </c>
      <c r="Q67" s="5">
        <v>13.99</v>
      </c>
      <c r="R67" s="5"/>
      <c r="S67" s="5">
        <v>3.99</v>
      </c>
      <c r="T67" s="5"/>
      <c r="U67" s="5"/>
      <c r="V67" s="5"/>
      <c r="W67" s="5"/>
      <c r="X67" s="5"/>
      <c r="Y67" s="5" t="s">
        <v>478</v>
      </c>
      <c r="Z67" s="5" t="s">
        <v>153</v>
      </c>
      <c r="AA67" s="5" t="s">
        <v>479</v>
      </c>
      <c r="AB67" s="5" t="s">
        <v>45</v>
      </c>
      <c r="AC67" s="5"/>
      <c r="AD67" s="5"/>
      <c r="AE67" s="5"/>
      <c r="AF67"/>
      <c r="AG67" s="9">
        <f t="shared" si="1"/>
        <v>43265</v>
      </c>
    </row>
    <row r="68" s="6" customFormat="1" spans="1:33">
      <c r="A68" s="5" t="s">
        <v>480</v>
      </c>
      <c r="B68" s="5" t="s">
        <v>480</v>
      </c>
      <c r="C68" s="5" t="s">
        <v>481</v>
      </c>
      <c r="D68" s="5" t="s">
        <v>482</v>
      </c>
      <c r="E68" s="5" t="s">
        <v>35</v>
      </c>
      <c r="F68" s="5" t="s">
        <v>36</v>
      </c>
      <c r="G68" s="5" t="s">
        <v>37</v>
      </c>
      <c r="H68" s="5"/>
      <c r="I68" s="5"/>
      <c r="J68" s="5" t="s">
        <v>59</v>
      </c>
      <c r="K68" s="5" t="s">
        <v>86</v>
      </c>
      <c r="L68" s="5" t="s">
        <v>87</v>
      </c>
      <c r="M68" s="5" t="s">
        <v>88</v>
      </c>
      <c r="N68" s="5" t="s">
        <v>35</v>
      </c>
      <c r="O68" s="5">
        <v>1</v>
      </c>
      <c r="P68" s="5" t="s">
        <v>42</v>
      </c>
      <c r="Q68" s="5">
        <v>14.99</v>
      </c>
      <c r="R68" s="5"/>
      <c r="S68" s="5"/>
      <c r="T68" s="5"/>
      <c r="U68" s="5"/>
      <c r="V68" s="5"/>
      <c r="W68" s="5"/>
      <c r="X68" s="5"/>
      <c r="Y68" s="5" t="s">
        <v>483</v>
      </c>
      <c r="Z68" s="5" t="s">
        <v>432</v>
      </c>
      <c r="AA68" s="5" t="s">
        <v>484</v>
      </c>
      <c r="AB68" s="5" t="s">
        <v>45</v>
      </c>
      <c r="AC68" s="5"/>
      <c r="AD68" s="5"/>
      <c r="AE68" s="5"/>
      <c r="AF68"/>
      <c r="AG68" s="9">
        <f t="shared" si="1"/>
        <v>43265</v>
      </c>
    </row>
    <row r="69" s="6" customFormat="1" spans="1:33">
      <c r="A69" s="5" t="s">
        <v>485</v>
      </c>
      <c r="B69" s="5" t="s">
        <v>485</v>
      </c>
      <c r="C69" s="5" t="s">
        <v>486</v>
      </c>
      <c r="D69" s="5" t="s">
        <v>487</v>
      </c>
      <c r="E69" s="5" t="s">
        <v>35</v>
      </c>
      <c r="F69" s="5" t="s">
        <v>36</v>
      </c>
      <c r="G69" s="5" t="s">
        <v>37</v>
      </c>
      <c r="H69" s="5"/>
      <c r="I69" s="5"/>
      <c r="J69" s="5" t="s">
        <v>59</v>
      </c>
      <c r="K69" s="5" t="s">
        <v>39</v>
      </c>
      <c r="L69" s="5" t="s">
        <v>40</v>
      </c>
      <c r="M69" s="5" t="s">
        <v>41</v>
      </c>
      <c r="N69" s="5" t="s">
        <v>35</v>
      </c>
      <c r="O69" s="5">
        <v>5</v>
      </c>
      <c r="P69" s="5" t="s">
        <v>42</v>
      </c>
      <c r="Q69" s="5">
        <v>39.95</v>
      </c>
      <c r="R69" s="5"/>
      <c r="S69" s="5"/>
      <c r="T69" s="5"/>
      <c r="U69" s="5"/>
      <c r="V69" s="5"/>
      <c r="W69" s="5"/>
      <c r="X69" s="5"/>
      <c r="Y69" s="5" t="s">
        <v>488</v>
      </c>
      <c r="Z69" s="5" t="s">
        <v>269</v>
      </c>
      <c r="AA69" s="5" t="s">
        <v>489</v>
      </c>
      <c r="AB69" s="5" t="s">
        <v>45</v>
      </c>
      <c r="AC69" s="5"/>
      <c r="AD69" s="5"/>
      <c r="AE69" s="5"/>
      <c r="AF69"/>
      <c r="AG69" s="9">
        <f t="shared" si="1"/>
        <v>43265</v>
      </c>
    </row>
    <row r="70" s="6" customFormat="1" spans="1:33">
      <c r="A70" s="5" t="s">
        <v>490</v>
      </c>
      <c r="B70" s="5" t="s">
        <v>490</v>
      </c>
      <c r="C70" s="5" t="s">
        <v>491</v>
      </c>
      <c r="D70" s="5" t="s">
        <v>492</v>
      </c>
      <c r="E70" s="5" t="s">
        <v>35</v>
      </c>
      <c r="F70" s="5" t="s">
        <v>36</v>
      </c>
      <c r="G70" s="5" t="s">
        <v>37</v>
      </c>
      <c r="H70" s="5"/>
      <c r="I70" s="5"/>
      <c r="J70" s="5" t="s">
        <v>49</v>
      </c>
      <c r="K70" s="5" t="s">
        <v>493</v>
      </c>
      <c r="L70" s="5" t="s">
        <v>494</v>
      </c>
      <c r="M70" s="5" t="s">
        <v>495</v>
      </c>
      <c r="N70" s="5" t="s">
        <v>35</v>
      </c>
      <c r="O70" s="5">
        <v>1</v>
      </c>
      <c r="P70" s="5" t="s">
        <v>42</v>
      </c>
      <c r="Q70" s="5">
        <v>18.99</v>
      </c>
      <c r="R70" s="5"/>
      <c r="S70" s="5">
        <v>3.99</v>
      </c>
      <c r="T70" s="5"/>
      <c r="U70" s="5"/>
      <c r="V70" s="5"/>
      <c r="W70" s="5"/>
      <c r="X70" s="5"/>
      <c r="Y70" s="5" t="s">
        <v>496</v>
      </c>
      <c r="Z70" s="5" t="s">
        <v>153</v>
      </c>
      <c r="AA70" s="5" t="s">
        <v>497</v>
      </c>
      <c r="AB70" s="5" t="s">
        <v>45</v>
      </c>
      <c r="AC70" s="5"/>
      <c r="AD70" s="5"/>
      <c r="AE70" s="5"/>
      <c r="AF70"/>
      <c r="AG70" s="9">
        <f t="shared" si="1"/>
        <v>43265</v>
      </c>
    </row>
    <row r="71" s="6" customFormat="1" spans="1:33">
      <c r="A71" s="5" t="s">
        <v>498</v>
      </c>
      <c r="B71" s="5" t="s">
        <v>498</v>
      </c>
      <c r="C71" s="5" t="s">
        <v>499</v>
      </c>
      <c r="D71" s="5" t="s">
        <v>500</v>
      </c>
      <c r="E71" s="5" t="s">
        <v>35</v>
      </c>
      <c r="F71" s="5" t="s">
        <v>36</v>
      </c>
      <c r="G71" s="5" t="s">
        <v>37</v>
      </c>
      <c r="H71" s="5"/>
      <c r="I71" s="5"/>
      <c r="J71" s="5" t="s">
        <v>59</v>
      </c>
      <c r="K71" s="5" t="s">
        <v>50</v>
      </c>
      <c r="L71" s="5" t="s">
        <v>51</v>
      </c>
      <c r="M71" s="5" t="s">
        <v>52</v>
      </c>
      <c r="N71" s="5" t="s">
        <v>35</v>
      </c>
      <c r="O71" s="5">
        <v>1</v>
      </c>
      <c r="P71" s="5" t="s">
        <v>42</v>
      </c>
      <c r="Q71" s="5">
        <v>7</v>
      </c>
      <c r="R71" s="5"/>
      <c r="S71" s="5"/>
      <c r="T71" s="5"/>
      <c r="U71" s="5"/>
      <c r="V71" s="5"/>
      <c r="W71" s="5"/>
      <c r="X71" s="5"/>
      <c r="Y71" s="5" t="s">
        <v>501</v>
      </c>
      <c r="Z71" s="5" t="s">
        <v>127</v>
      </c>
      <c r="AA71" s="5" t="s">
        <v>502</v>
      </c>
      <c r="AB71" s="5" t="s">
        <v>45</v>
      </c>
      <c r="AC71" s="5"/>
      <c r="AD71" s="5"/>
      <c r="AE71" s="5"/>
      <c r="AF71"/>
      <c r="AG71" s="9">
        <f t="shared" si="1"/>
        <v>43265</v>
      </c>
    </row>
    <row r="72" s="6" customFormat="1" spans="1:33">
      <c r="A72" s="5" t="s">
        <v>503</v>
      </c>
      <c r="B72" s="5" t="s">
        <v>503</v>
      </c>
      <c r="C72" s="5" t="s">
        <v>504</v>
      </c>
      <c r="D72" s="5" t="s">
        <v>505</v>
      </c>
      <c r="E72" s="5" t="s">
        <v>35</v>
      </c>
      <c r="F72" s="5" t="s">
        <v>36</v>
      </c>
      <c r="G72" s="5" t="s">
        <v>37</v>
      </c>
      <c r="H72" s="5"/>
      <c r="I72" s="5"/>
      <c r="J72" s="5" t="s">
        <v>59</v>
      </c>
      <c r="K72" s="5" t="s">
        <v>50</v>
      </c>
      <c r="L72" s="5" t="s">
        <v>51</v>
      </c>
      <c r="M72" s="5" t="s">
        <v>52</v>
      </c>
      <c r="N72" s="5" t="s">
        <v>35</v>
      </c>
      <c r="O72" s="5">
        <v>1</v>
      </c>
      <c r="P72" s="5" t="s">
        <v>42</v>
      </c>
      <c r="Q72" s="5">
        <v>7</v>
      </c>
      <c r="R72" s="5"/>
      <c r="S72" s="5"/>
      <c r="T72" s="5"/>
      <c r="U72" s="5"/>
      <c r="V72" s="5"/>
      <c r="W72" s="5"/>
      <c r="X72" s="5"/>
      <c r="Y72" s="5" t="s">
        <v>506</v>
      </c>
      <c r="Z72" s="5" t="s">
        <v>64</v>
      </c>
      <c r="AA72" s="5" t="s">
        <v>507</v>
      </c>
      <c r="AB72" s="5" t="s">
        <v>45</v>
      </c>
      <c r="AC72" s="5"/>
      <c r="AD72" s="5"/>
      <c r="AE72" s="5"/>
      <c r="AF72"/>
      <c r="AG72" s="9">
        <f t="shared" si="1"/>
        <v>43265</v>
      </c>
    </row>
    <row r="73" s="6" customFormat="1" spans="1:33">
      <c r="A73" s="5" t="s">
        <v>508</v>
      </c>
      <c r="B73" s="5" t="s">
        <v>508</v>
      </c>
      <c r="C73" s="5" t="s">
        <v>509</v>
      </c>
      <c r="D73" s="5" t="s">
        <v>510</v>
      </c>
      <c r="E73" s="5" t="s">
        <v>35</v>
      </c>
      <c r="F73" s="5" t="s">
        <v>36</v>
      </c>
      <c r="G73" s="5" t="s">
        <v>37</v>
      </c>
      <c r="H73" s="5"/>
      <c r="I73" s="5"/>
      <c r="J73" s="5" t="s">
        <v>59</v>
      </c>
      <c r="K73" s="5" t="s">
        <v>511</v>
      </c>
      <c r="L73" s="5" t="s">
        <v>512</v>
      </c>
      <c r="M73" s="5" t="s">
        <v>513</v>
      </c>
      <c r="N73" s="5" t="s">
        <v>35</v>
      </c>
      <c r="O73" s="5">
        <v>1</v>
      </c>
      <c r="P73" s="5" t="s">
        <v>42</v>
      </c>
      <c r="Q73" s="5">
        <v>20</v>
      </c>
      <c r="R73" s="5"/>
      <c r="S73" s="5"/>
      <c r="T73" s="5"/>
      <c r="U73" s="5"/>
      <c r="V73" s="5"/>
      <c r="W73" s="5"/>
      <c r="X73" s="5"/>
      <c r="Y73" s="5" t="s">
        <v>514</v>
      </c>
      <c r="Z73" s="5" t="s">
        <v>191</v>
      </c>
      <c r="AA73" s="5" t="s">
        <v>515</v>
      </c>
      <c r="AB73" s="5" t="s">
        <v>45</v>
      </c>
      <c r="AC73" s="5"/>
      <c r="AD73" s="5"/>
      <c r="AE73" s="5"/>
      <c r="AF73"/>
      <c r="AG73" s="9">
        <f t="shared" si="1"/>
        <v>43265</v>
      </c>
    </row>
    <row r="74" s="6" customFormat="1" spans="1:33">
      <c r="A74" s="5" t="s">
        <v>516</v>
      </c>
      <c r="B74" s="5" t="s">
        <v>516</v>
      </c>
      <c r="C74" s="5" t="s">
        <v>517</v>
      </c>
      <c r="D74" s="5" t="s">
        <v>518</v>
      </c>
      <c r="E74" s="5" t="s">
        <v>35</v>
      </c>
      <c r="F74" s="5" t="s">
        <v>36</v>
      </c>
      <c r="G74" s="5" t="s">
        <v>37</v>
      </c>
      <c r="H74" s="5"/>
      <c r="I74" s="5"/>
      <c r="J74" s="5" t="s">
        <v>59</v>
      </c>
      <c r="K74" s="5" t="s">
        <v>50</v>
      </c>
      <c r="L74" s="5" t="s">
        <v>51</v>
      </c>
      <c r="M74" s="5" t="s">
        <v>52</v>
      </c>
      <c r="N74" s="5" t="s">
        <v>35</v>
      </c>
      <c r="O74" s="5">
        <v>1</v>
      </c>
      <c r="P74" s="5" t="s">
        <v>42</v>
      </c>
      <c r="Q74" s="5">
        <v>7</v>
      </c>
      <c r="R74" s="5"/>
      <c r="S74" s="5"/>
      <c r="T74" s="5"/>
      <c r="U74" s="5"/>
      <c r="V74" s="5"/>
      <c r="W74" s="5"/>
      <c r="X74" s="5"/>
      <c r="Y74" s="5" t="s">
        <v>519</v>
      </c>
      <c r="Z74" s="5" t="s">
        <v>520</v>
      </c>
      <c r="AA74" s="5" t="s">
        <v>521</v>
      </c>
      <c r="AB74" s="5" t="s">
        <v>45</v>
      </c>
      <c r="AC74" s="5"/>
      <c r="AD74" s="5"/>
      <c r="AE74" s="5"/>
      <c r="AF74"/>
      <c r="AG74" s="9">
        <f t="shared" si="1"/>
        <v>43265</v>
      </c>
    </row>
    <row r="75" s="6" customFormat="1" spans="1:33">
      <c r="A75" s="5" t="s">
        <v>522</v>
      </c>
      <c r="B75" s="5" t="s">
        <v>522</v>
      </c>
      <c r="C75" s="5" t="s">
        <v>523</v>
      </c>
      <c r="D75" s="5" t="s">
        <v>524</v>
      </c>
      <c r="E75" s="5" t="s">
        <v>35</v>
      </c>
      <c r="F75" s="5" t="s">
        <v>36</v>
      </c>
      <c r="G75" s="5" t="s">
        <v>37</v>
      </c>
      <c r="H75" s="5"/>
      <c r="I75" s="5"/>
      <c r="J75" s="5" t="s">
        <v>59</v>
      </c>
      <c r="K75" s="5" t="s">
        <v>525</v>
      </c>
      <c r="L75" s="5" t="s">
        <v>526</v>
      </c>
      <c r="M75" s="5" t="s">
        <v>527</v>
      </c>
      <c r="N75" s="5" t="s">
        <v>35</v>
      </c>
      <c r="O75" s="5">
        <v>1</v>
      </c>
      <c r="P75" s="5" t="s">
        <v>42</v>
      </c>
      <c r="Q75" s="5">
        <v>11.99</v>
      </c>
      <c r="R75" s="5"/>
      <c r="S75" s="5"/>
      <c r="T75" s="5"/>
      <c r="U75" s="5"/>
      <c r="V75" s="5"/>
      <c r="W75" s="5"/>
      <c r="X75" s="5"/>
      <c r="Y75" s="5" t="s">
        <v>528</v>
      </c>
      <c r="Z75" s="5" t="s">
        <v>432</v>
      </c>
      <c r="AA75" s="5" t="s">
        <v>529</v>
      </c>
      <c r="AB75" s="5" t="s">
        <v>45</v>
      </c>
      <c r="AC75" s="5"/>
      <c r="AD75" s="5"/>
      <c r="AE75" s="5"/>
      <c r="AF75"/>
      <c r="AG75" s="9">
        <f t="shared" si="1"/>
        <v>43265</v>
      </c>
    </row>
    <row r="76" s="6" customFormat="1" spans="1:33">
      <c r="A76" s="5" t="s">
        <v>530</v>
      </c>
      <c r="B76" s="5" t="s">
        <v>530</v>
      </c>
      <c r="C76" s="5" t="s">
        <v>531</v>
      </c>
      <c r="D76" s="5" t="s">
        <v>532</v>
      </c>
      <c r="E76" s="5" t="s">
        <v>35</v>
      </c>
      <c r="F76" s="5" t="s">
        <v>36</v>
      </c>
      <c r="G76" s="5" t="s">
        <v>37</v>
      </c>
      <c r="H76" s="5"/>
      <c r="I76" s="5"/>
      <c r="J76" s="5" t="s">
        <v>59</v>
      </c>
      <c r="K76" s="5" t="s">
        <v>114</v>
      </c>
      <c r="L76" s="5" t="s">
        <v>115</v>
      </c>
      <c r="M76" s="5" t="s">
        <v>116</v>
      </c>
      <c r="N76" s="5" t="s">
        <v>35</v>
      </c>
      <c r="O76" s="5">
        <v>1</v>
      </c>
      <c r="P76" s="5" t="s">
        <v>42</v>
      </c>
      <c r="Q76" s="5">
        <v>13.99</v>
      </c>
      <c r="R76" s="5"/>
      <c r="S76" s="5"/>
      <c r="T76" s="5"/>
      <c r="U76" s="5"/>
      <c r="V76" s="5"/>
      <c r="W76" s="5"/>
      <c r="X76" s="5"/>
      <c r="Y76" s="5" t="s">
        <v>533</v>
      </c>
      <c r="Z76" s="5" t="s">
        <v>534</v>
      </c>
      <c r="AA76" s="5" t="s">
        <v>535</v>
      </c>
      <c r="AB76" s="5" t="s">
        <v>45</v>
      </c>
      <c r="AC76" s="5"/>
      <c r="AD76" s="5"/>
      <c r="AE76" s="5"/>
      <c r="AF76"/>
      <c r="AG76" s="9">
        <f t="shared" si="1"/>
        <v>43265</v>
      </c>
    </row>
    <row r="77" s="6" customFormat="1" spans="1:33">
      <c r="A77" s="5" t="s">
        <v>536</v>
      </c>
      <c r="B77" s="5" t="s">
        <v>536</v>
      </c>
      <c r="C77" s="5" t="s">
        <v>537</v>
      </c>
      <c r="D77" s="5" t="s">
        <v>538</v>
      </c>
      <c r="E77" s="5" t="s">
        <v>35</v>
      </c>
      <c r="F77" s="5" t="s">
        <v>36</v>
      </c>
      <c r="G77" s="5" t="s">
        <v>37</v>
      </c>
      <c r="H77" s="5"/>
      <c r="I77" s="5"/>
      <c r="J77" s="5" t="s">
        <v>59</v>
      </c>
      <c r="K77" s="5" t="s">
        <v>539</v>
      </c>
      <c r="L77" s="5" t="s">
        <v>540</v>
      </c>
      <c r="M77" s="5" t="s">
        <v>541</v>
      </c>
      <c r="N77" s="5" t="s">
        <v>35</v>
      </c>
      <c r="O77" s="5">
        <v>1</v>
      </c>
      <c r="P77" s="5" t="s">
        <v>42</v>
      </c>
      <c r="Q77" s="5">
        <v>15.99</v>
      </c>
      <c r="R77" s="5"/>
      <c r="S77" s="5"/>
      <c r="T77" s="5"/>
      <c r="U77" s="5"/>
      <c r="V77" s="5"/>
      <c r="W77" s="5"/>
      <c r="X77" s="5"/>
      <c r="Y77" s="5" t="s">
        <v>542</v>
      </c>
      <c r="Z77" s="5" t="s">
        <v>211</v>
      </c>
      <c r="AA77" s="5" t="s">
        <v>543</v>
      </c>
      <c r="AB77" s="5" t="s">
        <v>45</v>
      </c>
      <c r="AC77" s="5"/>
      <c r="AD77" s="5"/>
      <c r="AE77" s="5"/>
      <c r="AF77"/>
      <c r="AG77" s="9">
        <f t="shared" si="1"/>
        <v>43265</v>
      </c>
    </row>
    <row r="78" s="6" customFormat="1" spans="1:33">
      <c r="A78" s="5" t="s">
        <v>544</v>
      </c>
      <c r="B78" s="5" t="s">
        <v>544</v>
      </c>
      <c r="C78" s="5" t="s">
        <v>545</v>
      </c>
      <c r="D78" s="5" t="s">
        <v>546</v>
      </c>
      <c r="E78" s="5" t="s">
        <v>35</v>
      </c>
      <c r="F78" s="5" t="s">
        <v>36</v>
      </c>
      <c r="G78" s="5" t="s">
        <v>37</v>
      </c>
      <c r="H78" s="5"/>
      <c r="I78" s="5"/>
      <c r="J78" s="5" t="s">
        <v>59</v>
      </c>
      <c r="K78" s="5" t="s">
        <v>187</v>
      </c>
      <c r="L78" s="5" t="s">
        <v>188</v>
      </c>
      <c r="M78" s="5" t="s">
        <v>189</v>
      </c>
      <c r="N78" s="5" t="s">
        <v>35</v>
      </c>
      <c r="O78" s="5">
        <v>1</v>
      </c>
      <c r="P78" s="5" t="s">
        <v>42</v>
      </c>
      <c r="Q78" s="5">
        <v>8.99</v>
      </c>
      <c r="R78" s="5"/>
      <c r="S78" s="5"/>
      <c r="T78" s="5"/>
      <c r="U78" s="5"/>
      <c r="V78" s="5"/>
      <c r="W78" s="5"/>
      <c r="X78" s="5"/>
      <c r="Y78" s="5" t="s">
        <v>547</v>
      </c>
      <c r="Z78" s="5" t="s">
        <v>432</v>
      </c>
      <c r="AA78" s="5" t="s">
        <v>548</v>
      </c>
      <c r="AB78" s="5" t="s">
        <v>45</v>
      </c>
      <c r="AC78" s="5"/>
      <c r="AD78" s="5"/>
      <c r="AE78" s="5"/>
      <c r="AF78"/>
      <c r="AG78" s="9">
        <f t="shared" si="1"/>
        <v>43265</v>
      </c>
    </row>
    <row r="79" s="6" customFormat="1" spans="1:33">
      <c r="A79" s="5" t="s">
        <v>549</v>
      </c>
      <c r="B79" s="5" t="s">
        <v>549</v>
      </c>
      <c r="C79" s="5" t="s">
        <v>550</v>
      </c>
      <c r="D79" s="5" t="s">
        <v>551</v>
      </c>
      <c r="E79" s="5" t="s">
        <v>35</v>
      </c>
      <c r="F79" s="5" t="s">
        <v>36</v>
      </c>
      <c r="G79" s="5" t="s">
        <v>37</v>
      </c>
      <c r="H79" s="5"/>
      <c r="I79" s="5"/>
      <c r="J79" s="5" t="s">
        <v>59</v>
      </c>
      <c r="K79" s="5" t="s">
        <v>552</v>
      </c>
      <c r="L79" s="5" t="s">
        <v>553</v>
      </c>
      <c r="M79" s="5" t="s">
        <v>554</v>
      </c>
      <c r="N79" s="5" t="s">
        <v>35</v>
      </c>
      <c r="O79" s="5">
        <v>2</v>
      </c>
      <c r="P79" s="5" t="s">
        <v>42</v>
      </c>
      <c r="Q79" s="5">
        <v>29.98</v>
      </c>
      <c r="R79" s="5"/>
      <c r="S79" s="5"/>
      <c r="T79" s="5"/>
      <c r="U79" s="5"/>
      <c r="V79" s="5"/>
      <c r="W79" s="5">
        <v>1.5</v>
      </c>
      <c r="X79" s="5"/>
      <c r="Y79" s="5" t="s">
        <v>555</v>
      </c>
      <c r="Z79" s="5" t="s">
        <v>556</v>
      </c>
      <c r="AA79" s="5" t="s">
        <v>557</v>
      </c>
      <c r="AB79" s="5" t="s">
        <v>45</v>
      </c>
      <c r="AC79" s="5" t="s">
        <v>558</v>
      </c>
      <c r="AD79" s="5"/>
      <c r="AE79" s="5"/>
      <c r="AF79"/>
      <c r="AG79" s="9">
        <f t="shared" si="1"/>
        <v>43265</v>
      </c>
    </row>
    <row r="80" s="6" customFormat="1" spans="1:33">
      <c r="A80" s="5" t="s">
        <v>559</v>
      </c>
      <c r="B80" s="5" t="s">
        <v>559</v>
      </c>
      <c r="C80" s="5" t="s">
        <v>560</v>
      </c>
      <c r="D80" s="5" t="s">
        <v>561</v>
      </c>
      <c r="E80" s="5" t="s">
        <v>35</v>
      </c>
      <c r="F80" s="5" t="s">
        <v>36</v>
      </c>
      <c r="G80" s="5" t="s">
        <v>37</v>
      </c>
      <c r="H80" s="5"/>
      <c r="I80" s="5"/>
      <c r="J80" s="5" t="s">
        <v>59</v>
      </c>
      <c r="K80" s="5" t="s">
        <v>94</v>
      </c>
      <c r="L80" s="5" t="s">
        <v>95</v>
      </c>
      <c r="M80" s="5" t="s">
        <v>96</v>
      </c>
      <c r="N80" s="5" t="s">
        <v>35</v>
      </c>
      <c r="O80" s="5">
        <v>1</v>
      </c>
      <c r="P80" s="5" t="s">
        <v>42</v>
      </c>
      <c r="Q80" s="5">
        <v>14.99</v>
      </c>
      <c r="R80" s="5"/>
      <c r="S80" s="5"/>
      <c r="T80" s="5"/>
      <c r="U80" s="5"/>
      <c r="V80" s="5"/>
      <c r="W80" s="5"/>
      <c r="X80" s="5"/>
      <c r="Y80" s="5" t="s">
        <v>562</v>
      </c>
      <c r="Z80" s="5" t="s">
        <v>81</v>
      </c>
      <c r="AA80" s="5" t="s">
        <v>563</v>
      </c>
      <c r="AB80" s="5" t="s">
        <v>45</v>
      </c>
      <c r="AC80" s="5"/>
      <c r="AD80" s="5"/>
      <c r="AE80" s="5"/>
      <c r="AF80"/>
      <c r="AG80" s="9">
        <f t="shared" si="1"/>
        <v>43265</v>
      </c>
    </row>
    <row r="81" s="6" customFormat="1" spans="1:33">
      <c r="A81" s="5" t="s">
        <v>564</v>
      </c>
      <c r="B81" s="5" t="s">
        <v>564</v>
      </c>
      <c r="C81" s="5" t="s">
        <v>565</v>
      </c>
      <c r="D81" s="5" t="s">
        <v>566</v>
      </c>
      <c r="E81" s="5" t="s">
        <v>35</v>
      </c>
      <c r="F81" s="5" t="s">
        <v>36</v>
      </c>
      <c r="G81" s="5" t="s">
        <v>37</v>
      </c>
      <c r="H81" s="5"/>
      <c r="I81" s="5"/>
      <c r="J81" s="5" t="s">
        <v>59</v>
      </c>
      <c r="K81" s="5" t="s">
        <v>94</v>
      </c>
      <c r="L81" s="5" t="s">
        <v>95</v>
      </c>
      <c r="M81" s="5" t="s">
        <v>96</v>
      </c>
      <c r="N81" s="5" t="s">
        <v>35</v>
      </c>
      <c r="O81" s="5">
        <v>1</v>
      </c>
      <c r="P81" s="5" t="s">
        <v>42</v>
      </c>
      <c r="Q81" s="5">
        <v>14.99</v>
      </c>
      <c r="R81" s="5"/>
      <c r="S81" s="5"/>
      <c r="T81" s="5"/>
      <c r="U81" s="5"/>
      <c r="V81" s="5"/>
      <c r="W81" s="5"/>
      <c r="X81" s="5"/>
      <c r="Y81" s="5" t="s">
        <v>567</v>
      </c>
      <c r="Z81" s="5" t="s">
        <v>211</v>
      </c>
      <c r="AA81" s="5" t="s">
        <v>568</v>
      </c>
      <c r="AB81" s="5" t="s">
        <v>45</v>
      </c>
      <c r="AC81" s="5"/>
      <c r="AD81" s="5"/>
      <c r="AE81" s="5"/>
      <c r="AG81" s="9">
        <f t="shared" si="1"/>
        <v>43265</v>
      </c>
    </row>
    <row r="82" s="6" customFormat="1" spans="1:33">
      <c r="A82" s="5" t="s">
        <v>569</v>
      </c>
      <c r="B82" s="5" t="s">
        <v>569</v>
      </c>
      <c r="C82" s="5" t="s">
        <v>570</v>
      </c>
      <c r="D82" s="5" t="s">
        <v>571</v>
      </c>
      <c r="E82" s="5" t="s">
        <v>35</v>
      </c>
      <c r="F82" s="5" t="s">
        <v>36</v>
      </c>
      <c r="G82" s="5" t="s">
        <v>37</v>
      </c>
      <c r="H82" s="5"/>
      <c r="I82" s="5"/>
      <c r="J82" s="5" t="s">
        <v>59</v>
      </c>
      <c r="K82" s="5" t="s">
        <v>572</v>
      </c>
      <c r="L82" s="5" t="s">
        <v>573</v>
      </c>
      <c r="M82" s="5" t="s">
        <v>574</v>
      </c>
      <c r="N82" s="5" t="s">
        <v>35</v>
      </c>
      <c r="O82" s="5">
        <v>1</v>
      </c>
      <c r="P82" s="5" t="s">
        <v>42</v>
      </c>
      <c r="Q82" s="5">
        <v>18.99</v>
      </c>
      <c r="R82" s="5"/>
      <c r="S82" s="5"/>
      <c r="T82" s="5"/>
      <c r="U82" s="5"/>
      <c r="V82" s="5"/>
      <c r="W82" s="5"/>
      <c r="X82" s="5"/>
      <c r="Y82" s="5" t="s">
        <v>575</v>
      </c>
      <c r="Z82" s="5" t="s">
        <v>162</v>
      </c>
      <c r="AA82" s="5" t="s">
        <v>576</v>
      </c>
      <c r="AB82" s="5" t="s">
        <v>45</v>
      </c>
      <c r="AC82" s="5"/>
      <c r="AD82" s="5"/>
      <c r="AE82" s="5"/>
      <c r="AG82" s="9">
        <f t="shared" si="1"/>
        <v>43265</v>
      </c>
    </row>
    <row r="83" s="6" customFormat="1" spans="1:33">
      <c r="A83" s="5" t="s">
        <v>577</v>
      </c>
      <c r="B83" s="5" t="s">
        <v>577</v>
      </c>
      <c r="C83" s="5" t="s">
        <v>578</v>
      </c>
      <c r="D83" s="5" t="s">
        <v>579</v>
      </c>
      <c r="E83" s="5" t="s">
        <v>35</v>
      </c>
      <c r="F83" s="5" t="s">
        <v>36</v>
      </c>
      <c r="G83" s="5" t="s">
        <v>37</v>
      </c>
      <c r="H83" s="5"/>
      <c r="I83" s="5"/>
      <c r="J83" s="5" t="s">
        <v>59</v>
      </c>
      <c r="K83" s="5" t="s">
        <v>94</v>
      </c>
      <c r="L83" s="5" t="s">
        <v>95</v>
      </c>
      <c r="M83" s="5" t="s">
        <v>96</v>
      </c>
      <c r="N83" s="5" t="s">
        <v>35</v>
      </c>
      <c r="O83" s="5">
        <v>1</v>
      </c>
      <c r="P83" s="5" t="s">
        <v>42</v>
      </c>
      <c r="Q83" s="5">
        <v>14.99</v>
      </c>
      <c r="R83" s="5"/>
      <c r="S83" s="5"/>
      <c r="T83" s="5"/>
      <c r="U83" s="5"/>
      <c r="V83" s="5"/>
      <c r="W83" s="5"/>
      <c r="X83" s="5"/>
      <c r="Y83" s="5" t="s">
        <v>580</v>
      </c>
      <c r="Z83" s="5" t="s">
        <v>211</v>
      </c>
      <c r="AA83" s="5" t="s">
        <v>581</v>
      </c>
      <c r="AB83" s="5" t="s">
        <v>45</v>
      </c>
      <c r="AC83" s="5"/>
      <c r="AD83" s="5"/>
      <c r="AE83" s="5"/>
      <c r="AG83" s="9">
        <f t="shared" si="1"/>
        <v>43265</v>
      </c>
    </row>
    <row r="84" s="6" customFormat="1" spans="1:33">
      <c r="A84" s="5" t="s">
        <v>582</v>
      </c>
      <c r="B84" s="5" t="s">
        <v>582</v>
      </c>
      <c r="C84" s="5" t="s">
        <v>583</v>
      </c>
      <c r="D84" s="5" t="s">
        <v>584</v>
      </c>
      <c r="E84" s="5" t="s">
        <v>35</v>
      </c>
      <c r="F84" s="5" t="s">
        <v>36</v>
      </c>
      <c r="G84" s="5" t="s">
        <v>37</v>
      </c>
      <c r="H84" s="5"/>
      <c r="I84" s="5"/>
      <c r="J84" s="5" t="s">
        <v>59</v>
      </c>
      <c r="K84" s="5" t="s">
        <v>50</v>
      </c>
      <c r="L84" s="5" t="s">
        <v>51</v>
      </c>
      <c r="M84" s="5" t="s">
        <v>52</v>
      </c>
      <c r="N84" s="5" t="s">
        <v>35</v>
      </c>
      <c r="O84" s="5">
        <v>1</v>
      </c>
      <c r="P84" s="5" t="s">
        <v>42</v>
      </c>
      <c r="Q84" s="5">
        <v>7</v>
      </c>
      <c r="R84" s="5"/>
      <c r="S84" s="5"/>
      <c r="T84" s="5"/>
      <c r="U84" s="5"/>
      <c r="V84" s="5"/>
      <c r="W84" s="5"/>
      <c r="X84" s="5"/>
      <c r="Y84" s="5" t="s">
        <v>585</v>
      </c>
      <c r="Z84" s="5" t="s">
        <v>586</v>
      </c>
      <c r="AA84" s="5">
        <v>94132</v>
      </c>
      <c r="AB84" s="5" t="s">
        <v>45</v>
      </c>
      <c r="AC84" s="5"/>
      <c r="AD84" s="5"/>
      <c r="AE84" s="5"/>
      <c r="AG84" s="9">
        <f t="shared" si="1"/>
        <v>43265</v>
      </c>
    </row>
    <row r="85" s="6" customFormat="1" spans="1:33">
      <c r="A85" s="5" t="s">
        <v>587</v>
      </c>
      <c r="B85" s="5" t="s">
        <v>587</v>
      </c>
      <c r="C85" s="5" t="s">
        <v>588</v>
      </c>
      <c r="D85" s="5" t="s">
        <v>589</v>
      </c>
      <c r="E85" s="5" t="s">
        <v>35</v>
      </c>
      <c r="F85" s="5" t="s">
        <v>36</v>
      </c>
      <c r="G85" s="5" t="s">
        <v>37</v>
      </c>
      <c r="H85" s="5"/>
      <c r="I85" s="5"/>
      <c r="J85" s="5" t="s">
        <v>59</v>
      </c>
      <c r="K85" s="5" t="s">
        <v>50</v>
      </c>
      <c r="L85" s="5" t="s">
        <v>51</v>
      </c>
      <c r="M85" s="5" t="s">
        <v>52</v>
      </c>
      <c r="N85" s="5" t="s">
        <v>35</v>
      </c>
      <c r="O85" s="5">
        <v>1</v>
      </c>
      <c r="P85" s="5" t="s">
        <v>42</v>
      </c>
      <c r="Q85" s="5">
        <v>7</v>
      </c>
      <c r="R85" s="5"/>
      <c r="S85" s="5"/>
      <c r="T85" s="5"/>
      <c r="U85" s="5"/>
      <c r="V85" s="5"/>
      <c r="W85" s="5"/>
      <c r="X85" s="5"/>
      <c r="Y85" s="5" t="s">
        <v>590</v>
      </c>
      <c r="Z85" s="5" t="s">
        <v>191</v>
      </c>
      <c r="AA85" s="5" t="s">
        <v>591</v>
      </c>
      <c r="AB85" s="5" t="s">
        <v>45</v>
      </c>
      <c r="AC85" s="5"/>
      <c r="AD85" s="5"/>
      <c r="AE85" s="5"/>
      <c r="AG85" s="9">
        <f t="shared" si="1"/>
        <v>43265</v>
      </c>
    </row>
    <row r="86" s="6" customFormat="1" spans="1:33">
      <c r="A86" s="5" t="s">
        <v>592</v>
      </c>
      <c r="B86" s="5" t="s">
        <v>592</v>
      </c>
      <c r="C86" s="5" t="s">
        <v>593</v>
      </c>
      <c r="D86" s="5" t="s">
        <v>594</v>
      </c>
      <c r="E86" s="5" t="s">
        <v>35</v>
      </c>
      <c r="F86" s="5" t="s">
        <v>36</v>
      </c>
      <c r="G86" s="5" t="s">
        <v>37</v>
      </c>
      <c r="H86" s="5"/>
      <c r="I86" s="5"/>
      <c r="J86" s="5" t="s">
        <v>59</v>
      </c>
      <c r="K86" s="5" t="s">
        <v>50</v>
      </c>
      <c r="L86" s="5" t="s">
        <v>51</v>
      </c>
      <c r="M86" s="5" t="s">
        <v>52</v>
      </c>
      <c r="N86" s="5" t="s">
        <v>35</v>
      </c>
      <c r="O86" s="5">
        <v>1</v>
      </c>
      <c r="P86" s="5" t="s">
        <v>42</v>
      </c>
      <c r="Q86" s="5">
        <v>7</v>
      </c>
      <c r="R86" s="5"/>
      <c r="S86" s="5"/>
      <c r="T86" s="5"/>
      <c r="U86" s="5"/>
      <c r="V86" s="5"/>
      <c r="W86" s="5"/>
      <c r="X86" s="5"/>
      <c r="Y86" s="5" t="s">
        <v>595</v>
      </c>
      <c r="Z86" s="5" t="s">
        <v>127</v>
      </c>
      <c r="AA86" s="5">
        <v>60002</v>
      </c>
      <c r="AB86" s="5" t="s">
        <v>45</v>
      </c>
      <c r="AC86" s="5"/>
      <c r="AD86" s="5"/>
      <c r="AE86" s="5"/>
      <c r="AG86" s="9">
        <f t="shared" si="1"/>
        <v>43265</v>
      </c>
    </row>
    <row r="87" s="6" customFormat="1" spans="1:33">
      <c r="A87" s="5" t="s">
        <v>596</v>
      </c>
      <c r="B87" s="5" t="s">
        <v>596</v>
      </c>
      <c r="C87" s="5" t="s">
        <v>597</v>
      </c>
      <c r="D87" s="5" t="s">
        <v>598</v>
      </c>
      <c r="E87" s="5" t="s">
        <v>35</v>
      </c>
      <c r="F87" s="5" t="s">
        <v>36</v>
      </c>
      <c r="G87" s="5" t="s">
        <v>37</v>
      </c>
      <c r="H87" s="5"/>
      <c r="I87" s="5"/>
      <c r="J87" s="5" t="s">
        <v>59</v>
      </c>
      <c r="K87" s="5" t="s">
        <v>50</v>
      </c>
      <c r="L87" s="5" t="s">
        <v>51</v>
      </c>
      <c r="M87" s="5" t="s">
        <v>52</v>
      </c>
      <c r="N87" s="5" t="s">
        <v>35</v>
      </c>
      <c r="O87" s="5">
        <v>1</v>
      </c>
      <c r="P87" s="5" t="s">
        <v>42</v>
      </c>
      <c r="Q87" s="5">
        <v>7</v>
      </c>
      <c r="R87" s="5"/>
      <c r="S87" s="5"/>
      <c r="T87" s="5"/>
      <c r="U87" s="5"/>
      <c r="V87" s="5"/>
      <c r="W87" s="5"/>
      <c r="X87" s="5"/>
      <c r="Y87" s="5" t="s">
        <v>599</v>
      </c>
      <c r="Z87" s="5" t="s">
        <v>600</v>
      </c>
      <c r="AA87" s="5">
        <v>60655</v>
      </c>
      <c r="AB87" s="5" t="s">
        <v>45</v>
      </c>
      <c r="AC87" s="5"/>
      <c r="AD87" s="5"/>
      <c r="AE87" s="5"/>
      <c r="AG87" s="9">
        <f t="shared" si="1"/>
        <v>43266</v>
      </c>
    </row>
    <row r="88" s="6" customFormat="1" spans="1:33">
      <c r="A88" s="5" t="s">
        <v>601</v>
      </c>
      <c r="B88" s="5" t="s">
        <v>601</v>
      </c>
      <c r="C88" s="5" t="s">
        <v>602</v>
      </c>
      <c r="D88" s="5" t="s">
        <v>603</v>
      </c>
      <c r="E88" s="5" t="s">
        <v>35</v>
      </c>
      <c r="F88" s="5" t="s">
        <v>36</v>
      </c>
      <c r="G88" s="5" t="s">
        <v>37</v>
      </c>
      <c r="H88" s="5"/>
      <c r="I88" s="5"/>
      <c r="J88" s="5" t="s">
        <v>59</v>
      </c>
      <c r="K88" s="5" t="s">
        <v>50</v>
      </c>
      <c r="L88" s="5" t="s">
        <v>51</v>
      </c>
      <c r="M88" s="5" t="s">
        <v>52</v>
      </c>
      <c r="N88" s="5" t="s">
        <v>35</v>
      </c>
      <c r="O88" s="5">
        <v>1</v>
      </c>
      <c r="P88" s="5" t="s">
        <v>42</v>
      </c>
      <c r="Q88" s="5">
        <v>7</v>
      </c>
      <c r="R88" s="5"/>
      <c r="S88" s="5"/>
      <c r="T88" s="5"/>
      <c r="U88" s="5"/>
      <c r="V88" s="5"/>
      <c r="W88" s="5"/>
      <c r="X88" s="5"/>
      <c r="Y88" s="5" t="s">
        <v>604</v>
      </c>
      <c r="Z88" s="5" t="s">
        <v>211</v>
      </c>
      <c r="AA88" s="5">
        <v>11030</v>
      </c>
      <c r="AB88" s="5" t="s">
        <v>45</v>
      </c>
      <c r="AC88" s="5"/>
      <c r="AD88" s="5"/>
      <c r="AE88" s="5"/>
      <c r="AG88" s="9">
        <f t="shared" si="1"/>
        <v>43266</v>
      </c>
    </row>
    <row r="89" s="6" customFormat="1" spans="1:33">
      <c r="A89" s="5" t="s">
        <v>605</v>
      </c>
      <c r="B89" s="5" t="s">
        <v>605</v>
      </c>
      <c r="C89" s="5" t="s">
        <v>606</v>
      </c>
      <c r="D89" s="5" t="s">
        <v>607</v>
      </c>
      <c r="E89" s="5" t="s">
        <v>35</v>
      </c>
      <c r="F89" s="5" t="s">
        <v>36</v>
      </c>
      <c r="G89" s="5" t="s">
        <v>37</v>
      </c>
      <c r="H89" s="5"/>
      <c r="I89" s="5"/>
      <c r="J89" s="5" t="s">
        <v>59</v>
      </c>
      <c r="K89" s="5" t="s">
        <v>103</v>
      </c>
      <c r="L89" s="5" t="s">
        <v>104</v>
      </c>
      <c r="M89" s="5" t="s">
        <v>105</v>
      </c>
      <c r="N89" s="5" t="s">
        <v>35</v>
      </c>
      <c r="O89" s="5">
        <v>1</v>
      </c>
      <c r="P89" s="5" t="s">
        <v>42</v>
      </c>
      <c r="Q89" s="5">
        <v>12.99</v>
      </c>
      <c r="R89" s="5"/>
      <c r="S89" s="5"/>
      <c r="T89" s="5"/>
      <c r="U89" s="5"/>
      <c r="V89" s="5"/>
      <c r="W89" s="5"/>
      <c r="X89" s="5"/>
      <c r="Y89" s="5" t="s">
        <v>608</v>
      </c>
      <c r="Z89" s="5" t="s">
        <v>609</v>
      </c>
      <c r="AA89" s="5" t="s">
        <v>610</v>
      </c>
      <c r="AB89" s="5" t="s">
        <v>45</v>
      </c>
      <c r="AC89" s="5"/>
      <c r="AD89" s="5"/>
      <c r="AE89" s="5"/>
      <c r="AG89" s="9">
        <f t="shared" si="1"/>
        <v>43266</v>
      </c>
    </row>
    <row r="90" s="6" customFormat="1" spans="1:33">
      <c r="A90" s="5" t="s">
        <v>611</v>
      </c>
      <c r="B90" s="5" t="s">
        <v>611</v>
      </c>
      <c r="C90" s="5" t="s">
        <v>612</v>
      </c>
      <c r="D90" s="5" t="s">
        <v>613</v>
      </c>
      <c r="E90" s="5" t="s">
        <v>35</v>
      </c>
      <c r="F90" s="5" t="s">
        <v>36</v>
      </c>
      <c r="G90" s="5" t="s">
        <v>37</v>
      </c>
      <c r="H90" s="5"/>
      <c r="I90" s="5"/>
      <c r="J90" s="5" t="s">
        <v>59</v>
      </c>
      <c r="K90" s="5" t="s">
        <v>50</v>
      </c>
      <c r="L90" s="5" t="s">
        <v>51</v>
      </c>
      <c r="M90" s="5" t="s">
        <v>52</v>
      </c>
      <c r="N90" s="5" t="s">
        <v>35</v>
      </c>
      <c r="O90" s="5">
        <v>1</v>
      </c>
      <c r="P90" s="5" t="s">
        <v>42</v>
      </c>
      <c r="Q90" s="5">
        <v>7</v>
      </c>
      <c r="R90" s="5"/>
      <c r="S90" s="5"/>
      <c r="T90" s="5"/>
      <c r="U90" s="5"/>
      <c r="V90" s="5"/>
      <c r="W90" s="5"/>
      <c r="X90" s="5"/>
      <c r="Y90" s="5" t="s">
        <v>614</v>
      </c>
      <c r="Z90" s="5" t="s">
        <v>54</v>
      </c>
      <c r="AA90" s="5" t="s">
        <v>615</v>
      </c>
      <c r="AB90" s="5" t="s">
        <v>45</v>
      </c>
      <c r="AC90" s="5"/>
      <c r="AD90" s="5"/>
      <c r="AE90" s="5"/>
      <c r="AG90" s="9">
        <f t="shared" si="1"/>
        <v>43266</v>
      </c>
    </row>
    <row r="91" s="6" customFormat="1" spans="1:33">
      <c r="A91" s="5" t="s">
        <v>616</v>
      </c>
      <c r="B91" s="5" t="s">
        <v>616</v>
      </c>
      <c r="C91" s="5" t="s">
        <v>617</v>
      </c>
      <c r="D91" s="5" t="s">
        <v>618</v>
      </c>
      <c r="E91" s="5" t="s">
        <v>35</v>
      </c>
      <c r="F91" s="5" t="s">
        <v>36</v>
      </c>
      <c r="G91" s="5" t="s">
        <v>37</v>
      </c>
      <c r="H91" s="5"/>
      <c r="I91" s="5"/>
      <c r="J91" s="5" t="s">
        <v>59</v>
      </c>
      <c r="K91" s="5" t="s">
        <v>114</v>
      </c>
      <c r="L91" s="5" t="s">
        <v>115</v>
      </c>
      <c r="M91" s="5" t="s">
        <v>116</v>
      </c>
      <c r="N91" s="5" t="s">
        <v>35</v>
      </c>
      <c r="O91" s="5">
        <v>1</v>
      </c>
      <c r="P91" s="5" t="s">
        <v>42</v>
      </c>
      <c r="Q91" s="5">
        <v>13.99</v>
      </c>
      <c r="R91" s="5"/>
      <c r="S91" s="5"/>
      <c r="T91" s="5"/>
      <c r="U91" s="5"/>
      <c r="V91" s="5"/>
      <c r="W91" s="5"/>
      <c r="X91" s="5"/>
      <c r="Y91" s="5" t="s">
        <v>170</v>
      </c>
      <c r="Z91" s="5" t="s">
        <v>127</v>
      </c>
      <c r="AA91" s="5" t="s">
        <v>619</v>
      </c>
      <c r="AB91" s="5" t="s">
        <v>45</v>
      </c>
      <c r="AC91" s="5"/>
      <c r="AD91" s="5"/>
      <c r="AE91" s="5"/>
      <c r="AG91" s="9">
        <f t="shared" si="1"/>
        <v>43266</v>
      </c>
    </row>
    <row r="92" s="6" customFormat="1" spans="1:33">
      <c r="A92" s="5" t="s">
        <v>620</v>
      </c>
      <c r="B92" s="5" t="s">
        <v>620</v>
      </c>
      <c r="C92" s="5" t="s">
        <v>621</v>
      </c>
      <c r="D92" s="5" t="s">
        <v>622</v>
      </c>
      <c r="E92" s="5" t="s">
        <v>35</v>
      </c>
      <c r="F92" s="5" t="s">
        <v>36</v>
      </c>
      <c r="G92" s="5" t="s">
        <v>37</v>
      </c>
      <c r="H92" s="5"/>
      <c r="I92" s="5"/>
      <c r="J92" s="5" t="s">
        <v>38</v>
      </c>
      <c r="K92" s="5" t="s">
        <v>623</v>
      </c>
      <c r="L92" s="5" t="s">
        <v>624</v>
      </c>
      <c r="M92" s="5" t="s">
        <v>625</v>
      </c>
      <c r="N92" s="5" t="s">
        <v>35</v>
      </c>
      <c r="O92" s="5">
        <v>1</v>
      </c>
      <c r="P92" s="5" t="s">
        <v>42</v>
      </c>
      <c r="Q92" s="5">
        <v>9.99</v>
      </c>
      <c r="R92" s="5"/>
      <c r="S92" s="5"/>
      <c r="T92" s="5"/>
      <c r="U92" s="5"/>
      <c r="V92" s="5"/>
      <c r="W92" s="5"/>
      <c r="X92" s="5"/>
      <c r="Y92" s="5" t="s">
        <v>626</v>
      </c>
      <c r="Z92" s="5" t="s">
        <v>244</v>
      </c>
      <c r="AA92" s="5" t="s">
        <v>627</v>
      </c>
      <c r="AB92" s="5" t="s">
        <v>45</v>
      </c>
      <c r="AC92" s="5"/>
      <c r="AD92" s="5"/>
      <c r="AE92" s="5"/>
      <c r="AG92" s="9">
        <f t="shared" si="1"/>
        <v>43266</v>
      </c>
    </row>
    <row r="93" s="6" customFormat="1" spans="1:33">
      <c r="A93" s="5" t="s">
        <v>628</v>
      </c>
      <c r="B93" s="5" t="s">
        <v>628</v>
      </c>
      <c r="C93" s="5" t="s">
        <v>629</v>
      </c>
      <c r="D93" s="5" t="s">
        <v>630</v>
      </c>
      <c r="E93" s="5" t="s">
        <v>35</v>
      </c>
      <c r="F93" s="5" t="s">
        <v>36</v>
      </c>
      <c r="G93" s="5" t="s">
        <v>37</v>
      </c>
      <c r="H93" s="5"/>
      <c r="I93" s="5"/>
      <c r="J93" s="5" t="s">
        <v>59</v>
      </c>
      <c r="K93" s="5" t="s">
        <v>50</v>
      </c>
      <c r="L93" s="5" t="s">
        <v>51</v>
      </c>
      <c r="M93" s="5" t="s">
        <v>52</v>
      </c>
      <c r="N93" s="5" t="s">
        <v>35</v>
      </c>
      <c r="O93" s="5">
        <v>1</v>
      </c>
      <c r="P93" s="5" t="s">
        <v>42</v>
      </c>
      <c r="Q93" s="5">
        <v>7</v>
      </c>
      <c r="R93" s="5"/>
      <c r="S93" s="5"/>
      <c r="T93" s="5"/>
      <c r="U93" s="5"/>
      <c r="V93" s="5"/>
      <c r="W93" s="5"/>
      <c r="X93" s="5"/>
      <c r="Y93" s="5" t="s">
        <v>631</v>
      </c>
      <c r="Z93" s="5" t="s">
        <v>118</v>
      </c>
      <c r="AA93" s="5" t="s">
        <v>632</v>
      </c>
      <c r="AB93" s="5" t="s">
        <v>45</v>
      </c>
      <c r="AC93" s="5"/>
      <c r="AD93" s="5"/>
      <c r="AE93" s="5"/>
      <c r="AG93" s="9">
        <f t="shared" si="1"/>
        <v>43266</v>
      </c>
    </row>
    <row r="94" s="6" customFormat="1" spans="1:33">
      <c r="A94" s="5" t="s">
        <v>633</v>
      </c>
      <c r="B94" s="5" t="s">
        <v>633</v>
      </c>
      <c r="C94" s="5" t="s">
        <v>634</v>
      </c>
      <c r="D94" s="5" t="s">
        <v>635</v>
      </c>
      <c r="E94" s="5" t="s">
        <v>35</v>
      </c>
      <c r="F94" s="5" t="s">
        <v>36</v>
      </c>
      <c r="G94" s="5" t="s">
        <v>37</v>
      </c>
      <c r="H94" s="5"/>
      <c r="I94" s="5"/>
      <c r="J94" s="5" t="s">
        <v>59</v>
      </c>
      <c r="K94" s="5" t="s">
        <v>187</v>
      </c>
      <c r="L94" s="5" t="s">
        <v>188</v>
      </c>
      <c r="M94" s="5" t="s">
        <v>189</v>
      </c>
      <c r="N94" s="5" t="s">
        <v>35</v>
      </c>
      <c r="O94" s="5">
        <v>1</v>
      </c>
      <c r="P94" s="5" t="s">
        <v>42</v>
      </c>
      <c r="Q94" s="5">
        <v>8.99</v>
      </c>
      <c r="R94" s="5">
        <v>0.54</v>
      </c>
      <c r="S94" s="5"/>
      <c r="T94" s="5"/>
      <c r="U94" s="5"/>
      <c r="V94" s="5"/>
      <c r="W94" s="5"/>
      <c r="X94" s="5"/>
      <c r="Y94" s="5" t="s">
        <v>181</v>
      </c>
      <c r="Z94" s="5" t="s">
        <v>426</v>
      </c>
      <c r="AA94" s="5" t="s">
        <v>636</v>
      </c>
      <c r="AB94" s="5" t="s">
        <v>45</v>
      </c>
      <c r="AC94" s="5"/>
      <c r="AD94" s="5"/>
      <c r="AE94" s="5"/>
      <c r="AG94" s="9">
        <f t="shared" si="1"/>
        <v>43266</v>
      </c>
    </row>
    <row r="95" s="6" customFormat="1" spans="1:33">
      <c r="A95" s="5" t="s">
        <v>637</v>
      </c>
      <c r="B95" s="5" t="s">
        <v>637</v>
      </c>
      <c r="C95" s="5" t="s">
        <v>638</v>
      </c>
      <c r="D95" s="5" t="s">
        <v>639</v>
      </c>
      <c r="E95" s="5" t="s">
        <v>35</v>
      </c>
      <c r="F95" s="5" t="s">
        <v>36</v>
      </c>
      <c r="G95" s="5" t="s">
        <v>37</v>
      </c>
      <c r="H95" s="5"/>
      <c r="I95" s="5"/>
      <c r="J95" s="5" t="s">
        <v>38</v>
      </c>
      <c r="K95" s="5" t="s">
        <v>123</v>
      </c>
      <c r="L95" s="5" t="s">
        <v>124</v>
      </c>
      <c r="M95" s="5" t="s">
        <v>125</v>
      </c>
      <c r="N95" s="5" t="s">
        <v>35</v>
      </c>
      <c r="O95" s="5">
        <v>2</v>
      </c>
      <c r="P95" s="5" t="s">
        <v>42</v>
      </c>
      <c r="Q95" s="5">
        <v>19.98</v>
      </c>
      <c r="R95" s="5"/>
      <c r="S95" s="5"/>
      <c r="T95" s="5"/>
      <c r="U95" s="5"/>
      <c r="V95" s="5"/>
      <c r="W95" s="5"/>
      <c r="X95" s="5"/>
      <c r="Y95" s="5" t="s">
        <v>640</v>
      </c>
      <c r="Z95" s="5" t="s">
        <v>432</v>
      </c>
      <c r="AA95" s="5" t="s">
        <v>641</v>
      </c>
      <c r="AB95" s="5" t="s">
        <v>45</v>
      </c>
      <c r="AC95" s="5"/>
      <c r="AD95" s="5"/>
      <c r="AE95" s="5"/>
      <c r="AG95" s="9">
        <f t="shared" si="1"/>
        <v>43266</v>
      </c>
    </row>
    <row r="96" s="6" customFormat="1" spans="1:33">
      <c r="A96" s="5" t="s">
        <v>642</v>
      </c>
      <c r="B96" s="5" t="s">
        <v>642</v>
      </c>
      <c r="C96" s="5" t="s">
        <v>643</v>
      </c>
      <c r="D96" s="5" t="s">
        <v>644</v>
      </c>
      <c r="E96" s="5" t="s">
        <v>274</v>
      </c>
      <c r="F96" s="5" t="s">
        <v>36</v>
      </c>
      <c r="G96" s="5" t="s">
        <v>37</v>
      </c>
      <c r="H96" s="5"/>
      <c r="I96" s="5"/>
      <c r="J96" s="5" t="s">
        <v>38</v>
      </c>
      <c r="K96" s="5" t="s">
        <v>39</v>
      </c>
      <c r="L96" s="5" t="s">
        <v>40</v>
      </c>
      <c r="M96" s="5" t="s">
        <v>41</v>
      </c>
      <c r="N96" s="5" t="s">
        <v>274</v>
      </c>
      <c r="O96" s="5">
        <v>0</v>
      </c>
      <c r="P96" s="5"/>
      <c r="Q96" s="5"/>
      <c r="R96" s="5"/>
      <c r="S96" s="5"/>
      <c r="T96" s="5"/>
      <c r="U96" s="5"/>
      <c r="V96" s="5"/>
      <c r="W96" s="5"/>
      <c r="X96" s="5"/>
      <c r="Y96" s="5" t="s">
        <v>645</v>
      </c>
      <c r="Z96" s="5" t="s">
        <v>373</v>
      </c>
      <c r="AA96" s="5" t="s">
        <v>646</v>
      </c>
      <c r="AB96" s="5" t="s">
        <v>45</v>
      </c>
      <c r="AC96" s="5"/>
      <c r="AD96" s="5"/>
      <c r="AE96" s="5"/>
      <c r="AG96" s="9">
        <f t="shared" si="1"/>
        <v>43266</v>
      </c>
    </row>
    <row r="97" s="6" customFormat="1" spans="1:33">
      <c r="A97" s="5" t="s">
        <v>647</v>
      </c>
      <c r="B97" s="5" t="s">
        <v>647</v>
      </c>
      <c r="C97" s="5" t="s">
        <v>648</v>
      </c>
      <c r="D97" s="5" t="s">
        <v>649</v>
      </c>
      <c r="E97" s="5" t="s">
        <v>35</v>
      </c>
      <c r="F97" s="5" t="s">
        <v>36</v>
      </c>
      <c r="G97" s="5" t="s">
        <v>37</v>
      </c>
      <c r="H97" s="5"/>
      <c r="I97" s="5"/>
      <c r="J97" s="5" t="s">
        <v>59</v>
      </c>
      <c r="K97" s="5" t="s">
        <v>50</v>
      </c>
      <c r="L97" s="5" t="s">
        <v>51</v>
      </c>
      <c r="M97" s="5" t="s">
        <v>52</v>
      </c>
      <c r="N97" s="5" t="s">
        <v>35</v>
      </c>
      <c r="O97" s="5">
        <v>1</v>
      </c>
      <c r="P97" s="5" t="s">
        <v>42</v>
      </c>
      <c r="Q97" s="5">
        <v>7</v>
      </c>
      <c r="R97" s="5">
        <v>0.42</v>
      </c>
      <c r="S97" s="5"/>
      <c r="T97" s="5"/>
      <c r="U97" s="5"/>
      <c r="V97" s="5"/>
      <c r="W97" s="5"/>
      <c r="X97" s="5"/>
      <c r="Y97" s="5" t="s">
        <v>650</v>
      </c>
      <c r="Z97" s="5" t="s">
        <v>426</v>
      </c>
      <c r="AA97" s="5" t="s">
        <v>651</v>
      </c>
      <c r="AB97" s="5" t="s">
        <v>45</v>
      </c>
      <c r="AC97" s="5"/>
      <c r="AD97" s="5"/>
      <c r="AE97" s="5"/>
      <c r="AG97" s="9">
        <f t="shared" si="1"/>
        <v>43266</v>
      </c>
    </row>
    <row r="98" s="6" customFormat="1" spans="1:33">
      <c r="A98" s="5" t="s">
        <v>652</v>
      </c>
      <c r="B98" s="5" t="s">
        <v>652</v>
      </c>
      <c r="C98" s="5" t="s">
        <v>653</v>
      </c>
      <c r="D98" s="5" t="s">
        <v>654</v>
      </c>
      <c r="E98" s="5" t="s">
        <v>35</v>
      </c>
      <c r="F98" s="5" t="s">
        <v>36</v>
      </c>
      <c r="G98" s="5" t="s">
        <v>37</v>
      </c>
      <c r="H98" s="5"/>
      <c r="I98" s="5"/>
      <c r="J98" s="5" t="s">
        <v>59</v>
      </c>
      <c r="K98" s="5" t="s">
        <v>655</v>
      </c>
      <c r="L98" s="5" t="s">
        <v>656</v>
      </c>
      <c r="M98" s="5" t="s">
        <v>657</v>
      </c>
      <c r="N98" s="5" t="s">
        <v>35</v>
      </c>
      <c r="O98" s="5">
        <v>1</v>
      </c>
      <c r="P98" s="5" t="s">
        <v>42</v>
      </c>
      <c r="Q98" s="5">
        <v>15.99</v>
      </c>
      <c r="R98" s="5"/>
      <c r="S98" s="5"/>
      <c r="T98" s="5"/>
      <c r="U98" s="5"/>
      <c r="V98" s="5"/>
      <c r="W98" s="5"/>
      <c r="X98" s="5"/>
      <c r="Y98" s="5" t="s">
        <v>658</v>
      </c>
      <c r="Z98" s="5" t="s">
        <v>290</v>
      </c>
      <c r="AA98" s="5">
        <v>46360</v>
      </c>
      <c r="AB98" s="5" t="s">
        <v>45</v>
      </c>
      <c r="AC98" s="5"/>
      <c r="AD98" s="5"/>
      <c r="AE98" s="5"/>
      <c r="AF98"/>
      <c r="AG98" s="9">
        <f t="shared" si="1"/>
        <v>43266</v>
      </c>
    </row>
    <row r="99" s="6" customFormat="1" spans="1:33">
      <c r="A99" s="5" t="s">
        <v>659</v>
      </c>
      <c r="B99" s="5" t="s">
        <v>659</v>
      </c>
      <c r="C99" s="5" t="s">
        <v>660</v>
      </c>
      <c r="D99" s="5" t="s">
        <v>661</v>
      </c>
      <c r="E99" s="5" t="s">
        <v>35</v>
      </c>
      <c r="F99" s="5" t="s">
        <v>36</v>
      </c>
      <c r="G99" s="5" t="s">
        <v>37</v>
      </c>
      <c r="H99" s="5"/>
      <c r="I99" s="5"/>
      <c r="J99" s="5" t="s">
        <v>59</v>
      </c>
      <c r="K99" s="5" t="s">
        <v>662</v>
      </c>
      <c r="L99" s="5" t="s">
        <v>663</v>
      </c>
      <c r="M99" s="5" t="s">
        <v>664</v>
      </c>
      <c r="N99" s="5" t="s">
        <v>35</v>
      </c>
      <c r="O99" s="5">
        <v>1</v>
      </c>
      <c r="P99" s="5" t="s">
        <v>42</v>
      </c>
      <c r="Q99" s="5">
        <v>10</v>
      </c>
      <c r="R99" s="5"/>
      <c r="S99" s="5"/>
      <c r="T99" s="5"/>
      <c r="U99" s="5"/>
      <c r="V99" s="5"/>
      <c r="W99" s="5"/>
      <c r="X99" s="5"/>
      <c r="Y99" s="5" t="s">
        <v>665</v>
      </c>
      <c r="Z99" s="5" t="s">
        <v>666</v>
      </c>
      <c r="AA99" s="5">
        <v>20850</v>
      </c>
      <c r="AB99" s="5" t="s">
        <v>45</v>
      </c>
      <c r="AC99" s="5"/>
      <c r="AD99" s="5"/>
      <c r="AE99" s="5"/>
      <c r="AF99"/>
      <c r="AG99" s="9">
        <f t="shared" si="1"/>
        <v>43266</v>
      </c>
    </row>
    <row r="100" s="6" customFormat="1" spans="1:33">
      <c r="A100" s="5" t="s">
        <v>667</v>
      </c>
      <c r="B100" s="5" t="s">
        <v>667</v>
      </c>
      <c r="C100" s="5" t="s">
        <v>668</v>
      </c>
      <c r="D100" s="5" t="s">
        <v>669</v>
      </c>
      <c r="E100" s="5" t="s">
        <v>35</v>
      </c>
      <c r="F100" s="5" t="s">
        <v>36</v>
      </c>
      <c r="G100" s="5" t="s">
        <v>37</v>
      </c>
      <c r="H100" s="5"/>
      <c r="I100" s="5"/>
      <c r="J100" s="5" t="s">
        <v>59</v>
      </c>
      <c r="K100" s="5" t="s">
        <v>655</v>
      </c>
      <c r="L100" s="5" t="s">
        <v>656</v>
      </c>
      <c r="M100" s="5" t="s">
        <v>657</v>
      </c>
      <c r="N100" s="5" t="s">
        <v>35</v>
      </c>
      <c r="O100" s="5">
        <v>1</v>
      </c>
      <c r="P100" s="5" t="s">
        <v>42</v>
      </c>
      <c r="Q100" s="5">
        <v>15.99</v>
      </c>
      <c r="R100" s="5"/>
      <c r="S100" s="5"/>
      <c r="T100" s="5"/>
      <c r="U100" s="5"/>
      <c r="V100" s="5"/>
      <c r="W100" s="5"/>
      <c r="X100" s="5"/>
      <c r="Y100" s="5" t="s">
        <v>670</v>
      </c>
      <c r="Z100" s="5" t="s">
        <v>197</v>
      </c>
      <c r="AA100" s="5" t="s">
        <v>671</v>
      </c>
      <c r="AB100" s="5" t="s">
        <v>45</v>
      </c>
      <c r="AC100" s="5"/>
      <c r="AD100" s="5"/>
      <c r="AE100" s="5"/>
      <c r="AF100"/>
      <c r="AG100" s="9">
        <f t="shared" si="1"/>
        <v>43266</v>
      </c>
    </row>
    <row r="101" s="6" customFormat="1" spans="1:33">
      <c r="A101" s="5" t="s">
        <v>672</v>
      </c>
      <c r="B101" s="5" t="s">
        <v>672</v>
      </c>
      <c r="C101" s="5" t="s">
        <v>673</v>
      </c>
      <c r="D101" s="5" t="s">
        <v>674</v>
      </c>
      <c r="E101" s="5" t="s">
        <v>35</v>
      </c>
      <c r="F101" s="5" t="s">
        <v>36</v>
      </c>
      <c r="G101" s="5" t="s">
        <v>37</v>
      </c>
      <c r="H101" s="5"/>
      <c r="I101" s="5"/>
      <c r="J101" s="5" t="s">
        <v>59</v>
      </c>
      <c r="K101" s="5" t="s">
        <v>675</v>
      </c>
      <c r="L101" s="5" t="s">
        <v>676</v>
      </c>
      <c r="M101" s="5" t="s">
        <v>677</v>
      </c>
      <c r="N101" s="5" t="s">
        <v>35</v>
      </c>
      <c r="O101" s="5">
        <v>1</v>
      </c>
      <c r="P101" s="5" t="s">
        <v>42</v>
      </c>
      <c r="Q101" s="5">
        <v>14.99</v>
      </c>
      <c r="R101" s="5"/>
      <c r="S101" s="5"/>
      <c r="T101" s="5"/>
      <c r="U101" s="5"/>
      <c r="V101" s="5"/>
      <c r="W101" s="5"/>
      <c r="X101" s="5"/>
      <c r="Y101" s="5" t="s">
        <v>678</v>
      </c>
      <c r="Z101" s="5" t="s">
        <v>534</v>
      </c>
      <c r="AA101" s="5" t="s">
        <v>679</v>
      </c>
      <c r="AB101" s="5" t="s">
        <v>45</v>
      </c>
      <c r="AC101" s="5"/>
      <c r="AD101" s="5"/>
      <c r="AE101" s="5"/>
      <c r="AF101"/>
      <c r="AG101" s="9">
        <f t="shared" si="1"/>
        <v>43266</v>
      </c>
    </row>
    <row r="102" s="6" customFormat="1" spans="1:33">
      <c r="A102" s="5" t="s">
        <v>680</v>
      </c>
      <c r="B102" s="5" t="s">
        <v>680</v>
      </c>
      <c r="C102" s="5" t="s">
        <v>681</v>
      </c>
      <c r="D102" s="5" t="s">
        <v>682</v>
      </c>
      <c r="E102" s="5" t="s">
        <v>35</v>
      </c>
      <c r="F102" s="5" t="s">
        <v>36</v>
      </c>
      <c r="G102" s="5" t="s">
        <v>37</v>
      </c>
      <c r="H102" s="5"/>
      <c r="I102" s="5"/>
      <c r="J102" s="5" t="s">
        <v>59</v>
      </c>
      <c r="K102" s="5" t="s">
        <v>332</v>
      </c>
      <c r="L102" s="5" t="s">
        <v>333</v>
      </c>
      <c r="M102" s="5" t="s">
        <v>334</v>
      </c>
      <c r="N102" s="5" t="s">
        <v>35</v>
      </c>
      <c r="O102" s="5">
        <v>1</v>
      </c>
      <c r="P102" s="5" t="s">
        <v>42</v>
      </c>
      <c r="Q102" s="5">
        <v>13.23</v>
      </c>
      <c r="R102" s="5"/>
      <c r="S102" s="5"/>
      <c r="T102" s="5"/>
      <c r="U102" s="5"/>
      <c r="V102" s="5"/>
      <c r="W102" s="5"/>
      <c r="X102" s="5"/>
      <c r="Y102" s="5" t="s">
        <v>683</v>
      </c>
      <c r="Z102" s="5" t="s">
        <v>118</v>
      </c>
      <c r="AA102" s="5" t="s">
        <v>684</v>
      </c>
      <c r="AB102" s="5" t="s">
        <v>45</v>
      </c>
      <c r="AC102" s="5"/>
      <c r="AD102" s="5"/>
      <c r="AE102" s="5"/>
      <c r="AF102"/>
      <c r="AG102" s="9">
        <f t="shared" si="1"/>
        <v>43266</v>
      </c>
    </row>
    <row r="103" s="6" customFormat="1" spans="1:33">
      <c r="A103" s="5" t="s">
        <v>685</v>
      </c>
      <c r="B103" s="5" t="s">
        <v>685</v>
      </c>
      <c r="C103" s="5" t="s">
        <v>686</v>
      </c>
      <c r="D103" s="5" t="s">
        <v>687</v>
      </c>
      <c r="E103" s="5" t="s">
        <v>35</v>
      </c>
      <c r="F103" s="5" t="s">
        <v>36</v>
      </c>
      <c r="G103" s="5" t="s">
        <v>37</v>
      </c>
      <c r="H103" s="5"/>
      <c r="I103" s="5"/>
      <c r="J103" s="5" t="s">
        <v>38</v>
      </c>
      <c r="K103" s="5" t="s">
        <v>688</v>
      </c>
      <c r="L103" s="5" t="s">
        <v>689</v>
      </c>
      <c r="M103" s="5" t="s">
        <v>690</v>
      </c>
      <c r="N103" s="5" t="s">
        <v>35</v>
      </c>
      <c r="O103" s="5">
        <v>1</v>
      </c>
      <c r="P103" s="5" t="s">
        <v>42</v>
      </c>
      <c r="Q103" s="5">
        <v>8.99</v>
      </c>
      <c r="R103" s="5"/>
      <c r="S103" s="5"/>
      <c r="T103" s="5"/>
      <c r="U103" s="5"/>
      <c r="V103" s="5"/>
      <c r="W103" s="5"/>
      <c r="X103" s="5"/>
      <c r="Y103" s="5" t="s">
        <v>691</v>
      </c>
      <c r="Z103" s="5" t="s">
        <v>692</v>
      </c>
      <c r="AA103" s="5" t="s">
        <v>693</v>
      </c>
      <c r="AB103" s="5" t="s">
        <v>45</v>
      </c>
      <c r="AC103" s="5"/>
      <c r="AD103" s="5"/>
      <c r="AE103" s="5"/>
      <c r="AF103"/>
      <c r="AG103" s="9">
        <f t="shared" si="1"/>
        <v>43266</v>
      </c>
    </row>
    <row r="104" s="6" customFormat="1" spans="1:33">
      <c r="A104" s="5" t="s">
        <v>694</v>
      </c>
      <c r="B104" s="5" t="s">
        <v>694</v>
      </c>
      <c r="C104" s="5" t="s">
        <v>695</v>
      </c>
      <c r="D104" s="5" t="s">
        <v>696</v>
      </c>
      <c r="E104" s="5" t="s">
        <v>35</v>
      </c>
      <c r="F104" s="5" t="s">
        <v>36</v>
      </c>
      <c r="G104" s="5" t="s">
        <v>37</v>
      </c>
      <c r="H104" s="5"/>
      <c r="I104" s="5"/>
      <c r="J104" s="5" t="s">
        <v>59</v>
      </c>
      <c r="K104" s="5" t="s">
        <v>697</v>
      </c>
      <c r="L104" s="5" t="s">
        <v>698</v>
      </c>
      <c r="M104" s="5" t="s">
        <v>699</v>
      </c>
      <c r="N104" s="5" t="s">
        <v>35</v>
      </c>
      <c r="O104" s="5">
        <v>1</v>
      </c>
      <c r="P104" s="5" t="s">
        <v>42</v>
      </c>
      <c r="Q104" s="5">
        <v>9.99</v>
      </c>
      <c r="R104" s="5"/>
      <c r="S104" s="5"/>
      <c r="T104" s="5"/>
      <c r="U104" s="5"/>
      <c r="V104" s="5"/>
      <c r="W104" s="5"/>
      <c r="X104" s="5"/>
      <c r="Y104" s="5" t="s">
        <v>700</v>
      </c>
      <c r="Z104" s="5" t="s">
        <v>54</v>
      </c>
      <c r="AA104" s="5" t="s">
        <v>701</v>
      </c>
      <c r="AB104" s="5" t="s">
        <v>45</v>
      </c>
      <c r="AC104" s="5"/>
      <c r="AD104" s="5"/>
      <c r="AE104" s="5"/>
      <c r="AF104"/>
      <c r="AG104" s="9">
        <f t="shared" si="1"/>
        <v>43266</v>
      </c>
    </row>
    <row r="105" s="6" customFormat="1" spans="1:33">
      <c r="A105" s="5" t="s">
        <v>694</v>
      </c>
      <c r="B105" s="5" t="s">
        <v>694</v>
      </c>
      <c r="C105" s="5" t="s">
        <v>695</v>
      </c>
      <c r="D105" s="5" t="s">
        <v>696</v>
      </c>
      <c r="E105" s="5" t="s">
        <v>35</v>
      </c>
      <c r="F105" s="5" t="s">
        <v>36</v>
      </c>
      <c r="G105" s="5" t="s">
        <v>37</v>
      </c>
      <c r="H105" s="5"/>
      <c r="I105" s="5"/>
      <c r="J105" s="5" t="s">
        <v>59</v>
      </c>
      <c r="K105" s="5" t="s">
        <v>623</v>
      </c>
      <c r="L105" s="5" t="s">
        <v>624</v>
      </c>
      <c r="M105" s="5" t="s">
        <v>625</v>
      </c>
      <c r="N105" s="5" t="s">
        <v>35</v>
      </c>
      <c r="O105" s="5">
        <v>1</v>
      </c>
      <c r="P105" s="5" t="s">
        <v>42</v>
      </c>
      <c r="Q105" s="5">
        <v>9.99</v>
      </c>
      <c r="R105" s="5"/>
      <c r="S105" s="5"/>
      <c r="T105" s="5"/>
      <c r="U105" s="5"/>
      <c r="V105" s="5"/>
      <c r="W105" s="5"/>
      <c r="X105" s="5"/>
      <c r="Y105" s="5" t="s">
        <v>700</v>
      </c>
      <c r="Z105" s="5" t="s">
        <v>54</v>
      </c>
      <c r="AA105" s="5" t="s">
        <v>701</v>
      </c>
      <c r="AB105" s="5" t="s">
        <v>45</v>
      </c>
      <c r="AC105" s="5"/>
      <c r="AD105" s="5"/>
      <c r="AE105" s="5"/>
      <c r="AF105"/>
      <c r="AG105" s="9">
        <f t="shared" si="1"/>
        <v>43266</v>
      </c>
    </row>
    <row r="106" s="6" customFormat="1" spans="1:33">
      <c r="A106" s="5" t="s">
        <v>702</v>
      </c>
      <c r="B106" s="5" t="s">
        <v>702</v>
      </c>
      <c r="C106" s="5" t="s">
        <v>703</v>
      </c>
      <c r="D106" s="5" t="s">
        <v>704</v>
      </c>
      <c r="E106" s="5" t="s">
        <v>35</v>
      </c>
      <c r="F106" s="5" t="s">
        <v>36</v>
      </c>
      <c r="G106" s="5" t="s">
        <v>37</v>
      </c>
      <c r="H106" s="5"/>
      <c r="I106" s="5"/>
      <c r="J106" s="5" t="s">
        <v>59</v>
      </c>
      <c r="K106" s="5" t="s">
        <v>539</v>
      </c>
      <c r="L106" s="5" t="s">
        <v>540</v>
      </c>
      <c r="M106" s="5" t="s">
        <v>541</v>
      </c>
      <c r="N106" s="5" t="s">
        <v>35</v>
      </c>
      <c r="O106" s="5">
        <v>2</v>
      </c>
      <c r="P106" s="5" t="s">
        <v>42</v>
      </c>
      <c r="Q106" s="5">
        <v>31.98</v>
      </c>
      <c r="R106" s="5"/>
      <c r="S106" s="5"/>
      <c r="T106" s="5"/>
      <c r="U106" s="5"/>
      <c r="V106" s="5"/>
      <c r="W106" s="5"/>
      <c r="X106" s="5"/>
      <c r="Y106" s="5" t="s">
        <v>705</v>
      </c>
      <c r="Z106" s="5" t="s">
        <v>153</v>
      </c>
      <c r="AA106" s="5">
        <v>94560</v>
      </c>
      <c r="AB106" s="5" t="s">
        <v>45</v>
      </c>
      <c r="AC106" s="5"/>
      <c r="AD106" s="5"/>
      <c r="AE106" s="5"/>
      <c r="AF106"/>
      <c r="AG106" s="9">
        <f t="shared" si="1"/>
        <v>43266</v>
      </c>
    </row>
    <row r="107" s="6" customFormat="1" spans="1:33">
      <c r="A107" s="5" t="s">
        <v>706</v>
      </c>
      <c r="B107" s="5" t="s">
        <v>706</v>
      </c>
      <c r="C107" s="5" t="s">
        <v>707</v>
      </c>
      <c r="D107" s="5" t="s">
        <v>708</v>
      </c>
      <c r="E107" s="5" t="s">
        <v>35</v>
      </c>
      <c r="F107" s="5" t="s">
        <v>36</v>
      </c>
      <c r="G107" s="5" t="s">
        <v>37</v>
      </c>
      <c r="H107" s="5"/>
      <c r="I107" s="5"/>
      <c r="J107" s="5" t="s">
        <v>59</v>
      </c>
      <c r="K107" s="5" t="s">
        <v>50</v>
      </c>
      <c r="L107" s="5" t="s">
        <v>51</v>
      </c>
      <c r="M107" s="5" t="s">
        <v>52</v>
      </c>
      <c r="N107" s="5" t="s">
        <v>35</v>
      </c>
      <c r="O107" s="5">
        <v>2</v>
      </c>
      <c r="P107" s="5" t="s">
        <v>42</v>
      </c>
      <c r="Q107" s="5">
        <v>14</v>
      </c>
      <c r="R107" s="5"/>
      <c r="S107" s="5"/>
      <c r="T107" s="5"/>
      <c r="U107" s="5"/>
      <c r="V107" s="5"/>
      <c r="W107" s="5"/>
      <c r="X107" s="5"/>
      <c r="Y107" s="5" t="s">
        <v>709</v>
      </c>
      <c r="Z107" s="5" t="s">
        <v>211</v>
      </c>
      <c r="AA107" s="5" t="s">
        <v>710</v>
      </c>
      <c r="AB107" s="5" t="s">
        <v>45</v>
      </c>
      <c r="AC107" s="5"/>
      <c r="AD107" s="5"/>
      <c r="AE107" s="5"/>
      <c r="AF107"/>
      <c r="AG107" s="9">
        <f t="shared" si="1"/>
        <v>43266</v>
      </c>
    </row>
    <row r="108" s="6" customFormat="1" spans="1:33">
      <c r="A108" s="5" t="s">
        <v>711</v>
      </c>
      <c r="B108" s="5" t="s">
        <v>711</v>
      </c>
      <c r="C108" s="5" t="s">
        <v>712</v>
      </c>
      <c r="D108" s="5" t="s">
        <v>713</v>
      </c>
      <c r="E108" s="5" t="s">
        <v>35</v>
      </c>
      <c r="F108" s="5" t="s">
        <v>36</v>
      </c>
      <c r="G108" s="5" t="s">
        <v>37</v>
      </c>
      <c r="H108" s="5"/>
      <c r="I108" s="5"/>
      <c r="J108" s="5" t="s">
        <v>59</v>
      </c>
      <c r="K108" s="5" t="s">
        <v>714</v>
      </c>
      <c r="L108" s="5" t="s">
        <v>715</v>
      </c>
      <c r="M108" s="5" t="s">
        <v>716</v>
      </c>
      <c r="N108" s="5" t="s">
        <v>35</v>
      </c>
      <c r="O108" s="5">
        <v>1</v>
      </c>
      <c r="P108" s="5" t="s">
        <v>42</v>
      </c>
      <c r="Q108" s="5">
        <v>8.99</v>
      </c>
      <c r="R108" s="5"/>
      <c r="S108" s="5"/>
      <c r="T108" s="5"/>
      <c r="U108" s="5"/>
      <c r="V108" s="5"/>
      <c r="W108" s="5"/>
      <c r="X108" s="5"/>
      <c r="Y108" s="5" t="s">
        <v>717</v>
      </c>
      <c r="Z108" s="5" t="s">
        <v>718</v>
      </c>
      <c r="AA108" s="5" t="s">
        <v>719</v>
      </c>
      <c r="AB108" s="5" t="s">
        <v>45</v>
      </c>
      <c r="AC108" s="5"/>
      <c r="AD108" s="5"/>
      <c r="AE108" s="5"/>
      <c r="AF108"/>
      <c r="AG108" s="9">
        <f t="shared" si="1"/>
        <v>43266</v>
      </c>
    </row>
    <row r="109" s="6" customFormat="1" spans="1:33">
      <c r="A109" s="5" t="s">
        <v>720</v>
      </c>
      <c r="B109" s="5" t="s">
        <v>720</v>
      </c>
      <c r="C109" s="5" t="s">
        <v>721</v>
      </c>
      <c r="D109" s="5" t="s">
        <v>722</v>
      </c>
      <c r="E109" s="5" t="s">
        <v>35</v>
      </c>
      <c r="F109" s="5" t="s">
        <v>36</v>
      </c>
      <c r="G109" s="5" t="s">
        <v>37</v>
      </c>
      <c r="H109" s="5"/>
      <c r="I109" s="5"/>
      <c r="J109" s="5" t="s">
        <v>59</v>
      </c>
      <c r="K109" s="5" t="s">
        <v>39</v>
      </c>
      <c r="L109" s="5" t="s">
        <v>40</v>
      </c>
      <c r="M109" s="5" t="s">
        <v>41</v>
      </c>
      <c r="N109" s="5" t="s">
        <v>35</v>
      </c>
      <c r="O109" s="5">
        <v>1</v>
      </c>
      <c r="P109" s="5" t="s">
        <v>42</v>
      </c>
      <c r="Q109" s="5">
        <v>7.99</v>
      </c>
      <c r="R109" s="5"/>
      <c r="S109" s="5"/>
      <c r="T109" s="5"/>
      <c r="U109" s="5"/>
      <c r="V109" s="5"/>
      <c r="W109" s="5"/>
      <c r="X109" s="5"/>
      <c r="Y109" s="5" t="s">
        <v>723</v>
      </c>
      <c r="Z109" s="5" t="s">
        <v>724</v>
      </c>
      <c r="AA109" s="5">
        <v>2472</v>
      </c>
      <c r="AB109" s="5" t="s">
        <v>45</v>
      </c>
      <c r="AC109" s="5"/>
      <c r="AD109" s="5"/>
      <c r="AE109" s="5"/>
      <c r="AF109"/>
      <c r="AG109" s="9">
        <f t="shared" si="1"/>
        <v>43266</v>
      </c>
    </row>
    <row r="110" s="6" customFormat="1" spans="1:33">
      <c r="A110" s="5" t="s">
        <v>725</v>
      </c>
      <c r="B110" s="5" t="s">
        <v>725</v>
      </c>
      <c r="C110" s="5" t="s">
        <v>726</v>
      </c>
      <c r="D110" s="5" t="s">
        <v>727</v>
      </c>
      <c r="E110" s="5" t="s">
        <v>35</v>
      </c>
      <c r="F110" s="5" t="s">
        <v>36</v>
      </c>
      <c r="G110" s="5" t="s">
        <v>37</v>
      </c>
      <c r="H110" s="5"/>
      <c r="I110" s="5"/>
      <c r="J110" s="5" t="s">
        <v>59</v>
      </c>
      <c r="K110" s="5" t="s">
        <v>422</v>
      </c>
      <c r="L110" s="5" t="s">
        <v>423</v>
      </c>
      <c r="M110" s="5" t="s">
        <v>424</v>
      </c>
      <c r="N110" s="5" t="s">
        <v>35</v>
      </c>
      <c r="O110" s="5">
        <v>1</v>
      </c>
      <c r="P110" s="5" t="s">
        <v>42</v>
      </c>
      <c r="Q110" s="5">
        <v>21.98</v>
      </c>
      <c r="R110" s="5"/>
      <c r="S110" s="5"/>
      <c r="T110" s="5"/>
      <c r="U110" s="5"/>
      <c r="V110" s="5"/>
      <c r="W110" s="5">
        <v>4.4</v>
      </c>
      <c r="X110" s="5"/>
      <c r="Y110" s="5" t="s">
        <v>728</v>
      </c>
      <c r="Z110" s="5" t="s">
        <v>729</v>
      </c>
      <c r="AA110" s="5" t="s">
        <v>730</v>
      </c>
      <c r="AB110" s="5" t="s">
        <v>45</v>
      </c>
      <c r="AC110" s="5" t="s">
        <v>213</v>
      </c>
      <c r="AD110" s="5"/>
      <c r="AE110" s="5"/>
      <c r="AF110"/>
      <c r="AG110" s="9">
        <f t="shared" si="1"/>
        <v>43266</v>
      </c>
    </row>
    <row r="111" s="6" customFormat="1" spans="1:33">
      <c r="A111" s="5" t="s">
        <v>731</v>
      </c>
      <c r="B111" s="5" t="s">
        <v>731</v>
      </c>
      <c r="C111" s="5" t="s">
        <v>732</v>
      </c>
      <c r="D111" s="5" t="s">
        <v>733</v>
      </c>
      <c r="E111" s="5" t="s">
        <v>35</v>
      </c>
      <c r="F111" s="5" t="s">
        <v>36</v>
      </c>
      <c r="G111" s="5" t="s">
        <v>37</v>
      </c>
      <c r="H111" s="5"/>
      <c r="I111" s="5"/>
      <c r="J111" s="5" t="s">
        <v>59</v>
      </c>
      <c r="K111" s="5" t="s">
        <v>734</v>
      </c>
      <c r="L111" s="5" t="s">
        <v>735</v>
      </c>
      <c r="M111" s="5" t="s">
        <v>736</v>
      </c>
      <c r="N111" s="5" t="s">
        <v>35</v>
      </c>
      <c r="O111" s="5">
        <v>1</v>
      </c>
      <c r="P111" s="5" t="s">
        <v>42</v>
      </c>
      <c r="Q111" s="5">
        <v>14.4</v>
      </c>
      <c r="R111" s="5"/>
      <c r="S111" s="5"/>
      <c r="T111" s="5"/>
      <c r="U111" s="5"/>
      <c r="V111" s="5"/>
      <c r="W111" s="5"/>
      <c r="X111" s="5"/>
      <c r="Y111" s="5" t="s">
        <v>737</v>
      </c>
      <c r="Z111" s="5" t="s">
        <v>81</v>
      </c>
      <c r="AA111" s="5" t="s">
        <v>738</v>
      </c>
      <c r="AB111" s="5" t="s">
        <v>45</v>
      </c>
      <c r="AC111" s="5"/>
      <c r="AD111" s="5"/>
      <c r="AE111" s="5"/>
      <c r="AF111"/>
      <c r="AG111" s="9">
        <f t="shared" si="1"/>
        <v>43266</v>
      </c>
    </row>
    <row r="112" s="6" customFormat="1" spans="1:33">
      <c r="A112" s="5" t="s">
        <v>739</v>
      </c>
      <c r="B112" s="5" t="s">
        <v>739</v>
      </c>
      <c r="C112" s="5" t="s">
        <v>740</v>
      </c>
      <c r="D112" s="5" t="s">
        <v>741</v>
      </c>
      <c r="E112" s="5" t="s">
        <v>35</v>
      </c>
      <c r="F112" s="5" t="s">
        <v>36</v>
      </c>
      <c r="G112" s="5" t="s">
        <v>37</v>
      </c>
      <c r="H112" s="5"/>
      <c r="I112" s="5"/>
      <c r="J112" s="5" t="s">
        <v>59</v>
      </c>
      <c r="K112" s="5" t="s">
        <v>511</v>
      </c>
      <c r="L112" s="5" t="s">
        <v>512</v>
      </c>
      <c r="M112" s="5" t="s">
        <v>513</v>
      </c>
      <c r="N112" s="5" t="s">
        <v>35</v>
      </c>
      <c r="O112" s="5">
        <v>1</v>
      </c>
      <c r="P112" s="5" t="s">
        <v>42</v>
      </c>
      <c r="Q112" s="5">
        <v>20</v>
      </c>
      <c r="R112" s="5"/>
      <c r="S112" s="5"/>
      <c r="T112" s="5"/>
      <c r="U112" s="5"/>
      <c r="V112" s="5"/>
      <c r="W112" s="5"/>
      <c r="X112" s="5"/>
      <c r="Y112" s="5" t="s">
        <v>742</v>
      </c>
      <c r="Z112" s="5" t="s">
        <v>81</v>
      </c>
      <c r="AA112" s="5" t="s">
        <v>743</v>
      </c>
      <c r="AB112" s="5" t="s">
        <v>45</v>
      </c>
      <c r="AC112" s="5"/>
      <c r="AD112" s="5"/>
      <c r="AE112" s="5"/>
      <c r="AF112"/>
      <c r="AG112" s="9">
        <f t="shared" si="1"/>
        <v>43266</v>
      </c>
    </row>
    <row r="113" s="6" customFormat="1" spans="1:33">
      <c r="A113" s="5" t="s">
        <v>744</v>
      </c>
      <c r="B113" s="5" t="s">
        <v>744</v>
      </c>
      <c r="C113" s="5" t="s">
        <v>745</v>
      </c>
      <c r="D113" s="5" t="s">
        <v>746</v>
      </c>
      <c r="E113" s="5" t="s">
        <v>35</v>
      </c>
      <c r="F113" s="5" t="s">
        <v>36</v>
      </c>
      <c r="G113" s="5" t="s">
        <v>37</v>
      </c>
      <c r="H113" s="5"/>
      <c r="I113" s="5"/>
      <c r="J113" s="5" t="s">
        <v>59</v>
      </c>
      <c r="K113" s="5" t="s">
        <v>50</v>
      </c>
      <c r="L113" s="5" t="s">
        <v>51</v>
      </c>
      <c r="M113" s="5" t="s">
        <v>52</v>
      </c>
      <c r="N113" s="5" t="s">
        <v>35</v>
      </c>
      <c r="O113" s="5">
        <v>1</v>
      </c>
      <c r="P113" s="5" t="s">
        <v>42</v>
      </c>
      <c r="Q113" s="5">
        <v>7</v>
      </c>
      <c r="R113" s="5"/>
      <c r="S113" s="5"/>
      <c r="T113" s="5"/>
      <c r="U113" s="5"/>
      <c r="V113" s="5"/>
      <c r="W113" s="5"/>
      <c r="X113" s="5"/>
      <c r="Y113" s="5" t="s">
        <v>747</v>
      </c>
      <c r="Z113" s="5" t="s">
        <v>153</v>
      </c>
      <c r="AA113" s="5" t="s">
        <v>748</v>
      </c>
      <c r="AB113" s="5" t="s">
        <v>45</v>
      </c>
      <c r="AC113" s="5"/>
      <c r="AD113" s="5"/>
      <c r="AE113" s="5"/>
      <c r="AF113"/>
      <c r="AG113" s="9">
        <f t="shared" si="1"/>
        <v>43267</v>
      </c>
    </row>
    <row r="114" s="6" customFormat="1" spans="1:33">
      <c r="A114" s="5" t="s">
        <v>749</v>
      </c>
      <c r="B114" s="5" t="s">
        <v>749</v>
      </c>
      <c r="C114" s="5" t="s">
        <v>750</v>
      </c>
      <c r="D114" s="5" t="s">
        <v>751</v>
      </c>
      <c r="E114" s="5" t="s">
        <v>35</v>
      </c>
      <c r="F114" s="5" t="s">
        <v>36</v>
      </c>
      <c r="G114" s="5" t="s">
        <v>37</v>
      </c>
      <c r="H114" s="5"/>
      <c r="I114" s="5"/>
      <c r="J114" s="5" t="s">
        <v>59</v>
      </c>
      <c r="K114" s="5" t="s">
        <v>94</v>
      </c>
      <c r="L114" s="5" t="s">
        <v>95</v>
      </c>
      <c r="M114" s="5" t="s">
        <v>96</v>
      </c>
      <c r="N114" s="5" t="s">
        <v>35</v>
      </c>
      <c r="O114" s="5">
        <v>1</v>
      </c>
      <c r="P114" s="5" t="s">
        <v>42</v>
      </c>
      <c r="Q114" s="5">
        <v>14.99</v>
      </c>
      <c r="R114" s="5"/>
      <c r="S114" s="5"/>
      <c r="T114" s="5"/>
      <c r="U114" s="5"/>
      <c r="V114" s="5"/>
      <c r="W114" s="5"/>
      <c r="X114" s="5"/>
      <c r="Y114" s="5" t="s">
        <v>752</v>
      </c>
      <c r="Z114" s="5" t="s">
        <v>534</v>
      </c>
      <c r="AA114" s="5" t="s">
        <v>753</v>
      </c>
      <c r="AB114" s="5" t="s">
        <v>45</v>
      </c>
      <c r="AC114" s="5"/>
      <c r="AD114" s="5"/>
      <c r="AE114" s="5"/>
      <c r="AF114"/>
      <c r="AG114" s="9">
        <f t="shared" si="1"/>
        <v>43267</v>
      </c>
    </row>
    <row r="115" s="6" customFormat="1" spans="1:33">
      <c r="A115" s="5" t="s">
        <v>754</v>
      </c>
      <c r="B115" s="5" t="s">
        <v>754</v>
      </c>
      <c r="C115" s="5" t="s">
        <v>755</v>
      </c>
      <c r="D115" s="5" t="s">
        <v>756</v>
      </c>
      <c r="E115" s="5" t="s">
        <v>35</v>
      </c>
      <c r="F115" s="5" t="s">
        <v>36</v>
      </c>
      <c r="G115" s="5" t="s">
        <v>37</v>
      </c>
      <c r="H115" s="5"/>
      <c r="I115" s="5"/>
      <c r="J115" s="5" t="s">
        <v>59</v>
      </c>
      <c r="K115" s="5" t="s">
        <v>572</v>
      </c>
      <c r="L115" s="5" t="s">
        <v>573</v>
      </c>
      <c r="M115" s="5" t="s">
        <v>574</v>
      </c>
      <c r="N115" s="5" t="s">
        <v>35</v>
      </c>
      <c r="O115" s="5">
        <v>1</v>
      </c>
      <c r="P115" s="5" t="s">
        <v>42</v>
      </c>
      <c r="Q115" s="5">
        <v>14.99</v>
      </c>
      <c r="R115" s="5"/>
      <c r="S115" s="5"/>
      <c r="T115" s="5"/>
      <c r="U115" s="5"/>
      <c r="V115" s="5"/>
      <c r="W115" s="5"/>
      <c r="X115" s="5"/>
      <c r="Y115" s="5" t="s">
        <v>757</v>
      </c>
      <c r="Z115" s="5" t="s">
        <v>609</v>
      </c>
      <c r="AA115" s="5" t="s">
        <v>758</v>
      </c>
      <c r="AB115" s="5" t="s">
        <v>45</v>
      </c>
      <c r="AC115" s="5"/>
      <c r="AD115" s="5"/>
      <c r="AE115" s="5"/>
      <c r="AF115"/>
      <c r="AG115" s="9">
        <f t="shared" si="1"/>
        <v>43267</v>
      </c>
    </row>
    <row r="116" s="6" customFormat="1" spans="1:33">
      <c r="A116" s="5" t="s">
        <v>759</v>
      </c>
      <c r="B116" s="5" t="s">
        <v>759</v>
      </c>
      <c r="C116" s="5" t="s">
        <v>760</v>
      </c>
      <c r="D116" s="5" t="s">
        <v>761</v>
      </c>
      <c r="E116" s="5" t="s">
        <v>35</v>
      </c>
      <c r="F116" s="5" t="s">
        <v>36</v>
      </c>
      <c r="G116" s="5" t="s">
        <v>37</v>
      </c>
      <c r="H116" s="5"/>
      <c r="I116" s="5"/>
      <c r="J116" s="5" t="s">
        <v>59</v>
      </c>
      <c r="K116" s="5" t="s">
        <v>762</v>
      </c>
      <c r="L116" s="5" t="s">
        <v>763</v>
      </c>
      <c r="M116" s="5" t="s">
        <v>764</v>
      </c>
      <c r="N116" s="5" t="s">
        <v>35</v>
      </c>
      <c r="O116" s="5">
        <v>1</v>
      </c>
      <c r="P116" s="5" t="s">
        <v>42</v>
      </c>
      <c r="Q116" s="5">
        <v>21.98</v>
      </c>
      <c r="R116" s="5"/>
      <c r="S116" s="5"/>
      <c r="T116" s="5"/>
      <c r="U116" s="5"/>
      <c r="V116" s="5"/>
      <c r="W116" s="5">
        <v>4.4</v>
      </c>
      <c r="X116" s="5"/>
      <c r="Y116" s="5" t="s">
        <v>765</v>
      </c>
      <c r="Z116" s="5" t="s">
        <v>153</v>
      </c>
      <c r="AA116" s="5" t="s">
        <v>766</v>
      </c>
      <c r="AB116" s="5" t="s">
        <v>45</v>
      </c>
      <c r="AC116" s="5" t="s">
        <v>213</v>
      </c>
      <c r="AD116" s="5"/>
      <c r="AE116" s="5"/>
      <c r="AF116"/>
      <c r="AG116" s="9">
        <f t="shared" si="1"/>
        <v>43267</v>
      </c>
    </row>
    <row r="117" s="6" customFormat="1" spans="1:33">
      <c r="A117" s="5" t="s">
        <v>767</v>
      </c>
      <c r="B117" s="5" t="s">
        <v>767</v>
      </c>
      <c r="C117" s="5" t="s">
        <v>768</v>
      </c>
      <c r="D117" s="5" t="s">
        <v>769</v>
      </c>
      <c r="E117" s="5" t="s">
        <v>35</v>
      </c>
      <c r="F117" s="5" t="s">
        <v>36</v>
      </c>
      <c r="G117" s="5" t="s">
        <v>37</v>
      </c>
      <c r="H117" s="5"/>
      <c r="I117" s="5"/>
      <c r="J117" s="5" t="s">
        <v>59</v>
      </c>
      <c r="K117" s="5" t="s">
        <v>94</v>
      </c>
      <c r="L117" s="5" t="s">
        <v>95</v>
      </c>
      <c r="M117" s="5" t="s">
        <v>96</v>
      </c>
      <c r="N117" s="5" t="s">
        <v>35</v>
      </c>
      <c r="O117" s="5">
        <v>1</v>
      </c>
      <c r="P117" s="5" t="s">
        <v>42</v>
      </c>
      <c r="Q117" s="5">
        <v>14.99</v>
      </c>
      <c r="R117" s="5">
        <v>0.9</v>
      </c>
      <c r="S117" s="5"/>
      <c r="T117" s="5"/>
      <c r="U117" s="5"/>
      <c r="V117" s="5"/>
      <c r="W117" s="5"/>
      <c r="X117" s="5"/>
      <c r="Y117" s="5" t="s">
        <v>770</v>
      </c>
      <c r="Z117" s="5" t="s">
        <v>426</v>
      </c>
      <c r="AA117" s="5">
        <v>17517</v>
      </c>
      <c r="AB117" s="5" t="s">
        <v>45</v>
      </c>
      <c r="AC117" s="5"/>
      <c r="AD117" s="5"/>
      <c r="AE117" s="5"/>
      <c r="AF117"/>
      <c r="AG117" s="9">
        <f t="shared" si="1"/>
        <v>43267</v>
      </c>
    </row>
    <row r="118" s="6" customFormat="1" spans="1:33">
      <c r="A118" s="5" t="s">
        <v>771</v>
      </c>
      <c r="B118" s="5" t="s">
        <v>771</v>
      </c>
      <c r="C118" s="5" t="s">
        <v>772</v>
      </c>
      <c r="D118" s="5" t="s">
        <v>773</v>
      </c>
      <c r="E118" s="5" t="s">
        <v>35</v>
      </c>
      <c r="F118" s="5" t="s">
        <v>36</v>
      </c>
      <c r="G118" s="5" t="s">
        <v>37</v>
      </c>
      <c r="H118" s="5"/>
      <c r="I118" s="5"/>
      <c r="J118" s="5" t="s">
        <v>59</v>
      </c>
      <c r="K118" s="5" t="s">
        <v>50</v>
      </c>
      <c r="L118" s="5" t="s">
        <v>51</v>
      </c>
      <c r="M118" s="5" t="s">
        <v>52</v>
      </c>
      <c r="N118" s="5" t="s">
        <v>35</v>
      </c>
      <c r="O118" s="5">
        <v>1</v>
      </c>
      <c r="P118" s="5" t="s">
        <v>42</v>
      </c>
      <c r="Q118" s="5">
        <v>7</v>
      </c>
      <c r="R118" s="5"/>
      <c r="S118" s="5"/>
      <c r="T118" s="5"/>
      <c r="U118" s="5"/>
      <c r="V118" s="5"/>
      <c r="W118" s="5"/>
      <c r="X118" s="5"/>
      <c r="Y118" s="5" t="s">
        <v>774</v>
      </c>
      <c r="Z118" s="5" t="s">
        <v>534</v>
      </c>
      <c r="AA118" s="5" t="s">
        <v>775</v>
      </c>
      <c r="AB118" s="5" t="s">
        <v>45</v>
      </c>
      <c r="AC118" s="5"/>
      <c r="AD118" s="5"/>
      <c r="AE118" s="5"/>
      <c r="AG118" s="9">
        <f t="shared" si="1"/>
        <v>43267</v>
      </c>
    </row>
    <row r="119" s="6" customFormat="1" spans="1:33">
      <c r="A119" s="5" t="s">
        <v>776</v>
      </c>
      <c r="B119" s="5" t="s">
        <v>776</v>
      </c>
      <c r="C119" s="5" t="s">
        <v>777</v>
      </c>
      <c r="D119" s="5" t="s">
        <v>778</v>
      </c>
      <c r="E119" s="5" t="s">
        <v>35</v>
      </c>
      <c r="F119" s="5" t="s">
        <v>36</v>
      </c>
      <c r="G119" s="5" t="s">
        <v>37</v>
      </c>
      <c r="H119" s="5"/>
      <c r="I119" s="5"/>
      <c r="J119" s="5" t="s">
        <v>59</v>
      </c>
      <c r="K119" s="5" t="s">
        <v>50</v>
      </c>
      <c r="L119" s="5" t="s">
        <v>51</v>
      </c>
      <c r="M119" s="5" t="s">
        <v>52</v>
      </c>
      <c r="N119" s="5" t="s">
        <v>35</v>
      </c>
      <c r="O119" s="5">
        <v>1</v>
      </c>
      <c r="P119" s="5" t="s">
        <v>42</v>
      </c>
      <c r="Q119" s="5">
        <v>7</v>
      </c>
      <c r="R119" s="5"/>
      <c r="S119" s="5"/>
      <c r="T119" s="5"/>
      <c r="U119" s="5"/>
      <c r="V119" s="5"/>
      <c r="W119" s="5"/>
      <c r="X119" s="5"/>
      <c r="Y119" s="5" t="s">
        <v>779</v>
      </c>
      <c r="Z119" s="5" t="s">
        <v>780</v>
      </c>
      <c r="AA119" s="5" t="s">
        <v>781</v>
      </c>
      <c r="AB119" s="5" t="s">
        <v>45</v>
      </c>
      <c r="AC119" s="5"/>
      <c r="AD119" s="5"/>
      <c r="AE119" s="5"/>
      <c r="AG119" s="9">
        <f t="shared" si="1"/>
        <v>43267</v>
      </c>
    </row>
    <row r="120" s="6" customFormat="1" spans="1:33">
      <c r="A120" s="5" t="s">
        <v>782</v>
      </c>
      <c r="B120" s="5" t="s">
        <v>782</v>
      </c>
      <c r="C120" s="5" t="s">
        <v>783</v>
      </c>
      <c r="D120" s="5" t="s">
        <v>784</v>
      </c>
      <c r="E120" s="5" t="s">
        <v>35</v>
      </c>
      <c r="F120" s="5" t="s">
        <v>36</v>
      </c>
      <c r="G120" s="5" t="s">
        <v>37</v>
      </c>
      <c r="H120" s="5"/>
      <c r="I120" s="5"/>
      <c r="J120" s="5" t="s">
        <v>38</v>
      </c>
      <c r="K120" s="5" t="s">
        <v>60</v>
      </c>
      <c r="L120" s="5" t="s">
        <v>61</v>
      </c>
      <c r="M120" s="5" t="s">
        <v>62</v>
      </c>
      <c r="N120" s="5" t="s">
        <v>35</v>
      </c>
      <c r="O120" s="5">
        <v>1</v>
      </c>
      <c r="P120" s="5" t="s">
        <v>42</v>
      </c>
      <c r="Q120" s="5">
        <v>9.99</v>
      </c>
      <c r="R120" s="5"/>
      <c r="S120" s="5"/>
      <c r="T120" s="5"/>
      <c r="U120" s="5"/>
      <c r="V120" s="5"/>
      <c r="W120" s="5"/>
      <c r="X120" s="5"/>
      <c r="Y120" s="5" t="s">
        <v>276</v>
      </c>
      <c r="Z120" s="5" t="s">
        <v>153</v>
      </c>
      <c r="AA120" s="5" t="s">
        <v>277</v>
      </c>
      <c r="AB120" s="5" t="s">
        <v>45</v>
      </c>
      <c r="AC120" s="5"/>
      <c r="AD120" s="5"/>
      <c r="AE120" s="5"/>
      <c r="AG120" s="9">
        <f t="shared" si="1"/>
        <v>43267</v>
      </c>
    </row>
    <row r="121" s="6" customFormat="1" spans="1:33">
      <c r="A121" s="5" t="s">
        <v>785</v>
      </c>
      <c r="B121" s="5" t="s">
        <v>785</v>
      </c>
      <c r="C121" s="5" t="s">
        <v>786</v>
      </c>
      <c r="D121" s="5" t="s">
        <v>787</v>
      </c>
      <c r="E121" s="5" t="s">
        <v>35</v>
      </c>
      <c r="F121" s="5" t="s">
        <v>36</v>
      </c>
      <c r="G121" s="5" t="s">
        <v>37</v>
      </c>
      <c r="H121" s="5"/>
      <c r="I121" s="5"/>
      <c r="J121" s="5" t="s">
        <v>59</v>
      </c>
      <c r="K121" s="5" t="s">
        <v>675</v>
      </c>
      <c r="L121" s="5" t="s">
        <v>676</v>
      </c>
      <c r="M121" s="5" t="s">
        <v>677</v>
      </c>
      <c r="N121" s="5" t="s">
        <v>35</v>
      </c>
      <c r="O121" s="5">
        <v>1</v>
      </c>
      <c r="P121" s="5" t="s">
        <v>42</v>
      </c>
      <c r="Q121" s="5">
        <v>14.99</v>
      </c>
      <c r="R121" s="5"/>
      <c r="S121" s="5"/>
      <c r="T121" s="5"/>
      <c r="U121" s="5"/>
      <c r="V121" s="5"/>
      <c r="W121" s="5"/>
      <c r="X121" s="5"/>
      <c r="Y121" s="5" t="s">
        <v>788</v>
      </c>
      <c r="Z121" s="5" t="s">
        <v>789</v>
      </c>
      <c r="AA121" s="5" t="s">
        <v>790</v>
      </c>
      <c r="AB121" s="5" t="s">
        <v>45</v>
      </c>
      <c r="AC121" s="5"/>
      <c r="AD121" s="5"/>
      <c r="AE121" s="5"/>
      <c r="AG121" s="9">
        <f t="shared" si="1"/>
        <v>43267</v>
      </c>
    </row>
    <row r="122" s="6" customFormat="1" spans="1:33">
      <c r="A122" s="5" t="s">
        <v>791</v>
      </c>
      <c r="B122" s="5" t="s">
        <v>791</v>
      </c>
      <c r="C122" s="5" t="s">
        <v>792</v>
      </c>
      <c r="D122" s="5" t="s">
        <v>793</v>
      </c>
      <c r="E122" s="5" t="s">
        <v>35</v>
      </c>
      <c r="F122" s="5" t="s">
        <v>36</v>
      </c>
      <c r="G122" s="5" t="s">
        <v>37</v>
      </c>
      <c r="H122" s="5"/>
      <c r="I122" s="5"/>
      <c r="J122" s="5" t="s">
        <v>38</v>
      </c>
      <c r="K122" s="5" t="s">
        <v>794</v>
      </c>
      <c r="L122" s="5" t="s">
        <v>795</v>
      </c>
      <c r="M122" s="5" t="s">
        <v>796</v>
      </c>
      <c r="N122" s="5" t="s">
        <v>35</v>
      </c>
      <c r="O122" s="5">
        <v>1</v>
      </c>
      <c r="P122" s="5" t="s">
        <v>42</v>
      </c>
      <c r="Q122" s="5">
        <v>9.99</v>
      </c>
      <c r="R122" s="5"/>
      <c r="S122" s="5"/>
      <c r="T122" s="5"/>
      <c r="U122" s="5"/>
      <c r="V122" s="5"/>
      <c r="W122" s="5"/>
      <c r="X122" s="5"/>
      <c r="Y122" s="5" t="s">
        <v>797</v>
      </c>
      <c r="Z122" s="5" t="s">
        <v>153</v>
      </c>
      <c r="AA122" s="5" t="s">
        <v>798</v>
      </c>
      <c r="AB122" s="5" t="s">
        <v>45</v>
      </c>
      <c r="AC122" s="5"/>
      <c r="AD122" s="5"/>
      <c r="AE122" s="5"/>
      <c r="AG122" s="9">
        <f t="shared" si="1"/>
        <v>43267</v>
      </c>
    </row>
    <row r="123" s="6" customFormat="1" spans="1:33">
      <c r="A123" s="5" t="s">
        <v>799</v>
      </c>
      <c r="B123" s="5" t="s">
        <v>799</v>
      </c>
      <c r="C123" s="5" t="s">
        <v>800</v>
      </c>
      <c r="D123" s="5" t="s">
        <v>801</v>
      </c>
      <c r="E123" s="5" t="s">
        <v>35</v>
      </c>
      <c r="F123" s="5" t="s">
        <v>36</v>
      </c>
      <c r="G123" s="5" t="s">
        <v>37</v>
      </c>
      <c r="H123" s="5"/>
      <c r="I123" s="5"/>
      <c r="J123" s="5" t="s">
        <v>59</v>
      </c>
      <c r="K123" s="5" t="s">
        <v>50</v>
      </c>
      <c r="L123" s="5" t="s">
        <v>51</v>
      </c>
      <c r="M123" s="5" t="s">
        <v>52</v>
      </c>
      <c r="N123" s="5" t="s">
        <v>35</v>
      </c>
      <c r="O123" s="5">
        <v>1</v>
      </c>
      <c r="P123" s="5" t="s">
        <v>42</v>
      </c>
      <c r="Q123" s="5">
        <v>7</v>
      </c>
      <c r="R123" s="5"/>
      <c r="S123" s="5"/>
      <c r="T123" s="5"/>
      <c r="U123" s="5"/>
      <c r="V123" s="5"/>
      <c r="W123" s="5"/>
      <c r="X123" s="5"/>
      <c r="Y123" s="5" t="s">
        <v>797</v>
      </c>
      <c r="Z123" s="5" t="s">
        <v>153</v>
      </c>
      <c r="AA123" s="5" t="s">
        <v>802</v>
      </c>
      <c r="AB123" s="5" t="s">
        <v>45</v>
      </c>
      <c r="AC123" s="5"/>
      <c r="AD123" s="5"/>
      <c r="AE123" s="5"/>
      <c r="AG123" s="9">
        <f t="shared" si="1"/>
        <v>43267</v>
      </c>
    </row>
    <row r="124" s="6" customFormat="1" spans="1:33">
      <c r="A124" s="5" t="s">
        <v>803</v>
      </c>
      <c r="B124" s="5" t="s">
        <v>803</v>
      </c>
      <c r="C124" s="5" t="s">
        <v>804</v>
      </c>
      <c r="D124" s="5" t="s">
        <v>805</v>
      </c>
      <c r="E124" s="5" t="s">
        <v>35</v>
      </c>
      <c r="F124" s="5" t="s">
        <v>36</v>
      </c>
      <c r="G124" s="5" t="s">
        <v>37</v>
      </c>
      <c r="H124" s="5"/>
      <c r="I124" s="5"/>
      <c r="J124" s="5" t="s">
        <v>59</v>
      </c>
      <c r="K124" s="5" t="s">
        <v>94</v>
      </c>
      <c r="L124" s="5" t="s">
        <v>95</v>
      </c>
      <c r="M124" s="5" t="s">
        <v>96</v>
      </c>
      <c r="N124" s="5" t="s">
        <v>35</v>
      </c>
      <c r="O124" s="5">
        <v>1</v>
      </c>
      <c r="P124" s="5" t="s">
        <v>42</v>
      </c>
      <c r="Q124" s="5">
        <v>14.99</v>
      </c>
      <c r="R124" s="5"/>
      <c r="S124" s="5"/>
      <c r="T124" s="5"/>
      <c r="U124" s="5"/>
      <c r="V124" s="5"/>
      <c r="W124" s="5"/>
      <c r="X124" s="5"/>
      <c r="Y124" s="5" t="s">
        <v>806</v>
      </c>
      <c r="Z124" s="5" t="s">
        <v>556</v>
      </c>
      <c r="AA124" s="5" t="s">
        <v>807</v>
      </c>
      <c r="AB124" s="5" t="s">
        <v>45</v>
      </c>
      <c r="AC124" s="5"/>
      <c r="AD124" s="5"/>
      <c r="AE124" s="5"/>
      <c r="AG124" s="9">
        <f t="shared" si="1"/>
        <v>43267</v>
      </c>
    </row>
    <row r="125" s="6" customFormat="1" spans="1:33">
      <c r="A125" s="5" t="s">
        <v>808</v>
      </c>
      <c r="B125" s="5" t="s">
        <v>808</v>
      </c>
      <c r="C125" s="5" t="s">
        <v>809</v>
      </c>
      <c r="D125" s="5" t="s">
        <v>810</v>
      </c>
      <c r="E125" s="5" t="s">
        <v>35</v>
      </c>
      <c r="F125" s="5" t="s">
        <v>36</v>
      </c>
      <c r="G125" s="5" t="s">
        <v>37</v>
      </c>
      <c r="H125" s="5"/>
      <c r="I125" s="5"/>
      <c r="J125" s="5" t="s">
        <v>59</v>
      </c>
      <c r="K125" s="5" t="s">
        <v>50</v>
      </c>
      <c r="L125" s="5" t="s">
        <v>51</v>
      </c>
      <c r="M125" s="5" t="s">
        <v>52</v>
      </c>
      <c r="N125" s="5" t="s">
        <v>35</v>
      </c>
      <c r="O125" s="5">
        <v>1</v>
      </c>
      <c r="P125" s="5" t="s">
        <v>42</v>
      </c>
      <c r="Q125" s="5">
        <v>7</v>
      </c>
      <c r="R125" s="5"/>
      <c r="S125" s="5"/>
      <c r="T125" s="5"/>
      <c r="U125" s="5"/>
      <c r="V125" s="5"/>
      <c r="W125" s="5"/>
      <c r="X125" s="5"/>
      <c r="Y125" s="5" t="s">
        <v>811</v>
      </c>
      <c r="Z125" s="5" t="s">
        <v>54</v>
      </c>
      <c r="AA125" s="5" t="s">
        <v>812</v>
      </c>
      <c r="AB125" s="5" t="s">
        <v>45</v>
      </c>
      <c r="AC125" s="5"/>
      <c r="AD125" s="5"/>
      <c r="AE125" s="5"/>
      <c r="AG125" s="9">
        <f t="shared" si="1"/>
        <v>43267</v>
      </c>
    </row>
    <row r="126" s="6" customFormat="1" spans="1:33">
      <c r="A126" s="5" t="s">
        <v>813</v>
      </c>
      <c r="B126" s="5" t="s">
        <v>813</v>
      </c>
      <c r="C126" s="5" t="s">
        <v>814</v>
      </c>
      <c r="D126" s="5" t="s">
        <v>815</v>
      </c>
      <c r="E126" s="5" t="s">
        <v>35</v>
      </c>
      <c r="F126" s="5" t="s">
        <v>36</v>
      </c>
      <c r="G126" s="5" t="s">
        <v>37</v>
      </c>
      <c r="H126" s="5"/>
      <c r="I126" s="5"/>
      <c r="J126" s="5" t="s">
        <v>59</v>
      </c>
      <c r="K126" s="5" t="s">
        <v>94</v>
      </c>
      <c r="L126" s="5" t="s">
        <v>95</v>
      </c>
      <c r="M126" s="5" t="s">
        <v>96</v>
      </c>
      <c r="N126" s="5" t="s">
        <v>35</v>
      </c>
      <c r="O126" s="5">
        <v>1</v>
      </c>
      <c r="P126" s="5" t="s">
        <v>42</v>
      </c>
      <c r="Q126" s="5">
        <v>14.99</v>
      </c>
      <c r="R126" s="5"/>
      <c r="S126" s="5"/>
      <c r="T126" s="5"/>
      <c r="U126" s="5"/>
      <c r="V126" s="5"/>
      <c r="W126" s="5"/>
      <c r="X126" s="5"/>
      <c r="Y126" s="5" t="s">
        <v>816</v>
      </c>
      <c r="Z126" s="5" t="s">
        <v>153</v>
      </c>
      <c r="AA126" s="5" t="s">
        <v>817</v>
      </c>
      <c r="AB126" s="5" t="s">
        <v>45</v>
      </c>
      <c r="AC126" s="5"/>
      <c r="AD126" s="5"/>
      <c r="AE126" s="5"/>
      <c r="AG126" s="9">
        <f t="shared" si="1"/>
        <v>43267</v>
      </c>
    </row>
    <row r="127" s="6" customFormat="1" spans="1:33">
      <c r="A127" s="5" t="s">
        <v>818</v>
      </c>
      <c r="B127" s="5" t="s">
        <v>818</v>
      </c>
      <c r="C127" s="5" t="s">
        <v>819</v>
      </c>
      <c r="D127" s="5" t="s">
        <v>820</v>
      </c>
      <c r="E127" s="5" t="s">
        <v>35</v>
      </c>
      <c r="F127" s="5" t="s">
        <v>36</v>
      </c>
      <c r="G127" s="5" t="s">
        <v>37</v>
      </c>
      <c r="H127" s="5"/>
      <c r="I127" s="5"/>
      <c r="J127" s="5" t="s">
        <v>59</v>
      </c>
      <c r="K127" s="5" t="s">
        <v>50</v>
      </c>
      <c r="L127" s="5" t="s">
        <v>51</v>
      </c>
      <c r="M127" s="5" t="s">
        <v>52</v>
      </c>
      <c r="N127" s="5" t="s">
        <v>35</v>
      </c>
      <c r="O127" s="5">
        <v>1</v>
      </c>
      <c r="P127" s="5" t="s">
        <v>42</v>
      </c>
      <c r="Q127" s="5">
        <v>7</v>
      </c>
      <c r="R127" s="5"/>
      <c r="S127" s="5"/>
      <c r="T127" s="5"/>
      <c r="U127" s="5"/>
      <c r="V127" s="5"/>
      <c r="W127" s="5"/>
      <c r="X127" s="5"/>
      <c r="Y127" s="5" t="s">
        <v>821</v>
      </c>
      <c r="Z127" s="5" t="s">
        <v>822</v>
      </c>
      <c r="AA127" s="5" t="s">
        <v>823</v>
      </c>
      <c r="AB127" s="5" t="s">
        <v>45</v>
      </c>
      <c r="AC127" s="5"/>
      <c r="AD127" s="5"/>
      <c r="AE127" s="5"/>
      <c r="AG127" s="9">
        <f t="shared" si="1"/>
        <v>43267</v>
      </c>
    </row>
    <row r="128" s="6" customFormat="1" spans="1:33">
      <c r="A128" s="5" t="s">
        <v>824</v>
      </c>
      <c r="B128" s="5" t="s">
        <v>824</v>
      </c>
      <c r="C128" s="5" t="s">
        <v>825</v>
      </c>
      <c r="D128" s="5" t="s">
        <v>826</v>
      </c>
      <c r="E128" s="5" t="s">
        <v>35</v>
      </c>
      <c r="F128" s="5" t="s">
        <v>36</v>
      </c>
      <c r="G128" s="5" t="s">
        <v>37</v>
      </c>
      <c r="H128" s="5"/>
      <c r="I128" s="5"/>
      <c r="J128" s="5" t="s">
        <v>59</v>
      </c>
      <c r="K128" s="5" t="s">
        <v>50</v>
      </c>
      <c r="L128" s="5" t="s">
        <v>51</v>
      </c>
      <c r="M128" s="5" t="s">
        <v>52</v>
      </c>
      <c r="N128" s="5" t="s">
        <v>35</v>
      </c>
      <c r="O128" s="5">
        <v>1</v>
      </c>
      <c r="P128" s="5" t="s">
        <v>42</v>
      </c>
      <c r="Q128" s="5">
        <v>7</v>
      </c>
      <c r="R128" s="5"/>
      <c r="S128" s="5"/>
      <c r="T128" s="5"/>
      <c r="U128" s="5"/>
      <c r="V128" s="5"/>
      <c r="W128" s="5"/>
      <c r="X128" s="5"/>
      <c r="Y128" s="5" t="s">
        <v>827</v>
      </c>
      <c r="Z128" s="5" t="s">
        <v>162</v>
      </c>
      <c r="AA128" s="5">
        <v>2343</v>
      </c>
      <c r="AB128" s="5" t="s">
        <v>45</v>
      </c>
      <c r="AC128" s="5"/>
      <c r="AD128" s="5"/>
      <c r="AE128" s="5"/>
      <c r="AG128" s="9">
        <f t="shared" si="1"/>
        <v>43267</v>
      </c>
    </row>
    <row r="129" s="6" customFormat="1" spans="1:33">
      <c r="A129" s="5" t="s">
        <v>828</v>
      </c>
      <c r="B129" s="5" t="s">
        <v>828</v>
      </c>
      <c r="C129" s="5" t="s">
        <v>829</v>
      </c>
      <c r="D129" s="5" t="s">
        <v>830</v>
      </c>
      <c r="E129" s="5" t="s">
        <v>35</v>
      </c>
      <c r="F129" s="5" t="s">
        <v>36</v>
      </c>
      <c r="G129" s="5" t="s">
        <v>37</v>
      </c>
      <c r="H129" s="5"/>
      <c r="I129" s="5"/>
      <c r="J129" s="5" t="s">
        <v>59</v>
      </c>
      <c r="K129" s="5" t="s">
        <v>831</v>
      </c>
      <c r="L129" s="5" t="s">
        <v>832</v>
      </c>
      <c r="M129" s="5" t="s">
        <v>833</v>
      </c>
      <c r="N129" s="5" t="s">
        <v>35</v>
      </c>
      <c r="O129" s="5">
        <v>1</v>
      </c>
      <c r="P129" s="5" t="s">
        <v>42</v>
      </c>
      <c r="Q129" s="5">
        <v>14.99</v>
      </c>
      <c r="R129" s="5"/>
      <c r="S129" s="5"/>
      <c r="T129" s="5"/>
      <c r="U129" s="5"/>
      <c r="V129" s="5"/>
      <c r="W129" s="5"/>
      <c r="X129" s="5"/>
      <c r="Y129" s="5" t="s">
        <v>834</v>
      </c>
      <c r="Z129" s="5" t="s">
        <v>211</v>
      </c>
      <c r="AA129" s="5" t="s">
        <v>835</v>
      </c>
      <c r="AB129" s="5" t="s">
        <v>45</v>
      </c>
      <c r="AC129" s="5"/>
      <c r="AD129" s="5"/>
      <c r="AE129" s="5"/>
      <c r="AG129" s="9">
        <f t="shared" si="1"/>
        <v>43267</v>
      </c>
    </row>
    <row r="130" s="6" customFormat="1" spans="1:33">
      <c r="A130" s="5" t="s">
        <v>836</v>
      </c>
      <c r="B130" s="5" t="s">
        <v>836</v>
      </c>
      <c r="C130" s="5" t="s">
        <v>837</v>
      </c>
      <c r="D130" s="5" t="s">
        <v>838</v>
      </c>
      <c r="E130" s="5" t="s">
        <v>35</v>
      </c>
      <c r="F130" s="5" t="s">
        <v>36</v>
      </c>
      <c r="G130" s="5" t="s">
        <v>37</v>
      </c>
      <c r="H130" s="5"/>
      <c r="I130" s="5"/>
      <c r="J130" s="5" t="s">
        <v>59</v>
      </c>
      <c r="K130" s="5" t="s">
        <v>77</v>
      </c>
      <c r="L130" s="5" t="s">
        <v>78</v>
      </c>
      <c r="M130" s="5" t="s">
        <v>79</v>
      </c>
      <c r="N130" s="5" t="s">
        <v>35</v>
      </c>
      <c r="O130" s="5">
        <v>1</v>
      </c>
      <c r="P130" s="5" t="s">
        <v>42</v>
      </c>
      <c r="Q130" s="5">
        <v>8.99</v>
      </c>
      <c r="R130" s="5"/>
      <c r="S130" s="5"/>
      <c r="T130" s="5"/>
      <c r="U130" s="5"/>
      <c r="V130" s="5"/>
      <c r="W130" s="5"/>
      <c r="X130" s="5"/>
      <c r="Y130" s="5" t="s">
        <v>700</v>
      </c>
      <c r="Z130" s="5" t="s">
        <v>54</v>
      </c>
      <c r="AA130" s="5" t="s">
        <v>839</v>
      </c>
      <c r="AB130" s="5" t="s">
        <v>45</v>
      </c>
      <c r="AC130" s="5"/>
      <c r="AD130" s="5"/>
      <c r="AE130" s="5"/>
      <c r="AG130" s="9">
        <f t="shared" ref="AG130:AG193" si="2">DATEVALUE(LEFT(C130,10))</f>
        <v>43267</v>
      </c>
    </row>
    <row r="131" s="6" customFormat="1" spans="1:33">
      <c r="A131" s="5" t="s">
        <v>840</v>
      </c>
      <c r="B131" s="5" t="s">
        <v>840</v>
      </c>
      <c r="C131" s="5" t="s">
        <v>841</v>
      </c>
      <c r="D131" s="5" t="s">
        <v>842</v>
      </c>
      <c r="E131" s="5" t="s">
        <v>35</v>
      </c>
      <c r="F131" s="5" t="s">
        <v>36</v>
      </c>
      <c r="G131" s="5" t="s">
        <v>37</v>
      </c>
      <c r="H131" s="5"/>
      <c r="I131" s="5"/>
      <c r="J131" s="5" t="s">
        <v>59</v>
      </c>
      <c r="K131" s="5" t="s">
        <v>309</v>
      </c>
      <c r="L131" s="5" t="s">
        <v>310</v>
      </c>
      <c r="M131" s="5" t="s">
        <v>311</v>
      </c>
      <c r="N131" s="5" t="s">
        <v>35</v>
      </c>
      <c r="O131" s="5">
        <v>1</v>
      </c>
      <c r="P131" s="5" t="s">
        <v>42</v>
      </c>
      <c r="Q131" s="5">
        <v>13.99</v>
      </c>
      <c r="R131" s="5"/>
      <c r="S131" s="5"/>
      <c r="T131" s="5"/>
      <c r="U131" s="5"/>
      <c r="V131" s="5"/>
      <c r="W131" s="5"/>
      <c r="X131" s="5"/>
      <c r="Y131" s="5" t="s">
        <v>843</v>
      </c>
      <c r="Z131" s="5" t="s">
        <v>586</v>
      </c>
      <c r="AA131" s="5">
        <v>95628</v>
      </c>
      <c r="AB131" s="5" t="s">
        <v>45</v>
      </c>
      <c r="AC131" s="5"/>
      <c r="AD131" s="5"/>
      <c r="AE131" s="5"/>
      <c r="AG131" s="9">
        <f t="shared" si="2"/>
        <v>43267</v>
      </c>
    </row>
    <row r="132" s="6" customFormat="1" spans="1:33">
      <c r="A132" s="5" t="s">
        <v>844</v>
      </c>
      <c r="B132" s="5" t="s">
        <v>844</v>
      </c>
      <c r="C132" s="5" t="s">
        <v>845</v>
      </c>
      <c r="D132" s="5" t="s">
        <v>846</v>
      </c>
      <c r="E132" s="5" t="s">
        <v>35</v>
      </c>
      <c r="F132" s="5" t="s">
        <v>36</v>
      </c>
      <c r="G132" s="5" t="s">
        <v>37</v>
      </c>
      <c r="H132" s="5"/>
      <c r="I132" s="5"/>
      <c r="J132" s="5" t="s">
        <v>38</v>
      </c>
      <c r="K132" s="5" t="s">
        <v>281</v>
      </c>
      <c r="L132" s="5" t="s">
        <v>282</v>
      </c>
      <c r="M132" s="5" t="s">
        <v>283</v>
      </c>
      <c r="N132" s="5" t="s">
        <v>35</v>
      </c>
      <c r="O132" s="5">
        <v>1</v>
      </c>
      <c r="P132" s="5" t="s">
        <v>42</v>
      </c>
      <c r="Q132" s="5">
        <v>9.99</v>
      </c>
      <c r="R132" s="5"/>
      <c r="S132" s="5"/>
      <c r="T132" s="5"/>
      <c r="U132" s="5"/>
      <c r="V132" s="5"/>
      <c r="W132" s="5"/>
      <c r="X132" s="5"/>
      <c r="Y132" s="5" t="s">
        <v>847</v>
      </c>
      <c r="Z132" s="5" t="s">
        <v>848</v>
      </c>
      <c r="AA132" s="5" t="s">
        <v>849</v>
      </c>
      <c r="AB132" s="5" t="s">
        <v>45</v>
      </c>
      <c r="AC132" s="5"/>
      <c r="AD132" s="5"/>
      <c r="AE132" s="5"/>
      <c r="AG132" s="9">
        <f t="shared" si="2"/>
        <v>43268</v>
      </c>
    </row>
    <row r="133" s="6" customFormat="1" spans="1:33">
      <c r="A133" s="5" t="s">
        <v>850</v>
      </c>
      <c r="B133" s="5" t="s">
        <v>850</v>
      </c>
      <c r="C133" s="5" t="s">
        <v>851</v>
      </c>
      <c r="D133" s="5" t="s">
        <v>852</v>
      </c>
      <c r="E133" s="5" t="s">
        <v>35</v>
      </c>
      <c r="F133" s="5" t="s">
        <v>36</v>
      </c>
      <c r="G133" s="5" t="s">
        <v>37</v>
      </c>
      <c r="H133" s="5"/>
      <c r="I133" s="5"/>
      <c r="J133" s="5" t="s">
        <v>59</v>
      </c>
      <c r="K133" s="5" t="s">
        <v>853</v>
      </c>
      <c r="L133" s="5" t="s">
        <v>854</v>
      </c>
      <c r="M133" s="5" t="s">
        <v>855</v>
      </c>
      <c r="N133" s="5" t="s">
        <v>35</v>
      </c>
      <c r="O133" s="5">
        <v>1</v>
      </c>
      <c r="P133" s="5" t="s">
        <v>42</v>
      </c>
      <c r="Q133" s="5">
        <v>14.99</v>
      </c>
      <c r="R133" s="5"/>
      <c r="S133" s="5"/>
      <c r="T133" s="5"/>
      <c r="U133" s="5"/>
      <c r="V133" s="5"/>
      <c r="W133" s="5"/>
      <c r="X133" s="5"/>
      <c r="Y133" s="5" t="s">
        <v>856</v>
      </c>
      <c r="Z133" s="5" t="s">
        <v>162</v>
      </c>
      <c r="AA133" s="5">
        <v>2668</v>
      </c>
      <c r="AB133" s="5" t="s">
        <v>45</v>
      </c>
      <c r="AC133" s="5"/>
      <c r="AD133" s="5"/>
      <c r="AE133" s="5"/>
      <c r="AG133" s="9">
        <f t="shared" si="2"/>
        <v>43268</v>
      </c>
    </row>
    <row r="134" s="6" customFormat="1" spans="1:33">
      <c r="A134" s="5" t="s">
        <v>857</v>
      </c>
      <c r="B134" s="5" t="s">
        <v>857</v>
      </c>
      <c r="C134" s="5" t="s">
        <v>858</v>
      </c>
      <c r="D134" s="5" t="s">
        <v>859</v>
      </c>
      <c r="E134" s="5" t="s">
        <v>35</v>
      </c>
      <c r="F134" s="5" t="s">
        <v>36</v>
      </c>
      <c r="G134" s="5" t="s">
        <v>37</v>
      </c>
      <c r="H134" s="5"/>
      <c r="I134" s="5"/>
      <c r="J134" s="5" t="s">
        <v>59</v>
      </c>
      <c r="K134" s="5" t="s">
        <v>511</v>
      </c>
      <c r="L134" s="5" t="s">
        <v>512</v>
      </c>
      <c r="M134" s="5" t="s">
        <v>513</v>
      </c>
      <c r="N134" s="5" t="s">
        <v>35</v>
      </c>
      <c r="O134" s="5">
        <v>1</v>
      </c>
      <c r="P134" s="5" t="s">
        <v>42</v>
      </c>
      <c r="Q134" s="5">
        <v>20</v>
      </c>
      <c r="R134" s="5"/>
      <c r="S134" s="5"/>
      <c r="T134" s="5"/>
      <c r="U134" s="5"/>
      <c r="V134" s="5"/>
      <c r="W134" s="5"/>
      <c r="X134" s="5"/>
      <c r="Y134" s="5" t="s">
        <v>860</v>
      </c>
      <c r="Z134" s="5" t="s">
        <v>861</v>
      </c>
      <c r="AA134" s="5" t="s">
        <v>862</v>
      </c>
      <c r="AB134" s="5" t="s">
        <v>45</v>
      </c>
      <c r="AC134" s="5"/>
      <c r="AD134" s="5"/>
      <c r="AE134" s="5"/>
      <c r="AG134" s="9">
        <f t="shared" si="2"/>
        <v>43268</v>
      </c>
    </row>
    <row r="135" s="6" customFormat="1" spans="1:33">
      <c r="A135" s="5" t="s">
        <v>863</v>
      </c>
      <c r="B135" s="5" t="s">
        <v>863</v>
      </c>
      <c r="C135" s="5" t="s">
        <v>864</v>
      </c>
      <c r="D135" s="5" t="s">
        <v>865</v>
      </c>
      <c r="E135" s="5" t="s">
        <v>35</v>
      </c>
      <c r="F135" s="5" t="s">
        <v>36</v>
      </c>
      <c r="G135" s="5" t="s">
        <v>37</v>
      </c>
      <c r="H135" s="5"/>
      <c r="I135" s="5"/>
      <c r="J135" s="5" t="s">
        <v>59</v>
      </c>
      <c r="K135" s="5" t="s">
        <v>511</v>
      </c>
      <c r="L135" s="5" t="s">
        <v>512</v>
      </c>
      <c r="M135" s="5" t="s">
        <v>513</v>
      </c>
      <c r="N135" s="5" t="s">
        <v>35</v>
      </c>
      <c r="O135" s="5">
        <v>1</v>
      </c>
      <c r="P135" s="5" t="s">
        <v>42</v>
      </c>
      <c r="Q135" s="5">
        <v>20</v>
      </c>
      <c r="R135" s="5"/>
      <c r="S135" s="5"/>
      <c r="T135" s="5"/>
      <c r="U135" s="5"/>
      <c r="V135" s="5"/>
      <c r="W135" s="5"/>
      <c r="X135" s="5"/>
      <c r="Y135" s="5" t="s">
        <v>866</v>
      </c>
      <c r="Z135" s="5" t="s">
        <v>73</v>
      </c>
      <c r="AA135" s="5">
        <v>78023</v>
      </c>
      <c r="AB135" s="5" t="s">
        <v>45</v>
      </c>
      <c r="AC135" s="5"/>
      <c r="AD135" s="5"/>
      <c r="AE135" s="5"/>
      <c r="AG135" s="9">
        <f t="shared" si="2"/>
        <v>43268</v>
      </c>
    </row>
    <row r="136" s="6" customFormat="1" spans="1:33">
      <c r="A136" s="5" t="s">
        <v>867</v>
      </c>
      <c r="B136" s="5" t="s">
        <v>867</v>
      </c>
      <c r="C136" s="5" t="s">
        <v>868</v>
      </c>
      <c r="D136" s="5" t="s">
        <v>869</v>
      </c>
      <c r="E136" s="5" t="s">
        <v>35</v>
      </c>
      <c r="F136" s="5" t="s">
        <v>36</v>
      </c>
      <c r="G136" s="5" t="s">
        <v>37</v>
      </c>
      <c r="H136" s="5"/>
      <c r="I136" s="5"/>
      <c r="J136" s="5" t="s">
        <v>38</v>
      </c>
      <c r="K136" s="5" t="s">
        <v>688</v>
      </c>
      <c r="L136" s="5" t="s">
        <v>689</v>
      </c>
      <c r="M136" s="5" t="s">
        <v>690</v>
      </c>
      <c r="N136" s="5" t="s">
        <v>35</v>
      </c>
      <c r="O136" s="5">
        <v>1</v>
      </c>
      <c r="P136" s="5" t="s">
        <v>42</v>
      </c>
      <c r="Q136" s="5">
        <v>8.99</v>
      </c>
      <c r="R136" s="5"/>
      <c r="S136" s="5"/>
      <c r="T136" s="5"/>
      <c r="U136" s="5"/>
      <c r="V136" s="5"/>
      <c r="W136" s="5"/>
      <c r="X136" s="5"/>
      <c r="Y136" s="5" t="s">
        <v>870</v>
      </c>
      <c r="Z136" s="5" t="s">
        <v>871</v>
      </c>
      <c r="AA136" s="5">
        <v>27360</v>
      </c>
      <c r="AB136" s="5" t="s">
        <v>45</v>
      </c>
      <c r="AC136" s="5"/>
      <c r="AD136" s="5"/>
      <c r="AE136" s="5"/>
      <c r="AG136" s="9">
        <f t="shared" si="2"/>
        <v>43268</v>
      </c>
    </row>
    <row r="137" s="6" customFormat="1" spans="1:33">
      <c r="A137" s="5" t="s">
        <v>872</v>
      </c>
      <c r="B137" s="5" t="s">
        <v>872</v>
      </c>
      <c r="C137" s="5" t="s">
        <v>873</v>
      </c>
      <c r="D137" s="5" t="s">
        <v>874</v>
      </c>
      <c r="E137" s="5" t="s">
        <v>35</v>
      </c>
      <c r="F137" s="5" t="s">
        <v>36</v>
      </c>
      <c r="G137" s="5" t="s">
        <v>37</v>
      </c>
      <c r="H137" s="5"/>
      <c r="I137" s="5"/>
      <c r="J137" s="5" t="s">
        <v>59</v>
      </c>
      <c r="K137" s="5" t="s">
        <v>875</v>
      </c>
      <c r="L137" s="5" t="s">
        <v>876</v>
      </c>
      <c r="M137" s="5" t="s">
        <v>877</v>
      </c>
      <c r="N137" s="5" t="s">
        <v>35</v>
      </c>
      <c r="O137" s="5">
        <v>2</v>
      </c>
      <c r="P137" s="5" t="s">
        <v>42</v>
      </c>
      <c r="Q137" s="5">
        <v>33.98</v>
      </c>
      <c r="R137" s="5"/>
      <c r="S137" s="5"/>
      <c r="T137" s="5"/>
      <c r="U137" s="5"/>
      <c r="V137" s="5"/>
      <c r="W137" s="5"/>
      <c r="X137" s="5"/>
      <c r="Y137" s="5" t="s">
        <v>878</v>
      </c>
      <c r="Z137" s="5" t="s">
        <v>54</v>
      </c>
      <c r="AA137" s="5" t="s">
        <v>879</v>
      </c>
      <c r="AB137" s="5" t="s">
        <v>45</v>
      </c>
      <c r="AC137" s="5"/>
      <c r="AD137" s="5"/>
      <c r="AE137" s="5"/>
      <c r="AG137" s="9">
        <f t="shared" si="2"/>
        <v>43268</v>
      </c>
    </row>
    <row r="138" s="6" customFormat="1" spans="1:33">
      <c r="A138" s="5" t="s">
        <v>880</v>
      </c>
      <c r="B138" s="5" t="s">
        <v>880</v>
      </c>
      <c r="C138" s="5" t="s">
        <v>881</v>
      </c>
      <c r="D138" s="5" t="s">
        <v>882</v>
      </c>
      <c r="E138" s="5" t="s">
        <v>35</v>
      </c>
      <c r="F138" s="5" t="s">
        <v>36</v>
      </c>
      <c r="G138" s="5" t="s">
        <v>37</v>
      </c>
      <c r="H138" s="5"/>
      <c r="I138" s="5"/>
      <c r="J138" s="5" t="s">
        <v>883</v>
      </c>
      <c r="K138" s="5" t="s">
        <v>511</v>
      </c>
      <c r="L138" s="5" t="s">
        <v>512</v>
      </c>
      <c r="M138" s="5" t="s">
        <v>513</v>
      </c>
      <c r="N138" s="5" t="s">
        <v>35</v>
      </c>
      <c r="O138" s="5">
        <v>1</v>
      </c>
      <c r="P138" s="5" t="s">
        <v>42</v>
      </c>
      <c r="Q138" s="5">
        <v>20</v>
      </c>
      <c r="R138" s="5"/>
      <c r="S138" s="5">
        <v>6.99</v>
      </c>
      <c r="T138" s="5"/>
      <c r="U138" s="5"/>
      <c r="V138" s="5"/>
      <c r="W138" s="5"/>
      <c r="X138" s="5"/>
      <c r="Y138" s="5" t="s">
        <v>884</v>
      </c>
      <c r="Z138" s="5" t="s">
        <v>885</v>
      </c>
      <c r="AA138" s="5" t="s">
        <v>886</v>
      </c>
      <c r="AB138" s="5" t="s">
        <v>45</v>
      </c>
      <c r="AC138" s="5"/>
      <c r="AD138" s="5"/>
      <c r="AE138" s="5"/>
      <c r="AG138" s="9">
        <f t="shared" si="2"/>
        <v>43268</v>
      </c>
    </row>
    <row r="139" s="6" customFormat="1" spans="1:33">
      <c r="A139" s="5" t="s">
        <v>887</v>
      </c>
      <c r="B139" s="5" t="s">
        <v>887</v>
      </c>
      <c r="C139" s="5" t="s">
        <v>888</v>
      </c>
      <c r="D139" s="5" t="s">
        <v>889</v>
      </c>
      <c r="E139" s="5" t="s">
        <v>35</v>
      </c>
      <c r="F139" s="5" t="s">
        <v>36</v>
      </c>
      <c r="G139" s="5" t="s">
        <v>37</v>
      </c>
      <c r="H139" s="5"/>
      <c r="I139" s="5"/>
      <c r="J139" s="5" t="s">
        <v>38</v>
      </c>
      <c r="K139" s="5" t="s">
        <v>714</v>
      </c>
      <c r="L139" s="5" t="s">
        <v>715</v>
      </c>
      <c r="M139" s="5" t="s">
        <v>716</v>
      </c>
      <c r="N139" s="5" t="s">
        <v>35</v>
      </c>
      <c r="O139" s="5">
        <v>1</v>
      </c>
      <c r="P139" s="5" t="s">
        <v>42</v>
      </c>
      <c r="Q139" s="5">
        <v>8.99</v>
      </c>
      <c r="R139" s="5"/>
      <c r="S139" s="5">
        <v>4.28</v>
      </c>
      <c r="T139" s="5"/>
      <c r="U139" s="5"/>
      <c r="V139" s="5"/>
      <c r="W139" s="5"/>
      <c r="X139" s="5"/>
      <c r="Y139" s="5" t="s">
        <v>890</v>
      </c>
      <c r="Z139" s="5" t="s">
        <v>153</v>
      </c>
      <c r="AA139" s="5">
        <v>92009</v>
      </c>
      <c r="AB139" s="5" t="s">
        <v>45</v>
      </c>
      <c r="AC139" s="5"/>
      <c r="AD139" s="5"/>
      <c r="AE139" s="5"/>
      <c r="AG139" s="9">
        <f t="shared" si="2"/>
        <v>43268</v>
      </c>
    </row>
    <row r="140" s="6" customFormat="1" spans="1:33">
      <c r="A140" s="5" t="s">
        <v>891</v>
      </c>
      <c r="B140" s="5" t="s">
        <v>891</v>
      </c>
      <c r="C140" s="5" t="s">
        <v>892</v>
      </c>
      <c r="D140" s="5" t="s">
        <v>893</v>
      </c>
      <c r="E140" s="5" t="s">
        <v>35</v>
      </c>
      <c r="F140" s="5" t="s">
        <v>36</v>
      </c>
      <c r="G140" s="5" t="s">
        <v>37</v>
      </c>
      <c r="H140" s="5"/>
      <c r="I140" s="5"/>
      <c r="J140" s="5" t="s">
        <v>59</v>
      </c>
      <c r="K140" s="5" t="s">
        <v>167</v>
      </c>
      <c r="L140" s="5" t="s">
        <v>168</v>
      </c>
      <c r="M140" s="5" t="s">
        <v>169</v>
      </c>
      <c r="N140" s="5" t="s">
        <v>35</v>
      </c>
      <c r="O140" s="5">
        <v>1</v>
      </c>
      <c r="P140" s="5" t="s">
        <v>42</v>
      </c>
      <c r="Q140" s="5">
        <v>15.99</v>
      </c>
      <c r="R140" s="5"/>
      <c r="S140" s="5"/>
      <c r="T140" s="5"/>
      <c r="U140" s="5"/>
      <c r="V140" s="5"/>
      <c r="W140" s="5"/>
      <c r="X140" s="5"/>
      <c r="Y140" s="5" t="s">
        <v>894</v>
      </c>
      <c r="Z140" s="5" t="s">
        <v>895</v>
      </c>
      <c r="AA140" s="5" t="s">
        <v>896</v>
      </c>
      <c r="AB140" s="5" t="s">
        <v>45</v>
      </c>
      <c r="AC140" s="5"/>
      <c r="AD140" s="5"/>
      <c r="AE140" s="5"/>
      <c r="AG140" s="9">
        <f t="shared" si="2"/>
        <v>43268</v>
      </c>
    </row>
    <row r="141" s="6" customFormat="1" spans="1:33">
      <c r="A141" s="5" t="s">
        <v>897</v>
      </c>
      <c r="B141" s="5" t="s">
        <v>897</v>
      </c>
      <c r="C141" s="5" t="s">
        <v>898</v>
      </c>
      <c r="D141" s="5" t="s">
        <v>899</v>
      </c>
      <c r="E141" s="5" t="s">
        <v>35</v>
      </c>
      <c r="F141" s="5" t="s">
        <v>36</v>
      </c>
      <c r="G141" s="5" t="s">
        <v>37</v>
      </c>
      <c r="H141" s="5"/>
      <c r="I141" s="5"/>
      <c r="J141" s="5" t="s">
        <v>38</v>
      </c>
      <c r="K141" s="5" t="s">
        <v>900</v>
      </c>
      <c r="L141" s="5" t="s">
        <v>901</v>
      </c>
      <c r="M141" s="5" t="s">
        <v>902</v>
      </c>
      <c r="N141" s="5" t="s">
        <v>35</v>
      </c>
      <c r="O141" s="5">
        <v>1</v>
      </c>
      <c r="P141" s="5" t="s">
        <v>42</v>
      </c>
      <c r="Q141" s="5">
        <v>19.9</v>
      </c>
      <c r="R141" s="5"/>
      <c r="S141" s="5">
        <v>3.4</v>
      </c>
      <c r="T141" s="5"/>
      <c r="U141" s="5"/>
      <c r="V141" s="5"/>
      <c r="W141" s="5"/>
      <c r="X141" s="5">
        <v>3.4</v>
      </c>
      <c r="Y141" s="5" t="s">
        <v>903</v>
      </c>
      <c r="Z141" s="5" t="s">
        <v>191</v>
      </c>
      <c r="AA141" s="5" t="s">
        <v>904</v>
      </c>
      <c r="AB141" s="5" t="s">
        <v>45</v>
      </c>
      <c r="AC141" s="5" t="s">
        <v>328</v>
      </c>
      <c r="AD141" s="5"/>
      <c r="AE141" s="5"/>
      <c r="AG141" s="9">
        <f t="shared" si="2"/>
        <v>43268</v>
      </c>
    </row>
    <row r="142" s="6" customFormat="1" spans="1:33">
      <c r="A142" s="5" t="s">
        <v>905</v>
      </c>
      <c r="B142" s="5" t="s">
        <v>905</v>
      </c>
      <c r="C142" s="5" t="s">
        <v>906</v>
      </c>
      <c r="D142" s="5" t="s">
        <v>907</v>
      </c>
      <c r="E142" s="5" t="s">
        <v>35</v>
      </c>
      <c r="F142" s="5" t="s">
        <v>36</v>
      </c>
      <c r="G142" s="5" t="s">
        <v>37</v>
      </c>
      <c r="H142" s="5"/>
      <c r="I142" s="5"/>
      <c r="J142" s="5" t="s">
        <v>59</v>
      </c>
      <c r="K142" s="5" t="s">
        <v>187</v>
      </c>
      <c r="L142" s="5" t="s">
        <v>188</v>
      </c>
      <c r="M142" s="5" t="s">
        <v>189</v>
      </c>
      <c r="N142" s="5" t="s">
        <v>35</v>
      </c>
      <c r="O142" s="5">
        <v>1</v>
      </c>
      <c r="P142" s="5" t="s">
        <v>42</v>
      </c>
      <c r="Q142" s="5">
        <v>8.99</v>
      </c>
      <c r="R142" s="5"/>
      <c r="S142" s="5"/>
      <c r="T142" s="5"/>
      <c r="U142" s="5"/>
      <c r="V142" s="5"/>
      <c r="W142" s="5"/>
      <c r="X142" s="5"/>
      <c r="Y142" s="5" t="s">
        <v>908</v>
      </c>
      <c r="Z142" s="5" t="s">
        <v>182</v>
      </c>
      <c r="AA142" s="5" t="s">
        <v>909</v>
      </c>
      <c r="AB142" s="5" t="s">
        <v>45</v>
      </c>
      <c r="AC142" s="5"/>
      <c r="AD142" s="5"/>
      <c r="AE142" s="5"/>
      <c r="AG142" s="9">
        <f t="shared" si="2"/>
        <v>43268</v>
      </c>
    </row>
    <row r="143" s="6" customFormat="1" spans="1:33">
      <c r="A143" s="5" t="s">
        <v>910</v>
      </c>
      <c r="B143" s="5" t="s">
        <v>910</v>
      </c>
      <c r="C143" s="5" t="s">
        <v>911</v>
      </c>
      <c r="D143" s="5" t="s">
        <v>912</v>
      </c>
      <c r="E143" s="5" t="s">
        <v>35</v>
      </c>
      <c r="F143" s="5" t="s">
        <v>36</v>
      </c>
      <c r="G143" s="5" t="s">
        <v>37</v>
      </c>
      <c r="H143" s="5"/>
      <c r="I143" s="5"/>
      <c r="J143" s="5" t="s">
        <v>59</v>
      </c>
      <c r="K143" s="5" t="s">
        <v>114</v>
      </c>
      <c r="L143" s="5" t="s">
        <v>115</v>
      </c>
      <c r="M143" s="5" t="s">
        <v>116</v>
      </c>
      <c r="N143" s="5" t="s">
        <v>35</v>
      </c>
      <c r="O143" s="5">
        <v>1</v>
      </c>
      <c r="P143" s="5" t="s">
        <v>42</v>
      </c>
      <c r="Q143" s="5">
        <v>13.99</v>
      </c>
      <c r="R143" s="5"/>
      <c r="S143" s="5"/>
      <c r="T143" s="5"/>
      <c r="U143" s="5"/>
      <c r="V143" s="5"/>
      <c r="W143" s="5"/>
      <c r="X143" s="5"/>
      <c r="Y143" s="5" t="s">
        <v>913</v>
      </c>
      <c r="Z143" s="5" t="s">
        <v>432</v>
      </c>
      <c r="AA143" s="5" t="s">
        <v>914</v>
      </c>
      <c r="AB143" s="5" t="s">
        <v>45</v>
      </c>
      <c r="AC143" s="5"/>
      <c r="AD143" s="5"/>
      <c r="AE143" s="5"/>
      <c r="AG143" s="9">
        <f t="shared" si="2"/>
        <v>43268</v>
      </c>
    </row>
    <row r="144" s="6" customFormat="1" spans="1:33">
      <c r="A144" s="5" t="s">
        <v>915</v>
      </c>
      <c r="B144" s="5" t="s">
        <v>915</v>
      </c>
      <c r="C144" s="5" t="s">
        <v>916</v>
      </c>
      <c r="D144" s="5" t="s">
        <v>917</v>
      </c>
      <c r="E144" s="5" t="s">
        <v>35</v>
      </c>
      <c r="F144" s="5" t="s">
        <v>36</v>
      </c>
      <c r="G144" s="5" t="s">
        <v>37</v>
      </c>
      <c r="H144" s="5"/>
      <c r="I144" s="5"/>
      <c r="J144" s="5" t="s">
        <v>38</v>
      </c>
      <c r="K144" s="5" t="s">
        <v>918</v>
      </c>
      <c r="L144" s="5" t="s">
        <v>919</v>
      </c>
      <c r="M144" s="5" t="s">
        <v>920</v>
      </c>
      <c r="N144" s="5" t="s">
        <v>35</v>
      </c>
      <c r="O144" s="5">
        <v>1</v>
      </c>
      <c r="P144" s="5" t="s">
        <v>42</v>
      </c>
      <c r="Q144" s="5">
        <v>12.99</v>
      </c>
      <c r="R144" s="5"/>
      <c r="S144" s="5"/>
      <c r="T144" s="5"/>
      <c r="U144" s="5"/>
      <c r="V144" s="5"/>
      <c r="W144" s="5"/>
      <c r="X144" s="5"/>
      <c r="Y144" s="5" t="s">
        <v>921</v>
      </c>
      <c r="Z144" s="5" t="s">
        <v>432</v>
      </c>
      <c r="AA144" s="5" t="s">
        <v>922</v>
      </c>
      <c r="AB144" s="5" t="s">
        <v>45</v>
      </c>
      <c r="AC144" s="5"/>
      <c r="AD144" s="5"/>
      <c r="AE144" s="5"/>
      <c r="AG144" s="9">
        <f t="shared" si="2"/>
        <v>43268</v>
      </c>
    </row>
    <row r="145" s="6" customFormat="1" spans="1:33">
      <c r="A145" s="5" t="s">
        <v>923</v>
      </c>
      <c r="B145" s="5" t="s">
        <v>923</v>
      </c>
      <c r="C145" s="5" t="s">
        <v>924</v>
      </c>
      <c r="D145" s="5" t="s">
        <v>925</v>
      </c>
      <c r="E145" s="5" t="s">
        <v>35</v>
      </c>
      <c r="F145" s="5" t="s">
        <v>36</v>
      </c>
      <c r="G145" s="5" t="s">
        <v>37</v>
      </c>
      <c r="H145" s="5"/>
      <c r="I145" s="5"/>
      <c r="J145" s="5" t="s">
        <v>59</v>
      </c>
      <c r="K145" s="5" t="s">
        <v>926</v>
      </c>
      <c r="L145" s="5" t="s">
        <v>927</v>
      </c>
      <c r="M145" s="5" t="s">
        <v>928</v>
      </c>
      <c r="N145" s="5" t="s">
        <v>35</v>
      </c>
      <c r="O145" s="5">
        <v>1</v>
      </c>
      <c r="P145" s="5" t="s">
        <v>42</v>
      </c>
      <c r="Q145" s="5">
        <v>14.99</v>
      </c>
      <c r="R145" s="5"/>
      <c r="S145" s="5"/>
      <c r="T145" s="5"/>
      <c r="U145" s="5"/>
      <c r="V145" s="5"/>
      <c r="W145" s="5"/>
      <c r="X145" s="5"/>
      <c r="Y145" s="5" t="s">
        <v>359</v>
      </c>
      <c r="Z145" s="5" t="s">
        <v>211</v>
      </c>
      <c r="AA145" s="5" t="s">
        <v>929</v>
      </c>
      <c r="AB145" s="5" t="s">
        <v>45</v>
      </c>
      <c r="AC145" s="5"/>
      <c r="AD145" s="5"/>
      <c r="AE145" s="5"/>
      <c r="AG145" s="9">
        <f t="shared" si="2"/>
        <v>43268</v>
      </c>
    </row>
    <row r="146" s="6" customFormat="1" spans="1:33">
      <c r="A146" s="5" t="s">
        <v>930</v>
      </c>
      <c r="B146" s="5" t="s">
        <v>930</v>
      </c>
      <c r="C146" s="5" t="s">
        <v>931</v>
      </c>
      <c r="D146" s="5" t="s">
        <v>932</v>
      </c>
      <c r="E146" s="5" t="s">
        <v>35</v>
      </c>
      <c r="F146" s="5" t="s">
        <v>36</v>
      </c>
      <c r="G146" s="5" t="s">
        <v>37</v>
      </c>
      <c r="H146" s="5"/>
      <c r="I146" s="5"/>
      <c r="J146" s="5" t="s">
        <v>59</v>
      </c>
      <c r="K146" s="5" t="s">
        <v>50</v>
      </c>
      <c r="L146" s="5" t="s">
        <v>51</v>
      </c>
      <c r="M146" s="5" t="s">
        <v>52</v>
      </c>
      <c r="N146" s="5" t="s">
        <v>35</v>
      </c>
      <c r="O146" s="5">
        <v>1</v>
      </c>
      <c r="P146" s="5" t="s">
        <v>42</v>
      </c>
      <c r="Q146" s="5">
        <v>7</v>
      </c>
      <c r="R146" s="5"/>
      <c r="S146" s="5"/>
      <c r="T146" s="5"/>
      <c r="U146" s="5"/>
      <c r="V146" s="5"/>
      <c r="W146" s="5"/>
      <c r="X146" s="5"/>
      <c r="Y146" s="5" t="s">
        <v>933</v>
      </c>
      <c r="Z146" s="5" t="s">
        <v>934</v>
      </c>
      <c r="AA146" s="5" t="s">
        <v>935</v>
      </c>
      <c r="AB146" s="5" t="s">
        <v>45</v>
      </c>
      <c r="AC146" s="5"/>
      <c r="AD146" s="5"/>
      <c r="AE146" s="5"/>
      <c r="AF146"/>
      <c r="AG146" s="9">
        <f t="shared" si="2"/>
        <v>43268</v>
      </c>
    </row>
    <row r="147" s="6" customFormat="1" spans="1:33">
      <c r="A147" s="5" t="s">
        <v>936</v>
      </c>
      <c r="B147" s="5" t="s">
        <v>936</v>
      </c>
      <c r="C147" s="5" t="s">
        <v>937</v>
      </c>
      <c r="D147" s="5" t="s">
        <v>938</v>
      </c>
      <c r="E147" s="5" t="s">
        <v>35</v>
      </c>
      <c r="F147" s="5" t="s">
        <v>36</v>
      </c>
      <c r="G147" s="5" t="s">
        <v>37</v>
      </c>
      <c r="H147" s="5"/>
      <c r="I147" s="5"/>
      <c r="J147" s="5" t="s">
        <v>59</v>
      </c>
      <c r="K147" s="5" t="s">
        <v>539</v>
      </c>
      <c r="L147" s="5" t="s">
        <v>540</v>
      </c>
      <c r="M147" s="5" t="s">
        <v>541</v>
      </c>
      <c r="N147" s="5" t="s">
        <v>35</v>
      </c>
      <c r="O147" s="5">
        <v>1</v>
      </c>
      <c r="P147" s="5" t="s">
        <v>42</v>
      </c>
      <c r="Q147" s="5">
        <v>15.99</v>
      </c>
      <c r="R147" s="5"/>
      <c r="S147" s="5"/>
      <c r="T147" s="5"/>
      <c r="U147" s="5"/>
      <c r="V147" s="5"/>
      <c r="W147" s="5"/>
      <c r="X147" s="5"/>
      <c r="Y147" s="5" t="s">
        <v>939</v>
      </c>
      <c r="Z147" s="5" t="s">
        <v>153</v>
      </c>
      <c r="AA147" s="5" t="s">
        <v>940</v>
      </c>
      <c r="AB147" s="5" t="s">
        <v>45</v>
      </c>
      <c r="AC147" s="5"/>
      <c r="AD147" s="5"/>
      <c r="AE147" s="5"/>
      <c r="AF147"/>
      <c r="AG147" s="9">
        <f t="shared" si="2"/>
        <v>43268</v>
      </c>
    </row>
    <row r="148" s="6" customFormat="1" spans="1:33">
      <c r="A148" s="5" t="s">
        <v>941</v>
      </c>
      <c r="B148" s="5" t="s">
        <v>941</v>
      </c>
      <c r="C148" s="5" t="s">
        <v>942</v>
      </c>
      <c r="D148" s="5" t="s">
        <v>943</v>
      </c>
      <c r="E148" s="5" t="s">
        <v>35</v>
      </c>
      <c r="F148" s="5" t="s">
        <v>36</v>
      </c>
      <c r="G148" s="5" t="s">
        <v>37</v>
      </c>
      <c r="H148" s="5"/>
      <c r="I148" s="5"/>
      <c r="J148" s="5" t="s">
        <v>38</v>
      </c>
      <c r="K148" s="5" t="s">
        <v>39</v>
      </c>
      <c r="L148" s="5" t="s">
        <v>40</v>
      </c>
      <c r="M148" s="5" t="s">
        <v>41</v>
      </c>
      <c r="N148" s="5" t="s">
        <v>35</v>
      </c>
      <c r="O148" s="5">
        <v>1</v>
      </c>
      <c r="P148" s="5" t="s">
        <v>42</v>
      </c>
      <c r="Q148" s="5">
        <v>7.99</v>
      </c>
      <c r="R148" s="5"/>
      <c r="S148" s="5"/>
      <c r="T148" s="5"/>
      <c r="U148" s="5"/>
      <c r="V148" s="5"/>
      <c r="W148" s="5"/>
      <c r="X148" s="5"/>
      <c r="Y148" s="5" t="s">
        <v>944</v>
      </c>
      <c r="Z148" s="5" t="s">
        <v>153</v>
      </c>
      <c r="AA148" s="5" t="s">
        <v>945</v>
      </c>
      <c r="AB148" s="5" t="s">
        <v>45</v>
      </c>
      <c r="AC148" s="5"/>
      <c r="AD148" s="5"/>
      <c r="AE148" s="5"/>
      <c r="AG148" s="9">
        <f t="shared" si="2"/>
        <v>43269</v>
      </c>
    </row>
    <row r="149" s="6" customFormat="1" spans="1:33">
      <c r="A149" s="5" t="s">
        <v>946</v>
      </c>
      <c r="B149" s="5" t="s">
        <v>946</v>
      </c>
      <c r="C149" s="5" t="s">
        <v>947</v>
      </c>
      <c r="D149" s="5" t="s">
        <v>948</v>
      </c>
      <c r="E149" s="5" t="s">
        <v>35</v>
      </c>
      <c r="F149" s="5" t="s">
        <v>36</v>
      </c>
      <c r="G149" s="5" t="s">
        <v>37</v>
      </c>
      <c r="H149" s="5"/>
      <c r="I149" s="5"/>
      <c r="J149" s="5" t="s">
        <v>59</v>
      </c>
      <c r="K149" s="5" t="s">
        <v>655</v>
      </c>
      <c r="L149" s="5" t="s">
        <v>656</v>
      </c>
      <c r="M149" s="5" t="s">
        <v>657</v>
      </c>
      <c r="N149" s="5" t="s">
        <v>35</v>
      </c>
      <c r="O149" s="5">
        <v>1</v>
      </c>
      <c r="P149" s="5" t="s">
        <v>42</v>
      </c>
      <c r="Q149" s="5">
        <v>15.99</v>
      </c>
      <c r="R149" s="5"/>
      <c r="S149" s="5"/>
      <c r="T149" s="5"/>
      <c r="U149" s="5"/>
      <c r="V149" s="5"/>
      <c r="W149" s="5"/>
      <c r="X149" s="5"/>
      <c r="Y149" s="5" t="s">
        <v>949</v>
      </c>
      <c r="Z149" s="5" t="s">
        <v>432</v>
      </c>
      <c r="AA149" s="5" t="s">
        <v>950</v>
      </c>
      <c r="AB149" s="5" t="s">
        <v>45</v>
      </c>
      <c r="AC149" s="5"/>
      <c r="AD149" s="5"/>
      <c r="AE149" s="5"/>
      <c r="AG149" s="9">
        <f t="shared" si="2"/>
        <v>43269</v>
      </c>
    </row>
    <row r="150" s="6" customFormat="1" spans="1:33">
      <c r="A150" s="5" t="s">
        <v>951</v>
      </c>
      <c r="B150" s="5" t="s">
        <v>951</v>
      </c>
      <c r="C150" s="5" t="s">
        <v>952</v>
      </c>
      <c r="D150" s="5" t="s">
        <v>953</v>
      </c>
      <c r="E150" s="5" t="s">
        <v>35</v>
      </c>
      <c r="F150" s="5" t="s">
        <v>36</v>
      </c>
      <c r="G150" s="5" t="s">
        <v>37</v>
      </c>
      <c r="H150" s="5"/>
      <c r="I150" s="5"/>
      <c r="J150" s="5" t="s">
        <v>59</v>
      </c>
      <c r="K150" s="5" t="s">
        <v>50</v>
      </c>
      <c r="L150" s="5" t="s">
        <v>51</v>
      </c>
      <c r="M150" s="5" t="s">
        <v>52</v>
      </c>
      <c r="N150" s="5" t="s">
        <v>35</v>
      </c>
      <c r="O150" s="5">
        <v>1</v>
      </c>
      <c r="P150" s="5" t="s">
        <v>42</v>
      </c>
      <c r="Q150" s="5">
        <v>7</v>
      </c>
      <c r="R150" s="5"/>
      <c r="S150" s="5"/>
      <c r="T150" s="5"/>
      <c r="U150" s="5"/>
      <c r="V150" s="5"/>
      <c r="W150" s="5"/>
      <c r="X150" s="5"/>
      <c r="Y150" s="5" t="s">
        <v>954</v>
      </c>
      <c r="Z150" s="5" t="s">
        <v>211</v>
      </c>
      <c r="AA150" s="5" t="s">
        <v>955</v>
      </c>
      <c r="AB150" s="5" t="s">
        <v>45</v>
      </c>
      <c r="AC150" s="5"/>
      <c r="AD150" s="5"/>
      <c r="AE150" s="5"/>
      <c r="AG150" s="9">
        <f t="shared" si="2"/>
        <v>43269</v>
      </c>
    </row>
    <row r="151" s="6" customFormat="1" spans="1:33">
      <c r="A151" s="5" t="s">
        <v>956</v>
      </c>
      <c r="B151" s="5" t="s">
        <v>956</v>
      </c>
      <c r="C151" s="5" t="s">
        <v>957</v>
      </c>
      <c r="D151" s="5" t="s">
        <v>958</v>
      </c>
      <c r="E151" s="5" t="s">
        <v>35</v>
      </c>
      <c r="F151" s="5" t="s">
        <v>36</v>
      </c>
      <c r="G151" s="5" t="s">
        <v>37</v>
      </c>
      <c r="H151" s="5"/>
      <c r="I151" s="5"/>
      <c r="J151" s="5" t="s">
        <v>59</v>
      </c>
      <c r="K151" s="5" t="s">
        <v>94</v>
      </c>
      <c r="L151" s="5" t="s">
        <v>95</v>
      </c>
      <c r="M151" s="5" t="s">
        <v>96</v>
      </c>
      <c r="N151" s="5" t="s">
        <v>35</v>
      </c>
      <c r="O151" s="5">
        <v>1</v>
      </c>
      <c r="P151" s="5" t="s">
        <v>42</v>
      </c>
      <c r="Q151" s="5">
        <v>14.99</v>
      </c>
      <c r="R151" s="5"/>
      <c r="S151" s="5"/>
      <c r="T151" s="5"/>
      <c r="U151" s="5"/>
      <c r="V151" s="5"/>
      <c r="W151" s="5"/>
      <c r="X151" s="5"/>
      <c r="Y151" s="5" t="s">
        <v>959</v>
      </c>
      <c r="Z151" s="5" t="s">
        <v>609</v>
      </c>
      <c r="AA151" s="5" t="s">
        <v>960</v>
      </c>
      <c r="AB151" s="5" t="s">
        <v>45</v>
      </c>
      <c r="AC151" s="5"/>
      <c r="AD151" s="5"/>
      <c r="AE151" s="5"/>
      <c r="AG151" s="9">
        <f t="shared" si="2"/>
        <v>43269</v>
      </c>
    </row>
    <row r="152" s="6" customFormat="1" spans="1:33">
      <c r="A152" s="5" t="s">
        <v>961</v>
      </c>
      <c r="B152" s="5" t="s">
        <v>961</v>
      </c>
      <c r="C152" s="5" t="s">
        <v>962</v>
      </c>
      <c r="D152" s="5" t="s">
        <v>963</v>
      </c>
      <c r="E152" s="5" t="s">
        <v>35</v>
      </c>
      <c r="F152" s="5" t="s">
        <v>36</v>
      </c>
      <c r="G152" s="5" t="s">
        <v>37</v>
      </c>
      <c r="H152" s="5"/>
      <c r="I152" s="5"/>
      <c r="J152" s="5" t="s">
        <v>38</v>
      </c>
      <c r="K152" s="5" t="s">
        <v>50</v>
      </c>
      <c r="L152" s="5" t="s">
        <v>51</v>
      </c>
      <c r="M152" s="5" t="s">
        <v>52</v>
      </c>
      <c r="N152" s="5" t="s">
        <v>35</v>
      </c>
      <c r="O152" s="5">
        <v>1</v>
      </c>
      <c r="P152" s="5" t="s">
        <v>42</v>
      </c>
      <c r="Q152" s="5">
        <v>7</v>
      </c>
      <c r="R152" s="5"/>
      <c r="S152" s="5">
        <v>2.6</v>
      </c>
      <c r="T152" s="5"/>
      <c r="U152" s="5"/>
      <c r="V152" s="5"/>
      <c r="W152" s="5"/>
      <c r="X152" s="5">
        <v>2.6</v>
      </c>
      <c r="Y152" s="5" t="s">
        <v>964</v>
      </c>
      <c r="Z152" s="5" t="s">
        <v>81</v>
      </c>
      <c r="AA152" s="5" t="s">
        <v>965</v>
      </c>
      <c r="AB152" s="5" t="s">
        <v>45</v>
      </c>
      <c r="AC152" s="5" t="s">
        <v>328</v>
      </c>
      <c r="AD152" s="5"/>
      <c r="AE152" s="5"/>
      <c r="AG152" s="9">
        <f t="shared" si="2"/>
        <v>43269</v>
      </c>
    </row>
    <row r="153" s="6" customFormat="1" spans="1:33">
      <c r="A153" s="5" t="s">
        <v>966</v>
      </c>
      <c r="B153" s="5" t="s">
        <v>966</v>
      </c>
      <c r="C153" s="5" t="s">
        <v>967</v>
      </c>
      <c r="D153" s="5" t="s">
        <v>968</v>
      </c>
      <c r="E153" s="5" t="s">
        <v>35</v>
      </c>
      <c r="F153" s="5" t="s">
        <v>36</v>
      </c>
      <c r="G153" s="5" t="s">
        <v>37</v>
      </c>
      <c r="H153" s="5"/>
      <c r="I153" s="5"/>
      <c r="J153" s="5" t="s">
        <v>59</v>
      </c>
      <c r="K153" s="5" t="s">
        <v>831</v>
      </c>
      <c r="L153" s="5" t="s">
        <v>832</v>
      </c>
      <c r="M153" s="5" t="s">
        <v>833</v>
      </c>
      <c r="N153" s="5" t="s">
        <v>35</v>
      </c>
      <c r="O153" s="5">
        <v>1</v>
      </c>
      <c r="P153" s="5" t="s">
        <v>42</v>
      </c>
      <c r="Q153" s="5">
        <v>14.99</v>
      </c>
      <c r="R153" s="5"/>
      <c r="S153" s="5"/>
      <c r="T153" s="5"/>
      <c r="U153" s="5"/>
      <c r="V153" s="5"/>
      <c r="W153" s="5"/>
      <c r="X153" s="5"/>
      <c r="Y153" s="5" t="s">
        <v>969</v>
      </c>
      <c r="Z153" s="5" t="s">
        <v>127</v>
      </c>
      <c r="AA153" s="5">
        <v>60007</v>
      </c>
      <c r="AB153" s="5" t="s">
        <v>45</v>
      </c>
      <c r="AC153" s="5"/>
      <c r="AD153" s="5"/>
      <c r="AE153" s="5"/>
      <c r="AG153" s="9">
        <f t="shared" si="2"/>
        <v>43269</v>
      </c>
    </row>
    <row r="154" s="6" customFormat="1" spans="1:33">
      <c r="A154" s="5" t="s">
        <v>970</v>
      </c>
      <c r="B154" s="5" t="s">
        <v>970</v>
      </c>
      <c r="C154" s="5" t="s">
        <v>971</v>
      </c>
      <c r="D154" s="5" t="s">
        <v>972</v>
      </c>
      <c r="E154" s="5" t="s">
        <v>35</v>
      </c>
      <c r="F154" s="5" t="s">
        <v>36</v>
      </c>
      <c r="G154" s="5" t="s">
        <v>37</v>
      </c>
      <c r="H154" s="5"/>
      <c r="I154" s="5"/>
      <c r="J154" s="5" t="s">
        <v>38</v>
      </c>
      <c r="K154" s="5" t="s">
        <v>94</v>
      </c>
      <c r="L154" s="5" t="s">
        <v>95</v>
      </c>
      <c r="M154" s="5" t="s">
        <v>96</v>
      </c>
      <c r="N154" s="5" t="s">
        <v>35</v>
      </c>
      <c r="O154" s="5">
        <v>2</v>
      </c>
      <c r="P154" s="5" t="s">
        <v>42</v>
      </c>
      <c r="Q154" s="5">
        <v>29.98</v>
      </c>
      <c r="R154" s="5">
        <v>1.7</v>
      </c>
      <c r="S154" s="5">
        <v>5.97</v>
      </c>
      <c r="T154" s="5"/>
      <c r="U154" s="5"/>
      <c r="V154" s="5"/>
      <c r="W154" s="5">
        <v>1.5</v>
      </c>
      <c r="X154" s="5">
        <v>5.97</v>
      </c>
      <c r="Y154" s="5" t="s">
        <v>973</v>
      </c>
      <c r="Z154" s="5" t="s">
        <v>426</v>
      </c>
      <c r="AA154" s="5" t="s">
        <v>974</v>
      </c>
      <c r="AB154" s="5" t="s">
        <v>45</v>
      </c>
      <c r="AC154" s="5" t="s">
        <v>975</v>
      </c>
      <c r="AD154" s="5"/>
      <c r="AE154" s="5"/>
      <c r="AG154" s="9">
        <f t="shared" si="2"/>
        <v>43269</v>
      </c>
    </row>
    <row r="155" s="6" customFormat="1" spans="1:33">
      <c r="A155" s="5" t="s">
        <v>976</v>
      </c>
      <c r="B155" s="5" t="s">
        <v>976</v>
      </c>
      <c r="C155" s="5" t="s">
        <v>977</v>
      </c>
      <c r="D155" s="5" t="s">
        <v>978</v>
      </c>
      <c r="E155" s="5" t="s">
        <v>35</v>
      </c>
      <c r="F155" s="5" t="s">
        <v>36</v>
      </c>
      <c r="G155" s="5" t="s">
        <v>37</v>
      </c>
      <c r="H155" s="5"/>
      <c r="I155" s="5"/>
      <c r="J155" s="5" t="s">
        <v>59</v>
      </c>
      <c r="K155" s="5" t="s">
        <v>979</v>
      </c>
      <c r="L155" s="5" t="s">
        <v>980</v>
      </c>
      <c r="M155" s="5" t="s">
        <v>981</v>
      </c>
      <c r="N155" s="5" t="s">
        <v>35</v>
      </c>
      <c r="O155" s="5">
        <v>1</v>
      </c>
      <c r="P155" s="5" t="s">
        <v>42</v>
      </c>
      <c r="Q155" s="5">
        <v>18.99</v>
      </c>
      <c r="R155" s="5"/>
      <c r="S155" s="5"/>
      <c r="T155" s="5"/>
      <c r="U155" s="5"/>
      <c r="V155" s="5"/>
      <c r="W155" s="5"/>
      <c r="X155" s="5"/>
      <c r="Y155" s="5" t="s">
        <v>982</v>
      </c>
      <c r="Z155" s="5" t="s">
        <v>127</v>
      </c>
      <c r="AA155" s="5" t="s">
        <v>983</v>
      </c>
      <c r="AB155" s="5" t="s">
        <v>45</v>
      </c>
      <c r="AC155" s="5"/>
      <c r="AD155" s="5"/>
      <c r="AE155" s="5"/>
      <c r="AG155" s="9">
        <f t="shared" si="2"/>
        <v>43269</v>
      </c>
    </row>
    <row r="156" s="6" customFormat="1" spans="1:33">
      <c r="A156" s="5" t="s">
        <v>984</v>
      </c>
      <c r="B156" s="5" t="s">
        <v>984</v>
      </c>
      <c r="C156" s="5" t="s">
        <v>985</v>
      </c>
      <c r="D156" s="5" t="s">
        <v>986</v>
      </c>
      <c r="E156" s="5" t="s">
        <v>35</v>
      </c>
      <c r="F156" s="5" t="s">
        <v>36</v>
      </c>
      <c r="G156" s="5" t="s">
        <v>37</v>
      </c>
      <c r="H156" s="5"/>
      <c r="I156" s="5"/>
      <c r="J156" s="5" t="s">
        <v>59</v>
      </c>
      <c r="K156" s="5" t="s">
        <v>50</v>
      </c>
      <c r="L156" s="5" t="s">
        <v>51</v>
      </c>
      <c r="M156" s="5" t="s">
        <v>52</v>
      </c>
      <c r="N156" s="5" t="s">
        <v>35</v>
      </c>
      <c r="O156" s="5">
        <v>1</v>
      </c>
      <c r="P156" s="5" t="s">
        <v>42</v>
      </c>
      <c r="Q156" s="5">
        <v>7</v>
      </c>
      <c r="R156" s="5"/>
      <c r="S156" s="5"/>
      <c r="T156" s="5"/>
      <c r="U156" s="5"/>
      <c r="V156" s="5"/>
      <c r="W156" s="5"/>
      <c r="X156" s="5"/>
      <c r="Y156" s="5" t="s">
        <v>717</v>
      </c>
      <c r="Z156" s="5" t="s">
        <v>127</v>
      </c>
      <c r="AA156" s="5" t="s">
        <v>987</v>
      </c>
      <c r="AB156" s="5" t="s">
        <v>45</v>
      </c>
      <c r="AC156" s="5"/>
      <c r="AD156" s="5"/>
      <c r="AE156" s="5"/>
      <c r="AG156" s="9">
        <f t="shared" si="2"/>
        <v>43269</v>
      </c>
    </row>
    <row r="157" s="6" customFormat="1" spans="1:33">
      <c r="A157" s="5" t="s">
        <v>988</v>
      </c>
      <c r="B157" s="5" t="s">
        <v>988</v>
      </c>
      <c r="C157" s="5" t="s">
        <v>989</v>
      </c>
      <c r="D157" s="5" t="s">
        <v>990</v>
      </c>
      <c r="E157" s="5" t="s">
        <v>35</v>
      </c>
      <c r="F157" s="5" t="s">
        <v>36</v>
      </c>
      <c r="G157" s="5" t="s">
        <v>37</v>
      </c>
      <c r="H157" s="5"/>
      <c r="I157" s="5"/>
      <c r="J157" s="5" t="s">
        <v>38</v>
      </c>
      <c r="K157" s="5" t="s">
        <v>539</v>
      </c>
      <c r="L157" s="5" t="s">
        <v>540</v>
      </c>
      <c r="M157" s="5" t="s">
        <v>541</v>
      </c>
      <c r="N157" s="5" t="s">
        <v>35</v>
      </c>
      <c r="O157" s="5">
        <v>1</v>
      </c>
      <c r="P157" s="5" t="s">
        <v>42</v>
      </c>
      <c r="Q157" s="5">
        <v>15.99</v>
      </c>
      <c r="R157" s="5"/>
      <c r="S157" s="5">
        <v>1.65</v>
      </c>
      <c r="T157" s="5"/>
      <c r="U157" s="5"/>
      <c r="V157" s="5"/>
      <c r="W157" s="5"/>
      <c r="X157" s="5">
        <v>1.65</v>
      </c>
      <c r="Y157" s="5" t="s">
        <v>991</v>
      </c>
      <c r="Z157" s="5" t="s">
        <v>211</v>
      </c>
      <c r="AA157" s="5">
        <v>12020</v>
      </c>
      <c r="AB157" s="5" t="s">
        <v>45</v>
      </c>
      <c r="AC157" s="5" t="s">
        <v>328</v>
      </c>
      <c r="AD157" s="5"/>
      <c r="AE157" s="5"/>
      <c r="AG157" s="9">
        <f t="shared" si="2"/>
        <v>43269</v>
      </c>
    </row>
    <row r="158" s="6" customFormat="1" spans="1:33">
      <c r="A158" s="5" t="s">
        <v>992</v>
      </c>
      <c r="B158" s="5" t="s">
        <v>992</v>
      </c>
      <c r="C158" s="5" t="s">
        <v>993</v>
      </c>
      <c r="D158" s="5" t="s">
        <v>994</v>
      </c>
      <c r="E158" s="5" t="s">
        <v>35</v>
      </c>
      <c r="F158" s="5" t="s">
        <v>36</v>
      </c>
      <c r="G158" s="5" t="s">
        <v>37</v>
      </c>
      <c r="H158" s="5"/>
      <c r="I158" s="5"/>
      <c r="J158" s="5" t="s">
        <v>59</v>
      </c>
      <c r="K158" s="5" t="s">
        <v>94</v>
      </c>
      <c r="L158" s="5" t="s">
        <v>95</v>
      </c>
      <c r="M158" s="5" t="s">
        <v>96</v>
      </c>
      <c r="N158" s="5" t="s">
        <v>35</v>
      </c>
      <c r="O158" s="5">
        <v>1</v>
      </c>
      <c r="P158" s="5" t="s">
        <v>42</v>
      </c>
      <c r="Q158" s="5">
        <v>14.99</v>
      </c>
      <c r="R158" s="5"/>
      <c r="S158" s="5"/>
      <c r="T158" s="5"/>
      <c r="U158" s="5"/>
      <c r="V158" s="5"/>
      <c r="W158" s="5"/>
      <c r="X158" s="5"/>
      <c r="Y158" s="5" t="s">
        <v>995</v>
      </c>
      <c r="Z158" s="5" t="s">
        <v>230</v>
      </c>
      <c r="AA158" s="5" t="s">
        <v>996</v>
      </c>
      <c r="AB158" s="5" t="s">
        <v>45</v>
      </c>
      <c r="AC158" s="5"/>
      <c r="AD158" s="5"/>
      <c r="AE158" s="5"/>
      <c r="AG158" s="9">
        <f t="shared" si="2"/>
        <v>43269</v>
      </c>
    </row>
    <row r="159" s="6" customFormat="1" spans="1:33">
      <c r="A159" s="5" t="s">
        <v>997</v>
      </c>
      <c r="B159" s="5" t="s">
        <v>997</v>
      </c>
      <c r="C159" s="5" t="s">
        <v>998</v>
      </c>
      <c r="D159" s="5" t="s">
        <v>999</v>
      </c>
      <c r="E159" s="5" t="s">
        <v>35</v>
      </c>
      <c r="F159" s="5" t="s">
        <v>36</v>
      </c>
      <c r="G159" s="5" t="s">
        <v>37</v>
      </c>
      <c r="H159" s="5"/>
      <c r="I159" s="5"/>
      <c r="J159" s="5" t="s">
        <v>59</v>
      </c>
      <c r="K159" s="5" t="s">
        <v>1000</v>
      </c>
      <c r="L159" s="5" t="s">
        <v>1001</v>
      </c>
      <c r="M159" s="5" t="s">
        <v>1002</v>
      </c>
      <c r="N159" s="5" t="s">
        <v>35</v>
      </c>
      <c r="O159" s="5">
        <v>1</v>
      </c>
      <c r="P159" s="5" t="s">
        <v>42</v>
      </c>
      <c r="Q159" s="5">
        <v>10.27</v>
      </c>
      <c r="R159" s="5"/>
      <c r="S159" s="5"/>
      <c r="T159" s="5"/>
      <c r="U159" s="5"/>
      <c r="V159" s="5"/>
      <c r="W159" s="5"/>
      <c r="X159" s="5"/>
      <c r="Y159" s="5" t="s">
        <v>1003</v>
      </c>
      <c r="Z159" s="5" t="s">
        <v>1004</v>
      </c>
      <c r="AA159" s="5" t="s">
        <v>1005</v>
      </c>
      <c r="AB159" s="5" t="s">
        <v>45</v>
      </c>
      <c r="AC159" s="5"/>
      <c r="AD159" s="5"/>
      <c r="AE159" s="5"/>
      <c r="AG159" s="9">
        <f t="shared" si="2"/>
        <v>43269</v>
      </c>
    </row>
    <row r="160" s="6" customFormat="1" spans="1:33">
      <c r="A160" s="5" t="s">
        <v>1006</v>
      </c>
      <c r="B160" s="5" t="s">
        <v>1006</v>
      </c>
      <c r="C160" s="5" t="s">
        <v>1007</v>
      </c>
      <c r="D160" s="5" t="s">
        <v>1008</v>
      </c>
      <c r="E160" s="5" t="s">
        <v>35</v>
      </c>
      <c r="F160" s="5" t="s">
        <v>36</v>
      </c>
      <c r="G160" s="5" t="s">
        <v>37</v>
      </c>
      <c r="H160" s="5"/>
      <c r="I160" s="5"/>
      <c r="J160" s="5" t="s">
        <v>59</v>
      </c>
      <c r="K160" s="5" t="s">
        <v>86</v>
      </c>
      <c r="L160" s="5" t="s">
        <v>87</v>
      </c>
      <c r="M160" s="5" t="s">
        <v>88</v>
      </c>
      <c r="N160" s="5" t="s">
        <v>35</v>
      </c>
      <c r="O160" s="5">
        <v>1</v>
      </c>
      <c r="P160" s="5" t="s">
        <v>42</v>
      </c>
      <c r="Q160" s="5">
        <v>14.99</v>
      </c>
      <c r="R160" s="5"/>
      <c r="S160" s="5"/>
      <c r="T160" s="5"/>
      <c r="U160" s="5"/>
      <c r="V160" s="5"/>
      <c r="W160" s="5">
        <v>0.75</v>
      </c>
      <c r="X160" s="5"/>
      <c r="Y160" s="5" t="s">
        <v>1009</v>
      </c>
      <c r="Z160" s="5" t="s">
        <v>432</v>
      </c>
      <c r="AA160" s="5" t="s">
        <v>1010</v>
      </c>
      <c r="AB160" s="5" t="s">
        <v>45</v>
      </c>
      <c r="AC160" s="5" t="s">
        <v>558</v>
      </c>
      <c r="AD160" s="5"/>
      <c r="AE160" s="5"/>
      <c r="AG160" s="9">
        <f t="shared" si="2"/>
        <v>43269</v>
      </c>
    </row>
    <row r="161" s="6" customFormat="1" spans="1:33">
      <c r="A161" s="5" t="s">
        <v>1006</v>
      </c>
      <c r="B161" s="5" t="s">
        <v>1006</v>
      </c>
      <c r="C161" s="5" t="s">
        <v>1007</v>
      </c>
      <c r="D161" s="5" t="s">
        <v>1008</v>
      </c>
      <c r="E161" s="5" t="s">
        <v>35</v>
      </c>
      <c r="F161" s="5" t="s">
        <v>36</v>
      </c>
      <c r="G161" s="5" t="s">
        <v>37</v>
      </c>
      <c r="H161" s="5"/>
      <c r="I161" s="5"/>
      <c r="J161" s="5" t="s">
        <v>59</v>
      </c>
      <c r="K161" s="5" t="s">
        <v>675</v>
      </c>
      <c r="L161" s="5" t="s">
        <v>676</v>
      </c>
      <c r="M161" s="5" t="s">
        <v>677</v>
      </c>
      <c r="N161" s="5" t="s">
        <v>35</v>
      </c>
      <c r="O161" s="5">
        <v>1</v>
      </c>
      <c r="P161" s="5" t="s">
        <v>42</v>
      </c>
      <c r="Q161" s="5">
        <v>14.99</v>
      </c>
      <c r="R161" s="5"/>
      <c r="S161" s="5"/>
      <c r="T161" s="5"/>
      <c r="U161" s="5"/>
      <c r="V161" s="5"/>
      <c r="W161" s="5">
        <v>0.75</v>
      </c>
      <c r="X161" s="5"/>
      <c r="Y161" s="5" t="s">
        <v>1009</v>
      </c>
      <c r="Z161" s="5" t="s">
        <v>432</v>
      </c>
      <c r="AA161" s="5" t="s">
        <v>1010</v>
      </c>
      <c r="AB161" s="5" t="s">
        <v>45</v>
      </c>
      <c r="AC161" s="5" t="s">
        <v>558</v>
      </c>
      <c r="AD161" s="5"/>
      <c r="AE161" s="5"/>
      <c r="AG161" s="9">
        <f t="shared" si="2"/>
        <v>43269</v>
      </c>
    </row>
    <row r="162" s="6" customFormat="1" spans="1:33">
      <c r="A162" s="5" t="s">
        <v>1011</v>
      </c>
      <c r="B162" s="5" t="s">
        <v>1011</v>
      </c>
      <c r="C162" s="5" t="s">
        <v>1012</v>
      </c>
      <c r="D162" s="5" t="s">
        <v>1013</v>
      </c>
      <c r="E162" s="5" t="s">
        <v>35</v>
      </c>
      <c r="F162" s="5" t="s">
        <v>36</v>
      </c>
      <c r="G162" s="5" t="s">
        <v>37</v>
      </c>
      <c r="H162" s="5"/>
      <c r="I162" s="5"/>
      <c r="J162" s="5" t="s">
        <v>59</v>
      </c>
      <c r="K162" s="5" t="s">
        <v>50</v>
      </c>
      <c r="L162" s="5" t="s">
        <v>51</v>
      </c>
      <c r="M162" s="5" t="s">
        <v>52</v>
      </c>
      <c r="N162" s="5" t="s">
        <v>35</v>
      </c>
      <c r="O162" s="5">
        <v>1</v>
      </c>
      <c r="P162" s="5" t="s">
        <v>42</v>
      </c>
      <c r="Q162" s="5">
        <v>7</v>
      </c>
      <c r="R162" s="5"/>
      <c r="S162" s="5"/>
      <c r="T162" s="5"/>
      <c r="U162" s="5"/>
      <c r="V162" s="5"/>
      <c r="W162" s="5"/>
      <c r="X162" s="5"/>
      <c r="Y162" s="5" t="s">
        <v>483</v>
      </c>
      <c r="Z162" s="5" t="s">
        <v>341</v>
      </c>
      <c r="AA162" s="5" t="s">
        <v>1014</v>
      </c>
      <c r="AB162" s="5" t="s">
        <v>45</v>
      </c>
      <c r="AC162" s="5"/>
      <c r="AD162" s="5"/>
      <c r="AE162" s="5"/>
      <c r="AG162" s="9">
        <f t="shared" si="2"/>
        <v>43269</v>
      </c>
    </row>
    <row r="163" s="6" customFormat="1" spans="1:33">
      <c r="A163" s="5" t="s">
        <v>1015</v>
      </c>
      <c r="B163" s="5" t="s">
        <v>1015</v>
      </c>
      <c r="C163" s="5" t="s">
        <v>1016</v>
      </c>
      <c r="D163" s="5" t="s">
        <v>1017</v>
      </c>
      <c r="E163" s="5" t="s">
        <v>35</v>
      </c>
      <c r="F163" s="5" t="s">
        <v>36</v>
      </c>
      <c r="G163" s="5" t="s">
        <v>37</v>
      </c>
      <c r="H163" s="5"/>
      <c r="I163" s="5"/>
      <c r="J163" s="5" t="s">
        <v>59</v>
      </c>
      <c r="K163" s="5" t="s">
        <v>396</v>
      </c>
      <c r="L163" s="5" t="s">
        <v>397</v>
      </c>
      <c r="M163" s="5" t="s">
        <v>398</v>
      </c>
      <c r="N163" s="5" t="s">
        <v>35</v>
      </c>
      <c r="O163" s="5">
        <v>1</v>
      </c>
      <c r="P163" s="5" t="s">
        <v>42</v>
      </c>
      <c r="Q163" s="5">
        <v>15.99</v>
      </c>
      <c r="R163" s="5"/>
      <c r="S163" s="5"/>
      <c r="T163" s="5"/>
      <c r="U163" s="5"/>
      <c r="V163" s="5"/>
      <c r="W163" s="5"/>
      <c r="X163" s="5"/>
      <c r="Y163" s="5" t="s">
        <v>284</v>
      </c>
      <c r="Z163" s="5" t="s">
        <v>153</v>
      </c>
      <c r="AA163" s="5" t="s">
        <v>1018</v>
      </c>
      <c r="AB163" s="5" t="s">
        <v>45</v>
      </c>
      <c r="AC163" s="5"/>
      <c r="AD163" s="5"/>
      <c r="AE163" s="5"/>
      <c r="AG163" s="9">
        <f t="shared" si="2"/>
        <v>43269</v>
      </c>
    </row>
    <row r="164" s="6" customFormat="1" spans="1:33">
      <c r="A164" s="5" t="s">
        <v>1019</v>
      </c>
      <c r="B164" s="5" t="s">
        <v>1019</v>
      </c>
      <c r="C164" s="5" t="s">
        <v>1020</v>
      </c>
      <c r="D164" s="5" t="s">
        <v>1021</v>
      </c>
      <c r="E164" s="5" t="s">
        <v>35</v>
      </c>
      <c r="F164" s="5" t="s">
        <v>36</v>
      </c>
      <c r="G164" s="5" t="s">
        <v>37</v>
      </c>
      <c r="H164" s="5"/>
      <c r="I164" s="5"/>
      <c r="J164" s="5" t="s">
        <v>38</v>
      </c>
      <c r="K164" s="5" t="s">
        <v>86</v>
      </c>
      <c r="L164" s="5" t="s">
        <v>87</v>
      </c>
      <c r="M164" s="5" t="s">
        <v>88</v>
      </c>
      <c r="N164" s="5" t="s">
        <v>35</v>
      </c>
      <c r="O164" s="5">
        <v>1</v>
      </c>
      <c r="P164" s="5" t="s">
        <v>42</v>
      </c>
      <c r="Q164" s="5">
        <v>14.99</v>
      </c>
      <c r="R164" s="5"/>
      <c r="S164" s="5"/>
      <c r="T164" s="5"/>
      <c r="U164" s="5"/>
      <c r="V164" s="5"/>
      <c r="W164" s="5"/>
      <c r="X164" s="5"/>
      <c r="Y164" s="5" t="s">
        <v>1022</v>
      </c>
      <c r="Z164" s="5" t="s">
        <v>153</v>
      </c>
      <c r="AA164" s="5">
        <v>94403</v>
      </c>
      <c r="AB164" s="5" t="s">
        <v>45</v>
      </c>
      <c r="AC164" s="5"/>
      <c r="AD164" s="5"/>
      <c r="AE164" s="5"/>
      <c r="AG164" s="9">
        <f t="shared" si="2"/>
        <v>43269</v>
      </c>
    </row>
    <row r="165" s="6" customFormat="1" spans="1:33">
      <c r="A165" s="5" t="s">
        <v>1023</v>
      </c>
      <c r="B165" s="5" t="s">
        <v>1023</v>
      </c>
      <c r="C165" s="5" t="s">
        <v>1024</v>
      </c>
      <c r="D165" s="5" t="s">
        <v>1025</v>
      </c>
      <c r="E165" s="5" t="s">
        <v>35</v>
      </c>
      <c r="F165" s="5" t="s">
        <v>36</v>
      </c>
      <c r="G165" s="5" t="s">
        <v>37</v>
      </c>
      <c r="H165" s="5"/>
      <c r="I165" s="5"/>
      <c r="J165" s="5" t="s">
        <v>59</v>
      </c>
      <c r="K165" s="5" t="s">
        <v>50</v>
      </c>
      <c r="L165" s="5" t="s">
        <v>51</v>
      </c>
      <c r="M165" s="5" t="s">
        <v>52</v>
      </c>
      <c r="N165" s="5" t="s">
        <v>35</v>
      </c>
      <c r="O165" s="5">
        <v>1</v>
      </c>
      <c r="P165" s="5" t="s">
        <v>42</v>
      </c>
      <c r="Q165" s="5">
        <v>7</v>
      </c>
      <c r="R165" s="5"/>
      <c r="S165" s="5"/>
      <c r="T165" s="5"/>
      <c r="U165" s="5"/>
      <c r="V165" s="5"/>
      <c r="W165" s="5"/>
      <c r="X165" s="5"/>
      <c r="Y165" s="5" t="s">
        <v>1026</v>
      </c>
      <c r="Z165" s="5" t="s">
        <v>127</v>
      </c>
      <c r="AA165" s="5" t="s">
        <v>1027</v>
      </c>
      <c r="AB165" s="5" t="s">
        <v>45</v>
      </c>
      <c r="AC165" s="5"/>
      <c r="AD165" s="5"/>
      <c r="AE165" s="5"/>
      <c r="AG165" s="9">
        <f t="shared" si="2"/>
        <v>43269</v>
      </c>
    </row>
    <row r="166" s="6" customFormat="1" spans="1:33">
      <c r="A166" s="5" t="s">
        <v>1028</v>
      </c>
      <c r="B166" s="5" t="s">
        <v>1028</v>
      </c>
      <c r="C166" s="5" t="s">
        <v>1029</v>
      </c>
      <c r="D166" s="5" t="s">
        <v>1030</v>
      </c>
      <c r="E166" s="5" t="s">
        <v>35</v>
      </c>
      <c r="F166" s="5" t="s">
        <v>36</v>
      </c>
      <c r="G166" s="5" t="s">
        <v>37</v>
      </c>
      <c r="H166" s="5"/>
      <c r="I166" s="5"/>
      <c r="J166" s="5" t="s">
        <v>38</v>
      </c>
      <c r="K166" s="5" t="s">
        <v>281</v>
      </c>
      <c r="L166" s="5" t="s">
        <v>282</v>
      </c>
      <c r="M166" s="5" t="s">
        <v>283</v>
      </c>
      <c r="N166" s="5" t="s">
        <v>35</v>
      </c>
      <c r="O166" s="5">
        <v>1</v>
      </c>
      <c r="P166" s="5" t="s">
        <v>42</v>
      </c>
      <c r="Q166" s="5">
        <v>9.99</v>
      </c>
      <c r="R166" s="5"/>
      <c r="S166" s="5"/>
      <c r="T166" s="5"/>
      <c r="U166" s="5"/>
      <c r="V166" s="5"/>
      <c r="W166" s="5"/>
      <c r="X166" s="5"/>
      <c r="Y166" s="5" t="s">
        <v>1031</v>
      </c>
      <c r="Z166" s="5" t="s">
        <v>211</v>
      </c>
      <c r="AA166" s="5" t="s">
        <v>1032</v>
      </c>
      <c r="AB166" s="5" t="s">
        <v>45</v>
      </c>
      <c r="AC166" s="5"/>
      <c r="AD166" s="5"/>
      <c r="AE166" s="5"/>
      <c r="AG166" s="9">
        <f t="shared" si="2"/>
        <v>43269</v>
      </c>
    </row>
    <row r="167" s="6" customFormat="1" spans="1:33">
      <c r="A167" s="5" t="s">
        <v>1033</v>
      </c>
      <c r="B167" s="5" t="s">
        <v>1033</v>
      </c>
      <c r="C167" s="5" t="s">
        <v>1034</v>
      </c>
      <c r="D167" s="5" t="s">
        <v>1035</v>
      </c>
      <c r="E167" s="5" t="s">
        <v>35</v>
      </c>
      <c r="F167" s="5" t="s">
        <v>36</v>
      </c>
      <c r="G167" s="5" t="s">
        <v>37</v>
      </c>
      <c r="H167" s="5"/>
      <c r="I167" s="5"/>
      <c r="J167" s="5" t="s">
        <v>59</v>
      </c>
      <c r="K167" s="5" t="s">
        <v>655</v>
      </c>
      <c r="L167" s="5" t="s">
        <v>656</v>
      </c>
      <c r="M167" s="5" t="s">
        <v>657</v>
      </c>
      <c r="N167" s="5" t="s">
        <v>35</v>
      </c>
      <c r="O167" s="5">
        <v>1</v>
      </c>
      <c r="P167" s="5" t="s">
        <v>42</v>
      </c>
      <c r="Q167" s="5">
        <v>15.99</v>
      </c>
      <c r="R167" s="5"/>
      <c r="S167" s="5"/>
      <c r="T167" s="5"/>
      <c r="U167" s="5"/>
      <c r="V167" s="5"/>
      <c r="W167" s="5"/>
      <c r="X167" s="5"/>
      <c r="Y167" s="5" t="s">
        <v>1036</v>
      </c>
      <c r="Z167" s="5" t="s">
        <v>780</v>
      </c>
      <c r="AA167" s="5" t="s">
        <v>1037</v>
      </c>
      <c r="AB167" s="5" t="s">
        <v>45</v>
      </c>
      <c r="AC167" s="5"/>
      <c r="AD167" s="5"/>
      <c r="AE167" s="5"/>
      <c r="AG167" s="9">
        <f t="shared" si="2"/>
        <v>43269</v>
      </c>
    </row>
    <row r="168" s="6" customFormat="1" spans="1:33">
      <c r="A168" s="5" t="s">
        <v>1038</v>
      </c>
      <c r="B168" s="5" t="s">
        <v>1038</v>
      </c>
      <c r="C168" s="5" t="s">
        <v>1039</v>
      </c>
      <c r="D168" s="5" t="s">
        <v>1040</v>
      </c>
      <c r="E168" s="5" t="s">
        <v>35</v>
      </c>
      <c r="F168" s="5" t="s">
        <v>36</v>
      </c>
      <c r="G168" s="5" t="s">
        <v>37</v>
      </c>
      <c r="H168" s="5"/>
      <c r="I168" s="5"/>
      <c r="J168" s="5" t="s">
        <v>59</v>
      </c>
      <c r="K168" s="5" t="s">
        <v>572</v>
      </c>
      <c r="L168" s="5" t="s">
        <v>573</v>
      </c>
      <c r="M168" s="5" t="s">
        <v>574</v>
      </c>
      <c r="N168" s="5" t="s">
        <v>35</v>
      </c>
      <c r="O168" s="5">
        <v>1</v>
      </c>
      <c r="P168" s="5" t="s">
        <v>42</v>
      </c>
      <c r="Q168" s="5">
        <v>14.99</v>
      </c>
      <c r="R168" s="5"/>
      <c r="S168" s="5"/>
      <c r="T168" s="5"/>
      <c r="U168" s="5"/>
      <c r="V168" s="5"/>
      <c r="W168" s="5">
        <v>0.75</v>
      </c>
      <c r="X168" s="5"/>
      <c r="Y168" s="5" t="s">
        <v>1041</v>
      </c>
      <c r="Z168" s="5" t="s">
        <v>609</v>
      </c>
      <c r="AA168" s="5">
        <v>45140</v>
      </c>
      <c r="AB168" s="5" t="s">
        <v>45</v>
      </c>
      <c r="AC168" s="5" t="s">
        <v>558</v>
      </c>
      <c r="AD168" s="5"/>
      <c r="AE168" s="5"/>
      <c r="AG168" s="9">
        <f t="shared" si="2"/>
        <v>43269</v>
      </c>
    </row>
    <row r="169" s="6" customFormat="1" spans="1:33">
      <c r="A169" s="5" t="s">
        <v>1038</v>
      </c>
      <c r="B169" s="5" t="s">
        <v>1038</v>
      </c>
      <c r="C169" s="5" t="s">
        <v>1039</v>
      </c>
      <c r="D169" s="5" t="s">
        <v>1040</v>
      </c>
      <c r="E169" s="5" t="s">
        <v>35</v>
      </c>
      <c r="F169" s="5" t="s">
        <v>36</v>
      </c>
      <c r="G169" s="5" t="s">
        <v>37</v>
      </c>
      <c r="H169" s="5"/>
      <c r="I169" s="5"/>
      <c r="J169" s="5" t="s">
        <v>59</v>
      </c>
      <c r="K169" s="5" t="s">
        <v>332</v>
      </c>
      <c r="L169" s="5" t="s">
        <v>333</v>
      </c>
      <c r="M169" s="5" t="s">
        <v>334</v>
      </c>
      <c r="N169" s="5" t="s">
        <v>35</v>
      </c>
      <c r="O169" s="5">
        <v>2</v>
      </c>
      <c r="P169" s="5" t="s">
        <v>42</v>
      </c>
      <c r="Q169" s="5">
        <v>26.46</v>
      </c>
      <c r="R169" s="5"/>
      <c r="S169" s="5"/>
      <c r="T169" s="5"/>
      <c r="U169" s="5"/>
      <c r="V169" s="5"/>
      <c r="W169" s="5">
        <v>1.32</v>
      </c>
      <c r="X169" s="5"/>
      <c r="Y169" s="5" t="s">
        <v>1041</v>
      </c>
      <c r="Z169" s="5" t="s">
        <v>609</v>
      </c>
      <c r="AA169" s="5">
        <v>45140</v>
      </c>
      <c r="AB169" s="5" t="s">
        <v>45</v>
      </c>
      <c r="AC169" s="5" t="s">
        <v>558</v>
      </c>
      <c r="AD169" s="5"/>
      <c r="AE169" s="5"/>
      <c r="AG169" s="9">
        <f t="shared" si="2"/>
        <v>43269</v>
      </c>
    </row>
    <row r="170" s="6" customFormat="1" spans="1:33">
      <c r="A170" s="5" t="s">
        <v>1038</v>
      </c>
      <c r="B170" s="5" t="s">
        <v>1038</v>
      </c>
      <c r="C170" s="5" t="s">
        <v>1039</v>
      </c>
      <c r="D170" s="5" t="s">
        <v>1040</v>
      </c>
      <c r="E170" s="5" t="s">
        <v>35</v>
      </c>
      <c r="F170" s="5" t="s">
        <v>36</v>
      </c>
      <c r="G170" s="5" t="s">
        <v>37</v>
      </c>
      <c r="H170" s="5"/>
      <c r="I170" s="5"/>
      <c r="J170" s="5" t="s">
        <v>59</v>
      </c>
      <c r="K170" s="5" t="s">
        <v>552</v>
      </c>
      <c r="L170" s="5" t="s">
        <v>553</v>
      </c>
      <c r="M170" s="5" t="s">
        <v>554</v>
      </c>
      <c r="N170" s="5" t="s">
        <v>35</v>
      </c>
      <c r="O170" s="5">
        <v>1</v>
      </c>
      <c r="P170" s="5" t="s">
        <v>42</v>
      </c>
      <c r="Q170" s="5">
        <v>14.99</v>
      </c>
      <c r="R170" s="5"/>
      <c r="S170" s="5"/>
      <c r="T170" s="5"/>
      <c r="U170" s="5"/>
      <c r="V170" s="5"/>
      <c r="W170" s="5">
        <v>0.75</v>
      </c>
      <c r="X170" s="5"/>
      <c r="Y170" s="5" t="s">
        <v>1041</v>
      </c>
      <c r="Z170" s="5" t="s">
        <v>609</v>
      </c>
      <c r="AA170" s="5">
        <v>45140</v>
      </c>
      <c r="AB170" s="5" t="s">
        <v>45</v>
      </c>
      <c r="AC170" s="5" t="s">
        <v>558</v>
      </c>
      <c r="AD170" s="5"/>
      <c r="AE170" s="5"/>
      <c r="AG170" s="9">
        <f t="shared" si="2"/>
        <v>43269</v>
      </c>
    </row>
    <row r="171" s="6" customFormat="1" spans="1:33">
      <c r="A171" s="5" t="s">
        <v>1042</v>
      </c>
      <c r="B171" s="5" t="s">
        <v>1042</v>
      </c>
      <c r="C171" s="5" t="s">
        <v>1043</v>
      </c>
      <c r="D171" s="5" t="s">
        <v>1044</v>
      </c>
      <c r="E171" s="5" t="s">
        <v>35</v>
      </c>
      <c r="F171" s="5" t="s">
        <v>36</v>
      </c>
      <c r="G171" s="5" t="s">
        <v>37</v>
      </c>
      <c r="H171" s="5"/>
      <c r="I171" s="5"/>
      <c r="J171" s="5" t="s">
        <v>59</v>
      </c>
      <c r="K171" s="5" t="s">
        <v>50</v>
      </c>
      <c r="L171" s="5" t="s">
        <v>51</v>
      </c>
      <c r="M171" s="5" t="s">
        <v>52</v>
      </c>
      <c r="N171" s="5" t="s">
        <v>35</v>
      </c>
      <c r="O171" s="5">
        <v>1</v>
      </c>
      <c r="P171" s="5" t="s">
        <v>42</v>
      </c>
      <c r="Q171" s="5">
        <v>7</v>
      </c>
      <c r="R171" s="5"/>
      <c r="S171" s="5"/>
      <c r="T171" s="5"/>
      <c r="U171" s="5"/>
      <c r="V171" s="5"/>
      <c r="W171" s="5"/>
      <c r="X171" s="5"/>
      <c r="Y171" s="5" t="s">
        <v>1045</v>
      </c>
      <c r="Z171" s="5" t="s">
        <v>729</v>
      </c>
      <c r="AA171" s="5" t="s">
        <v>1046</v>
      </c>
      <c r="AB171" s="5" t="s">
        <v>45</v>
      </c>
      <c r="AC171" s="5"/>
      <c r="AD171" s="5"/>
      <c r="AE171" s="5"/>
      <c r="AG171" s="9">
        <f t="shared" si="2"/>
        <v>43269</v>
      </c>
    </row>
    <row r="172" s="6" customFormat="1" spans="1:33">
      <c r="A172" s="5" t="s">
        <v>1047</v>
      </c>
      <c r="B172" s="5" t="s">
        <v>1047</v>
      </c>
      <c r="C172" s="5" t="s">
        <v>1048</v>
      </c>
      <c r="D172" s="5" t="s">
        <v>1049</v>
      </c>
      <c r="E172" s="5" t="s">
        <v>35</v>
      </c>
      <c r="F172" s="5" t="s">
        <v>36</v>
      </c>
      <c r="G172" s="5" t="s">
        <v>37</v>
      </c>
      <c r="H172" s="5"/>
      <c r="I172" s="5"/>
      <c r="J172" s="5" t="s">
        <v>59</v>
      </c>
      <c r="K172" s="5" t="s">
        <v>539</v>
      </c>
      <c r="L172" s="5" t="s">
        <v>540</v>
      </c>
      <c r="M172" s="5" t="s">
        <v>541</v>
      </c>
      <c r="N172" s="5" t="s">
        <v>35</v>
      </c>
      <c r="O172" s="5">
        <v>1</v>
      </c>
      <c r="P172" s="5" t="s">
        <v>42</v>
      </c>
      <c r="Q172" s="5">
        <v>15.99</v>
      </c>
      <c r="R172" s="5"/>
      <c r="S172" s="5"/>
      <c r="T172" s="5"/>
      <c r="U172" s="5"/>
      <c r="V172" s="5"/>
      <c r="W172" s="5"/>
      <c r="X172" s="5"/>
      <c r="Y172" s="5" t="s">
        <v>1050</v>
      </c>
      <c r="Z172" s="5" t="s">
        <v>54</v>
      </c>
      <c r="AA172" s="5" t="s">
        <v>1051</v>
      </c>
      <c r="AB172" s="5" t="s">
        <v>45</v>
      </c>
      <c r="AC172" s="5"/>
      <c r="AD172" s="5"/>
      <c r="AE172" s="5"/>
      <c r="AG172" s="9">
        <f t="shared" si="2"/>
        <v>43269</v>
      </c>
    </row>
    <row r="173" s="6" customFormat="1" spans="1:33">
      <c r="A173" s="5" t="s">
        <v>1052</v>
      </c>
      <c r="B173" s="5" t="s">
        <v>1052</v>
      </c>
      <c r="C173" s="5" t="s">
        <v>1053</v>
      </c>
      <c r="D173" s="5" t="s">
        <v>1054</v>
      </c>
      <c r="E173" s="5" t="s">
        <v>35</v>
      </c>
      <c r="F173" s="5" t="s">
        <v>36</v>
      </c>
      <c r="G173" s="5" t="s">
        <v>37</v>
      </c>
      <c r="H173" s="5"/>
      <c r="I173" s="5"/>
      <c r="J173" s="5" t="s">
        <v>59</v>
      </c>
      <c r="K173" s="5" t="s">
        <v>50</v>
      </c>
      <c r="L173" s="5" t="s">
        <v>51</v>
      </c>
      <c r="M173" s="5" t="s">
        <v>52</v>
      </c>
      <c r="N173" s="5" t="s">
        <v>35</v>
      </c>
      <c r="O173" s="5">
        <v>4</v>
      </c>
      <c r="P173" s="5" t="s">
        <v>42</v>
      </c>
      <c r="Q173" s="5">
        <v>28</v>
      </c>
      <c r="R173" s="5"/>
      <c r="S173" s="5"/>
      <c r="T173" s="5"/>
      <c r="U173" s="5"/>
      <c r="V173" s="5"/>
      <c r="W173" s="5"/>
      <c r="X173" s="5"/>
      <c r="Y173" s="5" t="s">
        <v>1055</v>
      </c>
      <c r="Z173" s="5" t="s">
        <v>153</v>
      </c>
      <c r="AA173" s="5">
        <v>92835</v>
      </c>
      <c r="AB173" s="5" t="s">
        <v>45</v>
      </c>
      <c r="AC173" s="5"/>
      <c r="AD173" s="5"/>
      <c r="AE173" s="5"/>
      <c r="AG173" s="9">
        <f t="shared" si="2"/>
        <v>43269</v>
      </c>
    </row>
    <row r="174" s="6" customFormat="1" spans="1:33">
      <c r="A174" s="5" t="s">
        <v>1056</v>
      </c>
      <c r="B174" s="5" t="s">
        <v>1056</v>
      </c>
      <c r="C174" s="5" t="s">
        <v>1057</v>
      </c>
      <c r="D174" s="5" t="s">
        <v>1058</v>
      </c>
      <c r="E174" s="5" t="s">
        <v>35</v>
      </c>
      <c r="F174" s="5" t="s">
        <v>36</v>
      </c>
      <c r="G174" s="5" t="s">
        <v>37</v>
      </c>
      <c r="H174" s="5"/>
      <c r="I174" s="5"/>
      <c r="J174" s="5" t="s">
        <v>59</v>
      </c>
      <c r="K174" s="5" t="s">
        <v>1059</v>
      </c>
      <c r="L174" s="5" t="s">
        <v>1060</v>
      </c>
      <c r="M174" s="5" t="s">
        <v>1061</v>
      </c>
      <c r="N174" s="5" t="s">
        <v>35</v>
      </c>
      <c r="O174" s="5">
        <v>1</v>
      </c>
      <c r="P174" s="5" t="s">
        <v>42</v>
      </c>
      <c r="Q174" s="5">
        <v>12.79</v>
      </c>
      <c r="R174" s="5"/>
      <c r="S174" s="5"/>
      <c r="T174" s="5"/>
      <c r="U174" s="5"/>
      <c r="V174" s="5"/>
      <c r="W174" s="5"/>
      <c r="X174" s="5"/>
      <c r="Y174" s="5" t="s">
        <v>1062</v>
      </c>
      <c r="Z174" s="5" t="s">
        <v>211</v>
      </c>
      <c r="AA174" s="5" t="s">
        <v>1063</v>
      </c>
      <c r="AB174" s="5" t="s">
        <v>45</v>
      </c>
      <c r="AC174" s="5"/>
      <c r="AD174" s="5"/>
      <c r="AE174" s="5"/>
      <c r="AG174" s="9">
        <f t="shared" si="2"/>
        <v>43270</v>
      </c>
    </row>
    <row r="175" s="6" customFormat="1" spans="1:33">
      <c r="A175" s="5" t="s">
        <v>1064</v>
      </c>
      <c r="B175" s="5" t="s">
        <v>1064</v>
      </c>
      <c r="C175" s="5" t="s">
        <v>1065</v>
      </c>
      <c r="D175" s="5" t="s">
        <v>1066</v>
      </c>
      <c r="E175" s="5" t="s">
        <v>35</v>
      </c>
      <c r="F175" s="5" t="s">
        <v>36</v>
      </c>
      <c r="G175" s="5" t="s">
        <v>37</v>
      </c>
      <c r="H175" s="5"/>
      <c r="I175" s="5"/>
      <c r="J175" s="5" t="s">
        <v>38</v>
      </c>
      <c r="K175" s="5" t="s">
        <v>688</v>
      </c>
      <c r="L175" s="5" t="s">
        <v>689</v>
      </c>
      <c r="M175" s="5" t="s">
        <v>690</v>
      </c>
      <c r="N175" s="5" t="s">
        <v>35</v>
      </c>
      <c r="O175" s="5">
        <v>2</v>
      </c>
      <c r="P175" s="5" t="s">
        <v>42</v>
      </c>
      <c r="Q175" s="5">
        <v>17.98</v>
      </c>
      <c r="R175" s="5"/>
      <c r="S175" s="5"/>
      <c r="T175" s="5"/>
      <c r="U175" s="5"/>
      <c r="V175" s="5"/>
      <c r="W175" s="5"/>
      <c r="X175" s="5"/>
      <c r="Y175" s="5" t="s">
        <v>1067</v>
      </c>
      <c r="Z175" s="5" t="s">
        <v>54</v>
      </c>
      <c r="AA175" s="5" t="s">
        <v>1068</v>
      </c>
      <c r="AB175" s="5" t="s">
        <v>45</v>
      </c>
      <c r="AC175" s="5"/>
      <c r="AD175" s="5"/>
      <c r="AE175" s="5"/>
      <c r="AG175" s="9">
        <f t="shared" si="2"/>
        <v>43270</v>
      </c>
    </row>
    <row r="176" s="6" customFormat="1" spans="1:33">
      <c r="A176" s="5" t="s">
        <v>1069</v>
      </c>
      <c r="B176" s="5" t="s">
        <v>1069</v>
      </c>
      <c r="C176" s="5" t="s">
        <v>1070</v>
      </c>
      <c r="D176" s="5" t="s">
        <v>1071</v>
      </c>
      <c r="E176" s="5" t="s">
        <v>35</v>
      </c>
      <c r="F176" s="5" t="s">
        <v>36</v>
      </c>
      <c r="G176" s="5" t="s">
        <v>37</v>
      </c>
      <c r="H176" s="5"/>
      <c r="I176" s="5"/>
      <c r="J176" s="5" t="s">
        <v>38</v>
      </c>
      <c r="K176" s="5" t="s">
        <v>39</v>
      </c>
      <c r="L176" s="5" t="s">
        <v>40</v>
      </c>
      <c r="M176" s="5" t="s">
        <v>41</v>
      </c>
      <c r="N176" s="5" t="s">
        <v>35</v>
      </c>
      <c r="O176" s="5">
        <v>1</v>
      </c>
      <c r="P176" s="5" t="s">
        <v>42</v>
      </c>
      <c r="Q176" s="5">
        <v>7.99</v>
      </c>
      <c r="R176" s="5"/>
      <c r="S176" s="5"/>
      <c r="T176" s="5"/>
      <c r="U176" s="5"/>
      <c r="V176" s="5"/>
      <c r="W176" s="5"/>
      <c r="X176" s="5"/>
      <c r="Y176" s="5" t="s">
        <v>1072</v>
      </c>
      <c r="Z176" s="5" t="s">
        <v>341</v>
      </c>
      <c r="AA176" s="5">
        <v>27517</v>
      </c>
      <c r="AB176" s="5" t="s">
        <v>45</v>
      </c>
      <c r="AC176" s="5"/>
      <c r="AD176" s="5"/>
      <c r="AE176" s="5"/>
      <c r="AG176" s="9">
        <f t="shared" si="2"/>
        <v>43270</v>
      </c>
    </row>
    <row r="177" s="6" customFormat="1" spans="1:33">
      <c r="A177" s="5" t="s">
        <v>1073</v>
      </c>
      <c r="B177" s="5" t="s">
        <v>1073</v>
      </c>
      <c r="C177" s="5" t="s">
        <v>1074</v>
      </c>
      <c r="D177" s="5" t="s">
        <v>1075</v>
      </c>
      <c r="E177" s="5" t="s">
        <v>35</v>
      </c>
      <c r="F177" s="5" t="s">
        <v>36</v>
      </c>
      <c r="G177" s="5" t="s">
        <v>37</v>
      </c>
      <c r="H177" s="5"/>
      <c r="I177" s="5"/>
      <c r="J177" s="5" t="s">
        <v>59</v>
      </c>
      <c r="K177" s="5" t="s">
        <v>50</v>
      </c>
      <c r="L177" s="5" t="s">
        <v>51</v>
      </c>
      <c r="M177" s="5" t="s">
        <v>52</v>
      </c>
      <c r="N177" s="5" t="s">
        <v>35</v>
      </c>
      <c r="O177" s="5">
        <v>1</v>
      </c>
      <c r="P177" s="5" t="s">
        <v>42</v>
      </c>
      <c r="Q177" s="5">
        <v>7</v>
      </c>
      <c r="R177" s="5"/>
      <c r="S177" s="5"/>
      <c r="T177" s="5"/>
      <c r="U177" s="5"/>
      <c r="V177" s="5"/>
      <c r="W177" s="5"/>
      <c r="X177" s="5"/>
      <c r="Y177" s="5" t="s">
        <v>501</v>
      </c>
      <c r="Z177" s="5" t="s">
        <v>127</v>
      </c>
      <c r="AA177" s="5" t="s">
        <v>1076</v>
      </c>
      <c r="AB177" s="5" t="s">
        <v>45</v>
      </c>
      <c r="AC177" s="5"/>
      <c r="AD177" s="5"/>
      <c r="AE177" s="5"/>
      <c r="AG177" s="9">
        <f t="shared" si="2"/>
        <v>43270</v>
      </c>
    </row>
    <row r="178" s="6" customFormat="1" spans="1:33">
      <c r="A178" s="5" t="s">
        <v>1077</v>
      </c>
      <c r="B178" s="5" t="s">
        <v>1077</v>
      </c>
      <c r="C178" s="5" t="s">
        <v>1078</v>
      </c>
      <c r="D178" s="5" t="s">
        <v>1079</v>
      </c>
      <c r="E178" s="5" t="s">
        <v>35</v>
      </c>
      <c r="F178" s="5" t="s">
        <v>36</v>
      </c>
      <c r="G178" s="5" t="s">
        <v>37</v>
      </c>
      <c r="H178" s="5"/>
      <c r="I178" s="5"/>
      <c r="J178" s="5" t="s">
        <v>59</v>
      </c>
      <c r="K178" s="5" t="s">
        <v>50</v>
      </c>
      <c r="L178" s="5" t="s">
        <v>51</v>
      </c>
      <c r="M178" s="5" t="s">
        <v>52</v>
      </c>
      <c r="N178" s="5" t="s">
        <v>35</v>
      </c>
      <c r="O178" s="5">
        <v>1</v>
      </c>
      <c r="P178" s="5" t="s">
        <v>42</v>
      </c>
      <c r="Q178" s="5">
        <v>7</v>
      </c>
      <c r="R178" s="5"/>
      <c r="S178" s="5"/>
      <c r="T178" s="5"/>
      <c r="U178" s="5"/>
      <c r="V178" s="5"/>
      <c r="W178" s="5"/>
      <c r="X178" s="5"/>
      <c r="Y178" s="5" t="s">
        <v>1080</v>
      </c>
      <c r="Z178" s="5" t="s">
        <v>432</v>
      </c>
      <c r="AA178" s="5" t="s">
        <v>1081</v>
      </c>
      <c r="AB178" s="5" t="s">
        <v>45</v>
      </c>
      <c r="AC178" s="5"/>
      <c r="AD178" s="5"/>
      <c r="AE178" s="5"/>
      <c r="AG178" s="9">
        <f t="shared" si="2"/>
        <v>43270</v>
      </c>
    </row>
    <row r="179" s="6" customFormat="1" spans="1:33">
      <c r="A179" s="5" t="s">
        <v>1082</v>
      </c>
      <c r="B179" s="5" t="s">
        <v>1082</v>
      </c>
      <c r="C179" s="5" t="s">
        <v>1083</v>
      </c>
      <c r="D179" s="5" t="s">
        <v>1084</v>
      </c>
      <c r="E179" s="5" t="s">
        <v>35</v>
      </c>
      <c r="F179" s="5" t="s">
        <v>36</v>
      </c>
      <c r="G179" s="5" t="s">
        <v>37</v>
      </c>
      <c r="H179" s="5"/>
      <c r="I179" s="5"/>
      <c r="J179" s="5" t="s">
        <v>59</v>
      </c>
      <c r="K179" s="5" t="s">
        <v>94</v>
      </c>
      <c r="L179" s="5" t="s">
        <v>95</v>
      </c>
      <c r="M179" s="5" t="s">
        <v>96</v>
      </c>
      <c r="N179" s="5" t="s">
        <v>35</v>
      </c>
      <c r="O179" s="5">
        <v>1</v>
      </c>
      <c r="P179" s="5" t="s">
        <v>42</v>
      </c>
      <c r="Q179" s="5">
        <v>14.99</v>
      </c>
      <c r="R179" s="5"/>
      <c r="S179" s="5"/>
      <c r="T179" s="5"/>
      <c r="U179" s="5"/>
      <c r="V179" s="5"/>
      <c r="W179" s="5"/>
      <c r="X179" s="5"/>
      <c r="Y179" s="5" t="s">
        <v>700</v>
      </c>
      <c r="Z179" s="5" t="s">
        <v>54</v>
      </c>
      <c r="AA179" s="5" t="s">
        <v>1085</v>
      </c>
      <c r="AB179" s="5" t="s">
        <v>45</v>
      </c>
      <c r="AC179" s="5"/>
      <c r="AD179" s="5"/>
      <c r="AE179" s="5"/>
      <c r="AG179" s="9">
        <f t="shared" si="2"/>
        <v>43270</v>
      </c>
    </row>
    <row r="180" s="6" customFormat="1" spans="1:33">
      <c r="A180" s="5" t="s">
        <v>1086</v>
      </c>
      <c r="B180" s="5" t="s">
        <v>1086</v>
      </c>
      <c r="C180" s="5" t="s">
        <v>1087</v>
      </c>
      <c r="D180" s="5" t="s">
        <v>1088</v>
      </c>
      <c r="E180" s="5" t="s">
        <v>35</v>
      </c>
      <c r="F180" s="5" t="s">
        <v>36</v>
      </c>
      <c r="G180" s="5" t="s">
        <v>37</v>
      </c>
      <c r="H180" s="5"/>
      <c r="I180" s="5"/>
      <c r="J180" s="5" t="s">
        <v>59</v>
      </c>
      <c r="K180" s="5" t="s">
        <v>831</v>
      </c>
      <c r="L180" s="5" t="s">
        <v>832</v>
      </c>
      <c r="M180" s="5" t="s">
        <v>833</v>
      </c>
      <c r="N180" s="5" t="s">
        <v>35</v>
      </c>
      <c r="O180" s="5">
        <v>4</v>
      </c>
      <c r="P180" s="5" t="s">
        <v>42</v>
      </c>
      <c r="Q180" s="5">
        <v>63.96</v>
      </c>
      <c r="R180" s="5"/>
      <c r="S180" s="5"/>
      <c r="T180" s="5"/>
      <c r="U180" s="5"/>
      <c r="V180" s="5"/>
      <c r="W180" s="5"/>
      <c r="X180" s="5"/>
      <c r="Y180" s="5" t="s">
        <v>1089</v>
      </c>
      <c r="Z180" s="5" t="s">
        <v>666</v>
      </c>
      <c r="AA180" s="5">
        <v>20774</v>
      </c>
      <c r="AB180" s="5" t="s">
        <v>45</v>
      </c>
      <c r="AC180" s="5"/>
      <c r="AD180" s="5"/>
      <c r="AE180" s="5"/>
      <c r="AG180" s="9">
        <f t="shared" si="2"/>
        <v>43270</v>
      </c>
    </row>
    <row r="181" s="6" customFormat="1" spans="1:33">
      <c r="A181" s="5" t="s">
        <v>1090</v>
      </c>
      <c r="B181" s="5" t="s">
        <v>1090</v>
      </c>
      <c r="C181" s="5" t="s">
        <v>1091</v>
      </c>
      <c r="D181" s="5" t="s">
        <v>1092</v>
      </c>
      <c r="E181" s="5" t="s">
        <v>35</v>
      </c>
      <c r="F181" s="5" t="s">
        <v>36</v>
      </c>
      <c r="G181" s="5" t="s">
        <v>37</v>
      </c>
      <c r="H181" s="5"/>
      <c r="I181" s="5"/>
      <c r="J181" s="5" t="s">
        <v>59</v>
      </c>
      <c r="K181" s="5" t="s">
        <v>50</v>
      </c>
      <c r="L181" s="5" t="s">
        <v>51</v>
      </c>
      <c r="M181" s="5" t="s">
        <v>52</v>
      </c>
      <c r="N181" s="5" t="s">
        <v>35</v>
      </c>
      <c r="O181" s="5">
        <v>1</v>
      </c>
      <c r="P181" s="5" t="s">
        <v>42</v>
      </c>
      <c r="Q181" s="5">
        <v>7</v>
      </c>
      <c r="R181" s="5"/>
      <c r="S181" s="5"/>
      <c r="T181" s="5"/>
      <c r="U181" s="5"/>
      <c r="V181" s="5"/>
      <c r="W181" s="5"/>
      <c r="X181" s="5"/>
      <c r="Y181" s="5" t="s">
        <v>359</v>
      </c>
      <c r="Z181" s="5" t="s">
        <v>211</v>
      </c>
      <c r="AA181" s="5" t="s">
        <v>1093</v>
      </c>
      <c r="AB181" s="5" t="s">
        <v>45</v>
      </c>
      <c r="AC181" s="5"/>
      <c r="AD181" s="5"/>
      <c r="AE181" s="5"/>
      <c r="AG181" s="9">
        <f t="shared" si="2"/>
        <v>43270</v>
      </c>
    </row>
    <row r="182" s="6" customFormat="1" spans="1:33">
      <c r="A182" s="5" t="s">
        <v>1094</v>
      </c>
      <c r="B182" s="5" t="s">
        <v>1094</v>
      </c>
      <c r="C182" s="5" t="s">
        <v>1095</v>
      </c>
      <c r="D182" s="5" t="s">
        <v>1096</v>
      </c>
      <c r="E182" s="5" t="s">
        <v>35</v>
      </c>
      <c r="F182" s="5" t="s">
        <v>36</v>
      </c>
      <c r="G182" s="5" t="s">
        <v>37</v>
      </c>
      <c r="H182" s="5"/>
      <c r="I182" s="5"/>
      <c r="J182" s="5" t="s">
        <v>38</v>
      </c>
      <c r="K182" s="5" t="s">
        <v>39</v>
      </c>
      <c r="L182" s="5" t="s">
        <v>40</v>
      </c>
      <c r="M182" s="5" t="s">
        <v>41</v>
      </c>
      <c r="N182" s="5" t="s">
        <v>35</v>
      </c>
      <c r="O182" s="5">
        <v>1</v>
      </c>
      <c r="P182" s="5" t="s">
        <v>42</v>
      </c>
      <c r="Q182" s="5">
        <v>7.99</v>
      </c>
      <c r="R182" s="5"/>
      <c r="S182" s="5"/>
      <c r="T182" s="5"/>
      <c r="U182" s="5"/>
      <c r="V182" s="5"/>
      <c r="W182" s="5"/>
      <c r="X182" s="5"/>
      <c r="Y182" s="5" t="s">
        <v>1097</v>
      </c>
      <c r="Z182" s="5" t="s">
        <v>162</v>
      </c>
      <c r="AA182" s="5" t="s">
        <v>1098</v>
      </c>
      <c r="AB182" s="5" t="s">
        <v>45</v>
      </c>
      <c r="AC182" s="5"/>
      <c r="AD182" s="5"/>
      <c r="AE182" s="5"/>
      <c r="AG182" s="9">
        <f t="shared" si="2"/>
        <v>43270</v>
      </c>
    </row>
    <row r="183" s="6" customFormat="1" spans="1:33">
      <c r="A183" s="5" t="s">
        <v>1099</v>
      </c>
      <c r="B183" s="5" t="s">
        <v>1099</v>
      </c>
      <c r="C183" s="5" t="s">
        <v>1100</v>
      </c>
      <c r="D183" s="5" t="s">
        <v>1101</v>
      </c>
      <c r="E183" s="5" t="s">
        <v>35</v>
      </c>
      <c r="F183" s="5" t="s">
        <v>36</v>
      </c>
      <c r="G183" s="5" t="s">
        <v>37</v>
      </c>
      <c r="H183" s="5"/>
      <c r="I183" s="5"/>
      <c r="J183" s="5" t="s">
        <v>59</v>
      </c>
      <c r="K183" s="5" t="s">
        <v>1102</v>
      </c>
      <c r="L183" s="5" t="s">
        <v>1103</v>
      </c>
      <c r="M183" s="5" t="s">
        <v>1104</v>
      </c>
      <c r="N183" s="5" t="s">
        <v>35</v>
      </c>
      <c r="O183" s="5">
        <v>1</v>
      </c>
      <c r="P183" s="5" t="s">
        <v>42</v>
      </c>
      <c r="Q183" s="5">
        <v>17.99</v>
      </c>
      <c r="R183" s="5"/>
      <c r="S183" s="5"/>
      <c r="T183" s="5"/>
      <c r="U183" s="5"/>
      <c r="V183" s="5"/>
      <c r="W183" s="5"/>
      <c r="X183" s="5"/>
      <c r="Y183" s="5" t="s">
        <v>1105</v>
      </c>
      <c r="Z183" s="5" t="s">
        <v>341</v>
      </c>
      <c r="AA183" s="5">
        <v>28806</v>
      </c>
      <c r="AB183" s="5" t="s">
        <v>45</v>
      </c>
      <c r="AC183" s="5"/>
      <c r="AD183" s="5"/>
      <c r="AE183" s="5"/>
      <c r="AG183" s="9">
        <f t="shared" si="2"/>
        <v>43270</v>
      </c>
    </row>
    <row r="184" s="6" customFormat="1" spans="1:33">
      <c r="A184" s="5" t="s">
        <v>1106</v>
      </c>
      <c r="B184" s="5" t="s">
        <v>1106</v>
      </c>
      <c r="C184" s="5" t="s">
        <v>1107</v>
      </c>
      <c r="D184" s="5" t="s">
        <v>1108</v>
      </c>
      <c r="E184" s="5" t="s">
        <v>35</v>
      </c>
      <c r="F184" s="5" t="s">
        <v>36</v>
      </c>
      <c r="G184" s="5" t="s">
        <v>37</v>
      </c>
      <c r="H184" s="5"/>
      <c r="I184" s="5"/>
      <c r="J184" s="5" t="s">
        <v>38</v>
      </c>
      <c r="K184" s="5" t="s">
        <v>552</v>
      </c>
      <c r="L184" s="5" t="s">
        <v>553</v>
      </c>
      <c r="M184" s="5" t="s">
        <v>554</v>
      </c>
      <c r="N184" s="5" t="s">
        <v>35</v>
      </c>
      <c r="O184" s="5">
        <v>1</v>
      </c>
      <c r="P184" s="5" t="s">
        <v>42</v>
      </c>
      <c r="Q184" s="5">
        <v>14.99</v>
      </c>
      <c r="R184" s="5"/>
      <c r="S184" s="5"/>
      <c r="T184" s="5"/>
      <c r="U184" s="5"/>
      <c r="V184" s="5"/>
      <c r="W184" s="5"/>
      <c r="X184" s="5"/>
      <c r="Y184" s="5" t="s">
        <v>1109</v>
      </c>
      <c r="Z184" s="5" t="s">
        <v>1110</v>
      </c>
      <c r="AA184" s="5" t="s">
        <v>1111</v>
      </c>
      <c r="AB184" s="5" t="s">
        <v>45</v>
      </c>
      <c r="AC184" s="5"/>
      <c r="AD184" s="5"/>
      <c r="AE184" s="5"/>
      <c r="AG184" s="9">
        <f t="shared" si="2"/>
        <v>43270</v>
      </c>
    </row>
    <row r="185" s="6" customFormat="1" spans="1:33">
      <c r="A185" s="5" t="s">
        <v>1112</v>
      </c>
      <c r="B185" s="5" t="s">
        <v>1112</v>
      </c>
      <c r="C185" s="5" t="s">
        <v>1113</v>
      </c>
      <c r="D185" s="5" t="s">
        <v>1114</v>
      </c>
      <c r="E185" s="5" t="s">
        <v>35</v>
      </c>
      <c r="F185" s="5" t="s">
        <v>36</v>
      </c>
      <c r="G185" s="5" t="s">
        <v>37</v>
      </c>
      <c r="H185" s="5"/>
      <c r="I185" s="5"/>
      <c r="J185" s="5" t="s">
        <v>59</v>
      </c>
      <c r="K185" s="5" t="s">
        <v>50</v>
      </c>
      <c r="L185" s="5" t="s">
        <v>51</v>
      </c>
      <c r="M185" s="5" t="s">
        <v>52</v>
      </c>
      <c r="N185" s="5" t="s">
        <v>35</v>
      </c>
      <c r="O185" s="5">
        <v>1</v>
      </c>
      <c r="P185" s="5" t="s">
        <v>42</v>
      </c>
      <c r="Q185" s="5">
        <v>7</v>
      </c>
      <c r="R185" s="5"/>
      <c r="S185" s="5"/>
      <c r="T185" s="5"/>
      <c r="U185" s="5"/>
      <c r="V185" s="5"/>
      <c r="W185" s="5"/>
      <c r="X185" s="5"/>
      <c r="Y185" s="5" t="s">
        <v>1115</v>
      </c>
      <c r="Z185" s="5" t="s">
        <v>1116</v>
      </c>
      <c r="AA185" s="5" t="s">
        <v>1117</v>
      </c>
      <c r="AB185" s="5" t="s">
        <v>45</v>
      </c>
      <c r="AC185" s="5"/>
      <c r="AD185" s="5"/>
      <c r="AE185" s="5"/>
      <c r="AG185" s="9">
        <f t="shared" si="2"/>
        <v>43270</v>
      </c>
    </row>
    <row r="186" s="6" customFormat="1" spans="1:33">
      <c r="A186" s="5" t="s">
        <v>1118</v>
      </c>
      <c r="B186" s="5" t="s">
        <v>1118</v>
      </c>
      <c r="C186" s="5" t="s">
        <v>1119</v>
      </c>
      <c r="D186" s="5" t="s">
        <v>1120</v>
      </c>
      <c r="E186" s="5" t="s">
        <v>35</v>
      </c>
      <c r="F186" s="5" t="s">
        <v>36</v>
      </c>
      <c r="G186" s="5" t="s">
        <v>37</v>
      </c>
      <c r="H186" s="5"/>
      <c r="I186" s="5"/>
      <c r="J186" s="5" t="s">
        <v>59</v>
      </c>
      <c r="K186" s="5" t="s">
        <v>94</v>
      </c>
      <c r="L186" s="5" t="s">
        <v>95</v>
      </c>
      <c r="M186" s="5" t="s">
        <v>96</v>
      </c>
      <c r="N186" s="5" t="s">
        <v>35</v>
      </c>
      <c r="O186" s="5">
        <v>1</v>
      </c>
      <c r="P186" s="5" t="s">
        <v>42</v>
      </c>
      <c r="Q186" s="5">
        <v>14.99</v>
      </c>
      <c r="R186" s="5"/>
      <c r="S186" s="5"/>
      <c r="T186" s="5"/>
      <c r="U186" s="5"/>
      <c r="V186" s="5"/>
      <c r="W186" s="5"/>
      <c r="X186" s="5"/>
      <c r="Y186" s="5" t="s">
        <v>1121</v>
      </c>
      <c r="Z186" s="5" t="s">
        <v>1122</v>
      </c>
      <c r="AA186" s="5">
        <v>55125</v>
      </c>
      <c r="AB186" s="5" t="s">
        <v>45</v>
      </c>
      <c r="AC186" s="5"/>
      <c r="AD186" s="5"/>
      <c r="AE186" s="5"/>
      <c r="AG186" s="9">
        <f t="shared" si="2"/>
        <v>43270</v>
      </c>
    </row>
    <row r="187" s="6" customFormat="1" spans="1:33">
      <c r="A187" s="5" t="s">
        <v>1123</v>
      </c>
      <c r="B187" s="5" t="s">
        <v>1123</v>
      </c>
      <c r="C187" s="5" t="s">
        <v>1124</v>
      </c>
      <c r="D187" s="5" t="s">
        <v>1125</v>
      </c>
      <c r="E187" s="5" t="s">
        <v>274</v>
      </c>
      <c r="F187" s="5" t="s">
        <v>36</v>
      </c>
      <c r="G187" s="5" t="s">
        <v>37</v>
      </c>
      <c r="H187" s="5"/>
      <c r="I187" s="5"/>
      <c r="J187" s="5" t="s">
        <v>38</v>
      </c>
      <c r="K187" s="5" t="s">
        <v>39</v>
      </c>
      <c r="L187" s="5" t="s">
        <v>40</v>
      </c>
      <c r="M187" s="5" t="s">
        <v>41</v>
      </c>
      <c r="N187" s="5" t="s">
        <v>274</v>
      </c>
      <c r="O187" s="5">
        <v>0</v>
      </c>
      <c r="P187" s="5"/>
      <c r="Q187" s="5"/>
      <c r="R187" s="5"/>
      <c r="S187" s="5"/>
      <c r="T187" s="5"/>
      <c r="U187" s="5"/>
      <c r="V187" s="5"/>
      <c r="W187" s="5"/>
      <c r="X187" s="5"/>
      <c r="Y187" s="5" t="s">
        <v>1126</v>
      </c>
      <c r="Z187" s="5" t="s">
        <v>54</v>
      </c>
      <c r="AA187" s="5" t="s">
        <v>1127</v>
      </c>
      <c r="AB187" s="5" t="s">
        <v>45</v>
      </c>
      <c r="AC187" s="5"/>
      <c r="AD187" s="5"/>
      <c r="AE187" s="5"/>
      <c r="AG187" s="9">
        <f t="shared" si="2"/>
        <v>43270</v>
      </c>
    </row>
    <row r="188" s="6" customFormat="1" spans="1:33">
      <c r="A188" s="5" t="s">
        <v>1128</v>
      </c>
      <c r="B188" s="5" t="s">
        <v>1128</v>
      </c>
      <c r="C188" s="5" t="s">
        <v>1129</v>
      </c>
      <c r="D188" s="5" t="s">
        <v>1130</v>
      </c>
      <c r="E188" s="5" t="s">
        <v>35</v>
      </c>
      <c r="F188" s="5" t="s">
        <v>36</v>
      </c>
      <c r="G188" s="5" t="s">
        <v>37</v>
      </c>
      <c r="H188" s="5"/>
      <c r="I188" s="5"/>
      <c r="J188" s="5" t="s">
        <v>59</v>
      </c>
      <c r="K188" s="5" t="s">
        <v>1131</v>
      </c>
      <c r="L188" s="5" t="s">
        <v>1132</v>
      </c>
      <c r="M188" s="5" t="s">
        <v>1133</v>
      </c>
      <c r="N188" s="5" t="s">
        <v>35</v>
      </c>
      <c r="O188" s="5">
        <v>1</v>
      </c>
      <c r="P188" s="5" t="s">
        <v>42</v>
      </c>
      <c r="Q188" s="5">
        <v>9.99</v>
      </c>
      <c r="R188" s="5"/>
      <c r="S188" s="5"/>
      <c r="T188" s="5"/>
      <c r="U188" s="5"/>
      <c r="V188" s="5"/>
      <c r="W188" s="5"/>
      <c r="X188" s="5"/>
      <c r="Y188" s="5" t="s">
        <v>1134</v>
      </c>
      <c r="Z188" s="5" t="s">
        <v>1135</v>
      </c>
      <c r="AA188" s="5" t="s">
        <v>1136</v>
      </c>
      <c r="AB188" s="5" t="s">
        <v>45</v>
      </c>
      <c r="AC188" s="5"/>
      <c r="AD188" s="5"/>
      <c r="AE188" s="5"/>
      <c r="AG188" s="9">
        <f t="shared" si="2"/>
        <v>43270</v>
      </c>
    </row>
    <row r="189" s="6" customFormat="1" spans="1:33">
      <c r="A189" s="5" t="s">
        <v>1137</v>
      </c>
      <c r="B189" s="5" t="s">
        <v>1137</v>
      </c>
      <c r="C189" s="5" t="s">
        <v>1138</v>
      </c>
      <c r="D189" s="5" t="s">
        <v>1139</v>
      </c>
      <c r="E189" s="5" t="s">
        <v>35</v>
      </c>
      <c r="F189" s="5" t="s">
        <v>36</v>
      </c>
      <c r="G189" s="5" t="s">
        <v>37</v>
      </c>
      <c r="H189" s="5"/>
      <c r="I189" s="5"/>
      <c r="J189" s="5" t="s">
        <v>59</v>
      </c>
      <c r="K189" s="5" t="s">
        <v>94</v>
      </c>
      <c r="L189" s="5" t="s">
        <v>95</v>
      </c>
      <c r="M189" s="5" t="s">
        <v>96</v>
      </c>
      <c r="N189" s="5" t="s">
        <v>35</v>
      </c>
      <c r="O189" s="5">
        <v>1</v>
      </c>
      <c r="P189" s="5" t="s">
        <v>42</v>
      </c>
      <c r="Q189" s="5">
        <v>14.99</v>
      </c>
      <c r="R189" s="5"/>
      <c r="S189" s="5"/>
      <c r="T189" s="5"/>
      <c r="U189" s="5"/>
      <c r="V189" s="5"/>
      <c r="W189" s="5"/>
      <c r="X189" s="5"/>
      <c r="Y189" s="5" t="s">
        <v>1140</v>
      </c>
      <c r="Z189" s="5" t="s">
        <v>1141</v>
      </c>
      <c r="AA189" s="5" t="s">
        <v>1142</v>
      </c>
      <c r="AB189" s="5" t="s">
        <v>45</v>
      </c>
      <c r="AC189" s="5"/>
      <c r="AD189" s="5"/>
      <c r="AE189" s="5"/>
      <c r="AG189" s="9">
        <f t="shared" si="2"/>
        <v>43270</v>
      </c>
    </row>
    <row r="190" s="6" customFormat="1" spans="1:33">
      <c r="A190" s="5" t="s">
        <v>1143</v>
      </c>
      <c r="B190" s="5" t="s">
        <v>1143</v>
      </c>
      <c r="C190" s="5" t="s">
        <v>1144</v>
      </c>
      <c r="D190" s="5" t="s">
        <v>1145</v>
      </c>
      <c r="E190" s="5" t="s">
        <v>35</v>
      </c>
      <c r="F190" s="5" t="s">
        <v>36</v>
      </c>
      <c r="G190" s="5" t="s">
        <v>37</v>
      </c>
      <c r="H190" s="5"/>
      <c r="I190" s="5"/>
      <c r="J190" s="5" t="s">
        <v>59</v>
      </c>
      <c r="K190" s="5" t="s">
        <v>875</v>
      </c>
      <c r="L190" s="5" t="s">
        <v>876</v>
      </c>
      <c r="M190" s="5" t="s">
        <v>877</v>
      </c>
      <c r="N190" s="5" t="s">
        <v>35</v>
      </c>
      <c r="O190" s="5">
        <v>1</v>
      </c>
      <c r="P190" s="5" t="s">
        <v>42</v>
      </c>
      <c r="Q190" s="5">
        <v>16.99</v>
      </c>
      <c r="R190" s="5"/>
      <c r="S190" s="5"/>
      <c r="T190" s="5"/>
      <c r="U190" s="5"/>
      <c r="V190" s="5"/>
      <c r="W190" s="5"/>
      <c r="X190" s="5"/>
      <c r="Y190" s="5" t="s">
        <v>1146</v>
      </c>
      <c r="Z190" s="5" t="s">
        <v>81</v>
      </c>
      <c r="AA190" s="5" t="s">
        <v>1147</v>
      </c>
      <c r="AB190" s="5" t="s">
        <v>45</v>
      </c>
      <c r="AC190" s="5"/>
      <c r="AD190" s="5"/>
      <c r="AE190" s="5"/>
      <c r="AG190" s="9">
        <f t="shared" si="2"/>
        <v>43270</v>
      </c>
    </row>
    <row r="191" s="6" customFormat="1" spans="1:33">
      <c r="A191" s="5" t="s">
        <v>1148</v>
      </c>
      <c r="B191" s="5" t="s">
        <v>1148</v>
      </c>
      <c r="C191" s="5" t="s">
        <v>1149</v>
      </c>
      <c r="D191" s="5" t="s">
        <v>1150</v>
      </c>
      <c r="E191" s="5" t="s">
        <v>35</v>
      </c>
      <c r="F191" s="5" t="s">
        <v>36</v>
      </c>
      <c r="G191" s="5" t="s">
        <v>37</v>
      </c>
      <c r="H191" s="5"/>
      <c r="I191" s="5"/>
      <c r="J191" s="5" t="s">
        <v>59</v>
      </c>
      <c r="K191" s="5" t="s">
        <v>539</v>
      </c>
      <c r="L191" s="5" t="s">
        <v>540</v>
      </c>
      <c r="M191" s="5" t="s">
        <v>541</v>
      </c>
      <c r="N191" s="5" t="s">
        <v>35</v>
      </c>
      <c r="O191" s="5">
        <v>1</v>
      </c>
      <c r="P191" s="5" t="s">
        <v>42</v>
      </c>
      <c r="Q191" s="5">
        <v>15.99</v>
      </c>
      <c r="R191" s="5">
        <v>1.6</v>
      </c>
      <c r="S191" s="5"/>
      <c r="T191" s="5"/>
      <c r="U191" s="5"/>
      <c r="V191" s="5"/>
      <c r="W191" s="5"/>
      <c r="X191" s="5"/>
      <c r="Y191" s="5" t="s">
        <v>1151</v>
      </c>
      <c r="Z191" s="5" t="s">
        <v>1152</v>
      </c>
      <c r="AA191" s="5">
        <v>98059</v>
      </c>
      <c r="AB191" s="5" t="s">
        <v>45</v>
      </c>
      <c r="AC191" s="5"/>
      <c r="AD191" s="5"/>
      <c r="AE191" s="5"/>
      <c r="AG191" s="9">
        <f t="shared" si="2"/>
        <v>43270</v>
      </c>
    </row>
    <row r="192" s="6" customFormat="1" spans="1:33">
      <c r="A192" s="5" t="s">
        <v>1148</v>
      </c>
      <c r="B192" s="5" t="s">
        <v>1148</v>
      </c>
      <c r="C192" s="5" t="s">
        <v>1149</v>
      </c>
      <c r="D192" s="5" t="s">
        <v>1150</v>
      </c>
      <c r="E192" s="5" t="s">
        <v>35</v>
      </c>
      <c r="F192" s="5" t="s">
        <v>36</v>
      </c>
      <c r="G192" s="5" t="s">
        <v>37</v>
      </c>
      <c r="H192" s="5"/>
      <c r="I192" s="5"/>
      <c r="J192" s="5" t="s">
        <v>59</v>
      </c>
      <c r="K192" s="5" t="s">
        <v>831</v>
      </c>
      <c r="L192" s="5" t="s">
        <v>832</v>
      </c>
      <c r="M192" s="5" t="s">
        <v>833</v>
      </c>
      <c r="N192" s="5" t="s">
        <v>35</v>
      </c>
      <c r="O192" s="5">
        <v>1</v>
      </c>
      <c r="P192" s="5" t="s">
        <v>42</v>
      </c>
      <c r="Q192" s="5">
        <v>14.99</v>
      </c>
      <c r="R192" s="5">
        <v>1.5</v>
      </c>
      <c r="S192" s="5"/>
      <c r="T192" s="5"/>
      <c r="U192" s="5"/>
      <c r="V192" s="5"/>
      <c r="W192" s="5"/>
      <c r="X192" s="5"/>
      <c r="Y192" s="5" t="s">
        <v>1151</v>
      </c>
      <c r="Z192" s="5" t="s">
        <v>1152</v>
      </c>
      <c r="AA192" s="5">
        <v>98059</v>
      </c>
      <c r="AB192" s="5" t="s">
        <v>45</v>
      </c>
      <c r="AC192" s="5"/>
      <c r="AD192" s="5"/>
      <c r="AE192" s="5"/>
      <c r="AG192" s="9">
        <f t="shared" si="2"/>
        <v>43270</v>
      </c>
    </row>
    <row r="193" s="6" customFormat="1" spans="1:33">
      <c r="A193" s="5" t="s">
        <v>1153</v>
      </c>
      <c r="B193" s="5" t="s">
        <v>1153</v>
      </c>
      <c r="C193" s="5" t="s">
        <v>1154</v>
      </c>
      <c r="D193" s="5" t="s">
        <v>1155</v>
      </c>
      <c r="E193" s="5" t="s">
        <v>35</v>
      </c>
      <c r="F193" s="5" t="s">
        <v>36</v>
      </c>
      <c r="G193" s="5" t="s">
        <v>37</v>
      </c>
      <c r="H193" s="5"/>
      <c r="I193" s="5"/>
      <c r="J193" s="5" t="s">
        <v>59</v>
      </c>
      <c r="K193" s="5" t="s">
        <v>50</v>
      </c>
      <c r="L193" s="5" t="s">
        <v>51</v>
      </c>
      <c r="M193" s="5" t="s">
        <v>52</v>
      </c>
      <c r="N193" s="5" t="s">
        <v>35</v>
      </c>
      <c r="O193" s="5">
        <v>2</v>
      </c>
      <c r="P193" s="5" t="s">
        <v>42</v>
      </c>
      <c r="Q193" s="5">
        <v>14</v>
      </c>
      <c r="R193" s="5"/>
      <c r="S193" s="5"/>
      <c r="T193" s="5"/>
      <c r="U193" s="5"/>
      <c r="V193" s="5"/>
      <c r="W193" s="5"/>
      <c r="X193" s="5"/>
      <c r="Y193" s="5" t="s">
        <v>1156</v>
      </c>
      <c r="Z193" s="5" t="s">
        <v>139</v>
      </c>
      <c r="AA193" s="5" t="s">
        <v>1157</v>
      </c>
      <c r="AB193" s="5" t="s">
        <v>45</v>
      </c>
      <c r="AC193" s="5"/>
      <c r="AD193" s="5"/>
      <c r="AE193" s="5"/>
      <c r="AG193" s="9">
        <f t="shared" si="2"/>
        <v>43271</v>
      </c>
    </row>
    <row r="194" s="6" customFormat="1" spans="1:33">
      <c r="A194" s="5" t="s">
        <v>1158</v>
      </c>
      <c r="B194" s="5" t="s">
        <v>1158</v>
      </c>
      <c r="C194" s="5" t="s">
        <v>1159</v>
      </c>
      <c r="D194" s="5" t="s">
        <v>1160</v>
      </c>
      <c r="E194" s="5" t="s">
        <v>35</v>
      </c>
      <c r="F194" s="5" t="s">
        <v>36</v>
      </c>
      <c r="G194" s="5" t="s">
        <v>37</v>
      </c>
      <c r="H194" s="5"/>
      <c r="I194" s="5"/>
      <c r="J194" s="5" t="s">
        <v>38</v>
      </c>
      <c r="K194" s="5" t="s">
        <v>39</v>
      </c>
      <c r="L194" s="5" t="s">
        <v>40</v>
      </c>
      <c r="M194" s="5" t="s">
        <v>41</v>
      </c>
      <c r="N194" s="5" t="s">
        <v>35</v>
      </c>
      <c r="O194" s="5">
        <v>1</v>
      </c>
      <c r="P194" s="5" t="s">
        <v>42</v>
      </c>
      <c r="Q194" s="5">
        <v>7.99</v>
      </c>
      <c r="R194" s="5"/>
      <c r="S194" s="5"/>
      <c r="T194" s="5"/>
      <c r="U194" s="5"/>
      <c r="V194" s="5"/>
      <c r="W194" s="5"/>
      <c r="X194" s="5"/>
      <c r="Y194" s="5" t="s">
        <v>1161</v>
      </c>
      <c r="Z194" s="5" t="s">
        <v>1162</v>
      </c>
      <c r="AA194" s="5">
        <v>4106</v>
      </c>
      <c r="AB194" s="5" t="s">
        <v>45</v>
      </c>
      <c r="AC194" s="5"/>
      <c r="AD194" s="5"/>
      <c r="AE194" s="5"/>
      <c r="AG194" s="9">
        <f t="shared" ref="AG194:AG257" si="3">DATEVALUE(LEFT(C194,10))</f>
        <v>43271</v>
      </c>
    </row>
    <row r="195" s="6" customFormat="1" spans="1:33">
      <c r="A195" s="5" t="s">
        <v>1163</v>
      </c>
      <c r="B195" s="5" t="s">
        <v>1163</v>
      </c>
      <c r="C195" s="5" t="s">
        <v>1164</v>
      </c>
      <c r="D195" s="5" t="s">
        <v>1165</v>
      </c>
      <c r="E195" s="5" t="s">
        <v>35</v>
      </c>
      <c r="F195" s="5" t="s">
        <v>36</v>
      </c>
      <c r="G195" s="5" t="s">
        <v>37</v>
      </c>
      <c r="H195" s="5"/>
      <c r="I195" s="5"/>
      <c r="J195" s="5" t="s">
        <v>38</v>
      </c>
      <c r="K195" s="5" t="s">
        <v>50</v>
      </c>
      <c r="L195" s="5" t="s">
        <v>51</v>
      </c>
      <c r="M195" s="5" t="s">
        <v>52</v>
      </c>
      <c r="N195" s="5" t="s">
        <v>35</v>
      </c>
      <c r="O195" s="5">
        <v>1</v>
      </c>
      <c r="P195" s="5" t="s">
        <v>42</v>
      </c>
      <c r="Q195" s="5">
        <v>7</v>
      </c>
      <c r="R195" s="5"/>
      <c r="S195" s="5">
        <v>3</v>
      </c>
      <c r="T195" s="5"/>
      <c r="U195" s="5"/>
      <c r="V195" s="5"/>
      <c r="W195" s="5"/>
      <c r="X195" s="5"/>
      <c r="Y195" s="5" t="s">
        <v>284</v>
      </c>
      <c r="Z195" s="5" t="s">
        <v>153</v>
      </c>
      <c r="AA195" s="5" t="s">
        <v>1166</v>
      </c>
      <c r="AB195" s="5" t="s">
        <v>45</v>
      </c>
      <c r="AC195" s="5"/>
      <c r="AD195" s="5"/>
      <c r="AE195" s="5"/>
      <c r="AG195" s="9">
        <f t="shared" si="3"/>
        <v>43271</v>
      </c>
    </row>
    <row r="196" s="6" customFormat="1" spans="1:33">
      <c r="A196" s="5" t="s">
        <v>1167</v>
      </c>
      <c r="B196" s="5" t="s">
        <v>1167</v>
      </c>
      <c r="C196" s="5" t="s">
        <v>1168</v>
      </c>
      <c r="D196" s="5" t="s">
        <v>1169</v>
      </c>
      <c r="E196" s="5" t="s">
        <v>35</v>
      </c>
      <c r="F196" s="5" t="s">
        <v>36</v>
      </c>
      <c r="G196" s="5" t="s">
        <v>37</v>
      </c>
      <c r="H196" s="5"/>
      <c r="I196" s="5"/>
      <c r="J196" s="5" t="s">
        <v>59</v>
      </c>
      <c r="K196" s="5" t="s">
        <v>50</v>
      </c>
      <c r="L196" s="5" t="s">
        <v>51</v>
      </c>
      <c r="M196" s="5" t="s">
        <v>52</v>
      </c>
      <c r="N196" s="5" t="s">
        <v>35</v>
      </c>
      <c r="O196" s="5">
        <v>1</v>
      </c>
      <c r="P196" s="5" t="s">
        <v>42</v>
      </c>
      <c r="Q196" s="5">
        <v>7</v>
      </c>
      <c r="R196" s="5"/>
      <c r="S196" s="5"/>
      <c r="T196" s="5"/>
      <c r="U196" s="5"/>
      <c r="V196" s="5"/>
      <c r="W196" s="5"/>
      <c r="X196" s="5"/>
      <c r="Y196" s="5" t="s">
        <v>1170</v>
      </c>
      <c r="Z196" s="5" t="s">
        <v>182</v>
      </c>
      <c r="AA196" s="5" t="s">
        <v>1171</v>
      </c>
      <c r="AB196" s="5" t="s">
        <v>45</v>
      </c>
      <c r="AC196" s="5"/>
      <c r="AD196" s="5"/>
      <c r="AE196" s="5"/>
      <c r="AG196" s="9">
        <f t="shared" si="3"/>
        <v>43271</v>
      </c>
    </row>
    <row r="197" s="6" customFormat="1" spans="1:33">
      <c r="A197" s="5" t="s">
        <v>1172</v>
      </c>
      <c r="B197" s="5" t="s">
        <v>1172</v>
      </c>
      <c r="C197" s="5" t="s">
        <v>1173</v>
      </c>
      <c r="D197" s="5" t="s">
        <v>1174</v>
      </c>
      <c r="E197" s="5" t="s">
        <v>35</v>
      </c>
      <c r="F197" s="5" t="s">
        <v>36</v>
      </c>
      <c r="G197" s="5" t="s">
        <v>37</v>
      </c>
      <c r="H197" s="5"/>
      <c r="I197" s="5"/>
      <c r="J197" s="5" t="s">
        <v>59</v>
      </c>
      <c r="K197" s="5" t="s">
        <v>50</v>
      </c>
      <c r="L197" s="5" t="s">
        <v>51</v>
      </c>
      <c r="M197" s="5" t="s">
        <v>52</v>
      </c>
      <c r="N197" s="5" t="s">
        <v>35</v>
      </c>
      <c r="O197" s="5">
        <v>1</v>
      </c>
      <c r="P197" s="5" t="s">
        <v>42</v>
      </c>
      <c r="Q197" s="5">
        <v>7</v>
      </c>
      <c r="R197" s="5"/>
      <c r="S197" s="5"/>
      <c r="T197" s="5"/>
      <c r="U197" s="5"/>
      <c r="V197" s="5"/>
      <c r="W197" s="5"/>
      <c r="X197" s="5"/>
      <c r="Y197" s="5" t="s">
        <v>1175</v>
      </c>
      <c r="Z197" s="5" t="s">
        <v>534</v>
      </c>
      <c r="AA197" s="5" t="s">
        <v>1176</v>
      </c>
      <c r="AB197" s="5" t="s">
        <v>45</v>
      </c>
      <c r="AC197" s="5"/>
      <c r="AD197" s="5"/>
      <c r="AE197" s="5"/>
      <c r="AG197" s="9">
        <f t="shared" si="3"/>
        <v>43271</v>
      </c>
    </row>
    <row r="198" s="6" customFormat="1" spans="1:33">
      <c r="A198" s="5" t="s">
        <v>1177</v>
      </c>
      <c r="B198" s="5" t="s">
        <v>1177</v>
      </c>
      <c r="C198" s="5" t="s">
        <v>1178</v>
      </c>
      <c r="D198" s="5" t="s">
        <v>1179</v>
      </c>
      <c r="E198" s="5" t="s">
        <v>35</v>
      </c>
      <c r="F198" s="5" t="s">
        <v>36</v>
      </c>
      <c r="G198" s="5" t="s">
        <v>37</v>
      </c>
      <c r="H198" s="5"/>
      <c r="I198" s="5"/>
      <c r="J198" s="5" t="s">
        <v>59</v>
      </c>
      <c r="K198" s="5" t="s">
        <v>675</v>
      </c>
      <c r="L198" s="5" t="s">
        <v>676</v>
      </c>
      <c r="M198" s="5" t="s">
        <v>677</v>
      </c>
      <c r="N198" s="5" t="s">
        <v>35</v>
      </c>
      <c r="O198" s="5">
        <v>1</v>
      </c>
      <c r="P198" s="5" t="s">
        <v>42</v>
      </c>
      <c r="Q198" s="5">
        <v>14.99</v>
      </c>
      <c r="R198" s="5"/>
      <c r="S198" s="5"/>
      <c r="T198" s="5"/>
      <c r="U198" s="5"/>
      <c r="V198" s="5"/>
      <c r="W198" s="5"/>
      <c r="X198" s="5"/>
      <c r="Y198" s="5" t="s">
        <v>1180</v>
      </c>
      <c r="Z198" s="5" t="s">
        <v>153</v>
      </c>
      <c r="AA198" s="5" t="s">
        <v>1181</v>
      </c>
      <c r="AB198" s="5" t="s">
        <v>45</v>
      </c>
      <c r="AC198" s="5"/>
      <c r="AD198" s="5"/>
      <c r="AE198" s="5"/>
      <c r="AG198" s="9">
        <f t="shared" si="3"/>
        <v>43271</v>
      </c>
    </row>
    <row r="199" s="6" customFormat="1" spans="1:33">
      <c r="A199" s="5" t="s">
        <v>1182</v>
      </c>
      <c r="B199" s="5" t="s">
        <v>1182</v>
      </c>
      <c r="C199" s="5" t="s">
        <v>1183</v>
      </c>
      <c r="D199" s="5" t="s">
        <v>1184</v>
      </c>
      <c r="E199" s="5" t="s">
        <v>35</v>
      </c>
      <c r="F199" s="5" t="s">
        <v>36</v>
      </c>
      <c r="G199" s="5" t="s">
        <v>37</v>
      </c>
      <c r="H199" s="5"/>
      <c r="I199" s="5"/>
      <c r="J199" s="5" t="s">
        <v>49</v>
      </c>
      <c r="K199" s="5" t="s">
        <v>50</v>
      </c>
      <c r="L199" s="5" t="s">
        <v>51</v>
      </c>
      <c r="M199" s="5" t="s">
        <v>52</v>
      </c>
      <c r="N199" s="5" t="s">
        <v>35</v>
      </c>
      <c r="O199" s="5">
        <v>1</v>
      </c>
      <c r="P199" s="5" t="s">
        <v>42</v>
      </c>
      <c r="Q199" s="5">
        <v>7</v>
      </c>
      <c r="R199" s="5"/>
      <c r="S199" s="5">
        <v>1.5</v>
      </c>
      <c r="T199" s="5"/>
      <c r="U199" s="5"/>
      <c r="V199" s="5"/>
      <c r="W199" s="5"/>
      <c r="X199" s="5">
        <v>1.5</v>
      </c>
      <c r="Y199" s="5" t="s">
        <v>1185</v>
      </c>
      <c r="Z199" s="5" t="s">
        <v>153</v>
      </c>
      <c r="AA199" s="5" t="s">
        <v>1186</v>
      </c>
      <c r="AB199" s="5" t="s">
        <v>45</v>
      </c>
      <c r="AC199" s="5"/>
      <c r="AD199" s="5"/>
      <c r="AE199" s="5"/>
      <c r="AG199" s="9">
        <f t="shared" si="3"/>
        <v>43271</v>
      </c>
    </row>
    <row r="200" s="6" customFormat="1" spans="1:33">
      <c r="A200" s="5" t="s">
        <v>1187</v>
      </c>
      <c r="B200" s="5" t="s">
        <v>1187</v>
      </c>
      <c r="C200" s="5" t="s">
        <v>1188</v>
      </c>
      <c r="D200" s="5" t="s">
        <v>1189</v>
      </c>
      <c r="E200" s="5" t="s">
        <v>35</v>
      </c>
      <c r="F200" s="5" t="s">
        <v>36</v>
      </c>
      <c r="G200" s="5" t="s">
        <v>37</v>
      </c>
      <c r="H200" s="5"/>
      <c r="I200" s="5"/>
      <c r="J200" s="5" t="s">
        <v>59</v>
      </c>
      <c r="K200" s="5" t="s">
        <v>1190</v>
      </c>
      <c r="L200" s="5" t="s">
        <v>1191</v>
      </c>
      <c r="M200" s="5" t="s">
        <v>1192</v>
      </c>
      <c r="N200" s="5" t="s">
        <v>35</v>
      </c>
      <c r="O200" s="5">
        <v>1</v>
      </c>
      <c r="P200" s="5" t="s">
        <v>42</v>
      </c>
      <c r="Q200" s="5">
        <v>10.84</v>
      </c>
      <c r="R200" s="5"/>
      <c r="S200" s="5"/>
      <c r="T200" s="5"/>
      <c r="U200" s="5"/>
      <c r="V200" s="5"/>
      <c r="W200" s="5"/>
      <c r="X200" s="5"/>
      <c r="Y200" s="5" t="s">
        <v>1193</v>
      </c>
      <c r="Z200" s="5" t="s">
        <v>848</v>
      </c>
      <c r="AA200" s="5" t="s">
        <v>1194</v>
      </c>
      <c r="AB200" s="5" t="s">
        <v>45</v>
      </c>
      <c r="AC200" s="5"/>
      <c r="AD200" s="5"/>
      <c r="AE200" s="5"/>
      <c r="AG200" s="9">
        <f t="shared" si="3"/>
        <v>43271</v>
      </c>
    </row>
    <row r="201" s="6" customFormat="1" spans="1:33">
      <c r="A201" s="5" t="s">
        <v>1195</v>
      </c>
      <c r="B201" s="5" t="s">
        <v>1195</v>
      </c>
      <c r="C201" s="5" t="s">
        <v>1196</v>
      </c>
      <c r="D201" s="5" t="s">
        <v>1197</v>
      </c>
      <c r="E201" s="5" t="s">
        <v>35</v>
      </c>
      <c r="F201" s="5" t="s">
        <v>36</v>
      </c>
      <c r="G201" s="5" t="s">
        <v>37</v>
      </c>
      <c r="H201" s="5"/>
      <c r="I201" s="5"/>
      <c r="J201" s="5" t="s">
        <v>59</v>
      </c>
      <c r="K201" s="5" t="s">
        <v>94</v>
      </c>
      <c r="L201" s="5" t="s">
        <v>95</v>
      </c>
      <c r="M201" s="5" t="s">
        <v>96</v>
      </c>
      <c r="N201" s="5" t="s">
        <v>35</v>
      </c>
      <c r="O201" s="5">
        <v>1</v>
      </c>
      <c r="P201" s="5" t="s">
        <v>42</v>
      </c>
      <c r="Q201" s="5">
        <v>14.99</v>
      </c>
      <c r="R201" s="5"/>
      <c r="S201" s="5"/>
      <c r="T201" s="5"/>
      <c r="U201" s="5"/>
      <c r="V201" s="5"/>
      <c r="W201" s="5"/>
      <c r="X201" s="5"/>
      <c r="Y201" s="5" t="s">
        <v>1198</v>
      </c>
      <c r="Z201" s="5" t="s">
        <v>54</v>
      </c>
      <c r="AA201" s="5" t="s">
        <v>1199</v>
      </c>
      <c r="AB201" s="5" t="s">
        <v>45</v>
      </c>
      <c r="AC201" s="5"/>
      <c r="AD201" s="5"/>
      <c r="AE201" s="5"/>
      <c r="AG201" s="9">
        <f t="shared" si="3"/>
        <v>43271</v>
      </c>
    </row>
    <row r="202" s="6" customFormat="1" spans="1:33">
      <c r="A202" s="5" t="s">
        <v>1200</v>
      </c>
      <c r="B202" s="5" t="s">
        <v>1200</v>
      </c>
      <c r="C202" s="5" t="s">
        <v>1201</v>
      </c>
      <c r="D202" s="5" t="s">
        <v>1202</v>
      </c>
      <c r="E202" s="5" t="s">
        <v>35</v>
      </c>
      <c r="F202" s="5" t="s">
        <v>36</v>
      </c>
      <c r="G202" s="5" t="s">
        <v>37</v>
      </c>
      <c r="H202" s="5"/>
      <c r="I202" s="5"/>
      <c r="J202" s="5" t="s">
        <v>59</v>
      </c>
      <c r="K202" s="5" t="s">
        <v>1203</v>
      </c>
      <c r="L202" s="5" t="s">
        <v>1204</v>
      </c>
      <c r="M202" s="5" t="s">
        <v>1205</v>
      </c>
      <c r="N202" s="5" t="s">
        <v>35</v>
      </c>
      <c r="O202" s="5">
        <v>1</v>
      </c>
      <c r="P202" s="5" t="s">
        <v>42</v>
      </c>
      <c r="Q202" s="5">
        <v>9.5</v>
      </c>
      <c r="R202" s="5"/>
      <c r="S202" s="5"/>
      <c r="T202" s="5"/>
      <c r="U202" s="5"/>
      <c r="V202" s="5"/>
      <c r="W202" s="5"/>
      <c r="X202" s="5"/>
      <c r="Y202" s="5" t="s">
        <v>626</v>
      </c>
      <c r="Z202" s="5" t="s">
        <v>244</v>
      </c>
      <c r="AA202" s="5" t="s">
        <v>1206</v>
      </c>
      <c r="AB202" s="5" t="s">
        <v>45</v>
      </c>
      <c r="AC202" s="5"/>
      <c r="AD202" s="5"/>
      <c r="AE202" s="5"/>
      <c r="AG202" s="9">
        <f t="shared" si="3"/>
        <v>43271</v>
      </c>
    </row>
    <row r="203" s="6" customFormat="1" spans="1:33">
      <c r="A203" s="5" t="s">
        <v>1207</v>
      </c>
      <c r="B203" s="5" t="s">
        <v>1207</v>
      </c>
      <c r="C203" s="5" t="s">
        <v>1208</v>
      </c>
      <c r="D203" s="5" t="s">
        <v>1209</v>
      </c>
      <c r="E203" s="5" t="s">
        <v>35</v>
      </c>
      <c r="F203" s="5" t="s">
        <v>36</v>
      </c>
      <c r="G203" s="5" t="s">
        <v>37</v>
      </c>
      <c r="H203" s="5"/>
      <c r="I203" s="5"/>
      <c r="J203" s="5" t="s">
        <v>59</v>
      </c>
      <c r="K203" s="5" t="s">
        <v>50</v>
      </c>
      <c r="L203" s="5" t="s">
        <v>51</v>
      </c>
      <c r="M203" s="5" t="s">
        <v>52</v>
      </c>
      <c r="N203" s="5" t="s">
        <v>35</v>
      </c>
      <c r="O203" s="5">
        <v>1</v>
      </c>
      <c r="P203" s="5" t="s">
        <v>42</v>
      </c>
      <c r="Q203" s="5">
        <v>7</v>
      </c>
      <c r="R203" s="5"/>
      <c r="S203" s="5"/>
      <c r="T203" s="5"/>
      <c r="U203" s="5"/>
      <c r="V203" s="5"/>
      <c r="W203" s="5"/>
      <c r="X203" s="5"/>
      <c r="Y203" s="5" t="s">
        <v>939</v>
      </c>
      <c r="Z203" s="5" t="s">
        <v>153</v>
      </c>
      <c r="AA203" s="5" t="s">
        <v>1210</v>
      </c>
      <c r="AB203" s="5" t="s">
        <v>45</v>
      </c>
      <c r="AC203" s="5"/>
      <c r="AD203" s="5"/>
      <c r="AE203" s="5"/>
      <c r="AG203" s="9">
        <f t="shared" si="3"/>
        <v>43271</v>
      </c>
    </row>
    <row r="204" s="6" customFormat="1" spans="1:33">
      <c r="A204" s="5" t="s">
        <v>1211</v>
      </c>
      <c r="B204" s="5" t="s">
        <v>1211</v>
      </c>
      <c r="C204" s="5" t="s">
        <v>1212</v>
      </c>
      <c r="D204" s="5" t="s">
        <v>1213</v>
      </c>
      <c r="E204" s="5" t="s">
        <v>35</v>
      </c>
      <c r="F204" s="5" t="s">
        <v>36</v>
      </c>
      <c r="G204" s="5" t="s">
        <v>37</v>
      </c>
      <c r="H204" s="5"/>
      <c r="I204" s="5"/>
      <c r="J204" s="5" t="s">
        <v>59</v>
      </c>
      <c r="K204" s="5" t="s">
        <v>875</v>
      </c>
      <c r="L204" s="5" t="s">
        <v>876</v>
      </c>
      <c r="M204" s="5" t="s">
        <v>877</v>
      </c>
      <c r="N204" s="5" t="s">
        <v>35</v>
      </c>
      <c r="O204" s="5">
        <v>1</v>
      </c>
      <c r="P204" s="5" t="s">
        <v>42</v>
      </c>
      <c r="Q204" s="5">
        <v>21.99</v>
      </c>
      <c r="R204" s="5"/>
      <c r="S204" s="5"/>
      <c r="T204" s="5"/>
      <c r="U204" s="5"/>
      <c r="V204" s="5"/>
      <c r="W204" s="5"/>
      <c r="X204" s="5"/>
      <c r="Y204" s="5" t="s">
        <v>1214</v>
      </c>
      <c r="Z204" s="5" t="s">
        <v>586</v>
      </c>
      <c r="AA204" s="5">
        <v>94605</v>
      </c>
      <c r="AB204" s="5" t="s">
        <v>45</v>
      </c>
      <c r="AC204" s="5"/>
      <c r="AD204" s="5"/>
      <c r="AE204" s="5"/>
      <c r="AG204" s="9">
        <f t="shared" si="3"/>
        <v>43271</v>
      </c>
    </row>
    <row r="205" s="6" customFormat="1" spans="1:33">
      <c r="A205" s="5" t="s">
        <v>1215</v>
      </c>
      <c r="B205" s="5" t="s">
        <v>1215</v>
      </c>
      <c r="C205" s="5" t="s">
        <v>1216</v>
      </c>
      <c r="D205" s="5" t="s">
        <v>1217</v>
      </c>
      <c r="E205" s="5" t="s">
        <v>35</v>
      </c>
      <c r="F205" s="5" t="s">
        <v>36</v>
      </c>
      <c r="G205" s="5" t="s">
        <v>37</v>
      </c>
      <c r="H205" s="5"/>
      <c r="I205" s="5"/>
      <c r="J205" s="5" t="s">
        <v>59</v>
      </c>
      <c r="K205" s="5" t="s">
        <v>1218</v>
      </c>
      <c r="L205" s="5" t="s">
        <v>1219</v>
      </c>
      <c r="M205" s="5" t="s">
        <v>1220</v>
      </c>
      <c r="N205" s="5" t="s">
        <v>35</v>
      </c>
      <c r="O205" s="5">
        <v>1</v>
      </c>
      <c r="P205" s="5" t="s">
        <v>42</v>
      </c>
      <c r="Q205" s="5">
        <v>10</v>
      </c>
      <c r="R205" s="5"/>
      <c r="S205" s="5"/>
      <c r="T205" s="5"/>
      <c r="U205" s="5"/>
      <c r="V205" s="5"/>
      <c r="W205" s="5"/>
      <c r="X205" s="5"/>
      <c r="Y205" s="5" t="s">
        <v>1221</v>
      </c>
      <c r="Z205" s="5" t="s">
        <v>432</v>
      </c>
      <c r="AA205" s="5" t="s">
        <v>1222</v>
      </c>
      <c r="AB205" s="5" t="s">
        <v>45</v>
      </c>
      <c r="AC205" s="5"/>
      <c r="AD205" s="5"/>
      <c r="AE205" s="5"/>
      <c r="AG205" s="9">
        <f t="shared" si="3"/>
        <v>43271</v>
      </c>
    </row>
    <row r="206" s="6" customFormat="1" spans="1:33">
      <c r="A206" s="5" t="s">
        <v>1223</v>
      </c>
      <c r="B206" s="5" t="s">
        <v>1223</v>
      </c>
      <c r="C206" s="5" t="s">
        <v>1224</v>
      </c>
      <c r="D206" s="5" t="s">
        <v>1225</v>
      </c>
      <c r="E206" s="5" t="s">
        <v>35</v>
      </c>
      <c r="F206" s="5" t="s">
        <v>36</v>
      </c>
      <c r="G206" s="5" t="s">
        <v>37</v>
      </c>
      <c r="H206" s="5"/>
      <c r="I206" s="5"/>
      <c r="J206" s="5" t="s">
        <v>59</v>
      </c>
      <c r="K206" s="5" t="s">
        <v>552</v>
      </c>
      <c r="L206" s="5" t="s">
        <v>553</v>
      </c>
      <c r="M206" s="5" t="s">
        <v>554</v>
      </c>
      <c r="N206" s="5" t="s">
        <v>35</v>
      </c>
      <c r="O206" s="5">
        <v>1</v>
      </c>
      <c r="P206" s="5" t="s">
        <v>42</v>
      </c>
      <c r="Q206" s="5">
        <v>14.99</v>
      </c>
      <c r="R206" s="5"/>
      <c r="S206" s="5"/>
      <c r="T206" s="5"/>
      <c r="U206" s="5"/>
      <c r="V206" s="5"/>
      <c r="W206" s="5">
        <v>0.75</v>
      </c>
      <c r="X206" s="5"/>
      <c r="Y206" s="5" t="s">
        <v>1226</v>
      </c>
      <c r="Z206" s="5" t="s">
        <v>609</v>
      </c>
      <c r="AA206" s="5" t="s">
        <v>1227</v>
      </c>
      <c r="AB206" s="5" t="s">
        <v>45</v>
      </c>
      <c r="AC206" s="5" t="s">
        <v>558</v>
      </c>
      <c r="AD206" s="5"/>
      <c r="AE206" s="5"/>
      <c r="AG206" s="9">
        <f t="shared" si="3"/>
        <v>43271</v>
      </c>
    </row>
    <row r="207" s="6" customFormat="1" spans="1:33">
      <c r="A207" s="5" t="s">
        <v>1223</v>
      </c>
      <c r="B207" s="5" t="s">
        <v>1223</v>
      </c>
      <c r="C207" s="5" t="s">
        <v>1224</v>
      </c>
      <c r="D207" s="5" t="s">
        <v>1225</v>
      </c>
      <c r="E207" s="5" t="s">
        <v>35</v>
      </c>
      <c r="F207" s="5" t="s">
        <v>36</v>
      </c>
      <c r="G207" s="5" t="s">
        <v>37</v>
      </c>
      <c r="H207" s="5"/>
      <c r="I207" s="5"/>
      <c r="J207" s="5" t="s">
        <v>59</v>
      </c>
      <c r="K207" s="5" t="s">
        <v>572</v>
      </c>
      <c r="L207" s="5" t="s">
        <v>573</v>
      </c>
      <c r="M207" s="5" t="s">
        <v>574</v>
      </c>
      <c r="N207" s="5" t="s">
        <v>35</v>
      </c>
      <c r="O207" s="5">
        <v>1</v>
      </c>
      <c r="P207" s="5" t="s">
        <v>42</v>
      </c>
      <c r="Q207" s="5">
        <v>14.99</v>
      </c>
      <c r="R207" s="5"/>
      <c r="S207" s="5"/>
      <c r="T207" s="5"/>
      <c r="U207" s="5"/>
      <c r="V207" s="5"/>
      <c r="W207" s="5">
        <v>0.75</v>
      </c>
      <c r="X207" s="5"/>
      <c r="Y207" s="5" t="s">
        <v>1226</v>
      </c>
      <c r="Z207" s="5" t="s">
        <v>609</v>
      </c>
      <c r="AA207" s="5" t="s">
        <v>1227</v>
      </c>
      <c r="AB207" s="5" t="s">
        <v>45</v>
      </c>
      <c r="AC207" s="5" t="s">
        <v>558</v>
      </c>
      <c r="AD207" s="5"/>
      <c r="AE207" s="5"/>
      <c r="AG207" s="9">
        <f t="shared" si="3"/>
        <v>43271</v>
      </c>
    </row>
    <row r="208" s="6" customFormat="1" spans="1:33">
      <c r="A208" s="5" t="s">
        <v>1228</v>
      </c>
      <c r="B208" s="5" t="s">
        <v>1228</v>
      </c>
      <c r="C208" s="5" t="s">
        <v>1229</v>
      </c>
      <c r="D208" s="5" t="s">
        <v>1230</v>
      </c>
      <c r="E208" s="5" t="s">
        <v>35</v>
      </c>
      <c r="F208" s="5" t="s">
        <v>36</v>
      </c>
      <c r="G208" s="5" t="s">
        <v>37</v>
      </c>
      <c r="H208" s="5"/>
      <c r="I208" s="5"/>
      <c r="J208" s="5" t="s">
        <v>38</v>
      </c>
      <c r="K208" s="5" t="s">
        <v>240</v>
      </c>
      <c r="L208" s="5" t="s">
        <v>1231</v>
      </c>
      <c r="M208" s="5" t="s">
        <v>1232</v>
      </c>
      <c r="N208" s="5" t="s">
        <v>35</v>
      </c>
      <c r="O208" s="5">
        <v>1</v>
      </c>
      <c r="P208" s="5" t="s">
        <v>42</v>
      </c>
      <c r="Q208" s="5">
        <v>12.99</v>
      </c>
      <c r="R208" s="5"/>
      <c r="S208" s="5">
        <v>3.16</v>
      </c>
      <c r="T208" s="5"/>
      <c r="U208" s="5"/>
      <c r="V208" s="5"/>
      <c r="W208" s="5"/>
      <c r="X208" s="5">
        <v>3.16</v>
      </c>
      <c r="Y208" s="5" t="s">
        <v>418</v>
      </c>
      <c r="Z208" s="5" t="s">
        <v>211</v>
      </c>
      <c r="AA208" s="5" t="s">
        <v>1233</v>
      </c>
      <c r="AB208" s="5" t="s">
        <v>45</v>
      </c>
      <c r="AC208" s="5" t="s">
        <v>328</v>
      </c>
      <c r="AD208" s="5"/>
      <c r="AE208" s="5"/>
      <c r="AG208" s="9">
        <f t="shared" si="3"/>
        <v>43271</v>
      </c>
    </row>
    <row r="209" s="6" customFormat="1" spans="1:33">
      <c r="A209" s="5" t="s">
        <v>1234</v>
      </c>
      <c r="B209" s="5" t="s">
        <v>1234</v>
      </c>
      <c r="C209" s="5" t="s">
        <v>1235</v>
      </c>
      <c r="D209" s="5" t="s">
        <v>1236</v>
      </c>
      <c r="E209" s="5" t="s">
        <v>35</v>
      </c>
      <c r="F209" s="5" t="s">
        <v>36</v>
      </c>
      <c r="G209" s="5" t="s">
        <v>37</v>
      </c>
      <c r="H209" s="5"/>
      <c r="I209" s="5"/>
      <c r="J209" s="5" t="s">
        <v>59</v>
      </c>
      <c r="K209" s="5" t="s">
        <v>94</v>
      </c>
      <c r="L209" s="5" t="s">
        <v>95</v>
      </c>
      <c r="M209" s="5" t="s">
        <v>96</v>
      </c>
      <c r="N209" s="5" t="s">
        <v>35</v>
      </c>
      <c r="O209" s="5">
        <v>1</v>
      </c>
      <c r="P209" s="5" t="s">
        <v>42</v>
      </c>
      <c r="Q209" s="5">
        <v>14.99</v>
      </c>
      <c r="R209" s="5"/>
      <c r="S209" s="5"/>
      <c r="T209" s="5"/>
      <c r="U209" s="5"/>
      <c r="V209" s="5"/>
      <c r="W209" s="5"/>
      <c r="X209" s="5"/>
      <c r="Y209" s="5" t="s">
        <v>1237</v>
      </c>
      <c r="Z209" s="5" t="s">
        <v>171</v>
      </c>
      <c r="AA209" s="5" t="s">
        <v>1238</v>
      </c>
      <c r="AB209" s="5" t="s">
        <v>45</v>
      </c>
      <c r="AC209" s="5"/>
      <c r="AD209" s="5"/>
      <c r="AE209" s="5"/>
      <c r="AG209" s="9">
        <f t="shared" si="3"/>
        <v>43271</v>
      </c>
    </row>
    <row r="210" s="6" customFormat="1" spans="1:33">
      <c r="A210" s="5" t="s">
        <v>1239</v>
      </c>
      <c r="B210" s="5" t="s">
        <v>1239</v>
      </c>
      <c r="C210" s="5" t="s">
        <v>1240</v>
      </c>
      <c r="D210" s="5" t="s">
        <v>1241</v>
      </c>
      <c r="E210" s="5" t="s">
        <v>35</v>
      </c>
      <c r="F210" s="5" t="s">
        <v>36</v>
      </c>
      <c r="G210" s="5" t="s">
        <v>37</v>
      </c>
      <c r="H210" s="5"/>
      <c r="I210" s="5"/>
      <c r="J210" s="5" t="s">
        <v>59</v>
      </c>
      <c r="K210" s="5" t="s">
        <v>926</v>
      </c>
      <c r="L210" s="5" t="s">
        <v>927</v>
      </c>
      <c r="M210" s="5" t="s">
        <v>928</v>
      </c>
      <c r="N210" s="5" t="s">
        <v>35</v>
      </c>
      <c r="O210" s="5">
        <v>1</v>
      </c>
      <c r="P210" s="5" t="s">
        <v>42</v>
      </c>
      <c r="Q210" s="5">
        <v>14.99</v>
      </c>
      <c r="R210" s="5"/>
      <c r="S210" s="5"/>
      <c r="T210" s="5"/>
      <c r="U210" s="5"/>
      <c r="V210" s="5"/>
      <c r="W210" s="5"/>
      <c r="X210" s="5"/>
      <c r="Y210" s="5" t="s">
        <v>1242</v>
      </c>
      <c r="Z210" s="5" t="s">
        <v>1243</v>
      </c>
      <c r="AA210" s="5" t="s">
        <v>1244</v>
      </c>
      <c r="AB210" s="5" t="s">
        <v>45</v>
      </c>
      <c r="AC210" s="5"/>
      <c r="AD210" s="5"/>
      <c r="AE210" s="5"/>
      <c r="AG210" s="9">
        <f t="shared" si="3"/>
        <v>43271</v>
      </c>
    </row>
    <row r="211" s="6" customFormat="1" spans="1:33">
      <c r="A211" s="5" t="s">
        <v>1245</v>
      </c>
      <c r="B211" s="5" t="s">
        <v>1245</v>
      </c>
      <c r="C211" s="5" t="s">
        <v>1246</v>
      </c>
      <c r="D211" s="5" t="s">
        <v>1247</v>
      </c>
      <c r="E211" s="5" t="s">
        <v>35</v>
      </c>
      <c r="F211" s="5" t="s">
        <v>36</v>
      </c>
      <c r="G211" s="5" t="s">
        <v>37</v>
      </c>
      <c r="H211" s="5"/>
      <c r="I211" s="5"/>
      <c r="J211" s="5" t="s">
        <v>59</v>
      </c>
      <c r="K211" s="5" t="s">
        <v>94</v>
      </c>
      <c r="L211" s="5" t="s">
        <v>95</v>
      </c>
      <c r="M211" s="5" t="s">
        <v>96</v>
      </c>
      <c r="N211" s="5" t="s">
        <v>35</v>
      </c>
      <c r="O211" s="5">
        <v>1</v>
      </c>
      <c r="P211" s="5" t="s">
        <v>42</v>
      </c>
      <c r="Q211" s="5">
        <v>14.99</v>
      </c>
      <c r="R211" s="5"/>
      <c r="S211" s="5"/>
      <c r="T211" s="5"/>
      <c r="U211" s="5"/>
      <c r="V211" s="5"/>
      <c r="W211" s="5"/>
      <c r="X211" s="5"/>
      <c r="Y211" s="5" t="s">
        <v>1026</v>
      </c>
      <c r="Z211" s="5" t="s">
        <v>127</v>
      </c>
      <c r="AA211" s="5" t="s">
        <v>1248</v>
      </c>
      <c r="AB211" s="5" t="s">
        <v>45</v>
      </c>
      <c r="AC211" s="5"/>
      <c r="AD211" s="5"/>
      <c r="AE211" s="5"/>
      <c r="AG211" s="9">
        <f t="shared" si="3"/>
        <v>43271</v>
      </c>
    </row>
    <row r="212" s="6" customFormat="1" spans="1:33">
      <c r="A212" s="5" t="s">
        <v>1249</v>
      </c>
      <c r="B212" s="5" t="s">
        <v>1249</v>
      </c>
      <c r="C212" s="5" t="s">
        <v>1250</v>
      </c>
      <c r="D212" s="5" t="s">
        <v>1251</v>
      </c>
      <c r="E212" s="5" t="s">
        <v>35</v>
      </c>
      <c r="F212" s="5" t="s">
        <v>36</v>
      </c>
      <c r="G212" s="5" t="s">
        <v>37</v>
      </c>
      <c r="H212" s="5"/>
      <c r="I212" s="5"/>
      <c r="J212" s="5" t="s">
        <v>38</v>
      </c>
      <c r="K212" s="5" t="s">
        <v>39</v>
      </c>
      <c r="L212" s="5" t="s">
        <v>1252</v>
      </c>
      <c r="M212" s="5" t="s">
        <v>1253</v>
      </c>
      <c r="N212" s="5" t="s">
        <v>35</v>
      </c>
      <c r="O212" s="5">
        <v>1</v>
      </c>
      <c r="P212" s="5" t="s">
        <v>42</v>
      </c>
      <c r="Q212" s="5">
        <v>15.99</v>
      </c>
      <c r="R212" s="5">
        <v>1.33</v>
      </c>
      <c r="S212" s="5"/>
      <c r="T212" s="5"/>
      <c r="U212" s="5"/>
      <c r="V212" s="5"/>
      <c r="W212" s="5"/>
      <c r="X212" s="5"/>
      <c r="Y212" s="5" t="s">
        <v>1254</v>
      </c>
      <c r="Z212" s="5" t="s">
        <v>1152</v>
      </c>
      <c r="AA212" s="5" t="s">
        <v>1255</v>
      </c>
      <c r="AB212" s="5" t="s">
        <v>45</v>
      </c>
      <c r="AC212" s="5"/>
      <c r="AD212" s="5"/>
      <c r="AE212" s="5"/>
      <c r="AG212" s="9">
        <f t="shared" si="3"/>
        <v>43272</v>
      </c>
    </row>
    <row r="213" s="6" customFormat="1" spans="1:33">
      <c r="A213" s="5" t="s">
        <v>1256</v>
      </c>
      <c r="B213" s="5" t="s">
        <v>1256</v>
      </c>
      <c r="C213" s="5" t="s">
        <v>1257</v>
      </c>
      <c r="D213" s="5" t="s">
        <v>1258</v>
      </c>
      <c r="E213" s="5" t="s">
        <v>35</v>
      </c>
      <c r="F213" s="5" t="s">
        <v>36</v>
      </c>
      <c r="G213" s="5" t="s">
        <v>37</v>
      </c>
      <c r="H213" s="5"/>
      <c r="I213" s="5"/>
      <c r="J213" s="5" t="s">
        <v>59</v>
      </c>
      <c r="K213" s="5" t="s">
        <v>50</v>
      </c>
      <c r="L213" s="5" t="s">
        <v>51</v>
      </c>
      <c r="M213" s="5" t="s">
        <v>52</v>
      </c>
      <c r="N213" s="5" t="s">
        <v>35</v>
      </c>
      <c r="O213" s="5">
        <v>1</v>
      </c>
      <c r="P213" s="5" t="s">
        <v>42</v>
      </c>
      <c r="Q213" s="5">
        <v>7</v>
      </c>
      <c r="R213" s="5"/>
      <c r="S213" s="5"/>
      <c r="T213" s="5"/>
      <c r="U213" s="5"/>
      <c r="V213" s="5"/>
      <c r="W213" s="5"/>
      <c r="X213" s="5"/>
      <c r="Y213" s="5" t="s">
        <v>1259</v>
      </c>
      <c r="Z213" s="5" t="s">
        <v>191</v>
      </c>
      <c r="AA213" s="5" t="s">
        <v>1260</v>
      </c>
      <c r="AB213" s="5" t="s">
        <v>45</v>
      </c>
      <c r="AC213" s="5"/>
      <c r="AD213" s="5"/>
      <c r="AE213" s="5"/>
      <c r="AG213" s="9">
        <f t="shared" si="3"/>
        <v>43272</v>
      </c>
    </row>
    <row r="214" s="6" customFormat="1" spans="1:33">
      <c r="A214" s="5" t="s">
        <v>1261</v>
      </c>
      <c r="B214" s="5" t="s">
        <v>1261</v>
      </c>
      <c r="C214" s="5" t="s">
        <v>1262</v>
      </c>
      <c r="D214" s="5" t="s">
        <v>1263</v>
      </c>
      <c r="E214" s="5" t="s">
        <v>35</v>
      </c>
      <c r="F214" s="5" t="s">
        <v>36</v>
      </c>
      <c r="G214" s="5" t="s">
        <v>37</v>
      </c>
      <c r="H214" s="5"/>
      <c r="I214" s="5"/>
      <c r="J214" s="5" t="s">
        <v>59</v>
      </c>
      <c r="K214" s="5" t="s">
        <v>655</v>
      </c>
      <c r="L214" s="5" t="s">
        <v>656</v>
      </c>
      <c r="M214" s="5" t="s">
        <v>657</v>
      </c>
      <c r="N214" s="5" t="s">
        <v>35</v>
      </c>
      <c r="O214" s="5">
        <v>1</v>
      </c>
      <c r="P214" s="5" t="s">
        <v>42</v>
      </c>
      <c r="Q214" s="5">
        <v>18.99</v>
      </c>
      <c r="R214" s="5"/>
      <c r="S214" s="5"/>
      <c r="T214" s="5"/>
      <c r="U214" s="5"/>
      <c r="V214" s="5"/>
      <c r="W214" s="5"/>
      <c r="X214" s="5"/>
      <c r="Y214" s="5" t="s">
        <v>1264</v>
      </c>
      <c r="Z214" s="5" t="s">
        <v>197</v>
      </c>
      <c r="AA214" s="5" t="s">
        <v>1265</v>
      </c>
      <c r="AB214" s="5" t="s">
        <v>45</v>
      </c>
      <c r="AC214" s="5"/>
      <c r="AD214" s="5"/>
      <c r="AE214" s="5"/>
      <c r="AG214" s="9">
        <f t="shared" si="3"/>
        <v>43272</v>
      </c>
    </row>
    <row r="215" s="6" customFormat="1" spans="1:33">
      <c r="A215" s="5" t="s">
        <v>1266</v>
      </c>
      <c r="B215" s="5" t="s">
        <v>1266</v>
      </c>
      <c r="C215" s="5" t="s">
        <v>1267</v>
      </c>
      <c r="D215" s="5" t="s">
        <v>1268</v>
      </c>
      <c r="E215" s="5" t="s">
        <v>35</v>
      </c>
      <c r="F215" s="5" t="s">
        <v>36</v>
      </c>
      <c r="G215" s="5" t="s">
        <v>37</v>
      </c>
      <c r="H215" s="5"/>
      <c r="I215" s="5"/>
      <c r="J215" s="5" t="s">
        <v>59</v>
      </c>
      <c r="K215" s="5" t="s">
        <v>1269</v>
      </c>
      <c r="L215" s="5" t="s">
        <v>1270</v>
      </c>
      <c r="M215" s="5" t="s">
        <v>1271</v>
      </c>
      <c r="N215" s="5" t="s">
        <v>35</v>
      </c>
      <c r="O215" s="5">
        <v>1</v>
      </c>
      <c r="P215" s="5" t="s">
        <v>42</v>
      </c>
      <c r="Q215" s="5">
        <v>15.99</v>
      </c>
      <c r="R215" s="5"/>
      <c r="S215" s="5"/>
      <c r="T215" s="5"/>
      <c r="U215" s="5"/>
      <c r="V215" s="5"/>
      <c r="W215" s="5"/>
      <c r="X215" s="5"/>
      <c r="Y215" s="5" t="s">
        <v>1272</v>
      </c>
      <c r="Z215" s="5" t="s">
        <v>692</v>
      </c>
      <c r="AA215" s="5" t="s">
        <v>1273</v>
      </c>
      <c r="AB215" s="5" t="s">
        <v>45</v>
      </c>
      <c r="AC215" s="5"/>
      <c r="AD215" s="5"/>
      <c r="AE215" s="5"/>
      <c r="AG215" s="9">
        <f t="shared" si="3"/>
        <v>43272</v>
      </c>
    </row>
    <row r="216" s="6" customFormat="1" spans="1:33">
      <c r="A216" s="5" t="s">
        <v>1274</v>
      </c>
      <c r="B216" s="5" t="s">
        <v>1274</v>
      </c>
      <c r="C216" s="5" t="s">
        <v>1275</v>
      </c>
      <c r="D216" s="5" t="s">
        <v>1276</v>
      </c>
      <c r="E216" s="5" t="s">
        <v>35</v>
      </c>
      <c r="F216" s="5" t="s">
        <v>36</v>
      </c>
      <c r="G216" s="5" t="s">
        <v>37</v>
      </c>
      <c r="H216" s="5"/>
      <c r="I216" s="5"/>
      <c r="J216" s="5" t="s">
        <v>59</v>
      </c>
      <c r="K216" s="5" t="s">
        <v>1277</v>
      </c>
      <c r="L216" s="5" t="s">
        <v>415</v>
      </c>
      <c r="M216" s="5" t="s">
        <v>416</v>
      </c>
      <c r="N216" s="5" t="s">
        <v>35</v>
      </c>
      <c r="O216" s="5">
        <v>1</v>
      </c>
      <c r="P216" s="5" t="s">
        <v>42</v>
      </c>
      <c r="Q216" s="5">
        <v>12.99</v>
      </c>
      <c r="R216" s="5"/>
      <c r="S216" s="5"/>
      <c r="T216" s="5"/>
      <c r="U216" s="5"/>
      <c r="V216" s="5"/>
      <c r="W216" s="5"/>
      <c r="X216" s="5"/>
      <c r="Y216" s="5" t="s">
        <v>1278</v>
      </c>
      <c r="Z216" s="5" t="s">
        <v>98</v>
      </c>
      <c r="AA216" s="5">
        <v>39350</v>
      </c>
      <c r="AB216" s="5" t="s">
        <v>45</v>
      </c>
      <c r="AC216" s="5"/>
      <c r="AD216" s="5"/>
      <c r="AE216" s="5"/>
      <c r="AG216" s="9">
        <f t="shared" si="3"/>
        <v>43272</v>
      </c>
    </row>
    <row r="217" s="6" customFormat="1" spans="1:33">
      <c r="A217" s="5" t="s">
        <v>1279</v>
      </c>
      <c r="B217" s="5" t="s">
        <v>1279</v>
      </c>
      <c r="C217" s="5" t="s">
        <v>1280</v>
      </c>
      <c r="D217" s="5" t="s">
        <v>1281</v>
      </c>
      <c r="E217" s="5" t="s">
        <v>35</v>
      </c>
      <c r="F217" s="5" t="s">
        <v>36</v>
      </c>
      <c r="G217" s="5" t="s">
        <v>37</v>
      </c>
      <c r="H217" s="5"/>
      <c r="I217" s="5"/>
      <c r="J217" s="5" t="s">
        <v>59</v>
      </c>
      <c r="K217" s="5" t="s">
        <v>50</v>
      </c>
      <c r="L217" s="5" t="s">
        <v>51</v>
      </c>
      <c r="M217" s="5" t="s">
        <v>52</v>
      </c>
      <c r="N217" s="5" t="s">
        <v>35</v>
      </c>
      <c r="O217" s="5">
        <v>1</v>
      </c>
      <c r="P217" s="5" t="s">
        <v>42</v>
      </c>
      <c r="Q217" s="5">
        <v>7</v>
      </c>
      <c r="R217" s="5"/>
      <c r="S217" s="5"/>
      <c r="T217" s="5"/>
      <c r="U217" s="5"/>
      <c r="V217" s="5"/>
      <c r="W217" s="5"/>
      <c r="X217" s="5"/>
      <c r="Y217" s="5" t="s">
        <v>501</v>
      </c>
      <c r="Z217" s="5" t="s">
        <v>127</v>
      </c>
      <c r="AA217" s="5" t="s">
        <v>1282</v>
      </c>
      <c r="AB217" s="5" t="s">
        <v>45</v>
      </c>
      <c r="AC217" s="5"/>
      <c r="AD217" s="5"/>
      <c r="AE217" s="5"/>
      <c r="AG217" s="9">
        <f t="shared" si="3"/>
        <v>43272</v>
      </c>
    </row>
    <row r="218" s="6" customFormat="1" spans="1:33">
      <c r="A218" s="5" t="s">
        <v>1283</v>
      </c>
      <c r="B218" s="5" t="s">
        <v>1283</v>
      </c>
      <c r="C218" s="5" t="s">
        <v>1284</v>
      </c>
      <c r="D218" s="5" t="s">
        <v>1285</v>
      </c>
      <c r="E218" s="5" t="s">
        <v>35</v>
      </c>
      <c r="F218" s="5" t="s">
        <v>36</v>
      </c>
      <c r="G218" s="5" t="s">
        <v>37</v>
      </c>
      <c r="H218" s="5"/>
      <c r="I218" s="5"/>
      <c r="J218" s="5" t="s">
        <v>59</v>
      </c>
      <c r="K218" s="5" t="s">
        <v>50</v>
      </c>
      <c r="L218" s="5" t="s">
        <v>51</v>
      </c>
      <c r="M218" s="5" t="s">
        <v>52</v>
      </c>
      <c r="N218" s="5" t="s">
        <v>35</v>
      </c>
      <c r="O218" s="5">
        <v>1</v>
      </c>
      <c r="P218" s="5" t="s">
        <v>42</v>
      </c>
      <c r="Q218" s="5">
        <v>7</v>
      </c>
      <c r="R218" s="5"/>
      <c r="S218" s="5"/>
      <c r="T218" s="5"/>
      <c r="U218" s="5"/>
      <c r="V218" s="5"/>
      <c r="W218" s="5"/>
      <c r="X218" s="5"/>
      <c r="Y218" s="5" t="s">
        <v>1286</v>
      </c>
      <c r="Z218" s="5" t="s">
        <v>64</v>
      </c>
      <c r="AA218" s="5">
        <v>70359</v>
      </c>
      <c r="AB218" s="5" t="s">
        <v>45</v>
      </c>
      <c r="AC218" s="5"/>
      <c r="AD218" s="5"/>
      <c r="AE218" s="5"/>
      <c r="AG218" s="9">
        <f t="shared" si="3"/>
        <v>43272</v>
      </c>
    </row>
    <row r="219" s="6" customFormat="1" spans="1:33">
      <c r="A219" s="5" t="s">
        <v>1287</v>
      </c>
      <c r="B219" s="5" t="s">
        <v>1287</v>
      </c>
      <c r="C219" s="5" t="s">
        <v>1288</v>
      </c>
      <c r="D219" s="5" t="s">
        <v>1289</v>
      </c>
      <c r="E219" s="5" t="s">
        <v>35</v>
      </c>
      <c r="F219" s="5" t="s">
        <v>36</v>
      </c>
      <c r="G219" s="5" t="s">
        <v>37</v>
      </c>
      <c r="H219" s="5"/>
      <c r="I219" s="5"/>
      <c r="J219" s="5" t="s">
        <v>59</v>
      </c>
      <c r="K219" s="5" t="s">
        <v>94</v>
      </c>
      <c r="L219" s="5" t="s">
        <v>95</v>
      </c>
      <c r="M219" s="5" t="s">
        <v>96</v>
      </c>
      <c r="N219" s="5" t="s">
        <v>35</v>
      </c>
      <c r="O219" s="5">
        <v>1</v>
      </c>
      <c r="P219" s="5" t="s">
        <v>42</v>
      </c>
      <c r="Q219" s="5">
        <v>14.99</v>
      </c>
      <c r="R219" s="5"/>
      <c r="S219" s="5"/>
      <c r="T219" s="5"/>
      <c r="U219" s="5"/>
      <c r="V219" s="5"/>
      <c r="W219" s="5"/>
      <c r="X219" s="5"/>
      <c r="Y219" s="5" t="s">
        <v>1290</v>
      </c>
      <c r="Z219" s="5" t="s">
        <v>162</v>
      </c>
      <c r="AA219" s="5" t="s">
        <v>1291</v>
      </c>
      <c r="AB219" s="5" t="s">
        <v>45</v>
      </c>
      <c r="AC219" s="5"/>
      <c r="AD219" s="5"/>
      <c r="AE219" s="5"/>
      <c r="AG219" s="9">
        <f t="shared" si="3"/>
        <v>43272</v>
      </c>
    </row>
    <row r="220" s="6" customFormat="1" spans="1:33">
      <c r="A220" s="5" t="s">
        <v>1292</v>
      </c>
      <c r="B220" s="5" t="s">
        <v>1292</v>
      </c>
      <c r="C220" s="5" t="s">
        <v>1293</v>
      </c>
      <c r="D220" s="5" t="s">
        <v>1294</v>
      </c>
      <c r="E220" s="5" t="s">
        <v>35</v>
      </c>
      <c r="F220" s="5" t="s">
        <v>36</v>
      </c>
      <c r="G220" s="5" t="s">
        <v>37</v>
      </c>
      <c r="H220" s="5"/>
      <c r="I220" s="5"/>
      <c r="J220" s="5" t="s">
        <v>59</v>
      </c>
      <c r="K220" s="5" t="s">
        <v>50</v>
      </c>
      <c r="L220" s="5" t="s">
        <v>51</v>
      </c>
      <c r="M220" s="5" t="s">
        <v>52</v>
      </c>
      <c r="N220" s="5" t="s">
        <v>35</v>
      </c>
      <c r="O220" s="5">
        <v>1</v>
      </c>
      <c r="P220" s="5" t="s">
        <v>42</v>
      </c>
      <c r="Q220" s="5">
        <v>7</v>
      </c>
      <c r="R220" s="5">
        <v>0.6</v>
      </c>
      <c r="S220" s="5"/>
      <c r="T220" s="5"/>
      <c r="U220" s="5"/>
      <c r="V220" s="5"/>
      <c r="W220" s="5"/>
      <c r="X220" s="5"/>
      <c r="Y220" s="5" t="s">
        <v>1295</v>
      </c>
      <c r="Z220" s="5" t="s">
        <v>1152</v>
      </c>
      <c r="AA220" s="5" t="s">
        <v>1296</v>
      </c>
      <c r="AB220" s="5" t="s">
        <v>45</v>
      </c>
      <c r="AC220" s="5"/>
      <c r="AD220" s="5"/>
      <c r="AE220" s="5"/>
      <c r="AG220" s="9">
        <f t="shared" si="3"/>
        <v>43272</v>
      </c>
    </row>
    <row r="221" s="6" customFormat="1" spans="1:33">
      <c r="A221" s="5" t="s">
        <v>1297</v>
      </c>
      <c r="B221" s="5" t="s">
        <v>1297</v>
      </c>
      <c r="C221" s="5" t="s">
        <v>1298</v>
      </c>
      <c r="D221" s="5" t="s">
        <v>1299</v>
      </c>
      <c r="E221" s="5" t="s">
        <v>35</v>
      </c>
      <c r="F221" s="5" t="s">
        <v>36</v>
      </c>
      <c r="G221" s="5" t="s">
        <v>37</v>
      </c>
      <c r="H221" s="5"/>
      <c r="I221" s="5"/>
      <c r="J221" s="5" t="s">
        <v>59</v>
      </c>
      <c r="K221" s="5" t="s">
        <v>50</v>
      </c>
      <c r="L221" s="5" t="s">
        <v>51</v>
      </c>
      <c r="M221" s="5" t="s">
        <v>52</v>
      </c>
      <c r="N221" s="5" t="s">
        <v>35</v>
      </c>
      <c r="O221" s="5">
        <v>1</v>
      </c>
      <c r="P221" s="5" t="s">
        <v>42</v>
      </c>
      <c r="Q221" s="5">
        <v>7</v>
      </c>
      <c r="R221" s="5"/>
      <c r="S221" s="5"/>
      <c r="T221" s="5"/>
      <c r="U221" s="5"/>
      <c r="V221" s="5"/>
      <c r="W221" s="5"/>
      <c r="X221" s="5"/>
      <c r="Y221" s="5" t="s">
        <v>1300</v>
      </c>
      <c r="Z221" s="5" t="s">
        <v>162</v>
      </c>
      <c r="AA221" s="5" t="s">
        <v>1301</v>
      </c>
      <c r="AB221" s="5" t="s">
        <v>45</v>
      </c>
      <c r="AC221" s="5"/>
      <c r="AD221" s="5"/>
      <c r="AE221" s="5"/>
      <c r="AG221" s="9">
        <f t="shared" si="3"/>
        <v>43272</v>
      </c>
    </row>
    <row r="222" s="6" customFormat="1" spans="1:33">
      <c r="A222" s="5" t="s">
        <v>1302</v>
      </c>
      <c r="B222" s="5" t="s">
        <v>1302</v>
      </c>
      <c r="C222" s="5" t="s">
        <v>1303</v>
      </c>
      <c r="D222" s="5" t="s">
        <v>1304</v>
      </c>
      <c r="E222" s="5" t="s">
        <v>35</v>
      </c>
      <c r="F222" s="5" t="s">
        <v>36</v>
      </c>
      <c r="G222" s="5" t="s">
        <v>37</v>
      </c>
      <c r="H222" s="5"/>
      <c r="I222" s="5"/>
      <c r="J222" s="5" t="s">
        <v>59</v>
      </c>
      <c r="K222" s="5" t="s">
        <v>50</v>
      </c>
      <c r="L222" s="5" t="s">
        <v>51</v>
      </c>
      <c r="M222" s="5" t="s">
        <v>52</v>
      </c>
      <c r="N222" s="5" t="s">
        <v>35</v>
      </c>
      <c r="O222" s="5">
        <v>1</v>
      </c>
      <c r="P222" s="5" t="s">
        <v>42</v>
      </c>
      <c r="Q222" s="5">
        <v>7</v>
      </c>
      <c r="R222" s="5"/>
      <c r="S222" s="5"/>
      <c r="T222" s="5"/>
      <c r="U222" s="5"/>
      <c r="V222" s="5"/>
      <c r="W222" s="5"/>
      <c r="X222" s="5"/>
      <c r="Y222" s="5" t="s">
        <v>1305</v>
      </c>
      <c r="Z222" s="5" t="s">
        <v>1306</v>
      </c>
      <c r="AA222" s="5">
        <v>21234</v>
      </c>
      <c r="AB222" s="5" t="s">
        <v>45</v>
      </c>
      <c r="AC222" s="5"/>
      <c r="AD222" s="5"/>
      <c r="AE222" s="5"/>
      <c r="AG222" s="9">
        <f t="shared" si="3"/>
        <v>43272</v>
      </c>
    </row>
    <row r="223" s="6" customFormat="1" spans="1:33">
      <c r="A223" s="5" t="s">
        <v>1307</v>
      </c>
      <c r="B223" s="5" t="s">
        <v>1307</v>
      </c>
      <c r="C223" s="5" t="s">
        <v>1308</v>
      </c>
      <c r="D223" s="5" t="s">
        <v>1309</v>
      </c>
      <c r="E223" s="5" t="s">
        <v>35</v>
      </c>
      <c r="F223" s="5" t="s">
        <v>36</v>
      </c>
      <c r="G223" s="5" t="s">
        <v>37</v>
      </c>
      <c r="H223" s="5"/>
      <c r="I223" s="5"/>
      <c r="J223" s="5" t="s">
        <v>59</v>
      </c>
      <c r="K223" s="5" t="s">
        <v>94</v>
      </c>
      <c r="L223" s="5" t="s">
        <v>95</v>
      </c>
      <c r="M223" s="5" t="s">
        <v>96</v>
      </c>
      <c r="N223" s="5" t="s">
        <v>35</v>
      </c>
      <c r="O223" s="5">
        <v>1</v>
      </c>
      <c r="P223" s="5" t="s">
        <v>42</v>
      </c>
      <c r="Q223" s="5">
        <v>14.99</v>
      </c>
      <c r="R223" s="5"/>
      <c r="S223" s="5"/>
      <c r="T223" s="5"/>
      <c r="U223" s="5"/>
      <c r="V223" s="5"/>
      <c r="W223" s="5"/>
      <c r="X223" s="5"/>
      <c r="Y223" s="5" t="s">
        <v>1310</v>
      </c>
      <c r="Z223" s="5" t="s">
        <v>127</v>
      </c>
      <c r="AA223" s="5" t="s">
        <v>1311</v>
      </c>
      <c r="AB223" s="5" t="s">
        <v>45</v>
      </c>
      <c r="AC223" s="5"/>
      <c r="AD223" s="5"/>
      <c r="AE223" s="5"/>
      <c r="AG223" s="9">
        <f t="shared" si="3"/>
        <v>43272</v>
      </c>
    </row>
    <row r="224" s="6" customFormat="1" spans="1:33">
      <c r="A224" s="5" t="s">
        <v>1312</v>
      </c>
      <c r="B224" s="5" t="s">
        <v>1312</v>
      </c>
      <c r="C224" s="5" t="s">
        <v>1313</v>
      </c>
      <c r="D224" s="5" t="s">
        <v>1314</v>
      </c>
      <c r="E224" s="5" t="s">
        <v>35</v>
      </c>
      <c r="F224" s="5" t="s">
        <v>36</v>
      </c>
      <c r="G224" s="5" t="s">
        <v>37</v>
      </c>
      <c r="H224" s="5"/>
      <c r="I224" s="5"/>
      <c r="J224" s="5" t="s">
        <v>38</v>
      </c>
      <c r="K224" s="5" t="s">
        <v>50</v>
      </c>
      <c r="L224" s="5" t="s">
        <v>51</v>
      </c>
      <c r="M224" s="5" t="s">
        <v>52</v>
      </c>
      <c r="N224" s="5" t="s">
        <v>35</v>
      </c>
      <c r="O224" s="5">
        <v>1</v>
      </c>
      <c r="P224" s="5" t="s">
        <v>42</v>
      </c>
      <c r="Q224" s="5">
        <v>7</v>
      </c>
      <c r="R224" s="5"/>
      <c r="S224" s="5"/>
      <c r="T224" s="5"/>
      <c r="U224" s="5"/>
      <c r="V224" s="5"/>
      <c r="W224" s="5"/>
      <c r="X224" s="5"/>
      <c r="Y224" s="5" t="s">
        <v>1315</v>
      </c>
      <c r="Z224" s="5" t="s">
        <v>191</v>
      </c>
      <c r="AA224" s="5" t="s">
        <v>1316</v>
      </c>
      <c r="AB224" s="5" t="s">
        <v>45</v>
      </c>
      <c r="AC224" s="5"/>
      <c r="AD224" s="5"/>
      <c r="AE224" s="5"/>
      <c r="AG224" s="9">
        <f t="shared" si="3"/>
        <v>43272</v>
      </c>
    </row>
    <row r="225" s="6" customFormat="1" spans="1:33">
      <c r="A225" s="5" t="s">
        <v>1317</v>
      </c>
      <c r="B225" s="5" t="s">
        <v>1317</v>
      </c>
      <c r="C225" s="5" t="s">
        <v>1318</v>
      </c>
      <c r="D225" s="5" t="s">
        <v>1319</v>
      </c>
      <c r="E225" s="5" t="s">
        <v>35</v>
      </c>
      <c r="F225" s="5" t="s">
        <v>36</v>
      </c>
      <c r="G225" s="5" t="s">
        <v>37</v>
      </c>
      <c r="H225" s="5"/>
      <c r="I225" s="5"/>
      <c r="J225" s="5" t="s">
        <v>38</v>
      </c>
      <c r="K225" s="5" t="s">
        <v>39</v>
      </c>
      <c r="L225" s="5" t="s">
        <v>40</v>
      </c>
      <c r="M225" s="5" t="s">
        <v>41</v>
      </c>
      <c r="N225" s="5" t="s">
        <v>35</v>
      </c>
      <c r="O225" s="5">
        <v>1</v>
      </c>
      <c r="P225" s="5" t="s">
        <v>42</v>
      </c>
      <c r="Q225" s="5">
        <v>7.99</v>
      </c>
      <c r="R225" s="5"/>
      <c r="S225" s="5"/>
      <c r="T225" s="5"/>
      <c r="U225" s="5"/>
      <c r="V225" s="5"/>
      <c r="W225" s="5"/>
      <c r="X225" s="5"/>
      <c r="Y225" s="5" t="s">
        <v>1320</v>
      </c>
      <c r="Z225" s="5" t="s">
        <v>153</v>
      </c>
      <c r="AA225" s="5" t="s">
        <v>1321</v>
      </c>
      <c r="AB225" s="5" t="s">
        <v>45</v>
      </c>
      <c r="AC225" s="5"/>
      <c r="AD225" s="5"/>
      <c r="AE225" s="5"/>
      <c r="AG225" s="9">
        <f t="shared" si="3"/>
        <v>43272</v>
      </c>
    </row>
    <row r="226" s="6" customFormat="1" spans="1:33">
      <c r="A226" s="5" t="s">
        <v>1322</v>
      </c>
      <c r="B226" s="5" t="s">
        <v>1322</v>
      </c>
      <c r="C226" s="5" t="s">
        <v>1323</v>
      </c>
      <c r="D226" s="5" t="s">
        <v>1324</v>
      </c>
      <c r="E226" s="5" t="s">
        <v>35</v>
      </c>
      <c r="F226" s="5" t="s">
        <v>36</v>
      </c>
      <c r="G226" s="5" t="s">
        <v>37</v>
      </c>
      <c r="H226" s="5"/>
      <c r="I226" s="5"/>
      <c r="J226" s="5" t="s">
        <v>59</v>
      </c>
      <c r="K226" s="5" t="s">
        <v>50</v>
      </c>
      <c r="L226" s="5" t="s">
        <v>51</v>
      </c>
      <c r="M226" s="5" t="s">
        <v>52</v>
      </c>
      <c r="N226" s="5" t="s">
        <v>35</v>
      </c>
      <c r="O226" s="5">
        <v>1</v>
      </c>
      <c r="P226" s="5" t="s">
        <v>42</v>
      </c>
      <c r="Q226" s="5">
        <v>7</v>
      </c>
      <c r="R226" s="5"/>
      <c r="S226" s="5"/>
      <c r="T226" s="5"/>
      <c r="U226" s="5"/>
      <c r="V226" s="5"/>
      <c r="W226" s="5"/>
      <c r="X226" s="5"/>
      <c r="Y226" s="5" t="s">
        <v>1325</v>
      </c>
      <c r="Z226" s="5" t="s">
        <v>54</v>
      </c>
      <c r="AA226" s="5" t="s">
        <v>1326</v>
      </c>
      <c r="AB226" s="5" t="s">
        <v>45</v>
      </c>
      <c r="AC226" s="5"/>
      <c r="AD226" s="5"/>
      <c r="AE226" s="5"/>
      <c r="AG226" s="9">
        <f t="shared" si="3"/>
        <v>43272</v>
      </c>
    </row>
    <row r="227" s="6" customFormat="1" spans="1:33">
      <c r="A227" s="5" t="s">
        <v>1327</v>
      </c>
      <c r="B227" s="5" t="s">
        <v>1327</v>
      </c>
      <c r="C227" s="5" t="s">
        <v>1328</v>
      </c>
      <c r="D227" s="5" t="s">
        <v>1329</v>
      </c>
      <c r="E227" s="5" t="s">
        <v>35</v>
      </c>
      <c r="F227" s="5" t="s">
        <v>36</v>
      </c>
      <c r="G227" s="5" t="s">
        <v>37</v>
      </c>
      <c r="H227" s="5"/>
      <c r="I227" s="5"/>
      <c r="J227" s="5" t="s">
        <v>59</v>
      </c>
      <c r="K227" s="5" t="s">
        <v>50</v>
      </c>
      <c r="L227" s="5" t="s">
        <v>51</v>
      </c>
      <c r="M227" s="5" t="s">
        <v>52</v>
      </c>
      <c r="N227" s="5" t="s">
        <v>35</v>
      </c>
      <c r="O227" s="5">
        <v>1</v>
      </c>
      <c r="P227" s="5" t="s">
        <v>42</v>
      </c>
      <c r="Q227" s="5">
        <v>7</v>
      </c>
      <c r="R227" s="5"/>
      <c r="S227" s="5"/>
      <c r="T227" s="5"/>
      <c r="U227" s="5"/>
      <c r="V227" s="5"/>
      <c r="W227" s="5"/>
      <c r="X227" s="5"/>
      <c r="Y227" s="5" t="s">
        <v>1330</v>
      </c>
      <c r="Z227" s="5" t="s">
        <v>534</v>
      </c>
      <c r="AA227" s="5">
        <v>22003</v>
      </c>
      <c r="AB227" s="5" t="s">
        <v>45</v>
      </c>
      <c r="AC227" s="5"/>
      <c r="AD227" s="5"/>
      <c r="AE227" s="5"/>
      <c r="AG227" s="9">
        <f t="shared" si="3"/>
        <v>43273</v>
      </c>
    </row>
    <row r="228" s="6" customFormat="1" spans="1:33">
      <c r="A228" s="5" t="s">
        <v>1331</v>
      </c>
      <c r="B228" s="5" t="s">
        <v>1331</v>
      </c>
      <c r="C228" s="5" t="s">
        <v>1332</v>
      </c>
      <c r="D228" s="5" t="s">
        <v>1333</v>
      </c>
      <c r="E228" s="5" t="s">
        <v>35</v>
      </c>
      <c r="F228" s="5" t="s">
        <v>36</v>
      </c>
      <c r="G228" s="5" t="s">
        <v>37</v>
      </c>
      <c r="H228" s="5"/>
      <c r="I228" s="5"/>
      <c r="J228" s="5" t="s">
        <v>59</v>
      </c>
      <c r="K228" s="5" t="s">
        <v>1334</v>
      </c>
      <c r="L228" s="5" t="s">
        <v>573</v>
      </c>
      <c r="M228" s="5" t="s">
        <v>574</v>
      </c>
      <c r="N228" s="5" t="s">
        <v>35</v>
      </c>
      <c r="O228" s="5">
        <v>1</v>
      </c>
      <c r="P228" s="5" t="s">
        <v>42</v>
      </c>
      <c r="Q228" s="5">
        <v>14.99</v>
      </c>
      <c r="R228" s="5"/>
      <c r="S228" s="5"/>
      <c r="T228" s="5"/>
      <c r="U228" s="5"/>
      <c r="V228" s="5"/>
      <c r="W228" s="5"/>
      <c r="X228" s="5"/>
      <c r="Y228" s="5" t="s">
        <v>1335</v>
      </c>
      <c r="Z228" s="5" t="s">
        <v>171</v>
      </c>
      <c r="AA228" s="5" t="s">
        <v>1336</v>
      </c>
      <c r="AB228" s="5" t="s">
        <v>45</v>
      </c>
      <c r="AC228" s="5"/>
      <c r="AD228" s="5"/>
      <c r="AE228" s="5"/>
      <c r="AG228" s="9">
        <f t="shared" si="3"/>
        <v>43273</v>
      </c>
    </row>
    <row r="229" s="6" customFormat="1" spans="1:33">
      <c r="A229" s="5" t="s">
        <v>1337</v>
      </c>
      <c r="B229" s="5" t="s">
        <v>1337</v>
      </c>
      <c r="C229" s="5" t="s">
        <v>1338</v>
      </c>
      <c r="D229" s="5" t="s">
        <v>1339</v>
      </c>
      <c r="E229" s="5" t="s">
        <v>35</v>
      </c>
      <c r="F229" s="5" t="s">
        <v>36</v>
      </c>
      <c r="G229" s="5" t="s">
        <v>37</v>
      </c>
      <c r="H229" s="5"/>
      <c r="I229" s="5"/>
      <c r="J229" s="5" t="s">
        <v>59</v>
      </c>
      <c r="K229" s="5" t="s">
        <v>50</v>
      </c>
      <c r="L229" s="5" t="s">
        <v>51</v>
      </c>
      <c r="M229" s="5" t="s">
        <v>52</v>
      </c>
      <c r="N229" s="5" t="s">
        <v>35</v>
      </c>
      <c r="O229" s="5">
        <v>1</v>
      </c>
      <c r="P229" s="5" t="s">
        <v>42</v>
      </c>
      <c r="Q229" s="5">
        <v>7</v>
      </c>
      <c r="R229" s="5"/>
      <c r="S229" s="5"/>
      <c r="T229" s="5"/>
      <c r="U229" s="5"/>
      <c r="V229" s="5"/>
      <c r="W229" s="5"/>
      <c r="X229" s="5"/>
      <c r="Y229" s="5" t="s">
        <v>1340</v>
      </c>
      <c r="Z229" s="5" t="s">
        <v>153</v>
      </c>
      <c r="AA229" s="5" t="s">
        <v>1341</v>
      </c>
      <c r="AB229" s="5" t="s">
        <v>45</v>
      </c>
      <c r="AC229" s="5"/>
      <c r="AD229" s="5"/>
      <c r="AE229" s="5"/>
      <c r="AG229" s="9">
        <f t="shared" si="3"/>
        <v>43273</v>
      </c>
    </row>
    <row r="230" s="6" customFormat="1" spans="1:33">
      <c r="A230" s="5" t="s">
        <v>1342</v>
      </c>
      <c r="B230" s="5" t="s">
        <v>1342</v>
      </c>
      <c r="C230" s="5" t="s">
        <v>1343</v>
      </c>
      <c r="D230" s="5" t="s">
        <v>1344</v>
      </c>
      <c r="E230" s="5" t="s">
        <v>35</v>
      </c>
      <c r="F230" s="5" t="s">
        <v>36</v>
      </c>
      <c r="G230" s="5" t="s">
        <v>37</v>
      </c>
      <c r="H230" s="5"/>
      <c r="I230" s="5"/>
      <c r="J230" s="5" t="s">
        <v>59</v>
      </c>
      <c r="K230" s="5" t="s">
        <v>50</v>
      </c>
      <c r="L230" s="5" t="s">
        <v>51</v>
      </c>
      <c r="M230" s="5" t="s">
        <v>52</v>
      </c>
      <c r="N230" s="5" t="s">
        <v>35</v>
      </c>
      <c r="O230" s="5">
        <v>1</v>
      </c>
      <c r="P230" s="5" t="s">
        <v>42</v>
      </c>
      <c r="Q230" s="5">
        <v>7</v>
      </c>
      <c r="R230" s="5"/>
      <c r="S230" s="5"/>
      <c r="T230" s="5"/>
      <c r="U230" s="5"/>
      <c r="V230" s="5"/>
      <c r="W230" s="5"/>
      <c r="X230" s="5"/>
      <c r="Y230" s="5" t="s">
        <v>1345</v>
      </c>
      <c r="Z230" s="5" t="s">
        <v>341</v>
      </c>
      <c r="AA230" s="5" t="s">
        <v>1346</v>
      </c>
      <c r="AB230" s="5" t="s">
        <v>45</v>
      </c>
      <c r="AC230" s="5"/>
      <c r="AD230" s="5"/>
      <c r="AE230" s="5"/>
      <c r="AG230" s="9">
        <f t="shared" si="3"/>
        <v>43273</v>
      </c>
    </row>
    <row r="231" s="6" customFormat="1" spans="1:33">
      <c r="A231" s="5" t="s">
        <v>1347</v>
      </c>
      <c r="B231" s="5" t="s">
        <v>1347</v>
      </c>
      <c r="C231" s="5" t="s">
        <v>1348</v>
      </c>
      <c r="D231" s="5" t="s">
        <v>1349</v>
      </c>
      <c r="E231" s="5" t="s">
        <v>35</v>
      </c>
      <c r="F231" s="5" t="s">
        <v>36</v>
      </c>
      <c r="G231" s="5" t="s">
        <v>37</v>
      </c>
      <c r="H231" s="5"/>
      <c r="I231" s="5"/>
      <c r="J231" s="5" t="s">
        <v>38</v>
      </c>
      <c r="K231" s="5" t="s">
        <v>1350</v>
      </c>
      <c r="L231" s="5" t="s">
        <v>1351</v>
      </c>
      <c r="M231" s="5" t="s">
        <v>1352</v>
      </c>
      <c r="N231" s="5" t="s">
        <v>35</v>
      </c>
      <c r="O231" s="5">
        <v>1</v>
      </c>
      <c r="P231" s="5" t="s">
        <v>42</v>
      </c>
      <c r="Q231" s="5">
        <v>15.99</v>
      </c>
      <c r="R231" s="5"/>
      <c r="S231" s="5">
        <v>2.53</v>
      </c>
      <c r="T231" s="5"/>
      <c r="U231" s="5"/>
      <c r="V231" s="5"/>
      <c r="W231" s="5"/>
      <c r="X231" s="5">
        <v>2.53</v>
      </c>
      <c r="Y231" s="5" t="s">
        <v>1353</v>
      </c>
      <c r="Z231" s="5" t="s">
        <v>780</v>
      </c>
      <c r="AA231" s="5" t="s">
        <v>1354</v>
      </c>
      <c r="AB231" s="5" t="s">
        <v>45</v>
      </c>
      <c r="AC231" s="5" t="s">
        <v>328</v>
      </c>
      <c r="AD231" s="5"/>
      <c r="AE231" s="5"/>
      <c r="AG231" s="9">
        <f t="shared" si="3"/>
        <v>43273</v>
      </c>
    </row>
    <row r="232" s="6" customFormat="1" spans="1:33">
      <c r="A232" s="5" t="s">
        <v>1355</v>
      </c>
      <c r="B232" s="5" t="s">
        <v>1355</v>
      </c>
      <c r="C232" s="5" t="s">
        <v>1356</v>
      </c>
      <c r="D232" s="5" t="s">
        <v>1357</v>
      </c>
      <c r="E232" s="5" t="s">
        <v>35</v>
      </c>
      <c r="F232" s="5" t="s">
        <v>36</v>
      </c>
      <c r="G232" s="5" t="s">
        <v>37</v>
      </c>
      <c r="H232" s="5"/>
      <c r="I232" s="5"/>
      <c r="J232" s="5" t="s">
        <v>59</v>
      </c>
      <c r="K232" s="5" t="s">
        <v>50</v>
      </c>
      <c r="L232" s="5" t="s">
        <v>51</v>
      </c>
      <c r="M232" s="5" t="s">
        <v>52</v>
      </c>
      <c r="N232" s="5" t="s">
        <v>35</v>
      </c>
      <c r="O232" s="5">
        <v>1</v>
      </c>
      <c r="P232" s="5" t="s">
        <v>42</v>
      </c>
      <c r="Q232" s="5">
        <v>7</v>
      </c>
      <c r="R232" s="5"/>
      <c r="S232" s="5"/>
      <c r="T232" s="5"/>
      <c r="U232" s="5"/>
      <c r="V232" s="5"/>
      <c r="W232" s="5"/>
      <c r="X232" s="5"/>
      <c r="Y232" s="5" t="s">
        <v>1358</v>
      </c>
      <c r="Z232" s="5" t="s">
        <v>54</v>
      </c>
      <c r="AA232" s="5" t="s">
        <v>1359</v>
      </c>
      <c r="AB232" s="5" t="s">
        <v>45</v>
      </c>
      <c r="AC232" s="5"/>
      <c r="AD232" s="5"/>
      <c r="AE232" s="5"/>
      <c r="AG232" s="9">
        <f t="shared" si="3"/>
        <v>43273</v>
      </c>
    </row>
    <row r="233" s="6" customFormat="1" spans="1:33">
      <c r="A233" s="5" t="s">
        <v>1360</v>
      </c>
      <c r="B233" s="5" t="s">
        <v>1360</v>
      </c>
      <c r="C233" s="5" t="s">
        <v>1361</v>
      </c>
      <c r="D233" s="5" t="s">
        <v>1362</v>
      </c>
      <c r="E233" s="5" t="s">
        <v>35</v>
      </c>
      <c r="F233" s="5" t="s">
        <v>36</v>
      </c>
      <c r="G233" s="5" t="s">
        <v>37</v>
      </c>
      <c r="H233" s="5"/>
      <c r="I233" s="5"/>
      <c r="J233" s="5" t="s">
        <v>59</v>
      </c>
      <c r="K233" s="5" t="s">
        <v>94</v>
      </c>
      <c r="L233" s="5" t="s">
        <v>95</v>
      </c>
      <c r="M233" s="5" t="s">
        <v>96</v>
      </c>
      <c r="N233" s="5" t="s">
        <v>35</v>
      </c>
      <c r="O233" s="5">
        <v>1</v>
      </c>
      <c r="P233" s="5" t="s">
        <v>42</v>
      </c>
      <c r="Q233" s="5">
        <v>14.99</v>
      </c>
      <c r="R233" s="5"/>
      <c r="S233" s="5"/>
      <c r="T233" s="5"/>
      <c r="U233" s="5"/>
      <c r="V233" s="5"/>
      <c r="W233" s="5"/>
      <c r="X233" s="5"/>
      <c r="Y233" s="5" t="s">
        <v>1363</v>
      </c>
      <c r="Z233" s="5" t="s">
        <v>162</v>
      </c>
      <c r="AA233" s="5" t="s">
        <v>1364</v>
      </c>
      <c r="AB233" s="5" t="s">
        <v>45</v>
      </c>
      <c r="AC233" s="5"/>
      <c r="AD233" s="5"/>
      <c r="AE233" s="5"/>
      <c r="AG233" s="9">
        <f t="shared" si="3"/>
        <v>43273</v>
      </c>
    </row>
    <row r="234" s="6" customFormat="1" spans="1:33">
      <c r="A234" s="5" t="s">
        <v>1365</v>
      </c>
      <c r="B234" s="5" t="s">
        <v>1365</v>
      </c>
      <c r="C234" s="5" t="s">
        <v>1366</v>
      </c>
      <c r="D234" s="5" t="s">
        <v>1367</v>
      </c>
      <c r="E234" s="5" t="s">
        <v>35</v>
      </c>
      <c r="F234" s="5" t="s">
        <v>36</v>
      </c>
      <c r="G234" s="5" t="s">
        <v>37</v>
      </c>
      <c r="H234" s="5"/>
      <c r="I234" s="5"/>
      <c r="J234" s="5" t="s">
        <v>59</v>
      </c>
      <c r="K234" s="5" t="s">
        <v>50</v>
      </c>
      <c r="L234" s="5" t="s">
        <v>51</v>
      </c>
      <c r="M234" s="5" t="s">
        <v>52</v>
      </c>
      <c r="N234" s="5" t="s">
        <v>35</v>
      </c>
      <c r="O234" s="5">
        <v>1</v>
      </c>
      <c r="P234" s="5" t="s">
        <v>42</v>
      </c>
      <c r="Q234" s="5">
        <v>7</v>
      </c>
      <c r="R234" s="5"/>
      <c r="S234" s="5"/>
      <c r="T234" s="5"/>
      <c r="U234" s="5"/>
      <c r="V234" s="5"/>
      <c r="W234" s="5"/>
      <c r="X234" s="5"/>
      <c r="Y234" s="5" t="s">
        <v>1242</v>
      </c>
      <c r="Z234" s="5" t="s">
        <v>118</v>
      </c>
      <c r="AA234" s="5" t="s">
        <v>1368</v>
      </c>
      <c r="AB234" s="5" t="s">
        <v>45</v>
      </c>
      <c r="AC234" s="5"/>
      <c r="AD234" s="5"/>
      <c r="AE234" s="5"/>
      <c r="AG234" s="9">
        <f t="shared" si="3"/>
        <v>43273</v>
      </c>
    </row>
    <row r="235" s="6" customFormat="1" spans="1:33">
      <c r="A235" s="5" t="s">
        <v>1369</v>
      </c>
      <c r="B235" s="5" t="s">
        <v>1369</v>
      </c>
      <c r="C235" s="5" t="s">
        <v>1370</v>
      </c>
      <c r="D235" s="5" t="s">
        <v>1371</v>
      </c>
      <c r="E235" s="5" t="s">
        <v>35</v>
      </c>
      <c r="F235" s="5" t="s">
        <v>36</v>
      </c>
      <c r="G235" s="5" t="s">
        <v>37</v>
      </c>
      <c r="H235" s="5"/>
      <c r="I235" s="5"/>
      <c r="J235" s="5" t="s">
        <v>59</v>
      </c>
      <c r="K235" s="5" t="s">
        <v>50</v>
      </c>
      <c r="L235" s="5" t="s">
        <v>51</v>
      </c>
      <c r="M235" s="5" t="s">
        <v>52</v>
      </c>
      <c r="N235" s="5" t="s">
        <v>35</v>
      </c>
      <c r="O235" s="5">
        <v>1</v>
      </c>
      <c r="P235" s="5" t="s">
        <v>42</v>
      </c>
      <c r="Q235" s="5">
        <v>7</v>
      </c>
      <c r="R235" s="5"/>
      <c r="S235" s="5"/>
      <c r="T235" s="5"/>
      <c r="U235" s="5"/>
      <c r="V235" s="5"/>
      <c r="W235" s="5"/>
      <c r="X235" s="5"/>
      <c r="Y235" s="5" t="s">
        <v>1372</v>
      </c>
      <c r="Z235" s="5" t="s">
        <v>780</v>
      </c>
      <c r="AA235" s="5" t="s">
        <v>1373</v>
      </c>
      <c r="AB235" s="5" t="s">
        <v>45</v>
      </c>
      <c r="AC235" s="5"/>
      <c r="AD235" s="5"/>
      <c r="AE235" s="5"/>
      <c r="AG235" s="9">
        <f t="shared" si="3"/>
        <v>43273</v>
      </c>
    </row>
    <row r="236" s="6" customFormat="1" spans="1:33">
      <c r="A236" s="5" t="s">
        <v>1374</v>
      </c>
      <c r="B236" s="5" t="s">
        <v>1374</v>
      </c>
      <c r="C236" s="5" t="s">
        <v>1375</v>
      </c>
      <c r="D236" s="5" t="s">
        <v>1376</v>
      </c>
      <c r="E236" s="5" t="s">
        <v>35</v>
      </c>
      <c r="F236" s="5" t="s">
        <v>36</v>
      </c>
      <c r="G236" s="5" t="s">
        <v>37</v>
      </c>
      <c r="H236" s="5"/>
      <c r="I236" s="5"/>
      <c r="J236" s="5" t="s">
        <v>59</v>
      </c>
      <c r="K236" s="5" t="s">
        <v>1102</v>
      </c>
      <c r="L236" s="5" t="s">
        <v>1103</v>
      </c>
      <c r="M236" s="5" t="s">
        <v>1104</v>
      </c>
      <c r="N236" s="5" t="s">
        <v>35</v>
      </c>
      <c r="O236" s="5">
        <v>3</v>
      </c>
      <c r="P236" s="5" t="s">
        <v>42</v>
      </c>
      <c r="Q236" s="5">
        <v>53.97</v>
      </c>
      <c r="R236" s="5"/>
      <c r="S236" s="5"/>
      <c r="T236" s="5"/>
      <c r="U236" s="5"/>
      <c r="V236" s="5"/>
      <c r="W236" s="5"/>
      <c r="X236" s="5"/>
      <c r="Y236" s="5" t="s">
        <v>1377</v>
      </c>
      <c r="Z236" s="5" t="s">
        <v>895</v>
      </c>
      <c r="AA236" s="5" t="s">
        <v>1378</v>
      </c>
      <c r="AB236" s="5" t="s">
        <v>45</v>
      </c>
      <c r="AC236" s="5"/>
      <c r="AD236" s="5"/>
      <c r="AE236" s="5"/>
      <c r="AG236" s="9">
        <f t="shared" si="3"/>
        <v>43273</v>
      </c>
    </row>
    <row r="237" s="6" customFormat="1" spans="1:33">
      <c r="A237" s="5" t="s">
        <v>1374</v>
      </c>
      <c r="B237" s="5" t="s">
        <v>1374</v>
      </c>
      <c r="C237" s="5" t="s">
        <v>1375</v>
      </c>
      <c r="D237" s="5" t="s">
        <v>1376</v>
      </c>
      <c r="E237" s="5" t="s">
        <v>35</v>
      </c>
      <c r="F237" s="5" t="s">
        <v>36</v>
      </c>
      <c r="G237" s="5" t="s">
        <v>37</v>
      </c>
      <c r="H237" s="5"/>
      <c r="I237" s="5"/>
      <c r="J237" s="5" t="s">
        <v>59</v>
      </c>
      <c r="K237" s="5" t="s">
        <v>875</v>
      </c>
      <c r="L237" s="5" t="s">
        <v>876</v>
      </c>
      <c r="M237" s="5" t="s">
        <v>877</v>
      </c>
      <c r="N237" s="5" t="s">
        <v>35</v>
      </c>
      <c r="O237" s="5">
        <v>3</v>
      </c>
      <c r="P237" s="5" t="s">
        <v>42</v>
      </c>
      <c r="Q237" s="5">
        <v>65.97</v>
      </c>
      <c r="R237" s="5"/>
      <c r="S237" s="5"/>
      <c r="T237" s="5"/>
      <c r="U237" s="5"/>
      <c r="V237" s="5"/>
      <c r="W237" s="5"/>
      <c r="X237" s="5"/>
      <c r="Y237" s="5" t="s">
        <v>1377</v>
      </c>
      <c r="Z237" s="5" t="s">
        <v>895</v>
      </c>
      <c r="AA237" s="5" t="s">
        <v>1378</v>
      </c>
      <c r="AB237" s="5" t="s">
        <v>45</v>
      </c>
      <c r="AC237" s="5"/>
      <c r="AD237" s="5"/>
      <c r="AE237" s="5"/>
      <c r="AG237" s="9">
        <f t="shared" si="3"/>
        <v>43273</v>
      </c>
    </row>
    <row r="238" s="6" customFormat="1" spans="1:33">
      <c r="A238" s="5" t="s">
        <v>1379</v>
      </c>
      <c r="B238" s="5" t="s">
        <v>1379</v>
      </c>
      <c r="C238" s="5" t="s">
        <v>1380</v>
      </c>
      <c r="D238" s="5" t="s">
        <v>1381</v>
      </c>
      <c r="E238" s="5" t="s">
        <v>35</v>
      </c>
      <c r="F238" s="5" t="s">
        <v>36</v>
      </c>
      <c r="G238" s="5" t="s">
        <v>37</v>
      </c>
      <c r="H238" s="5"/>
      <c r="I238" s="5"/>
      <c r="J238" s="5" t="s">
        <v>38</v>
      </c>
      <c r="K238" s="5" t="s">
        <v>39</v>
      </c>
      <c r="L238" s="5" t="s">
        <v>40</v>
      </c>
      <c r="M238" s="5" t="s">
        <v>41</v>
      </c>
      <c r="N238" s="5" t="s">
        <v>35</v>
      </c>
      <c r="O238" s="5">
        <v>1</v>
      </c>
      <c r="P238" s="5" t="s">
        <v>42</v>
      </c>
      <c r="Q238" s="5">
        <v>7.99</v>
      </c>
      <c r="R238" s="5"/>
      <c r="S238" s="5"/>
      <c r="T238" s="5"/>
      <c r="U238" s="5"/>
      <c r="V238" s="5"/>
      <c r="W238" s="5"/>
      <c r="X238" s="5"/>
      <c r="Y238" s="5" t="s">
        <v>1382</v>
      </c>
      <c r="Z238" s="5" t="s">
        <v>1383</v>
      </c>
      <c r="AA238" s="5" t="s">
        <v>1384</v>
      </c>
      <c r="AB238" s="5" t="s">
        <v>45</v>
      </c>
      <c r="AC238" s="5"/>
      <c r="AD238" s="5"/>
      <c r="AE238" s="5"/>
      <c r="AG238" s="9">
        <f t="shared" si="3"/>
        <v>43273</v>
      </c>
    </row>
    <row r="239" s="6" customFormat="1" spans="1:33">
      <c r="A239" s="5" t="s">
        <v>1385</v>
      </c>
      <c r="B239" s="5" t="s">
        <v>1385</v>
      </c>
      <c r="C239" s="5" t="s">
        <v>1386</v>
      </c>
      <c r="D239" s="5" t="s">
        <v>1387</v>
      </c>
      <c r="E239" s="5" t="s">
        <v>35</v>
      </c>
      <c r="F239" s="5" t="s">
        <v>36</v>
      </c>
      <c r="G239" s="5" t="s">
        <v>37</v>
      </c>
      <c r="H239" s="5"/>
      <c r="I239" s="5"/>
      <c r="J239" s="5" t="s">
        <v>59</v>
      </c>
      <c r="K239" s="5" t="s">
        <v>1388</v>
      </c>
      <c r="L239" s="5" t="s">
        <v>1389</v>
      </c>
      <c r="M239" s="5" t="s">
        <v>1390</v>
      </c>
      <c r="N239" s="5" t="s">
        <v>35</v>
      </c>
      <c r="O239" s="5">
        <v>1</v>
      </c>
      <c r="P239" s="5" t="s">
        <v>42</v>
      </c>
      <c r="Q239" s="5">
        <v>8.99</v>
      </c>
      <c r="R239" s="5"/>
      <c r="S239" s="5"/>
      <c r="T239" s="5"/>
      <c r="U239" s="5"/>
      <c r="V239" s="5"/>
      <c r="W239" s="5"/>
      <c r="X239" s="5"/>
      <c r="Y239" s="5" t="s">
        <v>1391</v>
      </c>
      <c r="Z239" s="5" t="s">
        <v>1392</v>
      </c>
      <c r="AA239" s="5" t="s">
        <v>1393</v>
      </c>
      <c r="AB239" s="5" t="s">
        <v>45</v>
      </c>
      <c r="AC239" s="5"/>
      <c r="AD239" s="5"/>
      <c r="AE239" s="5"/>
      <c r="AG239" s="9">
        <f t="shared" si="3"/>
        <v>43273</v>
      </c>
    </row>
    <row r="240" s="6" customFormat="1" spans="1:33">
      <c r="A240" s="5" t="s">
        <v>1394</v>
      </c>
      <c r="B240" s="5" t="s">
        <v>1394</v>
      </c>
      <c r="C240" s="5" t="s">
        <v>1395</v>
      </c>
      <c r="D240" s="5" t="s">
        <v>1396</v>
      </c>
      <c r="E240" s="5" t="s">
        <v>35</v>
      </c>
      <c r="F240" s="5" t="s">
        <v>36</v>
      </c>
      <c r="G240" s="5" t="s">
        <v>37</v>
      </c>
      <c r="H240" s="5"/>
      <c r="I240" s="5"/>
      <c r="J240" s="5" t="s">
        <v>59</v>
      </c>
      <c r="K240" s="5" t="s">
        <v>50</v>
      </c>
      <c r="L240" s="5" t="s">
        <v>51</v>
      </c>
      <c r="M240" s="5" t="s">
        <v>52</v>
      </c>
      <c r="N240" s="5" t="s">
        <v>35</v>
      </c>
      <c r="O240" s="5">
        <v>1</v>
      </c>
      <c r="P240" s="5" t="s">
        <v>42</v>
      </c>
      <c r="Q240" s="5">
        <v>7</v>
      </c>
      <c r="R240" s="5"/>
      <c r="S240" s="5"/>
      <c r="T240" s="5"/>
      <c r="U240" s="5"/>
      <c r="V240" s="5"/>
      <c r="W240" s="5"/>
      <c r="X240" s="5"/>
      <c r="Y240" s="5" t="s">
        <v>1397</v>
      </c>
      <c r="Z240" s="5" t="s">
        <v>54</v>
      </c>
      <c r="AA240" s="5" t="s">
        <v>1398</v>
      </c>
      <c r="AB240" s="5" t="s">
        <v>45</v>
      </c>
      <c r="AC240" s="5"/>
      <c r="AD240" s="5"/>
      <c r="AE240" s="5"/>
      <c r="AG240" s="9">
        <f t="shared" si="3"/>
        <v>43273</v>
      </c>
    </row>
    <row r="241" s="6" customFormat="1" spans="1:33">
      <c r="A241" s="5" t="s">
        <v>1399</v>
      </c>
      <c r="B241" s="5" t="s">
        <v>1399</v>
      </c>
      <c r="C241" s="5" t="s">
        <v>1400</v>
      </c>
      <c r="D241" s="5" t="s">
        <v>1401</v>
      </c>
      <c r="E241" s="5" t="s">
        <v>35</v>
      </c>
      <c r="F241" s="5" t="s">
        <v>36</v>
      </c>
      <c r="G241" s="5" t="s">
        <v>37</v>
      </c>
      <c r="H241" s="5"/>
      <c r="I241" s="5"/>
      <c r="J241" s="5" t="s">
        <v>59</v>
      </c>
      <c r="K241" s="5" t="s">
        <v>346</v>
      </c>
      <c r="L241" s="5" t="s">
        <v>1402</v>
      </c>
      <c r="M241" s="5" t="s">
        <v>1403</v>
      </c>
      <c r="N241" s="5" t="s">
        <v>35</v>
      </c>
      <c r="O241" s="5">
        <v>1</v>
      </c>
      <c r="P241" s="5" t="s">
        <v>42</v>
      </c>
      <c r="Q241" s="5">
        <v>12.99</v>
      </c>
      <c r="R241" s="5"/>
      <c r="S241" s="5"/>
      <c r="T241" s="5"/>
      <c r="U241" s="5"/>
      <c r="V241" s="5"/>
      <c r="W241" s="5"/>
      <c r="X241" s="5"/>
      <c r="Y241" s="5" t="s">
        <v>1404</v>
      </c>
      <c r="Z241" s="5" t="s">
        <v>1405</v>
      </c>
      <c r="AA241" s="5" t="s">
        <v>1406</v>
      </c>
      <c r="AB241" s="5" t="s">
        <v>45</v>
      </c>
      <c r="AC241" s="5"/>
      <c r="AD241" s="5"/>
      <c r="AE241" s="5"/>
      <c r="AG241" s="9">
        <f t="shared" si="3"/>
        <v>43273</v>
      </c>
    </row>
    <row r="242" s="6" customFormat="1" spans="1:33">
      <c r="A242" s="5" t="s">
        <v>1407</v>
      </c>
      <c r="B242" s="5" t="s">
        <v>1407</v>
      </c>
      <c r="C242" s="5" t="s">
        <v>1408</v>
      </c>
      <c r="D242" s="5" t="s">
        <v>1409</v>
      </c>
      <c r="E242" s="5" t="s">
        <v>35</v>
      </c>
      <c r="F242" s="5" t="s">
        <v>36</v>
      </c>
      <c r="G242" s="5" t="s">
        <v>37</v>
      </c>
      <c r="H242" s="5"/>
      <c r="I242" s="5"/>
      <c r="J242" s="5" t="s">
        <v>59</v>
      </c>
      <c r="K242" s="5" t="s">
        <v>50</v>
      </c>
      <c r="L242" s="5" t="s">
        <v>51</v>
      </c>
      <c r="M242" s="5" t="s">
        <v>52</v>
      </c>
      <c r="N242" s="5" t="s">
        <v>35</v>
      </c>
      <c r="O242" s="5">
        <v>1</v>
      </c>
      <c r="P242" s="5" t="s">
        <v>42</v>
      </c>
      <c r="Q242" s="5">
        <v>7</v>
      </c>
      <c r="R242" s="5"/>
      <c r="S242" s="5"/>
      <c r="T242" s="5"/>
      <c r="U242" s="5"/>
      <c r="V242" s="5"/>
      <c r="W242" s="5"/>
      <c r="X242" s="5"/>
      <c r="Y242" s="5" t="s">
        <v>1410</v>
      </c>
      <c r="Z242" s="5" t="s">
        <v>1383</v>
      </c>
      <c r="AA242" s="5" t="s">
        <v>1411</v>
      </c>
      <c r="AB242" s="5" t="s">
        <v>45</v>
      </c>
      <c r="AC242" s="5"/>
      <c r="AD242" s="5"/>
      <c r="AE242" s="5"/>
      <c r="AG242" s="9">
        <f t="shared" si="3"/>
        <v>43273</v>
      </c>
    </row>
    <row r="243" s="6" customFormat="1" spans="1:33">
      <c r="A243" s="5" t="s">
        <v>1412</v>
      </c>
      <c r="B243" s="5" t="s">
        <v>1412</v>
      </c>
      <c r="C243" s="5" t="s">
        <v>1413</v>
      </c>
      <c r="D243" s="5" t="s">
        <v>1414</v>
      </c>
      <c r="E243" s="5" t="s">
        <v>35</v>
      </c>
      <c r="F243" s="5" t="s">
        <v>36</v>
      </c>
      <c r="G243" s="5" t="s">
        <v>37</v>
      </c>
      <c r="H243" s="5"/>
      <c r="I243" s="5"/>
      <c r="J243" s="5" t="s">
        <v>59</v>
      </c>
      <c r="K243" s="5" t="s">
        <v>50</v>
      </c>
      <c r="L243" s="5" t="s">
        <v>51</v>
      </c>
      <c r="M243" s="5" t="s">
        <v>52</v>
      </c>
      <c r="N243" s="5" t="s">
        <v>35</v>
      </c>
      <c r="O243" s="5">
        <v>1</v>
      </c>
      <c r="P243" s="5" t="s">
        <v>42</v>
      </c>
      <c r="Q243" s="5">
        <v>7</v>
      </c>
      <c r="R243" s="5"/>
      <c r="S243" s="5"/>
      <c r="T243" s="5"/>
      <c r="U243" s="5"/>
      <c r="V243" s="5"/>
      <c r="W243" s="5"/>
      <c r="X243" s="5"/>
      <c r="Y243" s="5" t="s">
        <v>1415</v>
      </c>
      <c r="Z243" s="5" t="s">
        <v>162</v>
      </c>
      <c r="AA243" s="5" t="s">
        <v>1416</v>
      </c>
      <c r="AB243" s="5" t="s">
        <v>45</v>
      </c>
      <c r="AC243" s="5"/>
      <c r="AD243" s="5"/>
      <c r="AE243" s="5"/>
      <c r="AG243" s="9">
        <f t="shared" si="3"/>
        <v>43273</v>
      </c>
    </row>
    <row r="244" s="6" customFormat="1" spans="1:33">
      <c r="A244" s="5" t="s">
        <v>1417</v>
      </c>
      <c r="B244" s="5" t="s">
        <v>1417</v>
      </c>
      <c r="C244" s="5" t="s">
        <v>1418</v>
      </c>
      <c r="D244" s="5" t="s">
        <v>1419</v>
      </c>
      <c r="E244" s="5" t="s">
        <v>35</v>
      </c>
      <c r="F244" s="5" t="s">
        <v>36</v>
      </c>
      <c r="G244" s="5" t="s">
        <v>37</v>
      </c>
      <c r="H244" s="5"/>
      <c r="I244" s="5"/>
      <c r="J244" s="5" t="s">
        <v>59</v>
      </c>
      <c r="K244" s="5" t="s">
        <v>50</v>
      </c>
      <c r="L244" s="5" t="s">
        <v>51</v>
      </c>
      <c r="M244" s="5" t="s">
        <v>52</v>
      </c>
      <c r="N244" s="5" t="s">
        <v>35</v>
      </c>
      <c r="O244" s="5">
        <v>1</v>
      </c>
      <c r="P244" s="5" t="s">
        <v>42</v>
      </c>
      <c r="Q244" s="5">
        <v>7</v>
      </c>
      <c r="R244" s="5"/>
      <c r="S244" s="5"/>
      <c r="T244" s="5"/>
      <c r="U244" s="5"/>
      <c r="V244" s="5"/>
      <c r="W244" s="5"/>
      <c r="X244" s="5"/>
      <c r="Y244" s="5" t="s">
        <v>1420</v>
      </c>
      <c r="Z244" s="5" t="s">
        <v>171</v>
      </c>
      <c r="AA244" s="5" t="s">
        <v>1421</v>
      </c>
      <c r="AB244" s="5" t="s">
        <v>45</v>
      </c>
      <c r="AC244" s="5"/>
      <c r="AD244" s="5"/>
      <c r="AE244" s="5"/>
      <c r="AG244" s="9">
        <f t="shared" si="3"/>
        <v>43274</v>
      </c>
    </row>
    <row r="245" s="6" customFormat="1" spans="1:33">
      <c r="A245" s="5" t="s">
        <v>1422</v>
      </c>
      <c r="B245" s="5" t="s">
        <v>1422</v>
      </c>
      <c r="C245" s="5" t="s">
        <v>1423</v>
      </c>
      <c r="D245" s="5" t="s">
        <v>1424</v>
      </c>
      <c r="E245" s="5" t="s">
        <v>35</v>
      </c>
      <c r="F245" s="5" t="s">
        <v>36</v>
      </c>
      <c r="G245" s="5" t="s">
        <v>37</v>
      </c>
      <c r="H245" s="5"/>
      <c r="I245" s="5"/>
      <c r="J245" s="5" t="s">
        <v>38</v>
      </c>
      <c r="K245" s="5" t="s">
        <v>1425</v>
      </c>
      <c r="L245" s="5" t="s">
        <v>1426</v>
      </c>
      <c r="M245" s="5" t="s">
        <v>1427</v>
      </c>
      <c r="N245" s="5" t="s">
        <v>35</v>
      </c>
      <c r="O245" s="5">
        <v>1</v>
      </c>
      <c r="P245" s="5" t="s">
        <v>42</v>
      </c>
      <c r="Q245" s="5">
        <v>9.99</v>
      </c>
      <c r="R245" s="5"/>
      <c r="S245" s="5"/>
      <c r="T245" s="5"/>
      <c r="U245" s="5"/>
      <c r="V245" s="5"/>
      <c r="W245" s="5"/>
      <c r="X245" s="5"/>
      <c r="Y245" s="5" t="s">
        <v>567</v>
      </c>
      <c r="Z245" s="5" t="s">
        <v>211</v>
      </c>
      <c r="AA245" s="5" t="s">
        <v>1428</v>
      </c>
      <c r="AB245" s="5" t="s">
        <v>45</v>
      </c>
      <c r="AC245" s="5"/>
      <c r="AD245" s="5"/>
      <c r="AE245" s="5"/>
      <c r="AG245" s="9">
        <f t="shared" si="3"/>
        <v>43274</v>
      </c>
    </row>
    <row r="246" s="6" customFormat="1" spans="1:33">
      <c r="A246" s="5" t="s">
        <v>1429</v>
      </c>
      <c r="B246" s="5" t="s">
        <v>1429</v>
      </c>
      <c r="C246" s="5" t="s">
        <v>1430</v>
      </c>
      <c r="D246" s="5" t="s">
        <v>1431</v>
      </c>
      <c r="E246" s="5" t="s">
        <v>35</v>
      </c>
      <c r="F246" s="5" t="s">
        <v>36</v>
      </c>
      <c r="G246" s="5" t="s">
        <v>37</v>
      </c>
      <c r="H246" s="5"/>
      <c r="I246" s="5"/>
      <c r="J246" s="5" t="s">
        <v>59</v>
      </c>
      <c r="K246" s="5" t="s">
        <v>50</v>
      </c>
      <c r="L246" s="5" t="s">
        <v>51</v>
      </c>
      <c r="M246" s="5" t="s">
        <v>52</v>
      </c>
      <c r="N246" s="5" t="s">
        <v>35</v>
      </c>
      <c r="O246" s="5">
        <v>1</v>
      </c>
      <c r="P246" s="5" t="s">
        <v>42</v>
      </c>
      <c r="Q246" s="5">
        <v>7</v>
      </c>
      <c r="R246" s="5"/>
      <c r="S246" s="5"/>
      <c r="T246" s="5"/>
      <c r="U246" s="5"/>
      <c r="V246" s="5"/>
      <c r="W246" s="5"/>
      <c r="X246" s="5"/>
      <c r="Y246" s="5" t="s">
        <v>1432</v>
      </c>
      <c r="Z246" s="5" t="s">
        <v>54</v>
      </c>
      <c r="AA246" s="5" t="s">
        <v>1433</v>
      </c>
      <c r="AB246" s="5" t="s">
        <v>45</v>
      </c>
      <c r="AC246" s="5"/>
      <c r="AD246" s="5"/>
      <c r="AE246" s="5"/>
      <c r="AG246" s="9">
        <f t="shared" si="3"/>
        <v>43274</v>
      </c>
    </row>
    <row r="247" s="6" customFormat="1" spans="1:33">
      <c r="A247" s="5" t="s">
        <v>1434</v>
      </c>
      <c r="B247" s="5" t="s">
        <v>1434</v>
      </c>
      <c r="C247" s="5" t="s">
        <v>1435</v>
      </c>
      <c r="D247" s="5" t="s">
        <v>1436</v>
      </c>
      <c r="E247" s="5" t="s">
        <v>35</v>
      </c>
      <c r="F247" s="5" t="s">
        <v>36</v>
      </c>
      <c r="G247" s="5" t="s">
        <v>37</v>
      </c>
      <c r="H247" s="5"/>
      <c r="I247" s="5"/>
      <c r="J247" s="5" t="s">
        <v>59</v>
      </c>
      <c r="K247" s="5" t="s">
        <v>94</v>
      </c>
      <c r="L247" s="5" t="s">
        <v>95</v>
      </c>
      <c r="M247" s="5" t="s">
        <v>96</v>
      </c>
      <c r="N247" s="5" t="s">
        <v>35</v>
      </c>
      <c r="O247" s="5">
        <v>1</v>
      </c>
      <c r="P247" s="5" t="s">
        <v>42</v>
      </c>
      <c r="Q247" s="5">
        <v>14.99</v>
      </c>
      <c r="R247" s="5"/>
      <c r="S247" s="5"/>
      <c r="T247" s="5"/>
      <c r="U247" s="5"/>
      <c r="V247" s="5"/>
      <c r="W247" s="5"/>
      <c r="X247" s="5"/>
      <c r="Y247" s="5" t="s">
        <v>1437</v>
      </c>
      <c r="Z247" s="5" t="s">
        <v>153</v>
      </c>
      <c r="AA247" s="5" t="s">
        <v>1438</v>
      </c>
      <c r="AB247" s="5" t="s">
        <v>45</v>
      </c>
      <c r="AC247" s="5"/>
      <c r="AD247" s="5"/>
      <c r="AE247" s="5"/>
      <c r="AG247" s="9">
        <f t="shared" si="3"/>
        <v>43274</v>
      </c>
    </row>
    <row r="248" s="6" customFormat="1" spans="1:33">
      <c r="A248" s="5" t="s">
        <v>1439</v>
      </c>
      <c r="B248" s="5" t="s">
        <v>1439</v>
      </c>
      <c r="C248" s="5" t="s">
        <v>1440</v>
      </c>
      <c r="D248" s="5" t="s">
        <v>1441</v>
      </c>
      <c r="E248" s="5" t="s">
        <v>35</v>
      </c>
      <c r="F248" s="5" t="s">
        <v>36</v>
      </c>
      <c r="G248" s="5" t="s">
        <v>37</v>
      </c>
      <c r="H248" s="5"/>
      <c r="I248" s="5"/>
      <c r="J248" s="5" t="s">
        <v>59</v>
      </c>
      <c r="K248" s="5" t="s">
        <v>50</v>
      </c>
      <c r="L248" s="5" t="s">
        <v>51</v>
      </c>
      <c r="M248" s="5" t="s">
        <v>52</v>
      </c>
      <c r="N248" s="5" t="s">
        <v>35</v>
      </c>
      <c r="O248" s="5">
        <v>1</v>
      </c>
      <c r="P248" s="5" t="s">
        <v>42</v>
      </c>
      <c r="Q248" s="5">
        <v>7</v>
      </c>
      <c r="R248" s="5"/>
      <c r="S248" s="5"/>
      <c r="T248" s="5"/>
      <c r="U248" s="5"/>
      <c r="V248" s="5"/>
      <c r="W248" s="5"/>
      <c r="X248" s="5"/>
      <c r="Y248" s="5" t="s">
        <v>1442</v>
      </c>
      <c r="Z248" s="5" t="s">
        <v>432</v>
      </c>
      <c r="AA248" s="5" t="s">
        <v>1443</v>
      </c>
      <c r="AB248" s="5" t="s">
        <v>45</v>
      </c>
      <c r="AC248" s="5"/>
      <c r="AD248" s="5"/>
      <c r="AE248" s="5"/>
      <c r="AG248" s="9">
        <f t="shared" si="3"/>
        <v>43274</v>
      </c>
    </row>
    <row r="249" s="6" customFormat="1" spans="1:33">
      <c r="A249" s="5" t="s">
        <v>1444</v>
      </c>
      <c r="B249" s="5" t="s">
        <v>1444</v>
      </c>
      <c r="C249" s="5" t="s">
        <v>1445</v>
      </c>
      <c r="D249" s="5" t="s">
        <v>1446</v>
      </c>
      <c r="E249" s="5" t="s">
        <v>35</v>
      </c>
      <c r="F249" s="5" t="s">
        <v>36</v>
      </c>
      <c r="G249" s="5" t="s">
        <v>37</v>
      </c>
      <c r="H249" s="5"/>
      <c r="I249" s="5"/>
      <c r="J249" s="5" t="s">
        <v>59</v>
      </c>
      <c r="K249" s="5" t="s">
        <v>50</v>
      </c>
      <c r="L249" s="5" t="s">
        <v>51</v>
      </c>
      <c r="M249" s="5" t="s">
        <v>52</v>
      </c>
      <c r="N249" s="5" t="s">
        <v>35</v>
      </c>
      <c r="O249" s="5">
        <v>1</v>
      </c>
      <c r="P249" s="5" t="s">
        <v>42</v>
      </c>
      <c r="Q249" s="5">
        <v>7</v>
      </c>
      <c r="R249" s="5"/>
      <c r="S249" s="5"/>
      <c r="T249" s="5"/>
      <c r="U249" s="5"/>
      <c r="V249" s="5"/>
      <c r="W249" s="5"/>
      <c r="X249" s="5"/>
      <c r="Y249" s="5" t="s">
        <v>1026</v>
      </c>
      <c r="Z249" s="5" t="s">
        <v>127</v>
      </c>
      <c r="AA249" s="5" t="s">
        <v>1447</v>
      </c>
      <c r="AB249" s="5" t="s">
        <v>45</v>
      </c>
      <c r="AC249" s="5"/>
      <c r="AD249" s="5"/>
      <c r="AE249" s="5"/>
      <c r="AG249" s="9">
        <f t="shared" si="3"/>
        <v>43274</v>
      </c>
    </row>
    <row r="250" s="6" customFormat="1" spans="1:33">
      <c r="A250" s="5" t="s">
        <v>1448</v>
      </c>
      <c r="B250" s="5" t="s">
        <v>1448</v>
      </c>
      <c r="C250" s="5" t="s">
        <v>1449</v>
      </c>
      <c r="D250" s="5" t="s">
        <v>1450</v>
      </c>
      <c r="E250" s="5" t="s">
        <v>35</v>
      </c>
      <c r="F250" s="5" t="s">
        <v>36</v>
      </c>
      <c r="G250" s="5" t="s">
        <v>37</v>
      </c>
      <c r="H250" s="5"/>
      <c r="I250" s="5"/>
      <c r="J250" s="5" t="s">
        <v>59</v>
      </c>
      <c r="K250" s="5" t="s">
        <v>1334</v>
      </c>
      <c r="L250" s="5" t="s">
        <v>573</v>
      </c>
      <c r="M250" s="5" t="s">
        <v>574</v>
      </c>
      <c r="N250" s="5" t="s">
        <v>35</v>
      </c>
      <c r="O250" s="5">
        <v>1</v>
      </c>
      <c r="P250" s="5" t="s">
        <v>42</v>
      </c>
      <c r="Q250" s="5">
        <v>14.99</v>
      </c>
      <c r="R250" s="5"/>
      <c r="S250" s="5"/>
      <c r="T250" s="5"/>
      <c r="U250" s="5"/>
      <c r="V250" s="5"/>
      <c r="W250" s="5">
        <v>0.75</v>
      </c>
      <c r="X250" s="5"/>
      <c r="Y250" s="5" t="s">
        <v>1451</v>
      </c>
      <c r="Z250" s="5" t="s">
        <v>54</v>
      </c>
      <c r="AA250" s="5">
        <v>75006</v>
      </c>
      <c r="AB250" s="5" t="s">
        <v>45</v>
      </c>
      <c r="AC250" s="5" t="s">
        <v>558</v>
      </c>
      <c r="AD250" s="5"/>
      <c r="AE250" s="5"/>
      <c r="AG250" s="9">
        <f t="shared" si="3"/>
        <v>43274</v>
      </c>
    </row>
    <row r="251" s="6" customFormat="1" spans="1:33">
      <c r="A251" s="5" t="s">
        <v>1448</v>
      </c>
      <c r="B251" s="5" t="s">
        <v>1448</v>
      </c>
      <c r="C251" s="5" t="s">
        <v>1449</v>
      </c>
      <c r="D251" s="5" t="s">
        <v>1450</v>
      </c>
      <c r="E251" s="5" t="s">
        <v>35</v>
      </c>
      <c r="F251" s="5" t="s">
        <v>36</v>
      </c>
      <c r="G251" s="5" t="s">
        <v>37</v>
      </c>
      <c r="H251" s="5"/>
      <c r="I251" s="5"/>
      <c r="J251" s="5" t="s">
        <v>59</v>
      </c>
      <c r="K251" s="5" t="s">
        <v>1452</v>
      </c>
      <c r="L251" s="5" t="s">
        <v>553</v>
      </c>
      <c r="M251" s="5" t="s">
        <v>554</v>
      </c>
      <c r="N251" s="5" t="s">
        <v>35</v>
      </c>
      <c r="O251" s="5">
        <v>1</v>
      </c>
      <c r="P251" s="5" t="s">
        <v>42</v>
      </c>
      <c r="Q251" s="5">
        <v>14.99</v>
      </c>
      <c r="R251" s="5"/>
      <c r="S251" s="5"/>
      <c r="T251" s="5"/>
      <c r="U251" s="5"/>
      <c r="V251" s="5"/>
      <c r="W251" s="5">
        <v>0.75</v>
      </c>
      <c r="X251" s="5"/>
      <c r="Y251" s="5" t="s">
        <v>1451</v>
      </c>
      <c r="Z251" s="5" t="s">
        <v>54</v>
      </c>
      <c r="AA251" s="5">
        <v>75006</v>
      </c>
      <c r="AB251" s="5" t="s">
        <v>45</v>
      </c>
      <c r="AC251" s="5" t="s">
        <v>558</v>
      </c>
      <c r="AD251" s="5"/>
      <c r="AE251" s="5"/>
      <c r="AG251" s="9">
        <f t="shared" si="3"/>
        <v>43274</v>
      </c>
    </row>
    <row r="252" s="6" customFormat="1" spans="1:33">
      <c r="A252" s="5" t="s">
        <v>1453</v>
      </c>
      <c r="B252" s="5" t="s">
        <v>1453</v>
      </c>
      <c r="C252" s="5" t="s">
        <v>1454</v>
      </c>
      <c r="D252" s="5" t="s">
        <v>1455</v>
      </c>
      <c r="E252" s="5" t="s">
        <v>35</v>
      </c>
      <c r="F252" s="5" t="s">
        <v>36</v>
      </c>
      <c r="G252" s="5" t="s">
        <v>37</v>
      </c>
      <c r="H252" s="5"/>
      <c r="I252" s="5"/>
      <c r="J252" s="5" t="s">
        <v>38</v>
      </c>
      <c r="K252" s="5" t="s">
        <v>309</v>
      </c>
      <c r="L252" s="5" t="s">
        <v>310</v>
      </c>
      <c r="M252" s="5" t="s">
        <v>311</v>
      </c>
      <c r="N252" s="5" t="s">
        <v>35</v>
      </c>
      <c r="O252" s="5">
        <v>1</v>
      </c>
      <c r="P252" s="5" t="s">
        <v>42</v>
      </c>
      <c r="Q252" s="5">
        <v>13.99</v>
      </c>
      <c r="R252" s="5">
        <v>1.22</v>
      </c>
      <c r="S252" s="5">
        <v>3.85</v>
      </c>
      <c r="T252" s="5"/>
      <c r="U252" s="5"/>
      <c r="V252" s="5"/>
      <c r="W252" s="5"/>
      <c r="X252" s="5">
        <v>3.85</v>
      </c>
      <c r="Y252" s="5" t="s">
        <v>1456</v>
      </c>
      <c r="Z252" s="5" t="s">
        <v>1152</v>
      </c>
      <c r="AA252" s="5" t="s">
        <v>1457</v>
      </c>
      <c r="AB252" s="5" t="s">
        <v>45</v>
      </c>
      <c r="AC252" s="5" t="s">
        <v>328</v>
      </c>
      <c r="AD252" s="5"/>
      <c r="AE252" s="5"/>
      <c r="AG252" s="9">
        <f t="shared" si="3"/>
        <v>43274</v>
      </c>
    </row>
    <row r="253" s="6" customFormat="1" spans="1:33">
      <c r="A253" s="5" t="s">
        <v>1458</v>
      </c>
      <c r="B253" s="5" t="s">
        <v>1458</v>
      </c>
      <c r="C253" s="5" t="s">
        <v>1459</v>
      </c>
      <c r="D253" s="5" t="s">
        <v>1460</v>
      </c>
      <c r="E253" s="5" t="s">
        <v>35</v>
      </c>
      <c r="F253" s="5" t="s">
        <v>36</v>
      </c>
      <c r="G253" s="5" t="s">
        <v>37</v>
      </c>
      <c r="H253" s="5"/>
      <c r="I253" s="5"/>
      <c r="J253" s="5" t="s">
        <v>59</v>
      </c>
      <c r="K253" s="5" t="s">
        <v>94</v>
      </c>
      <c r="L253" s="5" t="s">
        <v>95</v>
      </c>
      <c r="M253" s="5" t="s">
        <v>96</v>
      </c>
      <c r="N253" s="5" t="s">
        <v>35</v>
      </c>
      <c r="O253" s="5">
        <v>1</v>
      </c>
      <c r="P253" s="5" t="s">
        <v>42</v>
      </c>
      <c r="Q253" s="5">
        <v>14.99</v>
      </c>
      <c r="R253" s="5"/>
      <c r="S253" s="5"/>
      <c r="T253" s="5"/>
      <c r="U253" s="5"/>
      <c r="V253" s="5"/>
      <c r="W253" s="5"/>
      <c r="X253" s="5"/>
      <c r="Y253" s="5" t="s">
        <v>1461</v>
      </c>
      <c r="Z253" s="5" t="s">
        <v>211</v>
      </c>
      <c r="AA253" s="5" t="s">
        <v>1462</v>
      </c>
      <c r="AB253" s="5" t="s">
        <v>45</v>
      </c>
      <c r="AC253" s="5"/>
      <c r="AD253" s="5"/>
      <c r="AE253" s="5"/>
      <c r="AG253" s="9">
        <f t="shared" si="3"/>
        <v>43274</v>
      </c>
    </row>
    <row r="254" s="6" customFormat="1" spans="1:33">
      <c r="A254" s="5" t="s">
        <v>1463</v>
      </c>
      <c r="B254" s="5" t="s">
        <v>1463</v>
      </c>
      <c r="C254" s="5" t="s">
        <v>1464</v>
      </c>
      <c r="D254" s="5" t="s">
        <v>1465</v>
      </c>
      <c r="E254" s="5" t="s">
        <v>35</v>
      </c>
      <c r="F254" s="5" t="s">
        <v>36</v>
      </c>
      <c r="G254" s="5" t="s">
        <v>37</v>
      </c>
      <c r="H254" s="5"/>
      <c r="I254" s="5"/>
      <c r="J254" s="5" t="s">
        <v>59</v>
      </c>
      <c r="K254" s="5" t="s">
        <v>50</v>
      </c>
      <c r="L254" s="5" t="s">
        <v>51</v>
      </c>
      <c r="M254" s="5" t="s">
        <v>52</v>
      </c>
      <c r="N254" s="5" t="s">
        <v>35</v>
      </c>
      <c r="O254" s="5">
        <v>1</v>
      </c>
      <c r="P254" s="5" t="s">
        <v>42</v>
      </c>
      <c r="Q254" s="5">
        <v>7</v>
      </c>
      <c r="R254" s="5"/>
      <c r="S254" s="5"/>
      <c r="T254" s="5"/>
      <c r="U254" s="5"/>
      <c r="V254" s="5"/>
      <c r="W254" s="5"/>
      <c r="X254" s="5"/>
      <c r="Y254" s="5" t="s">
        <v>1466</v>
      </c>
      <c r="Z254" s="5" t="s">
        <v>153</v>
      </c>
      <c r="AA254" s="5">
        <v>92154</v>
      </c>
      <c r="AB254" s="5" t="s">
        <v>45</v>
      </c>
      <c r="AC254" s="5"/>
      <c r="AD254" s="5"/>
      <c r="AE254" s="5"/>
      <c r="AG254" s="9">
        <f t="shared" si="3"/>
        <v>43274</v>
      </c>
    </row>
    <row r="255" s="6" customFormat="1" spans="1:33">
      <c r="A255" s="5" t="s">
        <v>1467</v>
      </c>
      <c r="B255" s="5" t="s">
        <v>1467</v>
      </c>
      <c r="C255" s="5" t="s">
        <v>1468</v>
      </c>
      <c r="D255" s="5" t="s">
        <v>1469</v>
      </c>
      <c r="E255" s="5" t="s">
        <v>35</v>
      </c>
      <c r="F255" s="5" t="s">
        <v>36</v>
      </c>
      <c r="G255" s="5" t="s">
        <v>37</v>
      </c>
      <c r="H255" s="5"/>
      <c r="I255" s="5"/>
      <c r="J255" s="5" t="s">
        <v>59</v>
      </c>
      <c r="K255" s="5" t="s">
        <v>1452</v>
      </c>
      <c r="L255" s="5" t="s">
        <v>553</v>
      </c>
      <c r="M255" s="5" t="s">
        <v>554</v>
      </c>
      <c r="N255" s="5" t="s">
        <v>35</v>
      </c>
      <c r="O255" s="5">
        <v>1</v>
      </c>
      <c r="P255" s="5" t="s">
        <v>42</v>
      </c>
      <c r="Q255" s="5">
        <v>14.99</v>
      </c>
      <c r="R255" s="5"/>
      <c r="S255" s="5"/>
      <c r="T255" s="5"/>
      <c r="U255" s="5"/>
      <c r="V255" s="5"/>
      <c r="W255" s="5"/>
      <c r="X255" s="5"/>
      <c r="Y255" s="5" t="s">
        <v>1470</v>
      </c>
      <c r="Z255" s="5" t="s">
        <v>1306</v>
      </c>
      <c r="AA255" s="5" t="s">
        <v>1471</v>
      </c>
      <c r="AB255" s="5" t="s">
        <v>45</v>
      </c>
      <c r="AC255" s="5"/>
      <c r="AD255" s="5"/>
      <c r="AE255" s="5"/>
      <c r="AG255" s="9">
        <f t="shared" si="3"/>
        <v>43274</v>
      </c>
    </row>
    <row r="256" s="6" customFormat="1" spans="1:33">
      <c r="A256" s="5" t="s">
        <v>1472</v>
      </c>
      <c r="B256" s="5" t="s">
        <v>1472</v>
      </c>
      <c r="C256" s="5" t="s">
        <v>1473</v>
      </c>
      <c r="D256" s="5" t="s">
        <v>1474</v>
      </c>
      <c r="E256" s="5" t="s">
        <v>35</v>
      </c>
      <c r="F256" s="5" t="s">
        <v>36</v>
      </c>
      <c r="G256" s="5" t="s">
        <v>37</v>
      </c>
      <c r="H256" s="5"/>
      <c r="I256" s="5"/>
      <c r="J256" s="5" t="s">
        <v>59</v>
      </c>
      <c r="K256" s="5" t="s">
        <v>50</v>
      </c>
      <c r="L256" s="5" t="s">
        <v>51</v>
      </c>
      <c r="M256" s="5" t="s">
        <v>52</v>
      </c>
      <c r="N256" s="5" t="s">
        <v>35</v>
      </c>
      <c r="O256" s="5">
        <v>2</v>
      </c>
      <c r="P256" s="5" t="s">
        <v>42</v>
      </c>
      <c r="Q256" s="5">
        <v>14</v>
      </c>
      <c r="R256" s="5"/>
      <c r="S256" s="5"/>
      <c r="T256" s="5"/>
      <c r="U256" s="5"/>
      <c r="V256" s="5"/>
      <c r="W256" s="5"/>
      <c r="X256" s="5"/>
      <c r="Y256" s="5" t="s">
        <v>700</v>
      </c>
      <c r="Z256" s="5" t="s">
        <v>54</v>
      </c>
      <c r="AA256" s="5" t="s">
        <v>1475</v>
      </c>
      <c r="AB256" s="5" t="s">
        <v>45</v>
      </c>
      <c r="AC256" s="5"/>
      <c r="AD256" s="5"/>
      <c r="AE256" s="5"/>
      <c r="AG256" s="9">
        <f t="shared" si="3"/>
        <v>43274</v>
      </c>
    </row>
    <row r="257" s="6" customFormat="1" spans="1:33">
      <c r="A257" s="5" t="s">
        <v>1476</v>
      </c>
      <c r="B257" s="5" t="s">
        <v>1476</v>
      </c>
      <c r="C257" s="5" t="s">
        <v>1477</v>
      </c>
      <c r="D257" s="5" t="s">
        <v>1478</v>
      </c>
      <c r="E257" s="5" t="s">
        <v>35</v>
      </c>
      <c r="F257" s="5" t="s">
        <v>36</v>
      </c>
      <c r="G257" s="5" t="s">
        <v>37</v>
      </c>
      <c r="H257" s="5"/>
      <c r="I257" s="5"/>
      <c r="J257" s="5" t="s">
        <v>38</v>
      </c>
      <c r="K257" s="5" t="s">
        <v>50</v>
      </c>
      <c r="L257" s="5" t="s">
        <v>51</v>
      </c>
      <c r="M257" s="5" t="s">
        <v>52</v>
      </c>
      <c r="N257" s="5" t="s">
        <v>35</v>
      </c>
      <c r="O257" s="5">
        <v>1</v>
      </c>
      <c r="P257" s="5" t="s">
        <v>42</v>
      </c>
      <c r="Q257" s="5">
        <v>7</v>
      </c>
      <c r="R257" s="5"/>
      <c r="S257" s="5">
        <v>4.49</v>
      </c>
      <c r="T257" s="5"/>
      <c r="U257" s="5"/>
      <c r="V257" s="5"/>
      <c r="W257" s="5"/>
      <c r="X257" s="5"/>
      <c r="Y257" s="5" t="s">
        <v>1479</v>
      </c>
      <c r="Z257" s="5" t="s">
        <v>609</v>
      </c>
      <c r="AA257" s="5" t="s">
        <v>1480</v>
      </c>
      <c r="AB257" s="5" t="s">
        <v>45</v>
      </c>
      <c r="AC257" s="5"/>
      <c r="AD257" s="5"/>
      <c r="AE257" s="5"/>
      <c r="AG257" s="9">
        <f t="shared" si="3"/>
        <v>43274</v>
      </c>
    </row>
    <row r="258" s="6" customFormat="1" spans="1:33">
      <c r="A258" s="5" t="s">
        <v>1481</v>
      </c>
      <c r="B258" s="5" t="s">
        <v>1481</v>
      </c>
      <c r="C258" s="5" t="s">
        <v>1482</v>
      </c>
      <c r="D258" s="5" t="s">
        <v>1483</v>
      </c>
      <c r="E258" s="5" t="s">
        <v>35</v>
      </c>
      <c r="F258" s="5" t="s">
        <v>36</v>
      </c>
      <c r="G258" s="5" t="s">
        <v>37</v>
      </c>
      <c r="H258" s="5"/>
      <c r="I258" s="5"/>
      <c r="J258" s="5" t="s">
        <v>59</v>
      </c>
      <c r="K258" s="5" t="s">
        <v>50</v>
      </c>
      <c r="L258" s="5" t="s">
        <v>51</v>
      </c>
      <c r="M258" s="5" t="s">
        <v>52</v>
      </c>
      <c r="N258" s="5" t="s">
        <v>35</v>
      </c>
      <c r="O258" s="5">
        <v>1</v>
      </c>
      <c r="P258" s="5" t="s">
        <v>42</v>
      </c>
      <c r="Q258" s="5">
        <v>7</v>
      </c>
      <c r="R258" s="5"/>
      <c r="S258" s="5"/>
      <c r="T258" s="5"/>
      <c r="U258" s="5"/>
      <c r="V258" s="5"/>
      <c r="W258" s="5"/>
      <c r="X258" s="5"/>
      <c r="Y258" s="5" t="s">
        <v>1484</v>
      </c>
      <c r="Z258" s="5" t="s">
        <v>191</v>
      </c>
      <c r="AA258" s="5" t="s">
        <v>1485</v>
      </c>
      <c r="AB258" s="5" t="s">
        <v>45</v>
      </c>
      <c r="AC258" s="5"/>
      <c r="AD258" s="5"/>
      <c r="AE258" s="5"/>
      <c r="AG258" s="9">
        <f t="shared" ref="AG258:AG321" si="4">DATEVALUE(LEFT(C258,10))</f>
        <v>43274</v>
      </c>
    </row>
    <row r="259" s="6" customFormat="1" spans="1:33">
      <c r="A259" s="5" t="s">
        <v>1486</v>
      </c>
      <c r="B259" s="5" t="s">
        <v>1486</v>
      </c>
      <c r="C259" s="5" t="s">
        <v>1487</v>
      </c>
      <c r="D259" s="5" t="s">
        <v>1488</v>
      </c>
      <c r="E259" s="5" t="s">
        <v>35</v>
      </c>
      <c r="F259" s="5" t="s">
        <v>36</v>
      </c>
      <c r="G259" s="5" t="s">
        <v>37</v>
      </c>
      <c r="H259" s="5"/>
      <c r="I259" s="5"/>
      <c r="J259" s="5" t="s">
        <v>59</v>
      </c>
      <c r="K259" s="5" t="s">
        <v>50</v>
      </c>
      <c r="L259" s="5" t="s">
        <v>51</v>
      </c>
      <c r="M259" s="5" t="s">
        <v>52</v>
      </c>
      <c r="N259" s="5" t="s">
        <v>35</v>
      </c>
      <c r="O259" s="5">
        <v>1</v>
      </c>
      <c r="P259" s="5" t="s">
        <v>42</v>
      </c>
      <c r="Q259" s="5">
        <v>7</v>
      </c>
      <c r="R259" s="5"/>
      <c r="S259" s="5"/>
      <c r="T259" s="5"/>
      <c r="U259" s="5"/>
      <c r="V259" s="5"/>
      <c r="W259" s="5"/>
      <c r="X259" s="5"/>
      <c r="Y259" s="5" t="s">
        <v>1489</v>
      </c>
      <c r="Z259" s="5" t="s">
        <v>182</v>
      </c>
      <c r="AA259" s="5" t="s">
        <v>1490</v>
      </c>
      <c r="AB259" s="5" t="s">
        <v>45</v>
      </c>
      <c r="AC259" s="5"/>
      <c r="AD259" s="5"/>
      <c r="AE259" s="5"/>
      <c r="AG259" s="9">
        <f t="shared" si="4"/>
        <v>43274</v>
      </c>
    </row>
    <row r="260" s="6" customFormat="1" spans="1:33">
      <c r="A260" s="5" t="s">
        <v>1491</v>
      </c>
      <c r="B260" s="5" t="s">
        <v>1491</v>
      </c>
      <c r="C260" s="5" t="s">
        <v>1492</v>
      </c>
      <c r="D260" s="5" t="s">
        <v>1493</v>
      </c>
      <c r="E260" s="5" t="s">
        <v>35</v>
      </c>
      <c r="F260" s="5" t="s">
        <v>36</v>
      </c>
      <c r="G260" s="5" t="s">
        <v>37</v>
      </c>
      <c r="H260" s="5"/>
      <c r="I260" s="5"/>
      <c r="J260" s="5" t="s">
        <v>59</v>
      </c>
      <c r="K260" s="5" t="s">
        <v>539</v>
      </c>
      <c r="L260" s="5" t="s">
        <v>540</v>
      </c>
      <c r="M260" s="5" t="s">
        <v>541</v>
      </c>
      <c r="N260" s="5" t="s">
        <v>35</v>
      </c>
      <c r="O260" s="5">
        <v>1</v>
      </c>
      <c r="P260" s="5" t="s">
        <v>42</v>
      </c>
      <c r="Q260" s="5">
        <v>19.99</v>
      </c>
      <c r="R260" s="5"/>
      <c r="S260" s="5"/>
      <c r="T260" s="5"/>
      <c r="U260" s="5"/>
      <c r="V260" s="5"/>
      <c r="W260" s="5"/>
      <c r="X260" s="5"/>
      <c r="Y260" s="5" t="s">
        <v>1494</v>
      </c>
      <c r="Z260" s="5" t="s">
        <v>1495</v>
      </c>
      <c r="AA260" s="5">
        <v>5461</v>
      </c>
      <c r="AB260" s="5" t="s">
        <v>45</v>
      </c>
      <c r="AC260" s="5"/>
      <c r="AD260" s="5"/>
      <c r="AE260" s="5"/>
      <c r="AG260" s="9">
        <f t="shared" si="4"/>
        <v>43274</v>
      </c>
    </row>
    <row r="261" s="6" customFormat="1" spans="1:33">
      <c r="A261" s="5" t="s">
        <v>1496</v>
      </c>
      <c r="B261" s="5" t="s">
        <v>1496</v>
      </c>
      <c r="C261" s="5" t="s">
        <v>1497</v>
      </c>
      <c r="D261" s="5" t="s">
        <v>1498</v>
      </c>
      <c r="E261" s="5" t="s">
        <v>35</v>
      </c>
      <c r="F261" s="5" t="s">
        <v>36</v>
      </c>
      <c r="G261" s="5" t="s">
        <v>37</v>
      </c>
      <c r="H261" s="5"/>
      <c r="I261" s="5"/>
      <c r="J261" s="5" t="s">
        <v>38</v>
      </c>
      <c r="K261" s="5" t="s">
        <v>1499</v>
      </c>
      <c r="L261" s="5" t="s">
        <v>1500</v>
      </c>
      <c r="M261" s="5" t="s">
        <v>1501</v>
      </c>
      <c r="N261" s="5" t="s">
        <v>35</v>
      </c>
      <c r="O261" s="5">
        <v>1</v>
      </c>
      <c r="P261" s="5" t="s">
        <v>42</v>
      </c>
      <c r="Q261" s="5">
        <v>15.99</v>
      </c>
      <c r="R261" s="5"/>
      <c r="S261" s="5">
        <v>6.47</v>
      </c>
      <c r="T261" s="5"/>
      <c r="U261" s="5"/>
      <c r="V261" s="5"/>
      <c r="W261" s="5"/>
      <c r="X261" s="5"/>
      <c r="Y261" s="5" t="s">
        <v>1502</v>
      </c>
      <c r="Z261" s="5" t="s">
        <v>1502</v>
      </c>
      <c r="AA261" s="5" t="s">
        <v>1503</v>
      </c>
      <c r="AB261" s="5" t="s">
        <v>1504</v>
      </c>
      <c r="AC261" s="5"/>
      <c r="AD261" s="5"/>
      <c r="AE261" s="5"/>
      <c r="AG261" s="9">
        <f t="shared" si="4"/>
        <v>43274</v>
      </c>
    </row>
    <row r="262" s="6" customFormat="1" spans="1:33">
      <c r="A262" s="5" t="s">
        <v>1505</v>
      </c>
      <c r="B262" s="5" t="s">
        <v>1505</v>
      </c>
      <c r="C262" s="5" t="s">
        <v>1506</v>
      </c>
      <c r="D262" s="5" t="s">
        <v>1507</v>
      </c>
      <c r="E262" s="5" t="s">
        <v>35</v>
      </c>
      <c r="F262" s="5" t="s">
        <v>36</v>
      </c>
      <c r="G262" s="5" t="s">
        <v>37</v>
      </c>
      <c r="H262" s="5"/>
      <c r="I262" s="5"/>
      <c r="J262" s="5" t="s">
        <v>59</v>
      </c>
      <c r="K262" s="5" t="s">
        <v>50</v>
      </c>
      <c r="L262" s="5" t="s">
        <v>51</v>
      </c>
      <c r="M262" s="5" t="s">
        <v>52</v>
      </c>
      <c r="N262" s="5" t="s">
        <v>35</v>
      </c>
      <c r="O262" s="5">
        <v>1</v>
      </c>
      <c r="P262" s="5" t="s">
        <v>42</v>
      </c>
      <c r="Q262" s="5">
        <v>7</v>
      </c>
      <c r="R262" s="5"/>
      <c r="S262" s="5"/>
      <c r="T262" s="5"/>
      <c r="U262" s="5"/>
      <c r="V262" s="5"/>
      <c r="W262" s="5"/>
      <c r="X262" s="5"/>
      <c r="Y262" s="5" t="s">
        <v>1508</v>
      </c>
      <c r="Z262" s="5" t="s">
        <v>211</v>
      </c>
      <c r="AA262" s="5" t="s">
        <v>1509</v>
      </c>
      <c r="AB262" s="5" t="s">
        <v>45</v>
      </c>
      <c r="AC262" s="5"/>
      <c r="AD262" s="5"/>
      <c r="AE262" s="5"/>
      <c r="AG262" s="9">
        <f t="shared" si="4"/>
        <v>43274</v>
      </c>
    </row>
    <row r="263" s="6" customFormat="1" spans="1:33">
      <c r="A263" s="5" t="s">
        <v>1510</v>
      </c>
      <c r="B263" s="5" t="s">
        <v>1510</v>
      </c>
      <c r="C263" s="5" t="s">
        <v>1511</v>
      </c>
      <c r="D263" s="5" t="s">
        <v>1512</v>
      </c>
      <c r="E263" s="5" t="s">
        <v>35</v>
      </c>
      <c r="F263" s="5" t="s">
        <v>36</v>
      </c>
      <c r="G263" s="5" t="s">
        <v>37</v>
      </c>
      <c r="H263" s="5"/>
      <c r="I263" s="5"/>
      <c r="J263" s="5" t="s">
        <v>59</v>
      </c>
      <c r="K263" s="5" t="s">
        <v>50</v>
      </c>
      <c r="L263" s="5" t="s">
        <v>51</v>
      </c>
      <c r="M263" s="5" t="s">
        <v>52</v>
      </c>
      <c r="N263" s="5" t="s">
        <v>35</v>
      </c>
      <c r="O263" s="5">
        <v>1</v>
      </c>
      <c r="P263" s="5" t="s">
        <v>42</v>
      </c>
      <c r="Q263" s="5">
        <v>7</v>
      </c>
      <c r="R263" s="5"/>
      <c r="S263" s="5"/>
      <c r="T263" s="5"/>
      <c r="U263" s="5"/>
      <c r="V263" s="5"/>
      <c r="W263" s="5"/>
      <c r="X263" s="5"/>
      <c r="Y263" s="5" t="s">
        <v>1513</v>
      </c>
      <c r="Z263" s="5" t="s">
        <v>153</v>
      </c>
      <c r="AA263" s="5" t="s">
        <v>1514</v>
      </c>
      <c r="AB263" s="5" t="s">
        <v>45</v>
      </c>
      <c r="AC263" s="5"/>
      <c r="AD263" s="5"/>
      <c r="AE263" s="5"/>
      <c r="AG263" s="9">
        <f t="shared" si="4"/>
        <v>43274</v>
      </c>
    </row>
    <row r="264" s="6" customFormat="1" spans="1:33">
      <c r="A264" s="5" t="s">
        <v>1515</v>
      </c>
      <c r="B264" s="5" t="s">
        <v>1515</v>
      </c>
      <c r="C264" s="5" t="s">
        <v>1516</v>
      </c>
      <c r="D264" s="5" t="s">
        <v>1517</v>
      </c>
      <c r="E264" s="5" t="s">
        <v>35</v>
      </c>
      <c r="F264" s="5" t="s">
        <v>36</v>
      </c>
      <c r="G264" s="5" t="s">
        <v>37</v>
      </c>
      <c r="H264" s="5"/>
      <c r="I264" s="5"/>
      <c r="J264" s="5" t="s">
        <v>59</v>
      </c>
      <c r="K264" s="5" t="s">
        <v>50</v>
      </c>
      <c r="L264" s="5" t="s">
        <v>51</v>
      </c>
      <c r="M264" s="5" t="s">
        <v>52</v>
      </c>
      <c r="N264" s="5" t="s">
        <v>35</v>
      </c>
      <c r="O264" s="5">
        <v>1</v>
      </c>
      <c r="P264" s="5" t="s">
        <v>42</v>
      </c>
      <c r="Q264" s="5">
        <v>7</v>
      </c>
      <c r="R264" s="5"/>
      <c r="S264" s="5"/>
      <c r="T264" s="5"/>
      <c r="U264" s="5"/>
      <c r="V264" s="5"/>
      <c r="W264" s="5"/>
      <c r="X264" s="5"/>
      <c r="Y264" s="5" t="s">
        <v>1518</v>
      </c>
      <c r="Z264" s="5" t="s">
        <v>162</v>
      </c>
      <c r="AA264" s="5" t="s">
        <v>1519</v>
      </c>
      <c r="AB264" s="5" t="s">
        <v>45</v>
      </c>
      <c r="AC264" s="5"/>
      <c r="AD264" s="5"/>
      <c r="AE264" s="5"/>
      <c r="AG264" s="9">
        <f t="shared" si="4"/>
        <v>43274</v>
      </c>
    </row>
    <row r="265" s="6" customFormat="1" spans="1:33">
      <c r="A265" s="5" t="s">
        <v>1520</v>
      </c>
      <c r="B265" s="5" t="s">
        <v>1520</v>
      </c>
      <c r="C265" s="5" t="s">
        <v>1521</v>
      </c>
      <c r="D265" s="5" t="s">
        <v>1522</v>
      </c>
      <c r="E265" s="5" t="s">
        <v>35</v>
      </c>
      <c r="F265" s="5" t="s">
        <v>36</v>
      </c>
      <c r="G265" s="5" t="s">
        <v>37</v>
      </c>
      <c r="H265" s="5"/>
      <c r="I265" s="5"/>
      <c r="J265" s="5" t="s">
        <v>59</v>
      </c>
      <c r="K265" s="5" t="s">
        <v>1269</v>
      </c>
      <c r="L265" s="5" t="s">
        <v>1270</v>
      </c>
      <c r="M265" s="5" t="s">
        <v>1271</v>
      </c>
      <c r="N265" s="5" t="s">
        <v>35</v>
      </c>
      <c r="O265" s="5">
        <v>1</v>
      </c>
      <c r="P265" s="5" t="s">
        <v>42</v>
      </c>
      <c r="Q265" s="5">
        <v>15.99</v>
      </c>
      <c r="R265" s="5"/>
      <c r="S265" s="5"/>
      <c r="T265" s="5"/>
      <c r="U265" s="5"/>
      <c r="V265" s="5"/>
      <c r="W265" s="5"/>
      <c r="X265" s="5"/>
      <c r="Y265" s="5" t="s">
        <v>1226</v>
      </c>
      <c r="Z265" s="5" t="s">
        <v>861</v>
      </c>
      <c r="AA265" s="5" t="s">
        <v>1523</v>
      </c>
      <c r="AB265" s="5" t="s">
        <v>45</v>
      </c>
      <c r="AC265" s="5"/>
      <c r="AD265" s="5"/>
      <c r="AE265" s="5"/>
      <c r="AG265" s="9">
        <f t="shared" si="4"/>
        <v>43274</v>
      </c>
    </row>
    <row r="266" s="6" customFormat="1" spans="1:33">
      <c r="A266" s="5" t="s">
        <v>1524</v>
      </c>
      <c r="B266" s="5" t="s">
        <v>1524</v>
      </c>
      <c r="C266" s="5" t="s">
        <v>1525</v>
      </c>
      <c r="D266" s="5" t="s">
        <v>1526</v>
      </c>
      <c r="E266" s="5" t="s">
        <v>35</v>
      </c>
      <c r="F266" s="5" t="s">
        <v>36</v>
      </c>
      <c r="G266" s="5" t="s">
        <v>37</v>
      </c>
      <c r="H266" s="5"/>
      <c r="I266" s="5"/>
      <c r="J266" s="5" t="s">
        <v>59</v>
      </c>
      <c r="K266" s="5" t="s">
        <v>1499</v>
      </c>
      <c r="L266" s="5" t="s">
        <v>1500</v>
      </c>
      <c r="M266" s="5" t="s">
        <v>1501</v>
      </c>
      <c r="N266" s="5" t="s">
        <v>35</v>
      </c>
      <c r="O266" s="5">
        <v>1</v>
      </c>
      <c r="P266" s="5" t="s">
        <v>42</v>
      </c>
      <c r="Q266" s="5">
        <v>15.99</v>
      </c>
      <c r="R266" s="5"/>
      <c r="S266" s="5"/>
      <c r="T266" s="5"/>
      <c r="U266" s="5"/>
      <c r="V266" s="5"/>
      <c r="W266" s="5"/>
      <c r="X266" s="5"/>
      <c r="Y266" s="5" t="s">
        <v>1527</v>
      </c>
      <c r="Z266" s="5" t="s">
        <v>81</v>
      </c>
      <c r="AA266" s="5">
        <v>21801</v>
      </c>
      <c r="AB266" s="5" t="s">
        <v>45</v>
      </c>
      <c r="AC266" s="5"/>
      <c r="AD266" s="5"/>
      <c r="AE266" s="5"/>
      <c r="AG266" s="9">
        <f t="shared" si="4"/>
        <v>43274</v>
      </c>
    </row>
    <row r="267" s="6" customFormat="1" spans="1:33">
      <c r="A267" s="5" t="s">
        <v>1528</v>
      </c>
      <c r="B267" s="5" t="s">
        <v>1528</v>
      </c>
      <c r="C267" s="5" t="s">
        <v>1529</v>
      </c>
      <c r="D267" s="5" t="s">
        <v>1530</v>
      </c>
      <c r="E267" s="5" t="s">
        <v>35</v>
      </c>
      <c r="F267" s="5" t="s">
        <v>36</v>
      </c>
      <c r="G267" s="5" t="s">
        <v>37</v>
      </c>
      <c r="H267" s="5"/>
      <c r="I267" s="5"/>
      <c r="J267" s="5" t="s">
        <v>59</v>
      </c>
      <c r="K267" s="5" t="s">
        <v>1452</v>
      </c>
      <c r="L267" s="5" t="s">
        <v>553</v>
      </c>
      <c r="M267" s="5" t="s">
        <v>554</v>
      </c>
      <c r="N267" s="5" t="s">
        <v>35</v>
      </c>
      <c r="O267" s="5">
        <v>1</v>
      </c>
      <c r="P267" s="5" t="s">
        <v>42</v>
      </c>
      <c r="Q267" s="5">
        <v>14.99</v>
      </c>
      <c r="R267" s="5"/>
      <c r="S267" s="5"/>
      <c r="T267" s="5"/>
      <c r="U267" s="5"/>
      <c r="V267" s="5"/>
      <c r="W267" s="5"/>
      <c r="X267" s="5"/>
      <c r="Y267" s="5" t="s">
        <v>1531</v>
      </c>
      <c r="Z267" s="5" t="s">
        <v>153</v>
      </c>
      <c r="AA267" s="5" t="s">
        <v>1532</v>
      </c>
      <c r="AB267" s="5" t="s">
        <v>45</v>
      </c>
      <c r="AC267" s="5"/>
      <c r="AD267" s="5"/>
      <c r="AE267" s="5"/>
      <c r="AG267" s="9">
        <f t="shared" si="4"/>
        <v>43274</v>
      </c>
    </row>
    <row r="268" s="6" customFormat="1" spans="1:33">
      <c r="A268" s="5" t="s">
        <v>1533</v>
      </c>
      <c r="B268" s="5" t="s">
        <v>1533</v>
      </c>
      <c r="C268" s="5" t="s">
        <v>1534</v>
      </c>
      <c r="D268" s="5" t="s">
        <v>1535</v>
      </c>
      <c r="E268" s="5" t="s">
        <v>35</v>
      </c>
      <c r="F268" s="5" t="s">
        <v>36</v>
      </c>
      <c r="G268" s="5" t="s">
        <v>37</v>
      </c>
      <c r="H268" s="5"/>
      <c r="I268" s="5"/>
      <c r="J268" s="5" t="s">
        <v>38</v>
      </c>
      <c r="K268" s="5" t="s">
        <v>697</v>
      </c>
      <c r="L268" s="5" t="s">
        <v>698</v>
      </c>
      <c r="M268" s="5" t="s">
        <v>699</v>
      </c>
      <c r="N268" s="5" t="s">
        <v>35</v>
      </c>
      <c r="O268" s="5">
        <v>1</v>
      </c>
      <c r="P268" s="5" t="s">
        <v>42</v>
      </c>
      <c r="Q268" s="5">
        <v>9.99</v>
      </c>
      <c r="R268" s="5"/>
      <c r="S268" s="5"/>
      <c r="T268" s="5"/>
      <c r="U268" s="5"/>
      <c r="V268" s="5"/>
      <c r="W268" s="5"/>
      <c r="X268" s="5"/>
      <c r="Y268" s="5" t="s">
        <v>1536</v>
      </c>
      <c r="Z268" s="5" t="s">
        <v>359</v>
      </c>
      <c r="AA268" s="5" t="s">
        <v>1537</v>
      </c>
      <c r="AB268" s="5" t="s">
        <v>45</v>
      </c>
      <c r="AC268" s="5"/>
      <c r="AD268" s="5"/>
      <c r="AE268" s="5"/>
      <c r="AF268"/>
      <c r="AG268" s="9">
        <f t="shared" si="4"/>
        <v>43275</v>
      </c>
    </row>
    <row r="269" s="6" customFormat="1" spans="1:33">
      <c r="A269" s="5" t="s">
        <v>1538</v>
      </c>
      <c r="B269" s="5" t="s">
        <v>1538</v>
      </c>
      <c r="C269" s="5" t="s">
        <v>1539</v>
      </c>
      <c r="D269" s="5" t="s">
        <v>1540</v>
      </c>
      <c r="E269" s="5" t="s">
        <v>35</v>
      </c>
      <c r="F269" s="5" t="s">
        <v>36</v>
      </c>
      <c r="G269" s="5" t="s">
        <v>37</v>
      </c>
      <c r="H269" s="5"/>
      <c r="I269" s="5"/>
      <c r="J269" s="5" t="s">
        <v>59</v>
      </c>
      <c r="K269" s="5" t="s">
        <v>50</v>
      </c>
      <c r="L269" s="5" t="s">
        <v>51</v>
      </c>
      <c r="M269" s="5" t="s">
        <v>52</v>
      </c>
      <c r="N269" s="5" t="s">
        <v>35</v>
      </c>
      <c r="O269" s="5">
        <v>6</v>
      </c>
      <c r="P269" s="5" t="s">
        <v>42</v>
      </c>
      <c r="Q269" s="5">
        <v>42</v>
      </c>
      <c r="R269" s="5"/>
      <c r="S269" s="5"/>
      <c r="T269" s="5"/>
      <c r="U269" s="5"/>
      <c r="V269" s="5"/>
      <c r="W269" s="5"/>
      <c r="X269" s="5"/>
      <c r="Y269" s="5" t="s">
        <v>1541</v>
      </c>
      <c r="Z269" s="5" t="s">
        <v>54</v>
      </c>
      <c r="AA269" s="5" t="s">
        <v>1542</v>
      </c>
      <c r="AB269" s="5" t="s">
        <v>45</v>
      </c>
      <c r="AC269" s="5"/>
      <c r="AD269" s="5"/>
      <c r="AE269" s="5"/>
      <c r="AF269"/>
      <c r="AG269" s="9">
        <f t="shared" si="4"/>
        <v>43275</v>
      </c>
    </row>
    <row r="270" s="6" customFormat="1" spans="1:33">
      <c r="A270" s="5" t="s">
        <v>1543</v>
      </c>
      <c r="B270" s="5" t="s">
        <v>1543</v>
      </c>
      <c r="C270" s="5" t="s">
        <v>1544</v>
      </c>
      <c r="D270" s="5" t="s">
        <v>1545</v>
      </c>
      <c r="E270" s="5" t="s">
        <v>35</v>
      </c>
      <c r="F270" s="5" t="s">
        <v>36</v>
      </c>
      <c r="G270" s="5" t="s">
        <v>37</v>
      </c>
      <c r="H270" s="5"/>
      <c r="I270" s="5"/>
      <c r="J270" s="5" t="s">
        <v>59</v>
      </c>
      <c r="K270" s="5" t="s">
        <v>1334</v>
      </c>
      <c r="L270" s="5" t="s">
        <v>573</v>
      </c>
      <c r="M270" s="5" t="s">
        <v>574</v>
      </c>
      <c r="N270" s="5" t="s">
        <v>35</v>
      </c>
      <c r="O270" s="5">
        <v>1</v>
      </c>
      <c r="P270" s="5" t="s">
        <v>42</v>
      </c>
      <c r="Q270" s="5">
        <v>14.99</v>
      </c>
      <c r="R270" s="5"/>
      <c r="S270" s="5"/>
      <c r="T270" s="5"/>
      <c r="U270" s="5"/>
      <c r="V270" s="5"/>
      <c r="W270" s="5">
        <v>0.75</v>
      </c>
      <c r="X270" s="5"/>
      <c r="Y270" s="5" t="s">
        <v>1546</v>
      </c>
      <c r="Z270" s="5" t="s">
        <v>1547</v>
      </c>
      <c r="AA270" s="5" t="s">
        <v>1548</v>
      </c>
      <c r="AB270" s="5" t="s">
        <v>45</v>
      </c>
      <c r="AC270" s="5" t="s">
        <v>558</v>
      </c>
      <c r="AD270" s="5"/>
      <c r="AE270" s="5"/>
      <c r="AF270"/>
      <c r="AG270" s="9">
        <f t="shared" si="4"/>
        <v>43275</v>
      </c>
    </row>
    <row r="271" s="6" customFormat="1" spans="1:33">
      <c r="A271" s="5" t="s">
        <v>1543</v>
      </c>
      <c r="B271" s="5" t="s">
        <v>1543</v>
      </c>
      <c r="C271" s="5" t="s">
        <v>1544</v>
      </c>
      <c r="D271" s="5" t="s">
        <v>1545</v>
      </c>
      <c r="E271" s="5" t="s">
        <v>35</v>
      </c>
      <c r="F271" s="5" t="s">
        <v>36</v>
      </c>
      <c r="G271" s="5" t="s">
        <v>37</v>
      </c>
      <c r="H271" s="5"/>
      <c r="I271" s="5"/>
      <c r="J271" s="5" t="s">
        <v>59</v>
      </c>
      <c r="K271" s="5" t="s">
        <v>1452</v>
      </c>
      <c r="L271" s="5" t="s">
        <v>553</v>
      </c>
      <c r="M271" s="5" t="s">
        <v>554</v>
      </c>
      <c r="N271" s="5" t="s">
        <v>35</v>
      </c>
      <c r="O271" s="5">
        <v>1</v>
      </c>
      <c r="P271" s="5" t="s">
        <v>42</v>
      </c>
      <c r="Q271" s="5">
        <v>14.99</v>
      </c>
      <c r="R271" s="5"/>
      <c r="S271" s="5"/>
      <c r="T271" s="5"/>
      <c r="U271" s="5"/>
      <c r="V271" s="5"/>
      <c r="W271" s="5">
        <v>0.75</v>
      </c>
      <c r="X271" s="5"/>
      <c r="Y271" s="5" t="s">
        <v>1546</v>
      </c>
      <c r="Z271" s="5" t="s">
        <v>1547</v>
      </c>
      <c r="AA271" s="5" t="s">
        <v>1548</v>
      </c>
      <c r="AB271" s="5" t="s">
        <v>45</v>
      </c>
      <c r="AC271" s="5" t="s">
        <v>558</v>
      </c>
      <c r="AD271" s="5"/>
      <c r="AE271" s="5"/>
      <c r="AF271"/>
      <c r="AG271" s="9">
        <f t="shared" si="4"/>
        <v>43275</v>
      </c>
    </row>
    <row r="272" s="6" customFormat="1" spans="1:33">
      <c r="A272" s="5" t="s">
        <v>1549</v>
      </c>
      <c r="B272" s="5" t="s">
        <v>1549</v>
      </c>
      <c r="C272" s="5" t="s">
        <v>1550</v>
      </c>
      <c r="D272" s="5" t="s">
        <v>1551</v>
      </c>
      <c r="E272" s="5" t="s">
        <v>35</v>
      </c>
      <c r="F272" s="5" t="s">
        <v>36</v>
      </c>
      <c r="G272" s="5" t="s">
        <v>37</v>
      </c>
      <c r="H272" s="5"/>
      <c r="I272" s="5"/>
      <c r="J272" s="5" t="s">
        <v>59</v>
      </c>
      <c r="K272" s="5" t="s">
        <v>114</v>
      </c>
      <c r="L272" s="5" t="s">
        <v>115</v>
      </c>
      <c r="M272" s="5" t="s">
        <v>116</v>
      </c>
      <c r="N272" s="5" t="s">
        <v>35</v>
      </c>
      <c r="O272" s="5">
        <v>1</v>
      </c>
      <c r="P272" s="5" t="s">
        <v>42</v>
      </c>
      <c r="Q272" s="5">
        <v>13.99</v>
      </c>
      <c r="R272" s="5"/>
      <c r="S272" s="5"/>
      <c r="T272" s="5"/>
      <c r="U272" s="5"/>
      <c r="V272" s="5"/>
      <c r="W272" s="5"/>
      <c r="X272" s="5"/>
      <c r="Y272" s="5" t="s">
        <v>1552</v>
      </c>
      <c r="Z272" s="5" t="s">
        <v>432</v>
      </c>
      <c r="AA272" s="5">
        <v>32909</v>
      </c>
      <c r="AB272" s="5" t="s">
        <v>45</v>
      </c>
      <c r="AC272" s="5"/>
      <c r="AD272" s="5"/>
      <c r="AE272" s="5"/>
      <c r="AF272"/>
      <c r="AG272" s="9">
        <f t="shared" si="4"/>
        <v>43275</v>
      </c>
    </row>
    <row r="273" s="6" customFormat="1" spans="1:33">
      <c r="A273" s="5" t="s">
        <v>1553</v>
      </c>
      <c r="B273" s="5" t="s">
        <v>1553</v>
      </c>
      <c r="C273" s="5" t="s">
        <v>1554</v>
      </c>
      <c r="D273" s="5" t="s">
        <v>1555</v>
      </c>
      <c r="E273" s="5" t="s">
        <v>35</v>
      </c>
      <c r="F273" s="5" t="s">
        <v>36</v>
      </c>
      <c r="G273" s="5" t="s">
        <v>37</v>
      </c>
      <c r="H273" s="5"/>
      <c r="I273" s="5"/>
      <c r="J273" s="5" t="s">
        <v>59</v>
      </c>
      <c r="K273" s="5" t="s">
        <v>50</v>
      </c>
      <c r="L273" s="5" t="s">
        <v>51</v>
      </c>
      <c r="M273" s="5" t="s">
        <v>52</v>
      </c>
      <c r="N273" s="5" t="s">
        <v>35</v>
      </c>
      <c r="O273" s="5">
        <v>1</v>
      </c>
      <c r="P273" s="5" t="s">
        <v>42</v>
      </c>
      <c r="Q273" s="5">
        <v>7</v>
      </c>
      <c r="R273" s="5"/>
      <c r="S273" s="5"/>
      <c r="T273" s="5"/>
      <c r="U273" s="5"/>
      <c r="V273" s="5"/>
      <c r="W273" s="5"/>
      <c r="X273" s="5"/>
      <c r="Y273" s="5" t="s">
        <v>1556</v>
      </c>
      <c r="Z273" s="5" t="s">
        <v>153</v>
      </c>
      <c r="AA273" s="5" t="s">
        <v>1557</v>
      </c>
      <c r="AB273" s="5" t="s">
        <v>45</v>
      </c>
      <c r="AC273" s="5"/>
      <c r="AD273" s="5"/>
      <c r="AE273" s="5"/>
      <c r="AF273"/>
      <c r="AG273" s="9">
        <f t="shared" si="4"/>
        <v>43275</v>
      </c>
    </row>
    <row r="274" s="6" customFormat="1" spans="1:33">
      <c r="A274" s="5" t="s">
        <v>1558</v>
      </c>
      <c r="B274" s="5" t="s">
        <v>1558</v>
      </c>
      <c r="C274" s="5" t="s">
        <v>1559</v>
      </c>
      <c r="D274" s="5" t="s">
        <v>1560</v>
      </c>
      <c r="E274" s="5" t="s">
        <v>35</v>
      </c>
      <c r="F274" s="5" t="s">
        <v>36</v>
      </c>
      <c r="G274" s="5" t="s">
        <v>37</v>
      </c>
      <c r="H274" s="5"/>
      <c r="I274" s="5"/>
      <c r="J274" s="5" t="s">
        <v>59</v>
      </c>
      <c r="K274" s="5" t="s">
        <v>1561</v>
      </c>
      <c r="L274" s="5" t="s">
        <v>1562</v>
      </c>
      <c r="M274" s="5" t="s">
        <v>1563</v>
      </c>
      <c r="N274" s="5" t="s">
        <v>35</v>
      </c>
      <c r="O274" s="5">
        <v>1</v>
      </c>
      <c r="P274" s="5" t="s">
        <v>42</v>
      </c>
      <c r="Q274" s="5">
        <v>16.99</v>
      </c>
      <c r="R274" s="5"/>
      <c r="S274" s="5"/>
      <c r="T274" s="5"/>
      <c r="U274" s="5"/>
      <c r="V274" s="5"/>
      <c r="W274" s="5"/>
      <c r="X274" s="5"/>
      <c r="Y274" s="5" t="s">
        <v>1564</v>
      </c>
      <c r="Z274" s="5" t="s">
        <v>418</v>
      </c>
      <c r="AA274" s="5">
        <v>14213</v>
      </c>
      <c r="AB274" s="5" t="s">
        <v>45</v>
      </c>
      <c r="AC274" s="5"/>
      <c r="AD274" s="5"/>
      <c r="AE274" s="5"/>
      <c r="AF274"/>
      <c r="AG274" s="9">
        <f t="shared" si="4"/>
        <v>43275</v>
      </c>
    </row>
    <row r="275" s="6" customFormat="1" spans="1:33">
      <c r="A275" s="5" t="s">
        <v>1565</v>
      </c>
      <c r="B275" s="5" t="s">
        <v>1565</v>
      </c>
      <c r="C275" s="5" t="s">
        <v>1566</v>
      </c>
      <c r="D275" s="5" t="s">
        <v>1567</v>
      </c>
      <c r="E275" s="5" t="s">
        <v>35</v>
      </c>
      <c r="F275" s="5" t="s">
        <v>36</v>
      </c>
      <c r="G275" s="5" t="s">
        <v>37</v>
      </c>
      <c r="H275" s="5"/>
      <c r="I275" s="5"/>
      <c r="J275" s="5" t="s">
        <v>59</v>
      </c>
      <c r="K275" s="5" t="s">
        <v>50</v>
      </c>
      <c r="L275" s="5" t="s">
        <v>51</v>
      </c>
      <c r="M275" s="5" t="s">
        <v>52</v>
      </c>
      <c r="N275" s="5" t="s">
        <v>35</v>
      </c>
      <c r="O275" s="5">
        <v>1</v>
      </c>
      <c r="P275" s="5" t="s">
        <v>42</v>
      </c>
      <c r="Q275" s="5">
        <v>7</v>
      </c>
      <c r="R275" s="5"/>
      <c r="S275" s="5"/>
      <c r="T275" s="5"/>
      <c r="U275" s="5"/>
      <c r="V275" s="5"/>
      <c r="W275" s="5"/>
      <c r="X275" s="5"/>
      <c r="Y275" s="5" t="s">
        <v>1568</v>
      </c>
      <c r="Z275" s="5" t="s">
        <v>182</v>
      </c>
      <c r="AA275" s="5">
        <v>63366</v>
      </c>
      <c r="AB275" s="5" t="s">
        <v>45</v>
      </c>
      <c r="AC275" s="5"/>
      <c r="AD275" s="5"/>
      <c r="AE275" s="5"/>
      <c r="AF275"/>
      <c r="AG275" s="9">
        <f t="shared" si="4"/>
        <v>43275</v>
      </c>
    </row>
    <row r="276" s="6" customFormat="1" spans="1:33">
      <c r="A276" s="5" t="s">
        <v>1569</v>
      </c>
      <c r="B276" s="5" t="s">
        <v>1569</v>
      </c>
      <c r="C276" s="5" t="s">
        <v>1570</v>
      </c>
      <c r="D276" s="5" t="s">
        <v>1571</v>
      </c>
      <c r="E276" s="5" t="s">
        <v>35</v>
      </c>
      <c r="F276" s="5" t="s">
        <v>36</v>
      </c>
      <c r="G276" s="5" t="s">
        <v>37</v>
      </c>
      <c r="H276" s="5"/>
      <c r="I276" s="5"/>
      <c r="J276" s="5" t="s">
        <v>59</v>
      </c>
      <c r="K276" s="5" t="s">
        <v>50</v>
      </c>
      <c r="L276" s="5" t="s">
        <v>51</v>
      </c>
      <c r="M276" s="5" t="s">
        <v>52</v>
      </c>
      <c r="N276" s="5" t="s">
        <v>35</v>
      </c>
      <c r="O276" s="5">
        <v>1</v>
      </c>
      <c r="P276" s="5" t="s">
        <v>42</v>
      </c>
      <c r="Q276" s="5">
        <v>7</v>
      </c>
      <c r="R276" s="5"/>
      <c r="S276" s="5"/>
      <c r="T276" s="5"/>
      <c r="U276" s="5"/>
      <c r="V276" s="5"/>
      <c r="W276" s="5"/>
      <c r="X276" s="5"/>
      <c r="Y276" s="5" t="s">
        <v>1572</v>
      </c>
      <c r="Z276" s="5" t="s">
        <v>211</v>
      </c>
      <c r="AA276" s="5" t="s">
        <v>1573</v>
      </c>
      <c r="AB276" s="5" t="s">
        <v>45</v>
      </c>
      <c r="AC276" s="5"/>
      <c r="AD276" s="5"/>
      <c r="AE276" s="5"/>
      <c r="AF276"/>
      <c r="AG276" s="9">
        <f t="shared" si="4"/>
        <v>43275</v>
      </c>
    </row>
    <row r="277" s="6" customFormat="1" spans="1:33">
      <c r="A277" s="5" t="s">
        <v>1574</v>
      </c>
      <c r="B277" s="5" t="s">
        <v>1574</v>
      </c>
      <c r="C277" s="5" t="s">
        <v>1575</v>
      </c>
      <c r="D277" s="5" t="s">
        <v>1576</v>
      </c>
      <c r="E277" s="5" t="s">
        <v>35</v>
      </c>
      <c r="F277" s="5" t="s">
        <v>36</v>
      </c>
      <c r="G277" s="5" t="s">
        <v>37</v>
      </c>
      <c r="H277" s="5"/>
      <c r="I277" s="5"/>
      <c r="J277" s="5" t="s">
        <v>59</v>
      </c>
      <c r="K277" s="5" t="s">
        <v>50</v>
      </c>
      <c r="L277" s="5" t="s">
        <v>51</v>
      </c>
      <c r="M277" s="5" t="s">
        <v>52</v>
      </c>
      <c r="N277" s="5" t="s">
        <v>35</v>
      </c>
      <c r="O277" s="5">
        <v>1</v>
      </c>
      <c r="P277" s="5" t="s">
        <v>42</v>
      </c>
      <c r="Q277" s="5">
        <v>7</v>
      </c>
      <c r="R277" s="5"/>
      <c r="S277" s="5"/>
      <c r="T277" s="5"/>
      <c r="U277" s="5"/>
      <c r="V277" s="5"/>
      <c r="W277" s="5"/>
      <c r="X277" s="5"/>
      <c r="Y277" s="5" t="s">
        <v>1577</v>
      </c>
      <c r="Z277" s="5" t="s">
        <v>269</v>
      </c>
      <c r="AA277" s="5" t="s">
        <v>1578</v>
      </c>
      <c r="AB277" s="5" t="s">
        <v>45</v>
      </c>
      <c r="AC277" s="5"/>
      <c r="AD277" s="5"/>
      <c r="AE277" s="5"/>
      <c r="AF277"/>
      <c r="AG277" s="9">
        <f t="shared" si="4"/>
        <v>43275</v>
      </c>
    </row>
    <row r="278" s="6" customFormat="1" spans="1:33">
      <c r="A278" s="5" t="s">
        <v>1579</v>
      </c>
      <c r="B278" s="5" t="s">
        <v>1579</v>
      </c>
      <c r="C278" s="5" t="s">
        <v>1580</v>
      </c>
      <c r="D278" s="5" t="s">
        <v>1581</v>
      </c>
      <c r="E278" s="5" t="s">
        <v>35</v>
      </c>
      <c r="F278" s="5" t="s">
        <v>36</v>
      </c>
      <c r="G278" s="5" t="s">
        <v>37</v>
      </c>
      <c r="H278" s="5"/>
      <c r="I278" s="5"/>
      <c r="J278" s="5" t="s">
        <v>59</v>
      </c>
      <c r="K278" s="5" t="s">
        <v>50</v>
      </c>
      <c r="L278" s="5" t="s">
        <v>51</v>
      </c>
      <c r="M278" s="5" t="s">
        <v>52</v>
      </c>
      <c r="N278" s="5" t="s">
        <v>35</v>
      </c>
      <c r="O278" s="5">
        <v>1</v>
      </c>
      <c r="P278" s="5" t="s">
        <v>42</v>
      </c>
      <c r="Q278" s="5">
        <v>7</v>
      </c>
      <c r="R278" s="5"/>
      <c r="S278" s="5"/>
      <c r="T278" s="5"/>
      <c r="U278" s="5"/>
      <c r="V278" s="5"/>
      <c r="W278" s="5"/>
      <c r="X278" s="5"/>
      <c r="Y278" s="5" t="s">
        <v>1582</v>
      </c>
      <c r="Z278" s="5" t="s">
        <v>1583</v>
      </c>
      <c r="AA278" s="5" t="s">
        <v>1584</v>
      </c>
      <c r="AB278" s="5" t="s">
        <v>45</v>
      </c>
      <c r="AC278" s="5"/>
      <c r="AD278" s="5"/>
      <c r="AE278" s="5"/>
      <c r="AF278"/>
      <c r="AG278" s="9">
        <f t="shared" si="4"/>
        <v>43275</v>
      </c>
    </row>
    <row r="279" s="6" customFormat="1" spans="1:33">
      <c r="A279" s="5" t="s">
        <v>1585</v>
      </c>
      <c r="B279" s="5" t="s">
        <v>1585</v>
      </c>
      <c r="C279" s="5" t="s">
        <v>1586</v>
      </c>
      <c r="D279" s="5" t="s">
        <v>1587</v>
      </c>
      <c r="E279" s="5" t="s">
        <v>35</v>
      </c>
      <c r="F279" s="5" t="s">
        <v>36</v>
      </c>
      <c r="G279" s="5" t="s">
        <v>37</v>
      </c>
      <c r="H279" s="5"/>
      <c r="I279" s="5"/>
      <c r="J279" s="5" t="s">
        <v>59</v>
      </c>
      <c r="K279" s="5" t="s">
        <v>539</v>
      </c>
      <c r="L279" s="5" t="s">
        <v>540</v>
      </c>
      <c r="M279" s="5" t="s">
        <v>541</v>
      </c>
      <c r="N279" s="5" t="s">
        <v>35</v>
      </c>
      <c r="O279" s="5">
        <v>1</v>
      </c>
      <c r="P279" s="5" t="s">
        <v>42</v>
      </c>
      <c r="Q279" s="5">
        <v>19.99</v>
      </c>
      <c r="R279" s="5"/>
      <c r="S279" s="5"/>
      <c r="T279" s="5"/>
      <c r="U279" s="5"/>
      <c r="V279" s="5"/>
      <c r="W279" s="5"/>
      <c r="X279" s="5"/>
      <c r="Y279" s="5" t="s">
        <v>1588</v>
      </c>
      <c r="Z279" s="5" t="s">
        <v>556</v>
      </c>
      <c r="AA279" s="5" t="s">
        <v>1589</v>
      </c>
      <c r="AB279" s="5" t="s">
        <v>45</v>
      </c>
      <c r="AC279" s="5"/>
      <c r="AD279" s="5"/>
      <c r="AE279" s="5"/>
      <c r="AF279"/>
      <c r="AG279" s="9">
        <f t="shared" si="4"/>
        <v>43275</v>
      </c>
    </row>
    <row r="280" s="6" customFormat="1" spans="1:33">
      <c r="A280" s="5" t="s">
        <v>1590</v>
      </c>
      <c r="B280" s="5" t="s">
        <v>1590</v>
      </c>
      <c r="C280" s="5" t="s">
        <v>1591</v>
      </c>
      <c r="D280" s="5" t="s">
        <v>1592</v>
      </c>
      <c r="E280" s="5" t="s">
        <v>35</v>
      </c>
      <c r="F280" s="5" t="s">
        <v>36</v>
      </c>
      <c r="G280" s="5" t="s">
        <v>37</v>
      </c>
      <c r="H280" s="5"/>
      <c r="I280" s="5"/>
      <c r="J280" s="5" t="s">
        <v>59</v>
      </c>
      <c r="K280" s="5" t="s">
        <v>94</v>
      </c>
      <c r="L280" s="5" t="s">
        <v>95</v>
      </c>
      <c r="M280" s="5" t="s">
        <v>96</v>
      </c>
      <c r="N280" s="5" t="s">
        <v>35</v>
      </c>
      <c r="O280" s="5">
        <v>1</v>
      </c>
      <c r="P280" s="5" t="s">
        <v>42</v>
      </c>
      <c r="Q280" s="5">
        <v>14.99</v>
      </c>
      <c r="R280" s="5"/>
      <c r="S280" s="5"/>
      <c r="T280" s="5"/>
      <c r="U280" s="5"/>
      <c r="V280" s="5"/>
      <c r="W280" s="5"/>
      <c r="X280" s="5"/>
      <c r="Y280" s="5" t="s">
        <v>1593</v>
      </c>
      <c r="Z280" s="5" t="s">
        <v>556</v>
      </c>
      <c r="AA280" s="5" t="s">
        <v>1594</v>
      </c>
      <c r="AB280" s="5" t="s">
        <v>45</v>
      </c>
      <c r="AC280" s="5"/>
      <c r="AD280" s="5"/>
      <c r="AE280" s="5"/>
      <c r="AF280"/>
      <c r="AG280" s="9">
        <f t="shared" si="4"/>
        <v>43275</v>
      </c>
    </row>
    <row r="281" s="6" customFormat="1" spans="1:33">
      <c r="A281" s="5" t="s">
        <v>1595</v>
      </c>
      <c r="B281" s="5" t="s">
        <v>1595</v>
      </c>
      <c r="C281" s="5" t="s">
        <v>1596</v>
      </c>
      <c r="D281" s="5" t="s">
        <v>1597</v>
      </c>
      <c r="E281" s="5" t="s">
        <v>35</v>
      </c>
      <c r="F281" s="5" t="s">
        <v>36</v>
      </c>
      <c r="G281" s="5" t="s">
        <v>37</v>
      </c>
      <c r="H281" s="5"/>
      <c r="I281" s="5"/>
      <c r="J281" s="5" t="s">
        <v>59</v>
      </c>
      <c r="K281" s="5" t="s">
        <v>50</v>
      </c>
      <c r="L281" s="5" t="s">
        <v>51</v>
      </c>
      <c r="M281" s="5" t="s">
        <v>52</v>
      </c>
      <c r="N281" s="5" t="s">
        <v>35</v>
      </c>
      <c r="O281" s="5">
        <v>1</v>
      </c>
      <c r="P281" s="5" t="s">
        <v>42</v>
      </c>
      <c r="Q281" s="5">
        <v>7</v>
      </c>
      <c r="R281" s="5"/>
      <c r="S281" s="5"/>
      <c r="T281" s="5"/>
      <c r="U281" s="5"/>
      <c r="V281" s="5"/>
      <c r="W281" s="5"/>
      <c r="X281" s="5"/>
      <c r="Y281" s="5" t="s">
        <v>1598</v>
      </c>
      <c r="Z281" s="5" t="s">
        <v>64</v>
      </c>
      <c r="AA281" s="5" t="s">
        <v>1599</v>
      </c>
      <c r="AB281" s="5" t="s">
        <v>45</v>
      </c>
      <c r="AC281" s="5"/>
      <c r="AD281" s="5"/>
      <c r="AE281" s="5"/>
      <c r="AF281"/>
      <c r="AG281" s="9">
        <f t="shared" si="4"/>
        <v>43275</v>
      </c>
    </row>
    <row r="282" s="6" customFormat="1" spans="1:33">
      <c r="A282" s="5" t="s">
        <v>1600</v>
      </c>
      <c r="B282" s="5" t="s">
        <v>1600</v>
      </c>
      <c r="C282" s="5" t="s">
        <v>1601</v>
      </c>
      <c r="D282" s="5" t="s">
        <v>1602</v>
      </c>
      <c r="E282" s="5" t="s">
        <v>35</v>
      </c>
      <c r="F282" s="5" t="s">
        <v>36</v>
      </c>
      <c r="G282" s="5" t="s">
        <v>37</v>
      </c>
      <c r="H282" s="5"/>
      <c r="I282" s="5"/>
      <c r="J282" s="5" t="s">
        <v>59</v>
      </c>
      <c r="K282" s="5" t="s">
        <v>1603</v>
      </c>
      <c r="L282" s="5" t="s">
        <v>1604</v>
      </c>
      <c r="M282" s="5" t="s">
        <v>1605</v>
      </c>
      <c r="N282" s="5" t="s">
        <v>35</v>
      </c>
      <c r="O282" s="5">
        <v>1</v>
      </c>
      <c r="P282" s="5" t="s">
        <v>42</v>
      </c>
      <c r="Q282" s="5">
        <v>11.99</v>
      </c>
      <c r="R282" s="5"/>
      <c r="S282" s="5"/>
      <c r="T282" s="5"/>
      <c r="U282" s="5"/>
      <c r="V282" s="5"/>
      <c r="W282" s="5"/>
      <c r="X282" s="5"/>
      <c r="Y282" s="5" t="s">
        <v>1606</v>
      </c>
      <c r="Z282" s="5" t="s">
        <v>861</v>
      </c>
      <c r="AA282" s="5" t="s">
        <v>1607</v>
      </c>
      <c r="AB282" s="5" t="s">
        <v>45</v>
      </c>
      <c r="AC282" s="5"/>
      <c r="AD282" s="5"/>
      <c r="AE282" s="5"/>
      <c r="AF282"/>
      <c r="AG282" s="9">
        <f t="shared" si="4"/>
        <v>43275</v>
      </c>
    </row>
    <row r="283" s="6" customFormat="1" spans="1:33">
      <c r="A283" s="5" t="s">
        <v>1608</v>
      </c>
      <c r="B283" s="5" t="s">
        <v>1608</v>
      </c>
      <c r="C283" s="5" t="s">
        <v>1609</v>
      </c>
      <c r="D283" s="5" t="s">
        <v>1610</v>
      </c>
      <c r="E283" s="5" t="s">
        <v>35</v>
      </c>
      <c r="F283" s="5" t="s">
        <v>36</v>
      </c>
      <c r="G283" s="5" t="s">
        <v>37</v>
      </c>
      <c r="H283" s="5"/>
      <c r="I283" s="5"/>
      <c r="J283" s="5" t="s">
        <v>59</v>
      </c>
      <c r="K283" s="5" t="s">
        <v>39</v>
      </c>
      <c r="L283" s="5" t="s">
        <v>1252</v>
      </c>
      <c r="M283" s="5" t="s">
        <v>1253</v>
      </c>
      <c r="N283" s="5" t="s">
        <v>35</v>
      </c>
      <c r="O283" s="5">
        <v>1</v>
      </c>
      <c r="P283" s="5" t="s">
        <v>42</v>
      </c>
      <c r="Q283" s="5">
        <v>15.99</v>
      </c>
      <c r="R283" s="5"/>
      <c r="S283" s="5"/>
      <c r="T283" s="5"/>
      <c r="U283" s="5"/>
      <c r="V283" s="5"/>
      <c r="W283" s="5"/>
      <c r="X283" s="5"/>
      <c r="Y283" s="5" t="s">
        <v>1611</v>
      </c>
      <c r="Z283" s="5" t="s">
        <v>1612</v>
      </c>
      <c r="AA283" s="5" t="s">
        <v>1613</v>
      </c>
      <c r="AB283" s="5" t="s">
        <v>45</v>
      </c>
      <c r="AC283" s="5"/>
      <c r="AD283" s="5"/>
      <c r="AE283" s="5"/>
      <c r="AF283"/>
      <c r="AG283" s="9">
        <f t="shared" si="4"/>
        <v>43275</v>
      </c>
    </row>
    <row r="284" s="6" customFormat="1" spans="1:33">
      <c r="A284" s="5" t="s">
        <v>1614</v>
      </c>
      <c r="B284" s="5" t="s">
        <v>1614</v>
      </c>
      <c r="C284" s="5" t="s">
        <v>1615</v>
      </c>
      <c r="D284" s="5" t="s">
        <v>1616</v>
      </c>
      <c r="E284" s="5" t="s">
        <v>35</v>
      </c>
      <c r="F284" s="5" t="s">
        <v>36</v>
      </c>
      <c r="G284" s="5" t="s">
        <v>37</v>
      </c>
      <c r="H284" s="5"/>
      <c r="I284" s="5"/>
      <c r="J284" s="5" t="s">
        <v>59</v>
      </c>
      <c r="K284" s="5" t="s">
        <v>50</v>
      </c>
      <c r="L284" s="5" t="s">
        <v>51</v>
      </c>
      <c r="M284" s="5" t="s">
        <v>52</v>
      </c>
      <c r="N284" s="5" t="s">
        <v>35</v>
      </c>
      <c r="O284" s="5">
        <v>1</v>
      </c>
      <c r="P284" s="5" t="s">
        <v>42</v>
      </c>
      <c r="Q284" s="5">
        <v>7</v>
      </c>
      <c r="R284" s="5"/>
      <c r="S284" s="5"/>
      <c r="T284" s="5"/>
      <c r="U284" s="5"/>
      <c r="V284" s="5"/>
      <c r="W284" s="5"/>
      <c r="X284" s="5"/>
      <c r="Y284" s="5" t="s">
        <v>1617</v>
      </c>
      <c r="Z284" s="5" t="s">
        <v>1583</v>
      </c>
      <c r="AA284" s="5" t="s">
        <v>1618</v>
      </c>
      <c r="AB284" s="5" t="s">
        <v>45</v>
      </c>
      <c r="AC284" s="5"/>
      <c r="AD284" s="5"/>
      <c r="AE284" s="5"/>
      <c r="AF284"/>
      <c r="AG284" s="9">
        <f t="shared" si="4"/>
        <v>43275</v>
      </c>
    </row>
    <row r="285" s="6" customFormat="1" spans="1:33">
      <c r="A285" s="5" t="s">
        <v>1619</v>
      </c>
      <c r="B285" s="5" t="s">
        <v>1619</v>
      </c>
      <c r="C285" s="5" t="s">
        <v>1620</v>
      </c>
      <c r="D285" s="5" t="s">
        <v>1621</v>
      </c>
      <c r="E285" s="5" t="s">
        <v>35</v>
      </c>
      <c r="F285" s="5" t="s">
        <v>36</v>
      </c>
      <c r="G285" s="5" t="s">
        <v>37</v>
      </c>
      <c r="H285" s="5"/>
      <c r="I285" s="5"/>
      <c r="J285" s="5" t="s">
        <v>38</v>
      </c>
      <c r="K285" s="5" t="s">
        <v>697</v>
      </c>
      <c r="L285" s="5" t="s">
        <v>698</v>
      </c>
      <c r="M285" s="5" t="s">
        <v>699</v>
      </c>
      <c r="N285" s="5" t="s">
        <v>35</v>
      </c>
      <c r="O285" s="5">
        <v>1</v>
      </c>
      <c r="P285" s="5" t="s">
        <v>42</v>
      </c>
      <c r="Q285" s="5">
        <v>9.99</v>
      </c>
      <c r="R285" s="5"/>
      <c r="S285" s="5"/>
      <c r="T285" s="5"/>
      <c r="U285" s="5"/>
      <c r="V285" s="5"/>
      <c r="W285" s="5"/>
      <c r="X285" s="5"/>
      <c r="Y285" s="5" t="s">
        <v>243</v>
      </c>
      <c r="Z285" s="5" t="s">
        <v>244</v>
      </c>
      <c r="AA285" s="5" t="s">
        <v>1622</v>
      </c>
      <c r="AB285" s="5" t="s">
        <v>45</v>
      </c>
      <c r="AC285" s="5"/>
      <c r="AD285" s="5"/>
      <c r="AE285" s="5"/>
      <c r="AG285" s="9">
        <f t="shared" si="4"/>
        <v>43275</v>
      </c>
    </row>
    <row r="286" s="6" customFormat="1" spans="1:33">
      <c r="A286" s="5" t="s">
        <v>1623</v>
      </c>
      <c r="B286" s="5" t="s">
        <v>1623</v>
      </c>
      <c r="C286" s="5" t="s">
        <v>1624</v>
      </c>
      <c r="D286" s="5" t="s">
        <v>1625</v>
      </c>
      <c r="E286" s="5" t="s">
        <v>35</v>
      </c>
      <c r="F286" s="5" t="s">
        <v>36</v>
      </c>
      <c r="G286" s="5" t="s">
        <v>37</v>
      </c>
      <c r="H286" s="5"/>
      <c r="I286" s="5"/>
      <c r="J286" s="5" t="s">
        <v>59</v>
      </c>
      <c r="K286" s="5" t="s">
        <v>50</v>
      </c>
      <c r="L286" s="5" t="s">
        <v>51</v>
      </c>
      <c r="M286" s="5" t="s">
        <v>52</v>
      </c>
      <c r="N286" s="5" t="s">
        <v>35</v>
      </c>
      <c r="O286" s="5">
        <v>1</v>
      </c>
      <c r="P286" s="5" t="s">
        <v>42</v>
      </c>
      <c r="Q286" s="5">
        <v>7</v>
      </c>
      <c r="R286" s="5"/>
      <c r="S286" s="5"/>
      <c r="T286" s="5"/>
      <c r="U286" s="5"/>
      <c r="V286" s="5"/>
      <c r="W286" s="5"/>
      <c r="X286" s="5"/>
      <c r="Y286" s="5" t="s">
        <v>1626</v>
      </c>
      <c r="Z286" s="5" t="s">
        <v>556</v>
      </c>
      <c r="AA286" s="5" t="s">
        <v>1627</v>
      </c>
      <c r="AB286" s="5" t="s">
        <v>45</v>
      </c>
      <c r="AC286" s="5"/>
      <c r="AD286" s="5"/>
      <c r="AE286" s="5"/>
      <c r="AG286" s="9">
        <f t="shared" si="4"/>
        <v>43275</v>
      </c>
    </row>
    <row r="287" s="6" customFormat="1" spans="1:33">
      <c r="A287" s="5" t="s">
        <v>1628</v>
      </c>
      <c r="B287" s="5" t="s">
        <v>1628</v>
      </c>
      <c r="C287" s="5" t="s">
        <v>1629</v>
      </c>
      <c r="D287" s="5" t="s">
        <v>1630</v>
      </c>
      <c r="E287" s="5" t="s">
        <v>35</v>
      </c>
      <c r="F287" s="5" t="s">
        <v>36</v>
      </c>
      <c r="G287" s="5" t="s">
        <v>37</v>
      </c>
      <c r="H287" s="5"/>
      <c r="I287" s="5"/>
      <c r="J287" s="5" t="s">
        <v>59</v>
      </c>
      <c r="K287" s="5" t="s">
        <v>94</v>
      </c>
      <c r="L287" s="5" t="s">
        <v>95</v>
      </c>
      <c r="M287" s="5" t="s">
        <v>96</v>
      </c>
      <c r="N287" s="5" t="s">
        <v>35</v>
      </c>
      <c r="O287" s="5">
        <v>1</v>
      </c>
      <c r="P287" s="5" t="s">
        <v>42</v>
      </c>
      <c r="Q287" s="5">
        <v>14.99</v>
      </c>
      <c r="R287" s="5"/>
      <c r="S287" s="5"/>
      <c r="T287" s="5"/>
      <c r="U287" s="5"/>
      <c r="V287" s="5"/>
      <c r="W287" s="5"/>
      <c r="X287" s="5"/>
      <c r="Y287" s="5" t="s">
        <v>1631</v>
      </c>
      <c r="Z287" s="5" t="s">
        <v>211</v>
      </c>
      <c r="AA287" s="5" t="s">
        <v>1632</v>
      </c>
      <c r="AB287" s="5" t="s">
        <v>45</v>
      </c>
      <c r="AC287" s="5"/>
      <c r="AD287" s="5"/>
      <c r="AE287" s="5"/>
      <c r="AG287" s="9">
        <f t="shared" si="4"/>
        <v>43275</v>
      </c>
    </row>
    <row r="288" s="6" customFormat="1" spans="1:33">
      <c r="A288" s="5" t="s">
        <v>1633</v>
      </c>
      <c r="B288" s="5" t="s">
        <v>1633</v>
      </c>
      <c r="C288" s="5" t="s">
        <v>1634</v>
      </c>
      <c r="D288" s="5" t="s">
        <v>1635</v>
      </c>
      <c r="E288" s="5" t="s">
        <v>35</v>
      </c>
      <c r="F288" s="5" t="s">
        <v>36</v>
      </c>
      <c r="G288" s="5" t="s">
        <v>37</v>
      </c>
      <c r="H288" s="5"/>
      <c r="I288" s="5"/>
      <c r="J288" s="5" t="s">
        <v>38</v>
      </c>
      <c r="K288" s="5" t="s">
        <v>39</v>
      </c>
      <c r="L288" s="5" t="s">
        <v>40</v>
      </c>
      <c r="M288" s="5" t="s">
        <v>41</v>
      </c>
      <c r="N288" s="5" t="s">
        <v>35</v>
      </c>
      <c r="O288" s="5">
        <v>1</v>
      </c>
      <c r="P288" s="5" t="s">
        <v>42</v>
      </c>
      <c r="Q288" s="5">
        <v>7.99</v>
      </c>
      <c r="R288" s="5"/>
      <c r="S288" s="5"/>
      <c r="T288" s="5"/>
      <c r="U288" s="5"/>
      <c r="V288" s="5"/>
      <c r="W288" s="5"/>
      <c r="X288" s="5"/>
      <c r="Y288" s="5" t="s">
        <v>483</v>
      </c>
      <c r="Z288" s="5" t="s">
        <v>432</v>
      </c>
      <c r="AA288" s="5" t="s">
        <v>1636</v>
      </c>
      <c r="AB288" s="5" t="s">
        <v>45</v>
      </c>
      <c r="AC288" s="5"/>
      <c r="AD288" s="5"/>
      <c r="AE288" s="5"/>
      <c r="AG288" s="9">
        <f t="shared" si="4"/>
        <v>43275</v>
      </c>
    </row>
    <row r="289" s="6" customFormat="1" spans="1:33">
      <c r="A289" s="5" t="s">
        <v>1637</v>
      </c>
      <c r="B289" s="5" t="s">
        <v>1637</v>
      </c>
      <c r="C289" s="5" t="s">
        <v>1638</v>
      </c>
      <c r="D289" s="5" t="s">
        <v>1639</v>
      </c>
      <c r="E289" s="5" t="s">
        <v>35</v>
      </c>
      <c r="F289" s="5" t="s">
        <v>36</v>
      </c>
      <c r="G289" s="5" t="s">
        <v>37</v>
      </c>
      <c r="H289" s="5"/>
      <c r="I289" s="5"/>
      <c r="J289" s="5" t="s">
        <v>59</v>
      </c>
      <c r="K289" s="5" t="s">
        <v>50</v>
      </c>
      <c r="L289" s="5" t="s">
        <v>51</v>
      </c>
      <c r="M289" s="5" t="s">
        <v>52</v>
      </c>
      <c r="N289" s="5" t="s">
        <v>35</v>
      </c>
      <c r="O289" s="5">
        <v>1</v>
      </c>
      <c r="P289" s="5" t="s">
        <v>42</v>
      </c>
      <c r="Q289" s="5">
        <v>7</v>
      </c>
      <c r="R289" s="5"/>
      <c r="S289" s="5"/>
      <c r="T289" s="5"/>
      <c r="U289" s="5"/>
      <c r="V289" s="5"/>
      <c r="W289" s="5"/>
      <c r="X289" s="5"/>
      <c r="Y289" s="5" t="s">
        <v>1640</v>
      </c>
      <c r="Z289" s="5" t="s">
        <v>432</v>
      </c>
      <c r="AA289" s="5" t="s">
        <v>1641</v>
      </c>
      <c r="AB289" s="5" t="s">
        <v>45</v>
      </c>
      <c r="AC289" s="5"/>
      <c r="AD289" s="5"/>
      <c r="AE289" s="5"/>
      <c r="AG289" s="9">
        <f t="shared" si="4"/>
        <v>43275</v>
      </c>
    </row>
    <row r="290" s="6" customFormat="1" spans="1:33">
      <c r="A290" s="5" t="s">
        <v>1642</v>
      </c>
      <c r="B290" s="5" t="s">
        <v>1642</v>
      </c>
      <c r="C290" s="5" t="s">
        <v>1643</v>
      </c>
      <c r="D290" s="5" t="s">
        <v>1644</v>
      </c>
      <c r="E290" s="5" t="s">
        <v>35</v>
      </c>
      <c r="F290" s="5" t="s">
        <v>36</v>
      </c>
      <c r="G290" s="5" t="s">
        <v>37</v>
      </c>
      <c r="H290" s="5"/>
      <c r="I290" s="5"/>
      <c r="J290" s="5" t="s">
        <v>59</v>
      </c>
      <c r="K290" s="5" t="s">
        <v>1645</v>
      </c>
      <c r="L290" s="5" t="s">
        <v>1646</v>
      </c>
      <c r="M290" s="5" t="s">
        <v>1647</v>
      </c>
      <c r="N290" s="5" t="s">
        <v>35</v>
      </c>
      <c r="O290" s="5">
        <v>1</v>
      </c>
      <c r="P290" s="5" t="s">
        <v>42</v>
      </c>
      <c r="Q290" s="5">
        <v>9.99</v>
      </c>
      <c r="R290" s="5"/>
      <c r="S290" s="5"/>
      <c r="T290" s="5"/>
      <c r="U290" s="5"/>
      <c r="V290" s="5"/>
      <c r="W290" s="5"/>
      <c r="X290" s="5"/>
      <c r="Y290" s="5" t="s">
        <v>1648</v>
      </c>
      <c r="Z290" s="5" t="s">
        <v>1649</v>
      </c>
      <c r="AA290" s="5">
        <v>23231</v>
      </c>
      <c r="AB290" s="5" t="s">
        <v>45</v>
      </c>
      <c r="AC290" s="5"/>
      <c r="AD290" s="5"/>
      <c r="AE290" s="5"/>
      <c r="AG290" s="9">
        <f t="shared" si="4"/>
        <v>43275</v>
      </c>
    </row>
    <row r="291" s="6" customFormat="1" spans="1:33">
      <c r="A291" s="5" t="s">
        <v>1650</v>
      </c>
      <c r="B291" s="5" t="s">
        <v>1650</v>
      </c>
      <c r="C291" s="5" t="s">
        <v>1651</v>
      </c>
      <c r="D291" s="5" t="s">
        <v>1652</v>
      </c>
      <c r="E291" s="5" t="s">
        <v>35</v>
      </c>
      <c r="F291" s="5" t="s">
        <v>36</v>
      </c>
      <c r="G291" s="5" t="s">
        <v>37</v>
      </c>
      <c r="H291" s="5"/>
      <c r="I291" s="5"/>
      <c r="J291" s="5" t="s">
        <v>59</v>
      </c>
      <c r="K291" s="5" t="s">
        <v>50</v>
      </c>
      <c r="L291" s="5" t="s">
        <v>51</v>
      </c>
      <c r="M291" s="5" t="s">
        <v>52</v>
      </c>
      <c r="N291" s="5" t="s">
        <v>35</v>
      </c>
      <c r="O291" s="5">
        <v>1</v>
      </c>
      <c r="P291" s="5" t="s">
        <v>42</v>
      </c>
      <c r="Q291" s="5">
        <v>7</v>
      </c>
      <c r="R291" s="5"/>
      <c r="S291" s="5"/>
      <c r="T291" s="5"/>
      <c r="U291" s="5"/>
      <c r="V291" s="5"/>
      <c r="W291" s="5"/>
      <c r="X291" s="5"/>
      <c r="Y291" s="5" t="s">
        <v>1653</v>
      </c>
      <c r="Z291" s="5" t="s">
        <v>1583</v>
      </c>
      <c r="AA291" s="5" t="s">
        <v>1654</v>
      </c>
      <c r="AB291" s="5" t="s">
        <v>45</v>
      </c>
      <c r="AC291" s="5"/>
      <c r="AD291" s="5"/>
      <c r="AE291" s="5"/>
      <c r="AG291" s="9">
        <f t="shared" si="4"/>
        <v>43275</v>
      </c>
    </row>
    <row r="292" s="6" customFormat="1" spans="1:33">
      <c r="A292" s="5" t="s">
        <v>1655</v>
      </c>
      <c r="B292" s="5" t="s">
        <v>1655</v>
      </c>
      <c r="C292" s="5" t="s">
        <v>1656</v>
      </c>
      <c r="D292" s="5" t="s">
        <v>1657</v>
      </c>
      <c r="E292" s="5" t="s">
        <v>35</v>
      </c>
      <c r="F292" s="5" t="s">
        <v>36</v>
      </c>
      <c r="G292" s="5" t="s">
        <v>37</v>
      </c>
      <c r="H292" s="5"/>
      <c r="I292" s="5"/>
      <c r="J292" s="5" t="s">
        <v>38</v>
      </c>
      <c r="K292" s="5" t="s">
        <v>1658</v>
      </c>
      <c r="L292" s="5" t="s">
        <v>1659</v>
      </c>
      <c r="M292" s="5" t="s">
        <v>1660</v>
      </c>
      <c r="N292" s="5" t="s">
        <v>35</v>
      </c>
      <c r="O292" s="5">
        <v>1</v>
      </c>
      <c r="P292" s="5" t="s">
        <v>42</v>
      </c>
      <c r="Q292" s="5">
        <v>15.35</v>
      </c>
      <c r="R292" s="5"/>
      <c r="S292" s="5"/>
      <c r="T292" s="5"/>
      <c r="U292" s="5"/>
      <c r="V292" s="5"/>
      <c r="W292" s="5"/>
      <c r="X292" s="5"/>
      <c r="Y292" s="5" t="s">
        <v>1109</v>
      </c>
      <c r="Z292" s="5" t="s">
        <v>1110</v>
      </c>
      <c r="AA292" s="5" t="s">
        <v>1661</v>
      </c>
      <c r="AB292" s="5" t="s">
        <v>45</v>
      </c>
      <c r="AC292" s="5"/>
      <c r="AD292" s="5"/>
      <c r="AE292" s="5"/>
      <c r="AF292"/>
      <c r="AG292" s="9">
        <f t="shared" si="4"/>
        <v>43276</v>
      </c>
    </row>
    <row r="293" s="6" customFormat="1" spans="1:33">
      <c r="A293" s="5" t="s">
        <v>1662</v>
      </c>
      <c r="B293" s="5" t="s">
        <v>1662</v>
      </c>
      <c r="C293" s="5" t="s">
        <v>1663</v>
      </c>
      <c r="D293" s="5" t="s">
        <v>1664</v>
      </c>
      <c r="E293" s="5" t="s">
        <v>35</v>
      </c>
      <c r="F293" s="5" t="s">
        <v>36</v>
      </c>
      <c r="G293" s="5" t="s">
        <v>37</v>
      </c>
      <c r="H293" s="5"/>
      <c r="I293" s="5"/>
      <c r="J293" s="5" t="s">
        <v>59</v>
      </c>
      <c r="K293" s="5" t="s">
        <v>1499</v>
      </c>
      <c r="L293" s="5" t="s">
        <v>1500</v>
      </c>
      <c r="M293" s="5" t="s">
        <v>1501</v>
      </c>
      <c r="N293" s="5" t="s">
        <v>35</v>
      </c>
      <c r="O293" s="5">
        <v>1</v>
      </c>
      <c r="P293" s="5" t="s">
        <v>42</v>
      </c>
      <c r="Q293" s="5">
        <v>15.99</v>
      </c>
      <c r="R293" s="5"/>
      <c r="S293" s="5"/>
      <c r="T293" s="5"/>
      <c r="U293" s="5"/>
      <c r="V293" s="5"/>
      <c r="W293" s="5"/>
      <c r="X293" s="5"/>
      <c r="Y293" s="5" t="s">
        <v>1665</v>
      </c>
      <c r="Z293" s="5" t="s">
        <v>780</v>
      </c>
      <c r="AA293" s="5" t="s">
        <v>1666</v>
      </c>
      <c r="AB293" s="5" t="s">
        <v>45</v>
      </c>
      <c r="AC293" s="5"/>
      <c r="AD293" s="5"/>
      <c r="AE293" s="5"/>
      <c r="AF293"/>
      <c r="AG293" s="9">
        <f t="shared" si="4"/>
        <v>43276</v>
      </c>
    </row>
    <row r="294" s="6" customFormat="1" spans="1:33">
      <c r="A294" s="5" t="s">
        <v>1667</v>
      </c>
      <c r="B294" s="5" t="s">
        <v>1667</v>
      </c>
      <c r="C294" s="5" t="s">
        <v>1668</v>
      </c>
      <c r="D294" s="5" t="s">
        <v>1669</v>
      </c>
      <c r="E294" s="5" t="s">
        <v>274</v>
      </c>
      <c r="F294" s="5" t="s">
        <v>36</v>
      </c>
      <c r="G294" s="5" t="s">
        <v>37</v>
      </c>
      <c r="H294" s="5"/>
      <c r="I294" s="5"/>
      <c r="J294" s="5" t="s">
        <v>59</v>
      </c>
      <c r="K294" s="5" t="s">
        <v>539</v>
      </c>
      <c r="L294" s="5" t="s">
        <v>540</v>
      </c>
      <c r="M294" s="5" t="s">
        <v>541</v>
      </c>
      <c r="N294" s="5" t="s">
        <v>274</v>
      </c>
      <c r="O294" s="5">
        <v>0</v>
      </c>
      <c r="P294" s="5"/>
      <c r="Q294" s="5"/>
      <c r="R294" s="5"/>
      <c r="S294" s="5"/>
      <c r="T294" s="5"/>
      <c r="U294" s="5"/>
      <c r="V294" s="5"/>
      <c r="W294" s="5"/>
      <c r="X294" s="5"/>
      <c r="Y294" s="5" t="s">
        <v>1670</v>
      </c>
      <c r="Z294" s="5" t="s">
        <v>426</v>
      </c>
      <c r="AA294" s="5" t="s">
        <v>1671</v>
      </c>
      <c r="AB294" s="5" t="s">
        <v>45</v>
      </c>
      <c r="AC294" s="5"/>
      <c r="AD294" s="5"/>
      <c r="AE294" s="5"/>
      <c r="AF294"/>
      <c r="AG294" s="9">
        <f t="shared" si="4"/>
        <v>43276</v>
      </c>
    </row>
    <row r="295" s="6" customFormat="1" spans="1:33">
      <c r="A295" s="5" t="s">
        <v>1672</v>
      </c>
      <c r="B295" s="5" t="s">
        <v>1672</v>
      </c>
      <c r="C295" s="5" t="s">
        <v>1673</v>
      </c>
      <c r="D295" s="5" t="s">
        <v>1674</v>
      </c>
      <c r="E295" s="5" t="s">
        <v>35</v>
      </c>
      <c r="F295" s="5" t="s">
        <v>36</v>
      </c>
      <c r="G295" s="5" t="s">
        <v>37</v>
      </c>
      <c r="H295" s="5"/>
      <c r="I295" s="5"/>
      <c r="J295" s="5" t="s">
        <v>59</v>
      </c>
      <c r="K295" s="5" t="s">
        <v>539</v>
      </c>
      <c r="L295" s="5" t="s">
        <v>540</v>
      </c>
      <c r="M295" s="5" t="s">
        <v>541</v>
      </c>
      <c r="N295" s="5" t="s">
        <v>35</v>
      </c>
      <c r="O295" s="5">
        <v>1</v>
      </c>
      <c r="P295" s="5" t="s">
        <v>42</v>
      </c>
      <c r="Q295" s="5">
        <v>19.99</v>
      </c>
      <c r="R295" s="5"/>
      <c r="S295" s="5"/>
      <c r="T295" s="5"/>
      <c r="U295" s="5"/>
      <c r="V295" s="5"/>
      <c r="W295" s="5"/>
      <c r="X295" s="5"/>
      <c r="Y295" s="5" t="s">
        <v>1675</v>
      </c>
      <c r="Z295" s="5" t="s">
        <v>1676</v>
      </c>
      <c r="AA295" s="5">
        <v>5491</v>
      </c>
      <c r="AB295" s="5" t="s">
        <v>45</v>
      </c>
      <c r="AC295" s="5"/>
      <c r="AD295" s="5"/>
      <c r="AE295" s="5"/>
      <c r="AF295"/>
      <c r="AG295" s="9">
        <f t="shared" si="4"/>
        <v>43276</v>
      </c>
    </row>
    <row r="296" s="6" customFormat="1" spans="1:33">
      <c r="A296" s="5" t="s">
        <v>1677</v>
      </c>
      <c r="B296" s="5" t="s">
        <v>1677</v>
      </c>
      <c r="C296" s="5" t="s">
        <v>1678</v>
      </c>
      <c r="D296" s="5" t="s">
        <v>1679</v>
      </c>
      <c r="E296" s="5" t="s">
        <v>35</v>
      </c>
      <c r="F296" s="5" t="s">
        <v>36</v>
      </c>
      <c r="G296" s="5" t="s">
        <v>37</v>
      </c>
      <c r="H296" s="5"/>
      <c r="I296" s="5"/>
      <c r="J296" s="5" t="s">
        <v>59</v>
      </c>
      <c r="K296" s="5" t="s">
        <v>50</v>
      </c>
      <c r="L296" s="5" t="s">
        <v>51</v>
      </c>
      <c r="M296" s="5" t="s">
        <v>52</v>
      </c>
      <c r="N296" s="5" t="s">
        <v>35</v>
      </c>
      <c r="O296" s="5">
        <v>1</v>
      </c>
      <c r="P296" s="5" t="s">
        <v>42</v>
      </c>
      <c r="Q296" s="5">
        <v>7</v>
      </c>
      <c r="R296" s="5"/>
      <c r="S296" s="5"/>
      <c r="T296" s="5"/>
      <c r="U296" s="5"/>
      <c r="V296" s="5"/>
      <c r="W296" s="5"/>
      <c r="X296" s="5"/>
      <c r="Y296" s="5" t="s">
        <v>1680</v>
      </c>
      <c r="Z296" s="5" t="s">
        <v>1681</v>
      </c>
      <c r="AA296" s="5" t="s">
        <v>1682</v>
      </c>
      <c r="AB296" s="5" t="s">
        <v>45</v>
      </c>
      <c r="AC296" s="5"/>
      <c r="AD296" s="5"/>
      <c r="AE296" s="5"/>
      <c r="AF296"/>
      <c r="AG296" s="9">
        <f t="shared" si="4"/>
        <v>43276</v>
      </c>
    </row>
    <row r="297" s="6" customFormat="1" spans="1:33">
      <c r="A297" s="5" t="s">
        <v>1683</v>
      </c>
      <c r="B297" s="5" t="s">
        <v>1683</v>
      </c>
      <c r="C297" s="5" t="s">
        <v>1684</v>
      </c>
      <c r="D297" s="5" t="s">
        <v>1685</v>
      </c>
      <c r="E297" s="5" t="s">
        <v>35</v>
      </c>
      <c r="F297" s="5" t="s">
        <v>36</v>
      </c>
      <c r="G297" s="5" t="s">
        <v>37</v>
      </c>
      <c r="H297" s="5"/>
      <c r="I297" s="5"/>
      <c r="J297" s="5" t="s">
        <v>59</v>
      </c>
      <c r="K297" s="5" t="s">
        <v>1686</v>
      </c>
      <c r="L297" s="5" t="s">
        <v>1687</v>
      </c>
      <c r="M297" s="5" t="s">
        <v>1688</v>
      </c>
      <c r="N297" s="5" t="s">
        <v>35</v>
      </c>
      <c r="O297" s="5">
        <v>1</v>
      </c>
      <c r="P297" s="5" t="s">
        <v>42</v>
      </c>
      <c r="Q297" s="5">
        <v>13.99</v>
      </c>
      <c r="R297" s="5"/>
      <c r="S297" s="5"/>
      <c r="T297" s="5"/>
      <c r="U297" s="5"/>
      <c r="V297" s="5"/>
      <c r="W297" s="5"/>
      <c r="X297" s="5"/>
      <c r="Y297" s="5" t="s">
        <v>1689</v>
      </c>
      <c r="Z297" s="5" t="s">
        <v>1583</v>
      </c>
      <c r="AA297" s="5" t="s">
        <v>1690</v>
      </c>
      <c r="AB297" s="5" t="s">
        <v>45</v>
      </c>
      <c r="AC297" s="5"/>
      <c r="AD297" s="5"/>
      <c r="AE297" s="5"/>
      <c r="AF297"/>
      <c r="AG297" s="9">
        <f t="shared" si="4"/>
        <v>43276</v>
      </c>
    </row>
    <row r="298" s="6" customFormat="1" spans="1:33">
      <c r="A298" s="5" t="s">
        <v>1691</v>
      </c>
      <c r="B298" s="5" t="s">
        <v>1691</v>
      </c>
      <c r="C298" s="5" t="s">
        <v>1692</v>
      </c>
      <c r="D298" s="5" t="s">
        <v>1693</v>
      </c>
      <c r="E298" s="5" t="s">
        <v>35</v>
      </c>
      <c r="F298" s="5" t="s">
        <v>36</v>
      </c>
      <c r="G298" s="5" t="s">
        <v>37</v>
      </c>
      <c r="H298" s="5"/>
      <c r="I298" s="5"/>
      <c r="J298" s="5" t="s">
        <v>59</v>
      </c>
      <c r="K298" s="5" t="s">
        <v>50</v>
      </c>
      <c r="L298" s="5" t="s">
        <v>51</v>
      </c>
      <c r="M298" s="5" t="s">
        <v>52</v>
      </c>
      <c r="N298" s="5" t="s">
        <v>35</v>
      </c>
      <c r="O298" s="5">
        <v>1</v>
      </c>
      <c r="P298" s="5" t="s">
        <v>42</v>
      </c>
      <c r="Q298" s="5">
        <v>7</v>
      </c>
      <c r="R298" s="5"/>
      <c r="S298" s="5"/>
      <c r="T298" s="5"/>
      <c r="U298" s="5"/>
      <c r="V298" s="5"/>
      <c r="W298" s="5"/>
      <c r="X298" s="5"/>
      <c r="Y298" s="5" t="s">
        <v>1320</v>
      </c>
      <c r="Z298" s="5" t="s">
        <v>153</v>
      </c>
      <c r="AA298" s="5" t="s">
        <v>1694</v>
      </c>
      <c r="AB298" s="5" t="s">
        <v>45</v>
      </c>
      <c r="AC298" s="5"/>
      <c r="AD298" s="5"/>
      <c r="AE298" s="5"/>
      <c r="AF298"/>
      <c r="AG298" s="9">
        <f t="shared" si="4"/>
        <v>43276</v>
      </c>
    </row>
    <row r="299" s="6" customFormat="1" spans="1:33">
      <c r="A299" s="5" t="s">
        <v>1695</v>
      </c>
      <c r="B299" s="5" t="s">
        <v>1695</v>
      </c>
      <c r="C299" s="5" t="s">
        <v>1696</v>
      </c>
      <c r="D299" s="5" t="s">
        <v>1697</v>
      </c>
      <c r="E299" s="5" t="s">
        <v>35</v>
      </c>
      <c r="F299" s="5" t="s">
        <v>36</v>
      </c>
      <c r="G299" s="5" t="s">
        <v>37</v>
      </c>
      <c r="H299" s="5"/>
      <c r="I299" s="5"/>
      <c r="J299" s="5" t="s">
        <v>59</v>
      </c>
      <c r="K299" s="5" t="s">
        <v>50</v>
      </c>
      <c r="L299" s="5" t="s">
        <v>51</v>
      </c>
      <c r="M299" s="5" t="s">
        <v>52</v>
      </c>
      <c r="N299" s="5" t="s">
        <v>35</v>
      </c>
      <c r="O299" s="5">
        <v>1</v>
      </c>
      <c r="P299" s="5" t="s">
        <v>42</v>
      </c>
      <c r="Q299" s="5">
        <v>7</v>
      </c>
      <c r="R299" s="5"/>
      <c r="S299" s="5"/>
      <c r="T299" s="5"/>
      <c r="U299" s="5"/>
      <c r="V299" s="5"/>
      <c r="W299" s="5"/>
      <c r="X299" s="5"/>
      <c r="Y299" s="5" t="s">
        <v>359</v>
      </c>
      <c r="Z299" s="5" t="s">
        <v>211</v>
      </c>
      <c r="AA299" s="5" t="s">
        <v>1698</v>
      </c>
      <c r="AB299" s="5" t="s">
        <v>45</v>
      </c>
      <c r="AC299" s="5"/>
      <c r="AD299" s="5"/>
      <c r="AE299" s="5"/>
      <c r="AF299"/>
      <c r="AG299" s="9">
        <f t="shared" si="4"/>
        <v>43276</v>
      </c>
    </row>
    <row r="300" s="6" customFormat="1" spans="1:33">
      <c r="A300" s="5" t="s">
        <v>1699</v>
      </c>
      <c r="B300" s="5" t="s">
        <v>1699</v>
      </c>
      <c r="C300" s="5" t="s">
        <v>1700</v>
      </c>
      <c r="D300" s="5" t="s">
        <v>1701</v>
      </c>
      <c r="E300" s="5" t="s">
        <v>35</v>
      </c>
      <c r="F300" s="5" t="s">
        <v>36</v>
      </c>
      <c r="G300" s="5" t="s">
        <v>37</v>
      </c>
      <c r="H300" s="5"/>
      <c r="I300" s="5"/>
      <c r="J300" s="5" t="s">
        <v>59</v>
      </c>
      <c r="K300" s="5" t="s">
        <v>50</v>
      </c>
      <c r="L300" s="5" t="s">
        <v>51</v>
      </c>
      <c r="M300" s="5" t="s">
        <v>52</v>
      </c>
      <c r="N300" s="5" t="s">
        <v>35</v>
      </c>
      <c r="O300" s="5">
        <v>1</v>
      </c>
      <c r="P300" s="5" t="s">
        <v>42</v>
      </c>
      <c r="Q300" s="5">
        <v>7</v>
      </c>
      <c r="R300" s="5"/>
      <c r="S300" s="5"/>
      <c r="T300" s="5"/>
      <c r="U300" s="5"/>
      <c r="V300" s="5"/>
      <c r="W300" s="5"/>
      <c r="X300" s="5"/>
      <c r="Y300" s="5" t="s">
        <v>1702</v>
      </c>
      <c r="Z300" s="5" t="s">
        <v>1583</v>
      </c>
      <c r="AA300" s="5">
        <v>85251</v>
      </c>
      <c r="AB300" s="5" t="s">
        <v>45</v>
      </c>
      <c r="AC300" s="5"/>
      <c r="AD300" s="5"/>
      <c r="AE300" s="5"/>
      <c r="AF300"/>
      <c r="AG300" s="9">
        <f t="shared" si="4"/>
        <v>43276</v>
      </c>
    </row>
    <row r="301" s="6" customFormat="1" spans="1:33">
      <c r="A301" s="5" t="s">
        <v>1703</v>
      </c>
      <c r="B301" s="5" t="s">
        <v>1703</v>
      </c>
      <c r="C301" s="5" t="s">
        <v>1704</v>
      </c>
      <c r="D301" s="5" t="s">
        <v>1705</v>
      </c>
      <c r="E301" s="5" t="s">
        <v>35</v>
      </c>
      <c r="F301" s="5" t="s">
        <v>36</v>
      </c>
      <c r="G301" s="5" t="s">
        <v>37</v>
      </c>
      <c r="H301" s="5"/>
      <c r="I301" s="5"/>
      <c r="J301" s="5" t="s">
        <v>59</v>
      </c>
      <c r="K301" s="5" t="s">
        <v>50</v>
      </c>
      <c r="L301" s="5" t="s">
        <v>51</v>
      </c>
      <c r="M301" s="5" t="s">
        <v>52</v>
      </c>
      <c r="N301" s="5" t="s">
        <v>35</v>
      </c>
      <c r="O301" s="5">
        <v>1</v>
      </c>
      <c r="P301" s="5" t="s">
        <v>42</v>
      </c>
      <c r="Q301" s="5">
        <v>7</v>
      </c>
      <c r="R301" s="5"/>
      <c r="S301" s="5"/>
      <c r="T301" s="5"/>
      <c r="U301" s="5"/>
      <c r="V301" s="5"/>
      <c r="W301" s="5"/>
      <c r="X301" s="5"/>
      <c r="Y301" s="5" t="s">
        <v>1706</v>
      </c>
      <c r="Z301" s="5" t="s">
        <v>269</v>
      </c>
      <c r="AA301" s="5" t="s">
        <v>1707</v>
      </c>
      <c r="AB301" s="5" t="s">
        <v>45</v>
      </c>
      <c r="AC301" s="5"/>
      <c r="AD301" s="5"/>
      <c r="AE301" s="5"/>
      <c r="AF301"/>
      <c r="AG301" s="9">
        <f t="shared" si="4"/>
        <v>43276</v>
      </c>
    </row>
    <row r="302" s="6" customFormat="1" spans="1:33">
      <c r="A302" s="5" t="s">
        <v>1708</v>
      </c>
      <c r="B302" s="5" t="s">
        <v>1708</v>
      </c>
      <c r="C302" s="5" t="s">
        <v>1709</v>
      </c>
      <c r="D302" s="5" t="s">
        <v>1710</v>
      </c>
      <c r="E302" s="5" t="s">
        <v>35</v>
      </c>
      <c r="F302" s="5" t="s">
        <v>36</v>
      </c>
      <c r="G302" s="5" t="s">
        <v>37</v>
      </c>
      <c r="H302" s="5"/>
      <c r="I302" s="5"/>
      <c r="J302" s="5" t="s">
        <v>59</v>
      </c>
      <c r="K302" s="5" t="s">
        <v>50</v>
      </c>
      <c r="L302" s="5" t="s">
        <v>51</v>
      </c>
      <c r="M302" s="5" t="s">
        <v>52</v>
      </c>
      <c r="N302" s="5" t="s">
        <v>35</v>
      </c>
      <c r="O302" s="5">
        <v>1</v>
      </c>
      <c r="P302" s="5" t="s">
        <v>42</v>
      </c>
      <c r="Q302" s="5">
        <v>7</v>
      </c>
      <c r="R302" s="5"/>
      <c r="S302" s="5"/>
      <c r="T302" s="5"/>
      <c r="U302" s="5"/>
      <c r="V302" s="5"/>
      <c r="W302" s="5"/>
      <c r="X302" s="5"/>
      <c r="Y302" s="5" t="s">
        <v>1711</v>
      </c>
      <c r="Z302" s="5" t="s">
        <v>153</v>
      </c>
      <c r="AA302" s="5" t="s">
        <v>1712</v>
      </c>
      <c r="AB302" s="5" t="s">
        <v>45</v>
      </c>
      <c r="AC302" s="5"/>
      <c r="AD302" s="5"/>
      <c r="AE302" s="5"/>
      <c r="AF302"/>
      <c r="AG302" s="9">
        <f t="shared" si="4"/>
        <v>43276</v>
      </c>
    </row>
    <row r="303" s="6" customFormat="1" spans="1:33">
      <c r="A303" s="5" t="s">
        <v>1713</v>
      </c>
      <c r="B303" s="5" t="s">
        <v>1713</v>
      </c>
      <c r="C303" s="5" t="s">
        <v>1714</v>
      </c>
      <c r="D303" s="5" t="s">
        <v>1715</v>
      </c>
      <c r="E303" s="5" t="s">
        <v>35</v>
      </c>
      <c r="F303" s="5" t="s">
        <v>36</v>
      </c>
      <c r="G303" s="5" t="s">
        <v>37</v>
      </c>
      <c r="H303" s="5"/>
      <c r="I303" s="5"/>
      <c r="J303" s="5" t="s">
        <v>59</v>
      </c>
      <c r="K303" s="5" t="s">
        <v>50</v>
      </c>
      <c r="L303" s="5" t="s">
        <v>51</v>
      </c>
      <c r="M303" s="5" t="s">
        <v>52</v>
      </c>
      <c r="N303" s="5" t="s">
        <v>35</v>
      </c>
      <c r="O303" s="5">
        <v>1</v>
      </c>
      <c r="P303" s="5" t="s">
        <v>42</v>
      </c>
      <c r="Q303" s="5">
        <v>7</v>
      </c>
      <c r="R303" s="5"/>
      <c r="S303" s="5"/>
      <c r="T303" s="5"/>
      <c r="U303" s="5"/>
      <c r="V303" s="5"/>
      <c r="W303" s="5"/>
      <c r="X303" s="5"/>
      <c r="Y303" s="5" t="s">
        <v>1665</v>
      </c>
      <c r="Z303" s="5" t="s">
        <v>885</v>
      </c>
      <c r="AA303" s="5" t="s">
        <v>1716</v>
      </c>
      <c r="AB303" s="5" t="s">
        <v>45</v>
      </c>
      <c r="AC303" s="5"/>
      <c r="AD303" s="5"/>
      <c r="AE303" s="5"/>
      <c r="AF303"/>
      <c r="AG303" s="9">
        <f t="shared" si="4"/>
        <v>43276</v>
      </c>
    </row>
    <row r="304" s="6" customFormat="1" spans="1:33">
      <c r="A304" s="5" t="s">
        <v>1717</v>
      </c>
      <c r="B304" s="5" t="s">
        <v>1717</v>
      </c>
      <c r="C304" s="5" t="s">
        <v>1718</v>
      </c>
      <c r="D304" s="5" t="s">
        <v>1719</v>
      </c>
      <c r="E304" s="5" t="s">
        <v>35</v>
      </c>
      <c r="F304" s="5" t="s">
        <v>36</v>
      </c>
      <c r="G304" s="5" t="s">
        <v>37</v>
      </c>
      <c r="H304" s="5"/>
      <c r="I304" s="5"/>
      <c r="J304" s="5" t="s">
        <v>59</v>
      </c>
      <c r="K304" s="5" t="s">
        <v>50</v>
      </c>
      <c r="L304" s="5" t="s">
        <v>51</v>
      </c>
      <c r="M304" s="5" t="s">
        <v>52</v>
      </c>
      <c r="N304" s="5" t="s">
        <v>35</v>
      </c>
      <c r="O304" s="5">
        <v>1</v>
      </c>
      <c r="P304" s="5" t="s">
        <v>42</v>
      </c>
      <c r="Q304" s="5">
        <v>7</v>
      </c>
      <c r="R304" s="5"/>
      <c r="S304" s="5"/>
      <c r="T304" s="5"/>
      <c r="U304" s="5"/>
      <c r="V304" s="5"/>
      <c r="W304" s="5"/>
      <c r="X304" s="5"/>
      <c r="Y304" s="5" t="s">
        <v>1720</v>
      </c>
      <c r="Z304" s="5" t="s">
        <v>127</v>
      </c>
      <c r="AA304" s="5" t="s">
        <v>1721</v>
      </c>
      <c r="AB304" s="5" t="s">
        <v>45</v>
      </c>
      <c r="AC304" s="5"/>
      <c r="AD304" s="5"/>
      <c r="AE304" s="5"/>
      <c r="AF304"/>
      <c r="AG304" s="9">
        <f t="shared" si="4"/>
        <v>43276</v>
      </c>
    </row>
    <row r="305" s="6" customFormat="1" spans="1:33">
      <c r="A305" s="5" t="s">
        <v>1722</v>
      </c>
      <c r="B305" s="5" t="s">
        <v>1722</v>
      </c>
      <c r="C305" s="5" t="s">
        <v>1723</v>
      </c>
      <c r="D305" s="5" t="s">
        <v>1724</v>
      </c>
      <c r="E305" s="5" t="s">
        <v>274</v>
      </c>
      <c r="F305" s="5" t="s">
        <v>36</v>
      </c>
      <c r="G305" s="5" t="s">
        <v>37</v>
      </c>
      <c r="H305" s="5"/>
      <c r="I305" s="5"/>
      <c r="J305" s="5" t="s">
        <v>59</v>
      </c>
      <c r="K305" s="5" t="s">
        <v>50</v>
      </c>
      <c r="L305" s="5" t="s">
        <v>51</v>
      </c>
      <c r="M305" s="5" t="s">
        <v>52</v>
      </c>
      <c r="N305" s="5" t="s">
        <v>274</v>
      </c>
      <c r="O305" s="5">
        <v>0</v>
      </c>
      <c r="P305" s="5"/>
      <c r="Q305" s="5"/>
      <c r="R305" s="5"/>
      <c r="S305" s="5"/>
      <c r="T305" s="5"/>
      <c r="U305" s="5"/>
      <c r="V305" s="5"/>
      <c r="W305" s="5"/>
      <c r="X305" s="5"/>
      <c r="Y305" s="5" t="s">
        <v>1725</v>
      </c>
      <c r="Z305" s="5" t="s">
        <v>1726</v>
      </c>
      <c r="AA305" s="5" t="s">
        <v>1727</v>
      </c>
      <c r="AB305" s="5" t="s">
        <v>45</v>
      </c>
      <c r="AC305" s="5"/>
      <c r="AD305" s="5"/>
      <c r="AE305" s="5"/>
      <c r="AF305"/>
      <c r="AG305" s="9">
        <f t="shared" si="4"/>
        <v>43276</v>
      </c>
    </row>
    <row r="306" s="6" customFormat="1" spans="1:33">
      <c r="A306" s="5" t="s">
        <v>1728</v>
      </c>
      <c r="B306" s="5" t="s">
        <v>1728</v>
      </c>
      <c r="C306" s="5" t="s">
        <v>1729</v>
      </c>
      <c r="D306" s="5" t="s">
        <v>1730</v>
      </c>
      <c r="E306" s="5" t="s">
        <v>35</v>
      </c>
      <c r="F306" s="5" t="s">
        <v>36</v>
      </c>
      <c r="G306" s="5" t="s">
        <v>37</v>
      </c>
      <c r="H306" s="5"/>
      <c r="I306" s="5"/>
      <c r="J306" s="5" t="s">
        <v>59</v>
      </c>
      <c r="K306" s="5" t="s">
        <v>50</v>
      </c>
      <c r="L306" s="5" t="s">
        <v>51</v>
      </c>
      <c r="M306" s="5" t="s">
        <v>52</v>
      </c>
      <c r="N306" s="5" t="s">
        <v>35</v>
      </c>
      <c r="O306" s="5">
        <v>1</v>
      </c>
      <c r="P306" s="5" t="s">
        <v>42</v>
      </c>
      <c r="Q306" s="5">
        <v>7</v>
      </c>
      <c r="R306" s="5">
        <v>0.42</v>
      </c>
      <c r="S306" s="5"/>
      <c r="T306" s="5"/>
      <c r="U306" s="5"/>
      <c r="V306" s="5"/>
      <c r="W306" s="5"/>
      <c r="X306" s="5"/>
      <c r="Y306" s="5" t="s">
        <v>1731</v>
      </c>
      <c r="Z306" s="5" t="s">
        <v>426</v>
      </c>
      <c r="AA306" s="5" t="s">
        <v>1732</v>
      </c>
      <c r="AB306" s="5" t="s">
        <v>45</v>
      </c>
      <c r="AC306" s="5"/>
      <c r="AD306" s="5"/>
      <c r="AE306" s="5"/>
      <c r="AF306"/>
      <c r="AG306" s="9">
        <f t="shared" si="4"/>
        <v>43276</v>
      </c>
    </row>
    <row r="307" s="6" customFormat="1" spans="1:33">
      <c r="A307" s="5" t="s">
        <v>1733</v>
      </c>
      <c r="B307" s="5" t="s">
        <v>1733</v>
      </c>
      <c r="C307" s="5" t="s">
        <v>1734</v>
      </c>
      <c r="D307" s="5" t="s">
        <v>1735</v>
      </c>
      <c r="E307" s="5" t="s">
        <v>35</v>
      </c>
      <c r="F307" s="5" t="s">
        <v>36</v>
      </c>
      <c r="G307" s="5" t="s">
        <v>37</v>
      </c>
      <c r="H307" s="5"/>
      <c r="I307" s="5"/>
      <c r="J307" s="5" t="s">
        <v>59</v>
      </c>
      <c r="K307" s="5" t="s">
        <v>50</v>
      </c>
      <c r="L307" s="5" t="s">
        <v>51</v>
      </c>
      <c r="M307" s="5" t="s">
        <v>52</v>
      </c>
      <c r="N307" s="5" t="s">
        <v>35</v>
      </c>
      <c r="O307" s="5">
        <v>1</v>
      </c>
      <c r="P307" s="5" t="s">
        <v>42</v>
      </c>
      <c r="Q307" s="5">
        <v>7</v>
      </c>
      <c r="R307" s="5"/>
      <c r="S307" s="5"/>
      <c r="T307" s="5"/>
      <c r="U307" s="5"/>
      <c r="V307" s="5"/>
      <c r="W307" s="5"/>
      <c r="X307" s="5"/>
      <c r="Y307" s="5" t="s">
        <v>1736</v>
      </c>
      <c r="Z307" s="5" t="s">
        <v>73</v>
      </c>
      <c r="AA307" s="5">
        <v>75010</v>
      </c>
      <c r="AB307" s="5" t="s">
        <v>45</v>
      </c>
      <c r="AC307" s="5"/>
      <c r="AD307" s="5"/>
      <c r="AE307" s="5"/>
      <c r="AF307"/>
      <c r="AG307" s="9">
        <f t="shared" si="4"/>
        <v>43276</v>
      </c>
    </row>
    <row r="308" s="6" customFormat="1" spans="1:33">
      <c r="A308" s="5" t="s">
        <v>1737</v>
      </c>
      <c r="B308" s="5" t="s">
        <v>1737</v>
      </c>
      <c r="C308" s="5" t="s">
        <v>1738</v>
      </c>
      <c r="D308" s="5" t="s">
        <v>1739</v>
      </c>
      <c r="E308" s="5" t="s">
        <v>35</v>
      </c>
      <c r="F308" s="5" t="s">
        <v>36</v>
      </c>
      <c r="G308" s="5" t="s">
        <v>37</v>
      </c>
      <c r="H308" s="5"/>
      <c r="I308" s="5"/>
      <c r="J308" s="5" t="s">
        <v>59</v>
      </c>
      <c r="K308" s="5" t="s">
        <v>50</v>
      </c>
      <c r="L308" s="5" t="s">
        <v>51</v>
      </c>
      <c r="M308" s="5" t="s">
        <v>52</v>
      </c>
      <c r="N308" s="5" t="s">
        <v>35</v>
      </c>
      <c r="O308" s="5">
        <v>1</v>
      </c>
      <c r="P308" s="5" t="s">
        <v>42</v>
      </c>
      <c r="Q308" s="5">
        <v>7</v>
      </c>
      <c r="R308" s="5"/>
      <c r="S308" s="5"/>
      <c r="T308" s="5"/>
      <c r="U308" s="5"/>
      <c r="V308" s="5"/>
      <c r="W308" s="5"/>
      <c r="X308" s="5"/>
      <c r="Y308" s="5" t="s">
        <v>1740</v>
      </c>
      <c r="Z308" s="5" t="s">
        <v>153</v>
      </c>
      <c r="AA308" s="5" t="s">
        <v>1741</v>
      </c>
      <c r="AB308" s="5" t="s">
        <v>45</v>
      </c>
      <c r="AC308" s="5"/>
      <c r="AD308" s="5"/>
      <c r="AE308" s="5"/>
      <c r="AF308" s="8"/>
      <c r="AG308" s="9">
        <f t="shared" si="4"/>
        <v>43276</v>
      </c>
    </row>
    <row r="309" s="6" customFormat="1" spans="1:33">
      <c r="A309" s="5" t="s">
        <v>1742</v>
      </c>
      <c r="B309" s="5" t="s">
        <v>1742</v>
      </c>
      <c r="C309" s="5" t="s">
        <v>1743</v>
      </c>
      <c r="D309" s="5" t="s">
        <v>1744</v>
      </c>
      <c r="E309" s="5" t="s">
        <v>35</v>
      </c>
      <c r="F309" s="5" t="s">
        <v>36</v>
      </c>
      <c r="G309" s="5" t="s">
        <v>37</v>
      </c>
      <c r="H309" s="5"/>
      <c r="I309" s="5"/>
      <c r="J309" s="5" t="s">
        <v>59</v>
      </c>
      <c r="K309" s="5" t="s">
        <v>94</v>
      </c>
      <c r="L309" s="5" t="s">
        <v>95</v>
      </c>
      <c r="M309" s="5" t="s">
        <v>96</v>
      </c>
      <c r="N309" s="5" t="s">
        <v>35</v>
      </c>
      <c r="O309" s="5">
        <v>1</v>
      </c>
      <c r="P309" s="5" t="s">
        <v>42</v>
      </c>
      <c r="Q309" s="5">
        <v>14.99</v>
      </c>
      <c r="R309" s="5"/>
      <c r="S309" s="5"/>
      <c r="T309" s="5"/>
      <c r="U309" s="5"/>
      <c r="V309" s="5"/>
      <c r="W309" s="5"/>
      <c r="X309" s="5"/>
      <c r="Y309" s="5" t="s">
        <v>1745</v>
      </c>
      <c r="Z309" s="5" t="s">
        <v>1583</v>
      </c>
      <c r="AA309" s="5" t="s">
        <v>1746</v>
      </c>
      <c r="AB309" s="5" t="s">
        <v>45</v>
      </c>
      <c r="AC309" s="5"/>
      <c r="AD309" s="5"/>
      <c r="AE309" s="5"/>
      <c r="AF309" s="8"/>
      <c r="AG309" s="9">
        <f t="shared" si="4"/>
        <v>43276</v>
      </c>
    </row>
    <row r="310" s="6" customFormat="1" spans="1:33">
      <c r="A310" s="5" t="s">
        <v>1747</v>
      </c>
      <c r="B310" s="5" t="s">
        <v>1747</v>
      </c>
      <c r="C310" s="5" t="s">
        <v>1748</v>
      </c>
      <c r="D310" s="5" t="s">
        <v>1749</v>
      </c>
      <c r="E310" s="5" t="s">
        <v>35</v>
      </c>
      <c r="F310" s="5" t="s">
        <v>36</v>
      </c>
      <c r="G310" s="5" t="s">
        <v>37</v>
      </c>
      <c r="H310" s="5"/>
      <c r="I310" s="5"/>
      <c r="J310" s="5" t="s">
        <v>59</v>
      </c>
      <c r="K310" s="5" t="s">
        <v>50</v>
      </c>
      <c r="L310" s="5" t="s">
        <v>51</v>
      </c>
      <c r="M310" s="5" t="s">
        <v>52</v>
      </c>
      <c r="N310" s="5" t="s">
        <v>35</v>
      </c>
      <c r="O310" s="5">
        <v>1</v>
      </c>
      <c r="P310" s="5" t="s">
        <v>42</v>
      </c>
      <c r="Q310" s="5">
        <v>7</v>
      </c>
      <c r="R310" s="5"/>
      <c r="S310" s="5"/>
      <c r="T310" s="5"/>
      <c r="U310" s="5"/>
      <c r="V310" s="5"/>
      <c r="W310" s="5"/>
      <c r="X310" s="5"/>
      <c r="Y310" s="5" t="s">
        <v>1397</v>
      </c>
      <c r="Z310" s="5" t="s">
        <v>54</v>
      </c>
      <c r="AA310" s="5" t="s">
        <v>1750</v>
      </c>
      <c r="AB310" s="5" t="s">
        <v>45</v>
      </c>
      <c r="AC310" s="5"/>
      <c r="AD310" s="5"/>
      <c r="AE310" s="5"/>
      <c r="AF310" s="8"/>
      <c r="AG310" s="9">
        <f t="shared" si="4"/>
        <v>43276</v>
      </c>
    </row>
    <row r="311" s="6" customFormat="1" spans="1:33">
      <c r="A311" s="5" t="s">
        <v>1751</v>
      </c>
      <c r="B311" s="5" t="s">
        <v>1751</v>
      </c>
      <c r="C311" s="5" t="s">
        <v>1752</v>
      </c>
      <c r="D311" s="5" t="s">
        <v>1753</v>
      </c>
      <c r="E311" s="5" t="s">
        <v>35</v>
      </c>
      <c r="F311" s="5" t="s">
        <v>36</v>
      </c>
      <c r="G311" s="5" t="s">
        <v>37</v>
      </c>
      <c r="H311" s="5"/>
      <c r="I311" s="5"/>
      <c r="J311" s="5" t="s">
        <v>38</v>
      </c>
      <c r="K311" s="5" t="s">
        <v>1754</v>
      </c>
      <c r="L311" s="5" t="s">
        <v>1755</v>
      </c>
      <c r="M311" s="5" t="s">
        <v>1756</v>
      </c>
      <c r="N311" s="5" t="s">
        <v>35</v>
      </c>
      <c r="O311" s="5">
        <v>2</v>
      </c>
      <c r="P311" s="5" t="s">
        <v>42</v>
      </c>
      <c r="Q311" s="5">
        <v>19.98</v>
      </c>
      <c r="R311" s="5"/>
      <c r="S311" s="5"/>
      <c r="T311" s="5"/>
      <c r="U311" s="5"/>
      <c r="V311" s="5"/>
      <c r="W311" s="5"/>
      <c r="X311" s="5"/>
      <c r="Y311" s="5" t="s">
        <v>1757</v>
      </c>
      <c r="Z311" s="5" t="s">
        <v>534</v>
      </c>
      <c r="AA311" s="5" t="s">
        <v>1758</v>
      </c>
      <c r="AB311" s="5" t="s">
        <v>45</v>
      </c>
      <c r="AC311" s="5"/>
      <c r="AD311" s="5"/>
      <c r="AE311" s="5"/>
      <c r="AF311" s="8"/>
      <c r="AG311" s="9">
        <f t="shared" si="4"/>
        <v>43276</v>
      </c>
    </row>
    <row r="312" s="6" customFormat="1" spans="1:33">
      <c r="A312" s="5" t="s">
        <v>1759</v>
      </c>
      <c r="B312" s="5" t="s">
        <v>1759</v>
      </c>
      <c r="C312" s="5" t="s">
        <v>1760</v>
      </c>
      <c r="D312" s="5" t="s">
        <v>1761</v>
      </c>
      <c r="E312" s="5" t="s">
        <v>35</v>
      </c>
      <c r="F312" s="5" t="s">
        <v>36</v>
      </c>
      <c r="G312" s="5" t="s">
        <v>37</v>
      </c>
      <c r="H312" s="5"/>
      <c r="I312" s="5"/>
      <c r="J312" s="5" t="s">
        <v>59</v>
      </c>
      <c r="K312" s="5" t="s">
        <v>50</v>
      </c>
      <c r="L312" s="5" t="s">
        <v>51</v>
      </c>
      <c r="M312" s="5" t="s">
        <v>52</v>
      </c>
      <c r="N312" s="5" t="s">
        <v>35</v>
      </c>
      <c r="O312" s="5">
        <v>1</v>
      </c>
      <c r="P312" s="5" t="s">
        <v>42</v>
      </c>
      <c r="Q312" s="5">
        <v>7</v>
      </c>
      <c r="R312" s="5">
        <v>0.42</v>
      </c>
      <c r="S312" s="5"/>
      <c r="T312" s="5"/>
      <c r="U312" s="5"/>
      <c r="V312" s="5"/>
      <c r="W312" s="5"/>
      <c r="X312" s="5"/>
      <c r="Y312" s="5" t="s">
        <v>1762</v>
      </c>
      <c r="Z312" s="5" t="s">
        <v>426</v>
      </c>
      <c r="AA312" s="5" t="s">
        <v>1763</v>
      </c>
      <c r="AB312" s="5" t="s">
        <v>45</v>
      </c>
      <c r="AC312" s="5"/>
      <c r="AD312" s="5"/>
      <c r="AE312" s="5"/>
      <c r="AF312"/>
      <c r="AG312" s="9">
        <f t="shared" si="4"/>
        <v>43276</v>
      </c>
    </row>
    <row r="313" s="6" customFormat="1" spans="1:33">
      <c r="A313" s="5" t="s">
        <v>1764</v>
      </c>
      <c r="B313" s="5" t="s">
        <v>1764</v>
      </c>
      <c r="C313" s="5" t="s">
        <v>1765</v>
      </c>
      <c r="D313" s="5" t="s">
        <v>1766</v>
      </c>
      <c r="E313" s="5" t="s">
        <v>35</v>
      </c>
      <c r="F313" s="5" t="s">
        <v>36</v>
      </c>
      <c r="G313" s="5" t="s">
        <v>37</v>
      </c>
      <c r="H313" s="5"/>
      <c r="I313" s="5"/>
      <c r="J313" s="5" t="s">
        <v>59</v>
      </c>
      <c r="K313" s="5" t="s">
        <v>50</v>
      </c>
      <c r="L313" s="5" t="s">
        <v>51</v>
      </c>
      <c r="M313" s="5" t="s">
        <v>52</v>
      </c>
      <c r="N313" s="5" t="s">
        <v>35</v>
      </c>
      <c r="O313" s="5">
        <v>1</v>
      </c>
      <c r="P313" s="5" t="s">
        <v>42</v>
      </c>
      <c r="Q313" s="5">
        <v>7</v>
      </c>
      <c r="R313" s="5"/>
      <c r="S313" s="5"/>
      <c r="T313" s="5"/>
      <c r="U313" s="5"/>
      <c r="V313" s="5"/>
      <c r="W313" s="5"/>
      <c r="X313" s="5"/>
      <c r="Y313" s="5" t="s">
        <v>1680</v>
      </c>
      <c r="Z313" s="5" t="s">
        <v>1681</v>
      </c>
      <c r="AA313" s="5" t="s">
        <v>1767</v>
      </c>
      <c r="AB313" s="5" t="s">
        <v>45</v>
      </c>
      <c r="AC313" s="5"/>
      <c r="AD313" s="5"/>
      <c r="AE313" s="5"/>
      <c r="AF313"/>
      <c r="AG313" s="9">
        <f t="shared" si="4"/>
        <v>43276</v>
      </c>
    </row>
    <row r="314" s="6" customFormat="1" spans="1:33">
      <c r="A314" s="5" t="s">
        <v>1768</v>
      </c>
      <c r="B314" s="5" t="s">
        <v>1768</v>
      </c>
      <c r="C314" s="5" t="s">
        <v>1769</v>
      </c>
      <c r="D314" s="5" t="s">
        <v>1770</v>
      </c>
      <c r="E314" s="5" t="s">
        <v>35</v>
      </c>
      <c r="F314" s="5" t="s">
        <v>36</v>
      </c>
      <c r="G314" s="5" t="s">
        <v>37</v>
      </c>
      <c r="H314" s="5"/>
      <c r="I314" s="5"/>
      <c r="J314" s="5" t="s">
        <v>59</v>
      </c>
      <c r="K314" s="5" t="s">
        <v>539</v>
      </c>
      <c r="L314" s="5" t="s">
        <v>540</v>
      </c>
      <c r="M314" s="5" t="s">
        <v>541</v>
      </c>
      <c r="N314" s="5" t="s">
        <v>35</v>
      </c>
      <c r="O314" s="5">
        <v>1</v>
      </c>
      <c r="P314" s="5" t="s">
        <v>42</v>
      </c>
      <c r="Q314" s="5">
        <v>19.99</v>
      </c>
      <c r="R314" s="5"/>
      <c r="S314" s="5"/>
      <c r="T314" s="5"/>
      <c r="U314" s="5"/>
      <c r="V314" s="5"/>
      <c r="W314" s="5"/>
      <c r="X314" s="5"/>
      <c r="Y314" s="5" t="s">
        <v>1771</v>
      </c>
      <c r="Z314" s="5" t="s">
        <v>780</v>
      </c>
      <c r="AA314" s="5" t="s">
        <v>1772</v>
      </c>
      <c r="AB314" s="5" t="s">
        <v>45</v>
      </c>
      <c r="AC314" s="5"/>
      <c r="AD314" s="5"/>
      <c r="AE314" s="5"/>
      <c r="AF314"/>
      <c r="AG314" s="9">
        <f t="shared" si="4"/>
        <v>43276</v>
      </c>
    </row>
    <row r="315" s="6" customFormat="1" spans="1:33">
      <c r="A315" s="5" t="s">
        <v>1773</v>
      </c>
      <c r="B315" s="5" t="s">
        <v>1773</v>
      </c>
      <c r="C315" s="5" t="s">
        <v>1774</v>
      </c>
      <c r="D315" s="5" t="s">
        <v>1775</v>
      </c>
      <c r="E315" s="5" t="s">
        <v>35</v>
      </c>
      <c r="F315" s="5" t="s">
        <v>36</v>
      </c>
      <c r="G315" s="5" t="s">
        <v>37</v>
      </c>
      <c r="H315" s="5"/>
      <c r="I315" s="5"/>
      <c r="J315" s="5" t="s">
        <v>38</v>
      </c>
      <c r="K315" s="5" t="s">
        <v>539</v>
      </c>
      <c r="L315" s="5" t="s">
        <v>540</v>
      </c>
      <c r="M315" s="5" t="s">
        <v>541</v>
      </c>
      <c r="N315" s="5" t="s">
        <v>35</v>
      </c>
      <c r="O315" s="5">
        <v>2</v>
      </c>
      <c r="P315" s="5" t="s">
        <v>42</v>
      </c>
      <c r="Q315" s="5">
        <v>39.98</v>
      </c>
      <c r="R315" s="5"/>
      <c r="S315" s="5"/>
      <c r="T315" s="5"/>
      <c r="U315" s="5"/>
      <c r="V315" s="5"/>
      <c r="W315" s="5"/>
      <c r="X315" s="5"/>
      <c r="Y315" s="5" t="s">
        <v>1776</v>
      </c>
      <c r="Z315" s="5" t="s">
        <v>244</v>
      </c>
      <c r="AA315" s="5">
        <v>30233</v>
      </c>
      <c r="AB315" s="5" t="s">
        <v>45</v>
      </c>
      <c r="AC315" s="5"/>
      <c r="AD315" s="5"/>
      <c r="AE315" s="5"/>
      <c r="AF315"/>
      <c r="AG315" s="9">
        <f t="shared" si="4"/>
        <v>43276</v>
      </c>
    </row>
    <row r="316" s="6" customFormat="1" spans="1:33">
      <c r="A316" s="5" t="s">
        <v>1777</v>
      </c>
      <c r="B316" s="5" t="s">
        <v>1777</v>
      </c>
      <c r="C316" s="5" t="s">
        <v>1778</v>
      </c>
      <c r="D316" s="5" t="s">
        <v>1779</v>
      </c>
      <c r="E316" s="5" t="s">
        <v>35</v>
      </c>
      <c r="F316" s="5" t="s">
        <v>36</v>
      </c>
      <c r="G316" s="5" t="s">
        <v>37</v>
      </c>
      <c r="H316" s="5"/>
      <c r="I316" s="5"/>
      <c r="J316" s="5" t="s">
        <v>59</v>
      </c>
      <c r="K316" s="5" t="s">
        <v>1780</v>
      </c>
      <c r="L316" s="5" t="s">
        <v>1781</v>
      </c>
      <c r="M316" s="5" t="s">
        <v>1782</v>
      </c>
      <c r="N316" s="5" t="s">
        <v>35</v>
      </c>
      <c r="O316" s="5">
        <v>1</v>
      </c>
      <c r="P316" s="5" t="s">
        <v>42</v>
      </c>
      <c r="Q316" s="5">
        <v>9.77</v>
      </c>
      <c r="R316" s="5"/>
      <c r="S316" s="5"/>
      <c r="T316" s="5"/>
      <c r="U316" s="5"/>
      <c r="V316" s="5"/>
      <c r="W316" s="5"/>
      <c r="X316" s="5"/>
      <c r="Y316" s="5" t="s">
        <v>1783</v>
      </c>
      <c r="Z316" s="5" t="s">
        <v>432</v>
      </c>
      <c r="AA316" s="5" t="s">
        <v>1784</v>
      </c>
      <c r="AB316" s="5" t="s">
        <v>45</v>
      </c>
      <c r="AC316" s="5"/>
      <c r="AD316" s="5"/>
      <c r="AE316" s="5"/>
      <c r="AF316"/>
      <c r="AG316" s="9">
        <f t="shared" si="4"/>
        <v>43276</v>
      </c>
    </row>
    <row r="317" s="6" customFormat="1" spans="1:33">
      <c r="A317" s="5" t="s">
        <v>1785</v>
      </c>
      <c r="B317" s="5" t="s">
        <v>1785</v>
      </c>
      <c r="C317" s="5" t="s">
        <v>1786</v>
      </c>
      <c r="D317" s="5" t="s">
        <v>1787</v>
      </c>
      <c r="E317" s="5" t="s">
        <v>35</v>
      </c>
      <c r="F317" s="5" t="s">
        <v>36</v>
      </c>
      <c r="G317" s="5" t="s">
        <v>37</v>
      </c>
      <c r="H317" s="5"/>
      <c r="I317" s="5"/>
      <c r="J317" s="5" t="s">
        <v>59</v>
      </c>
      <c r="K317" s="5" t="s">
        <v>1334</v>
      </c>
      <c r="L317" s="5" t="s">
        <v>573</v>
      </c>
      <c r="M317" s="5" t="s">
        <v>574</v>
      </c>
      <c r="N317" s="5" t="s">
        <v>35</v>
      </c>
      <c r="O317" s="5">
        <v>1</v>
      </c>
      <c r="P317" s="5" t="s">
        <v>42</v>
      </c>
      <c r="Q317" s="5">
        <v>14.99</v>
      </c>
      <c r="R317" s="5"/>
      <c r="S317" s="5"/>
      <c r="T317" s="5"/>
      <c r="U317" s="5"/>
      <c r="V317" s="5"/>
      <c r="W317" s="5"/>
      <c r="X317" s="5"/>
      <c r="Y317" s="5" t="s">
        <v>1788</v>
      </c>
      <c r="Z317" s="5" t="s">
        <v>1583</v>
      </c>
      <c r="AA317" s="5" t="s">
        <v>1789</v>
      </c>
      <c r="AB317" s="5" t="s">
        <v>45</v>
      </c>
      <c r="AC317" s="5"/>
      <c r="AD317" s="5"/>
      <c r="AE317" s="5"/>
      <c r="AF317"/>
      <c r="AG317" s="9">
        <f t="shared" si="4"/>
        <v>43276</v>
      </c>
    </row>
    <row r="318" s="6" customFormat="1" spans="1:33">
      <c r="A318" s="5" t="s">
        <v>1790</v>
      </c>
      <c r="B318" s="5" t="s">
        <v>1790</v>
      </c>
      <c r="C318" s="5" t="s">
        <v>1791</v>
      </c>
      <c r="D318" s="5" t="s">
        <v>1792</v>
      </c>
      <c r="E318" s="5" t="s">
        <v>35</v>
      </c>
      <c r="F318" s="5" t="s">
        <v>36</v>
      </c>
      <c r="G318" s="5" t="s">
        <v>37</v>
      </c>
      <c r="H318" s="5"/>
      <c r="I318" s="5"/>
      <c r="J318" s="5" t="s">
        <v>59</v>
      </c>
      <c r="K318" s="5" t="s">
        <v>539</v>
      </c>
      <c r="L318" s="5" t="s">
        <v>540</v>
      </c>
      <c r="M318" s="5" t="s">
        <v>541</v>
      </c>
      <c r="N318" s="5" t="s">
        <v>35</v>
      </c>
      <c r="O318" s="5">
        <v>2</v>
      </c>
      <c r="P318" s="5" t="s">
        <v>42</v>
      </c>
      <c r="Q318" s="5">
        <v>39.98</v>
      </c>
      <c r="R318" s="5"/>
      <c r="S318" s="5"/>
      <c r="T318" s="5"/>
      <c r="U318" s="5"/>
      <c r="V318" s="5"/>
      <c r="W318" s="5"/>
      <c r="X318" s="5"/>
      <c r="Y318" s="5" t="s">
        <v>1793</v>
      </c>
      <c r="Z318" s="5" t="s">
        <v>780</v>
      </c>
      <c r="AA318" s="5">
        <v>53217</v>
      </c>
      <c r="AB318" s="5" t="s">
        <v>45</v>
      </c>
      <c r="AC318" s="5"/>
      <c r="AD318" s="5"/>
      <c r="AE318" s="5"/>
      <c r="AF318"/>
      <c r="AG318" s="9">
        <f t="shared" si="4"/>
        <v>43277</v>
      </c>
    </row>
    <row r="319" s="6" customFormat="1" spans="1:33">
      <c r="A319" s="5" t="s">
        <v>1794</v>
      </c>
      <c r="B319" s="5" t="s">
        <v>1794</v>
      </c>
      <c r="C319" s="5" t="s">
        <v>1795</v>
      </c>
      <c r="D319" s="5" t="s">
        <v>1796</v>
      </c>
      <c r="E319" s="5" t="s">
        <v>35</v>
      </c>
      <c r="F319" s="5" t="s">
        <v>36</v>
      </c>
      <c r="G319" s="5" t="s">
        <v>37</v>
      </c>
      <c r="H319" s="5"/>
      <c r="I319" s="5"/>
      <c r="J319" s="5" t="s">
        <v>59</v>
      </c>
      <c r="K319" s="5" t="s">
        <v>539</v>
      </c>
      <c r="L319" s="5" t="s">
        <v>540</v>
      </c>
      <c r="M319" s="5" t="s">
        <v>541</v>
      </c>
      <c r="N319" s="5" t="s">
        <v>35</v>
      </c>
      <c r="O319" s="5">
        <v>2</v>
      </c>
      <c r="P319" s="5" t="s">
        <v>42</v>
      </c>
      <c r="Q319" s="5">
        <v>39.98</v>
      </c>
      <c r="R319" s="5"/>
      <c r="S319" s="5"/>
      <c r="T319" s="5"/>
      <c r="U319" s="5"/>
      <c r="V319" s="5"/>
      <c r="W319" s="5"/>
      <c r="X319" s="5"/>
      <c r="Y319" s="5" t="s">
        <v>1797</v>
      </c>
      <c r="Z319" s="5" t="s">
        <v>1798</v>
      </c>
      <c r="AA319" s="5">
        <v>77365</v>
      </c>
      <c r="AB319" s="5" t="s">
        <v>45</v>
      </c>
      <c r="AC319" s="5"/>
      <c r="AD319" s="5"/>
      <c r="AE319" s="5"/>
      <c r="AF319"/>
      <c r="AG319" s="9">
        <f t="shared" si="4"/>
        <v>43277</v>
      </c>
    </row>
    <row r="320" s="6" customFormat="1" spans="1:33">
      <c r="A320" s="5" t="s">
        <v>1799</v>
      </c>
      <c r="B320" s="5" t="s">
        <v>1799</v>
      </c>
      <c r="C320" s="5" t="s">
        <v>1800</v>
      </c>
      <c r="D320" s="5" t="s">
        <v>1801</v>
      </c>
      <c r="E320" s="5" t="s">
        <v>35</v>
      </c>
      <c r="F320" s="5" t="s">
        <v>36</v>
      </c>
      <c r="G320" s="5" t="s">
        <v>37</v>
      </c>
      <c r="H320" s="5"/>
      <c r="I320" s="5"/>
      <c r="J320" s="5" t="s">
        <v>59</v>
      </c>
      <c r="K320" s="5" t="s">
        <v>1802</v>
      </c>
      <c r="L320" s="5" t="s">
        <v>526</v>
      </c>
      <c r="M320" s="5" t="s">
        <v>527</v>
      </c>
      <c r="N320" s="5" t="s">
        <v>35</v>
      </c>
      <c r="O320" s="5">
        <v>1</v>
      </c>
      <c r="P320" s="5" t="s">
        <v>42</v>
      </c>
      <c r="Q320" s="5">
        <v>11.99</v>
      </c>
      <c r="R320" s="5"/>
      <c r="S320" s="5"/>
      <c r="T320" s="5"/>
      <c r="U320" s="5"/>
      <c r="V320" s="5"/>
      <c r="W320" s="5"/>
      <c r="X320" s="5"/>
      <c r="Y320" s="5" t="s">
        <v>1803</v>
      </c>
      <c r="Z320" s="5" t="s">
        <v>127</v>
      </c>
      <c r="AA320" s="5" t="s">
        <v>1804</v>
      </c>
      <c r="AB320" s="5" t="s">
        <v>45</v>
      </c>
      <c r="AC320" s="5"/>
      <c r="AD320" s="5"/>
      <c r="AE320" s="5"/>
      <c r="AF320"/>
      <c r="AG320" s="9">
        <f t="shared" si="4"/>
        <v>43277</v>
      </c>
    </row>
    <row r="321" s="6" customFormat="1" spans="1:33">
      <c r="A321" s="5" t="s">
        <v>1805</v>
      </c>
      <c r="B321" s="5" t="s">
        <v>1805</v>
      </c>
      <c r="C321" s="5" t="s">
        <v>1806</v>
      </c>
      <c r="D321" s="5" t="s">
        <v>1807</v>
      </c>
      <c r="E321" s="5" t="s">
        <v>35</v>
      </c>
      <c r="F321" s="5" t="s">
        <v>36</v>
      </c>
      <c r="G321" s="5" t="s">
        <v>37</v>
      </c>
      <c r="H321" s="5"/>
      <c r="I321" s="5"/>
      <c r="J321" s="5" t="s">
        <v>59</v>
      </c>
      <c r="K321" s="5" t="s">
        <v>94</v>
      </c>
      <c r="L321" s="5" t="s">
        <v>95</v>
      </c>
      <c r="M321" s="5" t="s">
        <v>96</v>
      </c>
      <c r="N321" s="5" t="s">
        <v>35</v>
      </c>
      <c r="O321" s="5">
        <v>1</v>
      </c>
      <c r="P321" s="5" t="s">
        <v>42</v>
      </c>
      <c r="Q321" s="5">
        <v>14.99</v>
      </c>
      <c r="R321" s="5"/>
      <c r="S321" s="5"/>
      <c r="T321" s="5"/>
      <c r="U321" s="5"/>
      <c r="V321" s="5"/>
      <c r="W321" s="5"/>
      <c r="X321" s="5"/>
      <c r="Y321" s="5" t="s">
        <v>1808</v>
      </c>
      <c r="Z321" s="5" t="s">
        <v>895</v>
      </c>
      <c r="AA321" s="5" t="s">
        <v>1809</v>
      </c>
      <c r="AB321" s="5" t="s">
        <v>45</v>
      </c>
      <c r="AC321" s="5"/>
      <c r="AD321" s="5"/>
      <c r="AE321" s="5"/>
      <c r="AG321" s="9">
        <f t="shared" si="4"/>
        <v>43277</v>
      </c>
    </row>
    <row r="322" s="6" customFormat="1" spans="1:33">
      <c r="A322" s="5" t="s">
        <v>1810</v>
      </c>
      <c r="B322" s="5" t="s">
        <v>1810</v>
      </c>
      <c r="C322" s="5" t="s">
        <v>1811</v>
      </c>
      <c r="D322" s="5" t="s">
        <v>1812</v>
      </c>
      <c r="E322" s="5" t="s">
        <v>35</v>
      </c>
      <c r="F322" s="5" t="s">
        <v>36</v>
      </c>
      <c r="G322" s="5" t="s">
        <v>37</v>
      </c>
      <c r="H322" s="5"/>
      <c r="I322" s="5"/>
      <c r="J322" s="5" t="s">
        <v>49</v>
      </c>
      <c r="K322" s="5" t="s">
        <v>1452</v>
      </c>
      <c r="L322" s="5" t="s">
        <v>553</v>
      </c>
      <c r="M322" s="5" t="s">
        <v>554</v>
      </c>
      <c r="N322" s="5" t="s">
        <v>35</v>
      </c>
      <c r="O322" s="5">
        <v>1</v>
      </c>
      <c r="P322" s="5" t="s">
        <v>42</v>
      </c>
      <c r="Q322" s="5">
        <v>18.99</v>
      </c>
      <c r="R322" s="5"/>
      <c r="S322" s="5">
        <v>12.99</v>
      </c>
      <c r="T322" s="5"/>
      <c r="U322" s="5"/>
      <c r="V322" s="5"/>
      <c r="W322" s="5">
        <v>0.95</v>
      </c>
      <c r="X322" s="5"/>
      <c r="Y322" s="5" t="s">
        <v>1813</v>
      </c>
      <c r="Z322" s="5" t="s">
        <v>1814</v>
      </c>
      <c r="AA322" s="5">
        <v>926</v>
      </c>
      <c r="AB322" s="5" t="s">
        <v>45</v>
      </c>
      <c r="AC322" s="5" t="s">
        <v>558</v>
      </c>
      <c r="AD322" s="5"/>
      <c r="AE322" s="5"/>
      <c r="AG322" s="9">
        <f t="shared" ref="AG322:AG385" si="5">DATEVALUE(LEFT(C322,10))</f>
        <v>43277</v>
      </c>
    </row>
    <row r="323" s="6" customFormat="1" spans="1:33">
      <c r="A323" s="5" t="s">
        <v>1810</v>
      </c>
      <c r="B323" s="5" t="s">
        <v>1810</v>
      </c>
      <c r="C323" s="5" t="s">
        <v>1811</v>
      </c>
      <c r="D323" s="5" t="s">
        <v>1812</v>
      </c>
      <c r="E323" s="5" t="s">
        <v>35</v>
      </c>
      <c r="F323" s="5" t="s">
        <v>36</v>
      </c>
      <c r="G323" s="5" t="s">
        <v>37</v>
      </c>
      <c r="H323" s="5"/>
      <c r="I323" s="5"/>
      <c r="J323" s="5" t="s">
        <v>49</v>
      </c>
      <c r="K323" s="5" t="s">
        <v>1334</v>
      </c>
      <c r="L323" s="5" t="s">
        <v>573</v>
      </c>
      <c r="M323" s="5" t="s">
        <v>574</v>
      </c>
      <c r="N323" s="5" t="s">
        <v>35</v>
      </c>
      <c r="O323" s="5">
        <v>1</v>
      </c>
      <c r="P323" s="5" t="s">
        <v>42</v>
      </c>
      <c r="Q323" s="5">
        <v>18.99</v>
      </c>
      <c r="R323" s="5"/>
      <c r="S323" s="5">
        <v>12.99</v>
      </c>
      <c r="T323" s="5"/>
      <c r="U323" s="5"/>
      <c r="V323" s="5"/>
      <c r="W323" s="5">
        <v>0.95</v>
      </c>
      <c r="X323" s="5"/>
      <c r="Y323" s="5" t="s">
        <v>1813</v>
      </c>
      <c r="Z323" s="5" t="s">
        <v>1814</v>
      </c>
      <c r="AA323" s="5">
        <v>926</v>
      </c>
      <c r="AB323" s="5" t="s">
        <v>45</v>
      </c>
      <c r="AC323" s="5" t="s">
        <v>558</v>
      </c>
      <c r="AD323" s="5"/>
      <c r="AE323" s="5"/>
      <c r="AG323" s="9">
        <f t="shared" si="5"/>
        <v>43277</v>
      </c>
    </row>
    <row r="324" s="6" customFormat="1" spans="1:33">
      <c r="A324" s="5" t="s">
        <v>1815</v>
      </c>
      <c r="B324" s="5" t="s">
        <v>1815</v>
      </c>
      <c r="C324" s="5" t="s">
        <v>1816</v>
      </c>
      <c r="D324" s="5" t="s">
        <v>1817</v>
      </c>
      <c r="E324" s="5" t="s">
        <v>35</v>
      </c>
      <c r="F324" s="5" t="s">
        <v>36</v>
      </c>
      <c r="G324" s="5" t="s">
        <v>37</v>
      </c>
      <c r="H324" s="5"/>
      <c r="I324" s="5"/>
      <c r="J324" s="5" t="s">
        <v>59</v>
      </c>
      <c r="K324" s="5" t="s">
        <v>50</v>
      </c>
      <c r="L324" s="5" t="s">
        <v>51</v>
      </c>
      <c r="M324" s="5" t="s">
        <v>52</v>
      </c>
      <c r="N324" s="5" t="s">
        <v>35</v>
      </c>
      <c r="O324" s="5">
        <v>1</v>
      </c>
      <c r="P324" s="5" t="s">
        <v>42</v>
      </c>
      <c r="Q324" s="5">
        <v>7</v>
      </c>
      <c r="R324" s="5"/>
      <c r="S324" s="5"/>
      <c r="T324" s="5"/>
      <c r="U324" s="5"/>
      <c r="V324" s="5"/>
      <c r="W324" s="5"/>
      <c r="X324" s="5"/>
      <c r="Y324" s="5" t="s">
        <v>1818</v>
      </c>
      <c r="Z324" s="5" t="s">
        <v>861</v>
      </c>
      <c r="AA324" s="5" t="s">
        <v>1819</v>
      </c>
      <c r="AB324" s="5" t="s">
        <v>45</v>
      </c>
      <c r="AC324" s="5"/>
      <c r="AD324" s="5"/>
      <c r="AE324" s="5"/>
      <c r="AG324" s="9">
        <f t="shared" si="5"/>
        <v>43277</v>
      </c>
    </row>
    <row r="325" s="6" customFormat="1" spans="1:33">
      <c r="A325" s="5" t="s">
        <v>1820</v>
      </c>
      <c r="B325" s="5" t="s">
        <v>1820</v>
      </c>
      <c r="C325" s="5" t="s">
        <v>1635</v>
      </c>
      <c r="D325" s="5" t="s">
        <v>1821</v>
      </c>
      <c r="E325" s="5" t="s">
        <v>35</v>
      </c>
      <c r="F325" s="5" t="s">
        <v>36</v>
      </c>
      <c r="G325" s="5" t="s">
        <v>37</v>
      </c>
      <c r="H325" s="5"/>
      <c r="I325" s="5"/>
      <c r="J325" s="5" t="s">
        <v>38</v>
      </c>
      <c r="K325" s="5" t="s">
        <v>50</v>
      </c>
      <c r="L325" s="5" t="s">
        <v>51</v>
      </c>
      <c r="M325" s="5" t="s">
        <v>52</v>
      </c>
      <c r="N325" s="5" t="s">
        <v>35</v>
      </c>
      <c r="O325" s="5">
        <v>2</v>
      </c>
      <c r="P325" s="5" t="s">
        <v>42</v>
      </c>
      <c r="Q325" s="5">
        <v>14</v>
      </c>
      <c r="R325" s="5"/>
      <c r="S325" s="5">
        <v>3.75</v>
      </c>
      <c r="T325" s="5"/>
      <c r="U325" s="5"/>
      <c r="V325" s="5"/>
      <c r="W325" s="5"/>
      <c r="X325" s="5"/>
      <c r="Y325" s="5" t="s">
        <v>1822</v>
      </c>
      <c r="Z325" s="5" t="s">
        <v>54</v>
      </c>
      <c r="AA325" s="5" t="s">
        <v>1823</v>
      </c>
      <c r="AB325" s="5" t="s">
        <v>45</v>
      </c>
      <c r="AC325" s="5"/>
      <c r="AD325" s="5"/>
      <c r="AE325" s="5"/>
      <c r="AF325" s="8"/>
      <c r="AG325" s="9">
        <f t="shared" si="5"/>
        <v>43277</v>
      </c>
    </row>
    <row r="326" s="6" customFormat="1" spans="1:33">
      <c r="A326" s="5" t="s">
        <v>1824</v>
      </c>
      <c r="B326" s="5" t="s">
        <v>1824</v>
      </c>
      <c r="C326" s="5" t="s">
        <v>1825</v>
      </c>
      <c r="D326" s="5" t="s">
        <v>1826</v>
      </c>
      <c r="E326" s="5" t="s">
        <v>35</v>
      </c>
      <c r="F326" s="5" t="s">
        <v>36</v>
      </c>
      <c r="G326" s="5" t="s">
        <v>37</v>
      </c>
      <c r="H326" s="5"/>
      <c r="I326" s="5"/>
      <c r="J326" s="5" t="s">
        <v>59</v>
      </c>
      <c r="K326" s="5" t="s">
        <v>831</v>
      </c>
      <c r="L326" s="5" t="s">
        <v>832</v>
      </c>
      <c r="M326" s="5" t="s">
        <v>833</v>
      </c>
      <c r="N326" s="5" t="s">
        <v>35</v>
      </c>
      <c r="O326" s="5">
        <v>1</v>
      </c>
      <c r="P326" s="5" t="s">
        <v>42</v>
      </c>
      <c r="Q326" s="5">
        <v>15.99</v>
      </c>
      <c r="R326" s="5"/>
      <c r="S326" s="5"/>
      <c r="T326" s="5"/>
      <c r="U326" s="5"/>
      <c r="V326" s="5"/>
      <c r="W326" s="5"/>
      <c r="X326" s="5"/>
      <c r="Y326" s="5" t="s">
        <v>1827</v>
      </c>
      <c r="Z326" s="5" t="s">
        <v>934</v>
      </c>
      <c r="AA326" s="5" t="s">
        <v>1828</v>
      </c>
      <c r="AB326" s="5" t="s">
        <v>45</v>
      </c>
      <c r="AC326" s="5"/>
      <c r="AD326" s="5"/>
      <c r="AE326" s="5"/>
      <c r="AF326" s="8"/>
      <c r="AG326" s="9">
        <f t="shared" si="5"/>
        <v>43277</v>
      </c>
    </row>
    <row r="327" s="6" customFormat="1" spans="1:33">
      <c r="A327" s="5" t="s">
        <v>1829</v>
      </c>
      <c r="B327" s="5" t="s">
        <v>1829</v>
      </c>
      <c r="C327" s="5" t="s">
        <v>1830</v>
      </c>
      <c r="D327" s="5" t="s">
        <v>1831</v>
      </c>
      <c r="E327" s="5" t="s">
        <v>35</v>
      </c>
      <c r="F327" s="5" t="s">
        <v>36</v>
      </c>
      <c r="G327" s="5" t="s">
        <v>37</v>
      </c>
      <c r="H327" s="5"/>
      <c r="I327" s="5"/>
      <c r="J327" s="5" t="s">
        <v>59</v>
      </c>
      <c r="K327" s="5" t="s">
        <v>50</v>
      </c>
      <c r="L327" s="5" t="s">
        <v>51</v>
      </c>
      <c r="M327" s="5" t="s">
        <v>52</v>
      </c>
      <c r="N327" s="5" t="s">
        <v>35</v>
      </c>
      <c r="O327" s="5">
        <v>1</v>
      </c>
      <c r="P327" s="5" t="s">
        <v>42</v>
      </c>
      <c r="Q327" s="5">
        <v>7</v>
      </c>
      <c r="R327" s="5"/>
      <c r="S327" s="5"/>
      <c r="T327" s="5"/>
      <c r="U327" s="5"/>
      <c r="V327" s="5"/>
      <c r="W327" s="5"/>
      <c r="X327" s="5"/>
      <c r="Y327" s="5" t="s">
        <v>1832</v>
      </c>
      <c r="Z327" s="5" t="s">
        <v>153</v>
      </c>
      <c r="AA327" s="5" t="s">
        <v>1833</v>
      </c>
      <c r="AB327" s="5" t="s">
        <v>45</v>
      </c>
      <c r="AC327" s="5"/>
      <c r="AD327" s="5"/>
      <c r="AE327" s="5"/>
      <c r="AF327" s="8"/>
      <c r="AG327" s="9">
        <f t="shared" si="5"/>
        <v>43277</v>
      </c>
    </row>
    <row r="328" s="6" customFormat="1" spans="1:33">
      <c r="A328" s="5" t="s">
        <v>1834</v>
      </c>
      <c r="B328" s="5" t="s">
        <v>1834</v>
      </c>
      <c r="C328" s="5" t="s">
        <v>1835</v>
      </c>
      <c r="D328" s="5" t="s">
        <v>1836</v>
      </c>
      <c r="E328" s="5" t="s">
        <v>35</v>
      </c>
      <c r="F328" s="5" t="s">
        <v>36</v>
      </c>
      <c r="G328" s="5" t="s">
        <v>37</v>
      </c>
      <c r="H328" s="5"/>
      <c r="I328" s="5"/>
      <c r="J328" s="5" t="s">
        <v>59</v>
      </c>
      <c r="K328" s="5" t="s">
        <v>1837</v>
      </c>
      <c r="L328" s="5" t="s">
        <v>1838</v>
      </c>
      <c r="M328" s="5" t="s">
        <v>1839</v>
      </c>
      <c r="N328" s="5" t="s">
        <v>35</v>
      </c>
      <c r="O328" s="5">
        <v>1</v>
      </c>
      <c r="P328" s="5" t="s">
        <v>42</v>
      </c>
      <c r="Q328" s="5">
        <v>11.99</v>
      </c>
      <c r="R328" s="5"/>
      <c r="S328" s="5"/>
      <c r="T328" s="5"/>
      <c r="U328" s="5"/>
      <c r="V328" s="5"/>
      <c r="W328" s="5"/>
      <c r="X328" s="5"/>
      <c r="Y328" s="5" t="s">
        <v>1840</v>
      </c>
      <c r="Z328" s="5" t="s">
        <v>1392</v>
      </c>
      <c r="AA328" s="5" t="s">
        <v>1841</v>
      </c>
      <c r="AB328" s="5" t="s">
        <v>45</v>
      </c>
      <c r="AC328" s="5"/>
      <c r="AD328" s="5"/>
      <c r="AE328" s="5"/>
      <c r="AF328" s="8"/>
      <c r="AG328" s="9">
        <f t="shared" si="5"/>
        <v>43277</v>
      </c>
    </row>
    <row r="329" s="6" customFormat="1" spans="1:33">
      <c r="A329" s="5" t="s">
        <v>1842</v>
      </c>
      <c r="B329" s="5" t="s">
        <v>1842</v>
      </c>
      <c r="C329" s="5" t="s">
        <v>1843</v>
      </c>
      <c r="D329" s="5" t="s">
        <v>1844</v>
      </c>
      <c r="E329" s="5" t="s">
        <v>35</v>
      </c>
      <c r="F329" s="5" t="s">
        <v>36</v>
      </c>
      <c r="G329" s="5" t="s">
        <v>37</v>
      </c>
      <c r="H329" s="5"/>
      <c r="I329" s="5"/>
      <c r="J329" s="5" t="s">
        <v>49</v>
      </c>
      <c r="K329" s="5" t="s">
        <v>94</v>
      </c>
      <c r="L329" s="5" t="s">
        <v>95</v>
      </c>
      <c r="M329" s="5" t="s">
        <v>96</v>
      </c>
      <c r="N329" s="5" t="s">
        <v>35</v>
      </c>
      <c r="O329" s="5">
        <v>1</v>
      </c>
      <c r="P329" s="5" t="s">
        <v>42</v>
      </c>
      <c r="Q329" s="5">
        <v>14.99</v>
      </c>
      <c r="R329" s="5"/>
      <c r="S329" s="5">
        <v>1</v>
      </c>
      <c r="T329" s="5"/>
      <c r="U329" s="5"/>
      <c r="V329" s="5"/>
      <c r="W329" s="5"/>
      <c r="X329" s="5">
        <v>1</v>
      </c>
      <c r="Y329" s="5" t="s">
        <v>359</v>
      </c>
      <c r="Z329" s="5" t="s">
        <v>211</v>
      </c>
      <c r="AA329" s="5" t="s">
        <v>1845</v>
      </c>
      <c r="AB329" s="5" t="s">
        <v>45</v>
      </c>
      <c r="AC329" s="5"/>
      <c r="AD329" s="5"/>
      <c r="AE329" s="5"/>
      <c r="AF329" s="8"/>
      <c r="AG329" s="9">
        <f t="shared" si="5"/>
        <v>43277</v>
      </c>
    </row>
    <row r="330" s="6" customFormat="1" spans="1:33">
      <c r="A330" s="5" t="s">
        <v>1846</v>
      </c>
      <c r="B330" s="5" t="s">
        <v>1846</v>
      </c>
      <c r="C330" s="5" t="s">
        <v>1847</v>
      </c>
      <c r="D330" s="5" t="s">
        <v>1848</v>
      </c>
      <c r="E330" s="5" t="s">
        <v>35</v>
      </c>
      <c r="F330" s="5" t="s">
        <v>36</v>
      </c>
      <c r="G330" s="5" t="s">
        <v>37</v>
      </c>
      <c r="H330" s="5"/>
      <c r="I330" s="5"/>
      <c r="J330" s="5" t="s">
        <v>59</v>
      </c>
      <c r="K330" s="5" t="s">
        <v>50</v>
      </c>
      <c r="L330" s="5" t="s">
        <v>51</v>
      </c>
      <c r="M330" s="5" t="s">
        <v>52</v>
      </c>
      <c r="N330" s="5" t="s">
        <v>35</v>
      </c>
      <c r="O330" s="5">
        <v>1</v>
      </c>
      <c r="P330" s="5" t="s">
        <v>42</v>
      </c>
      <c r="Q330" s="5">
        <v>7</v>
      </c>
      <c r="R330" s="5"/>
      <c r="S330" s="5"/>
      <c r="T330" s="5"/>
      <c r="U330" s="5"/>
      <c r="V330" s="5"/>
      <c r="W330" s="5"/>
      <c r="X330" s="5"/>
      <c r="Y330" s="5" t="s">
        <v>1849</v>
      </c>
      <c r="Z330" s="5" t="s">
        <v>230</v>
      </c>
      <c r="AA330" s="5" t="s">
        <v>1850</v>
      </c>
      <c r="AB330" s="5" t="s">
        <v>45</v>
      </c>
      <c r="AC330" s="5"/>
      <c r="AD330" s="5"/>
      <c r="AE330" s="5"/>
      <c r="AF330" s="8"/>
      <c r="AG330" s="9">
        <f t="shared" si="5"/>
        <v>43277</v>
      </c>
    </row>
    <row r="331" s="6" customFormat="1" spans="1:33">
      <c r="A331" s="5" t="s">
        <v>1851</v>
      </c>
      <c r="B331" s="5" t="s">
        <v>1851</v>
      </c>
      <c r="C331" s="5" t="s">
        <v>1852</v>
      </c>
      <c r="D331" s="5" t="s">
        <v>1853</v>
      </c>
      <c r="E331" s="5" t="s">
        <v>35</v>
      </c>
      <c r="F331" s="5" t="s">
        <v>36</v>
      </c>
      <c r="G331" s="5" t="s">
        <v>37</v>
      </c>
      <c r="H331" s="5"/>
      <c r="I331" s="5"/>
      <c r="J331" s="5" t="s">
        <v>59</v>
      </c>
      <c r="K331" s="5" t="s">
        <v>50</v>
      </c>
      <c r="L331" s="5" t="s">
        <v>51</v>
      </c>
      <c r="M331" s="5" t="s">
        <v>52</v>
      </c>
      <c r="N331" s="5" t="s">
        <v>35</v>
      </c>
      <c r="O331" s="5">
        <v>1</v>
      </c>
      <c r="P331" s="5" t="s">
        <v>42</v>
      </c>
      <c r="Q331" s="5">
        <v>7</v>
      </c>
      <c r="R331" s="5"/>
      <c r="S331" s="5"/>
      <c r="T331" s="5"/>
      <c r="U331" s="5"/>
      <c r="V331" s="5"/>
      <c r="W331" s="5"/>
      <c r="X331" s="5"/>
      <c r="Y331" s="5" t="s">
        <v>1854</v>
      </c>
      <c r="Z331" s="5" t="s">
        <v>211</v>
      </c>
      <c r="AA331" s="5">
        <v>10591</v>
      </c>
      <c r="AB331" s="5" t="s">
        <v>45</v>
      </c>
      <c r="AC331" s="5"/>
      <c r="AD331" s="5"/>
      <c r="AE331" s="5"/>
      <c r="AF331" s="8"/>
      <c r="AG331" s="9">
        <f t="shared" si="5"/>
        <v>43277</v>
      </c>
    </row>
    <row r="332" s="6" customFormat="1" spans="1:33">
      <c r="A332" s="5" t="s">
        <v>1855</v>
      </c>
      <c r="B332" s="5" t="s">
        <v>1855</v>
      </c>
      <c r="C332" s="5" t="s">
        <v>1856</v>
      </c>
      <c r="D332" s="5" t="s">
        <v>1857</v>
      </c>
      <c r="E332" s="5" t="s">
        <v>35</v>
      </c>
      <c r="F332" s="5" t="s">
        <v>36</v>
      </c>
      <c r="G332" s="5" t="s">
        <v>37</v>
      </c>
      <c r="H332" s="5"/>
      <c r="I332" s="5"/>
      <c r="J332" s="5" t="s">
        <v>59</v>
      </c>
      <c r="K332" s="5" t="s">
        <v>50</v>
      </c>
      <c r="L332" s="5" t="s">
        <v>51</v>
      </c>
      <c r="M332" s="5" t="s">
        <v>52</v>
      </c>
      <c r="N332" s="5" t="s">
        <v>35</v>
      </c>
      <c r="O332" s="5">
        <v>1</v>
      </c>
      <c r="P332" s="5" t="s">
        <v>42</v>
      </c>
      <c r="Q332" s="5">
        <v>7</v>
      </c>
      <c r="R332" s="5"/>
      <c r="S332" s="5"/>
      <c r="T332" s="5"/>
      <c r="U332" s="5"/>
      <c r="V332" s="5"/>
      <c r="W332" s="5"/>
      <c r="X332" s="5"/>
      <c r="Y332" s="5" t="s">
        <v>1858</v>
      </c>
      <c r="Z332" s="5" t="s">
        <v>1859</v>
      </c>
      <c r="AA332" s="5" t="s">
        <v>1860</v>
      </c>
      <c r="AB332" s="5" t="s">
        <v>45</v>
      </c>
      <c r="AC332" s="5"/>
      <c r="AD332" s="5"/>
      <c r="AE332" s="5"/>
      <c r="AF332" s="8"/>
      <c r="AG332" s="9">
        <f t="shared" si="5"/>
        <v>43277</v>
      </c>
    </row>
    <row r="333" s="6" customFormat="1" spans="1:33">
      <c r="A333" s="5" t="s">
        <v>1861</v>
      </c>
      <c r="B333" s="5" t="s">
        <v>1861</v>
      </c>
      <c r="C333" s="5" t="s">
        <v>1862</v>
      </c>
      <c r="D333" s="5" t="s">
        <v>1863</v>
      </c>
      <c r="E333" s="5" t="s">
        <v>35</v>
      </c>
      <c r="F333" s="5" t="s">
        <v>36</v>
      </c>
      <c r="G333" s="5" t="s">
        <v>37</v>
      </c>
      <c r="H333" s="5"/>
      <c r="I333" s="5"/>
      <c r="J333" s="5" t="s">
        <v>59</v>
      </c>
      <c r="K333" s="5" t="s">
        <v>539</v>
      </c>
      <c r="L333" s="5" t="s">
        <v>540</v>
      </c>
      <c r="M333" s="5" t="s">
        <v>541</v>
      </c>
      <c r="N333" s="5" t="s">
        <v>35</v>
      </c>
      <c r="O333" s="5">
        <v>1</v>
      </c>
      <c r="P333" s="5" t="s">
        <v>42</v>
      </c>
      <c r="Q333" s="5">
        <v>19.99</v>
      </c>
      <c r="R333" s="5"/>
      <c r="S333" s="5"/>
      <c r="T333" s="5"/>
      <c r="U333" s="5"/>
      <c r="V333" s="5"/>
      <c r="W333" s="5"/>
      <c r="X333" s="5"/>
      <c r="Y333" s="5" t="s">
        <v>1864</v>
      </c>
      <c r="Z333" s="5" t="s">
        <v>162</v>
      </c>
      <c r="AA333" s="5" t="s">
        <v>1865</v>
      </c>
      <c r="AB333" s="5" t="s">
        <v>45</v>
      </c>
      <c r="AC333" s="5"/>
      <c r="AD333" s="5"/>
      <c r="AE333" s="5"/>
      <c r="AF333" s="8"/>
      <c r="AG333" s="9">
        <f t="shared" si="5"/>
        <v>43277</v>
      </c>
    </row>
    <row r="334" s="6" customFormat="1" spans="1:33">
      <c r="A334" s="5" t="s">
        <v>1866</v>
      </c>
      <c r="B334" s="5" t="s">
        <v>1866</v>
      </c>
      <c r="C334" s="5" t="s">
        <v>1867</v>
      </c>
      <c r="D334" s="5" t="s">
        <v>1868</v>
      </c>
      <c r="E334" s="5" t="s">
        <v>35</v>
      </c>
      <c r="F334" s="5" t="s">
        <v>36</v>
      </c>
      <c r="G334" s="5" t="s">
        <v>37</v>
      </c>
      <c r="H334" s="5"/>
      <c r="I334" s="5"/>
      <c r="J334" s="5" t="s">
        <v>59</v>
      </c>
      <c r="K334" s="5" t="s">
        <v>50</v>
      </c>
      <c r="L334" s="5" t="s">
        <v>51</v>
      </c>
      <c r="M334" s="5" t="s">
        <v>52</v>
      </c>
      <c r="N334" s="5" t="s">
        <v>35</v>
      </c>
      <c r="O334" s="5">
        <v>1</v>
      </c>
      <c r="P334" s="5" t="s">
        <v>42</v>
      </c>
      <c r="Q334" s="5">
        <v>7</v>
      </c>
      <c r="R334" s="5"/>
      <c r="S334" s="5"/>
      <c r="T334" s="5"/>
      <c r="U334" s="5"/>
      <c r="V334" s="5"/>
      <c r="W334" s="5"/>
      <c r="X334" s="5"/>
      <c r="Y334" s="5" t="s">
        <v>1745</v>
      </c>
      <c r="Z334" s="5" t="s">
        <v>1583</v>
      </c>
      <c r="AA334" s="5" t="s">
        <v>1869</v>
      </c>
      <c r="AB334" s="5" t="s">
        <v>45</v>
      </c>
      <c r="AC334" s="5"/>
      <c r="AD334" s="5"/>
      <c r="AE334" s="5"/>
      <c r="AF334" s="8"/>
      <c r="AG334" s="9">
        <f t="shared" si="5"/>
        <v>43277</v>
      </c>
    </row>
    <row r="335" s="6" customFormat="1" spans="1:33">
      <c r="A335" s="5" t="s">
        <v>1870</v>
      </c>
      <c r="B335" s="5" t="s">
        <v>1870</v>
      </c>
      <c r="C335" s="5" t="s">
        <v>1871</v>
      </c>
      <c r="D335" s="5" t="s">
        <v>1872</v>
      </c>
      <c r="E335" s="5" t="s">
        <v>35</v>
      </c>
      <c r="F335" s="5" t="s">
        <v>36</v>
      </c>
      <c r="G335" s="5" t="s">
        <v>37</v>
      </c>
      <c r="H335" s="5"/>
      <c r="I335" s="5"/>
      <c r="J335" s="5" t="s">
        <v>59</v>
      </c>
      <c r="K335" s="5" t="s">
        <v>50</v>
      </c>
      <c r="L335" s="5" t="s">
        <v>51</v>
      </c>
      <c r="M335" s="5" t="s">
        <v>52</v>
      </c>
      <c r="N335" s="5" t="s">
        <v>35</v>
      </c>
      <c r="O335" s="5">
        <v>1</v>
      </c>
      <c r="P335" s="5" t="s">
        <v>42</v>
      </c>
      <c r="Q335" s="5">
        <v>7</v>
      </c>
      <c r="R335" s="5"/>
      <c r="S335" s="5"/>
      <c r="T335" s="5"/>
      <c r="U335" s="5"/>
      <c r="V335" s="5"/>
      <c r="W335" s="5"/>
      <c r="X335" s="5"/>
      <c r="Y335" s="5" t="s">
        <v>1397</v>
      </c>
      <c r="Z335" s="5" t="s">
        <v>54</v>
      </c>
      <c r="AA335" s="5" t="s">
        <v>1873</v>
      </c>
      <c r="AB335" s="5" t="s">
        <v>45</v>
      </c>
      <c r="AC335" s="5"/>
      <c r="AD335" s="5"/>
      <c r="AE335" s="5"/>
      <c r="AF335" s="8"/>
      <c r="AG335" s="9">
        <f t="shared" si="5"/>
        <v>43277</v>
      </c>
    </row>
    <row r="336" s="6" customFormat="1" spans="1:33">
      <c r="A336" s="5" t="s">
        <v>1874</v>
      </c>
      <c r="B336" s="5" t="s">
        <v>1874</v>
      </c>
      <c r="C336" s="5" t="s">
        <v>1875</v>
      </c>
      <c r="D336" s="5" t="s">
        <v>1876</v>
      </c>
      <c r="E336" s="5" t="s">
        <v>35</v>
      </c>
      <c r="F336" s="5" t="s">
        <v>36</v>
      </c>
      <c r="G336" s="5" t="s">
        <v>37</v>
      </c>
      <c r="H336" s="5"/>
      <c r="I336" s="5"/>
      <c r="J336" s="5" t="s">
        <v>59</v>
      </c>
      <c r="K336" s="5" t="s">
        <v>50</v>
      </c>
      <c r="L336" s="5" t="s">
        <v>51</v>
      </c>
      <c r="M336" s="5" t="s">
        <v>52</v>
      </c>
      <c r="N336" s="5" t="s">
        <v>35</v>
      </c>
      <c r="O336" s="5">
        <v>1</v>
      </c>
      <c r="P336" s="5" t="s">
        <v>42</v>
      </c>
      <c r="Q336" s="5">
        <v>7</v>
      </c>
      <c r="R336" s="5">
        <v>0.42</v>
      </c>
      <c r="S336" s="5"/>
      <c r="T336" s="5"/>
      <c r="U336" s="5"/>
      <c r="V336" s="5"/>
      <c r="W336" s="5"/>
      <c r="X336" s="5"/>
      <c r="Y336" s="5" t="s">
        <v>1877</v>
      </c>
      <c r="Z336" s="5" t="s">
        <v>426</v>
      </c>
      <c r="AA336" s="5" t="s">
        <v>1878</v>
      </c>
      <c r="AB336" s="5" t="s">
        <v>45</v>
      </c>
      <c r="AC336" s="5"/>
      <c r="AD336" s="5"/>
      <c r="AE336" s="5"/>
      <c r="AF336" s="8"/>
      <c r="AG336" s="9">
        <f t="shared" si="5"/>
        <v>43277</v>
      </c>
    </row>
    <row r="337" s="6" customFormat="1" spans="1:33">
      <c r="A337" s="5" t="s">
        <v>1879</v>
      </c>
      <c r="B337" s="5" t="s">
        <v>1879</v>
      </c>
      <c r="C337" s="5" t="s">
        <v>1880</v>
      </c>
      <c r="D337" s="5" t="s">
        <v>1881</v>
      </c>
      <c r="E337" s="5" t="s">
        <v>35</v>
      </c>
      <c r="F337" s="5" t="s">
        <v>36</v>
      </c>
      <c r="G337" s="5" t="s">
        <v>37</v>
      </c>
      <c r="H337" s="5"/>
      <c r="I337" s="5"/>
      <c r="J337" s="5" t="s">
        <v>59</v>
      </c>
      <c r="K337" s="5" t="s">
        <v>50</v>
      </c>
      <c r="L337" s="5" t="s">
        <v>51</v>
      </c>
      <c r="M337" s="5" t="s">
        <v>52</v>
      </c>
      <c r="N337" s="5" t="s">
        <v>35</v>
      </c>
      <c r="O337" s="5">
        <v>1</v>
      </c>
      <c r="P337" s="5" t="s">
        <v>42</v>
      </c>
      <c r="Q337" s="5">
        <v>7</v>
      </c>
      <c r="R337" s="5">
        <v>0.42</v>
      </c>
      <c r="S337" s="5"/>
      <c r="T337" s="5"/>
      <c r="U337" s="5"/>
      <c r="V337" s="5"/>
      <c r="W337" s="5"/>
      <c r="X337" s="5"/>
      <c r="Y337" s="5" t="s">
        <v>1882</v>
      </c>
      <c r="Z337" s="5" t="s">
        <v>426</v>
      </c>
      <c r="AA337" s="5">
        <v>15010</v>
      </c>
      <c r="AB337" s="5" t="s">
        <v>45</v>
      </c>
      <c r="AC337" s="5"/>
      <c r="AD337" s="5"/>
      <c r="AE337" s="5"/>
      <c r="AF337" s="8"/>
      <c r="AG337" s="9">
        <f t="shared" si="5"/>
        <v>43277</v>
      </c>
    </row>
    <row r="338" s="6" customFormat="1" spans="1:33">
      <c r="A338" s="5" t="s">
        <v>1883</v>
      </c>
      <c r="B338" s="5" t="s">
        <v>1883</v>
      </c>
      <c r="C338" s="5" t="s">
        <v>1884</v>
      </c>
      <c r="D338" s="5" t="s">
        <v>1885</v>
      </c>
      <c r="E338" s="5" t="s">
        <v>35</v>
      </c>
      <c r="F338" s="5" t="s">
        <v>36</v>
      </c>
      <c r="G338" s="5" t="s">
        <v>37</v>
      </c>
      <c r="H338" s="5"/>
      <c r="I338" s="5"/>
      <c r="J338" s="5" t="s">
        <v>38</v>
      </c>
      <c r="K338" s="5" t="s">
        <v>50</v>
      </c>
      <c r="L338" s="5" t="s">
        <v>51</v>
      </c>
      <c r="M338" s="5" t="s">
        <v>52</v>
      </c>
      <c r="N338" s="5" t="s">
        <v>35</v>
      </c>
      <c r="O338" s="5">
        <v>1</v>
      </c>
      <c r="P338" s="5" t="s">
        <v>42</v>
      </c>
      <c r="Q338" s="5">
        <v>7</v>
      </c>
      <c r="R338" s="5"/>
      <c r="S338" s="5">
        <v>5.99</v>
      </c>
      <c r="T338" s="5"/>
      <c r="U338" s="5"/>
      <c r="V338" s="5"/>
      <c r="W338" s="5"/>
      <c r="X338" s="5"/>
      <c r="Y338" s="5" t="s">
        <v>1886</v>
      </c>
      <c r="Z338" s="5" t="s">
        <v>780</v>
      </c>
      <c r="AA338" s="5" t="s">
        <v>1887</v>
      </c>
      <c r="AB338" s="5" t="s">
        <v>45</v>
      </c>
      <c r="AC338" s="5"/>
      <c r="AD338" s="5"/>
      <c r="AE338" s="5"/>
      <c r="AF338" s="8"/>
      <c r="AG338" s="9">
        <f t="shared" si="5"/>
        <v>43277</v>
      </c>
    </row>
    <row r="339" s="6" customFormat="1" spans="1:33">
      <c r="A339" s="5" t="s">
        <v>1888</v>
      </c>
      <c r="B339" s="5" t="s">
        <v>1888</v>
      </c>
      <c r="C339" s="5" t="s">
        <v>1889</v>
      </c>
      <c r="D339" s="5" t="s">
        <v>1890</v>
      </c>
      <c r="E339" s="5" t="s">
        <v>35</v>
      </c>
      <c r="F339" s="5" t="s">
        <v>36</v>
      </c>
      <c r="G339" s="5" t="s">
        <v>37</v>
      </c>
      <c r="H339" s="5"/>
      <c r="I339" s="5"/>
      <c r="J339" s="5" t="s">
        <v>38</v>
      </c>
      <c r="K339" s="5" t="s">
        <v>655</v>
      </c>
      <c r="L339" s="5" t="s">
        <v>656</v>
      </c>
      <c r="M339" s="5" t="s">
        <v>657</v>
      </c>
      <c r="N339" s="5" t="s">
        <v>35</v>
      </c>
      <c r="O339" s="5">
        <v>1</v>
      </c>
      <c r="P339" s="5" t="s">
        <v>42</v>
      </c>
      <c r="Q339" s="5">
        <v>18.99</v>
      </c>
      <c r="R339" s="5"/>
      <c r="S339" s="5">
        <v>1.93</v>
      </c>
      <c r="T339" s="5"/>
      <c r="U339" s="5"/>
      <c r="V339" s="5"/>
      <c r="W339" s="5"/>
      <c r="X339" s="5">
        <v>1.93</v>
      </c>
      <c r="Y339" s="5" t="s">
        <v>1891</v>
      </c>
      <c r="Z339" s="5" t="s">
        <v>269</v>
      </c>
      <c r="AA339" s="5" t="s">
        <v>1892</v>
      </c>
      <c r="AB339" s="5" t="s">
        <v>45</v>
      </c>
      <c r="AC339" s="5" t="s">
        <v>328</v>
      </c>
      <c r="AD339" s="5"/>
      <c r="AE339" s="5"/>
      <c r="AF339" s="8"/>
      <c r="AG339" s="9">
        <f t="shared" si="5"/>
        <v>43278</v>
      </c>
    </row>
    <row r="340" s="6" customFormat="1" spans="1:33">
      <c r="A340" s="5" t="s">
        <v>1893</v>
      </c>
      <c r="B340" s="5" t="s">
        <v>1893</v>
      </c>
      <c r="C340" s="5" t="s">
        <v>1894</v>
      </c>
      <c r="D340" s="5" t="s">
        <v>1895</v>
      </c>
      <c r="E340" s="5" t="s">
        <v>35</v>
      </c>
      <c r="F340" s="5" t="s">
        <v>36</v>
      </c>
      <c r="G340" s="5" t="s">
        <v>37</v>
      </c>
      <c r="H340" s="5"/>
      <c r="I340" s="5"/>
      <c r="J340" s="5" t="s">
        <v>59</v>
      </c>
      <c r="K340" s="5" t="s">
        <v>1896</v>
      </c>
      <c r="L340" s="5" t="s">
        <v>78</v>
      </c>
      <c r="M340" s="5" t="s">
        <v>79</v>
      </c>
      <c r="N340" s="5" t="s">
        <v>35</v>
      </c>
      <c r="O340" s="5">
        <v>1</v>
      </c>
      <c r="P340" s="5" t="s">
        <v>42</v>
      </c>
      <c r="Q340" s="5">
        <v>9.99</v>
      </c>
      <c r="R340" s="5"/>
      <c r="S340" s="5"/>
      <c r="T340" s="5"/>
      <c r="U340" s="5"/>
      <c r="V340" s="5"/>
      <c r="W340" s="5"/>
      <c r="X340" s="5"/>
      <c r="Y340" s="5" t="s">
        <v>1897</v>
      </c>
      <c r="Z340" s="5" t="s">
        <v>153</v>
      </c>
      <c r="AA340" s="5" t="s">
        <v>1898</v>
      </c>
      <c r="AB340" s="5" t="s">
        <v>45</v>
      </c>
      <c r="AC340" s="5"/>
      <c r="AD340" s="5"/>
      <c r="AE340" s="5"/>
      <c r="AF340" s="8"/>
      <c r="AG340" s="9">
        <f t="shared" si="5"/>
        <v>43278</v>
      </c>
    </row>
    <row r="341" s="6" customFormat="1" spans="1:33">
      <c r="A341" s="5" t="s">
        <v>1899</v>
      </c>
      <c r="B341" s="5" t="s">
        <v>1899</v>
      </c>
      <c r="C341" s="5" t="s">
        <v>1900</v>
      </c>
      <c r="D341" s="5" t="s">
        <v>1901</v>
      </c>
      <c r="E341" s="5" t="s">
        <v>35</v>
      </c>
      <c r="F341" s="5" t="s">
        <v>36</v>
      </c>
      <c r="G341" s="5" t="s">
        <v>37</v>
      </c>
      <c r="H341" s="5"/>
      <c r="I341" s="5"/>
      <c r="J341" s="5" t="s">
        <v>59</v>
      </c>
      <c r="K341" s="5" t="s">
        <v>1902</v>
      </c>
      <c r="L341" s="5" t="s">
        <v>1903</v>
      </c>
      <c r="M341" s="5" t="s">
        <v>1904</v>
      </c>
      <c r="N341" s="5" t="s">
        <v>35</v>
      </c>
      <c r="O341" s="5">
        <v>2</v>
      </c>
      <c r="P341" s="5" t="s">
        <v>42</v>
      </c>
      <c r="Q341" s="5">
        <v>15.98</v>
      </c>
      <c r="R341" s="5"/>
      <c r="S341" s="5"/>
      <c r="T341" s="5"/>
      <c r="U341" s="5"/>
      <c r="V341" s="5"/>
      <c r="W341" s="5"/>
      <c r="X341" s="5"/>
      <c r="Y341" s="5" t="s">
        <v>1320</v>
      </c>
      <c r="Z341" s="5" t="s">
        <v>153</v>
      </c>
      <c r="AA341" s="5" t="s">
        <v>1905</v>
      </c>
      <c r="AB341" s="5" t="s">
        <v>45</v>
      </c>
      <c r="AC341" s="5"/>
      <c r="AD341" s="5"/>
      <c r="AE341" s="5"/>
      <c r="AF341" s="8"/>
      <c r="AG341" s="9">
        <f t="shared" si="5"/>
        <v>43278</v>
      </c>
    </row>
    <row r="342" s="6" customFormat="1" spans="1:33">
      <c r="A342" s="5" t="s">
        <v>1906</v>
      </c>
      <c r="B342" s="5" t="s">
        <v>1906</v>
      </c>
      <c r="C342" s="5" t="s">
        <v>1907</v>
      </c>
      <c r="D342" s="5" t="s">
        <v>1908</v>
      </c>
      <c r="E342" s="5" t="s">
        <v>35</v>
      </c>
      <c r="F342" s="5" t="s">
        <v>36</v>
      </c>
      <c r="G342" s="5" t="s">
        <v>37</v>
      </c>
      <c r="H342" s="5"/>
      <c r="I342" s="5"/>
      <c r="J342" s="5" t="s">
        <v>59</v>
      </c>
      <c r="K342" s="5" t="s">
        <v>539</v>
      </c>
      <c r="L342" s="5" t="s">
        <v>540</v>
      </c>
      <c r="M342" s="5" t="s">
        <v>541</v>
      </c>
      <c r="N342" s="5" t="s">
        <v>35</v>
      </c>
      <c r="O342" s="5">
        <v>1</v>
      </c>
      <c r="P342" s="5" t="s">
        <v>42</v>
      </c>
      <c r="Q342" s="5">
        <v>19.99</v>
      </c>
      <c r="R342" s="5">
        <v>1.2</v>
      </c>
      <c r="S342" s="5"/>
      <c r="T342" s="5"/>
      <c r="U342" s="5"/>
      <c r="V342" s="5"/>
      <c r="W342" s="5"/>
      <c r="X342" s="5"/>
      <c r="Y342" s="5" t="s">
        <v>1909</v>
      </c>
      <c r="Z342" s="5" t="s">
        <v>426</v>
      </c>
      <c r="AA342" s="5" t="s">
        <v>1910</v>
      </c>
      <c r="AB342" s="5" t="s">
        <v>45</v>
      </c>
      <c r="AC342" s="5"/>
      <c r="AD342" s="5"/>
      <c r="AE342" s="5"/>
      <c r="AF342" s="8"/>
      <c r="AG342" s="9">
        <f t="shared" si="5"/>
        <v>43278</v>
      </c>
    </row>
    <row r="343" s="6" customFormat="1" spans="1:33">
      <c r="A343" s="5" t="s">
        <v>1911</v>
      </c>
      <c r="B343" s="5" t="s">
        <v>1911</v>
      </c>
      <c r="C343" s="5" t="s">
        <v>1912</v>
      </c>
      <c r="D343" s="5" t="s">
        <v>1913</v>
      </c>
      <c r="E343" s="5" t="s">
        <v>35</v>
      </c>
      <c r="F343" s="5" t="s">
        <v>36</v>
      </c>
      <c r="G343" s="5" t="s">
        <v>37</v>
      </c>
      <c r="H343" s="5"/>
      <c r="I343" s="5"/>
      <c r="J343" s="5" t="s">
        <v>59</v>
      </c>
      <c r="K343" s="5" t="s">
        <v>1131</v>
      </c>
      <c r="L343" s="5" t="s">
        <v>1132</v>
      </c>
      <c r="M343" s="5" t="s">
        <v>1133</v>
      </c>
      <c r="N343" s="5" t="s">
        <v>35</v>
      </c>
      <c r="O343" s="5">
        <v>1</v>
      </c>
      <c r="P343" s="5" t="s">
        <v>42</v>
      </c>
      <c r="Q343" s="5">
        <v>9.99</v>
      </c>
      <c r="R343" s="5"/>
      <c r="S343" s="5"/>
      <c r="T343" s="5"/>
      <c r="U343" s="5"/>
      <c r="V343" s="5"/>
      <c r="W343" s="5"/>
      <c r="X343" s="5"/>
      <c r="Y343" s="5" t="s">
        <v>1914</v>
      </c>
      <c r="Z343" s="5" t="s">
        <v>534</v>
      </c>
      <c r="AA343" s="5" t="s">
        <v>1915</v>
      </c>
      <c r="AB343" s="5" t="s">
        <v>45</v>
      </c>
      <c r="AC343" s="5"/>
      <c r="AD343" s="5"/>
      <c r="AE343" s="5"/>
      <c r="AF343" s="8"/>
      <c r="AG343" s="9">
        <f t="shared" si="5"/>
        <v>43278</v>
      </c>
    </row>
    <row r="344" s="6" customFormat="1" spans="1:33">
      <c r="A344" s="5" t="s">
        <v>1911</v>
      </c>
      <c r="B344" s="5" t="s">
        <v>1911</v>
      </c>
      <c r="C344" s="5" t="s">
        <v>1912</v>
      </c>
      <c r="D344" s="5" t="s">
        <v>1913</v>
      </c>
      <c r="E344" s="5" t="s">
        <v>35</v>
      </c>
      <c r="F344" s="5" t="s">
        <v>36</v>
      </c>
      <c r="G344" s="5" t="s">
        <v>37</v>
      </c>
      <c r="H344" s="5"/>
      <c r="I344" s="5"/>
      <c r="J344" s="5" t="s">
        <v>59</v>
      </c>
      <c r="K344" s="5" t="s">
        <v>1916</v>
      </c>
      <c r="L344" s="5" t="s">
        <v>1917</v>
      </c>
      <c r="M344" s="5" t="s">
        <v>1918</v>
      </c>
      <c r="N344" s="5" t="s">
        <v>35</v>
      </c>
      <c r="O344" s="5">
        <v>1</v>
      </c>
      <c r="P344" s="5" t="s">
        <v>42</v>
      </c>
      <c r="Q344" s="5">
        <v>9.99</v>
      </c>
      <c r="R344" s="5"/>
      <c r="S344" s="5"/>
      <c r="T344" s="5"/>
      <c r="U344" s="5"/>
      <c r="V344" s="5"/>
      <c r="W344" s="5"/>
      <c r="X344" s="5"/>
      <c r="Y344" s="5" t="s">
        <v>1914</v>
      </c>
      <c r="Z344" s="5" t="s">
        <v>534</v>
      </c>
      <c r="AA344" s="5" t="s">
        <v>1915</v>
      </c>
      <c r="AB344" s="5" t="s">
        <v>45</v>
      </c>
      <c r="AC344" s="5"/>
      <c r="AD344" s="5"/>
      <c r="AE344" s="5"/>
      <c r="AF344" s="8"/>
      <c r="AG344" s="9">
        <f t="shared" si="5"/>
        <v>43278</v>
      </c>
    </row>
    <row r="345" s="6" customFormat="1" spans="1:33">
      <c r="A345" s="5" t="s">
        <v>1919</v>
      </c>
      <c r="B345" s="5" t="s">
        <v>1919</v>
      </c>
      <c r="C345" s="5" t="s">
        <v>1920</v>
      </c>
      <c r="D345" s="5" t="s">
        <v>1921</v>
      </c>
      <c r="E345" s="5" t="s">
        <v>274</v>
      </c>
      <c r="F345" s="5" t="s">
        <v>36</v>
      </c>
      <c r="G345" s="5" t="s">
        <v>37</v>
      </c>
      <c r="H345" s="5"/>
      <c r="I345" s="5"/>
      <c r="J345" s="5" t="s">
        <v>38</v>
      </c>
      <c r="K345" s="5" t="s">
        <v>688</v>
      </c>
      <c r="L345" s="5" t="s">
        <v>689</v>
      </c>
      <c r="M345" s="5" t="s">
        <v>690</v>
      </c>
      <c r="N345" s="5" t="s">
        <v>274</v>
      </c>
      <c r="O345" s="5">
        <v>0</v>
      </c>
      <c r="P345" s="5"/>
      <c r="Q345" s="5"/>
      <c r="R345" s="5"/>
      <c r="S345" s="5"/>
      <c r="T345" s="5"/>
      <c r="U345" s="5"/>
      <c r="V345" s="5"/>
      <c r="W345" s="5"/>
      <c r="X345" s="5"/>
      <c r="Y345" s="5" t="s">
        <v>1922</v>
      </c>
      <c r="Z345" s="5" t="s">
        <v>609</v>
      </c>
      <c r="AA345" s="5" t="s">
        <v>1923</v>
      </c>
      <c r="AB345" s="5" t="s">
        <v>45</v>
      </c>
      <c r="AC345" s="5"/>
      <c r="AD345" s="5"/>
      <c r="AE345" s="5"/>
      <c r="AF345" s="8"/>
      <c r="AG345" s="9">
        <f t="shared" si="5"/>
        <v>43278</v>
      </c>
    </row>
    <row r="346" s="6" customFormat="1" spans="1:33">
      <c r="A346" s="5" t="s">
        <v>1924</v>
      </c>
      <c r="B346" s="5" t="s">
        <v>1924</v>
      </c>
      <c r="C346" s="5" t="s">
        <v>1925</v>
      </c>
      <c r="D346" s="5" t="s">
        <v>1926</v>
      </c>
      <c r="E346" s="5" t="s">
        <v>35</v>
      </c>
      <c r="F346" s="5" t="s">
        <v>36</v>
      </c>
      <c r="G346" s="5" t="s">
        <v>37</v>
      </c>
      <c r="H346" s="5"/>
      <c r="I346" s="5"/>
      <c r="J346" s="5" t="s">
        <v>59</v>
      </c>
      <c r="K346" s="5" t="s">
        <v>50</v>
      </c>
      <c r="L346" s="5" t="s">
        <v>51</v>
      </c>
      <c r="M346" s="5" t="s">
        <v>52</v>
      </c>
      <c r="N346" s="5" t="s">
        <v>35</v>
      </c>
      <c r="O346" s="5">
        <v>1</v>
      </c>
      <c r="P346" s="5" t="s">
        <v>42</v>
      </c>
      <c r="Q346" s="5">
        <v>7</v>
      </c>
      <c r="R346" s="5"/>
      <c r="S346" s="5"/>
      <c r="T346" s="5"/>
      <c r="U346" s="5"/>
      <c r="V346" s="5"/>
      <c r="W346" s="5"/>
      <c r="X346" s="5"/>
      <c r="Y346" s="5" t="s">
        <v>1927</v>
      </c>
      <c r="Z346" s="5" t="s">
        <v>1928</v>
      </c>
      <c r="AA346" s="5">
        <v>11510</v>
      </c>
      <c r="AB346" s="5" t="s">
        <v>45</v>
      </c>
      <c r="AC346" s="5"/>
      <c r="AD346" s="5"/>
      <c r="AE346" s="5"/>
      <c r="AF346" s="8"/>
      <c r="AG346" s="9">
        <f t="shared" si="5"/>
        <v>43278</v>
      </c>
    </row>
    <row r="347" s="6" customFormat="1" spans="1:33">
      <c r="A347" s="5" t="s">
        <v>1929</v>
      </c>
      <c r="B347" s="5" t="s">
        <v>1929</v>
      </c>
      <c r="C347" s="5" t="s">
        <v>1930</v>
      </c>
      <c r="D347" s="5" t="s">
        <v>1931</v>
      </c>
      <c r="E347" s="5" t="s">
        <v>35</v>
      </c>
      <c r="F347" s="5" t="s">
        <v>36</v>
      </c>
      <c r="G347" s="5" t="s">
        <v>37</v>
      </c>
      <c r="H347" s="5"/>
      <c r="I347" s="5"/>
      <c r="J347" s="5" t="s">
        <v>59</v>
      </c>
      <c r="K347" s="5" t="s">
        <v>50</v>
      </c>
      <c r="L347" s="5" t="s">
        <v>51</v>
      </c>
      <c r="M347" s="5" t="s">
        <v>52</v>
      </c>
      <c r="N347" s="5" t="s">
        <v>35</v>
      </c>
      <c r="O347" s="5">
        <v>1</v>
      </c>
      <c r="P347" s="5" t="s">
        <v>42</v>
      </c>
      <c r="Q347" s="5">
        <v>7</v>
      </c>
      <c r="R347" s="5"/>
      <c r="S347" s="5"/>
      <c r="T347" s="5"/>
      <c r="U347" s="5"/>
      <c r="V347" s="5"/>
      <c r="W347" s="5"/>
      <c r="X347" s="5"/>
      <c r="Y347" s="5" t="s">
        <v>1932</v>
      </c>
      <c r="Z347" s="5" t="s">
        <v>861</v>
      </c>
      <c r="AA347" s="5">
        <v>37890</v>
      </c>
      <c r="AB347" s="5" t="s">
        <v>45</v>
      </c>
      <c r="AC347" s="5"/>
      <c r="AD347" s="5"/>
      <c r="AE347" s="5"/>
      <c r="AF347" s="8"/>
      <c r="AG347" s="9">
        <f t="shared" si="5"/>
        <v>43278</v>
      </c>
    </row>
    <row r="348" s="6" customFormat="1" spans="1:33">
      <c r="A348" s="5" t="s">
        <v>1933</v>
      </c>
      <c r="B348" s="5" t="s">
        <v>1933</v>
      </c>
      <c r="C348" s="5" t="s">
        <v>1934</v>
      </c>
      <c r="D348" s="5" t="s">
        <v>1935</v>
      </c>
      <c r="E348" s="5" t="s">
        <v>35</v>
      </c>
      <c r="F348" s="5" t="s">
        <v>36</v>
      </c>
      <c r="G348" s="5" t="s">
        <v>37</v>
      </c>
      <c r="H348" s="5"/>
      <c r="I348" s="5"/>
      <c r="J348" s="5" t="s">
        <v>59</v>
      </c>
      <c r="K348" s="5" t="s">
        <v>1936</v>
      </c>
      <c r="L348" s="5" t="s">
        <v>1937</v>
      </c>
      <c r="M348" s="5" t="s">
        <v>1938</v>
      </c>
      <c r="N348" s="5" t="s">
        <v>35</v>
      </c>
      <c r="O348" s="5">
        <v>1</v>
      </c>
      <c r="P348" s="5" t="s">
        <v>42</v>
      </c>
      <c r="Q348" s="5">
        <v>15.99</v>
      </c>
      <c r="R348" s="5"/>
      <c r="S348" s="5"/>
      <c r="T348" s="5"/>
      <c r="U348" s="5"/>
      <c r="V348" s="5"/>
      <c r="W348" s="5"/>
      <c r="X348" s="5"/>
      <c r="Y348" s="5" t="s">
        <v>752</v>
      </c>
      <c r="Z348" s="5" t="s">
        <v>534</v>
      </c>
      <c r="AA348" s="5" t="s">
        <v>1939</v>
      </c>
      <c r="AB348" s="5" t="s">
        <v>45</v>
      </c>
      <c r="AC348" s="5"/>
      <c r="AD348" s="5"/>
      <c r="AE348" s="5"/>
      <c r="AF348" s="8"/>
      <c r="AG348" s="9">
        <f t="shared" si="5"/>
        <v>43278</v>
      </c>
    </row>
    <row r="349" s="6" customFormat="1" spans="1:33">
      <c r="A349" s="5" t="s">
        <v>1940</v>
      </c>
      <c r="B349" s="5" t="s">
        <v>1940</v>
      </c>
      <c r="C349" s="5" t="s">
        <v>1941</v>
      </c>
      <c r="D349" s="5" t="s">
        <v>1942</v>
      </c>
      <c r="E349" s="5" t="s">
        <v>35</v>
      </c>
      <c r="F349" s="5" t="s">
        <v>36</v>
      </c>
      <c r="G349" s="5" t="s">
        <v>37</v>
      </c>
      <c r="H349" s="5"/>
      <c r="I349" s="5"/>
      <c r="J349" s="5" t="s">
        <v>59</v>
      </c>
      <c r="K349" s="5" t="s">
        <v>1837</v>
      </c>
      <c r="L349" s="5" t="s">
        <v>1838</v>
      </c>
      <c r="M349" s="5" t="s">
        <v>1839</v>
      </c>
      <c r="N349" s="5" t="s">
        <v>35</v>
      </c>
      <c r="O349" s="5">
        <v>1</v>
      </c>
      <c r="P349" s="5" t="s">
        <v>42</v>
      </c>
      <c r="Q349" s="5">
        <v>11.99</v>
      </c>
      <c r="R349" s="5"/>
      <c r="S349" s="5"/>
      <c r="T349" s="5"/>
      <c r="U349" s="5"/>
      <c r="V349" s="5"/>
      <c r="W349" s="5"/>
      <c r="X349" s="5"/>
      <c r="Y349" s="5" t="s">
        <v>418</v>
      </c>
      <c r="Z349" s="5" t="s">
        <v>211</v>
      </c>
      <c r="AA349" s="5">
        <v>10014</v>
      </c>
      <c r="AB349" s="5" t="s">
        <v>45</v>
      </c>
      <c r="AC349" s="5"/>
      <c r="AD349" s="5"/>
      <c r="AE349" s="5"/>
      <c r="AF349" s="8"/>
      <c r="AG349" s="9">
        <f t="shared" si="5"/>
        <v>43278</v>
      </c>
    </row>
    <row r="350" s="6" customFormat="1" spans="1:33">
      <c r="A350" s="5" t="s">
        <v>1943</v>
      </c>
      <c r="B350" s="5" t="s">
        <v>1943</v>
      </c>
      <c r="C350" s="5" t="s">
        <v>1944</v>
      </c>
      <c r="D350" s="5" t="s">
        <v>1945</v>
      </c>
      <c r="E350" s="5" t="s">
        <v>35</v>
      </c>
      <c r="F350" s="5" t="s">
        <v>36</v>
      </c>
      <c r="G350" s="5" t="s">
        <v>37</v>
      </c>
      <c r="H350" s="5"/>
      <c r="I350" s="5"/>
      <c r="J350" s="5" t="s">
        <v>38</v>
      </c>
      <c r="K350" s="5" t="s">
        <v>688</v>
      </c>
      <c r="L350" s="5" t="s">
        <v>689</v>
      </c>
      <c r="M350" s="5" t="s">
        <v>690</v>
      </c>
      <c r="N350" s="5" t="s">
        <v>35</v>
      </c>
      <c r="O350" s="5">
        <v>1</v>
      </c>
      <c r="P350" s="5" t="s">
        <v>42</v>
      </c>
      <c r="Q350" s="5">
        <v>8.99</v>
      </c>
      <c r="R350" s="5"/>
      <c r="S350" s="5"/>
      <c r="T350" s="5"/>
      <c r="U350" s="5"/>
      <c r="V350" s="5"/>
      <c r="W350" s="5"/>
      <c r="X350" s="5"/>
      <c r="Y350" s="5" t="s">
        <v>1946</v>
      </c>
      <c r="Z350" s="5" t="s">
        <v>861</v>
      </c>
      <c r="AA350" s="5">
        <v>38113</v>
      </c>
      <c r="AB350" s="5" t="s">
        <v>45</v>
      </c>
      <c r="AC350" s="5"/>
      <c r="AD350" s="5"/>
      <c r="AE350" s="5"/>
      <c r="AF350" s="8"/>
      <c r="AG350" s="9">
        <f t="shared" si="5"/>
        <v>43278</v>
      </c>
    </row>
    <row r="351" s="6" customFormat="1" spans="1:33">
      <c r="A351" s="5" t="s">
        <v>1947</v>
      </c>
      <c r="B351" s="5" t="s">
        <v>1947</v>
      </c>
      <c r="C351" s="5" t="s">
        <v>1948</v>
      </c>
      <c r="D351" s="5" t="s">
        <v>1949</v>
      </c>
      <c r="E351" s="5" t="s">
        <v>35</v>
      </c>
      <c r="F351" s="5" t="s">
        <v>36</v>
      </c>
      <c r="G351" s="5" t="s">
        <v>37</v>
      </c>
      <c r="H351" s="5"/>
      <c r="I351" s="5"/>
      <c r="J351" s="5" t="s">
        <v>883</v>
      </c>
      <c r="K351" s="5" t="s">
        <v>875</v>
      </c>
      <c r="L351" s="5" t="s">
        <v>876</v>
      </c>
      <c r="M351" s="5" t="s">
        <v>877</v>
      </c>
      <c r="N351" s="5" t="s">
        <v>35</v>
      </c>
      <c r="O351" s="5">
        <v>4</v>
      </c>
      <c r="P351" s="5" t="s">
        <v>42</v>
      </c>
      <c r="Q351" s="5">
        <v>87.96</v>
      </c>
      <c r="R351" s="5"/>
      <c r="S351" s="5">
        <v>23.96</v>
      </c>
      <c r="T351" s="5"/>
      <c r="U351" s="5"/>
      <c r="V351" s="5"/>
      <c r="W351" s="5"/>
      <c r="X351" s="5"/>
      <c r="Y351" s="5" t="s">
        <v>1950</v>
      </c>
      <c r="Z351" s="5" t="s">
        <v>64</v>
      </c>
      <c r="AA351" s="5">
        <v>71272</v>
      </c>
      <c r="AB351" s="5" t="s">
        <v>45</v>
      </c>
      <c r="AC351" s="5"/>
      <c r="AD351" s="5"/>
      <c r="AE351" s="5"/>
      <c r="AF351" s="8"/>
      <c r="AG351" s="9">
        <f t="shared" si="5"/>
        <v>43278</v>
      </c>
    </row>
    <row r="352" s="6" customFormat="1" spans="1:33">
      <c r="A352" s="5" t="s">
        <v>1951</v>
      </c>
      <c r="B352" s="5" t="s">
        <v>1951</v>
      </c>
      <c r="C352" s="5" t="s">
        <v>1952</v>
      </c>
      <c r="D352" s="5" t="s">
        <v>1953</v>
      </c>
      <c r="E352" s="5" t="s">
        <v>35</v>
      </c>
      <c r="F352" s="5" t="s">
        <v>36</v>
      </c>
      <c r="G352" s="5" t="s">
        <v>37</v>
      </c>
      <c r="H352" s="5"/>
      <c r="I352" s="5"/>
      <c r="J352" s="5" t="s">
        <v>59</v>
      </c>
      <c r="K352" s="5" t="s">
        <v>50</v>
      </c>
      <c r="L352" s="5" t="s">
        <v>51</v>
      </c>
      <c r="M352" s="5" t="s">
        <v>52</v>
      </c>
      <c r="N352" s="5" t="s">
        <v>35</v>
      </c>
      <c r="O352" s="5">
        <v>1</v>
      </c>
      <c r="P352" s="5" t="s">
        <v>42</v>
      </c>
      <c r="Q352" s="5">
        <v>7</v>
      </c>
      <c r="R352" s="5"/>
      <c r="S352" s="5"/>
      <c r="T352" s="5"/>
      <c r="U352" s="5"/>
      <c r="V352" s="5"/>
      <c r="W352" s="5"/>
      <c r="X352" s="5"/>
      <c r="Y352" s="5" t="s">
        <v>284</v>
      </c>
      <c r="Z352" s="5" t="s">
        <v>153</v>
      </c>
      <c r="AA352" s="5" t="s">
        <v>1954</v>
      </c>
      <c r="AB352" s="5" t="s">
        <v>45</v>
      </c>
      <c r="AC352" s="5"/>
      <c r="AD352" s="5"/>
      <c r="AE352" s="5"/>
      <c r="AF352" s="8"/>
      <c r="AG352" s="9">
        <f t="shared" si="5"/>
        <v>43278</v>
      </c>
    </row>
    <row r="353" s="6" customFormat="1" spans="1:33">
      <c r="A353" s="5" t="s">
        <v>1955</v>
      </c>
      <c r="B353" s="5" t="s">
        <v>1955</v>
      </c>
      <c r="C353" s="5" t="s">
        <v>1956</v>
      </c>
      <c r="D353" s="5" t="s">
        <v>1957</v>
      </c>
      <c r="E353" s="5" t="s">
        <v>35</v>
      </c>
      <c r="F353" s="5" t="s">
        <v>36</v>
      </c>
      <c r="G353" s="5" t="s">
        <v>37</v>
      </c>
      <c r="H353" s="5"/>
      <c r="I353" s="5"/>
      <c r="J353" s="5" t="s">
        <v>59</v>
      </c>
      <c r="K353" s="5" t="s">
        <v>539</v>
      </c>
      <c r="L353" s="5" t="s">
        <v>540</v>
      </c>
      <c r="M353" s="5" t="s">
        <v>541</v>
      </c>
      <c r="N353" s="5" t="s">
        <v>35</v>
      </c>
      <c r="O353" s="5">
        <v>1</v>
      </c>
      <c r="P353" s="5" t="s">
        <v>42</v>
      </c>
      <c r="Q353" s="5">
        <v>19.99</v>
      </c>
      <c r="R353" s="5"/>
      <c r="S353" s="5"/>
      <c r="T353" s="5"/>
      <c r="U353" s="5"/>
      <c r="V353" s="5"/>
      <c r="W353" s="5"/>
      <c r="X353" s="5"/>
      <c r="Y353" s="5" t="s">
        <v>567</v>
      </c>
      <c r="Z353" s="5" t="s">
        <v>269</v>
      </c>
      <c r="AA353" s="5" t="s">
        <v>1958</v>
      </c>
      <c r="AB353" s="5" t="s">
        <v>45</v>
      </c>
      <c r="AC353" s="5"/>
      <c r="AD353" s="5"/>
      <c r="AE353" s="5"/>
      <c r="AF353" s="8"/>
      <c r="AG353" s="9">
        <f t="shared" si="5"/>
        <v>43278</v>
      </c>
    </row>
    <row r="354" s="6" customFormat="1" spans="1:33">
      <c r="A354" s="5" t="s">
        <v>1959</v>
      </c>
      <c r="B354" s="5" t="s">
        <v>1959</v>
      </c>
      <c r="C354" s="5" t="s">
        <v>1960</v>
      </c>
      <c r="D354" s="5" t="s">
        <v>1961</v>
      </c>
      <c r="E354" s="5" t="s">
        <v>35</v>
      </c>
      <c r="F354" s="5" t="s">
        <v>36</v>
      </c>
      <c r="G354" s="5" t="s">
        <v>37</v>
      </c>
      <c r="H354" s="5"/>
      <c r="I354" s="5"/>
      <c r="J354" s="5" t="s">
        <v>59</v>
      </c>
      <c r="K354" s="5" t="s">
        <v>539</v>
      </c>
      <c r="L354" s="5" t="s">
        <v>540</v>
      </c>
      <c r="M354" s="5" t="s">
        <v>541</v>
      </c>
      <c r="N354" s="5" t="s">
        <v>35</v>
      </c>
      <c r="O354" s="5">
        <v>1</v>
      </c>
      <c r="P354" s="5" t="s">
        <v>42</v>
      </c>
      <c r="Q354" s="5">
        <v>19.99</v>
      </c>
      <c r="R354" s="5"/>
      <c r="S354" s="5"/>
      <c r="T354" s="5"/>
      <c r="U354" s="5"/>
      <c r="V354" s="5"/>
      <c r="W354" s="5"/>
      <c r="X354" s="5"/>
      <c r="Y354" s="5" t="s">
        <v>1962</v>
      </c>
      <c r="Z354" s="5" t="s">
        <v>1392</v>
      </c>
      <c r="AA354" s="5" t="s">
        <v>1963</v>
      </c>
      <c r="AB354" s="5" t="s">
        <v>45</v>
      </c>
      <c r="AC354" s="5"/>
      <c r="AD354" s="5"/>
      <c r="AE354" s="5"/>
      <c r="AF354" s="8"/>
      <c r="AG354" s="9">
        <f t="shared" si="5"/>
        <v>43278</v>
      </c>
    </row>
    <row r="355" s="6" customFormat="1" spans="1:33">
      <c r="A355" s="5" t="s">
        <v>1964</v>
      </c>
      <c r="B355" s="5" t="s">
        <v>1964</v>
      </c>
      <c r="C355" s="5" t="s">
        <v>1965</v>
      </c>
      <c r="D355" s="5" t="s">
        <v>1966</v>
      </c>
      <c r="E355" s="5" t="s">
        <v>35</v>
      </c>
      <c r="F355" s="5" t="s">
        <v>36</v>
      </c>
      <c r="G355" s="5" t="s">
        <v>37</v>
      </c>
      <c r="H355" s="5"/>
      <c r="I355" s="5"/>
      <c r="J355" s="5" t="s">
        <v>59</v>
      </c>
      <c r="K355" s="5" t="s">
        <v>1896</v>
      </c>
      <c r="L355" s="5" t="s">
        <v>78</v>
      </c>
      <c r="M355" s="5" t="s">
        <v>79</v>
      </c>
      <c r="N355" s="5" t="s">
        <v>35</v>
      </c>
      <c r="O355" s="5">
        <v>1</v>
      </c>
      <c r="P355" s="5" t="s">
        <v>42</v>
      </c>
      <c r="Q355" s="5">
        <v>9.99</v>
      </c>
      <c r="R355" s="5"/>
      <c r="S355" s="5"/>
      <c r="T355" s="5"/>
      <c r="U355" s="5"/>
      <c r="V355" s="5"/>
      <c r="W355" s="5"/>
      <c r="X355" s="5"/>
      <c r="Y355" s="5" t="s">
        <v>1967</v>
      </c>
      <c r="Z355" s="5" t="s">
        <v>153</v>
      </c>
      <c r="AA355" s="5" t="s">
        <v>1968</v>
      </c>
      <c r="AB355" s="5" t="s">
        <v>45</v>
      </c>
      <c r="AC355" s="5"/>
      <c r="AD355" s="5"/>
      <c r="AE355" s="5"/>
      <c r="AF355" s="8"/>
      <c r="AG355" s="9">
        <f t="shared" si="5"/>
        <v>43278</v>
      </c>
    </row>
    <row r="356" s="6" customFormat="1" spans="1:33">
      <c r="A356" s="5" t="s">
        <v>1969</v>
      </c>
      <c r="B356" s="5" t="s">
        <v>1969</v>
      </c>
      <c r="C356" s="5" t="s">
        <v>1970</v>
      </c>
      <c r="D356" s="5" t="s">
        <v>1971</v>
      </c>
      <c r="E356" s="5" t="s">
        <v>35</v>
      </c>
      <c r="F356" s="5" t="s">
        <v>36</v>
      </c>
      <c r="G356" s="5" t="s">
        <v>37</v>
      </c>
      <c r="H356" s="5"/>
      <c r="I356" s="5"/>
      <c r="J356" s="5" t="s">
        <v>59</v>
      </c>
      <c r="K356" s="5" t="s">
        <v>539</v>
      </c>
      <c r="L356" s="5" t="s">
        <v>540</v>
      </c>
      <c r="M356" s="5" t="s">
        <v>541</v>
      </c>
      <c r="N356" s="5" t="s">
        <v>35</v>
      </c>
      <c r="O356" s="5">
        <v>1</v>
      </c>
      <c r="P356" s="5" t="s">
        <v>42</v>
      </c>
      <c r="Q356" s="5">
        <v>19.99</v>
      </c>
      <c r="R356" s="5"/>
      <c r="S356" s="5"/>
      <c r="T356" s="5"/>
      <c r="U356" s="5"/>
      <c r="V356" s="5"/>
      <c r="W356" s="5"/>
      <c r="X356" s="5"/>
      <c r="Y356" s="5" t="s">
        <v>700</v>
      </c>
      <c r="Z356" s="5" t="s">
        <v>54</v>
      </c>
      <c r="AA356" s="5" t="s">
        <v>1972</v>
      </c>
      <c r="AB356" s="5" t="s">
        <v>45</v>
      </c>
      <c r="AC356" s="5"/>
      <c r="AD356" s="5"/>
      <c r="AE356" s="5"/>
      <c r="AF356" s="8"/>
      <c r="AG356" s="9">
        <f t="shared" si="5"/>
        <v>43278</v>
      </c>
    </row>
    <row r="357" s="6" customFormat="1" spans="1:33">
      <c r="A357" s="5" t="s">
        <v>1973</v>
      </c>
      <c r="B357" s="5" t="s">
        <v>1973</v>
      </c>
      <c r="C357" s="5" t="s">
        <v>1974</v>
      </c>
      <c r="D357" s="5" t="s">
        <v>1975</v>
      </c>
      <c r="E357" s="5" t="s">
        <v>35</v>
      </c>
      <c r="F357" s="5" t="s">
        <v>36</v>
      </c>
      <c r="G357" s="5" t="s">
        <v>37</v>
      </c>
      <c r="H357" s="5"/>
      <c r="I357" s="5"/>
      <c r="J357" s="5" t="s">
        <v>59</v>
      </c>
      <c r="K357" s="5" t="s">
        <v>539</v>
      </c>
      <c r="L357" s="5" t="s">
        <v>540</v>
      </c>
      <c r="M357" s="5" t="s">
        <v>541</v>
      </c>
      <c r="N357" s="5" t="s">
        <v>35</v>
      </c>
      <c r="O357" s="5">
        <v>1</v>
      </c>
      <c r="P357" s="5" t="s">
        <v>42</v>
      </c>
      <c r="Q357" s="5">
        <v>19.99</v>
      </c>
      <c r="R357" s="5"/>
      <c r="S357" s="5"/>
      <c r="T357" s="5"/>
      <c r="U357" s="5"/>
      <c r="V357" s="5"/>
      <c r="W357" s="5"/>
      <c r="X357" s="5"/>
      <c r="Y357" s="5" t="s">
        <v>1976</v>
      </c>
      <c r="Z357" s="5" t="s">
        <v>1977</v>
      </c>
      <c r="AA357" s="5">
        <v>14120</v>
      </c>
      <c r="AB357" s="5" t="s">
        <v>45</v>
      </c>
      <c r="AC357" s="5"/>
      <c r="AD357" s="5"/>
      <c r="AE357" s="5"/>
      <c r="AF357" s="8"/>
      <c r="AG357" s="9">
        <f t="shared" si="5"/>
        <v>43278</v>
      </c>
    </row>
    <row r="358" s="6" customFormat="1" spans="1:33">
      <c r="A358" s="5" t="s">
        <v>1978</v>
      </c>
      <c r="B358" s="5" t="s">
        <v>1978</v>
      </c>
      <c r="C358" s="5" t="s">
        <v>1979</v>
      </c>
      <c r="D358" s="5" t="s">
        <v>1980</v>
      </c>
      <c r="E358" s="5" t="s">
        <v>35</v>
      </c>
      <c r="F358" s="5" t="s">
        <v>36</v>
      </c>
      <c r="G358" s="5" t="s">
        <v>37</v>
      </c>
      <c r="H358" s="5"/>
      <c r="I358" s="5"/>
      <c r="J358" s="5" t="s">
        <v>59</v>
      </c>
      <c r="K358" s="5" t="s">
        <v>50</v>
      </c>
      <c r="L358" s="5" t="s">
        <v>51</v>
      </c>
      <c r="M358" s="5" t="s">
        <v>52</v>
      </c>
      <c r="N358" s="5" t="s">
        <v>35</v>
      </c>
      <c r="O358" s="5">
        <v>1</v>
      </c>
      <c r="P358" s="5" t="s">
        <v>42</v>
      </c>
      <c r="Q358" s="5">
        <v>7</v>
      </c>
      <c r="R358" s="5"/>
      <c r="S358" s="5"/>
      <c r="T358" s="5"/>
      <c r="U358" s="5"/>
      <c r="V358" s="5"/>
      <c r="W358" s="5"/>
      <c r="X358" s="5"/>
      <c r="Y358" s="5" t="s">
        <v>1981</v>
      </c>
      <c r="Z358" s="5" t="s">
        <v>474</v>
      </c>
      <c r="AA358" s="5">
        <v>6111</v>
      </c>
      <c r="AB358" s="5" t="s">
        <v>45</v>
      </c>
      <c r="AC358" s="5"/>
      <c r="AD358" s="5"/>
      <c r="AE358" s="5"/>
      <c r="AF358" s="8"/>
      <c r="AG358" s="9">
        <f t="shared" si="5"/>
        <v>43278</v>
      </c>
    </row>
    <row r="359" s="6" customFormat="1" spans="1:33">
      <c r="A359" s="5" t="s">
        <v>1982</v>
      </c>
      <c r="B359" s="5" t="s">
        <v>1982</v>
      </c>
      <c r="C359" s="5" t="s">
        <v>1983</v>
      </c>
      <c r="D359" s="5" t="s">
        <v>1984</v>
      </c>
      <c r="E359" s="5" t="s">
        <v>35</v>
      </c>
      <c r="F359" s="5" t="s">
        <v>36</v>
      </c>
      <c r="G359" s="5" t="s">
        <v>37</v>
      </c>
      <c r="H359" s="5"/>
      <c r="I359" s="5"/>
      <c r="J359" s="5" t="s">
        <v>59</v>
      </c>
      <c r="K359" s="5" t="s">
        <v>39</v>
      </c>
      <c r="L359" s="5" t="s">
        <v>1252</v>
      </c>
      <c r="M359" s="5" t="s">
        <v>1253</v>
      </c>
      <c r="N359" s="5" t="s">
        <v>35</v>
      </c>
      <c r="O359" s="5">
        <v>1</v>
      </c>
      <c r="P359" s="5" t="s">
        <v>42</v>
      </c>
      <c r="Q359" s="5">
        <v>15.99</v>
      </c>
      <c r="R359" s="5"/>
      <c r="S359" s="5"/>
      <c r="T359" s="5"/>
      <c r="U359" s="5"/>
      <c r="V359" s="5"/>
      <c r="W359" s="5"/>
      <c r="X359" s="5"/>
      <c r="Y359" s="5" t="s">
        <v>1985</v>
      </c>
      <c r="Z359" s="5" t="s">
        <v>153</v>
      </c>
      <c r="AA359" s="5" t="s">
        <v>1986</v>
      </c>
      <c r="AB359" s="5" t="s">
        <v>45</v>
      </c>
      <c r="AC359" s="5"/>
      <c r="AD359" s="5"/>
      <c r="AE359" s="5"/>
      <c r="AF359" s="8"/>
      <c r="AG359" s="9">
        <f t="shared" si="5"/>
        <v>43278</v>
      </c>
    </row>
    <row r="360" s="6" customFormat="1" spans="1:33">
      <c r="A360" s="5" t="s">
        <v>1987</v>
      </c>
      <c r="B360" s="5" t="s">
        <v>1987</v>
      </c>
      <c r="C360" s="5" t="s">
        <v>1988</v>
      </c>
      <c r="D360" s="5" t="s">
        <v>1989</v>
      </c>
      <c r="E360" s="5" t="s">
        <v>35</v>
      </c>
      <c r="F360" s="5" t="s">
        <v>36</v>
      </c>
      <c r="G360" s="5" t="s">
        <v>37</v>
      </c>
      <c r="H360" s="5"/>
      <c r="I360" s="5"/>
      <c r="J360" s="5" t="s">
        <v>59</v>
      </c>
      <c r="K360" s="5" t="s">
        <v>50</v>
      </c>
      <c r="L360" s="5" t="s">
        <v>51</v>
      </c>
      <c r="M360" s="5" t="s">
        <v>52</v>
      </c>
      <c r="N360" s="5" t="s">
        <v>35</v>
      </c>
      <c r="O360" s="5">
        <v>1</v>
      </c>
      <c r="P360" s="5" t="s">
        <v>42</v>
      </c>
      <c r="Q360" s="5">
        <v>7</v>
      </c>
      <c r="R360" s="5"/>
      <c r="S360" s="5"/>
      <c r="T360" s="5"/>
      <c r="U360" s="5"/>
      <c r="V360" s="5"/>
      <c r="W360" s="5"/>
      <c r="X360" s="5"/>
      <c r="Y360" s="5" t="s">
        <v>1990</v>
      </c>
      <c r="Z360" s="5" t="s">
        <v>1991</v>
      </c>
      <c r="AA360" s="5" t="s">
        <v>1992</v>
      </c>
      <c r="AB360" s="5" t="s">
        <v>45</v>
      </c>
      <c r="AC360" s="5"/>
      <c r="AD360" s="5"/>
      <c r="AE360" s="5"/>
      <c r="AF360" s="8"/>
      <c r="AG360" s="9">
        <f t="shared" si="5"/>
        <v>43278</v>
      </c>
    </row>
    <row r="361" s="6" customFormat="1" spans="1:33">
      <c r="A361" s="5" t="s">
        <v>1993</v>
      </c>
      <c r="B361" s="5" t="s">
        <v>1993</v>
      </c>
      <c r="C361" s="5" t="s">
        <v>1994</v>
      </c>
      <c r="D361" s="5" t="s">
        <v>1995</v>
      </c>
      <c r="E361" s="5" t="s">
        <v>35</v>
      </c>
      <c r="F361" s="5" t="s">
        <v>36</v>
      </c>
      <c r="G361" s="5" t="s">
        <v>37</v>
      </c>
      <c r="H361" s="5"/>
      <c r="I361" s="5"/>
      <c r="J361" s="5" t="s">
        <v>59</v>
      </c>
      <c r="K361" s="5" t="s">
        <v>50</v>
      </c>
      <c r="L361" s="5" t="s">
        <v>51</v>
      </c>
      <c r="M361" s="5" t="s">
        <v>52</v>
      </c>
      <c r="N361" s="5" t="s">
        <v>35</v>
      </c>
      <c r="O361" s="5">
        <v>1</v>
      </c>
      <c r="P361" s="5" t="s">
        <v>42</v>
      </c>
      <c r="Q361" s="5">
        <v>7</v>
      </c>
      <c r="R361" s="5"/>
      <c r="S361" s="5"/>
      <c r="T361" s="5"/>
      <c r="U361" s="5"/>
      <c r="V361" s="5"/>
      <c r="W361" s="5"/>
      <c r="X361" s="5"/>
      <c r="Y361" s="5" t="s">
        <v>284</v>
      </c>
      <c r="Z361" s="5" t="s">
        <v>153</v>
      </c>
      <c r="AA361" s="5" t="s">
        <v>1996</v>
      </c>
      <c r="AB361" s="5" t="s">
        <v>45</v>
      </c>
      <c r="AC361" s="5"/>
      <c r="AD361" s="5"/>
      <c r="AE361" s="5"/>
      <c r="AF361" s="8"/>
      <c r="AG361" s="9">
        <f t="shared" si="5"/>
        <v>43278</v>
      </c>
    </row>
    <row r="362" s="6" customFormat="1" spans="1:33">
      <c r="A362" s="5" t="s">
        <v>1997</v>
      </c>
      <c r="B362" s="5" t="s">
        <v>1997</v>
      </c>
      <c r="C362" s="5" t="s">
        <v>1998</v>
      </c>
      <c r="D362" s="5" t="s">
        <v>1999</v>
      </c>
      <c r="E362" s="5" t="s">
        <v>35</v>
      </c>
      <c r="F362" s="5" t="s">
        <v>36</v>
      </c>
      <c r="G362" s="5" t="s">
        <v>37</v>
      </c>
      <c r="H362" s="5"/>
      <c r="I362" s="5"/>
      <c r="J362" s="5" t="s">
        <v>59</v>
      </c>
      <c r="K362" s="5" t="s">
        <v>50</v>
      </c>
      <c r="L362" s="5" t="s">
        <v>51</v>
      </c>
      <c r="M362" s="5" t="s">
        <v>52</v>
      </c>
      <c r="N362" s="5" t="s">
        <v>35</v>
      </c>
      <c r="O362" s="5">
        <v>1</v>
      </c>
      <c r="P362" s="5" t="s">
        <v>42</v>
      </c>
      <c r="Q362" s="5">
        <v>7</v>
      </c>
      <c r="R362" s="5"/>
      <c r="S362" s="5"/>
      <c r="T362" s="5"/>
      <c r="U362" s="5"/>
      <c r="V362" s="5"/>
      <c r="W362" s="5"/>
      <c r="X362" s="5"/>
      <c r="Y362" s="5" t="s">
        <v>2000</v>
      </c>
      <c r="Z362" s="5" t="s">
        <v>153</v>
      </c>
      <c r="AA362" s="5" t="s">
        <v>2001</v>
      </c>
      <c r="AB362" s="5" t="s">
        <v>45</v>
      </c>
      <c r="AC362" s="5"/>
      <c r="AD362" s="5"/>
      <c r="AE362" s="5"/>
      <c r="AF362" s="8"/>
      <c r="AG362" s="9">
        <f t="shared" si="5"/>
        <v>43278</v>
      </c>
    </row>
    <row r="363" s="6" customFormat="1" spans="1:33">
      <c r="A363" s="5" t="s">
        <v>2002</v>
      </c>
      <c r="B363" s="5" t="s">
        <v>2002</v>
      </c>
      <c r="C363" s="5" t="s">
        <v>2003</v>
      </c>
      <c r="D363" s="5" t="s">
        <v>2004</v>
      </c>
      <c r="E363" s="5" t="s">
        <v>35</v>
      </c>
      <c r="F363" s="5" t="s">
        <v>36</v>
      </c>
      <c r="G363" s="5" t="s">
        <v>37</v>
      </c>
      <c r="H363" s="5"/>
      <c r="I363" s="5"/>
      <c r="J363" s="5" t="s">
        <v>59</v>
      </c>
      <c r="K363" s="5" t="s">
        <v>332</v>
      </c>
      <c r="L363" s="5" t="s">
        <v>333</v>
      </c>
      <c r="M363" s="5" t="s">
        <v>334</v>
      </c>
      <c r="N363" s="5" t="s">
        <v>35</v>
      </c>
      <c r="O363" s="5">
        <v>2</v>
      </c>
      <c r="P363" s="5" t="s">
        <v>42</v>
      </c>
      <c r="Q363" s="5">
        <v>26.46</v>
      </c>
      <c r="R363" s="5"/>
      <c r="S363" s="5"/>
      <c r="T363" s="5"/>
      <c r="U363" s="5"/>
      <c r="V363" s="5"/>
      <c r="W363" s="5">
        <v>1.32</v>
      </c>
      <c r="X363" s="5"/>
      <c r="Y363" s="5" t="s">
        <v>2005</v>
      </c>
      <c r="Z363" s="5" t="s">
        <v>153</v>
      </c>
      <c r="AA363" s="5" t="s">
        <v>2006</v>
      </c>
      <c r="AB363" s="5" t="s">
        <v>45</v>
      </c>
      <c r="AC363" s="5" t="s">
        <v>558</v>
      </c>
      <c r="AD363" s="5"/>
      <c r="AE363" s="5"/>
      <c r="AF363" s="8"/>
      <c r="AG363" s="9">
        <f t="shared" si="5"/>
        <v>43278</v>
      </c>
    </row>
    <row r="364" s="6" customFormat="1" spans="1:33">
      <c r="A364" s="5" t="s">
        <v>2007</v>
      </c>
      <c r="B364" s="5" t="s">
        <v>2007</v>
      </c>
      <c r="C364" s="5" t="s">
        <v>2008</v>
      </c>
      <c r="D364" s="5" t="s">
        <v>2009</v>
      </c>
      <c r="E364" s="5" t="s">
        <v>35</v>
      </c>
      <c r="F364" s="5" t="s">
        <v>36</v>
      </c>
      <c r="G364" s="5" t="s">
        <v>37</v>
      </c>
      <c r="H364" s="5"/>
      <c r="I364" s="5"/>
      <c r="J364" s="5" t="s">
        <v>59</v>
      </c>
      <c r="K364" s="5" t="s">
        <v>2010</v>
      </c>
      <c r="L364" s="5" t="s">
        <v>2011</v>
      </c>
      <c r="M364" s="5" t="s">
        <v>2012</v>
      </c>
      <c r="N364" s="5" t="s">
        <v>35</v>
      </c>
      <c r="O364" s="5">
        <v>1</v>
      </c>
      <c r="P364" s="5" t="s">
        <v>42</v>
      </c>
      <c r="Q364" s="5">
        <v>13.59</v>
      </c>
      <c r="R364" s="5">
        <v>0.82</v>
      </c>
      <c r="S364" s="5"/>
      <c r="T364" s="5"/>
      <c r="U364" s="5"/>
      <c r="V364" s="5"/>
      <c r="W364" s="5"/>
      <c r="X364" s="5"/>
      <c r="Y364" s="5" t="s">
        <v>2013</v>
      </c>
      <c r="Z364" s="5" t="s">
        <v>426</v>
      </c>
      <c r="AA364" s="5">
        <v>15632</v>
      </c>
      <c r="AB364" s="5" t="s">
        <v>45</v>
      </c>
      <c r="AC364" s="5"/>
      <c r="AD364" s="5"/>
      <c r="AE364" s="5"/>
      <c r="AF364" s="8"/>
      <c r="AG364" s="9">
        <f t="shared" si="5"/>
        <v>43278</v>
      </c>
    </row>
    <row r="365" s="6" customFormat="1" spans="1:33">
      <c r="A365" s="5" t="s">
        <v>2014</v>
      </c>
      <c r="B365" s="5" t="s">
        <v>2014</v>
      </c>
      <c r="C365" s="5" t="s">
        <v>2015</v>
      </c>
      <c r="D365" s="5" t="s">
        <v>2016</v>
      </c>
      <c r="E365" s="5" t="s">
        <v>35</v>
      </c>
      <c r="F365" s="5" t="s">
        <v>36</v>
      </c>
      <c r="G365" s="5" t="s">
        <v>37</v>
      </c>
      <c r="H365" s="5"/>
      <c r="I365" s="5"/>
      <c r="J365" s="5" t="s">
        <v>59</v>
      </c>
      <c r="K365" s="5" t="s">
        <v>50</v>
      </c>
      <c r="L365" s="5" t="s">
        <v>51</v>
      </c>
      <c r="M365" s="5" t="s">
        <v>52</v>
      </c>
      <c r="N365" s="5" t="s">
        <v>35</v>
      </c>
      <c r="O365" s="5">
        <v>1</v>
      </c>
      <c r="P365" s="5" t="s">
        <v>42</v>
      </c>
      <c r="Q365" s="5">
        <v>7</v>
      </c>
      <c r="R365" s="5"/>
      <c r="S365" s="5"/>
      <c r="T365" s="5"/>
      <c r="U365" s="5"/>
      <c r="V365" s="5"/>
      <c r="W365" s="5"/>
      <c r="X365" s="5"/>
      <c r="Y365" s="5" t="s">
        <v>2017</v>
      </c>
      <c r="Z365" s="5" t="s">
        <v>609</v>
      </c>
      <c r="AA365" s="5" t="s">
        <v>2018</v>
      </c>
      <c r="AB365" s="5" t="s">
        <v>45</v>
      </c>
      <c r="AC365" s="5"/>
      <c r="AD365" s="5"/>
      <c r="AE365" s="5"/>
      <c r="AF365" s="8"/>
      <c r="AG365" s="9">
        <f t="shared" si="5"/>
        <v>43278</v>
      </c>
    </row>
    <row r="366" s="6" customFormat="1" spans="1:33">
      <c r="A366" s="5" t="s">
        <v>2019</v>
      </c>
      <c r="B366" s="5" t="s">
        <v>2019</v>
      </c>
      <c r="C366" s="5" t="s">
        <v>2020</v>
      </c>
      <c r="D366" s="5" t="s">
        <v>2021</v>
      </c>
      <c r="E366" s="5" t="s">
        <v>35</v>
      </c>
      <c r="F366" s="5" t="s">
        <v>36</v>
      </c>
      <c r="G366" s="5" t="s">
        <v>37</v>
      </c>
      <c r="H366" s="5"/>
      <c r="I366" s="5"/>
      <c r="J366" s="5" t="s">
        <v>59</v>
      </c>
      <c r="K366" s="5" t="s">
        <v>1452</v>
      </c>
      <c r="L366" s="5" t="s">
        <v>553</v>
      </c>
      <c r="M366" s="5" t="s">
        <v>554</v>
      </c>
      <c r="N366" s="5" t="s">
        <v>35</v>
      </c>
      <c r="O366" s="5">
        <v>1</v>
      </c>
      <c r="P366" s="5" t="s">
        <v>42</v>
      </c>
      <c r="Q366" s="5">
        <v>18.99</v>
      </c>
      <c r="R366" s="5"/>
      <c r="S366" s="5"/>
      <c r="T366" s="5"/>
      <c r="U366" s="5"/>
      <c r="V366" s="5"/>
      <c r="W366" s="5"/>
      <c r="X366" s="5"/>
      <c r="Y366" s="5" t="s">
        <v>567</v>
      </c>
      <c r="Z366" s="5" t="s">
        <v>211</v>
      </c>
      <c r="AA366" s="5" t="s">
        <v>2022</v>
      </c>
      <c r="AB366" s="5" t="s">
        <v>45</v>
      </c>
      <c r="AC366" s="5"/>
      <c r="AD366" s="5"/>
      <c r="AE366" s="5"/>
      <c r="AF366" s="8"/>
      <c r="AG366" s="9">
        <f t="shared" si="5"/>
        <v>43278</v>
      </c>
    </row>
    <row r="367" s="6" customFormat="1" spans="1:33">
      <c r="A367" s="5" t="s">
        <v>2023</v>
      </c>
      <c r="B367" s="5" t="s">
        <v>2023</v>
      </c>
      <c r="C367" s="5" t="s">
        <v>2024</v>
      </c>
      <c r="D367" s="5" t="s">
        <v>2025</v>
      </c>
      <c r="E367" s="5" t="s">
        <v>35</v>
      </c>
      <c r="F367" s="5" t="s">
        <v>36</v>
      </c>
      <c r="G367" s="5" t="s">
        <v>37</v>
      </c>
      <c r="H367" s="5"/>
      <c r="I367" s="5"/>
      <c r="J367" s="5" t="s">
        <v>59</v>
      </c>
      <c r="K367" s="5" t="s">
        <v>539</v>
      </c>
      <c r="L367" s="5" t="s">
        <v>540</v>
      </c>
      <c r="M367" s="5" t="s">
        <v>541</v>
      </c>
      <c r="N367" s="5" t="s">
        <v>35</v>
      </c>
      <c r="O367" s="5">
        <v>1</v>
      </c>
      <c r="P367" s="5" t="s">
        <v>42</v>
      </c>
      <c r="Q367" s="5">
        <v>19.99</v>
      </c>
      <c r="R367" s="5"/>
      <c r="S367" s="5"/>
      <c r="T367" s="5"/>
      <c r="U367" s="5"/>
      <c r="V367" s="5"/>
      <c r="W367" s="5"/>
      <c r="X367" s="5"/>
      <c r="Y367" s="5" t="s">
        <v>1797</v>
      </c>
      <c r="Z367" s="5" t="s">
        <v>1798</v>
      </c>
      <c r="AA367" s="5">
        <v>77365</v>
      </c>
      <c r="AB367" s="5" t="s">
        <v>45</v>
      </c>
      <c r="AC367" s="5"/>
      <c r="AD367" s="5"/>
      <c r="AE367" s="5"/>
      <c r="AF367" s="8"/>
      <c r="AG367" s="9">
        <f t="shared" si="5"/>
        <v>43278</v>
      </c>
    </row>
    <row r="368" s="6" customFormat="1" spans="1:33">
      <c r="A368" s="5" t="s">
        <v>2026</v>
      </c>
      <c r="B368" s="5" t="s">
        <v>2026</v>
      </c>
      <c r="C368" s="5" t="s">
        <v>2027</v>
      </c>
      <c r="D368" s="5" t="s">
        <v>2028</v>
      </c>
      <c r="E368" s="5" t="s">
        <v>35</v>
      </c>
      <c r="F368" s="5" t="s">
        <v>36</v>
      </c>
      <c r="G368" s="5" t="s">
        <v>37</v>
      </c>
      <c r="H368" s="5"/>
      <c r="I368" s="5"/>
      <c r="J368" s="5" t="s">
        <v>59</v>
      </c>
      <c r="K368" s="5" t="s">
        <v>1802</v>
      </c>
      <c r="L368" s="5" t="s">
        <v>526</v>
      </c>
      <c r="M368" s="5" t="s">
        <v>527</v>
      </c>
      <c r="N368" s="5" t="s">
        <v>35</v>
      </c>
      <c r="O368" s="5">
        <v>2</v>
      </c>
      <c r="P368" s="5" t="s">
        <v>42</v>
      </c>
      <c r="Q368" s="5">
        <v>23.98</v>
      </c>
      <c r="R368" s="5"/>
      <c r="S368" s="5"/>
      <c r="T368" s="5"/>
      <c r="U368" s="5"/>
      <c r="V368" s="5"/>
      <c r="W368" s="5"/>
      <c r="X368" s="5"/>
      <c r="Y368" s="5" t="s">
        <v>2029</v>
      </c>
      <c r="Z368" s="5" t="s">
        <v>127</v>
      </c>
      <c r="AA368" s="5" t="s">
        <v>2030</v>
      </c>
      <c r="AB368" s="5" t="s">
        <v>45</v>
      </c>
      <c r="AC368" s="5"/>
      <c r="AD368" s="5"/>
      <c r="AE368" s="5"/>
      <c r="AF368" s="8"/>
      <c r="AG368" s="9">
        <f t="shared" si="5"/>
        <v>43279</v>
      </c>
    </row>
    <row r="369" s="6" customFormat="1" spans="1:33">
      <c r="A369" s="5" t="s">
        <v>2031</v>
      </c>
      <c r="B369" s="5" t="s">
        <v>2031</v>
      </c>
      <c r="C369" s="5" t="s">
        <v>2032</v>
      </c>
      <c r="D369" s="5" t="s">
        <v>2033</v>
      </c>
      <c r="E369" s="5" t="s">
        <v>35</v>
      </c>
      <c r="F369" s="5" t="s">
        <v>36</v>
      </c>
      <c r="G369" s="5" t="s">
        <v>37</v>
      </c>
      <c r="H369" s="5"/>
      <c r="I369" s="5"/>
      <c r="J369" s="5" t="s">
        <v>59</v>
      </c>
      <c r="K369" s="5" t="s">
        <v>50</v>
      </c>
      <c r="L369" s="5" t="s">
        <v>51</v>
      </c>
      <c r="M369" s="5" t="s">
        <v>52</v>
      </c>
      <c r="N369" s="5" t="s">
        <v>35</v>
      </c>
      <c r="O369" s="5">
        <v>1</v>
      </c>
      <c r="P369" s="5" t="s">
        <v>42</v>
      </c>
      <c r="Q369" s="5">
        <v>7</v>
      </c>
      <c r="R369" s="5"/>
      <c r="S369" s="5"/>
      <c r="T369" s="5"/>
      <c r="U369" s="5"/>
      <c r="V369" s="5"/>
      <c r="W369" s="5"/>
      <c r="X369" s="5"/>
      <c r="Y369" s="5" t="s">
        <v>640</v>
      </c>
      <c r="Z369" s="5" t="s">
        <v>432</v>
      </c>
      <c r="AA369" s="5" t="s">
        <v>2034</v>
      </c>
      <c r="AB369" s="5" t="s">
        <v>45</v>
      </c>
      <c r="AC369" s="5"/>
      <c r="AD369" s="5"/>
      <c r="AE369" s="5"/>
      <c r="AF369" s="8"/>
      <c r="AG369" s="9">
        <f t="shared" si="5"/>
        <v>43279</v>
      </c>
    </row>
    <row r="370" s="6" customFormat="1" spans="1:33">
      <c r="A370" s="5" t="s">
        <v>2035</v>
      </c>
      <c r="B370" s="5" t="s">
        <v>2035</v>
      </c>
      <c r="C370" s="5" t="s">
        <v>2036</v>
      </c>
      <c r="D370" s="5" t="s">
        <v>2037</v>
      </c>
      <c r="E370" s="5" t="s">
        <v>35</v>
      </c>
      <c r="F370" s="5" t="s">
        <v>36</v>
      </c>
      <c r="G370" s="5" t="s">
        <v>37</v>
      </c>
      <c r="H370" s="5"/>
      <c r="I370" s="5"/>
      <c r="J370" s="5" t="s">
        <v>59</v>
      </c>
      <c r="K370" s="5" t="s">
        <v>875</v>
      </c>
      <c r="L370" s="5" t="s">
        <v>876</v>
      </c>
      <c r="M370" s="5" t="s">
        <v>877</v>
      </c>
      <c r="N370" s="5" t="s">
        <v>35</v>
      </c>
      <c r="O370" s="5">
        <v>1</v>
      </c>
      <c r="P370" s="5" t="s">
        <v>42</v>
      </c>
      <c r="Q370" s="5">
        <v>21.99</v>
      </c>
      <c r="R370" s="5"/>
      <c r="S370" s="5"/>
      <c r="T370" s="5"/>
      <c r="U370" s="5"/>
      <c r="V370" s="5"/>
      <c r="W370" s="5"/>
      <c r="X370" s="5"/>
      <c r="Y370" s="5" t="s">
        <v>2038</v>
      </c>
      <c r="Z370" s="5" t="s">
        <v>789</v>
      </c>
      <c r="AA370" s="5" t="s">
        <v>2039</v>
      </c>
      <c r="AB370" s="5" t="s">
        <v>45</v>
      </c>
      <c r="AC370" s="5"/>
      <c r="AD370" s="5"/>
      <c r="AE370" s="5"/>
      <c r="AF370" s="8"/>
      <c r="AG370" s="9">
        <f t="shared" si="5"/>
        <v>43279</v>
      </c>
    </row>
    <row r="371" s="6" customFormat="1" spans="1:33">
      <c r="A371" s="5" t="s">
        <v>2040</v>
      </c>
      <c r="B371" s="5" t="s">
        <v>2040</v>
      </c>
      <c r="C371" s="5" t="s">
        <v>2041</v>
      </c>
      <c r="D371" s="5" t="s">
        <v>2042</v>
      </c>
      <c r="E371" s="5" t="s">
        <v>35</v>
      </c>
      <c r="F371" s="5" t="s">
        <v>36</v>
      </c>
      <c r="G371" s="5" t="s">
        <v>37</v>
      </c>
      <c r="H371" s="5"/>
      <c r="I371" s="5"/>
      <c r="J371" s="5" t="s">
        <v>59</v>
      </c>
      <c r="K371" s="5" t="s">
        <v>114</v>
      </c>
      <c r="L371" s="5" t="s">
        <v>115</v>
      </c>
      <c r="M371" s="5" t="s">
        <v>116</v>
      </c>
      <c r="N371" s="5" t="s">
        <v>35</v>
      </c>
      <c r="O371" s="5">
        <v>1</v>
      </c>
      <c r="P371" s="5" t="s">
        <v>42</v>
      </c>
      <c r="Q371" s="5">
        <v>13.99</v>
      </c>
      <c r="R371" s="5">
        <v>0.84</v>
      </c>
      <c r="S371" s="5"/>
      <c r="T371" s="5"/>
      <c r="U371" s="5"/>
      <c r="V371" s="5"/>
      <c r="W371" s="5"/>
      <c r="X371" s="5"/>
      <c r="Y371" s="5" t="s">
        <v>2043</v>
      </c>
      <c r="Z371" s="5" t="s">
        <v>426</v>
      </c>
      <c r="AA371" s="5" t="s">
        <v>2044</v>
      </c>
      <c r="AB371" s="5" t="s">
        <v>45</v>
      </c>
      <c r="AC371" s="5"/>
      <c r="AD371" s="5"/>
      <c r="AE371" s="5"/>
      <c r="AF371" s="8"/>
      <c r="AG371" s="9">
        <f t="shared" si="5"/>
        <v>43279</v>
      </c>
    </row>
    <row r="372" s="6" customFormat="1" spans="1:33">
      <c r="A372" s="5" t="s">
        <v>2045</v>
      </c>
      <c r="B372" s="5" t="s">
        <v>2045</v>
      </c>
      <c r="C372" s="5" t="s">
        <v>2046</v>
      </c>
      <c r="D372" s="5" t="s">
        <v>2047</v>
      </c>
      <c r="E372" s="5" t="s">
        <v>35</v>
      </c>
      <c r="F372" s="5" t="s">
        <v>36</v>
      </c>
      <c r="G372" s="5" t="s">
        <v>37</v>
      </c>
      <c r="H372" s="5"/>
      <c r="I372" s="5"/>
      <c r="J372" s="5" t="s">
        <v>59</v>
      </c>
      <c r="K372" s="5" t="s">
        <v>1350</v>
      </c>
      <c r="L372" s="5" t="s">
        <v>1351</v>
      </c>
      <c r="M372" s="5" t="s">
        <v>1352</v>
      </c>
      <c r="N372" s="5" t="s">
        <v>35</v>
      </c>
      <c r="O372" s="5">
        <v>1</v>
      </c>
      <c r="P372" s="5" t="s">
        <v>42</v>
      </c>
      <c r="Q372" s="5">
        <v>15.99</v>
      </c>
      <c r="R372" s="5"/>
      <c r="S372" s="5"/>
      <c r="T372" s="5"/>
      <c r="U372" s="5"/>
      <c r="V372" s="5"/>
      <c r="W372" s="5"/>
      <c r="X372" s="5"/>
      <c r="Y372" s="5" t="s">
        <v>2048</v>
      </c>
      <c r="Z372" s="5" t="s">
        <v>780</v>
      </c>
      <c r="AA372" s="5" t="s">
        <v>2049</v>
      </c>
      <c r="AB372" s="5" t="s">
        <v>45</v>
      </c>
      <c r="AC372" s="5"/>
      <c r="AD372" s="5"/>
      <c r="AE372" s="5"/>
      <c r="AF372" s="8"/>
      <c r="AG372" s="9">
        <f t="shared" si="5"/>
        <v>43279</v>
      </c>
    </row>
    <row r="373" s="6" customFormat="1" spans="1:33">
      <c r="A373" s="5" t="s">
        <v>2050</v>
      </c>
      <c r="B373" s="5" t="s">
        <v>2050</v>
      </c>
      <c r="C373" s="5" t="s">
        <v>2051</v>
      </c>
      <c r="D373" s="5" t="s">
        <v>2052</v>
      </c>
      <c r="E373" s="5" t="s">
        <v>35</v>
      </c>
      <c r="F373" s="5" t="s">
        <v>36</v>
      </c>
      <c r="G373" s="5" t="s">
        <v>37</v>
      </c>
      <c r="H373" s="5"/>
      <c r="I373" s="5"/>
      <c r="J373" s="5" t="s">
        <v>59</v>
      </c>
      <c r="K373" s="5" t="s">
        <v>2053</v>
      </c>
      <c r="L373" s="5" t="s">
        <v>2054</v>
      </c>
      <c r="M373" s="5" t="s">
        <v>2055</v>
      </c>
      <c r="N373" s="5" t="s">
        <v>35</v>
      </c>
      <c r="O373" s="5">
        <v>1</v>
      </c>
      <c r="P373" s="5" t="s">
        <v>42</v>
      </c>
      <c r="Q373" s="5">
        <v>14.99</v>
      </c>
      <c r="R373" s="5">
        <v>0.9</v>
      </c>
      <c r="S373" s="5"/>
      <c r="T373" s="5"/>
      <c r="U373" s="5"/>
      <c r="V373" s="5"/>
      <c r="W373" s="5"/>
      <c r="X373" s="5"/>
      <c r="Y373" s="5" t="s">
        <v>2056</v>
      </c>
      <c r="Z373" s="5" t="s">
        <v>426</v>
      </c>
      <c r="AA373" s="5" t="s">
        <v>2057</v>
      </c>
      <c r="AB373" s="5" t="s">
        <v>45</v>
      </c>
      <c r="AC373" s="5"/>
      <c r="AD373" s="5"/>
      <c r="AE373" s="5"/>
      <c r="AG373" s="9">
        <f t="shared" si="5"/>
        <v>43279</v>
      </c>
    </row>
    <row r="374" s="6" customFormat="1" spans="1:33">
      <c r="A374" s="5" t="s">
        <v>2058</v>
      </c>
      <c r="B374" s="5" t="s">
        <v>2058</v>
      </c>
      <c r="C374" s="5" t="s">
        <v>2059</v>
      </c>
      <c r="D374" s="5" t="s">
        <v>2060</v>
      </c>
      <c r="E374" s="5" t="s">
        <v>35</v>
      </c>
      <c r="F374" s="5" t="s">
        <v>36</v>
      </c>
      <c r="G374" s="5" t="s">
        <v>37</v>
      </c>
      <c r="H374" s="5"/>
      <c r="I374" s="5"/>
      <c r="J374" s="5" t="s">
        <v>59</v>
      </c>
      <c r="K374" s="5" t="s">
        <v>875</v>
      </c>
      <c r="L374" s="5" t="s">
        <v>876</v>
      </c>
      <c r="M374" s="5" t="s">
        <v>877</v>
      </c>
      <c r="N374" s="5" t="s">
        <v>35</v>
      </c>
      <c r="O374" s="5">
        <v>1</v>
      </c>
      <c r="P374" s="5" t="s">
        <v>42</v>
      </c>
      <c r="Q374" s="5">
        <v>21.99</v>
      </c>
      <c r="R374" s="5"/>
      <c r="S374" s="5"/>
      <c r="T374" s="5"/>
      <c r="U374" s="5"/>
      <c r="V374" s="5"/>
      <c r="W374" s="5"/>
      <c r="X374" s="5"/>
      <c r="Y374" s="5" t="s">
        <v>2061</v>
      </c>
      <c r="Z374" s="5" t="s">
        <v>1547</v>
      </c>
      <c r="AA374" s="5" t="s">
        <v>2062</v>
      </c>
      <c r="AB374" s="5" t="s">
        <v>45</v>
      </c>
      <c r="AC374" s="5"/>
      <c r="AD374" s="5"/>
      <c r="AE374" s="5"/>
      <c r="AG374" s="9">
        <f t="shared" si="5"/>
        <v>43279</v>
      </c>
    </row>
    <row r="375" s="6" customFormat="1" spans="1:33">
      <c r="A375" s="5" t="s">
        <v>2063</v>
      </c>
      <c r="B375" s="5" t="s">
        <v>2063</v>
      </c>
      <c r="C375" s="5" t="s">
        <v>2064</v>
      </c>
      <c r="D375" s="5" t="s">
        <v>2065</v>
      </c>
      <c r="E375" s="5" t="s">
        <v>35</v>
      </c>
      <c r="F375" s="5" t="s">
        <v>36</v>
      </c>
      <c r="G375" s="5" t="s">
        <v>37</v>
      </c>
      <c r="H375" s="5"/>
      <c r="I375" s="5"/>
      <c r="J375" s="5" t="s">
        <v>59</v>
      </c>
      <c r="K375" s="5" t="s">
        <v>655</v>
      </c>
      <c r="L375" s="5" t="s">
        <v>656</v>
      </c>
      <c r="M375" s="5" t="s">
        <v>657</v>
      </c>
      <c r="N375" s="5" t="s">
        <v>35</v>
      </c>
      <c r="O375" s="5">
        <v>1</v>
      </c>
      <c r="P375" s="5" t="s">
        <v>42</v>
      </c>
      <c r="Q375" s="5">
        <v>18.99</v>
      </c>
      <c r="R375" s="5"/>
      <c r="S375" s="5"/>
      <c r="T375" s="5"/>
      <c r="U375" s="5"/>
      <c r="V375" s="5"/>
      <c r="W375" s="5"/>
      <c r="X375" s="5"/>
      <c r="Y375" s="5" t="s">
        <v>418</v>
      </c>
      <c r="Z375" s="5" t="s">
        <v>211</v>
      </c>
      <c r="AA375" s="5">
        <v>10024</v>
      </c>
      <c r="AB375" s="5" t="s">
        <v>45</v>
      </c>
      <c r="AC375" s="5"/>
      <c r="AD375" s="5"/>
      <c r="AE375" s="5"/>
      <c r="AG375" s="9">
        <f t="shared" si="5"/>
        <v>43279</v>
      </c>
    </row>
    <row r="376" s="6" customFormat="1" spans="1:33">
      <c r="A376" s="5" t="s">
        <v>2066</v>
      </c>
      <c r="B376" s="5" t="s">
        <v>2066</v>
      </c>
      <c r="C376" s="5" t="s">
        <v>2067</v>
      </c>
      <c r="D376" s="5" t="s">
        <v>2068</v>
      </c>
      <c r="E376" s="5" t="s">
        <v>35</v>
      </c>
      <c r="F376" s="5" t="s">
        <v>36</v>
      </c>
      <c r="G376" s="5" t="s">
        <v>37</v>
      </c>
      <c r="H376" s="5"/>
      <c r="I376" s="5"/>
      <c r="J376" s="5" t="s">
        <v>59</v>
      </c>
      <c r="K376" s="5" t="s">
        <v>50</v>
      </c>
      <c r="L376" s="5" t="s">
        <v>51</v>
      </c>
      <c r="M376" s="5" t="s">
        <v>52</v>
      </c>
      <c r="N376" s="5" t="s">
        <v>35</v>
      </c>
      <c r="O376" s="5">
        <v>1</v>
      </c>
      <c r="P376" s="5" t="s">
        <v>42</v>
      </c>
      <c r="Q376" s="5">
        <v>7</v>
      </c>
      <c r="R376" s="5"/>
      <c r="S376" s="5"/>
      <c r="T376" s="5"/>
      <c r="U376" s="5"/>
      <c r="V376" s="5"/>
      <c r="W376" s="5"/>
      <c r="X376" s="5"/>
      <c r="Y376" s="5" t="s">
        <v>2069</v>
      </c>
      <c r="Z376" s="5" t="s">
        <v>520</v>
      </c>
      <c r="AA376" s="5">
        <v>3839</v>
      </c>
      <c r="AB376" s="5" t="s">
        <v>45</v>
      </c>
      <c r="AC376" s="5"/>
      <c r="AD376" s="5"/>
      <c r="AE376" s="5"/>
      <c r="AG376" s="9">
        <f t="shared" si="5"/>
        <v>43279</v>
      </c>
    </row>
    <row r="377" s="6" customFormat="1" spans="1:33">
      <c r="A377" s="5" t="s">
        <v>2070</v>
      </c>
      <c r="B377" s="5" t="s">
        <v>2070</v>
      </c>
      <c r="C377" s="5" t="s">
        <v>2071</v>
      </c>
      <c r="D377" s="5" t="s">
        <v>2072</v>
      </c>
      <c r="E377" s="5" t="s">
        <v>35</v>
      </c>
      <c r="F377" s="5" t="s">
        <v>36</v>
      </c>
      <c r="G377" s="5" t="s">
        <v>37</v>
      </c>
      <c r="H377" s="5"/>
      <c r="I377" s="5"/>
      <c r="J377" s="5" t="s">
        <v>59</v>
      </c>
      <c r="K377" s="5" t="s">
        <v>1203</v>
      </c>
      <c r="L377" s="5" t="s">
        <v>1204</v>
      </c>
      <c r="M377" s="5" t="s">
        <v>1205</v>
      </c>
      <c r="N377" s="5" t="s">
        <v>35</v>
      </c>
      <c r="O377" s="5">
        <v>1</v>
      </c>
      <c r="P377" s="5" t="s">
        <v>42</v>
      </c>
      <c r="Q377" s="5">
        <v>9.5</v>
      </c>
      <c r="R377" s="5"/>
      <c r="S377" s="5"/>
      <c r="T377" s="5"/>
      <c r="U377" s="5"/>
      <c r="V377" s="5"/>
      <c r="W377" s="5"/>
      <c r="X377" s="5"/>
      <c r="Y377" s="5" t="s">
        <v>2073</v>
      </c>
      <c r="Z377" s="5" t="s">
        <v>1547</v>
      </c>
      <c r="AA377" s="5" t="s">
        <v>2074</v>
      </c>
      <c r="AB377" s="5" t="s">
        <v>45</v>
      </c>
      <c r="AC377" s="5"/>
      <c r="AD377" s="5"/>
      <c r="AE377" s="5"/>
      <c r="AG377" s="9">
        <f t="shared" si="5"/>
        <v>43279</v>
      </c>
    </row>
    <row r="378" s="6" customFormat="1" spans="1:33">
      <c r="A378" s="5" t="s">
        <v>2075</v>
      </c>
      <c r="B378" s="5" t="s">
        <v>2075</v>
      </c>
      <c r="C378" s="5" t="s">
        <v>2076</v>
      </c>
      <c r="D378" s="5" t="s">
        <v>2077</v>
      </c>
      <c r="E378" s="5" t="s">
        <v>35</v>
      </c>
      <c r="F378" s="5" t="s">
        <v>36</v>
      </c>
      <c r="G378" s="5" t="s">
        <v>37</v>
      </c>
      <c r="H378" s="5"/>
      <c r="I378" s="5"/>
      <c r="J378" s="5" t="s">
        <v>38</v>
      </c>
      <c r="K378" s="5" t="s">
        <v>875</v>
      </c>
      <c r="L378" s="5" t="s">
        <v>876</v>
      </c>
      <c r="M378" s="5" t="s">
        <v>877</v>
      </c>
      <c r="N378" s="5" t="s">
        <v>35</v>
      </c>
      <c r="O378" s="5">
        <v>2</v>
      </c>
      <c r="P378" s="5" t="s">
        <v>42</v>
      </c>
      <c r="Q378" s="5">
        <v>43.98</v>
      </c>
      <c r="R378" s="5"/>
      <c r="S378" s="5"/>
      <c r="T378" s="5"/>
      <c r="U378" s="5"/>
      <c r="V378" s="5"/>
      <c r="W378" s="5"/>
      <c r="X378" s="5"/>
      <c r="Y378" s="5" t="s">
        <v>2078</v>
      </c>
      <c r="Z378" s="5" t="s">
        <v>534</v>
      </c>
      <c r="AA378" s="5" t="s">
        <v>2079</v>
      </c>
      <c r="AB378" s="5" t="s">
        <v>45</v>
      </c>
      <c r="AC378" s="5"/>
      <c r="AD378" s="5"/>
      <c r="AE378" s="5"/>
      <c r="AG378" s="9">
        <f t="shared" si="5"/>
        <v>43279</v>
      </c>
    </row>
    <row r="379" s="6" customFormat="1" spans="1:33">
      <c r="A379" s="5" t="s">
        <v>2080</v>
      </c>
      <c r="B379" s="5" t="s">
        <v>2080</v>
      </c>
      <c r="C379" s="5" t="s">
        <v>2081</v>
      </c>
      <c r="D379" s="5" t="s">
        <v>2082</v>
      </c>
      <c r="E379" s="5" t="s">
        <v>35</v>
      </c>
      <c r="F379" s="5" t="s">
        <v>36</v>
      </c>
      <c r="G379" s="5" t="s">
        <v>37</v>
      </c>
      <c r="H379" s="5"/>
      <c r="I379" s="5"/>
      <c r="J379" s="5" t="s">
        <v>59</v>
      </c>
      <c r="K379" s="5" t="s">
        <v>1658</v>
      </c>
      <c r="L379" s="5" t="s">
        <v>1659</v>
      </c>
      <c r="M379" s="5" t="s">
        <v>1660</v>
      </c>
      <c r="N379" s="5" t="s">
        <v>35</v>
      </c>
      <c r="O379" s="5">
        <v>1</v>
      </c>
      <c r="P379" s="5" t="s">
        <v>42</v>
      </c>
      <c r="Q379" s="5">
        <v>15.35</v>
      </c>
      <c r="R379" s="5"/>
      <c r="S379" s="5"/>
      <c r="T379" s="5"/>
      <c r="U379" s="5"/>
      <c r="V379" s="5"/>
      <c r="W379" s="5"/>
      <c r="X379" s="5"/>
      <c r="Y379" s="5" t="s">
        <v>2083</v>
      </c>
      <c r="Z379" s="5" t="s">
        <v>609</v>
      </c>
      <c r="AA379" s="5" t="s">
        <v>2084</v>
      </c>
      <c r="AB379" s="5" t="s">
        <v>45</v>
      </c>
      <c r="AC379" s="5"/>
      <c r="AD379" s="5"/>
      <c r="AE379" s="5"/>
      <c r="AG379" s="9">
        <f t="shared" si="5"/>
        <v>43279</v>
      </c>
    </row>
    <row r="380" s="6" customFormat="1" spans="1:33">
      <c r="A380" s="5" t="s">
        <v>2085</v>
      </c>
      <c r="B380" s="5" t="s">
        <v>2085</v>
      </c>
      <c r="C380" s="5" t="s">
        <v>2086</v>
      </c>
      <c r="D380" s="5" t="s">
        <v>2087</v>
      </c>
      <c r="E380" s="5" t="s">
        <v>35</v>
      </c>
      <c r="F380" s="5" t="s">
        <v>36</v>
      </c>
      <c r="G380" s="5" t="s">
        <v>37</v>
      </c>
      <c r="H380" s="5"/>
      <c r="I380" s="5"/>
      <c r="J380" s="5" t="s">
        <v>59</v>
      </c>
      <c r="K380" s="5" t="s">
        <v>539</v>
      </c>
      <c r="L380" s="5" t="s">
        <v>540</v>
      </c>
      <c r="M380" s="5" t="s">
        <v>541</v>
      </c>
      <c r="N380" s="5" t="s">
        <v>35</v>
      </c>
      <c r="O380" s="5">
        <v>1</v>
      </c>
      <c r="P380" s="5" t="s">
        <v>42</v>
      </c>
      <c r="Q380" s="5">
        <v>19.99</v>
      </c>
      <c r="R380" s="5"/>
      <c r="S380" s="5"/>
      <c r="T380" s="5"/>
      <c r="U380" s="5"/>
      <c r="V380" s="5"/>
      <c r="W380" s="5"/>
      <c r="X380" s="5"/>
      <c r="Y380" s="5" t="s">
        <v>2088</v>
      </c>
      <c r="Z380" s="5" t="s">
        <v>54</v>
      </c>
      <c r="AA380" s="5" t="s">
        <v>2089</v>
      </c>
      <c r="AB380" s="5" t="s">
        <v>45</v>
      </c>
      <c r="AC380" s="5"/>
      <c r="AD380" s="5"/>
      <c r="AE380" s="5"/>
      <c r="AG380" s="9">
        <f t="shared" si="5"/>
        <v>43279</v>
      </c>
    </row>
    <row r="381" s="6" customFormat="1" spans="1:33">
      <c r="A381" s="5" t="s">
        <v>2090</v>
      </c>
      <c r="B381" s="5" t="s">
        <v>2090</v>
      </c>
      <c r="C381" s="5" t="s">
        <v>2091</v>
      </c>
      <c r="D381" s="5" t="s">
        <v>2092</v>
      </c>
      <c r="E381" s="5" t="s">
        <v>35</v>
      </c>
      <c r="F381" s="5" t="s">
        <v>36</v>
      </c>
      <c r="G381" s="5" t="s">
        <v>37</v>
      </c>
      <c r="H381" s="5"/>
      <c r="I381" s="5"/>
      <c r="J381" s="5" t="s">
        <v>59</v>
      </c>
      <c r="K381" s="5" t="s">
        <v>1334</v>
      </c>
      <c r="L381" s="5" t="s">
        <v>573</v>
      </c>
      <c r="M381" s="5" t="s">
        <v>574</v>
      </c>
      <c r="N381" s="5" t="s">
        <v>35</v>
      </c>
      <c r="O381" s="5">
        <v>1</v>
      </c>
      <c r="P381" s="5" t="s">
        <v>42</v>
      </c>
      <c r="Q381" s="5">
        <v>18.99</v>
      </c>
      <c r="R381" s="5"/>
      <c r="S381" s="5"/>
      <c r="T381" s="5"/>
      <c r="U381" s="5"/>
      <c r="V381" s="5"/>
      <c r="W381" s="5"/>
      <c r="X381" s="5"/>
      <c r="Y381" s="5" t="s">
        <v>2093</v>
      </c>
      <c r="Z381" s="5" t="s">
        <v>211</v>
      </c>
      <c r="AA381" s="5" t="s">
        <v>2094</v>
      </c>
      <c r="AB381" s="5" t="s">
        <v>45</v>
      </c>
      <c r="AC381" s="5"/>
      <c r="AD381" s="5"/>
      <c r="AE381" s="5"/>
      <c r="AG381" s="9">
        <f t="shared" si="5"/>
        <v>43279</v>
      </c>
    </row>
    <row r="382" s="6" customFormat="1" spans="1:33">
      <c r="A382" s="5" t="s">
        <v>2095</v>
      </c>
      <c r="B382" s="5" t="s">
        <v>2095</v>
      </c>
      <c r="C382" s="5" t="s">
        <v>2096</v>
      </c>
      <c r="D382" s="5" t="s">
        <v>2097</v>
      </c>
      <c r="E382" s="5" t="s">
        <v>35</v>
      </c>
      <c r="F382" s="5" t="s">
        <v>36</v>
      </c>
      <c r="G382" s="5" t="s">
        <v>37</v>
      </c>
      <c r="H382" s="5"/>
      <c r="I382" s="5"/>
      <c r="J382" s="5" t="s">
        <v>59</v>
      </c>
      <c r="K382" s="5" t="s">
        <v>94</v>
      </c>
      <c r="L382" s="5" t="s">
        <v>95</v>
      </c>
      <c r="M382" s="5" t="s">
        <v>96</v>
      </c>
      <c r="N382" s="5" t="s">
        <v>35</v>
      </c>
      <c r="O382" s="5">
        <v>1</v>
      </c>
      <c r="P382" s="5" t="s">
        <v>42</v>
      </c>
      <c r="Q382" s="5">
        <v>14.99</v>
      </c>
      <c r="R382" s="5"/>
      <c r="S382" s="5"/>
      <c r="T382" s="5"/>
      <c r="U382" s="5"/>
      <c r="V382" s="5"/>
      <c r="W382" s="5"/>
      <c r="X382" s="5"/>
      <c r="Y382" s="5" t="s">
        <v>2098</v>
      </c>
      <c r="Z382" s="5" t="s">
        <v>1135</v>
      </c>
      <c r="AA382" s="5" t="s">
        <v>2099</v>
      </c>
      <c r="AB382" s="5" t="s">
        <v>45</v>
      </c>
      <c r="AC382" s="5"/>
      <c r="AD382" s="5"/>
      <c r="AE382" s="5"/>
      <c r="AG382" s="9">
        <f t="shared" si="5"/>
        <v>43279</v>
      </c>
    </row>
    <row r="383" s="6" customFormat="1" spans="1:33">
      <c r="A383" s="5" t="s">
        <v>2100</v>
      </c>
      <c r="B383" s="5" t="s">
        <v>2100</v>
      </c>
      <c r="C383" s="5" t="s">
        <v>2101</v>
      </c>
      <c r="D383" s="5" t="s">
        <v>2102</v>
      </c>
      <c r="E383" s="5" t="s">
        <v>35</v>
      </c>
      <c r="F383" s="5" t="s">
        <v>36</v>
      </c>
      <c r="G383" s="5" t="s">
        <v>37</v>
      </c>
      <c r="H383" s="5"/>
      <c r="I383" s="5"/>
      <c r="J383" s="5" t="s">
        <v>59</v>
      </c>
      <c r="K383" s="5" t="s">
        <v>50</v>
      </c>
      <c r="L383" s="5" t="s">
        <v>51</v>
      </c>
      <c r="M383" s="5" t="s">
        <v>52</v>
      </c>
      <c r="N383" s="5" t="s">
        <v>35</v>
      </c>
      <c r="O383" s="5">
        <v>1</v>
      </c>
      <c r="P383" s="5" t="s">
        <v>42</v>
      </c>
      <c r="Q383" s="5">
        <v>7</v>
      </c>
      <c r="R383" s="5"/>
      <c r="S383" s="5"/>
      <c r="T383" s="5"/>
      <c r="U383" s="5"/>
      <c r="V383" s="5"/>
      <c r="W383" s="5"/>
      <c r="X383" s="5"/>
      <c r="Y383" s="5" t="s">
        <v>1363</v>
      </c>
      <c r="Z383" s="5" t="s">
        <v>162</v>
      </c>
      <c r="AA383" s="5" t="s">
        <v>2103</v>
      </c>
      <c r="AB383" s="5" t="s">
        <v>45</v>
      </c>
      <c r="AC383" s="5"/>
      <c r="AD383" s="5"/>
      <c r="AE383" s="5"/>
      <c r="AG383" s="9">
        <f t="shared" si="5"/>
        <v>43279</v>
      </c>
    </row>
    <row r="384" s="6" customFormat="1" spans="1:33">
      <c r="A384" s="5" t="s">
        <v>2104</v>
      </c>
      <c r="B384" s="5" t="s">
        <v>2104</v>
      </c>
      <c r="C384" s="5" t="s">
        <v>2105</v>
      </c>
      <c r="D384" s="5" t="s">
        <v>2106</v>
      </c>
      <c r="E384" s="5" t="s">
        <v>35</v>
      </c>
      <c r="F384" s="5" t="s">
        <v>36</v>
      </c>
      <c r="G384" s="5" t="s">
        <v>37</v>
      </c>
      <c r="H384" s="5"/>
      <c r="I384" s="5"/>
      <c r="J384" s="5" t="s">
        <v>883</v>
      </c>
      <c r="K384" s="5" t="s">
        <v>875</v>
      </c>
      <c r="L384" s="5" t="s">
        <v>876</v>
      </c>
      <c r="M384" s="5" t="s">
        <v>877</v>
      </c>
      <c r="N384" s="5" t="s">
        <v>35</v>
      </c>
      <c r="O384" s="5">
        <v>5</v>
      </c>
      <c r="P384" s="5" t="s">
        <v>42</v>
      </c>
      <c r="Q384" s="5">
        <v>109.95</v>
      </c>
      <c r="R384" s="5"/>
      <c r="S384" s="5">
        <v>29.95</v>
      </c>
      <c r="T384" s="5"/>
      <c r="U384" s="5"/>
      <c r="V384" s="5"/>
      <c r="W384" s="5"/>
      <c r="X384" s="5"/>
      <c r="Y384" s="5" t="s">
        <v>2107</v>
      </c>
      <c r="Z384" s="5" t="s">
        <v>789</v>
      </c>
      <c r="AA384" s="5" t="s">
        <v>2108</v>
      </c>
      <c r="AB384" s="5" t="s">
        <v>45</v>
      </c>
      <c r="AC384" s="5"/>
      <c r="AD384" s="5"/>
      <c r="AE384" s="5"/>
      <c r="AG384" s="9">
        <f t="shared" si="5"/>
        <v>43279</v>
      </c>
    </row>
    <row r="385" s="6" customFormat="1" spans="1:33">
      <c r="A385" s="5" t="s">
        <v>2109</v>
      </c>
      <c r="B385" s="5" t="s">
        <v>2109</v>
      </c>
      <c r="C385" s="5" t="s">
        <v>2110</v>
      </c>
      <c r="D385" s="5" t="s">
        <v>2111</v>
      </c>
      <c r="E385" s="5" t="s">
        <v>35</v>
      </c>
      <c r="F385" s="5" t="s">
        <v>36</v>
      </c>
      <c r="G385" s="5" t="s">
        <v>37</v>
      </c>
      <c r="H385" s="5"/>
      <c r="I385" s="5"/>
      <c r="J385" s="5" t="s">
        <v>59</v>
      </c>
      <c r="K385" s="5" t="s">
        <v>875</v>
      </c>
      <c r="L385" s="5" t="s">
        <v>876</v>
      </c>
      <c r="M385" s="5" t="s">
        <v>877</v>
      </c>
      <c r="N385" s="5" t="s">
        <v>35</v>
      </c>
      <c r="O385" s="5">
        <v>6</v>
      </c>
      <c r="P385" s="5" t="s">
        <v>42</v>
      </c>
      <c r="Q385" s="5">
        <v>131.94</v>
      </c>
      <c r="R385" s="5"/>
      <c r="S385" s="5"/>
      <c r="T385" s="5"/>
      <c r="U385" s="5"/>
      <c r="V385" s="5"/>
      <c r="W385" s="5"/>
      <c r="X385" s="5"/>
      <c r="Y385" s="5" t="s">
        <v>2112</v>
      </c>
      <c r="Z385" s="5" t="s">
        <v>118</v>
      </c>
      <c r="AA385" s="5" t="s">
        <v>2113</v>
      </c>
      <c r="AB385" s="5" t="s">
        <v>45</v>
      </c>
      <c r="AC385" s="5"/>
      <c r="AD385" s="5"/>
      <c r="AE385" s="5"/>
      <c r="AG385" s="9">
        <f t="shared" si="5"/>
        <v>43279</v>
      </c>
    </row>
    <row r="386" s="6" customFormat="1" spans="1:33">
      <c r="A386" s="5" t="s">
        <v>2114</v>
      </c>
      <c r="B386" s="5" t="s">
        <v>2114</v>
      </c>
      <c r="C386" s="5" t="s">
        <v>2115</v>
      </c>
      <c r="D386" s="5" t="s">
        <v>2116</v>
      </c>
      <c r="E386" s="5" t="s">
        <v>274</v>
      </c>
      <c r="F386" s="5" t="s">
        <v>36</v>
      </c>
      <c r="G386" s="5" t="s">
        <v>37</v>
      </c>
      <c r="H386" s="5"/>
      <c r="I386" s="5"/>
      <c r="J386" s="5" t="s">
        <v>38</v>
      </c>
      <c r="K386" s="5" t="s">
        <v>688</v>
      </c>
      <c r="L386" s="5" t="s">
        <v>689</v>
      </c>
      <c r="M386" s="5" t="s">
        <v>690</v>
      </c>
      <c r="N386" s="5" t="s">
        <v>274</v>
      </c>
      <c r="O386" s="5">
        <v>0</v>
      </c>
      <c r="P386" s="5"/>
      <c r="Q386" s="5"/>
      <c r="R386" s="5"/>
      <c r="S386" s="5"/>
      <c r="T386" s="5"/>
      <c r="U386" s="5"/>
      <c r="V386" s="5"/>
      <c r="W386" s="5"/>
      <c r="X386" s="5"/>
      <c r="Y386" s="5" t="s">
        <v>1922</v>
      </c>
      <c r="Z386" s="5" t="s">
        <v>609</v>
      </c>
      <c r="AA386" s="5" t="s">
        <v>1923</v>
      </c>
      <c r="AB386" s="5" t="s">
        <v>45</v>
      </c>
      <c r="AC386" s="5"/>
      <c r="AD386" s="5"/>
      <c r="AE386" s="5"/>
      <c r="AG386" s="9">
        <f t="shared" ref="AG386:AG449" si="6">DATEVALUE(LEFT(C386,10))</f>
        <v>43279</v>
      </c>
    </row>
    <row r="387" s="6" customFormat="1" spans="1:33">
      <c r="A387" s="5" t="s">
        <v>2117</v>
      </c>
      <c r="B387" s="5" t="s">
        <v>2117</v>
      </c>
      <c r="C387" s="5" t="s">
        <v>2118</v>
      </c>
      <c r="D387" s="5" t="s">
        <v>2119</v>
      </c>
      <c r="E387" s="5" t="s">
        <v>35</v>
      </c>
      <c r="F387" s="5" t="s">
        <v>36</v>
      </c>
      <c r="G387" s="5" t="s">
        <v>37</v>
      </c>
      <c r="H387" s="5"/>
      <c r="I387" s="5"/>
      <c r="J387" s="5" t="s">
        <v>59</v>
      </c>
      <c r="K387" s="5" t="s">
        <v>50</v>
      </c>
      <c r="L387" s="5" t="s">
        <v>51</v>
      </c>
      <c r="M387" s="5" t="s">
        <v>52</v>
      </c>
      <c r="N387" s="5" t="s">
        <v>35</v>
      </c>
      <c r="O387" s="5">
        <v>3</v>
      </c>
      <c r="P387" s="5" t="s">
        <v>42</v>
      </c>
      <c r="Q387" s="5">
        <v>21</v>
      </c>
      <c r="R387" s="5"/>
      <c r="S387" s="5"/>
      <c r="T387" s="5"/>
      <c r="U387" s="5"/>
      <c r="V387" s="5"/>
      <c r="W387" s="5"/>
      <c r="X387" s="5"/>
      <c r="Y387" s="5" t="s">
        <v>2120</v>
      </c>
      <c r="Z387" s="5" t="s">
        <v>127</v>
      </c>
      <c r="AA387" s="5" t="s">
        <v>2121</v>
      </c>
      <c r="AB387" s="5" t="s">
        <v>45</v>
      </c>
      <c r="AC387" s="5"/>
      <c r="AD387" s="5"/>
      <c r="AE387" s="5"/>
      <c r="AG387" s="9">
        <f t="shared" si="6"/>
        <v>43279</v>
      </c>
    </row>
    <row r="388" s="6" customFormat="1" spans="1:33">
      <c r="A388" s="5" t="s">
        <v>2122</v>
      </c>
      <c r="B388" s="5" t="s">
        <v>2122</v>
      </c>
      <c r="C388" s="5" t="s">
        <v>2123</v>
      </c>
      <c r="D388" s="5" t="s">
        <v>2124</v>
      </c>
      <c r="E388" s="5" t="s">
        <v>35</v>
      </c>
      <c r="F388" s="5" t="s">
        <v>36</v>
      </c>
      <c r="G388" s="5" t="s">
        <v>37</v>
      </c>
      <c r="H388" s="5"/>
      <c r="I388" s="5"/>
      <c r="J388" s="5" t="s">
        <v>59</v>
      </c>
      <c r="K388" s="5" t="s">
        <v>114</v>
      </c>
      <c r="L388" s="5" t="s">
        <v>115</v>
      </c>
      <c r="M388" s="5" t="s">
        <v>116</v>
      </c>
      <c r="N388" s="5" t="s">
        <v>35</v>
      </c>
      <c r="O388" s="5">
        <v>1</v>
      </c>
      <c r="P388" s="5" t="s">
        <v>42</v>
      </c>
      <c r="Q388" s="5">
        <v>13.99</v>
      </c>
      <c r="R388" s="5"/>
      <c r="S388" s="5"/>
      <c r="T388" s="5"/>
      <c r="U388" s="5"/>
      <c r="V388" s="5"/>
      <c r="W388" s="5"/>
      <c r="X388" s="5"/>
      <c r="Y388" s="5" t="s">
        <v>2125</v>
      </c>
      <c r="Z388" s="5" t="s">
        <v>432</v>
      </c>
      <c r="AA388" s="5" t="s">
        <v>2126</v>
      </c>
      <c r="AB388" s="5" t="s">
        <v>45</v>
      </c>
      <c r="AC388" s="5"/>
      <c r="AD388" s="5"/>
      <c r="AE388" s="5"/>
      <c r="AG388" s="9">
        <f t="shared" si="6"/>
        <v>43279</v>
      </c>
    </row>
    <row r="389" s="6" customFormat="1" spans="1:33">
      <c r="A389" s="5" t="s">
        <v>2127</v>
      </c>
      <c r="B389" s="5" t="s">
        <v>2127</v>
      </c>
      <c r="C389" s="5" t="s">
        <v>2128</v>
      </c>
      <c r="D389" s="5" t="s">
        <v>2129</v>
      </c>
      <c r="E389" s="5" t="s">
        <v>35</v>
      </c>
      <c r="F389" s="5" t="s">
        <v>36</v>
      </c>
      <c r="G389" s="5" t="s">
        <v>37</v>
      </c>
      <c r="H389" s="5"/>
      <c r="I389" s="5"/>
      <c r="J389" s="5" t="s">
        <v>59</v>
      </c>
      <c r="K389" s="5" t="s">
        <v>50</v>
      </c>
      <c r="L389" s="5" t="s">
        <v>51</v>
      </c>
      <c r="M389" s="5" t="s">
        <v>52</v>
      </c>
      <c r="N389" s="5" t="s">
        <v>35</v>
      </c>
      <c r="O389" s="5">
        <v>1</v>
      </c>
      <c r="P389" s="5" t="s">
        <v>42</v>
      </c>
      <c r="Q389" s="5">
        <v>7</v>
      </c>
      <c r="R389" s="5"/>
      <c r="S389" s="5"/>
      <c r="T389" s="5"/>
      <c r="U389" s="5"/>
      <c r="V389" s="5"/>
      <c r="W389" s="5"/>
      <c r="X389" s="5"/>
      <c r="Y389" s="5" t="s">
        <v>2130</v>
      </c>
      <c r="Z389" s="5" t="s">
        <v>432</v>
      </c>
      <c r="AA389" s="5" t="s">
        <v>2131</v>
      </c>
      <c r="AB389" s="5" t="s">
        <v>45</v>
      </c>
      <c r="AC389" s="5"/>
      <c r="AD389" s="5"/>
      <c r="AE389" s="5"/>
      <c r="AG389" s="9">
        <f t="shared" si="6"/>
        <v>43279</v>
      </c>
    </row>
    <row r="390" s="6" customFormat="1" spans="1:33">
      <c r="A390" s="5" t="s">
        <v>2132</v>
      </c>
      <c r="B390" s="5" t="s">
        <v>2132</v>
      </c>
      <c r="C390" s="5" t="s">
        <v>2133</v>
      </c>
      <c r="D390" s="5" t="s">
        <v>2134</v>
      </c>
      <c r="E390" s="5" t="s">
        <v>35</v>
      </c>
      <c r="F390" s="5" t="s">
        <v>36</v>
      </c>
      <c r="G390" s="5" t="s">
        <v>37</v>
      </c>
      <c r="H390" s="5"/>
      <c r="I390" s="5"/>
      <c r="J390" s="5" t="s">
        <v>59</v>
      </c>
      <c r="K390" s="5" t="s">
        <v>50</v>
      </c>
      <c r="L390" s="5" t="s">
        <v>51</v>
      </c>
      <c r="M390" s="5" t="s">
        <v>52</v>
      </c>
      <c r="N390" s="5" t="s">
        <v>35</v>
      </c>
      <c r="O390" s="5">
        <v>1</v>
      </c>
      <c r="P390" s="5" t="s">
        <v>42</v>
      </c>
      <c r="Q390" s="5">
        <v>7</v>
      </c>
      <c r="R390" s="5"/>
      <c r="S390" s="5"/>
      <c r="T390" s="5"/>
      <c r="U390" s="5"/>
      <c r="V390" s="5"/>
      <c r="W390" s="5"/>
      <c r="X390" s="5"/>
      <c r="Y390" s="5" t="s">
        <v>2135</v>
      </c>
      <c r="Z390" s="5" t="s">
        <v>191</v>
      </c>
      <c r="AA390" s="5">
        <v>7452</v>
      </c>
      <c r="AB390" s="5" t="s">
        <v>45</v>
      </c>
      <c r="AC390" s="5"/>
      <c r="AD390" s="5"/>
      <c r="AE390" s="5"/>
      <c r="AG390" s="9">
        <f t="shared" si="6"/>
        <v>43279</v>
      </c>
    </row>
    <row r="391" s="6" customFormat="1" spans="1:33">
      <c r="A391" s="5" t="s">
        <v>2136</v>
      </c>
      <c r="B391" s="5" t="s">
        <v>2136</v>
      </c>
      <c r="C391" s="5" t="s">
        <v>2137</v>
      </c>
      <c r="D391" s="5" t="s">
        <v>2138</v>
      </c>
      <c r="E391" s="5" t="s">
        <v>35</v>
      </c>
      <c r="F391" s="5" t="s">
        <v>36</v>
      </c>
      <c r="G391" s="5" t="s">
        <v>37</v>
      </c>
      <c r="H391" s="5"/>
      <c r="I391" s="5"/>
      <c r="J391" s="5" t="s">
        <v>883</v>
      </c>
      <c r="K391" s="5" t="s">
        <v>875</v>
      </c>
      <c r="L391" s="5" t="s">
        <v>876</v>
      </c>
      <c r="M391" s="5" t="s">
        <v>877</v>
      </c>
      <c r="N391" s="5" t="s">
        <v>35</v>
      </c>
      <c r="O391" s="5">
        <v>1</v>
      </c>
      <c r="P391" s="5" t="s">
        <v>42</v>
      </c>
      <c r="Q391" s="5">
        <v>21.99</v>
      </c>
      <c r="R391" s="5"/>
      <c r="S391" s="5">
        <v>5.99</v>
      </c>
      <c r="T391" s="5"/>
      <c r="U391" s="5"/>
      <c r="V391" s="5"/>
      <c r="W391" s="5"/>
      <c r="X391" s="5"/>
      <c r="Y391" s="5" t="s">
        <v>2139</v>
      </c>
      <c r="Z391" s="5" t="s">
        <v>780</v>
      </c>
      <c r="AA391" s="5" t="s">
        <v>2140</v>
      </c>
      <c r="AB391" s="5" t="s">
        <v>45</v>
      </c>
      <c r="AC391" s="5"/>
      <c r="AD391" s="5"/>
      <c r="AE391" s="5"/>
      <c r="AG391" s="9">
        <f t="shared" si="6"/>
        <v>43279</v>
      </c>
    </row>
    <row r="392" s="6" customFormat="1" spans="1:33">
      <c r="A392" s="5" t="s">
        <v>2141</v>
      </c>
      <c r="B392" s="5" t="s">
        <v>2141</v>
      </c>
      <c r="C392" s="5" t="s">
        <v>2142</v>
      </c>
      <c r="D392" s="5" t="s">
        <v>2143</v>
      </c>
      <c r="E392" s="5" t="s">
        <v>35</v>
      </c>
      <c r="F392" s="5" t="s">
        <v>36</v>
      </c>
      <c r="G392" s="5" t="s">
        <v>37</v>
      </c>
      <c r="H392" s="5"/>
      <c r="I392" s="5"/>
      <c r="J392" s="5" t="s">
        <v>59</v>
      </c>
      <c r="K392" s="5" t="s">
        <v>50</v>
      </c>
      <c r="L392" s="5" t="s">
        <v>51</v>
      </c>
      <c r="M392" s="5" t="s">
        <v>52</v>
      </c>
      <c r="N392" s="5" t="s">
        <v>35</v>
      </c>
      <c r="O392" s="5">
        <v>1</v>
      </c>
      <c r="P392" s="5" t="s">
        <v>42</v>
      </c>
      <c r="Q392" s="5">
        <v>7</v>
      </c>
      <c r="R392" s="5"/>
      <c r="S392" s="5"/>
      <c r="T392" s="5"/>
      <c r="U392" s="5"/>
      <c r="V392" s="5"/>
      <c r="W392" s="5"/>
      <c r="X392" s="5"/>
      <c r="Y392" s="5" t="s">
        <v>2144</v>
      </c>
      <c r="Z392" s="5" t="s">
        <v>153</v>
      </c>
      <c r="AA392" s="5" t="s">
        <v>2145</v>
      </c>
      <c r="AB392" s="5" t="s">
        <v>45</v>
      </c>
      <c r="AC392" s="5"/>
      <c r="AD392" s="5"/>
      <c r="AE392" s="5"/>
      <c r="AG392" s="9">
        <f t="shared" si="6"/>
        <v>43279</v>
      </c>
    </row>
    <row r="393" s="6" customFormat="1" spans="1:33">
      <c r="A393" s="5" t="s">
        <v>2146</v>
      </c>
      <c r="B393" s="5" t="s">
        <v>2146</v>
      </c>
      <c r="C393" s="5" t="s">
        <v>2147</v>
      </c>
      <c r="D393" s="5" t="s">
        <v>2148</v>
      </c>
      <c r="E393" s="5" t="s">
        <v>35</v>
      </c>
      <c r="F393" s="5" t="s">
        <v>36</v>
      </c>
      <c r="G393" s="5" t="s">
        <v>37</v>
      </c>
      <c r="H393" s="5"/>
      <c r="I393" s="5"/>
      <c r="J393" s="5" t="s">
        <v>59</v>
      </c>
      <c r="K393" s="5" t="s">
        <v>50</v>
      </c>
      <c r="L393" s="5" t="s">
        <v>51</v>
      </c>
      <c r="M393" s="5" t="s">
        <v>52</v>
      </c>
      <c r="N393" s="5" t="s">
        <v>35</v>
      </c>
      <c r="O393" s="5">
        <v>1</v>
      </c>
      <c r="P393" s="5" t="s">
        <v>42</v>
      </c>
      <c r="Q393" s="5">
        <v>7</v>
      </c>
      <c r="R393" s="5"/>
      <c r="S393" s="5"/>
      <c r="T393" s="5"/>
      <c r="U393" s="5"/>
      <c r="V393" s="5"/>
      <c r="W393" s="5"/>
      <c r="X393" s="5"/>
      <c r="Y393" s="5" t="s">
        <v>2149</v>
      </c>
      <c r="Z393" s="5" t="s">
        <v>269</v>
      </c>
      <c r="AA393" s="5">
        <v>49117</v>
      </c>
      <c r="AB393" s="5" t="s">
        <v>45</v>
      </c>
      <c r="AC393" s="5"/>
      <c r="AD393" s="5"/>
      <c r="AE393" s="5"/>
      <c r="AG393" s="9">
        <f t="shared" si="6"/>
        <v>43279</v>
      </c>
    </row>
    <row r="394" s="6" customFormat="1" spans="1:33">
      <c r="A394" s="5" t="s">
        <v>2150</v>
      </c>
      <c r="B394" s="5" t="s">
        <v>2150</v>
      </c>
      <c r="C394" s="5" t="s">
        <v>2151</v>
      </c>
      <c r="D394" s="5" t="s">
        <v>2152</v>
      </c>
      <c r="E394" s="5" t="s">
        <v>35</v>
      </c>
      <c r="F394" s="5" t="s">
        <v>36</v>
      </c>
      <c r="G394" s="5" t="s">
        <v>37</v>
      </c>
      <c r="H394" s="5"/>
      <c r="I394" s="5"/>
      <c r="J394" s="5" t="s">
        <v>59</v>
      </c>
      <c r="K394" s="5" t="s">
        <v>926</v>
      </c>
      <c r="L394" s="5" t="s">
        <v>927</v>
      </c>
      <c r="M394" s="5" t="s">
        <v>928</v>
      </c>
      <c r="N394" s="5" t="s">
        <v>35</v>
      </c>
      <c r="O394" s="5">
        <v>1</v>
      </c>
      <c r="P394" s="5" t="s">
        <v>42</v>
      </c>
      <c r="Q394" s="5">
        <v>14.99</v>
      </c>
      <c r="R394" s="5"/>
      <c r="S394" s="5"/>
      <c r="T394" s="5"/>
      <c r="U394" s="5"/>
      <c r="V394" s="5"/>
      <c r="W394" s="5"/>
      <c r="X394" s="5"/>
      <c r="Y394" s="5" t="s">
        <v>1320</v>
      </c>
      <c r="Z394" s="5" t="s">
        <v>153</v>
      </c>
      <c r="AA394" s="5" t="s">
        <v>2153</v>
      </c>
      <c r="AB394" s="5" t="s">
        <v>45</v>
      </c>
      <c r="AC394" s="5"/>
      <c r="AD394" s="5"/>
      <c r="AE394" s="5"/>
      <c r="AG394" s="9">
        <f t="shared" si="6"/>
        <v>43279</v>
      </c>
    </row>
    <row r="395" s="6" customFormat="1" spans="1:33">
      <c r="A395" s="5" t="s">
        <v>2154</v>
      </c>
      <c r="B395" s="5" t="s">
        <v>2154</v>
      </c>
      <c r="C395" s="5" t="s">
        <v>2155</v>
      </c>
      <c r="D395" s="5" t="s">
        <v>2156</v>
      </c>
      <c r="E395" s="5" t="s">
        <v>35</v>
      </c>
      <c r="F395" s="5" t="s">
        <v>36</v>
      </c>
      <c r="G395" s="5" t="s">
        <v>37</v>
      </c>
      <c r="H395" s="5"/>
      <c r="I395" s="5"/>
      <c r="J395" s="5" t="s">
        <v>59</v>
      </c>
      <c r="K395" s="5" t="s">
        <v>1896</v>
      </c>
      <c r="L395" s="5" t="s">
        <v>78</v>
      </c>
      <c r="M395" s="5" t="s">
        <v>79</v>
      </c>
      <c r="N395" s="5" t="s">
        <v>35</v>
      </c>
      <c r="O395" s="5">
        <v>1</v>
      </c>
      <c r="P395" s="5" t="s">
        <v>42</v>
      </c>
      <c r="Q395" s="5">
        <v>9.99</v>
      </c>
      <c r="R395" s="5"/>
      <c r="S395" s="5"/>
      <c r="T395" s="5"/>
      <c r="U395" s="5"/>
      <c r="V395" s="5"/>
      <c r="W395" s="5"/>
      <c r="X395" s="5"/>
      <c r="Y395" s="5" t="s">
        <v>2157</v>
      </c>
      <c r="Z395" s="5" t="s">
        <v>211</v>
      </c>
      <c r="AA395" s="5" t="s">
        <v>2158</v>
      </c>
      <c r="AB395" s="5" t="s">
        <v>45</v>
      </c>
      <c r="AC395" s="5"/>
      <c r="AD395" s="5"/>
      <c r="AE395" s="5"/>
      <c r="AG395" s="9">
        <f t="shared" si="6"/>
        <v>43279</v>
      </c>
    </row>
    <row r="396" s="6" customFormat="1" spans="1:33">
      <c r="A396" s="5" t="s">
        <v>2159</v>
      </c>
      <c r="B396" s="5" t="s">
        <v>2159</v>
      </c>
      <c r="C396" s="5" t="s">
        <v>2160</v>
      </c>
      <c r="D396" s="5" t="s">
        <v>2161</v>
      </c>
      <c r="E396" s="5" t="s">
        <v>35</v>
      </c>
      <c r="F396" s="5" t="s">
        <v>36</v>
      </c>
      <c r="G396" s="5" t="s">
        <v>37</v>
      </c>
      <c r="H396" s="5"/>
      <c r="I396" s="5"/>
      <c r="J396" s="5" t="s">
        <v>59</v>
      </c>
      <c r="K396" s="5" t="s">
        <v>50</v>
      </c>
      <c r="L396" s="5" t="s">
        <v>51</v>
      </c>
      <c r="M396" s="5" t="s">
        <v>52</v>
      </c>
      <c r="N396" s="5" t="s">
        <v>35</v>
      </c>
      <c r="O396" s="5">
        <v>1</v>
      </c>
      <c r="P396" s="5" t="s">
        <v>42</v>
      </c>
      <c r="Q396" s="5">
        <v>7</v>
      </c>
      <c r="R396" s="5"/>
      <c r="S396" s="5"/>
      <c r="T396" s="5"/>
      <c r="U396" s="5"/>
      <c r="V396" s="5"/>
      <c r="W396" s="5"/>
      <c r="X396" s="5"/>
      <c r="Y396" s="5" t="s">
        <v>2162</v>
      </c>
      <c r="Z396" s="5" t="s">
        <v>127</v>
      </c>
      <c r="AA396" s="5" t="s">
        <v>2163</v>
      </c>
      <c r="AB396" s="5" t="s">
        <v>45</v>
      </c>
      <c r="AC396" s="5"/>
      <c r="AD396" s="5"/>
      <c r="AE396" s="5"/>
      <c r="AG396" s="9">
        <f t="shared" si="6"/>
        <v>43279</v>
      </c>
    </row>
    <row r="397" s="6" customFormat="1" spans="1:33">
      <c r="A397" s="5" t="s">
        <v>2164</v>
      </c>
      <c r="B397" s="5" t="s">
        <v>2164</v>
      </c>
      <c r="C397" s="5" t="s">
        <v>2165</v>
      </c>
      <c r="D397" s="5" t="s">
        <v>2166</v>
      </c>
      <c r="E397" s="5" t="s">
        <v>35</v>
      </c>
      <c r="F397" s="5" t="s">
        <v>36</v>
      </c>
      <c r="G397" s="5" t="s">
        <v>37</v>
      </c>
      <c r="H397" s="5"/>
      <c r="I397" s="5"/>
      <c r="J397" s="5" t="s">
        <v>49</v>
      </c>
      <c r="K397" s="5" t="s">
        <v>50</v>
      </c>
      <c r="L397" s="5" t="s">
        <v>51</v>
      </c>
      <c r="M397" s="5" t="s">
        <v>52</v>
      </c>
      <c r="N397" s="5" t="s">
        <v>35</v>
      </c>
      <c r="O397" s="5">
        <v>1</v>
      </c>
      <c r="P397" s="5" t="s">
        <v>42</v>
      </c>
      <c r="Q397" s="5">
        <v>7</v>
      </c>
      <c r="R397" s="5"/>
      <c r="S397" s="5">
        <v>2</v>
      </c>
      <c r="T397" s="5"/>
      <c r="U397" s="5"/>
      <c r="V397" s="5"/>
      <c r="W397" s="5"/>
      <c r="X397" s="5">
        <v>2</v>
      </c>
      <c r="Y397" s="5" t="s">
        <v>1822</v>
      </c>
      <c r="Z397" s="5" t="s">
        <v>54</v>
      </c>
      <c r="AA397" s="5" t="s">
        <v>2167</v>
      </c>
      <c r="AB397" s="5" t="s">
        <v>45</v>
      </c>
      <c r="AC397" s="5"/>
      <c r="AD397" s="5"/>
      <c r="AE397" s="5"/>
      <c r="AG397" s="9">
        <f t="shared" si="6"/>
        <v>43279</v>
      </c>
    </row>
    <row r="398" s="6" customFormat="1" spans="1:33">
      <c r="A398" s="5" t="s">
        <v>2168</v>
      </c>
      <c r="B398" s="5" t="s">
        <v>2168</v>
      </c>
      <c r="C398" s="5" t="s">
        <v>2169</v>
      </c>
      <c r="D398" s="5" t="s">
        <v>2170</v>
      </c>
      <c r="E398" s="5" t="s">
        <v>35</v>
      </c>
      <c r="F398" s="5" t="s">
        <v>36</v>
      </c>
      <c r="G398" s="5" t="s">
        <v>37</v>
      </c>
      <c r="H398" s="5"/>
      <c r="I398" s="5"/>
      <c r="J398" s="5" t="s">
        <v>59</v>
      </c>
      <c r="K398" s="5" t="s">
        <v>50</v>
      </c>
      <c r="L398" s="5" t="s">
        <v>51</v>
      </c>
      <c r="M398" s="5" t="s">
        <v>52</v>
      </c>
      <c r="N398" s="5" t="s">
        <v>35</v>
      </c>
      <c r="O398" s="5">
        <v>1</v>
      </c>
      <c r="P398" s="5" t="s">
        <v>42</v>
      </c>
      <c r="Q398" s="5">
        <v>7</v>
      </c>
      <c r="R398" s="5"/>
      <c r="S398" s="5"/>
      <c r="T398" s="5"/>
      <c r="U398" s="5"/>
      <c r="V398" s="5"/>
      <c r="W398" s="5"/>
      <c r="X398" s="5"/>
      <c r="Y398" s="5" t="s">
        <v>860</v>
      </c>
      <c r="Z398" s="5" t="s">
        <v>861</v>
      </c>
      <c r="AA398" s="5" t="s">
        <v>2171</v>
      </c>
      <c r="AB398" s="5" t="s">
        <v>45</v>
      </c>
      <c r="AC398" s="5"/>
      <c r="AD398" s="5"/>
      <c r="AE398" s="5"/>
      <c r="AG398" s="9">
        <f t="shared" si="6"/>
        <v>43279</v>
      </c>
    </row>
    <row r="399" s="6" customFormat="1" spans="1:33">
      <c r="A399" s="5" t="s">
        <v>2172</v>
      </c>
      <c r="B399" s="5" t="s">
        <v>2172</v>
      </c>
      <c r="C399" s="5" t="s">
        <v>2173</v>
      </c>
      <c r="D399" s="5" t="s">
        <v>2174</v>
      </c>
      <c r="E399" s="5" t="s">
        <v>35</v>
      </c>
      <c r="F399" s="5" t="s">
        <v>36</v>
      </c>
      <c r="G399" s="5" t="s">
        <v>37</v>
      </c>
      <c r="H399" s="5"/>
      <c r="I399" s="5"/>
      <c r="J399" s="5" t="s">
        <v>59</v>
      </c>
      <c r="K399" s="5" t="s">
        <v>50</v>
      </c>
      <c r="L399" s="5" t="s">
        <v>51</v>
      </c>
      <c r="M399" s="5" t="s">
        <v>52</v>
      </c>
      <c r="N399" s="5" t="s">
        <v>35</v>
      </c>
      <c r="O399" s="5">
        <v>1</v>
      </c>
      <c r="P399" s="5" t="s">
        <v>42</v>
      </c>
      <c r="Q399" s="5">
        <v>7</v>
      </c>
      <c r="R399" s="5"/>
      <c r="S399" s="5"/>
      <c r="T399" s="5"/>
      <c r="U399" s="5"/>
      <c r="V399" s="5"/>
      <c r="W399" s="5"/>
      <c r="X399" s="5"/>
      <c r="Y399" s="5" t="s">
        <v>2175</v>
      </c>
      <c r="Z399" s="5" t="s">
        <v>64</v>
      </c>
      <c r="AA399" s="5" t="s">
        <v>2176</v>
      </c>
      <c r="AB399" s="5" t="s">
        <v>45</v>
      </c>
      <c r="AC399" s="5"/>
      <c r="AD399" s="5"/>
      <c r="AE399" s="5"/>
      <c r="AG399" s="9">
        <f t="shared" si="6"/>
        <v>43280</v>
      </c>
    </row>
    <row r="400" s="6" customFormat="1" spans="1:33">
      <c r="A400" s="5" t="s">
        <v>2177</v>
      </c>
      <c r="B400" s="5" t="s">
        <v>2177</v>
      </c>
      <c r="C400" s="5" t="s">
        <v>2178</v>
      </c>
      <c r="D400" s="5" t="s">
        <v>2179</v>
      </c>
      <c r="E400" s="5" t="s">
        <v>35</v>
      </c>
      <c r="F400" s="5" t="s">
        <v>36</v>
      </c>
      <c r="G400" s="5" t="s">
        <v>37</v>
      </c>
      <c r="H400" s="5"/>
      <c r="I400" s="5"/>
      <c r="J400" s="5" t="s">
        <v>59</v>
      </c>
      <c r="K400" s="5" t="s">
        <v>50</v>
      </c>
      <c r="L400" s="5" t="s">
        <v>51</v>
      </c>
      <c r="M400" s="5" t="s">
        <v>52</v>
      </c>
      <c r="N400" s="5" t="s">
        <v>35</v>
      </c>
      <c r="O400" s="5">
        <v>1</v>
      </c>
      <c r="P400" s="5" t="s">
        <v>42</v>
      </c>
      <c r="Q400" s="5">
        <v>7</v>
      </c>
      <c r="R400" s="5"/>
      <c r="S400" s="5"/>
      <c r="T400" s="5"/>
      <c r="U400" s="5"/>
      <c r="V400" s="5"/>
      <c r="W400" s="5"/>
      <c r="X400" s="5"/>
      <c r="Y400" s="5" t="s">
        <v>2180</v>
      </c>
      <c r="Z400" s="5" t="s">
        <v>341</v>
      </c>
      <c r="AA400" s="5">
        <v>28037</v>
      </c>
      <c r="AB400" s="5" t="s">
        <v>45</v>
      </c>
      <c r="AC400" s="5"/>
      <c r="AD400" s="5"/>
      <c r="AE400" s="5"/>
      <c r="AG400" s="9">
        <f t="shared" si="6"/>
        <v>43280</v>
      </c>
    </row>
    <row r="401" s="6" customFormat="1" spans="1:33">
      <c r="A401" s="5" t="s">
        <v>2181</v>
      </c>
      <c r="B401" s="5" t="s">
        <v>2181</v>
      </c>
      <c r="C401" s="5" t="s">
        <v>2182</v>
      </c>
      <c r="D401" s="5" t="s">
        <v>2183</v>
      </c>
      <c r="E401" s="5" t="s">
        <v>35</v>
      </c>
      <c r="F401" s="5" t="s">
        <v>36</v>
      </c>
      <c r="G401" s="5" t="s">
        <v>37</v>
      </c>
      <c r="H401" s="5"/>
      <c r="I401" s="5"/>
      <c r="J401" s="5" t="s">
        <v>59</v>
      </c>
      <c r="K401" s="5" t="s">
        <v>655</v>
      </c>
      <c r="L401" s="5" t="s">
        <v>656</v>
      </c>
      <c r="M401" s="5" t="s">
        <v>657</v>
      </c>
      <c r="N401" s="5" t="s">
        <v>35</v>
      </c>
      <c r="O401" s="5">
        <v>2</v>
      </c>
      <c r="P401" s="5" t="s">
        <v>42</v>
      </c>
      <c r="Q401" s="5">
        <v>37.98</v>
      </c>
      <c r="R401" s="5"/>
      <c r="S401" s="5"/>
      <c r="T401" s="5"/>
      <c r="U401" s="5"/>
      <c r="V401" s="5"/>
      <c r="W401" s="5"/>
      <c r="X401" s="5"/>
      <c r="Y401" s="5" t="s">
        <v>2184</v>
      </c>
      <c r="Z401" s="5" t="s">
        <v>1547</v>
      </c>
      <c r="AA401" s="5">
        <v>84414</v>
      </c>
      <c r="AB401" s="5" t="s">
        <v>45</v>
      </c>
      <c r="AC401" s="5"/>
      <c r="AD401" s="5"/>
      <c r="AE401" s="5"/>
      <c r="AG401" s="9">
        <f t="shared" si="6"/>
        <v>43280</v>
      </c>
    </row>
    <row r="402" s="6" customFormat="1" spans="1:33">
      <c r="A402" s="5" t="s">
        <v>2185</v>
      </c>
      <c r="B402" s="5" t="s">
        <v>2185</v>
      </c>
      <c r="C402" s="5" t="s">
        <v>2186</v>
      </c>
      <c r="D402" s="5" t="s">
        <v>2187</v>
      </c>
      <c r="E402" s="5" t="s">
        <v>274</v>
      </c>
      <c r="F402" s="5" t="s">
        <v>36</v>
      </c>
      <c r="G402" s="5" t="s">
        <v>37</v>
      </c>
      <c r="H402" s="5"/>
      <c r="I402" s="5"/>
      <c r="J402" s="5" t="s">
        <v>59</v>
      </c>
      <c r="K402" s="5" t="s">
        <v>50</v>
      </c>
      <c r="L402" s="5" t="s">
        <v>51</v>
      </c>
      <c r="M402" s="5" t="s">
        <v>52</v>
      </c>
      <c r="N402" s="5" t="s">
        <v>275</v>
      </c>
      <c r="O402" s="5">
        <v>1</v>
      </c>
      <c r="P402" s="5" t="s">
        <v>42</v>
      </c>
      <c r="Q402" s="5">
        <v>7</v>
      </c>
      <c r="R402" s="5"/>
      <c r="S402" s="5"/>
      <c r="T402" s="5"/>
      <c r="U402" s="5"/>
      <c r="V402" s="5"/>
      <c r="W402" s="5"/>
      <c r="X402" s="5"/>
      <c r="Y402" s="5" t="s">
        <v>567</v>
      </c>
      <c r="Z402" s="5" t="s">
        <v>211</v>
      </c>
      <c r="AA402" s="5" t="s">
        <v>2188</v>
      </c>
      <c r="AB402" s="5" t="s">
        <v>45</v>
      </c>
      <c r="AC402" s="5"/>
      <c r="AD402" s="5"/>
      <c r="AE402" s="5"/>
      <c r="AG402" s="9">
        <f t="shared" si="6"/>
        <v>43280</v>
      </c>
    </row>
    <row r="403" s="6" customFormat="1" spans="1:33">
      <c r="A403" s="5" t="s">
        <v>2189</v>
      </c>
      <c r="B403" s="5" t="s">
        <v>2189</v>
      </c>
      <c r="C403" s="5" t="s">
        <v>2190</v>
      </c>
      <c r="D403" s="5" t="s">
        <v>2191</v>
      </c>
      <c r="E403" s="5" t="s">
        <v>35</v>
      </c>
      <c r="F403" s="5" t="s">
        <v>36</v>
      </c>
      <c r="G403" s="5" t="s">
        <v>37</v>
      </c>
      <c r="H403" s="5"/>
      <c r="I403" s="5"/>
      <c r="J403" s="5" t="s">
        <v>59</v>
      </c>
      <c r="K403" s="5" t="s">
        <v>94</v>
      </c>
      <c r="L403" s="5" t="s">
        <v>95</v>
      </c>
      <c r="M403" s="5" t="s">
        <v>96</v>
      </c>
      <c r="N403" s="5" t="s">
        <v>35</v>
      </c>
      <c r="O403" s="5">
        <v>1</v>
      </c>
      <c r="P403" s="5" t="s">
        <v>42</v>
      </c>
      <c r="Q403" s="5">
        <v>14.99</v>
      </c>
      <c r="R403" s="5"/>
      <c r="S403" s="5"/>
      <c r="T403" s="5"/>
      <c r="U403" s="5"/>
      <c r="V403" s="5"/>
      <c r="W403" s="5"/>
      <c r="X403" s="5"/>
      <c r="Y403" s="5" t="s">
        <v>2192</v>
      </c>
      <c r="Z403" s="5" t="s">
        <v>153</v>
      </c>
      <c r="AA403" s="5" t="s">
        <v>2193</v>
      </c>
      <c r="AB403" s="5" t="s">
        <v>45</v>
      </c>
      <c r="AC403" s="5"/>
      <c r="AD403" s="5"/>
      <c r="AE403" s="5"/>
      <c r="AG403" s="9">
        <f t="shared" si="6"/>
        <v>43280</v>
      </c>
    </row>
    <row r="404" s="6" customFormat="1" spans="1:33">
      <c r="A404" s="5" t="s">
        <v>2194</v>
      </c>
      <c r="B404" s="5" t="s">
        <v>2194</v>
      </c>
      <c r="C404" s="5" t="s">
        <v>2195</v>
      </c>
      <c r="D404" s="5" t="s">
        <v>2196</v>
      </c>
      <c r="E404" s="5" t="s">
        <v>35</v>
      </c>
      <c r="F404" s="5" t="s">
        <v>36</v>
      </c>
      <c r="G404" s="5" t="s">
        <v>37</v>
      </c>
      <c r="H404" s="5"/>
      <c r="I404" s="5"/>
      <c r="J404" s="5" t="s">
        <v>59</v>
      </c>
      <c r="K404" s="5" t="s">
        <v>2197</v>
      </c>
      <c r="L404" s="5" t="s">
        <v>2198</v>
      </c>
      <c r="M404" s="5" t="s">
        <v>2199</v>
      </c>
      <c r="N404" s="5" t="s">
        <v>35</v>
      </c>
      <c r="O404" s="5">
        <v>1</v>
      </c>
      <c r="P404" s="5" t="s">
        <v>42</v>
      </c>
      <c r="Q404" s="5">
        <v>21.98</v>
      </c>
      <c r="R404" s="5"/>
      <c r="S404" s="5"/>
      <c r="T404" s="5"/>
      <c r="U404" s="5"/>
      <c r="V404" s="5"/>
      <c r="W404" s="5"/>
      <c r="X404" s="5"/>
      <c r="Y404" s="5" t="s">
        <v>326</v>
      </c>
      <c r="Z404" s="5" t="s">
        <v>153</v>
      </c>
      <c r="AA404" s="5" t="s">
        <v>2200</v>
      </c>
      <c r="AB404" s="5" t="s">
        <v>45</v>
      </c>
      <c r="AC404" s="5"/>
      <c r="AD404" s="5"/>
      <c r="AE404" s="5"/>
      <c r="AG404" s="9">
        <f t="shared" si="6"/>
        <v>43280</v>
      </c>
    </row>
    <row r="405" s="6" customFormat="1" spans="1:33">
      <c r="A405" s="5" t="s">
        <v>2201</v>
      </c>
      <c r="B405" s="5" t="s">
        <v>2201</v>
      </c>
      <c r="C405" s="5" t="s">
        <v>2202</v>
      </c>
      <c r="D405" s="5" t="s">
        <v>2203</v>
      </c>
      <c r="E405" s="5" t="s">
        <v>35</v>
      </c>
      <c r="F405" s="5" t="s">
        <v>36</v>
      </c>
      <c r="G405" s="5" t="s">
        <v>37</v>
      </c>
      <c r="H405" s="5"/>
      <c r="I405" s="5"/>
      <c r="J405" s="5" t="s">
        <v>59</v>
      </c>
      <c r="K405" s="5" t="s">
        <v>50</v>
      </c>
      <c r="L405" s="5" t="s">
        <v>51</v>
      </c>
      <c r="M405" s="5" t="s">
        <v>52</v>
      </c>
      <c r="N405" s="5" t="s">
        <v>35</v>
      </c>
      <c r="O405" s="5">
        <v>2</v>
      </c>
      <c r="P405" s="5" t="s">
        <v>42</v>
      </c>
      <c r="Q405" s="5">
        <v>14</v>
      </c>
      <c r="R405" s="5"/>
      <c r="S405" s="5"/>
      <c r="T405" s="5"/>
      <c r="U405" s="5"/>
      <c r="V405" s="5"/>
      <c r="W405" s="5"/>
      <c r="X405" s="5"/>
      <c r="Y405" s="5" t="s">
        <v>2204</v>
      </c>
      <c r="Z405" s="5" t="s">
        <v>534</v>
      </c>
      <c r="AA405" s="5" t="s">
        <v>2205</v>
      </c>
      <c r="AB405" s="5" t="s">
        <v>45</v>
      </c>
      <c r="AC405" s="5"/>
      <c r="AD405" s="5"/>
      <c r="AE405" s="5"/>
      <c r="AG405" s="9">
        <f t="shared" si="6"/>
        <v>43280</v>
      </c>
    </row>
    <row r="406" s="6" customFormat="1" spans="1:33">
      <c r="A406" s="5" t="s">
        <v>2206</v>
      </c>
      <c r="B406" s="5" t="s">
        <v>2206</v>
      </c>
      <c r="C406" s="5" t="s">
        <v>2207</v>
      </c>
      <c r="D406" s="5" t="s">
        <v>2208</v>
      </c>
      <c r="E406" s="5" t="s">
        <v>35</v>
      </c>
      <c r="F406" s="5" t="s">
        <v>36</v>
      </c>
      <c r="G406" s="5" t="s">
        <v>37</v>
      </c>
      <c r="H406" s="5"/>
      <c r="I406" s="5"/>
      <c r="J406" s="5" t="s">
        <v>38</v>
      </c>
      <c r="K406" s="5" t="s">
        <v>50</v>
      </c>
      <c r="L406" s="5" t="s">
        <v>51</v>
      </c>
      <c r="M406" s="5" t="s">
        <v>52</v>
      </c>
      <c r="N406" s="5" t="s">
        <v>35</v>
      </c>
      <c r="O406" s="5">
        <v>1</v>
      </c>
      <c r="P406" s="5" t="s">
        <v>42</v>
      </c>
      <c r="Q406" s="5">
        <v>7</v>
      </c>
      <c r="R406" s="5"/>
      <c r="S406" s="5"/>
      <c r="T406" s="5"/>
      <c r="U406" s="5"/>
      <c r="V406" s="5"/>
      <c r="W406" s="5"/>
      <c r="X406" s="5"/>
      <c r="Y406" s="5" t="s">
        <v>2209</v>
      </c>
      <c r="Z406" s="5" t="s">
        <v>197</v>
      </c>
      <c r="AA406" s="5" t="s">
        <v>2210</v>
      </c>
      <c r="AB406" s="5" t="s">
        <v>45</v>
      </c>
      <c r="AC406" s="5"/>
      <c r="AD406" s="5"/>
      <c r="AE406" s="5"/>
      <c r="AG406" s="9">
        <f t="shared" si="6"/>
        <v>43280</v>
      </c>
    </row>
    <row r="407" s="6" customFormat="1" spans="1:33">
      <c r="A407" s="5" t="s">
        <v>2211</v>
      </c>
      <c r="B407" s="5" t="s">
        <v>2211</v>
      </c>
      <c r="C407" s="5" t="s">
        <v>2212</v>
      </c>
      <c r="D407" s="5" t="s">
        <v>2213</v>
      </c>
      <c r="E407" s="5" t="s">
        <v>35</v>
      </c>
      <c r="F407" s="5" t="s">
        <v>36</v>
      </c>
      <c r="G407" s="5" t="s">
        <v>37</v>
      </c>
      <c r="H407" s="5"/>
      <c r="I407" s="5"/>
      <c r="J407" s="5" t="s">
        <v>59</v>
      </c>
      <c r="K407" s="5" t="s">
        <v>50</v>
      </c>
      <c r="L407" s="5" t="s">
        <v>51</v>
      </c>
      <c r="M407" s="5" t="s">
        <v>52</v>
      </c>
      <c r="N407" s="5" t="s">
        <v>35</v>
      </c>
      <c r="O407" s="5">
        <v>1</v>
      </c>
      <c r="P407" s="5" t="s">
        <v>42</v>
      </c>
      <c r="Q407" s="5">
        <v>7</v>
      </c>
      <c r="R407" s="5"/>
      <c r="S407" s="5"/>
      <c r="T407" s="5"/>
      <c r="U407" s="5"/>
      <c r="V407" s="5"/>
      <c r="W407" s="5"/>
      <c r="X407" s="5"/>
      <c r="Y407" s="5" t="s">
        <v>501</v>
      </c>
      <c r="Z407" s="5" t="s">
        <v>127</v>
      </c>
      <c r="AA407" s="5" t="s">
        <v>2214</v>
      </c>
      <c r="AB407" s="5" t="s">
        <v>45</v>
      </c>
      <c r="AC407" s="5"/>
      <c r="AD407" s="5"/>
      <c r="AE407" s="5"/>
      <c r="AG407" s="9">
        <f t="shared" si="6"/>
        <v>43280</v>
      </c>
    </row>
    <row r="408" s="6" customFormat="1" spans="1:33">
      <c r="A408" s="5" t="s">
        <v>2215</v>
      </c>
      <c r="B408" s="5" t="s">
        <v>2215</v>
      </c>
      <c r="C408" s="5" t="s">
        <v>2216</v>
      </c>
      <c r="D408" s="5" t="s">
        <v>2217</v>
      </c>
      <c r="E408" s="5" t="s">
        <v>35</v>
      </c>
      <c r="F408" s="5" t="s">
        <v>36</v>
      </c>
      <c r="G408" s="5" t="s">
        <v>37</v>
      </c>
      <c r="H408" s="5"/>
      <c r="I408" s="5"/>
      <c r="J408" s="5" t="s">
        <v>59</v>
      </c>
      <c r="K408" s="5" t="s">
        <v>50</v>
      </c>
      <c r="L408" s="5" t="s">
        <v>51</v>
      </c>
      <c r="M408" s="5" t="s">
        <v>52</v>
      </c>
      <c r="N408" s="5" t="s">
        <v>35</v>
      </c>
      <c r="O408" s="5">
        <v>1</v>
      </c>
      <c r="P408" s="5" t="s">
        <v>42</v>
      </c>
      <c r="Q408" s="5">
        <v>7</v>
      </c>
      <c r="R408" s="5"/>
      <c r="S408" s="5"/>
      <c r="T408" s="5"/>
      <c r="U408" s="5"/>
      <c r="V408" s="5"/>
      <c r="W408" s="5"/>
      <c r="X408" s="5"/>
      <c r="Y408" s="5" t="s">
        <v>53</v>
      </c>
      <c r="Z408" s="5" t="s">
        <v>54</v>
      </c>
      <c r="AA408" s="5" t="s">
        <v>2218</v>
      </c>
      <c r="AB408" s="5" t="s">
        <v>45</v>
      </c>
      <c r="AC408" s="5"/>
      <c r="AD408" s="5"/>
      <c r="AE408" s="5"/>
      <c r="AG408" s="9">
        <f t="shared" si="6"/>
        <v>43280</v>
      </c>
    </row>
    <row r="409" s="6" customFormat="1" spans="1:33">
      <c r="A409" s="5" t="s">
        <v>2219</v>
      </c>
      <c r="B409" s="5" t="s">
        <v>2219</v>
      </c>
      <c r="C409" s="5" t="s">
        <v>2220</v>
      </c>
      <c r="D409" s="5" t="s">
        <v>2221</v>
      </c>
      <c r="E409" s="5" t="s">
        <v>35</v>
      </c>
      <c r="F409" s="5" t="s">
        <v>36</v>
      </c>
      <c r="G409" s="5" t="s">
        <v>37</v>
      </c>
      <c r="H409" s="5"/>
      <c r="I409" s="5"/>
      <c r="J409" s="5" t="s">
        <v>59</v>
      </c>
      <c r="K409" s="5" t="s">
        <v>94</v>
      </c>
      <c r="L409" s="5" t="s">
        <v>95</v>
      </c>
      <c r="M409" s="5" t="s">
        <v>96</v>
      </c>
      <c r="N409" s="5" t="s">
        <v>35</v>
      </c>
      <c r="O409" s="5">
        <v>1</v>
      </c>
      <c r="P409" s="5" t="s">
        <v>42</v>
      </c>
      <c r="Q409" s="5">
        <v>14.99</v>
      </c>
      <c r="R409" s="5"/>
      <c r="S409" s="5"/>
      <c r="T409" s="5"/>
      <c r="U409" s="5"/>
      <c r="V409" s="5"/>
      <c r="W409" s="5">
        <v>0.75</v>
      </c>
      <c r="X409" s="5"/>
      <c r="Y409" s="5" t="s">
        <v>2222</v>
      </c>
      <c r="Z409" s="5" t="s">
        <v>1583</v>
      </c>
      <c r="AA409" s="5" t="s">
        <v>2223</v>
      </c>
      <c r="AB409" s="5" t="s">
        <v>45</v>
      </c>
      <c r="AC409" s="5" t="s">
        <v>558</v>
      </c>
      <c r="AD409" s="5"/>
      <c r="AE409" s="5"/>
      <c r="AG409" s="9">
        <f t="shared" si="6"/>
        <v>43280</v>
      </c>
    </row>
    <row r="410" s="6" customFormat="1" spans="1:33">
      <c r="A410" s="5" t="s">
        <v>2219</v>
      </c>
      <c r="B410" s="5" t="s">
        <v>2219</v>
      </c>
      <c r="C410" s="5" t="s">
        <v>2220</v>
      </c>
      <c r="D410" s="5" t="s">
        <v>2221</v>
      </c>
      <c r="E410" s="5" t="s">
        <v>35</v>
      </c>
      <c r="F410" s="5" t="s">
        <v>36</v>
      </c>
      <c r="G410" s="5" t="s">
        <v>37</v>
      </c>
      <c r="H410" s="5"/>
      <c r="I410" s="5"/>
      <c r="J410" s="5" t="s">
        <v>59</v>
      </c>
      <c r="K410" s="5" t="s">
        <v>675</v>
      </c>
      <c r="L410" s="5" t="s">
        <v>676</v>
      </c>
      <c r="M410" s="5" t="s">
        <v>677</v>
      </c>
      <c r="N410" s="5" t="s">
        <v>35</v>
      </c>
      <c r="O410" s="5">
        <v>2</v>
      </c>
      <c r="P410" s="5" t="s">
        <v>42</v>
      </c>
      <c r="Q410" s="5">
        <v>29.98</v>
      </c>
      <c r="R410" s="5"/>
      <c r="S410" s="5"/>
      <c r="T410" s="5"/>
      <c r="U410" s="5"/>
      <c r="V410" s="5"/>
      <c r="W410" s="5">
        <v>1.5</v>
      </c>
      <c r="X410" s="5"/>
      <c r="Y410" s="5" t="s">
        <v>2222</v>
      </c>
      <c r="Z410" s="5" t="s">
        <v>1583</v>
      </c>
      <c r="AA410" s="5" t="s">
        <v>2223</v>
      </c>
      <c r="AB410" s="5" t="s">
        <v>45</v>
      </c>
      <c r="AC410" s="5" t="s">
        <v>558</v>
      </c>
      <c r="AD410" s="5"/>
      <c r="AE410" s="5"/>
      <c r="AG410" s="9">
        <f t="shared" si="6"/>
        <v>43280</v>
      </c>
    </row>
    <row r="411" s="6" customFormat="1" spans="1:33">
      <c r="A411" s="5" t="s">
        <v>2224</v>
      </c>
      <c r="B411" s="5" t="s">
        <v>2224</v>
      </c>
      <c r="C411" s="5" t="s">
        <v>2225</v>
      </c>
      <c r="D411" s="5" t="s">
        <v>2226</v>
      </c>
      <c r="E411" s="5" t="s">
        <v>35</v>
      </c>
      <c r="F411" s="5" t="s">
        <v>36</v>
      </c>
      <c r="G411" s="5" t="s">
        <v>37</v>
      </c>
      <c r="H411" s="5"/>
      <c r="I411" s="5"/>
      <c r="J411" s="5" t="s">
        <v>59</v>
      </c>
      <c r="K411" s="5" t="s">
        <v>1499</v>
      </c>
      <c r="L411" s="5" t="s">
        <v>1500</v>
      </c>
      <c r="M411" s="5" t="s">
        <v>1501</v>
      </c>
      <c r="N411" s="5" t="s">
        <v>35</v>
      </c>
      <c r="O411" s="5">
        <v>1</v>
      </c>
      <c r="P411" s="5" t="s">
        <v>42</v>
      </c>
      <c r="Q411" s="5">
        <v>15.99</v>
      </c>
      <c r="R411" s="5"/>
      <c r="S411" s="5"/>
      <c r="T411" s="5"/>
      <c r="U411" s="5"/>
      <c r="V411" s="5"/>
      <c r="W411" s="5"/>
      <c r="X411" s="5"/>
      <c r="Y411" s="5" t="s">
        <v>2227</v>
      </c>
      <c r="Z411" s="5" t="s">
        <v>153</v>
      </c>
      <c r="AA411" s="5" t="s">
        <v>2228</v>
      </c>
      <c r="AB411" s="5" t="s">
        <v>45</v>
      </c>
      <c r="AC411" s="5"/>
      <c r="AD411" s="5"/>
      <c r="AE411" s="5"/>
      <c r="AG411" s="9">
        <f t="shared" si="6"/>
        <v>43280</v>
      </c>
    </row>
    <row r="412" s="6" customFormat="1" spans="1:33">
      <c r="A412" s="5" t="s">
        <v>2229</v>
      </c>
      <c r="B412" s="5" t="s">
        <v>2229</v>
      </c>
      <c r="C412" s="5" t="s">
        <v>2230</v>
      </c>
      <c r="D412" s="5" t="s">
        <v>2231</v>
      </c>
      <c r="E412" s="5" t="s">
        <v>35</v>
      </c>
      <c r="F412" s="5" t="s">
        <v>36</v>
      </c>
      <c r="G412" s="5" t="s">
        <v>37</v>
      </c>
      <c r="H412" s="5"/>
      <c r="I412" s="5"/>
      <c r="J412" s="5" t="s">
        <v>49</v>
      </c>
      <c r="K412" s="5" t="s">
        <v>50</v>
      </c>
      <c r="L412" s="5" t="s">
        <v>51</v>
      </c>
      <c r="M412" s="5" t="s">
        <v>52</v>
      </c>
      <c r="N412" s="5" t="s">
        <v>35</v>
      </c>
      <c r="O412" s="5">
        <v>1</v>
      </c>
      <c r="P412" s="5" t="s">
        <v>42</v>
      </c>
      <c r="Q412" s="5">
        <v>7</v>
      </c>
      <c r="R412" s="5"/>
      <c r="S412" s="5">
        <v>8.99</v>
      </c>
      <c r="T412" s="5"/>
      <c r="U412" s="5"/>
      <c r="V412" s="5"/>
      <c r="W412" s="5"/>
      <c r="X412" s="5"/>
      <c r="Y412" s="5" t="s">
        <v>1582</v>
      </c>
      <c r="Z412" s="5" t="s">
        <v>1583</v>
      </c>
      <c r="AA412" s="5" t="s">
        <v>1584</v>
      </c>
      <c r="AB412" s="5" t="s">
        <v>45</v>
      </c>
      <c r="AC412" s="5"/>
      <c r="AD412" s="5"/>
      <c r="AE412" s="5"/>
      <c r="AG412" s="9">
        <f t="shared" si="6"/>
        <v>43280</v>
      </c>
    </row>
    <row r="413" s="6" customFormat="1" spans="1:33">
      <c r="A413" s="5" t="s">
        <v>2232</v>
      </c>
      <c r="B413" s="5" t="s">
        <v>2232</v>
      </c>
      <c r="C413" s="5" t="s">
        <v>2233</v>
      </c>
      <c r="D413" s="5" t="s">
        <v>2234</v>
      </c>
      <c r="E413" s="5" t="s">
        <v>35</v>
      </c>
      <c r="F413" s="5" t="s">
        <v>36</v>
      </c>
      <c r="G413" s="5" t="s">
        <v>37</v>
      </c>
      <c r="H413" s="5"/>
      <c r="I413" s="5"/>
      <c r="J413" s="5" t="s">
        <v>59</v>
      </c>
      <c r="K413" s="5" t="s">
        <v>50</v>
      </c>
      <c r="L413" s="5" t="s">
        <v>51</v>
      </c>
      <c r="M413" s="5" t="s">
        <v>52</v>
      </c>
      <c r="N413" s="5" t="s">
        <v>35</v>
      </c>
      <c r="O413" s="5">
        <v>1</v>
      </c>
      <c r="P413" s="5" t="s">
        <v>42</v>
      </c>
      <c r="Q413" s="5">
        <v>7</v>
      </c>
      <c r="R413" s="5"/>
      <c r="S413" s="5"/>
      <c r="T413" s="5"/>
      <c r="U413" s="5"/>
      <c r="V413" s="5"/>
      <c r="W413" s="5"/>
      <c r="X413" s="5"/>
      <c r="Y413" s="5" t="s">
        <v>2235</v>
      </c>
      <c r="Z413" s="5" t="s">
        <v>895</v>
      </c>
      <c r="AA413" s="5" t="s">
        <v>2236</v>
      </c>
      <c r="AB413" s="5" t="s">
        <v>45</v>
      </c>
      <c r="AC413" s="5"/>
      <c r="AD413" s="5"/>
      <c r="AE413" s="5"/>
      <c r="AG413" s="9">
        <f t="shared" si="6"/>
        <v>43280</v>
      </c>
    </row>
    <row r="414" s="6" customFormat="1" spans="1:33">
      <c r="A414" s="5" t="s">
        <v>2237</v>
      </c>
      <c r="B414" s="5" t="s">
        <v>2237</v>
      </c>
      <c r="C414" s="5" t="s">
        <v>2238</v>
      </c>
      <c r="D414" s="5" t="s">
        <v>2239</v>
      </c>
      <c r="E414" s="5" t="s">
        <v>35</v>
      </c>
      <c r="F414" s="5" t="s">
        <v>36</v>
      </c>
      <c r="G414" s="5" t="s">
        <v>37</v>
      </c>
      <c r="H414" s="5"/>
      <c r="I414" s="5"/>
      <c r="J414" s="5" t="s">
        <v>59</v>
      </c>
      <c r="K414" s="5" t="s">
        <v>1102</v>
      </c>
      <c r="L414" s="5" t="s">
        <v>1103</v>
      </c>
      <c r="M414" s="5" t="s">
        <v>1104</v>
      </c>
      <c r="N414" s="5" t="s">
        <v>35</v>
      </c>
      <c r="O414" s="5">
        <v>2</v>
      </c>
      <c r="P414" s="5" t="s">
        <v>42</v>
      </c>
      <c r="Q414" s="5">
        <v>35.98</v>
      </c>
      <c r="R414" s="5"/>
      <c r="S414" s="5"/>
      <c r="T414" s="5"/>
      <c r="U414" s="5"/>
      <c r="V414" s="5"/>
      <c r="W414" s="5"/>
      <c r="X414" s="5"/>
      <c r="Y414" s="5" t="s">
        <v>2240</v>
      </c>
      <c r="Z414" s="5" t="s">
        <v>432</v>
      </c>
      <c r="AA414" s="5">
        <v>32713</v>
      </c>
      <c r="AB414" s="5" t="s">
        <v>45</v>
      </c>
      <c r="AC414" s="5"/>
      <c r="AD414" s="5"/>
      <c r="AE414" s="5"/>
      <c r="AG414" s="9">
        <f t="shared" si="6"/>
        <v>43280</v>
      </c>
    </row>
    <row r="415" s="6" customFormat="1" spans="1:33">
      <c r="A415" s="5" t="s">
        <v>2241</v>
      </c>
      <c r="B415" s="5" t="s">
        <v>2241</v>
      </c>
      <c r="C415" s="5" t="s">
        <v>2242</v>
      </c>
      <c r="D415" s="5" t="s">
        <v>2243</v>
      </c>
      <c r="E415" s="5" t="s">
        <v>35</v>
      </c>
      <c r="F415" s="5" t="s">
        <v>36</v>
      </c>
      <c r="G415" s="5" t="s">
        <v>37</v>
      </c>
      <c r="H415" s="5"/>
      <c r="I415" s="5"/>
      <c r="J415" s="5" t="s">
        <v>59</v>
      </c>
      <c r="K415" s="5" t="s">
        <v>539</v>
      </c>
      <c r="L415" s="5" t="s">
        <v>540</v>
      </c>
      <c r="M415" s="5" t="s">
        <v>541</v>
      </c>
      <c r="N415" s="5" t="s">
        <v>35</v>
      </c>
      <c r="O415" s="5">
        <v>1</v>
      </c>
      <c r="P415" s="5" t="s">
        <v>42</v>
      </c>
      <c r="Q415" s="5">
        <v>19.99</v>
      </c>
      <c r="R415" s="5"/>
      <c r="S415" s="5"/>
      <c r="T415" s="5"/>
      <c r="U415" s="5"/>
      <c r="V415" s="5"/>
      <c r="W415" s="5"/>
      <c r="X415" s="5"/>
      <c r="Y415" s="5" t="s">
        <v>1858</v>
      </c>
      <c r="Z415" s="5" t="s">
        <v>1859</v>
      </c>
      <c r="AA415" s="5" t="s">
        <v>2244</v>
      </c>
      <c r="AB415" s="5" t="s">
        <v>45</v>
      </c>
      <c r="AC415" s="5"/>
      <c r="AD415" s="5"/>
      <c r="AE415" s="5"/>
      <c r="AG415" s="9">
        <f t="shared" si="6"/>
        <v>43280</v>
      </c>
    </row>
    <row r="416" s="6" customFormat="1" spans="1:33">
      <c r="A416" s="5" t="s">
        <v>2245</v>
      </c>
      <c r="B416" s="5" t="s">
        <v>2245</v>
      </c>
      <c r="C416" s="5" t="s">
        <v>2246</v>
      </c>
      <c r="D416" s="5" t="s">
        <v>2247</v>
      </c>
      <c r="E416" s="5" t="s">
        <v>35</v>
      </c>
      <c r="F416" s="5" t="s">
        <v>36</v>
      </c>
      <c r="G416" s="5" t="s">
        <v>37</v>
      </c>
      <c r="H416" s="5"/>
      <c r="I416" s="5"/>
      <c r="J416" s="5" t="s">
        <v>59</v>
      </c>
      <c r="K416" s="5" t="s">
        <v>2248</v>
      </c>
      <c r="L416" s="5" t="s">
        <v>2249</v>
      </c>
      <c r="M416" s="5" t="s">
        <v>2250</v>
      </c>
      <c r="N416" s="5" t="s">
        <v>35</v>
      </c>
      <c r="O416" s="5">
        <v>1</v>
      </c>
      <c r="P416" s="5" t="s">
        <v>42</v>
      </c>
      <c r="Q416" s="5">
        <v>11.99</v>
      </c>
      <c r="R416" s="5"/>
      <c r="S416" s="5"/>
      <c r="T416" s="5"/>
      <c r="U416" s="5"/>
      <c r="V416" s="5"/>
      <c r="W416" s="5"/>
      <c r="X416" s="5"/>
      <c r="Y416" s="5" t="s">
        <v>2251</v>
      </c>
      <c r="Z416" s="5" t="s">
        <v>432</v>
      </c>
      <c r="AA416" s="5" t="s">
        <v>2252</v>
      </c>
      <c r="AB416" s="5" t="s">
        <v>45</v>
      </c>
      <c r="AC416" s="5"/>
      <c r="AD416" s="5"/>
      <c r="AE416" s="5"/>
      <c r="AG416" s="9">
        <f t="shared" si="6"/>
        <v>43280</v>
      </c>
    </row>
    <row r="417" s="6" customFormat="1" spans="1:33">
      <c r="A417" s="5" t="s">
        <v>2253</v>
      </c>
      <c r="B417" s="5" t="s">
        <v>2253</v>
      </c>
      <c r="C417" s="5" t="s">
        <v>2254</v>
      </c>
      <c r="D417" s="5" t="s">
        <v>2255</v>
      </c>
      <c r="E417" s="5" t="s">
        <v>35</v>
      </c>
      <c r="F417" s="5" t="s">
        <v>36</v>
      </c>
      <c r="G417" s="5" t="s">
        <v>37</v>
      </c>
      <c r="H417" s="5"/>
      <c r="I417" s="5"/>
      <c r="J417" s="5" t="s">
        <v>59</v>
      </c>
      <c r="K417" s="5" t="s">
        <v>94</v>
      </c>
      <c r="L417" s="5" t="s">
        <v>95</v>
      </c>
      <c r="M417" s="5" t="s">
        <v>96</v>
      </c>
      <c r="N417" s="5" t="s">
        <v>35</v>
      </c>
      <c r="O417" s="5">
        <v>1</v>
      </c>
      <c r="P417" s="5" t="s">
        <v>42</v>
      </c>
      <c r="Q417" s="5">
        <v>14.99</v>
      </c>
      <c r="R417" s="5"/>
      <c r="S417" s="5"/>
      <c r="T417" s="5"/>
      <c r="U417" s="5"/>
      <c r="V417" s="5"/>
      <c r="W417" s="5"/>
      <c r="X417" s="5"/>
      <c r="Y417" s="5" t="s">
        <v>2256</v>
      </c>
      <c r="Z417" s="5" t="s">
        <v>162</v>
      </c>
      <c r="AA417" s="5">
        <v>1040</v>
      </c>
      <c r="AB417" s="5" t="s">
        <v>45</v>
      </c>
      <c r="AC417" s="5"/>
      <c r="AD417" s="5"/>
      <c r="AE417" s="5"/>
      <c r="AG417" s="9">
        <f t="shared" si="6"/>
        <v>43280</v>
      </c>
    </row>
    <row r="418" s="6" customFormat="1" spans="1:33">
      <c r="A418" s="5" t="s">
        <v>2257</v>
      </c>
      <c r="B418" s="5" t="s">
        <v>2257</v>
      </c>
      <c r="C418" s="5" t="s">
        <v>2258</v>
      </c>
      <c r="D418" s="5" t="s">
        <v>2259</v>
      </c>
      <c r="E418" s="5" t="s">
        <v>35</v>
      </c>
      <c r="F418" s="5" t="s">
        <v>36</v>
      </c>
      <c r="G418" s="5" t="s">
        <v>37</v>
      </c>
      <c r="H418" s="5"/>
      <c r="I418" s="5"/>
      <c r="J418" s="5" t="s">
        <v>59</v>
      </c>
      <c r="K418" s="5" t="s">
        <v>50</v>
      </c>
      <c r="L418" s="5" t="s">
        <v>51</v>
      </c>
      <c r="M418" s="5" t="s">
        <v>52</v>
      </c>
      <c r="N418" s="5" t="s">
        <v>35</v>
      </c>
      <c r="O418" s="5">
        <v>1</v>
      </c>
      <c r="P418" s="5" t="s">
        <v>42</v>
      </c>
      <c r="Q418" s="5">
        <v>7</v>
      </c>
      <c r="R418" s="5"/>
      <c r="S418" s="5"/>
      <c r="T418" s="5"/>
      <c r="U418" s="5"/>
      <c r="V418" s="5"/>
      <c r="W418" s="5"/>
      <c r="X418" s="5"/>
      <c r="Y418" s="5" t="s">
        <v>2260</v>
      </c>
      <c r="Z418" s="5" t="s">
        <v>162</v>
      </c>
      <c r="AA418" s="5">
        <v>1516</v>
      </c>
      <c r="AB418" s="5" t="s">
        <v>45</v>
      </c>
      <c r="AC418" s="5"/>
      <c r="AD418" s="5"/>
      <c r="AE418" s="5"/>
      <c r="AG418" s="9">
        <f t="shared" si="6"/>
        <v>43280</v>
      </c>
    </row>
    <row r="419" s="6" customFormat="1" spans="1:33">
      <c r="A419" s="5" t="s">
        <v>2261</v>
      </c>
      <c r="B419" s="5" t="s">
        <v>2261</v>
      </c>
      <c r="C419" s="5" t="s">
        <v>2262</v>
      </c>
      <c r="D419" s="5" t="s">
        <v>2263</v>
      </c>
      <c r="E419" s="5" t="s">
        <v>35</v>
      </c>
      <c r="F419" s="5" t="s">
        <v>36</v>
      </c>
      <c r="G419" s="5" t="s">
        <v>37</v>
      </c>
      <c r="H419" s="5"/>
      <c r="I419" s="5"/>
      <c r="J419" s="5" t="s">
        <v>59</v>
      </c>
      <c r="K419" s="5" t="s">
        <v>655</v>
      </c>
      <c r="L419" s="5" t="s">
        <v>656</v>
      </c>
      <c r="M419" s="5" t="s">
        <v>657</v>
      </c>
      <c r="N419" s="5" t="s">
        <v>35</v>
      </c>
      <c r="O419" s="5">
        <v>3</v>
      </c>
      <c r="P419" s="5" t="s">
        <v>42</v>
      </c>
      <c r="Q419" s="5">
        <v>56.97</v>
      </c>
      <c r="R419" s="5"/>
      <c r="S419" s="5"/>
      <c r="T419" s="5"/>
      <c r="U419" s="5"/>
      <c r="V419" s="5"/>
      <c r="W419" s="5"/>
      <c r="X419" s="5"/>
      <c r="Y419" s="5" t="s">
        <v>2264</v>
      </c>
      <c r="Z419" s="5" t="s">
        <v>54</v>
      </c>
      <c r="AA419" s="5" t="s">
        <v>2265</v>
      </c>
      <c r="AB419" s="5" t="s">
        <v>45</v>
      </c>
      <c r="AC419" s="5"/>
      <c r="AD419" s="5"/>
      <c r="AE419" s="5"/>
      <c r="AG419" s="9">
        <f t="shared" si="6"/>
        <v>43280</v>
      </c>
    </row>
    <row r="420" s="6" customFormat="1" spans="1:33">
      <c r="A420" s="5" t="s">
        <v>2266</v>
      </c>
      <c r="B420" s="5"/>
      <c r="C420" s="5" t="s">
        <v>2267</v>
      </c>
      <c r="D420" s="5" t="s">
        <v>2268</v>
      </c>
      <c r="E420" s="5" t="s">
        <v>2269</v>
      </c>
      <c r="F420" s="5" t="s">
        <v>2270</v>
      </c>
      <c r="G420" s="5" t="s">
        <v>37</v>
      </c>
      <c r="H420" s="5"/>
      <c r="I420" s="5"/>
      <c r="J420" s="5" t="s">
        <v>38</v>
      </c>
      <c r="K420" s="5" t="s">
        <v>2271</v>
      </c>
      <c r="L420" s="5" t="s">
        <v>2272</v>
      </c>
      <c r="M420" s="5" t="s">
        <v>2273</v>
      </c>
      <c r="N420" s="5" t="s">
        <v>275</v>
      </c>
      <c r="O420" s="5">
        <v>1</v>
      </c>
      <c r="P420" s="5" t="s">
        <v>42</v>
      </c>
      <c r="Q420" s="5">
        <v>71.99</v>
      </c>
      <c r="R420" s="5"/>
      <c r="S420" s="5">
        <v>0</v>
      </c>
      <c r="T420" s="5"/>
      <c r="U420" s="5">
        <v>0</v>
      </c>
      <c r="V420" s="5"/>
      <c r="W420" s="5"/>
      <c r="X420" s="5"/>
      <c r="Y420" s="5" t="s">
        <v>2274</v>
      </c>
      <c r="Z420" s="5" t="s">
        <v>54</v>
      </c>
      <c r="AA420" s="5">
        <v>77449</v>
      </c>
      <c r="AB420" s="5" t="s">
        <v>45</v>
      </c>
      <c r="AC420" s="5"/>
      <c r="AD420" s="5" t="s">
        <v>2275</v>
      </c>
      <c r="AE420" s="5" t="s">
        <v>2276</v>
      </c>
      <c r="AG420" s="9">
        <f t="shared" si="6"/>
        <v>43280</v>
      </c>
    </row>
    <row r="421" s="6" customFormat="1" spans="1:33">
      <c r="A421" s="5" t="s">
        <v>2277</v>
      </c>
      <c r="B421" s="5" t="s">
        <v>2277</v>
      </c>
      <c r="C421" s="5" t="s">
        <v>2278</v>
      </c>
      <c r="D421" s="5" t="s">
        <v>2279</v>
      </c>
      <c r="E421" s="5" t="s">
        <v>35</v>
      </c>
      <c r="F421" s="5" t="s">
        <v>36</v>
      </c>
      <c r="G421" s="5" t="s">
        <v>37</v>
      </c>
      <c r="H421" s="5"/>
      <c r="I421" s="5"/>
      <c r="J421" s="5" t="s">
        <v>59</v>
      </c>
      <c r="K421" s="5" t="s">
        <v>50</v>
      </c>
      <c r="L421" s="5" t="s">
        <v>51</v>
      </c>
      <c r="M421" s="5" t="s">
        <v>52</v>
      </c>
      <c r="N421" s="5" t="s">
        <v>35</v>
      </c>
      <c r="O421" s="5">
        <v>1</v>
      </c>
      <c r="P421" s="5" t="s">
        <v>42</v>
      </c>
      <c r="Q421" s="5">
        <v>7</v>
      </c>
      <c r="R421" s="5"/>
      <c r="S421" s="5"/>
      <c r="T421" s="5"/>
      <c r="U421" s="5"/>
      <c r="V421" s="5"/>
      <c r="W421" s="5"/>
      <c r="X421" s="5"/>
      <c r="Y421" s="5" t="s">
        <v>2280</v>
      </c>
      <c r="Z421" s="5" t="s">
        <v>2281</v>
      </c>
      <c r="AA421" s="5" t="s">
        <v>2282</v>
      </c>
      <c r="AB421" s="5" t="s">
        <v>45</v>
      </c>
      <c r="AC421" s="5"/>
      <c r="AD421" s="5"/>
      <c r="AE421" s="5"/>
      <c r="AG421" s="9">
        <f t="shared" si="6"/>
        <v>43280</v>
      </c>
    </row>
    <row r="422" s="6" customFormat="1" spans="1:33">
      <c r="A422" s="5" t="s">
        <v>2283</v>
      </c>
      <c r="B422" s="5" t="s">
        <v>2283</v>
      </c>
      <c r="C422" s="5" t="s">
        <v>2284</v>
      </c>
      <c r="D422" s="5" t="s">
        <v>2285</v>
      </c>
      <c r="E422" s="5" t="s">
        <v>35</v>
      </c>
      <c r="F422" s="5" t="s">
        <v>36</v>
      </c>
      <c r="G422" s="5" t="s">
        <v>37</v>
      </c>
      <c r="H422" s="5"/>
      <c r="I422" s="5"/>
      <c r="J422" s="5" t="s">
        <v>59</v>
      </c>
      <c r="K422" s="5" t="s">
        <v>675</v>
      </c>
      <c r="L422" s="5" t="s">
        <v>676</v>
      </c>
      <c r="M422" s="5" t="s">
        <v>677</v>
      </c>
      <c r="N422" s="5" t="s">
        <v>35</v>
      </c>
      <c r="O422" s="5">
        <v>1</v>
      </c>
      <c r="P422" s="5" t="s">
        <v>42</v>
      </c>
      <c r="Q422" s="5">
        <v>14.99</v>
      </c>
      <c r="R422" s="5"/>
      <c r="S422" s="5"/>
      <c r="T422" s="5"/>
      <c r="U422" s="5"/>
      <c r="V422" s="5"/>
      <c r="W422" s="5"/>
      <c r="X422" s="5"/>
      <c r="Y422" s="5" t="s">
        <v>1170</v>
      </c>
      <c r="Z422" s="5" t="s">
        <v>182</v>
      </c>
      <c r="AA422" s="5" t="s">
        <v>2286</v>
      </c>
      <c r="AB422" s="5" t="s">
        <v>45</v>
      </c>
      <c r="AC422" s="5"/>
      <c r="AD422" s="5"/>
      <c r="AE422" s="5"/>
      <c r="AG422" s="9">
        <f t="shared" si="6"/>
        <v>43280</v>
      </c>
    </row>
    <row r="423" s="6" customFormat="1" spans="1:33">
      <c r="A423" s="5" t="s">
        <v>2287</v>
      </c>
      <c r="B423" s="5" t="s">
        <v>2287</v>
      </c>
      <c r="C423" s="5" t="s">
        <v>2288</v>
      </c>
      <c r="D423" s="5" t="s">
        <v>2289</v>
      </c>
      <c r="E423" s="5" t="s">
        <v>35</v>
      </c>
      <c r="F423" s="5" t="s">
        <v>36</v>
      </c>
      <c r="G423" s="5" t="s">
        <v>37</v>
      </c>
      <c r="H423" s="5"/>
      <c r="I423" s="5"/>
      <c r="J423" s="5" t="s">
        <v>59</v>
      </c>
      <c r="K423" s="5" t="s">
        <v>50</v>
      </c>
      <c r="L423" s="5" t="s">
        <v>51</v>
      </c>
      <c r="M423" s="5" t="s">
        <v>52</v>
      </c>
      <c r="N423" s="5" t="s">
        <v>35</v>
      </c>
      <c r="O423" s="5">
        <v>2</v>
      </c>
      <c r="P423" s="5" t="s">
        <v>42</v>
      </c>
      <c r="Q423" s="5">
        <v>16</v>
      </c>
      <c r="R423" s="5"/>
      <c r="S423" s="5"/>
      <c r="T423" s="5"/>
      <c r="U423" s="5"/>
      <c r="V423" s="5"/>
      <c r="W423" s="5"/>
      <c r="X423" s="5"/>
      <c r="Y423" s="5" t="s">
        <v>670</v>
      </c>
      <c r="Z423" s="5" t="s">
        <v>98</v>
      </c>
      <c r="AA423" s="5" t="s">
        <v>2290</v>
      </c>
      <c r="AB423" s="5" t="s">
        <v>45</v>
      </c>
      <c r="AC423" s="5"/>
      <c r="AD423" s="5"/>
      <c r="AE423" s="5"/>
      <c r="AG423" s="9">
        <f t="shared" si="6"/>
        <v>43281</v>
      </c>
    </row>
    <row r="424" s="6" customFormat="1" spans="1:33">
      <c r="A424" s="5" t="s">
        <v>2291</v>
      </c>
      <c r="B424" s="5" t="s">
        <v>2291</v>
      </c>
      <c r="C424" s="5" t="s">
        <v>2292</v>
      </c>
      <c r="D424" s="5" t="s">
        <v>2293</v>
      </c>
      <c r="E424" s="5" t="s">
        <v>35</v>
      </c>
      <c r="F424" s="5" t="s">
        <v>36</v>
      </c>
      <c r="G424" s="5" t="s">
        <v>37</v>
      </c>
      <c r="H424" s="5"/>
      <c r="I424" s="5"/>
      <c r="J424" s="5" t="s">
        <v>59</v>
      </c>
      <c r="K424" s="5" t="s">
        <v>50</v>
      </c>
      <c r="L424" s="5" t="s">
        <v>51</v>
      </c>
      <c r="M424" s="5" t="s">
        <v>52</v>
      </c>
      <c r="N424" s="5" t="s">
        <v>35</v>
      </c>
      <c r="O424" s="5">
        <v>1</v>
      </c>
      <c r="P424" s="5" t="s">
        <v>42</v>
      </c>
      <c r="Q424" s="5">
        <v>8</v>
      </c>
      <c r="R424" s="5"/>
      <c r="S424" s="5"/>
      <c r="T424" s="5"/>
      <c r="U424" s="5"/>
      <c r="V424" s="5"/>
      <c r="W424" s="5"/>
      <c r="X424" s="5"/>
      <c r="Y424" s="5" t="s">
        <v>359</v>
      </c>
      <c r="Z424" s="5" t="s">
        <v>211</v>
      </c>
      <c r="AA424" s="5" t="s">
        <v>2294</v>
      </c>
      <c r="AB424" s="5" t="s">
        <v>45</v>
      </c>
      <c r="AC424" s="5"/>
      <c r="AD424" s="5"/>
      <c r="AE424" s="5"/>
      <c r="AG424" s="9">
        <f t="shared" si="6"/>
        <v>43281</v>
      </c>
    </row>
    <row r="425" s="6" customFormat="1" spans="1:33">
      <c r="A425" s="5" t="s">
        <v>2295</v>
      </c>
      <c r="B425" s="5" t="s">
        <v>2295</v>
      </c>
      <c r="C425" s="5" t="s">
        <v>2296</v>
      </c>
      <c r="D425" s="5" t="s">
        <v>2297</v>
      </c>
      <c r="E425" s="5" t="s">
        <v>35</v>
      </c>
      <c r="F425" s="5" t="s">
        <v>36</v>
      </c>
      <c r="G425" s="5" t="s">
        <v>37</v>
      </c>
      <c r="H425" s="5"/>
      <c r="I425" s="5"/>
      <c r="J425" s="5" t="s">
        <v>38</v>
      </c>
      <c r="K425" s="5" t="s">
        <v>50</v>
      </c>
      <c r="L425" s="5" t="s">
        <v>51</v>
      </c>
      <c r="M425" s="5" t="s">
        <v>52</v>
      </c>
      <c r="N425" s="5" t="s">
        <v>35</v>
      </c>
      <c r="O425" s="5">
        <v>1</v>
      </c>
      <c r="P425" s="5" t="s">
        <v>42</v>
      </c>
      <c r="Q425" s="5">
        <v>8</v>
      </c>
      <c r="R425" s="5"/>
      <c r="S425" s="5">
        <v>1</v>
      </c>
      <c r="T425" s="5"/>
      <c r="U425" s="5"/>
      <c r="V425" s="5"/>
      <c r="W425" s="5"/>
      <c r="X425" s="5">
        <v>1</v>
      </c>
      <c r="Y425" s="5" t="s">
        <v>2298</v>
      </c>
      <c r="Z425" s="5" t="s">
        <v>432</v>
      </c>
      <c r="AA425" s="5">
        <v>32246</v>
      </c>
      <c r="AB425" s="5" t="s">
        <v>45</v>
      </c>
      <c r="AC425" s="5" t="s">
        <v>328</v>
      </c>
      <c r="AD425" s="5"/>
      <c r="AE425" s="5"/>
      <c r="AG425" s="9">
        <f t="shared" si="6"/>
        <v>43281</v>
      </c>
    </row>
    <row r="426" s="6" customFormat="1" spans="1:33">
      <c r="A426" s="5" t="s">
        <v>2299</v>
      </c>
      <c r="B426" s="5" t="s">
        <v>2299</v>
      </c>
      <c r="C426" s="5" t="s">
        <v>2300</v>
      </c>
      <c r="D426" s="5" t="s">
        <v>2301</v>
      </c>
      <c r="E426" s="5" t="s">
        <v>35</v>
      </c>
      <c r="F426" s="5" t="s">
        <v>36</v>
      </c>
      <c r="G426" s="5" t="s">
        <v>37</v>
      </c>
      <c r="H426" s="5"/>
      <c r="I426" s="5"/>
      <c r="J426" s="5" t="s">
        <v>59</v>
      </c>
      <c r="K426" s="5" t="s">
        <v>50</v>
      </c>
      <c r="L426" s="5" t="s">
        <v>51</v>
      </c>
      <c r="M426" s="5" t="s">
        <v>52</v>
      </c>
      <c r="N426" s="5" t="s">
        <v>35</v>
      </c>
      <c r="O426" s="5">
        <v>1</v>
      </c>
      <c r="P426" s="5" t="s">
        <v>42</v>
      </c>
      <c r="Q426" s="5">
        <v>8</v>
      </c>
      <c r="R426" s="5"/>
      <c r="S426" s="5"/>
      <c r="T426" s="5"/>
      <c r="U426" s="5"/>
      <c r="V426" s="5"/>
      <c r="W426" s="5"/>
      <c r="X426" s="5"/>
      <c r="Y426" s="5" t="s">
        <v>640</v>
      </c>
      <c r="Z426" s="5" t="s">
        <v>432</v>
      </c>
      <c r="AA426" s="5" t="s">
        <v>2302</v>
      </c>
      <c r="AB426" s="5" t="s">
        <v>45</v>
      </c>
      <c r="AC426" s="5"/>
      <c r="AD426" s="5"/>
      <c r="AE426" s="5"/>
      <c r="AG426" s="9">
        <f t="shared" si="6"/>
        <v>43281</v>
      </c>
    </row>
    <row r="427" s="6" customFormat="1" spans="1:33">
      <c r="A427" s="5" t="s">
        <v>2303</v>
      </c>
      <c r="B427" s="5" t="s">
        <v>2303</v>
      </c>
      <c r="C427" s="5" t="s">
        <v>2304</v>
      </c>
      <c r="D427" s="5" t="s">
        <v>2305</v>
      </c>
      <c r="E427" s="5" t="s">
        <v>35</v>
      </c>
      <c r="F427" s="5" t="s">
        <v>36</v>
      </c>
      <c r="G427" s="5" t="s">
        <v>37</v>
      </c>
      <c r="H427" s="5"/>
      <c r="I427" s="5"/>
      <c r="J427" s="5" t="s">
        <v>59</v>
      </c>
      <c r="K427" s="5" t="s">
        <v>50</v>
      </c>
      <c r="L427" s="5" t="s">
        <v>51</v>
      </c>
      <c r="M427" s="5" t="s">
        <v>52</v>
      </c>
      <c r="N427" s="5" t="s">
        <v>35</v>
      </c>
      <c r="O427" s="5">
        <v>1</v>
      </c>
      <c r="P427" s="5" t="s">
        <v>42</v>
      </c>
      <c r="Q427" s="5">
        <v>8</v>
      </c>
      <c r="R427" s="5"/>
      <c r="S427" s="5"/>
      <c r="T427" s="5"/>
      <c r="U427" s="5"/>
      <c r="V427" s="5"/>
      <c r="W427" s="5"/>
      <c r="X427" s="5"/>
      <c r="Y427" s="5" t="s">
        <v>2306</v>
      </c>
      <c r="Z427" s="5" t="s">
        <v>341</v>
      </c>
      <c r="AA427" s="5" t="s">
        <v>2307</v>
      </c>
      <c r="AB427" s="5" t="s">
        <v>45</v>
      </c>
      <c r="AC427" s="5"/>
      <c r="AD427" s="5"/>
      <c r="AE427" s="5"/>
      <c r="AG427" s="9">
        <f t="shared" si="6"/>
        <v>43281</v>
      </c>
    </row>
    <row r="428" s="6" customFormat="1" spans="1:33">
      <c r="A428" s="5" t="s">
        <v>2308</v>
      </c>
      <c r="B428" s="5" t="s">
        <v>2308</v>
      </c>
      <c r="C428" s="5" t="s">
        <v>2309</v>
      </c>
      <c r="D428" s="5" t="s">
        <v>2310</v>
      </c>
      <c r="E428" s="5" t="s">
        <v>35</v>
      </c>
      <c r="F428" s="5" t="s">
        <v>36</v>
      </c>
      <c r="G428" s="5" t="s">
        <v>37</v>
      </c>
      <c r="H428" s="5"/>
      <c r="I428" s="5"/>
      <c r="J428" s="5" t="s">
        <v>59</v>
      </c>
      <c r="K428" s="5" t="s">
        <v>1936</v>
      </c>
      <c r="L428" s="5" t="s">
        <v>1937</v>
      </c>
      <c r="M428" s="5" t="s">
        <v>1938</v>
      </c>
      <c r="N428" s="5" t="s">
        <v>35</v>
      </c>
      <c r="O428" s="5">
        <v>1</v>
      </c>
      <c r="P428" s="5" t="s">
        <v>42</v>
      </c>
      <c r="Q428" s="5">
        <v>15.99</v>
      </c>
      <c r="R428" s="5"/>
      <c r="S428" s="5"/>
      <c r="T428" s="5"/>
      <c r="U428" s="5"/>
      <c r="V428" s="5"/>
      <c r="W428" s="5"/>
      <c r="X428" s="5"/>
      <c r="Y428" s="5" t="s">
        <v>2311</v>
      </c>
      <c r="Z428" s="5" t="s">
        <v>153</v>
      </c>
      <c r="AA428" s="5" t="s">
        <v>2312</v>
      </c>
      <c r="AB428" s="5" t="s">
        <v>45</v>
      </c>
      <c r="AC428" s="5"/>
      <c r="AD428" s="5"/>
      <c r="AE428" s="5"/>
      <c r="AG428" s="9">
        <f t="shared" si="6"/>
        <v>43281</v>
      </c>
    </row>
    <row r="429" s="6" customFormat="1" spans="1:33">
      <c r="A429" s="5" t="s">
        <v>2313</v>
      </c>
      <c r="B429" s="5" t="s">
        <v>2313</v>
      </c>
      <c r="C429" s="5" t="s">
        <v>2314</v>
      </c>
      <c r="D429" s="5" t="s">
        <v>2315</v>
      </c>
      <c r="E429" s="5" t="s">
        <v>35</v>
      </c>
      <c r="F429" s="5" t="s">
        <v>36</v>
      </c>
      <c r="G429" s="5" t="s">
        <v>37</v>
      </c>
      <c r="H429" s="5"/>
      <c r="I429" s="5"/>
      <c r="J429" s="5" t="s">
        <v>59</v>
      </c>
      <c r="K429" s="5" t="s">
        <v>50</v>
      </c>
      <c r="L429" s="5" t="s">
        <v>51</v>
      </c>
      <c r="M429" s="5" t="s">
        <v>52</v>
      </c>
      <c r="N429" s="5" t="s">
        <v>35</v>
      </c>
      <c r="O429" s="5">
        <v>1</v>
      </c>
      <c r="P429" s="5" t="s">
        <v>42</v>
      </c>
      <c r="Q429" s="5">
        <v>8</v>
      </c>
      <c r="R429" s="5"/>
      <c r="S429" s="5"/>
      <c r="T429" s="5"/>
      <c r="U429" s="5"/>
      <c r="V429" s="5"/>
      <c r="W429" s="5"/>
      <c r="X429" s="5"/>
      <c r="Y429" s="5" t="s">
        <v>747</v>
      </c>
      <c r="Z429" s="5" t="s">
        <v>153</v>
      </c>
      <c r="AA429" s="5" t="s">
        <v>2316</v>
      </c>
      <c r="AB429" s="5" t="s">
        <v>45</v>
      </c>
      <c r="AC429" s="5"/>
      <c r="AD429" s="5"/>
      <c r="AE429" s="5"/>
      <c r="AG429" s="9">
        <f t="shared" si="6"/>
        <v>43281</v>
      </c>
    </row>
    <row r="430" s="6" customFormat="1" spans="1:33">
      <c r="A430" s="5" t="s">
        <v>2317</v>
      </c>
      <c r="B430" s="5" t="s">
        <v>2317</v>
      </c>
      <c r="C430" s="5" t="s">
        <v>2318</v>
      </c>
      <c r="D430" s="5" t="s">
        <v>2319</v>
      </c>
      <c r="E430" s="5" t="s">
        <v>35</v>
      </c>
      <c r="F430" s="5" t="s">
        <v>36</v>
      </c>
      <c r="G430" s="5" t="s">
        <v>37</v>
      </c>
      <c r="H430" s="5"/>
      <c r="I430" s="5"/>
      <c r="J430" s="5" t="s">
        <v>59</v>
      </c>
      <c r="K430" s="5" t="s">
        <v>50</v>
      </c>
      <c r="L430" s="5" t="s">
        <v>51</v>
      </c>
      <c r="M430" s="5" t="s">
        <v>52</v>
      </c>
      <c r="N430" s="5" t="s">
        <v>35</v>
      </c>
      <c r="O430" s="5">
        <v>1</v>
      </c>
      <c r="P430" s="5" t="s">
        <v>42</v>
      </c>
      <c r="Q430" s="5">
        <v>8</v>
      </c>
      <c r="R430" s="5"/>
      <c r="S430" s="5"/>
      <c r="T430" s="5"/>
      <c r="U430" s="5"/>
      <c r="V430" s="5"/>
      <c r="W430" s="5"/>
      <c r="X430" s="5"/>
      <c r="Y430" s="5" t="s">
        <v>1665</v>
      </c>
      <c r="Z430" s="5" t="s">
        <v>534</v>
      </c>
      <c r="AA430" s="5" t="s">
        <v>2320</v>
      </c>
      <c r="AB430" s="5" t="s">
        <v>45</v>
      </c>
      <c r="AC430" s="5"/>
      <c r="AD430" s="5"/>
      <c r="AE430" s="5"/>
      <c r="AG430" s="9">
        <f t="shared" si="6"/>
        <v>43281</v>
      </c>
    </row>
    <row r="431" s="6" customFormat="1" spans="1:33">
      <c r="A431" s="5" t="s">
        <v>2321</v>
      </c>
      <c r="B431" s="5" t="s">
        <v>2321</v>
      </c>
      <c r="C431" s="5" t="s">
        <v>2322</v>
      </c>
      <c r="D431" s="5" t="s">
        <v>2323</v>
      </c>
      <c r="E431" s="5" t="s">
        <v>35</v>
      </c>
      <c r="F431" s="5" t="s">
        <v>36</v>
      </c>
      <c r="G431" s="5" t="s">
        <v>37</v>
      </c>
      <c r="H431" s="5"/>
      <c r="I431" s="5"/>
      <c r="J431" s="5" t="s">
        <v>59</v>
      </c>
      <c r="K431" s="5" t="s">
        <v>50</v>
      </c>
      <c r="L431" s="5" t="s">
        <v>51</v>
      </c>
      <c r="M431" s="5" t="s">
        <v>52</v>
      </c>
      <c r="N431" s="5" t="s">
        <v>35</v>
      </c>
      <c r="O431" s="5">
        <v>1</v>
      </c>
      <c r="P431" s="5" t="s">
        <v>42</v>
      </c>
      <c r="Q431" s="5">
        <v>8</v>
      </c>
      <c r="R431" s="5"/>
      <c r="S431" s="5"/>
      <c r="T431" s="5"/>
      <c r="U431" s="5"/>
      <c r="V431" s="5"/>
      <c r="W431" s="5"/>
      <c r="X431" s="5"/>
      <c r="Y431" s="5" t="s">
        <v>626</v>
      </c>
      <c r="Z431" s="5" t="s">
        <v>244</v>
      </c>
      <c r="AA431" s="5" t="s">
        <v>2324</v>
      </c>
      <c r="AB431" s="5" t="s">
        <v>45</v>
      </c>
      <c r="AC431" s="5"/>
      <c r="AD431" s="5"/>
      <c r="AE431" s="5"/>
      <c r="AG431" s="9">
        <f t="shared" si="6"/>
        <v>43281</v>
      </c>
    </row>
    <row r="432" s="6" customFormat="1" spans="1:33">
      <c r="A432" s="5" t="s">
        <v>2325</v>
      </c>
      <c r="B432" s="5" t="s">
        <v>2325</v>
      </c>
      <c r="C432" s="5" t="s">
        <v>2326</v>
      </c>
      <c r="D432" s="5" t="s">
        <v>2327</v>
      </c>
      <c r="E432" s="5" t="s">
        <v>35</v>
      </c>
      <c r="F432" s="5" t="s">
        <v>36</v>
      </c>
      <c r="G432" s="5" t="s">
        <v>37</v>
      </c>
      <c r="H432" s="5"/>
      <c r="I432" s="5"/>
      <c r="J432" s="5" t="s">
        <v>59</v>
      </c>
      <c r="K432" s="5" t="s">
        <v>2328</v>
      </c>
      <c r="L432" s="5" t="s">
        <v>2329</v>
      </c>
      <c r="M432" s="5" t="s">
        <v>2330</v>
      </c>
      <c r="N432" s="5" t="s">
        <v>35</v>
      </c>
      <c r="O432" s="5">
        <v>1</v>
      </c>
      <c r="P432" s="5" t="s">
        <v>42</v>
      </c>
      <c r="Q432" s="5">
        <v>15.99</v>
      </c>
      <c r="R432" s="5"/>
      <c r="S432" s="5"/>
      <c r="T432" s="5"/>
      <c r="U432" s="5"/>
      <c r="V432" s="5"/>
      <c r="W432" s="5"/>
      <c r="X432" s="5"/>
      <c r="Y432" s="5" t="s">
        <v>2274</v>
      </c>
      <c r="Z432" s="5" t="s">
        <v>54</v>
      </c>
      <c r="AA432" s="5">
        <v>77449</v>
      </c>
      <c r="AB432" s="5" t="s">
        <v>45</v>
      </c>
      <c r="AC432" s="5"/>
      <c r="AD432" s="5"/>
      <c r="AE432" s="5"/>
      <c r="AG432" s="9">
        <f t="shared" si="6"/>
        <v>43281</v>
      </c>
    </row>
    <row r="433" s="6" customFormat="1" spans="1:33">
      <c r="A433" s="5" t="s">
        <v>2331</v>
      </c>
      <c r="B433" s="5" t="s">
        <v>2331</v>
      </c>
      <c r="C433" s="5" t="s">
        <v>2332</v>
      </c>
      <c r="D433" s="5" t="s">
        <v>2333</v>
      </c>
      <c r="E433" s="5" t="s">
        <v>35</v>
      </c>
      <c r="F433" s="5" t="s">
        <v>36</v>
      </c>
      <c r="G433" s="5" t="s">
        <v>37</v>
      </c>
      <c r="H433" s="5"/>
      <c r="I433" s="5"/>
      <c r="J433" s="5" t="s">
        <v>38</v>
      </c>
      <c r="K433" s="5" t="s">
        <v>50</v>
      </c>
      <c r="L433" s="5" t="s">
        <v>51</v>
      </c>
      <c r="M433" s="5" t="s">
        <v>52</v>
      </c>
      <c r="N433" s="5" t="s">
        <v>35</v>
      </c>
      <c r="O433" s="5">
        <v>1</v>
      </c>
      <c r="P433" s="5" t="s">
        <v>42</v>
      </c>
      <c r="Q433" s="5">
        <v>8</v>
      </c>
      <c r="R433" s="5"/>
      <c r="S433" s="5"/>
      <c r="T433" s="5"/>
      <c r="U433" s="5"/>
      <c r="V433" s="5"/>
      <c r="W433" s="5"/>
      <c r="X433" s="5"/>
      <c r="Y433" s="5" t="s">
        <v>2334</v>
      </c>
      <c r="Z433" s="5" t="s">
        <v>153</v>
      </c>
      <c r="AA433" s="5" t="s">
        <v>2335</v>
      </c>
      <c r="AB433" s="5" t="s">
        <v>45</v>
      </c>
      <c r="AC433" s="5"/>
      <c r="AD433" s="5"/>
      <c r="AE433" s="5"/>
      <c r="AG433" s="9">
        <f t="shared" si="6"/>
        <v>43281</v>
      </c>
    </row>
    <row r="434" s="6" customFormat="1" spans="1:33">
      <c r="A434" s="5" t="s">
        <v>2336</v>
      </c>
      <c r="B434" s="5" t="s">
        <v>2336</v>
      </c>
      <c r="C434" s="5" t="s">
        <v>2337</v>
      </c>
      <c r="D434" s="5" t="s">
        <v>2338</v>
      </c>
      <c r="E434" s="5" t="s">
        <v>35</v>
      </c>
      <c r="F434" s="5" t="s">
        <v>36</v>
      </c>
      <c r="G434" s="5" t="s">
        <v>37</v>
      </c>
      <c r="H434" s="5"/>
      <c r="I434" s="5"/>
      <c r="J434" s="5" t="s">
        <v>59</v>
      </c>
      <c r="K434" s="5" t="s">
        <v>50</v>
      </c>
      <c r="L434" s="5" t="s">
        <v>51</v>
      </c>
      <c r="M434" s="5" t="s">
        <v>52</v>
      </c>
      <c r="N434" s="5" t="s">
        <v>35</v>
      </c>
      <c r="O434" s="5">
        <v>2</v>
      </c>
      <c r="P434" s="5" t="s">
        <v>42</v>
      </c>
      <c r="Q434" s="5">
        <v>16</v>
      </c>
      <c r="R434" s="5"/>
      <c r="S434" s="5"/>
      <c r="T434" s="5"/>
      <c r="U434" s="5"/>
      <c r="V434" s="5"/>
      <c r="W434" s="5"/>
      <c r="X434" s="5"/>
      <c r="Y434" s="5" t="s">
        <v>326</v>
      </c>
      <c r="Z434" s="5" t="s">
        <v>153</v>
      </c>
      <c r="AA434" s="5" t="s">
        <v>2339</v>
      </c>
      <c r="AB434" s="5" t="s">
        <v>45</v>
      </c>
      <c r="AC434" s="5"/>
      <c r="AD434" s="5"/>
      <c r="AE434" s="5"/>
      <c r="AG434" s="9">
        <f t="shared" si="6"/>
        <v>43281</v>
      </c>
    </row>
    <row r="435" s="6" customFormat="1" spans="1:33">
      <c r="A435" s="5" t="s">
        <v>2340</v>
      </c>
      <c r="B435" s="5" t="s">
        <v>2340</v>
      </c>
      <c r="C435" s="5" t="s">
        <v>2341</v>
      </c>
      <c r="D435" s="5" t="s">
        <v>2342</v>
      </c>
      <c r="E435" s="5" t="s">
        <v>35</v>
      </c>
      <c r="F435" s="5" t="s">
        <v>36</v>
      </c>
      <c r="G435" s="5" t="s">
        <v>37</v>
      </c>
      <c r="H435" s="5"/>
      <c r="I435" s="5"/>
      <c r="J435" s="5" t="s">
        <v>59</v>
      </c>
      <c r="K435" s="5" t="s">
        <v>50</v>
      </c>
      <c r="L435" s="5" t="s">
        <v>51</v>
      </c>
      <c r="M435" s="5" t="s">
        <v>52</v>
      </c>
      <c r="N435" s="5" t="s">
        <v>35</v>
      </c>
      <c r="O435" s="5">
        <v>1</v>
      </c>
      <c r="P435" s="5" t="s">
        <v>42</v>
      </c>
      <c r="Q435" s="5">
        <v>8</v>
      </c>
      <c r="R435" s="5"/>
      <c r="S435" s="5"/>
      <c r="T435" s="5"/>
      <c r="U435" s="5"/>
      <c r="V435" s="5"/>
      <c r="W435" s="5"/>
      <c r="X435" s="5"/>
      <c r="Y435" s="5" t="s">
        <v>2343</v>
      </c>
      <c r="Z435" s="5" t="s">
        <v>139</v>
      </c>
      <c r="AA435" s="5" t="s">
        <v>2344</v>
      </c>
      <c r="AB435" s="5" t="s">
        <v>45</v>
      </c>
      <c r="AC435" s="5"/>
      <c r="AD435" s="5"/>
      <c r="AE435" s="5"/>
      <c r="AG435" s="9">
        <f t="shared" si="6"/>
        <v>43281</v>
      </c>
    </row>
    <row r="436" s="6" customFormat="1" spans="1:33">
      <c r="A436" s="5" t="s">
        <v>2345</v>
      </c>
      <c r="B436" s="5" t="s">
        <v>2345</v>
      </c>
      <c r="C436" s="5" t="s">
        <v>2346</v>
      </c>
      <c r="D436" s="5" t="s">
        <v>2347</v>
      </c>
      <c r="E436" s="5" t="s">
        <v>35</v>
      </c>
      <c r="F436" s="5" t="s">
        <v>36</v>
      </c>
      <c r="G436" s="5" t="s">
        <v>37</v>
      </c>
      <c r="H436" s="5"/>
      <c r="I436" s="5"/>
      <c r="J436" s="5" t="s">
        <v>38</v>
      </c>
      <c r="K436" s="5" t="s">
        <v>94</v>
      </c>
      <c r="L436" s="5" t="s">
        <v>95</v>
      </c>
      <c r="M436" s="5" t="s">
        <v>96</v>
      </c>
      <c r="N436" s="5" t="s">
        <v>35</v>
      </c>
      <c r="O436" s="5">
        <v>1</v>
      </c>
      <c r="P436" s="5" t="s">
        <v>42</v>
      </c>
      <c r="Q436" s="5">
        <v>14.99</v>
      </c>
      <c r="R436" s="5"/>
      <c r="S436" s="5">
        <v>3.91</v>
      </c>
      <c r="T436" s="5"/>
      <c r="U436" s="5"/>
      <c r="V436" s="5"/>
      <c r="W436" s="5">
        <v>0.75</v>
      </c>
      <c r="X436" s="5"/>
      <c r="Y436" s="5" t="s">
        <v>2348</v>
      </c>
      <c r="Z436" s="5" t="s">
        <v>2349</v>
      </c>
      <c r="AA436" s="5">
        <v>42223</v>
      </c>
      <c r="AB436" s="5" t="s">
        <v>45</v>
      </c>
      <c r="AC436" s="5" t="s">
        <v>558</v>
      </c>
      <c r="AD436" s="5"/>
      <c r="AE436" s="5"/>
      <c r="AG436" s="9">
        <f t="shared" si="6"/>
        <v>43281</v>
      </c>
    </row>
    <row r="437" s="6" customFormat="1" spans="1:33">
      <c r="A437" s="5" t="s">
        <v>2345</v>
      </c>
      <c r="B437" s="5" t="s">
        <v>2345</v>
      </c>
      <c r="C437" s="5" t="s">
        <v>2346</v>
      </c>
      <c r="D437" s="5" t="s">
        <v>2347</v>
      </c>
      <c r="E437" s="5" t="s">
        <v>35</v>
      </c>
      <c r="F437" s="5" t="s">
        <v>36</v>
      </c>
      <c r="G437" s="5" t="s">
        <v>37</v>
      </c>
      <c r="H437" s="5"/>
      <c r="I437" s="5"/>
      <c r="J437" s="5" t="s">
        <v>38</v>
      </c>
      <c r="K437" s="5" t="s">
        <v>675</v>
      </c>
      <c r="L437" s="5" t="s">
        <v>676</v>
      </c>
      <c r="M437" s="5" t="s">
        <v>677</v>
      </c>
      <c r="N437" s="5" t="s">
        <v>35</v>
      </c>
      <c r="O437" s="5">
        <v>1</v>
      </c>
      <c r="P437" s="5" t="s">
        <v>42</v>
      </c>
      <c r="Q437" s="5">
        <v>14.99</v>
      </c>
      <c r="R437" s="5"/>
      <c r="S437" s="5">
        <v>3.62</v>
      </c>
      <c r="T437" s="5"/>
      <c r="U437" s="5"/>
      <c r="V437" s="5"/>
      <c r="W437" s="5">
        <v>0.75</v>
      </c>
      <c r="X437" s="5"/>
      <c r="Y437" s="5" t="s">
        <v>2348</v>
      </c>
      <c r="Z437" s="5" t="s">
        <v>2349</v>
      </c>
      <c r="AA437" s="5">
        <v>42223</v>
      </c>
      <c r="AB437" s="5" t="s">
        <v>45</v>
      </c>
      <c r="AC437" s="5" t="s">
        <v>558</v>
      </c>
      <c r="AD437" s="5"/>
      <c r="AE437" s="5"/>
      <c r="AG437" s="9">
        <f t="shared" si="6"/>
        <v>43281</v>
      </c>
    </row>
    <row r="438" s="6" customFormat="1" spans="1:33">
      <c r="A438" s="5" t="s">
        <v>2350</v>
      </c>
      <c r="B438" s="5" t="s">
        <v>2350</v>
      </c>
      <c r="C438" s="5" t="s">
        <v>2351</v>
      </c>
      <c r="D438" s="5" t="s">
        <v>2352</v>
      </c>
      <c r="E438" s="5" t="s">
        <v>35</v>
      </c>
      <c r="F438" s="5" t="s">
        <v>36</v>
      </c>
      <c r="G438" s="5" t="s">
        <v>37</v>
      </c>
      <c r="H438" s="5"/>
      <c r="I438" s="5"/>
      <c r="J438" s="5" t="s">
        <v>59</v>
      </c>
      <c r="K438" s="5" t="s">
        <v>94</v>
      </c>
      <c r="L438" s="5" t="s">
        <v>95</v>
      </c>
      <c r="M438" s="5" t="s">
        <v>96</v>
      </c>
      <c r="N438" s="5" t="s">
        <v>35</v>
      </c>
      <c r="O438" s="5">
        <v>1</v>
      </c>
      <c r="P438" s="5" t="s">
        <v>42</v>
      </c>
      <c r="Q438" s="5">
        <v>14.99</v>
      </c>
      <c r="R438" s="5"/>
      <c r="S438" s="5"/>
      <c r="T438" s="5"/>
      <c r="U438" s="5"/>
      <c r="V438" s="5"/>
      <c r="W438" s="5"/>
      <c r="X438" s="5"/>
      <c r="Y438" s="5" t="s">
        <v>2353</v>
      </c>
      <c r="Z438" s="5" t="s">
        <v>191</v>
      </c>
      <c r="AA438" s="5" t="s">
        <v>2354</v>
      </c>
      <c r="AB438" s="5" t="s">
        <v>45</v>
      </c>
      <c r="AC438" s="5"/>
      <c r="AD438" s="5"/>
      <c r="AE438" s="5"/>
      <c r="AG438" s="9">
        <f t="shared" si="6"/>
        <v>43281</v>
      </c>
    </row>
    <row r="439" s="6" customFormat="1" spans="1:33">
      <c r="A439" s="5" t="s">
        <v>2355</v>
      </c>
      <c r="B439" s="5" t="s">
        <v>2355</v>
      </c>
      <c r="C439" s="5" t="s">
        <v>2356</v>
      </c>
      <c r="D439" s="5" t="s">
        <v>2357</v>
      </c>
      <c r="E439" s="5" t="s">
        <v>35</v>
      </c>
      <c r="F439" s="5" t="s">
        <v>36</v>
      </c>
      <c r="G439" s="5" t="s">
        <v>37</v>
      </c>
      <c r="H439" s="5"/>
      <c r="I439" s="5"/>
      <c r="J439" s="5" t="s">
        <v>59</v>
      </c>
      <c r="K439" s="5" t="s">
        <v>50</v>
      </c>
      <c r="L439" s="5" t="s">
        <v>51</v>
      </c>
      <c r="M439" s="5" t="s">
        <v>52</v>
      </c>
      <c r="N439" s="5" t="s">
        <v>35</v>
      </c>
      <c r="O439" s="5">
        <v>1</v>
      </c>
      <c r="P439" s="5" t="s">
        <v>42</v>
      </c>
      <c r="Q439" s="5">
        <v>8</v>
      </c>
      <c r="R439" s="5"/>
      <c r="S439" s="5"/>
      <c r="T439" s="5"/>
      <c r="U439" s="5"/>
      <c r="V439" s="5"/>
      <c r="W439" s="5"/>
      <c r="X439" s="5"/>
      <c r="Y439" s="5" t="s">
        <v>797</v>
      </c>
      <c r="Z439" s="5" t="s">
        <v>153</v>
      </c>
      <c r="AA439" s="5" t="s">
        <v>2358</v>
      </c>
      <c r="AB439" s="5" t="s">
        <v>45</v>
      </c>
      <c r="AC439" s="5"/>
      <c r="AD439" s="5"/>
      <c r="AE439" s="5"/>
      <c r="AG439" s="9">
        <f t="shared" si="6"/>
        <v>43281</v>
      </c>
    </row>
    <row r="440" s="6" customFormat="1" spans="1:33">
      <c r="A440" s="5" t="s">
        <v>2359</v>
      </c>
      <c r="B440" s="5" t="s">
        <v>2359</v>
      </c>
      <c r="C440" s="5" t="s">
        <v>2360</v>
      </c>
      <c r="D440" s="5" t="s">
        <v>2361</v>
      </c>
      <c r="E440" s="5" t="s">
        <v>35</v>
      </c>
      <c r="F440" s="5" t="s">
        <v>36</v>
      </c>
      <c r="G440" s="5" t="s">
        <v>37</v>
      </c>
      <c r="H440" s="5"/>
      <c r="I440" s="5"/>
      <c r="J440" s="5" t="s">
        <v>59</v>
      </c>
      <c r="K440" s="5" t="s">
        <v>2362</v>
      </c>
      <c r="L440" s="5" t="s">
        <v>2363</v>
      </c>
      <c r="M440" s="5" t="s">
        <v>2364</v>
      </c>
      <c r="N440" s="5" t="s">
        <v>35</v>
      </c>
      <c r="O440" s="5">
        <v>2</v>
      </c>
      <c r="P440" s="5" t="s">
        <v>42</v>
      </c>
      <c r="Q440" s="5">
        <v>17.98</v>
      </c>
      <c r="R440" s="5"/>
      <c r="S440" s="5"/>
      <c r="T440" s="5"/>
      <c r="U440" s="5"/>
      <c r="V440" s="5"/>
      <c r="W440" s="5"/>
      <c r="X440" s="5"/>
      <c r="Y440" s="5" t="s">
        <v>2365</v>
      </c>
      <c r="Z440" s="5" t="s">
        <v>2366</v>
      </c>
      <c r="AA440" s="5" t="s">
        <v>2367</v>
      </c>
      <c r="AB440" s="5" t="s">
        <v>45</v>
      </c>
      <c r="AC440" s="5"/>
      <c r="AD440" s="5"/>
      <c r="AE440" s="5"/>
      <c r="AG440" s="9">
        <f t="shared" si="6"/>
        <v>43281</v>
      </c>
    </row>
    <row r="441" s="6" customFormat="1" spans="1:33">
      <c r="A441" s="5" t="s">
        <v>2368</v>
      </c>
      <c r="B441" s="5" t="s">
        <v>2368</v>
      </c>
      <c r="C441" s="5" t="s">
        <v>2369</v>
      </c>
      <c r="D441" s="5" t="s">
        <v>2370</v>
      </c>
      <c r="E441" s="5" t="s">
        <v>35</v>
      </c>
      <c r="F441" s="5" t="s">
        <v>36</v>
      </c>
      <c r="G441" s="5" t="s">
        <v>37</v>
      </c>
      <c r="H441" s="5"/>
      <c r="I441" s="5"/>
      <c r="J441" s="5" t="s">
        <v>59</v>
      </c>
      <c r="K441" s="5" t="s">
        <v>655</v>
      </c>
      <c r="L441" s="5" t="s">
        <v>656</v>
      </c>
      <c r="M441" s="5" t="s">
        <v>657</v>
      </c>
      <c r="N441" s="5" t="s">
        <v>35</v>
      </c>
      <c r="O441" s="5">
        <v>1</v>
      </c>
      <c r="P441" s="5" t="s">
        <v>42</v>
      </c>
      <c r="Q441" s="5">
        <v>18.99</v>
      </c>
      <c r="R441" s="5"/>
      <c r="S441" s="5"/>
      <c r="T441" s="5"/>
      <c r="U441" s="5"/>
      <c r="V441" s="5"/>
      <c r="W441" s="5"/>
      <c r="X441" s="5"/>
      <c r="Y441" s="5" t="s">
        <v>2371</v>
      </c>
      <c r="Z441" s="5" t="s">
        <v>81</v>
      </c>
      <c r="AA441" s="5" t="s">
        <v>2372</v>
      </c>
      <c r="AB441" s="5" t="s">
        <v>45</v>
      </c>
      <c r="AC441" s="5"/>
      <c r="AD441" s="5"/>
      <c r="AE441" s="5"/>
      <c r="AG441" s="9">
        <f t="shared" si="6"/>
        <v>43281</v>
      </c>
    </row>
    <row r="442" s="6" customFormat="1" spans="1:33">
      <c r="A442" s="5" t="s">
        <v>2373</v>
      </c>
      <c r="B442" s="5" t="s">
        <v>2373</v>
      </c>
      <c r="C442" s="5" t="s">
        <v>2374</v>
      </c>
      <c r="D442" s="5" t="s">
        <v>2375</v>
      </c>
      <c r="E442" s="5" t="s">
        <v>35</v>
      </c>
      <c r="F442" s="5" t="s">
        <v>36</v>
      </c>
      <c r="G442" s="5" t="s">
        <v>37</v>
      </c>
      <c r="H442" s="5"/>
      <c r="I442" s="5"/>
      <c r="J442" s="5" t="s">
        <v>38</v>
      </c>
      <c r="K442" s="5" t="s">
        <v>1452</v>
      </c>
      <c r="L442" s="5" t="s">
        <v>553</v>
      </c>
      <c r="M442" s="5" t="s">
        <v>554</v>
      </c>
      <c r="N442" s="5" t="s">
        <v>35</v>
      </c>
      <c r="O442" s="5">
        <v>1</v>
      </c>
      <c r="P442" s="5" t="s">
        <v>42</v>
      </c>
      <c r="Q442" s="5">
        <v>18.99</v>
      </c>
      <c r="R442" s="5"/>
      <c r="S442" s="5">
        <v>2.16</v>
      </c>
      <c r="T442" s="5"/>
      <c r="U442" s="5"/>
      <c r="V442" s="5"/>
      <c r="W442" s="5"/>
      <c r="X442" s="5">
        <v>2.16</v>
      </c>
      <c r="Y442" s="5" t="s">
        <v>2376</v>
      </c>
      <c r="Z442" s="5" t="s">
        <v>2377</v>
      </c>
      <c r="AA442" s="5">
        <v>4015</v>
      </c>
      <c r="AB442" s="5" t="s">
        <v>45</v>
      </c>
      <c r="AC442" s="5" t="s">
        <v>328</v>
      </c>
      <c r="AD442" s="5"/>
      <c r="AE442" s="5"/>
      <c r="AG442" s="9">
        <f t="shared" si="6"/>
        <v>43281</v>
      </c>
    </row>
    <row r="443" s="6" customFormat="1" spans="1:33">
      <c r="A443" s="5" t="s">
        <v>2378</v>
      </c>
      <c r="B443" s="5" t="s">
        <v>2378</v>
      </c>
      <c r="C443" s="5" t="s">
        <v>2379</v>
      </c>
      <c r="D443" s="5" t="s">
        <v>2380</v>
      </c>
      <c r="E443" s="5" t="s">
        <v>35</v>
      </c>
      <c r="F443" s="5" t="s">
        <v>36</v>
      </c>
      <c r="G443" s="5" t="s">
        <v>37</v>
      </c>
      <c r="H443" s="5"/>
      <c r="I443" s="5"/>
      <c r="J443" s="5" t="s">
        <v>59</v>
      </c>
      <c r="K443" s="5" t="s">
        <v>50</v>
      </c>
      <c r="L443" s="5" t="s">
        <v>51</v>
      </c>
      <c r="M443" s="5" t="s">
        <v>52</v>
      </c>
      <c r="N443" s="5" t="s">
        <v>35</v>
      </c>
      <c r="O443" s="5">
        <v>1</v>
      </c>
      <c r="P443" s="5" t="s">
        <v>42</v>
      </c>
      <c r="Q443" s="5">
        <v>8</v>
      </c>
      <c r="R443" s="5"/>
      <c r="S443" s="5"/>
      <c r="T443" s="5"/>
      <c r="U443" s="5"/>
      <c r="V443" s="5"/>
      <c r="W443" s="5"/>
      <c r="X443" s="5"/>
      <c r="Y443" s="5" t="s">
        <v>2381</v>
      </c>
      <c r="Z443" s="5" t="s">
        <v>1547</v>
      </c>
      <c r="AA443" s="5" t="s">
        <v>2382</v>
      </c>
      <c r="AB443" s="5" t="s">
        <v>45</v>
      </c>
      <c r="AC443" s="5"/>
      <c r="AD443" s="5"/>
      <c r="AE443" s="5"/>
      <c r="AG443" s="9">
        <f t="shared" si="6"/>
        <v>43281</v>
      </c>
    </row>
    <row r="444" s="6" customFormat="1" spans="1:33">
      <c r="A444" s="5" t="s">
        <v>2383</v>
      </c>
      <c r="B444" s="5" t="s">
        <v>2383</v>
      </c>
      <c r="C444" s="5" t="s">
        <v>2384</v>
      </c>
      <c r="D444" s="5" t="s">
        <v>2385</v>
      </c>
      <c r="E444" s="5" t="s">
        <v>35</v>
      </c>
      <c r="F444" s="5" t="s">
        <v>36</v>
      </c>
      <c r="G444" s="5" t="s">
        <v>37</v>
      </c>
      <c r="H444" s="5"/>
      <c r="I444" s="5"/>
      <c r="J444" s="5" t="s">
        <v>59</v>
      </c>
      <c r="K444" s="5" t="s">
        <v>50</v>
      </c>
      <c r="L444" s="5" t="s">
        <v>51</v>
      </c>
      <c r="M444" s="5" t="s">
        <v>52</v>
      </c>
      <c r="N444" s="5" t="s">
        <v>35</v>
      </c>
      <c r="O444" s="5">
        <v>1</v>
      </c>
      <c r="P444" s="5" t="s">
        <v>42</v>
      </c>
      <c r="Q444" s="5">
        <v>8</v>
      </c>
      <c r="R444" s="5"/>
      <c r="S444" s="5"/>
      <c r="T444" s="5"/>
      <c r="U444" s="5"/>
      <c r="V444" s="5"/>
      <c r="W444" s="5"/>
      <c r="X444" s="5"/>
      <c r="Y444" s="5" t="s">
        <v>747</v>
      </c>
      <c r="Z444" s="5" t="s">
        <v>153</v>
      </c>
      <c r="AA444" s="5" t="s">
        <v>2386</v>
      </c>
      <c r="AB444" s="5" t="s">
        <v>45</v>
      </c>
      <c r="AC444" s="5"/>
      <c r="AD444" s="5"/>
      <c r="AE444" s="5"/>
      <c r="AG444" s="9">
        <f t="shared" si="6"/>
        <v>43281</v>
      </c>
    </row>
    <row r="445" s="6" customFormat="1" spans="1:33">
      <c r="A445" s="5" t="s">
        <v>2387</v>
      </c>
      <c r="B445" s="5" t="s">
        <v>2387</v>
      </c>
      <c r="C445" s="5" t="s">
        <v>2388</v>
      </c>
      <c r="D445" s="5" t="s">
        <v>2389</v>
      </c>
      <c r="E445" s="5" t="s">
        <v>35</v>
      </c>
      <c r="F445" s="5" t="s">
        <v>36</v>
      </c>
      <c r="G445" s="5" t="s">
        <v>37</v>
      </c>
      <c r="H445" s="5"/>
      <c r="I445" s="5"/>
      <c r="J445" s="5" t="s">
        <v>59</v>
      </c>
      <c r="K445" s="5" t="s">
        <v>50</v>
      </c>
      <c r="L445" s="5" t="s">
        <v>51</v>
      </c>
      <c r="M445" s="5" t="s">
        <v>52</v>
      </c>
      <c r="N445" s="5" t="s">
        <v>35</v>
      </c>
      <c r="O445" s="5">
        <v>1</v>
      </c>
      <c r="P445" s="5" t="s">
        <v>42</v>
      </c>
      <c r="Q445" s="5">
        <v>7</v>
      </c>
      <c r="R445" s="5"/>
      <c r="S445" s="5"/>
      <c r="T445" s="5"/>
      <c r="U445" s="5"/>
      <c r="V445" s="5"/>
      <c r="W445" s="5"/>
      <c r="X445" s="5"/>
      <c r="Y445" s="5" t="s">
        <v>2390</v>
      </c>
      <c r="Z445" s="5" t="s">
        <v>211</v>
      </c>
      <c r="AA445" s="5" t="s">
        <v>2391</v>
      </c>
      <c r="AB445" s="5" t="s">
        <v>45</v>
      </c>
      <c r="AC445" s="5"/>
      <c r="AD445" s="5"/>
      <c r="AE445" s="5"/>
      <c r="AG445" s="9">
        <f t="shared" si="6"/>
        <v>43281</v>
      </c>
    </row>
    <row r="446" s="6" customFormat="1" spans="1:33">
      <c r="A446" s="5" t="s">
        <v>2392</v>
      </c>
      <c r="B446" s="5" t="s">
        <v>2392</v>
      </c>
      <c r="C446" s="5" t="s">
        <v>2393</v>
      </c>
      <c r="D446" s="5" t="s">
        <v>2394</v>
      </c>
      <c r="E446" s="5" t="s">
        <v>35</v>
      </c>
      <c r="F446" s="5" t="s">
        <v>36</v>
      </c>
      <c r="G446" s="5" t="s">
        <v>37</v>
      </c>
      <c r="H446" s="5"/>
      <c r="I446" s="5"/>
      <c r="J446" s="5" t="s">
        <v>59</v>
      </c>
      <c r="K446" s="5" t="s">
        <v>2395</v>
      </c>
      <c r="L446" s="5" t="s">
        <v>2396</v>
      </c>
      <c r="M446" s="5" t="s">
        <v>2397</v>
      </c>
      <c r="N446" s="5" t="s">
        <v>35</v>
      </c>
      <c r="O446" s="5">
        <v>1</v>
      </c>
      <c r="P446" s="5" t="s">
        <v>42</v>
      </c>
      <c r="Q446" s="5">
        <v>15.99</v>
      </c>
      <c r="R446" s="5"/>
      <c r="S446" s="5"/>
      <c r="T446" s="5"/>
      <c r="U446" s="5"/>
      <c r="V446" s="5"/>
      <c r="W446" s="5"/>
      <c r="X446" s="5"/>
      <c r="Y446" s="5" t="s">
        <v>2398</v>
      </c>
      <c r="Z446" s="5" t="s">
        <v>153</v>
      </c>
      <c r="AA446" s="5" t="s">
        <v>2399</v>
      </c>
      <c r="AB446" s="5" t="s">
        <v>45</v>
      </c>
      <c r="AC446" s="5"/>
      <c r="AD446" s="5"/>
      <c r="AE446" s="5"/>
      <c r="AG446" s="9">
        <f t="shared" si="6"/>
        <v>43281</v>
      </c>
    </row>
    <row r="447" s="6" customFormat="1" spans="1:33">
      <c r="A447" s="5" t="s">
        <v>2400</v>
      </c>
      <c r="B447" s="5" t="s">
        <v>2400</v>
      </c>
      <c r="C447" s="5" t="s">
        <v>2401</v>
      </c>
      <c r="D447" s="5" t="s">
        <v>2402</v>
      </c>
      <c r="E447" s="5" t="s">
        <v>35</v>
      </c>
      <c r="F447" s="5" t="s">
        <v>36</v>
      </c>
      <c r="G447" s="5" t="s">
        <v>37</v>
      </c>
      <c r="H447" s="5"/>
      <c r="I447" s="5"/>
      <c r="J447" s="5" t="s">
        <v>59</v>
      </c>
      <c r="K447" s="5" t="s">
        <v>50</v>
      </c>
      <c r="L447" s="5" t="s">
        <v>51</v>
      </c>
      <c r="M447" s="5" t="s">
        <v>52</v>
      </c>
      <c r="N447" s="5" t="s">
        <v>35</v>
      </c>
      <c r="O447" s="5">
        <v>1</v>
      </c>
      <c r="P447" s="5" t="s">
        <v>42</v>
      </c>
      <c r="Q447" s="5">
        <v>7</v>
      </c>
      <c r="R447" s="5"/>
      <c r="S447" s="5"/>
      <c r="T447" s="5"/>
      <c r="U447" s="5"/>
      <c r="V447" s="5"/>
      <c r="W447" s="5"/>
      <c r="X447" s="5"/>
      <c r="Y447" s="5" t="s">
        <v>747</v>
      </c>
      <c r="Z447" s="5" t="s">
        <v>153</v>
      </c>
      <c r="AA447" s="5" t="s">
        <v>2403</v>
      </c>
      <c r="AB447" s="5" t="s">
        <v>45</v>
      </c>
      <c r="AC447" s="5"/>
      <c r="AD447" s="5"/>
      <c r="AE447" s="5"/>
      <c r="AG447" s="9">
        <f t="shared" si="6"/>
        <v>43281</v>
      </c>
    </row>
    <row r="448" s="6" customFormat="1" spans="1:33">
      <c r="A448" s="5" t="s">
        <v>2404</v>
      </c>
      <c r="B448" s="5" t="s">
        <v>2404</v>
      </c>
      <c r="C448" s="5" t="s">
        <v>2405</v>
      </c>
      <c r="D448" s="5" t="s">
        <v>2406</v>
      </c>
      <c r="E448" s="5" t="s">
        <v>35</v>
      </c>
      <c r="F448" s="5" t="s">
        <v>36</v>
      </c>
      <c r="G448" s="5" t="s">
        <v>37</v>
      </c>
      <c r="H448" s="5"/>
      <c r="I448" s="5"/>
      <c r="J448" s="5" t="s">
        <v>59</v>
      </c>
      <c r="K448" s="5" t="s">
        <v>50</v>
      </c>
      <c r="L448" s="5" t="s">
        <v>51</v>
      </c>
      <c r="M448" s="5" t="s">
        <v>52</v>
      </c>
      <c r="N448" s="5" t="s">
        <v>35</v>
      </c>
      <c r="O448" s="5">
        <v>1</v>
      </c>
      <c r="P448" s="5" t="s">
        <v>42</v>
      </c>
      <c r="Q448" s="5">
        <v>7</v>
      </c>
      <c r="R448" s="5"/>
      <c r="S448" s="5"/>
      <c r="T448" s="5"/>
      <c r="U448" s="5"/>
      <c r="V448" s="5"/>
      <c r="W448" s="5"/>
      <c r="X448" s="5"/>
      <c r="Y448" s="5" t="s">
        <v>2407</v>
      </c>
      <c r="Z448" s="5" t="s">
        <v>1681</v>
      </c>
      <c r="AA448" s="5" t="s">
        <v>2408</v>
      </c>
      <c r="AB448" s="5" t="s">
        <v>45</v>
      </c>
      <c r="AC448" s="5"/>
      <c r="AD448" s="5"/>
      <c r="AE448" s="5"/>
      <c r="AG448" s="9">
        <f t="shared" si="6"/>
        <v>43281</v>
      </c>
    </row>
    <row r="449" s="6" customFormat="1" spans="1:33">
      <c r="A449" s="5" t="s">
        <v>2409</v>
      </c>
      <c r="B449" s="5" t="s">
        <v>2409</v>
      </c>
      <c r="C449" s="5" t="s">
        <v>2410</v>
      </c>
      <c r="D449" s="5" t="s">
        <v>2411</v>
      </c>
      <c r="E449" s="5" t="s">
        <v>35</v>
      </c>
      <c r="F449" s="5" t="s">
        <v>36</v>
      </c>
      <c r="G449" s="5" t="s">
        <v>37</v>
      </c>
      <c r="H449" s="5"/>
      <c r="I449" s="5"/>
      <c r="J449" s="5" t="s">
        <v>59</v>
      </c>
      <c r="K449" s="5" t="s">
        <v>50</v>
      </c>
      <c r="L449" s="5" t="s">
        <v>51</v>
      </c>
      <c r="M449" s="5" t="s">
        <v>52</v>
      </c>
      <c r="N449" s="5" t="s">
        <v>35</v>
      </c>
      <c r="O449" s="5">
        <v>1</v>
      </c>
      <c r="P449" s="5" t="s">
        <v>42</v>
      </c>
      <c r="Q449" s="5">
        <v>7</v>
      </c>
      <c r="R449" s="5"/>
      <c r="S449" s="5"/>
      <c r="T449" s="5"/>
      <c r="U449" s="5"/>
      <c r="V449" s="5"/>
      <c r="W449" s="5"/>
      <c r="X449" s="5"/>
      <c r="Y449" s="5" t="s">
        <v>2412</v>
      </c>
      <c r="Z449" s="5" t="s">
        <v>211</v>
      </c>
      <c r="AA449" s="5" t="s">
        <v>2413</v>
      </c>
      <c r="AB449" s="5" t="s">
        <v>45</v>
      </c>
      <c r="AC449" s="5"/>
      <c r="AD449" s="5"/>
      <c r="AE449" s="5"/>
      <c r="AG449" s="9">
        <f t="shared" si="6"/>
        <v>43281</v>
      </c>
    </row>
    <row r="450" s="6" customFormat="1" spans="1:33">
      <c r="A450" s="5" t="s">
        <v>2414</v>
      </c>
      <c r="B450" s="5" t="s">
        <v>2414</v>
      </c>
      <c r="C450" s="5" t="s">
        <v>2415</v>
      </c>
      <c r="D450" s="5" t="s">
        <v>2416</v>
      </c>
      <c r="E450" s="5" t="s">
        <v>35</v>
      </c>
      <c r="F450" s="5" t="s">
        <v>36</v>
      </c>
      <c r="G450" s="5" t="s">
        <v>37</v>
      </c>
      <c r="H450" s="5"/>
      <c r="I450" s="5"/>
      <c r="J450" s="5" t="s">
        <v>59</v>
      </c>
      <c r="K450" s="5" t="s">
        <v>50</v>
      </c>
      <c r="L450" s="5" t="s">
        <v>51</v>
      </c>
      <c r="M450" s="5" t="s">
        <v>52</v>
      </c>
      <c r="N450" s="5" t="s">
        <v>35</v>
      </c>
      <c r="O450" s="5">
        <v>1</v>
      </c>
      <c r="P450" s="5" t="s">
        <v>42</v>
      </c>
      <c r="Q450" s="5">
        <v>7</v>
      </c>
      <c r="R450" s="5"/>
      <c r="S450" s="5"/>
      <c r="T450" s="5"/>
      <c r="U450" s="5"/>
      <c r="V450" s="5"/>
      <c r="W450" s="5"/>
      <c r="X450" s="5"/>
      <c r="Y450" s="5" t="s">
        <v>2417</v>
      </c>
      <c r="Z450" s="5" t="s">
        <v>127</v>
      </c>
      <c r="AA450" s="5" t="s">
        <v>2418</v>
      </c>
      <c r="AB450" s="5" t="s">
        <v>45</v>
      </c>
      <c r="AC450" s="5"/>
      <c r="AD450" s="5"/>
      <c r="AE450" s="5"/>
      <c r="AG450" s="9">
        <f t="shared" ref="AG450:AG513" si="7">DATEVALUE(LEFT(C450,10))</f>
        <v>43281</v>
      </c>
    </row>
    <row r="451" s="6" customFormat="1" spans="1:33">
      <c r="A451" s="5" t="s">
        <v>2419</v>
      </c>
      <c r="B451" s="5" t="s">
        <v>2419</v>
      </c>
      <c r="C451" s="5" t="s">
        <v>2420</v>
      </c>
      <c r="D451" s="5" t="s">
        <v>2421</v>
      </c>
      <c r="E451" s="5" t="s">
        <v>35</v>
      </c>
      <c r="F451" s="5" t="s">
        <v>36</v>
      </c>
      <c r="G451" s="5" t="s">
        <v>37</v>
      </c>
      <c r="H451" s="5"/>
      <c r="I451" s="5"/>
      <c r="J451" s="5" t="s">
        <v>59</v>
      </c>
      <c r="K451" s="5" t="s">
        <v>2422</v>
      </c>
      <c r="L451" s="5" t="s">
        <v>2423</v>
      </c>
      <c r="M451" s="5" t="s">
        <v>2424</v>
      </c>
      <c r="N451" s="5" t="s">
        <v>35</v>
      </c>
      <c r="O451" s="5">
        <v>1</v>
      </c>
      <c r="P451" s="5" t="s">
        <v>42</v>
      </c>
      <c r="Q451" s="5">
        <v>14.99</v>
      </c>
      <c r="R451" s="5"/>
      <c r="S451" s="5"/>
      <c r="T451" s="5"/>
      <c r="U451" s="5"/>
      <c r="V451" s="5"/>
      <c r="W451" s="5"/>
      <c r="X451" s="5"/>
      <c r="Y451" s="5" t="s">
        <v>2425</v>
      </c>
      <c r="Z451" s="5" t="s">
        <v>211</v>
      </c>
      <c r="AA451" s="5">
        <v>11779</v>
      </c>
      <c r="AB451" s="5" t="s">
        <v>45</v>
      </c>
      <c r="AC451" s="5"/>
      <c r="AD451" s="5"/>
      <c r="AE451" s="5"/>
      <c r="AG451" s="9">
        <f t="shared" si="7"/>
        <v>43281</v>
      </c>
    </row>
    <row r="452" s="6" customFormat="1" spans="1:33">
      <c r="A452" s="5" t="s">
        <v>2426</v>
      </c>
      <c r="B452" s="5" t="s">
        <v>2426</v>
      </c>
      <c r="C452" s="5" t="s">
        <v>2427</v>
      </c>
      <c r="D452" s="5" t="s">
        <v>2428</v>
      </c>
      <c r="E452" s="5" t="s">
        <v>35</v>
      </c>
      <c r="F452" s="5" t="s">
        <v>36</v>
      </c>
      <c r="G452" s="5" t="s">
        <v>37</v>
      </c>
      <c r="H452" s="5"/>
      <c r="I452" s="5"/>
      <c r="J452" s="5" t="s">
        <v>59</v>
      </c>
      <c r="K452" s="5" t="s">
        <v>50</v>
      </c>
      <c r="L452" s="5" t="s">
        <v>51</v>
      </c>
      <c r="M452" s="5" t="s">
        <v>52</v>
      </c>
      <c r="N452" s="5" t="s">
        <v>35</v>
      </c>
      <c r="O452" s="5">
        <v>1</v>
      </c>
      <c r="P452" s="5" t="s">
        <v>42</v>
      </c>
      <c r="Q452" s="5">
        <v>7</v>
      </c>
      <c r="R452" s="5"/>
      <c r="S452" s="5"/>
      <c r="T452" s="5"/>
      <c r="U452" s="5"/>
      <c r="V452" s="5"/>
      <c r="W452" s="5"/>
      <c r="X452" s="5"/>
      <c r="Y452" s="5" t="s">
        <v>2429</v>
      </c>
      <c r="Z452" s="5" t="s">
        <v>139</v>
      </c>
      <c r="AA452" s="5" t="s">
        <v>2430</v>
      </c>
      <c r="AB452" s="5" t="s">
        <v>45</v>
      </c>
      <c r="AC452" s="5"/>
      <c r="AD452" s="5"/>
      <c r="AE452" s="5"/>
      <c r="AG452" s="9">
        <f t="shared" si="7"/>
        <v>43281</v>
      </c>
    </row>
    <row r="453" s="6" customFormat="1" spans="1:33">
      <c r="A453" s="5" t="s">
        <v>2431</v>
      </c>
      <c r="B453" s="5" t="s">
        <v>2431</v>
      </c>
      <c r="C453" s="5" t="s">
        <v>2432</v>
      </c>
      <c r="D453" s="5" t="s">
        <v>2433</v>
      </c>
      <c r="E453" s="5" t="s">
        <v>35</v>
      </c>
      <c r="F453" s="5" t="s">
        <v>36</v>
      </c>
      <c r="G453" s="5" t="s">
        <v>37</v>
      </c>
      <c r="H453" s="5"/>
      <c r="I453" s="5"/>
      <c r="J453" s="5" t="s">
        <v>59</v>
      </c>
      <c r="K453" s="5" t="s">
        <v>50</v>
      </c>
      <c r="L453" s="5" t="s">
        <v>51</v>
      </c>
      <c r="M453" s="5" t="s">
        <v>52</v>
      </c>
      <c r="N453" s="5" t="s">
        <v>35</v>
      </c>
      <c r="O453" s="5">
        <v>1</v>
      </c>
      <c r="P453" s="5" t="s">
        <v>42</v>
      </c>
      <c r="Q453" s="5">
        <v>7</v>
      </c>
      <c r="R453" s="5"/>
      <c r="S453" s="5"/>
      <c r="T453" s="5"/>
      <c r="U453" s="5"/>
      <c r="V453" s="5"/>
      <c r="W453" s="5"/>
      <c r="X453" s="5"/>
      <c r="Y453" s="5" t="s">
        <v>640</v>
      </c>
      <c r="Z453" s="5" t="s">
        <v>432</v>
      </c>
      <c r="AA453" s="5" t="s">
        <v>2434</v>
      </c>
      <c r="AB453" s="5" t="s">
        <v>45</v>
      </c>
      <c r="AC453" s="5"/>
      <c r="AD453" s="5"/>
      <c r="AE453" s="5"/>
      <c r="AG453" s="9">
        <f t="shared" si="7"/>
        <v>43281</v>
      </c>
    </row>
    <row r="454" s="6" customFormat="1" spans="1:33">
      <c r="A454" s="5" t="s">
        <v>2435</v>
      </c>
      <c r="B454" s="5" t="s">
        <v>2435</v>
      </c>
      <c r="C454" s="5" t="s">
        <v>2436</v>
      </c>
      <c r="D454" s="5" t="s">
        <v>2437</v>
      </c>
      <c r="E454" s="5" t="s">
        <v>35</v>
      </c>
      <c r="F454" s="5" t="s">
        <v>36</v>
      </c>
      <c r="G454" s="5" t="s">
        <v>37</v>
      </c>
      <c r="H454" s="5"/>
      <c r="I454" s="5"/>
      <c r="J454" s="5" t="s">
        <v>38</v>
      </c>
      <c r="K454" s="5" t="s">
        <v>1754</v>
      </c>
      <c r="L454" s="5" t="s">
        <v>1755</v>
      </c>
      <c r="M454" s="5" t="s">
        <v>1756</v>
      </c>
      <c r="N454" s="5" t="s">
        <v>35</v>
      </c>
      <c r="O454" s="5">
        <v>1</v>
      </c>
      <c r="P454" s="5" t="s">
        <v>42</v>
      </c>
      <c r="Q454" s="5">
        <v>9.99</v>
      </c>
      <c r="R454" s="5"/>
      <c r="S454" s="5"/>
      <c r="T454" s="5"/>
      <c r="U454" s="5"/>
      <c r="V454" s="5"/>
      <c r="W454" s="5"/>
      <c r="X454" s="5"/>
      <c r="Y454" s="5" t="s">
        <v>2438</v>
      </c>
      <c r="Z454" s="5" t="s">
        <v>127</v>
      </c>
      <c r="AA454" s="5" t="s">
        <v>2439</v>
      </c>
      <c r="AB454" s="5" t="s">
        <v>45</v>
      </c>
      <c r="AC454" s="5"/>
      <c r="AD454" s="5"/>
      <c r="AE454" s="5"/>
      <c r="AG454" s="9">
        <f t="shared" si="7"/>
        <v>43282</v>
      </c>
    </row>
    <row r="455" s="6" customFormat="1" spans="1:33">
      <c r="A455" s="5" t="s">
        <v>2440</v>
      </c>
      <c r="B455" s="5" t="s">
        <v>2440</v>
      </c>
      <c r="C455" s="5" t="s">
        <v>2441</v>
      </c>
      <c r="D455" s="5" t="s">
        <v>2442</v>
      </c>
      <c r="E455" s="5" t="s">
        <v>35</v>
      </c>
      <c r="F455" s="5" t="s">
        <v>36</v>
      </c>
      <c r="G455" s="5" t="s">
        <v>37</v>
      </c>
      <c r="H455" s="5"/>
      <c r="I455" s="5"/>
      <c r="J455" s="5" t="s">
        <v>59</v>
      </c>
      <c r="K455" s="5" t="s">
        <v>114</v>
      </c>
      <c r="L455" s="5" t="s">
        <v>115</v>
      </c>
      <c r="M455" s="5" t="s">
        <v>116</v>
      </c>
      <c r="N455" s="5" t="s">
        <v>35</v>
      </c>
      <c r="O455" s="5">
        <v>2</v>
      </c>
      <c r="P455" s="5" t="s">
        <v>42</v>
      </c>
      <c r="Q455" s="5">
        <v>27.98</v>
      </c>
      <c r="R455" s="5"/>
      <c r="S455" s="5"/>
      <c r="T455" s="5"/>
      <c r="U455" s="5"/>
      <c r="V455" s="5"/>
      <c r="W455" s="5"/>
      <c r="X455" s="5"/>
      <c r="Y455" s="5" t="s">
        <v>2443</v>
      </c>
      <c r="Z455" s="5" t="s">
        <v>244</v>
      </c>
      <c r="AA455" s="5" t="s">
        <v>2444</v>
      </c>
      <c r="AB455" s="5" t="s">
        <v>45</v>
      </c>
      <c r="AC455" s="5"/>
      <c r="AD455" s="5"/>
      <c r="AE455" s="5"/>
      <c r="AG455" s="9">
        <f t="shared" si="7"/>
        <v>43282</v>
      </c>
    </row>
    <row r="456" s="6" customFormat="1" spans="1:33">
      <c r="A456" s="5" t="s">
        <v>2445</v>
      </c>
      <c r="B456" s="5" t="s">
        <v>2445</v>
      </c>
      <c r="C456" s="5" t="s">
        <v>2446</v>
      </c>
      <c r="D456" s="5" t="s">
        <v>2447</v>
      </c>
      <c r="E456" s="5" t="s">
        <v>35</v>
      </c>
      <c r="F456" s="5" t="s">
        <v>36</v>
      </c>
      <c r="G456" s="5" t="s">
        <v>37</v>
      </c>
      <c r="H456" s="5"/>
      <c r="I456" s="5"/>
      <c r="J456" s="5" t="s">
        <v>59</v>
      </c>
      <c r="K456" s="5" t="s">
        <v>50</v>
      </c>
      <c r="L456" s="5" t="s">
        <v>51</v>
      </c>
      <c r="M456" s="5" t="s">
        <v>52</v>
      </c>
      <c r="N456" s="5" t="s">
        <v>35</v>
      </c>
      <c r="O456" s="5">
        <v>1</v>
      </c>
      <c r="P456" s="5" t="s">
        <v>42</v>
      </c>
      <c r="Q456" s="5">
        <v>8</v>
      </c>
      <c r="R456" s="5"/>
      <c r="S456" s="5"/>
      <c r="T456" s="5"/>
      <c r="U456" s="5"/>
      <c r="V456" s="5"/>
      <c r="W456" s="5"/>
      <c r="X456" s="5"/>
      <c r="Y456" s="5" t="s">
        <v>2448</v>
      </c>
      <c r="Z456" s="5" t="s">
        <v>556</v>
      </c>
      <c r="AA456" s="5">
        <v>40468</v>
      </c>
      <c r="AB456" s="5" t="s">
        <v>45</v>
      </c>
      <c r="AC456" s="5"/>
      <c r="AD456" s="5"/>
      <c r="AE456" s="5"/>
      <c r="AG456" s="9">
        <f t="shared" si="7"/>
        <v>43282</v>
      </c>
    </row>
    <row r="457" s="6" customFormat="1" spans="1:33">
      <c r="A457" s="5" t="s">
        <v>2449</v>
      </c>
      <c r="B457" s="5" t="s">
        <v>2449</v>
      </c>
      <c r="C457" s="5" t="s">
        <v>2450</v>
      </c>
      <c r="D457" s="5" t="s">
        <v>2451</v>
      </c>
      <c r="E457" s="5" t="s">
        <v>35</v>
      </c>
      <c r="F457" s="5" t="s">
        <v>36</v>
      </c>
      <c r="G457" s="5" t="s">
        <v>37</v>
      </c>
      <c r="H457" s="5"/>
      <c r="I457" s="5"/>
      <c r="J457" s="5" t="s">
        <v>59</v>
      </c>
      <c r="K457" s="5" t="s">
        <v>50</v>
      </c>
      <c r="L457" s="5" t="s">
        <v>51</v>
      </c>
      <c r="M457" s="5" t="s">
        <v>52</v>
      </c>
      <c r="N457" s="5" t="s">
        <v>35</v>
      </c>
      <c r="O457" s="5">
        <v>1</v>
      </c>
      <c r="P457" s="5" t="s">
        <v>42</v>
      </c>
      <c r="Q457" s="5">
        <v>8</v>
      </c>
      <c r="R457" s="5"/>
      <c r="S457" s="5"/>
      <c r="T457" s="5"/>
      <c r="U457" s="5"/>
      <c r="V457" s="5"/>
      <c r="W457" s="5"/>
      <c r="X457" s="5"/>
      <c r="Y457" s="5" t="s">
        <v>2452</v>
      </c>
      <c r="Z457" s="5" t="s">
        <v>269</v>
      </c>
      <c r="AA457" s="5" t="s">
        <v>2453</v>
      </c>
      <c r="AB457" s="5" t="s">
        <v>45</v>
      </c>
      <c r="AC457" s="5"/>
      <c r="AD457" s="5"/>
      <c r="AE457" s="5"/>
      <c r="AG457" s="9">
        <f t="shared" si="7"/>
        <v>43282</v>
      </c>
    </row>
    <row r="458" s="6" customFormat="1" spans="1:33">
      <c r="A458" s="5" t="s">
        <v>2454</v>
      </c>
      <c r="B458" s="5" t="s">
        <v>2454</v>
      </c>
      <c r="C458" s="5" t="s">
        <v>2455</v>
      </c>
      <c r="D458" s="5" t="s">
        <v>2456</v>
      </c>
      <c r="E458" s="5" t="s">
        <v>35</v>
      </c>
      <c r="F458" s="5" t="s">
        <v>36</v>
      </c>
      <c r="G458" s="5" t="s">
        <v>37</v>
      </c>
      <c r="H458" s="5"/>
      <c r="I458" s="5"/>
      <c r="J458" s="5" t="s">
        <v>59</v>
      </c>
      <c r="K458" s="5" t="s">
        <v>50</v>
      </c>
      <c r="L458" s="5" t="s">
        <v>51</v>
      </c>
      <c r="M458" s="5" t="s">
        <v>52</v>
      </c>
      <c r="N458" s="5" t="s">
        <v>35</v>
      </c>
      <c r="O458" s="5">
        <v>1</v>
      </c>
      <c r="P458" s="5" t="s">
        <v>42</v>
      </c>
      <c r="Q458" s="5">
        <v>8</v>
      </c>
      <c r="R458" s="5"/>
      <c r="S458" s="5"/>
      <c r="T458" s="5"/>
      <c r="U458" s="5"/>
      <c r="V458" s="5"/>
      <c r="W458" s="5"/>
      <c r="X458" s="5"/>
      <c r="Y458" s="5" t="s">
        <v>2457</v>
      </c>
      <c r="Z458" s="5" t="s">
        <v>153</v>
      </c>
      <c r="AA458" s="5" t="s">
        <v>2458</v>
      </c>
      <c r="AB458" s="5" t="s">
        <v>45</v>
      </c>
      <c r="AC458" s="5"/>
      <c r="AD458" s="5"/>
      <c r="AE458" s="5"/>
      <c r="AG458" s="9">
        <f t="shared" si="7"/>
        <v>43282</v>
      </c>
    </row>
    <row r="459" s="6" customFormat="1" spans="1:33">
      <c r="A459" s="5" t="s">
        <v>2459</v>
      </c>
      <c r="B459" s="5" t="s">
        <v>2459</v>
      </c>
      <c r="C459" s="5" t="s">
        <v>2460</v>
      </c>
      <c r="D459" s="5" t="s">
        <v>2461</v>
      </c>
      <c r="E459" s="5" t="s">
        <v>35</v>
      </c>
      <c r="F459" s="5" t="s">
        <v>36</v>
      </c>
      <c r="G459" s="5" t="s">
        <v>37</v>
      </c>
      <c r="H459" s="5"/>
      <c r="I459" s="5"/>
      <c r="J459" s="5" t="s">
        <v>59</v>
      </c>
      <c r="K459" s="5" t="s">
        <v>675</v>
      </c>
      <c r="L459" s="5" t="s">
        <v>676</v>
      </c>
      <c r="M459" s="5" t="s">
        <v>677</v>
      </c>
      <c r="N459" s="5" t="s">
        <v>35</v>
      </c>
      <c r="O459" s="5">
        <v>1</v>
      </c>
      <c r="P459" s="5" t="s">
        <v>42</v>
      </c>
      <c r="Q459" s="5">
        <v>14.99</v>
      </c>
      <c r="R459" s="5"/>
      <c r="S459" s="5"/>
      <c r="T459" s="5"/>
      <c r="U459" s="5"/>
      <c r="V459" s="5"/>
      <c r="W459" s="5"/>
      <c r="X459" s="5"/>
      <c r="Y459" s="5" t="s">
        <v>2462</v>
      </c>
      <c r="Z459" s="5" t="s">
        <v>885</v>
      </c>
      <c r="AA459" s="5" t="s">
        <v>2463</v>
      </c>
      <c r="AB459" s="5" t="s">
        <v>45</v>
      </c>
      <c r="AC459" s="5"/>
      <c r="AD459" s="5"/>
      <c r="AE459" s="5"/>
      <c r="AG459" s="9">
        <f t="shared" si="7"/>
        <v>43282</v>
      </c>
    </row>
    <row r="460" s="6" customFormat="1" spans="1:33">
      <c r="A460" s="5" t="s">
        <v>2464</v>
      </c>
      <c r="B460" s="5" t="s">
        <v>2464</v>
      </c>
      <c r="C460" s="5" t="s">
        <v>2465</v>
      </c>
      <c r="D460" s="5" t="s">
        <v>2466</v>
      </c>
      <c r="E460" s="5" t="s">
        <v>35</v>
      </c>
      <c r="F460" s="5" t="s">
        <v>36</v>
      </c>
      <c r="G460" s="5" t="s">
        <v>37</v>
      </c>
      <c r="H460" s="5"/>
      <c r="I460" s="5"/>
      <c r="J460" s="5" t="s">
        <v>59</v>
      </c>
      <c r="K460" s="5" t="s">
        <v>50</v>
      </c>
      <c r="L460" s="5" t="s">
        <v>51</v>
      </c>
      <c r="M460" s="5" t="s">
        <v>52</v>
      </c>
      <c r="N460" s="5" t="s">
        <v>35</v>
      </c>
      <c r="O460" s="5">
        <v>1</v>
      </c>
      <c r="P460" s="5" t="s">
        <v>42</v>
      </c>
      <c r="Q460" s="5">
        <v>8</v>
      </c>
      <c r="R460" s="5"/>
      <c r="S460" s="5"/>
      <c r="T460" s="5"/>
      <c r="U460" s="5"/>
      <c r="V460" s="5"/>
      <c r="W460" s="5"/>
      <c r="X460" s="5"/>
      <c r="Y460" s="5" t="s">
        <v>2467</v>
      </c>
      <c r="Z460" s="5" t="s">
        <v>780</v>
      </c>
      <c r="AA460" s="5">
        <v>53089</v>
      </c>
      <c r="AB460" s="5" t="s">
        <v>45</v>
      </c>
      <c r="AC460" s="5"/>
      <c r="AD460" s="5"/>
      <c r="AE460" s="5"/>
      <c r="AG460" s="9">
        <f t="shared" si="7"/>
        <v>43282</v>
      </c>
    </row>
    <row r="461" s="6" customFormat="1" spans="1:33">
      <c r="A461" s="5" t="s">
        <v>2468</v>
      </c>
      <c r="B461" s="5" t="s">
        <v>2468</v>
      </c>
      <c r="C461" s="5" t="s">
        <v>2469</v>
      </c>
      <c r="D461" s="5" t="s">
        <v>2470</v>
      </c>
      <c r="E461" s="5" t="s">
        <v>35</v>
      </c>
      <c r="F461" s="5" t="s">
        <v>36</v>
      </c>
      <c r="G461" s="5" t="s">
        <v>37</v>
      </c>
      <c r="H461" s="5"/>
      <c r="I461" s="5"/>
      <c r="J461" s="5" t="s">
        <v>38</v>
      </c>
      <c r="K461" s="5" t="s">
        <v>94</v>
      </c>
      <c r="L461" s="5" t="s">
        <v>95</v>
      </c>
      <c r="M461" s="5" t="s">
        <v>96</v>
      </c>
      <c r="N461" s="5" t="s">
        <v>35</v>
      </c>
      <c r="O461" s="5">
        <v>1</v>
      </c>
      <c r="P461" s="5" t="s">
        <v>42</v>
      </c>
      <c r="Q461" s="5">
        <v>14.99</v>
      </c>
      <c r="R461" s="5"/>
      <c r="S461" s="5"/>
      <c r="T461" s="5"/>
      <c r="U461" s="5"/>
      <c r="V461" s="5"/>
      <c r="W461" s="5"/>
      <c r="X461" s="5"/>
      <c r="Y461" s="5" t="s">
        <v>2471</v>
      </c>
      <c r="Z461" s="5" t="s">
        <v>1405</v>
      </c>
      <c r="AA461" s="5">
        <v>88021</v>
      </c>
      <c r="AB461" s="5" t="s">
        <v>45</v>
      </c>
      <c r="AC461" s="5"/>
      <c r="AD461" s="5"/>
      <c r="AE461" s="5"/>
      <c r="AG461" s="9">
        <f t="shared" si="7"/>
        <v>43282</v>
      </c>
    </row>
    <row r="462" s="6" customFormat="1" spans="1:33">
      <c r="A462" s="5" t="s">
        <v>2472</v>
      </c>
      <c r="B462" s="5" t="s">
        <v>2472</v>
      </c>
      <c r="C462" s="5" t="s">
        <v>2473</v>
      </c>
      <c r="D462" s="5" t="s">
        <v>2474</v>
      </c>
      <c r="E462" s="5" t="s">
        <v>35</v>
      </c>
      <c r="F462" s="5" t="s">
        <v>36</v>
      </c>
      <c r="G462" s="5" t="s">
        <v>37</v>
      </c>
      <c r="H462" s="5"/>
      <c r="I462" s="5"/>
      <c r="J462" s="5" t="s">
        <v>59</v>
      </c>
      <c r="K462" s="5" t="s">
        <v>94</v>
      </c>
      <c r="L462" s="5" t="s">
        <v>95</v>
      </c>
      <c r="M462" s="5" t="s">
        <v>96</v>
      </c>
      <c r="N462" s="5" t="s">
        <v>35</v>
      </c>
      <c r="O462" s="5">
        <v>1</v>
      </c>
      <c r="P462" s="5" t="s">
        <v>42</v>
      </c>
      <c r="Q462" s="5">
        <v>14.99</v>
      </c>
      <c r="R462" s="5"/>
      <c r="S462" s="5"/>
      <c r="T462" s="5"/>
      <c r="U462" s="5"/>
      <c r="V462" s="5"/>
      <c r="W462" s="5"/>
      <c r="X462" s="5"/>
      <c r="Y462" s="5" t="s">
        <v>2475</v>
      </c>
      <c r="Z462" s="5" t="s">
        <v>1612</v>
      </c>
      <c r="AA462" s="5" t="s">
        <v>2476</v>
      </c>
      <c r="AB462" s="5" t="s">
        <v>45</v>
      </c>
      <c r="AC462" s="5"/>
      <c r="AD462" s="5"/>
      <c r="AE462" s="5"/>
      <c r="AG462" s="9">
        <f t="shared" si="7"/>
        <v>43282</v>
      </c>
    </row>
    <row r="463" s="6" customFormat="1" spans="1:33">
      <c r="A463" s="5" t="s">
        <v>2477</v>
      </c>
      <c r="B463" s="5" t="s">
        <v>2477</v>
      </c>
      <c r="C463" s="5" t="s">
        <v>2478</v>
      </c>
      <c r="D463" s="5" t="s">
        <v>2479</v>
      </c>
      <c r="E463" s="5" t="s">
        <v>35</v>
      </c>
      <c r="F463" s="5" t="s">
        <v>36</v>
      </c>
      <c r="G463" s="5" t="s">
        <v>37</v>
      </c>
      <c r="H463" s="5"/>
      <c r="I463" s="5"/>
      <c r="J463" s="5" t="s">
        <v>59</v>
      </c>
      <c r="K463" s="5" t="s">
        <v>50</v>
      </c>
      <c r="L463" s="5" t="s">
        <v>51</v>
      </c>
      <c r="M463" s="5" t="s">
        <v>52</v>
      </c>
      <c r="N463" s="5" t="s">
        <v>35</v>
      </c>
      <c r="O463" s="5">
        <v>1</v>
      </c>
      <c r="P463" s="5" t="s">
        <v>42</v>
      </c>
      <c r="Q463" s="5">
        <v>8</v>
      </c>
      <c r="R463" s="5"/>
      <c r="S463" s="5"/>
      <c r="T463" s="5"/>
      <c r="U463" s="5"/>
      <c r="V463" s="5"/>
      <c r="W463" s="5"/>
      <c r="X463" s="5"/>
      <c r="Y463" s="5" t="s">
        <v>2480</v>
      </c>
      <c r="Z463" s="5" t="s">
        <v>153</v>
      </c>
      <c r="AA463" s="5" t="s">
        <v>2481</v>
      </c>
      <c r="AB463" s="5" t="s">
        <v>45</v>
      </c>
      <c r="AC463" s="5"/>
      <c r="AD463" s="5"/>
      <c r="AE463" s="5"/>
      <c r="AG463" s="9">
        <f t="shared" si="7"/>
        <v>43282</v>
      </c>
    </row>
    <row r="464" s="6" customFormat="1" spans="1:33">
      <c r="A464" s="5" t="s">
        <v>2482</v>
      </c>
      <c r="B464" s="5" t="s">
        <v>2482</v>
      </c>
      <c r="C464" s="5" t="s">
        <v>2483</v>
      </c>
      <c r="D464" s="5" t="s">
        <v>2484</v>
      </c>
      <c r="E464" s="5" t="s">
        <v>35</v>
      </c>
      <c r="F464" s="5" t="s">
        <v>36</v>
      </c>
      <c r="G464" s="5" t="s">
        <v>37</v>
      </c>
      <c r="H464" s="5"/>
      <c r="I464" s="5"/>
      <c r="J464" s="5" t="s">
        <v>59</v>
      </c>
      <c r="K464" s="5" t="s">
        <v>50</v>
      </c>
      <c r="L464" s="5" t="s">
        <v>51</v>
      </c>
      <c r="M464" s="5" t="s">
        <v>52</v>
      </c>
      <c r="N464" s="5" t="s">
        <v>35</v>
      </c>
      <c r="O464" s="5">
        <v>1</v>
      </c>
      <c r="P464" s="5" t="s">
        <v>42</v>
      </c>
      <c r="Q464" s="5">
        <v>8</v>
      </c>
      <c r="R464" s="5"/>
      <c r="S464" s="5"/>
      <c r="T464" s="5"/>
      <c r="U464" s="5"/>
      <c r="V464" s="5"/>
      <c r="W464" s="5"/>
      <c r="X464" s="5"/>
      <c r="Y464" s="5" t="s">
        <v>391</v>
      </c>
      <c r="Z464" s="5" t="s">
        <v>81</v>
      </c>
      <c r="AA464" s="5" t="s">
        <v>2485</v>
      </c>
      <c r="AB464" s="5" t="s">
        <v>45</v>
      </c>
      <c r="AC464" s="5"/>
      <c r="AD464" s="5"/>
      <c r="AE464" s="5"/>
      <c r="AG464" s="9">
        <f t="shared" si="7"/>
        <v>43282</v>
      </c>
    </row>
    <row r="465" s="6" customFormat="1" spans="1:33">
      <c r="A465" s="5" t="s">
        <v>2486</v>
      </c>
      <c r="B465" s="5" t="s">
        <v>2486</v>
      </c>
      <c r="C465" s="5" t="s">
        <v>2487</v>
      </c>
      <c r="D465" s="5" t="s">
        <v>2488</v>
      </c>
      <c r="E465" s="5" t="s">
        <v>35</v>
      </c>
      <c r="F465" s="5" t="s">
        <v>36</v>
      </c>
      <c r="G465" s="5" t="s">
        <v>37</v>
      </c>
      <c r="H465" s="5"/>
      <c r="I465" s="5"/>
      <c r="J465" s="5" t="s">
        <v>59</v>
      </c>
      <c r="K465" s="5" t="s">
        <v>94</v>
      </c>
      <c r="L465" s="5" t="s">
        <v>95</v>
      </c>
      <c r="M465" s="5" t="s">
        <v>96</v>
      </c>
      <c r="N465" s="5" t="s">
        <v>35</v>
      </c>
      <c r="O465" s="5">
        <v>1</v>
      </c>
      <c r="P465" s="5" t="s">
        <v>42</v>
      </c>
      <c r="Q465" s="5">
        <v>14.99</v>
      </c>
      <c r="R465" s="5">
        <v>1.49</v>
      </c>
      <c r="S465" s="5"/>
      <c r="T465" s="5"/>
      <c r="U465" s="5"/>
      <c r="V465" s="5"/>
      <c r="W465" s="5"/>
      <c r="X465" s="5"/>
      <c r="Y465" s="5" t="s">
        <v>2489</v>
      </c>
      <c r="Z465" s="5" t="s">
        <v>230</v>
      </c>
      <c r="AA465" s="5" t="s">
        <v>2490</v>
      </c>
      <c r="AB465" s="5" t="s">
        <v>45</v>
      </c>
      <c r="AC465" s="5"/>
      <c r="AD465" s="5"/>
      <c r="AE465" s="5"/>
      <c r="AG465" s="9">
        <f t="shared" si="7"/>
        <v>43282</v>
      </c>
    </row>
    <row r="466" s="6" customFormat="1" spans="1:33">
      <c r="A466" s="5" t="s">
        <v>2491</v>
      </c>
      <c r="B466" s="5" t="s">
        <v>2491</v>
      </c>
      <c r="C466" s="5" t="s">
        <v>2492</v>
      </c>
      <c r="D466" s="5" t="s">
        <v>2493</v>
      </c>
      <c r="E466" s="5" t="s">
        <v>35</v>
      </c>
      <c r="F466" s="5" t="s">
        <v>36</v>
      </c>
      <c r="G466" s="5" t="s">
        <v>37</v>
      </c>
      <c r="H466" s="5"/>
      <c r="I466" s="5"/>
      <c r="J466" s="5" t="s">
        <v>59</v>
      </c>
      <c r="K466" s="5" t="s">
        <v>94</v>
      </c>
      <c r="L466" s="5" t="s">
        <v>95</v>
      </c>
      <c r="M466" s="5" t="s">
        <v>96</v>
      </c>
      <c r="N466" s="5" t="s">
        <v>35</v>
      </c>
      <c r="O466" s="5">
        <v>1</v>
      </c>
      <c r="P466" s="5" t="s">
        <v>42</v>
      </c>
      <c r="Q466" s="5">
        <v>14.99</v>
      </c>
      <c r="R466" s="5"/>
      <c r="S466" s="5"/>
      <c r="T466" s="5"/>
      <c r="U466" s="5"/>
      <c r="V466" s="5"/>
      <c r="W466" s="5"/>
      <c r="X466" s="5"/>
      <c r="Y466" s="5" t="s">
        <v>2494</v>
      </c>
      <c r="Z466" s="5" t="s">
        <v>191</v>
      </c>
      <c r="AA466" s="5" t="s">
        <v>2495</v>
      </c>
      <c r="AB466" s="5" t="s">
        <v>45</v>
      </c>
      <c r="AC466" s="5"/>
      <c r="AD466" s="5"/>
      <c r="AE466" s="5"/>
      <c r="AG466" s="9">
        <f t="shared" si="7"/>
        <v>43282</v>
      </c>
    </row>
    <row r="467" s="6" customFormat="1" spans="1:33">
      <c r="A467" s="5" t="s">
        <v>2496</v>
      </c>
      <c r="B467" s="5" t="s">
        <v>2496</v>
      </c>
      <c r="C467" s="5" t="s">
        <v>2497</v>
      </c>
      <c r="D467" s="5" t="s">
        <v>2498</v>
      </c>
      <c r="E467" s="5" t="s">
        <v>35</v>
      </c>
      <c r="F467" s="5" t="s">
        <v>36</v>
      </c>
      <c r="G467" s="5" t="s">
        <v>37</v>
      </c>
      <c r="H467" s="5"/>
      <c r="I467" s="5"/>
      <c r="J467" s="5" t="s">
        <v>59</v>
      </c>
      <c r="K467" s="5" t="s">
        <v>2499</v>
      </c>
      <c r="L467" s="5" t="s">
        <v>2500</v>
      </c>
      <c r="M467" s="5" t="s">
        <v>2501</v>
      </c>
      <c r="N467" s="5" t="s">
        <v>35</v>
      </c>
      <c r="O467" s="5">
        <v>1</v>
      </c>
      <c r="P467" s="5" t="s">
        <v>42</v>
      </c>
      <c r="Q467" s="5">
        <v>7.99</v>
      </c>
      <c r="R467" s="5"/>
      <c r="S467" s="5"/>
      <c r="T467" s="5"/>
      <c r="U467" s="5"/>
      <c r="V467" s="5"/>
      <c r="W467" s="5"/>
      <c r="X467" s="5"/>
      <c r="Y467" s="5" t="s">
        <v>2502</v>
      </c>
      <c r="Z467" s="5" t="s">
        <v>81</v>
      </c>
      <c r="AA467" s="5" t="s">
        <v>2503</v>
      </c>
      <c r="AB467" s="5" t="s">
        <v>45</v>
      </c>
      <c r="AC467" s="5"/>
      <c r="AD467" s="5"/>
      <c r="AE467" s="5"/>
      <c r="AG467" s="9">
        <f t="shared" si="7"/>
        <v>43282</v>
      </c>
    </row>
    <row r="468" s="6" customFormat="1" spans="1:33">
      <c r="A468" s="5" t="s">
        <v>2504</v>
      </c>
      <c r="B468" s="5" t="s">
        <v>2504</v>
      </c>
      <c r="C468" s="5" t="s">
        <v>2505</v>
      </c>
      <c r="D468" s="5" t="s">
        <v>2506</v>
      </c>
      <c r="E468" s="5" t="s">
        <v>35</v>
      </c>
      <c r="F468" s="5" t="s">
        <v>36</v>
      </c>
      <c r="G468" s="5" t="s">
        <v>37</v>
      </c>
      <c r="H468" s="5"/>
      <c r="I468" s="5"/>
      <c r="J468" s="5" t="s">
        <v>59</v>
      </c>
      <c r="K468" s="5" t="s">
        <v>50</v>
      </c>
      <c r="L468" s="5" t="s">
        <v>51</v>
      </c>
      <c r="M468" s="5" t="s">
        <v>52</v>
      </c>
      <c r="N468" s="5" t="s">
        <v>35</v>
      </c>
      <c r="O468" s="5">
        <v>1</v>
      </c>
      <c r="P468" s="5" t="s">
        <v>42</v>
      </c>
      <c r="Q468" s="5">
        <v>8</v>
      </c>
      <c r="R468" s="5"/>
      <c r="S468" s="5"/>
      <c r="T468" s="5"/>
      <c r="U468" s="5"/>
      <c r="V468" s="5"/>
      <c r="W468" s="5"/>
      <c r="X468" s="5"/>
      <c r="Y468" s="5" t="s">
        <v>2507</v>
      </c>
      <c r="Z468" s="5" t="s">
        <v>211</v>
      </c>
      <c r="AA468" s="5" t="s">
        <v>2508</v>
      </c>
      <c r="AB468" s="5" t="s">
        <v>45</v>
      </c>
      <c r="AC468" s="5"/>
      <c r="AD468" s="5"/>
      <c r="AE468" s="5"/>
      <c r="AG468" s="9">
        <f t="shared" si="7"/>
        <v>43282</v>
      </c>
    </row>
    <row r="469" s="6" customFormat="1" spans="1:33">
      <c r="A469" s="5" t="s">
        <v>2509</v>
      </c>
      <c r="B469" s="5" t="s">
        <v>2509</v>
      </c>
      <c r="C469" s="5" t="s">
        <v>2510</v>
      </c>
      <c r="D469" s="5" t="s">
        <v>2511</v>
      </c>
      <c r="E469" s="5" t="s">
        <v>35</v>
      </c>
      <c r="F469" s="5" t="s">
        <v>36</v>
      </c>
      <c r="G469" s="5" t="s">
        <v>37</v>
      </c>
      <c r="H469" s="5"/>
      <c r="I469" s="5"/>
      <c r="J469" s="5" t="s">
        <v>59</v>
      </c>
      <c r="K469" s="5" t="s">
        <v>2053</v>
      </c>
      <c r="L469" s="5" t="s">
        <v>2054</v>
      </c>
      <c r="M469" s="5" t="s">
        <v>2055</v>
      </c>
      <c r="N469" s="5" t="s">
        <v>35</v>
      </c>
      <c r="O469" s="5">
        <v>1</v>
      </c>
      <c r="P469" s="5" t="s">
        <v>42</v>
      </c>
      <c r="Q469" s="5">
        <v>14.99</v>
      </c>
      <c r="R469" s="5"/>
      <c r="S469" s="5"/>
      <c r="T469" s="5"/>
      <c r="U469" s="5"/>
      <c r="V469" s="5"/>
      <c r="W469" s="5"/>
      <c r="X469" s="5"/>
      <c r="Y469" s="5" t="s">
        <v>359</v>
      </c>
      <c r="Z469" s="5" t="s">
        <v>211</v>
      </c>
      <c r="AA469" s="5" t="s">
        <v>2512</v>
      </c>
      <c r="AB469" s="5" t="s">
        <v>45</v>
      </c>
      <c r="AC469" s="5"/>
      <c r="AD469" s="5"/>
      <c r="AE469" s="5"/>
      <c r="AG469" s="9">
        <f t="shared" si="7"/>
        <v>43282</v>
      </c>
    </row>
    <row r="470" s="6" customFormat="1" spans="1:33">
      <c r="A470" s="5" t="s">
        <v>2513</v>
      </c>
      <c r="B470" s="5" t="s">
        <v>2513</v>
      </c>
      <c r="C470" s="5" t="s">
        <v>2514</v>
      </c>
      <c r="D470" s="5" t="s">
        <v>2515</v>
      </c>
      <c r="E470" s="5" t="s">
        <v>35</v>
      </c>
      <c r="F470" s="5" t="s">
        <v>36</v>
      </c>
      <c r="G470" s="5" t="s">
        <v>37</v>
      </c>
      <c r="H470" s="5"/>
      <c r="I470" s="5"/>
      <c r="J470" s="5" t="s">
        <v>59</v>
      </c>
      <c r="K470" s="5" t="s">
        <v>50</v>
      </c>
      <c r="L470" s="5" t="s">
        <v>51</v>
      </c>
      <c r="M470" s="5" t="s">
        <v>52</v>
      </c>
      <c r="N470" s="5" t="s">
        <v>35</v>
      </c>
      <c r="O470" s="5">
        <v>1</v>
      </c>
      <c r="P470" s="5" t="s">
        <v>42</v>
      </c>
      <c r="Q470" s="5">
        <v>8</v>
      </c>
      <c r="R470" s="5"/>
      <c r="S470" s="5"/>
      <c r="T470" s="5"/>
      <c r="U470" s="5"/>
      <c r="V470" s="5"/>
      <c r="W470" s="5"/>
      <c r="X470" s="5"/>
      <c r="Y470" s="5" t="s">
        <v>2516</v>
      </c>
      <c r="Z470" s="5" t="s">
        <v>609</v>
      </c>
      <c r="AA470" s="5" t="s">
        <v>2517</v>
      </c>
      <c r="AB470" s="5" t="s">
        <v>45</v>
      </c>
      <c r="AC470" s="5"/>
      <c r="AD470" s="5"/>
      <c r="AE470" s="5"/>
      <c r="AG470" s="9">
        <f t="shared" si="7"/>
        <v>43282</v>
      </c>
    </row>
    <row r="471" s="6" customFormat="1" spans="1:33">
      <c r="A471" s="5" t="s">
        <v>2518</v>
      </c>
      <c r="B471" s="5" t="s">
        <v>2518</v>
      </c>
      <c r="C471" s="5" t="s">
        <v>2519</v>
      </c>
      <c r="D471" s="5" t="s">
        <v>2520</v>
      </c>
      <c r="E471" s="5" t="s">
        <v>35</v>
      </c>
      <c r="F471" s="5" t="s">
        <v>36</v>
      </c>
      <c r="G471" s="5" t="s">
        <v>37</v>
      </c>
      <c r="H471" s="5"/>
      <c r="I471" s="5"/>
      <c r="J471" s="5" t="s">
        <v>59</v>
      </c>
      <c r="K471" s="5" t="s">
        <v>50</v>
      </c>
      <c r="L471" s="5" t="s">
        <v>51</v>
      </c>
      <c r="M471" s="5" t="s">
        <v>52</v>
      </c>
      <c r="N471" s="5" t="s">
        <v>35</v>
      </c>
      <c r="O471" s="5">
        <v>1</v>
      </c>
      <c r="P471" s="5" t="s">
        <v>42</v>
      </c>
      <c r="Q471" s="5">
        <v>8</v>
      </c>
      <c r="R471" s="5"/>
      <c r="S471" s="5"/>
      <c r="T471" s="5"/>
      <c r="U471" s="5"/>
      <c r="V471" s="5"/>
      <c r="W471" s="5"/>
      <c r="X471" s="5"/>
      <c r="Y471" s="5" t="s">
        <v>2521</v>
      </c>
      <c r="Z471" s="5" t="s">
        <v>432</v>
      </c>
      <c r="AA471" s="5" t="s">
        <v>2522</v>
      </c>
      <c r="AB471" s="5" t="s">
        <v>45</v>
      </c>
      <c r="AC471" s="5"/>
      <c r="AD471" s="5"/>
      <c r="AE471" s="5"/>
      <c r="AG471" s="9">
        <f t="shared" si="7"/>
        <v>43282</v>
      </c>
    </row>
    <row r="472" s="6" customFormat="1" spans="1:33">
      <c r="A472" s="5" t="s">
        <v>2518</v>
      </c>
      <c r="B472" s="5" t="s">
        <v>2518</v>
      </c>
      <c r="C472" s="5" t="s">
        <v>2519</v>
      </c>
      <c r="D472" s="5" t="s">
        <v>2520</v>
      </c>
      <c r="E472" s="5" t="s">
        <v>35</v>
      </c>
      <c r="F472" s="5" t="s">
        <v>36</v>
      </c>
      <c r="G472" s="5" t="s">
        <v>37</v>
      </c>
      <c r="H472" s="5"/>
      <c r="I472" s="5"/>
      <c r="J472" s="5" t="s">
        <v>59</v>
      </c>
      <c r="K472" s="5" t="s">
        <v>50</v>
      </c>
      <c r="L472" s="5" t="s">
        <v>51</v>
      </c>
      <c r="M472" s="5" t="s">
        <v>52</v>
      </c>
      <c r="N472" s="5" t="s">
        <v>274</v>
      </c>
      <c r="O472" s="5">
        <v>0</v>
      </c>
      <c r="P472" s="5"/>
      <c r="Q472" s="5"/>
      <c r="R472" s="5"/>
      <c r="S472" s="5"/>
      <c r="T472" s="5"/>
      <c r="U472" s="5"/>
      <c r="V472" s="5"/>
      <c r="W472" s="5"/>
      <c r="X472" s="5"/>
      <c r="Y472" s="5" t="s">
        <v>2521</v>
      </c>
      <c r="Z472" s="5" t="s">
        <v>432</v>
      </c>
      <c r="AA472" s="5" t="s">
        <v>2522</v>
      </c>
      <c r="AB472" s="5" t="s">
        <v>45</v>
      </c>
      <c r="AC472" s="5"/>
      <c r="AD472" s="5"/>
      <c r="AE472" s="5"/>
      <c r="AG472" s="9">
        <f t="shared" si="7"/>
        <v>43282</v>
      </c>
    </row>
    <row r="473" s="6" customFormat="1" spans="1:33">
      <c r="A473" s="5" t="s">
        <v>2523</v>
      </c>
      <c r="B473" s="5" t="s">
        <v>2523</v>
      </c>
      <c r="C473" s="5" t="s">
        <v>2524</v>
      </c>
      <c r="D473" s="5" t="s">
        <v>2525</v>
      </c>
      <c r="E473" s="5" t="s">
        <v>35</v>
      </c>
      <c r="F473" s="5" t="s">
        <v>36</v>
      </c>
      <c r="G473" s="5" t="s">
        <v>37</v>
      </c>
      <c r="H473" s="5"/>
      <c r="I473" s="5"/>
      <c r="J473" s="5" t="s">
        <v>59</v>
      </c>
      <c r="K473" s="5" t="s">
        <v>50</v>
      </c>
      <c r="L473" s="5" t="s">
        <v>51</v>
      </c>
      <c r="M473" s="5" t="s">
        <v>52</v>
      </c>
      <c r="N473" s="5" t="s">
        <v>35</v>
      </c>
      <c r="O473" s="5">
        <v>1</v>
      </c>
      <c r="P473" s="5" t="s">
        <v>42</v>
      </c>
      <c r="Q473" s="5">
        <v>8</v>
      </c>
      <c r="R473" s="5"/>
      <c r="S473" s="5"/>
      <c r="T473" s="5"/>
      <c r="U473" s="5"/>
      <c r="V473" s="5"/>
      <c r="W473" s="5"/>
      <c r="X473" s="5"/>
      <c r="Y473" s="5" t="s">
        <v>441</v>
      </c>
      <c r="Z473" s="5" t="s">
        <v>211</v>
      </c>
      <c r="AA473" s="5" t="s">
        <v>2526</v>
      </c>
      <c r="AB473" s="5" t="s">
        <v>45</v>
      </c>
      <c r="AC473" s="5"/>
      <c r="AD473" s="5"/>
      <c r="AE473" s="5"/>
      <c r="AG473" s="9">
        <f t="shared" si="7"/>
        <v>43282</v>
      </c>
    </row>
    <row r="474" s="6" customFormat="1" spans="1:33">
      <c r="A474" s="5" t="s">
        <v>2527</v>
      </c>
      <c r="B474" s="5" t="s">
        <v>2527</v>
      </c>
      <c r="C474" s="5" t="s">
        <v>2528</v>
      </c>
      <c r="D474" s="5" t="s">
        <v>2529</v>
      </c>
      <c r="E474" s="5" t="s">
        <v>35</v>
      </c>
      <c r="F474" s="5" t="s">
        <v>36</v>
      </c>
      <c r="G474" s="5" t="s">
        <v>37</v>
      </c>
      <c r="H474" s="5"/>
      <c r="I474" s="5"/>
      <c r="J474" s="5" t="s">
        <v>59</v>
      </c>
      <c r="K474" s="5" t="s">
        <v>655</v>
      </c>
      <c r="L474" s="5" t="s">
        <v>656</v>
      </c>
      <c r="M474" s="5" t="s">
        <v>657</v>
      </c>
      <c r="N474" s="5" t="s">
        <v>35</v>
      </c>
      <c r="O474" s="5">
        <v>1</v>
      </c>
      <c r="P474" s="5" t="s">
        <v>42</v>
      </c>
      <c r="Q474" s="5">
        <v>18.99</v>
      </c>
      <c r="R474" s="5"/>
      <c r="S474" s="5"/>
      <c r="T474" s="5"/>
      <c r="U474" s="5"/>
      <c r="V474" s="5"/>
      <c r="W474" s="5"/>
      <c r="X474" s="5"/>
      <c r="Y474" s="5" t="s">
        <v>964</v>
      </c>
      <c r="Z474" s="5" t="s">
        <v>81</v>
      </c>
      <c r="AA474" s="5" t="s">
        <v>2530</v>
      </c>
      <c r="AB474" s="5" t="s">
        <v>45</v>
      </c>
      <c r="AC474" s="5"/>
      <c r="AD474" s="5"/>
      <c r="AE474" s="5"/>
      <c r="AG474" s="9">
        <f t="shared" si="7"/>
        <v>43282</v>
      </c>
    </row>
    <row r="475" s="6" customFormat="1" spans="1:33">
      <c r="A475" s="5" t="s">
        <v>2531</v>
      </c>
      <c r="B475" s="5" t="s">
        <v>2531</v>
      </c>
      <c r="C475" s="5" t="s">
        <v>2532</v>
      </c>
      <c r="D475" s="5" t="s">
        <v>2533</v>
      </c>
      <c r="E475" s="5" t="s">
        <v>35</v>
      </c>
      <c r="F475" s="5" t="s">
        <v>36</v>
      </c>
      <c r="G475" s="5" t="s">
        <v>37</v>
      </c>
      <c r="H475" s="5"/>
      <c r="I475" s="5"/>
      <c r="J475" s="5" t="s">
        <v>59</v>
      </c>
      <c r="K475" s="5" t="s">
        <v>2248</v>
      </c>
      <c r="L475" s="5" t="s">
        <v>2249</v>
      </c>
      <c r="M475" s="5" t="s">
        <v>2250</v>
      </c>
      <c r="N475" s="5" t="s">
        <v>35</v>
      </c>
      <c r="O475" s="5">
        <v>1</v>
      </c>
      <c r="P475" s="5" t="s">
        <v>42</v>
      </c>
      <c r="Q475" s="5">
        <v>11.99</v>
      </c>
      <c r="R475" s="5">
        <v>0.72</v>
      </c>
      <c r="S475" s="5"/>
      <c r="T475" s="5"/>
      <c r="U475" s="5"/>
      <c r="V475" s="5"/>
      <c r="W475" s="5"/>
      <c r="X475" s="5"/>
      <c r="Y475" s="5" t="s">
        <v>2534</v>
      </c>
      <c r="Z475" s="5" t="s">
        <v>426</v>
      </c>
      <c r="AA475" s="5">
        <v>17516</v>
      </c>
      <c r="AB475" s="5" t="s">
        <v>45</v>
      </c>
      <c r="AC475" s="5"/>
      <c r="AD475" s="5"/>
      <c r="AE475" s="5"/>
      <c r="AG475" s="9">
        <f t="shared" si="7"/>
        <v>43282</v>
      </c>
    </row>
    <row r="476" s="6" customFormat="1" spans="1:33">
      <c r="A476" s="5" t="s">
        <v>2535</v>
      </c>
      <c r="B476" s="5" t="s">
        <v>2535</v>
      </c>
      <c r="C476" s="5" t="s">
        <v>2536</v>
      </c>
      <c r="D476" s="5" t="s">
        <v>2537</v>
      </c>
      <c r="E476" s="5" t="s">
        <v>35</v>
      </c>
      <c r="F476" s="5" t="s">
        <v>36</v>
      </c>
      <c r="G476" s="5" t="s">
        <v>37</v>
      </c>
      <c r="H476" s="5"/>
      <c r="I476" s="5"/>
      <c r="J476" s="5" t="s">
        <v>59</v>
      </c>
      <c r="K476" s="5" t="s">
        <v>114</v>
      </c>
      <c r="L476" s="5" t="s">
        <v>115</v>
      </c>
      <c r="M476" s="5" t="s">
        <v>116</v>
      </c>
      <c r="N476" s="5" t="s">
        <v>35</v>
      </c>
      <c r="O476" s="5">
        <v>1</v>
      </c>
      <c r="P476" s="5" t="s">
        <v>42</v>
      </c>
      <c r="Q476" s="5">
        <v>13.99</v>
      </c>
      <c r="R476" s="5"/>
      <c r="S476" s="5"/>
      <c r="T476" s="5"/>
      <c r="U476" s="5"/>
      <c r="V476" s="5"/>
      <c r="W476" s="5"/>
      <c r="X476" s="5"/>
      <c r="Y476" s="5" t="s">
        <v>2538</v>
      </c>
      <c r="Z476" s="5" t="s">
        <v>244</v>
      </c>
      <c r="AA476" s="5">
        <v>30097</v>
      </c>
      <c r="AB476" s="5" t="s">
        <v>45</v>
      </c>
      <c r="AC476" s="5"/>
      <c r="AD476" s="5"/>
      <c r="AE476" s="5"/>
      <c r="AG476" s="9">
        <f t="shared" si="7"/>
        <v>43282</v>
      </c>
    </row>
    <row r="477" s="6" customFormat="1" spans="1:33">
      <c r="A477" s="5" t="s">
        <v>2539</v>
      </c>
      <c r="B477" s="5" t="s">
        <v>2539</v>
      </c>
      <c r="C477" s="5" t="s">
        <v>2540</v>
      </c>
      <c r="D477" s="5" t="s">
        <v>2541</v>
      </c>
      <c r="E477" s="5" t="s">
        <v>35</v>
      </c>
      <c r="F477" s="5" t="s">
        <v>36</v>
      </c>
      <c r="G477" s="5" t="s">
        <v>37</v>
      </c>
      <c r="H477" s="5"/>
      <c r="I477" s="5"/>
      <c r="J477" s="5" t="s">
        <v>59</v>
      </c>
      <c r="K477" s="5" t="s">
        <v>2542</v>
      </c>
      <c r="L477" s="5" t="s">
        <v>2543</v>
      </c>
      <c r="M477" s="5" t="s">
        <v>2544</v>
      </c>
      <c r="N477" s="5" t="s">
        <v>35</v>
      </c>
      <c r="O477" s="5">
        <v>1</v>
      </c>
      <c r="P477" s="5" t="s">
        <v>42</v>
      </c>
      <c r="Q477" s="5">
        <v>14.99</v>
      </c>
      <c r="R477" s="5"/>
      <c r="S477" s="5"/>
      <c r="T477" s="5"/>
      <c r="U477" s="5"/>
      <c r="V477" s="5"/>
      <c r="W477" s="5"/>
      <c r="X477" s="5"/>
      <c r="Y477" s="5" t="s">
        <v>2545</v>
      </c>
      <c r="Z477" s="5" t="s">
        <v>1612</v>
      </c>
      <c r="AA477" s="5" t="s">
        <v>2546</v>
      </c>
      <c r="AB477" s="5" t="s">
        <v>45</v>
      </c>
      <c r="AC477" s="5"/>
      <c r="AD477" s="5"/>
      <c r="AE477" s="5"/>
      <c r="AG477" s="9">
        <f t="shared" si="7"/>
        <v>43282</v>
      </c>
    </row>
    <row r="478" s="6" customFormat="1" spans="1:33">
      <c r="A478" s="5" t="s">
        <v>2547</v>
      </c>
      <c r="B478" s="5" t="s">
        <v>2547</v>
      </c>
      <c r="C478" s="5" t="s">
        <v>2548</v>
      </c>
      <c r="D478" s="5" t="s">
        <v>2549</v>
      </c>
      <c r="E478" s="5" t="s">
        <v>35</v>
      </c>
      <c r="F478" s="5" t="s">
        <v>36</v>
      </c>
      <c r="G478" s="5" t="s">
        <v>37</v>
      </c>
      <c r="H478" s="5"/>
      <c r="I478" s="5"/>
      <c r="J478" s="5" t="s">
        <v>59</v>
      </c>
      <c r="K478" s="5" t="s">
        <v>94</v>
      </c>
      <c r="L478" s="5" t="s">
        <v>95</v>
      </c>
      <c r="M478" s="5" t="s">
        <v>96</v>
      </c>
      <c r="N478" s="5" t="s">
        <v>35</v>
      </c>
      <c r="O478" s="5">
        <v>1</v>
      </c>
      <c r="P478" s="5" t="s">
        <v>42</v>
      </c>
      <c r="Q478" s="5">
        <v>14.99</v>
      </c>
      <c r="R478" s="5"/>
      <c r="S478" s="5"/>
      <c r="T478" s="5"/>
      <c r="U478" s="5"/>
      <c r="V478" s="5"/>
      <c r="W478" s="5"/>
      <c r="X478" s="5"/>
      <c r="Y478" s="5" t="s">
        <v>717</v>
      </c>
      <c r="Z478" s="5" t="s">
        <v>718</v>
      </c>
      <c r="AA478" s="5" t="s">
        <v>2550</v>
      </c>
      <c r="AB478" s="5" t="s">
        <v>45</v>
      </c>
      <c r="AC478" s="5"/>
      <c r="AD478" s="5"/>
      <c r="AE478" s="5"/>
      <c r="AG478" s="9">
        <f t="shared" si="7"/>
        <v>43282</v>
      </c>
    </row>
    <row r="479" s="6" customFormat="1" spans="1:33">
      <c r="A479" s="5" t="s">
        <v>2551</v>
      </c>
      <c r="B479" s="5" t="s">
        <v>2551</v>
      </c>
      <c r="C479" s="5" t="s">
        <v>2552</v>
      </c>
      <c r="D479" s="5" t="s">
        <v>2553</v>
      </c>
      <c r="E479" s="5" t="s">
        <v>35</v>
      </c>
      <c r="F479" s="5" t="s">
        <v>36</v>
      </c>
      <c r="G479" s="5" t="s">
        <v>37</v>
      </c>
      <c r="H479" s="5"/>
      <c r="I479" s="5"/>
      <c r="J479" s="5" t="s">
        <v>38</v>
      </c>
      <c r="K479" s="5" t="s">
        <v>50</v>
      </c>
      <c r="L479" s="5" t="s">
        <v>51</v>
      </c>
      <c r="M479" s="5" t="s">
        <v>52</v>
      </c>
      <c r="N479" s="5" t="s">
        <v>35</v>
      </c>
      <c r="O479" s="5">
        <v>1</v>
      </c>
      <c r="P479" s="5" t="s">
        <v>42</v>
      </c>
      <c r="Q479" s="5">
        <v>8</v>
      </c>
      <c r="R479" s="5"/>
      <c r="S479" s="5"/>
      <c r="T479" s="5"/>
      <c r="U479" s="5"/>
      <c r="V479" s="5"/>
      <c r="W479" s="5"/>
      <c r="X479" s="5"/>
      <c r="Y479" s="5" t="s">
        <v>2554</v>
      </c>
      <c r="Z479" s="5" t="s">
        <v>153</v>
      </c>
      <c r="AA479" s="5" t="s">
        <v>2555</v>
      </c>
      <c r="AB479" s="5" t="s">
        <v>45</v>
      </c>
      <c r="AC479" s="5"/>
      <c r="AD479" s="5"/>
      <c r="AE479" s="5"/>
      <c r="AG479" s="9">
        <f t="shared" si="7"/>
        <v>43282</v>
      </c>
    </row>
    <row r="480" s="6" customFormat="1" spans="1:33">
      <c r="A480" s="5" t="s">
        <v>2556</v>
      </c>
      <c r="B480" s="5" t="s">
        <v>2556</v>
      </c>
      <c r="C480" s="5" t="s">
        <v>2557</v>
      </c>
      <c r="D480" s="5" t="s">
        <v>2558</v>
      </c>
      <c r="E480" s="5" t="s">
        <v>35</v>
      </c>
      <c r="F480" s="5" t="s">
        <v>36</v>
      </c>
      <c r="G480" s="5" t="s">
        <v>37</v>
      </c>
      <c r="H480" s="5"/>
      <c r="I480" s="5"/>
      <c r="J480" s="5" t="s">
        <v>59</v>
      </c>
      <c r="K480" s="5" t="s">
        <v>1102</v>
      </c>
      <c r="L480" s="5" t="s">
        <v>1103</v>
      </c>
      <c r="M480" s="5" t="s">
        <v>1104</v>
      </c>
      <c r="N480" s="5" t="s">
        <v>35</v>
      </c>
      <c r="O480" s="5">
        <v>1</v>
      </c>
      <c r="P480" s="5" t="s">
        <v>42</v>
      </c>
      <c r="Q480" s="5">
        <v>17.99</v>
      </c>
      <c r="R480" s="5"/>
      <c r="S480" s="5"/>
      <c r="T480" s="5"/>
      <c r="U480" s="5"/>
      <c r="V480" s="5"/>
      <c r="W480" s="5"/>
      <c r="X480" s="5"/>
      <c r="Y480" s="5" t="s">
        <v>2559</v>
      </c>
      <c r="Z480" s="5" t="s">
        <v>153</v>
      </c>
      <c r="AA480" s="5" t="s">
        <v>2560</v>
      </c>
      <c r="AB480" s="5" t="s">
        <v>45</v>
      </c>
      <c r="AC480" s="5"/>
      <c r="AD480" s="5"/>
      <c r="AE480" s="5"/>
      <c r="AG480" s="9">
        <f t="shared" si="7"/>
        <v>43282</v>
      </c>
    </row>
    <row r="481" s="6" customFormat="1" spans="1:33">
      <c r="A481" s="5" t="s">
        <v>2561</v>
      </c>
      <c r="B481" s="5" t="s">
        <v>2561</v>
      </c>
      <c r="C481" s="5" t="s">
        <v>2562</v>
      </c>
      <c r="D481" s="5" t="s">
        <v>2563</v>
      </c>
      <c r="E481" s="5" t="s">
        <v>35</v>
      </c>
      <c r="F481" s="5" t="s">
        <v>36</v>
      </c>
      <c r="G481" s="5" t="s">
        <v>37</v>
      </c>
      <c r="H481" s="5"/>
      <c r="I481" s="5"/>
      <c r="J481" s="5" t="s">
        <v>38</v>
      </c>
      <c r="K481" s="5" t="s">
        <v>655</v>
      </c>
      <c r="L481" s="5" t="s">
        <v>656</v>
      </c>
      <c r="M481" s="5" t="s">
        <v>657</v>
      </c>
      <c r="N481" s="5" t="s">
        <v>35</v>
      </c>
      <c r="O481" s="5">
        <v>1</v>
      </c>
      <c r="P481" s="5" t="s">
        <v>42</v>
      </c>
      <c r="Q481" s="5">
        <v>18.99</v>
      </c>
      <c r="R481" s="5"/>
      <c r="S481" s="5">
        <v>2.82</v>
      </c>
      <c r="T481" s="5"/>
      <c r="U481" s="5"/>
      <c r="V481" s="5"/>
      <c r="W481" s="5"/>
      <c r="X481" s="5">
        <v>2.82</v>
      </c>
      <c r="Y481" s="5" t="s">
        <v>2564</v>
      </c>
      <c r="Z481" s="5" t="s">
        <v>609</v>
      </c>
      <c r="AA481" s="5" t="s">
        <v>2565</v>
      </c>
      <c r="AB481" s="5" t="s">
        <v>45</v>
      </c>
      <c r="AC481" s="5" t="s">
        <v>328</v>
      </c>
      <c r="AD481" s="5"/>
      <c r="AE481" s="5"/>
      <c r="AG481" s="9">
        <f t="shared" si="7"/>
        <v>43282</v>
      </c>
    </row>
    <row r="482" s="6" customFormat="1" spans="1:33">
      <c r="A482" s="5" t="s">
        <v>2566</v>
      </c>
      <c r="B482" s="5" t="s">
        <v>2566</v>
      </c>
      <c r="C482" s="5" t="s">
        <v>2567</v>
      </c>
      <c r="D482" s="5" t="s">
        <v>2568</v>
      </c>
      <c r="E482" s="5" t="s">
        <v>35</v>
      </c>
      <c r="F482" s="5" t="s">
        <v>36</v>
      </c>
      <c r="G482" s="5" t="s">
        <v>37</v>
      </c>
      <c r="H482" s="5"/>
      <c r="I482" s="5"/>
      <c r="J482" s="5" t="s">
        <v>59</v>
      </c>
      <c r="K482" s="5" t="s">
        <v>50</v>
      </c>
      <c r="L482" s="5" t="s">
        <v>51</v>
      </c>
      <c r="M482" s="5" t="s">
        <v>52</v>
      </c>
      <c r="N482" s="5" t="s">
        <v>35</v>
      </c>
      <c r="O482" s="5">
        <v>1</v>
      </c>
      <c r="P482" s="5" t="s">
        <v>42</v>
      </c>
      <c r="Q482" s="5">
        <v>8</v>
      </c>
      <c r="R482" s="5"/>
      <c r="S482" s="5"/>
      <c r="T482" s="5"/>
      <c r="U482" s="5"/>
      <c r="V482" s="5"/>
      <c r="W482" s="5"/>
      <c r="X482" s="5"/>
      <c r="Y482" s="5" t="s">
        <v>2569</v>
      </c>
      <c r="Z482" s="5" t="s">
        <v>153</v>
      </c>
      <c r="AA482" s="5" t="s">
        <v>2570</v>
      </c>
      <c r="AB482" s="5" t="s">
        <v>45</v>
      </c>
      <c r="AC482" s="5"/>
      <c r="AD482" s="5"/>
      <c r="AE482" s="5"/>
      <c r="AG482" s="9">
        <f t="shared" si="7"/>
        <v>43282</v>
      </c>
    </row>
    <row r="483" s="6" customFormat="1" spans="1:33">
      <c r="A483" s="5" t="s">
        <v>2571</v>
      </c>
      <c r="B483" s="5" t="s">
        <v>2571</v>
      </c>
      <c r="C483" s="5" t="s">
        <v>2572</v>
      </c>
      <c r="D483" s="5" t="s">
        <v>2573</v>
      </c>
      <c r="E483" s="5" t="s">
        <v>35</v>
      </c>
      <c r="F483" s="5" t="s">
        <v>36</v>
      </c>
      <c r="G483" s="5" t="s">
        <v>37</v>
      </c>
      <c r="H483" s="5"/>
      <c r="I483" s="5"/>
      <c r="J483" s="5" t="s">
        <v>38</v>
      </c>
      <c r="K483" s="5" t="s">
        <v>2053</v>
      </c>
      <c r="L483" s="5" t="s">
        <v>2054</v>
      </c>
      <c r="M483" s="5" t="s">
        <v>2055</v>
      </c>
      <c r="N483" s="5" t="s">
        <v>35</v>
      </c>
      <c r="O483" s="5">
        <v>1</v>
      </c>
      <c r="P483" s="5" t="s">
        <v>42</v>
      </c>
      <c r="Q483" s="5">
        <v>14.99</v>
      </c>
      <c r="R483" s="5"/>
      <c r="S483" s="5">
        <v>2.99</v>
      </c>
      <c r="T483" s="5"/>
      <c r="U483" s="5"/>
      <c r="V483" s="5"/>
      <c r="W483" s="5"/>
      <c r="X483" s="5">
        <v>2.99</v>
      </c>
      <c r="Y483" s="5" t="s">
        <v>2574</v>
      </c>
      <c r="Z483" s="5" t="s">
        <v>2575</v>
      </c>
      <c r="AA483" s="5" t="s">
        <v>2576</v>
      </c>
      <c r="AB483" s="5" t="s">
        <v>45</v>
      </c>
      <c r="AC483" s="5" t="s">
        <v>328</v>
      </c>
      <c r="AD483" s="5"/>
      <c r="AE483" s="5"/>
      <c r="AG483" s="9">
        <f t="shared" si="7"/>
        <v>43282</v>
      </c>
    </row>
    <row r="484" s="6" customFormat="1" spans="1:33">
      <c r="A484" s="5" t="s">
        <v>2577</v>
      </c>
      <c r="B484" s="5" t="s">
        <v>2577</v>
      </c>
      <c r="C484" s="5" t="s">
        <v>2578</v>
      </c>
      <c r="D484" s="5" t="s">
        <v>2579</v>
      </c>
      <c r="E484" s="5" t="s">
        <v>35</v>
      </c>
      <c r="F484" s="5" t="s">
        <v>36</v>
      </c>
      <c r="G484" s="5" t="s">
        <v>37</v>
      </c>
      <c r="H484" s="5"/>
      <c r="I484" s="5"/>
      <c r="J484" s="5" t="s">
        <v>38</v>
      </c>
      <c r="K484" s="5" t="s">
        <v>1425</v>
      </c>
      <c r="L484" s="5" t="s">
        <v>1426</v>
      </c>
      <c r="M484" s="5" t="s">
        <v>1427</v>
      </c>
      <c r="N484" s="5" t="s">
        <v>35</v>
      </c>
      <c r="O484" s="5">
        <v>1</v>
      </c>
      <c r="P484" s="5" t="s">
        <v>42</v>
      </c>
      <c r="Q484" s="5">
        <v>9.99</v>
      </c>
      <c r="R484" s="5"/>
      <c r="S484" s="5"/>
      <c r="T484" s="5"/>
      <c r="U484" s="5"/>
      <c r="V484" s="5"/>
      <c r="W484" s="5"/>
      <c r="X484" s="5"/>
      <c r="Y484" s="5" t="s">
        <v>1442</v>
      </c>
      <c r="Z484" s="5" t="s">
        <v>432</v>
      </c>
      <c r="AA484" s="5" t="s">
        <v>2580</v>
      </c>
      <c r="AB484" s="5" t="s">
        <v>45</v>
      </c>
      <c r="AC484" s="5"/>
      <c r="AD484" s="5"/>
      <c r="AE484" s="5"/>
      <c r="AG484" s="9">
        <f t="shared" si="7"/>
        <v>43282</v>
      </c>
    </row>
    <row r="485" s="6" customFormat="1" spans="1:33">
      <c r="A485" s="5" t="s">
        <v>2581</v>
      </c>
      <c r="B485" s="5" t="s">
        <v>2581</v>
      </c>
      <c r="C485" s="5" t="s">
        <v>2582</v>
      </c>
      <c r="D485" s="5" t="s">
        <v>2583</v>
      </c>
      <c r="E485" s="5" t="s">
        <v>35</v>
      </c>
      <c r="F485" s="5" t="s">
        <v>36</v>
      </c>
      <c r="G485" s="5" t="s">
        <v>37</v>
      </c>
      <c r="H485" s="5"/>
      <c r="I485" s="5"/>
      <c r="J485" s="5" t="s">
        <v>59</v>
      </c>
      <c r="K485" s="5" t="s">
        <v>831</v>
      </c>
      <c r="L485" s="5" t="s">
        <v>832</v>
      </c>
      <c r="M485" s="5" t="s">
        <v>833</v>
      </c>
      <c r="N485" s="5" t="s">
        <v>35</v>
      </c>
      <c r="O485" s="5">
        <v>1</v>
      </c>
      <c r="P485" s="5" t="s">
        <v>42</v>
      </c>
      <c r="Q485" s="5">
        <v>15.99</v>
      </c>
      <c r="R485" s="5"/>
      <c r="S485" s="5"/>
      <c r="T485" s="5"/>
      <c r="U485" s="5"/>
      <c r="V485" s="5"/>
      <c r="W485" s="5"/>
      <c r="X485" s="5"/>
      <c r="Y485" s="5" t="s">
        <v>2584</v>
      </c>
      <c r="Z485" s="5" t="s">
        <v>127</v>
      </c>
      <c r="AA485" s="5">
        <v>60438</v>
      </c>
      <c r="AB485" s="5" t="s">
        <v>45</v>
      </c>
      <c r="AC485" s="5"/>
      <c r="AD485" s="5"/>
      <c r="AE485" s="5"/>
      <c r="AG485" s="9">
        <f t="shared" si="7"/>
        <v>43282</v>
      </c>
    </row>
    <row r="486" s="6" customFormat="1" spans="1:33">
      <c r="A486" s="5" t="s">
        <v>2585</v>
      </c>
      <c r="B486" s="5" t="s">
        <v>2585</v>
      </c>
      <c r="C486" s="5" t="s">
        <v>2586</v>
      </c>
      <c r="D486" s="5" t="s">
        <v>2587</v>
      </c>
      <c r="E486" s="5" t="s">
        <v>35</v>
      </c>
      <c r="F486" s="5" t="s">
        <v>36</v>
      </c>
      <c r="G486" s="5" t="s">
        <v>37</v>
      </c>
      <c r="H486" s="5"/>
      <c r="I486" s="5"/>
      <c r="J486" s="5" t="s">
        <v>59</v>
      </c>
      <c r="K486" s="5" t="s">
        <v>655</v>
      </c>
      <c r="L486" s="5" t="s">
        <v>656</v>
      </c>
      <c r="M486" s="5" t="s">
        <v>657</v>
      </c>
      <c r="N486" s="5" t="s">
        <v>35</v>
      </c>
      <c r="O486" s="5">
        <v>2</v>
      </c>
      <c r="P486" s="5" t="s">
        <v>42</v>
      </c>
      <c r="Q486" s="5">
        <v>37.98</v>
      </c>
      <c r="R486" s="5"/>
      <c r="S486" s="5"/>
      <c r="T486" s="5"/>
      <c r="U486" s="5"/>
      <c r="V486" s="5"/>
      <c r="W486" s="5"/>
      <c r="X486" s="5"/>
      <c r="Y486" s="5" t="s">
        <v>2588</v>
      </c>
      <c r="Z486" s="5" t="s">
        <v>1859</v>
      </c>
      <c r="AA486" s="5" t="s">
        <v>2589</v>
      </c>
      <c r="AB486" s="5" t="s">
        <v>45</v>
      </c>
      <c r="AC486" s="5"/>
      <c r="AD486" s="5"/>
      <c r="AE486" s="5"/>
      <c r="AG486" s="9">
        <f t="shared" si="7"/>
        <v>43282</v>
      </c>
    </row>
    <row r="487" s="6" customFormat="1" spans="1:33">
      <c r="A487" s="5" t="s">
        <v>2590</v>
      </c>
      <c r="B487" s="5" t="s">
        <v>2590</v>
      </c>
      <c r="C487" s="5" t="s">
        <v>2591</v>
      </c>
      <c r="D487" s="5" t="s">
        <v>2592</v>
      </c>
      <c r="E487" s="5" t="s">
        <v>35</v>
      </c>
      <c r="F487" s="5" t="s">
        <v>36</v>
      </c>
      <c r="G487" s="5" t="s">
        <v>37</v>
      </c>
      <c r="H487" s="5"/>
      <c r="I487" s="5"/>
      <c r="J487" s="5" t="s">
        <v>59</v>
      </c>
      <c r="K487" s="5" t="s">
        <v>2053</v>
      </c>
      <c r="L487" s="5" t="s">
        <v>2054</v>
      </c>
      <c r="M487" s="5" t="s">
        <v>2055</v>
      </c>
      <c r="N487" s="5" t="s">
        <v>35</v>
      </c>
      <c r="O487" s="5">
        <v>1</v>
      </c>
      <c r="P487" s="5" t="s">
        <v>42</v>
      </c>
      <c r="Q487" s="5">
        <v>14.99</v>
      </c>
      <c r="R487" s="5"/>
      <c r="S487" s="5"/>
      <c r="T487" s="5"/>
      <c r="U487" s="5"/>
      <c r="V487" s="5"/>
      <c r="W487" s="5"/>
      <c r="X487" s="5"/>
      <c r="Y487" s="5" t="s">
        <v>2593</v>
      </c>
      <c r="Z487" s="5" t="s">
        <v>432</v>
      </c>
      <c r="AA487" s="5" t="s">
        <v>2594</v>
      </c>
      <c r="AB487" s="5" t="s">
        <v>45</v>
      </c>
      <c r="AC487" s="5"/>
      <c r="AD487" s="5"/>
      <c r="AE487" s="5"/>
      <c r="AG487" s="9">
        <f t="shared" si="7"/>
        <v>43282</v>
      </c>
    </row>
    <row r="488" s="6" customFormat="1" spans="1:33">
      <c r="A488" s="5" t="s">
        <v>2595</v>
      </c>
      <c r="B488" s="5" t="s">
        <v>2595</v>
      </c>
      <c r="C488" s="5" t="s">
        <v>2596</v>
      </c>
      <c r="D488" s="5" t="s">
        <v>2597</v>
      </c>
      <c r="E488" s="5" t="s">
        <v>35</v>
      </c>
      <c r="F488" s="5" t="s">
        <v>36</v>
      </c>
      <c r="G488" s="5" t="s">
        <v>37</v>
      </c>
      <c r="H488" s="5"/>
      <c r="I488" s="5"/>
      <c r="J488" s="5" t="s">
        <v>59</v>
      </c>
      <c r="K488" s="5" t="s">
        <v>50</v>
      </c>
      <c r="L488" s="5" t="s">
        <v>51</v>
      </c>
      <c r="M488" s="5" t="s">
        <v>52</v>
      </c>
      <c r="N488" s="5" t="s">
        <v>35</v>
      </c>
      <c r="O488" s="5">
        <v>1</v>
      </c>
      <c r="P488" s="5" t="s">
        <v>42</v>
      </c>
      <c r="Q488" s="5">
        <v>8</v>
      </c>
      <c r="R488" s="5"/>
      <c r="S488" s="5"/>
      <c r="T488" s="5"/>
      <c r="U488" s="5"/>
      <c r="V488" s="5"/>
      <c r="W488" s="5"/>
      <c r="X488" s="5"/>
      <c r="Y488" s="5" t="s">
        <v>2598</v>
      </c>
      <c r="Z488" s="5" t="s">
        <v>153</v>
      </c>
      <c r="AA488" s="5">
        <v>95661</v>
      </c>
      <c r="AB488" s="5" t="s">
        <v>45</v>
      </c>
      <c r="AC488" s="5"/>
      <c r="AD488" s="5"/>
      <c r="AE488" s="5"/>
      <c r="AG488" s="9">
        <f t="shared" si="7"/>
        <v>43282</v>
      </c>
    </row>
    <row r="489" s="6" customFormat="1" spans="1:33">
      <c r="A489" s="5" t="s">
        <v>2599</v>
      </c>
      <c r="B489" s="5" t="s">
        <v>2599</v>
      </c>
      <c r="C489" s="5" t="s">
        <v>2600</v>
      </c>
      <c r="D489" s="5" t="s">
        <v>2601</v>
      </c>
      <c r="E489" s="5" t="s">
        <v>35</v>
      </c>
      <c r="F489" s="5" t="s">
        <v>36</v>
      </c>
      <c r="G489" s="5" t="s">
        <v>37</v>
      </c>
      <c r="H489" s="5"/>
      <c r="I489" s="5"/>
      <c r="J489" s="5" t="s">
        <v>38</v>
      </c>
      <c r="K489" s="5" t="s">
        <v>167</v>
      </c>
      <c r="L489" s="5" t="s">
        <v>168</v>
      </c>
      <c r="M489" s="5" t="s">
        <v>169</v>
      </c>
      <c r="N489" s="5" t="s">
        <v>35</v>
      </c>
      <c r="O489" s="5">
        <v>1</v>
      </c>
      <c r="P489" s="5" t="s">
        <v>42</v>
      </c>
      <c r="Q489" s="5">
        <v>15.99</v>
      </c>
      <c r="R489" s="5">
        <v>0.96</v>
      </c>
      <c r="S489" s="5"/>
      <c r="T489" s="5"/>
      <c r="U489" s="5"/>
      <c r="V489" s="5"/>
      <c r="W489" s="5"/>
      <c r="X489" s="5"/>
      <c r="Y489" s="5" t="s">
        <v>2602</v>
      </c>
      <c r="Z489" s="5" t="s">
        <v>426</v>
      </c>
      <c r="AA489" s="5" t="s">
        <v>2603</v>
      </c>
      <c r="AB489" s="5" t="s">
        <v>45</v>
      </c>
      <c r="AC489" s="5"/>
      <c r="AD489" s="5"/>
      <c r="AE489" s="5"/>
      <c r="AG489" s="9">
        <f t="shared" si="7"/>
        <v>43283</v>
      </c>
    </row>
    <row r="490" s="6" customFormat="1" spans="1:33">
      <c r="A490" s="5" t="s">
        <v>2604</v>
      </c>
      <c r="B490" s="5" t="s">
        <v>2604</v>
      </c>
      <c r="C490" s="5" t="s">
        <v>2605</v>
      </c>
      <c r="D490" s="5" t="s">
        <v>2606</v>
      </c>
      <c r="E490" s="5" t="s">
        <v>35</v>
      </c>
      <c r="F490" s="5" t="s">
        <v>36</v>
      </c>
      <c r="G490" s="5" t="s">
        <v>37</v>
      </c>
      <c r="H490" s="5"/>
      <c r="I490" s="5"/>
      <c r="J490" s="5" t="s">
        <v>59</v>
      </c>
      <c r="K490" s="5" t="s">
        <v>655</v>
      </c>
      <c r="L490" s="5" t="s">
        <v>656</v>
      </c>
      <c r="M490" s="5" t="s">
        <v>657</v>
      </c>
      <c r="N490" s="5" t="s">
        <v>35</v>
      </c>
      <c r="O490" s="5">
        <v>1</v>
      </c>
      <c r="P490" s="5" t="s">
        <v>42</v>
      </c>
      <c r="Q490" s="5">
        <v>18.99</v>
      </c>
      <c r="R490" s="5">
        <v>1.14</v>
      </c>
      <c r="S490" s="5"/>
      <c r="T490" s="5"/>
      <c r="U490" s="5"/>
      <c r="V490" s="5"/>
      <c r="W490" s="5"/>
      <c r="X490" s="5"/>
      <c r="Y490" s="5" t="s">
        <v>2607</v>
      </c>
      <c r="Z490" s="5" t="s">
        <v>426</v>
      </c>
      <c r="AA490" s="5" t="s">
        <v>2608</v>
      </c>
      <c r="AB490" s="5" t="s">
        <v>45</v>
      </c>
      <c r="AC490" s="5"/>
      <c r="AD490" s="5"/>
      <c r="AE490" s="5"/>
      <c r="AG490" s="9">
        <f t="shared" si="7"/>
        <v>43283</v>
      </c>
    </row>
    <row r="491" s="6" customFormat="1" spans="1:33">
      <c r="A491" s="5" t="s">
        <v>2609</v>
      </c>
      <c r="B491" s="5" t="s">
        <v>2609</v>
      </c>
      <c r="C491" s="5" t="s">
        <v>2610</v>
      </c>
      <c r="D491" s="5" t="s">
        <v>2611</v>
      </c>
      <c r="E491" s="5" t="s">
        <v>35</v>
      </c>
      <c r="F491" s="5" t="s">
        <v>36</v>
      </c>
      <c r="G491" s="5" t="s">
        <v>37</v>
      </c>
      <c r="H491" s="5"/>
      <c r="I491" s="5"/>
      <c r="J491" s="5" t="s">
        <v>59</v>
      </c>
      <c r="K491" s="5" t="s">
        <v>50</v>
      </c>
      <c r="L491" s="5" t="s">
        <v>51</v>
      </c>
      <c r="M491" s="5" t="s">
        <v>52</v>
      </c>
      <c r="N491" s="5" t="s">
        <v>35</v>
      </c>
      <c r="O491" s="5">
        <v>1</v>
      </c>
      <c r="P491" s="5" t="s">
        <v>42</v>
      </c>
      <c r="Q491" s="5">
        <v>8</v>
      </c>
      <c r="R491" s="5"/>
      <c r="S491" s="5"/>
      <c r="T491" s="5"/>
      <c r="U491" s="5"/>
      <c r="V491" s="5"/>
      <c r="W491" s="5"/>
      <c r="X491" s="5"/>
      <c r="Y491" s="5" t="s">
        <v>2612</v>
      </c>
      <c r="Z491" s="5" t="s">
        <v>118</v>
      </c>
      <c r="AA491" s="5">
        <v>6896</v>
      </c>
      <c r="AB491" s="5" t="s">
        <v>45</v>
      </c>
      <c r="AC491" s="5"/>
      <c r="AD491" s="5"/>
      <c r="AE491" s="5"/>
      <c r="AG491" s="9">
        <f t="shared" si="7"/>
        <v>43283</v>
      </c>
    </row>
    <row r="492" s="6" customFormat="1" spans="1:33">
      <c r="A492" s="5" t="s">
        <v>2613</v>
      </c>
      <c r="B492" s="5" t="s">
        <v>2613</v>
      </c>
      <c r="C492" s="5" t="s">
        <v>2614</v>
      </c>
      <c r="D492" s="5" t="s">
        <v>2615</v>
      </c>
      <c r="E492" s="5" t="s">
        <v>35</v>
      </c>
      <c r="F492" s="5" t="s">
        <v>36</v>
      </c>
      <c r="G492" s="5" t="s">
        <v>37</v>
      </c>
      <c r="H492" s="5"/>
      <c r="I492" s="5"/>
      <c r="J492" s="5" t="s">
        <v>59</v>
      </c>
      <c r="K492" s="5" t="s">
        <v>50</v>
      </c>
      <c r="L492" s="5" t="s">
        <v>51</v>
      </c>
      <c r="M492" s="5" t="s">
        <v>52</v>
      </c>
      <c r="N492" s="5" t="s">
        <v>35</v>
      </c>
      <c r="O492" s="5">
        <v>2</v>
      </c>
      <c r="P492" s="5" t="s">
        <v>42</v>
      </c>
      <c r="Q492" s="5">
        <v>16</v>
      </c>
      <c r="R492" s="5"/>
      <c r="S492" s="5"/>
      <c r="T492" s="5"/>
      <c r="U492" s="5"/>
      <c r="V492" s="5"/>
      <c r="W492" s="5"/>
      <c r="X492" s="5"/>
      <c r="Y492" s="5" t="s">
        <v>53</v>
      </c>
      <c r="Z492" s="5" t="s">
        <v>848</v>
      </c>
      <c r="AA492" s="5" t="s">
        <v>2616</v>
      </c>
      <c r="AB492" s="5" t="s">
        <v>45</v>
      </c>
      <c r="AC492" s="5"/>
      <c r="AD492" s="5"/>
      <c r="AE492" s="5"/>
      <c r="AG492" s="9">
        <f t="shared" si="7"/>
        <v>43283</v>
      </c>
    </row>
    <row r="493" s="6" customFormat="1" spans="1:33">
      <c r="A493" s="5" t="s">
        <v>2617</v>
      </c>
      <c r="B493" s="5" t="s">
        <v>2617</v>
      </c>
      <c r="C493" s="5" t="s">
        <v>2618</v>
      </c>
      <c r="D493" s="5" t="s">
        <v>2619</v>
      </c>
      <c r="E493" s="5" t="s">
        <v>35</v>
      </c>
      <c r="F493" s="5" t="s">
        <v>36</v>
      </c>
      <c r="G493" s="5" t="s">
        <v>37</v>
      </c>
      <c r="H493" s="5"/>
      <c r="I493" s="5"/>
      <c r="J493" s="5" t="s">
        <v>59</v>
      </c>
      <c r="K493" s="5" t="s">
        <v>50</v>
      </c>
      <c r="L493" s="5" t="s">
        <v>51</v>
      </c>
      <c r="M493" s="5" t="s">
        <v>52</v>
      </c>
      <c r="N493" s="5" t="s">
        <v>35</v>
      </c>
      <c r="O493" s="5">
        <v>1</v>
      </c>
      <c r="P493" s="5" t="s">
        <v>42</v>
      </c>
      <c r="Q493" s="5">
        <v>8</v>
      </c>
      <c r="R493" s="5"/>
      <c r="S493" s="5"/>
      <c r="T493" s="5"/>
      <c r="U493" s="5"/>
      <c r="V493" s="5"/>
      <c r="W493" s="5"/>
      <c r="X493" s="5"/>
      <c r="Y493" s="5" t="s">
        <v>1962</v>
      </c>
      <c r="Z493" s="5" t="s">
        <v>895</v>
      </c>
      <c r="AA493" s="5" t="s">
        <v>2620</v>
      </c>
      <c r="AB493" s="5" t="s">
        <v>45</v>
      </c>
      <c r="AC493" s="5"/>
      <c r="AD493" s="5"/>
      <c r="AE493" s="5"/>
      <c r="AG493" s="9">
        <f t="shared" si="7"/>
        <v>43283</v>
      </c>
    </row>
    <row r="494" s="6" customFormat="1" spans="1:33">
      <c r="A494" s="5" t="s">
        <v>2621</v>
      </c>
      <c r="B494" s="5" t="s">
        <v>2621</v>
      </c>
      <c r="C494" s="5" t="s">
        <v>2622</v>
      </c>
      <c r="D494" s="5" t="s">
        <v>2623</v>
      </c>
      <c r="E494" s="5" t="s">
        <v>35</v>
      </c>
      <c r="F494" s="5" t="s">
        <v>36</v>
      </c>
      <c r="G494" s="5" t="s">
        <v>37</v>
      </c>
      <c r="H494" s="5"/>
      <c r="I494" s="5"/>
      <c r="J494" s="5" t="s">
        <v>38</v>
      </c>
      <c r="K494" s="5" t="s">
        <v>94</v>
      </c>
      <c r="L494" s="5" t="s">
        <v>95</v>
      </c>
      <c r="M494" s="5" t="s">
        <v>96</v>
      </c>
      <c r="N494" s="5" t="s">
        <v>35</v>
      </c>
      <c r="O494" s="5">
        <v>1</v>
      </c>
      <c r="P494" s="5" t="s">
        <v>42</v>
      </c>
      <c r="Q494" s="5">
        <v>15.99</v>
      </c>
      <c r="R494" s="5"/>
      <c r="S494" s="5">
        <v>0.32</v>
      </c>
      <c r="T494" s="5"/>
      <c r="U494" s="5"/>
      <c r="V494" s="5"/>
      <c r="W494" s="5"/>
      <c r="X494" s="5"/>
      <c r="Y494" s="5" t="s">
        <v>1745</v>
      </c>
      <c r="Z494" s="5" t="s">
        <v>1583</v>
      </c>
      <c r="AA494" s="5" t="s">
        <v>2624</v>
      </c>
      <c r="AB494" s="5" t="s">
        <v>45</v>
      </c>
      <c r="AC494" s="5"/>
      <c r="AD494" s="5"/>
      <c r="AE494" s="5"/>
      <c r="AG494" s="9">
        <f t="shared" si="7"/>
        <v>43283</v>
      </c>
    </row>
    <row r="495" s="6" customFormat="1" spans="1:33">
      <c r="A495" s="5" t="s">
        <v>2625</v>
      </c>
      <c r="B495" s="5" t="s">
        <v>2625</v>
      </c>
      <c r="C495" s="5" t="s">
        <v>2626</v>
      </c>
      <c r="D495" s="5" t="s">
        <v>2627</v>
      </c>
      <c r="E495" s="5" t="s">
        <v>35</v>
      </c>
      <c r="F495" s="5" t="s">
        <v>36</v>
      </c>
      <c r="G495" s="5" t="s">
        <v>37</v>
      </c>
      <c r="H495" s="5"/>
      <c r="I495" s="5"/>
      <c r="J495" s="5" t="s">
        <v>59</v>
      </c>
      <c r="K495" s="5" t="s">
        <v>2628</v>
      </c>
      <c r="L495" s="5" t="s">
        <v>2629</v>
      </c>
      <c r="M495" s="5" t="s">
        <v>2630</v>
      </c>
      <c r="N495" s="5" t="s">
        <v>35</v>
      </c>
      <c r="O495" s="5">
        <v>1</v>
      </c>
      <c r="P495" s="5" t="s">
        <v>42</v>
      </c>
      <c r="Q495" s="5">
        <v>7.99</v>
      </c>
      <c r="R495" s="5"/>
      <c r="S495" s="5"/>
      <c r="T495" s="5"/>
      <c r="U495" s="5"/>
      <c r="V495" s="5"/>
      <c r="W495" s="5"/>
      <c r="X495" s="5"/>
      <c r="Y495" s="5" t="s">
        <v>2631</v>
      </c>
      <c r="Z495" s="5" t="s">
        <v>2632</v>
      </c>
      <c r="AA495" s="5">
        <v>19943</v>
      </c>
      <c r="AB495" s="5" t="s">
        <v>45</v>
      </c>
      <c r="AC495" s="5"/>
      <c r="AD495" s="5"/>
      <c r="AE495" s="5"/>
      <c r="AG495" s="9">
        <f t="shared" si="7"/>
        <v>43283</v>
      </c>
    </row>
    <row r="496" s="6" customFormat="1" spans="1:33">
      <c r="A496" s="5" t="s">
        <v>2633</v>
      </c>
      <c r="B496" s="5" t="s">
        <v>2633</v>
      </c>
      <c r="C496" s="5" t="s">
        <v>2634</v>
      </c>
      <c r="D496" s="5" t="s">
        <v>2635</v>
      </c>
      <c r="E496" s="5" t="s">
        <v>35</v>
      </c>
      <c r="F496" s="5" t="s">
        <v>36</v>
      </c>
      <c r="G496" s="5" t="s">
        <v>37</v>
      </c>
      <c r="H496" s="5"/>
      <c r="I496" s="5"/>
      <c r="J496" s="5" t="s">
        <v>59</v>
      </c>
      <c r="K496" s="5" t="s">
        <v>2636</v>
      </c>
      <c r="L496" s="5" t="s">
        <v>2637</v>
      </c>
      <c r="M496" s="5" t="s">
        <v>2638</v>
      </c>
      <c r="N496" s="5" t="s">
        <v>35</v>
      </c>
      <c r="O496" s="5">
        <v>1</v>
      </c>
      <c r="P496" s="5" t="s">
        <v>42</v>
      </c>
      <c r="Q496" s="5">
        <v>12.79</v>
      </c>
      <c r="R496" s="5"/>
      <c r="S496" s="5"/>
      <c r="T496" s="5"/>
      <c r="U496" s="5"/>
      <c r="V496" s="5"/>
      <c r="W496" s="5"/>
      <c r="X496" s="5"/>
      <c r="Y496" s="5" t="s">
        <v>2639</v>
      </c>
      <c r="Z496" s="5" t="s">
        <v>871</v>
      </c>
      <c r="AA496" s="5">
        <v>28792</v>
      </c>
      <c r="AB496" s="5" t="s">
        <v>45</v>
      </c>
      <c r="AC496" s="5"/>
      <c r="AD496" s="5"/>
      <c r="AE496" s="5"/>
      <c r="AG496" s="9">
        <f t="shared" si="7"/>
        <v>43283</v>
      </c>
    </row>
    <row r="497" s="6" customFormat="1" spans="1:33">
      <c r="A497" s="5" t="s">
        <v>2640</v>
      </c>
      <c r="B497" s="5" t="s">
        <v>2640</v>
      </c>
      <c r="C497" s="5" t="s">
        <v>2641</v>
      </c>
      <c r="D497" s="5" t="s">
        <v>2642</v>
      </c>
      <c r="E497" s="5" t="s">
        <v>35</v>
      </c>
      <c r="F497" s="5" t="s">
        <v>36</v>
      </c>
      <c r="G497" s="5" t="s">
        <v>37</v>
      </c>
      <c r="H497" s="5"/>
      <c r="I497" s="5"/>
      <c r="J497" s="5" t="s">
        <v>59</v>
      </c>
      <c r="K497" s="5" t="s">
        <v>94</v>
      </c>
      <c r="L497" s="5" t="s">
        <v>95</v>
      </c>
      <c r="M497" s="5" t="s">
        <v>96</v>
      </c>
      <c r="N497" s="5" t="s">
        <v>35</v>
      </c>
      <c r="O497" s="5">
        <v>1</v>
      </c>
      <c r="P497" s="5" t="s">
        <v>42</v>
      </c>
      <c r="Q497" s="5">
        <v>15.99</v>
      </c>
      <c r="R497" s="5"/>
      <c r="S497" s="5"/>
      <c r="T497" s="5"/>
      <c r="U497" s="5"/>
      <c r="V497" s="5"/>
      <c r="W497" s="5"/>
      <c r="X497" s="5"/>
      <c r="Y497" s="5" t="s">
        <v>860</v>
      </c>
      <c r="Z497" s="5" t="s">
        <v>861</v>
      </c>
      <c r="AA497" s="5" t="s">
        <v>2643</v>
      </c>
      <c r="AB497" s="5" t="s">
        <v>45</v>
      </c>
      <c r="AC497" s="5"/>
      <c r="AD497" s="5"/>
      <c r="AE497" s="5"/>
      <c r="AG497" s="9">
        <f t="shared" si="7"/>
        <v>43283</v>
      </c>
    </row>
    <row r="498" s="6" customFormat="1" spans="1:33">
      <c r="A498" s="5" t="s">
        <v>2644</v>
      </c>
      <c r="B498" s="5" t="s">
        <v>2644</v>
      </c>
      <c r="C498" s="5" t="s">
        <v>2645</v>
      </c>
      <c r="D498" s="5" t="s">
        <v>2646</v>
      </c>
      <c r="E498" s="5" t="s">
        <v>35</v>
      </c>
      <c r="F498" s="5" t="s">
        <v>36</v>
      </c>
      <c r="G498" s="5" t="s">
        <v>37</v>
      </c>
      <c r="H498" s="5"/>
      <c r="I498" s="5"/>
      <c r="J498" s="5" t="s">
        <v>59</v>
      </c>
      <c r="K498" s="5" t="s">
        <v>94</v>
      </c>
      <c r="L498" s="5" t="s">
        <v>95</v>
      </c>
      <c r="M498" s="5" t="s">
        <v>96</v>
      </c>
      <c r="N498" s="5" t="s">
        <v>35</v>
      </c>
      <c r="O498" s="5">
        <v>1</v>
      </c>
      <c r="P498" s="5" t="s">
        <v>42</v>
      </c>
      <c r="Q498" s="5">
        <v>15.99</v>
      </c>
      <c r="R498" s="5"/>
      <c r="S498" s="5"/>
      <c r="T498" s="5"/>
      <c r="U498" s="5"/>
      <c r="V498" s="5"/>
      <c r="W498" s="5"/>
      <c r="X498" s="5"/>
      <c r="Y498" s="5" t="s">
        <v>2647</v>
      </c>
      <c r="Z498" s="5" t="s">
        <v>609</v>
      </c>
      <c r="AA498" s="5" t="s">
        <v>2648</v>
      </c>
      <c r="AB498" s="5" t="s">
        <v>45</v>
      </c>
      <c r="AC498" s="5"/>
      <c r="AD498" s="5"/>
      <c r="AE498" s="5"/>
      <c r="AG498" s="9">
        <f t="shared" si="7"/>
        <v>43283</v>
      </c>
    </row>
    <row r="499" s="6" customFormat="1" spans="1:33">
      <c r="A499" s="5" t="s">
        <v>2649</v>
      </c>
      <c r="B499" s="5" t="s">
        <v>2649</v>
      </c>
      <c r="C499" s="5" t="s">
        <v>2650</v>
      </c>
      <c r="D499" s="5" t="s">
        <v>2651</v>
      </c>
      <c r="E499" s="5" t="s">
        <v>35</v>
      </c>
      <c r="F499" s="5" t="s">
        <v>36</v>
      </c>
      <c r="G499" s="5" t="s">
        <v>37</v>
      </c>
      <c r="H499" s="5"/>
      <c r="I499" s="5"/>
      <c r="J499" s="5" t="s">
        <v>59</v>
      </c>
      <c r="K499" s="5" t="s">
        <v>2652</v>
      </c>
      <c r="L499" s="5" t="s">
        <v>87</v>
      </c>
      <c r="M499" s="5" t="s">
        <v>88</v>
      </c>
      <c r="N499" s="5" t="s">
        <v>35</v>
      </c>
      <c r="O499" s="5">
        <v>1</v>
      </c>
      <c r="P499" s="5" t="s">
        <v>42</v>
      </c>
      <c r="Q499" s="5">
        <v>14.99</v>
      </c>
      <c r="R499" s="5"/>
      <c r="S499" s="5"/>
      <c r="T499" s="5"/>
      <c r="U499" s="5"/>
      <c r="V499" s="5"/>
      <c r="W499" s="5"/>
      <c r="X499" s="5"/>
      <c r="Y499" s="5" t="s">
        <v>2653</v>
      </c>
      <c r="Z499" s="5" t="s">
        <v>90</v>
      </c>
      <c r="AA499" s="5">
        <v>43078</v>
      </c>
      <c r="AB499" s="5" t="s">
        <v>45</v>
      </c>
      <c r="AC499" s="5"/>
      <c r="AD499" s="5"/>
      <c r="AE499" s="5"/>
      <c r="AG499" s="9">
        <f t="shared" si="7"/>
        <v>43283</v>
      </c>
    </row>
    <row r="500" s="6" customFormat="1" spans="1:33">
      <c r="A500" s="5" t="s">
        <v>2654</v>
      </c>
      <c r="B500" s="5" t="s">
        <v>2654</v>
      </c>
      <c r="C500" s="5" t="s">
        <v>2655</v>
      </c>
      <c r="D500" s="5" t="s">
        <v>2656</v>
      </c>
      <c r="E500" s="5" t="s">
        <v>35</v>
      </c>
      <c r="F500" s="5" t="s">
        <v>36</v>
      </c>
      <c r="G500" s="5" t="s">
        <v>37</v>
      </c>
      <c r="H500" s="5"/>
      <c r="I500" s="5"/>
      <c r="J500" s="5" t="s">
        <v>59</v>
      </c>
      <c r="K500" s="5" t="s">
        <v>675</v>
      </c>
      <c r="L500" s="5" t="s">
        <v>676</v>
      </c>
      <c r="M500" s="5" t="s">
        <v>677</v>
      </c>
      <c r="N500" s="5" t="s">
        <v>35</v>
      </c>
      <c r="O500" s="5">
        <v>1</v>
      </c>
      <c r="P500" s="5" t="s">
        <v>42</v>
      </c>
      <c r="Q500" s="5">
        <v>14.99</v>
      </c>
      <c r="R500" s="5"/>
      <c r="S500" s="5"/>
      <c r="T500" s="5"/>
      <c r="U500" s="5"/>
      <c r="V500" s="5"/>
      <c r="W500" s="5"/>
      <c r="X500" s="5"/>
      <c r="Y500" s="5" t="s">
        <v>2657</v>
      </c>
      <c r="Z500" s="5" t="s">
        <v>211</v>
      </c>
      <c r="AA500" s="5" t="s">
        <v>2658</v>
      </c>
      <c r="AB500" s="5" t="s">
        <v>45</v>
      </c>
      <c r="AC500" s="5"/>
      <c r="AD500" s="5"/>
      <c r="AE500" s="5"/>
      <c r="AG500" s="9">
        <f t="shared" si="7"/>
        <v>43283</v>
      </c>
    </row>
    <row r="501" s="6" customFormat="1" spans="1:33">
      <c r="A501" s="5" t="s">
        <v>2659</v>
      </c>
      <c r="B501" s="5" t="s">
        <v>2659</v>
      </c>
      <c r="C501" s="5" t="s">
        <v>2660</v>
      </c>
      <c r="D501" s="5" t="s">
        <v>2661</v>
      </c>
      <c r="E501" s="5" t="s">
        <v>35</v>
      </c>
      <c r="F501" s="5" t="s">
        <v>36</v>
      </c>
      <c r="G501" s="5" t="s">
        <v>37</v>
      </c>
      <c r="H501" s="5"/>
      <c r="I501" s="5"/>
      <c r="J501" s="5" t="s">
        <v>59</v>
      </c>
      <c r="K501" s="5" t="s">
        <v>2053</v>
      </c>
      <c r="L501" s="5" t="s">
        <v>2054</v>
      </c>
      <c r="M501" s="5" t="s">
        <v>2055</v>
      </c>
      <c r="N501" s="5" t="s">
        <v>35</v>
      </c>
      <c r="O501" s="5">
        <v>1</v>
      </c>
      <c r="P501" s="5" t="s">
        <v>42</v>
      </c>
      <c r="Q501" s="5">
        <v>14.99</v>
      </c>
      <c r="R501" s="5"/>
      <c r="S501" s="5"/>
      <c r="T501" s="5"/>
      <c r="U501" s="5"/>
      <c r="V501" s="5"/>
      <c r="W501" s="5"/>
      <c r="X501" s="5"/>
      <c r="Y501" s="5" t="s">
        <v>2662</v>
      </c>
      <c r="Z501" s="5" t="s">
        <v>127</v>
      </c>
      <c r="AA501" s="5" t="s">
        <v>2663</v>
      </c>
      <c r="AB501" s="5" t="s">
        <v>45</v>
      </c>
      <c r="AC501" s="5"/>
      <c r="AD501" s="5"/>
      <c r="AE501" s="5"/>
      <c r="AG501" s="9">
        <f t="shared" si="7"/>
        <v>43283</v>
      </c>
    </row>
    <row r="502" s="6" customFormat="1" spans="1:33">
      <c r="A502" s="5" t="s">
        <v>2664</v>
      </c>
      <c r="B502" s="5" t="s">
        <v>2664</v>
      </c>
      <c r="C502" s="5" t="s">
        <v>2665</v>
      </c>
      <c r="D502" s="5" t="s">
        <v>2666</v>
      </c>
      <c r="E502" s="5" t="s">
        <v>35</v>
      </c>
      <c r="F502" s="5" t="s">
        <v>36</v>
      </c>
      <c r="G502" s="5" t="s">
        <v>37</v>
      </c>
      <c r="H502" s="5"/>
      <c r="I502" s="5"/>
      <c r="J502" s="5" t="s">
        <v>59</v>
      </c>
      <c r="K502" s="5" t="s">
        <v>50</v>
      </c>
      <c r="L502" s="5" t="s">
        <v>51</v>
      </c>
      <c r="M502" s="5" t="s">
        <v>52</v>
      </c>
      <c r="N502" s="5" t="s">
        <v>35</v>
      </c>
      <c r="O502" s="5">
        <v>1</v>
      </c>
      <c r="P502" s="5" t="s">
        <v>42</v>
      </c>
      <c r="Q502" s="5">
        <v>8</v>
      </c>
      <c r="R502" s="5"/>
      <c r="S502" s="5"/>
      <c r="T502" s="5"/>
      <c r="U502" s="5"/>
      <c r="V502" s="5"/>
      <c r="W502" s="5"/>
      <c r="X502" s="5"/>
      <c r="Y502" s="5" t="s">
        <v>501</v>
      </c>
      <c r="Z502" s="5" t="s">
        <v>127</v>
      </c>
      <c r="AA502" s="5" t="s">
        <v>2667</v>
      </c>
      <c r="AB502" s="5" t="s">
        <v>45</v>
      </c>
      <c r="AC502" s="5"/>
      <c r="AD502" s="5"/>
      <c r="AE502" s="5"/>
      <c r="AG502" s="9">
        <f t="shared" si="7"/>
        <v>43283</v>
      </c>
    </row>
    <row r="503" s="6" customFormat="1" spans="1:33">
      <c r="A503" s="5" t="s">
        <v>2668</v>
      </c>
      <c r="B503" s="5" t="s">
        <v>2668</v>
      </c>
      <c r="C503" s="5" t="s">
        <v>2669</v>
      </c>
      <c r="D503" s="5" t="s">
        <v>2670</v>
      </c>
      <c r="E503" s="5" t="s">
        <v>35</v>
      </c>
      <c r="F503" s="5" t="s">
        <v>36</v>
      </c>
      <c r="G503" s="5" t="s">
        <v>37</v>
      </c>
      <c r="H503" s="5"/>
      <c r="I503" s="5"/>
      <c r="J503" s="5" t="s">
        <v>59</v>
      </c>
      <c r="K503" s="5" t="s">
        <v>831</v>
      </c>
      <c r="L503" s="5" t="s">
        <v>832</v>
      </c>
      <c r="M503" s="5" t="s">
        <v>833</v>
      </c>
      <c r="N503" s="5" t="s">
        <v>35</v>
      </c>
      <c r="O503" s="5">
        <v>1</v>
      </c>
      <c r="P503" s="5" t="s">
        <v>42</v>
      </c>
      <c r="Q503" s="5">
        <v>15.99</v>
      </c>
      <c r="R503" s="5"/>
      <c r="S503" s="5"/>
      <c r="T503" s="5"/>
      <c r="U503" s="5"/>
      <c r="V503" s="5"/>
      <c r="W503" s="5"/>
      <c r="X503" s="5"/>
      <c r="Y503" s="5" t="s">
        <v>908</v>
      </c>
      <c r="Z503" s="5" t="s">
        <v>182</v>
      </c>
      <c r="AA503" s="5" t="s">
        <v>2671</v>
      </c>
      <c r="AB503" s="5" t="s">
        <v>45</v>
      </c>
      <c r="AC503" s="5"/>
      <c r="AD503" s="5"/>
      <c r="AE503" s="5"/>
      <c r="AG503" s="9">
        <f t="shared" si="7"/>
        <v>43283</v>
      </c>
    </row>
    <row r="504" s="6" customFormat="1" spans="1:33">
      <c r="A504" s="5" t="s">
        <v>2672</v>
      </c>
      <c r="B504" s="5" t="s">
        <v>2672</v>
      </c>
      <c r="C504" s="5" t="s">
        <v>2673</v>
      </c>
      <c r="D504" s="5" t="s">
        <v>2674</v>
      </c>
      <c r="E504" s="5" t="s">
        <v>35</v>
      </c>
      <c r="F504" s="5" t="s">
        <v>36</v>
      </c>
      <c r="G504" s="5" t="s">
        <v>37</v>
      </c>
      <c r="H504" s="5"/>
      <c r="I504" s="5"/>
      <c r="J504" s="5" t="s">
        <v>59</v>
      </c>
      <c r="K504" s="5" t="s">
        <v>2675</v>
      </c>
      <c r="L504" s="5" t="s">
        <v>2676</v>
      </c>
      <c r="M504" s="5" t="s">
        <v>2677</v>
      </c>
      <c r="N504" s="5" t="s">
        <v>35</v>
      </c>
      <c r="O504" s="5">
        <v>1</v>
      </c>
      <c r="P504" s="5" t="s">
        <v>42</v>
      </c>
      <c r="Q504" s="5">
        <v>11.99</v>
      </c>
      <c r="R504" s="5"/>
      <c r="S504" s="5"/>
      <c r="T504" s="5"/>
      <c r="U504" s="5"/>
      <c r="V504" s="5"/>
      <c r="W504" s="5"/>
      <c r="X504" s="5"/>
      <c r="Y504" s="5" t="s">
        <v>1508</v>
      </c>
      <c r="Z504" s="5" t="s">
        <v>211</v>
      </c>
      <c r="AA504" s="5" t="s">
        <v>2678</v>
      </c>
      <c r="AB504" s="5" t="s">
        <v>45</v>
      </c>
      <c r="AC504" s="5"/>
      <c r="AD504" s="5"/>
      <c r="AE504" s="5"/>
      <c r="AG504" s="9">
        <f t="shared" si="7"/>
        <v>43283</v>
      </c>
    </row>
    <row r="505" s="6" customFormat="1" spans="1:33">
      <c r="A505" s="5" t="s">
        <v>2679</v>
      </c>
      <c r="B505" s="5" t="s">
        <v>2679</v>
      </c>
      <c r="C505" s="5" t="s">
        <v>2680</v>
      </c>
      <c r="D505" s="5" t="s">
        <v>2681</v>
      </c>
      <c r="E505" s="5" t="s">
        <v>35</v>
      </c>
      <c r="F505" s="5" t="s">
        <v>36</v>
      </c>
      <c r="G505" s="5" t="s">
        <v>37</v>
      </c>
      <c r="H505" s="5"/>
      <c r="I505" s="5"/>
      <c r="J505" s="5" t="s">
        <v>59</v>
      </c>
      <c r="K505" s="5" t="s">
        <v>1102</v>
      </c>
      <c r="L505" s="5" t="s">
        <v>1103</v>
      </c>
      <c r="M505" s="5" t="s">
        <v>1104</v>
      </c>
      <c r="N505" s="5" t="s">
        <v>35</v>
      </c>
      <c r="O505" s="5">
        <v>1</v>
      </c>
      <c r="P505" s="5" t="s">
        <v>42</v>
      </c>
      <c r="Q505" s="5">
        <v>17.99</v>
      </c>
      <c r="R505" s="5"/>
      <c r="S505" s="5"/>
      <c r="T505" s="5"/>
      <c r="U505" s="5"/>
      <c r="V505" s="5"/>
      <c r="W505" s="5"/>
      <c r="X505" s="5"/>
      <c r="Y505" s="5" t="s">
        <v>2682</v>
      </c>
      <c r="Z505" s="5" t="s">
        <v>162</v>
      </c>
      <c r="AA505" s="5" t="s">
        <v>2683</v>
      </c>
      <c r="AB505" s="5" t="s">
        <v>45</v>
      </c>
      <c r="AC505" s="5"/>
      <c r="AD505" s="5"/>
      <c r="AE505" s="5"/>
      <c r="AG505" s="9">
        <f t="shared" si="7"/>
        <v>43283</v>
      </c>
    </row>
    <row r="506" s="6" customFormat="1" spans="1:33">
      <c r="A506" s="5" t="s">
        <v>2684</v>
      </c>
      <c r="B506" s="5" t="s">
        <v>2684</v>
      </c>
      <c r="C506" s="5" t="s">
        <v>2685</v>
      </c>
      <c r="D506" s="5" t="s">
        <v>2686</v>
      </c>
      <c r="E506" s="5" t="s">
        <v>35</v>
      </c>
      <c r="F506" s="5" t="s">
        <v>36</v>
      </c>
      <c r="G506" s="5" t="s">
        <v>37</v>
      </c>
      <c r="H506" s="5"/>
      <c r="I506" s="5"/>
      <c r="J506" s="5" t="s">
        <v>59</v>
      </c>
      <c r="K506" s="5" t="s">
        <v>50</v>
      </c>
      <c r="L506" s="5" t="s">
        <v>51</v>
      </c>
      <c r="M506" s="5" t="s">
        <v>52</v>
      </c>
      <c r="N506" s="5" t="s">
        <v>35</v>
      </c>
      <c r="O506" s="5">
        <v>1</v>
      </c>
      <c r="P506" s="5" t="s">
        <v>42</v>
      </c>
      <c r="Q506" s="5">
        <v>8</v>
      </c>
      <c r="R506" s="5"/>
      <c r="S506" s="5"/>
      <c r="T506" s="5"/>
      <c r="U506" s="5"/>
      <c r="V506" s="5"/>
      <c r="W506" s="5"/>
      <c r="X506" s="5"/>
      <c r="Y506" s="5" t="s">
        <v>2687</v>
      </c>
      <c r="Z506" s="5" t="s">
        <v>153</v>
      </c>
      <c r="AA506" s="5" t="s">
        <v>2688</v>
      </c>
      <c r="AB506" s="5" t="s">
        <v>45</v>
      </c>
      <c r="AC506" s="5"/>
      <c r="AD506" s="5"/>
      <c r="AE506" s="5"/>
      <c r="AG506" s="9">
        <f t="shared" si="7"/>
        <v>43283</v>
      </c>
    </row>
    <row r="507" s="6" customFormat="1" spans="1:33">
      <c r="A507" s="5" t="s">
        <v>2689</v>
      </c>
      <c r="B507" s="5" t="s">
        <v>2689</v>
      </c>
      <c r="C507" s="5" t="s">
        <v>2690</v>
      </c>
      <c r="D507" s="5" t="s">
        <v>2691</v>
      </c>
      <c r="E507" s="5" t="s">
        <v>35</v>
      </c>
      <c r="F507" s="5" t="s">
        <v>36</v>
      </c>
      <c r="G507" s="5" t="s">
        <v>37</v>
      </c>
      <c r="H507" s="5"/>
      <c r="I507" s="5"/>
      <c r="J507" s="5" t="s">
        <v>59</v>
      </c>
      <c r="K507" s="5" t="s">
        <v>1452</v>
      </c>
      <c r="L507" s="5" t="s">
        <v>553</v>
      </c>
      <c r="M507" s="5" t="s">
        <v>554</v>
      </c>
      <c r="N507" s="5" t="s">
        <v>35</v>
      </c>
      <c r="O507" s="5">
        <v>2</v>
      </c>
      <c r="P507" s="5" t="s">
        <v>42</v>
      </c>
      <c r="Q507" s="5">
        <v>37.98</v>
      </c>
      <c r="R507" s="5"/>
      <c r="S507" s="5"/>
      <c r="T507" s="5"/>
      <c r="U507" s="5"/>
      <c r="V507" s="5"/>
      <c r="W507" s="5"/>
      <c r="X507" s="5"/>
      <c r="Y507" s="5" t="s">
        <v>1320</v>
      </c>
      <c r="Z507" s="5" t="s">
        <v>153</v>
      </c>
      <c r="AA507" s="5" t="s">
        <v>2692</v>
      </c>
      <c r="AB507" s="5" t="s">
        <v>45</v>
      </c>
      <c r="AC507" s="5"/>
      <c r="AD507" s="5"/>
      <c r="AE507" s="5"/>
      <c r="AG507" s="9">
        <f t="shared" si="7"/>
        <v>43283</v>
      </c>
    </row>
    <row r="508" s="6" customFormat="1" spans="1:33">
      <c r="A508" s="5" t="s">
        <v>2693</v>
      </c>
      <c r="B508" s="5" t="s">
        <v>2693</v>
      </c>
      <c r="C508" s="5" t="s">
        <v>2694</v>
      </c>
      <c r="D508" s="5" t="s">
        <v>2695</v>
      </c>
      <c r="E508" s="5" t="s">
        <v>35</v>
      </c>
      <c r="F508" s="5" t="s">
        <v>36</v>
      </c>
      <c r="G508" s="5" t="s">
        <v>37</v>
      </c>
      <c r="H508" s="5"/>
      <c r="I508" s="5"/>
      <c r="J508" s="5" t="s">
        <v>59</v>
      </c>
      <c r="K508" s="5" t="s">
        <v>50</v>
      </c>
      <c r="L508" s="5" t="s">
        <v>51</v>
      </c>
      <c r="M508" s="5" t="s">
        <v>52</v>
      </c>
      <c r="N508" s="5" t="s">
        <v>35</v>
      </c>
      <c r="O508" s="5">
        <v>1</v>
      </c>
      <c r="P508" s="5" t="s">
        <v>42</v>
      </c>
      <c r="Q508" s="5">
        <v>8</v>
      </c>
      <c r="R508" s="5"/>
      <c r="S508" s="5"/>
      <c r="T508" s="5"/>
      <c r="U508" s="5"/>
      <c r="V508" s="5"/>
      <c r="W508" s="5"/>
      <c r="X508" s="5"/>
      <c r="Y508" s="5" t="s">
        <v>2696</v>
      </c>
      <c r="Z508" s="5" t="s">
        <v>885</v>
      </c>
      <c r="AA508" s="5" t="s">
        <v>2697</v>
      </c>
      <c r="AB508" s="5" t="s">
        <v>45</v>
      </c>
      <c r="AC508" s="5"/>
      <c r="AD508" s="5"/>
      <c r="AE508" s="5"/>
      <c r="AG508" s="9">
        <f t="shared" si="7"/>
        <v>43283</v>
      </c>
    </row>
    <row r="509" s="6" customFormat="1" spans="1:33">
      <c r="A509" s="5" t="s">
        <v>2698</v>
      </c>
      <c r="B509" s="5" t="s">
        <v>2698</v>
      </c>
      <c r="C509" s="5" t="s">
        <v>2699</v>
      </c>
      <c r="D509" s="5" t="s">
        <v>2700</v>
      </c>
      <c r="E509" s="5" t="s">
        <v>35</v>
      </c>
      <c r="F509" s="5" t="s">
        <v>36</v>
      </c>
      <c r="G509" s="5" t="s">
        <v>37</v>
      </c>
      <c r="H509" s="5"/>
      <c r="I509" s="5"/>
      <c r="J509" s="5" t="s">
        <v>59</v>
      </c>
      <c r="K509" s="5" t="s">
        <v>50</v>
      </c>
      <c r="L509" s="5" t="s">
        <v>51</v>
      </c>
      <c r="M509" s="5" t="s">
        <v>52</v>
      </c>
      <c r="N509" s="5" t="s">
        <v>35</v>
      </c>
      <c r="O509" s="5">
        <v>1</v>
      </c>
      <c r="P509" s="5" t="s">
        <v>42</v>
      </c>
      <c r="Q509" s="5">
        <v>8</v>
      </c>
      <c r="R509" s="5"/>
      <c r="S509" s="5"/>
      <c r="T509" s="5"/>
      <c r="U509" s="5"/>
      <c r="V509" s="5"/>
      <c r="W509" s="5"/>
      <c r="X509" s="5"/>
      <c r="Y509" s="5" t="s">
        <v>2701</v>
      </c>
      <c r="Z509" s="5" t="s">
        <v>153</v>
      </c>
      <c r="AA509" s="5" t="s">
        <v>2702</v>
      </c>
      <c r="AB509" s="5" t="s">
        <v>45</v>
      </c>
      <c r="AC509" s="5"/>
      <c r="AD509" s="5"/>
      <c r="AE509" s="5"/>
      <c r="AG509" s="9">
        <f t="shared" si="7"/>
        <v>43283</v>
      </c>
    </row>
    <row r="510" s="6" customFormat="1" spans="1:33">
      <c r="A510" s="5" t="s">
        <v>2703</v>
      </c>
      <c r="B510" s="5" t="s">
        <v>2703</v>
      </c>
      <c r="C510" s="5" t="s">
        <v>2704</v>
      </c>
      <c r="D510" s="5" t="s">
        <v>2705</v>
      </c>
      <c r="E510" s="5" t="s">
        <v>35</v>
      </c>
      <c r="F510" s="5" t="s">
        <v>36</v>
      </c>
      <c r="G510" s="5" t="s">
        <v>37</v>
      </c>
      <c r="H510" s="5"/>
      <c r="I510" s="5"/>
      <c r="J510" s="5" t="s">
        <v>59</v>
      </c>
      <c r="K510" s="5" t="s">
        <v>1499</v>
      </c>
      <c r="L510" s="5" t="s">
        <v>1500</v>
      </c>
      <c r="M510" s="5" t="s">
        <v>1501</v>
      </c>
      <c r="N510" s="5" t="s">
        <v>35</v>
      </c>
      <c r="O510" s="5">
        <v>1</v>
      </c>
      <c r="P510" s="5" t="s">
        <v>42</v>
      </c>
      <c r="Q510" s="5">
        <v>15.99</v>
      </c>
      <c r="R510" s="5"/>
      <c r="S510" s="5"/>
      <c r="T510" s="5"/>
      <c r="U510" s="5"/>
      <c r="V510" s="5"/>
      <c r="W510" s="5"/>
      <c r="X510" s="5"/>
      <c r="Y510" s="5" t="s">
        <v>2706</v>
      </c>
      <c r="Z510" s="5" t="s">
        <v>341</v>
      </c>
      <c r="AA510" s="5" t="s">
        <v>2707</v>
      </c>
      <c r="AB510" s="5" t="s">
        <v>45</v>
      </c>
      <c r="AC510" s="5"/>
      <c r="AD510" s="5"/>
      <c r="AE510" s="5"/>
      <c r="AG510" s="9">
        <f t="shared" si="7"/>
        <v>43283</v>
      </c>
    </row>
    <row r="511" s="6" customFormat="1" spans="1:33">
      <c r="A511" s="5" t="s">
        <v>2708</v>
      </c>
      <c r="B511" s="5" t="s">
        <v>2708</v>
      </c>
      <c r="C511" s="5" t="s">
        <v>2709</v>
      </c>
      <c r="D511" s="5" t="s">
        <v>2710</v>
      </c>
      <c r="E511" s="5" t="s">
        <v>35</v>
      </c>
      <c r="F511" s="5" t="s">
        <v>36</v>
      </c>
      <c r="G511" s="5" t="s">
        <v>37</v>
      </c>
      <c r="H511" s="5"/>
      <c r="I511" s="5"/>
      <c r="J511" s="5" t="s">
        <v>38</v>
      </c>
      <c r="K511" s="5" t="s">
        <v>2711</v>
      </c>
      <c r="L511" s="5" t="s">
        <v>2712</v>
      </c>
      <c r="M511" s="5" t="s">
        <v>2713</v>
      </c>
      <c r="N511" s="5" t="s">
        <v>35</v>
      </c>
      <c r="O511" s="5">
        <v>1</v>
      </c>
      <c r="P511" s="5" t="s">
        <v>42</v>
      </c>
      <c r="Q511" s="5">
        <v>13.99</v>
      </c>
      <c r="R511" s="5"/>
      <c r="S511" s="5">
        <v>3.25</v>
      </c>
      <c r="T511" s="5"/>
      <c r="U511" s="5"/>
      <c r="V511" s="5"/>
      <c r="W511" s="5"/>
      <c r="X511" s="5"/>
      <c r="Y511" s="5" t="s">
        <v>2714</v>
      </c>
      <c r="Z511" s="5" t="s">
        <v>153</v>
      </c>
      <c r="AA511" s="5" t="s">
        <v>2715</v>
      </c>
      <c r="AB511" s="5" t="s">
        <v>45</v>
      </c>
      <c r="AC511" s="5"/>
      <c r="AD511" s="5"/>
      <c r="AE511" s="5"/>
      <c r="AG511" s="9">
        <f t="shared" si="7"/>
        <v>43283</v>
      </c>
    </row>
    <row r="512" s="6" customFormat="1" spans="1:33">
      <c r="A512" s="5" t="s">
        <v>2716</v>
      </c>
      <c r="B512" s="5" t="s">
        <v>2716</v>
      </c>
      <c r="C512" s="5" t="s">
        <v>2717</v>
      </c>
      <c r="D512" s="5" t="s">
        <v>2718</v>
      </c>
      <c r="E512" s="5" t="s">
        <v>35</v>
      </c>
      <c r="F512" s="5" t="s">
        <v>36</v>
      </c>
      <c r="G512" s="5" t="s">
        <v>37</v>
      </c>
      <c r="H512" s="5"/>
      <c r="I512" s="5"/>
      <c r="J512" s="5" t="s">
        <v>59</v>
      </c>
      <c r="K512" s="5" t="s">
        <v>50</v>
      </c>
      <c r="L512" s="5" t="s">
        <v>51</v>
      </c>
      <c r="M512" s="5" t="s">
        <v>52</v>
      </c>
      <c r="N512" s="5" t="s">
        <v>35</v>
      </c>
      <c r="O512" s="5">
        <v>1</v>
      </c>
      <c r="P512" s="5" t="s">
        <v>42</v>
      </c>
      <c r="Q512" s="5">
        <v>8</v>
      </c>
      <c r="R512" s="5"/>
      <c r="S512" s="5"/>
      <c r="T512" s="5"/>
      <c r="U512" s="5"/>
      <c r="V512" s="5"/>
      <c r="W512" s="5"/>
      <c r="X512" s="5"/>
      <c r="Y512" s="5" t="s">
        <v>2545</v>
      </c>
      <c r="Z512" s="5" t="s">
        <v>1612</v>
      </c>
      <c r="AA512" s="5" t="s">
        <v>2719</v>
      </c>
      <c r="AB512" s="5" t="s">
        <v>45</v>
      </c>
      <c r="AC512" s="5"/>
      <c r="AD512" s="5"/>
      <c r="AE512" s="5"/>
      <c r="AG512" s="9">
        <f t="shared" si="7"/>
        <v>43283</v>
      </c>
    </row>
    <row r="513" s="6" customFormat="1" spans="1:33">
      <c r="A513" s="5" t="s">
        <v>2720</v>
      </c>
      <c r="B513" s="5" t="s">
        <v>2720</v>
      </c>
      <c r="C513" s="5" t="s">
        <v>2721</v>
      </c>
      <c r="D513" s="5" t="s">
        <v>2722</v>
      </c>
      <c r="E513" s="5" t="s">
        <v>35</v>
      </c>
      <c r="F513" s="5" t="s">
        <v>36</v>
      </c>
      <c r="G513" s="5" t="s">
        <v>37</v>
      </c>
      <c r="H513" s="5"/>
      <c r="I513" s="5"/>
      <c r="J513" s="5" t="s">
        <v>59</v>
      </c>
      <c r="K513" s="5" t="s">
        <v>50</v>
      </c>
      <c r="L513" s="5" t="s">
        <v>51</v>
      </c>
      <c r="M513" s="5" t="s">
        <v>52</v>
      </c>
      <c r="N513" s="5" t="s">
        <v>35</v>
      </c>
      <c r="O513" s="5">
        <v>1</v>
      </c>
      <c r="P513" s="5" t="s">
        <v>42</v>
      </c>
      <c r="Q513" s="5">
        <v>8</v>
      </c>
      <c r="R513" s="5"/>
      <c r="S513" s="5"/>
      <c r="T513" s="5"/>
      <c r="U513" s="5"/>
      <c r="V513" s="5"/>
      <c r="W513" s="5"/>
      <c r="X513" s="5"/>
      <c r="Y513" s="5" t="s">
        <v>2407</v>
      </c>
      <c r="Z513" s="5" t="s">
        <v>1681</v>
      </c>
      <c r="AA513" s="5" t="s">
        <v>2723</v>
      </c>
      <c r="AB513" s="5" t="s">
        <v>45</v>
      </c>
      <c r="AC513" s="5"/>
      <c r="AD513" s="5"/>
      <c r="AE513" s="5"/>
      <c r="AG513" s="9">
        <f t="shared" si="7"/>
        <v>43283</v>
      </c>
    </row>
    <row r="514" s="6" customFormat="1" spans="1:33">
      <c r="A514" s="5" t="s">
        <v>2724</v>
      </c>
      <c r="B514" s="5" t="s">
        <v>2724</v>
      </c>
      <c r="C514" s="5" t="s">
        <v>2725</v>
      </c>
      <c r="D514" s="5" t="s">
        <v>2726</v>
      </c>
      <c r="E514" s="5" t="s">
        <v>35</v>
      </c>
      <c r="F514" s="5" t="s">
        <v>36</v>
      </c>
      <c r="G514" s="5" t="s">
        <v>37</v>
      </c>
      <c r="H514" s="5"/>
      <c r="I514" s="5"/>
      <c r="J514" s="5" t="s">
        <v>59</v>
      </c>
      <c r="K514" s="5" t="s">
        <v>50</v>
      </c>
      <c r="L514" s="5" t="s">
        <v>51</v>
      </c>
      <c r="M514" s="5" t="s">
        <v>52</v>
      </c>
      <c r="N514" s="5" t="s">
        <v>35</v>
      </c>
      <c r="O514" s="5">
        <v>1</v>
      </c>
      <c r="P514" s="5" t="s">
        <v>42</v>
      </c>
      <c r="Q514" s="5">
        <v>8</v>
      </c>
      <c r="R514" s="5"/>
      <c r="S514" s="5"/>
      <c r="T514" s="5"/>
      <c r="U514" s="5"/>
      <c r="V514" s="5"/>
      <c r="W514" s="5"/>
      <c r="X514" s="5"/>
      <c r="Y514" s="5" t="s">
        <v>2727</v>
      </c>
      <c r="Z514" s="5" t="s">
        <v>54</v>
      </c>
      <c r="AA514" s="5" t="s">
        <v>2728</v>
      </c>
      <c r="AB514" s="5" t="s">
        <v>45</v>
      </c>
      <c r="AC514" s="5"/>
      <c r="AD514" s="5"/>
      <c r="AE514" s="5"/>
      <c r="AF514" s="8"/>
      <c r="AG514" s="9">
        <f t="shared" ref="AG514:AG577" si="8">DATEVALUE(LEFT(C514,10))</f>
        <v>43283</v>
      </c>
    </row>
    <row r="515" s="6" customFormat="1" spans="1:33">
      <c r="A515" s="5" t="s">
        <v>2729</v>
      </c>
      <c r="B515" s="5" t="s">
        <v>2729</v>
      </c>
      <c r="C515" s="5" t="s">
        <v>2730</v>
      </c>
      <c r="D515" s="5" t="s">
        <v>2731</v>
      </c>
      <c r="E515" s="5" t="s">
        <v>274</v>
      </c>
      <c r="F515" s="5" t="s">
        <v>36</v>
      </c>
      <c r="G515" s="5" t="s">
        <v>37</v>
      </c>
      <c r="H515" s="5"/>
      <c r="I515" s="5"/>
      <c r="J515" s="5" t="s">
        <v>59</v>
      </c>
      <c r="K515" s="5" t="s">
        <v>94</v>
      </c>
      <c r="L515" s="5" t="s">
        <v>95</v>
      </c>
      <c r="M515" s="5" t="s">
        <v>96</v>
      </c>
      <c r="N515" s="5" t="s">
        <v>274</v>
      </c>
      <c r="O515" s="5">
        <v>0</v>
      </c>
      <c r="P515" s="5"/>
      <c r="Q515" s="5"/>
      <c r="R515" s="5"/>
      <c r="S515" s="5"/>
      <c r="T515" s="5"/>
      <c r="U515" s="5"/>
      <c r="V515" s="5"/>
      <c r="W515" s="5"/>
      <c r="X515" s="5"/>
      <c r="Y515" s="5" t="s">
        <v>2732</v>
      </c>
      <c r="Z515" s="5" t="s">
        <v>2733</v>
      </c>
      <c r="AA515" s="5">
        <v>95833</v>
      </c>
      <c r="AB515" s="5" t="s">
        <v>45</v>
      </c>
      <c r="AC515" s="5"/>
      <c r="AD515" s="5"/>
      <c r="AE515" s="5"/>
      <c r="AF515" s="8"/>
      <c r="AG515" s="9">
        <f t="shared" si="8"/>
        <v>43283</v>
      </c>
    </row>
    <row r="516" s="6" customFormat="1" spans="1:33">
      <c r="A516" s="5" t="s">
        <v>2734</v>
      </c>
      <c r="B516" s="5" t="s">
        <v>2734</v>
      </c>
      <c r="C516" s="5" t="s">
        <v>2735</v>
      </c>
      <c r="D516" s="5" t="s">
        <v>2736</v>
      </c>
      <c r="E516" s="5" t="s">
        <v>35</v>
      </c>
      <c r="F516" s="5" t="s">
        <v>36</v>
      </c>
      <c r="G516" s="5" t="s">
        <v>37</v>
      </c>
      <c r="H516" s="5"/>
      <c r="I516" s="5"/>
      <c r="J516" s="5" t="s">
        <v>59</v>
      </c>
      <c r="K516" s="5" t="s">
        <v>50</v>
      </c>
      <c r="L516" s="5" t="s">
        <v>51</v>
      </c>
      <c r="M516" s="5" t="s">
        <v>52</v>
      </c>
      <c r="N516" s="5" t="s">
        <v>35</v>
      </c>
      <c r="O516" s="5">
        <v>2</v>
      </c>
      <c r="P516" s="5" t="s">
        <v>42</v>
      </c>
      <c r="Q516" s="5">
        <v>16</v>
      </c>
      <c r="R516" s="5"/>
      <c r="S516" s="5"/>
      <c r="T516" s="5"/>
      <c r="U516" s="5"/>
      <c r="V516" s="5"/>
      <c r="W516" s="5"/>
      <c r="X516" s="5"/>
      <c r="Y516" s="5" t="s">
        <v>2737</v>
      </c>
      <c r="Z516" s="5" t="s">
        <v>534</v>
      </c>
      <c r="AA516" s="5" t="s">
        <v>2738</v>
      </c>
      <c r="AB516" s="5" t="s">
        <v>45</v>
      </c>
      <c r="AC516" s="5"/>
      <c r="AD516" s="5"/>
      <c r="AE516" s="5"/>
      <c r="AF516" s="8"/>
      <c r="AG516" s="9">
        <f t="shared" si="8"/>
        <v>43284</v>
      </c>
    </row>
    <row r="517" s="6" customFormat="1" spans="1:33">
      <c r="A517" s="5" t="s">
        <v>2739</v>
      </c>
      <c r="B517" s="5" t="s">
        <v>2739</v>
      </c>
      <c r="C517" s="5" t="s">
        <v>2740</v>
      </c>
      <c r="D517" s="5" t="s">
        <v>2741</v>
      </c>
      <c r="E517" s="5" t="s">
        <v>35</v>
      </c>
      <c r="F517" s="5" t="s">
        <v>36</v>
      </c>
      <c r="G517" s="5" t="s">
        <v>37</v>
      </c>
      <c r="H517" s="5"/>
      <c r="I517" s="5"/>
      <c r="J517" s="5" t="s">
        <v>59</v>
      </c>
      <c r="K517" s="5" t="s">
        <v>655</v>
      </c>
      <c r="L517" s="5" t="s">
        <v>656</v>
      </c>
      <c r="M517" s="5" t="s">
        <v>657</v>
      </c>
      <c r="N517" s="5" t="s">
        <v>35</v>
      </c>
      <c r="O517" s="5">
        <v>1</v>
      </c>
      <c r="P517" s="5" t="s">
        <v>42</v>
      </c>
      <c r="Q517" s="5">
        <v>18.99</v>
      </c>
      <c r="R517" s="5"/>
      <c r="S517" s="5"/>
      <c r="T517" s="5"/>
      <c r="U517" s="5"/>
      <c r="V517" s="5"/>
      <c r="W517" s="5"/>
      <c r="X517" s="5"/>
      <c r="Y517" s="5" t="s">
        <v>2742</v>
      </c>
      <c r="Z517" s="5" t="s">
        <v>269</v>
      </c>
      <c r="AA517" s="5" t="s">
        <v>2743</v>
      </c>
      <c r="AB517" s="5" t="s">
        <v>45</v>
      </c>
      <c r="AC517" s="5"/>
      <c r="AD517" s="5"/>
      <c r="AE517" s="5"/>
      <c r="AF517" s="8"/>
      <c r="AG517" s="9">
        <f t="shared" si="8"/>
        <v>43284</v>
      </c>
    </row>
    <row r="518" s="6" customFormat="1" spans="1:33">
      <c r="A518" s="5" t="s">
        <v>2744</v>
      </c>
      <c r="B518" s="5" t="s">
        <v>2744</v>
      </c>
      <c r="C518" s="5" t="s">
        <v>2745</v>
      </c>
      <c r="D518" s="5" t="s">
        <v>2746</v>
      </c>
      <c r="E518" s="5" t="s">
        <v>35</v>
      </c>
      <c r="F518" s="5" t="s">
        <v>36</v>
      </c>
      <c r="G518" s="5" t="s">
        <v>37</v>
      </c>
      <c r="H518" s="5"/>
      <c r="I518" s="5"/>
      <c r="J518" s="5" t="s">
        <v>59</v>
      </c>
      <c r="K518" s="5" t="s">
        <v>50</v>
      </c>
      <c r="L518" s="5" t="s">
        <v>51</v>
      </c>
      <c r="M518" s="5" t="s">
        <v>52</v>
      </c>
      <c r="N518" s="5" t="s">
        <v>35</v>
      </c>
      <c r="O518" s="5">
        <v>1</v>
      </c>
      <c r="P518" s="5" t="s">
        <v>42</v>
      </c>
      <c r="Q518" s="5">
        <v>8</v>
      </c>
      <c r="R518" s="5"/>
      <c r="S518" s="5"/>
      <c r="T518" s="5"/>
      <c r="U518" s="5"/>
      <c r="V518" s="5"/>
      <c r="W518" s="5"/>
      <c r="X518" s="5"/>
      <c r="Y518" s="5" t="s">
        <v>2747</v>
      </c>
      <c r="Z518" s="5" t="s">
        <v>2366</v>
      </c>
      <c r="AA518" s="5" t="s">
        <v>2748</v>
      </c>
      <c r="AB518" s="5" t="s">
        <v>45</v>
      </c>
      <c r="AC518" s="5"/>
      <c r="AD518" s="5"/>
      <c r="AE518" s="5"/>
      <c r="AF518" s="8"/>
      <c r="AG518" s="9">
        <f t="shared" si="8"/>
        <v>43284</v>
      </c>
    </row>
    <row r="519" s="6" customFormat="1" spans="1:33">
      <c r="A519" s="5" t="s">
        <v>2749</v>
      </c>
      <c r="B519" s="5" t="s">
        <v>2749</v>
      </c>
      <c r="C519" s="5" t="s">
        <v>2750</v>
      </c>
      <c r="D519" s="5" t="s">
        <v>2751</v>
      </c>
      <c r="E519" s="5" t="s">
        <v>35</v>
      </c>
      <c r="F519" s="5" t="s">
        <v>36</v>
      </c>
      <c r="G519" s="5" t="s">
        <v>37</v>
      </c>
      <c r="H519" s="5"/>
      <c r="I519" s="5"/>
      <c r="J519" s="5" t="s">
        <v>59</v>
      </c>
      <c r="K519" s="5" t="s">
        <v>50</v>
      </c>
      <c r="L519" s="5" t="s">
        <v>51</v>
      </c>
      <c r="M519" s="5" t="s">
        <v>52</v>
      </c>
      <c r="N519" s="5" t="s">
        <v>35</v>
      </c>
      <c r="O519" s="5">
        <v>1</v>
      </c>
      <c r="P519" s="5" t="s">
        <v>42</v>
      </c>
      <c r="Q519" s="5">
        <v>8</v>
      </c>
      <c r="R519" s="5"/>
      <c r="S519" s="5"/>
      <c r="T519" s="5"/>
      <c r="U519" s="5"/>
      <c r="V519" s="5"/>
      <c r="W519" s="5"/>
      <c r="X519" s="5"/>
      <c r="Y519" s="5" t="s">
        <v>2752</v>
      </c>
      <c r="Z519" s="5" t="s">
        <v>54</v>
      </c>
      <c r="AA519" s="5" t="s">
        <v>2753</v>
      </c>
      <c r="AB519" s="5" t="s">
        <v>45</v>
      </c>
      <c r="AC519" s="5"/>
      <c r="AD519" s="5"/>
      <c r="AE519" s="5"/>
      <c r="AF519" s="8"/>
      <c r="AG519" s="9">
        <f t="shared" si="8"/>
        <v>43284</v>
      </c>
    </row>
    <row r="520" s="6" customFormat="1" spans="1:33">
      <c r="A520" s="5" t="s">
        <v>2754</v>
      </c>
      <c r="B520" s="5" t="s">
        <v>2754</v>
      </c>
      <c r="C520" s="5" t="s">
        <v>2755</v>
      </c>
      <c r="D520" s="5" t="s">
        <v>2756</v>
      </c>
      <c r="E520" s="5" t="s">
        <v>35</v>
      </c>
      <c r="F520" s="5" t="s">
        <v>36</v>
      </c>
      <c r="G520" s="5" t="s">
        <v>37</v>
      </c>
      <c r="H520" s="5"/>
      <c r="I520" s="5"/>
      <c r="J520" s="5" t="s">
        <v>38</v>
      </c>
      <c r="K520" s="5" t="s">
        <v>94</v>
      </c>
      <c r="L520" s="5" t="s">
        <v>95</v>
      </c>
      <c r="M520" s="5" t="s">
        <v>96</v>
      </c>
      <c r="N520" s="5" t="s">
        <v>35</v>
      </c>
      <c r="O520" s="5">
        <v>1</v>
      </c>
      <c r="P520" s="5" t="s">
        <v>42</v>
      </c>
      <c r="Q520" s="5">
        <v>15.99</v>
      </c>
      <c r="R520" s="5"/>
      <c r="S520" s="5">
        <v>1.74</v>
      </c>
      <c r="T520" s="5"/>
      <c r="U520" s="5"/>
      <c r="V520" s="5"/>
      <c r="W520" s="5"/>
      <c r="X520" s="5">
        <v>1.74</v>
      </c>
      <c r="Y520" s="5" t="s">
        <v>2757</v>
      </c>
      <c r="Z520" s="5" t="s">
        <v>418</v>
      </c>
      <c r="AA520" s="5">
        <v>10980</v>
      </c>
      <c r="AB520" s="5" t="s">
        <v>45</v>
      </c>
      <c r="AC520" s="5" t="s">
        <v>328</v>
      </c>
      <c r="AD520" s="5"/>
      <c r="AE520" s="5"/>
      <c r="AF520" s="8"/>
      <c r="AG520" s="9">
        <f t="shared" si="8"/>
        <v>43284</v>
      </c>
    </row>
    <row r="521" s="6" customFormat="1" spans="1:33">
      <c r="A521" s="5" t="s">
        <v>2754</v>
      </c>
      <c r="B521" s="5" t="s">
        <v>2754</v>
      </c>
      <c r="C521" s="5" t="s">
        <v>2755</v>
      </c>
      <c r="D521" s="5" t="s">
        <v>2756</v>
      </c>
      <c r="E521" s="5" t="s">
        <v>35</v>
      </c>
      <c r="F521" s="5" t="s">
        <v>36</v>
      </c>
      <c r="G521" s="5" t="s">
        <v>37</v>
      </c>
      <c r="H521" s="5"/>
      <c r="I521" s="5"/>
      <c r="J521" s="5" t="s">
        <v>38</v>
      </c>
      <c r="K521" s="5" t="s">
        <v>675</v>
      </c>
      <c r="L521" s="5" t="s">
        <v>676</v>
      </c>
      <c r="M521" s="5" t="s">
        <v>677</v>
      </c>
      <c r="N521" s="5" t="s">
        <v>35</v>
      </c>
      <c r="O521" s="5">
        <v>1</v>
      </c>
      <c r="P521" s="5" t="s">
        <v>42</v>
      </c>
      <c r="Q521" s="5">
        <v>14.99</v>
      </c>
      <c r="R521" s="5"/>
      <c r="S521" s="5">
        <v>1.69</v>
      </c>
      <c r="T521" s="5"/>
      <c r="U521" s="5"/>
      <c r="V521" s="5"/>
      <c r="W521" s="5"/>
      <c r="X521" s="5">
        <v>1.69</v>
      </c>
      <c r="Y521" s="5" t="s">
        <v>2757</v>
      </c>
      <c r="Z521" s="5" t="s">
        <v>418</v>
      </c>
      <c r="AA521" s="5">
        <v>10980</v>
      </c>
      <c r="AB521" s="5" t="s">
        <v>45</v>
      </c>
      <c r="AC521" s="5" t="s">
        <v>328</v>
      </c>
      <c r="AD521" s="5"/>
      <c r="AE521" s="5"/>
      <c r="AG521" s="9">
        <f t="shared" si="8"/>
        <v>43284</v>
      </c>
    </row>
    <row r="522" s="6" customFormat="1" spans="1:33">
      <c r="A522" s="5" t="s">
        <v>2758</v>
      </c>
      <c r="B522" s="5" t="s">
        <v>2758</v>
      </c>
      <c r="C522" s="5" t="s">
        <v>2759</v>
      </c>
      <c r="D522" s="5" t="s">
        <v>2760</v>
      </c>
      <c r="E522" s="5" t="s">
        <v>35</v>
      </c>
      <c r="F522" s="5" t="s">
        <v>36</v>
      </c>
      <c r="G522" s="5" t="s">
        <v>37</v>
      </c>
      <c r="H522" s="5"/>
      <c r="I522" s="5"/>
      <c r="J522" s="5" t="s">
        <v>59</v>
      </c>
      <c r="K522" s="5" t="s">
        <v>94</v>
      </c>
      <c r="L522" s="5" t="s">
        <v>95</v>
      </c>
      <c r="M522" s="5" t="s">
        <v>96</v>
      </c>
      <c r="N522" s="5" t="s">
        <v>35</v>
      </c>
      <c r="O522" s="5">
        <v>1</v>
      </c>
      <c r="P522" s="5" t="s">
        <v>42</v>
      </c>
      <c r="Q522" s="5">
        <v>15.99</v>
      </c>
      <c r="R522" s="5"/>
      <c r="S522" s="5"/>
      <c r="T522" s="5"/>
      <c r="U522" s="5"/>
      <c r="V522" s="5"/>
      <c r="W522" s="5"/>
      <c r="X522" s="5"/>
      <c r="Y522" s="5" t="s">
        <v>2761</v>
      </c>
      <c r="Z522" s="5" t="s">
        <v>54</v>
      </c>
      <c r="AA522" s="5" t="s">
        <v>2762</v>
      </c>
      <c r="AB522" s="5" t="s">
        <v>45</v>
      </c>
      <c r="AC522" s="5"/>
      <c r="AD522" s="5"/>
      <c r="AE522" s="5"/>
      <c r="AG522" s="9">
        <f t="shared" si="8"/>
        <v>43284</v>
      </c>
    </row>
    <row r="523" s="6" customFormat="1" spans="1:33">
      <c r="A523" s="5" t="s">
        <v>2763</v>
      </c>
      <c r="B523" s="5" t="s">
        <v>2763</v>
      </c>
      <c r="C523" s="5" t="s">
        <v>2764</v>
      </c>
      <c r="D523" s="5" t="s">
        <v>2765</v>
      </c>
      <c r="E523" s="5" t="s">
        <v>35</v>
      </c>
      <c r="F523" s="5" t="s">
        <v>36</v>
      </c>
      <c r="G523" s="5" t="s">
        <v>37</v>
      </c>
      <c r="H523" s="5"/>
      <c r="I523" s="5"/>
      <c r="J523" s="5" t="s">
        <v>59</v>
      </c>
      <c r="K523" s="5" t="s">
        <v>50</v>
      </c>
      <c r="L523" s="5" t="s">
        <v>51</v>
      </c>
      <c r="M523" s="5" t="s">
        <v>52</v>
      </c>
      <c r="N523" s="5" t="s">
        <v>35</v>
      </c>
      <c r="O523" s="5">
        <v>1</v>
      </c>
      <c r="P523" s="5" t="s">
        <v>42</v>
      </c>
      <c r="Q523" s="5">
        <v>8</v>
      </c>
      <c r="R523" s="5"/>
      <c r="S523" s="5"/>
      <c r="T523" s="5"/>
      <c r="U523" s="5"/>
      <c r="V523" s="5"/>
      <c r="W523" s="5"/>
      <c r="X523" s="5"/>
      <c r="Y523" s="5" t="s">
        <v>2766</v>
      </c>
      <c r="Z523" s="5" t="s">
        <v>861</v>
      </c>
      <c r="AA523" s="5" t="s">
        <v>2767</v>
      </c>
      <c r="AB523" s="5" t="s">
        <v>45</v>
      </c>
      <c r="AC523" s="5"/>
      <c r="AD523" s="5"/>
      <c r="AE523" s="5"/>
      <c r="AG523" s="9">
        <f t="shared" si="8"/>
        <v>43284</v>
      </c>
    </row>
    <row r="524" s="6" customFormat="1" spans="1:33">
      <c r="A524" s="5" t="s">
        <v>2768</v>
      </c>
      <c r="B524" s="5" t="s">
        <v>2768</v>
      </c>
      <c r="C524" s="5" t="s">
        <v>2769</v>
      </c>
      <c r="D524" s="5" t="s">
        <v>2770</v>
      </c>
      <c r="E524" s="5" t="s">
        <v>35</v>
      </c>
      <c r="F524" s="5" t="s">
        <v>36</v>
      </c>
      <c r="G524" s="5" t="s">
        <v>37</v>
      </c>
      <c r="H524" s="5"/>
      <c r="I524" s="5"/>
      <c r="J524" s="5" t="s">
        <v>59</v>
      </c>
      <c r="K524" s="5" t="s">
        <v>50</v>
      </c>
      <c r="L524" s="5" t="s">
        <v>51</v>
      </c>
      <c r="M524" s="5" t="s">
        <v>52</v>
      </c>
      <c r="N524" s="5" t="s">
        <v>35</v>
      </c>
      <c r="O524" s="5">
        <v>1</v>
      </c>
      <c r="P524" s="5" t="s">
        <v>42</v>
      </c>
      <c r="Q524" s="5">
        <v>8</v>
      </c>
      <c r="R524" s="5"/>
      <c r="S524" s="5"/>
      <c r="T524" s="5"/>
      <c r="U524" s="5"/>
      <c r="V524" s="5"/>
      <c r="W524" s="5"/>
      <c r="X524" s="5"/>
      <c r="Y524" s="5" t="s">
        <v>2771</v>
      </c>
      <c r="Z524" s="5" t="s">
        <v>182</v>
      </c>
      <c r="AA524" s="5" t="s">
        <v>2772</v>
      </c>
      <c r="AB524" s="5" t="s">
        <v>45</v>
      </c>
      <c r="AC524" s="5"/>
      <c r="AD524" s="5"/>
      <c r="AE524" s="5"/>
      <c r="AG524" s="9">
        <f t="shared" si="8"/>
        <v>43284</v>
      </c>
    </row>
    <row r="525" s="6" customFormat="1" spans="1:33">
      <c r="A525" s="5" t="s">
        <v>2773</v>
      </c>
      <c r="B525" s="5" t="s">
        <v>2773</v>
      </c>
      <c r="C525" s="5" t="s">
        <v>2774</v>
      </c>
      <c r="D525" s="5" t="s">
        <v>2775</v>
      </c>
      <c r="E525" s="5" t="s">
        <v>35</v>
      </c>
      <c r="F525" s="5" t="s">
        <v>36</v>
      </c>
      <c r="G525" s="5" t="s">
        <v>37</v>
      </c>
      <c r="H525" s="5"/>
      <c r="I525" s="5"/>
      <c r="J525" s="5" t="s">
        <v>59</v>
      </c>
      <c r="K525" s="5" t="s">
        <v>94</v>
      </c>
      <c r="L525" s="5" t="s">
        <v>95</v>
      </c>
      <c r="M525" s="5" t="s">
        <v>96</v>
      </c>
      <c r="N525" s="5" t="s">
        <v>35</v>
      </c>
      <c r="O525" s="5">
        <v>1</v>
      </c>
      <c r="P525" s="5" t="s">
        <v>42</v>
      </c>
      <c r="Q525" s="5">
        <v>15.99</v>
      </c>
      <c r="R525" s="5">
        <v>1.58</v>
      </c>
      <c r="S525" s="5"/>
      <c r="T525" s="5"/>
      <c r="U525" s="5"/>
      <c r="V525" s="5"/>
      <c r="W525" s="5"/>
      <c r="X525" s="5"/>
      <c r="Y525" s="5" t="s">
        <v>2776</v>
      </c>
      <c r="Z525" s="5" t="s">
        <v>1152</v>
      </c>
      <c r="AA525" s="5" t="s">
        <v>2777</v>
      </c>
      <c r="AB525" s="5" t="s">
        <v>45</v>
      </c>
      <c r="AC525" s="5"/>
      <c r="AD525" s="5"/>
      <c r="AE525" s="5"/>
      <c r="AG525" s="9">
        <f t="shared" si="8"/>
        <v>43284</v>
      </c>
    </row>
    <row r="526" s="6" customFormat="1" spans="1:33">
      <c r="A526" s="5" t="s">
        <v>2778</v>
      </c>
      <c r="B526" s="5" t="s">
        <v>2778</v>
      </c>
      <c r="C526" s="5" t="s">
        <v>2779</v>
      </c>
      <c r="D526" s="5" t="s">
        <v>2780</v>
      </c>
      <c r="E526" s="5" t="s">
        <v>35</v>
      </c>
      <c r="F526" s="5" t="s">
        <v>36</v>
      </c>
      <c r="G526" s="5" t="s">
        <v>37</v>
      </c>
      <c r="H526" s="5"/>
      <c r="I526" s="5"/>
      <c r="J526" s="5" t="s">
        <v>59</v>
      </c>
      <c r="K526" s="5" t="s">
        <v>50</v>
      </c>
      <c r="L526" s="5" t="s">
        <v>51</v>
      </c>
      <c r="M526" s="5" t="s">
        <v>52</v>
      </c>
      <c r="N526" s="5" t="s">
        <v>35</v>
      </c>
      <c r="O526" s="5">
        <v>1</v>
      </c>
      <c r="P526" s="5" t="s">
        <v>42</v>
      </c>
      <c r="Q526" s="5">
        <v>8</v>
      </c>
      <c r="R526" s="5"/>
      <c r="S526" s="5"/>
      <c r="T526" s="5"/>
      <c r="U526" s="5"/>
      <c r="V526" s="5"/>
      <c r="W526" s="5"/>
      <c r="X526" s="5"/>
      <c r="Y526" s="5" t="s">
        <v>2781</v>
      </c>
      <c r="Z526" s="5" t="s">
        <v>269</v>
      </c>
      <c r="AA526" s="5" t="s">
        <v>2782</v>
      </c>
      <c r="AB526" s="5" t="s">
        <v>45</v>
      </c>
      <c r="AC526" s="5"/>
      <c r="AD526" s="5"/>
      <c r="AE526" s="5"/>
      <c r="AG526" s="9">
        <f t="shared" si="8"/>
        <v>43284</v>
      </c>
    </row>
    <row r="527" s="6" customFormat="1" spans="1:33">
      <c r="A527" s="5" t="s">
        <v>2783</v>
      </c>
      <c r="B527" s="5" t="s">
        <v>2783</v>
      </c>
      <c r="C527" s="5" t="s">
        <v>2784</v>
      </c>
      <c r="D527" s="5" t="s">
        <v>2785</v>
      </c>
      <c r="E527" s="5" t="s">
        <v>35</v>
      </c>
      <c r="F527" s="5" t="s">
        <v>36</v>
      </c>
      <c r="G527" s="5" t="s">
        <v>37</v>
      </c>
      <c r="H527" s="5"/>
      <c r="I527" s="5"/>
      <c r="J527" s="5" t="s">
        <v>59</v>
      </c>
      <c r="K527" s="5" t="s">
        <v>50</v>
      </c>
      <c r="L527" s="5" t="s">
        <v>51</v>
      </c>
      <c r="M527" s="5" t="s">
        <v>52</v>
      </c>
      <c r="N527" s="5" t="s">
        <v>35</v>
      </c>
      <c r="O527" s="5">
        <v>1</v>
      </c>
      <c r="P527" s="5" t="s">
        <v>42</v>
      </c>
      <c r="Q527" s="5">
        <v>8</v>
      </c>
      <c r="R527" s="5"/>
      <c r="S527" s="5"/>
      <c r="T527" s="5"/>
      <c r="U527" s="5"/>
      <c r="V527" s="5"/>
      <c r="W527" s="5"/>
      <c r="X527" s="5"/>
      <c r="Y527" s="5" t="s">
        <v>2786</v>
      </c>
      <c r="Z527" s="5" t="s">
        <v>1547</v>
      </c>
      <c r="AA527" s="5" t="s">
        <v>2787</v>
      </c>
      <c r="AB527" s="5" t="s">
        <v>45</v>
      </c>
      <c r="AC527" s="5"/>
      <c r="AD527" s="5"/>
      <c r="AE527" s="5"/>
      <c r="AG527" s="9">
        <f t="shared" si="8"/>
        <v>43284</v>
      </c>
    </row>
    <row r="528" s="6" customFormat="1" spans="1:33">
      <c r="A528" s="5" t="s">
        <v>2788</v>
      </c>
      <c r="B528" s="5" t="s">
        <v>2788</v>
      </c>
      <c r="C528" s="5" t="s">
        <v>2789</v>
      </c>
      <c r="D528" s="5" t="s">
        <v>2790</v>
      </c>
      <c r="E528" s="5" t="s">
        <v>35</v>
      </c>
      <c r="F528" s="5" t="s">
        <v>36</v>
      </c>
      <c r="G528" s="5" t="s">
        <v>37</v>
      </c>
      <c r="H528" s="5"/>
      <c r="I528" s="5"/>
      <c r="J528" s="5" t="s">
        <v>59</v>
      </c>
      <c r="K528" s="5" t="s">
        <v>2791</v>
      </c>
      <c r="L528" s="5" t="s">
        <v>258</v>
      </c>
      <c r="M528" s="5" t="s">
        <v>259</v>
      </c>
      <c r="N528" s="5" t="s">
        <v>35</v>
      </c>
      <c r="O528" s="5">
        <v>1</v>
      </c>
      <c r="P528" s="5" t="s">
        <v>42</v>
      </c>
      <c r="Q528" s="5">
        <v>8.99</v>
      </c>
      <c r="R528" s="5"/>
      <c r="S528" s="5"/>
      <c r="T528" s="5"/>
      <c r="U528" s="5"/>
      <c r="V528" s="5"/>
      <c r="W528" s="5"/>
      <c r="X528" s="5"/>
      <c r="Y528" s="5" t="s">
        <v>2792</v>
      </c>
      <c r="Z528" s="5" t="s">
        <v>153</v>
      </c>
      <c r="AA528" s="5" t="s">
        <v>2793</v>
      </c>
      <c r="AB528" s="5" t="s">
        <v>45</v>
      </c>
      <c r="AC528" s="5"/>
      <c r="AD528" s="5"/>
      <c r="AE528" s="5"/>
      <c r="AG528" s="9">
        <f t="shared" si="8"/>
        <v>43284</v>
      </c>
    </row>
    <row r="529" s="6" customFormat="1" spans="1:33">
      <c r="A529" s="5" t="s">
        <v>2794</v>
      </c>
      <c r="B529" s="5" t="s">
        <v>2794</v>
      </c>
      <c r="C529" s="5" t="s">
        <v>2795</v>
      </c>
      <c r="D529" s="5" t="s">
        <v>2796</v>
      </c>
      <c r="E529" s="5" t="s">
        <v>35</v>
      </c>
      <c r="F529" s="5" t="s">
        <v>36</v>
      </c>
      <c r="G529" s="5" t="s">
        <v>37</v>
      </c>
      <c r="H529" s="5"/>
      <c r="I529" s="5"/>
      <c r="J529" s="5" t="s">
        <v>59</v>
      </c>
      <c r="K529" s="5" t="s">
        <v>50</v>
      </c>
      <c r="L529" s="5" t="s">
        <v>51</v>
      </c>
      <c r="M529" s="5" t="s">
        <v>52</v>
      </c>
      <c r="N529" s="5" t="s">
        <v>35</v>
      </c>
      <c r="O529" s="5">
        <v>1</v>
      </c>
      <c r="P529" s="5" t="s">
        <v>42</v>
      </c>
      <c r="Q529" s="5">
        <v>8</v>
      </c>
      <c r="R529" s="5"/>
      <c r="S529" s="5"/>
      <c r="T529" s="5"/>
      <c r="U529" s="5"/>
      <c r="V529" s="5"/>
      <c r="W529" s="5"/>
      <c r="X529" s="5"/>
      <c r="Y529" s="5" t="s">
        <v>2797</v>
      </c>
      <c r="Z529" s="5" t="s">
        <v>197</v>
      </c>
      <c r="AA529" s="5">
        <v>46280</v>
      </c>
      <c r="AB529" s="5" t="s">
        <v>45</v>
      </c>
      <c r="AC529" s="5"/>
      <c r="AD529" s="5"/>
      <c r="AE529" s="5"/>
      <c r="AG529" s="9">
        <f t="shared" si="8"/>
        <v>43284</v>
      </c>
    </row>
    <row r="530" s="6" customFormat="1" spans="1:33">
      <c r="A530" s="5" t="s">
        <v>2798</v>
      </c>
      <c r="B530" s="5" t="s">
        <v>2798</v>
      </c>
      <c r="C530" s="5" t="s">
        <v>2799</v>
      </c>
      <c r="D530" s="5" t="s">
        <v>2800</v>
      </c>
      <c r="E530" s="5" t="s">
        <v>2269</v>
      </c>
      <c r="F530" s="5" t="s">
        <v>36</v>
      </c>
      <c r="G530" s="5" t="s">
        <v>37</v>
      </c>
      <c r="H530" s="5"/>
      <c r="I530" s="5"/>
      <c r="J530" s="5" t="s">
        <v>38</v>
      </c>
      <c r="K530" s="5" t="s">
        <v>50</v>
      </c>
      <c r="L530" s="5" t="s">
        <v>51</v>
      </c>
      <c r="M530" s="5" t="s">
        <v>52</v>
      </c>
      <c r="N530" s="5" t="s">
        <v>275</v>
      </c>
      <c r="O530" s="5">
        <v>1</v>
      </c>
      <c r="P530" s="5" t="s">
        <v>42</v>
      </c>
      <c r="Q530" s="5">
        <v>8</v>
      </c>
      <c r="R530" s="5"/>
      <c r="S530" s="5"/>
      <c r="T530" s="5"/>
      <c r="U530" s="5"/>
      <c r="V530" s="5"/>
      <c r="W530" s="5"/>
      <c r="X530" s="5"/>
      <c r="Y530" s="5" t="s">
        <v>2801</v>
      </c>
      <c r="Z530" s="5" t="s">
        <v>341</v>
      </c>
      <c r="AA530" s="5" t="s">
        <v>2802</v>
      </c>
      <c r="AB530" s="5" t="s">
        <v>45</v>
      </c>
      <c r="AC530" s="5" t="s">
        <v>328</v>
      </c>
      <c r="AD530" s="5"/>
      <c r="AE530" s="5"/>
      <c r="AG530" s="9">
        <f t="shared" si="8"/>
        <v>43284</v>
      </c>
    </row>
    <row r="531" s="6" customFormat="1" spans="1:33">
      <c r="A531" s="5" t="s">
        <v>2803</v>
      </c>
      <c r="B531" s="5" t="s">
        <v>2803</v>
      </c>
      <c r="C531" s="5" t="s">
        <v>2804</v>
      </c>
      <c r="D531" s="5" t="s">
        <v>2805</v>
      </c>
      <c r="E531" s="5" t="s">
        <v>35</v>
      </c>
      <c r="F531" s="5" t="s">
        <v>36</v>
      </c>
      <c r="G531" s="5" t="s">
        <v>37</v>
      </c>
      <c r="H531" s="5"/>
      <c r="I531" s="5"/>
      <c r="J531" s="5" t="s">
        <v>59</v>
      </c>
      <c r="K531" s="5" t="s">
        <v>94</v>
      </c>
      <c r="L531" s="5" t="s">
        <v>95</v>
      </c>
      <c r="M531" s="5" t="s">
        <v>96</v>
      </c>
      <c r="N531" s="5" t="s">
        <v>35</v>
      </c>
      <c r="O531" s="5">
        <v>1</v>
      </c>
      <c r="P531" s="5" t="s">
        <v>42</v>
      </c>
      <c r="Q531" s="5">
        <v>15.99</v>
      </c>
      <c r="R531" s="5"/>
      <c r="S531" s="5"/>
      <c r="T531" s="5"/>
      <c r="U531" s="5"/>
      <c r="V531" s="5"/>
      <c r="W531" s="5"/>
      <c r="X531" s="5"/>
      <c r="Y531" s="5" t="s">
        <v>2806</v>
      </c>
      <c r="Z531" s="5" t="s">
        <v>269</v>
      </c>
      <c r="AA531" s="5">
        <v>48382</v>
      </c>
      <c r="AB531" s="5" t="s">
        <v>45</v>
      </c>
      <c r="AC531" s="5"/>
      <c r="AD531" s="5"/>
      <c r="AE531" s="5"/>
      <c r="AG531" s="9">
        <f t="shared" si="8"/>
        <v>43284</v>
      </c>
    </row>
    <row r="532" s="6" customFormat="1" spans="1:33">
      <c r="A532" s="5" t="s">
        <v>2807</v>
      </c>
      <c r="B532" s="5" t="s">
        <v>2807</v>
      </c>
      <c r="C532" s="5" t="s">
        <v>2808</v>
      </c>
      <c r="D532" s="5" t="s">
        <v>2809</v>
      </c>
      <c r="E532" s="5" t="s">
        <v>35</v>
      </c>
      <c r="F532" s="5" t="s">
        <v>36</v>
      </c>
      <c r="G532" s="5" t="s">
        <v>37</v>
      </c>
      <c r="H532" s="5"/>
      <c r="I532" s="5"/>
      <c r="J532" s="5" t="s">
        <v>59</v>
      </c>
      <c r="K532" s="5" t="s">
        <v>50</v>
      </c>
      <c r="L532" s="5" t="s">
        <v>51</v>
      </c>
      <c r="M532" s="5" t="s">
        <v>52</v>
      </c>
      <c r="N532" s="5" t="s">
        <v>35</v>
      </c>
      <c r="O532" s="5">
        <v>1</v>
      </c>
      <c r="P532" s="5" t="s">
        <v>42</v>
      </c>
      <c r="Q532" s="5">
        <v>8</v>
      </c>
      <c r="R532" s="5"/>
      <c r="S532" s="5"/>
      <c r="T532" s="5"/>
      <c r="U532" s="5"/>
      <c r="V532" s="5"/>
      <c r="W532" s="5"/>
      <c r="X532" s="5"/>
      <c r="Y532" s="5" t="s">
        <v>2810</v>
      </c>
      <c r="Z532" s="5" t="s">
        <v>211</v>
      </c>
      <c r="AA532" s="5" t="s">
        <v>2811</v>
      </c>
      <c r="AB532" s="5" t="s">
        <v>45</v>
      </c>
      <c r="AC532" s="5"/>
      <c r="AD532" s="5"/>
      <c r="AE532" s="5"/>
      <c r="AG532" s="9">
        <f t="shared" si="8"/>
        <v>43284</v>
      </c>
    </row>
    <row r="533" s="6" customFormat="1" spans="1:33">
      <c r="A533" s="5" t="s">
        <v>2812</v>
      </c>
      <c r="B533" s="5" t="s">
        <v>2812</v>
      </c>
      <c r="C533" s="5" t="s">
        <v>2813</v>
      </c>
      <c r="D533" s="5" t="s">
        <v>2814</v>
      </c>
      <c r="E533" s="5" t="s">
        <v>35</v>
      </c>
      <c r="F533" s="5" t="s">
        <v>36</v>
      </c>
      <c r="G533" s="5" t="s">
        <v>37</v>
      </c>
      <c r="H533" s="5"/>
      <c r="I533" s="5"/>
      <c r="J533" s="5" t="s">
        <v>59</v>
      </c>
      <c r="K533" s="5" t="s">
        <v>50</v>
      </c>
      <c r="L533" s="5" t="s">
        <v>51</v>
      </c>
      <c r="M533" s="5" t="s">
        <v>52</v>
      </c>
      <c r="N533" s="5" t="s">
        <v>35</v>
      </c>
      <c r="O533" s="5">
        <v>1</v>
      </c>
      <c r="P533" s="5" t="s">
        <v>42</v>
      </c>
      <c r="Q533" s="5">
        <v>8</v>
      </c>
      <c r="R533" s="5"/>
      <c r="S533" s="5"/>
      <c r="T533" s="5"/>
      <c r="U533" s="5"/>
      <c r="V533" s="5"/>
      <c r="W533" s="5"/>
      <c r="X533" s="5"/>
      <c r="Y533" s="5" t="s">
        <v>585</v>
      </c>
      <c r="Z533" s="5" t="s">
        <v>153</v>
      </c>
      <c r="AA533" s="5">
        <v>94109</v>
      </c>
      <c r="AB533" s="5" t="s">
        <v>45</v>
      </c>
      <c r="AC533" s="5"/>
      <c r="AD533" s="5"/>
      <c r="AE533" s="5"/>
      <c r="AG533" s="9">
        <f t="shared" si="8"/>
        <v>43284</v>
      </c>
    </row>
    <row r="534" s="6" customFormat="1" spans="1:33">
      <c r="A534" s="5" t="s">
        <v>2815</v>
      </c>
      <c r="B534" s="5" t="s">
        <v>2815</v>
      </c>
      <c r="C534" s="5" t="s">
        <v>2816</v>
      </c>
      <c r="D534" s="5" t="s">
        <v>2817</v>
      </c>
      <c r="E534" s="5" t="s">
        <v>35</v>
      </c>
      <c r="F534" s="5" t="s">
        <v>36</v>
      </c>
      <c r="G534" s="5" t="s">
        <v>37</v>
      </c>
      <c r="H534" s="5"/>
      <c r="I534" s="5"/>
      <c r="J534" s="5" t="s">
        <v>59</v>
      </c>
      <c r="K534" s="5" t="s">
        <v>94</v>
      </c>
      <c r="L534" s="5" t="s">
        <v>95</v>
      </c>
      <c r="M534" s="5" t="s">
        <v>96</v>
      </c>
      <c r="N534" s="5" t="s">
        <v>35</v>
      </c>
      <c r="O534" s="5">
        <v>1</v>
      </c>
      <c r="P534" s="5" t="s">
        <v>42</v>
      </c>
      <c r="Q534" s="5">
        <v>15.99</v>
      </c>
      <c r="R534" s="5"/>
      <c r="S534" s="5"/>
      <c r="T534" s="5"/>
      <c r="U534" s="5"/>
      <c r="V534" s="5"/>
      <c r="W534" s="5"/>
      <c r="X534" s="5"/>
      <c r="Y534" s="5" t="s">
        <v>631</v>
      </c>
      <c r="Z534" s="5" t="s">
        <v>118</v>
      </c>
      <c r="AA534" s="5" t="s">
        <v>2818</v>
      </c>
      <c r="AB534" s="5" t="s">
        <v>45</v>
      </c>
      <c r="AC534" s="5"/>
      <c r="AD534" s="5"/>
      <c r="AE534" s="5"/>
      <c r="AG534" s="9">
        <f t="shared" si="8"/>
        <v>43284</v>
      </c>
    </row>
    <row r="535" s="6" customFormat="1" spans="1:33">
      <c r="A535" s="5" t="s">
        <v>2819</v>
      </c>
      <c r="B535" s="5" t="s">
        <v>2819</v>
      </c>
      <c r="C535" s="5" t="s">
        <v>2820</v>
      </c>
      <c r="D535" s="5" t="s">
        <v>2821</v>
      </c>
      <c r="E535" s="5" t="s">
        <v>35</v>
      </c>
      <c r="F535" s="5" t="s">
        <v>36</v>
      </c>
      <c r="G535" s="5" t="s">
        <v>37</v>
      </c>
      <c r="H535" s="5"/>
      <c r="I535" s="5"/>
      <c r="J535" s="5" t="s">
        <v>59</v>
      </c>
      <c r="K535" s="5" t="s">
        <v>50</v>
      </c>
      <c r="L535" s="5" t="s">
        <v>51</v>
      </c>
      <c r="M535" s="5" t="s">
        <v>52</v>
      </c>
      <c r="N535" s="5" t="s">
        <v>35</v>
      </c>
      <c r="O535" s="5">
        <v>1</v>
      </c>
      <c r="P535" s="5" t="s">
        <v>42</v>
      </c>
      <c r="Q535" s="5">
        <v>8</v>
      </c>
      <c r="R535" s="5">
        <v>0.8</v>
      </c>
      <c r="S535" s="5"/>
      <c r="T535" s="5"/>
      <c r="U535" s="5"/>
      <c r="V535" s="5"/>
      <c r="W535" s="5"/>
      <c r="X535" s="5"/>
      <c r="Y535" s="5" t="s">
        <v>2822</v>
      </c>
      <c r="Z535" s="5" t="s">
        <v>1152</v>
      </c>
      <c r="AA535" s="5" t="s">
        <v>2823</v>
      </c>
      <c r="AB535" s="5" t="s">
        <v>45</v>
      </c>
      <c r="AC535" s="5"/>
      <c r="AD535" s="5"/>
      <c r="AE535" s="5"/>
      <c r="AG535" s="9">
        <f t="shared" si="8"/>
        <v>43284</v>
      </c>
    </row>
    <row r="536" s="6" customFormat="1" spans="1:33">
      <c r="A536" s="5" t="s">
        <v>2824</v>
      </c>
      <c r="B536" s="5" t="s">
        <v>2824</v>
      </c>
      <c r="C536" s="5" t="s">
        <v>2825</v>
      </c>
      <c r="D536" s="5" t="s">
        <v>2826</v>
      </c>
      <c r="E536" s="5" t="s">
        <v>35</v>
      </c>
      <c r="F536" s="5" t="s">
        <v>36</v>
      </c>
      <c r="G536" s="5" t="s">
        <v>37</v>
      </c>
      <c r="H536" s="5"/>
      <c r="I536" s="5"/>
      <c r="J536" s="5" t="s">
        <v>59</v>
      </c>
      <c r="K536" s="5" t="s">
        <v>94</v>
      </c>
      <c r="L536" s="5" t="s">
        <v>95</v>
      </c>
      <c r="M536" s="5" t="s">
        <v>96</v>
      </c>
      <c r="N536" s="5" t="s">
        <v>35</v>
      </c>
      <c r="O536" s="5">
        <v>1</v>
      </c>
      <c r="P536" s="5" t="s">
        <v>42</v>
      </c>
      <c r="Q536" s="5">
        <v>15.99</v>
      </c>
      <c r="R536" s="5"/>
      <c r="S536" s="5"/>
      <c r="T536" s="5"/>
      <c r="U536" s="5"/>
      <c r="V536" s="5"/>
      <c r="W536" s="5"/>
      <c r="X536" s="5"/>
      <c r="Y536" s="5" t="s">
        <v>2827</v>
      </c>
      <c r="Z536" s="5" t="s">
        <v>54</v>
      </c>
      <c r="AA536" s="5">
        <v>78201</v>
      </c>
      <c r="AB536" s="5" t="s">
        <v>45</v>
      </c>
      <c r="AC536" s="5"/>
      <c r="AD536" s="5"/>
      <c r="AE536" s="5"/>
      <c r="AG536" s="9">
        <f t="shared" si="8"/>
        <v>43284</v>
      </c>
    </row>
    <row r="537" s="6" customFormat="1" spans="1:33">
      <c r="A537" s="5" t="s">
        <v>2828</v>
      </c>
      <c r="B537" s="5" t="s">
        <v>2828</v>
      </c>
      <c r="C537" s="5" t="s">
        <v>2829</v>
      </c>
      <c r="D537" s="5" t="s">
        <v>2830</v>
      </c>
      <c r="E537" s="5" t="s">
        <v>35</v>
      </c>
      <c r="F537" s="5" t="s">
        <v>36</v>
      </c>
      <c r="G537" s="5" t="s">
        <v>37</v>
      </c>
      <c r="H537" s="5"/>
      <c r="I537" s="5"/>
      <c r="J537" s="5" t="s">
        <v>59</v>
      </c>
      <c r="K537" s="5" t="s">
        <v>50</v>
      </c>
      <c r="L537" s="5" t="s">
        <v>51</v>
      </c>
      <c r="M537" s="5" t="s">
        <v>52</v>
      </c>
      <c r="N537" s="5" t="s">
        <v>35</v>
      </c>
      <c r="O537" s="5">
        <v>1</v>
      </c>
      <c r="P537" s="5" t="s">
        <v>42</v>
      </c>
      <c r="Q537" s="5">
        <v>8</v>
      </c>
      <c r="R537" s="5"/>
      <c r="S537" s="5"/>
      <c r="T537" s="5"/>
      <c r="U537" s="5"/>
      <c r="V537" s="5"/>
      <c r="W537" s="5"/>
      <c r="X537" s="5"/>
      <c r="Y537" s="5" t="s">
        <v>631</v>
      </c>
      <c r="Z537" s="5" t="s">
        <v>191</v>
      </c>
      <c r="AA537" s="5" t="s">
        <v>2831</v>
      </c>
      <c r="AB537" s="5" t="s">
        <v>45</v>
      </c>
      <c r="AC537" s="5"/>
      <c r="AD537" s="5"/>
      <c r="AE537" s="5"/>
      <c r="AG537" s="9">
        <f t="shared" si="8"/>
        <v>43284</v>
      </c>
    </row>
    <row r="538" s="6" customFormat="1" spans="1:33">
      <c r="A538" s="5" t="s">
        <v>2832</v>
      </c>
      <c r="B538" s="5" t="s">
        <v>2832</v>
      </c>
      <c r="C538" s="5" t="s">
        <v>2833</v>
      </c>
      <c r="D538" s="5" t="s">
        <v>2834</v>
      </c>
      <c r="E538" s="5" t="s">
        <v>35</v>
      </c>
      <c r="F538" s="5" t="s">
        <v>36</v>
      </c>
      <c r="G538" s="5" t="s">
        <v>37</v>
      </c>
      <c r="H538" s="5"/>
      <c r="I538" s="5"/>
      <c r="J538" s="5" t="s">
        <v>59</v>
      </c>
      <c r="K538" s="5" t="s">
        <v>309</v>
      </c>
      <c r="L538" s="5" t="s">
        <v>310</v>
      </c>
      <c r="M538" s="5" t="s">
        <v>311</v>
      </c>
      <c r="N538" s="5" t="s">
        <v>35</v>
      </c>
      <c r="O538" s="5">
        <v>1</v>
      </c>
      <c r="P538" s="5" t="s">
        <v>42</v>
      </c>
      <c r="Q538" s="5">
        <v>13.99</v>
      </c>
      <c r="R538" s="5"/>
      <c r="S538" s="5"/>
      <c r="T538" s="5"/>
      <c r="U538" s="5"/>
      <c r="V538" s="5"/>
      <c r="W538" s="5"/>
      <c r="X538" s="5"/>
      <c r="Y538" s="5" t="s">
        <v>2835</v>
      </c>
      <c r="Z538" s="5" t="s">
        <v>534</v>
      </c>
      <c r="AA538" s="5" t="s">
        <v>2836</v>
      </c>
      <c r="AB538" s="5" t="s">
        <v>45</v>
      </c>
      <c r="AC538" s="5"/>
      <c r="AD538" s="5"/>
      <c r="AE538" s="5"/>
      <c r="AG538" s="9">
        <f t="shared" si="8"/>
        <v>43284</v>
      </c>
    </row>
    <row r="539" s="6" customFormat="1" spans="1:33">
      <c r="A539" s="5" t="s">
        <v>2837</v>
      </c>
      <c r="B539" s="5" t="s">
        <v>2837</v>
      </c>
      <c r="C539" s="5" t="s">
        <v>2838</v>
      </c>
      <c r="D539" s="5" t="s">
        <v>2839</v>
      </c>
      <c r="E539" s="5" t="s">
        <v>35</v>
      </c>
      <c r="F539" s="5" t="s">
        <v>36</v>
      </c>
      <c r="G539" s="5" t="s">
        <v>37</v>
      </c>
      <c r="H539" s="5"/>
      <c r="I539" s="5"/>
      <c r="J539" s="5" t="s">
        <v>38</v>
      </c>
      <c r="K539" s="5" t="s">
        <v>50</v>
      </c>
      <c r="L539" s="5" t="s">
        <v>51</v>
      </c>
      <c r="M539" s="5" t="s">
        <v>52</v>
      </c>
      <c r="N539" s="5" t="s">
        <v>35</v>
      </c>
      <c r="O539" s="5">
        <v>1</v>
      </c>
      <c r="P539" s="5" t="s">
        <v>42</v>
      </c>
      <c r="Q539" s="5">
        <v>8</v>
      </c>
      <c r="R539" s="5"/>
      <c r="S539" s="5"/>
      <c r="T539" s="5"/>
      <c r="U539" s="5"/>
      <c r="V539" s="5"/>
      <c r="W539" s="5"/>
      <c r="X539" s="5"/>
      <c r="Y539" s="5" t="s">
        <v>1109</v>
      </c>
      <c r="Z539" s="5" t="s">
        <v>1110</v>
      </c>
      <c r="AA539" s="5" t="s">
        <v>2840</v>
      </c>
      <c r="AB539" s="5" t="s">
        <v>45</v>
      </c>
      <c r="AC539" s="5"/>
      <c r="AD539" s="5"/>
      <c r="AE539" s="5"/>
      <c r="AG539" s="9">
        <f t="shared" si="8"/>
        <v>43284</v>
      </c>
    </row>
    <row r="540" s="6" customFormat="1" spans="1:33">
      <c r="A540" s="5" t="s">
        <v>2841</v>
      </c>
      <c r="B540" s="5" t="s">
        <v>2841</v>
      </c>
      <c r="C540" s="5" t="s">
        <v>2842</v>
      </c>
      <c r="D540" s="5" t="s">
        <v>2843</v>
      </c>
      <c r="E540" s="5" t="s">
        <v>35</v>
      </c>
      <c r="F540" s="5" t="s">
        <v>36</v>
      </c>
      <c r="G540" s="5" t="s">
        <v>37</v>
      </c>
      <c r="H540" s="5"/>
      <c r="I540" s="5"/>
      <c r="J540" s="5" t="s">
        <v>883</v>
      </c>
      <c r="K540" s="5" t="s">
        <v>2675</v>
      </c>
      <c r="L540" s="5" t="s">
        <v>2676</v>
      </c>
      <c r="M540" s="5" t="s">
        <v>2677</v>
      </c>
      <c r="N540" s="5" t="s">
        <v>35</v>
      </c>
      <c r="O540" s="5">
        <v>1</v>
      </c>
      <c r="P540" s="5" t="s">
        <v>42</v>
      </c>
      <c r="Q540" s="5">
        <v>11.99</v>
      </c>
      <c r="R540" s="5"/>
      <c r="S540" s="5">
        <v>3.99</v>
      </c>
      <c r="T540" s="5"/>
      <c r="U540" s="5"/>
      <c r="V540" s="5"/>
      <c r="W540" s="5"/>
      <c r="X540" s="5"/>
      <c r="Y540" s="5" t="s">
        <v>2844</v>
      </c>
      <c r="Z540" s="5" t="s">
        <v>153</v>
      </c>
      <c r="AA540" s="5" t="s">
        <v>2845</v>
      </c>
      <c r="AB540" s="5" t="s">
        <v>45</v>
      </c>
      <c r="AC540" s="5"/>
      <c r="AD540" s="5"/>
      <c r="AE540" s="5"/>
      <c r="AG540" s="9">
        <f t="shared" si="8"/>
        <v>43284</v>
      </c>
    </row>
    <row r="541" s="6" customFormat="1" spans="1:33">
      <c r="A541" s="5" t="s">
        <v>2846</v>
      </c>
      <c r="B541" s="5" t="s">
        <v>2846</v>
      </c>
      <c r="C541" s="5" t="s">
        <v>2847</v>
      </c>
      <c r="D541" s="5" t="s">
        <v>2848</v>
      </c>
      <c r="E541" s="5" t="s">
        <v>35</v>
      </c>
      <c r="F541" s="5" t="s">
        <v>36</v>
      </c>
      <c r="G541" s="5" t="s">
        <v>37</v>
      </c>
      <c r="H541" s="5"/>
      <c r="I541" s="5"/>
      <c r="J541" s="5" t="s">
        <v>59</v>
      </c>
      <c r="K541" s="5" t="s">
        <v>2849</v>
      </c>
      <c r="L541" s="5" t="s">
        <v>2850</v>
      </c>
      <c r="M541" s="5" t="s">
        <v>2851</v>
      </c>
      <c r="N541" s="5" t="s">
        <v>35</v>
      </c>
      <c r="O541" s="5">
        <v>1</v>
      </c>
      <c r="P541" s="5" t="s">
        <v>42</v>
      </c>
      <c r="Q541" s="5">
        <v>7.99</v>
      </c>
      <c r="R541" s="5"/>
      <c r="S541" s="5"/>
      <c r="T541" s="5"/>
      <c r="U541" s="5"/>
      <c r="V541" s="5"/>
      <c r="W541" s="5"/>
      <c r="X541" s="5"/>
      <c r="Y541" s="5" t="s">
        <v>2852</v>
      </c>
      <c r="Z541" s="5" t="s">
        <v>54</v>
      </c>
      <c r="AA541" s="5" t="s">
        <v>2853</v>
      </c>
      <c r="AB541" s="5" t="s">
        <v>45</v>
      </c>
      <c r="AC541" s="5"/>
      <c r="AD541" s="5"/>
      <c r="AE541" s="5"/>
      <c r="AG541" s="9">
        <f t="shared" si="8"/>
        <v>43284</v>
      </c>
    </row>
    <row r="542" s="6" customFormat="1" spans="1:33">
      <c r="A542" s="5" t="s">
        <v>2854</v>
      </c>
      <c r="B542" s="5" t="s">
        <v>2854</v>
      </c>
      <c r="C542" s="5" t="s">
        <v>2855</v>
      </c>
      <c r="D542" s="5" t="s">
        <v>2856</v>
      </c>
      <c r="E542" s="5" t="s">
        <v>35</v>
      </c>
      <c r="F542" s="5" t="s">
        <v>36</v>
      </c>
      <c r="G542" s="5" t="s">
        <v>37</v>
      </c>
      <c r="H542" s="5"/>
      <c r="I542" s="5"/>
      <c r="J542" s="5" t="s">
        <v>59</v>
      </c>
      <c r="K542" s="5" t="s">
        <v>39</v>
      </c>
      <c r="L542" s="5" t="s">
        <v>40</v>
      </c>
      <c r="M542" s="5" t="s">
        <v>41</v>
      </c>
      <c r="N542" s="5" t="s">
        <v>35</v>
      </c>
      <c r="O542" s="5">
        <v>1</v>
      </c>
      <c r="P542" s="5" t="s">
        <v>42</v>
      </c>
      <c r="Q542" s="5">
        <v>7.99</v>
      </c>
      <c r="R542" s="5"/>
      <c r="S542" s="5"/>
      <c r="T542" s="5"/>
      <c r="U542" s="5"/>
      <c r="V542" s="5"/>
      <c r="W542" s="5"/>
      <c r="X542" s="5"/>
      <c r="Y542" s="5" t="s">
        <v>954</v>
      </c>
      <c r="Z542" s="5" t="s">
        <v>211</v>
      </c>
      <c r="AA542" s="5" t="s">
        <v>2857</v>
      </c>
      <c r="AB542" s="5" t="s">
        <v>45</v>
      </c>
      <c r="AC542" s="5"/>
      <c r="AD542" s="5"/>
      <c r="AE542" s="5"/>
      <c r="AG542" s="9">
        <f t="shared" si="8"/>
        <v>43284</v>
      </c>
    </row>
    <row r="543" s="6" customFormat="1" spans="1:33">
      <c r="A543" s="5" t="s">
        <v>2858</v>
      </c>
      <c r="B543" s="5" t="s">
        <v>2858</v>
      </c>
      <c r="C543" s="5" t="s">
        <v>2859</v>
      </c>
      <c r="D543" s="5" t="s">
        <v>2860</v>
      </c>
      <c r="E543" s="5" t="s">
        <v>35</v>
      </c>
      <c r="F543" s="5" t="s">
        <v>36</v>
      </c>
      <c r="G543" s="5" t="s">
        <v>37</v>
      </c>
      <c r="H543" s="5"/>
      <c r="I543" s="5"/>
      <c r="J543" s="5" t="s">
        <v>59</v>
      </c>
      <c r="K543" s="5" t="s">
        <v>50</v>
      </c>
      <c r="L543" s="5" t="s">
        <v>51</v>
      </c>
      <c r="M543" s="5" t="s">
        <v>52</v>
      </c>
      <c r="N543" s="5" t="s">
        <v>35</v>
      </c>
      <c r="O543" s="5">
        <v>1</v>
      </c>
      <c r="P543" s="5" t="s">
        <v>42</v>
      </c>
      <c r="Q543" s="5">
        <v>9</v>
      </c>
      <c r="R543" s="5"/>
      <c r="S543" s="5"/>
      <c r="T543" s="5"/>
      <c r="U543" s="5"/>
      <c r="V543" s="5"/>
      <c r="W543" s="5"/>
      <c r="X543" s="5"/>
      <c r="Y543" s="5" t="s">
        <v>2861</v>
      </c>
      <c r="Z543" s="5" t="s">
        <v>54</v>
      </c>
      <c r="AA543" s="5" t="s">
        <v>2862</v>
      </c>
      <c r="AB543" s="5" t="s">
        <v>45</v>
      </c>
      <c r="AC543" s="5"/>
      <c r="AD543" s="5"/>
      <c r="AE543" s="5"/>
      <c r="AG543" s="9">
        <f t="shared" si="8"/>
        <v>43285</v>
      </c>
    </row>
    <row r="544" s="6" customFormat="1" spans="1:33">
      <c r="A544" s="5" t="s">
        <v>2863</v>
      </c>
      <c r="B544" s="5" t="s">
        <v>2863</v>
      </c>
      <c r="C544" s="5" t="s">
        <v>2864</v>
      </c>
      <c r="D544" s="5" t="s">
        <v>2865</v>
      </c>
      <c r="E544" s="5" t="s">
        <v>35</v>
      </c>
      <c r="F544" s="5" t="s">
        <v>36</v>
      </c>
      <c r="G544" s="5" t="s">
        <v>37</v>
      </c>
      <c r="H544" s="5"/>
      <c r="I544" s="5"/>
      <c r="J544" s="5" t="s">
        <v>59</v>
      </c>
      <c r="K544" s="5" t="s">
        <v>50</v>
      </c>
      <c r="L544" s="5" t="s">
        <v>51</v>
      </c>
      <c r="M544" s="5" t="s">
        <v>52</v>
      </c>
      <c r="N544" s="5" t="s">
        <v>35</v>
      </c>
      <c r="O544" s="5">
        <v>1</v>
      </c>
      <c r="P544" s="5" t="s">
        <v>42</v>
      </c>
      <c r="Q544" s="5">
        <v>9</v>
      </c>
      <c r="R544" s="5"/>
      <c r="S544" s="5"/>
      <c r="T544" s="5"/>
      <c r="U544" s="5"/>
      <c r="V544" s="5"/>
      <c r="W544" s="5"/>
      <c r="X544" s="5"/>
      <c r="Y544" s="5" t="s">
        <v>2866</v>
      </c>
      <c r="Z544" s="5" t="s">
        <v>341</v>
      </c>
      <c r="AA544" s="5" t="s">
        <v>2867</v>
      </c>
      <c r="AB544" s="5" t="s">
        <v>45</v>
      </c>
      <c r="AC544" s="5"/>
      <c r="AD544" s="5"/>
      <c r="AE544" s="5"/>
      <c r="AG544" s="9">
        <f t="shared" si="8"/>
        <v>43285</v>
      </c>
    </row>
    <row r="545" s="6" customFormat="1" spans="1:33">
      <c r="A545" s="5" t="s">
        <v>2868</v>
      </c>
      <c r="B545" s="5" t="s">
        <v>2868</v>
      </c>
      <c r="C545" s="5" t="s">
        <v>2869</v>
      </c>
      <c r="D545" s="5" t="s">
        <v>2870</v>
      </c>
      <c r="E545" s="5" t="s">
        <v>35</v>
      </c>
      <c r="F545" s="5" t="s">
        <v>36</v>
      </c>
      <c r="G545" s="5" t="s">
        <v>37</v>
      </c>
      <c r="H545" s="5"/>
      <c r="I545" s="5"/>
      <c r="J545" s="5" t="s">
        <v>59</v>
      </c>
      <c r="K545" s="5" t="s">
        <v>50</v>
      </c>
      <c r="L545" s="5" t="s">
        <v>51</v>
      </c>
      <c r="M545" s="5" t="s">
        <v>52</v>
      </c>
      <c r="N545" s="5" t="s">
        <v>35</v>
      </c>
      <c r="O545" s="5">
        <v>1</v>
      </c>
      <c r="P545" s="5" t="s">
        <v>42</v>
      </c>
      <c r="Q545" s="5">
        <v>9</v>
      </c>
      <c r="R545" s="5"/>
      <c r="S545" s="5"/>
      <c r="T545" s="5"/>
      <c r="U545" s="5"/>
      <c r="V545" s="5"/>
      <c r="W545" s="5"/>
      <c r="X545" s="5"/>
      <c r="Y545" s="5" t="s">
        <v>2871</v>
      </c>
      <c r="Z545" s="5" t="s">
        <v>211</v>
      </c>
      <c r="AA545" s="5">
        <v>11230</v>
      </c>
      <c r="AB545" s="5" t="s">
        <v>45</v>
      </c>
      <c r="AC545" s="5"/>
      <c r="AD545" s="5"/>
      <c r="AE545" s="5"/>
      <c r="AG545" s="9">
        <f t="shared" si="8"/>
        <v>43285</v>
      </c>
    </row>
    <row r="546" s="6" customFormat="1" spans="1:33">
      <c r="A546" s="5" t="s">
        <v>2872</v>
      </c>
      <c r="B546" s="5" t="s">
        <v>2872</v>
      </c>
      <c r="C546" s="5" t="s">
        <v>2873</v>
      </c>
      <c r="D546" s="5" t="s">
        <v>2874</v>
      </c>
      <c r="E546" s="5" t="s">
        <v>35</v>
      </c>
      <c r="F546" s="5" t="s">
        <v>36</v>
      </c>
      <c r="G546" s="5" t="s">
        <v>37</v>
      </c>
      <c r="H546" s="5"/>
      <c r="I546" s="5"/>
      <c r="J546" s="5" t="s">
        <v>59</v>
      </c>
      <c r="K546" s="5" t="s">
        <v>831</v>
      </c>
      <c r="L546" s="5" t="s">
        <v>832</v>
      </c>
      <c r="M546" s="5" t="s">
        <v>833</v>
      </c>
      <c r="N546" s="5" t="s">
        <v>35</v>
      </c>
      <c r="O546" s="5">
        <v>1</v>
      </c>
      <c r="P546" s="5" t="s">
        <v>42</v>
      </c>
      <c r="Q546" s="5">
        <v>15.99</v>
      </c>
      <c r="R546" s="5"/>
      <c r="S546" s="5"/>
      <c r="T546" s="5"/>
      <c r="U546" s="5"/>
      <c r="V546" s="5"/>
      <c r="W546" s="5"/>
      <c r="X546" s="5"/>
      <c r="Y546" s="5" t="s">
        <v>640</v>
      </c>
      <c r="Z546" s="5" t="s">
        <v>432</v>
      </c>
      <c r="AA546" s="5" t="s">
        <v>2875</v>
      </c>
      <c r="AB546" s="5" t="s">
        <v>45</v>
      </c>
      <c r="AC546" s="5"/>
      <c r="AD546" s="5"/>
      <c r="AE546" s="5"/>
      <c r="AF546" s="8"/>
      <c r="AG546" s="9">
        <f t="shared" si="8"/>
        <v>43285</v>
      </c>
    </row>
    <row r="547" s="6" customFormat="1" spans="1:33">
      <c r="A547" s="5" t="s">
        <v>2876</v>
      </c>
      <c r="B547" s="5" t="s">
        <v>2876</v>
      </c>
      <c r="C547" s="5" t="s">
        <v>2877</v>
      </c>
      <c r="D547" s="5" t="s">
        <v>2878</v>
      </c>
      <c r="E547" s="5" t="s">
        <v>35</v>
      </c>
      <c r="F547" s="5" t="s">
        <v>36</v>
      </c>
      <c r="G547" s="5" t="s">
        <v>37</v>
      </c>
      <c r="H547" s="5"/>
      <c r="I547" s="5"/>
      <c r="J547" s="5" t="s">
        <v>59</v>
      </c>
      <c r="K547" s="5" t="s">
        <v>2628</v>
      </c>
      <c r="L547" s="5" t="s">
        <v>2629</v>
      </c>
      <c r="M547" s="5" t="s">
        <v>2630</v>
      </c>
      <c r="N547" s="5" t="s">
        <v>35</v>
      </c>
      <c r="O547" s="5">
        <v>4</v>
      </c>
      <c r="P547" s="5" t="s">
        <v>42</v>
      </c>
      <c r="Q547" s="5">
        <v>31.96</v>
      </c>
      <c r="R547" s="5"/>
      <c r="S547" s="5"/>
      <c r="T547" s="5"/>
      <c r="U547" s="5"/>
      <c r="V547" s="5"/>
      <c r="W547" s="5"/>
      <c r="X547" s="5"/>
      <c r="Y547" s="5" t="s">
        <v>2879</v>
      </c>
      <c r="Z547" s="5" t="s">
        <v>211</v>
      </c>
      <c r="AA547" s="5" t="s">
        <v>2880</v>
      </c>
      <c r="AB547" s="5" t="s">
        <v>45</v>
      </c>
      <c r="AC547" s="5"/>
      <c r="AD547" s="5"/>
      <c r="AE547" s="5"/>
      <c r="AF547" s="8"/>
      <c r="AG547" s="9">
        <f t="shared" si="8"/>
        <v>43285</v>
      </c>
    </row>
    <row r="548" s="6" customFormat="1" spans="1:33">
      <c r="A548" s="5" t="s">
        <v>2881</v>
      </c>
      <c r="B548" s="5" t="s">
        <v>2881</v>
      </c>
      <c r="C548" s="5" t="s">
        <v>2882</v>
      </c>
      <c r="D548" s="5" t="s">
        <v>2883</v>
      </c>
      <c r="E548" s="5" t="s">
        <v>35</v>
      </c>
      <c r="F548" s="5" t="s">
        <v>36</v>
      </c>
      <c r="G548" s="5" t="s">
        <v>37</v>
      </c>
      <c r="H548" s="5"/>
      <c r="I548" s="5"/>
      <c r="J548" s="5" t="s">
        <v>49</v>
      </c>
      <c r="K548" s="5" t="s">
        <v>1902</v>
      </c>
      <c r="L548" s="5" t="s">
        <v>1903</v>
      </c>
      <c r="M548" s="5" t="s">
        <v>1904</v>
      </c>
      <c r="N548" s="5" t="s">
        <v>35</v>
      </c>
      <c r="O548" s="5">
        <v>1</v>
      </c>
      <c r="P548" s="5" t="s">
        <v>42</v>
      </c>
      <c r="Q548" s="5">
        <v>7.99</v>
      </c>
      <c r="R548" s="5"/>
      <c r="S548" s="5"/>
      <c r="T548" s="5"/>
      <c r="U548" s="5"/>
      <c r="V548" s="5"/>
      <c r="W548" s="5"/>
      <c r="X548" s="5"/>
      <c r="Y548" s="5" t="s">
        <v>2884</v>
      </c>
      <c r="Z548" s="5" t="s">
        <v>153</v>
      </c>
      <c r="AA548" s="5" t="s">
        <v>2885</v>
      </c>
      <c r="AB548" s="5" t="s">
        <v>45</v>
      </c>
      <c r="AC548" s="5"/>
      <c r="AD548" s="5"/>
      <c r="AE548" s="5"/>
      <c r="AF548" s="8"/>
      <c r="AG548" s="9">
        <f t="shared" si="8"/>
        <v>43285</v>
      </c>
    </row>
    <row r="549" s="6" customFormat="1" spans="1:33">
      <c r="A549" s="5" t="s">
        <v>2886</v>
      </c>
      <c r="B549" s="5" t="s">
        <v>2886</v>
      </c>
      <c r="C549" s="5" t="s">
        <v>2887</v>
      </c>
      <c r="D549" s="5" t="s">
        <v>2888</v>
      </c>
      <c r="E549" s="5" t="s">
        <v>35</v>
      </c>
      <c r="F549" s="5" t="s">
        <v>36</v>
      </c>
      <c r="G549" s="5" t="s">
        <v>37</v>
      </c>
      <c r="H549" s="5"/>
      <c r="I549" s="5"/>
      <c r="J549" s="5" t="s">
        <v>59</v>
      </c>
      <c r="K549" s="5" t="s">
        <v>94</v>
      </c>
      <c r="L549" s="5" t="s">
        <v>95</v>
      </c>
      <c r="M549" s="5" t="s">
        <v>96</v>
      </c>
      <c r="N549" s="5" t="s">
        <v>35</v>
      </c>
      <c r="O549" s="5">
        <v>1</v>
      </c>
      <c r="P549" s="5" t="s">
        <v>42</v>
      </c>
      <c r="Q549" s="5">
        <v>15.99</v>
      </c>
      <c r="R549" s="5"/>
      <c r="S549" s="5"/>
      <c r="T549" s="5"/>
      <c r="U549" s="5"/>
      <c r="V549" s="5"/>
      <c r="W549" s="5"/>
      <c r="X549" s="5"/>
      <c r="Y549" s="5" t="s">
        <v>2889</v>
      </c>
      <c r="Z549" s="5" t="s">
        <v>341</v>
      </c>
      <c r="AA549" s="5" t="s">
        <v>2890</v>
      </c>
      <c r="AB549" s="5" t="s">
        <v>45</v>
      </c>
      <c r="AC549" s="5"/>
      <c r="AD549" s="5"/>
      <c r="AE549" s="5"/>
      <c r="AF549" s="8"/>
      <c r="AG549" s="9">
        <f t="shared" si="8"/>
        <v>43285</v>
      </c>
    </row>
    <row r="550" s="6" customFormat="1" spans="1:33">
      <c r="A550" s="5" t="s">
        <v>2891</v>
      </c>
      <c r="B550" s="5" t="s">
        <v>2891</v>
      </c>
      <c r="C550" s="5" t="s">
        <v>2892</v>
      </c>
      <c r="D550" s="5" t="s">
        <v>2893</v>
      </c>
      <c r="E550" s="5" t="s">
        <v>35</v>
      </c>
      <c r="F550" s="5" t="s">
        <v>36</v>
      </c>
      <c r="G550" s="5" t="s">
        <v>37</v>
      </c>
      <c r="H550" s="5"/>
      <c r="I550" s="5"/>
      <c r="J550" s="5" t="s">
        <v>38</v>
      </c>
      <c r="K550" s="5" t="s">
        <v>50</v>
      </c>
      <c r="L550" s="5" t="s">
        <v>51</v>
      </c>
      <c r="M550" s="5" t="s">
        <v>52</v>
      </c>
      <c r="N550" s="5" t="s">
        <v>35</v>
      </c>
      <c r="O550" s="5">
        <v>1</v>
      </c>
      <c r="P550" s="5" t="s">
        <v>42</v>
      </c>
      <c r="Q550" s="5">
        <v>9</v>
      </c>
      <c r="R550" s="5"/>
      <c r="S550" s="5">
        <v>1.11</v>
      </c>
      <c r="T550" s="5"/>
      <c r="U550" s="5"/>
      <c r="V550" s="5"/>
      <c r="W550" s="5"/>
      <c r="X550" s="5">
        <v>1.11</v>
      </c>
      <c r="Y550" s="5" t="s">
        <v>2894</v>
      </c>
      <c r="Z550" s="5" t="s">
        <v>586</v>
      </c>
      <c r="AA550" s="5">
        <v>90220</v>
      </c>
      <c r="AB550" s="5" t="s">
        <v>45</v>
      </c>
      <c r="AC550" s="5" t="s">
        <v>328</v>
      </c>
      <c r="AD550" s="5"/>
      <c r="AE550" s="5"/>
      <c r="AF550" s="8"/>
      <c r="AG550" s="9">
        <f t="shared" si="8"/>
        <v>43285</v>
      </c>
    </row>
    <row r="551" s="6" customFormat="1" spans="1:33">
      <c r="A551" s="5" t="s">
        <v>2895</v>
      </c>
      <c r="B551" s="5" t="s">
        <v>2895</v>
      </c>
      <c r="C551" s="5" t="s">
        <v>2896</v>
      </c>
      <c r="D551" s="5" t="s">
        <v>2897</v>
      </c>
      <c r="E551" s="5" t="s">
        <v>35</v>
      </c>
      <c r="F551" s="5" t="s">
        <v>36</v>
      </c>
      <c r="G551" s="5" t="s">
        <v>37</v>
      </c>
      <c r="H551" s="5"/>
      <c r="I551" s="5"/>
      <c r="J551" s="5" t="s">
        <v>59</v>
      </c>
      <c r="K551" s="5" t="s">
        <v>50</v>
      </c>
      <c r="L551" s="5" t="s">
        <v>51</v>
      </c>
      <c r="M551" s="5" t="s">
        <v>52</v>
      </c>
      <c r="N551" s="5" t="s">
        <v>35</v>
      </c>
      <c r="O551" s="5">
        <v>1</v>
      </c>
      <c r="P551" s="5" t="s">
        <v>42</v>
      </c>
      <c r="Q551" s="5">
        <v>9</v>
      </c>
      <c r="R551" s="5"/>
      <c r="S551" s="5"/>
      <c r="T551" s="5"/>
      <c r="U551" s="5"/>
      <c r="V551" s="5"/>
      <c r="W551" s="5"/>
      <c r="X551" s="5"/>
      <c r="Y551" s="5" t="s">
        <v>501</v>
      </c>
      <c r="Z551" s="5" t="s">
        <v>127</v>
      </c>
      <c r="AA551" s="5" t="s">
        <v>2898</v>
      </c>
      <c r="AB551" s="5" t="s">
        <v>45</v>
      </c>
      <c r="AC551" s="5"/>
      <c r="AD551" s="5"/>
      <c r="AE551" s="5"/>
      <c r="AF551" s="8"/>
      <c r="AG551" s="9">
        <f t="shared" si="8"/>
        <v>43285</v>
      </c>
    </row>
    <row r="552" s="6" customFormat="1" spans="1:33">
      <c r="A552" s="5" t="s">
        <v>2899</v>
      </c>
      <c r="B552" s="5" t="s">
        <v>2899</v>
      </c>
      <c r="C552" s="5" t="s">
        <v>2900</v>
      </c>
      <c r="D552" s="5" t="s">
        <v>2901</v>
      </c>
      <c r="E552" s="5" t="s">
        <v>35</v>
      </c>
      <c r="F552" s="5" t="s">
        <v>36</v>
      </c>
      <c r="G552" s="5" t="s">
        <v>37</v>
      </c>
      <c r="H552" s="5"/>
      <c r="I552" s="5"/>
      <c r="J552" s="5" t="s">
        <v>59</v>
      </c>
      <c r="K552" s="5" t="s">
        <v>94</v>
      </c>
      <c r="L552" s="5" t="s">
        <v>95</v>
      </c>
      <c r="M552" s="5" t="s">
        <v>96</v>
      </c>
      <c r="N552" s="5" t="s">
        <v>35</v>
      </c>
      <c r="O552" s="5">
        <v>1</v>
      </c>
      <c r="P552" s="5" t="s">
        <v>42</v>
      </c>
      <c r="Q552" s="5">
        <v>15.99</v>
      </c>
      <c r="R552" s="5"/>
      <c r="S552" s="5"/>
      <c r="T552" s="5"/>
      <c r="U552" s="5"/>
      <c r="V552" s="5"/>
      <c r="W552" s="5"/>
      <c r="X552" s="5"/>
      <c r="Y552" s="5" t="s">
        <v>2902</v>
      </c>
      <c r="Z552" s="5" t="s">
        <v>789</v>
      </c>
      <c r="AA552" s="5">
        <v>67207</v>
      </c>
      <c r="AB552" s="5" t="s">
        <v>45</v>
      </c>
      <c r="AC552" s="5"/>
      <c r="AD552" s="5"/>
      <c r="AE552" s="5"/>
      <c r="AF552" s="8"/>
      <c r="AG552" s="9">
        <f t="shared" si="8"/>
        <v>43285</v>
      </c>
    </row>
    <row r="553" s="6" customFormat="1" spans="1:33">
      <c r="A553" s="5" t="s">
        <v>2903</v>
      </c>
      <c r="B553" s="5" t="s">
        <v>2903</v>
      </c>
      <c r="C553" s="5" t="s">
        <v>2904</v>
      </c>
      <c r="D553" s="5" t="s">
        <v>2905</v>
      </c>
      <c r="E553" s="5" t="s">
        <v>35</v>
      </c>
      <c r="F553" s="5" t="s">
        <v>36</v>
      </c>
      <c r="G553" s="5" t="s">
        <v>37</v>
      </c>
      <c r="H553" s="5"/>
      <c r="I553" s="5"/>
      <c r="J553" s="5" t="s">
        <v>883</v>
      </c>
      <c r="K553" s="5" t="s">
        <v>114</v>
      </c>
      <c r="L553" s="5" t="s">
        <v>115</v>
      </c>
      <c r="M553" s="5" t="s">
        <v>116</v>
      </c>
      <c r="N553" s="5" t="s">
        <v>35</v>
      </c>
      <c r="O553" s="5">
        <v>2</v>
      </c>
      <c r="P553" s="5" t="s">
        <v>42</v>
      </c>
      <c r="Q553" s="5">
        <v>27.98</v>
      </c>
      <c r="R553" s="5">
        <v>1.68</v>
      </c>
      <c r="S553" s="5">
        <v>7.98</v>
      </c>
      <c r="T553" s="5">
        <v>0.48</v>
      </c>
      <c r="U553" s="5"/>
      <c r="V553" s="5"/>
      <c r="W553" s="5"/>
      <c r="X553" s="5"/>
      <c r="Y553" s="5" t="s">
        <v>2906</v>
      </c>
      <c r="Z553" s="5" t="s">
        <v>426</v>
      </c>
      <c r="AA553" s="5">
        <v>19312</v>
      </c>
      <c r="AB553" s="5" t="s">
        <v>45</v>
      </c>
      <c r="AC553" s="5"/>
      <c r="AD553" s="5"/>
      <c r="AE553" s="5"/>
      <c r="AF553" s="8"/>
      <c r="AG553" s="9">
        <f t="shared" si="8"/>
        <v>43285</v>
      </c>
    </row>
    <row r="554" s="6" customFormat="1" spans="1:33">
      <c r="A554" s="5" t="s">
        <v>2907</v>
      </c>
      <c r="B554" s="5" t="s">
        <v>2907</v>
      </c>
      <c r="C554" s="5" t="s">
        <v>2908</v>
      </c>
      <c r="D554" s="5" t="s">
        <v>2909</v>
      </c>
      <c r="E554" s="5" t="s">
        <v>35</v>
      </c>
      <c r="F554" s="5" t="s">
        <v>36</v>
      </c>
      <c r="G554" s="5" t="s">
        <v>37</v>
      </c>
      <c r="H554" s="5"/>
      <c r="I554" s="5"/>
      <c r="J554" s="5" t="s">
        <v>59</v>
      </c>
      <c r="K554" s="5" t="s">
        <v>50</v>
      </c>
      <c r="L554" s="5" t="s">
        <v>51</v>
      </c>
      <c r="M554" s="5" t="s">
        <v>52</v>
      </c>
      <c r="N554" s="5" t="s">
        <v>35</v>
      </c>
      <c r="O554" s="5">
        <v>1</v>
      </c>
      <c r="P554" s="5" t="s">
        <v>42</v>
      </c>
      <c r="Q554" s="5">
        <v>9</v>
      </c>
      <c r="R554" s="5"/>
      <c r="S554" s="5"/>
      <c r="T554" s="5"/>
      <c r="U554" s="5"/>
      <c r="V554" s="5"/>
      <c r="W554" s="5"/>
      <c r="X554" s="5"/>
      <c r="Y554" s="5" t="s">
        <v>2910</v>
      </c>
      <c r="Z554" s="5" t="s">
        <v>2911</v>
      </c>
      <c r="AA554" s="5">
        <v>95131</v>
      </c>
      <c r="AB554" s="5" t="s">
        <v>45</v>
      </c>
      <c r="AC554" s="5"/>
      <c r="AD554" s="5"/>
      <c r="AE554" s="5"/>
      <c r="AF554" s="8"/>
      <c r="AG554" s="9">
        <f t="shared" si="8"/>
        <v>43285</v>
      </c>
    </row>
    <row r="555" s="6" customFormat="1" spans="1:33">
      <c r="A555" s="5" t="s">
        <v>2912</v>
      </c>
      <c r="B555" s="5" t="s">
        <v>2912</v>
      </c>
      <c r="C555" s="5" t="s">
        <v>2913</v>
      </c>
      <c r="D555" s="5" t="s">
        <v>2914</v>
      </c>
      <c r="E555" s="5" t="s">
        <v>35</v>
      </c>
      <c r="F555" s="5" t="s">
        <v>36</v>
      </c>
      <c r="G555" s="5" t="s">
        <v>37</v>
      </c>
      <c r="H555" s="5"/>
      <c r="I555" s="5"/>
      <c r="J555" s="5" t="s">
        <v>59</v>
      </c>
      <c r="K555" s="5" t="s">
        <v>50</v>
      </c>
      <c r="L555" s="5" t="s">
        <v>51</v>
      </c>
      <c r="M555" s="5" t="s">
        <v>52</v>
      </c>
      <c r="N555" s="5" t="s">
        <v>35</v>
      </c>
      <c r="O555" s="5">
        <v>1</v>
      </c>
      <c r="P555" s="5" t="s">
        <v>42</v>
      </c>
      <c r="Q555" s="5">
        <v>9</v>
      </c>
      <c r="R555" s="5"/>
      <c r="S555" s="5"/>
      <c r="T555" s="5"/>
      <c r="U555" s="5"/>
      <c r="V555" s="5"/>
      <c r="W555" s="5"/>
      <c r="X555" s="5"/>
      <c r="Y555" s="5" t="s">
        <v>2915</v>
      </c>
      <c r="Z555" s="5" t="s">
        <v>153</v>
      </c>
      <c r="AA555" s="5" t="s">
        <v>2916</v>
      </c>
      <c r="AB555" s="5" t="s">
        <v>45</v>
      </c>
      <c r="AC555" s="5"/>
      <c r="AD555" s="5"/>
      <c r="AE555" s="5"/>
      <c r="AF555" s="8"/>
      <c r="AG555" s="9">
        <f t="shared" si="8"/>
        <v>43285</v>
      </c>
    </row>
    <row r="556" s="6" customFormat="1" spans="1:33">
      <c r="A556" s="5" t="s">
        <v>2917</v>
      </c>
      <c r="B556" s="5" t="s">
        <v>2917</v>
      </c>
      <c r="C556" s="5" t="s">
        <v>2918</v>
      </c>
      <c r="D556" s="5" t="s">
        <v>2919</v>
      </c>
      <c r="E556" s="5" t="s">
        <v>274</v>
      </c>
      <c r="F556" s="5" t="s">
        <v>36</v>
      </c>
      <c r="G556" s="5" t="s">
        <v>37</v>
      </c>
      <c r="H556" s="5"/>
      <c r="I556" s="5"/>
      <c r="J556" s="5" t="s">
        <v>59</v>
      </c>
      <c r="K556" s="5" t="s">
        <v>50</v>
      </c>
      <c r="L556" s="5" t="s">
        <v>51</v>
      </c>
      <c r="M556" s="5" t="s">
        <v>52</v>
      </c>
      <c r="N556" s="5" t="s">
        <v>274</v>
      </c>
      <c r="O556" s="5">
        <v>0</v>
      </c>
      <c r="P556" s="5"/>
      <c r="Q556" s="5"/>
      <c r="R556" s="5"/>
      <c r="S556" s="5"/>
      <c r="T556" s="5"/>
      <c r="U556" s="5"/>
      <c r="V556" s="5"/>
      <c r="W556" s="5"/>
      <c r="X556" s="5"/>
      <c r="Y556" s="5" t="s">
        <v>2910</v>
      </c>
      <c r="Z556" s="5" t="s">
        <v>2911</v>
      </c>
      <c r="AA556" s="5">
        <v>95131</v>
      </c>
      <c r="AB556" s="5" t="s">
        <v>45</v>
      </c>
      <c r="AC556" s="5"/>
      <c r="AD556" s="5"/>
      <c r="AE556" s="5"/>
      <c r="AF556" s="8"/>
      <c r="AG556" s="9">
        <f t="shared" si="8"/>
        <v>43285</v>
      </c>
    </row>
    <row r="557" s="6" customFormat="1" spans="1:33">
      <c r="A557" s="5" t="s">
        <v>2920</v>
      </c>
      <c r="B557" s="5" t="s">
        <v>2920</v>
      </c>
      <c r="C557" s="5" t="s">
        <v>2921</v>
      </c>
      <c r="D557" s="5" t="s">
        <v>2922</v>
      </c>
      <c r="E557" s="5" t="s">
        <v>35</v>
      </c>
      <c r="F557" s="5" t="s">
        <v>36</v>
      </c>
      <c r="G557" s="5" t="s">
        <v>37</v>
      </c>
      <c r="H557" s="5"/>
      <c r="I557" s="5"/>
      <c r="J557" s="5" t="s">
        <v>59</v>
      </c>
      <c r="K557" s="5" t="s">
        <v>346</v>
      </c>
      <c r="L557" s="5" t="s">
        <v>347</v>
      </c>
      <c r="M557" s="5" t="s">
        <v>348</v>
      </c>
      <c r="N557" s="5" t="s">
        <v>35</v>
      </c>
      <c r="O557" s="5">
        <v>1</v>
      </c>
      <c r="P557" s="5" t="s">
        <v>42</v>
      </c>
      <c r="Q557" s="5">
        <v>12.99</v>
      </c>
      <c r="R557" s="5"/>
      <c r="S557" s="5"/>
      <c r="T557" s="5"/>
      <c r="U557" s="5"/>
      <c r="V557" s="5"/>
      <c r="W557" s="5"/>
      <c r="X557" s="5"/>
      <c r="Y557" s="5" t="s">
        <v>770</v>
      </c>
      <c r="Z557" s="5" t="s">
        <v>171</v>
      </c>
      <c r="AA557" s="5" t="s">
        <v>2923</v>
      </c>
      <c r="AB557" s="5" t="s">
        <v>45</v>
      </c>
      <c r="AC557" s="5"/>
      <c r="AD557" s="5"/>
      <c r="AE557" s="5"/>
      <c r="AF557" s="8"/>
      <c r="AG557" s="9">
        <f t="shared" si="8"/>
        <v>43285</v>
      </c>
    </row>
    <row r="558" s="6" customFormat="1" spans="1:33">
      <c r="A558" s="5" t="s">
        <v>2924</v>
      </c>
      <c r="B558" s="5" t="s">
        <v>2924</v>
      </c>
      <c r="C558" s="5" t="s">
        <v>2925</v>
      </c>
      <c r="D558" s="5" t="s">
        <v>2926</v>
      </c>
      <c r="E558" s="5" t="s">
        <v>35</v>
      </c>
      <c r="F558" s="5" t="s">
        <v>36</v>
      </c>
      <c r="G558" s="5" t="s">
        <v>37</v>
      </c>
      <c r="H558" s="5"/>
      <c r="I558" s="5"/>
      <c r="J558" s="5" t="s">
        <v>59</v>
      </c>
      <c r="K558" s="5" t="s">
        <v>167</v>
      </c>
      <c r="L558" s="5" t="s">
        <v>168</v>
      </c>
      <c r="M558" s="5" t="s">
        <v>169</v>
      </c>
      <c r="N558" s="5" t="s">
        <v>35</v>
      </c>
      <c r="O558" s="5">
        <v>1</v>
      </c>
      <c r="P558" s="5" t="s">
        <v>42</v>
      </c>
      <c r="Q558" s="5">
        <v>15.99</v>
      </c>
      <c r="R558" s="5"/>
      <c r="S558" s="5"/>
      <c r="T558" s="5"/>
      <c r="U558" s="5"/>
      <c r="V558" s="5"/>
      <c r="W558" s="5"/>
      <c r="X558" s="5"/>
      <c r="Y558" s="5" t="s">
        <v>2927</v>
      </c>
      <c r="Z558" s="5" t="s">
        <v>895</v>
      </c>
      <c r="AA558" s="5">
        <v>97220</v>
      </c>
      <c r="AB558" s="5" t="s">
        <v>45</v>
      </c>
      <c r="AC558" s="5"/>
      <c r="AD558" s="5"/>
      <c r="AE558" s="5"/>
      <c r="AF558" s="8"/>
      <c r="AG558" s="9">
        <f t="shared" si="8"/>
        <v>43285</v>
      </c>
    </row>
    <row r="559" s="6" customFormat="1" spans="1:33">
      <c r="A559" s="5" t="s">
        <v>2928</v>
      </c>
      <c r="B559" s="5" t="s">
        <v>2928</v>
      </c>
      <c r="C559" s="5" t="s">
        <v>2929</v>
      </c>
      <c r="D559" s="5" t="s">
        <v>2930</v>
      </c>
      <c r="E559" s="5" t="s">
        <v>35</v>
      </c>
      <c r="F559" s="5" t="s">
        <v>36</v>
      </c>
      <c r="G559" s="5" t="s">
        <v>37</v>
      </c>
      <c r="H559" s="5"/>
      <c r="I559" s="5"/>
      <c r="J559" s="5" t="s">
        <v>59</v>
      </c>
      <c r="K559" s="5" t="s">
        <v>50</v>
      </c>
      <c r="L559" s="5" t="s">
        <v>51</v>
      </c>
      <c r="M559" s="5" t="s">
        <v>52</v>
      </c>
      <c r="N559" s="5" t="s">
        <v>35</v>
      </c>
      <c r="O559" s="5">
        <v>1</v>
      </c>
      <c r="P559" s="5" t="s">
        <v>42</v>
      </c>
      <c r="Q559" s="5">
        <v>9</v>
      </c>
      <c r="R559" s="5"/>
      <c r="S559" s="5"/>
      <c r="T559" s="5"/>
      <c r="U559" s="5"/>
      <c r="V559" s="5"/>
      <c r="W559" s="5"/>
      <c r="X559" s="5"/>
      <c r="Y559" s="5" t="s">
        <v>2931</v>
      </c>
      <c r="Z559" s="5" t="s">
        <v>211</v>
      </c>
      <c r="AA559" s="5" t="s">
        <v>2932</v>
      </c>
      <c r="AB559" s="5" t="s">
        <v>45</v>
      </c>
      <c r="AC559" s="5"/>
      <c r="AD559" s="5"/>
      <c r="AE559" s="5"/>
      <c r="AF559" s="8"/>
      <c r="AG559" s="9">
        <f t="shared" si="8"/>
        <v>43285</v>
      </c>
    </row>
    <row r="560" s="6" customFormat="1" spans="1:33">
      <c r="A560" s="5" t="s">
        <v>2933</v>
      </c>
      <c r="B560" s="5" t="s">
        <v>2933</v>
      </c>
      <c r="C560" s="5" t="s">
        <v>2934</v>
      </c>
      <c r="D560" s="5" t="s">
        <v>2935</v>
      </c>
      <c r="E560" s="5" t="s">
        <v>35</v>
      </c>
      <c r="F560" s="5" t="s">
        <v>36</v>
      </c>
      <c r="G560" s="5" t="s">
        <v>37</v>
      </c>
      <c r="H560" s="5"/>
      <c r="I560" s="5"/>
      <c r="J560" s="5" t="s">
        <v>49</v>
      </c>
      <c r="K560" s="5" t="s">
        <v>2936</v>
      </c>
      <c r="L560" s="5" t="s">
        <v>2937</v>
      </c>
      <c r="M560" s="5" t="s">
        <v>2938</v>
      </c>
      <c r="N560" s="5" t="s">
        <v>35</v>
      </c>
      <c r="O560" s="5">
        <v>1</v>
      </c>
      <c r="P560" s="5" t="s">
        <v>42</v>
      </c>
      <c r="Q560" s="5">
        <v>10.99</v>
      </c>
      <c r="R560" s="5"/>
      <c r="S560" s="5"/>
      <c r="T560" s="5"/>
      <c r="U560" s="5"/>
      <c r="V560" s="5"/>
      <c r="W560" s="5"/>
      <c r="X560" s="5"/>
      <c r="Y560" s="5" t="s">
        <v>2939</v>
      </c>
      <c r="Z560" s="5" t="s">
        <v>211</v>
      </c>
      <c r="AA560" s="5" t="s">
        <v>2940</v>
      </c>
      <c r="AB560" s="5" t="s">
        <v>45</v>
      </c>
      <c r="AC560" s="5"/>
      <c r="AD560" s="5"/>
      <c r="AE560" s="5"/>
      <c r="AF560" s="8"/>
      <c r="AG560" s="9">
        <f t="shared" si="8"/>
        <v>43285</v>
      </c>
    </row>
    <row r="561" s="6" customFormat="1" spans="1:33">
      <c r="A561" s="5" t="s">
        <v>2941</v>
      </c>
      <c r="B561" s="5" t="s">
        <v>2941</v>
      </c>
      <c r="C561" s="5" t="s">
        <v>2942</v>
      </c>
      <c r="D561" s="5" t="s">
        <v>2943</v>
      </c>
      <c r="E561" s="5" t="s">
        <v>35</v>
      </c>
      <c r="F561" s="5" t="s">
        <v>36</v>
      </c>
      <c r="G561" s="5" t="s">
        <v>37</v>
      </c>
      <c r="H561" s="5"/>
      <c r="I561" s="5"/>
      <c r="J561" s="5" t="s">
        <v>59</v>
      </c>
      <c r="K561" s="5" t="s">
        <v>50</v>
      </c>
      <c r="L561" s="5" t="s">
        <v>51</v>
      </c>
      <c r="M561" s="5" t="s">
        <v>52</v>
      </c>
      <c r="N561" s="5" t="s">
        <v>35</v>
      </c>
      <c r="O561" s="5">
        <v>1</v>
      </c>
      <c r="P561" s="5" t="s">
        <v>42</v>
      </c>
      <c r="Q561" s="5">
        <v>9</v>
      </c>
      <c r="R561" s="5"/>
      <c r="S561" s="5"/>
      <c r="T561" s="5"/>
      <c r="U561" s="5"/>
      <c r="V561" s="5"/>
      <c r="W561" s="5"/>
      <c r="X561" s="5"/>
      <c r="Y561" s="5" t="s">
        <v>2944</v>
      </c>
      <c r="Z561" s="5" t="s">
        <v>54</v>
      </c>
      <c r="AA561" s="5">
        <v>77429</v>
      </c>
      <c r="AB561" s="5" t="s">
        <v>45</v>
      </c>
      <c r="AC561" s="5"/>
      <c r="AD561" s="5"/>
      <c r="AE561" s="5"/>
      <c r="AF561" s="8"/>
      <c r="AG561" s="9">
        <f t="shared" si="8"/>
        <v>43285</v>
      </c>
    </row>
    <row r="562" s="6" customFormat="1" spans="1:33">
      <c r="A562" s="5" t="s">
        <v>2945</v>
      </c>
      <c r="B562" s="5" t="s">
        <v>2945</v>
      </c>
      <c r="C562" s="5" t="s">
        <v>2946</v>
      </c>
      <c r="D562" s="5" t="s">
        <v>2947</v>
      </c>
      <c r="E562" s="5" t="s">
        <v>35</v>
      </c>
      <c r="F562" s="5" t="s">
        <v>36</v>
      </c>
      <c r="G562" s="5" t="s">
        <v>37</v>
      </c>
      <c r="H562" s="5"/>
      <c r="I562" s="5"/>
      <c r="J562" s="5" t="s">
        <v>59</v>
      </c>
      <c r="K562" s="5" t="s">
        <v>50</v>
      </c>
      <c r="L562" s="5" t="s">
        <v>51</v>
      </c>
      <c r="M562" s="5" t="s">
        <v>52</v>
      </c>
      <c r="N562" s="5" t="s">
        <v>35</v>
      </c>
      <c r="O562" s="5">
        <v>1</v>
      </c>
      <c r="P562" s="5" t="s">
        <v>42</v>
      </c>
      <c r="Q562" s="5">
        <v>9</v>
      </c>
      <c r="R562" s="5"/>
      <c r="S562" s="5"/>
      <c r="T562" s="5"/>
      <c r="U562" s="5"/>
      <c r="V562" s="5"/>
      <c r="W562" s="5"/>
      <c r="X562" s="5"/>
      <c r="Y562" s="5" t="s">
        <v>501</v>
      </c>
      <c r="Z562" s="5" t="s">
        <v>127</v>
      </c>
      <c r="AA562" s="5" t="s">
        <v>2948</v>
      </c>
      <c r="AB562" s="5" t="s">
        <v>45</v>
      </c>
      <c r="AC562" s="5"/>
      <c r="AD562" s="5"/>
      <c r="AE562" s="5"/>
      <c r="AF562" s="8"/>
      <c r="AG562" s="9">
        <f t="shared" si="8"/>
        <v>43285</v>
      </c>
    </row>
    <row r="563" s="6" customFormat="1" spans="1:33">
      <c r="A563" s="5" t="s">
        <v>2949</v>
      </c>
      <c r="B563" s="5" t="s">
        <v>2949</v>
      </c>
      <c r="C563" s="5" t="s">
        <v>2950</v>
      </c>
      <c r="D563" s="5" t="s">
        <v>2951</v>
      </c>
      <c r="E563" s="5" t="s">
        <v>35</v>
      </c>
      <c r="F563" s="5" t="s">
        <v>36</v>
      </c>
      <c r="G563" s="5" t="s">
        <v>37</v>
      </c>
      <c r="H563" s="5"/>
      <c r="I563" s="5"/>
      <c r="J563" s="5" t="s">
        <v>59</v>
      </c>
      <c r="K563" s="5" t="s">
        <v>831</v>
      </c>
      <c r="L563" s="5" t="s">
        <v>832</v>
      </c>
      <c r="M563" s="5" t="s">
        <v>833</v>
      </c>
      <c r="N563" s="5" t="s">
        <v>35</v>
      </c>
      <c r="O563" s="5">
        <v>1</v>
      </c>
      <c r="P563" s="5" t="s">
        <v>42</v>
      </c>
      <c r="Q563" s="5">
        <v>15.99</v>
      </c>
      <c r="R563" s="5"/>
      <c r="S563" s="5"/>
      <c r="T563" s="5"/>
      <c r="U563" s="5"/>
      <c r="V563" s="5"/>
      <c r="W563" s="5"/>
      <c r="X563" s="5"/>
      <c r="Y563" s="5" t="s">
        <v>2952</v>
      </c>
      <c r="Z563" s="5" t="s">
        <v>54</v>
      </c>
      <c r="AA563" s="5" t="s">
        <v>2953</v>
      </c>
      <c r="AB563" s="5" t="s">
        <v>45</v>
      </c>
      <c r="AC563" s="5"/>
      <c r="AD563" s="5"/>
      <c r="AE563" s="5"/>
      <c r="AF563" s="8"/>
      <c r="AG563" s="9">
        <f t="shared" si="8"/>
        <v>43285</v>
      </c>
    </row>
    <row r="564" s="6" customFormat="1" spans="1:33">
      <c r="A564" s="5" t="s">
        <v>2954</v>
      </c>
      <c r="B564" s="5" t="s">
        <v>2954</v>
      </c>
      <c r="C564" s="5" t="s">
        <v>2955</v>
      </c>
      <c r="D564" s="5" t="s">
        <v>2956</v>
      </c>
      <c r="E564" s="5" t="s">
        <v>35</v>
      </c>
      <c r="F564" s="5" t="s">
        <v>36</v>
      </c>
      <c r="G564" s="5" t="s">
        <v>37</v>
      </c>
      <c r="H564" s="5"/>
      <c r="I564" s="5"/>
      <c r="J564" s="5" t="s">
        <v>59</v>
      </c>
      <c r="K564" s="5" t="s">
        <v>50</v>
      </c>
      <c r="L564" s="5" t="s">
        <v>51</v>
      </c>
      <c r="M564" s="5" t="s">
        <v>52</v>
      </c>
      <c r="N564" s="5" t="s">
        <v>35</v>
      </c>
      <c r="O564" s="5">
        <v>1</v>
      </c>
      <c r="P564" s="5" t="s">
        <v>42</v>
      </c>
      <c r="Q564" s="5">
        <v>9</v>
      </c>
      <c r="R564" s="5"/>
      <c r="S564" s="5"/>
      <c r="T564" s="5"/>
      <c r="U564" s="5"/>
      <c r="V564" s="5"/>
      <c r="W564" s="5"/>
      <c r="X564" s="5"/>
      <c r="Y564" s="5" t="s">
        <v>2957</v>
      </c>
      <c r="Z564" s="5" t="s">
        <v>609</v>
      </c>
      <c r="AA564" s="5" t="s">
        <v>2958</v>
      </c>
      <c r="AB564" s="5" t="s">
        <v>45</v>
      </c>
      <c r="AC564" s="5"/>
      <c r="AD564" s="5"/>
      <c r="AE564" s="5"/>
      <c r="AF564" s="8"/>
      <c r="AG564" s="9">
        <f t="shared" si="8"/>
        <v>43285</v>
      </c>
    </row>
    <row r="565" s="6" customFormat="1" spans="1:33">
      <c r="A565" s="5" t="s">
        <v>2959</v>
      </c>
      <c r="B565" s="5" t="s">
        <v>2959</v>
      </c>
      <c r="C565" s="5" t="s">
        <v>2960</v>
      </c>
      <c r="D565" s="5" t="s">
        <v>2961</v>
      </c>
      <c r="E565" s="5" t="s">
        <v>35</v>
      </c>
      <c r="F565" s="5" t="s">
        <v>36</v>
      </c>
      <c r="G565" s="5" t="s">
        <v>37</v>
      </c>
      <c r="H565" s="5"/>
      <c r="I565" s="5"/>
      <c r="J565" s="5" t="s">
        <v>59</v>
      </c>
      <c r="K565" s="5" t="s">
        <v>655</v>
      </c>
      <c r="L565" s="5" t="s">
        <v>656</v>
      </c>
      <c r="M565" s="5" t="s">
        <v>657</v>
      </c>
      <c r="N565" s="5" t="s">
        <v>35</v>
      </c>
      <c r="O565" s="5">
        <v>1</v>
      </c>
      <c r="P565" s="5" t="s">
        <v>42</v>
      </c>
      <c r="Q565" s="5">
        <v>18.99</v>
      </c>
      <c r="R565" s="5"/>
      <c r="S565" s="5"/>
      <c r="T565" s="5"/>
      <c r="U565" s="5"/>
      <c r="V565" s="5"/>
      <c r="W565" s="5"/>
      <c r="X565" s="5"/>
      <c r="Y565" s="5" t="s">
        <v>640</v>
      </c>
      <c r="Z565" s="5" t="s">
        <v>2962</v>
      </c>
      <c r="AA565" s="5" t="s">
        <v>2963</v>
      </c>
      <c r="AB565" s="5" t="s">
        <v>45</v>
      </c>
      <c r="AC565" s="5"/>
      <c r="AD565" s="5"/>
      <c r="AE565" s="5"/>
      <c r="AF565" s="8"/>
      <c r="AG565" s="9">
        <f t="shared" si="8"/>
        <v>43285</v>
      </c>
    </row>
    <row r="566" s="6" customFormat="1" spans="1:33">
      <c r="A566" s="5" t="s">
        <v>2964</v>
      </c>
      <c r="B566" s="5" t="s">
        <v>2964</v>
      </c>
      <c r="C566" s="5" t="s">
        <v>2965</v>
      </c>
      <c r="D566" s="5" t="s">
        <v>2966</v>
      </c>
      <c r="E566" s="5" t="s">
        <v>35</v>
      </c>
      <c r="F566" s="5" t="s">
        <v>36</v>
      </c>
      <c r="G566" s="5" t="s">
        <v>37</v>
      </c>
      <c r="H566" s="5"/>
      <c r="I566" s="5"/>
      <c r="J566" s="5" t="s">
        <v>59</v>
      </c>
      <c r="K566" s="5" t="s">
        <v>2542</v>
      </c>
      <c r="L566" s="5" t="s">
        <v>2543</v>
      </c>
      <c r="M566" s="5" t="s">
        <v>2544</v>
      </c>
      <c r="N566" s="5" t="s">
        <v>35</v>
      </c>
      <c r="O566" s="5">
        <v>1</v>
      </c>
      <c r="P566" s="5" t="s">
        <v>42</v>
      </c>
      <c r="Q566" s="5">
        <v>14.99</v>
      </c>
      <c r="R566" s="5">
        <v>1.45</v>
      </c>
      <c r="S566" s="5"/>
      <c r="T566" s="5"/>
      <c r="U566" s="5"/>
      <c r="V566" s="5"/>
      <c r="W566" s="5"/>
      <c r="X566" s="5"/>
      <c r="Y566" s="5" t="s">
        <v>1415</v>
      </c>
      <c r="Z566" s="5" t="s">
        <v>1152</v>
      </c>
      <c r="AA566" s="5" t="s">
        <v>2967</v>
      </c>
      <c r="AB566" s="5" t="s">
        <v>45</v>
      </c>
      <c r="AC566" s="5"/>
      <c r="AD566" s="5"/>
      <c r="AE566" s="5"/>
      <c r="AF566" s="8"/>
      <c r="AG566" s="9">
        <f t="shared" si="8"/>
        <v>43285</v>
      </c>
    </row>
    <row r="567" s="6" customFormat="1" spans="1:33">
      <c r="A567" s="5" t="s">
        <v>2968</v>
      </c>
      <c r="B567" s="5" t="s">
        <v>2968</v>
      </c>
      <c r="C567" s="5" t="s">
        <v>2969</v>
      </c>
      <c r="D567" s="5" t="s">
        <v>2970</v>
      </c>
      <c r="E567" s="5" t="s">
        <v>35</v>
      </c>
      <c r="F567" s="5" t="s">
        <v>36</v>
      </c>
      <c r="G567" s="5" t="s">
        <v>37</v>
      </c>
      <c r="H567" s="5"/>
      <c r="I567" s="5"/>
      <c r="J567" s="5" t="s">
        <v>59</v>
      </c>
      <c r="K567" s="5" t="s">
        <v>346</v>
      </c>
      <c r="L567" s="5" t="s">
        <v>347</v>
      </c>
      <c r="M567" s="5" t="s">
        <v>348</v>
      </c>
      <c r="N567" s="5" t="s">
        <v>35</v>
      </c>
      <c r="O567" s="5">
        <v>1</v>
      </c>
      <c r="P567" s="5" t="s">
        <v>42</v>
      </c>
      <c r="Q567" s="5">
        <v>12.99</v>
      </c>
      <c r="R567" s="5"/>
      <c r="S567" s="5"/>
      <c r="T567" s="5"/>
      <c r="U567" s="5"/>
      <c r="V567" s="5"/>
      <c r="W567" s="5"/>
      <c r="X567" s="5"/>
      <c r="Y567" s="5" t="s">
        <v>2939</v>
      </c>
      <c r="Z567" s="5" t="s">
        <v>211</v>
      </c>
      <c r="AA567" s="5" t="s">
        <v>2971</v>
      </c>
      <c r="AB567" s="5" t="s">
        <v>45</v>
      </c>
      <c r="AC567" s="5"/>
      <c r="AD567" s="5"/>
      <c r="AE567" s="5"/>
      <c r="AF567" s="8"/>
      <c r="AG567" s="9">
        <f t="shared" si="8"/>
        <v>43285</v>
      </c>
    </row>
    <row r="568" s="6" customFormat="1" spans="1:33">
      <c r="A568" s="5" t="s">
        <v>2972</v>
      </c>
      <c r="B568" s="5" t="s">
        <v>2972</v>
      </c>
      <c r="C568" s="5" t="s">
        <v>2973</v>
      </c>
      <c r="D568" s="5" t="s">
        <v>2974</v>
      </c>
      <c r="E568" s="5" t="s">
        <v>35</v>
      </c>
      <c r="F568" s="5" t="s">
        <v>36</v>
      </c>
      <c r="G568" s="5" t="s">
        <v>37</v>
      </c>
      <c r="H568" s="5"/>
      <c r="I568" s="5"/>
      <c r="J568" s="5" t="s">
        <v>59</v>
      </c>
      <c r="K568" s="5" t="s">
        <v>50</v>
      </c>
      <c r="L568" s="5" t="s">
        <v>51</v>
      </c>
      <c r="M568" s="5" t="s">
        <v>52</v>
      </c>
      <c r="N568" s="5" t="s">
        <v>35</v>
      </c>
      <c r="O568" s="5">
        <v>1</v>
      </c>
      <c r="P568" s="5" t="s">
        <v>42</v>
      </c>
      <c r="Q568" s="5">
        <v>9</v>
      </c>
      <c r="R568" s="5"/>
      <c r="S568" s="5"/>
      <c r="T568" s="5"/>
      <c r="U568" s="5"/>
      <c r="V568" s="5"/>
      <c r="W568" s="5"/>
      <c r="X568" s="5"/>
      <c r="Y568" s="5" t="s">
        <v>2975</v>
      </c>
      <c r="Z568" s="5" t="s">
        <v>171</v>
      </c>
      <c r="AA568" s="5" t="s">
        <v>2976</v>
      </c>
      <c r="AB568" s="5" t="s">
        <v>45</v>
      </c>
      <c r="AC568" s="5"/>
      <c r="AD568" s="5"/>
      <c r="AE568" s="5"/>
      <c r="AF568" s="8"/>
      <c r="AG568" s="9">
        <f t="shared" si="8"/>
        <v>43285</v>
      </c>
    </row>
    <row r="569" s="6" customFormat="1" spans="1:33">
      <c r="A569" s="5" t="s">
        <v>2977</v>
      </c>
      <c r="B569" s="5" t="s">
        <v>2977</v>
      </c>
      <c r="C569" s="5" t="s">
        <v>2978</v>
      </c>
      <c r="D569" s="5" t="s">
        <v>2979</v>
      </c>
      <c r="E569" s="5" t="s">
        <v>2269</v>
      </c>
      <c r="F569" s="5" t="s">
        <v>36</v>
      </c>
      <c r="G569" s="5" t="s">
        <v>37</v>
      </c>
      <c r="H569" s="5"/>
      <c r="I569" s="5"/>
      <c r="J569" s="5" t="s">
        <v>38</v>
      </c>
      <c r="K569" s="5" t="s">
        <v>396</v>
      </c>
      <c r="L569" s="5" t="s">
        <v>397</v>
      </c>
      <c r="M569" s="5" t="s">
        <v>398</v>
      </c>
      <c r="N569" s="5" t="s">
        <v>275</v>
      </c>
      <c r="O569" s="5">
        <v>1</v>
      </c>
      <c r="P569" s="5" t="s">
        <v>42</v>
      </c>
      <c r="Q569" s="5">
        <v>18.99</v>
      </c>
      <c r="R569" s="5"/>
      <c r="S569" s="5">
        <v>1.09</v>
      </c>
      <c r="T569" s="5"/>
      <c r="U569" s="5"/>
      <c r="V569" s="5"/>
      <c r="W569" s="5"/>
      <c r="X569" s="5">
        <v>1.09</v>
      </c>
      <c r="Y569" s="5" t="s">
        <v>2980</v>
      </c>
      <c r="Z569" s="5" t="s">
        <v>432</v>
      </c>
      <c r="AA569" s="5" t="s">
        <v>2981</v>
      </c>
      <c r="AB569" s="5" t="s">
        <v>45</v>
      </c>
      <c r="AC569" s="5" t="s">
        <v>328</v>
      </c>
      <c r="AD569" s="5"/>
      <c r="AE569" s="5"/>
      <c r="AF569" s="8"/>
      <c r="AG569" s="9">
        <f t="shared" si="8"/>
        <v>43285</v>
      </c>
    </row>
    <row r="570" s="6" customFormat="1" spans="1:33">
      <c r="A570" s="5" t="s">
        <v>2982</v>
      </c>
      <c r="B570" s="5" t="s">
        <v>2982</v>
      </c>
      <c r="C570" s="5" t="s">
        <v>2983</v>
      </c>
      <c r="D570" s="5" t="s">
        <v>2984</v>
      </c>
      <c r="E570" s="5" t="s">
        <v>35</v>
      </c>
      <c r="F570" s="5" t="s">
        <v>36</v>
      </c>
      <c r="G570" s="5" t="s">
        <v>37</v>
      </c>
      <c r="H570" s="5"/>
      <c r="I570" s="5"/>
      <c r="J570" s="5" t="s">
        <v>59</v>
      </c>
      <c r="K570" s="5" t="s">
        <v>114</v>
      </c>
      <c r="L570" s="5" t="s">
        <v>115</v>
      </c>
      <c r="M570" s="5" t="s">
        <v>116</v>
      </c>
      <c r="N570" s="5" t="s">
        <v>35</v>
      </c>
      <c r="O570" s="5">
        <v>1</v>
      </c>
      <c r="P570" s="5" t="s">
        <v>42</v>
      </c>
      <c r="Q570" s="5">
        <v>13.99</v>
      </c>
      <c r="R570" s="5"/>
      <c r="S570" s="5"/>
      <c r="T570" s="5"/>
      <c r="U570" s="5"/>
      <c r="V570" s="5"/>
      <c r="W570" s="5"/>
      <c r="X570" s="5"/>
      <c r="Y570" s="5" t="s">
        <v>2985</v>
      </c>
      <c r="Z570" s="5" t="s">
        <v>191</v>
      </c>
      <c r="AA570" s="5" t="s">
        <v>2986</v>
      </c>
      <c r="AB570" s="5" t="s">
        <v>45</v>
      </c>
      <c r="AC570" s="5"/>
      <c r="AD570" s="5"/>
      <c r="AE570" s="5"/>
      <c r="AF570" s="8"/>
      <c r="AG570" s="9">
        <f t="shared" si="8"/>
        <v>43285</v>
      </c>
    </row>
    <row r="571" s="6" customFormat="1" spans="1:33">
      <c r="A571" s="5" t="s">
        <v>2987</v>
      </c>
      <c r="B571" s="5" t="s">
        <v>2987</v>
      </c>
      <c r="C571" s="5" t="s">
        <v>2988</v>
      </c>
      <c r="D571" s="5" t="s">
        <v>2989</v>
      </c>
      <c r="E571" s="5" t="s">
        <v>35</v>
      </c>
      <c r="F571" s="5" t="s">
        <v>36</v>
      </c>
      <c r="G571" s="5" t="s">
        <v>37</v>
      </c>
      <c r="H571" s="5"/>
      <c r="I571" s="5"/>
      <c r="J571" s="5" t="s">
        <v>59</v>
      </c>
      <c r="K571" s="5" t="s">
        <v>94</v>
      </c>
      <c r="L571" s="5" t="s">
        <v>95</v>
      </c>
      <c r="M571" s="5" t="s">
        <v>96</v>
      </c>
      <c r="N571" s="5" t="s">
        <v>35</v>
      </c>
      <c r="O571" s="5">
        <v>1</v>
      </c>
      <c r="P571" s="5" t="s">
        <v>42</v>
      </c>
      <c r="Q571" s="5">
        <v>15.99</v>
      </c>
      <c r="R571" s="5"/>
      <c r="S571" s="5"/>
      <c r="T571" s="5"/>
      <c r="U571" s="5"/>
      <c r="V571" s="5"/>
      <c r="W571" s="5"/>
      <c r="X571" s="5"/>
      <c r="Y571" s="5" t="s">
        <v>2990</v>
      </c>
      <c r="Z571" s="5" t="s">
        <v>2991</v>
      </c>
      <c r="AA571" s="5" t="s">
        <v>2992</v>
      </c>
      <c r="AB571" s="5" t="s">
        <v>45</v>
      </c>
      <c r="AC571" s="5"/>
      <c r="AD571" s="5"/>
      <c r="AE571" s="5"/>
      <c r="AF571" s="8"/>
      <c r="AG571" s="9">
        <f t="shared" si="8"/>
        <v>43285</v>
      </c>
    </row>
    <row r="572" s="6" customFormat="1" spans="1:33">
      <c r="A572" s="5" t="s">
        <v>2993</v>
      </c>
      <c r="B572" s="5" t="s">
        <v>2993</v>
      </c>
      <c r="C572" s="5" t="s">
        <v>2994</v>
      </c>
      <c r="D572" s="5" t="s">
        <v>2995</v>
      </c>
      <c r="E572" s="5" t="s">
        <v>35</v>
      </c>
      <c r="F572" s="5" t="s">
        <v>36</v>
      </c>
      <c r="G572" s="5" t="s">
        <v>37</v>
      </c>
      <c r="H572" s="5"/>
      <c r="I572" s="5"/>
      <c r="J572" s="5" t="s">
        <v>59</v>
      </c>
      <c r="K572" s="5" t="s">
        <v>94</v>
      </c>
      <c r="L572" s="5" t="s">
        <v>95</v>
      </c>
      <c r="M572" s="5" t="s">
        <v>96</v>
      </c>
      <c r="N572" s="5" t="s">
        <v>35</v>
      </c>
      <c r="O572" s="5">
        <v>1</v>
      </c>
      <c r="P572" s="5" t="s">
        <v>42</v>
      </c>
      <c r="Q572" s="5">
        <v>15.99</v>
      </c>
      <c r="R572" s="5"/>
      <c r="S572" s="5"/>
      <c r="T572" s="5"/>
      <c r="U572" s="5"/>
      <c r="V572" s="5"/>
      <c r="W572" s="5"/>
      <c r="X572" s="5"/>
      <c r="Y572" s="5" t="s">
        <v>2996</v>
      </c>
      <c r="Z572" s="5" t="s">
        <v>1405</v>
      </c>
      <c r="AA572" s="5">
        <v>88240</v>
      </c>
      <c r="AB572" s="5" t="s">
        <v>45</v>
      </c>
      <c r="AC572" s="5"/>
      <c r="AD572" s="5"/>
      <c r="AE572" s="5"/>
      <c r="AF572" s="8"/>
      <c r="AG572" s="9">
        <f t="shared" si="8"/>
        <v>43285</v>
      </c>
    </row>
    <row r="573" s="6" customFormat="1" spans="1:33">
      <c r="A573" s="5" t="s">
        <v>2997</v>
      </c>
      <c r="B573" s="5" t="s">
        <v>2997</v>
      </c>
      <c r="C573" s="5" t="s">
        <v>2998</v>
      </c>
      <c r="D573" s="5" t="s">
        <v>2999</v>
      </c>
      <c r="E573" s="5" t="s">
        <v>35</v>
      </c>
      <c r="F573" s="5" t="s">
        <v>36</v>
      </c>
      <c r="G573" s="5" t="s">
        <v>37</v>
      </c>
      <c r="H573" s="5"/>
      <c r="I573" s="5"/>
      <c r="J573" s="5" t="s">
        <v>59</v>
      </c>
      <c r="K573" s="5" t="s">
        <v>3000</v>
      </c>
      <c r="L573" s="5" t="s">
        <v>145</v>
      </c>
      <c r="M573" s="5" t="s">
        <v>146</v>
      </c>
      <c r="N573" s="5" t="s">
        <v>35</v>
      </c>
      <c r="O573" s="5">
        <v>1</v>
      </c>
      <c r="P573" s="5" t="s">
        <v>42</v>
      </c>
      <c r="Q573" s="5">
        <v>8.99</v>
      </c>
      <c r="R573" s="5"/>
      <c r="S573" s="5"/>
      <c r="T573" s="5"/>
      <c r="U573" s="5"/>
      <c r="V573" s="5"/>
      <c r="W573" s="5"/>
      <c r="X573" s="5"/>
      <c r="Y573" s="5" t="s">
        <v>3001</v>
      </c>
      <c r="Z573" s="5" t="s">
        <v>432</v>
      </c>
      <c r="AA573" s="5" t="s">
        <v>3002</v>
      </c>
      <c r="AB573" s="5" t="s">
        <v>45</v>
      </c>
      <c r="AC573" s="5"/>
      <c r="AD573" s="5"/>
      <c r="AE573" s="5"/>
      <c r="AF573" s="8"/>
      <c r="AG573" s="9">
        <f t="shared" si="8"/>
        <v>43286</v>
      </c>
    </row>
    <row r="574" s="6" customFormat="1" spans="1:33">
      <c r="A574" s="5" t="s">
        <v>3003</v>
      </c>
      <c r="B574" s="5" t="s">
        <v>3003</v>
      </c>
      <c r="C574" s="5" t="s">
        <v>3004</v>
      </c>
      <c r="D574" s="5" t="s">
        <v>3005</v>
      </c>
      <c r="E574" s="5" t="s">
        <v>35</v>
      </c>
      <c r="F574" s="5" t="s">
        <v>36</v>
      </c>
      <c r="G574" s="5" t="s">
        <v>37</v>
      </c>
      <c r="H574" s="5"/>
      <c r="I574" s="5"/>
      <c r="J574" s="5" t="s">
        <v>49</v>
      </c>
      <c r="K574" s="5" t="s">
        <v>3006</v>
      </c>
      <c r="L574" s="5" t="s">
        <v>3007</v>
      </c>
      <c r="M574" s="5" t="s">
        <v>3008</v>
      </c>
      <c r="N574" s="5" t="s">
        <v>35</v>
      </c>
      <c r="O574" s="5">
        <v>1</v>
      </c>
      <c r="P574" s="5" t="s">
        <v>42</v>
      </c>
      <c r="Q574" s="5">
        <v>65.99</v>
      </c>
      <c r="R574" s="5"/>
      <c r="S574" s="5">
        <v>2.99</v>
      </c>
      <c r="T574" s="5"/>
      <c r="U574" s="5"/>
      <c r="V574" s="5"/>
      <c r="W574" s="5"/>
      <c r="X574" s="5">
        <v>2.99</v>
      </c>
      <c r="Y574" s="5" t="s">
        <v>747</v>
      </c>
      <c r="Z574" s="5" t="s">
        <v>153</v>
      </c>
      <c r="AA574" s="5" t="s">
        <v>3009</v>
      </c>
      <c r="AB574" s="5" t="s">
        <v>45</v>
      </c>
      <c r="AC574" s="5"/>
      <c r="AD574" s="5"/>
      <c r="AE574" s="5"/>
      <c r="AF574" s="8"/>
      <c r="AG574" s="9">
        <f t="shared" si="8"/>
        <v>43286</v>
      </c>
    </row>
    <row r="575" s="6" customFormat="1" spans="1:33">
      <c r="A575" s="5" t="s">
        <v>3010</v>
      </c>
      <c r="B575" s="5" t="s">
        <v>3010</v>
      </c>
      <c r="C575" s="5" t="s">
        <v>3011</v>
      </c>
      <c r="D575" s="5" t="s">
        <v>3012</v>
      </c>
      <c r="E575" s="5" t="s">
        <v>35</v>
      </c>
      <c r="F575" s="5" t="s">
        <v>36</v>
      </c>
      <c r="G575" s="5" t="s">
        <v>37</v>
      </c>
      <c r="H575" s="5"/>
      <c r="I575" s="5"/>
      <c r="J575" s="5" t="s">
        <v>59</v>
      </c>
      <c r="K575" s="5" t="s">
        <v>1452</v>
      </c>
      <c r="L575" s="5" t="s">
        <v>553</v>
      </c>
      <c r="M575" s="5" t="s">
        <v>554</v>
      </c>
      <c r="N575" s="5" t="s">
        <v>35</v>
      </c>
      <c r="O575" s="5">
        <v>1</v>
      </c>
      <c r="P575" s="5" t="s">
        <v>42</v>
      </c>
      <c r="Q575" s="5">
        <v>18.99</v>
      </c>
      <c r="R575" s="5"/>
      <c r="S575" s="5"/>
      <c r="T575" s="5"/>
      <c r="U575" s="5"/>
      <c r="V575" s="5"/>
      <c r="W575" s="5"/>
      <c r="X575" s="5"/>
      <c r="Y575" s="5" t="s">
        <v>3013</v>
      </c>
      <c r="Z575" s="5" t="s">
        <v>3014</v>
      </c>
      <c r="AA575" s="5">
        <v>84742</v>
      </c>
      <c r="AB575" s="5" t="s">
        <v>45</v>
      </c>
      <c r="AC575" s="5"/>
      <c r="AD575" s="5"/>
      <c r="AE575" s="5"/>
      <c r="AF575" s="8"/>
      <c r="AG575" s="9">
        <f t="shared" si="8"/>
        <v>43286</v>
      </c>
    </row>
    <row r="576" s="6" customFormat="1" spans="1:33">
      <c r="A576" s="5" t="s">
        <v>3015</v>
      </c>
      <c r="B576" s="5" t="s">
        <v>3015</v>
      </c>
      <c r="C576" s="5" t="s">
        <v>3016</v>
      </c>
      <c r="D576" s="5" t="s">
        <v>3017</v>
      </c>
      <c r="E576" s="5" t="s">
        <v>35</v>
      </c>
      <c r="F576" s="5" t="s">
        <v>36</v>
      </c>
      <c r="G576" s="5" t="s">
        <v>37</v>
      </c>
      <c r="H576" s="5"/>
      <c r="I576" s="5"/>
      <c r="J576" s="5" t="s">
        <v>59</v>
      </c>
      <c r="K576" s="5" t="s">
        <v>114</v>
      </c>
      <c r="L576" s="5" t="s">
        <v>115</v>
      </c>
      <c r="M576" s="5" t="s">
        <v>116</v>
      </c>
      <c r="N576" s="5" t="s">
        <v>35</v>
      </c>
      <c r="O576" s="5">
        <v>1</v>
      </c>
      <c r="P576" s="5" t="s">
        <v>42</v>
      </c>
      <c r="Q576" s="5">
        <v>13.99</v>
      </c>
      <c r="R576" s="5"/>
      <c r="S576" s="5"/>
      <c r="T576" s="5"/>
      <c r="U576" s="5"/>
      <c r="V576" s="5"/>
      <c r="W576" s="5"/>
      <c r="X576" s="5"/>
      <c r="Y576" s="5" t="s">
        <v>3018</v>
      </c>
      <c r="Z576" s="5" t="s">
        <v>534</v>
      </c>
      <c r="AA576" s="5" t="s">
        <v>3019</v>
      </c>
      <c r="AB576" s="5" t="s">
        <v>45</v>
      </c>
      <c r="AC576" s="5"/>
      <c r="AD576" s="5"/>
      <c r="AE576" s="5"/>
      <c r="AF576" s="8"/>
      <c r="AG576" s="9">
        <f t="shared" si="8"/>
        <v>43286</v>
      </c>
    </row>
    <row r="577" s="6" customFormat="1" spans="1:33">
      <c r="A577" s="5" t="s">
        <v>3020</v>
      </c>
      <c r="B577" s="5" t="s">
        <v>3020</v>
      </c>
      <c r="C577" s="5" t="s">
        <v>3021</v>
      </c>
      <c r="D577" s="5" t="s">
        <v>3022</v>
      </c>
      <c r="E577" s="5" t="s">
        <v>35</v>
      </c>
      <c r="F577" s="5" t="s">
        <v>36</v>
      </c>
      <c r="G577" s="5" t="s">
        <v>37</v>
      </c>
      <c r="H577" s="5"/>
      <c r="I577" s="5"/>
      <c r="J577" s="5" t="s">
        <v>59</v>
      </c>
      <c r="K577" s="5" t="s">
        <v>50</v>
      </c>
      <c r="L577" s="5" t="s">
        <v>51</v>
      </c>
      <c r="M577" s="5" t="s">
        <v>52</v>
      </c>
      <c r="N577" s="5" t="s">
        <v>35</v>
      </c>
      <c r="O577" s="5">
        <v>1</v>
      </c>
      <c r="P577" s="5" t="s">
        <v>42</v>
      </c>
      <c r="Q577" s="5">
        <v>9</v>
      </c>
      <c r="R577" s="5">
        <v>0.77</v>
      </c>
      <c r="S577" s="5"/>
      <c r="T577" s="5"/>
      <c r="U577" s="5"/>
      <c r="V577" s="5"/>
      <c r="W577" s="5"/>
      <c r="X577" s="5"/>
      <c r="Y577" s="5" t="s">
        <v>3023</v>
      </c>
      <c r="Z577" s="5" t="s">
        <v>1152</v>
      </c>
      <c r="AA577" s="5" t="s">
        <v>3024</v>
      </c>
      <c r="AB577" s="5" t="s">
        <v>45</v>
      </c>
      <c r="AC577" s="5"/>
      <c r="AD577" s="5"/>
      <c r="AE577" s="5"/>
      <c r="AF577" s="8"/>
      <c r="AG577" s="9">
        <f t="shared" si="8"/>
        <v>43286</v>
      </c>
    </row>
    <row r="578" s="6" customFormat="1" spans="1:33">
      <c r="A578" s="5" t="s">
        <v>3025</v>
      </c>
      <c r="B578" s="5" t="s">
        <v>3025</v>
      </c>
      <c r="C578" s="5" t="s">
        <v>3026</v>
      </c>
      <c r="D578" s="5" t="s">
        <v>3027</v>
      </c>
      <c r="E578" s="5" t="s">
        <v>35</v>
      </c>
      <c r="F578" s="5" t="s">
        <v>36</v>
      </c>
      <c r="G578" s="5" t="s">
        <v>37</v>
      </c>
      <c r="H578" s="5"/>
      <c r="I578" s="5"/>
      <c r="J578" s="5" t="s">
        <v>59</v>
      </c>
      <c r="K578" s="5" t="s">
        <v>50</v>
      </c>
      <c r="L578" s="5" t="s">
        <v>51</v>
      </c>
      <c r="M578" s="5" t="s">
        <v>52</v>
      </c>
      <c r="N578" s="5" t="s">
        <v>35</v>
      </c>
      <c r="O578" s="5">
        <v>1</v>
      </c>
      <c r="P578" s="5" t="s">
        <v>42</v>
      </c>
      <c r="Q578" s="5">
        <v>9</v>
      </c>
      <c r="R578" s="5">
        <v>0.54</v>
      </c>
      <c r="S578" s="5"/>
      <c r="T578" s="5"/>
      <c r="U578" s="5"/>
      <c r="V578" s="5"/>
      <c r="W578" s="5"/>
      <c r="X578" s="5"/>
      <c r="Y578" s="5" t="s">
        <v>3028</v>
      </c>
      <c r="Z578" s="5" t="s">
        <v>426</v>
      </c>
      <c r="AA578" s="5" t="s">
        <v>3029</v>
      </c>
      <c r="AB578" s="5" t="s">
        <v>45</v>
      </c>
      <c r="AC578" s="5"/>
      <c r="AD578" s="5"/>
      <c r="AE578" s="5"/>
      <c r="AF578" s="8"/>
      <c r="AG578" s="9">
        <f t="shared" ref="AG578:AG641" si="9">DATEVALUE(LEFT(C578,10))</f>
        <v>43286</v>
      </c>
    </row>
    <row r="579" s="6" customFormat="1" spans="1:33">
      <c r="A579" s="5" t="s">
        <v>3030</v>
      </c>
      <c r="B579" s="5" t="s">
        <v>3030</v>
      </c>
      <c r="C579" s="5" t="s">
        <v>3031</v>
      </c>
      <c r="D579" s="5" t="s">
        <v>3032</v>
      </c>
      <c r="E579" s="5" t="s">
        <v>35</v>
      </c>
      <c r="F579" s="5" t="s">
        <v>36</v>
      </c>
      <c r="G579" s="5" t="s">
        <v>37</v>
      </c>
      <c r="H579" s="5"/>
      <c r="I579" s="5"/>
      <c r="J579" s="5" t="s">
        <v>59</v>
      </c>
      <c r="K579" s="5" t="s">
        <v>50</v>
      </c>
      <c r="L579" s="5" t="s">
        <v>51</v>
      </c>
      <c r="M579" s="5" t="s">
        <v>52</v>
      </c>
      <c r="N579" s="5" t="s">
        <v>35</v>
      </c>
      <c r="O579" s="5">
        <v>1</v>
      </c>
      <c r="P579" s="5" t="s">
        <v>42</v>
      </c>
      <c r="Q579" s="5">
        <v>9</v>
      </c>
      <c r="R579" s="5"/>
      <c r="S579" s="5"/>
      <c r="T579" s="5"/>
      <c r="U579" s="5"/>
      <c r="V579" s="5"/>
      <c r="W579" s="5"/>
      <c r="X579" s="5"/>
      <c r="Y579" s="5" t="s">
        <v>908</v>
      </c>
      <c r="Z579" s="5" t="s">
        <v>182</v>
      </c>
      <c r="AA579" s="5" t="s">
        <v>3033</v>
      </c>
      <c r="AB579" s="5" t="s">
        <v>45</v>
      </c>
      <c r="AC579" s="5"/>
      <c r="AD579" s="5"/>
      <c r="AE579" s="5"/>
      <c r="AF579" s="8"/>
      <c r="AG579" s="9">
        <f t="shared" si="9"/>
        <v>43286</v>
      </c>
    </row>
    <row r="580" s="6" customFormat="1" spans="1:33">
      <c r="A580" s="5" t="s">
        <v>3034</v>
      </c>
      <c r="B580" s="5" t="s">
        <v>3034</v>
      </c>
      <c r="C580" s="5" t="s">
        <v>3035</v>
      </c>
      <c r="D580" s="5" t="s">
        <v>3036</v>
      </c>
      <c r="E580" s="5" t="s">
        <v>35</v>
      </c>
      <c r="F580" s="5" t="s">
        <v>36</v>
      </c>
      <c r="G580" s="5" t="s">
        <v>37</v>
      </c>
      <c r="H580" s="5"/>
      <c r="I580" s="5"/>
      <c r="J580" s="5" t="s">
        <v>59</v>
      </c>
      <c r="K580" s="5" t="s">
        <v>50</v>
      </c>
      <c r="L580" s="5" t="s">
        <v>51</v>
      </c>
      <c r="M580" s="5" t="s">
        <v>52</v>
      </c>
      <c r="N580" s="5" t="s">
        <v>35</v>
      </c>
      <c r="O580" s="5">
        <v>1</v>
      </c>
      <c r="P580" s="5" t="s">
        <v>42</v>
      </c>
      <c r="Q580" s="5">
        <v>9</v>
      </c>
      <c r="R580" s="5"/>
      <c r="S580" s="5"/>
      <c r="T580" s="5"/>
      <c r="U580" s="5"/>
      <c r="V580" s="5"/>
      <c r="W580" s="5"/>
      <c r="X580" s="5"/>
      <c r="Y580" s="5" t="s">
        <v>3037</v>
      </c>
      <c r="Z580" s="5" t="s">
        <v>162</v>
      </c>
      <c r="AA580" s="5" t="s">
        <v>3038</v>
      </c>
      <c r="AB580" s="5" t="s">
        <v>45</v>
      </c>
      <c r="AC580" s="5"/>
      <c r="AD580" s="5"/>
      <c r="AE580" s="5"/>
      <c r="AG580" s="9">
        <f t="shared" si="9"/>
        <v>43286</v>
      </c>
    </row>
    <row r="581" s="6" customFormat="1" spans="1:33">
      <c r="A581" s="5" t="s">
        <v>3039</v>
      </c>
      <c r="B581" s="5" t="s">
        <v>3039</v>
      </c>
      <c r="C581" s="5" t="s">
        <v>3040</v>
      </c>
      <c r="D581" s="5" t="s">
        <v>3041</v>
      </c>
      <c r="E581" s="5" t="s">
        <v>35</v>
      </c>
      <c r="F581" s="5" t="s">
        <v>36</v>
      </c>
      <c r="G581" s="5" t="s">
        <v>37</v>
      </c>
      <c r="H581" s="5"/>
      <c r="I581" s="5"/>
      <c r="J581" s="5" t="s">
        <v>59</v>
      </c>
      <c r="K581" s="5" t="s">
        <v>50</v>
      </c>
      <c r="L581" s="5" t="s">
        <v>51</v>
      </c>
      <c r="M581" s="5" t="s">
        <v>52</v>
      </c>
      <c r="N581" s="5" t="s">
        <v>35</v>
      </c>
      <c r="O581" s="5">
        <v>1</v>
      </c>
      <c r="P581" s="5" t="s">
        <v>42</v>
      </c>
      <c r="Q581" s="5">
        <v>9</v>
      </c>
      <c r="R581" s="5"/>
      <c r="S581" s="5"/>
      <c r="T581" s="5"/>
      <c r="U581" s="5"/>
      <c r="V581" s="5"/>
      <c r="W581" s="5"/>
      <c r="X581" s="5"/>
      <c r="Y581" s="5" t="s">
        <v>501</v>
      </c>
      <c r="Z581" s="5" t="s">
        <v>127</v>
      </c>
      <c r="AA581" s="5" t="s">
        <v>3042</v>
      </c>
      <c r="AB581" s="5" t="s">
        <v>45</v>
      </c>
      <c r="AC581" s="5"/>
      <c r="AD581" s="5"/>
      <c r="AE581" s="5"/>
      <c r="AG581" s="9">
        <f t="shared" si="9"/>
        <v>43286</v>
      </c>
    </row>
    <row r="582" s="6" customFormat="1" spans="1:33">
      <c r="A582" s="5" t="s">
        <v>3043</v>
      </c>
      <c r="B582" s="5" t="s">
        <v>3043</v>
      </c>
      <c r="C582" s="5" t="s">
        <v>3044</v>
      </c>
      <c r="D582" s="5" t="s">
        <v>3045</v>
      </c>
      <c r="E582" s="5" t="s">
        <v>35</v>
      </c>
      <c r="F582" s="5" t="s">
        <v>36</v>
      </c>
      <c r="G582" s="5" t="s">
        <v>37</v>
      </c>
      <c r="H582" s="5"/>
      <c r="I582" s="5"/>
      <c r="J582" s="5" t="s">
        <v>38</v>
      </c>
      <c r="K582" s="5" t="s">
        <v>3046</v>
      </c>
      <c r="L582" s="5" t="s">
        <v>3047</v>
      </c>
      <c r="M582" s="5" t="s">
        <v>3048</v>
      </c>
      <c r="N582" s="5" t="s">
        <v>35</v>
      </c>
      <c r="O582" s="5">
        <v>1</v>
      </c>
      <c r="P582" s="5" t="s">
        <v>42</v>
      </c>
      <c r="Q582" s="5">
        <v>8.99</v>
      </c>
      <c r="R582" s="5"/>
      <c r="S582" s="5"/>
      <c r="T582" s="5"/>
      <c r="U582" s="5"/>
      <c r="V582" s="5"/>
      <c r="W582" s="5"/>
      <c r="X582" s="5"/>
      <c r="Y582" s="5" t="s">
        <v>3049</v>
      </c>
      <c r="Z582" s="5" t="s">
        <v>171</v>
      </c>
      <c r="AA582" s="5" t="s">
        <v>3050</v>
      </c>
      <c r="AB582" s="5" t="s">
        <v>45</v>
      </c>
      <c r="AC582" s="5"/>
      <c r="AD582" s="5"/>
      <c r="AE582" s="5"/>
      <c r="AG582" s="9">
        <f t="shared" si="9"/>
        <v>43286</v>
      </c>
    </row>
    <row r="583" s="6" customFormat="1" spans="1:33">
      <c r="A583" s="5" t="s">
        <v>3051</v>
      </c>
      <c r="B583" s="5" t="s">
        <v>3051</v>
      </c>
      <c r="C583" s="5" t="s">
        <v>3052</v>
      </c>
      <c r="D583" s="5" t="s">
        <v>3053</v>
      </c>
      <c r="E583" s="5" t="s">
        <v>35</v>
      </c>
      <c r="F583" s="5" t="s">
        <v>36</v>
      </c>
      <c r="G583" s="5" t="s">
        <v>37</v>
      </c>
      <c r="H583" s="5"/>
      <c r="I583" s="5"/>
      <c r="J583" s="5" t="s">
        <v>59</v>
      </c>
      <c r="K583" s="5" t="s">
        <v>831</v>
      </c>
      <c r="L583" s="5" t="s">
        <v>832</v>
      </c>
      <c r="M583" s="5" t="s">
        <v>833</v>
      </c>
      <c r="N583" s="5" t="s">
        <v>35</v>
      </c>
      <c r="O583" s="5">
        <v>2</v>
      </c>
      <c r="P583" s="5" t="s">
        <v>42</v>
      </c>
      <c r="Q583" s="5">
        <v>31.98</v>
      </c>
      <c r="R583" s="5"/>
      <c r="S583" s="5"/>
      <c r="T583" s="5"/>
      <c r="U583" s="5"/>
      <c r="V583" s="5"/>
      <c r="W583" s="5"/>
      <c r="X583" s="5"/>
      <c r="Y583" s="5" t="s">
        <v>3054</v>
      </c>
      <c r="Z583" s="5" t="s">
        <v>609</v>
      </c>
      <c r="AA583" s="5" t="s">
        <v>3055</v>
      </c>
      <c r="AB583" s="5" t="s">
        <v>45</v>
      </c>
      <c r="AC583" s="5"/>
      <c r="AD583" s="5"/>
      <c r="AE583" s="5"/>
      <c r="AG583" s="9">
        <f t="shared" si="9"/>
        <v>43286</v>
      </c>
    </row>
    <row r="584" s="6" customFormat="1" spans="1:33">
      <c r="A584" s="5" t="s">
        <v>3056</v>
      </c>
      <c r="B584" s="5" t="s">
        <v>3056</v>
      </c>
      <c r="C584" s="5" t="s">
        <v>3057</v>
      </c>
      <c r="D584" s="5" t="s">
        <v>3058</v>
      </c>
      <c r="E584" s="5" t="s">
        <v>35</v>
      </c>
      <c r="F584" s="5" t="s">
        <v>36</v>
      </c>
      <c r="G584" s="5" t="s">
        <v>37</v>
      </c>
      <c r="H584" s="5"/>
      <c r="I584" s="5"/>
      <c r="J584" s="5" t="s">
        <v>59</v>
      </c>
      <c r="K584" s="5" t="s">
        <v>50</v>
      </c>
      <c r="L584" s="5" t="s">
        <v>51</v>
      </c>
      <c r="M584" s="5" t="s">
        <v>52</v>
      </c>
      <c r="N584" s="5" t="s">
        <v>35</v>
      </c>
      <c r="O584" s="5">
        <v>1</v>
      </c>
      <c r="P584" s="5" t="s">
        <v>42</v>
      </c>
      <c r="Q584" s="5">
        <v>9</v>
      </c>
      <c r="R584" s="5"/>
      <c r="S584" s="5"/>
      <c r="T584" s="5"/>
      <c r="U584" s="5"/>
      <c r="V584" s="5"/>
      <c r="W584" s="5"/>
      <c r="X584" s="5"/>
      <c r="Y584" s="5" t="s">
        <v>3059</v>
      </c>
      <c r="Z584" s="5" t="s">
        <v>359</v>
      </c>
      <c r="AA584" s="5" t="s">
        <v>3060</v>
      </c>
      <c r="AB584" s="5" t="s">
        <v>45</v>
      </c>
      <c r="AC584" s="5"/>
      <c r="AD584" s="5"/>
      <c r="AE584" s="5"/>
      <c r="AG584" s="9">
        <f t="shared" si="9"/>
        <v>43286</v>
      </c>
    </row>
    <row r="585" s="6" customFormat="1" spans="1:33">
      <c r="A585" s="5" t="s">
        <v>3061</v>
      </c>
      <c r="B585" s="5" t="s">
        <v>3061</v>
      </c>
      <c r="C585" s="5" t="s">
        <v>3062</v>
      </c>
      <c r="D585" s="5" t="s">
        <v>3063</v>
      </c>
      <c r="E585" s="5" t="s">
        <v>35</v>
      </c>
      <c r="F585" s="5" t="s">
        <v>36</v>
      </c>
      <c r="G585" s="5" t="s">
        <v>37</v>
      </c>
      <c r="H585" s="5"/>
      <c r="I585" s="5"/>
      <c r="J585" s="5" t="s">
        <v>59</v>
      </c>
      <c r="K585" s="5" t="s">
        <v>50</v>
      </c>
      <c r="L585" s="5" t="s">
        <v>51</v>
      </c>
      <c r="M585" s="5" t="s">
        <v>52</v>
      </c>
      <c r="N585" s="5" t="s">
        <v>35</v>
      </c>
      <c r="O585" s="5">
        <v>1</v>
      </c>
      <c r="P585" s="5" t="s">
        <v>42</v>
      </c>
      <c r="Q585" s="5">
        <v>9</v>
      </c>
      <c r="R585" s="5"/>
      <c r="S585" s="5"/>
      <c r="T585" s="5"/>
      <c r="U585" s="5"/>
      <c r="V585" s="5"/>
      <c r="W585" s="5"/>
      <c r="X585" s="5"/>
      <c r="Y585" s="5" t="s">
        <v>3064</v>
      </c>
      <c r="Z585" s="5" t="s">
        <v>191</v>
      </c>
      <c r="AA585" s="5" t="s">
        <v>3065</v>
      </c>
      <c r="AB585" s="5" t="s">
        <v>45</v>
      </c>
      <c r="AC585" s="5"/>
      <c r="AD585" s="5"/>
      <c r="AE585" s="5"/>
      <c r="AG585" s="9">
        <f t="shared" si="9"/>
        <v>43286</v>
      </c>
    </row>
    <row r="586" s="6" customFormat="1" spans="1:33">
      <c r="A586" s="5" t="s">
        <v>3066</v>
      </c>
      <c r="B586" s="5" t="s">
        <v>3066</v>
      </c>
      <c r="C586" s="5" t="s">
        <v>3067</v>
      </c>
      <c r="D586" s="5" t="s">
        <v>3068</v>
      </c>
      <c r="E586" s="5" t="s">
        <v>35</v>
      </c>
      <c r="F586" s="5" t="s">
        <v>36</v>
      </c>
      <c r="G586" s="5" t="s">
        <v>37</v>
      </c>
      <c r="H586" s="5"/>
      <c r="I586" s="5"/>
      <c r="J586" s="5" t="s">
        <v>59</v>
      </c>
      <c r="K586" s="5" t="s">
        <v>50</v>
      </c>
      <c r="L586" s="5" t="s">
        <v>51</v>
      </c>
      <c r="M586" s="5" t="s">
        <v>52</v>
      </c>
      <c r="N586" s="5" t="s">
        <v>35</v>
      </c>
      <c r="O586" s="5">
        <v>1</v>
      </c>
      <c r="P586" s="5" t="s">
        <v>42</v>
      </c>
      <c r="Q586" s="5">
        <v>9</v>
      </c>
      <c r="R586" s="5"/>
      <c r="S586" s="5"/>
      <c r="T586" s="5"/>
      <c r="U586" s="5"/>
      <c r="V586" s="5"/>
      <c r="W586" s="5"/>
      <c r="X586" s="5"/>
      <c r="Y586" s="5" t="s">
        <v>3069</v>
      </c>
      <c r="Z586" s="5" t="s">
        <v>3070</v>
      </c>
      <c r="AA586" s="5">
        <v>85614</v>
      </c>
      <c r="AB586" s="5" t="s">
        <v>45</v>
      </c>
      <c r="AC586" s="5"/>
      <c r="AD586" s="5"/>
      <c r="AE586" s="5"/>
      <c r="AG586" s="9">
        <f t="shared" si="9"/>
        <v>43286</v>
      </c>
    </row>
    <row r="587" s="6" customFormat="1" spans="1:33">
      <c r="A587" s="5" t="s">
        <v>3071</v>
      </c>
      <c r="B587" s="5" t="s">
        <v>3071</v>
      </c>
      <c r="C587" s="5" t="s">
        <v>3072</v>
      </c>
      <c r="D587" s="5" t="s">
        <v>3073</v>
      </c>
      <c r="E587" s="5" t="s">
        <v>35</v>
      </c>
      <c r="F587" s="5" t="s">
        <v>36</v>
      </c>
      <c r="G587" s="5" t="s">
        <v>37</v>
      </c>
      <c r="H587" s="5"/>
      <c r="I587" s="5"/>
      <c r="J587" s="5" t="s">
        <v>59</v>
      </c>
      <c r="K587" s="5" t="s">
        <v>1334</v>
      </c>
      <c r="L587" s="5" t="s">
        <v>573</v>
      </c>
      <c r="M587" s="5" t="s">
        <v>574</v>
      </c>
      <c r="N587" s="5" t="s">
        <v>35</v>
      </c>
      <c r="O587" s="5">
        <v>1</v>
      </c>
      <c r="P587" s="5" t="s">
        <v>42</v>
      </c>
      <c r="Q587" s="5">
        <v>18.99</v>
      </c>
      <c r="R587" s="5"/>
      <c r="S587" s="5"/>
      <c r="T587" s="5"/>
      <c r="U587" s="5"/>
      <c r="V587" s="5"/>
      <c r="W587" s="5"/>
      <c r="X587" s="5"/>
      <c r="Y587" s="5" t="s">
        <v>3074</v>
      </c>
      <c r="Z587" s="5" t="s">
        <v>692</v>
      </c>
      <c r="AA587" s="5" t="s">
        <v>3075</v>
      </c>
      <c r="AB587" s="5" t="s">
        <v>45</v>
      </c>
      <c r="AC587" s="5"/>
      <c r="AD587" s="5"/>
      <c r="AE587" s="5"/>
      <c r="AG587" s="9">
        <f t="shared" si="9"/>
        <v>43286</v>
      </c>
    </row>
    <row r="588" s="6" customFormat="1" spans="1:33">
      <c r="A588" s="5" t="s">
        <v>3076</v>
      </c>
      <c r="B588" s="5" t="s">
        <v>3076</v>
      </c>
      <c r="C588" s="5" t="s">
        <v>3077</v>
      </c>
      <c r="D588" s="5" t="s">
        <v>3078</v>
      </c>
      <c r="E588" s="5" t="s">
        <v>35</v>
      </c>
      <c r="F588" s="5" t="s">
        <v>36</v>
      </c>
      <c r="G588" s="5" t="s">
        <v>37</v>
      </c>
      <c r="H588" s="5"/>
      <c r="I588" s="5"/>
      <c r="J588" s="5" t="s">
        <v>59</v>
      </c>
      <c r="K588" s="5" t="s">
        <v>50</v>
      </c>
      <c r="L588" s="5" t="s">
        <v>51</v>
      </c>
      <c r="M588" s="5" t="s">
        <v>52</v>
      </c>
      <c r="N588" s="5" t="s">
        <v>35</v>
      </c>
      <c r="O588" s="5">
        <v>1</v>
      </c>
      <c r="P588" s="5" t="s">
        <v>42</v>
      </c>
      <c r="Q588" s="5">
        <v>9</v>
      </c>
      <c r="R588" s="5"/>
      <c r="S588" s="5"/>
      <c r="T588" s="5"/>
      <c r="U588" s="5"/>
      <c r="V588" s="5"/>
      <c r="W588" s="5"/>
      <c r="X588" s="5"/>
      <c r="Y588" s="5" t="s">
        <v>3079</v>
      </c>
      <c r="Z588" s="5" t="s">
        <v>162</v>
      </c>
      <c r="AA588" s="5" t="s">
        <v>3080</v>
      </c>
      <c r="AB588" s="5" t="s">
        <v>45</v>
      </c>
      <c r="AC588" s="5"/>
      <c r="AD588" s="5"/>
      <c r="AE588" s="5"/>
      <c r="AG588" s="9">
        <f t="shared" si="9"/>
        <v>43286</v>
      </c>
    </row>
    <row r="589" s="6" customFormat="1" spans="1:33">
      <c r="A589" s="5" t="s">
        <v>3081</v>
      </c>
      <c r="B589" s="5" t="s">
        <v>3081</v>
      </c>
      <c r="C589" s="5" t="s">
        <v>3082</v>
      </c>
      <c r="D589" s="5" t="s">
        <v>3083</v>
      </c>
      <c r="E589" s="5" t="s">
        <v>35</v>
      </c>
      <c r="F589" s="5" t="s">
        <v>36</v>
      </c>
      <c r="G589" s="5" t="s">
        <v>37</v>
      </c>
      <c r="H589" s="5"/>
      <c r="I589" s="5"/>
      <c r="J589" s="5" t="s">
        <v>59</v>
      </c>
      <c r="K589" s="5" t="s">
        <v>94</v>
      </c>
      <c r="L589" s="5" t="s">
        <v>95</v>
      </c>
      <c r="M589" s="5" t="s">
        <v>96</v>
      </c>
      <c r="N589" s="5" t="s">
        <v>35</v>
      </c>
      <c r="O589" s="5">
        <v>1</v>
      </c>
      <c r="P589" s="5" t="s">
        <v>42</v>
      </c>
      <c r="Q589" s="5">
        <v>15.99</v>
      </c>
      <c r="R589" s="5"/>
      <c r="S589" s="5"/>
      <c r="T589" s="5"/>
      <c r="U589" s="5"/>
      <c r="V589" s="5"/>
      <c r="W589" s="5"/>
      <c r="X589" s="5"/>
      <c r="Y589" s="5" t="s">
        <v>3084</v>
      </c>
      <c r="Z589" s="5" t="s">
        <v>244</v>
      </c>
      <c r="AA589" s="5" t="s">
        <v>3085</v>
      </c>
      <c r="AB589" s="5" t="s">
        <v>45</v>
      </c>
      <c r="AC589" s="5"/>
      <c r="AD589" s="5"/>
      <c r="AE589" s="5"/>
      <c r="AG589" s="9">
        <f t="shared" si="9"/>
        <v>43286</v>
      </c>
    </row>
    <row r="590" s="6" customFormat="1" spans="1:33">
      <c r="A590" s="5" t="s">
        <v>3086</v>
      </c>
      <c r="B590" s="5" t="s">
        <v>3086</v>
      </c>
      <c r="C590" s="5" t="s">
        <v>3087</v>
      </c>
      <c r="D590" s="5" t="s">
        <v>3088</v>
      </c>
      <c r="E590" s="5" t="s">
        <v>35</v>
      </c>
      <c r="F590" s="5" t="s">
        <v>36</v>
      </c>
      <c r="G590" s="5" t="s">
        <v>37</v>
      </c>
      <c r="H590" s="5"/>
      <c r="I590" s="5"/>
      <c r="J590" s="5" t="s">
        <v>59</v>
      </c>
      <c r="K590" s="5" t="s">
        <v>50</v>
      </c>
      <c r="L590" s="5" t="s">
        <v>51</v>
      </c>
      <c r="M590" s="5" t="s">
        <v>52</v>
      </c>
      <c r="N590" s="5" t="s">
        <v>35</v>
      </c>
      <c r="O590" s="5">
        <v>1</v>
      </c>
      <c r="P590" s="5" t="s">
        <v>42</v>
      </c>
      <c r="Q590" s="5">
        <v>9</v>
      </c>
      <c r="R590" s="5"/>
      <c r="S590" s="5"/>
      <c r="T590" s="5"/>
      <c r="U590" s="5"/>
      <c r="V590" s="5"/>
      <c r="W590" s="5"/>
      <c r="X590" s="5"/>
      <c r="Y590" s="5" t="s">
        <v>3089</v>
      </c>
      <c r="Z590" s="5" t="s">
        <v>3090</v>
      </c>
      <c r="AA590" s="5">
        <v>32903</v>
      </c>
      <c r="AB590" s="5" t="s">
        <v>45</v>
      </c>
      <c r="AC590" s="5"/>
      <c r="AD590" s="5"/>
      <c r="AE590" s="5"/>
      <c r="AG590" s="9">
        <f t="shared" si="9"/>
        <v>43286</v>
      </c>
    </row>
    <row r="591" s="6" customFormat="1" spans="1:33">
      <c r="A591" s="5" t="s">
        <v>3091</v>
      </c>
      <c r="B591" s="5" t="s">
        <v>3091</v>
      </c>
      <c r="C591" s="5" t="s">
        <v>3092</v>
      </c>
      <c r="D591" s="5" t="s">
        <v>3093</v>
      </c>
      <c r="E591" s="5" t="s">
        <v>35</v>
      </c>
      <c r="F591" s="5" t="s">
        <v>36</v>
      </c>
      <c r="G591" s="5" t="s">
        <v>37</v>
      </c>
      <c r="H591" s="5"/>
      <c r="I591" s="5"/>
      <c r="J591" s="5" t="s">
        <v>38</v>
      </c>
      <c r="K591" s="5" t="s">
        <v>1334</v>
      </c>
      <c r="L591" s="5" t="s">
        <v>573</v>
      </c>
      <c r="M591" s="5" t="s">
        <v>574</v>
      </c>
      <c r="N591" s="5" t="s">
        <v>35</v>
      </c>
      <c r="O591" s="5">
        <v>1</v>
      </c>
      <c r="P591" s="5" t="s">
        <v>42</v>
      </c>
      <c r="Q591" s="5">
        <v>18.99</v>
      </c>
      <c r="R591" s="5"/>
      <c r="S591" s="5">
        <v>0.94</v>
      </c>
      <c r="T591" s="5"/>
      <c r="U591" s="5"/>
      <c r="V591" s="5"/>
      <c r="W591" s="5"/>
      <c r="X591" s="5">
        <v>0.94</v>
      </c>
      <c r="Y591" s="5" t="s">
        <v>3094</v>
      </c>
      <c r="Z591" s="5" t="s">
        <v>191</v>
      </c>
      <c r="AA591" s="5" t="s">
        <v>3095</v>
      </c>
      <c r="AB591" s="5" t="s">
        <v>45</v>
      </c>
      <c r="AC591" s="5" t="s">
        <v>328</v>
      </c>
      <c r="AD591" s="5"/>
      <c r="AE591" s="5"/>
      <c r="AG591" s="9">
        <f t="shared" si="9"/>
        <v>43286</v>
      </c>
    </row>
    <row r="592" s="6" customFormat="1" spans="1:33">
      <c r="A592" s="5" t="s">
        <v>3096</v>
      </c>
      <c r="B592" s="5" t="s">
        <v>3096</v>
      </c>
      <c r="C592" s="5" t="s">
        <v>3097</v>
      </c>
      <c r="D592" s="5" t="s">
        <v>3098</v>
      </c>
      <c r="E592" s="5" t="s">
        <v>35</v>
      </c>
      <c r="F592" s="5" t="s">
        <v>36</v>
      </c>
      <c r="G592" s="5" t="s">
        <v>37</v>
      </c>
      <c r="H592" s="5"/>
      <c r="I592" s="5"/>
      <c r="J592" s="5" t="s">
        <v>59</v>
      </c>
      <c r="K592" s="5" t="s">
        <v>94</v>
      </c>
      <c r="L592" s="5" t="s">
        <v>95</v>
      </c>
      <c r="M592" s="5" t="s">
        <v>96</v>
      </c>
      <c r="N592" s="5" t="s">
        <v>35</v>
      </c>
      <c r="O592" s="5">
        <v>1</v>
      </c>
      <c r="P592" s="5" t="s">
        <v>42</v>
      </c>
      <c r="Q592" s="5">
        <v>15.99</v>
      </c>
      <c r="R592" s="5"/>
      <c r="S592" s="5"/>
      <c r="T592" s="5"/>
      <c r="U592" s="5"/>
      <c r="V592" s="5"/>
      <c r="W592" s="5"/>
      <c r="X592" s="5"/>
      <c r="Y592" s="5" t="s">
        <v>1175</v>
      </c>
      <c r="Z592" s="5" t="s">
        <v>534</v>
      </c>
      <c r="AA592" s="5" t="s">
        <v>3099</v>
      </c>
      <c r="AB592" s="5" t="s">
        <v>45</v>
      </c>
      <c r="AC592" s="5"/>
      <c r="AD592" s="5"/>
      <c r="AE592" s="5"/>
      <c r="AG592" s="9">
        <f t="shared" si="9"/>
        <v>43286</v>
      </c>
    </row>
    <row r="593" s="6" customFormat="1" spans="1:33">
      <c r="A593" s="5" t="s">
        <v>3100</v>
      </c>
      <c r="B593" s="5" t="s">
        <v>3101</v>
      </c>
      <c r="C593" s="5" t="s">
        <v>3102</v>
      </c>
      <c r="D593" s="5" t="s">
        <v>3103</v>
      </c>
      <c r="E593" s="5" t="s">
        <v>3104</v>
      </c>
      <c r="F593" s="5" t="s">
        <v>36</v>
      </c>
      <c r="G593" s="5" t="s">
        <v>3105</v>
      </c>
      <c r="H593" s="5"/>
      <c r="I593" s="5"/>
      <c r="J593" s="5" t="s">
        <v>38</v>
      </c>
      <c r="K593" s="5" t="s">
        <v>1896</v>
      </c>
      <c r="L593" s="5" t="s">
        <v>78</v>
      </c>
      <c r="M593" s="5" t="s">
        <v>79</v>
      </c>
      <c r="N593" s="5" t="s">
        <v>275</v>
      </c>
      <c r="O593" s="5">
        <v>1</v>
      </c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  <c r="AD593" s="5"/>
      <c r="AE593" s="5"/>
      <c r="AG593" s="9">
        <f t="shared" si="9"/>
        <v>43287</v>
      </c>
    </row>
    <row r="594" s="6" customFormat="1" spans="1:33">
      <c r="A594" s="5" t="s">
        <v>3106</v>
      </c>
      <c r="B594" s="5" t="s">
        <v>3106</v>
      </c>
      <c r="C594" s="5" t="s">
        <v>3107</v>
      </c>
      <c r="D594" s="5" t="s">
        <v>3108</v>
      </c>
      <c r="E594" s="5" t="s">
        <v>35</v>
      </c>
      <c r="F594" s="5" t="s">
        <v>36</v>
      </c>
      <c r="G594" s="5" t="s">
        <v>37</v>
      </c>
      <c r="H594" s="5"/>
      <c r="I594" s="5"/>
      <c r="J594" s="5" t="s">
        <v>59</v>
      </c>
      <c r="K594" s="5" t="s">
        <v>2936</v>
      </c>
      <c r="L594" s="5" t="s">
        <v>2937</v>
      </c>
      <c r="M594" s="5" t="s">
        <v>2938</v>
      </c>
      <c r="N594" s="5" t="s">
        <v>35</v>
      </c>
      <c r="O594" s="5">
        <v>1</v>
      </c>
      <c r="P594" s="5" t="s">
        <v>42</v>
      </c>
      <c r="Q594" s="5">
        <v>10.99</v>
      </c>
      <c r="R594" s="5"/>
      <c r="S594" s="5"/>
      <c r="T594" s="5"/>
      <c r="U594" s="5"/>
      <c r="V594" s="5"/>
      <c r="W594" s="5"/>
      <c r="X594" s="5"/>
      <c r="Y594" s="5" t="s">
        <v>3109</v>
      </c>
      <c r="Z594" s="5" t="s">
        <v>432</v>
      </c>
      <c r="AA594" s="5" t="s">
        <v>3110</v>
      </c>
      <c r="AB594" s="5" t="s">
        <v>45</v>
      </c>
      <c r="AC594" s="5"/>
      <c r="AD594" s="5"/>
      <c r="AE594" s="5"/>
      <c r="AF594"/>
      <c r="AG594" s="9">
        <f t="shared" si="9"/>
        <v>43287</v>
      </c>
    </row>
    <row r="595" s="6" customFormat="1" spans="1:33">
      <c r="A595" s="5" t="s">
        <v>3111</v>
      </c>
      <c r="B595" s="5" t="s">
        <v>3111</v>
      </c>
      <c r="C595" s="5" t="s">
        <v>3112</v>
      </c>
      <c r="D595" s="5" t="s">
        <v>3113</v>
      </c>
      <c r="E595" s="5" t="s">
        <v>35</v>
      </c>
      <c r="F595" s="5" t="s">
        <v>36</v>
      </c>
      <c r="G595" s="5" t="s">
        <v>37</v>
      </c>
      <c r="H595" s="5"/>
      <c r="I595" s="5"/>
      <c r="J595" s="5" t="s">
        <v>59</v>
      </c>
      <c r="K595" s="5" t="s">
        <v>831</v>
      </c>
      <c r="L595" s="5" t="s">
        <v>832</v>
      </c>
      <c r="M595" s="5" t="s">
        <v>833</v>
      </c>
      <c r="N595" s="5" t="s">
        <v>35</v>
      </c>
      <c r="O595" s="5">
        <v>1</v>
      </c>
      <c r="P595" s="5" t="s">
        <v>42</v>
      </c>
      <c r="Q595" s="5">
        <v>15.99</v>
      </c>
      <c r="R595" s="5"/>
      <c r="S595" s="5"/>
      <c r="T595" s="5"/>
      <c r="U595" s="5"/>
      <c r="V595" s="5"/>
      <c r="W595" s="5"/>
      <c r="X595" s="5"/>
      <c r="Y595" s="5" t="s">
        <v>3114</v>
      </c>
      <c r="Z595" s="5" t="s">
        <v>2733</v>
      </c>
      <c r="AA595" s="5">
        <v>90266</v>
      </c>
      <c r="AB595" s="5" t="s">
        <v>45</v>
      </c>
      <c r="AC595" s="5"/>
      <c r="AD595" s="5"/>
      <c r="AE595" s="5"/>
      <c r="AF595"/>
      <c r="AG595" s="9">
        <f t="shared" si="9"/>
        <v>43287</v>
      </c>
    </row>
    <row r="596" s="6" customFormat="1" spans="1:33">
      <c r="A596" s="5" t="s">
        <v>3115</v>
      </c>
      <c r="B596" s="5" t="s">
        <v>3115</v>
      </c>
      <c r="C596" s="5" t="s">
        <v>3116</v>
      </c>
      <c r="D596" s="5" t="s">
        <v>3117</v>
      </c>
      <c r="E596" s="5" t="s">
        <v>35</v>
      </c>
      <c r="F596" s="5" t="s">
        <v>36</v>
      </c>
      <c r="G596" s="5" t="s">
        <v>37</v>
      </c>
      <c r="H596" s="5"/>
      <c r="I596" s="5"/>
      <c r="J596" s="5" t="s">
        <v>59</v>
      </c>
      <c r="K596" s="5" t="s">
        <v>1334</v>
      </c>
      <c r="L596" s="5" t="s">
        <v>573</v>
      </c>
      <c r="M596" s="5" t="s">
        <v>574</v>
      </c>
      <c r="N596" s="5" t="s">
        <v>35</v>
      </c>
      <c r="O596" s="5">
        <v>1</v>
      </c>
      <c r="P596" s="5" t="s">
        <v>42</v>
      </c>
      <c r="Q596" s="5">
        <v>18.99</v>
      </c>
      <c r="R596" s="5"/>
      <c r="S596" s="5"/>
      <c r="T596" s="5"/>
      <c r="U596" s="5"/>
      <c r="V596" s="5"/>
      <c r="W596" s="5"/>
      <c r="X596" s="5"/>
      <c r="Y596" s="5" t="s">
        <v>501</v>
      </c>
      <c r="Z596" s="5" t="s">
        <v>127</v>
      </c>
      <c r="AA596" s="5" t="s">
        <v>3118</v>
      </c>
      <c r="AB596" s="5" t="s">
        <v>45</v>
      </c>
      <c r="AC596" s="5"/>
      <c r="AD596" s="5"/>
      <c r="AE596" s="5"/>
      <c r="AF596"/>
      <c r="AG596" s="9">
        <f t="shared" si="9"/>
        <v>43287</v>
      </c>
    </row>
    <row r="597" s="6" customFormat="1" spans="1:33">
      <c r="A597" s="5" t="s">
        <v>3119</v>
      </c>
      <c r="B597" s="5" t="s">
        <v>3119</v>
      </c>
      <c r="C597" s="5" t="s">
        <v>3120</v>
      </c>
      <c r="D597" s="5" t="s">
        <v>3121</v>
      </c>
      <c r="E597" s="5" t="s">
        <v>35</v>
      </c>
      <c r="F597" s="5" t="s">
        <v>36</v>
      </c>
      <c r="G597" s="5" t="s">
        <v>37</v>
      </c>
      <c r="H597" s="5"/>
      <c r="I597" s="5"/>
      <c r="J597" s="5" t="s">
        <v>59</v>
      </c>
      <c r="K597" s="5" t="s">
        <v>50</v>
      </c>
      <c r="L597" s="5" t="s">
        <v>51</v>
      </c>
      <c r="M597" s="5" t="s">
        <v>52</v>
      </c>
      <c r="N597" s="5" t="s">
        <v>35</v>
      </c>
      <c r="O597" s="5">
        <v>1</v>
      </c>
      <c r="P597" s="5" t="s">
        <v>42</v>
      </c>
      <c r="Q597" s="5">
        <v>9</v>
      </c>
      <c r="R597" s="5"/>
      <c r="S597" s="5"/>
      <c r="T597" s="5"/>
      <c r="U597" s="5"/>
      <c r="V597" s="5"/>
      <c r="W597" s="5"/>
      <c r="X597" s="5"/>
      <c r="Y597" s="5" t="s">
        <v>3122</v>
      </c>
      <c r="Z597" s="5" t="s">
        <v>432</v>
      </c>
      <c r="AA597" s="5" t="s">
        <v>3123</v>
      </c>
      <c r="AB597" s="5" t="s">
        <v>45</v>
      </c>
      <c r="AC597" s="5"/>
      <c r="AD597" s="5"/>
      <c r="AE597" s="5"/>
      <c r="AG597" s="9">
        <f t="shared" si="9"/>
        <v>43287</v>
      </c>
    </row>
    <row r="598" s="6" customFormat="1" spans="1:33">
      <c r="A598" s="5" t="s">
        <v>3124</v>
      </c>
      <c r="B598" s="5" t="s">
        <v>3124</v>
      </c>
      <c r="C598" s="5" t="s">
        <v>3125</v>
      </c>
      <c r="D598" s="5" t="s">
        <v>3126</v>
      </c>
      <c r="E598" s="5" t="s">
        <v>35</v>
      </c>
      <c r="F598" s="5" t="s">
        <v>36</v>
      </c>
      <c r="G598" s="5" t="s">
        <v>37</v>
      </c>
      <c r="H598" s="5"/>
      <c r="I598" s="5"/>
      <c r="J598" s="5" t="s">
        <v>59</v>
      </c>
      <c r="K598" s="5" t="s">
        <v>50</v>
      </c>
      <c r="L598" s="5" t="s">
        <v>51</v>
      </c>
      <c r="M598" s="5" t="s">
        <v>52</v>
      </c>
      <c r="N598" s="5" t="s">
        <v>35</v>
      </c>
      <c r="O598" s="5">
        <v>1</v>
      </c>
      <c r="P598" s="5" t="s">
        <v>42</v>
      </c>
      <c r="Q598" s="5">
        <v>9</v>
      </c>
      <c r="R598" s="5"/>
      <c r="S598" s="5"/>
      <c r="T598" s="5"/>
      <c r="U598" s="5"/>
      <c r="V598" s="5"/>
      <c r="W598" s="5"/>
      <c r="X598" s="5"/>
      <c r="Y598" s="5" t="s">
        <v>3127</v>
      </c>
      <c r="Z598" s="5" t="s">
        <v>153</v>
      </c>
      <c r="AA598" s="5" t="s">
        <v>3128</v>
      </c>
      <c r="AB598" s="5" t="s">
        <v>45</v>
      </c>
      <c r="AC598" s="5"/>
      <c r="AD598" s="5"/>
      <c r="AE598" s="5"/>
      <c r="AG598" s="9">
        <f t="shared" si="9"/>
        <v>43287</v>
      </c>
    </row>
    <row r="599" s="6" customFormat="1" spans="1:33">
      <c r="A599" s="5" t="s">
        <v>3129</v>
      </c>
      <c r="B599" s="5" t="s">
        <v>3129</v>
      </c>
      <c r="C599" s="5" t="s">
        <v>3130</v>
      </c>
      <c r="D599" s="5" t="s">
        <v>3131</v>
      </c>
      <c r="E599" s="5" t="s">
        <v>35</v>
      </c>
      <c r="F599" s="5" t="s">
        <v>36</v>
      </c>
      <c r="G599" s="5" t="s">
        <v>37</v>
      </c>
      <c r="H599" s="5"/>
      <c r="I599" s="5"/>
      <c r="J599" s="5" t="s">
        <v>59</v>
      </c>
      <c r="K599" s="5" t="s">
        <v>2652</v>
      </c>
      <c r="L599" s="5" t="s">
        <v>87</v>
      </c>
      <c r="M599" s="5" t="s">
        <v>88</v>
      </c>
      <c r="N599" s="5" t="s">
        <v>35</v>
      </c>
      <c r="O599" s="5">
        <v>1</v>
      </c>
      <c r="P599" s="5" t="s">
        <v>42</v>
      </c>
      <c r="Q599" s="5">
        <v>14.99</v>
      </c>
      <c r="R599" s="5"/>
      <c r="S599" s="5"/>
      <c r="T599" s="5"/>
      <c r="U599" s="5"/>
      <c r="V599" s="5"/>
      <c r="W599" s="5"/>
      <c r="X599" s="5"/>
      <c r="Y599" s="5" t="s">
        <v>3132</v>
      </c>
      <c r="Z599" s="5" t="s">
        <v>3133</v>
      </c>
      <c r="AA599" s="5">
        <v>53186</v>
      </c>
      <c r="AB599" s="5" t="s">
        <v>45</v>
      </c>
      <c r="AC599" s="5"/>
      <c r="AD599" s="5"/>
      <c r="AE599" s="5"/>
      <c r="AG599" s="9">
        <f t="shared" si="9"/>
        <v>43287</v>
      </c>
    </row>
    <row r="600" s="6" customFormat="1" spans="1:33">
      <c r="A600" s="5" t="s">
        <v>3134</v>
      </c>
      <c r="B600" s="5" t="s">
        <v>3134</v>
      </c>
      <c r="C600" s="5" t="s">
        <v>3135</v>
      </c>
      <c r="D600" s="5" t="s">
        <v>3136</v>
      </c>
      <c r="E600" s="5" t="s">
        <v>35</v>
      </c>
      <c r="F600" s="5" t="s">
        <v>36</v>
      </c>
      <c r="G600" s="5" t="s">
        <v>37</v>
      </c>
      <c r="H600" s="5"/>
      <c r="I600" s="5"/>
      <c r="J600" s="5" t="s">
        <v>59</v>
      </c>
      <c r="K600" s="5" t="s">
        <v>2328</v>
      </c>
      <c r="L600" s="5" t="s">
        <v>2329</v>
      </c>
      <c r="M600" s="5" t="s">
        <v>2330</v>
      </c>
      <c r="N600" s="5" t="s">
        <v>35</v>
      </c>
      <c r="O600" s="5">
        <v>1</v>
      </c>
      <c r="P600" s="5" t="s">
        <v>42</v>
      </c>
      <c r="Q600" s="5">
        <v>15.99</v>
      </c>
      <c r="R600" s="5"/>
      <c r="S600" s="5"/>
      <c r="T600" s="5"/>
      <c r="U600" s="5"/>
      <c r="V600" s="5"/>
      <c r="W600" s="5"/>
      <c r="X600" s="5"/>
      <c r="Y600" s="5" t="s">
        <v>3137</v>
      </c>
      <c r="Z600" s="5" t="s">
        <v>3138</v>
      </c>
      <c r="AA600" s="5">
        <v>97844</v>
      </c>
      <c r="AB600" s="5" t="s">
        <v>45</v>
      </c>
      <c r="AC600" s="5"/>
      <c r="AD600" s="5"/>
      <c r="AE600" s="5"/>
      <c r="AG600" s="9">
        <f t="shared" si="9"/>
        <v>43287</v>
      </c>
    </row>
    <row r="601" s="6" customFormat="1" spans="1:33">
      <c r="A601" s="5" t="s">
        <v>3139</v>
      </c>
      <c r="B601" s="5" t="s">
        <v>3139</v>
      </c>
      <c r="C601" s="5" t="s">
        <v>3140</v>
      </c>
      <c r="D601" s="5" t="s">
        <v>3141</v>
      </c>
      <c r="E601" s="5" t="s">
        <v>35</v>
      </c>
      <c r="F601" s="5" t="s">
        <v>36</v>
      </c>
      <c r="G601" s="5" t="s">
        <v>37</v>
      </c>
      <c r="H601" s="5"/>
      <c r="I601" s="5"/>
      <c r="J601" s="5" t="s">
        <v>59</v>
      </c>
      <c r="K601" s="5" t="s">
        <v>50</v>
      </c>
      <c r="L601" s="5" t="s">
        <v>51</v>
      </c>
      <c r="M601" s="5" t="s">
        <v>52</v>
      </c>
      <c r="N601" s="5" t="s">
        <v>35</v>
      </c>
      <c r="O601" s="5">
        <v>1</v>
      </c>
      <c r="P601" s="5" t="s">
        <v>42</v>
      </c>
      <c r="Q601" s="5">
        <v>9</v>
      </c>
      <c r="R601" s="5"/>
      <c r="S601" s="5"/>
      <c r="T601" s="5"/>
      <c r="U601" s="5"/>
      <c r="V601" s="5"/>
      <c r="W601" s="5"/>
      <c r="X601" s="5"/>
      <c r="Y601" s="5" t="s">
        <v>3142</v>
      </c>
      <c r="Z601" s="5" t="s">
        <v>780</v>
      </c>
      <c r="AA601" s="5" t="s">
        <v>3143</v>
      </c>
      <c r="AB601" s="5" t="s">
        <v>45</v>
      </c>
      <c r="AC601" s="5"/>
      <c r="AD601" s="5"/>
      <c r="AE601" s="5"/>
      <c r="AG601" s="9">
        <f t="shared" si="9"/>
        <v>43287</v>
      </c>
    </row>
    <row r="602" s="6" customFormat="1" spans="1:33">
      <c r="A602" s="5" t="s">
        <v>3144</v>
      </c>
      <c r="B602" s="5" t="s">
        <v>3144</v>
      </c>
      <c r="C602" s="5" t="s">
        <v>3145</v>
      </c>
      <c r="D602" s="5" t="s">
        <v>3146</v>
      </c>
      <c r="E602" s="5" t="s">
        <v>35</v>
      </c>
      <c r="F602" s="5" t="s">
        <v>36</v>
      </c>
      <c r="G602" s="5" t="s">
        <v>37</v>
      </c>
      <c r="H602" s="5"/>
      <c r="I602" s="5"/>
      <c r="J602" s="5" t="s">
        <v>38</v>
      </c>
      <c r="K602" s="5" t="s">
        <v>675</v>
      </c>
      <c r="L602" s="5" t="s">
        <v>676</v>
      </c>
      <c r="M602" s="5" t="s">
        <v>677</v>
      </c>
      <c r="N602" s="5" t="s">
        <v>35</v>
      </c>
      <c r="O602" s="5">
        <v>1</v>
      </c>
      <c r="P602" s="5" t="s">
        <v>42</v>
      </c>
      <c r="Q602" s="5">
        <v>14.99</v>
      </c>
      <c r="R602" s="5"/>
      <c r="S602" s="5">
        <v>1.13</v>
      </c>
      <c r="T602" s="5"/>
      <c r="U602" s="5"/>
      <c r="V602" s="5"/>
      <c r="W602" s="5"/>
      <c r="X602" s="5">
        <v>1.13</v>
      </c>
      <c r="Y602" s="5" t="s">
        <v>3147</v>
      </c>
      <c r="Z602" s="5" t="s">
        <v>609</v>
      </c>
      <c r="AA602" s="5" t="s">
        <v>3148</v>
      </c>
      <c r="AB602" s="5" t="s">
        <v>45</v>
      </c>
      <c r="AC602" s="5" t="s">
        <v>328</v>
      </c>
      <c r="AD602" s="5"/>
      <c r="AE602" s="5"/>
      <c r="AG602" s="9">
        <f t="shared" si="9"/>
        <v>43287</v>
      </c>
    </row>
    <row r="603" s="6" customFormat="1" spans="1:33">
      <c r="A603" s="5" t="s">
        <v>3149</v>
      </c>
      <c r="B603" s="5" t="s">
        <v>3149</v>
      </c>
      <c r="C603" s="5" t="s">
        <v>3150</v>
      </c>
      <c r="D603" s="5" t="s">
        <v>3151</v>
      </c>
      <c r="E603" s="5" t="s">
        <v>35</v>
      </c>
      <c r="F603" s="5" t="s">
        <v>36</v>
      </c>
      <c r="G603" s="5" t="s">
        <v>37</v>
      </c>
      <c r="H603" s="5"/>
      <c r="I603" s="5"/>
      <c r="J603" s="5" t="s">
        <v>59</v>
      </c>
      <c r="K603" s="5" t="s">
        <v>50</v>
      </c>
      <c r="L603" s="5" t="s">
        <v>51</v>
      </c>
      <c r="M603" s="5" t="s">
        <v>52</v>
      </c>
      <c r="N603" s="5" t="s">
        <v>35</v>
      </c>
      <c r="O603" s="5">
        <v>1</v>
      </c>
      <c r="P603" s="5" t="s">
        <v>42</v>
      </c>
      <c r="Q603" s="5">
        <v>9</v>
      </c>
      <c r="R603" s="5"/>
      <c r="S603" s="5"/>
      <c r="T603" s="5"/>
      <c r="U603" s="5"/>
      <c r="V603" s="5"/>
      <c r="W603" s="5"/>
      <c r="X603" s="5"/>
      <c r="Y603" s="5" t="s">
        <v>3152</v>
      </c>
      <c r="Z603" s="5" t="s">
        <v>197</v>
      </c>
      <c r="AA603" s="5">
        <v>46614</v>
      </c>
      <c r="AB603" s="5" t="s">
        <v>45</v>
      </c>
      <c r="AC603" s="5"/>
      <c r="AD603" s="5"/>
      <c r="AE603" s="5"/>
      <c r="AG603" s="9">
        <f t="shared" si="9"/>
        <v>43287</v>
      </c>
    </row>
    <row r="604" s="6" customFormat="1" spans="1:33">
      <c r="A604" s="5" t="s">
        <v>3153</v>
      </c>
      <c r="B604" s="5" t="s">
        <v>3153</v>
      </c>
      <c r="C604" s="5" t="s">
        <v>3154</v>
      </c>
      <c r="D604" s="5" t="s">
        <v>3155</v>
      </c>
      <c r="E604" s="5" t="s">
        <v>35</v>
      </c>
      <c r="F604" s="5" t="s">
        <v>36</v>
      </c>
      <c r="G604" s="5" t="s">
        <v>37</v>
      </c>
      <c r="H604" s="5"/>
      <c r="I604" s="5"/>
      <c r="J604" s="5" t="s">
        <v>38</v>
      </c>
      <c r="K604" s="5" t="s">
        <v>346</v>
      </c>
      <c r="L604" s="5" t="s">
        <v>347</v>
      </c>
      <c r="M604" s="5" t="s">
        <v>348</v>
      </c>
      <c r="N604" s="5" t="s">
        <v>35</v>
      </c>
      <c r="O604" s="5">
        <v>1</v>
      </c>
      <c r="P604" s="5" t="s">
        <v>42</v>
      </c>
      <c r="Q604" s="5">
        <v>12.99</v>
      </c>
      <c r="R604" s="5"/>
      <c r="S604" s="5"/>
      <c r="T604" s="5"/>
      <c r="U604" s="5"/>
      <c r="V604" s="5"/>
      <c r="W604" s="5"/>
      <c r="X604" s="5"/>
      <c r="Y604" s="5" t="s">
        <v>2647</v>
      </c>
      <c r="Z604" s="5" t="s">
        <v>609</v>
      </c>
      <c r="AA604" s="5" t="s">
        <v>3156</v>
      </c>
      <c r="AB604" s="5" t="s">
        <v>45</v>
      </c>
      <c r="AC604" s="5"/>
      <c r="AD604" s="5"/>
      <c r="AE604" s="5"/>
      <c r="AG604" s="9">
        <f t="shared" si="9"/>
        <v>43287</v>
      </c>
    </row>
    <row r="605" s="6" customFormat="1" spans="1:33">
      <c r="A605" s="5" t="s">
        <v>3157</v>
      </c>
      <c r="B605" s="5" t="s">
        <v>3157</v>
      </c>
      <c r="C605" s="5" t="s">
        <v>3158</v>
      </c>
      <c r="D605" s="5" t="s">
        <v>3159</v>
      </c>
      <c r="E605" s="5" t="s">
        <v>35</v>
      </c>
      <c r="F605" s="5" t="s">
        <v>36</v>
      </c>
      <c r="G605" s="5" t="s">
        <v>37</v>
      </c>
      <c r="H605" s="5"/>
      <c r="I605" s="5"/>
      <c r="J605" s="5" t="s">
        <v>59</v>
      </c>
      <c r="K605" s="5" t="s">
        <v>50</v>
      </c>
      <c r="L605" s="5" t="s">
        <v>51</v>
      </c>
      <c r="M605" s="5" t="s">
        <v>52</v>
      </c>
      <c r="N605" s="5" t="s">
        <v>35</v>
      </c>
      <c r="O605" s="5">
        <v>4</v>
      </c>
      <c r="P605" s="5" t="s">
        <v>42</v>
      </c>
      <c r="Q605" s="5">
        <v>36</v>
      </c>
      <c r="R605" s="5"/>
      <c r="S605" s="5"/>
      <c r="T605" s="5"/>
      <c r="U605" s="5"/>
      <c r="V605" s="5"/>
      <c r="W605" s="5"/>
      <c r="X605" s="5"/>
      <c r="Y605" s="5" t="s">
        <v>3160</v>
      </c>
      <c r="Z605" s="5" t="s">
        <v>81</v>
      </c>
      <c r="AA605" s="5" t="s">
        <v>3161</v>
      </c>
      <c r="AB605" s="5" t="s">
        <v>45</v>
      </c>
      <c r="AC605" s="5"/>
      <c r="AD605" s="5"/>
      <c r="AE605" s="5"/>
      <c r="AG605" s="9">
        <f t="shared" si="9"/>
        <v>43287</v>
      </c>
    </row>
    <row r="606" s="6" customFormat="1" spans="1:33">
      <c r="A606" s="5" t="s">
        <v>3162</v>
      </c>
      <c r="B606" s="5" t="s">
        <v>3162</v>
      </c>
      <c r="C606" s="5" t="s">
        <v>3163</v>
      </c>
      <c r="D606" s="5" t="s">
        <v>3164</v>
      </c>
      <c r="E606" s="5" t="s">
        <v>35</v>
      </c>
      <c r="F606" s="5" t="s">
        <v>36</v>
      </c>
      <c r="G606" s="5" t="s">
        <v>37</v>
      </c>
      <c r="H606" s="5"/>
      <c r="I606" s="5"/>
      <c r="J606" s="5" t="s">
        <v>59</v>
      </c>
      <c r="K606" s="5" t="s">
        <v>50</v>
      </c>
      <c r="L606" s="5" t="s">
        <v>51</v>
      </c>
      <c r="M606" s="5" t="s">
        <v>52</v>
      </c>
      <c r="N606" s="5" t="s">
        <v>35</v>
      </c>
      <c r="O606" s="5">
        <v>1</v>
      </c>
      <c r="P606" s="5" t="s">
        <v>42</v>
      </c>
      <c r="Q606" s="5">
        <v>9</v>
      </c>
      <c r="R606" s="5"/>
      <c r="S606" s="5"/>
      <c r="T606" s="5"/>
      <c r="U606" s="5"/>
      <c r="V606" s="5"/>
      <c r="W606" s="5"/>
      <c r="X606" s="5"/>
      <c r="Y606" s="5" t="s">
        <v>3165</v>
      </c>
      <c r="Z606" s="5" t="s">
        <v>609</v>
      </c>
      <c r="AA606" s="5" t="s">
        <v>3166</v>
      </c>
      <c r="AB606" s="5" t="s">
        <v>45</v>
      </c>
      <c r="AC606" s="5"/>
      <c r="AD606" s="5"/>
      <c r="AE606" s="5"/>
      <c r="AG606" s="9">
        <f t="shared" si="9"/>
        <v>43287</v>
      </c>
    </row>
    <row r="607" s="6" customFormat="1" spans="1:33">
      <c r="A607" s="5" t="s">
        <v>3167</v>
      </c>
      <c r="B607" s="5" t="s">
        <v>3167</v>
      </c>
      <c r="C607" s="5" t="s">
        <v>3168</v>
      </c>
      <c r="D607" s="5" t="s">
        <v>3169</v>
      </c>
      <c r="E607" s="5" t="s">
        <v>35</v>
      </c>
      <c r="F607" s="5" t="s">
        <v>36</v>
      </c>
      <c r="G607" s="5" t="s">
        <v>37</v>
      </c>
      <c r="H607" s="5"/>
      <c r="I607" s="5"/>
      <c r="J607" s="5" t="s">
        <v>59</v>
      </c>
      <c r="K607" s="5" t="s">
        <v>675</v>
      </c>
      <c r="L607" s="5" t="s">
        <v>676</v>
      </c>
      <c r="M607" s="5" t="s">
        <v>677</v>
      </c>
      <c r="N607" s="5" t="s">
        <v>35</v>
      </c>
      <c r="O607" s="5">
        <v>1</v>
      </c>
      <c r="P607" s="5" t="s">
        <v>42</v>
      </c>
      <c r="Q607" s="5">
        <v>14.99</v>
      </c>
      <c r="R607" s="5"/>
      <c r="S607" s="5"/>
      <c r="T607" s="5"/>
      <c r="U607" s="5"/>
      <c r="V607" s="5"/>
      <c r="W607" s="5"/>
      <c r="X607" s="5"/>
      <c r="Y607" s="5" t="s">
        <v>3170</v>
      </c>
      <c r="Z607" s="5" t="s">
        <v>197</v>
      </c>
      <c r="AA607" s="5" t="s">
        <v>3171</v>
      </c>
      <c r="AB607" s="5" t="s">
        <v>45</v>
      </c>
      <c r="AC607" s="5"/>
      <c r="AD607" s="5"/>
      <c r="AE607" s="5"/>
      <c r="AG607" s="9">
        <f t="shared" si="9"/>
        <v>43287</v>
      </c>
    </row>
    <row r="608" s="6" customFormat="1" spans="1:33">
      <c r="A608" s="5" t="s">
        <v>3172</v>
      </c>
      <c r="B608" s="5" t="s">
        <v>3172</v>
      </c>
      <c r="C608" s="5" t="s">
        <v>3173</v>
      </c>
      <c r="D608" s="5" t="s">
        <v>3174</v>
      </c>
      <c r="E608" s="5" t="s">
        <v>35</v>
      </c>
      <c r="F608" s="5" t="s">
        <v>36</v>
      </c>
      <c r="G608" s="5" t="s">
        <v>37</v>
      </c>
      <c r="H608" s="5"/>
      <c r="I608" s="5"/>
      <c r="J608" s="5" t="s">
        <v>59</v>
      </c>
      <c r="K608" s="5" t="s">
        <v>1102</v>
      </c>
      <c r="L608" s="5" t="s">
        <v>1103</v>
      </c>
      <c r="M608" s="5" t="s">
        <v>1104</v>
      </c>
      <c r="N608" s="5" t="s">
        <v>35</v>
      </c>
      <c r="O608" s="5">
        <v>1</v>
      </c>
      <c r="P608" s="5" t="s">
        <v>42</v>
      </c>
      <c r="Q608" s="5">
        <v>17.99</v>
      </c>
      <c r="R608" s="5"/>
      <c r="S608" s="5"/>
      <c r="T608" s="5"/>
      <c r="U608" s="5"/>
      <c r="V608" s="5"/>
      <c r="W608" s="5"/>
      <c r="X608" s="5"/>
      <c r="Y608" s="5" t="s">
        <v>304</v>
      </c>
      <c r="Z608" s="5" t="s">
        <v>153</v>
      </c>
      <c r="AA608" s="5" t="s">
        <v>3175</v>
      </c>
      <c r="AB608" s="5" t="s">
        <v>45</v>
      </c>
      <c r="AC608" s="5"/>
      <c r="AD608" s="5"/>
      <c r="AE608" s="5"/>
      <c r="AG608" s="9">
        <f t="shared" si="9"/>
        <v>43287</v>
      </c>
    </row>
    <row r="609" s="6" customFormat="1" spans="1:33">
      <c r="A609" s="5" t="s">
        <v>3176</v>
      </c>
      <c r="B609" s="5" t="s">
        <v>3176</v>
      </c>
      <c r="C609" s="5" t="s">
        <v>3177</v>
      </c>
      <c r="D609" s="5" t="s">
        <v>3178</v>
      </c>
      <c r="E609" s="5" t="s">
        <v>35</v>
      </c>
      <c r="F609" s="5" t="s">
        <v>36</v>
      </c>
      <c r="G609" s="5" t="s">
        <v>37</v>
      </c>
      <c r="H609" s="5"/>
      <c r="I609" s="5"/>
      <c r="J609" s="5" t="s">
        <v>59</v>
      </c>
      <c r="K609" s="5" t="s">
        <v>50</v>
      </c>
      <c r="L609" s="5" t="s">
        <v>51</v>
      </c>
      <c r="M609" s="5" t="s">
        <v>52</v>
      </c>
      <c r="N609" s="5" t="s">
        <v>35</v>
      </c>
      <c r="O609" s="5">
        <v>1</v>
      </c>
      <c r="P609" s="5" t="s">
        <v>42</v>
      </c>
      <c r="Q609" s="5">
        <v>9</v>
      </c>
      <c r="R609" s="5"/>
      <c r="S609" s="5"/>
      <c r="T609" s="5"/>
      <c r="U609" s="5"/>
      <c r="V609" s="5"/>
      <c r="W609" s="5"/>
      <c r="X609" s="5"/>
      <c r="Y609" s="5" t="s">
        <v>3179</v>
      </c>
      <c r="Z609" s="5" t="s">
        <v>432</v>
      </c>
      <c r="AA609" s="5" t="s">
        <v>3180</v>
      </c>
      <c r="AB609" s="5" t="s">
        <v>45</v>
      </c>
      <c r="AC609" s="5"/>
      <c r="AD609" s="5"/>
      <c r="AE609" s="5"/>
      <c r="AG609" s="9">
        <f t="shared" si="9"/>
        <v>43287</v>
      </c>
    </row>
    <row r="610" s="6" customFormat="1" spans="1:33">
      <c r="A610" s="5" t="s">
        <v>3181</v>
      </c>
      <c r="B610" s="5" t="s">
        <v>3181</v>
      </c>
      <c r="C610" s="5" t="s">
        <v>3182</v>
      </c>
      <c r="D610" s="5" t="s">
        <v>3183</v>
      </c>
      <c r="E610" s="5" t="s">
        <v>35</v>
      </c>
      <c r="F610" s="5" t="s">
        <v>36</v>
      </c>
      <c r="G610" s="5" t="s">
        <v>37</v>
      </c>
      <c r="H610" s="5"/>
      <c r="I610" s="5"/>
      <c r="J610" s="5" t="s">
        <v>59</v>
      </c>
      <c r="K610" s="5" t="s">
        <v>1645</v>
      </c>
      <c r="L610" s="5" t="s">
        <v>1231</v>
      </c>
      <c r="M610" s="5" t="s">
        <v>1232</v>
      </c>
      <c r="N610" s="5" t="s">
        <v>35</v>
      </c>
      <c r="O610" s="5">
        <v>1</v>
      </c>
      <c r="P610" s="5" t="s">
        <v>42</v>
      </c>
      <c r="Q610" s="5">
        <v>12.99</v>
      </c>
      <c r="R610" s="5"/>
      <c r="S610" s="5"/>
      <c r="T610" s="5"/>
      <c r="U610" s="5"/>
      <c r="V610" s="5"/>
      <c r="W610" s="5"/>
      <c r="X610" s="5"/>
      <c r="Y610" s="5" t="s">
        <v>3184</v>
      </c>
      <c r="Z610" s="5" t="s">
        <v>861</v>
      </c>
      <c r="AA610" s="5" t="s">
        <v>3185</v>
      </c>
      <c r="AB610" s="5" t="s">
        <v>45</v>
      </c>
      <c r="AC610" s="5"/>
      <c r="AD610" s="5"/>
      <c r="AE610" s="5"/>
      <c r="AG610" s="9">
        <f t="shared" si="9"/>
        <v>43287</v>
      </c>
    </row>
    <row r="611" s="6" customFormat="1" spans="1:33">
      <c r="A611" s="5" t="s">
        <v>3186</v>
      </c>
      <c r="B611" s="5" t="s">
        <v>3186</v>
      </c>
      <c r="C611" s="5" t="s">
        <v>3187</v>
      </c>
      <c r="D611" s="5" t="s">
        <v>3188</v>
      </c>
      <c r="E611" s="5" t="s">
        <v>2269</v>
      </c>
      <c r="F611" s="5" t="s">
        <v>36</v>
      </c>
      <c r="G611" s="5" t="s">
        <v>37</v>
      </c>
      <c r="H611" s="5"/>
      <c r="I611" s="5"/>
      <c r="J611" s="5" t="s">
        <v>38</v>
      </c>
      <c r="K611" s="5" t="s">
        <v>114</v>
      </c>
      <c r="L611" s="5" t="s">
        <v>115</v>
      </c>
      <c r="M611" s="5" t="s">
        <v>116</v>
      </c>
      <c r="N611" s="5" t="s">
        <v>275</v>
      </c>
      <c r="O611" s="5">
        <v>1</v>
      </c>
      <c r="P611" s="5" t="s">
        <v>42</v>
      </c>
      <c r="Q611" s="5">
        <v>13.99</v>
      </c>
      <c r="R611" s="5"/>
      <c r="S611" s="5"/>
      <c r="T611" s="5"/>
      <c r="U611" s="5"/>
      <c r="V611" s="5"/>
      <c r="W611" s="5"/>
      <c r="X611" s="5"/>
      <c r="Y611" s="5" t="s">
        <v>3189</v>
      </c>
      <c r="Z611" s="5" t="s">
        <v>81</v>
      </c>
      <c r="AA611" s="5" t="s">
        <v>3190</v>
      </c>
      <c r="AB611" s="5" t="s">
        <v>45</v>
      </c>
      <c r="AC611" s="5" t="s">
        <v>328</v>
      </c>
      <c r="AD611" s="5"/>
      <c r="AE611" s="5"/>
      <c r="AG611" s="9">
        <f t="shared" si="9"/>
        <v>43287</v>
      </c>
    </row>
    <row r="612" s="6" customFormat="1" spans="1:33">
      <c r="A612" s="5" t="s">
        <v>3191</v>
      </c>
      <c r="B612" s="5" t="s">
        <v>3191</v>
      </c>
      <c r="C612" s="5" t="s">
        <v>3192</v>
      </c>
      <c r="D612" s="5" t="s">
        <v>3193</v>
      </c>
      <c r="E612" s="5" t="s">
        <v>35</v>
      </c>
      <c r="F612" s="5" t="s">
        <v>36</v>
      </c>
      <c r="G612" s="5" t="s">
        <v>37</v>
      </c>
      <c r="H612" s="5"/>
      <c r="I612" s="5"/>
      <c r="J612" s="5" t="s">
        <v>38</v>
      </c>
      <c r="K612" s="5" t="s">
        <v>2675</v>
      </c>
      <c r="L612" s="5" t="s">
        <v>2676</v>
      </c>
      <c r="M612" s="5" t="s">
        <v>2677</v>
      </c>
      <c r="N612" s="5" t="s">
        <v>35</v>
      </c>
      <c r="O612" s="5">
        <v>1</v>
      </c>
      <c r="P612" s="5" t="s">
        <v>42</v>
      </c>
      <c r="Q612" s="5">
        <v>11.99</v>
      </c>
      <c r="R612" s="5"/>
      <c r="S612" s="5">
        <v>7.2</v>
      </c>
      <c r="T612" s="5"/>
      <c r="U612" s="5"/>
      <c r="V612" s="5"/>
      <c r="W612" s="5"/>
      <c r="X612" s="5"/>
      <c r="Y612" s="5" t="s">
        <v>3194</v>
      </c>
      <c r="Z612" s="5" t="s">
        <v>3195</v>
      </c>
      <c r="AA612" s="5" t="s">
        <v>3196</v>
      </c>
      <c r="AB612" s="5" t="s">
        <v>153</v>
      </c>
      <c r="AC612" s="5"/>
      <c r="AD612" s="5"/>
      <c r="AE612" s="5"/>
      <c r="AG612" s="9">
        <f t="shared" si="9"/>
        <v>43287</v>
      </c>
    </row>
    <row r="613" s="6" customFormat="1" spans="1:33">
      <c r="A613" s="5" t="s">
        <v>3197</v>
      </c>
      <c r="B613" s="5" t="s">
        <v>3197</v>
      </c>
      <c r="C613" s="5" t="s">
        <v>3198</v>
      </c>
      <c r="D613" s="5" t="s">
        <v>3199</v>
      </c>
      <c r="E613" s="5" t="s">
        <v>35</v>
      </c>
      <c r="F613" s="5" t="s">
        <v>36</v>
      </c>
      <c r="G613" s="5" t="s">
        <v>37</v>
      </c>
      <c r="H613" s="5"/>
      <c r="I613" s="5"/>
      <c r="J613" s="5" t="s">
        <v>59</v>
      </c>
      <c r="K613" s="5" t="s">
        <v>346</v>
      </c>
      <c r="L613" s="5" t="s">
        <v>347</v>
      </c>
      <c r="M613" s="5" t="s">
        <v>348</v>
      </c>
      <c r="N613" s="5" t="s">
        <v>35</v>
      </c>
      <c r="O613" s="5">
        <v>1</v>
      </c>
      <c r="P613" s="5" t="s">
        <v>42</v>
      </c>
      <c r="Q613" s="5">
        <v>12.99</v>
      </c>
      <c r="R613" s="5"/>
      <c r="S613" s="5"/>
      <c r="T613" s="5"/>
      <c r="U613" s="5"/>
      <c r="V613" s="5"/>
      <c r="W613" s="5"/>
      <c r="X613" s="5"/>
      <c r="Y613" s="5" t="s">
        <v>3200</v>
      </c>
      <c r="Z613" s="5" t="s">
        <v>609</v>
      </c>
      <c r="AA613" s="5" t="s">
        <v>3201</v>
      </c>
      <c r="AB613" s="5" t="s">
        <v>45</v>
      </c>
      <c r="AC613" s="5"/>
      <c r="AD613" s="5"/>
      <c r="AE613" s="5"/>
      <c r="AG613" s="9">
        <f t="shared" si="9"/>
        <v>43287</v>
      </c>
    </row>
    <row r="614" s="6" customFormat="1" spans="1:33">
      <c r="A614" s="5" t="s">
        <v>3202</v>
      </c>
      <c r="B614" s="5" t="s">
        <v>3202</v>
      </c>
      <c r="C614" s="5" t="s">
        <v>3203</v>
      </c>
      <c r="D614" s="5" t="s">
        <v>3204</v>
      </c>
      <c r="E614" s="5" t="s">
        <v>35</v>
      </c>
      <c r="F614" s="5" t="s">
        <v>36</v>
      </c>
      <c r="G614" s="5" t="s">
        <v>37</v>
      </c>
      <c r="H614" s="5"/>
      <c r="I614" s="5"/>
      <c r="J614" s="5" t="s">
        <v>59</v>
      </c>
      <c r="K614" s="5" t="s">
        <v>50</v>
      </c>
      <c r="L614" s="5" t="s">
        <v>51</v>
      </c>
      <c r="M614" s="5" t="s">
        <v>52</v>
      </c>
      <c r="N614" s="5" t="s">
        <v>35</v>
      </c>
      <c r="O614" s="5">
        <v>1</v>
      </c>
      <c r="P614" s="5" t="s">
        <v>42</v>
      </c>
      <c r="Q614" s="5">
        <v>9</v>
      </c>
      <c r="R614" s="5"/>
      <c r="S614" s="5"/>
      <c r="T614" s="5"/>
      <c r="U614" s="5"/>
      <c r="V614" s="5"/>
      <c r="W614" s="5"/>
      <c r="X614" s="5"/>
      <c r="Y614" s="5" t="s">
        <v>3205</v>
      </c>
      <c r="Z614" s="5" t="s">
        <v>54</v>
      </c>
      <c r="AA614" s="5" t="s">
        <v>3206</v>
      </c>
      <c r="AB614" s="5" t="s">
        <v>45</v>
      </c>
      <c r="AC614" s="5"/>
      <c r="AD614" s="5"/>
      <c r="AE614" s="5"/>
      <c r="AG614" s="9">
        <f t="shared" si="9"/>
        <v>43287</v>
      </c>
    </row>
    <row r="615" s="6" customFormat="1" spans="1:33">
      <c r="A615" s="5" t="s">
        <v>3207</v>
      </c>
      <c r="B615" s="5" t="s">
        <v>3207</v>
      </c>
      <c r="C615" s="5" t="s">
        <v>3208</v>
      </c>
      <c r="D615" s="5" t="s">
        <v>3209</v>
      </c>
      <c r="E615" s="5" t="s">
        <v>35</v>
      </c>
      <c r="F615" s="5" t="s">
        <v>36</v>
      </c>
      <c r="G615" s="5" t="s">
        <v>37</v>
      </c>
      <c r="H615" s="5"/>
      <c r="I615" s="5"/>
      <c r="J615" s="5" t="s">
        <v>59</v>
      </c>
      <c r="K615" s="5" t="s">
        <v>875</v>
      </c>
      <c r="L615" s="5" t="s">
        <v>876</v>
      </c>
      <c r="M615" s="5" t="s">
        <v>877</v>
      </c>
      <c r="N615" s="5" t="s">
        <v>35</v>
      </c>
      <c r="O615" s="5">
        <v>3</v>
      </c>
      <c r="P615" s="5" t="s">
        <v>42</v>
      </c>
      <c r="Q615" s="5">
        <v>65.97</v>
      </c>
      <c r="R615" s="5"/>
      <c r="S615" s="5"/>
      <c r="T615" s="5"/>
      <c r="U615" s="5"/>
      <c r="V615" s="5"/>
      <c r="W615" s="5"/>
      <c r="X615" s="5"/>
      <c r="Y615" s="5" t="s">
        <v>3210</v>
      </c>
      <c r="Z615" s="5" t="s">
        <v>191</v>
      </c>
      <c r="AA615" s="5" t="s">
        <v>3211</v>
      </c>
      <c r="AB615" s="5" t="s">
        <v>45</v>
      </c>
      <c r="AC615" s="5"/>
      <c r="AD615" s="5"/>
      <c r="AE615" s="5"/>
      <c r="AF615"/>
      <c r="AG615" s="9">
        <f t="shared" si="9"/>
        <v>43288</v>
      </c>
    </row>
    <row r="616" s="6" customFormat="1" spans="1:33">
      <c r="A616" s="5" t="s">
        <v>3212</v>
      </c>
      <c r="B616" s="5" t="s">
        <v>3212</v>
      </c>
      <c r="C616" s="5" t="s">
        <v>3213</v>
      </c>
      <c r="D616" s="5" t="s">
        <v>3214</v>
      </c>
      <c r="E616" s="5" t="s">
        <v>35</v>
      </c>
      <c r="F616" s="5" t="s">
        <v>36</v>
      </c>
      <c r="G616" s="5" t="s">
        <v>37</v>
      </c>
      <c r="H616" s="5"/>
      <c r="I616" s="5"/>
      <c r="J616" s="5" t="s">
        <v>38</v>
      </c>
      <c r="K616" s="5" t="s">
        <v>50</v>
      </c>
      <c r="L616" s="5" t="s">
        <v>3215</v>
      </c>
      <c r="M616" s="5" t="s">
        <v>52</v>
      </c>
      <c r="N616" s="5" t="s">
        <v>35</v>
      </c>
      <c r="O616" s="5">
        <v>2</v>
      </c>
      <c r="P616" s="5" t="s">
        <v>42</v>
      </c>
      <c r="Q616" s="5">
        <v>18</v>
      </c>
      <c r="R616" s="5"/>
      <c r="S616" s="5"/>
      <c r="T616" s="5"/>
      <c r="U616" s="5"/>
      <c r="V616" s="5"/>
      <c r="W616" s="5"/>
      <c r="X616" s="5"/>
      <c r="Y616" s="5" t="s">
        <v>3216</v>
      </c>
      <c r="Z616" s="5" t="s">
        <v>244</v>
      </c>
      <c r="AA616" s="5">
        <v>30040</v>
      </c>
      <c r="AB616" s="5" t="s">
        <v>45</v>
      </c>
      <c r="AC616" s="5"/>
      <c r="AD616" s="5"/>
      <c r="AE616" s="5"/>
      <c r="AF616"/>
      <c r="AG616" s="9">
        <f t="shared" si="9"/>
        <v>43288</v>
      </c>
    </row>
    <row r="617" s="6" customFormat="1" spans="1:33">
      <c r="A617" s="5" t="s">
        <v>3217</v>
      </c>
      <c r="B617" s="5" t="s">
        <v>3217</v>
      </c>
      <c r="C617" s="5" t="s">
        <v>3218</v>
      </c>
      <c r="D617" s="5" t="s">
        <v>3219</v>
      </c>
      <c r="E617" s="5" t="s">
        <v>35</v>
      </c>
      <c r="F617" s="5" t="s">
        <v>36</v>
      </c>
      <c r="G617" s="5" t="s">
        <v>37</v>
      </c>
      <c r="H617" s="5"/>
      <c r="I617" s="5"/>
      <c r="J617" s="5" t="s">
        <v>38</v>
      </c>
      <c r="K617" s="5" t="s">
        <v>50</v>
      </c>
      <c r="L617" s="5" t="s">
        <v>3215</v>
      </c>
      <c r="M617" s="5" t="s">
        <v>52</v>
      </c>
      <c r="N617" s="5" t="s">
        <v>35</v>
      </c>
      <c r="O617" s="5">
        <v>1</v>
      </c>
      <c r="P617" s="5" t="s">
        <v>42</v>
      </c>
      <c r="Q617" s="5">
        <v>9</v>
      </c>
      <c r="R617" s="5"/>
      <c r="S617" s="5"/>
      <c r="T617" s="5"/>
      <c r="U617" s="5"/>
      <c r="V617" s="5"/>
      <c r="W617" s="5"/>
      <c r="X617" s="5"/>
      <c r="Y617" s="5" t="s">
        <v>3220</v>
      </c>
      <c r="Z617" s="5" t="s">
        <v>432</v>
      </c>
      <c r="AA617" s="5" t="s">
        <v>3221</v>
      </c>
      <c r="AB617" s="5" t="s">
        <v>45</v>
      </c>
      <c r="AC617" s="5"/>
      <c r="AD617" s="5"/>
      <c r="AE617" s="5"/>
      <c r="AF617"/>
      <c r="AG617" s="9">
        <f t="shared" si="9"/>
        <v>43288</v>
      </c>
    </row>
    <row r="618" s="6" customFormat="1" spans="1:33">
      <c r="A618" s="5" t="s">
        <v>3222</v>
      </c>
      <c r="B618" s="5" t="s">
        <v>3222</v>
      </c>
      <c r="C618" s="5" t="s">
        <v>3223</v>
      </c>
      <c r="D618" s="5" t="s">
        <v>3224</v>
      </c>
      <c r="E618" s="5" t="s">
        <v>2269</v>
      </c>
      <c r="F618" s="5" t="s">
        <v>36</v>
      </c>
      <c r="G618" s="5" t="s">
        <v>37</v>
      </c>
      <c r="H618" s="5"/>
      <c r="I618" s="5"/>
      <c r="J618" s="5" t="s">
        <v>38</v>
      </c>
      <c r="K618" s="5" t="s">
        <v>39</v>
      </c>
      <c r="L618" s="5" t="s">
        <v>40</v>
      </c>
      <c r="M618" s="5" t="s">
        <v>41</v>
      </c>
      <c r="N618" s="5" t="s">
        <v>275</v>
      </c>
      <c r="O618" s="5">
        <v>1</v>
      </c>
      <c r="P618" s="5" t="s">
        <v>42</v>
      </c>
      <c r="Q618" s="5">
        <v>6.99</v>
      </c>
      <c r="R618" s="5"/>
      <c r="S618" s="5"/>
      <c r="T618" s="5"/>
      <c r="U618" s="5"/>
      <c r="V618" s="5"/>
      <c r="W618" s="5"/>
      <c r="X618" s="5"/>
      <c r="Y618" s="5" t="s">
        <v>3225</v>
      </c>
      <c r="Z618" s="5" t="s">
        <v>426</v>
      </c>
      <c r="AA618" s="5" t="s">
        <v>3226</v>
      </c>
      <c r="AB618" s="5" t="s">
        <v>45</v>
      </c>
      <c r="AC618" s="5"/>
      <c r="AD618" s="5"/>
      <c r="AE618" s="5"/>
      <c r="AF618"/>
      <c r="AG618" s="9">
        <f t="shared" si="9"/>
        <v>43288</v>
      </c>
    </row>
    <row r="619" s="6" customFormat="1" spans="1:33">
      <c r="A619" s="5" t="s">
        <v>3227</v>
      </c>
      <c r="B619" s="5" t="s">
        <v>3227</v>
      </c>
      <c r="C619" s="5" t="s">
        <v>3228</v>
      </c>
      <c r="D619" s="5" t="s">
        <v>3229</v>
      </c>
      <c r="E619" s="5" t="s">
        <v>35</v>
      </c>
      <c r="F619" s="5" t="s">
        <v>36</v>
      </c>
      <c r="G619" s="5" t="s">
        <v>37</v>
      </c>
      <c r="H619" s="5"/>
      <c r="I619" s="5"/>
      <c r="J619" s="5" t="s">
        <v>38</v>
      </c>
      <c r="K619" s="5" t="s">
        <v>1334</v>
      </c>
      <c r="L619" s="5" t="s">
        <v>573</v>
      </c>
      <c r="M619" s="5" t="s">
        <v>574</v>
      </c>
      <c r="N619" s="5" t="s">
        <v>35</v>
      </c>
      <c r="O619" s="5">
        <v>1</v>
      </c>
      <c r="P619" s="5" t="s">
        <v>42</v>
      </c>
      <c r="Q619" s="5">
        <v>18.99</v>
      </c>
      <c r="R619" s="5"/>
      <c r="S619" s="5">
        <v>2.79</v>
      </c>
      <c r="T619" s="5"/>
      <c r="U619" s="5"/>
      <c r="V619" s="5"/>
      <c r="W619" s="5"/>
      <c r="X619" s="5">
        <v>2.79</v>
      </c>
      <c r="Y619" s="5" t="s">
        <v>1170</v>
      </c>
      <c r="Z619" s="5" t="s">
        <v>182</v>
      </c>
      <c r="AA619" s="5" t="s">
        <v>3230</v>
      </c>
      <c r="AB619" s="5" t="s">
        <v>45</v>
      </c>
      <c r="AC619" s="5" t="s">
        <v>328</v>
      </c>
      <c r="AD619" s="5"/>
      <c r="AE619" s="5"/>
      <c r="AF619"/>
      <c r="AG619" s="9">
        <f t="shared" si="9"/>
        <v>43288</v>
      </c>
    </row>
    <row r="620" s="6" customFormat="1" spans="1:33">
      <c r="A620" s="5" t="s">
        <v>3231</v>
      </c>
      <c r="B620" s="5" t="s">
        <v>3231</v>
      </c>
      <c r="C620" s="5" t="s">
        <v>3232</v>
      </c>
      <c r="D620" s="5" t="s">
        <v>3233</v>
      </c>
      <c r="E620" s="5" t="s">
        <v>2269</v>
      </c>
      <c r="F620" s="5" t="s">
        <v>36</v>
      </c>
      <c r="G620" s="5" t="s">
        <v>37</v>
      </c>
      <c r="H620" s="5"/>
      <c r="I620" s="5"/>
      <c r="J620" s="5" t="s">
        <v>38</v>
      </c>
      <c r="K620" s="5" t="s">
        <v>50</v>
      </c>
      <c r="L620" s="5" t="s">
        <v>3215</v>
      </c>
      <c r="M620" s="5" t="s">
        <v>52</v>
      </c>
      <c r="N620" s="5" t="s">
        <v>275</v>
      </c>
      <c r="O620" s="5">
        <v>3</v>
      </c>
      <c r="P620" s="5" t="s">
        <v>42</v>
      </c>
      <c r="Q620" s="5">
        <v>27</v>
      </c>
      <c r="R620" s="5"/>
      <c r="S620" s="5"/>
      <c r="T620" s="5"/>
      <c r="U620" s="5"/>
      <c r="V620" s="5"/>
      <c r="W620" s="5"/>
      <c r="X620" s="5"/>
      <c r="Y620" s="5" t="s">
        <v>3234</v>
      </c>
      <c r="Z620" s="5" t="s">
        <v>153</v>
      </c>
      <c r="AA620" s="5" t="s">
        <v>3235</v>
      </c>
      <c r="AB620" s="5" t="s">
        <v>45</v>
      </c>
      <c r="AC620" s="5"/>
      <c r="AD620" s="5"/>
      <c r="AE620" s="5"/>
      <c r="AF620"/>
      <c r="AG620" s="9">
        <f t="shared" si="9"/>
        <v>43288</v>
      </c>
    </row>
    <row r="621" s="6" customFormat="1" spans="1:33">
      <c r="A621" s="5" t="s">
        <v>3236</v>
      </c>
      <c r="B621" s="5" t="s">
        <v>3236</v>
      </c>
      <c r="C621" s="5" t="s">
        <v>3237</v>
      </c>
      <c r="D621" s="5" t="s">
        <v>3238</v>
      </c>
      <c r="E621" s="5" t="s">
        <v>2269</v>
      </c>
      <c r="F621" s="5" t="s">
        <v>36</v>
      </c>
      <c r="G621" s="5" t="s">
        <v>37</v>
      </c>
      <c r="H621" s="5"/>
      <c r="I621" s="5"/>
      <c r="J621" s="5" t="s">
        <v>38</v>
      </c>
      <c r="K621" s="5" t="s">
        <v>1203</v>
      </c>
      <c r="L621" s="5" t="s">
        <v>1204</v>
      </c>
      <c r="M621" s="5" t="s">
        <v>1205</v>
      </c>
      <c r="N621" s="5" t="s">
        <v>275</v>
      </c>
      <c r="O621" s="5">
        <v>4</v>
      </c>
      <c r="P621" s="5" t="s">
        <v>42</v>
      </c>
      <c r="Q621" s="5">
        <v>38</v>
      </c>
      <c r="R621" s="5"/>
      <c r="S621" s="5"/>
      <c r="T621" s="5"/>
      <c r="U621" s="5"/>
      <c r="V621" s="5"/>
      <c r="W621" s="5"/>
      <c r="X621" s="5"/>
      <c r="Y621" s="5" t="s">
        <v>3239</v>
      </c>
      <c r="Z621" s="5" t="s">
        <v>162</v>
      </c>
      <c r="AA621" s="5" t="s">
        <v>3240</v>
      </c>
      <c r="AB621" s="5" t="s">
        <v>45</v>
      </c>
      <c r="AC621" s="5"/>
      <c r="AD621" s="5"/>
      <c r="AE621" s="5"/>
      <c r="AF621"/>
      <c r="AG621" s="9">
        <f t="shared" si="9"/>
        <v>43288</v>
      </c>
    </row>
    <row r="622" s="6" customFormat="1" spans="1:33">
      <c r="A622" s="5" t="s">
        <v>3241</v>
      </c>
      <c r="B622" s="5" t="s">
        <v>3241</v>
      </c>
      <c r="C622" s="5" t="s">
        <v>3242</v>
      </c>
      <c r="D622" s="5" t="s">
        <v>3243</v>
      </c>
      <c r="E622" s="5" t="s">
        <v>35</v>
      </c>
      <c r="F622" s="5" t="s">
        <v>36</v>
      </c>
      <c r="G622" s="5" t="s">
        <v>37</v>
      </c>
      <c r="H622" s="5"/>
      <c r="I622" s="5"/>
      <c r="J622" s="5" t="s">
        <v>59</v>
      </c>
      <c r="K622" s="5" t="s">
        <v>3006</v>
      </c>
      <c r="L622" s="5" t="s">
        <v>3007</v>
      </c>
      <c r="M622" s="5" t="s">
        <v>3008</v>
      </c>
      <c r="N622" s="5" t="s">
        <v>35</v>
      </c>
      <c r="O622" s="5">
        <v>1</v>
      </c>
      <c r="P622" s="5" t="s">
        <v>42</v>
      </c>
      <c r="Q622" s="5">
        <v>65.99</v>
      </c>
      <c r="R622" s="5"/>
      <c r="S622" s="5"/>
      <c r="T622" s="5"/>
      <c r="U622" s="5"/>
      <c r="V622" s="5"/>
      <c r="W622" s="5">
        <v>16.5</v>
      </c>
      <c r="X622" s="5"/>
      <c r="Y622" s="5" t="s">
        <v>3244</v>
      </c>
      <c r="Z622" s="5" t="s">
        <v>934</v>
      </c>
      <c r="AA622" s="5" t="s">
        <v>3245</v>
      </c>
      <c r="AB622" s="5" t="s">
        <v>45</v>
      </c>
      <c r="AC622" s="5"/>
      <c r="AD622" s="5"/>
      <c r="AE622" s="5"/>
      <c r="AF622"/>
      <c r="AG622" s="9">
        <f t="shared" si="9"/>
        <v>43288</v>
      </c>
    </row>
    <row r="623" s="6" customFormat="1" spans="1:33">
      <c r="A623" s="5" t="s">
        <v>3246</v>
      </c>
      <c r="B623" s="5" t="s">
        <v>3246</v>
      </c>
      <c r="C623" s="5" t="s">
        <v>3247</v>
      </c>
      <c r="D623" s="5" t="s">
        <v>3248</v>
      </c>
      <c r="E623" s="5" t="s">
        <v>35</v>
      </c>
      <c r="F623" s="5" t="s">
        <v>36</v>
      </c>
      <c r="G623" s="5" t="s">
        <v>37</v>
      </c>
      <c r="H623" s="5"/>
      <c r="I623" s="5"/>
      <c r="J623" s="5" t="s">
        <v>59</v>
      </c>
      <c r="K623" s="5" t="s">
        <v>1350</v>
      </c>
      <c r="L623" s="5" t="s">
        <v>1351</v>
      </c>
      <c r="M623" s="5" t="s">
        <v>1352</v>
      </c>
      <c r="N623" s="5" t="s">
        <v>35</v>
      </c>
      <c r="O623" s="5">
        <v>1</v>
      </c>
      <c r="P623" s="5" t="s">
        <v>42</v>
      </c>
      <c r="Q623" s="5">
        <v>15.99</v>
      </c>
      <c r="R623" s="5"/>
      <c r="S623" s="5"/>
      <c r="T623" s="5"/>
      <c r="U623" s="5"/>
      <c r="V623" s="5"/>
      <c r="W623" s="5"/>
      <c r="X623" s="5"/>
      <c r="Y623" s="5" t="s">
        <v>3137</v>
      </c>
      <c r="Z623" s="5" t="s">
        <v>3138</v>
      </c>
      <c r="AA623" s="5">
        <v>97844</v>
      </c>
      <c r="AB623" s="5" t="s">
        <v>45</v>
      </c>
      <c r="AC623" s="5"/>
      <c r="AD623" s="5"/>
      <c r="AE623" s="5"/>
      <c r="AF623"/>
      <c r="AG623" s="9">
        <f t="shared" si="9"/>
        <v>43288</v>
      </c>
    </row>
    <row r="624" s="6" customFormat="1" spans="1:33">
      <c r="A624" s="5" t="s">
        <v>3249</v>
      </c>
      <c r="B624" s="5" t="s">
        <v>3249</v>
      </c>
      <c r="C624" s="5" t="s">
        <v>3250</v>
      </c>
      <c r="D624" s="5" t="s">
        <v>3251</v>
      </c>
      <c r="E624" s="5" t="s">
        <v>35</v>
      </c>
      <c r="F624" s="5" t="s">
        <v>36</v>
      </c>
      <c r="G624" s="5" t="s">
        <v>37</v>
      </c>
      <c r="H624" s="5"/>
      <c r="I624" s="5"/>
      <c r="J624" s="5" t="s">
        <v>59</v>
      </c>
      <c r="K624" s="5" t="s">
        <v>3006</v>
      </c>
      <c r="L624" s="5" t="s">
        <v>3007</v>
      </c>
      <c r="M624" s="5" t="s">
        <v>3008</v>
      </c>
      <c r="N624" s="5" t="s">
        <v>35</v>
      </c>
      <c r="O624" s="5">
        <v>1</v>
      </c>
      <c r="P624" s="5" t="s">
        <v>42</v>
      </c>
      <c r="Q624" s="5">
        <v>65.99</v>
      </c>
      <c r="R624" s="5"/>
      <c r="S624" s="5"/>
      <c r="T624" s="5"/>
      <c r="U624" s="5"/>
      <c r="V624" s="5"/>
      <c r="W624" s="5">
        <v>16.5</v>
      </c>
      <c r="X624" s="5"/>
      <c r="Y624" s="5" t="s">
        <v>3252</v>
      </c>
      <c r="Z624" s="5" t="s">
        <v>692</v>
      </c>
      <c r="AA624" s="5" t="s">
        <v>3253</v>
      </c>
      <c r="AB624" s="5" t="s">
        <v>45</v>
      </c>
      <c r="AC624" s="5"/>
      <c r="AD624" s="5"/>
      <c r="AE624" s="5"/>
      <c r="AF624"/>
      <c r="AG624" s="9">
        <f t="shared" si="9"/>
        <v>43288</v>
      </c>
    </row>
    <row r="625" s="6" customFormat="1" spans="1:33">
      <c r="A625" s="5" t="s">
        <v>3254</v>
      </c>
      <c r="B625" s="5" t="s">
        <v>3254</v>
      </c>
      <c r="C625" s="5" t="s">
        <v>3255</v>
      </c>
      <c r="D625" s="5" t="s">
        <v>3256</v>
      </c>
      <c r="E625" s="5" t="s">
        <v>35</v>
      </c>
      <c r="F625" s="5" t="s">
        <v>36</v>
      </c>
      <c r="G625" s="5" t="s">
        <v>37</v>
      </c>
      <c r="H625" s="5"/>
      <c r="I625" s="5"/>
      <c r="J625" s="5" t="s">
        <v>38</v>
      </c>
      <c r="K625" s="5" t="s">
        <v>39</v>
      </c>
      <c r="L625" s="5" t="s">
        <v>40</v>
      </c>
      <c r="M625" s="5" t="s">
        <v>41</v>
      </c>
      <c r="N625" s="5" t="s">
        <v>35</v>
      </c>
      <c r="O625" s="5">
        <v>1</v>
      </c>
      <c r="P625" s="5" t="s">
        <v>42</v>
      </c>
      <c r="Q625" s="5">
        <v>6.99</v>
      </c>
      <c r="R625" s="5"/>
      <c r="S625" s="5"/>
      <c r="T625" s="5"/>
      <c r="U625" s="5"/>
      <c r="V625" s="5"/>
      <c r="W625" s="5"/>
      <c r="X625" s="5"/>
      <c r="Y625" s="5" t="s">
        <v>3257</v>
      </c>
      <c r="Z625" s="5" t="s">
        <v>118</v>
      </c>
      <c r="AA625" s="5" t="s">
        <v>3258</v>
      </c>
      <c r="AB625" s="5" t="s">
        <v>45</v>
      </c>
      <c r="AC625" s="5"/>
      <c r="AD625" s="5"/>
      <c r="AE625" s="5"/>
      <c r="AF625"/>
      <c r="AG625" s="9">
        <f t="shared" si="9"/>
        <v>43288</v>
      </c>
    </row>
    <row r="626" s="6" customFormat="1" spans="1:33">
      <c r="A626" s="5" t="s">
        <v>3259</v>
      </c>
      <c r="B626" s="5" t="s">
        <v>3259</v>
      </c>
      <c r="C626" s="5" t="s">
        <v>3260</v>
      </c>
      <c r="D626" s="5" t="s">
        <v>3261</v>
      </c>
      <c r="E626" s="5" t="s">
        <v>35</v>
      </c>
      <c r="F626" s="5" t="s">
        <v>36</v>
      </c>
      <c r="G626" s="5" t="s">
        <v>37</v>
      </c>
      <c r="H626" s="5"/>
      <c r="I626" s="5"/>
      <c r="J626" s="5" t="s">
        <v>59</v>
      </c>
      <c r="K626" s="5" t="s">
        <v>3006</v>
      </c>
      <c r="L626" s="5" t="s">
        <v>3007</v>
      </c>
      <c r="M626" s="5" t="s">
        <v>3008</v>
      </c>
      <c r="N626" s="5" t="s">
        <v>35</v>
      </c>
      <c r="O626" s="5">
        <v>1</v>
      </c>
      <c r="P626" s="5" t="s">
        <v>42</v>
      </c>
      <c r="Q626" s="5">
        <v>65.99</v>
      </c>
      <c r="R626" s="5"/>
      <c r="S626" s="5"/>
      <c r="T626" s="5"/>
      <c r="U626" s="5"/>
      <c r="V626" s="5"/>
      <c r="W626" s="5">
        <v>16.5</v>
      </c>
      <c r="X626" s="5"/>
      <c r="Y626" s="5" t="s">
        <v>3262</v>
      </c>
      <c r="Z626" s="5" t="s">
        <v>162</v>
      </c>
      <c r="AA626" s="5">
        <v>2760</v>
      </c>
      <c r="AB626" s="5" t="s">
        <v>45</v>
      </c>
      <c r="AC626" s="5"/>
      <c r="AD626" s="5"/>
      <c r="AE626" s="5"/>
      <c r="AF626"/>
      <c r="AG626" s="9">
        <f t="shared" si="9"/>
        <v>43288</v>
      </c>
    </row>
    <row r="627" s="6" customFormat="1" spans="1:33">
      <c r="A627" s="5" t="s">
        <v>3263</v>
      </c>
      <c r="B627" s="5" t="s">
        <v>3263</v>
      </c>
      <c r="C627" s="5" t="s">
        <v>3264</v>
      </c>
      <c r="D627" s="5" t="s">
        <v>3265</v>
      </c>
      <c r="E627" s="5" t="s">
        <v>35</v>
      </c>
      <c r="F627" s="5" t="s">
        <v>36</v>
      </c>
      <c r="G627" s="5" t="s">
        <v>37</v>
      </c>
      <c r="H627" s="5"/>
      <c r="I627" s="5"/>
      <c r="J627" s="5" t="s">
        <v>59</v>
      </c>
      <c r="K627" s="5" t="s">
        <v>3006</v>
      </c>
      <c r="L627" s="5" t="s">
        <v>3007</v>
      </c>
      <c r="M627" s="5" t="s">
        <v>3008</v>
      </c>
      <c r="N627" s="5" t="s">
        <v>35</v>
      </c>
      <c r="O627" s="5">
        <v>1</v>
      </c>
      <c r="P627" s="5" t="s">
        <v>42</v>
      </c>
      <c r="Q627" s="5">
        <v>65.99</v>
      </c>
      <c r="R627" s="5"/>
      <c r="S627" s="5"/>
      <c r="T627" s="5"/>
      <c r="U627" s="5">
        <v>3.99</v>
      </c>
      <c r="V627" s="5"/>
      <c r="W627" s="5">
        <v>16.5</v>
      </c>
      <c r="X627" s="5"/>
      <c r="Y627" s="5" t="s">
        <v>3266</v>
      </c>
      <c r="Z627" s="5" t="s">
        <v>934</v>
      </c>
      <c r="AA627" s="5" t="s">
        <v>3267</v>
      </c>
      <c r="AB627" s="5" t="s">
        <v>45</v>
      </c>
      <c r="AC627" s="5"/>
      <c r="AD627" s="5"/>
      <c r="AE627" s="5"/>
      <c r="AF627" s="8"/>
      <c r="AG627" s="9">
        <f t="shared" si="9"/>
        <v>43288</v>
      </c>
    </row>
    <row r="628" s="6" customFormat="1" spans="1:33">
      <c r="A628" s="5" t="s">
        <v>3268</v>
      </c>
      <c r="B628" s="5" t="s">
        <v>3268</v>
      </c>
      <c r="C628" s="5" t="s">
        <v>3269</v>
      </c>
      <c r="D628" s="5" t="s">
        <v>3270</v>
      </c>
      <c r="E628" s="5" t="s">
        <v>35</v>
      </c>
      <c r="F628" s="5" t="s">
        <v>36</v>
      </c>
      <c r="G628" s="5" t="s">
        <v>37</v>
      </c>
      <c r="H628" s="5"/>
      <c r="I628" s="5"/>
      <c r="J628" s="5" t="s">
        <v>59</v>
      </c>
      <c r="K628" s="5" t="s">
        <v>50</v>
      </c>
      <c r="L628" s="5" t="s">
        <v>51</v>
      </c>
      <c r="M628" s="5" t="s">
        <v>52</v>
      </c>
      <c r="N628" s="5" t="s">
        <v>35</v>
      </c>
      <c r="O628" s="5">
        <v>2</v>
      </c>
      <c r="P628" s="5" t="s">
        <v>42</v>
      </c>
      <c r="Q628" s="5">
        <v>18</v>
      </c>
      <c r="R628" s="5"/>
      <c r="S628" s="5"/>
      <c r="T628" s="5"/>
      <c r="U628" s="5"/>
      <c r="V628" s="5"/>
      <c r="W628" s="5"/>
      <c r="X628" s="5"/>
      <c r="Y628" s="5" t="s">
        <v>3271</v>
      </c>
      <c r="Z628" s="5" t="s">
        <v>244</v>
      </c>
      <c r="AA628" s="5">
        <v>30310</v>
      </c>
      <c r="AB628" s="5" t="s">
        <v>45</v>
      </c>
      <c r="AC628" s="5"/>
      <c r="AD628" s="5"/>
      <c r="AE628" s="5"/>
      <c r="AF628"/>
      <c r="AG628" s="9">
        <f t="shared" si="9"/>
        <v>43288</v>
      </c>
    </row>
    <row r="629" s="6" customFormat="1" spans="1:33">
      <c r="A629" s="5" t="s">
        <v>3272</v>
      </c>
      <c r="B629" s="5" t="s">
        <v>3272</v>
      </c>
      <c r="C629" s="5" t="s">
        <v>3273</v>
      </c>
      <c r="D629" s="5" t="s">
        <v>3274</v>
      </c>
      <c r="E629" s="5" t="s">
        <v>35</v>
      </c>
      <c r="F629" s="5" t="s">
        <v>36</v>
      </c>
      <c r="G629" s="5" t="s">
        <v>37</v>
      </c>
      <c r="H629" s="5"/>
      <c r="I629" s="5"/>
      <c r="J629" s="5" t="s">
        <v>49</v>
      </c>
      <c r="K629" s="5" t="s">
        <v>2936</v>
      </c>
      <c r="L629" s="5" t="s">
        <v>2937</v>
      </c>
      <c r="M629" s="5" t="s">
        <v>2938</v>
      </c>
      <c r="N629" s="5" t="s">
        <v>35</v>
      </c>
      <c r="O629" s="5">
        <v>1</v>
      </c>
      <c r="P629" s="5" t="s">
        <v>42</v>
      </c>
      <c r="Q629" s="5">
        <v>10.99</v>
      </c>
      <c r="R629" s="5">
        <v>1.07</v>
      </c>
      <c r="S629" s="5">
        <v>3.99</v>
      </c>
      <c r="T629" s="5"/>
      <c r="U629" s="5"/>
      <c r="V629" s="5"/>
      <c r="W629" s="5"/>
      <c r="X629" s="5">
        <v>3.99</v>
      </c>
      <c r="Y629" s="5" t="s">
        <v>1415</v>
      </c>
      <c r="Z629" s="5" t="s">
        <v>1152</v>
      </c>
      <c r="AA629" s="5" t="s">
        <v>3275</v>
      </c>
      <c r="AB629" s="5" t="s">
        <v>45</v>
      </c>
      <c r="AC629" s="5"/>
      <c r="AD629" s="5"/>
      <c r="AE629" s="5"/>
      <c r="AF629"/>
      <c r="AG629" s="9">
        <f t="shared" si="9"/>
        <v>43289</v>
      </c>
    </row>
    <row r="630" s="6" customFormat="1" spans="1:33">
      <c r="A630" s="5" t="s">
        <v>3276</v>
      </c>
      <c r="B630" s="5" t="s">
        <v>3276</v>
      </c>
      <c r="C630" s="5" t="s">
        <v>3277</v>
      </c>
      <c r="D630" s="5" t="s">
        <v>3278</v>
      </c>
      <c r="E630" s="5" t="s">
        <v>35</v>
      </c>
      <c r="F630" s="5" t="s">
        <v>36</v>
      </c>
      <c r="G630" s="5" t="s">
        <v>37</v>
      </c>
      <c r="H630" s="5"/>
      <c r="I630" s="5"/>
      <c r="J630" s="5" t="s">
        <v>59</v>
      </c>
      <c r="K630" s="5" t="s">
        <v>1902</v>
      </c>
      <c r="L630" s="5" t="s">
        <v>1903</v>
      </c>
      <c r="M630" s="5" t="s">
        <v>1904</v>
      </c>
      <c r="N630" s="5" t="s">
        <v>35</v>
      </c>
      <c r="O630" s="5">
        <v>1</v>
      </c>
      <c r="P630" s="5" t="s">
        <v>42</v>
      </c>
      <c r="Q630" s="5">
        <v>7.99</v>
      </c>
      <c r="R630" s="5"/>
      <c r="S630" s="5"/>
      <c r="T630" s="5"/>
      <c r="U630" s="5"/>
      <c r="V630" s="5"/>
      <c r="W630" s="5"/>
      <c r="X630" s="5"/>
      <c r="Y630" s="5" t="s">
        <v>1320</v>
      </c>
      <c r="Z630" s="5" t="s">
        <v>153</v>
      </c>
      <c r="AA630" s="5" t="s">
        <v>3279</v>
      </c>
      <c r="AB630" s="5" t="s">
        <v>45</v>
      </c>
      <c r="AC630" s="5"/>
      <c r="AD630" s="5"/>
      <c r="AE630" s="5"/>
      <c r="AF630"/>
      <c r="AG630" s="9">
        <f t="shared" si="9"/>
        <v>43289</v>
      </c>
    </row>
    <row r="631" s="6" customFormat="1" spans="1:33">
      <c r="A631" s="5" t="s">
        <v>3280</v>
      </c>
      <c r="B631" s="5" t="s">
        <v>3280</v>
      </c>
      <c r="C631" s="5" t="s">
        <v>3281</v>
      </c>
      <c r="D631" s="5" t="s">
        <v>3282</v>
      </c>
      <c r="E631" s="5" t="s">
        <v>2269</v>
      </c>
      <c r="F631" s="5" t="s">
        <v>36</v>
      </c>
      <c r="G631" s="5" t="s">
        <v>37</v>
      </c>
      <c r="H631" s="5"/>
      <c r="I631" s="5"/>
      <c r="J631" s="5" t="s">
        <v>38</v>
      </c>
      <c r="K631" s="5" t="s">
        <v>50</v>
      </c>
      <c r="L631" s="5" t="s">
        <v>3215</v>
      </c>
      <c r="M631" s="5" t="s">
        <v>52</v>
      </c>
      <c r="N631" s="5" t="s">
        <v>275</v>
      </c>
      <c r="O631" s="5">
        <v>1</v>
      </c>
      <c r="P631" s="5" t="s">
        <v>42</v>
      </c>
      <c r="Q631" s="5">
        <v>9</v>
      </c>
      <c r="R631" s="5"/>
      <c r="S631" s="5"/>
      <c r="T631" s="5"/>
      <c r="U631" s="5"/>
      <c r="V631" s="5"/>
      <c r="W631" s="5"/>
      <c r="X631" s="5"/>
      <c r="Y631" s="5" t="s">
        <v>3283</v>
      </c>
      <c r="Z631" s="5" t="s">
        <v>341</v>
      </c>
      <c r="AA631" s="5">
        <v>28210</v>
      </c>
      <c r="AB631" s="5" t="s">
        <v>45</v>
      </c>
      <c r="AC631" s="5"/>
      <c r="AD631" s="5"/>
      <c r="AE631" s="5"/>
      <c r="AG631" s="9">
        <f t="shared" si="9"/>
        <v>43289</v>
      </c>
    </row>
    <row r="632" s="6" customFormat="1" spans="1:33">
      <c r="A632" s="5" t="s">
        <v>3284</v>
      </c>
      <c r="B632" s="5" t="s">
        <v>3284</v>
      </c>
      <c r="C632" s="5" t="s">
        <v>3285</v>
      </c>
      <c r="D632" s="5" t="s">
        <v>3286</v>
      </c>
      <c r="E632" s="5" t="s">
        <v>2269</v>
      </c>
      <c r="F632" s="5" t="s">
        <v>36</v>
      </c>
      <c r="G632" s="5" t="s">
        <v>37</v>
      </c>
      <c r="H632" s="5"/>
      <c r="I632" s="5"/>
      <c r="J632" s="5" t="s">
        <v>38</v>
      </c>
      <c r="K632" s="5" t="s">
        <v>50</v>
      </c>
      <c r="L632" s="5" t="s">
        <v>3215</v>
      </c>
      <c r="M632" s="5" t="s">
        <v>52</v>
      </c>
      <c r="N632" s="5" t="s">
        <v>275</v>
      </c>
      <c r="O632" s="5">
        <v>1</v>
      </c>
      <c r="P632" s="5" t="s">
        <v>42</v>
      </c>
      <c r="Q632" s="5">
        <v>9</v>
      </c>
      <c r="R632" s="5"/>
      <c r="S632" s="5"/>
      <c r="T632" s="5"/>
      <c r="U632" s="5"/>
      <c r="V632" s="5"/>
      <c r="W632" s="5"/>
      <c r="X632" s="5"/>
      <c r="Y632" s="5" t="s">
        <v>3287</v>
      </c>
      <c r="Z632" s="5" t="s">
        <v>1135</v>
      </c>
      <c r="AA632" s="5" t="s">
        <v>3288</v>
      </c>
      <c r="AB632" s="5" t="s">
        <v>45</v>
      </c>
      <c r="AC632" s="5"/>
      <c r="AD632" s="5"/>
      <c r="AE632" s="5"/>
      <c r="AF632"/>
      <c r="AG632" s="9">
        <f t="shared" si="9"/>
        <v>43289</v>
      </c>
    </row>
    <row r="633" s="6" customFormat="1" spans="1:33">
      <c r="A633" s="5" t="s">
        <v>3289</v>
      </c>
      <c r="B633" s="5" t="s">
        <v>3289</v>
      </c>
      <c r="C633" s="5" t="s">
        <v>3290</v>
      </c>
      <c r="D633" s="5" t="s">
        <v>3291</v>
      </c>
      <c r="E633" s="5" t="s">
        <v>2269</v>
      </c>
      <c r="F633" s="5" t="s">
        <v>36</v>
      </c>
      <c r="G633" s="5" t="s">
        <v>37</v>
      </c>
      <c r="H633" s="5"/>
      <c r="I633" s="5"/>
      <c r="J633" s="5" t="s">
        <v>38</v>
      </c>
      <c r="K633" s="5" t="s">
        <v>94</v>
      </c>
      <c r="L633" s="5" t="s">
        <v>95</v>
      </c>
      <c r="M633" s="5" t="s">
        <v>96</v>
      </c>
      <c r="N633" s="5" t="s">
        <v>275</v>
      </c>
      <c r="O633" s="5">
        <v>1</v>
      </c>
      <c r="P633" s="5" t="s">
        <v>42</v>
      </c>
      <c r="Q633" s="5">
        <v>15.99</v>
      </c>
      <c r="R633" s="5"/>
      <c r="S633" s="5"/>
      <c r="T633" s="5"/>
      <c r="U633" s="5"/>
      <c r="V633" s="5"/>
      <c r="W633" s="5"/>
      <c r="X633" s="5"/>
      <c r="Y633" s="5" t="s">
        <v>3292</v>
      </c>
      <c r="Z633" s="5" t="s">
        <v>133</v>
      </c>
      <c r="AA633" s="5" t="s">
        <v>3293</v>
      </c>
      <c r="AB633" s="5" t="s">
        <v>45</v>
      </c>
      <c r="AC633" s="5"/>
      <c r="AD633" s="5"/>
      <c r="AE633" s="5"/>
      <c r="AF633"/>
      <c r="AG633" s="9">
        <f t="shared" si="9"/>
        <v>43289</v>
      </c>
    </row>
    <row r="634" s="6" customFormat="1" spans="1:33">
      <c r="A634" s="5" t="s">
        <v>3294</v>
      </c>
      <c r="B634" s="5" t="s">
        <v>3294</v>
      </c>
      <c r="C634" s="5" t="s">
        <v>3295</v>
      </c>
      <c r="D634" s="5" t="s">
        <v>3296</v>
      </c>
      <c r="E634" s="5" t="s">
        <v>35</v>
      </c>
      <c r="F634" s="5" t="s">
        <v>36</v>
      </c>
      <c r="G634" s="5" t="s">
        <v>37</v>
      </c>
      <c r="H634" s="5"/>
      <c r="I634" s="5"/>
      <c r="J634" s="5" t="s">
        <v>59</v>
      </c>
      <c r="K634" s="5" t="s">
        <v>1452</v>
      </c>
      <c r="L634" s="5" t="s">
        <v>553</v>
      </c>
      <c r="M634" s="5" t="s">
        <v>554</v>
      </c>
      <c r="N634" s="5" t="s">
        <v>35</v>
      </c>
      <c r="O634" s="5">
        <v>1</v>
      </c>
      <c r="P634" s="5" t="s">
        <v>42</v>
      </c>
      <c r="Q634" s="5">
        <v>18.99</v>
      </c>
      <c r="R634" s="5">
        <v>1.92</v>
      </c>
      <c r="S634" s="5"/>
      <c r="T634" s="5"/>
      <c r="U634" s="5"/>
      <c r="V634" s="5"/>
      <c r="W634" s="5"/>
      <c r="X634" s="5"/>
      <c r="Y634" s="5" t="s">
        <v>3297</v>
      </c>
      <c r="Z634" s="5" t="s">
        <v>1152</v>
      </c>
      <c r="AA634" s="5" t="s">
        <v>3298</v>
      </c>
      <c r="AB634" s="5" t="s">
        <v>45</v>
      </c>
      <c r="AC634" s="5"/>
      <c r="AD634" s="5"/>
      <c r="AE634" s="5"/>
      <c r="AF634"/>
      <c r="AG634" s="9">
        <f t="shared" si="9"/>
        <v>43289</v>
      </c>
    </row>
    <row r="635" s="6" customFormat="1" spans="1:33">
      <c r="A635" s="5" t="s">
        <v>3299</v>
      </c>
      <c r="B635" s="5" t="s">
        <v>3299</v>
      </c>
      <c r="C635" s="5" t="s">
        <v>3300</v>
      </c>
      <c r="D635" s="5" t="s">
        <v>3301</v>
      </c>
      <c r="E635" s="5" t="s">
        <v>35</v>
      </c>
      <c r="F635" s="5" t="s">
        <v>36</v>
      </c>
      <c r="G635" s="5" t="s">
        <v>37</v>
      </c>
      <c r="H635" s="5"/>
      <c r="I635" s="5"/>
      <c r="J635" s="5" t="s">
        <v>59</v>
      </c>
      <c r="K635" s="5" t="s">
        <v>875</v>
      </c>
      <c r="L635" s="5" t="s">
        <v>876</v>
      </c>
      <c r="M635" s="5" t="s">
        <v>877</v>
      </c>
      <c r="N635" s="5" t="s">
        <v>35</v>
      </c>
      <c r="O635" s="5">
        <v>1</v>
      </c>
      <c r="P635" s="5" t="s">
        <v>42</v>
      </c>
      <c r="Q635" s="5">
        <v>21.99</v>
      </c>
      <c r="R635" s="5"/>
      <c r="S635" s="5"/>
      <c r="T635" s="5"/>
      <c r="U635" s="5"/>
      <c r="V635" s="5"/>
      <c r="W635" s="5"/>
      <c r="X635" s="5"/>
      <c r="Y635" s="5" t="s">
        <v>3302</v>
      </c>
      <c r="Z635" s="5" t="s">
        <v>211</v>
      </c>
      <c r="AA635" s="5" t="s">
        <v>3303</v>
      </c>
      <c r="AB635" s="5" t="s">
        <v>45</v>
      </c>
      <c r="AC635" s="5"/>
      <c r="AD635" s="5"/>
      <c r="AE635" s="5"/>
      <c r="AF635"/>
      <c r="AG635" s="9">
        <f t="shared" si="9"/>
        <v>43289</v>
      </c>
    </row>
    <row r="636" s="6" customFormat="1" spans="1:33">
      <c r="A636" s="5" t="s">
        <v>3304</v>
      </c>
      <c r="B636" s="5" t="s">
        <v>3304</v>
      </c>
      <c r="C636" s="5" t="s">
        <v>3305</v>
      </c>
      <c r="D636" s="5" t="s">
        <v>3306</v>
      </c>
      <c r="E636" s="5" t="s">
        <v>2269</v>
      </c>
      <c r="F636" s="5" t="s">
        <v>36</v>
      </c>
      <c r="G636" s="5" t="s">
        <v>37</v>
      </c>
      <c r="H636" s="5"/>
      <c r="I636" s="5"/>
      <c r="J636" s="5" t="s">
        <v>38</v>
      </c>
      <c r="K636" s="5" t="s">
        <v>50</v>
      </c>
      <c r="L636" s="5" t="s">
        <v>51</v>
      </c>
      <c r="M636" s="5" t="s">
        <v>52</v>
      </c>
      <c r="N636" s="5" t="s">
        <v>275</v>
      </c>
      <c r="O636" s="5">
        <v>1</v>
      </c>
      <c r="P636" s="5" t="s">
        <v>42</v>
      </c>
      <c r="Q636" s="5">
        <v>9</v>
      </c>
      <c r="R636" s="5"/>
      <c r="S636" s="5"/>
      <c r="T636" s="5"/>
      <c r="U636" s="5"/>
      <c r="V636" s="5"/>
      <c r="W636" s="5"/>
      <c r="X636" s="5"/>
      <c r="Y636" s="5" t="s">
        <v>3307</v>
      </c>
      <c r="Z636" s="5" t="s">
        <v>2632</v>
      </c>
      <c r="AA636" s="5" t="s">
        <v>3308</v>
      </c>
      <c r="AB636" s="5" t="s">
        <v>45</v>
      </c>
      <c r="AC636" s="5"/>
      <c r="AD636" s="5"/>
      <c r="AE636" s="5"/>
      <c r="AF636"/>
      <c r="AG636" s="9">
        <f t="shared" si="9"/>
        <v>43289</v>
      </c>
    </row>
    <row r="637" s="6" customFormat="1" spans="1:33">
      <c r="A637" s="5" t="s">
        <v>3309</v>
      </c>
      <c r="B637" s="5" t="s">
        <v>3309</v>
      </c>
      <c r="C637" s="5" t="s">
        <v>3310</v>
      </c>
      <c r="D637" s="5" t="s">
        <v>3311</v>
      </c>
      <c r="E637" s="5" t="s">
        <v>35</v>
      </c>
      <c r="F637" s="5" t="s">
        <v>36</v>
      </c>
      <c r="G637" s="5" t="s">
        <v>37</v>
      </c>
      <c r="H637" s="5"/>
      <c r="I637" s="5"/>
      <c r="J637" s="5" t="s">
        <v>38</v>
      </c>
      <c r="K637" s="5" t="s">
        <v>50</v>
      </c>
      <c r="L637" s="5" t="s">
        <v>51</v>
      </c>
      <c r="M637" s="5" t="s">
        <v>52</v>
      </c>
      <c r="N637" s="5" t="s">
        <v>35</v>
      </c>
      <c r="O637" s="5">
        <v>1</v>
      </c>
      <c r="P637" s="5" t="s">
        <v>42</v>
      </c>
      <c r="Q637" s="5">
        <v>9</v>
      </c>
      <c r="R637" s="5"/>
      <c r="S637" s="5"/>
      <c r="T637" s="5"/>
      <c r="U637" s="5"/>
      <c r="V637" s="5"/>
      <c r="W637" s="5"/>
      <c r="X637" s="5"/>
      <c r="Y637" s="5" t="s">
        <v>3312</v>
      </c>
      <c r="Z637" s="5" t="s">
        <v>54</v>
      </c>
      <c r="AA637" s="5" t="s">
        <v>3313</v>
      </c>
      <c r="AB637" s="5" t="s">
        <v>45</v>
      </c>
      <c r="AC637" s="5"/>
      <c r="AD637" s="5"/>
      <c r="AE637" s="5"/>
      <c r="AF637"/>
      <c r="AG637" s="9">
        <f t="shared" si="9"/>
        <v>43289</v>
      </c>
    </row>
    <row r="638" s="6" customFormat="1" spans="1:33">
      <c r="A638" s="5" t="s">
        <v>3314</v>
      </c>
      <c r="B638" s="5" t="s">
        <v>3314</v>
      </c>
      <c r="C638" s="5" t="s">
        <v>3315</v>
      </c>
      <c r="D638" s="5" t="s">
        <v>3316</v>
      </c>
      <c r="E638" s="5" t="s">
        <v>35</v>
      </c>
      <c r="F638" s="5" t="s">
        <v>36</v>
      </c>
      <c r="G638" s="5" t="s">
        <v>37</v>
      </c>
      <c r="H638" s="5"/>
      <c r="I638" s="5"/>
      <c r="J638" s="5" t="s">
        <v>38</v>
      </c>
      <c r="K638" s="5" t="s">
        <v>50</v>
      </c>
      <c r="L638" s="5" t="s">
        <v>3215</v>
      </c>
      <c r="M638" s="5" t="s">
        <v>52</v>
      </c>
      <c r="N638" s="5" t="s">
        <v>35</v>
      </c>
      <c r="O638" s="5">
        <v>1</v>
      </c>
      <c r="P638" s="5" t="s">
        <v>42</v>
      </c>
      <c r="Q638" s="5">
        <v>9</v>
      </c>
      <c r="R638" s="5"/>
      <c r="S638" s="5"/>
      <c r="T638" s="5"/>
      <c r="U638" s="5"/>
      <c r="V638" s="5"/>
      <c r="W638" s="5"/>
      <c r="X638" s="5"/>
      <c r="Y638" s="5" t="s">
        <v>3317</v>
      </c>
      <c r="Z638" s="5" t="s">
        <v>211</v>
      </c>
      <c r="AA638" s="5" t="s">
        <v>3318</v>
      </c>
      <c r="AB638" s="5" t="s">
        <v>45</v>
      </c>
      <c r="AC638" s="5"/>
      <c r="AD638" s="5"/>
      <c r="AE638" s="5"/>
      <c r="AF638"/>
      <c r="AG638" s="9">
        <f t="shared" si="9"/>
        <v>43289</v>
      </c>
    </row>
    <row r="639" s="6" customFormat="1" spans="1:33">
      <c r="A639" s="5" t="s">
        <v>3319</v>
      </c>
      <c r="B639" s="5" t="s">
        <v>3319</v>
      </c>
      <c r="C639" s="5" t="s">
        <v>3320</v>
      </c>
      <c r="D639" s="5" t="s">
        <v>3321</v>
      </c>
      <c r="E639" s="5" t="s">
        <v>274</v>
      </c>
      <c r="F639" s="5" t="s">
        <v>36</v>
      </c>
      <c r="G639" s="5" t="s">
        <v>37</v>
      </c>
      <c r="H639" s="5"/>
      <c r="I639" s="5"/>
      <c r="J639" s="5" t="s">
        <v>59</v>
      </c>
      <c r="K639" s="5" t="s">
        <v>2936</v>
      </c>
      <c r="L639" s="5" t="s">
        <v>2937</v>
      </c>
      <c r="M639" s="5" t="s">
        <v>2938</v>
      </c>
      <c r="N639" s="5" t="s">
        <v>274</v>
      </c>
      <c r="O639" s="5">
        <v>0</v>
      </c>
      <c r="P639" s="5"/>
      <c r="Q639" s="5"/>
      <c r="R639" s="5"/>
      <c r="S639" s="5"/>
      <c r="T639" s="5"/>
      <c r="U639" s="5"/>
      <c r="V639" s="5"/>
      <c r="W639" s="5"/>
      <c r="X639" s="5"/>
      <c r="Y639" s="5" t="s">
        <v>717</v>
      </c>
      <c r="Z639" s="5" t="s">
        <v>718</v>
      </c>
      <c r="AA639" s="5" t="s">
        <v>3322</v>
      </c>
      <c r="AB639" s="5" t="s">
        <v>45</v>
      </c>
      <c r="AC639" s="5"/>
      <c r="AD639" s="5"/>
      <c r="AE639" s="5"/>
      <c r="AF639"/>
      <c r="AG639" s="9">
        <f t="shared" si="9"/>
        <v>43289</v>
      </c>
    </row>
    <row r="640" s="6" customFormat="1" spans="1:33">
      <c r="A640" s="5" t="s">
        <v>3323</v>
      </c>
      <c r="B640" s="5" t="s">
        <v>3323</v>
      </c>
      <c r="C640" s="5" t="s">
        <v>3324</v>
      </c>
      <c r="D640" s="5" t="s">
        <v>3325</v>
      </c>
      <c r="E640" s="5" t="s">
        <v>2269</v>
      </c>
      <c r="F640" s="5" t="s">
        <v>36</v>
      </c>
      <c r="G640" s="5" t="s">
        <v>37</v>
      </c>
      <c r="H640" s="5"/>
      <c r="I640" s="5"/>
      <c r="J640" s="5" t="s">
        <v>38</v>
      </c>
      <c r="K640" s="5" t="s">
        <v>50</v>
      </c>
      <c r="L640" s="5" t="s">
        <v>51</v>
      </c>
      <c r="M640" s="5" t="s">
        <v>52</v>
      </c>
      <c r="N640" s="5" t="s">
        <v>275</v>
      </c>
      <c r="O640" s="5">
        <v>1</v>
      </c>
      <c r="P640" s="5" t="s">
        <v>42</v>
      </c>
      <c r="Q640" s="5">
        <v>9</v>
      </c>
      <c r="R640" s="5"/>
      <c r="S640" s="5"/>
      <c r="T640" s="5"/>
      <c r="U640" s="5"/>
      <c r="V640" s="5"/>
      <c r="W640" s="5"/>
      <c r="X640" s="5"/>
      <c r="Y640" s="5" t="s">
        <v>3326</v>
      </c>
      <c r="Z640" s="5" t="s">
        <v>191</v>
      </c>
      <c r="AA640" s="5" t="s">
        <v>3327</v>
      </c>
      <c r="AB640" s="5" t="s">
        <v>45</v>
      </c>
      <c r="AC640" s="5"/>
      <c r="AD640" s="5"/>
      <c r="AE640" s="5"/>
      <c r="AF640"/>
      <c r="AG640" s="9">
        <f t="shared" si="9"/>
        <v>43289</v>
      </c>
    </row>
    <row r="641" s="6" customFormat="1" spans="1:33">
      <c r="A641" s="5" t="s">
        <v>3328</v>
      </c>
      <c r="B641" s="5" t="s">
        <v>3328</v>
      </c>
      <c r="C641" s="5" t="s">
        <v>3329</v>
      </c>
      <c r="D641" s="5" t="s">
        <v>3330</v>
      </c>
      <c r="E641" s="5" t="s">
        <v>2269</v>
      </c>
      <c r="F641" s="5" t="s">
        <v>36</v>
      </c>
      <c r="G641" s="5" t="s">
        <v>37</v>
      </c>
      <c r="H641" s="5"/>
      <c r="I641" s="5"/>
      <c r="J641" s="5" t="s">
        <v>38</v>
      </c>
      <c r="K641" s="5" t="s">
        <v>50</v>
      </c>
      <c r="L641" s="5" t="s">
        <v>3215</v>
      </c>
      <c r="M641" s="5" t="s">
        <v>52</v>
      </c>
      <c r="N641" s="5" t="s">
        <v>275</v>
      </c>
      <c r="O641" s="5">
        <v>1</v>
      </c>
      <c r="P641" s="5" t="s">
        <v>42</v>
      </c>
      <c r="Q641" s="5">
        <v>9</v>
      </c>
      <c r="R641" s="5"/>
      <c r="S641" s="5"/>
      <c r="T641" s="5"/>
      <c r="U641" s="5"/>
      <c r="V641" s="5"/>
      <c r="W641" s="5"/>
      <c r="X641" s="5"/>
      <c r="Y641" s="5" t="s">
        <v>3331</v>
      </c>
      <c r="Z641" s="5" t="s">
        <v>191</v>
      </c>
      <c r="AA641" s="5">
        <v>8812</v>
      </c>
      <c r="AB641" s="5" t="s">
        <v>45</v>
      </c>
      <c r="AC641" s="5"/>
      <c r="AD641" s="5"/>
      <c r="AE641" s="5"/>
      <c r="AF641"/>
      <c r="AG641" s="9">
        <f t="shared" si="9"/>
        <v>43289</v>
      </c>
    </row>
    <row r="642" s="6" customFormat="1" spans="1:33">
      <c r="A642" s="5" t="s">
        <v>3332</v>
      </c>
      <c r="B642" s="5" t="s">
        <v>3332</v>
      </c>
      <c r="C642" s="5" t="s">
        <v>3333</v>
      </c>
      <c r="D642" s="5" t="s">
        <v>3334</v>
      </c>
      <c r="E642" s="5" t="s">
        <v>2269</v>
      </c>
      <c r="F642" s="5" t="s">
        <v>36</v>
      </c>
      <c r="G642" s="5" t="s">
        <v>37</v>
      </c>
      <c r="H642" s="5"/>
      <c r="I642" s="5"/>
      <c r="J642" s="5" t="s">
        <v>38</v>
      </c>
      <c r="K642" s="5" t="s">
        <v>50</v>
      </c>
      <c r="L642" s="5" t="s">
        <v>3215</v>
      </c>
      <c r="M642" s="5" t="s">
        <v>52</v>
      </c>
      <c r="N642" s="5" t="s">
        <v>275</v>
      </c>
      <c r="O642" s="5">
        <v>1</v>
      </c>
      <c r="P642" s="5" t="s">
        <v>42</v>
      </c>
      <c r="Q642" s="5">
        <v>9</v>
      </c>
      <c r="R642" s="5"/>
      <c r="S642" s="5"/>
      <c r="T642" s="5"/>
      <c r="U642" s="5"/>
      <c r="V642" s="5"/>
      <c r="W642" s="5"/>
      <c r="X642" s="5"/>
      <c r="Y642" s="5" t="s">
        <v>3335</v>
      </c>
      <c r="Z642" s="5" t="s">
        <v>1152</v>
      </c>
      <c r="AA642" s="5" t="s">
        <v>3336</v>
      </c>
      <c r="AB642" s="5" t="s">
        <v>45</v>
      </c>
      <c r="AC642" s="5"/>
      <c r="AD642" s="5"/>
      <c r="AE642" s="5"/>
      <c r="AF642"/>
      <c r="AG642" s="9">
        <f>DATEVALUE(LEFT(C642,10))</f>
        <v>43289</v>
      </c>
    </row>
    <row r="643" s="6" customFormat="1" spans="1:33">
      <c r="A643" s="5" t="s">
        <v>3337</v>
      </c>
      <c r="B643" s="5" t="s">
        <v>3337</v>
      </c>
      <c r="C643" s="5" t="s">
        <v>3338</v>
      </c>
      <c r="D643" s="5" t="s">
        <v>3339</v>
      </c>
      <c r="E643" s="5" t="s">
        <v>35</v>
      </c>
      <c r="F643" s="5" t="s">
        <v>36</v>
      </c>
      <c r="G643" s="5" t="s">
        <v>37</v>
      </c>
      <c r="H643" s="5"/>
      <c r="I643" s="5"/>
      <c r="J643" s="5" t="s">
        <v>59</v>
      </c>
      <c r="K643" s="5" t="s">
        <v>1102</v>
      </c>
      <c r="L643" s="5" t="s">
        <v>1103</v>
      </c>
      <c r="M643" s="5" t="s">
        <v>1104</v>
      </c>
      <c r="N643" s="5" t="s">
        <v>35</v>
      </c>
      <c r="O643" s="5">
        <v>1</v>
      </c>
      <c r="P643" s="5" t="s">
        <v>42</v>
      </c>
      <c r="Q643" s="5">
        <v>17.99</v>
      </c>
      <c r="R643" s="5"/>
      <c r="S643" s="5"/>
      <c r="T643" s="5"/>
      <c r="U643" s="5"/>
      <c r="V643" s="5"/>
      <c r="W643" s="5"/>
      <c r="X643" s="5"/>
      <c r="Y643" s="5" t="s">
        <v>3340</v>
      </c>
      <c r="Z643" s="5" t="s">
        <v>3341</v>
      </c>
      <c r="AA643" s="5">
        <v>7042</v>
      </c>
      <c r="AB643" s="5" t="s">
        <v>45</v>
      </c>
      <c r="AC643" s="5"/>
      <c r="AD643" s="5"/>
      <c r="AE643" s="5"/>
      <c r="AF643"/>
      <c r="AG643" s="9">
        <f>DATEVALUE(LEFT(C643,10))</f>
        <v>43289</v>
      </c>
    </row>
    <row r="644" s="6" customFormat="1" spans="1:33">
      <c r="A644" s="5" t="s">
        <v>3342</v>
      </c>
      <c r="B644" s="5" t="s">
        <v>3342</v>
      </c>
      <c r="C644" s="5" t="s">
        <v>3343</v>
      </c>
      <c r="D644" s="5" t="s">
        <v>3344</v>
      </c>
      <c r="E644" s="5" t="s">
        <v>35</v>
      </c>
      <c r="F644" s="5" t="s">
        <v>36</v>
      </c>
      <c r="G644" s="5" t="s">
        <v>37</v>
      </c>
      <c r="H644" s="5"/>
      <c r="I644" s="5"/>
      <c r="J644" s="5" t="s">
        <v>59</v>
      </c>
      <c r="K644" s="5" t="s">
        <v>3345</v>
      </c>
      <c r="L644" s="5" t="s">
        <v>3346</v>
      </c>
      <c r="M644" s="5" t="s">
        <v>3347</v>
      </c>
      <c r="N644" s="5" t="s">
        <v>35</v>
      </c>
      <c r="O644" s="5">
        <v>1</v>
      </c>
      <c r="P644" s="5" t="s">
        <v>42</v>
      </c>
      <c r="Q644" s="5">
        <v>7.99</v>
      </c>
      <c r="R644" s="5"/>
      <c r="S644" s="5"/>
      <c r="T644" s="5"/>
      <c r="U644" s="5"/>
      <c r="V644" s="5"/>
      <c r="W644" s="5"/>
      <c r="X644" s="5"/>
      <c r="Y644" s="5" t="s">
        <v>3348</v>
      </c>
      <c r="Z644" s="5" t="s">
        <v>64</v>
      </c>
      <c r="AA644" s="5" t="s">
        <v>3349</v>
      </c>
      <c r="AB644" s="5" t="s">
        <v>45</v>
      </c>
      <c r="AC644" s="5"/>
      <c r="AD644" s="5"/>
      <c r="AE644" s="5"/>
      <c r="AF644"/>
      <c r="AG644" s="9">
        <f>DATEVALUE(LEFT(C644,10))</f>
        <v>43289</v>
      </c>
    </row>
    <row r="645" s="6" customFormat="1" spans="1:33">
      <c r="A645" s="5" t="s">
        <v>3350</v>
      </c>
      <c r="B645" s="5" t="s">
        <v>3350</v>
      </c>
      <c r="C645" s="5" t="s">
        <v>3351</v>
      </c>
      <c r="D645" s="5" t="s">
        <v>3352</v>
      </c>
      <c r="E645" s="5" t="s">
        <v>35</v>
      </c>
      <c r="F645" s="5" t="s">
        <v>36</v>
      </c>
      <c r="G645" s="5" t="s">
        <v>37</v>
      </c>
      <c r="H645" s="5"/>
      <c r="I645" s="5"/>
      <c r="J645" s="5" t="s">
        <v>59</v>
      </c>
      <c r="K645" s="5" t="s">
        <v>2849</v>
      </c>
      <c r="L645" s="5" t="s">
        <v>2850</v>
      </c>
      <c r="M645" s="5" t="s">
        <v>2851</v>
      </c>
      <c r="N645" s="5" t="s">
        <v>35</v>
      </c>
      <c r="O645" s="5">
        <v>1</v>
      </c>
      <c r="P645" s="5" t="s">
        <v>42</v>
      </c>
      <c r="Q645" s="5">
        <v>7.99</v>
      </c>
      <c r="R645" s="5"/>
      <c r="S645" s="5"/>
      <c r="T645" s="5"/>
      <c r="U645" s="5"/>
      <c r="V645" s="5"/>
      <c r="W645" s="5"/>
      <c r="X645" s="5"/>
      <c r="Y645" s="5" t="s">
        <v>3353</v>
      </c>
      <c r="Z645" s="5" t="s">
        <v>191</v>
      </c>
      <c r="AA645" s="5" t="s">
        <v>3354</v>
      </c>
      <c r="AB645" s="5" t="s">
        <v>45</v>
      </c>
      <c r="AC645" s="5"/>
      <c r="AD645" s="5"/>
      <c r="AE645" s="5"/>
      <c r="AF645"/>
      <c r="AG645" s="9">
        <f>DATEVALUE(LEFT(C645,10))</f>
        <v>43289</v>
      </c>
    </row>
    <row r="646" s="6" customFormat="1" spans="33:33">
      <c r="AG646" s="10"/>
    </row>
    <row r="647" s="6" customFormat="1" spans="33:33">
      <c r="AG647" s="10"/>
    </row>
    <row r="648" s="6" customFormat="1" spans="33:33">
      <c r="AG648" s="10"/>
    </row>
    <row r="649" s="6" customFormat="1" spans="33:33">
      <c r="AG649" s="10"/>
    </row>
    <row r="650" s="6" customFormat="1" spans="33:33">
      <c r="AG650" s="10"/>
    </row>
    <row r="651" s="6" customFormat="1" spans="33:33">
      <c r="AG651" s="10"/>
    </row>
    <row r="652" s="6" customFormat="1" spans="33:33">
      <c r="AG652" s="10"/>
    </row>
    <row r="653" s="6" customFormat="1" spans="33:33">
      <c r="AG653" s="10"/>
    </row>
    <row r="654" s="6" customFormat="1" spans="33:33">
      <c r="AG654" s="10"/>
    </row>
    <row r="655" s="6" customFormat="1" spans="33:33">
      <c r="AG655" s="10"/>
    </row>
    <row r="656" s="6" customFormat="1" spans="33:33">
      <c r="AG656" s="10"/>
    </row>
    <row r="657" s="6" customFormat="1" spans="33:33">
      <c r="AG657" s="10"/>
    </row>
    <row r="658" s="6" customFormat="1" spans="33:33">
      <c r="AG658" s="10"/>
    </row>
    <row r="659" s="6" customFormat="1" spans="33:33">
      <c r="AG659" s="10"/>
    </row>
    <row r="660" s="6" customFormat="1" spans="33:33">
      <c r="AG660" s="10"/>
    </row>
    <row r="661" s="6" customFormat="1" spans="33:33">
      <c r="AG661" s="10"/>
    </row>
    <row r="662" s="6" customFormat="1" spans="33:33">
      <c r="AG662" s="10"/>
    </row>
    <row r="663" s="6" customFormat="1" spans="33:33">
      <c r="AG663" s="10"/>
    </row>
    <row r="664" s="6" customFormat="1" spans="33:33">
      <c r="AG664" s="10"/>
    </row>
    <row r="665" s="6" customFormat="1" spans="33:33">
      <c r="AG665" s="10"/>
    </row>
    <row r="666" s="6" customFormat="1" spans="33:33">
      <c r="AG666" s="10"/>
    </row>
    <row r="667" s="6" customFormat="1" spans="33:33">
      <c r="AG667" s="10"/>
    </row>
    <row r="668" s="6" customFormat="1" spans="33:33">
      <c r="AG668" s="10"/>
    </row>
    <row r="669" s="6" customFormat="1" spans="33:33">
      <c r="AG669" s="10"/>
    </row>
    <row r="670" s="6" customFormat="1" spans="33:33">
      <c r="AG670" s="10"/>
    </row>
    <row r="671" s="6" customFormat="1" spans="33:33">
      <c r="AG671" s="10"/>
    </row>
    <row r="672" s="6" customFormat="1" spans="33:33">
      <c r="AG672" s="10"/>
    </row>
    <row r="673" s="6" customFormat="1" spans="33:33">
      <c r="AG673" s="10"/>
    </row>
    <row r="674" s="6" customFormat="1" spans="33:33">
      <c r="AG674" s="10"/>
    </row>
    <row r="675" s="6" customFormat="1" spans="33:33">
      <c r="AG675" s="10"/>
    </row>
    <row r="676" s="6" customFormat="1" spans="33:33">
      <c r="AG676" s="10"/>
    </row>
    <row r="677" s="6" customFormat="1" spans="33:33">
      <c r="AG677" s="10"/>
    </row>
    <row r="678" s="6" customFormat="1" spans="33:33">
      <c r="AG678" s="10"/>
    </row>
    <row r="679" s="6" customFormat="1" spans="33:33">
      <c r="AG679" s="10"/>
    </row>
    <row r="680" s="6" customFormat="1" spans="33:33">
      <c r="AG680" s="10"/>
    </row>
    <row r="681" s="6" customFormat="1" spans="33:33">
      <c r="AG681" s="10"/>
    </row>
    <row r="682" s="6" customFormat="1" spans="33:33">
      <c r="AG682" s="10"/>
    </row>
    <row r="683" s="6" customFormat="1" spans="33:33">
      <c r="AG683" s="10"/>
    </row>
    <row r="684" s="6" customFormat="1" spans="33:33">
      <c r="AG684" s="10"/>
    </row>
    <row r="685" s="6" customFormat="1" spans="33:33">
      <c r="AG685" s="10"/>
    </row>
    <row r="686" s="6" customFormat="1" spans="33:33">
      <c r="AG686" s="10"/>
    </row>
    <row r="687" s="6" customFormat="1" spans="33:33">
      <c r="AG687" s="10"/>
    </row>
    <row r="688" s="6" customFormat="1" spans="33:33">
      <c r="AG688" s="10"/>
    </row>
    <row r="689" s="6" customFormat="1" spans="33:33">
      <c r="AG689" s="10"/>
    </row>
    <row r="690" s="6" customFormat="1" spans="33:33">
      <c r="AG690" s="10"/>
    </row>
    <row r="691" s="6" customFormat="1" spans="33:33">
      <c r="AG691" s="10"/>
    </row>
    <row r="692" s="6" customFormat="1" spans="33:33">
      <c r="AG692" s="10"/>
    </row>
    <row r="693" s="6" customFormat="1" spans="33:33">
      <c r="AG693" s="10"/>
    </row>
    <row r="694" s="6" customFormat="1" spans="33:33">
      <c r="AG694" s="10"/>
    </row>
    <row r="695" s="6" customFormat="1" spans="33:33">
      <c r="AG695" s="10"/>
    </row>
    <row r="696" s="6" customFormat="1" spans="33:33">
      <c r="AG696" s="10"/>
    </row>
    <row r="697" s="6" customFormat="1" spans="33:33">
      <c r="AG697" s="10"/>
    </row>
    <row r="698" s="6" customFormat="1" spans="33:33">
      <c r="AG698" s="10"/>
    </row>
    <row r="699" s="6" customFormat="1" spans="33:33">
      <c r="AG699" s="10"/>
    </row>
    <row r="700" s="6" customFormat="1" spans="33:33">
      <c r="AG700" s="10"/>
    </row>
    <row r="701" s="6" customFormat="1" spans="33:33">
      <c r="AG701" s="10"/>
    </row>
    <row r="702" s="6" customFormat="1" spans="33:33">
      <c r="AG702" s="10"/>
    </row>
    <row r="703" s="6" customFormat="1" spans="33:33">
      <c r="AG703" s="10"/>
    </row>
    <row r="704" s="6" customFormat="1" spans="33:33">
      <c r="AG704" s="10"/>
    </row>
    <row r="705" s="6" customFormat="1" spans="33:33">
      <c r="AG705" s="10"/>
    </row>
    <row r="706" s="6" customFormat="1" spans="33:33">
      <c r="AG706" s="10"/>
    </row>
    <row r="707" s="6" customFormat="1" spans="33:33">
      <c r="AG707" s="10"/>
    </row>
    <row r="708" s="6" customFormat="1" spans="33:33">
      <c r="AG708" s="10"/>
    </row>
    <row r="709" s="6" customFormat="1" spans="33:33">
      <c r="AG709" s="10"/>
    </row>
    <row r="710" s="6" customFormat="1" spans="33:33">
      <c r="AG710" s="10"/>
    </row>
    <row r="711" s="6" customFormat="1" spans="33:33">
      <c r="AG711" s="10"/>
    </row>
    <row r="712" s="6" customFormat="1" spans="33:33">
      <c r="AG712" s="10"/>
    </row>
    <row r="713" s="6" customFormat="1" spans="33:33">
      <c r="AG713" s="10"/>
    </row>
    <row r="714" s="6" customFormat="1" spans="33:33">
      <c r="AG714" s="10"/>
    </row>
    <row r="715" s="6" customFormat="1" spans="33:33">
      <c r="AG715" s="10"/>
    </row>
    <row r="716" s="6" customFormat="1" spans="33:33">
      <c r="AG716" s="10"/>
    </row>
    <row r="717" s="6" customFormat="1" spans="33:33">
      <c r="AG717" s="10"/>
    </row>
    <row r="718" s="6" customFormat="1" spans="33:33">
      <c r="AG718" s="10"/>
    </row>
    <row r="719" s="6" customFormat="1" spans="33:33">
      <c r="AG719" s="10"/>
    </row>
    <row r="720" s="6" customFormat="1" spans="33:33">
      <c r="AG720" s="10"/>
    </row>
    <row r="721" s="6" customFormat="1" spans="33:33">
      <c r="AG721" s="10"/>
    </row>
    <row r="722" s="6" customFormat="1" spans="33:33">
      <c r="AG722" s="10"/>
    </row>
    <row r="723" s="6" customFormat="1" spans="33:33">
      <c r="AG723" s="10"/>
    </row>
    <row r="724" s="6" customFormat="1" spans="33:33">
      <c r="AG724" s="10"/>
    </row>
    <row r="725" s="6" customFormat="1" spans="33:33">
      <c r="AG725" s="10"/>
    </row>
    <row r="726" s="6" customFormat="1" spans="33:33">
      <c r="AG726" s="10"/>
    </row>
    <row r="727" s="6" customFormat="1" spans="33:33">
      <c r="AG727" s="10"/>
    </row>
    <row r="728" s="6" customFormat="1" spans="33:33">
      <c r="AG728" s="10"/>
    </row>
    <row r="729" s="6" customFormat="1" spans="33:33">
      <c r="AG729" s="10"/>
    </row>
    <row r="730" s="6" customFormat="1" spans="33:33">
      <c r="AG730" s="10"/>
    </row>
    <row r="731" s="6" customFormat="1" spans="33:33">
      <c r="AG731" s="10"/>
    </row>
    <row r="732" s="6" customFormat="1" spans="33:33">
      <c r="AG732" s="10"/>
    </row>
    <row r="733" s="6" customFormat="1" spans="33:33">
      <c r="AG733" s="10"/>
    </row>
    <row r="734" s="6" customFormat="1" spans="33:33">
      <c r="AG734" s="10"/>
    </row>
    <row r="735" s="6" customFormat="1" spans="33:33">
      <c r="AG735" s="10"/>
    </row>
    <row r="736" s="6" customFormat="1" spans="33:33">
      <c r="AG736" s="10"/>
    </row>
    <row r="737" s="6" customFormat="1" spans="33:33">
      <c r="AG737" s="10"/>
    </row>
    <row r="738" s="6" customFormat="1" spans="33:33">
      <c r="AG738" s="10"/>
    </row>
    <row r="739" s="6" customFormat="1" spans="33:33">
      <c r="AG739" s="10"/>
    </row>
    <row r="740" s="6" customFormat="1" spans="33:33">
      <c r="AG740" s="10"/>
    </row>
    <row r="741" s="6" customFormat="1" spans="33:33">
      <c r="AG741" s="10"/>
    </row>
    <row r="742" s="6" customFormat="1" spans="33:33">
      <c r="AG742" s="10"/>
    </row>
    <row r="743" s="6" customFormat="1" spans="33:33">
      <c r="AG743" s="10"/>
    </row>
    <row r="744" s="6" customFormat="1" spans="33:33">
      <c r="AG744" s="10"/>
    </row>
    <row r="745" s="6" customFormat="1" spans="33:33">
      <c r="AG745" s="10"/>
    </row>
    <row r="746" s="6" customFormat="1" spans="33:33">
      <c r="AG746" s="10"/>
    </row>
    <row r="747" s="6" customFormat="1" spans="33:33">
      <c r="AG747" s="10"/>
    </row>
    <row r="748" s="6" customFormat="1" spans="33:33">
      <c r="AG748" s="10"/>
    </row>
    <row r="749" s="6" customFormat="1" spans="33:33">
      <c r="AG749" s="10"/>
    </row>
    <row r="750" s="6" customFormat="1" spans="33:33">
      <c r="AG750" s="10"/>
    </row>
    <row r="751" s="6" customFormat="1" spans="33:33">
      <c r="AG751" s="10"/>
    </row>
    <row r="752" s="6" customFormat="1" spans="33:33">
      <c r="AG752" s="10"/>
    </row>
    <row r="753" s="6" customFormat="1" spans="33:33">
      <c r="AG753" s="10"/>
    </row>
    <row r="754" s="6" customFormat="1" spans="33:33">
      <c r="AG754" s="10"/>
    </row>
    <row r="755" s="6" customFormat="1" spans="33:33">
      <c r="AG755" s="10"/>
    </row>
    <row r="756" s="6" customFormat="1" spans="33:33">
      <c r="AG756" s="10"/>
    </row>
    <row r="757" s="6" customFormat="1" spans="33:33">
      <c r="AG757" s="10"/>
    </row>
    <row r="758" s="6" customFormat="1" spans="33:33">
      <c r="AG758" s="10"/>
    </row>
    <row r="759" s="6" customFormat="1" spans="33:33">
      <c r="AG759" s="10"/>
    </row>
    <row r="760" s="6" customFormat="1" spans="33:33">
      <c r="AG760" s="10"/>
    </row>
    <row r="761" s="6" customFormat="1" spans="33:33">
      <c r="AG761" s="10"/>
    </row>
    <row r="762" s="6" customFormat="1" spans="33:33">
      <c r="AG762" s="10"/>
    </row>
    <row r="763" s="6" customFormat="1" spans="33:33">
      <c r="AG763" s="10"/>
    </row>
    <row r="764" s="6" customFormat="1" spans="33:33">
      <c r="AG764" s="10"/>
    </row>
    <row r="765" s="6" customFormat="1" spans="33:33">
      <c r="AG765" s="10"/>
    </row>
    <row r="766" s="6" customFormat="1" spans="33:33">
      <c r="AG766" s="10"/>
    </row>
    <row r="767" s="6" customFormat="1" spans="33:33">
      <c r="AG767" s="10"/>
    </row>
    <row r="768" s="6" customFormat="1" spans="33:33">
      <c r="AG768" s="10"/>
    </row>
    <row r="769" s="6" customFormat="1" spans="33:33">
      <c r="AG769" s="10"/>
    </row>
    <row r="770" s="6" customFormat="1" spans="33:33">
      <c r="AG770" s="10"/>
    </row>
    <row r="771" s="6" customFormat="1" spans="33:33">
      <c r="AG771" s="10"/>
    </row>
    <row r="772" s="6" customFormat="1" spans="33:33">
      <c r="AG772" s="10"/>
    </row>
    <row r="773" s="6" customFormat="1" spans="33:33">
      <c r="AG773" s="10"/>
    </row>
    <row r="774" s="6" customFormat="1" spans="33:33">
      <c r="AG774" s="10"/>
    </row>
    <row r="775" s="6" customFormat="1" spans="33:33">
      <c r="AG775" s="10"/>
    </row>
    <row r="776" s="6" customFormat="1" spans="33:33">
      <c r="AG776" s="10"/>
    </row>
    <row r="777" s="6" customFormat="1" spans="33:33">
      <c r="AG777" s="10"/>
    </row>
    <row r="778" s="6" customFormat="1" spans="33:33">
      <c r="AG778" s="10"/>
    </row>
    <row r="779" s="6" customFormat="1" spans="33:33">
      <c r="AG779" s="10"/>
    </row>
    <row r="780" s="6" customFormat="1" spans="33:33">
      <c r="AG780" s="10"/>
    </row>
    <row r="781" s="6" customFormat="1" spans="33:33">
      <c r="AG781" s="10"/>
    </row>
    <row r="782" s="6" customFormat="1" spans="33:33">
      <c r="AG782" s="10"/>
    </row>
    <row r="783" s="6" customFormat="1" spans="33:33">
      <c r="AG783" s="10"/>
    </row>
    <row r="784" s="6" customFormat="1" spans="33:33">
      <c r="AG784" s="10"/>
    </row>
    <row r="785" s="6" customFormat="1" spans="33:33">
      <c r="AG785" s="10"/>
    </row>
    <row r="786" s="6" customFormat="1" spans="33:33">
      <c r="AG786" s="10"/>
    </row>
    <row r="787" s="6" customFormat="1" spans="33:33">
      <c r="AG787" s="10"/>
    </row>
    <row r="788" s="6" customFormat="1" spans="33:33">
      <c r="AG788" s="10"/>
    </row>
    <row r="789" s="6" customFormat="1" spans="33:33">
      <c r="AG789" s="10"/>
    </row>
    <row r="790" s="6" customFormat="1" spans="33:33">
      <c r="AG790" s="10"/>
    </row>
    <row r="791" s="6" customFormat="1" spans="33:33">
      <c r="AG791" s="10"/>
    </row>
    <row r="792" s="6" customFormat="1" spans="33:33">
      <c r="AG792" s="10"/>
    </row>
    <row r="793" s="6" customFormat="1" spans="33:33">
      <c r="AG793" s="10"/>
    </row>
    <row r="794" s="6" customFormat="1" spans="33:33">
      <c r="AG794" s="10"/>
    </row>
    <row r="795" s="6" customFormat="1" spans="33:33">
      <c r="AG795" s="10"/>
    </row>
    <row r="796" s="6" customFormat="1" spans="33:33">
      <c r="AG796" s="10"/>
    </row>
    <row r="797" s="6" customFormat="1" spans="33:33">
      <c r="AG797" s="10"/>
    </row>
    <row r="798" s="6" customFormat="1" spans="33:33">
      <c r="AG798" s="10"/>
    </row>
    <row r="799" s="6" customFormat="1" spans="33:33">
      <c r="AG799" s="10"/>
    </row>
    <row r="800" s="6" customFormat="1" spans="33:33">
      <c r="AG800" s="10"/>
    </row>
    <row r="801" s="6" customFormat="1" spans="33:33">
      <c r="AG801" s="10"/>
    </row>
    <row r="802" s="6" customFormat="1" spans="33:33">
      <c r="AG802" s="10"/>
    </row>
    <row r="803" s="6" customFormat="1" spans="33:33">
      <c r="AG803" s="10"/>
    </row>
    <row r="804" s="6" customFormat="1" spans="33:33">
      <c r="AG804" s="10"/>
    </row>
    <row r="805" s="6" customFormat="1" spans="33:33">
      <c r="AG805" s="10"/>
    </row>
    <row r="806" s="6" customFormat="1" spans="33:33">
      <c r="AG806" s="10"/>
    </row>
    <row r="807" s="6" customFormat="1" spans="33:33">
      <c r="AG807" s="10"/>
    </row>
    <row r="808" s="6" customFormat="1" spans="33:33">
      <c r="AG808" s="10"/>
    </row>
    <row r="809" s="6" customFormat="1" spans="33:33">
      <c r="AG809" s="10"/>
    </row>
    <row r="810" s="6" customFormat="1" spans="33:33">
      <c r="AG810" s="10"/>
    </row>
    <row r="811" s="6" customFormat="1" spans="33:33">
      <c r="AG811" s="10"/>
    </row>
    <row r="812" s="6" customFormat="1" spans="33:33">
      <c r="AG812" s="10"/>
    </row>
    <row r="813" s="6" customFormat="1" spans="33:33">
      <c r="AG813" s="10"/>
    </row>
    <row r="814" s="6" customFormat="1" spans="33:33">
      <c r="AG814" s="10"/>
    </row>
    <row r="815" s="6" customFormat="1" spans="33:33">
      <c r="AG815" s="10"/>
    </row>
    <row r="816" s="6" customFormat="1" spans="33:33">
      <c r="AG816" s="10"/>
    </row>
    <row r="817" s="6" customFormat="1" spans="33:33">
      <c r="AG817" s="10"/>
    </row>
    <row r="818" s="6" customFormat="1" spans="33:33">
      <c r="AG818" s="10"/>
    </row>
    <row r="819" s="6" customFormat="1" spans="33:33">
      <c r="AG819" s="10"/>
    </row>
    <row r="820" s="6" customFormat="1" spans="33:33">
      <c r="AG820" s="10"/>
    </row>
    <row r="821" s="6" customFormat="1" spans="33:33">
      <c r="AG821" s="10"/>
    </row>
    <row r="822" s="6" customFormat="1" spans="33:33">
      <c r="AG822" s="10"/>
    </row>
    <row r="823" s="6" customFormat="1" spans="33:33">
      <c r="AG823" s="10"/>
    </row>
    <row r="824" s="6" customFormat="1" spans="33:33">
      <c r="AG824" s="10"/>
    </row>
    <row r="825" s="6" customFormat="1" spans="33:33">
      <c r="AG825" s="10"/>
    </row>
    <row r="826" s="6" customFormat="1" spans="33:33">
      <c r="AG826" s="10"/>
    </row>
    <row r="827" s="6" customFormat="1" spans="33:33">
      <c r="AG827" s="10"/>
    </row>
    <row r="828" s="6" customFormat="1" spans="33:33">
      <c r="AG828" s="10"/>
    </row>
    <row r="829" s="6" customFormat="1" spans="33:33">
      <c r="AG829" s="10"/>
    </row>
    <row r="830" s="6" customFormat="1" spans="33:33">
      <c r="AG830" s="10"/>
    </row>
    <row r="831" s="6" customFormat="1" spans="33:33">
      <c r="AG831" s="10"/>
    </row>
    <row r="832" s="6" customFormat="1" spans="33:33">
      <c r="AG832" s="10"/>
    </row>
    <row r="833" s="6" customFormat="1" spans="33:33">
      <c r="AG833" s="10"/>
    </row>
    <row r="834" s="6" customFormat="1" spans="33:33">
      <c r="AG834" s="10"/>
    </row>
    <row r="835" s="6" customFormat="1" spans="33:33">
      <c r="AG835" s="10"/>
    </row>
    <row r="836" s="6" customFormat="1" spans="33:33">
      <c r="AG836" s="10"/>
    </row>
    <row r="837" s="6" customFormat="1" spans="33:33">
      <c r="AG837" s="10"/>
    </row>
    <row r="838" s="6" customFormat="1" spans="33:33">
      <c r="AG838" s="10"/>
    </row>
    <row r="839" s="6" customFormat="1" spans="33:33">
      <c r="AG839" s="10"/>
    </row>
    <row r="840" s="6" customFormat="1" spans="33:33">
      <c r="AG840" s="10"/>
    </row>
    <row r="841" s="6" customFormat="1" spans="33:33">
      <c r="AG841" s="10"/>
    </row>
    <row r="842" s="6" customFormat="1" spans="33:33">
      <c r="AG842" s="10"/>
    </row>
    <row r="843" s="6" customFormat="1" spans="33:33">
      <c r="AG843" s="10"/>
    </row>
    <row r="844" s="6" customFormat="1" spans="33:33">
      <c r="AG844" s="10"/>
    </row>
    <row r="845" s="6" customFormat="1" spans="33:33">
      <c r="AG845" s="10"/>
    </row>
    <row r="846" s="6" customFormat="1" spans="33:33">
      <c r="AG846" s="10"/>
    </row>
    <row r="847" s="6" customFormat="1" spans="33:33">
      <c r="AG847" s="10"/>
    </row>
    <row r="848" s="6" customFormat="1" spans="33:33">
      <c r="AG848" s="10"/>
    </row>
    <row r="849" s="6" customFormat="1" spans="33:33">
      <c r="AG849" s="10"/>
    </row>
    <row r="850" s="6" customFormat="1" spans="33:33">
      <c r="AG850" s="10"/>
    </row>
    <row r="851" s="6" customFormat="1" spans="33:33">
      <c r="AG851" s="10"/>
    </row>
    <row r="852" s="6" customFormat="1" spans="33:33">
      <c r="AG852" s="10"/>
    </row>
    <row r="853" s="6" customFormat="1" spans="33:33">
      <c r="AG853" s="10"/>
    </row>
    <row r="854" s="6" customFormat="1" spans="33:33">
      <c r="AG854" s="10"/>
    </row>
    <row r="855" s="6" customFormat="1" spans="33:33">
      <c r="AG855" s="10"/>
    </row>
    <row r="856" s="6" customFormat="1" spans="33:33">
      <c r="AG856" s="10"/>
    </row>
    <row r="857" s="6" customFormat="1" spans="33:33">
      <c r="AG857" s="10"/>
    </row>
    <row r="858" s="6" customFormat="1" spans="33:33">
      <c r="AG858" s="10"/>
    </row>
    <row r="859" s="6" customFormat="1" spans="33:33">
      <c r="AG859" s="10"/>
    </row>
    <row r="860" s="6" customFormat="1" spans="33:33">
      <c r="AG860" s="10"/>
    </row>
    <row r="861" s="6" customFormat="1" spans="33:33">
      <c r="AG861" s="10"/>
    </row>
    <row r="862" s="6" customFormat="1" spans="33:33">
      <c r="AG862" s="10"/>
    </row>
    <row r="863" s="6" customFormat="1" spans="33:33">
      <c r="AG863" s="10"/>
    </row>
    <row r="864" s="6" customFormat="1" spans="33:33">
      <c r="AG864" s="10"/>
    </row>
    <row r="865" s="6" customFormat="1" spans="33:33">
      <c r="AG865" s="10"/>
    </row>
    <row r="866" s="6" customFormat="1" spans="33:33">
      <c r="AG866" s="10"/>
    </row>
    <row r="867" s="6" customFormat="1" spans="33:33">
      <c r="AG867" s="10"/>
    </row>
    <row r="868" s="6" customFormat="1" spans="33:33">
      <c r="AG868" s="10"/>
    </row>
    <row r="869" s="6" customFormat="1" spans="33:33">
      <c r="AG869" s="10"/>
    </row>
    <row r="870" s="6" customFormat="1" spans="33:33">
      <c r="AG870" s="10"/>
    </row>
    <row r="871" s="6" customFormat="1" spans="33:33">
      <c r="AG871" s="10"/>
    </row>
    <row r="872" s="6" customFormat="1" spans="33:33">
      <c r="AG872" s="10"/>
    </row>
    <row r="873" s="6" customFormat="1" spans="33:33">
      <c r="AG873" s="10"/>
    </row>
    <row r="874" s="6" customFormat="1" spans="33:33">
      <c r="AG874" s="10"/>
    </row>
    <row r="875" s="6" customFormat="1" spans="33:33">
      <c r="AG875" s="10"/>
    </row>
    <row r="876" s="6" customFormat="1" spans="33:33">
      <c r="AG876" s="10"/>
    </row>
    <row r="877" s="6" customFormat="1" spans="33:33">
      <c r="AG877" s="10"/>
    </row>
    <row r="878" s="6" customFormat="1" spans="33:33">
      <c r="AG878" s="10"/>
    </row>
    <row r="879" s="6" customFormat="1" spans="33:33">
      <c r="AG879" s="10"/>
    </row>
    <row r="880" s="6" customFormat="1" spans="33:33">
      <c r="AG880" s="10"/>
    </row>
    <row r="881" s="6" customFormat="1" spans="33:33">
      <c r="AG881" s="10"/>
    </row>
    <row r="882" s="6" customFormat="1" spans="33:33">
      <c r="AG882" s="10"/>
    </row>
    <row r="883" s="6" customFormat="1" spans="33:33">
      <c r="AG883" s="10"/>
    </row>
    <row r="884" s="6" customFormat="1" spans="33:33">
      <c r="AG884" s="10"/>
    </row>
    <row r="885" s="6" customFormat="1" spans="33:33">
      <c r="AG885" s="10"/>
    </row>
    <row r="886" s="6" customFormat="1" spans="33:33">
      <c r="AG886" s="10"/>
    </row>
    <row r="887" s="6" customFormat="1" spans="33:33">
      <c r="AG887" s="10"/>
    </row>
    <row r="888" s="6" customFormat="1" spans="33:33">
      <c r="AG888" s="10"/>
    </row>
    <row r="889" s="6" customFormat="1" spans="33:33">
      <c r="AG889" s="10"/>
    </row>
    <row r="890" s="6" customFormat="1" spans="33:33">
      <c r="AG890" s="10"/>
    </row>
    <row r="891" s="6" customFormat="1" spans="33:33">
      <c r="AG891" s="10"/>
    </row>
    <row r="892" s="6" customFormat="1" spans="33:33">
      <c r="AG892" s="10"/>
    </row>
    <row r="893" s="6" customFormat="1" spans="33:33">
      <c r="AG893" s="10"/>
    </row>
    <row r="894" s="6" customFormat="1" spans="33:33">
      <c r="AG894" s="10"/>
    </row>
    <row r="895" s="6" customFormat="1" spans="33:33">
      <c r="AG895" s="10"/>
    </row>
    <row r="896" s="6" customFormat="1" spans="33:33">
      <c r="AG896" s="10"/>
    </row>
    <row r="897" s="6" customFormat="1" spans="33:33">
      <c r="AG897" s="10"/>
    </row>
    <row r="898" s="6" customFormat="1" spans="33:33">
      <c r="AG898" s="10"/>
    </row>
    <row r="899" s="6" customFormat="1" spans="33:33">
      <c r="AG899" s="10"/>
    </row>
    <row r="900" s="6" customFormat="1" spans="33:33">
      <c r="AG900" s="10"/>
    </row>
    <row r="901" s="6" customFormat="1" spans="33:33">
      <c r="AG901" s="10"/>
    </row>
    <row r="902" s="6" customFormat="1" spans="33:33">
      <c r="AG902" s="10"/>
    </row>
    <row r="903" s="6" customFormat="1" spans="33:33">
      <c r="AG903" s="10"/>
    </row>
    <row r="904" s="6" customFormat="1" spans="33:33">
      <c r="AG904" s="10"/>
    </row>
    <row r="905" s="6" customFormat="1" spans="33:33">
      <c r="AG905" s="10"/>
    </row>
    <row r="906" s="6" customFormat="1" spans="33:33">
      <c r="AG906" s="10"/>
    </row>
    <row r="907" s="6" customFormat="1" spans="33:33">
      <c r="AG907" s="10"/>
    </row>
    <row r="908" s="6" customFormat="1" spans="33:33">
      <c r="AG908" s="10"/>
    </row>
    <row r="909" s="6" customFormat="1" spans="33:33">
      <c r="AG909" s="10"/>
    </row>
    <row r="910" s="6" customFormat="1" spans="33:33">
      <c r="AG910" s="10"/>
    </row>
    <row r="911" s="6" customFormat="1" spans="33:33">
      <c r="AG911" s="10"/>
    </row>
    <row r="912" s="6" customFormat="1" spans="33:33">
      <c r="AG912" s="10"/>
    </row>
    <row r="913" s="6" customFormat="1" spans="33:33">
      <c r="AG913" s="10"/>
    </row>
    <row r="914" s="6" customFormat="1" spans="33:33">
      <c r="AG914" s="10"/>
    </row>
    <row r="915" s="6" customFormat="1" spans="33:33">
      <c r="AG915" s="10"/>
    </row>
    <row r="916" s="6" customFormat="1" spans="33:33">
      <c r="AG916" s="10"/>
    </row>
    <row r="917" s="6" customFormat="1" spans="33:33">
      <c r="AG917" s="10"/>
    </row>
    <row r="918" s="6" customFormat="1" spans="33:33">
      <c r="AG918" s="10"/>
    </row>
    <row r="919" s="6" customFormat="1" spans="33:33">
      <c r="AG919" s="10"/>
    </row>
    <row r="920" s="6" customFormat="1" spans="33:33">
      <c r="AG920" s="10"/>
    </row>
    <row r="921" s="6" customFormat="1" spans="33:33">
      <c r="AG921" s="10"/>
    </row>
    <row r="922" s="6" customFormat="1" spans="33:33">
      <c r="AG922" s="10"/>
    </row>
    <row r="923" s="6" customFormat="1" spans="33:33">
      <c r="AG923" s="10"/>
    </row>
    <row r="924" s="6" customFormat="1" spans="33:33">
      <c r="AG924" s="10"/>
    </row>
    <row r="925" s="6" customFormat="1" spans="33:33">
      <c r="AG925" s="10"/>
    </row>
    <row r="926" s="6" customFormat="1" spans="33:33">
      <c r="AG926" s="10"/>
    </row>
    <row r="927" s="6" customFormat="1" spans="33:33">
      <c r="AG927" s="10"/>
    </row>
    <row r="928" s="6" customFormat="1" spans="33:33">
      <c r="AG928" s="10"/>
    </row>
    <row r="929" s="6" customFormat="1" spans="33:33">
      <c r="AG929" s="10"/>
    </row>
    <row r="930" s="6" customFormat="1" spans="33:33">
      <c r="AG930" s="10"/>
    </row>
    <row r="931" s="6" customFormat="1" spans="33:33">
      <c r="AG931" s="10"/>
    </row>
    <row r="932" s="6" customFormat="1" spans="33:33">
      <c r="AG932" s="10"/>
    </row>
    <row r="933" s="6" customFormat="1" spans="33:33">
      <c r="AG933" s="10"/>
    </row>
    <row r="934" s="6" customFormat="1" spans="33:33">
      <c r="AG934" s="10"/>
    </row>
    <row r="935" s="6" customFormat="1" spans="33:33">
      <c r="AG935" s="10"/>
    </row>
    <row r="936" s="6" customFormat="1" spans="33:33">
      <c r="AG936" s="10"/>
    </row>
    <row r="937" s="6" customFormat="1" spans="33:33">
      <c r="AG937" s="10"/>
    </row>
    <row r="938" s="6" customFormat="1" spans="33:33">
      <c r="AG938" s="10"/>
    </row>
    <row r="939" s="6" customFormat="1" spans="33:33">
      <c r="AG939" s="10"/>
    </row>
    <row r="940" s="6" customFormat="1" spans="33:33">
      <c r="AG940" s="10"/>
    </row>
    <row r="941" s="6" customFormat="1" spans="33:33">
      <c r="AG941" s="10"/>
    </row>
    <row r="942" s="6" customFormat="1" spans="33:33">
      <c r="AG942" s="10"/>
    </row>
    <row r="943" s="6" customFormat="1" spans="33:33">
      <c r="AG943" s="10"/>
    </row>
    <row r="944" s="6" customFormat="1" spans="33:33">
      <c r="AG944" s="10"/>
    </row>
    <row r="945" s="6" customFormat="1" spans="33:33">
      <c r="AG945" s="10"/>
    </row>
    <row r="946" s="6" customFormat="1" spans="33:33">
      <c r="AG946" s="10"/>
    </row>
    <row r="947" s="6" customFormat="1" spans="33:33">
      <c r="AG947" s="10"/>
    </row>
    <row r="948" s="6" customFormat="1" spans="33:33">
      <c r="AG948" s="10"/>
    </row>
    <row r="949" s="6" customFormat="1" spans="33:33">
      <c r="AG949" s="10"/>
    </row>
    <row r="950" s="6" customFormat="1" spans="33:33">
      <c r="AG950" s="10"/>
    </row>
    <row r="951" s="6" customFormat="1" spans="33:33">
      <c r="AG951" s="10"/>
    </row>
    <row r="952" s="6" customFormat="1" spans="33:33">
      <c r="AG952" s="10"/>
    </row>
    <row r="953" s="6" customFormat="1" spans="33:33">
      <c r="AG953" s="10"/>
    </row>
    <row r="954" s="6" customFormat="1" spans="33:33">
      <c r="AG954" s="10"/>
    </row>
    <row r="955" s="6" customFormat="1" spans="33:33">
      <c r="AG955" s="10"/>
    </row>
    <row r="956" s="6" customFormat="1" spans="33:33">
      <c r="AG956" s="10"/>
    </row>
    <row r="957" s="6" customFormat="1" spans="33:33">
      <c r="AG957" s="10"/>
    </row>
    <row r="958" s="6" customFormat="1" spans="33:33">
      <c r="AG958" s="10"/>
    </row>
    <row r="959" s="6" customFormat="1" spans="33:33">
      <c r="AG959" s="10"/>
    </row>
    <row r="960" s="6" customFormat="1" spans="33:33">
      <c r="AG960" s="10"/>
    </row>
    <row r="961" s="6" customFormat="1" spans="33:33">
      <c r="AG961" s="10"/>
    </row>
    <row r="962" s="6" customFormat="1" spans="33:33">
      <c r="AG962" s="10"/>
    </row>
    <row r="963" s="6" customFormat="1" spans="33:33">
      <c r="AG963" s="10"/>
    </row>
    <row r="964" s="6" customFormat="1" spans="33:33">
      <c r="AG964" s="10"/>
    </row>
    <row r="965" s="6" customFormat="1" spans="33:33">
      <c r="AG965" s="10"/>
    </row>
    <row r="966" s="6" customFormat="1" spans="33:33">
      <c r="AG966" s="10"/>
    </row>
    <row r="967" s="6" customFormat="1" spans="33:33">
      <c r="AG967" s="10"/>
    </row>
    <row r="968" s="6" customFormat="1" spans="33:33">
      <c r="AG968" s="10"/>
    </row>
    <row r="969" s="6" customFormat="1" spans="33:33">
      <c r="AG969" s="10"/>
    </row>
    <row r="970" s="6" customFormat="1" spans="33:33">
      <c r="AG970" s="10"/>
    </row>
    <row r="971" s="6" customFormat="1" spans="33:33">
      <c r="AG971" s="10"/>
    </row>
    <row r="972" s="6" customFormat="1" spans="33:33">
      <c r="AG972" s="10"/>
    </row>
    <row r="973" s="6" customFormat="1" spans="33:33">
      <c r="AG973" s="10"/>
    </row>
    <row r="974" s="6" customFormat="1" spans="33:33">
      <c r="AG974" s="10"/>
    </row>
    <row r="975" s="6" customFormat="1" spans="33:33">
      <c r="AG975" s="10"/>
    </row>
    <row r="976" s="6" customFormat="1" spans="33:33">
      <c r="AG976" s="10"/>
    </row>
    <row r="977" s="6" customFormat="1" spans="33:33">
      <c r="AG977" s="10"/>
    </row>
    <row r="978" s="6" customFormat="1" spans="33:33">
      <c r="AG978" s="10"/>
    </row>
    <row r="979" s="6" customFormat="1" spans="33:33">
      <c r="AG979" s="10"/>
    </row>
    <row r="980" s="6" customFormat="1" spans="33:33">
      <c r="AG980" s="10"/>
    </row>
    <row r="981" s="6" customFormat="1" spans="33:33">
      <c r="AG981" s="10"/>
    </row>
    <row r="982" s="6" customFormat="1" spans="33:33">
      <c r="AG982" s="10"/>
    </row>
    <row r="983" s="6" customFormat="1" spans="33:33">
      <c r="AG983" s="10"/>
    </row>
    <row r="984" s="6" customFormat="1" spans="33:33">
      <c r="AG984" s="10"/>
    </row>
    <row r="985" s="6" customFormat="1" spans="33:33">
      <c r="AG985" s="10"/>
    </row>
    <row r="986" s="6" customFormat="1" spans="33:33">
      <c r="AG986" s="10"/>
    </row>
    <row r="987" s="6" customFormat="1" spans="33:33">
      <c r="AG987" s="10"/>
    </row>
    <row r="988" s="6" customFormat="1" spans="33:33">
      <c r="AG988" s="10"/>
    </row>
    <row r="989" s="6" customFormat="1" spans="33:33">
      <c r="AG989" s="10"/>
    </row>
    <row r="990" s="6" customFormat="1" spans="33:33">
      <c r="AG990" s="10"/>
    </row>
    <row r="991" s="6" customFormat="1" spans="33:33">
      <c r="AG991" s="10"/>
    </row>
    <row r="992" s="6" customFormat="1" spans="33:33">
      <c r="AG992" s="10"/>
    </row>
    <row r="993" s="6" customFormat="1" spans="33:33">
      <c r="AG993" s="10"/>
    </row>
    <row r="994" s="6" customFormat="1" spans="33:33">
      <c r="AG994" s="10"/>
    </row>
    <row r="995" s="6" customFormat="1" spans="33:33">
      <c r="AG995" s="10"/>
    </row>
    <row r="996" s="6" customFormat="1" spans="33:33">
      <c r="AG996" s="10"/>
    </row>
    <row r="997" s="6" customFormat="1" spans="33:33">
      <c r="AG997" s="10"/>
    </row>
    <row r="998" s="6" customFormat="1" spans="33:33">
      <c r="AG998" s="10"/>
    </row>
    <row r="999" s="6" customFormat="1" spans="33:33">
      <c r="AG999" s="10"/>
    </row>
    <row r="1000" s="6" customFormat="1" spans="33:33">
      <c r="AG1000" s="10"/>
    </row>
    <row r="1001" s="6" customFormat="1" spans="33:33">
      <c r="AG1001" s="10"/>
    </row>
    <row r="1002" s="6" customFormat="1" spans="33:33">
      <c r="AG1002" s="10"/>
    </row>
    <row r="1003" s="6" customFormat="1" spans="33:33">
      <c r="AG1003" s="10"/>
    </row>
    <row r="1004" s="6" customFormat="1" spans="33:33">
      <c r="AG1004" s="10"/>
    </row>
    <row r="1005" s="6" customFormat="1" spans="33:33">
      <c r="AG1005" s="10"/>
    </row>
    <row r="1006" s="6" customFormat="1" spans="33:33">
      <c r="AG1006" s="10"/>
    </row>
    <row r="1007" s="6" customFormat="1" spans="33:33">
      <c r="AG1007" s="10"/>
    </row>
    <row r="1008" s="6" customFormat="1" spans="33:33">
      <c r="AG1008" s="10"/>
    </row>
    <row r="1009" s="6" customFormat="1" spans="33:33">
      <c r="AG1009" s="10"/>
    </row>
    <row r="1010" s="6" customFormat="1" spans="33:33">
      <c r="AG1010" s="10"/>
    </row>
    <row r="1011" s="6" customFormat="1" spans="33:33">
      <c r="AG1011" s="10"/>
    </row>
    <row r="1012" s="6" customFormat="1" spans="33:33">
      <c r="AG1012" s="10"/>
    </row>
    <row r="1013" s="6" customFormat="1" spans="33:33">
      <c r="AG1013" s="10"/>
    </row>
    <row r="1014" s="6" customFormat="1" spans="33:33">
      <c r="AG1014" s="10"/>
    </row>
    <row r="1015" s="6" customFormat="1" spans="33:33">
      <c r="AG1015" s="10"/>
    </row>
    <row r="1016" s="6" customFormat="1" spans="33:33">
      <c r="AG1016" s="10"/>
    </row>
    <row r="1017" s="6" customFormat="1" spans="33:33">
      <c r="AG1017" s="10"/>
    </row>
    <row r="1018" s="6" customFormat="1" spans="33:33">
      <c r="AG1018" s="10"/>
    </row>
    <row r="1019" s="6" customFormat="1" spans="33:33">
      <c r="AG1019" s="10"/>
    </row>
    <row r="1020" s="6" customFormat="1" spans="33:33">
      <c r="AG1020" s="10"/>
    </row>
    <row r="1021" s="6" customFormat="1" spans="33:33">
      <c r="AG1021" s="10"/>
    </row>
    <row r="1022" s="6" customFormat="1" spans="33:33">
      <c r="AG1022" s="10"/>
    </row>
    <row r="1023" s="6" customFormat="1" spans="33:33">
      <c r="AG1023" s="10"/>
    </row>
    <row r="1024" s="6" customFormat="1" spans="33:33">
      <c r="AG1024" s="10"/>
    </row>
    <row r="1025" s="6" customFormat="1" spans="33:33">
      <c r="AG1025" s="10"/>
    </row>
    <row r="1026" s="6" customFormat="1" spans="33:33">
      <c r="AG1026" s="10"/>
    </row>
    <row r="1027" s="6" customFormat="1" spans="33:33">
      <c r="AG1027" s="10"/>
    </row>
    <row r="1028" s="6" customFormat="1" spans="33:33">
      <c r="AG1028" s="10"/>
    </row>
    <row r="1029" s="6" customFormat="1" spans="33:33">
      <c r="AG1029" s="10"/>
    </row>
    <row r="1030" s="6" customFormat="1" spans="33:33">
      <c r="AG1030" s="10"/>
    </row>
    <row r="1031" s="6" customFormat="1" spans="33:33">
      <c r="AG1031" s="10"/>
    </row>
    <row r="1032" s="6" customFormat="1" spans="33:33">
      <c r="AG1032" s="10"/>
    </row>
    <row r="1033" s="6" customFormat="1" spans="33:33">
      <c r="AG1033" s="10"/>
    </row>
    <row r="1034" s="6" customFormat="1" spans="33:33">
      <c r="AG1034" s="10"/>
    </row>
    <row r="1035" s="6" customFormat="1" spans="33:33">
      <c r="AG1035" s="10"/>
    </row>
    <row r="1036" s="6" customFormat="1" spans="33:33">
      <c r="AG1036" s="10"/>
    </row>
    <row r="1037" s="6" customFormat="1" spans="33:33">
      <c r="AG1037" s="10"/>
    </row>
    <row r="1038" s="6" customFormat="1" spans="33:33">
      <c r="AG1038" s="10"/>
    </row>
    <row r="1039" s="6" customFormat="1" spans="33:33">
      <c r="AG1039" s="10"/>
    </row>
    <row r="1040" s="6" customFormat="1" spans="33:33">
      <c r="AG1040" s="10"/>
    </row>
    <row r="1041" s="6" customFormat="1" spans="33:33">
      <c r="AG1041" s="10"/>
    </row>
    <row r="1042" s="6" customFormat="1" spans="33:33">
      <c r="AG1042" s="10"/>
    </row>
    <row r="1043" s="6" customFormat="1" spans="33:33">
      <c r="AG1043" s="10"/>
    </row>
    <row r="1044" s="6" customFormat="1" spans="33:33">
      <c r="AG1044" s="10"/>
    </row>
    <row r="1045" s="6" customFormat="1" spans="33:33">
      <c r="AG1045" s="10"/>
    </row>
    <row r="1046" s="6" customFormat="1" spans="33:33">
      <c r="AG1046" s="10"/>
    </row>
    <row r="1047" s="6" customFormat="1" spans="33:33">
      <c r="AG1047" s="10"/>
    </row>
    <row r="1048" s="6" customFormat="1" spans="33:33">
      <c r="AG1048" s="10"/>
    </row>
    <row r="1049" s="6" customFormat="1" spans="33:33">
      <c r="AG1049" s="10"/>
    </row>
    <row r="1050" s="6" customFormat="1" spans="33:33">
      <c r="AG1050" s="10"/>
    </row>
    <row r="1051" s="6" customFormat="1" spans="33:33">
      <c r="AG1051" s="10"/>
    </row>
    <row r="1052" s="6" customFormat="1" spans="33:33">
      <c r="AG1052" s="10"/>
    </row>
    <row r="1053" s="6" customFormat="1" spans="33:33">
      <c r="AG1053" s="10"/>
    </row>
    <row r="1054" s="6" customFormat="1" spans="33:33">
      <c r="AG1054" s="10"/>
    </row>
    <row r="1055" s="6" customFormat="1" spans="33:33">
      <c r="AG1055" s="10"/>
    </row>
    <row r="1056" s="6" customFormat="1" spans="33:33">
      <c r="AG1056" s="10"/>
    </row>
    <row r="1057" s="6" customFormat="1" spans="33:33">
      <c r="AG1057" s="10"/>
    </row>
    <row r="1058" s="6" customFormat="1" spans="33:33">
      <c r="AG1058" s="10"/>
    </row>
    <row r="1059" s="6" customFormat="1" spans="33:33">
      <c r="AG1059" s="10"/>
    </row>
    <row r="1060" s="6" customFormat="1" spans="33:33">
      <c r="AG1060" s="10"/>
    </row>
    <row r="1061" s="6" customFormat="1" spans="33:33">
      <c r="AG1061" s="10"/>
    </row>
    <row r="1062" s="6" customFormat="1" spans="33:33">
      <c r="AG1062" s="10"/>
    </row>
    <row r="1063" s="6" customFormat="1" spans="33:33">
      <c r="AG1063" s="10"/>
    </row>
    <row r="1064" s="6" customFormat="1" spans="33:33">
      <c r="AG1064" s="10"/>
    </row>
    <row r="1065" s="6" customFormat="1" spans="33:33">
      <c r="AG1065" s="10"/>
    </row>
    <row r="1066" s="6" customFormat="1" spans="33:33">
      <c r="AG1066" s="10"/>
    </row>
    <row r="1067" s="6" customFormat="1" spans="33:33">
      <c r="AG1067" s="10"/>
    </row>
    <row r="1068" s="6" customFormat="1" spans="33:33">
      <c r="AG1068" s="10"/>
    </row>
    <row r="1069" s="6" customFormat="1" spans="33:33">
      <c r="AG1069" s="10"/>
    </row>
    <row r="1070" s="6" customFormat="1" spans="33:33">
      <c r="AG1070" s="10"/>
    </row>
    <row r="1071" s="6" customFormat="1" spans="33:33">
      <c r="AG1071" s="10"/>
    </row>
    <row r="1072" s="6" customFormat="1" spans="33:33">
      <c r="AG1072" s="10"/>
    </row>
    <row r="1073" s="6" customFormat="1" spans="33:33">
      <c r="AG1073" s="10"/>
    </row>
    <row r="1074" s="6" customFormat="1" spans="33:33">
      <c r="AG1074" s="10"/>
    </row>
    <row r="1075" s="6" customFormat="1" spans="33:33">
      <c r="AG1075" s="10"/>
    </row>
    <row r="1076" s="6" customFormat="1" spans="33:33">
      <c r="AG1076" s="10"/>
    </row>
    <row r="1077" s="6" customFormat="1" spans="33:33">
      <c r="AG1077" s="10"/>
    </row>
    <row r="1078" s="6" customFormat="1" spans="33:33">
      <c r="AG1078" s="10"/>
    </row>
    <row r="1079" s="6" customFormat="1" spans="33:33">
      <c r="AG1079" s="10"/>
    </row>
    <row r="1080" s="6" customFormat="1" spans="33:33">
      <c r="AG1080" s="10"/>
    </row>
    <row r="1081" s="6" customFormat="1" spans="33:33">
      <c r="AG1081" s="10"/>
    </row>
    <row r="1082" s="6" customFormat="1" spans="33:33">
      <c r="AG1082" s="10"/>
    </row>
    <row r="1083" s="6" customFormat="1" spans="33:33">
      <c r="AG1083" s="10"/>
    </row>
    <row r="1084" s="6" customFormat="1" spans="33:33">
      <c r="AG1084" s="10"/>
    </row>
    <row r="1085" s="6" customFormat="1" spans="33:33">
      <c r="AG1085" s="10"/>
    </row>
    <row r="1086" s="6" customFormat="1" spans="33:33">
      <c r="AG1086" s="10"/>
    </row>
    <row r="1087" s="6" customFormat="1" spans="33:33">
      <c r="AG1087" s="10"/>
    </row>
    <row r="1088" s="6" customFormat="1" spans="33:33">
      <c r="AG1088" s="10"/>
    </row>
    <row r="1089" s="6" customFormat="1" spans="33:33">
      <c r="AG1089" s="10"/>
    </row>
    <row r="1090" s="6" customFormat="1" spans="33:33">
      <c r="AG1090" s="10"/>
    </row>
    <row r="1091" s="6" customFormat="1" spans="33:33">
      <c r="AG1091" s="10"/>
    </row>
    <row r="1092" s="6" customFormat="1" spans="33:33">
      <c r="AG1092" s="10"/>
    </row>
    <row r="1093" s="6" customFormat="1" spans="33:33">
      <c r="AG1093" s="10"/>
    </row>
    <row r="1094" s="6" customFormat="1" spans="33:33">
      <c r="AG1094" s="10"/>
    </row>
    <row r="1095" s="6" customFormat="1" spans="33:33">
      <c r="AG1095" s="10"/>
    </row>
    <row r="1096" s="6" customFormat="1" spans="33:33">
      <c r="AG1096" s="10"/>
    </row>
    <row r="1097" s="6" customFormat="1" spans="33:33">
      <c r="AG1097" s="10"/>
    </row>
    <row r="1098" s="6" customFormat="1" spans="33:33">
      <c r="AG1098" s="10"/>
    </row>
    <row r="1099" s="6" customFormat="1" spans="33:33">
      <c r="AG1099" s="10"/>
    </row>
    <row r="1100" s="6" customFormat="1" spans="33:33">
      <c r="AG1100" s="10"/>
    </row>
    <row r="1101" s="6" customFormat="1" spans="33:33">
      <c r="AG1101" s="10"/>
    </row>
    <row r="1102" s="6" customFormat="1" spans="33:33">
      <c r="AG1102" s="10"/>
    </row>
    <row r="1103" s="6" customFormat="1" spans="33:33">
      <c r="AG1103" s="10"/>
    </row>
    <row r="1104" s="6" customFormat="1" spans="33:33">
      <c r="AG1104" s="10"/>
    </row>
    <row r="1105" s="6" customFormat="1" spans="33:33">
      <c r="AG1105" s="10"/>
    </row>
    <row r="1106" s="6" customFormat="1" spans="33:33">
      <c r="AG1106" s="10"/>
    </row>
    <row r="1107" s="6" customFormat="1" spans="33:33">
      <c r="AG1107" s="10"/>
    </row>
    <row r="1108" s="6" customFormat="1" spans="33:33">
      <c r="AG1108" s="10"/>
    </row>
    <row r="1109" s="6" customFormat="1" spans="33:33">
      <c r="AG1109" s="10"/>
    </row>
    <row r="1110" s="6" customFormat="1" spans="33:33">
      <c r="AG1110" s="10"/>
    </row>
    <row r="1111" s="6" customFormat="1" spans="33:33">
      <c r="AG1111" s="10"/>
    </row>
    <row r="1112" s="6" customFormat="1" spans="33:33">
      <c r="AG1112" s="10"/>
    </row>
    <row r="1113" s="6" customFormat="1" spans="33:33">
      <c r="AG1113" s="10"/>
    </row>
    <row r="1114" s="6" customFormat="1" spans="33:33">
      <c r="AG1114" s="10"/>
    </row>
    <row r="1115" s="6" customFormat="1" spans="33:33">
      <c r="AG1115" s="10"/>
    </row>
    <row r="1116" s="6" customFormat="1" spans="33:33">
      <c r="AG1116" s="10"/>
    </row>
    <row r="1117" s="6" customFormat="1" spans="33:33">
      <c r="AG1117" s="10"/>
    </row>
    <row r="1118" s="6" customFormat="1" spans="33:33">
      <c r="AG1118" s="10"/>
    </row>
    <row r="1119" s="6" customFormat="1" spans="33:33">
      <c r="AG1119" s="10"/>
    </row>
    <row r="1120" s="6" customFormat="1" spans="33:33">
      <c r="AG1120" s="10"/>
    </row>
    <row r="1121" s="6" customFormat="1" spans="33:33">
      <c r="AG1121" s="10"/>
    </row>
    <row r="1122" s="6" customFormat="1" spans="33:33">
      <c r="AG1122" s="10"/>
    </row>
    <row r="1123" s="6" customFormat="1" spans="33:33">
      <c r="AG1123" s="10"/>
    </row>
    <row r="1124" s="6" customFormat="1" spans="33:33">
      <c r="AG1124" s="10"/>
    </row>
    <row r="1125" s="6" customFormat="1" spans="33:33">
      <c r="AG1125" s="10"/>
    </row>
    <row r="1126" s="6" customFormat="1" spans="33:33">
      <c r="AG1126" s="10"/>
    </row>
    <row r="1127" s="6" customFormat="1" spans="33:33">
      <c r="AG1127" s="10"/>
    </row>
    <row r="1128" s="6" customFormat="1" spans="33:33">
      <c r="AG1128" s="10"/>
    </row>
    <row r="1129" s="6" customFormat="1" spans="33:33">
      <c r="AG1129" s="10"/>
    </row>
    <row r="1130" s="6" customFormat="1" spans="33:33">
      <c r="AG1130" s="10"/>
    </row>
    <row r="1131" s="6" customFormat="1" spans="33:33">
      <c r="AG1131" s="10"/>
    </row>
    <row r="1132" s="6" customFormat="1" spans="33:33">
      <c r="AG1132" s="10"/>
    </row>
    <row r="1133" s="6" customFormat="1" spans="33:33">
      <c r="AG1133" s="10"/>
    </row>
    <row r="1134" s="6" customFormat="1" spans="33:33">
      <c r="AG1134" s="10"/>
    </row>
    <row r="1135" s="6" customFormat="1" spans="33:33">
      <c r="AG1135" s="10"/>
    </row>
    <row r="1136" s="6" customFormat="1" spans="33:33">
      <c r="AG1136" s="10"/>
    </row>
    <row r="1137" s="6" customFormat="1" spans="33:33">
      <c r="AG1137" s="10"/>
    </row>
    <row r="1138" s="6" customFormat="1" spans="33:33">
      <c r="AG1138" s="10"/>
    </row>
    <row r="1139" s="6" customFormat="1" spans="33:33">
      <c r="AG1139" s="10"/>
    </row>
    <row r="1140" s="6" customFormat="1" spans="33:33">
      <c r="AG1140" s="10"/>
    </row>
    <row r="1141" s="6" customFormat="1" spans="33:33">
      <c r="AG1141" s="10"/>
    </row>
    <row r="1142" s="6" customFormat="1" spans="33:33">
      <c r="AG1142" s="10"/>
    </row>
    <row r="1143" s="6" customFormat="1" spans="33:33">
      <c r="AG1143" s="10"/>
    </row>
    <row r="1144" s="6" customFormat="1" spans="33:33">
      <c r="AG1144" s="10"/>
    </row>
    <row r="1145" s="6" customFormat="1" spans="33:33">
      <c r="AG1145" s="10"/>
    </row>
    <row r="1146" s="6" customFormat="1" spans="33:33">
      <c r="AG1146" s="10"/>
    </row>
    <row r="1147" s="6" customFormat="1" spans="33:33">
      <c r="AG1147" s="10"/>
    </row>
    <row r="1148" s="6" customFormat="1" spans="33:33">
      <c r="AG1148" s="10"/>
    </row>
    <row r="1149" s="6" customFormat="1" spans="33:33">
      <c r="AG1149" s="10"/>
    </row>
    <row r="1150" s="6" customFormat="1" spans="33:33">
      <c r="AG1150" s="10"/>
    </row>
    <row r="1151" s="6" customFormat="1" spans="33:33">
      <c r="AG1151" s="10"/>
    </row>
    <row r="1152" s="6" customFormat="1" spans="33:33">
      <c r="AG1152" s="10"/>
    </row>
    <row r="1153" s="6" customFormat="1" spans="33:33">
      <c r="AG1153" s="10"/>
    </row>
    <row r="1154" s="6" customFormat="1" spans="33:33">
      <c r="AG1154" s="10"/>
    </row>
    <row r="1155" s="6" customFormat="1" spans="33:33">
      <c r="AG1155" s="10"/>
    </row>
    <row r="1156" s="6" customFormat="1" spans="33:33">
      <c r="AG1156" s="10"/>
    </row>
    <row r="1157" s="6" customFormat="1" spans="33:33">
      <c r="AG1157" s="10"/>
    </row>
    <row r="1158" s="6" customFormat="1" spans="33:33">
      <c r="AG1158" s="10"/>
    </row>
    <row r="1159" s="6" customFormat="1" spans="33:33">
      <c r="AG1159" s="10"/>
    </row>
    <row r="1160" s="6" customFormat="1" spans="33:33">
      <c r="AG1160" s="10"/>
    </row>
    <row r="1161" s="6" customFormat="1" spans="33:33">
      <c r="AG1161" s="10"/>
    </row>
    <row r="1162" s="6" customFormat="1" spans="33:33">
      <c r="AG1162" s="10"/>
    </row>
    <row r="1163" s="6" customFormat="1" spans="33:33">
      <c r="AG1163" s="10"/>
    </row>
    <row r="1164" s="6" customFormat="1" spans="33:33">
      <c r="AG1164" s="10"/>
    </row>
    <row r="1165" s="6" customFormat="1" spans="33:33">
      <c r="AG1165" s="10"/>
    </row>
    <row r="1166" s="6" customFormat="1" spans="33:33">
      <c r="AG1166" s="10"/>
    </row>
    <row r="1167" s="6" customFormat="1" spans="33:33">
      <c r="AG1167" s="10"/>
    </row>
    <row r="1168" s="6" customFormat="1" spans="33:33">
      <c r="AG1168" s="10"/>
    </row>
    <row r="1169" s="6" customFormat="1" spans="33:33">
      <c r="AG1169" s="10"/>
    </row>
    <row r="1170" s="6" customFormat="1" spans="33:33">
      <c r="AG1170" s="10"/>
    </row>
    <row r="1171" s="6" customFormat="1" spans="33:33">
      <c r="AG1171" s="10"/>
    </row>
    <row r="1172" s="6" customFormat="1" spans="33:33">
      <c r="AG1172" s="10"/>
    </row>
    <row r="1173" s="6" customFormat="1" spans="33:33">
      <c r="AG1173" s="10"/>
    </row>
    <row r="1174" s="6" customFormat="1" spans="33:33">
      <c r="AG1174" s="10"/>
    </row>
    <row r="1175" s="6" customFormat="1" spans="33:33">
      <c r="AG1175" s="10"/>
    </row>
    <row r="1176" s="6" customFormat="1" spans="33:33">
      <c r="AG1176" s="10"/>
    </row>
    <row r="1177" s="6" customFormat="1" spans="33:33">
      <c r="AG1177" s="10"/>
    </row>
    <row r="1178" s="6" customFormat="1" spans="33:33">
      <c r="AG1178" s="10"/>
    </row>
    <row r="1179" s="6" customFormat="1" spans="33:33">
      <c r="AG1179" s="10"/>
    </row>
    <row r="1180" s="6" customFormat="1" spans="33:33">
      <c r="AG1180" s="10"/>
    </row>
    <row r="1181" s="6" customFormat="1" spans="33:33">
      <c r="AG1181" s="10"/>
    </row>
    <row r="1182" s="6" customFormat="1" spans="33:33">
      <c r="AG1182" s="10"/>
    </row>
    <row r="1183" s="6" customFormat="1" spans="33:33">
      <c r="AG1183" s="10"/>
    </row>
    <row r="1184" s="6" customFormat="1" spans="33:33">
      <c r="AG1184" s="10"/>
    </row>
    <row r="1185" s="6" customFormat="1" spans="33:33">
      <c r="AG1185" s="10"/>
    </row>
    <row r="1186" s="6" customFormat="1" spans="33:33">
      <c r="AG1186" s="10"/>
    </row>
    <row r="1187" s="6" customFormat="1" spans="33:33">
      <c r="AG1187" s="10"/>
    </row>
    <row r="1188" s="6" customFormat="1" spans="33:33">
      <c r="AG1188" s="10"/>
    </row>
    <row r="1189" s="6" customFormat="1" spans="33:33">
      <c r="AG1189" s="10"/>
    </row>
    <row r="1190" s="6" customFormat="1" spans="33:33">
      <c r="AG1190" s="10"/>
    </row>
    <row r="1191" s="6" customFormat="1" spans="33:33">
      <c r="AG1191" s="10"/>
    </row>
    <row r="1192" s="6" customFormat="1" spans="33:33">
      <c r="AG1192" s="10"/>
    </row>
    <row r="1193" s="6" customFormat="1" spans="33:33">
      <c r="AG1193" s="10"/>
    </row>
    <row r="1194" s="6" customFormat="1" spans="33:33">
      <c r="AG1194" s="10"/>
    </row>
    <row r="1195" s="6" customFormat="1" spans="33:33">
      <c r="AG1195" s="10"/>
    </row>
    <row r="1196" s="6" customFormat="1" spans="33:33">
      <c r="AG1196" s="10"/>
    </row>
    <row r="1197" s="6" customFormat="1" spans="33:33">
      <c r="AG1197" s="10"/>
    </row>
    <row r="1198" s="6" customFormat="1" spans="33:33">
      <c r="AG1198" s="10"/>
    </row>
    <row r="1199" s="6" customFormat="1" spans="33:33">
      <c r="AG1199" s="10"/>
    </row>
    <row r="1200" s="6" customFormat="1" spans="33:33">
      <c r="AG1200" s="10"/>
    </row>
    <row r="1201" s="6" customFormat="1" spans="33:33">
      <c r="AG1201" s="10"/>
    </row>
    <row r="1202" s="6" customFormat="1" spans="33:33">
      <c r="AG1202" s="10"/>
    </row>
    <row r="1203" s="6" customFormat="1" spans="33:33">
      <c r="AG1203" s="10"/>
    </row>
    <row r="1204" s="6" customFormat="1" spans="33:33">
      <c r="AG1204" s="10"/>
    </row>
    <row r="1205" s="6" customFormat="1" spans="33:33">
      <c r="AG1205" s="10"/>
    </row>
    <row r="1206" s="6" customFormat="1" spans="33:33">
      <c r="AG1206" s="10"/>
    </row>
    <row r="1207" s="6" customFormat="1" spans="33:33">
      <c r="AG1207" s="10"/>
    </row>
    <row r="1208" s="6" customFormat="1" spans="33:33">
      <c r="AG1208" s="10"/>
    </row>
    <row r="1209" s="6" customFormat="1" spans="33:33">
      <c r="AG1209" s="10"/>
    </row>
    <row r="1210" s="6" customFormat="1" spans="33:33">
      <c r="AG1210" s="10"/>
    </row>
    <row r="1211" s="6" customFormat="1" spans="33:33">
      <c r="AG1211" s="10"/>
    </row>
    <row r="1212" s="6" customFormat="1" spans="33:33">
      <c r="AG1212" s="10"/>
    </row>
    <row r="1213" s="6" customFormat="1" spans="33:33">
      <c r="AG1213" s="10"/>
    </row>
    <row r="1214" s="6" customFormat="1" spans="33:33">
      <c r="AG1214" s="10"/>
    </row>
    <row r="1215" s="6" customFormat="1" spans="33:33">
      <c r="AG1215" s="10"/>
    </row>
    <row r="1216" s="6" customFormat="1" spans="33:33">
      <c r="AG1216" s="10"/>
    </row>
    <row r="1217" s="6" customFormat="1" spans="33:33">
      <c r="AG1217" s="10"/>
    </row>
    <row r="1218" s="6" customFormat="1" spans="33:33">
      <c r="AG1218" s="10"/>
    </row>
    <row r="1219" s="6" customFormat="1" spans="33:33">
      <c r="AG1219" s="10"/>
    </row>
    <row r="1220" s="6" customFormat="1" spans="33:33">
      <c r="AG1220" s="10"/>
    </row>
    <row r="1221" s="6" customFormat="1" spans="33:33">
      <c r="AG1221" s="10"/>
    </row>
    <row r="1222" s="6" customFormat="1" spans="33:33">
      <c r="AG1222" s="10"/>
    </row>
    <row r="1223" s="6" customFormat="1" spans="33:33">
      <c r="AG1223" s="10"/>
    </row>
    <row r="1224" s="6" customFormat="1" spans="33:33">
      <c r="AG1224" s="10"/>
    </row>
    <row r="1225" s="6" customFormat="1" spans="33:33">
      <c r="AG1225" s="10"/>
    </row>
    <row r="1226" s="6" customFormat="1" spans="33:33">
      <c r="AG1226" s="10"/>
    </row>
    <row r="1227" s="6" customFormat="1" spans="33:33">
      <c r="AG1227" s="10"/>
    </row>
    <row r="1228" s="6" customFormat="1" spans="33:33">
      <c r="AG1228" s="10"/>
    </row>
    <row r="1229" s="6" customFormat="1" spans="33:33">
      <c r="AG1229" s="10"/>
    </row>
    <row r="1230" s="6" customFormat="1" spans="33:33">
      <c r="AG1230" s="10"/>
    </row>
    <row r="1231" s="6" customFormat="1" spans="33:33">
      <c r="AG1231" s="10"/>
    </row>
    <row r="1232" s="6" customFormat="1" spans="33:33">
      <c r="AG1232" s="10"/>
    </row>
    <row r="1233" s="6" customFormat="1" spans="33:33">
      <c r="AG1233" s="10"/>
    </row>
    <row r="1234" s="6" customFormat="1" spans="33:33">
      <c r="AG1234" s="10"/>
    </row>
    <row r="1235" s="6" customFormat="1" spans="33:33">
      <c r="AG1235" s="10"/>
    </row>
    <row r="1236" s="6" customFormat="1" spans="33:33">
      <c r="AG1236" s="10"/>
    </row>
    <row r="1237" s="6" customFormat="1" spans="33:33">
      <c r="AG1237" s="10"/>
    </row>
    <row r="1238" s="6" customFormat="1" spans="33:33">
      <c r="AG1238" s="10"/>
    </row>
    <row r="1239" s="6" customFormat="1" spans="33:33">
      <c r="AG1239" s="10"/>
    </row>
    <row r="1240" s="6" customFormat="1" spans="33:33">
      <c r="AG1240" s="10"/>
    </row>
    <row r="1241" s="6" customFormat="1" spans="33:33">
      <c r="AG1241" s="10"/>
    </row>
    <row r="1242" s="6" customFormat="1" spans="33:33">
      <c r="AG1242" s="10"/>
    </row>
    <row r="1243" s="6" customFormat="1" spans="33:33">
      <c r="AG1243" s="10"/>
    </row>
    <row r="1244" s="6" customFormat="1" spans="33:33">
      <c r="AG1244" s="10"/>
    </row>
    <row r="1245" s="6" customFormat="1" spans="33:33">
      <c r="AG1245" s="10"/>
    </row>
    <row r="1246" s="6" customFormat="1" spans="33:33">
      <c r="AG1246" s="10"/>
    </row>
    <row r="1247" s="6" customFormat="1" spans="33:33">
      <c r="AG1247" s="10"/>
    </row>
    <row r="1248" s="6" customFormat="1" spans="33:33">
      <c r="AG1248" s="10"/>
    </row>
    <row r="1249" s="6" customFormat="1" spans="33:33">
      <c r="AG1249" s="10"/>
    </row>
    <row r="1250" s="6" customFormat="1" spans="33:33">
      <c r="AG1250" s="10"/>
    </row>
    <row r="1251" s="6" customFormat="1" spans="33:33">
      <c r="AG1251" s="10"/>
    </row>
    <row r="1252" s="6" customFormat="1" spans="33:33">
      <c r="AG1252" s="10"/>
    </row>
    <row r="1253" s="6" customFormat="1" spans="33:33">
      <c r="AG1253" s="10"/>
    </row>
    <row r="1254" s="6" customFormat="1" spans="33:33">
      <c r="AG1254" s="10"/>
    </row>
    <row r="1255" s="6" customFormat="1" spans="33:33">
      <c r="AG1255" s="10"/>
    </row>
    <row r="1256" s="6" customFormat="1" spans="33:33">
      <c r="AG1256" s="10"/>
    </row>
    <row r="1257" s="6" customFormat="1" spans="33:33">
      <c r="AG1257" s="10"/>
    </row>
    <row r="1258" s="6" customFormat="1" spans="33:33">
      <c r="AG1258" s="10"/>
    </row>
    <row r="1259" s="6" customFormat="1" spans="33:33">
      <c r="AG1259" s="10"/>
    </row>
    <row r="1260" s="6" customFormat="1" spans="33:33">
      <c r="AG1260" s="10"/>
    </row>
    <row r="1261" s="6" customFormat="1" spans="33:33">
      <c r="AG1261" s="10"/>
    </row>
    <row r="1262" s="6" customFormat="1" spans="33:33">
      <c r="AG1262" s="10"/>
    </row>
    <row r="1263" s="6" customFormat="1" spans="33:33">
      <c r="AG1263" s="10"/>
    </row>
    <row r="1264" s="6" customFormat="1" spans="33:33">
      <c r="AG1264" s="10"/>
    </row>
    <row r="1265" s="6" customFormat="1" spans="33:33">
      <c r="AG1265" s="10"/>
    </row>
    <row r="1266" s="6" customFormat="1" spans="33:33">
      <c r="AG1266" s="10"/>
    </row>
    <row r="1267" s="6" customFormat="1" spans="33:33">
      <c r="AG1267" s="10"/>
    </row>
    <row r="1268" s="6" customFormat="1" spans="33:33">
      <c r="AG1268" s="10"/>
    </row>
    <row r="1269" s="6" customFormat="1" spans="33:33">
      <c r="AG1269" s="10"/>
    </row>
    <row r="1270" s="6" customFormat="1" spans="33:33">
      <c r="AG1270" s="10"/>
    </row>
    <row r="1271" s="6" customFormat="1" spans="33:33">
      <c r="AG1271" s="10"/>
    </row>
    <row r="1272" s="6" customFormat="1" spans="33:33">
      <c r="AG1272" s="10"/>
    </row>
    <row r="1273" s="6" customFormat="1" spans="33:33">
      <c r="AG1273" s="10"/>
    </row>
    <row r="1274" s="6" customFormat="1" spans="33:33">
      <c r="AG1274" s="10"/>
    </row>
    <row r="1275" s="6" customFormat="1" spans="33:33">
      <c r="AG1275" s="10"/>
    </row>
    <row r="1276" s="6" customFormat="1" spans="33:33">
      <c r="AG1276" s="10"/>
    </row>
    <row r="1277" s="6" customFormat="1" spans="33:33">
      <c r="AG1277" s="10"/>
    </row>
    <row r="1278" s="6" customFormat="1" spans="33:33">
      <c r="AG1278" s="10"/>
    </row>
    <row r="1279" s="6" customFormat="1" spans="33:33">
      <c r="AG1279" s="10"/>
    </row>
    <row r="1280" s="6" customFormat="1" spans="33:33">
      <c r="AG1280" s="10"/>
    </row>
    <row r="1281" s="6" customFormat="1" spans="33:33">
      <c r="AG1281" s="10"/>
    </row>
    <row r="1282" s="6" customFormat="1" spans="33:33">
      <c r="AG1282" s="10"/>
    </row>
    <row r="1283" s="6" customFormat="1" spans="33:33">
      <c r="AG1283" s="10"/>
    </row>
    <row r="1284" s="6" customFormat="1" spans="33:33">
      <c r="AG1284" s="10"/>
    </row>
    <row r="1285" s="6" customFormat="1" spans="33:33">
      <c r="AG1285" s="10"/>
    </row>
    <row r="1286" s="6" customFormat="1" spans="33:33">
      <c r="AG1286" s="10"/>
    </row>
    <row r="1287" s="6" customFormat="1" spans="33:33">
      <c r="AG1287" s="10"/>
    </row>
    <row r="1288" s="6" customFormat="1" spans="33:33">
      <c r="AG1288" s="10"/>
    </row>
    <row r="1289" s="6" customFormat="1" spans="33:33">
      <c r="AG1289" s="10"/>
    </row>
    <row r="1290" s="6" customFormat="1" spans="33:33">
      <c r="AG1290" s="10"/>
    </row>
    <row r="1291" s="6" customFormat="1" spans="33:33">
      <c r="AG1291" s="10"/>
    </row>
    <row r="1292" s="6" customFormat="1" spans="33:33">
      <c r="AG1292" s="10"/>
    </row>
    <row r="1293" s="6" customFormat="1" spans="33:33">
      <c r="AG1293" s="10"/>
    </row>
    <row r="1294" s="6" customFormat="1" spans="33:33">
      <c r="AG1294" s="10"/>
    </row>
    <row r="1295" s="6" customFormat="1" spans="33:33">
      <c r="AG1295" s="10"/>
    </row>
    <row r="1296" s="6" customFormat="1" spans="33:33">
      <c r="AG1296" s="10"/>
    </row>
    <row r="1297" s="6" customFormat="1" spans="33:33">
      <c r="AG1297" s="10"/>
    </row>
    <row r="1298" s="6" customFormat="1" spans="33:33">
      <c r="AG1298" s="10"/>
    </row>
    <row r="1299" s="6" customFormat="1" spans="33:33">
      <c r="AG1299" s="10"/>
    </row>
    <row r="1300" s="6" customFormat="1" spans="33:33">
      <c r="AG1300" s="10"/>
    </row>
    <row r="1301" s="6" customFormat="1" spans="33:33">
      <c r="AG1301" s="10"/>
    </row>
    <row r="1302" s="6" customFormat="1" spans="33:33">
      <c r="AG1302" s="10"/>
    </row>
    <row r="1303" s="6" customFormat="1" spans="33:33">
      <c r="AG1303" s="10"/>
    </row>
    <row r="1304" s="6" customFormat="1" spans="33:33">
      <c r="AG1304" s="10"/>
    </row>
    <row r="1305" s="6" customFormat="1" spans="33:33">
      <c r="AG1305" s="10"/>
    </row>
    <row r="1306" s="6" customFormat="1" spans="33:33">
      <c r="AG1306" s="10"/>
    </row>
    <row r="1307" s="6" customFormat="1" spans="33:33">
      <c r="AG1307" s="10"/>
    </row>
    <row r="1308" s="6" customFormat="1" spans="33:33">
      <c r="AG1308" s="10"/>
    </row>
    <row r="1309" s="6" customFormat="1" spans="33:33">
      <c r="AG1309" s="10"/>
    </row>
    <row r="1310" s="6" customFormat="1" spans="33:33">
      <c r="AG1310" s="10"/>
    </row>
    <row r="1311" s="6" customFormat="1" spans="33:33">
      <c r="AG1311" s="10"/>
    </row>
    <row r="1312" s="6" customFormat="1" spans="33:33">
      <c r="AG1312" s="10"/>
    </row>
    <row r="1313" s="6" customFormat="1" spans="33:33">
      <c r="AG1313" s="10"/>
    </row>
    <row r="1314" s="6" customFormat="1" spans="33:33">
      <c r="AG1314" s="10"/>
    </row>
    <row r="1315" s="6" customFormat="1" spans="33:33">
      <c r="AG1315" s="10"/>
    </row>
    <row r="1316" s="6" customFormat="1" spans="33:33">
      <c r="AG1316" s="10"/>
    </row>
    <row r="1317" s="6" customFormat="1" spans="33:33">
      <c r="AG1317" s="10"/>
    </row>
    <row r="1318" s="6" customFormat="1" spans="33:33">
      <c r="AG1318" s="10"/>
    </row>
    <row r="1319" s="6" customFormat="1" spans="33:33">
      <c r="AG1319" s="10"/>
    </row>
    <row r="1320" s="6" customFormat="1" spans="33:33">
      <c r="AG1320" s="10"/>
    </row>
    <row r="1321" s="6" customFormat="1" spans="33:33">
      <c r="AG1321" s="10"/>
    </row>
    <row r="1322" s="6" customFormat="1" spans="33:33">
      <c r="AG1322" s="10"/>
    </row>
    <row r="1323" s="6" customFormat="1" spans="33:33">
      <c r="AG1323" s="10"/>
    </row>
    <row r="1324" s="6" customFormat="1" spans="33:33">
      <c r="AG1324" s="10"/>
    </row>
    <row r="1325" s="6" customFormat="1" spans="33:33">
      <c r="AG1325" s="10"/>
    </row>
    <row r="1326" s="6" customFormat="1" spans="33:33">
      <c r="AG1326" s="10"/>
    </row>
    <row r="1327" s="6" customFormat="1" spans="33:33">
      <c r="AG1327" s="10"/>
    </row>
    <row r="1328" s="6" customFormat="1" spans="33:33">
      <c r="AG1328" s="10"/>
    </row>
    <row r="1329" s="6" customFormat="1" spans="33:33">
      <c r="AG1329" s="10"/>
    </row>
    <row r="1330" s="6" customFormat="1" spans="33:33">
      <c r="AG1330" s="10"/>
    </row>
    <row r="1331" s="6" customFormat="1" spans="33:33">
      <c r="AG1331" s="10"/>
    </row>
    <row r="1332" s="6" customFormat="1" spans="33:33">
      <c r="AG1332" s="10"/>
    </row>
    <row r="1333" s="6" customFormat="1" spans="33:33">
      <c r="AG1333" s="10"/>
    </row>
    <row r="1334" s="6" customFormat="1" spans="33:33">
      <c r="AG1334" s="10"/>
    </row>
    <row r="1335" s="6" customFormat="1" spans="33:33">
      <c r="AG1335" s="10"/>
    </row>
    <row r="1336" s="6" customFormat="1" spans="33:33">
      <c r="AG1336" s="10"/>
    </row>
    <row r="1337" s="6" customFormat="1" spans="33:33">
      <c r="AG1337" s="10"/>
    </row>
    <row r="1338" s="6" customFormat="1" spans="33:33">
      <c r="AG1338" s="10"/>
    </row>
    <row r="1339" s="6" customFormat="1" spans="33:33">
      <c r="AG1339" s="10"/>
    </row>
    <row r="1340" s="6" customFormat="1" spans="33:33">
      <c r="AG1340" s="10"/>
    </row>
    <row r="1341" s="6" customFormat="1" spans="33:33">
      <c r="AG1341" s="10"/>
    </row>
    <row r="1342" s="6" customFormat="1" spans="33:33">
      <c r="AG1342" s="10"/>
    </row>
    <row r="1343" s="6" customFormat="1" spans="33:33">
      <c r="AG1343" s="10"/>
    </row>
    <row r="1344" s="6" customFormat="1" spans="33:33">
      <c r="AG1344" s="10"/>
    </row>
    <row r="1345" s="6" customFormat="1" spans="33:33">
      <c r="AG1345" s="10"/>
    </row>
    <row r="1346" s="6" customFormat="1" spans="33:33">
      <c r="AG1346" s="10"/>
    </row>
    <row r="1347" s="6" customFormat="1" spans="33:33">
      <c r="AG1347" s="10"/>
    </row>
    <row r="1348" s="6" customFormat="1" spans="33:33">
      <c r="AG1348" s="10"/>
    </row>
    <row r="1349" s="6" customFormat="1" spans="33:33">
      <c r="AG1349" s="10"/>
    </row>
    <row r="1350" s="6" customFormat="1" spans="33:33">
      <c r="AG1350" s="10"/>
    </row>
    <row r="1351" s="6" customFormat="1" spans="33:33">
      <c r="AG1351" s="10"/>
    </row>
    <row r="1352" s="6" customFormat="1" spans="33:33">
      <c r="AG1352" s="10"/>
    </row>
    <row r="1353" s="6" customFormat="1" spans="33:33">
      <c r="AG1353" s="10"/>
    </row>
    <row r="1354" s="6" customFormat="1" spans="33:33">
      <c r="AG1354" s="10"/>
    </row>
    <row r="1355" s="6" customFormat="1" spans="33:33">
      <c r="AG1355" s="10"/>
    </row>
    <row r="1356" s="6" customFormat="1" spans="33:33">
      <c r="AG1356" s="10"/>
    </row>
    <row r="1357" s="6" customFormat="1" spans="33:33">
      <c r="AG1357" s="10"/>
    </row>
    <row r="1358" s="6" customFormat="1" spans="33:33">
      <c r="AG1358" s="10"/>
    </row>
    <row r="1359" s="6" customFormat="1" spans="33:33">
      <c r="AG1359" s="10"/>
    </row>
    <row r="1360" s="6" customFormat="1" spans="33:33">
      <c r="AG1360" s="10"/>
    </row>
    <row r="1361" s="6" customFormat="1" spans="33:33">
      <c r="AG1361" s="10"/>
    </row>
    <row r="1362" s="6" customFormat="1" spans="33:33">
      <c r="AG1362" s="10"/>
    </row>
    <row r="1363" s="6" customFormat="1" spans="33:33">
      <c r="AG1363" s="10"/>
    </row>
    <row r="1364" s="6" customFormat="1" spans="33:33">
      <c r="AG1364" s="10"/>
    </row>
    <row r="1365" s="6" customFormat="1" spans="33:33">
      <c r="AG1365" s="10"/>
    </row>
    <row r="1366" s="6" customFormat="1" spans="33:33">
      <c r="AG1366" s="10"/>
    </row>
    <row r="1367" s="6" customFormat="1" spans="33:33">
      <c r="AG1367" s="10"/>
    </row>
    <row r="1368" s="6" customFormat="1" spans="33:33">
      <c r="AG1368" s="10"/>
    </row>
    <row r="1369" s="6" customFormat="1" spans="33:33">
      <c r="AG1369" s="10"/>
    </row>
    <row r="1370" s="6" customFormat="1" spans="33:33">
      <c r="AG1370" s="10"/>
    </row>
    <row r="1371" s="6" customFormat="1" spans="33:33">
      <c r="AG1371" s="10"/>
    </row>
    <row r="1372" s="6" customFormat="1" spans="33:33">
      <c r="AG1372" s="10"/>
    </row>
    <row r="1373" s="6" customFormat="1" spans="33:33">
      <c r="AG1373" s="10"/>
    </row>
    <row r="1374" s="6" customFormat="1" spans="33:33">
      <c r="AG1374" s="10"/>
    </row>
    <row r="1375" s="6" customFormat="1" spans="33:33">
      <c r="AG1375" s="10"/>
    </row>
    <row r="1376" s="6" customFormat="1" spans="33:33">
      <c r="AG1376" s="10"/>
    </row>
    <row r="1377" s="6" customFormat="1" spans="33:33">
      <c r="AG1377" s="10"/>
    </row>
    <row r="1378" s="6" customFormat="1" spans="33:33">
      <c r="AG1378" s="10"/>
    </row>
    <row r="1379" s="6" customFormat="1" spans="33:33">
      <c r="AG1379" s="10"/>
    </row>
    <row r="1380" s="6" customFormat="1" spans="33:33">
      <c r="AG1380" s="10"/>
    </row>
    <row r="1381" s="6" customFormat="1" spans="33:33">
      <c r="AG1381" s="10"/>
    </row>
    <row r="1382" s="6" customFormat="1" spans="33:33">
      <c r="AG1382" s="10"/>
    </row>
    <row r="1383" s="6" customFormat="1" spans="33:33">
      <c r="AG1383" s="10"/>
    </row>
    <row r="1384" s="6" customFormat="1" spans="33:33">
      <c r="AG1384" s="10"/>
    </row>
    <row r="1385" s="6" customFormat="1" spans="33:33">
      <c r="AG1385" s="10"/>
    </row>
    <row r="1386" s="6" customFormat="1" spans="33:33">
      <c r="AG1386" s="10"/>
    </row>
    <row r="1387" s="6" customFormat="1" spans="33:33">
      <c r="AG1387" s="10"/>
    </row>
    <row r="1388" s="6" customFormat="1" spans="33:33">
      <c r="AG1388" s="10"/>
    </row>
    <row r="1389" s="6" customFormat="1" spans="33:33">
      <c r="AG1389" s="10"/>
    </row>
    <row r="1390" s="6" customFormat="1" spans="33:33">
      <c r="AG1390" s="10"/>
    </row>
    <row r="1391" s="6" customFormat="1" spans="33:33">
      <c r="AG1391" s="10"/>
    </row>
    <row r="1392" s="6" customFormat="1" spans="33:33">
      <c r="AG1392" s="10"/>
    </row>
    <row r="1393" s="6" customFormat="1" spans="33:33">
      <c r="AG1393" s="10"/>
    </row>
    <row r="1394" s="6" customFormat="1" spans="33:33">
      <c r="AG1394" s="10"/>
    </row>
    <row r="1395" s="6" customFormat="1" spans="33:33">
      <c r="AG1395" s="10"/>
    </row>
    <row r="1396" s="6" customFormat="1" spans="33:33">
      <c r="AG1396" s="10"/>
    </row>
    <row r="1397" s="6" customFormat="1" spans="33:33">
      <c r="AG1397" s="10"/>
    </row>
    <row r="1398" s="6" customFormat="1" spans="33:33">
      <c r="AG1398" s="10"/>
    </row>
    <row r="1399" s="6" customFormat="1" spans="33:33">
      <c r="AG1399" s="10"/>
    </row>
    <row r="1400" s="6" customFormat="1" spans="33:33">
      <c r="AG1400" s="10"/>
    </row>
    <row r="1401" s="6" customFormat="1" spans="33:33">
      <c r="AG1401" s="10"/>
    </row>
    <row r="1402" s="6" customFormat="1" spans="33:33">
      <c r="AG1402" s="10"/>
    </row>
    <row r="1403" s="6" customFormat="1" spans="33:33">
      <c r="AG1403" s="10"/>
    </row>
    <row r="1404" s="6" customFormat="1" spans="33:33">
      <c r="AG1404" s="10"/>
    </row>
    <row r="1405" s="6" customFormat="1" spans="33:33">
      <c r="AG1405" s="10"/>
    </row>
    <row r="1406" s="6" customFormat="1" spans="33:33">
      <c r="AG1406" s="10"/>
    </row>
    <row r="1407" s="6" customFormat="1" spans="33:33">
      <c r="AG1407" s="10"/>
    </row>
    <row r="1408" s="6" customFormat="1" spans="33:33">
      <c r="AG1408" s="10"/>
    </row>
    <row r="1409" s="6" customFormat="1" spans="33:33">
      <c r="AG1409" s="10"/>
    </row>
    <row r="1410" s="6" customFormat="1" spans="33:33">
      <c r="AG1410" s="10"/>
    </row>
    <row r="1411" s="6" customFormat="1" spans="33:33">
      <c r="AG1411" s="10"/>
    </row>
    <row r="1412" s="6" customFormat="1" spans="33:33">
      <c r="AG1412" s="10"/>
    </row>
    <row r="1413" s="6" customFormat="1" spans="33:33">
      <c r="AG1413" s="10"/>
    </row>
    <row r="1414" s="6" customFormat="1" spans="33:33">
      <c r="AG1414" s="10"/>
    </row>
    <row r="1415" s="6" customFormat="1" spans="33:33">
      <c r="AG1415" s="10"/>
    </row>
    <row r="1416" s="6" customFormat="1" spans="33:33">
      <c r="AG1416" s="10"/>
    </row>
    <row r="1417" s="6" customFormat="1" spans="33:33">
      <c r="AG1417" s="10"/>
    </row>
    <row r="1418" s="6" customFormat="1" spans="33:33">
      <c r="AG1418" s="10"/>
    </row>
    <row r="1419" s="6" customFormat="1" spans="33:33">
      <c r="AG1419" s="10"/>
    </row>
    <row r="1420" s="6" customFormat="1" spans="33:33">
      <c r="AG1420" s="10"/>
    </row>
    <row r="1421" s="6" customFormat="1" spans="33:33">
      <c r="AG1421" s="10"/>
    </row>
    <row r="1422" s="6" customFormat="1" spans="33:33">
      <c r="AG1422" s="10"/>
    </row>
    <row r="1423" s="6" customFormat="1" spans="33:33">
      <c r="AG1423" s="10"/>
    </row>
    <row r="1424" s="6" customFormat="1" spans="33:33">
      <c r="AG1424" s="10"/>
    </row>
    <row r="1425" s="6" customFormat="1" spans="33:33">
      <c r="AG1425" s="10"/>
    </row>
    <row r="1426" s="6" customFormat="1" spans="33:33">
      <c r="AG1426" s="10"/>
    </row>
    <row r="1427" s="6" customFormat="1" spans="33:33">
      <c r="AG1427" s="10"/>
    </row>
    <row r="1428" s="6" customFormat="1" spans="33:33">
      <c r="AG1428" s="10"/>
    </row>
    <row r="1429" s="6" customFormat="1" spans="33:33">
      <c r="AG1429" s="10"/>
    </row>
    <row r="1430" s="6" customFormat="1" spans="33:33">
      <c r="AG1430" s="10"/>
    </row>
    <row r="1431" s="6" customFormat="1" spans="33:33">
      <c r="AG1431" s="10"/>
    </row>
    <row r="1432" s="6" customFormat="1" spans="33:33">
      <c r="AG1432" s="10"/>
    </row>
    <row r="1433" s="6" customFormat="1" spans="33:33">
      <c r="AG1433" s="10"/>
    </row>
    <row r="1434" s="6" customFormat="1" spans="33:33">
      <c r="AG1434" s="10"/>
    </row>
    <row r="1435" s="6" customFormat="1" spans="33:33">
      <c r="AG1435" s="10"/>
    </row>
    <row r="1436" s="6" customFormat="1" spans="33:33">
      <c r="AG1436" s="10"/>
    </row>
    <row r="1437" s="6" customFormat="1" spans="33:33">
      <c r="AG1437" s="10"/>
    </row>
    <row r="1438" s="6" customFormat="1" spans="33:33">
      <c r="AG1438" s="10"/>
    </row>
    <row r="1439" s="6" customFormat="1" spans="33:33">
      <c r="AG1439" s="10"/>
    </row>
    <row r="1440" s="6" customFormat="1" spans="33:33">
      <c r="AG1440" s="10"/>
    </row>
    <row r="1441" s="6" customFormat="1" spans="33:33">
      <c r="AG1441" s="10"/>
    </row>
    <row r="1442" s="6" customFormat="1" spans="33:33">
      <c r="AG1442" s="10"/>
    </row>
    <row r="1443" s="6" customFormat="1" spans="33:33">
      <c r="AG1443" s="10"/>
    </row>
    <row r="1444" s="6" customFormat="1" spans="33:33">
      <c r="AG1444" s="10"/>
    </row>
    <row r="1445" s="6" customFormat="1" spans="33:33">
      <c r="AG1445" s="10"/>
    </row>
    <row r="1446" s="6" customFormat="1" spans="33:33">
      <c r="AG1446" s="10"/>
    </row>
    <row r="1447" s="6" customFormat="1" spans="33:33">
      <c r="AG1447" s="10"/>
    </row>
    <row r="1448" s="6" customFormat="1" spans="33:33">
      <c r="AG1448" s="10"/>
    </row>
    <row r="1449" s="6" customFormat="1" spans="33:33">
      <c r="AG1449" s="10"/>
    </row>
    <row r="1450" s="6" customFormat="1" spans="33:33">
      <c r="AG1450" s="10"/>
    </row>
    <row r="1451" s="6" customFormat="1" spans="33:33">
      <c r="AG1451" s="10"/>
    </row>
    <row r="1452" s="6" customFormat="1" spans="33:33">
      <c r="AG1452" s="10"/>
    </row>
    <row r="1453" s="6" customFormat="1" spans="33:33">
      <c r="AG1453" s="10"/>
    </row>
    <row r="1454" s="6" customFormat="1" spans="33:33">
      <c r="AG1454" s="10"/>
    </row>
    <row r="1455" s="6" customFormat="1" spans="33:33">
      <c r="AG1455" s="10"/>
    </row>
    <row r="1456" s="6" customFormat="1" spans="33:33">
      <c r="AG1456" s="10"/>
    </row>
    <row r="1457" s="6" customFormat="1" spans="33:33">
      <c r="AG1457" s="10"/>
    </row>
    <row r="1458" s="6" customFormat="1" spans="33:33">
      <c r="AG1458" s="10"/>
    </row>
    <row r="1459" s="6" customFormat="1" spans="33:33">
      <c r="AG1459" s="10"/>
    </row>
    <row r="1460" s="6" customFormat="1" spans="33:33">
      <c r="AG1460" s="10"/>
    </row>
    <row r="1461" s="6" customFormat="1" spans="33:33">
      <c r="AG1461" s="10"/>
    </row>
    <row r="1462" s="6" customFormat="1" spans="33:33">
      <c r="AG1462" s="10"/>
    </row>
    <row r="1463" s="6" customFormat="1" spans="33:33">
      <c r="AG1463" s="10"/>
    </row>
    <row r="1464" s="6" customFormat="1" spans="33:33">
      <c r="AG1464" s="10"/>
    </row>
    <row r="1465" s="6" customFormat="1" spans="33:33">
      <c r="AG1465" s="10"/>
    </row>
    <row r="1466" s="6" customFormat="1" spans="33:33">
      <c r="AG1466" s="10"/>
    </row>
    <row r="1467" s="6" customFormat="1" spans="33:33">
      <c r="AG1467" s="10"/>
    </row>
    <row r="1468" s="6" customFormat="1" spans="33:33">
      <c r="AG1468" s="10"/>
    </row>
    <row r="1469" s="6" customFormat="1" spans="33:33">
      <c r="AG1469" s="10"/>
    </row>
    <row r="1470" s="6" customFormat="1" spans="33:33">
      <c r="AG1470" s="10"/>
    </row>
    <row r="1471" s="6" customFormat="1" spans="33:33">
      <c r="AG1471" s="10"/>
    </row>
    <row r="1472" s="6" customFormat="1" spans="33:33">
      <c r="AG1472" s="10"/>
    </row>
    <row r="1473" s="6" customFormat="1" spans="33:33">
      <c r="AG1473" s="10"/>
    </row>
    <row r="1474" s="6" customFormat="1" spans="33:33">
      <c r="AG1474" s="10"/>
    </row>
    <row r="1475" s="6" customFormat="1" spans="33:33">
      <c r="AG1475" s="10"/>
    </row>
    <row r="1476" s="6" customFormat="1" spans="33:33">
      <c r="AG1476" s="10"/>
    </row>
    <row r="1477" s="6" customFormat="1" spans="33:33">
      <c r="AG1477" s="10"/>
    </row>
    <row r="1478" s="6" customFormat="1" spans="33:33">
      <c r="AG1478" s="10"/>
    </row>
    <row r="1479" s="6" customFormat="1" spans="33:33">
      <c r="AG1479" s="10"/>
    </row>
    <row r="1480" s="6" customFormat="1" spans="33:33">
      <c r="AG1480" s="10"/>
    </row>
    <row r="1481" s="6" customFormat="1" spans="33:33">
      <c r="AG1481" s="10"/>
    </row>
    <row r="1482" s="6" customFormat="1" spans="33:33">
      <c r="AG1482" s="10"/>
    </row>
    <row r="1483" s="6" customFormat="1" spans="33:33">
      <c r="AG1483" s="10"/>
    </row>
    <row r="1484" s="6" customFormat="1" spans="33:33">
      <c r="AG1484" s="10"/>
    </row>
    <row r="1485" s="6" customFormat="1" spans="33:33">
      <c r="AG1485" s="10"/>
    </row>
    <row r="1486" s="6" customFormat="1" spans="33:33">
      <c r="AG1486" s="10"/>
    </row>
    <row r="1487" s="6" customFormat="1" spans="33:33">
      <c r="AG1487" s="10"/>
    </row>
    <row r="1488" s="6" customFormat="1" spans="33:33">
      <c r="AG1488" s="10"/>
    </row>
    <row r="1489" s="6" customFormat="1" spans="33:33">
      <c r="AG1489" s="10"/>
    </row>
    <row r="1490" s="6" customFormat="1" spans="33:33">
      <c r="AG1490" s="10"/>
    </row>
    <row r="1491" s="6" customFormat="1" spans="33:33">
      <c r="AG1491" s="10"/>
    </row>
    <row r="1492" s="6" customFormat="1" spans="33:33">
      <c r="AG1492" s="10"/>
    </row>
    <row r="1493" s="6" customFormat="1" spans="33:33">
      <c r="AG1493" s="10"/>
    </row>
    <row r="1494" s="6" customFormat="1" spans="33:33">
      <c r="AG1494" s="10"/>
    </row>
    <row r="1495" s="6" customFormat="1" spans="33:33">
      <c r="AG1495" s="10"/>
    </row>
    <row r="1496" s="6" customFormat="1" spans="33:33">
      <c r="AG1496" s="10"/>
    </row>
    <row r="1497" s="6" customFormat="1" spans="33:33">
      <c r="AG1497" s="10"/>
    </row>
    <row r="1498" s="6" customFormat="1" spans="33:33">
      <c r="AG1498" s="10"/>
    </row>
    <row r="1499" s="6" customFormat="1" spans="33:33">
      <c r="AG1499" s="10"/>
    </row>
    <row r="1500" s="6" customFormat="1" spans="33:33">
      <c r="AG1500" s="10"/>
    </row>
    <row r="1501" s="6" customFormat="1" spans="33:33">
      <c r="AG1501" s="10"/>
    </row>
    <row r="1502" s="6" customFormat="1" spans="33:33">
      <c r="AG1502" s="10"/>
    </row>
    <row r="1503" s="6" customFormat="1" spans="33:33">
      <c r="AG1503" s="10"/>
    </row>
    <row r="1504" s="6" customFormat="1" spans="33:33">
      <c r="AG1504" s="10"/>
    </row>
    <row r="1505" s="6" customFormat="1" spans="33:33">
      <c r="AG1505" s="10"/>
    </row>
    <row r="1506" s="6" customFormat="1" spans="33:33">
      <c r="AG1506" s="10"/>
    </row>
    <row r="1507" s="6" customFormat="1" spans="33:33">
      <c r="AG1507" s="10"/>
    </row>
    <row r="1508" s="6" customFormat="1" spans="33:33">
      <c r="AG1508" s="10"/>
    </row>
    <row r="1509" s="6" customFormat="1" spans="33:33">
      <c r="AG1509" s="10"/>
    </row>
    <row r="1510" s="6" customFormat="1" spans="33:33">
      <c r="AG1510" s="10"/>
    </row>
    <row r="1511" s="6" customFormat="1" spans="33:33">
      <c r="AG1511" s="10"/>
    </row>
    <row r="1512" s="6" customFormat="1" spans="33:33">
      <c r="AG1512" s="10"/>
    </row>
    <row r="1513" s="6" customFormat="1" spans="33:33">
      <c r="AG1513" s="10"/>
    </row>
    <row r="1514" s="6" customFormat="1" spans="33:33">
      <c r="AG1514" s="10"/>
    </row>
    <row r="1515" s="6" customFormat="1" spans="33:33">
      <c r="AG1515" s="10"/>
    </row>
    <row r="1516" s="6" customFormat="1" spans="33:33">
      <c r="AG1516" s="10"/>
    </row>
    <row r="1517" s="6" customFormat="1" spans="33:33">
      <c r="AG1517" s="10"/>
    </row>
    <row r="1518" s="6" customFormat="1" spans="33:33">
      <c r="AG1518" s="10"/>
    </row>
    <row r="1519" s="6" customFormat="1" spans="33:33">
      <c r="AG1519" s="10"/>
    </row>
    <row r="1520" s="6" customFormat="1" spans="33:33">
      <c r="AG1520" s="10"/>
    </row>
    <row r="1521" s="6" customFormat="1" spans="33:33">
      <c r="AG1521" s="10"/>
    </row>
    <row r="1522" s="6" customFormat="1" spans="33:33">
      <c r="AG1522" s="10"/>
    </row>
    <row r="1523" s="6" customFormat="1" spans="33:33">
      <c r="AG1523" s="10"/>
    </row>
    <row r="1524" s="6" customFormat="1" spans="33:33">
      <c r="AG1524" s="10"/>
    </row>
    <row r="1525" s="6" customFormat="1" spans="33:33">
      <c r="AG1525" s="10"/>
    </row>
    <row r="1526" s="6" customFormat="1" spans="33:33">
      <c r="AG1526" s="10"/>
    </row>
    <row r="1527" s="6" customFormat="1" spans="33:33">
      <c r="AG1527" s="10"/>
    </row>
    <row r="1528" s="6" customFormat="1" spans="33:33">
      <c r="AG1528" s="10"/>
    </row>
    <row r="1529" s="6" customFormat="1" spans="33:33">
      <c r="AG1529" s="10"/>
    </row>
    <row r="1530" s="6" customFormat="1" spans="33:33">
      <c r="AG1530" s="10"/>
    </row>
    <row r="1531" s="6" customFormat="1" spans="33:33">
      <c r="AG1531" s="10"/>
    </row>
    <row r="1532" s="6" customFormat="1" spans="33:33">
      <c r="AG1532" s="10"/>
    </row>
    <row r="1533" s="6" customFormat="1" spans="33:33">
      <c r="AG1533" s="10"/>
    </row>
    <row r="1534" s="6" customFormat="1" spans="33:33">
      <c r="AG1534" s="10"/>
    </row>
    <row r="1535" s="6" customFormat="1" spans="33:33">
      <c r="AG1535" s="10"/>
    </row>
    <row r="1536" s="6" customFormat="1" spans="33:33">
      <c r="AG1536" s="10"/>
    </row>
    <row r="1537" s="6" customFormat="1" spans="33:33">
      <c r="AG1537" s="10"/>
    </row>
    <row r="1538" s="6" customFormat="1" spans="33:33">
      <c r="AG1538" s="10"/>
    </row>
    <row r="1539" s="6" customFormat="1" spans="33:33">
      <c r="AG1539" s="10"/>
    </row>
    <row r="1540" s="6" customFormat="1" spans="33:33">
      <c r="AG1540" s="10"/>
    </row>
    <row r="1541" s="6" customFormat="1" spans="33:33">
      <c r="AG1541" s="10"/>
    </row>
    <row r="1542" s="6" customFormat="1" spans="33:33">
      <c r="AG1542" s="10"/>
    </row>
    <row r="1543" s="6" customFormat="1" spans="33:33">
      <c r="AG1543" s="10"/>
    </row>
    <row r="1544" s="6" customFormat="1" spans="33:33">
      <c r="AG1544" s="10"/>
    </row>
    <row r="1545" s="6" customFormat="1" spans="33:33">
      <c r="AG1545" s="10"/>
    </row>
    <row r="1546" s="6" customFormat="1" spans="33:33">
      <c r="AG1546" s="10"/>
    </row>
    <row r="1547" s="6" customFormat="1" spans="33:33">
      <c r="AG1547" s="10"/>
    </row>
    <row r="1548" s="6" customFormat="1" spans="33:33">
      <c r="AG1548" s="10"/>
    </row>
    <row r="1549" s="6" customFormat="1" spans="33:33">
      <c r="AG1549" s="10"/>
    </row>
    <row r="1550" s="6" customFormat="1" spans="33:33">
      <c r="AG1550" s="10"/>
    </row>
    <row r="1551" s="6" customFormat="1" spans="33:33">
      <c r="AG1551" s="10"/>
    </row>
    <row r="1552" s="6" customFormat="1" spans="33:33">
      <c r="AG1552" s="10"/>
    </row>
    <row r="1553" s="6" customFormat="1" spans="33:33">
      <c r="AG1553" s="10"/>
    </row>
    <row r="1554" s="6" customFormat="1" spans="33:33">
      <c r="AG1554" s="10"/>
    </row>
    <row r="1555" s="6" customFormat="1" spans="33:33">
      <c r="AG1555" s="10"/>
    </row>
    <row r="1556" s="6" customFormat="1" spans="33:33">
      <c r="AG1556" s="10"/>
    </row>
    <row r="1557" s="6" customFormat="1" spans="33:33">
      <c r="AG1557" s="10"/>
    </row>
    <row r="1558" s="6" customFormat="1" spans="33:33">
      <c r="AG1558" s="10"/>
    </row>
    <row r="1559" s="6" customFormat="1" spans="33:33">
      <c r="AG1559" s="10"/>
    </row>
    <row r="1560" s="6" customFormat="1" spans="33:33">
      <c r="AG1560" s="10"/>
    </row>
    <row r="1561" s="6" customFormat="1" spans="33:33">
      <c r="AG1561" s="10"/>
    </row>
    <row r="1562" s="6" customFormat="1" spans="33:33">
      <c r="AG1562" s="10"/>
    </row>
    <row r="1563" s="6" customFormat="1" spans="33:33">
      <c r="AG1563" s="10"/>
    </row>
    <row r="1564" s="6" customFormat="1" spans="33:33">
      <c r="AG1564" s="10"/>
    </row>
    <row r="1565" s="6" customFormat="1" spans="33:33">
      <c r="AG1565" s="10"/>
    </row>
    <row r="1566" s="6" customFormat="1" spans="33:33">
      <c r="AG1566" s="10"/>
    </row>
    <row r="1567" s="6" customFormat="1" spans="33:33">
      <c r="AG1567" s="10"/>
    </row>
    <row r="1568" s="6" customFormat="1" spans="33:33">
      <c r="AG1568" s="10"/>
    </row>
    <row r="1569" s="6" customFormat="1" spans="33:33">
      <c r="AG1569" s="10"/>
    </row>
    <row r="1570" s="6" customFormat="1" spans="33:33">
      <c r="AG1570" s="10"/>
    </row>
    <row r="1571" s="6" customFormat="1" spans="33:33">
      <c r="AG1571" s="10"/>
    </row>
    <row r="1572" s="6" customFormat="1" spans="33:33">
      <c r="AG1572" s="10"/>
    </row>
    <row r="1573" s="6" customFormat="1" spans="33:33">
      <c r="AG1573" s="10"/>
    </row>
    <row r="1574" s="6" customFormat="1" spans="33:33">
      <c r="AG1574" s="10"/>
    </row>
    <row r="1575" s="6" customFormat="1" spans="33:33">
      <c r="AG1575" s="10"/>
    </row>
    <row r="1576" s="6" customFormat="1" spans="33:33">
      <c r="AG1576" s="10"/>
    </row>
    <row r="1577" s="6" customFormat="1" spans="33:33">
      <c r="AG1577" s="10"/>
    </row>
    <row r="1578" s="6" customFormat="1" spans="33:33">
      <c r="AG1578" s="10"/>
    </row>
    <row r="1579" s="6" customFormat="1" spans="33:33">
      <c r="AG1579" s="10"/>
    </row>
    <row r="1580" s="6" customFormat="1" spans="33:33">
      <c r="AG1580" s="10"/>
    </row>
    <row r="1581" s="6" customFormat="1" spans="33:33">
      <c r="AG1581" s="10"/>
    </row>
    <row r="1582" s="6" customFormat="1" spans="33:33">
      <c r="AG1582" s="10"/>
    </row>
    <row r="1583" s="6" customFormat="1" spans="33:33">
      <c r="AG1583" s="10"/>
    </row>
    <row r="1584" s="6" customFormat="1" spans="33:33">
      <c r="AG1584" s="10"/>
    </row>
    <row r="1585" s="6" customFormat="1" spans="33:33">
      <c r="AG1585" s="10"/>
    </row>
    <row r="1586" s="6" customFormat="1" spans="33:33">
      <c r="AG1586" s="10"/>
    </row>
    <row r="1587" s="6" customFormat="1" spans="33:33">
      <c r="AG1587" s="10"/>
    </row>
    <row r="1588" s="6" customFormat="1" spans="33:33">
      <c r="AG1588" s="10"/>
    </row>
    <row r="1589" s="6" customFormat="1" spans="33:33">
      <c r="AG1589" s="10"/>
    </row>
    <row r="1590" s="6" customFormat="1" spans="33:33">
      <c r="AG1590" s="10"/>
    </row>
    <row r="1591" s="6" customFormat="1" spans="33:33">
      <c r="AG1591" s="10"/>
    </row>
    <row r="1592" s="6" customFormat="1" spans="33:33">
      <c r="AG1592" s="10"/>
    </row>
    <row r="1593" s="6" customFormat="1" spans="33:33">
      <c r="AG1593" s="10"/>
    </row>
    <row r="1594" s="6" customFormat="1" spans="33:33">
      <c r="AG1594" s="10"/>
    </row>
    <row r="1595" s="6" customFormat="1" spans="33:33">
      <c r="AG1595" s="10"/>
    </row>
    <row r="1596" s="6" customFormat="1" spans="33:33">
      <c r="AG1596" s="10"/>
    </row>
    <row r="1597" s="6" customFormat="1" spans="33:33">
      <c r="AG1597" s="10"/>
    </row>
    <row r="1598" s="6" customFormat="1" spans="33:33">
      <c r="AG1598" s="10"/>
    </row>
    <row r="1599" s="6" customFormat="1" spans="33:33">
      <c r="AG1599" s="10"/>
    </row>
    <row r="1600" s="6" customFormat="1" spans="33:33">
      <c r="AG1600" s="10"/>
    </row>
    <row r="1601" s="6" customFormat="1" spans="33:33">
      <c r="AG1601" s="10"/>
    </row>
    <row r="1602" s="6" customFormat="1" spans="33:33">
      <c r="AG1602" s="10"/>
    </row>
    <row r="1603" s="6" customFormat="1" spans="33:33">
      <c r="AG1603" s="10"/>
    </row>
    <row r="1604" s="6" customFormat="1" spans="33:33">
      <c r="AG1604" s="10"/>
    </row>
    <row r="1605" s="6" customFormat="1" spans="33:33">
      <c r="AG1605" s="10"/>
    </row>
    <row r="1606" s="6" customFormat="1" spans="33:33">
      <c r="AG1606" s="10"/>
    </row>
    <row r="1607" s="6" customFormat="1" spans="33:33">
      <c r="AG1607" s="10"/>
    </row>
    <row r="1608" s="6" customFormat="1" spans="33:33">
      <c r="AG1608" s="10"/>
    </row>
    <row r="1609" s="6" customFormat="1" spans="33:33">
      <c r="AG1609" s="10"/>
    </row>
    <row r="1610" s="6" customFormat="1" spans="33:33">
      <c r="AG1610" s="10"/>
    </row>
    <row r="1611" s="6" customFormat="1" spans="33:33">
      <c r="AG1611" s="10"/>
    </row>
    <row r="1612" s="6" customFormat="1" spans="33:33">
      <c r="AG1612" s="10"/>
    </row>
    <row r="1613" s="6" customFormat="1" spans="33:33">
      <c r="AG1613" s="10"/>
    </row>
    <row r="1614" s="6" customFormat="1" spans="33:33">
      <c r="AG1614" s="10"/>
    </row>
    <row r="1615" s="6" customFormat="1" spans="33:33">
      <c r="AG1615" s="10"/>
    </row>
    <row r="1616" s="6" customFormat="1" spans="33:33">
      <c r="AG1616" s="10"/>
    </row>
    <row r="1617" s="6" customFormat="1" spans="33:33">
      <c r="AG1617" s="10"/>
    </row>
    <row r="1618" s="6" customFormat="1" spans="33:33">
      <c r="AG1618" s="10"/>
    </row>
    <row r="1619" s="6" customFormat="1" spans="33:33">
      <c r="AG1619" s="10"/>
    </row>
    <row r="1620" s="6" customFormat="1" spans="33:33">
      <c r="AG1620" s="10"/>
    </row>
    <row r="1621" s="6" customFormat="1" spans="33:33">
      <c r="AG1621" s="10"/>
    </row>
    <row r="1622" s="6" customFormat="1" spans="33:33">
      <c r="AG1622" s="10"/>
    </row>
    <row r="1623" s="6" customFormat="1" spans="33:33">
      <c r="AG1623" s="10"/>
    </row>
    <row r="1624" s="6" customFormat="1" spans="33:33">
      <c r="AG1624" s="10"/>
    </row>
    <row r="1625" s="6" customFormat="1" spans="33:33">
      <c r="AG1625" s="10"/>
    </row>
    <row r="1626" s="6" customFormat="1" spans="33:33">
      <c r="AG1626" s="10"/>
    </row>
    <row r="1627" s="6" customFormat="1" spans="33:33">
      <c r="AG1627" s="10"/>
    </row>
    <row r="1628" s="6" customFormat="1" spans="33:33">
      <c r="AG1628" s="10"/>
    </row>
    <row r="1629" s="6" customFormat="1" spans="33:33">
      <c r="AG1629" s="10"/>
    </row>
    <row r="1630" s="6" customFormat="1" spans="33:33">
      <c r="AG1630" s="10"/>
    </row>
    <row r="1631" s="6" customFormat="1" spans="33:33">
      <c r="AG1631" s="10"/>
    </row>
    <row r="1632" s="6" customFormat="1" spans="33:33">
      <c r="AG1632" s="10"/>
    </row>
    <row r="1633" s="6" customFormat="1" spans="33:33">
      <c r="AG1633" s="10"/>
    </row>
    <row r="1634" s="6" customFormat="1" spans="33:33">
      <c r="AG1634" s="10"/>
    </row>
    <row r="1635" s="6" customFormat="1" spans="33:33">
      <c r="AG1635" s="10"/>
    </row>
    <row r="1636" s="6" customFormat="1" spans="33:33">
      <c r="AG1636" s="10"/>
    </row>
    <row r="1637" s="6" customFormat="1" spans="33:33">
      <c r="AG1637" s="10"/>
    </row>
    <row r="1638" s="6" customFormat="1" spans="33:33">
      <c r="AG1638" s="10"/>
    </row>
    <row r="1639" s="6" customFormat="1" spans="33:33">
      <c r="AG1639" s="10"/>
    </row>
    <row r="1640" s="6" customFormat="1" spans="33:33">
      <c r="AG1640" s="10"/>
    </row>
    <row r="1641" s="6" customFormat="1" spans="33:33">
      <c r="AG1641" s="10"/>
    </row>
    <row r="1642" s="6" customFormat="1" spans="33:33">
      <c r="AG1642" s="10"/>
    </row>
    <row r="1643" s="6" customFormat="1" spans="33:33">
      <c r="AG1643" s="10"/>
    </row>
    <row r="1644" s="6" customFormat="1" spans="33:33">
      <c r="AG1644" s="10"/>
    </row>
    <row r="1645" s="6" customFormat="1" spans="33:33">
      <c r="AG1645" s="10"/>
    </row>
    <row r="1646" s="6" customFormat="1" spans="33:33">
      <c r="AG1646" s="10"/>
    </row>
    <row r="1647" s="6" customFormat="1" spans="33:33">
      <c r="AG1647" s="10"/>
    </row>
    <row r="1648" s="6" customFormat="1" spans="33:33">
      <c r="AG1648" s="10"/>
    </row>
    <row r="1649" s="6" customFormat="1" spans="33:33">
      <c r="AG1649" s="10"/>
    </row>
    <row r="1650" s="6" customFormat="1" spans="33:33">
      <c r="AG1650" s="10"/>
    </row>
    <row r="1651" s="6" customFormat="1" spans="33:33">
      <c r="AG1651" s="10"/>
    </row>
    <row r="1652" s="6" customFormat="1" spans="33:33">
      <c r="AG1652" s="10"/>
    </row>
    <row r="1653" s="6" customFormat="1" spans="33:33">
      <c r="AG1653" s="10"/>
    </row>
    <row r="1654" s="6" customFormat="1" spans="33:33">
      <c r="AG1654" s="10"/>
    </row>
    <row r="1655" s="6" customFormat="1" spans="33:33">
      <c r="AG1655" s="10"/>
    </row>
    <row r="1656" s="6" customFormat="1" spans="33:33">
      <c r="AG1656" s="10"/>
    </row>
    <row r="1657" s="6" customFormat="1" spans="33:33">
      <c r="AG1657" s="10"/>
    </row>
    <row r="1658" s="6" customFormat="1" spans="33:33">
      <c r="AG1658" s="10"/>
    </row>
    <row r="1659" s="6" customFormat="1" spans="33:33">
      <c r="AG1659" s="10"/>
    </row>
    <row r="1660" s="6" customFormat="1" spans="33:33">
      <c r="AG1660" s="10"/>
    </row>
    <row r="1661" s="6" customFormat="1" spans="33:33">
      <c r="AG1661" s="10"/>
    </row>
    <row r="1662" s="6" customFormat="1" spans="33:33">
      <c r="AG1662" s="10"/>
    </row>
    <row r="1663" s="6" customFormat="1" spans="33:33">
      <c r="AG1663" s="10"/>
    </row>
    <row r="1664" s="6" customFormat="1" spans="33:33">
      <c r="AG1664" s="10"/>
    </row>
    <row r="1665" s="6" customFormat="1" spans="33:33">
      <c r="AG1665" s="10"/>
    </row>
    <row r="1666" s="6" customFormat="1" spans="33:33">
      <c r="AG1666" s="10"/>
    </row>
    <row r="1667" s="6" customFormat="1" spans="33:33">
      <c r="AG1667" s="10"/>
    </row>
    <row r="1668" s="6" customFormat="1" spans="33:33">
      <c r="AG1668" s="10"/>
    </row>
    <row r="1669" s="6" customFormat="1" spans="33:33">
      <c r="AG1669" s="10"/>
    </row>
    <row r="1670" s="6" customFormat="1" spans="33:33">
      <c r="AG1670" s="10"/>
    </row>
    <row r="1671" s="6" customFormat="1" spans="33:33">
      <c r="AG1671" s="10"/>
    </row>
    <row r="1672" s="6" customFormat="1" spans="33:33">
      <c r="AG1672" s="10"/>
    </row>
    <row r="1673" s="6" customFormat="1" spans="33:33">
      <c r="AG1673" s="10"/>
    </row>
    <row r="1674" s="6" customFormat="1" spans="33:33">
      <c r="AG1674" s="10"/>
    </row>
    <row r="1675" s="6" customFormat="1" spans="33:33">
      <c r="AG1675" s="10"/>
    </row>
    <row r="1676" s="6" customFormat="1" spans="33:33">
      <c r="AG1676" s="10"/>
    </row>
    <row r="1677" s="6" customFormat="1" spans="33:33">
      <c r="AG1677" s="10"/>
    </row>
    <row r="1678" s="6" customFormat="1" spans="33:33">
      <c r="AG1678" s="10"/>
    </row>
    <row r="1679" s="6" customFormat="1" spans="33:33">
      <c r="AG1679" s="10"/>
    </row>
    <row r="1680" s="6" customFormat="1" spans="33:33">
      <c r="AG1680" s="10"/>
    </row>
    <row r="1681" s="6" customFormat="1" spans="33:33">
      <c r="AG1681" s="10"/>
    </row>
    <row r="1682" s="6" customFormat="1" spans="33:33">
      <c r="AG1682" s="10"/>
    </row>
    <row r="1683" s="6" customFormat="1" spans="33:33">
      <c r="AG1683" s="10"/>
    </row>
    <row r="1684" s="6" customFormat="1" spans="33:33">
      <c r="AG1684" s="10"/>
    </row>
    <row r="1685" s="6" customFormat="1" spans="33:33">
      <c r="AG1685" s="10"/>
    </row>
    <row r="1686" s="6" customFormat="1" spans="33:33">
      <c r="AG1686" s="10"/>
    </row>
    <row r="1687" s="6" customFormat="1" spans="33:33">
      <c r="AG1687" s="10"/>
    </row>
    <row r="1688" s="6" customFormat="1" spans="33:33">
      <c r="AG1688" s="10"/>
    </row>
    <row r="1689" s="6" customFormat="1" spans="33:33">
      <c r="AG1689" s="10"/>
    </row>
    <row r="1690" s="6" customFormat="1" spans="33:33">
      <c r="AG1690" s="10"/>
    </row>
    <row r="1691" s="6" customFormat="1" spans="33:33">
      <c r="AG1691" s="10"/>
    </row>
    <row r="1692" s="6" customFormat="1" spans="33:33">
      <c r="AG1692" s="10"/>
    </row>
    <row r="1693" s="6" customFormat="1" spans="33:33">
      <c r="AG1693" s="10"/>
    </row>
    <row r="1694" s="6" customFormat="1" spans="33:33">
      <c r="AG1694" s="10"/>
    </row>
    <row r="1695" s="6" customFormat="1" spans="33:33">
      <c r="AG1695" s="10"/>
    </row>
    <row r="1696" s="6" customFormat="1" spans="33:33">
      <c r="AG1696" s="10"/>
    </row>
    <row r="1697" s="6" customFormat="1" spans="33:33">
      <c r="AG1697" s="10"/>
    </row>
    <row r="1698" s="6" customFormat="1" spans="33:33">
      <c r="AG1698" s="10"/>
    </row>
    <row r="1699" s="6" customFormat="1" spans="33:33">
      <c r="AG1699" s="10"/>
    </row>
    <row r="1700" s="6" customFormat="1" spans="33:33">
      <c r="AG1700" s="10"/>
    </row>
    <row r="1701" s="6" customFormat="1" spans="33:33">
      <c r="AG1701" s="10"/>
    </row>
    <row r="1702" s="6" customFormat="1" spans="33:33">
      <c r="AG1702" s="10"/>
    </row>
    <row r="1703" s="6" customFormat="1" spans="33:33">
      <c r="AG1703" s="10"/>
    </row>
    <row r="1704" s="6" customFormat="1" spans="33:33">
      <c r="AG1704" s="10"/>
    </row>
    <row r="1705" s="6" customFormat="1" spans="33:33">
      <c r="AG1705" s="10"/>
    </row>
    <row r="1706" s="6" customFormat="1" spans="33:33">
      <c r="AG1706" s="10"/>
    </row>
    <row r="1707" s="6" customFormat="1" spans="33:33">
      <c r="AG1707" s="10"/>
    </row>
    <row r="1708" s="6" customFormat="1" spans="33:33">
      <c r="AG1708" s="10"/>
    </row>
    <row r="1709" s="6" customFormat="1" spans="33:33">
      <c r="AG1709" s="10"/>
    </row>
    <row r="1710" s="6" customFormat="1" spans="33:33">
      <c r="AG1710" s="10"/>
    </row>
    <row r="1711" s="6" customFormat="1" spans="33:33">
      <c r="AG1711" s="10"/>
    </row>
    <row r="1712" s="6" customFormat="1" spans="33:33">
      <c r="AG1712" s="10"/>
    </row>
    <row r="1713" s="6" customFormat="1" spans="33:33">
      <c r="AG1713" s="10"/>
    </row>
    <row r="1714" s="6" customFormat="1" spans="33:33">
      <c r="AG1714" s="10"/>
    </row>
    <row r="1715" s="6" customFormat="1" spans="33:33">
      <c r="AG1715" s="10"/>
    </row>
    <row r="1716" s="6" customFormat="1" spans="33:33">
      <c r="AG1716" s="10"/>
    </row>
    <row r="1717" s="6" customFormat="1" spans="33:33">
      <c r="AG1717" s="10"/>
    </row>
    <row r="1718" s="6" customFormat="1" spans="33:33">
      <c r="AG1718" s="10"/>
    </row>
    <row r="1719" s="6" customFormat="1" spans="33:33">
      <c r="AG1719" s="10"/>
    </row>
    <row r="1720" s="6" customFormat="1" spans="33:33">
      <c r="AG1720" s="10"/>
    </row>
    <row r="1721" s="6" customFormat="1" spans="33:33">
      <c r="AG1721" s="10"/>
    </row>
    <row r="1722" s="6" customFormat="1" spans="33:33">
      <c r="AG1722" s="10"/>
    </row>
    <row r="1723" s="6" customFormat="1" spans="33:33">
      <c r="AG1723" s="10"/>
    </row>
    <row r="1724" s="6" customFormat="1" spans="33:33">
      <c r="AG1724" s="10"/>
    </row>
    <row r="1725" s="6" customFormat="1" spans="33:33">
      <c r="AG1725" s="10"/>
    </row>
    <row r="1726" s="6" customFormat="1" spans="33:33">
      <c r="AG1726" s="10"/>
    </row>
    <row r="1727" s="6" customFormat="1" spans="33:33">
      <c r="AG1727" s="10"/>
    </row>
    <row r="1728" s="6" customFormat="1" spans="33:33">
      <c r="AG1728" s="10"/>
    </row>
    <row r="1729" s="6" customFormat="1" spans="33:33">
      <c r="AG1729" s="10"/>
    </row>
    <row r="1730" s="6" customFormat="1" spans="33:33">
      <c r="AG1730" s="10"/>
    </row>
    <row r="1731" s="6" customFormat="1" spans="33:33">
      <c r="AG1731" s="10"/>
    </row>
    <row r="1732" s="6" customFormat="1" spans="33:33">
      <c r="AG1732" s="10"/>
    </row>
    <row r="1733" s="6" customFormat="1" spans="33:33">
      <c r="AG1733" s="10"/>
    </row>
    <row r="1734" s="6" customFormat="1" spans="33:33">
      <c r="AG1734" s="10"/>
    </row>
    <row r="1735" s="6" customFormat="1" spans="33:33">
      <c r="AG1735" s="10"/>
    </row>
    <row r="1736" s="6" customFormat="1" spans="33:33">
      <c r="AG1736" s="10"/>
    </row>
    <row r="1737" s="6" customFormat="1" spans="33:33">
      <c r="AG1737" s="10"/>
    </row>
    <row r="1738" s="6" customFormat="1" spans="33:33">
      <c r="AG1738" s="10"/>
    </row>
    <row r="1739" s="6" customFormat="1" spans="33:33">
      <c r="AG1739" s="10"/>
    </row>
    <row r="1740" s="6" customFormat="1" spans="33:33">
      <c r="AG1740" s="10"/>
    </row>
    <row r="1741" s="6" customFormat="1" spans="33:33">
      <c r="AG1741" s="10"/>
    </row>
    <row r="1742" s="6" customFormat="1" spans="33:33">
      <c r="AG1742" s="10"/>
    </row>
    <row r="1743" s="6" customFormat="1" spans="33:33">
      <c r="AG1743" s="10"/>
    </row>
    <row r="1744" s="6" customFormat="1" spans="33:33">
      <c r="AG1744" s="10"/>
    </row>
    <row r="1745" s="6" customFormat="1" spans="33:33">
      <c r="AG1745" s="10"/>
    </row>
    <row r="1746" s="6" customFormat="1" spans="33:33">
      <c r="AG1746" s="10"/>
    </row>
    <row r="1747" s="6" customFormat="1" spans="33:33">
      <c r="AG1747" s="10"/>
    </row>
    <row r="1748" s="6" customFormat="1" spans="33:33">
      <c r="AG1748" s="10"/>
    </row>
    <row r="1749" s="6" customFormat="1" spans="33:33">
      <c r="AG1749" s="10"/>
    </row>
    <row r="1750" s="6" customFormat="1" spans="33:33">
      <c r="AG1750" s="10"/>
    </row>
    <row r="1751" s="6" customFormat="1" spans="33:33">
      <c r="AG1751" s="10"/>
    </row>
    <row r="1752" s="6" customFormat="1" spans="33:33">
      <c r="AG1752" s="10"/>
    </row>
    <row r="1753" s="6" customFormat="1" spans="33:33">
      <c r="AG1753" s="10"/>
    </row>
    <row r="1754" s="6" customFormat="1" spans="33:33">
      <c r="AG1754" s="10"/>
    </row>
    <row r="1755" s="6" customFormat="1" spans="33:33">
      <c r="AG1755" s="10"/>
    </row>
    <row r="1756" s="6" customFormat="1" spans="33:33">
      <c r="AG1756" s="10"/>
    </row>
    <row r="1757" s="6" customFormat="1" spans="33:33">
      <c r="AG1757" s="10"/>
    </row>
    <row r="1758" s="6" customFormat="1" spans="33:33">
      <c r="AG1758" s="10"/>
    </row>
    <row r="1759" s="6" customFormat="1" spans="33:33">
      <c r="AG1759" s="10"/>
    </row>
    <row r="1760" s="6" customFormat="1" spans="33:33">
      <c r="AG1760" s="10"/>
    </row>
    <row r="1761" s="6" customFormat="1" spans="33:33">
      <c r="AG1761" s="10"/>
    </row>
    <row r="1762" s="6" customFormat="1" spans="33:33">
      <c r="AG1762" s="10"/>
    </row>
    <row r="1763" s="6" customFormat="1" spans="33:33">
      <c r="AG1763" s="10"/>
    </row>
    <row r="1764" s="6" customFormat="1" spans="33:33">
      <c r="AG1764" s="10"/>
    </row>
    <row r="1765" s="6" customFormat="1" spans="33:33">
      <c r="AG1765" s="10"/>
    </row>
    <row r="1766" s="6" customFormat="1" spans="33:33">
      <c r="AG1766" s="10"/>
    </row>
    <row r="1767" s="6" customFormat="1" spans="33:33">
      <c r="AG1767" s="10"/>
    </row>
    <row r="1768" s="6" customFormat="1" spans="33:33">
      <c r="AG1768" s="10"/>
    </row>
    <row r="1769" s="6" customFormat="1" spans="33:33">
      <c r="AG1769" s="10"/>
    </row>
    <row r="1770" s="6" customFormat="1" spans="33:33">
      <c r="AG1770" s="10"/>
    </row>
    <row r="1771" s="6" customFormat="1" spans="33:33">
      <c r="AG1771" s="10"/>
    </row>
    <row r="1772" s="6" customFormat="1" spans="33:33">
      <c r="AG1772" s="10"/>
    </row>
    <row r="1773" s="6" customFormat="1" spans="33:33">
      <c r="AG1773" s="10"/>
    </row>
    <row r="1774" s="6" customFormat="1" spans="33:33">
      <c r="AG1774" s="10"/>
    </row>
    <row r="1775" s="6" customFormat="1" spans="33:33">
      <c r="AG1775" s="10"/>
    </row>
    <row r="1776" s="6" customFormat="1" spans="33:33">
      <c r="AG1776" s="10"/>
    </row>
    <row r="1777" s="6" customFormat="1" spans="33:33">
      <c r="AG1777" s="10"/>
    </row>
    <row r="1778" s="6" customFormat="1" spans="33:33">
      <c r="AG1778" s="10"/>
    </row>
    <row r="1779" s="6" customFormat="1" spans="33:33">
      <c r="AG1779" s="10"/>
    </row>
    <row r="1780" s="6" customFormat="1" spans="33:33">
      <c r="AG1780" s="10"/>
    </row>
    <row r="1781" s="6" customFormat="1" spans="33:33">
      <c r="AG1781" s="10"/>
    </row>
    <row r="1782" s="6" customFormat="1" spans="33:33">
      <c r="AG1782" s="10"/>
    </row>
    <row r="1783" s="6" customFormat="1" spans="33:33">
      <c r="AG1783" s="10"/>
    </row>
    <row r="1784" s="6" customFormat="1" spans="33:33">
      <c r="AG1784" s="10"/>
    </row>
    <row r="1785" s="6" customFormat="1" spans="33:33">
      <c r="AG1785" s="10"/>
    </row>
    <row r="1786" s="6" customFormat="1" spans="33:33">
      <c r="AG1786" s="10"/>
    </row>
    <row r="1787" s="6" customFormat="1" spans="33:33">
      <c r="AG1787" s="10"/>
    </row>
    <row r="1788" s="6" customFormat="1" spans="33:33">
      <c r="AG1788" s="10"/>
    </row>
    <row r="1789" s="6" customFormat="1" spans="33:33">
      <c r="AG1789" s="10"/>
    </row>
    <row r="1790" s="6" customFormat="1" spans="33:33">
      <c r="AG1790" s="10"/>
    </row>
    <row r="1791" s="6" customFormat="1" spans="33:33">
      <c r="AG1791" s="10"/>
    </row>
    <row r="1792" s="6" customFormat="1" spans="33:33">
      <c r="AG1792" s="10"/>
    </row>
    <row r="1793" s="6" customFormat="1" spans="33:33">
      <c r="AG1793" s="10"/>
    </row>
    <row r="1794" s="6" customFormat="1" spans="33:33">
      <c r="AG1794" s="10"/>
    </row>
    <row r="1795" s="6" customFormat="1" spans="33:33">
      <c r="AG1795" s="10"/>
    </row>
    <row r="1796" s="6" customFormat="1" spans="33:33">
      <c r="AG1796" s="10"/>
    </row>
    <row r="1797" s="6" customFormat="1" spans="33:33">
      <c r="AG1797" s="10"/>
    </row>
    <row r="1798" s="6" customFormat="1" spans="33:33">
      <c r="AG1798" s="10"/>
    </row>
    <row r="1799" s="6" customFormat="1" spans="33:33">
      <c r="AG1799" s="10"/>
    </row>
    <row r="1800" s="6" customFormat="1" spans="33:33">
      <c r="AG1800" s="10"/>
    </row>
    <row r="1801" s="6" customFormat="1" spans="33:33">
      <c r="AG1801" s="10"/>
    </row>
    <row r="1802" s="6" customFormat="1" spans="33:33">
      <c r="AG1802" s="10"/>
    </row>
    <row r="1803" s="6" customFormat="1" spans="33:33">
      <c r="AG1803" s="10"/>
    </row>
    <row r="1804" s="6" customFormat="1" spans="33:33">
      <c r="AG1804" s="10"/>
    </row>
    <row r="1805" s="6" customFormat="1" spans="33:33">
      <c r="AG1805" s="10"/>
    </row>
    <row r="1806" s="6" customFormat="1" spans="33:33">
      <c r="AG1806" s="10"/>
    </row>
    <row r="1807" s="6" customFormat="1" spans="33:33">
      <c r="AG1807" s="10"/>
    </row>
    <row r="1808" s="6" customFormat="1" spans="33:33">
      <c r="AG1808" s="10"/>
    </row>
    <row r="1809" s="6" customFormat="1" spans="33:33">
      <c r="AG1809" s="10"/>
    </row>
    <row r="1810" s="6" customFormat="1" spans="33:33">
      <c r="AG1810" s="10"/>
    </row>
    <row r="1811" s="6" customFormat="1" spans="33:33">
      <c r="AG1811" s="10"/>
    </row>
    <row r="1812" s="6" customFormat="1" spans="33:33">
      <c r="AG1812" s="10"/>
    </row>
    <row r="1813" s="6" customFormat="1" spans="33:33">
      <c r="AG1813" s="10"/>
    </row>
    <row r="1814" s="6" customFormat="1" spans="33:33">
      <c r="AG1814" s="10"/>
    </row>
    <row r="1815" s="6" customFormat="1" spans="33:33">
      <c r="AG1815" s="10"/>
    </row>
    <row r="1816" s="6" customFormat="1" spans="33:33">
      <c r="AG1816" s="10"/>
    </row>
    <row r="1817" s="6" customFormat="1" spans="33:33">
      <c r="AG1817" s="10"/>
    </row>
    <row r="1818" s="6" customFormat="1" spans="33:33">
      <c r="AG1818" s="10"/>
    </row>
    <row r="1819" s="6" customFormat="1" spans="33:33">
      <c r="AG1819" s="10"/>
    </row>
    <row r="1820" s="6" customFormat="1" spans="33:33">
      <c r="AG1820" s="10"/>
    </row>
    <row r="1821" s="6" customFormat="1" spans="33:33">
      <c r="AG1821" s="10"/>
    </row>
    <row r="1822" s="6" customFormat="1" spans="33:33">
      <c r="AG1822" s="10"/>
    </row>
    <row r="1823" s="6" customFormat="1" spans="33:33">
      <c r="AG1823" s="10"/>
    </row>
    <row r="1824" s="6" customFormat="1" spans="33:33">
      <c r="AG1824" s="10"/>
    </row>
    <row r="1825" s="6" customFormat="1" spans="33:33">
      <c r="AG1825" s="10"/>
    </row>
    <row r="1826" s="6" customFormat="1" spans="33:33">
      <c r="AG1826" s="10"/>
    </row>
    <row r="1827" s="6" customFormat="1" spans="33:33">
      <c r="AG1827" s="10"/>
    </row>
    <row r="1828" s="6" customFormat="1" spans="33:33">
      <c r="AG1828" s="10"/>
    </row>
    <row r="1829" s="6" customFormat="1" spans="33:33">
      <c r="AG1829" s="10"/>
    </row>
    <row r="1830" s="6" customFormat="1" spans="33:33">
      <c r="AG1830" s="10"/>
    </row>
    <row r="1831" s="6" customFormat="1" spans="33:33">
      <c r="AG1831" s="10"/>
    </row>
    <row r="1832" s="6" customFormat="1" spans="33:33">
      <c r="AG1832" s="10"/>
    </row>
    <row r="1833" s="6" customFormat="1" spans="33:33">
      <c r="AG1833" s="10"/>
    </row>
    <row r="1834" s="6" customFormat="1" spans="33:33">
      <c r="AG1834" s="10"/>
    </row>
    <row r="1835" s="6" customFormat="1" spans="33:33">
      <c r="AG1835" s="10"/>
    </row>
    <row r="1836" s="6" customFormat="1" spans="33:33">
      <c r="AG1836" s="10"/>
    </row>
    <row r="1837" s="6" customFormat="1" spans="33:33">
      <c r="AG1837" s="10"/>
    </row>
    <row r="1838" s="6" customFormat="1" spans="33:33">
      <c r="AG1838" s="10"/>
    </row>
    <row r="1839" s="6" customFormat="1" spans="33:33">
      <c r="AG1839" s="10"/>
    </row>
    <row r="1840" s="6" customFormat="1" spans="33:33">
      <c r="AG1840" s="10"/>
    </row>
    <row r="1841" s="6" customFormat="1" spans="33:33">
      <c r="AG1841" s="10"/>
    </row>
    <row r="1842" s="6" customFormat="1" spans="33:33">
      <c r="AG1842" s="10"/>
    </row>
    <row r="1843" s="6" customFormat="1" spans="33:33">
      <c r="AG1843" s="10"/>
    </row>
    <row r="1844" s="6" customFormat="1" spans="33:33">
      <c r="AG1844" s="10"/>
    </row>
    <row r="1845" s="6" customFormat="1" spans="33:33">
      <c r="AG1845" s="10"/>
    </row>
    <row r="1846" s="6" customFormat="1" spans="33:33">
      <c r="AG1846" s="10"/>
    </row>
    <row r="1847" s="6" customFormat="1" spans="33:33">
      <c r="AG1847" s="10"/>
    </row>
    <row r="1848" s="6" customFormat="1" spans="33:33">
      <c r="AG1848" s="10"/>
    </row>
    <row r="1849" s="6" customFormat="1" spans="33:33">
      <c r="AG1849" s="10"/>
    </row>
    <row r="1850" s="6" customFormat="1" spans="33:33">
      <c r="AG1850" s="10"/>
    </row>
    <row r="1851" s="6" customFormat="1" spans="33:33">
      <c r="AG1851" s="10"/>
    </row>
    <row r="1852" s="6" customFormat="1" spans="33:33">
      <c r="AG1852" s="10"/>
    </row>
    <row r="1853" s="6" customFormat="1" spans="33:33">
      <c r="AG1853" s="10"/>
    </row>
    <row r="1854" s="6" customFormat="1" spans="33:33">
      <c r="AG1854" s="10"/>
    </row>
    <row r="1855" s="6" customFormat="1" spans="33:33">
      <c r="AG1855" s="10"/>
    </row>
    <row r="1856" s="6" customFormat="1" spans="33:33">
      <c r="AG1856" s="10"/>
    </row>
    <row r="1857" s="6" customFormat="1" spans="33:33">
      <c r="AG1857" s="10"/>
    </row>
    <row r="1858" s="6" customFormat="1" spans="33:33">
      <c r="AG1858" s="10"/>
    </row>
    <row r="1859" s="6" customFormat="1" spans="33:33">
      <c r="AG1859" s="10"/>
    </row>
    <row r="1860" s="6" customFormat="1" spans="33:33">
      <c r="AG1860" s="10"/>
    </row>
    <row r="1861" s="6" customFormat="1" spans="33:33">
      <c r="AG1861" s="10"/>
    </row>
    <row r="1862" s="6" customFormat="1" spans="33:33">
      <c r="AG1862" s="10"/>
    </row>
    <row r="1863" s="6" customFormat="1" spans="33:33">
      <c r="AG1863" s="10"/>
    </row>
    <row r="1864" s="6" customFormat="1" spans="33:33">
      <c r="AG1864" s="10"/>
    </row>
    <row r="1865" s="6" customFormat="1" spans="33:33">
      <c r="AG1865" s="10"/>
    </row>
    <row r="1866" s="6" customFormat="1" spans="33:33">
      <c r="AG1866" s="10"/>
    </row>
    <row r="1867" s="6" customFormat="1" spans="33:33">
      <c r="AG1867" s="10"/>
    </row>
    <row r="1868" s="6" customFormat="1" spans="33:33">
      <c r="AG1868" s="10"/>
    </row>
    <row r="1869" s="6" customFormat="1" spans="33:33">
      <c r="AG1869" s="10"/>
    </row>
    <row r="1870" s="6" customFormat="1" spans="33:33">
      <c r="AG1870" s="10"/>
    </row>
    <row r="1871" s="6" customFormat="1" spans="33:33">
      <c r="AG1871" s="10"/>
    </row>
    <row r="1872" s="6" customFormat="1" spans="33:33">
      <c r="AG1872" s="10"/>
    </row>
    <row r="1873" s="6" customFormat="1" spans="33:33">
      <c r="AG1873" s="10"/>
    </row>
    <row r="1874" s="6" customFormat="1" spans="33:33">
      <c r="AG1874" s="10"/>
    </row>
    <row r="1875" s="6" customFormat="1" spans="33:33">
      <c r="AG1875" s="10"/>
    </row>
    <row r="1876" s="6" customFormat="1" spans="33:33">
      <c r="AG1876" s="10"/>
    </row>
    <row r="1877" s="6" customFormat="1" spans="33:33">
      <c r="AG1877" s="10"/>
    </row>
    <row r="1878" s="6" customFormat="1" spans="33:33">
      <c r="AG1878" s="10"/>
    </row>
    <row r="1879" s="6" customFormat="1" spans="33:33">
      <c r="AG1879" s="10"/>
    </row>
    <row r="1880" s="6" customFormat="1" spans="33:33">
      <c r="AG1880" s="10"/>
    </row>
    <row r="1881" s="6" customFormat="1" spans="33:33">
      <c r="AG1881" s="10"/>
    </row>
    <row r="1882" s="6" customFormat="1" spans="33:33">
      <c r="AG1882" s="10"/>
    </row>
    <row r="1883" s="6" customFormat="1" spans="33:33">
      <c r="AG1883" s="10"/>
    </row>
    <row r="1884" s="6" customFormat="1" spans="33:33">
      <c r="AG1884" s="10"/>
    </row>
    <row r="1885" s="6" customFormat="1" spans="33:33">
      <c r="AG1885" s="10"/>
    </row>
    <row r="1886" s="6" customFormat="1" spans="33:33">
      <c r="AG1886" s="10"/>
    </row>
    <row r="1887" s="6" customFormat="1" spans="33:33">
      <c r="AG1887" s="10"/>
    </row>
    <row r="1888" s="6" customFormat="1" spans="33:33">
      <c r="AG1888" s="10"/>
    </row>
    <row r="1889" s="6" customFormat="1" spans="33:33">
      <c r="AG1889" s="10"/>
    </row>
    <row r="1890" s="6" customFormat="1" spans="33:33">
      <c r="AG1890" s="10"/>
    </row>
    <row r="1891" s="6" customFormat="1" spans="33:33">
      <c r="AG1891" s="10"/>
    </row>
    <row r="1892" s="6" customFormat="1" spans="33:33">
      <c r="AG1892" s="10"/>
    </row>
    <row r="1893" s="6" customFormat="1" spans="33:33">
      <c r="AG1893" s="10"/>
    </row>
    <row r="1894" s="6" customFormat="1" spans="33:33">
      <c r="AG1894" s="10"/>
    </row>
    <row r="1895" s="6" customFormat="1" spans="33:33">
      <c r="AG1895" s="10"/>
    </row>
    <row r="1896" s="6" customFormat="1" spans="33:33">
      <c r="AG1896" s="10"/>
    </row>
    <row r="1897" s="6" customFormat="1" spans="33:33">
      <c r="AG1897" s="10"/>
    </row>
    <row r="1898" s="6" customFormat="1" spans="33:33">
      <c r="AG1898" s="10"/>
    </row>
    <row r="1899" s="6" customFormat="1" spans="33:33">
      <c r="AG1899" s="10"/>
    </row>
    <row r="1900" s="6" customFormat="1" spans="33:33">
      <c r="AG1900" s="10"/>
    </row>
    <row r="1901" s="6" customFormat="1" spans="33:33">
      <c r="AG1901" s="10"/>
    </row>
    <row r="1902" s="6" customFormat="1" spans="33:33">
      <c r="AG1902" s="10"/>
    </row>
    <row r="1903" s="6" customFormat="1" spans="33:33">
      <c r="AG1903" s="10"/>
    </row>
    <row r="1904" s="6" customFormat="1" spans="33:33">
      <c r="AG1904" s="10"/>
    </row>
    <row r="1905" s="6" customFormat="1" spans="33:33">
      <c r="AG1905" s="10"/>
    </row>
    <row r="1906" s="6" customFormat="1" spans="33:33">
      <c r="AG1906" s="10"/>
    </row>
    <row r="1907" s="6" customFormat="1" spans="33:33">
      <c r="AG1907" s="10"/>
    </row>
    <row r="1908" s="6" customFormat="1" spans="33:33">
      <c r="AG1908" s="10"/>
    </row>
    <row r="1909" s="6" customFormat="1" spans="33:33">
      <c r="AG1909" s="10"/>
    </row>
    <row r="1910" s="6" customFormat="1" spans="33:33">
      <c r="AG1910" s="10"/>
    </row>
    <row r="1911" s="6" customFormat="1" spans="33:33">
      <c r="AG1911" s="10"/>
    </row>
    <row r="1912" s="6" customFormat="1" spans="33:33">
      <c r="AG1912" s="10"/>
    </row>
    <row r="1913" s="6" customFormat="1" spans="33:33">
      <c r="AG1913" s="10"/>
    </row>
    <row r="1914" s="6" customFormat="1" spans="33:33">
      <c r="AG1914" s="10"/>
    </row>
    <row r="1915" s="6" customFormat="1" spans="33:33">
      <c r="AG1915" s="10"/>
    </row>
    <row r="1916" s="6" customFormat="1" spans="33:33">
      <c r="AG1916" s="10"/>
    </row>
    <row r="1917" s="6" customFormat="1" spans="33:33">
      <c r="AG1917" s="10"/>
    </row>
    <row r="1918" s="6" customFormat="1" spans="33:33">
      <c r="AG1918" s="10"/>
    </row>
    <row r="1919" s="6" customFormat="1" spans="33:33">
      <c r="AG1919" s="10"/>
    </row>
    <row r="1920" s="6" customFormat="1" spans="33:33">
      <c r="AG1920" s="10"/>
    </row>
    <row r="1921" s="6" customFormat="1" spans="33:33">
      <c r="AG1921" s="10"/>
    </row>
    <row r="1922" s="6" customFormat="1" spans="33:33">
      <c r="AG1922" s="10"/>
    </row>
    <row r="1923" s="6" customFormat="1" spans="33:33">
      <c r="AG1923" s="10"/>
    </row>
    <row r="1924" s="6" customFormat="1" spans="33:33">
      <c r="AG1924" s="10"/>
    </row>
    <row r="1925" s="6" customFormat="1" spans="33:33">
      <c r="AG1925" s="10"/>
    </row>
    <row r="1926" s="6" customFormat="1" spans="33:33">
      <c r="AG1926" s="10"/>
    </row>
    <row r="1927" s="6" customFormat="1" spans="33:33">
      <c r="AG1927" s="10"/>
    </row>
    <row r="1928" s="6" customFormat="1" spans="33:33">
      <c r="AG1928" s="10"/>
    </row>
    <row r="1929" s="6" customFormat="1" spans="33:33">
      <c r="AG1929" s="10"/>
    </row>
    <row r="1930" s="6" customFormat="1" spans="33:33">
      <c r="AG1930" s="10"/>
    </row>
    <row r="1931" s="6" customFormat="1" spans="33:33">
      <c r="AG1931" s="10"/>
    </row>
    <row r="1932" s="6" customFormat="1" spans="33:33">
      <c r="AG1932" s="10"/>
    </row>
    <row r="1933" s="6" customFormat="1" spans="33:33">
      <c r="AG1933" s="10"/>
    </row>
    <row r="1934" s="6" customFormat="1" spans="33:33">
      <c r="AG1934" s="10"/>
    </row>
    <row r="1935" s="6" customFormat="1" spans="33:33">
      <c r="AG1935" s="10"/>
    </row>
    <row r="1936" s="6" customFormat="1" spans="33:33">
      <c r="AG1936" s="10"/>
    </row>
    <row r="1937" s="6" customFormat="1" spans="33:33">
      <c r="AG1937" s="10"/>
    </row>
    <row r="1938" s="6" customFormat="1" spans="33:33">
      <c r="AG1938" s="10"/>
    </row>
    <row r="1939" s="6" customFormat="1" spans="33:33">
      <c r="AG1939" s="10"/>
    </row>
    <row r="1940" s="6" customFormat="1" spans="33:33">
      <c r="AG1940" s="10"/>
    </row>
    <row r="1941" s="6" customFormat="1" spans="33:33">
      <c r="AG1941" s="10"/>
    </row>
    <row r="1942" s="6" customFormat="1" spans="33:33">
      <c r="AG1942" s="10"/>
    </row>
    <row r="1943" s="6" customFormat="1" spans="33:33">
      <c r="AG1943" s="10"/>
    </row>
    <row r="1944" s="6" customFormat="1" spans="33:33">
      <c r="AG1944" s="10"/>
    </row>
    <row r="1945" s="6" customFormat="1" spans="33:33">
      <c r="AG1945" s="10"/>
    </row>
    <row r="1946" s="6" customFormat="1" spans="33:33">
      <c r="AG1946" s="10"/>
    </row>
    <row r="1947" s="6" customFormat="1" spans="33:33">
      <c r="AG1947" s="10"/>
    </row>
    <row r="1948" spans="33:33">
      <c r="AG1948" s="10"/>
    </row>
    <row r="1949" spans="33:33">
      <c r="AG1949" s="10"/>
    </row>
    <row r="1950" spans="33:33">
      <c r="AG1950" s="10"/>
    </row>
    <row r="1951" spans="33:33">
      <c r="AG1951" s="10"/>
    </row>
    <row r="1952" spans="33:33">
      <c r="AG1952" s="10"/>
    </row>
    <row r="1953" spans="33:33">
      <c r="AG1953" s="10"/>
    </row>
    <row r="1954" spans="33:33">
      <c r="AG1954" s="10"/>
    </row>
    <row r="1955" spans="33:33">
      <c r="AG1955" s="10"/>
    </row>
    <row r="1956" spans="33:33">
      <c r="AG1956" s="10"/>
    </row>
    <row r="1957" spans="33:33">
      <c r="AG1957" s="10"/>
    </row>
    <row r="1958" spans="33:33">
      <c r="AG1958" s="10"/>
    </row>
    <row r="1959" spans="33:33">
      <c r="AG1959" s="10"/>
    </row>
    <row r="1960" spans="33:33">
      <c r="AG1960" s="10"/>
    </row>
    <row r="1961" spans="33:33">
      <c r="AG1961" s="10"/>
    </row>
    <row r="1962" spans="33:33">
      <c r="AG1962" s="10"/>
    </row>
    <row r="1963" spans="33:33">
      <c r="AG1963" s="10"/>
    </row>
    <row r="1964" spans="33:33">
      <c r="AG1964" s="10"/>
    </row>
    <row r="1965" spans="33:33">
      <c r="AG1965" s="10"/>
    </row>
    <row r="1966" spans="33:33">
      <c r="AG1966" s="10"/>
    </row>
    <row r="1967" spans="33:33">
      <c r="AG1967" s="10"/>
    </row>
    <row r="1968" spans="33:33">
      <c r="AG1968" s="10"/>
    </row>
    <row r="1969" spans="33:33">
      <c r="AG1969" s="10"/>
    </row>
    <row r="1970" spans="33:33">
      <c r="AG1970" s="10"/>
    </row>
    <row r="1971" spans="33:33">
      <c r="AG1971" s="10"/>
    </row>
    <row r="1972" spans="33:33">
      <c r="AG1972" s="10"/>
    </row>
    <row r="1973" spans="33:33">
      <c r="AG1973" s="10"/>
    </row>
    <row r="1974" spans="33:33">
      <c r="AG1974" s="10"/>
    </row>
    <row r="1975" spans="33:33">
      <c r="AG1975" s="10"/>
    </row>
    <row r="1976" spans="33:33">
      <c r="AG1976" s="10"/>
    </row>
    <row r="1977" spans="33:33">
      <c r="AG1977" s="10"/>
    </row>
    <row r="1978" spans="33:33">
      <c r="AG1978" s="10"/>
    </row>
    <row r="1979" spans="33:33">
      <c r="AG1979" s="10"/>
    </row>
    <row r="1980" spans="33:33">
      <c r="AG1980" s="10"/>
    </row>
    <row r="1981" spans="33:33">
      <c r="AG1981" s="10"/>
    </row>
    <row r="1982" spans="33:33">
      <c r="AG1982" s="10"/>
    </row>
    <row r="1983" spans="33:33">
      <c r="AG1983" s="10"/>
    </row>
    <row r="1984" spans="33:33">
      <c r="AG1984" s="10"/>
    </row>
    <row r="1985" spans="33:33">
      <c r="AG1985" s="10"/>
    </row>
    <row r="1986" spans="33:33">
      <c r="AG1986" s="10"/>
    </row>
    <row r="1987" spans="33:33">
      <c r="AG1987" s="10"/>
    </row>
    <row r="1988" spans="33:33">
      <c r="AG1988" s="10"/>
    </row>
    <row r="1989" spans="33:33">
      <c r="AG1989" s="10"/>
    </row>
    <row r="1990" spans="33:33">
      <c r="AG1990" s="10"/>
    </row>
    <row r="1991" spans="33:33">
      <c r="AG1991" s="10"/>
    </row>
    <row r="1992" spans="33:33">
      <c r="AG1992" s="10"/>
    </row>
    <row r="1993" spans="33:33">
      <c r="AG1993" s="10"/>
    </row>
    <row r="1994" spans="33:33">
      <c r="AG1994" s="10"/>
    </row>
    <row r="1995" spans="33:33">
      <c r="AG1995" s="10"/>
    </row>
    <row r="1996" spans="33:33">
      <c r="AG1996" s="10"/>
    </row>
    <row r="1997" spans="33:33">
      <c r="AG1997" s="10"/>
    </row>
    <row r="1998" spans="33:33">
      <c r="AG1998" s="10"/>
    </row>
    <row r="1999" spans="33:33">
      <c r="AG1999" s="10"/>
    </row>
    <row r="2000" spans="33:33">
      <c r="AG2000" s="10"/>
    </row>
    <row r="2001" spans="33:33">
      <c r="AG2001" s="10"/>
    </row>
    <row r="2002" spans="33:33">
      <c r="AG2002" s="10"/>
    </row>
    <row r="2003" spans="33:33">
      <c r="AG2003" s="10"/>
    </row>
    <row r="2004" spans="33:33">
      <c r="AG2004" s="10"/>
    </row>
    <row r="2005" spans="33:33">
      <c r="AG2005" s="10"/>
    </row>
    <row r="2006" spans="33:33">
      <c r="AG2006" s="10"/>
    </row>
    <row r="2007" spans="33:33">
      <c r="AG2007" s="10"/>
    </row>
    <row r="2008" spans="33:33">
      <c r="AG2008" s="10"/>
    </row>
    <row r="2009" spans="33:33">
      <c r="AG2009" s="10"/>
    </row>
    <row r="2010" spans="33:33">
      <c r="AG2010" s="10"/>
    </row>
    <row r="2011" spans="33:33">
      <c r="AG2011" s="10"/>
    </row>
    <row r="2012" spans="33:33">
      <c r="AG2012" s="10"/>
    </row>
    <row r="2013" spans="33:33">
      <c r="AG2013" s="10"/>
    </row>
    <row r="2014" spans="33:33">
      <c r="AG2014" s="10"/>
    </row>
    <row r="2015" spans="33:33">
      <c r="AG2015" s="10"/>
    </row>
    <row r="2016" spans="33:33">
      <c r="AG2016" s="10"/>
    </row>
    <row r="2017" spans="33:33">
      <c r="AG2017" s="10"/>
    </row>
    <row r="2018" spans="33:33">
      <c r="AG2018" s="10"/>
    </row>
    <row r="2019" spans="33:33">
      <c r="AG2019" s="10"/>
    </row>
    <row r="2020" spans="33:33">
      <c r="AG2020" s="10"/>
    </row>
    <row r="2021" spans="33:33">
      <c r="AG2021" s="10"/>
    </row>
    <row r="2022" spans="33:33">
      <c r="AG2022" s="10"/>
    </row>
    <row r="2023" spans="33:33">
      <c r="AG2023" s="10"/>
    </row>
    <row r="2024" spans="33:33">
      <c r="AG2024" s="10"/>
    </row>
    <row r="2025" spans="33:33">
      <c r="AG2025" s="10"/>
    </row>
    <row r="2026" spans="33:33">
      <c r="AG2026" s="10"/>
    </row>
    <row r="2027" spans="33:33">
      <c r="AG2027" s="10"/>
    </row>
    <row r="2028" spans="33:33">
      <c r="AG2028" s="10"/>
    </row>
    <row r="2029" spans="33:33">
      <c r="AG2029" s="10"/>
    </row>
    <row r="2030" spans="33:33">
      <c r="AG2030" s="10"/>
    </row>
    <row r="2031" spans="33:33">
      <c r="AG2031" s="10"/>
    </row>
    <row r="2032" spans="33:33">
      <c r="AG2032" s="10"/>
    </row>
    <row r="2033" spans="33:33">
      <c r="AG2033" s="10"/>
    </row>
    <row r="2034" spans="33:33">
      <c r="AG2034" s="10"/>
    </row>
    <row r="2035" spans="33:33">
      <c r="AG2035" s="10"/>
    </row>
    <row r="2036" spans="33:33">
      <c r="AG2036" s="10"/>
    </row>
    <row r="2037" spans="33:33">
      <c r="AG2037" s="10"/>
    </row>
    <row r="2038" spans="33:33">
      <c r="AG2038" s="10"/>
    </row>
    <row r="2039" spans="33:33">
      <c r="AG2039" s="10"/>
    </row>
    <row r="2040" spans="33:33">
      <c r="AG2040" s="10"/>
    </row>
    <row r="2041" spans="33:33">
      <c r="AG2041" s="10"/>
    </row>
    <row r="2042" spans="33:33">
      <c r="AG2042" s="10"/>
    </row>
    <row r="2043" spans="33:33">
      <c r="AG2043" s="10"/>
    </row>
    <row r="2044" spans="33:33">
      <c r="AG2044" s="10"/>
    </row>
    <row r="2045" spans="33:33">
      <c r="AG2045" s="10"/>
    </row>
    <row r="2046" spans="33:33">
      <c r="AG2046" s="10"/>
    </row>
    <row r="2047" spans="33:33">
      <c r="AG2047" s="10"/>
    </row>
    <row r="2048" spans="33:33">
      <c r="AG2048" s="10"/>
    </row>
    <row r="2049" spans="33:33">
      <c r="AG2049" s="10"/>
    </row>
    <row r="2050" spans="33:33">
      <c r="AG2050" s="10"/>
    </row>
    <row r="2051" spans="33:33">
      <c r="AG2051" s="10"/>
    </row>
    <row r="2052" spans="33:33">
      <c r="AG2052" s="10"/>
    </row>
    <row r="2053" spans="33:33">
      <c r="AG2053" s="10"/>
    </row>
    <row r="2054" spans="33:33">
      <c r="AG2054" s="10"/>
    </row>
    <row r="2055" spans="33:33">
      <c r="AG2055" s="10"/>
    </row>
    <row r="2056" spans="33:33">
      <c r="AG2056" s="10"/>
    </row>
    <row r="2057" spans="33:33">
      <c r="AG2057" s="10"/>
    </row>
    <row r="2058" spans="33:33">
      <c r="AG2058" s="10"/>
    </row>
    <row r="2059" spans="33:33">
      <c r="AG2059" s="10"/>
    </row>
    <row r="2060" spans="33:33">
      <c r="AG2060" s="10"/>
    </row>
    <row r="2061" spans="33:33">
      <c r="AG2061" s="10"/>
    </row>
    <row r="2062" spans="33:33">
      <c r="AG2062" s="10"/>
    </row>
    <row r="2063" spans="33:33">
      <c r="AG2063" s="10"/>
    </row>
    <row r="2064" spans="33:33">
      <c r="AG2064" s="10"/>
    </row>
    <row r="2065" spans="33:33">
      <c r="AG2065" s="10"/>
    </row>
    <row r="2066" spans="33:33">
      <c r="AG2066" s="10"/>
    </row>
    <row r="2067" spans="33:33">
      <c r="AG2067" s="10"/>
    </row>
    <row r="2068" spans="33:33">
      <c r="AG2068" s="10"/>
    </row>
    <row r="2069" spans="33:33">
      <c r="AG2069" s="10"/>
    </row>
    <row r="2070" spans="33:33">
      <c r="AG2070" s="10"/>
    </row>
    <row r="2071" spans="33:33">
      <c r="AG2071" s="10"/>
    </row>
    <row r="2072" spans="33:33">
      <c r="AG2072" s="10"/>
    </row>
    <row r="2073" spans="33:33">
      <c r="AG2073" s="10"/>
    </row>
    <row r="2074" spans="33:33">
      <c r="AG2074" s="10"/>
    </row>
    <row r="2075" spans="33:33">
      <c r="AG2075" s="10"/>
    </row>
    <row r="2076" spans="33:33">
      <c r="AG2076" s="10"/>
    </row>
    <row r="2077" spans="33:33">
      <c r="AG2077" s="10"/>
    </row>
    <row r="2078" spans="33:33">
      <c r="AG2078" s="10"/>
    </row>
    <row r="2079" spans="33:33">
      <c r="AG2079" s="10"/>
    </row>
    <row r="2080" spans="33:33">
      <c r="AG2080" s="10"/>
    </row>
    <row r="2081" spans="33:33">
      <c r="AG2081" s="10"/>
    </row>
    <row r="2082" spans="33:33">
      <c r="AG2082" s="10"/>
    </row>
    <row r="2083" spans="33:33">
      <c r="AG2083" s="10"/>
    </row>
    <row r="2084" spans="33:33">
      <c r="AG2084" s="10"/>
    </row>
    <row r="2085" spans="33:33">
      <c r="AG2085" s="10"/>
    </row>
    <row r="2086" spans="33:33">
      <c r="AG2086" s="10"/>
    </row>
    <row r="2087" spans="33:33">
      <c r="AG2087" s="10"/>
    </row>
    <row r="2088" spans="33:33">
      <c r="AG2088" s="10"/>
    </row>
    <row r="2089" spans="33:33">
      <c r="AG2089" s="10"/>
    </row>
    <row r="2090" spans="33:33">
      <c r="AG2090" s="10"/>
    </row>
    <row r="2091" spans="33:33">
      <c r="AG2091" s="10"/>
    </row>
    <row r="2092" spans="33:33">
      <c r="AG2092" s="10"/>
    </row>
    <row r="2093" spans="33:33">
      <c r="AG2093" s="10"/>
    </row>
    <row r="2094" spans="33:33">
      <c r="AG2094" s="10"/>
    </row>
    <row r="2095" spans="33:33">
      <c r="AG2095" s="10"/>
    </row>
    <row r="2096" spans="33:33">
      <c r="AG2096" s="10"/>
    </row>
    <row r="2097" spans="33:33">
      <c r="AG2097" s="10"/>
    </row>
    <row r="2098" spans="33:33">
      <c r="AG2098" s="10"/>
    </row>
    <row r="2099" spans="33:33">
      <c r="AG2099" s="10"/>
    </row>
    <row r="2100" spans="33:33">
      <c r="AG2100" s="10"/>
    </row>
    <row r="2101" spans="33:33">
      <c r="AG2101" s="10"/>
    </row>
    <row r="2102" spans="33:33">
      <c r="AG2102" s="10"/>
    </row>
    <row r="2103" spans="33:33">
      <c r="AG2103" s="10"/>
    </row>
    <row r="2104" spans="33:33">
      <c r="AG2104" s="10"/>
    </row>
    <row r="2105" spans="33:33">
      <c r="AG2105" s="10"/>
    </row>
    <row r="2106" spans="33:33">
      <c r="AG2106" s="10"/>
    </row>
    <row r="2107" spans="33:33">
      <c r="AG2107" s="10"/>
    </row>
    <row r="2108" spans="33:33">
      <c r="AG2108" s="10"/>
    </row>
    <row r="2109" spans="33:33">
      <c r="AG2109" s="10"/>
    </row>
    <row r="2110" spans="33:33">
      <c r="AG2110" s="10"/>
    </row>
    <row r="2111" spans="33:33">
      <c r="AG2111" s="10"/>
    </row>
    <row r="2112" spans="33:33">
      <c r="AG2112" s="10"/>
    </row>
    <row r="2113" spans="33:33">
      <c r="AG2113" s="10"/>
    </row>
    <row r="2114" spans="33:33">
      <c r="AG2114" s="10"/>
    </row>
    <row r="2115" spans="33:33">
      <c r="AG2115" s="10"/>
    </row>
    <row r="2116" spans="33:33">
      <c r="AG2116" s="10"/>
    </row>
    <row r="2117" spans="33:33">
      <c r="AG2117" s="10"/>
    </row>
    <row r="2118" spans="33:33">
      <c r="AG2118" s="10"/>
    </row>
    <row r="2119" spans="33:33">
      <c r="AG2119" s="10"/>
    </row>
    <row r="2120" spans="33:33">
      <c r="AG2120" s="10"/>
    </row>
    <row r="2121" spans="33:33">
      <c r="AG2121" s="10"/>
    </row>
    <row r="2122" spans="33:33">
      <c r="AG2122" s="10"/>
    </row>
    <row r="2123" spans="33:33">
      <c r="AG2123" s="10"/>
    </row>
    <row r="2124" spans="33:33">
      <c r="AG2124" s="10"/>
    </row>
    <row r="2125" spans="33:33">
      <c r="AG2125" s="10"/>
    </row>
    <row r="2126" spans="33:33">
      <c r="AG2126" s="10"/>
    </row>
    <row r="2127" spans="33:33">
      <c r="AG2127" s="10"/>
    </row>
    <row r="2128" spans="33:33">
      <c r="AG2128" s="10"/>
    </row>
    <row r="2129" spans="33:33">
      <c r="AG2129" s="10"/>
    </row>
    <row r="2130" spans="33:33">
      <c r="AG2130" s="10"/>
    </row>
    <row r="2131" spans="33:33">
      <c r="AG2131" s="10"/>
    </row>
    <row r="2132" spans="33:33">
      <c r="AG2132" s="10"/>
    </row>
    <row r="2133" spans="33:33">
      <c r="AG2133" s="10"/>
    </row>
    <row r="2134" spans="33:33">
      <c r="AG2134" s="10"/>
    </row>
    <row r="2135" spans="33:33">
      <c r="AG2135" s="10"/>
    </row>
    <row r="2136" spans="33:33">
      <c r="AG2136" s="10"/>
    </row>
    <row r="2137" spans="33:33">
      <c r="AG2137" s="10"/>
    </row>
    <row r="2138" spans="33:33">
      <c r="AG2138" s="10"/>
    </row>
    <row r="2139" spans="33:33">
      <c r="AG2139" s="10"/>
    </row>
    <row r="2140" spans="33:33">
      <c r="AG2140" s="10"/>
    </row>
    <row r="2141" spans="33:33">
      <c r="AG2141" s="10"/>
    </row>
    <row r="2142" spans="33:33">
      <c r="AG2142" s="10"/>
    </row>
    <row r="2143" spans="33:33">
      <c r="AG2143" s="10"/>
    </row>
    <row r="2144" spans="33:33">
      <c r="AG2144" s="10"/>
    </row>
    <row r="2145" spans="33:33">
      <c r="AG2145" s="10"/>
    </row>
    <row r="2146" spans="33:33">
      <c r="AG2146" s="10"/>
    </row>
    <row r="2147" spans="33:33">
      <c r="AG2147" s="10"/>
    </row>
    <row r="2148" spans="33:33">
      <c r="AG2148" s="10"/>
    </row>
    <row r="2149" spans="33:33">
      <c r="AG2149" s="10"/>
    </row>
    <row r="2150" spans="33:33">
      <c r="AG2150" s="10"/>
    </row>
    <row r="2151" spans="33:33">
      <c r="AG2151" s="10"/>
    </row>
    <row r="2152" spans="33:33">
      <c r="AG2152" s="10"/>
    </row>
    <row r="2153" spans="33:33">
      <c r="AG2153" s="10"/>
    </row>
    <row r="2154" spans="33:33">
      <c r="AG2154" s="10"/>
    </row>
    <row r="2155" spans="33:33">
      <c r="AG2155" s="10"/>
    </row>
    <row r="2156" spans="33:33">
      <c r="AG2156" s="10"/>
    </row>
    <row r="2157" spans="33:33">
      <c r="AG2157" s="10"/>
    </row>
    <row r="2158" spans="33:33">
      <c r="AG2158" s="10"/>
    </row>
    <row r="2159" spans="33:33">
      <c r="AG2159" s="10"/>
    </row>
    <row r="2160" spans="33:33">
      <c r="AG2160" s="10"/>
    </row>
    <row r="2161" spans="33:33">
      <c r="AG2161" s="10"/>
    </row>
    <row r="2162" spans="33:33">
      <c r="AG2162" s="10"/>
    </row>
    <row r="2163" spans="33:33">
      <c r="AG2163" s="10"/>
    </row>
    <row r="2164" spans="33:33">
      <c r="AG2164" s="10"/>
    </row>
    <row r="2165" spans="33:33">
      <c r="AG2165" s="10"/>
    </row>
    <row r="2166" spans="33:33">
      <c r="AG2166" s="10"/>
    </row>
    <row r="2167" spans="33:33">
      <c r="AG2167" s="10"/>
    </row>
    <row r="2168" spans="33:33">
      <c r="AG2168" s="10"/>
    </row>
    <row r="2169" spans="33:33">
      <c r="AG2169" s="10"/>
    </row>
    <row r="2170" spans="33:33">
      <c r="AG2170" s="10"/>
    </row>
    <row r="2171" spans="33:33">
      <c r="AG2171" s="10"/>
    </row>
    <row r="2172" spans="33:33">
      <c r="AG2172" s="10"/>
    </row>
    <row r="2173" spans="33:33">
      <c r="AG2173" s="10"/>
    </row>
    <row r="2174" spans="33:33">
      <c r="AG2174" s="10"/>
    </row>
    <row r="2175" spans="33:33">
      <c r="AG2175" s="10"/>
    </row>
    <row r="2176" spans="33:33">
      <c r="AG2176" s="10"/>
    </row>
    <row r="2177" spans="33:33">
      <c r="AG2177" s="10"/>
    </row>
    <row r="2178" spans="33:33">
      <c r="AG2178" s="10"/>
    </row>
    <row r="2179" spans="33:33">
      <c r="AG2179" s="10"/>
    </row>
    <row r="2180" spans="33:33">
      <c r="AG2180" s="10"/>
    </row>
    <row r="2181" spans="33:33">
      <c r="AG2181" s="10"/>
    </row>
    <row r="2182" spans="33:33">
      <c r="AG2182" s="10"/>
    </row>
    <row r="2183" spans="33:33">
      <c r="AG2183" s="10"/>
    </row>
    <row r="2184" spans="33:33">
      <c r="AG2184" s="10"/>
    </row>
    <row r="2185" spans="33:33">
      <c r="AG2185" s="10"/>
    </row>
    <row r="2186" spans="33:33">
      <c r="AG2186" s="10"/>
    </row>
    <row r="2187" spans="33:33">
      <c r="AG2187" s="10"/>
    </row>
    <row r="2188" spans="33:33">
      <c r="AG2188" s="10"/>
    </row>
    <row r="2189" spans="33:33">
      <c r="AG2189" s="10"/>
    </row>
    <row r="2190" spans="33:33">
      <c r="AG2190" s="10"/>
    </row>
    <row r="2191" spans="33:33">
      <c r="AG2191" s="10"/>
    </row>
    <row r="2192" spans="33:33">
      <c r="AG2192" s="10"/>
    </row>
    <row r="2193" spans="33:33">
      <c r="AG2193" s="10"/>
    </row>
    <row r="2194" spans="33:33">
      <c r="AG2194" s="10"/>
    </row>
    <row r="2195" spans="33:33">
      <c r="AG2195" s="10"/>
    </row>
    <row r="2196" spans="33:33">
      <c r="AG2196" s="10"/>
    </row>
    <row r="2197" spans="33:33">
      <c r="AG2197" s="10"/>
    </row>
    <row r="2198" spans="33:33">
      <c r="AG2198" s="10"/>
    </row>
    <row r="2199" spans="33:33">
      <c r="AG2199" s="10"/>
    </row>
    <row r="2200" spans="33:33">
      <c r="AG2200" s="10"/>
    </row>
    <row r="2201" spans="33:33">
      <c r="AG2201" s="10"/>
    </row>
    <row r="2202" spans="33:33">
      <c r="AG2202" s="10"/>
    </row>
    <row r="2203" spans="33:33">
      <c r="AG2203" s="10"/>
    </row>
    <row r="2204" spans="33:33">
      <c r="AG2204" s="10"/>
    </row>
    <row r="2205" spans="33:33">
      <c r="AG2205" s="10"/>
    </row>
    <row r="2206" spans="33:33">
      <c r="AG2206" s="10"/>
    </row>
    <row r="2207" spans="33:33">
      <c r="AG2207" s="10"/>
    </row>
    <row r="2208" spans="33:33">
      <c r="AG2208" s="10"/>
    </row>
    <row r="2209" spans="33:33">
      <c r="AG2209" s="10"/>
    </row>
    <row r="2210" spans="33:33">
      <c r="AG2210" s="10"/>
    </row>
    <row r="2211" spans="33:33">
      <c r="AG2211" s="10"/>
    </row>
    <row r="2212" spans="33:33">
      <c r="AG2212" s="10"/>
    </row>
    <row r="2213" spans="33:33">
      <c r="AG2213" s="10"/>
    </row>
    <row r="2214" spans="33:33">
      <c r="AG2214" s="10"/>
    </row>
    <row r="2215" spans="33:33">
      <c r="AG2215" s="10"/>
    </row>
    <row r="2216" spans="33:33">
      <c r="AG2216" s="10"/>
    </row>
    <row r="2217" spans="33:33">
      <c r="AG2217" s="10"/>
    </row>
    <row r="2218" spans="33:33">
      <c r="AG2218" s="10"/>
    </row>
    <row r="2219" spans="33:33">
      <c r="AG2219" s="10"/>
    </row>
    <row r="2220" spans="33:33">
      <c r="AG2220" s="10"/>
    </row>
    <row r="2221" spans="33:33">
      <c r="AG2221" s="10"/>
    </row>
    <row r="2222" spans="33:33">
      <c r="AG2222" s="10"/>
    </row>
    <row r="2223" spans="33:33">
      <c r="AG2223" s="10"/>
    </row>
    <row r="2224" spans="33:33">
      <c r="AG2224" s="10"/>
    </row>
    <row r="2225" spans="33:33">
      <c r="AG2225" s="10"/>
    </row>
    <row r="2226" spans="33:33">
      <c r="AG2226" s="10"/>
    </row>
    <row r="2227" spans="33:33">
      <c r="AG2227" s="10"/>
    </row>
    <row r="2228" spans="33:33">
      <c r="AG2228" s="10"/>
    </row>
    <row r="2229" spans="33:33">
      <c r="AG2229" s="10"/>
    </row>
    <row r="2230" spans="33:33">
      <c r="AG2230" s="10"/>
    </row>
    <row r="2231" spans="33:33">
      <c r="AG2231" s="10"/>
    </row>
    <row r="2232" spans="33:33">
      <c r="AG2232" s="10"/>
    </row>
    <row r="2233" spans="33:33">
      <c r="AG2233" s="10"/>
    </row>
    <row r="2234" spans="33:33">
      <c r="AG2234" s="10"/>
    </row>
    <row r="2235" spans="33:33">
      <c r="AG2235" s="10"/>
    </row>
    <row r="2236" spans="33:33">
      <c r="AG2236" s="10"/>
    </row>
    <row r="2237" spans="33:33">
      <c r="AG2237" s="10"/>
    </row>
    <row r="2238" spans="33:33">
      <c r="AG2238" s="10"/>
    </row>
    <row r="2239" spans="33:33">
      <c r="AG2239" s="10"/>
    </row>
    <row r="2240" spans="33:33">
      <c r="AG2240" s="10"/>
    </row>
    <row r="2241" spans="33:33">
      <c r="AG2241" s="10"/>
    </row>
    <row r="2242" spans="33:33">
      <c r="AG2242" s="10"/>
    </row>
    <row r="2243" spans="33:33">
      <c r="AG2243" s="10"/>
    </row>
    <row r="2244" spans="33:33">
      <c r="AG2244" s="10"/>
    </row>
    <row r="2245" spans="33:33">
      <c r="AG2245" s="10"/>
    </row>
    <row r="2246" spans="33:33">
      <c r="AG2246" s="10"/>
    </row>
    <row r="2247" spans="33:33">
      <c r="AG2247" s="10"/>
    </row>
    <row r="2248" spans="33:33">
      <c r="AG2248" s="10"/>
    </row>
    <row r="2249" spans="33:33">
      <c r="AG2249" s="10"/>
    </row>
    <row r="2250" spans="33:33">
      <c r="AG2250" s="10"/>
    </row>
    <row r="2251" spans="33:33">
      <c r="AG2251" s="10"/>
    </row>
    <row r="2252" spans="33:33">
      <c r="AG2252" s="10"/>
    </row>
    <row r="2253" spans="33:33">
      <c r="AG2253" s="10"/>
    </row>
    <row r="2254" spans="33:33">
      <c r="AG2254" s="10"/>
    </row>
    <row r="2255" spans="33:33">
      <c r="AG2255" s="10"/>
    </row>
    <row r="2256" spans="33:33">
      <c r="AG2256" s="10"/>
    </row>
    <row r="2257" spans="33:33">
      <c r="AG2257" s="10"/>
    </row>
    <row r="2258" spans="33:33">
      <c r="AG2258" s="10"/>
    </row>
    <row r="2259" spans="33:33">
      <c r="AG2259" s="10"/>
    </row>
    <row r="2260" spans="33:33">
      <c r="AG2260" s="10"/>
    </row>
    <row r="2261" spans="33:33">
      <c r="AG2261" s="10"/>
    </row>
    <row r="2262" spans="33:33">
      <c r="AG2262" s="10"/>
    </row>
    <row r="2263" spans="33:33">
      <c r="AG2263" s="10"/>
    </row>
    <row r="2264" spans="33:33">
      <c r="AG2264" s="10"/>
    </row>
    <row r="2265" spans="33:33">
      <c r="AG2265" s="10"/>
    </row>
    <row r="2266" spans="33:33">
      <c r="AG2266" s="10"/>
    </row>
    <row r="2267" spans="33:33">
      <c r="AG2267" s="10"/>
    </row>
    <row r="2268" spans="33:33">
      <c r="AG2268" s="10"/>
    </row>
    <row r="2269" spans="33:33">
      <c r="AG2269" s="10"/>
    </row>
    <row r="2270" spans="33:33">
      <c r="AG2270" s="10"/>
    </row>
    <row r="2271" spans="33:33">
      <c r="AG2271" s="10"/>
    </row>
    <row r="2272" spans="33:33">
      <c r="AG2272" s="10"/>
    </row>
    <row r="2273" spans="33:33">
      <c r="AG2273" s="10"/>
    </row>
    <row r="2274" spans="33:33">
      <c r="AG2274" s="10"/>
    </row>
    <row r="2275" spans="33:33">
      <c r="AG2275" s="10"/>
    </row>
    <row r="2276" spans="33:33">
      <c r="AG2276" s="10"/>
    </row>
    <row r="2277" spans="33:33">
      <c r="AG2277" s="10"/>
    </row>
    <row r="2278" spans="33:33">
      <c r="AG2278" s="10"/>
    </row>
    <row r="2279" spans="33:33">
      <c r="AG2279" s="10"/>
    </row>
    <row r="2280" spans="33:33">
      <c r="AG2280" s="10"/>
    </row>
    <row r="2281" spans="33:33">
      <c r="AG2281" s="10"/>
    </row>
    <row r="2282" spans="33:33">
      <c r="AG2282" s="10"/>
    </row>
    <row r="2283" spans="33:33">
      <c r="AG2283" s="10"/>
    </row>
    <row r="2284" spans="33:33">
      <c r="AG2284" s="10"/>
    </row>
    <row r="2285" spans="33:33">
      <c r="AG2285" s="10"/>
    </row>
    <row r="2286" spans="33:33">
      <c r="AG2286" s="10"/>
    </row>
    <row r="2287" spans="33:33">
      <c r="AG2287" s="10"/>
    </row>
    <row r="2288" spans="33:33">
      <c r="AG2288" s="10"/>
    </row>
    <row r="2289" spans="33:33">
      <c r="AG2289" s="10"/>
    </row>
    <row r="2290" spans="33:33">
      <c r="AG2290" s="10"/>
    </row>
    <row r="2291" spans="33:33">
      <c r="AG2291" s="10"/>
    </row>
    <row r="2292" spans="33:33">
      <c r="AG2292" s="10"/>
    </row>
    <row r="2293" spans="33:33">
      <c r="AG2293" s="10"/>
    </row>
    <row r="2294" spans="33:33">
      <c r="AG2294" s="10"/>
    </row>
    <row r="2295" spans="33:33">
      <c r="AG2295" s="10"/>
    </row>
    <row r="2296" spans="33:33">
      <c r="AG2296" s="10"/>
    </row>
    <row r="2297" spans="33:33">
      <c r="AG2297" s="10"/>
    </row>
    <row r="2298" spans="33:33">
      <c r="AG2298" s="10"/>
    </row>
    <row r="2299" spans="33:33">
      <c r="AG2299" s="10"/>
    </row>
    <row r="2300" spans="33:33">
      <c r="AG2300" s="10"/>
    </row>
    <row r="2301" spans="33:33">
      <c r="AG2301" s="10"/>
    </row>
    <row r="2302" spans="33:33">
      <c r="AG2302" s="10"/>
    </row>
    <row r="2303" spans="33:33">
      <c r="AG2303" s="10"/>
    </row>
    <row r="2304" spans="33:33">
      <c r="AG2304" s="10"/>
    </row>
    <row r="2305" spans="33:33">
      <c r="AG2305" s="10"/>
    </row>
    <row r="2306" spans="33:33">
      <c r="AG2306" s="10"/>
    </row>
    <row r="2307" spans="33:33">
      <c r="AG2307" s="10"/>
    </row>
    <row r="2308" spans="33:33">
      <c r="AG2308" s="10"/>
    </row>
    <row r="2309" spans="33:33">
      <c r="AG2309" s="10"/>
    </row>
    <row r="2310" spans="33:33">
      <c r="AG2310" s="10"/>
    </row>
    <row r="2311" spans="33:33">
      <c r="AG2311" s="10"/>
    </row>
    <row r="2312" spans="33:33">
      <c r="AG2312" s="10"/>
    </row>
    <row r="2313" spans="33:33">
      <c r="AG2313" s="10"/>
    </row>
    <row r="2314" spans="33:33">
      <c r="AG2314" s="10"/>
    </row>
    <row r="2315" spans="33:33">
      <c r="AG2315" s="10"/>
    </row>
    <row r="2316" spans="33:33">
      <c r="AG2316" s="10"/>
    </row>
    <row r="2317" spans="33:33">
      <c r="AG2317" s="10"/>
    </row>
    <row r="2318" spans="33:33">
      <c r="AG2318" s="10"/>
    </row>
    <row r="2319" spans="33:33">
      <c r="AG2319" s="10"/>
    </row>
    <row r="2320" spans="33:33">
      <c r="AG2320" s="10"/>
    </row>
    <row r="2321" spans="33:33">
      <c r="AG2321" s="10"/>
    </row>
    <row r="2322" spans="33:33">
      <c r="AG2322" s="10"/>
    </row>
    <row r="2323" spans="33:33">
      <c r="AG2323" s="10"/>
    </row>
    <row r="2324" spans="33:33">
      <c r="AG2324" s="10"/>
    </row>
    <row r="2325" spans="33:33">
      <c r="AG2325" s="10"/>
    </row>
    <row r="2326" spans="33:33">
      <c r="AG2326" s="10"/>
    </row>
    <row r="2327" spans="33:33">
      <c r="AG2327" s="10"/>
    </row>
    <row r="2328" spans="33:33">
      <c r="AG2328" s="10"/>
    </row>
    <row r="2329" spans="33:33">
      <c r="AG2329" s="10"/>
    </row>
    <row r="2330" spans="33:33">
      <c r="AG2330" s="10"/>
    </row>
    <row r="2331" spans="33:33">
      <c r="AG2331" s="10"/>
    </row>
    <row r="2332" spans="33:33">
      <c r="AG2332" s="10"/>
    </row>
    <row r="2333" spans="33:33">
      <c r="AG2333" s="10"/>
    </row>
    <row r="2334" spans="33:33">
      <c r="AG2334" s="10"/>
    </row>
    <row r="2335" spans="33:33">
      <c r="AG2335" s="10"/>
    </row>
    <row r="2336" spans="33:33">
      <c r="AG2336" s="10"/>
    </row>
    <row r="2337" spans="33:33">
      <c r="AG2337" s="10"/>
    </row>
    <row r="2338" spans="33:33">
      <c r="AG2338" s="10"/>
    </row>
    <row r="2339" spans="33:33">
      <c r="AG2339" s="10"/>
    </row>
    <row r="2340" spans="33:33">
      <c r="AG2340" s="10"/>
    </row>
    <row r="2341" spans="33:33">
      <c r="AG2341" s="10"/>
    </row>
    <row r="2342" spans="33:33">
      <c r="AG2342" s="10"/>
    </row>
    <row r="2343" spans="33:33">
      <c r="AG2343" s="10"/>
    </row>
    <row r="2344" spans="33:33">
      <c r="AG2344" s="10"/>
    </row>
    <row r="2345" spans="33:33">
      <c r="AG2345" s="10"/>
    </row>
    <row r="2346" spans="33:33">
      <c r="AG2346" s="10"/>
    </row>
    <row r="2347" spans="33:33">
      <c r="AG2347" s="10"/>
    </row>
    <row r="2348" spans="33:33">
      <c r="AG2348" s="10"/>
    </row>
    <row r="2349" spans="33:33">
      <c r="AG2349" s="10"/>
    </row>
    <row r="2350" spans="33:33">
      <c r="AG2350" s="10"/>
    </row>
    <row r="2351" spans="33:33">
      <c r="AG2351" s="10"/>
    </row>
    <row r="2352" spans="33:33">
      <c r="AG2352" s="10"/>
    </row>
    <row r="2353" spans="33:33">
      <c r="AG2353" s="10"/>
    </row>
    <row r="2354" spans="33:33">
      <c r="AG2354" s="10"/>
    </row>
    <row r="2355" spans="33:33">
      <c r="AG2355" s="10"/>
    </row>
    <row r="2356" spans="33:33">
      <c r="AG2356" s="10"/>
    </row>
    <row r="2357" spans="33:33">
      <c r="AG2357" s="10"/>
    </row>
    <row r="2358" spans="33:33">
      <c r="AG2358" s="10"/>
    </row>
    <row r="2359" spans="33:33">
      <c r="AG2359" s="10"/>
    </row>
    <row r="2360" spans="33:33">
      <c r="AG2360" s="10"/>
    </row>
    <row r="2361" spans="33:33">
      <c r="AG2361" s="10"/>
    </row>
    <row r="2362" spans="33:33">
      <c r="AG2362" s="10"/>
    </row>
    <row r="2363" spans="33:33">
      <c r="AG2363" s="10"/>
    </row>
    <row r="2364" spans="33:33">
      <c r="AG2364" s="10"/>
    </row>
    <row r="2365" spans="33:33">
      <c r="AG2365" s="10"/>
    </row>
    <row r="2366" spans="33:33">
      <c r="AG2366" s="10"/>
    </row>
    <row r="2367" spans="33:33">
      <c r="AG2367" s="10"/>
    </row>
    <row r="2368" spans="33:33">
      <c r="AG2368" s="10"/>
    </row>
    <row r="2369" spans="33:33">
      <c r="AG2369" s="10"/>
    </row>
    <row r="2370" spans="33:33">
      <c r="AG2370" s="10"/>
    </row>
    <row r="2371" spans="33:33">
      <c r="AG2371" s="10"/>
    </row>
    <row r="2372" spans="33:33">
      <c r="AG2372" s="10"/>
    </row>
    <row r="2373" spans="33:33">
      <c r="AG2373" s="10"/>
    </row>
    <row r="2374" spans="33:33">
      <c r="AG2374" s="10"/>
    </row>
    <row r="2375" spans="33:33">
      <c r="AG2375" s="10"/>
    </row>
    <row r="2376" spans="33:33">
      <c r="AG2376" s="10"/>
    </row>
    <row r="2377" spans="33:33">
      <c r="AG2377" s="10"/>
    </row>
    <row r="2378" spans="33:33">
      <c r="AG2378" s="10"/>
    </row>
    <row r="2379" spans="33:33">
      <c r="AG2379" s="10"/>
    </row>
    <row r="2380" spans="33:33">
      <c r="AG2380" s="10"/>
    </row>
    <row r="2381" spans="33:33">
      <c r="AG2381" s="10"/>
    </row>
    <row r="2382" spans="33:33">
      <c r="AG2382" s="10"/>
    </row>
    <row r="2383" spans="33:33">
      <c r="AG2383" s="10"/>
    </row>
    <row r="2384" spans="33:33">
      <c r="AG2384" s="10"/>
    </row>
    <row r="2385" spans="33:33">
      <c r="AG2385" s="10"/>
    </row>
    <row r="2386" spans="33:33">
      <c r="AG2386" s="10"/>
    </row>
    <row r="2387" spans="33:33">
      <c r="AG2387" s="10"/>
    </row>
    <row r="2388" spans="33:33">
      <c r="AG2388" s="10"/>
    </row>
    <row r="2389" spans="33:33">
      <c r="AG2389" s="10"/>
    </row>
    <row r="2390" spans="33:33">
      <c r="AG2390" s="10"/>
    </row>
    <row r="2391" spans="33:33">
      <c r="AG2391" s="10"/>
    </row>
    <row r="2392" spans="33:33">
      <c r="AG2392" s="10"/>
    </row>
    <row r="2393" spans="33:33">
      <c r="AG2393" s="10"/>
    </row>
    <row r="2394" spans="33:33">
      <c r="AG2394" s="10"/>
    </row>
    <row r="2395" spans="33:33">
      <c r="AG2395" s="10"/>
    </row>
    <row r="2396" spans="33:33">
      <c r="AG2396" s="10"/>
    </row>
    <row r="2397" spans="33:33">
      <c r="AG2397" s="10"/>
    </row>
    <row r="2398" spans="33:33">
      <c r="AG2398" s="10"/>
    </row>
    <row r="2399" spans="33:33">
      <c r="AG2399" s="10"/>
    </row>
    <row r="2400" spans="33:33">
      <c r="AG2400" s="10"/>
    </row>
    <row r="2401" spans="33:33">
      <c r="AG2401" s="10"/>
    </row>
    <row r="2402" spans="33:33">
      <c r="AG2402" s="10"/>
    </row>
    <row r="2403" spans="33:33">
      <c r="AG2403" s="10"/>
    </row>
    <row r="2404" spans="33:33">
      <c r="AG2404" s="10"/>
    </row>
    <row r="2405" spans="33:33">
      <c r="AG2405" s="10"/>
    </row>
    <row r="2406" spans="33:33">
      <c r="AG2406" s="10"/>
    </row>
    <row r="2407" spans="33:33">
      <c r="AG2407" s="10"/>
    </row>
    <row r="2408" spans="33:33">
      <c r="AG2408" s="10"/>
    </row>
    <row r="2409" spans="33:33">
      <c r="AG2409" s="10"/>
    </row>
    <row r="2410" spans="33:33">
      <c r="AG2410" s="10"/>
    </row>
    <row r="2411" spans="33:33">
      <c r="AG2411" s="10"/>
    </row>
    <row r="2412" spans="33:33">
      <c r="AG2412" s="10"/>
    </row>
    <row r="2413" spans="33:33">
      <c r="AG2413" s="10"/>
    </row>
    <row r="2414" spans="33:33">
      <c r="AG2414" s="10"/>
    </row>
    <row r="2415" spans="33:33">
      <c r="AG2415" s="10"/>
    </row>
    <row r="2416" spans="33:33">
      <c r="AG2416" s="10"/>
    </row>
    <row r="2417" spans="33:33">
      <c r="AG2417" s="10"/>
    </row>
    <row r="2418" spans="33:33">
      <c r="AG2418" s="10"/>
    </row>
    <row r="2419" spans="33:33">
      <c r="AG2419" s="10"/>
    </row>
    <row r="2420" spans="33:33">
      <c r="AG2420" s="10"/>
    </row>
    <row r="2421" spans="33:33">
      <c r="AG2421" s="10"/>
    </row>
    <row r="2422" spans="33:33">
      <c r="AG2422" s="10"/>
    </row>
    <row r="2423" spans="33:33">
      <c r="AG2423" s="10"/>
    </row>
    <row r="2424" spans="33:33">
      <c r="AG2424" s="10"/>
    </row>
    <row r="2425" spans="33:33">
      <c r="AG2425" s="10"/>
    </row>
    <row r="2426" spans="33:33">
      <c r="AG2426" s="10"/>
    </row>
    <row r="2427" spans="33:33">
      <c r="AG2427" s="10"/>
    </row>
    <row r="2428" spans="33:33">
      <c r="AG2428" s="10"/>
    </row>
    <row r="2429" spans="33:33">
      <c r="AG2429" s="10"/>
    </row>
    <row r="2430" spans="33:33">
      <c r="AG2430" s="10"/>
    </row>
    <row r="2431" spans="33:33">
      <c r="AG2431" s="10"/>
    </row>
    <row r="2432" spans="33:33">
      <c r="AG2432" s="10"/>
    </row>
    <row r="2433" spans="33:33">
      <c r="AG2433" s="10"/>
    </row>
    <row r="2434" spans="33:33">
      <c r="AG2434" s="10"/>
    </row>
    <row r="2435" spans="33:33">
      <c r="AG2435" s="10"/>
    </row>
    <row r="2436" spans="33:33">
      <c r="AG2436" s="10"/>
    </row>
    <row r="2437" spans="33:33">
      <c r="AG2437" s="10"/>
    </row>
    <row r="2438" spans="33:33">
      <c r="AG2438" s="10"/>
    </row>
    <row r="2439" spans="33:33">
      <c r="AG2439" s="10"/>
    </row>
    <row r="2440" spans="33:33">
      <c r="AG2440" s="10"/>
    </row>
    <row r="2441" spans="33:33">
      <c r="AG2441" s="10"/>
    </row>
    <row r="2442" spans="33:33">
      <c r="AG2442" s="10"/>
    </row>
    <row r="2443" spans="33:33">
      <c r="AG2443" s="10"/>
    </row>
    <row r="2444" spans="33:33">
      <c r="AG2444" s="10"/>
    </row>
    <row r="2445" spans="33:33">
      <c r="AG2445" s="10"/>
    </row>
    <row r="2446" spans="33:33">
      <c r="AG2446" s="10"/>
    </row>
    <row r="2447" spans="33:33">
      <c r="AG2447" s="10"/>
    </row>
    <row r="2448" spans="33:33">
      <c r="AG2448" s="10"/>
    </row>
    <row r="2449" spans="33:33">
      <c r="AG2449" s="10"/>
    </row>
    <row r="2450" spans="33:33">
      <c r="AG2450" s="10"/>
    </row>
    <row r="2451" spans="33:33">
      <c r="AG2451" s="10"/>
    </row>
    <row r="2452" spans="33:33">
      <c r="AG2452" s="10"/>
    </row>
    <row r="2453" spans="33:33">
      <c r="AG2453" s="10"/>
    </row>
    <row r="2454" spans="33:33">
      <c r="AG2454" s="10"/>
    </row>
    <row r="2455" spans="33:33">
      <c r="AG2455" s="10"/>
    </row>
    <row r="2456" spans="33:33">
      <c r="AG2456" s="10"/>
    </row>
    <row r="2457" spans="33:33">
      <c r="AG2457" s="10"/>
    </row>
    <row r="2458" spans="33:33">
      <c r="AG2458" s="10"/>
    </row>
    <row r="2459" spans="33:33">
      <c r="AG2459" s="10"/>
    </row>
    <row r="2460" spans="33:33">
      <c r="AG2460" s="10"/>
    </row>
    <row r="2461" spans="33:33">
      <c r="AG2461" s="10"/>
    </row>
    <row r="2462" spans="33:33">
      <c r="AG2462" s="10"/>
    </row>
    <row r="2463" spans="33:33">
      <c r="AG2463" s="10"/>
    </row>
    <row r="2464" spans="33:33">
      <c r="AG2464" s="10"/>
    </row>
    <row r="2465" spans="33:33">
      <c r="AG2465" s="10"/>
    </row>
    <row r="2466" spans="33:33">
      <c r="AG2466" s="10"/>
    </row>
    <row r="2467" spans="33:33">
      <c r="AG2467" s="10"/>
    </row>
    <row r="2468" spans="33:33">
      <c r="AG2468" s="10"/>
    </row>
    <row r="2469" spans="33:33">
      <c r="AG2469" s="10"/>
    </row>
    <row r="2470" spans="33:33">
      <c r="AG2470" s="10"/>
    </row>
    <row r="2471" spans="33:33">
      <c r="AG2471" s="10"/>
    </row>
    <row r="2472" spans="33:33">
      <c r="AG2472" s="10"/>
    </row>
    <row r="2473" spans="33:33">
      <c r="AG2473" s="10"/>
    </row>
    <row r="2474" spans="33:33">
      <c r="AG2474" s="10"/>
    </row>
    <row r="2475" spans="33:33">
      <c r="AG2475" s="10"/>
    </row>
    <row r="2476" spans="33:33">
      <c r="AG2476" s="10"/>
    </row>
    <row r="2477" spans="33:33">
      <c r="AG2477" s="10"/>
    </row>
    <row r="2478" spans="33:33">
      <c r="AG2478" s="10"/>
    </row>
    <row r="2479" spans="33:33">
      <c r="AG2479" s="10"/>
    </row>
    <row r="2480" spans="33:33">
      <c r="AG2480" s="10"/>
    </row>
    <row r="2481" spans="33:33">
      <c r="AG2481" s="10"/>
    </row>
    <row r="2482" spans="33:33">
      <c r="AG2482" s="10"/>
    </row>
    <row r="2483" spans="33:33">
      <c r="AG2483" s="10"/>
    </row>
    <row r="2484" spans="33:33">
      <c r="AG2484" s="10"/>
    </row>
    <row r="2485" spans="33:33">
      <c r="AG2485" s="10"/>
    </row>
    <row r="2486" spans="33:33">
      <c r="AG2486" s="10"/>
    </row>
    <row r="2487" spans="33:33">
      <c r="AG2487" s="10"/>
    </row>
    <row r="2488" spans="33:33">
      <c r="AG2488" s="10"/>
    </row>
    <row r="2489" spans="33:33">
      <c r="AG2489" s="10"/>
    </row>
    <row r="2490" spans="33:33">
      <c r="AG2490" s="10"/>
    </row>
    <row r="2491" spans="33:33">
      <c r="AG2491" s="10"/>
    </row>
    <row r="2492" spans="33:33">
      <c r="AG2492" s="10"/>
    </row>
    <row r="2493" spans="33:33">
      <c r="AG2493" s="10"/>
    </row>
    <row r="2494" spans="33:33">
      <c r="AG2494" s="10"/>
    </row>
    <row r="2495" spans="33:33">
      <c r="AG2495" s="10"/>
    </row>
    <row r="2496" spans="33:33">
      <c r="AG2496" s="10"/>
    </row>
    <row r="2497" spans="33:33">
      <c r="AG2497" s="10"/>
    </row>
    <row r="2498" spans="33:33">
      <c r="AG2498" s="10"/>
    </row>
    <row r="2499" spans="33:33">
      <c r="AG2499" s="10"/>
    </row>
    <row r="2500" spans="33:33">
      <c r="AG2500" s="10"/>
    </row>
    <row r="2501" spans="33:33">
      <c r="AG2501" s="10"/>
    </row>
    <row r="2502" spans="33:33">
      <c r="AG2502" s="10"/>
    </row>
    <row r="2503" spans="33:33">
      <c r="AG2503" s="10"/>
    </row>
    <row r="2504" spans="33:33">
      <c r="AG2504" s="10"/>
    </row>
    <row r="2505" spans="33:33">
      <c r="AG2505" s="10"/>
    </row>
    <row r="2506" spans="33:33">
      <c r="AG2506" s="10"/>
    </row>
    <row r="2507" spans="33:33">
      <c r="AG2507" s="10"/>
    </row>
    <row r="2508" spans="33:33">
      <c r="AG2508" s="10"/>
    </row>
    <row r="2509" spans="33:33">
      <c r="AG2509" s="10"/>
    </row>
    <row r="2510" spans="33:33">
      <c r="AG2510" s="10"/>
    </row>
    <row r="2511" spans="33:33">
      <c r="AG2511" s="10"/>
    </row>
    <row r="2512" spans="33:33">
      <c r="AG2512" s="10"/>
    </row>
    <row r="2513" spans="33:33">
      <c r="AG2513" s="10"/>
    </row>
    <row r="2514" spans="33:33">
      <c r="AG2514" s="10"/>
    </row>
    <row r="2515" spans="33:33">
      <c r="AG2515" s="10"/>
    </row>
    <row r="2516" spans="33:33">
      <c r="AG2516" s="10"/>
    </row>
    <row r="2517" spans="33:33">
      <c r="AG2517" s="10"/>
    </row>
    <row r="2518" spans="33:33">
      <c r="AG2518" s="10"/>
    </row>
    <row r="2519" spans="33:33">
      <c r="AG2519" s="10"/>
    </row>
    <row r="2520" spans="33:33">
      <c r="AG2520" s="10"/>
    </row>
    <row r="2521" spans="33:33">
      <c r="AG2521" s="10"/>
    </row>
    <row r="2522" spans="33:33">
      <c r="AG2522" s="10"/>
    </row>
    <row r="2523" spans="33:33">
      <c r="AG2523" s="10"/>
    </row>
    <row r="2524" spans="33:33">
      <c r="AG2524" s="10"/>
    </row>
    <row r="2525" spans="33:33">
      <c r="AG2525" s="10"/>
    </row>
    <row r="2526" spans="33:33">
      <c r="AG2526" s="10"/>
    </row>
    <row r="2527" spans="33:33">
      <c r="AG2527" s="10"/>
    </row>
    <row r="2528" spans="33:33">
      <c r="AG2528" s="10"/>
    </row>
    <row r="2529" spans="33:33">
      <c r="AG2529" s="10"/>
    </row>
    <row r="2530" spans="33:33">
      <c r="AG2530" s="10"/>
    </row>
    <row r="2531" spans="33:33">
      <c r="AG2531" s="10"/>
    </row>
    <row r="2532" spans="33:33">
      <c r="AG2532" s="10"/>
    </row>
    <row r="2533" spans="33:33">
      <c r="AG2533" s="10"/>
    </row>
    <row r="2534" spans="33:33">
      <c r="AG2534" s="10"/>
    </row>
    <row r="2535" spans="33:33">
      <c r="AG2535" s="10"/>
    </row>
    <row r="2536" spans="33:33">
      <c r="AG2536" s="10"/>
    </row>
    <row r="2537" spans="33:33">
      <c r="AG2537" s="10"/>
    </row>
    <row r="2538" spans="33:33">
      <c r="AG2538" s="10"/>
    </row>
    <row r="2539" spans="33:33">
      <c r="AG2539" s="10"/>
    </row>
    <row r="2540" spans="33:33">
      <c r="AG2540" s="10"/>
    </row>
    <row r="2541" spans="33:33">
      <c r="AG2541" s="10"/>
    </row>
    <row r="2542" spans="33:33">
      <c r="AG2542" s="10"/>
    </row>
    <row r="2543" spans="33:33">
      <c r="AG2543" s="10"/>
    </row>
    <row r="2544" spans="33:33">
      <c r="AG2544" s="10"/>
    </row>
    <row r="2545" spans="33:33">
      <c r="AG2545" s="10"/>
    </row>
    <row r="2546" spans="33:33">
      <c r="AG2546" s="10"/>
    </row>
    <row r="2547" spans="33:33">
      <c r="AG2547" s="10"/>
    </row>
    <row r="2548" spans="33:33">
      <c r="AG2548" s="10"/>
    </row>
    <row r="2549" spans="33:33">
      <c r="AG2549" s="10"/>
    </row>
    <row r="2550" spans="33:33">
      <c r="AG2550" s="10"/>
    </row>
    <row r="2551" spans="33:33">
      <c r="AG2551" s="10"/>
    </row>
    <row r="2552" spans="33:33">
      <c r="AG2552" s="10"/>
    </row>
    <row r="2553" spans="33:33">
      <c r="AG2553" s="10"/>
    </row>
    <row r="2554" spans="33:33">
      <c r="AG2554" s="10"/>
    </row>
    <row r="2555" spans="33:33">
      <c r="AG2555" s="10"/>
    </row>
    <row r="2556" spans="33:33">
      <c r="AG2556" s="10"/>
    </row>
    <row r="2557" spans="33:33">
      <c r="AG2557" s="10"/>
    </row>
    <row r="2558" spans="33:33">
      <c r="AG2558" s="10"/>
    </row>
    <row r="2559" spans="33:33">
      <c r="AG2559" s="10"/>
    </row>
    <row r="2560" spans="33:33">
      <c r="AG2560" s="10"/>
    </row>
    <row r="2561" spans="33:33">
      <c r="AG2561" s="10"/>
    </row>
    <row r="2562" spans="33:33">
      <c r="AG2562" s="10"/>
    </row>
    <row r="2563" spans="33:33">
      <c r="AG2563" s="10"/>
    </row>
    <row r="2564" spans="33:33">
      <c r="AG2564" s="10"/>
    </row>
    <row r="2565" spans="33:33">
      <c r="AG2565" s="10"/>
    </row>
    <row r="2566" spans="33:33">
      <c r="AG2566" s="10"/>
    </row>
    <row r="2567" spans="33:33">
      <c r="AG2567" s="10"/>
    </row>
    <row r="2568" spans="33:33">
      <c r="AG2568" s="10"/>
    </row>
    <row r="2569" spans="33:33">
      <c r="AG2569" s="10"/>
    </row>
    <row r="2570" spans="33:33">
      <c r="AG2570" s="10"/>
    </row>
    <row r="2571" spans="33:33">
      <c r="AG2571" s="10"/>
    </row>
    <row r="2572" spans="33:33">
      <c r="AG2572" s="10"/>
    </row>
    <row r="2573" spans="33:33">
      <c r="AG2573" s="10"/>
    </row>
    <row r="2574" spans="33:33">
      <c r="AG2574" s="10"/>
    </row>
    <row r="2575" spans="33:33">
      <c r="AG2575" s="10"/>
    </row>
    <row r="2576" spans="33:33">
      <c r="AG2576" s="10"/>
    </row>
    <row r="2577" spans="33:33">
      <c r="AG2577" s="10"/>
    </row>
    <row r="2578" spans="33:33">
      <c r="AG2578" s="10"/>
    </row>
    <row r="2579" spans="33:33">
      <c r="AG2579" s="10"/>
    </row>
    <row r="2580" spans="33:33">
      <c r="AG2580" s="10"/>
    </row>
    <row r="2581" spans="33:33">
      <c r="AG2581" s="10"/>
    </row>
    <row r="2582" spans="33:33">
      <c r="AG2582" s="10"/>
    </row>
    <row r="2583" spans="33:33">
      <c r="AG2583" s="10"/>
    </row>
    <row r="2584" spans="33:33">
      <c r="AG2584" s="10"/>
    </row>
    <row r="2585" spans="33:33">
      <c r="AG2585" s="10"/>
    </row>
    <row r="2586" spans="33:33">
      <c r="AG2586" s="10"/>
    </row>
    <row r="2587" spans="33:33">
      <c r="AG2587" s="10"/>
    </row>
    <row r="2588" spans="33:33">
      <c r="AG2588" s="10"/>
    </row>
    <row r="2589" spans="33:33">
      <c r="AG2589" s="10"/>
    </row>
    <row r="2590" spans="33:33">
      <c r="AG2590" s="10"/>
    </row>
    <row r="2591" spans="33:33">
      <c r="AG2591" s="10"/>
    </row>
    <row r="2592" spans="33:33">
      <c r="AG2592" s="10"/>
    </row>
    <row r="2593" spans="33:33">
      <c r="AG2593" s="10"/>
    </row>
    <row r="2594" spans="33:33">
      <c r="AG2594" s="10"/>
    </row>
    <row r="2595" spans="33:33">
      <c r="AG2595" s="10"/>
    </row>
    <row r="2596" spans="33:33">
      <c r="AG2596" s="10"/>
    </row>
    <row r="2597" spans="33:33">
      <c r="AG2597" s="10"/>
    </row>
    <row r="2598" spans="33:33">
      <c r="AG2598" s="10"/>
    </row>
    <row r="2599" spans="33:33">
      <c r="AG2599" s="10"/>
    </row>
    <row r="2600" spans="33:33">
      <c r="AG2600" s="10"/>
    </row>
    <row r="2601" spans="33:33">
      <c r="AG2601" s="10"/>
    </row>
    <row r="2602" spans="33:33">
      <c r="AG2602" s="10"/>
    </row>
    <row r="2603" spans="33:33">
      <c r="AG2603" s="10"/>
    </row>
    <row r="2604" spans="33:33">
      <c r="AG2604" s="10"/>
    </row>
    <row r="2605" spans="33:33">
      <c r="AG2605" s="10"/>
    </row>
    <row r="2606" spans="33:33">
      <c r="AG2606" s="10"/>
    </row>
    <row r="2607" spans="33:33">
      <c r="AG2607" s="10"/>
    </row>
    <row r="2608" spans="33:33">
      <c r="AG2608" s="10"/>
    </row>
    <row r="2609" spans="33:33">
      <c r="AG2609" s="10"/>
    </row>
    <row r="2610" spans="33:33">
      <c r="AG2610" s="10"/>
    </row>
    <row r="2611" spans="33:33">
      <c r="AG2611" s="10"/>
    </row>
    <row r="2612" spans="33:33">
      <c r="AG2612" s="10"/>
    </row>
    <row r="2613" spans="33:33">
      <c r="AG2613" s="10"/>
    </row>
    <row r="2614" spans="33:33">
      <c r="AG2614" s="10"/>
    </row>
    <row r="2615" spans="33:33">
      <c r="AG2615" s="10"/>
    </row>
    <row r="2616" spans="33:33">
      <c r="AG2616" s="10"/>
    </row>
    <row r="2617" spans="33:33">
      <c r="AG2617" s="10"/>
    </row>
    <row r="2618" spans="33:33">
      <c r="AG2618" s="10"/>
    </row>
    <row r="2619" spans="33:33">
      <c r="AG2619" s="10"/>
    </row>
    <row r="2620" spans="33:33">
      <c r="AG2620" s="10"/>
    </row>
    <row r="2621" spans="33:33">
      <c r="AG2621" s="10"/>
    </row>
    <row r="2622" spans="33:33">
      <c r="AG2622" s="10"/>
    </row>
    <row r="2623" spans="33:33">
      <c r="AG2623" s="10"/>
    </row>
    <row r="2624" spans="33:33">
      <c r="AG2624" s="10"/>
    </row>
    <row r="2625" spans="33:33">
      <c r="AG2625" s="10"/>
    </row>
    <row r="2626" spans="33:33">
      <c r="AG2626" s="10"/>
    </row>
    <row r="2627" spans="33:33">
      <c r="AG2627" s="10"/>
    </row>
    <row r="2628" spans="33:33">
      <c r="AG2628" s="10"/>
    </row>
    <row r="2629" spans="33:33">
      <c r="AG2629" s="10"/>
    </row>
    <row r="2630" spans="33:33">
      <c r="AG2630" s="10"/>
    </row>
    <row r="2631" spans="33:33">
      <c r="AG2631" s="10"/>
    </row>
    <row r="2632" spans="33:33">
      <c r="AG2632" s="10"/>
    </row>
    <row r="2633" spans="33:33">
      <c r="AG2633" s="10"/>
    </row>
    <row r="2634" spans="33:33">
      <c r="AG2634" s="10"/>
    </row>
    <row r="2635" spans="33:33">
      <c r="AG2635" s="10"/>
    </row>
    <row r="2636" spans="33:33">
      <c r="AG2636" s="10"/>
    </row>
    <row r="2637" spans="33:33">
      <c r="AG2637" s="10"/>
    </row>
    <row r="2638" spans="33:33">
      <c r="AG2638" s="10"/>
    </row>
    <row r="2639" spans="33:33">
      <c r="AG2639" s="10"/>
    </row>
    <row r="2640" spans="33:33">
      <c r="AG2640" s="10"/>
    </row>
    <row r="2641" spans="33:33">
      <c r="AG2641" s="10"/>
    </row>
    <row r="2642" spans="33:33">
      <c r="AG2642" s="10"/>
    </row>
    <row r="2643" spans="33:33">
      <c r="AG2643" s="10"/>
    </row>
    <row r="2644" spans="33:33">
      <c r="AG2644" s="10"/>
    </row>
    <row r="2645" spans="33:33">
      <c r="AG2645" s="10"/>
    </row>
    <row r="2646" spans="33:33">
      <c r="AG2646" s="10"/>
    </row>
    <row r="2647" spans="33:33">
      <c r="AG2647" s="10"/>
    </row>
    <row r="2648" spans="33:33">
      <c r="AG2648" s="10"/>
    </row>
    <row r="2649" spans="33:33">
      <c r="AG2649" s="10"/>
    </row>
    <row r="2650" spans="33:33">
      <c r="AG2650" s="10"/>
    </row>
    <row r="2651" spans="33:33">
      <c r="AG2651" s="10"/>
    </row>
    <row r="2652" spans="33:33">
      <c r="AG2652" s="10"/>
    </row>
    <row r="2653" spans="33:33">
      <c r="AG2653" s="10"/>
    </row>
    <row r="2654" spans="33:33">
      <c r="AG2654" s="10"/>
    </row>
    <row r="2655" spans="33:33">
      <c r="AG2655" s="10"/>
    </row>
    <row r="2656" spans="33:33">
      <c r="AG2656" s="10"/>
    </row>
    <row r="2657" spans="33:33">
      <c r="AG2657" s="10"/>
    </row>
    <row r="2658" spans="33:33">
      <c r="AG2658" s="10"/>
    </row>
    <row r="2659" spans="33:33">
      <c r="AG2659" s="10"/>
    </row>
    <row r="2660" spans="33:33">
      <c r="AG2660" s="10"/>
    </row>
    <row r="2661" spans="33:33">
      <c r="AG2661" s="10"/>
    </row>
    <row r="2662" spans="33:33">
      <c r="AG2662" s="10"/>
    </row>
    <row r="2663" spans="33:33">
      <c r="AG2663" s="10"/>
    </row>
    <row r="2664" spans="33:33">
      <c r="AG2664" s="10"/>
    </row>
    <row r="2665" spans="33:33">
      <c r="AG2665" s="10"/>
    </row>
    <row r="2666" spans="33:33">
      <c r="AG2666" s="10"/>
    </row>
    <row r="2667" spans="33:33">
      <c r="AG2667" s="10"/>
    </row>
    <row r="2668" spans="33:33">
      <c r="AG2668" s="10"/>
    </row>
    <row r="2669" spans="33:33">
      <c r="AG2669" s="10"/>
    </row>
    <row r="2670" spans="33:33">
      <c r="AG2670" s="10"/>
    </row>
    <row r="2671" spans="33:33">
      <c r="AG2671" s="10"/>
    </row>
    <row r="2672" spans="33:33">
      <c r="AG2672" s="10"/>
    </row>
    <row r="2673" spans="33:33">
      <c r="AG2673" s="10"/>
    </row>
    <row r="2674" spans="33:33">
      <c r="AG2674" s="10"/>
    </row>
    <row r="2675" spans="33:33">
      <c r="AG2675" s="10"/>
    </row>
    <row r="2676" spans="33:33">
      <c r="AG2676" s="10"/>
    </row>
    <row r="2677" spans="33:33">
      <c r="AG2677" s="10"/>
    </row>
    <row r="2678" spans="33:33">
      <c r="AG2678" s="10"/>
    </row>
    <row r="2679" spans="33:33">
      <c r="AG2679" s="10"/>
    </row>
    <row r="2680" spans="33:33">
      <c r="AG2680" s="10"/>
    </row>
    <row r="2681" spans="33:33">
      <c r="AG2681" s="10"/>
    </row>
    <row r="2682" spans="33:33">
      <c r="AG2682" s="10"/>
    </row>
    <row r="2683" spans="33:33">
      <c r="AG2683" s="10"/>
    </row>
    <row r="2684" spans="33:33">
      <c r="AG2684" s="10"/>
    </row>
    <row r="2685" spans="33:33">
      <c r="AG2685" s="10"/>
    </row>
    <row r="2686" spans="33:33">
      <c r="AG2686" s="10"/>
    </row>
    <row r="2687" spans="33:33">
      <c r="AG2687" s="10"/>
    </row>
    <row r="2688" spans="33:33">
      <c r="AG2688" s="10"/>
    </row>
    <row r="2689" spans="33:33">
      <c r="AG2689" s="10"/>
    </row>
    <row r="2690" spans="33:33">
      <c r="AG2690" s="10"/>
    </row>
    <row r="2691" spans="33:33">
      <c r="AG2691" s="10"/>
    </row>
    <row r="2692" spans="33:33">
      <c r="AG2692" s="10"/>
    </row>
    <row r="2693" spans="33:33">
      <c r="AG2693" s="10"/>
    </row>
    <row r="2694" spans="33:33">
      <c r="AG2694" s="10"/>
    </row>
    <row r="2695" spans="33:33">
      <c r="AG2695" s="10"/>
    </row>
    <row r="2696" spans="33:33">
      <c r="AG2696" s="10"/>
    </row>
    <row r="2697" spans="33:33">
      <c r="AG2697" s="10"/>
    </row>
    <row r="2698" spans="33:33">
      <c r="AG2698" s="10"/>
    </row>
    <row r="2699" spans="33:33">
      <c r="AG2699" s="10"/>
    </row>
    <row r="2700" spans="33:33">
      <c r="AG2700" s="10"/>
    </row>
    <row r="2701" spans="33:33">
      <c r="AG2701" s="10"/>
    </row>
    <row r="2702" spans="33:33">
      <c r="AG2702" s="10"/>
    </row>
    <row r="2703" spans="33:33">
      <c r="AG2703" s="10"/>
    </row>
    <row r="2704" spans="33:33">
      <c r="AG2704" s="10"/>
    </row>
    <row r="2705" spans="33:33">
      <c r="AG2705" s="10"/>
    </row>
    <row r="2706" spans="33:33">
      <c r="AG2706" s="10"/>
    </row>
    <row r="2707" spans="33:33">
      <c r="AG2707" s="10"/>
    </row>
    <row r="2708" spans="33:33">
      <c r="AG2708" s="10"/>
    </row>
    <row r="2709" spans="33:33">
      <c r="AG2709" s="10"/>
    </row>
    <row r="2710" spans="33:33">
      <c r="AG2710" s="10"/>
    </row>
    <row r="2711" spans="33:33">
      <c r="AG2711" s="10"/>
    </row>
    <row r="2712" spans="33:33">
      <c r="AG2712" s="10"/>
    </row>
    <row r="2713" spans="33:33">
      <c r="AG2713" s="10"/>
    </row>
    <row r="2714" spans="33:33">
      <c r="AG2714" s="10"/>
    </row>
    <row r="2715" spans="33:33">
      <c r="AG2715" s="10"/>
    </row>
    <row r="2716" spans="33:33">
      <c r="AG2716" s="10"/>
    </row>
    <row r="2717" spans="33:33">
      <c r="AG2717" s="10"/>
    </row>
    <row r="2718" spans="33:33">
      <c r="AG2718" s="10"/>
    </row>
    <row r="2719" spans="33:33">
      <c r="AG2719" s="10"/>
    </row>
    <row r="2720" spans="33:33">
      <c r="AG2720" s="10"/>
    </row>
    <row r="2721" spans="33:33">
      <c r="AG2721" s="10"/>
    </row>
    <row r="2722" spans="33:33">
      <c r="AG2722" s="10"/>
    </row>
    <row r="2723" spans="33:33">
      <c r="AG2723" s="10"/>
    </row>
    <row r="2724" spans="33:33">
      <c r="AG2724" s="10"/>
    </row>
    <row r="2725" spans="33:33">
      <c r="AG2725" s="10"/>
    </row>
    <row r="2726" spans="33:33">
      <c r="AG2726" s="10"/>
    </row>
    <row r="2727" spans="33:33">
      <c r="AG2727" s="10"/>
    </row>
    <row r="2728" spans="33:33">
      <c r="AG2728" s="10"/>
    </row>
    <row r="2729" spans="33:33">
      <c r="AG2729" s="10"/>
    </row>
    <row r="2730" spans="33:33">
      <c r="AG2730" s="10"/>
    </row>
    <row r="2731" spans="33:33">
      <c r="AG2731" s="10"/>
    </row>
    <row r="2732" spans="33:33">
      <c r="AG2732" s="10"/>
    </row>
    <row r="2733" spans="33:33">
      <c r="AG2733" s="10"/>
    </row>
    <row r="2734" spans="33:33">
      <c r="AG2734" s="10"/>
    </row>
    <row r="2735" spans="33:33">
      <c r="AG2735" s="10"/>
    </row>
    <row r="2736" spans="33:33">
      <c r="AG2736" s="10"/>
    </row>
    <row r="2737" spans="33:33">
      <c r="AG2737" s="10"/>
    </row>
    <row r="2738" spans="33:33">
      <c r="AG2738" s="10"/>
    </row>
    <row r="2739" spans="33:33">
      <c r="AG2739" s="10"/>
    </row>
    <row r="2740" spans="33:33">
      <c r="AG2740" s="10"/>
    </row>
    <row r="2741" spans="33:33">
      <c r="AG2741" s="10"/>
    </row>
    <row r="2742" spans="33:33">
      <c r="AG2742" s="10"/>
    </row>
    <row r="2743" spans="33:33">
      <c r="AG2743" s="10"/>
    </row>
    <row r="2744" spans="33:33">
      <c r="AG2744" s="10"/>
    </row>
    <row r="2745" spans="33:33">
      <c r="AG2745" s="10"/>
    </row>
    <row r="2746" spans="33:33">
      <c r="AG2746" s="10"/>
    </row>
    <row r="2747" spans="33:33">
      <c r="AG2747" s="10"/>
    </row>
    <row r="2748" spans="33:33">
      <c r="AG2748" s="10"/>
    </row>
    <row r="2749" spans="33:33">
      <c r="AG2749" s="10"/>
    </row>
    <row r="2750" spans="33:33">
      <c r="AG2750" s="10"/>
    </row>
    <row r="2751" spans="33:33">
      <c r="AG2751" s="10"/>
    </row>
    <row r="2752" spans="33:33">
      <c r="AG2752" s="10"/>
    </row>
    <row r="2753" spans="33:33">
      <c r="AG2753" s="10"/>
    </row>
    <row r="2754" spans="33:33">
      <c r="AG2754" s="10"/>
    </row>
    <row r="2755" spans="33:33">
      <c r="AG2755" s="10"/>
    </row>
    <row r="2756" spans="33:33">
      <c r="AG2756" s="10"/>
    </row>
    <row r="2757" spans="33:33">
      <c r="AG2757" s="10"/>
    </row>
    <row r="2758" spans="33:33">
      <c r="AG2758" s="10"/>
    </row>
    <row r="2759" spans="33:33">
      <c r="AG2759" s="10"/>
    </row>
    <row r="2760" spans="33:33">
      <c r="AG2760" s="10"/>
    </row>
    <row r="2761" spans="33:33">
      <c r="AG2761" s="10"/>
    </row>
    <row r="2762" spans="33:33">
      <c r="AG2762" s="10"/>
    </row>
    <row r="2763" spans="33:33">
      <c r="AG2763" s="10"/>
    </row>
    <row r="2764" spans="33:33">
      <c r="AG2764" s="10"/>
    </row>
    <row r="2765" spans="33:33">
      <c r="AG2765" s="10"/>
    </row>
    <row r="2766" spans="33:33">
      <c r="AG2766" s="10"/>
    </row>
    <row r="2767" spans="33:33">
      <c r="AG2767" s="10"/>
    </row>
    <row r="2768" spans="33:33">
      <c r="AG2768" s="10"/>
    </row>
    <row r="2769" spans="33:33">
      <c r="AG2769" s="10"/>
    </row>
    <row r="2770" spans="33:33">
      <c r="AG2770" s="10"/>
    </row>
    <row r="2771" spans="33:33">
      <c r="AG2771" s="10"/>
    </row>
    <row r="2772" spans="33:33">
      <c r="AG2772" s="10"/>
    </row>
    <row r="2773" spans="33:33">
      <c r="AG2773" s="10"/>
    </row>
    <row r="2774" spans="33:33">
      <c r="AG2774" s="10"/>
    </row>
    <row r="2775" spans="33:33">
      <c r="AG2775" s="10"/>
    </row>
    <row r="2776" spans="33:33">
      <c r="AG2776" s="10"/>
    </row>
    <row r="2777" spans="33:33">
      <c r="AG2777" s="10"/>
    </row>
    <row r="2778" spans="33:33">
      <c r="AG2778" s="10"/>
    </row>
    <row r="2779" spans="33:33">
      <c r="AG2779" s="10"/>
    </row>
    <row r="2780" spans="33:33">
      <c r="AG2780" s="10"/>
    </row>
    <row r="2781" spans="33:33">
      <c r="AG2781" s="10"/>
    </row>
    <row r="2782" spans="33:33">
      <c r="AG2782" s="10"/>
    </row>
    <row r="2783" spans="33:33">
      <c r="AG2783" s="10"/>
    </row>
    <row r="2784" spans="33:33">
      <c r="AG2784" s="10"/>
    </row>
    <row r="2785" spans="33:33">
      <c r="AG2785" s="10"/>
    </row>
    <row r="2786" spans="33:33">
      <c r="AG2786" s="10"/>
    </row>
    <row r="2787" spans="33:33">
      <c r="AG2787" s="10"/>
    </row>
    <row r="2788" spans="33:33">
      <c r="AG2788" s="10"/>
    </row>
    <row r="2789" spans="33:33">
      <c r="AG2789" s="10"/>
    </row>
    <row r="2790" spans="33:33">
      <c r="AG2790" s="10"/>
    </row>
    <row r="2791" spans="33:33">
      <c r="AG2791" s="10"/>
    </row>
    <row r="2792" spans="33:33">
      <c r="AG2792" s="10"/>
    </row>
    <row r="2793" spans="33:33">
      <c r="AG2793" s="10"/>
    </row>
    <row r="2794" spans="33:33">
      <c r="AG2794" s="10"/>
    </row>
    <row r="2795" spans="33:33">
      <c r="AG2795" s="10"/>
    </row>
    <row r="2796" spans="33:33">
      <c r="AG2796" s="10"/>
    </row>
    <row r="2797" spans="33:33">
      <c r="AG2797" s="10"/>
    </row>
    <row r="2798" spans="33:33">
      <c r="AG2798" s="10"/>
    </row>
    <row r="2799" spans="33:33">
      <c r="AG2799" s="10"/>
    </row>
    <row r="2800" spans="33:33">
      <c r="AG2800" s="10"/>
    </row>
    <row r="2801" spans="33:33">
      <c r="AG2801" s="10"/>
    </row>
    <row r="2802" spans="33:33">
      <c r="AG2802" s="10"/>
    </row>
    <row r="2803" spans="33:33">
      <c r="AG2803" s="10"/>
    </row>
    <row r="2804" spans="33:33">
      <c r="AG2804" s="10"/>
    </row>
    <row r="2805" spans="33:33">
      <c r="AG2805" s="10"/>
    </row>
    <row r="2806" spans="33:33">
      <c r="AG2806" s="10"/>
    </row>
    <row r="2807" spans="33:33">
      <c r="AG2807" s="10"/>
    </row>
    <row r="2808" spans="33:33">
      <c r="AG2808" s="10"/>
    </row>
    <row r="2809" spans="33:33">
      <c r="AG2809" s="10"/>
    </row>
    <row r="2810" spans="33:33">
      <c r="AG2810" s="10"/>
    </row>
    <row r="2811" spans="33:33">
      <c r="AG2811" s="10"/>
    </row>
    <row r="2812" spans="33:33">
      <c r="AG2812" s="10"/>
    </row>
    <row r="2813" spans="33:33">
      <c r="AG2813" s="10"/>
    </row>
    <row r="2814" spans="33:33">
      <c r="AG2814" s="10"/>
    </row>
    <row r="2815" spans="33:33">
      <c r="AG2815" s="10"/>
    </row>
    <row r="2816" spans="33:33">
      <c r="AG2816" s="10"/>
    </row>
    <row r="2817" spans="33:33">
      <c r="AG2817" s="10"/>
    </row>
    <row r="2818" spans="33:33">
      <c r="AG2818" s="10"/>
    </row>
    <row r="2819" spans="33:33">
      <c r="AG2819" s="10"/>
    </row>
    <row r="2820" spans="33:33">
      <c r="AG2820" s="10"/>
    </row>
    <row r="2821" spans="33:33">
      <c r="AG2821" s="10"/>
    </row>
    <row r="2822" spans="33:33">
      <c r="AG2822" s="10"/>
    </row>
    <row r="2823" spans="33:33">
      <c r="AG2823" s="10"/>
    </row>
    <row r="2824" spans="33:33">
      <c r="AG2824" s="10"/>
    </row>
    <row r="2825" spans="33:33">
      <c r="AG2825" s="10"/>
    </row>
    <row r="2826" spans="33:33">
      <c r="AG2826" s="10"/>
    </row>
    <row r="2827" spans="33:33">
      <c r="AG2827" s="10"/>
    </row>
    <row r="2828" spans="33:33">
      <c r="AG2828" s="10"/>
    </row>
    <row r="2829" spans="33:33">
      <c r="AG2829" s="10"/>
    </row>
    <row r="2830" spans="33:33">
      <c r="AG2830" s="10"/>
    </row>
    <row r="2831" spans="33:33">
      <c r="AG2831" s="10"/>
    </row>
    <row r="2832" spans="33:33">
      <c r="AG2832" s="10"/>
    </row>
    <row r="2833" spans="33:33">
      <c r="AG2833" s="10"/>
    </row>
    <row r="2834" spans="33:33">
      <c r="AG2834" s="10"/>
    </row>
    <row r="2835" spans="33:33">
      <c r="AG2835" s="10"/>
    </row>
    <row r="2836" spans="33:33">
      <c r="AG2836" s="10"/>
    </row>
    <row r="2837" spans="33:33">
      <c r="AG2837" s="10"/>
    </row>
    <row r="2838" spans="33:33">
      <c r="AG2838" s="10"/>
    </row>
    <row r="2839" spans="33:33">
      <c r="AG2839" s="10"/>
    </row>
    <row r="2840" spans="33:33">
      <c r="AG2840" s="10"/>
    </row>
    <row r="2841" spans="33:33">
      <c r="AG2841" s="10"/>
    </row>
    <row r="2842" spans="33:33">
      <c r="AG2842" s="10"/>
    </row>
    <row r="2843" spans="33:33">
      <c r="AG2843" s="10"/>
    </row>
    <row r="2844" spans="33:33">
      <c r="AG2844" s="10"/>
    </row>
    <row r="2845" spans="33:33">
      <c r="AG2845" s="10"/>
    </row>
    <row r="2846" spans="33:33">
      <c r="AG2846" s="10"/>
    </row>
    <row r="2847" spans="33:33">
      <c r="AG2847" s="10"/>
    </row>
    <row r="2848" spans="33:33">
      <c r="AG2848" s="10"/>
    </row>
    <row r="2849" spans="33:33">
      <c r="AG2849" s="10"/>
    </row>
    <row r="2850" spans="33:33">
      <c r="AG2850" s="10"/>
    </row>
    <row r="2851" spans="33:33">
      <c r="AG2851" s="10"/>
    </row>
    <row r="2852" spans="33:33">
      <c r="AG2852" s="10"/>
    </row>
    <row r="2853" spans="33:33">
      <c r="AG2853" s="10"/>
    </row>
    <row r="2854" spans="33:33">
      <c r="AG2854" s="10"/>
    </row>
    <row r="2855" spans="33:33">
      <c r="AG2855" s="10"/>
    </row>
    <row r="2856" spans="33:33">
      <c r="AG2856" s="10"/>
    </row>
    <row r="2857" spans="33:33">
      <c r="AG2857" s="10"/>
    </row>
    <row r="2858" spans="33:33">
      <c r="AG2858" s="10"/>
    </row>
    <row r="2859" spans="33:33">
      <c r="AG2859" s="10"/>
    </row>
    <row r="2860" spans="33:33">
      <c r="AG2860" s="10"/>
    </row>
    <row r="2861" spans="33:33">
      <c r="AG2861" s="10"/>
    </row>
    <row r="2862" spans="33:33">
      <c r="AG2862" s="10"/>
    </row>
    <row r="2863" spans="33:33">
      <c r="AG2863" s="10"/>
    </row>
    <row r="2864" spans="33:33">
      <c r="AG2864" s="10"/>
    </row>
    <row r="2865" spans="33:33">
      <c r="AG2865" s="10"/>
    </row>
    <row r="2866" spans="33:33">
      <c r="AG2866" s="10"/>
    </row>
    <row r="2867" spans="33:33">
      <c r="AG2867" s="10"/>
    </row>
    <row r="2868" spans="33:33">
      <c r="AG2868" s="10"/>
    </row>
    <row r="2869" spans="33:33">
      <c r="AG2869" s="10"/>
    </row>
    <row r="2870" spans="33:33">
      <c r="AG2870" s="10"/>
    </row>
    <row r="2871" spans="33:33">
      <c r="AG2871" s="10"/>
    </row>
    <row r="2872" spans="33:33">
      <c r="AG2872" s="10"/>
    </row>
    <row r="2873" spans="33:33">
      <c r="AG2873" s="10"/>
    </row>
    <row r="2874" spans="33:33">
      <c r="AG2874" s="10"/>
    </row>
    <row r="2875" spans="33:33">
      <c r="AG2875" s="10"/>
    </row>
    <row r="2876" spans="33:33">
      <c r="AG2876" s="10"/>
    </row>
    <row r="2877" spans="33:33">
      <c r="AG2877" s="10"/>
    </row>
    <row r="2878" spans="33:33">
      <c r="AG2878" s="10"/>
    </row>
    <row r="2879" spans="33:33">
      <c r="AG2879" s="10"/>
    </row>
    <row r="2880" spans="33:33">
      <c r="AG2880" s="10"/>
    </row>
    <row r="2881" spans="33:33">
      <c r="AG2881" s="10"/>
    </row>
    <row r="2882" spans="33:33">
      <c r="AG2882" s="10"/>
    </row>
    <row r="2883" spans="33:33">
      <c r="AG2883" s="10"/>
    </row>
    <row r="2884" spans="33:33">
      <c r="AG2884" s="10"/>
    </row>
    <row r="2885" spans="33:33">
      <c r="AG2885" s="10"/>
    </row>
    <row r="2886" spans="33:33">
      <c r="AG2886" s="10"/>
    </row>
    <row r="2887" spans="33:33">
      <c r="AG2887" s="10"/>
    </row>
    <row r="2888" spans="33:33">
      <c r="AG2888" s="10"/>
    </row>
    <row r="2889" spans="33:33">
      <c r="AG2889" s="10"/>
    </row>
    <row r="2890" spans="33:33">
      <c r="AG2890" s="10"/>
    </row>
    <row r="2891" spans="33:33">
      <c r="AG2891" s="10"/>
    </row>
    <row r="2892" spans="33:33">
      <c r="AG2892" s="10"/>
    </row>
    <row r="2893" spans="33:33">
      <c r="AG2893" s="10"/>
    </row>
    <row r="2894" spans="33:33">
      <c r="AG2894" s="10"/>
    </row>
    <row r="2895" spans="33:33">
      <c r="AG2895" s="10"/>
    </row>
    <row r="2896" spans="33:33">
      <c r="AG2896" s="10"/>
    </row>
    <row r="2897" spans="33:33">
      <c r="AG2897" s="10"/>
    </row>
    <row r="2898" spans="33:33">
      <c r="AG2898" s="10"/>
    </row>
    <row r="2899" spans="33:33">
      <c r="AG2899" s="10"/>
    </row>
    <row r="2900" spans="33:33">
      <c r="AG2900" s="10"/>
    </row>
    <row r="2901" spans="33:33">
      <c r="AG2901" s="10"/>
    </row>
    <row r="2902" spans="33:33">
      <c r="AG2902" s="10"/>
    </row>
    <row r="2903" spans="33:33">
      <c r="AG2903" s="10"/>
    </row>
    <row r="2904" spans="33:33">
      <c r="AG2904" s="10"/>
    </row>
    <row r="2905" spans="33:33">
      <c r="AG2905" s="10"/>
    </row>
    <row r="2906" spans="33:33">
      <c r="AG2906" s="10"/>
    </row>
    <row r="2907" spans="33:33">
      <c r="AG2907" s="10"/>
    </row>
    <row r="2908" spans="33:33">
      <c r="AG2908" s="10"/>
    </row>
    <row r="2909" spans="33:33">
      <c r="AG2909" s="10"/>
    </row>
    <row r="2910" spans="33:33">
      <c r="AG2910" s="10"/>
    </row>
    <row r="2911" spans="33:33">
      <c r="AG2911" s="10"/>
    </row>
    <row r="2912" spans="33:33">
      <c r="AG2912" s="10"/>
    </row>
    <row r="2913" spans="33:33">
      <c r="AG2913" s="10"/>
    </row>
    <row r="2914" spans="33:33">
      <c r="AG2914" s="10"/>
    </row>
    <row r="2915" spans="33:33">
      <c r="AG2915" s="10"/>
    </row>
    <row r="2916" spans="33:33">
      <c r="AG2916" s="10"/>
    </row>
    <row r="2917" spans="33:33">
      <c r="AG2917" s="10"/>
    </row>
    <row r="2918" spans="33:33">
      <c r="AG2918" s="10"/>
    </row>
    <row r="2919" spans="33:33">
      <c r="AG2919" s="10"/>
    </row>
    <row r="2920" spans="33:33">
      <c r="AG2920" s="10"/>
    </row>
    <row r="2921" spans="33:33">
      <c r="AG2921" s="10"/>
    </row>
    <row r="2922" spans="33:33">
      <c r="AG2922" s="10"/>
    </row>
    <row r="2923" spans="33:33">
      <c r="AG2923" s="10"/>
    </row>
    <row r="2924" spans="33:33">
      <c r="AG2924" s="10"/>
    </row>
    <row r="2925" spans="33:33">
      <c r="AG2925" s="10"/>
    </row>
    <row r="2926" spans="33:33">
      <c r="AG2926" s="10"/>
    </row>
    <row r="2927" spans="33:33">
      <c r="AG2927" s="10"/>
    </row>
    <row r="2928" spans="33:33">
      <c r="AG2928" s="10"/>
    </row>
    <row r="2929" spans="33:33">
      <c r="AG2929" s="10"/>
    </row>
    <row r="2930" spans="33:33">
      <c r="AG2930" s="10"/>
    </row>
    <row r="2931" spans="33:33">
      <c r="AG2931" s="10"/>
    </row>
    <row r="2932" spans="33:33">
      <c r="AG2932" s="10"/>
    </row>
    <row r="2933" spans="33:33">
      <c r="AG2933" s="10"/>
    </row>
    <row r="2934" spans="33:33">
      <c r="AG2934" s="10"/>
    </row>
    <row r="2935" spans="33:33">
      <c r="AG2935" s="10"/>
    </row>
    <row r="2936" spans="33:33">
      <c r="AG2936" s="10"/>
    </row>
    <row r="2937" spans="1:33">
      <c r="A2937" s="6"/>
      <c r="B2937" s="6"/>
      <c r="C2937" s="6"/>
      <c r="D2937" s="6"/>
      <c r="E2937" s="6"/>
      <c r="F2937" s="6"/>
      <c r="G2937" s="6"/>
      <c r="H2937" s="6"/>
      <c r="I2937" s="6"/>
      <c r="J2937" s="6"/>
      <c r="K2937" s="6"/>
      <c r="L2937" s="6"/>
      <c r="M2937" s="6"/>
      <c r="N2937" s="6"/>
      <c r="O2937" s="6"/>
      <c r="P2937" s="6"/>
      <c r="Q2937" s="6"/>
      <c r="R2937" s="6"/>
      <c r="S2937" s="6"/>
      <c r="T2937" s="6"/>
      <c r="U2937" s="6"/>
      <c r="V2937" s="6"/>
      <c r="W2937" s="6"/>
      <c r="X2937" s="6"/>
      <c r="Y2937" s="6"/>
      <c r="Z2937" s="6"/>
      <c r="AA2937" s="6"/>
      <c r="AB2937" s="6"/>
      <c r="AC2937" s="6"/>
      <c r="AD2937" s="6"/>
      <c r="AE2937" s="6"/>
      <c r="AF2937" s="6"/>
      <c r="AG2937" s="10"/>
    </row>
    <row r="2938" spans="1:33">
      <c r="A2938" s="6"/>
      <c r="B2938" s="6"/>
      <c r="C2938" s="6"/>
      <c r="D2938" s="6"/>
      <c r="E2938" s="6"/>
      <c r="F2938" s="6"/>
      <c r="G2938" s="6"/>
      <c r="H2938" s="6"/>
      <c r="I2938" s="6"/>
      <c r="J2938" s="6"/>
      <c r="K2938" s="6"/>
      <c r="L2938" s="6"/>
      <c r="M2938" s="6"/>
      <c r="N2938" s="6"/>
      <c r="O2938" s="6"/>
      <c r="P2938" s="6"/>
      <c r="Q2938" s="6"/>
      <c r="R2938" s="6"/>
      <c r="S2938" s="6"/>
      <c r="T2938" s="6"/>
      <c r="U2938" s="6"/>
      <c r="V2938" s="6"/>
      <c r="W2938" s="6"/>
      <c r="X2938" s="6"/>
      <c r="Y2938" s="6"/>
      <c r="Z2938" s="6"/>
      <c r="AA2938" s="6"/>
      <c r="AB2938" s="6"/>
      <c r="AC2938" s="6"/>
      <c r="AD2938" s="6"/>
      <c r="AE2938" s="6"/>
      <c r="AF2938" s="6"/>
      <c r="AG2938" s="10"/>
    </row>
    <row r="2939" spans="1:33">
      <c r="A2939" s="6"/>
      <c r="B2939" s="6"/>
      <c r="C2939" s="6"/>
      <c r="D2939" s="6"/>
      <c r="E2939" s="6"/>
      <c r="F2939" s="6"/>
      <c r="G2939" s="6"/>
      <c r="H2939" s="6"/>
      <c r="I2939" s="6"/>
      <c r="J2939" s="6"/>
      <c r="K2939" s="6"/>
      <c r="L2939" s="6"/>
      <c r="M2939" s="6"/>
      <c r="N2939" s="6"/>
      <c r="O2939" s="6"/>
      <c r="P2939" s="6"/>
      <c r="Q2939" s="6"/>
      <c r="R2939" s="6"/>
      <c r="S2939" s="6"/>
      <c r="T2939" s="6"/>
      <c r="U2939" s="6"/>
      <c r="V2939" s="6"/>
      <c r="W2939" s="6"/>
      <c r="X2939" s="6"/>
      <c r="Y2939" s="6"/>
      <c r="Z2939" s="6"/>
      <c r="AA2939" s="6"/>
      <c r="AB2939" s="6"/>
      <c r="AC2939" s="6"/>
      <c r="AD2939" s="6"/>
      <c r="AE2939" s="6"/>
      <c r="AF2939" s="6"/>
      <c r="AG2939" s="10"/>
    </row>
    <row r="2940" spans="1:33">
      <c r="A2940" s="6"/>
      <c r="B2940" s="6"/>
      <c r="C2940" s="6"/>
      <c r="D2940" s="6"/>
      <c r="E2940" s="6"/>
      <c r="F2940" s="6"/>
      <c r="G2940" s="6"/>
      <c r="H2940" s="6"/>
      <c r="I2940" s="6"/>
      <c r="J2940" s="6"/>
      <c r="K2940" s="6"/>
      <c r="L2940" s="6"/>
      <c r="M2940" s="6"/>
      <c r="N2940" s="6"/>
      <c r="O2940" s="6"/>
      <c r="P2940" s="6"/>
      <c r="Q2940" s="6"/>
      <c r="R2940" s="6"/>
      <c r="S2940" s="6"/>
      <c r="T2940" s="6"/>
      <c r="U2940" s="6"/>
      <c r="V2940" s="6"/>
      <c r="W2940" s="6"/>
      <c r="X2940" s="6"/>
      <c r="Y2940" s="6"/>
      <c r="Z2940" s="6"/>
      <c r="AA2940" s="6"/>
      <c r="AB2940" s="6"/>
      <c r="AC2940" s="6"/>
      <c r="AD2940" s="6"/>
      <c r="AE2940" s="6"/>
      <c r="AF2940" s="6"/>
      <c r="AG2940" s="10"/>
    </row>
    <row r="2941" spans="1:33">
      <c r="A2941" s="6"/>
      <c r="B2941" s="6"/>
      <c r="C2941" s="6"/>
      <c r="D2941" s="6"/>
      <c r="E2941" s="6"/>
      <c r="F2941" s="6"/>
      <c r="G2941" s="6"/>
      <c r="H2941" s="6"/>
      <c r="I2941" s="6"/>
      <c r="J2941" s="6"/>
      <c r="K2941" s="6"/>
      <c r="L2941" s="6"/>
      <c r="M2941" s="6"/>
      <c r="N2941" s="6"/>
      <c r="O2941" s="6"/>
      <c r="P2941" s="6"/>
      <c r="Q2941" s="6"/>
      <c r="R2941" s="6"/>
      <c r="S2941" s="6"/>
      <c r="T2941" s="6"/>
      <c r="U2941" s="6"/>
      <c r="V2941" s="6"/>
      <c r="W2941" s="6"/>
      <c r="X2941" s="6"/>
      <c r="Y2941" s="6"/>
      <c r="Z2941" s="6"/>
      <c r="AA2941" s="6"/>
      <c r="AB2941" s="6"/>
      <c r="AC2941" s="6"/>
      <c r="AD2941" s="6"/>
      <c r="AE2941" s="6"/>
      <c r="AF2941" s="6"/>
      <c r="AG2941" s="10"/>
    </row>
    <row r="2942" spans="1:33">
      <c r="A2942" s="6"/>
      <c r="B2942" s="6"/>
      <c r="C2942" s="6"/>
      <c r="D2942" s="6"/>
      <c r="E2942" s="6"/>
      <c r="F2942" s="6"/>
      <c r="G2942" s="6"/>
      <c r="H2942" s="6"/>
      <c r="I2942" s="6"/>
      <c r="J2942" s="6"/>
      <c r="K2942" s="6"/>
      <c r="L2942" s="6"/>
      <c r="M2942" s="6"/>
      <c r="N2942" s="6"/>
      <c r="O2942" s="6"/>
      <c r="P2942" s="6"/>
      <c r="Q2942" s="6"/>
      <c r="R2942" s="6"/>
      <c r="S2942" s="6"/>
      <c r="T2942" s="6"/>
      <c r="U2942" s="6"/>
      <c r="V2942" s="6"/>
      <c r="W2942" s="6"/>
      <c r="X2942" s="6"/>
      <c r="Y2942" s="6"/>
      <c r="Z2942" s="6"/>
      <c r="AA2942" s="6"/>
      <c r="AB2942" s="6"/>
      <c r="AC2942" s="6"/>
      <c r="AD2942" s="6"/>
      <c r="AE2942" s="6"/>
      <c r="AF2942" s="6"/>
      <c r="AG2942" s="10"/>
    </row>
    <row r="2943" spans="1:33">
      <c r="A2943" s="6"/>
      <c r="B2943" s="6"/>
      <c r="C2943" s="6"/>
      <c r="D2943" s="6"/>
      <c r="E2943" s="6"/>
      <c r="F2943" s="6"/>
      <c r="G2943" s="6"/>
      <c r="H2943" s="6"/>
      <c r="I2943" s="6"/>
      <c r="J2943" s="6"/>
      <c r="K2943" s="6"/>
      <c r="L2943" s="6"/>
      <c r="M2943" s="6"/>
      <c r="N2943" s="6"/>
      <c r="O2943" s="6"/>
      <c r="P2943" s="6"/>
      <c r="Q2943" s="6"/>
      <c r="R2943" s="6"/>
      <c r="S2943" s="6"/>
      <c r="T2943" s="6"/>
      <c r="U2943" s="6"/>
      <c r="V2943" s="6"/>
      <c r="W2943" s="6"/>
      <c r="X2943" s="6"/>
      <c r="Y2943" s="6"/>
      <c r="Z2943" s="6"/>
      <c r="AA2943" s="6"/>
      <c r="AB2943" s="6"/>
      <c r="AC2943" s="6"/>
      <c r="AD2943" s="6"/>
      <c r="AE2943" s="6"/>
      <c r="AF2943" s="6"/>
      <c r="AG2943" s="10"/>
    </row>
    <row r="2944" spans="1:33">
      <c r="A2944" s="6"/>
      <c r="B2944" s="6"/>
      <c r="C2944" s="6"/>
      <c r="D2944" s="6"/>
      <c r="E2944" s="6"/>
      <c r="F2944" s="6"/>
      <c r="G2944" s="6"/>
      <c r="H2944" s="6"/>
      <c r="I2944" s="6"/>
      <c r="J2944" s="6"/>
      <c r="K2944" s="6"/>
      <c r="L2944" s="6"/>
      <c r="M2944" s="6"/>
      <c r="N2944" s="6"/>
      <c r="O2944" s="6"/>
      <c r="P2944" s="6"/>
      <c r="Q2944" s="6"/>
      <c r="R2944" s="6"/>
      <c r="S2944" s="6"/>
      <c r="T2944" s="6"/>
      <c r="U2944" s="6"/>
      <c r="V2944" s="6"/>
      <c r="W2944" s="6"/>
      <c r="X2944" s="6"/>
      <c r="Y2944" s="6"/>
      <c r="Z2944" s="6"/>
      <c r="AA2944" s="6"/>
      <c r="AB2944" s="6"/>
      <c r="AC2944" s="6"/>
      <c r="AD2944" s="6"/>
      <c r="AE2944" s="6"/>
      <c r="AF2944" s="6"/>
      <c r="AG2944" s="10"/>
    </row>
    <row r="2945" spans="1:33">
      <c r="A2945" s="6"/>
      <c r="B2945" s="6"/>
      <c r="C2945" s="6"/>
      <c r="D2945" s="6"/>
      <c r="E2945" s="6"/>
      <c r="F2945" s="6"/>
      <c r="G2945" s="6"/>
      <c r="H2945" s="6"/>
      <c r="I2945" s="6"/>
      <c r="J2945" s="6"/>
      <c r="K2945" s="6"/>
      <c r="L2945" s="6"/>
      <c r="M2945" s="6"/>
      <c r="N2945" s="6"/>
      <c r="O2945" s="6"/>
      <c r="P2945" s="6"/>
      <c r="Q2945" s="6"/>
      <c r="R2945" s="6"/>
      <c r="S2945" s="6"/>
      <c r="T2945" s="6"/>
      <c r="U2945" s="6"/>
      <c r="V2945" s="6"/>
      <c r="W2945" s="6"/>
      <c r="X2945" s="6"/>
      <c r="Y2945" s="6"/>
      <c r="Z2945" s="6"/>
      <c r="AA2945" s="6"/>
      <c r="AB2945" s="6"/>
      <c r="AC2945" s="6"/>
      <c r="AD2945" s="6"/>
      <c r="AE2945" s="6"/>
      <c r="AF2945" s="6"/>
      <c r="AG2945" s="10"/>
    </row>
    <row r="2946" spans="1:33">
      <c r="A2946" s="6"/>
      <c r="B2946" s="6"/>
      <c r="C2946" s="6"/>
      <c r="D2946" s="6"/>
      <c r="E2946" s="6"/>
      <c r="F2946" s="6"/>
      <c r="G2946" s="6"/>
      <c r="H2946" s="6"/>
      <c r="I2946" s="6"/>
      <c r="J2946" s="6"/>
      <c r="K2946" s="6"/>
      <c r="L2946" s="6"/>
      <c r="M2946" s="6"/>
      <c r="N2946" s="6"/>
      <c r="O2946" s="6"/>
      <c r="P2946" s="6"/>
      <c r="Q2946" s="6"/>
      <c r="R2946" s="6"/>
      <c r="S2946" s="6"/>
      <c r="T2946" s="6"/>
      <c r="U2946" s="6"/>
      <c r="V2946" s="6"/>
      <c r="W2946" s="6"/>
      <c r="X2946" s="6"/>
      <c r="Y2946" s="6"/>
      <c r="Z2946" s="6"/>
      <c r="AA2946" s="6"/>
      <c r="AB2946" s="6"/>
      <c r="AC2946" s="6"/>
      <c r="AD2946" s="6"/>
      <c r="AE2946" s="6"/>
      <c r="AF2946" s="6"/>
      <c r="AG2946" s="10"/>
    </row>
    <row r="2947" spans="1:33">
      <c r="A2947" s="6"/>
      <c r="B2947" s="6"/>
      <c r="C2947" s="6"/>
      <c r="D2947" s="6"/>
      <c r="E2947" s="6"/>
      <c r="F2947" s="6"/>
      <c r="G2947" s="6"/>
      <c r="H2947" s="6"/>
      <c r="I2947" s="6"/>
      <c r="J2947" s="6"/>
      <c r="K2947" s="6"/>
      <c r="L2947" s="6"/>
      <c r="M2947" s="6"/>
      <c r="N2947" s="6"/>
      <c r="O2947" s="6"/>
      <c r="P2947" s="6"/>
      <c r="Q2947" s="6"/>
      <c r="R2947" s="6"/>
      <c r="S2947" s="6"/>
      <c r="T2947" s="6"/>
      <c r="U2947" s="6"/>
      <c r="V2947" s="6"/>
      <c r="W2947" s="6"/>
      <c r="X2947" s="6"/>
      <c r="Y2947" s="6"/>
      <c r="Z2947" s="6"/>
      <c r="AA2947" s="6"/>
      <c r="AB2947" s="6"/>
      <c r="AC2947" s="6"/>
      <c r="AD2947" s="6"/>
      <c r="AE2947" s="6"/>
      <c r="AF2947" s="6"/>
      <c r="AG2947" s="10"/>
    </row>
    <row r="2948" spans="1:33">
      <c r="A2948" s="6"/>
      <c r="B2948" s="6"/>
      <c r="C2948" s="6"/>
      <c r="D2948" s="6"/>
      <c r="E2948" s="6"/>
      <c r="F2948" s="6"/>
      <c r="G2948" s="6"/>
      <c r="H2948" s="6"/>
      <c r="I2948" s="6"/>
      <c r="J2948" s="6"/>
      <c r="K2948" s="6"/>
      <c r="L2948" s="6"/>
      <c r="M2948" s="6"/>
      <c r="N2948" s="6"/>
      <c r="O2948" s="6"/>
      <c r="P2948" s="6"/>
      <c r="Q2948" s="6"/>
      <c r="R2948" s="6"/>
      <c r="S2948" s="6"/>
      <c r="T2948" s="6"/>
      <c r="U2948" s="6"/>
      <c r="V2948" s="6"/>
      <c r="W2948" s="6"/>
      <c r="X2948" s="6"/>
      <c r="Y2948" s="6"/>
      <c r="Z2948" s="6"/>
      <c r="AA2948" s="6"/>
      <c r="AB2948" s="6"/>
      <c r="AC2948" s="6"/>
      <c r="AD2948" s="6"/>
      <c r="AE2948" s="6"/>
      <c r="AF2948" s="6"/>
      <c r="AG2948" s="10"/>
    </row>
    <row r="2949" spans="1:33">
      <c r="A2949" s="6"/>
      <c r="B2949" s="6"/>
      <c r="C2949" s="6"/>
      <c r="D2949" s="6"/>
      <c r="E2949" s="6"/>
      <c r="F2949" s="6"/>
      <c r="G2949" s="6"/>
      <c r="H2949" s="6"/>
      <c r="I2949" s="6"/>
      <c r="J2949" s="6"/>
      <c r="K2949" s="6"/>
      <c r="L2949" s="6"/>
      <c r="M2949" s="6"/>
      <c r="N2949" s="6"/>
      <c r="O2949" s="6"/>
      <c r="P2949" s="6"/>
      <c r="Q2949" s="6"/>
      <c r="R2949" s="6"/>
      <c r="S2949" s="6"/>
      <c r="T2949" s="6"/>
      <c r="U2949" s="6"/>
      <c r="V2949" s="6"/>
      <c r="W2949" s="6"/>
      <c r="X2949" s="6"/>
      <c r="Y2949" s="6"/>
      <c r="Z2949" s="6"/>
      <c r="AA2949" s="6"/>
      <c r="AB2949" s="6"/>
      <c r="AC2949" s="6"/>
      <c r="AD2949" s="6"/>
      <c r="AE2949" s="6"/>
      <c r="AF2949" s="6"/>
      <c r="AG2949" s="10"/>
    </row>
    <row r="2950" spans="1:33">
      <c r="A2950" s="6"/>
      <c r="B2950" s="6"/>
      <c r="C2950" s="6"/>
      <c r="D2950" s="6"/>
      <c r="E2950" s="6"/>
      <c r="F2950" s="6"/>
      <c r="G2950" s="6"/>
      <c r="H2950" s="6"/>
      <c r="I2950" s="6"/>
      <c r="J2950" s="6"/>
      <c r="K2950" s="6"/>
      <c r="L2950" s="6"/>
      <c r="M2950" s="6"/>
      <c r="N2950" s="6"/>
      <c r="O2950" s="6"/>
      <c r="P2950" s="6"/>
      <c r="Q2950" s="6"/>
      <c r="R2950" s="6"/>
      <c r="S2950" s="6"/>
      <c r="T2950" s="6"/>
      <c r="U2950" s="6"/>
      <c r="V2950" s="6"/>
      <c r="W2950" s="6"/>
      <c r="X2950" s="6"/>
      <c r="Y2950" s="6"/>
      <c r="Z2950" s="6"/>
      <c r="AA2950" s="6"/>
      <c r="AB2950" s="6"/>
      <c r="AC2950" s="6"/>
      <c r="AD2950" s="6"/>
      <c r="AE2950" s="6"/>
      <c r="AF2950" s="6"/>
      <c r="AG2950" s="10"/>
    </row>
    <row r="2951" spans="1:33">
      <c r="A2951" s="6"/>
      <c r="B2951" s="6"/>
      <c r="C2951" s="6"/>
      <c r="D2951" s="6"/>
      <c r="E2951" s="6"/>
      <c r="F2951" s="6"/>
      <c r="G2951" s="6"/>
      <c r="H2951" s="6"/>
      <c r="I2951" s="6"/>
      <c r="J2951" s="6"/>
      <c r="K2951" s="6"/>
      <c r="L2951" s="6"/>
      <c r="M2951" s="6"/>
      <c r="N2951" s="6"/>
      <c r="O2951" s="6"/>
      <c r="P2951" s="6"/>
      <c r="Q2951" s="6"/>
      <c r="R2951" s="6"/>
      <c r="S2951" s="6"/>
      <c r="T2951" s="6"/>
      <c r="U2951" s="6"/>
      <c r="V2951" s="6"/>
      <c r="W2951" s="6"/>
      <c r="X2951" s="6"/>
      <c r="Y2951" s="6"/>
      <c r="Z2951" s="6"/>
      <c r="AA2951" s="6"/>
      <c r="AB2951" s="6"/>
      <c r="AC2951" s="6"/>
      <c r="AD2951" s="6"/>
      <c r="AE2951" s="6"/>
      <c r="AF2951" s="6"/>
      <c r="AG2951" s="10"/>
    </row>
    <row r="2952" spans="1:33">
      <c r="A2952" s="6"/>
      <c r="B2952" s="6"/>
      <c r="C2952" s="6"/>
      <c r="D2952" s="6"/>
      <c r="E2952" s="6"/>
      <c r="F2952" s="6"/>
      <c r="G2952" s="6"/>
      <c r="H2952" s="6"/>
      <c r="I2952" s="6"/>
      <c r="J2952" s="6"/>
      <c r="K2952" s="6"/>
      <c r="L2952" s="6"/>
      <c r="M2952" s="6"/>
      <c r="N2952" s="6"/>
      <c r="O2952" s="6"/>
      <c r="P2952" s="6"/>
      <c r="Q2952" s="6"/>
      <c r="R2952" s="6"/>
      <c r="S2952" s="6"/>
      <c r="T2952" s="6"/>
      <c r="U2952" s="6"/>
      <c r="V2952" s="6"/>
      <c r="W2952" s="6"/>
      <c r="X2952" s="6"/>
      <c r="Y2952" s="6"/>
      <c r="Z2952" s="6"/>
      <c r="AA2952" s="6"/>
      <c r="AB2952" s="6"/>
      <c r="AC2952" s="6"/>
      <c r="AD2952" s="6"/>
      <c r="AE2952" s="6"/>
      <c r="AF2952" s="6"/>
      <c r="AG2952" s="10"/>
    </row>
    <row r="2953" spans="1:33">
      <c r="A2953" s="6"/>
      <c r="B2953" s="6"/>
      <c r="C2953" s="6"/>
      <c r="D2953" s="6"/>
      <c r="E2953" s="6"/>
      <c r="F2953" s="6"/>
      <c r="G2953" s="6"/>
      <c r="H2953" s="6"/>
      <c r="I2953" s="6"/>
      <c r="J2953" s="6"/>
      <c r="K2953" s="6"/>
      <c r="L2953" s="6"/>
      <c r="M2953" s="6"/>
      <c r="N2953" s="6"/>
      <c r="O2953" s="6"/>
      <c r="P2953" s="6"/>
      <c r="Q2953" s="6"/>
      <c r="R2953" s="6"/>
      <c r="S2953" s="6"/>
      <c r="T2953" s="6"/>
      <c r="U2953" s="6"/>
      <c r="V2953" s="6"/>
      <c r="W2953" s="6"/>
      <c r="X2953" s="6"/>
      <c r="Y2953" s="6"/>
      <c r="Z2953" s="6"/>
      <c r="AA2953" s="6"/>
      <c r="AB2953" s="6"/>
      <c r="AC2953" s="6"/>
      <c r="AD2953" s="6"/>
      <c r="AE2953" s="6"/>
      <c r="AF2953" s="6"/>
      <c r="AG2953" s="10"/>
    </row>
    <row r="2954" spans="1:33">
      <c r="A2954" s="6"/>
      <c r="B2954" s="6"/>
      <c r="C2954" s="6"/>
      <c r="D2954" s="6"/>
      <c r="E2954" s="6"/>
      <c r="F2954" s="6"/>
      <c r="G2954" s="6"/>
      <c r="H2954" s="6"/>
      <c r="I2954" s="6"/>
      <c r="J2954" s="6"/>
      <c r="K2954" s="6"/>
      <c r="L2954" s="6"/>
      <c r="M2954" s="6"/>
      <c r="N2954" s="6"/>
      <c r="O2954" s="6"/>
      <c r="P2954" s="6"/>
      <c r="Q2954" s="6"/>
      <c r="R2954" s="6"/>
      <c r="S2954" s="6"/>
      <c r="T2954" s="6"/>
      <c r="U2954" s="6"/>
      <c r="V2954" s="6"/>
      <c r="W2954" s="6"/>
      <c r="X2954" s="6"/>
      <c r="Y2954" s="6"/>
      <c r="Z2954" s="6"/>
      <c r="AA2954" s="6"/>
      <c r="AB2954" s="6"/>
      <c r="AC2954" s="6"/>
      <c r="AD2954" s="6"/>
      <c r="AE2954" s="6"/>
      <c r="AF2954" s="6"/>
      <c r="AG2954" s="10"/>
    </row>
    <row r="2955" spans="1:33">
      <c r="A2955" s="6"/>
      <c r="B2955" s="6"/>
      <c r="C2955" s="6"/>
      <c r="D2955" s="6"/>
      <c r="E2955" s="6"/>
      <c r="F2955" s="6"/>
      <c r="G2955" s="6"/>
      <c r="H2955" s="6"/>
      <c r="I2955" s="6"/>
      <c r="J2955" s="6"/>
      <c r="K2955" s="6"/>
      <c r="L2955" s="6"/>
      <c r="M2955" s="6"/>
      <c r="N2955" s="6"/>
      <c r="O2955" s="6"/>
      <c r="P2955" s="6"/>
      <c r="Q2955" s="6"/>
      <c r="R2955" s="6"/>
      <c r="S2955" s="6"/>
      <c r="T2955" s="6"/>
      <c r="U2955" s="6"/>
      <c r="V2955" s="6"/>
      <c r="W2955" s="6"/>
      <c r="X2955" s="6"/>
      <c r="Y2955" s="6"/>
      <c r="Z2955" s="6"/>
      <c r="AA2955" s="6"/>
      <c r="AB2955" s="6"/>
      <c r="AC2955" s="6"/>
      <c r="AD2955" s="6"/>
      <c r="AE2955" s="6"/>
      <c r="AF2955" s="6"/>
      <c r="AG2955" s="10"/>
    </row>
    <row r="2956" spans="1:33">
      <c r="A2956" s="6"/>
      <c r="B2956" s="6"/>
      <c r="C2956" s="6"/>
      <c r="D2956" s="6"/>
      <c r="E2956" s="6"/>
      <c r="F2956" s="6"/>
      <c r="G2956" s="6"/>
      <c r="H2956" s="6"/>
      <c r="I2956" s="6"/>
      <c r="J2956" s="6"/>
      <c r="K2956" s="6"/>
      <c r="L2956" s="6"/>
      <c r="M2956" s="6"/>
      <c r="N2956" s="6"/>
      <c r="O2956" s="6"/>
      <c r="P2956" s="6"/>
      <c r="Q2956" s="6"/>
      <c r="R2956" s="6"/>
      <c r="S2956" s="6"/>
      <c r="T2956" s="6"/>
      <c r="U2956" s="6"/>
      <c r="V2956" s="6"/>
      <c r="W2956" s="6"/>
      <c r="X2956" s="6"/>
      <c r="Y2956" s="6"/>
      <c r="Z2956" s="6"/>
      <c r="AA2956" s="6"/>
      <c r="AB2956" s="6"/>
      <c r="AC2956" s="6"/>
      <c r="AD2956" s="6"/>
      <c r="AE2956" s="6"/>
      <c r="AF2956" s="6"/>
      <c r="AG2956" s="10"/>
    </row>
    <row r="2957" spans="1:33">
      <c r="A2957" s="6"/>
      <c r="B2957" s="6"/>
      <c r="C2957" s="6"/>
      <c r="D2957" s="6"/>
      <c r="E2957" s="6"/>
      <c r="F2957" s="6"/>
      <c r="G2957" s="6"/>
      <c r="H2957" s="6"/>
      <c r="I2957" s="6"/>
      <c r="J2957" s="6"/>
      <c r="K2957" s="6"/>
      <c r="L2957" s="6"/>
      <c r="M2957" s="6"/>
      <c r="N2957" s="6"/>
      <c r="O2957" s="6"/>
      <c r="P2957" s="6"/>
      <c r="Q2957" s="6"/>
      <c r="R2957" s="6"/>
      <c r="S2957" s="6"/>
      <c r="T2957" s="6"/>
      <c r="U2957" s="6"/>
      <c r="V2957" s="6"/>
      <c r="W2957" s="6"/>
      <c r="X2957" s="6"/>
      <c r="Y2957" s="6"/>
      <c r="Z2957" s="6"/>
      <c r="AA2957" s="6"/>
      <c r="AB2957" s="6"/>
      <c r="AC2957" s="6"/>
      <c r="AD2957" s="6"/>
      <c r="AE2957" s="6"/>
      <c r="AF2957" s="6"/>
      <c r="AG2957" s="10"/>
    </row>
    <row r="2958" spans="1:33">
      <c r="A2958" s="6"/>
      <c r="B2958" s="6"/>
      <c r="C2958" s="6"/>
      <c r="D2958" s="6"/>
      <c r="E2958" s="6"/>
      <c r="F2958" s="6"/>
      <c r="G2958" s="6"/>
      <c r="H2958" s="6"/>
      <c r="I2958" s="6"/>
      <c r="J2958" s="6"/>
      <c r="K2958" s="6"/>
      <c r="L2958" s="6"/>
      <c r="M2958" s="6"/>
      <c r="N2958" s="6"/>
      <c r="O2958" s="6"/>
      <c r="P2958" s="6"/>
      <c r="Q2958" s="6"/>
      <c r="R2958" s="6"/>
      <c r="S2958" s="6"/>
      <c r="T2958" s="6"/>
      <c r="U2958" s="6"/>
      <c r="V2958" s="6"/>
      <c r="W2958" s="6"/>
      <c r="X2958" s="6"/>
      <c r="Y2958" s="6"/>
      <c r="Z2958" s="6"/>
      <c r="AA2958" s="6"/>
      <c r="AB2958" s="6"/>
      <c r="AC2958" s="6"/>
      <c r="AD2958" s="6"/>
      <c r="AE2958" s="6"/>
      <c r="AF2958" s="6"/>
      <c r="AG2958" s="10"/>
    </row>
    <row r="2959" spans="1:33">
      <c r="A2959" s="6"/>
      <c r="B2959" s="6"/>
      <c r="C2959" s="6"/>
      <c r="D2959" s="6"/>
      <c r="E2959" s="6"/>
      <c r="F2959" s="6"/>
      <c r="G2959" s="6"/>
      <c r="H2959" s="6"/>
      <c r="I2959" s="6"/>
      <c r="J2959" s="6"/>
      <c r="K2959" s="6"/>
      <c r="L2959" s="6"/>
      <c r="M2959" s="6"/>
      <c r="N2959" s="6"/>
      <c r="O2959" s="6"/>
      <c r="P2959" s="6"/>
      <c r="Q2959" s="6"/>
      <c r="R2959" s="6"/>
      <c r="S2959" s="6"/>
      <c r="T2959" s="6"/>
      <c r="U2959" s="6"/>
      <c r="V2959" s="6"/>
      <c r="W2959" s="6"/>
      <c r="X2959" s="6"/>
      <c r="Y2959" s="6"/>
      <c r="Z2959" s="6"/>
      <c r="AA2959" s="6"/>
      <c r="AB2959" s="6"/>
      <c r="AC2959" s="6"/>
      <c r="AD2959" s="6"/>
      <c r="AE2959" s="6"/>
      <c r="AF2959" s="6"/>
      <c r="AG2959" s="10"/>
    </row>
    <row r="2960" spans="1:33">
      <c r="A2960" s="6"/>
      <c r="B2960" s="6"/>
      <c r="C2960" s="6"/>
      <c r="D2960" s="6"/>
      <c r="E2960" s="6"/>
      <c r="F2960" s="6"/>
      <c r="G2960" s="6"/>
      <c r="H2960" s="6"/>
      <c r="I2960" s="6"/>
      <c r="J2960" s="6"/>
      <c r="K2960" s="6"/>
      <c r="L2960" s="6"/>
      <c r="M2960" s="6"/>
      <c r="N2960" s="6"/>
      <c r="O2960" s="6"/>
      <c r="P2960" s="6"/>
      <c r="Q2960" s="6"/>
      <c r="R2960" s="6"/>
      <c r="S2960" s="6"/>
      <c r="T2960" s="6"/>
      <c r="U2960" s="6"/>
      <c r="V2960" s="6"/>
      <c r="W2960" s="6"/>
      <c r="X2960" s="6"/>
      <c r="Y2960" s="6"/>
      <c r="Z2960" s="6"/>
      <c r="AA2960" s="6"/>
      <c r="AB2960" s="6"/>
      <c r="AC2960" s="6"/>
      <c r="AD2960" s="6"/>
      <c r="AE2960" s="6"/>
      <c r="AF2960" s="6"/>
      <c r="AG2960" s="10"/>
    </row>
    <row r="2961" spans="1:33">
      <c r="A2961" s="6"/>
      <c r="B2961" s="6"/>
      <c r="C2961" s="6"/>
      <c r="D2961" s="6"/>
      <c r="E2961" s="6"/>
      <c r="F2961" s="6"/>
      <c r="G2961" s="6"/>
      <c r="H2961" s="6"/>
      <c r="I2961" s="6"/>
      <c r="J2961" s="6"/>
      <c r="K2961" s="6"/>
      <c r="L2961" s="6"/>
      <c r="M2961" s="6"/>
      <c r="N2961" s="6"/>
      <c r="O2961" s="6"/>
      <c r="P2961" s="6"/>
      <c r="Q2961" s="6"/>
      <c r="R2961" s="6"/>
      <c r="S2961" s="6"/>
      <c r="T2961" s="6"/>
      <c r="U2961" s="6"/>
      <c r="V2961" s="6"/>
      <c r="W2961" s="6"/>
      <c r="X2961" s="6"/>
      <c r="Y2961" s="6"/>
      <c r="Z2961" s="6"/>
      <c r="AA2961" s="6"/>
      <c r="AB2961" s="6"/>
      <c r="AC2961" s="6"/>
      <c r="AD2961" s="6"/>
      <c r="AE2961" s="6"/>
      <c r="AF2961" s="6"/>
      <c r="AG2961" s="10"/>
    </row>
    <row r="2962" spans="1:33">
      <c r="A2962" s="6"/>
      <c r="B2962" s="6"/>
      <c r="C2962" s="6"/>
      <c r="D2962" s="6"/>
      <c r="E2962" s="6"/>
      <c r="F2962" s="6"/>
      <c r="G2962" s="6"/>
      <c r="H2962" s="6"/>
      <c r="I2962" s="6"/>
      <c r="J2962" s="6"/>
      <c r="K2962" s="6"/>
      <c r="L2962" s="6"/>
      <c r="M2962" s="6"/>
      <c r="N2962" s="6"/>
      <c r="O2962" s="6"/>
      <c r="P2962" s="6"/>
      <c r="Q2962" s="6"/>
      <c r="R2962" s="6"/>
      <c r="S2962" s="6"/>
      <c r="T2962" s="6"/>
      <c r="U2962" s="6"/>
      <c r="V2962" s="6"/>
      <c r="W2962" s="6"/>
      <c r="X2962" s="6"/>
      <c r="Y2962" s="6"/>
      <c r="Z2962" s="6"/>
      <c r="AA2962" s="6"/>
      <c r="AB2962" s="6"/>
      <c r="AC2962" s="6"/>
      <c r="AD2962" s="6"/>
      <c r="AE2962" s="6"/>
      <c r="AF2962" s="6"/>
      <c r="AG2962" s="10"/>
    </row>
    <row r="2963" spans="1:33">
      <c r="A2963" s="6"/>
      <c r="B2963" s="6"/>
      <c r="C2963" s="6"/>
      <c r="D2963" s="6"/>
      <c r="E2963" s="6"/>
      <c r="F2963" s="6"/>
      <c r="G2963" s="6"/>
      <c r="H2963" s="6"/>
      <c r="I2963" s="6"/>
      <c r="J2963" s="6"/>
      <c r="K2963" s="6"/>
      <c r="L2963" s="6"/>
      <c r="M2963" s="6"/>
      <c r="N2963" s="6"/>
      <c r="O2963" s="6"/>
      <c r="P2963" s="6"/>
      <c r="Q2963" s="6"/>
      <c r="R2963" s="6"/>
      <c r="S2963" s="6"/>
      <c r="T2963" s="6"/>
      <c r="U2963" s="6"/>
      <c r="V2963" s="6"/>
      <c r="W2963" s="6"/>
      <c r="X2963" s="6"/>
      <c r="Y2963" s="6"/>
      <c r="Z2963" s="6"/>
      <c r="AA2963" s="6"/>
      <c r="AB2963" s="6"/>
      <c r="AC2963" s="6"/>
      <c r="AD2963" s="6"/>
      <c r="AE2963" s="6"/>
      <c r="AF2963" s="6"/>
      <c r="AG2963" s="10"/>
    </row>
    <row r="2964" spans="1:33">
      <c r="A2964" s="6"/>
      <c r="B2964" s="6"/>
      <c r="C2964" s="6"/>
      <c r="D2964" s="6"/>
      <c r="E2964" s="6"/>
      <c r="F2964" s="6"/>
      <c r="G2964" s="6"/>
      <c r="H2964" s="6"/>
      <c r="I2964" s="6"/>
      <c r="J2964" s="6"/>
      <c r="K2964" s="6"/>
      <c r="L2964" s="6"/>
      <c r="M2964" s="6"/>
      <c r="N2964" s="6"/>
      <c r="O2964" s="6"/>
      <c r="P2964" s="6"/>
      <c r="Q2964" s="6"/>
      <c r="R2964" s="6"/>
      <c r="S2964" s="6"/>
      <c r="T2964" s="6"/>
      <c r="U2964" s="6"/>
      <c r="V2964" s="6"/>
      <c r="W2964" s="6"/>
      <c r="X2964" s="6"/>
      <c r="Y2964" s="6"/>
      <c r="Z2964" s="6"/>
      <c r="AA2964" s="6"/>
      <c r="AB2964" s="6"/>
      <c r="AC2964" s="6"/>
      <c r="AD2964" s="6"/>
      <c r="AE2964" s="6"/>
      <c r="AF2964" s="6"/>
      <c r="AG2964" s="10"/>
    </row>
    <row r="2965" spans="1:33">
      <c r="A2965" s="6"/>
      <c r="B2965" s="6"/>
      <c r="C2965" s="6"/>
      <c r="D2965" s="6"/>
      <c r="E2965" s="6"/>
      <c r="F2965" s="6"/>
      <c r="G2965" s="6"/>
      <c r="H2965" s="6"/>
      <c r="I2965" s="6"/>
      <c r="J2965" s="6"/>
      <c r="K2965" s="6"/>
      <c r="L2965" s="6"/>
      <c r="M2965" s="6"/>
      <c r="N2965" s="6"/>
      <c r="O2965" s="6"/>
      <c r="P2965" s="6"/>
      <c r="Q2965" s="6"/>
      <c r="R2965" s="6"/>
      <c r="S2965" s="6"/>
      <c r="T2965" s="6"/>
      <c r="U2965" s="6"/>
      <c r="V2965" s="6"/>
      <c r="W2965" s="6"/>
      <c r="X2965" s="6"/>
      <c r="Y2965" s="6"/>
      <c r="Z2965" s="6"/>
      <c r="AA2965" s="6"/>
      <c r="AB2965" s="6"/>
      <c r="AC2965" s="6"/>
      <c r="AD2965" s="6"/>
      <c r="AE2965" s="6"/>
      <c r="AF2965" s="6"/>
      <c r="AG2965" s="10"/>
    </row>
    <row r="2966" spans="1:33">
      <c r="A2966" s="6"/>
      <c r="B2966" s="6"/>
      <c r="C2966" s="6"/>
      <c r="D2966" s="6"/>
      <c r="E2966" s="6"/>
      <c r="F2966" s="6"/>
      <c r="G2966" s="6"/>
      <c r="H2966" s="6"/>
      <c r="I2966" s="6"/>
      <c r="J2966" s="6"/>
      <c r="K2966" s="6"/>
      <c r="L2966" s="6"/>
      <c r="M2966" s="6"/>
      <c r="N2966" s="6"/>
      <c r="O2966" s="6"/>
      <c r="P2966" s="6"/>
      <c r="Q2966" s="6"/>
      <c r="R2966" s="6"/>
      <c r="S2966" s="6"/>
      <c r="T2966" s="6"/>
      <c r="U2966" s="6"/>
      <c r="V2966" s="6"/>
      <c r="W2966" s="6"/>
      <c r="X2966" s="6"/>
      <c r="Y2966" s="6"/>
      <c r="Z2966" s="6"/>
      <c r="AA2966" s="6"/>
      <c r="AB2966" s="6"/>
      <c r="AC2966" s="6"/>
      <c r="AD2966" s="6"/>
      <c r="AE2966" s="6"/>
      <c r="AF2966" s="6"/>
      <c r="AG2966" s="10"/>
    </row>
    <row r="2967" spans="1:33">
      <c r="A2967" s="6"/>
      <c r="B2967" s="6"/>
      <c r="C2967" s="6"/>
      <c r="D2967" s="6"/>
      <c r="E2967" s="6"/>
      <c r="F2967" s="6"/>
      <c r="G2967" s="6"/>
      <c r="H2967" s="6"/>
      <c r="I2967" s="6"/>
      <c r="J2967" s="6"/>
      <c r="K2967" s="6"/>
      <c r="L2967" s="6"/>
      <c r="M2967" s="6"/>
      <c r="N2967" s="6"/>
      <c r="O2967" s="6"/>
      <c r="P2967" s="6"/>
      <c r="Q2967" s="6"/>
      <c r="R2967" s="6"/>
      <c r="S2967" s="6"/>
      <c r="T2967" s="6"/>
      <c r="U2967" s="6"/>
      <c r="V2967" s="6"/>
      <c r="W2967" s="6"/>
      <c r="X2967" s="6"/>
      <c r="Y2967" s="6"/>
      <c r="Z2967" s="6"/>
      <c r="AA2967" s="6"/>
      <c r="AB2967" s="6"/>
      <c r="AC2967" s="6"/>
      <c r="AD2967" s="6"/>
      <c r="AE2967" s="6"/>
      <c r="AF2967" s="6"/>
      <c r="AG2967" s="10"/>
    </row>
    <row r="2968" spans="1:33">
      <c r="A2968" s="6"/>
      <c r="B2968" s="6"/>
      <c r="C2968" s="6"/>
      <c r="D2968" s="6"/>
      <c r="E2968" s="6"/>
      <c r="F2968" s="6"/>
      <c r="G2968" s="6"/>
      <c r="H2968" s="6"/>
      <c r="I2968" s="6"/>
      <c r="J2968" s="6"/>
      <c r="K2968" s="6"/>
      <c r="L2968" s="6"/>
      <c r="M2968" s="6"/>
      <c r="N2968" s="6"/>
      <c r="O2968" s="6"/>
      <c r="P2968" s="6"/>
      <c r="Q2968" s="6"/>
      <c r="R2968" s="6"/>
      <c r="S2968" s="6"/>
      <c r="T2968" s="6"/>
      <c r="U2968" s="6"/>
      <c r="V2968" s="6"/>
      <c r="W2968" s="6"/>
      <c r="X2968" s="6"/>
      <c r="Y2968" s="6"/>
      <c r="Z2968" s="6"/>
      <c r="AA2968" s="6"/>
      <c r="AB2968" s="6"/>
      <c r="AC2968" s="6"/>
      <c r="AD2968" s="6"/>
      <c r="AE2968" s="6"/>
      <c r="AF2968" s="6"/>
      <c r="AG2968" s="10"/>
    </row>
    <row r="2969" spans="1:33">
      <c r="A2969" s="6"/>
      <c r="B2969" s="6"/>
      <c r="C2969" s="6"/>
      <c r="D2969" s="6"/>
      <c r="E2969" s="6"/>
      <c r="F2969" s="6"/>
      <c r="G2969" s="6"/>
      <c r="H2969" s="6"/>
      <c r="I2969" s="6"/>
      <c r="J2969" s="6"/>
      <c r="K2969" s="6"/>
      <c r="L2969" s="6"/>
      <c r="M2969" s="6"/>
      <c r="N2969" s="6"/>
      <c r="O2969" s="6"/>
      <c r="P2969" s="6"/>
      <c r="Q2969" s="6"/>
      <c r="R2969" s="6"/>
      <c r="S2969" s="6"/>
      <c r="T2969" s="6"/>
      <c r="U2969" s="6"/>
      <c r="V2969" s="6"/>
      <c r="W2969" s="6"/>
      <c r="X2969" s="6"/>
      <c r="Y2969" s="6"/>
      <c r="Z2969" s="6"/>
      <c r="AA2969" s="6"/>
      <c r="AB2969" s="6"/>
      <c r="AC2969" s="6"/>
      <c r="AD2969" s="6"/>
      <c r="AE2969" s="6"/>
      <c r="AF2969" s="6"/>
      <c r="AG2969" s="10"/>
    </row>
    <row r="2970" spans="1:33">
      <c r="A2970" s="6"/>
      <c r="B2970" s="6"/>
      <c r="C2970" s="6"/>
      <c r="D2970" s="6"/>
      <c r="E2970" s="6"/>
      <c r="F2970" s="6"/>
      <c r="G2970" s="6"/>
      <c r="H2970" s="6"/>
      <c r="I2970" s="6"/>
      <c r="J2970" s="6"/>
      <c r="K2970" s="6"/>
      <c r="L2970" s="6"/>
      <c r="M2970" s="6"/>
      <c r="N2970" s="6"/>
      <c r="O2970" s="6"/>
      <c r="P2970" s="6"/>
      <c r="Q2970" s="6"/>
      <c r="R2970" s="6"/>
      <c r="S2970" s="6"/>
      <c r="T2970" s="6"/>
      <c r="U2970" s="6"/>
      <c r="V2970" s="6"/>
      <c r="W2970" s="6"/>
      <c r="X2970" s="6"/>
      <c r="Y2970" s="6"/>
      <c r="Z2970" s="6"/>
      <c r="AA2970" s="6"/>
      <c r="AB2970" s="6"/>
      <c r="AC2970" s="6"/>
      <c r="AD2970" s="6"/>
      <c r="AE2970" s="6"/>
      <c r="AF2970" s="6"/>
      <c r="AG2970" s="10"/>
    </row>
    <row r="2971" spans="1:33">
      <c r="A2971" s="6"/>
      <c r="B2971" s="6"/>
      <c r="C2971" s="6"/>
      <c r="D2971" s="6"/>
      <c r="E2971" s="6"/>
      <c r="F2971" s="6"/>
      <c r="G2971" s="6"/>
      <c r="H2971" s="6"/>
      <c r="I2971" s="6"/>
      <c r="J2971" s="6"/>
      <c r="K2971" s="6"/>
      <c r="L2971" s="6"/>
      <c r="M2971" s="6"/>
      <c r="N2971" s="6"/>
      <c r="O2971" s="6"/>
      <c r="P2971" s="6"/>
      <c r="Q2971" s="6"/>
      <c r="R2971" s="6"/>
      <c r="S2971" s="6"/>
      <c r="T2971" s="6"/>
      <c r="U2971" s="6"/>
      <c r="V2971" s="6"/>
      <c r="W2971" s="6"/>
      <c r="X2971" s="6"/>
      <c r="Y2971" s="6"/>
      <c r="Z2971" s="6"/>
      <c r="AA2971" s="6"/>
      <c r="AB2971" s="6"/>
      <c r="AC2971" s="6"/>
      <c r="AD2971" s="6"/>
      <c r="AE2971" s="6"/>
      <c r="AF2971" s="6"/>
      <c r="AG2971" s="10"/>
    </row>
    <row r="2972" spans="1:33">
      <c r="A2972" s="6"/>
      <c r="B2972" s="6"/>
      <c r="C2972" s="6"/>
      <c r="D2972" s="6"/>
      <c r="E2972" s="6"/>
      <c r="F2972" s="6"/>
      <c r="G2972" s="6"/>
      <c r="H2972" s="6"/>
      <c r="I2972" s="6"/>
      <c r="J2972" s="6"/>
      <c r="K2972" s="6"/>
      <c r="L2972" s="6"/>
      <c r="M2972" s="6"/>
      <c r="N2972" s="6"/>
      <c r="O2972" s="6"/>
      <c r="P2972" s="6"/>
      <c r="Q2972" s="6"/>
      <c r="R2972" s="6"/>
      <c r="S2972" s="6"/>
      <c r="T2972" s="6"/>
      <c r="U2972" s="6"/>
      <c r="V2972" s="6"/>
      <c r="W2972" s="6"/>
      <c r="X2972" s="6"/>
      <c r="Y2972" s="6"/>
      <c r="Z2972" s="6"/>
      <c r="AA2972" s="6"/>
      <c r="AB2972" s="6"/>
      <c r="AC2972" s="6"/>
      <c r="AD2972" s="6"/>
      <c r="AE2972" s="6"/>
      <c r="AF2972" s="6"/>
      <c r="AG2972" s="10"/>
    </row>
    <row r="2973" spans="1:33">
      <c r="A2973" s="6"/>
      <c r="B2973" s="6"/>
      <c r="C2973" s="6"/>
      <c r="D2973" s="6"/>
      <c r="E2973" s="6"/>
      <c r="F2973" s="6"/>
      <c r="G2973" s="6"/>
      <c r="H2973" s="6"/>
      <c r="I2973" s="6"/>
      <c r="J2973" s="6"/>
      <c r="K2973" s="6"/>
      <c r="L2973" s="6"/>
      <c r="M2973" s="6"/>
      <c r="N2973" s="6"/>
      <c r="O2973" s="6"/>
      <c r="P2973" s="6"/>
      <c r="Q2973" s="6"/>
      <c r="R2973" s="6"/>
      <c r="S2973" s="6"/>
      <c r="T2973" s="6"/>
      <c r="U2973" s="6"/>
      <c r="V2973" s="6"/>
      <c r="W2973" s="6"/>
      <c r="X2973" s="6"/>
      <c r="Y2973" s="6"/>
      <c r="Z2973" s="6"/>
      <c r="AA2973" s="6"/>
      <c r="AB2973" s="6"/>
      <c r="AC2973" s="6"/>
      <c r="AD2973" s="6"/>
      <c r="AE2973" s="6"/>
      <c r="AF2973" s="6"/>
      <c r="AG2973" s="10"/>
    </row>
    <row r="2974" spans="1:33">
      <c r="A2974" s="6"/>
      <c r="B2974" s="6"/>
      <c r="C2974" s="6"/>
      <c r="D2974" s="6"/>
      <c r="E2974" s="6"/>
      <c r="F2974" s="6"/>
      <c r="G2974" s="6"/>
      <c r="H2974" s="6"/>
      <c r="I2974" s="6"/>
      <c r="J2974" s="6"/>
      <c r="K2974" s="6"/>
      <c r="L2974" s="6"/>
      <c r="M2974" s="6"/>
      <c r="N2974" s="6"/>
      <c r="O2974" s="6"/>
      <c r="P2974" s="6"/>
      <c r="Q2974" s="6"/>
      <c r="R2974" s="6"/>
      <c r="S2974" s="6"/>
      <c r="T2974" s="6"/>
      <c r="U2974" s="6"/>
      <c r="V2974" s="6"/>
      <c r="W2974" s="6"/>
      <c r="X2974" s="6"/>
      <c r="Y2974" s="6"/>
      <c r="Z2974" s="6"/>
      <c r="AA2974" s="6"/>
      <c r="AB2974" s="6"/>
      <c r="AC2974" s="6"/>
      <c r="AD2974" s="6"/>
      <c r="AE2974" s="6"/>
      <c r="AF2974" s="6"/>
      <c r="AG2974" s="10"/>
    </row>
    <row r="2975" spans="1:33">
      <c r="A2975" s="6"/>
      <c r="B2975" s="6"/>
      <c r="C2975" s="6"/>
      <c r="D2975" s="6"/>
      <c r="E2975" s="6"/>
      <c r="F2975" s="6"/>
      <c r="G2975" s="6"/>
      <c r="H2975" s="6"/>
      <c r="I2975" s="6"/>
      <c r="J2975" s="6"/>
      <c r="K2975" s="6"/>
      <c r="L2975" s="6"/>
      <c r="M2975" s="6"/>
      <c r="N2975" s="6"/>
      <c r="O2975" s="6"/>
      <c r="P2975" s="6"/>
      <c r="Q2975" s="6"/>
      <c r="R2975" s="6"/>
      <c r="S2975" s="6"/>
      <c r="T2975" s="6"/>
      <c r="U2975" s="6"/>
      <c r="V2975" s="6"/>
      <c r="W2975" s="6"/>
      <c r="X2975" s="6"/>
      <c r="Y2975" s="6"/>
      <c r="Z2975" s="6"/>
      <c r="AA2975" s="6"/>
      <c r="AB2975" s="6"/>
      <c r="AC2975" s="6"/>
      <c r="AD2975" s="6"/>
      <c r="AE2975" s="6"/>
      <c r="AF2975" s="6"/>
      <c r="AG2975" s="10"/>
    </row>
    <row r="2976" spans="1:33">
      <c r="A2976" s="6"/>
      <c r="B2976" s="6"/>
      <c r="C2976" s="6"/>
      <c r="D2976" s="6"/>
      <c r="E2976" s="6"/>
      <c r="F2976" s="6"/>
      <c r="G2976" s="6"/>
      <c r="H2976" s="6"/>
      <c r="I2976" s="6"/>
      <c r="J2976" s="6"/>
      <c r="K2976" s="6"/>
      <c r="L2976" s="6"/>
      <c r="M2976" s="6"/>
      <c r="N2976" s="6"/>
      <c r="O2976" s="6"/>
      <c r="P2976" s="6"/>
      <c r="Q2976" s="6"/>
      <c r="R2976" s="6"/>
      <c r="S2976" s="6"/>
      <c r="T2976" s="6"/>
      <c r="U2976" s="6"/>
      <c r="V2976" s="6"/>
      <c r="W2976" s="6"/>
      <c r="X2976" s="6"/>
      <c r="Y2976" s="6"/>
      <c r="Z2976" s="6"/>
      <c r="AA2976" s="6"/>
      <c r="AB2976" s="6"/>
      <c r="AC2976" s="6"/>
      <c r="AD2976" s="6"/>
      <c r="AE2976" s="6"/>
      <c r="AF2976" s="6"/>
      <c r="AG2976" s="10"/>
    </row>
    <row r="2977" spans="1:33">
      <c r="A2977" s="6"/>
      <c r="B2977" s="6"/>
      <c r="C2977" s="6"/>
      <c r="D2977" s="6"/>
      <c r="E2977" s="6"/>
      <c r="F2977" s="6"/>
      <c r="G2977" s="6"/>
      <c r="H2977" s="6"/>
      <c r="I2977" s="6"/>
      <c r="J2977" s="6"/>
      <c r="K2977" s="6"/>
      <c r="L2977" s="6"/>
      <c r="M2977" s="6"/>
      <c r="N2977" s="6"/>
      <c r="O2977" s="6"/>
      <c r="P2977" s="6"/>
      <c r="Q2977" s="6"/>
      <c r="R2977" s="6"/>
      <c r="S2977" s="6"/>
      <c r="T2977" s="6"/>
      <c r="U2977" s="6"/>
      <c r="V2977" s="6"/>
      <c r="W2977" s="6"/>
      <c r="X2977" s="6"/>
      <c r="Y2977" s="6"/>
      <c r="Z2977" s="6"/>
      <c r="AA2977" s="6"/>
      <c r="AB2977" s="6"/>
      <c r="AC2977" s="6"/>
      <c r="AD2977" s="6"/>
      <c r="AE2977" s="6"/>
      <c r="AF2977" s="6"/>
      <c r="AG2977" s="10"/>
    </row>
    <row r="2978" spans="1:33">
      <c r="A2978" s="6"/>
      <c r="B2978" s="6"/>
      <c r="C2978" s="6"/>
      <c r="D2978" s="6"/>
      <c r="E2978" s="6"/>
      <c r="F2978" s="6"/>
      <c r="G2978" s="6"/>
      <c r="H2978" s="6"/>
      <c r="I2978" s="6"/>
      <c r="J2978" s="6"/>
      <c r="K2978" s="6"/>
      <c r="L2978" s="6"/>
      <c r="M2978" s="6"/>
      <c r="N2978" s="6"/>
      <c r="O2978" s="6"/>
      <c r="P2978" s="6"/>
      <c r="Q2978" s="6"/>
      <c r="R2978" s="6"/>
      <c r="S2978" s="6"/>
      <c r="T2978" s="6"/>
      <c r="U2978" s="6"/>
      <c r="V2978" s="6"/>
      <c r="W2978" s="6"/>
      <c r="X2978" s="6"/>
      <c r="Y2978" s="6"/>
      <c r="Z2978" s="6"/>
      <c r="AA2978" s="6"/>
      <c r="AB2978" s="6"/>
      <c r="AC2978" s="6"/>
      <c r="AD2978" s="6"/>
      <c r="AE2978" s="6"/>
      <c r="AF2978" s="6"/>
      <c r="AG2978" s="10"/>
    </row>
    <row r="2979" spans="1:33">
      <c r="A2979" s="6"/>
      <c r="B2979" s="6"/>
      <c r="C2979" s="6"/>
      <c r="D2979" s="6"/>
      <c r="E2979" s="6"/>
      <c r="F2979" s="6"/>
      <c r="G2979" s="6"/>
      <c r="H2979" s="6"/>
      <c r="I2979" s="6"/>
      <c r="J2979" s="6"/>
      <c r="K2979" s="6"/>
      <c r="L2979" s="6"/>
      <c r="M2979" s="6"/>
      <c r="N2979" s="6"/>
      <c r="O2979" s="6"/>
      <c r="P2979" s="6"/>
      <c r="Q2979" s="6"/>
      <c r="R2979" s="6"/>
      <c r="S2979" s="6"/>
      <c r="T2979" s="6"/>
      <c r="U2979" s="6"/>
      <c r="V2979" s="6"/>
      <c r="W2979" s="6"/>
      <c r="X2979" s="6"/>
      <c r="Y2979" s="6"/>
      <c r="Z2979" s="6"/>
      <c r="AA2979" s="6"/>
      <c r="AB2979" s="6"/>
      <c r="AC2979" s="6"/>
      <c r="AD2979" s="6"/>
      <c r="AE2979" s="6"/>
      <c r="AF2979" s="6"/>
      <c r="AG2979" s="10"/>
    </row>
    <row r="2980" spans="1:33">
      <c r="A2980" s="6"/>
      <c r="B2980" s="6"/>
      <c r="C2980" s="6"/>
      <c r="D2980" s="6"/>
      <c r="E2980" s="6"/>
      <c r="F2980" s="6"/>
      <c r="G2980" s="6"/>
      <c r="H2980" s="6"/>
      <c r="I2980" s="6"/>
      <c r="J2980" s="6"/>
      <c r="K2980" s="6"/>
      <c r="L2980" s="6"/>
      <c r="M2980" s="6"/>
      <c r="N2980" s="6"/>
      <c r="O2980" s="6"/>
      <c r="P2980" s="6"/>
      <c r="Q2980" s="6"/>
      <c r="R2980" s="6"/>
      <c r="S2980" s="6"/>
      <c r="T2980" s="6"/>
      <c r="U2980" s="6"/>
      <c r="V2980" s="6"/>
      <c r="W2980" s="6"/>
      <c r="X2980" s="6"/>
      <c r="Y2980" s="6"/>
      <c r="Z2980" s="6"/>
      <c r="AA2980" s="6"/>
      <c r="AB2980" s="6"/>
      <c r="AC2980" s="6"/>
      <c r="AD2980" s="6"/>
      <c r="AE2980" s="6"/>
      <c r="AF2980" s="6"/>
      <c r="AG2980" s="10"/>
    </row>
    <row r="2981" spans="1:33">
      <c r="A2981" s="6"/>
      <c r="B2981" s="6"/>
      <c r="C2981" s="6"/>
      <c r="D2981" s="6"/>
      <c r="E2981" s="6"/>
      <c r="F2981" s="6"/>
      <c r="G2981" s="6"/>
      <c r="H2981" s="6"/>
      <c r="I2981" s="6"/>
      <c r="J2981" s="6"/>
      <c r="K2981" s="6"/>
      <c r="L2981" s="6"/>
      <c r="M2981" s="6"/>
      <c r="N2981" s="6"/>
      <c r="O2981" s="6"/>
      <c r="P2981" s="6"/>
      <c r="Q2981" s="6"/>
      <c r="R2981" s="6"/>
      <c r="S2981" s="6"/>
      <c r="T2981" s="6"/>
      <c r="U2981" s="6"/>
      <c r="V2981" s="6"/>
      <c r="W2981" s="6"/>
      <c r="X2981" s="6"/>
      <c r="Y2981" s="6"/>
      <c r="Z2981" s="6"/>
      <c r="AA2981" s="6"/>
      <c r="AB2981" s="6"/>
      <c r="AC2981" s="6"/>
      <c r="AD2981" s="6"/>
      <c r="AE2981" s="6"/>
      <c r="AF2981" s="6"/>
      <c r="AG2981" s="10"/>
    </row>
    <row r="2982" spans="1:33">
      <c r="A2982" s="6"/>
      <c r="B2982" s="6"/>
      <c r="C2982" s="6"/>
      <c r="D2982" s="6"/>
      <c r="E2982" s="6"/>
      <c r="F2982" s="6"/>
      <c r="G2982" s="6"/>
      <c r="H2982" s="6"/>
      <c r="I2982" s="6"/>
      <c r="J2982" s="6"/>
      <c r="K2982" s="6"/>
      <c r="L2982" s="6"/>
      <c r="M2982" s="6"/>
      <c r="N2982" s="6"/>
      <c r="O2982" s="6"/>
      <c r="P2982" s="6"/>
      <c r="Q2982" s="6"/>
      <c r="R2982" s="6"/>
      <c r="S2982" s="6"/>
      <c r="T2982" s="6"/>
      <c r="U2982" s="6"/>
      <c r="V2982" s="6"/>
      <c r="W2982" s="6"/>
      <c r="X2982" s="6"/>
      <c r="Y2982" s="6"/>
      <c r="Z2982" s="6"/>
      <c r="AA2982" s="6"/>
      <c r="AB2982" s="6"/>
      <c r="AC2982" s="6"/>
      <c r="AD2982" s="6"/>
      <c r="AE2982" s="6"/>
      <c r="AF2982" s="6"/>
      <c r="AG2982" s="10"/>
    </row>
    <row r="2983" spans="1:33">
      <c r="A2983" s="6"/>
      <c r="B2983" s="6"/>
      <c r="C2983" s="6"/>
      <c r="D2983" s="6"/>
      <c r="E2983" s="6"/>
      <c r="F2983" s="6"/>
      <c r="G2983" s="6"/>
      <c r="H2983" s="6"/>
      <c r="I2983" s="6"/>
      <c r="J2983" s="6"/>
      <c r="K2983" s="6"/>
      <c r="L2983" s="6"/>
      <c r="M2983" s="6"/>
      <c r="N2983" s="6"/>
      <c r="O2983" s="6"/>
      <c r="P2983" s="6"/>
      <c r="Q2983" s="6"/>
      <c r="R2983" s="6"/>
      <c r="S2983" s="6"/>
      <c r="T2983" s="6"/>
      <c r="U2983" s="6"/>
      <c r="V2983" s="6"/>
      <c r="W2983" s="6"/>
      <c r="X2983" s="6"/>
      <c r="Y2983" s="6"/>
      <c r="Z2983" s="6"/>
      <c r="AA2983" s="6"/>
      <c r="AB2983" s="6"/>
      <c r="AC2983" s="6"/>
      <c r="AD2983" s="6"/>
      <c r="AE2983" s="6"/>
      <c r="AF2983" s="6"/>
      <c r="AG2983" s="10"/>
    </row>
    <row r="2984" spans="1:33">
      <c r="A2984" s="6"/>
      <c r="B2984" s="6"/>
      <c r="C2984" s="6"/>
      <c r="D2984" s="6"/>
      <c r="E2984" s="6"/>
      <c r="F2984" s="6"/>
      <c r="G2984" s="6"/>
      <c r="H2984" s="6"/>
      <c r="I2984" s="6"/>
      <c r="J2984" s="6"/>
      <c r="K2984" s="6"/>
      <c r="L2984" s="6"/>
      <c r="M2984" s="6"/>
      <c r="N2984" s="6"/>
      <c r="O2984" s="6"/>
      <c r="P2984" s="6"/>
      <c r="Q2984" s="6"/>
      <c r="R2984" s="6"/>
      <c r="S2984" s="6"/>
      <c r="T2984" s="6"/>
      <c r="U2984" s="6"/>
      <c r="V2984" s="6"/>
      <c r="W2984" s="6"/>
      <c r="X2984" s="6"/>
      <c r="Y2984" s="6"/>
      <c r="Z2984" s="6"/>
      <c r="AA2984" s="6"/>
      <c r="AB2984" s="6"/>
      <c r="AC2984" s="6"/>
      <c r="AD2984" s="6"/>
      <c r="AE2984" s="6"/>
      <c r="AF2984" s="6"/>
      <c r="AG2984" s="10"/>
    </row>
    <row r="2985" spans="1:33">
      <c r="A2985" s="6"/>
      <c r="B2985" s="6"/>
      <c r="C2985" s="6"/>
      <c r="D2985" s="6"/>
      <c r="E2985" s="6"/>
      <c r="F2985" s="6"/>
      <c r="G2985" s="6"/>
      <c r="H2985" s="6"/>
      <c r="I2985" s="6"/>
      <c r="J2985" s="6"/>
      <c r="K2985" s="6"/>
      <c r="L2985" s="6"/>
      <c r="M2985" s="6"/>
      <c r="N2985" s="6"/>
      <c r="O2985" s="6"/>
      <c r="P2985" s="6"/>
      <c r="Q2985" s="6"/>
      <c r="R2985" s="6"/>
      <c r="S2985" s="6"/>
      <c r="T2985" s="6"/>
      <c r="U2985" s="6"/>
      <c r="V2985" s="6"/>
      <c r="W2985" s="6"/>
      <c r="X2985" s="6"/>
      <c r="Y2985" s="6"/>
      <c r="Z2985" s="6"/>
      <c r="AA2985" s="6"/>
      <c r="AB2985" s="6"/>
      <c r="AC2985" s="6"/>
      <c r="AD2985" s="6"/>
      <c r="AE2985" s="6"/>
      <c r="AF2985" s="6"/>
      <c r="AG2985" s="10"/>
    </row>
    <row r="2986" spans="1:33">
      <c r="A2986" s="6"/>
      <c r="B2986" s="6"/>
      <c r="C2986" s="6"/>
      <c r="D2986" s="6"/>
      <c r="E2986" s="6"/>
      <c r="F2986" s="6"/>
      <c r="G2986" s="6"/>
      <c r="H2986" s="6"/>
      <c r="I2986" s="6"/>
      <c r="J2986" s="6"/>
      <c r="K2986" s="6"/>
      <c r="L2986" s="6"/>
      <c r="M2986" s="6"/>
      <c r="N2986" s="6"/>
      <c r="O2986" s="6"/>
      <c r="P2986" s="6"/>
      <c r="Q2986" s="6"/>
      <c r="R2986" s="6"/>
      <c r="S2986" s="6"/>
      <c r="T2986" s="6"/>
      <c r="U2986" s="6"/>
      <c r="V2986" s="6"/>
      <c r="W2986" s="6"/>
      <c r="X2986" s="6"/>
      <c r="Y2986" s="6"/>
      <c r="Z2986" s="6"/>
      <c r="AA2986" s="6"/>
      <c r="AB2986" s="6"/>
      <c r="AC2986" s="6"/>
      <c r="AD2986" s="6"/>
      <c r="AE2986" s="6"/>
      <c r="AF2986" s="6"/>
      <c r="AG2986" s="10"/>
    </row>
    <row r="2987" spans="1:33">
      <c r="A2987" s="6"/>
      <c r="B2987" s="6"/>
      <c r="C2987" s="6"/>
      <c r="D2987" s="6"/>
      <c r="E2987" s="6"/>
      <c r="F2987" s="6"/>
      <c r="G2987" s="6"/>
      <c r="H2987" s="6"/>
      <c r="I2987" s="6"/>
      <c r="J2987" s="6"/>
      <c r="K2987" s="6"/>
      <c r="L2987" s="6"/>
      <c r="M2987" s="6"/>
      <c r="N2987" s="6"/>
      <c r="O2987" s="6"/>
      <c r="P2987" s="6"/>
      <c r="Q2987" s="6"/>
      <c r="R2987" s="6"/>
      <c r="S2987" s="6"/>
      <c r="T2987" s="6"/>
      <c r="U2987" s="6"/>
      <c r="V2987" s="6"/>
      <c r="W2987" s="6"/>
      <c r="X2987" s="6"/>
      <c r="Y2987" s="6"/>
      <c r="Z2987" s="6"/>
      <c r="AA2987" s="6"/>
      <c r="AB2987" s="6"/>
      <c r="AC2987" s="6"/>
      <c r="AD2987" s="6"/>
      <c r="AE2987" s="6"/>
      <c r="AF2987" s="6"/>
      <c r="AG2987" s="10"/>
    </row>
    <row r="2988" spans="1:33">
      <c r="A2988" s="6"/>
      <c r="B2988" s="6"/>
      <c r="C2988" s="6"/>
      <c r="D2988" s="6"/>
      <c r="E2988" s="6"/>
      <c r="F2988" s="6"/>
      <c r="G2988" s="6"/>
      <c r="H2988" s="6"/>
      <c r="I2988" s="6"/>
      <c r="J2988" s="6"/>
      <c r="K2988" s="6"/>
      <c r="L2988" s="6"/>
      <c r="M2988" s="6"/>
      <c r="N2988" s="6"/>
      <c r="O2988" s="6"/>
      <c r="P2988" s="6"/>
      <c r="Q2988" s="6"/>
      <c r="R2988" s="6"/>
      <c r="S2988" s="6"/>
      <c r="T2988" s="6"/>
      <c r="U2988" s="6"/>
      <c r="V2988" s="6"/>
      <c r="W2988" s="6"/>
      <c r="X2988" s="6"/>
      <c r="Y2988" s="6"/>
      <c r="Z2988" s="6"/>
      <c r="AA2988" s="6"/>
      <c r="AB2988" s="6"/>
      <c r="AC2988" s="6"/>
      <c r="AD2988" s="6"/>
      <c r="AE2988" s="6"/>
      <c r="AF2988" s="6"/>
      <c r="AG2988" s="10"/>
    </row>
    <row r="2989" spans="1:33">
      <c r="A2989" s="6"/>
      <c r="B2989" s="6"/>
      <c r="C2989" s="6"/>
      <c r="D2989" s="6"/>
      <c r="E2989" s="6"/>
      <c r="F2989" s="6"/>
      <c r="G2989" s="6"/>
      <c r="H2989" s="6"/>
      <c r="I2989" s="6"/>
      <c r="J2989" s="6"/>
      <c r="K2989" s="6"/>
      <c r="L2989" s="6"/>
      <c r="M2989" s="6"/>
      <c r="N2989" s="6"/>
      <c r="O2989" s="6"/>
      <c r="P2989" s="6"/>
      <c r="Q2989" s="6"/>
      <c r="R2989" s="6"/>
      <c r="S2989" s="6"/>
      <c r="T2989" s="6"/>
      <c r="U2989" s="6"/>
      <c r="V2989" s="6"/>
      <c r="W2989" s="6"/>
      <c r="X2989" s="6"/>
      <c r="Y2989" s="6"/>
      <c r="Z2989" s="6"/>
      <c r="AA2989" s="6"/>
      <c r="AB2989" s="6"/>
      <c r="AC2989" s="6"/>
      <c r="AD2989" s="6"/>
      <c r="AE2989" s="6"/>
      <c r="AF2989" s="6"/>
      <c r="AG2989" s="10"/>
    </row>
    <row r="2990" spans="1:33">
      <c r="A2990" s="6"/>
      <c r="B2990" s="6"/>
      <c r="C2990" s="6"/>
      <c r="D2990" s="6"/>
      <c r="E2990" s="6"/>
      <c r="F2990" s="6"/>
      <c r="G2990" s="6"/>
      <c r="H2990" s="6"/>
      <c r="I2990" s="6"/>
      <c r="J2990" s="6"/>
      <c r="K2990" s="6"/>
      <c r="L2990" s="6"/>
      <c r="M2990" s="6"/>
      <c r="N2990" s="6"/>
      <c r="O2990" s="6"/>
      <c r="P2990" s="6"/>
      <c r="Q2990" s="6"/>
      <c r="R2990" s="6"/>
      <c r="S2990" s="6"/>
      <c r="T2990" s="6"/>
      <c r="U2990" s="6"/>
      <c r="V2990" s="6"/>
      <c r="W2990" s="6"/>
      <c r="X2990" s="6"/>
      <c r="Y2990" s="6"/>
      <c r="Z2990" s="6"/>
      <c r="AA2990" s="6"/>
      <c r="AB2990" s="6"/>
      <c r="AC2990" s="6"/>
      <c r="AD2990" s="6"/>
      <c r="AE2990" s="6"/>
      <c r="AF2990" s="6"/>
      <c r="AG2990" s="10"/>
    </row>
    <row r="2991" spans="1:33">
      <c r="A2991" s="6"/>
      <c r="B2991" s="6"/>
      <c r="C2991" s="6"/>
      <c r="D2991" s="6"/>
      <c r="E2991" s="6"/>
      <c r="F2991" s="6"/>
      <c r="G2991" s="6"/>
      <c r="H2991" s="6"/>
      <c r="I2991" s="6"/>
      <c r="J2991" s="6"/>
      <c r="K2991" s="6"/>
      <c r="L2991" s="6"/>
      <c r="M2991" s="6"/>
      <c r="N2991" s="6"/>
      <c r="O2991" s="6"/>
      <c r="P2991" s="6"/>
      <c r="Q2991" s="6"/>
      <c r="R2991" s="6"/>
      <c r="S2991" s="6"/>
      <c r="T2991" s="6"/>
      <c r="U2991" s="6"/>
      <c r="V2991" s="6"/>
      <c r="W2991" s="6"/>
      <c r="X2991" s="6"/>
      <c r="Y2991" s="6"/>
      <c r="Z2991" s="6"/>
      <c r="AA2991" s="6"/>
      <c r="AB2991" s="6"/>
      <c r="AC2991" s="6"/>
      <c r="AD2991" s="6"/>
      <c r="AE2991" s="6"/>
      <c r="AF2991" s="6"/>
      <c r="AG2991" s="10"/>
    </row>
    <row r="2992" spans="1:33">
      <c r="A2992" s="6"/>
      <c r="B2992" s="6"/>
      <c r="C2992" s="6"/>
      <c r="D2992" s="6"/>
      <c r="E2992" s="6"/>
      <c r="F2992" s="6"/>
      <c r="G2992" s="6"/>
      <c r="H2992" s="6"/>
      <c r="I2992" s="6"/>
      <c r="J2992" s="6"/>
      <c r="K2992" s="6"/>
      <c r="L2992" s="6"/>
      <c r="M2992" s="6"/>
      <c r="N2992" s="6"/>
      <c r="O2992" s="6"/>
      <c r="P2992" s="6"/>
      <c r="Q2992" s="6"/>
      <c r="R2992" s="6"/>
      <c r="S2992" s="6"/>
      <c r="T2992" s="6"/>
      <c r="U2992" s="6"/>
      <c r="V2992" s="6"/>
      <c r="W2992" s="6"/>
      <c r="X2992" s="6"/>
      <c r="Y2992" s="6"/>
      <c r="Z2992" s="6"/>
      <c r="AA2992" s="6"/>
      <c r="AB2992" s="6"/>
      <c r="AC2992" s="6"/>
      <c r="AD2992" s="6"/>
      <c r="AE2992" s="6"/>
      <c r="AF2992" s="6"/>
      <c r="AG2992" s="10"/>
    </row>
    <row r="2993" spans="1:33">
      <c r="A2993" s="6"/>
      <c r="B2993" s="6"/>
      <c r="C2993" s="6"/>
      <c r="D2993" s="6"/>
      <c r="E2993" s="6"/>
      <c r="F2993" s="6"/>
      <c r="G2993" s="6"/>
      <c r="H2993" s="6"/>
      <c r="I2993" s="6"/>
      <c r="J2993" s="6"/>
      <c r="K2993" s="6"/>
      <c r="L2993" s="6"/>
      <c r="M2993" s="6"/>
      <c r="N2993" s="6"/>
      <c r="O2993" s="6"/>
      <c r="P2993" s="6"/>
      <c r="Q2993" s="6"/>
      <c r="R2993" s="6"/>
      <c r="S2993" s="6"/>
      <c r="T2993" s="6"/>
      <c r="U2993" s="6"/>
      <c r="V2993" s="6"/>
      <c r="W2993" s="6"/>
      <c r="X2993" s="6"/>
      <c r="Y2993" s="6"/>
      <c r="Z2993" s="6"/>
      <c r="AA2993" s="6"/>
      <c r="AB2993" s="6"/>
      <c r="AC2993" s="6"/>
      <c r="AD2993" s="6"/>
      <c r="AE2993" s="6"/>
      <c r="AF2993" s="6"/>
      <c r="AG2993" s="10"/>
    </row>
    <row r="2994" spans="1:33">
      <c r="A2994" s="6"/>
      <c r="B2994" s="6"/>
      <c r="C2994" s="6"/>
      <c r="D2994" s="6"/>
      <c r="E2994" s="6"/>
      <c r="F2994" s="6"/>
      <c r="G2994" s="6"/>
      <c r="H2994" s="6"/>
      <c r="I2994" s="6"/>
      <c r="J2994" s="6"/>
      <c r="K2994" s="6"/>
      <c r="L2994" s="6"/>
      <c r="M2994" s="6"/>
      <c r="N2994" s="6"/>
      <c r="O2994" s="6"/>
      <c r="P2994" s="6"/>
      <c r="Q2994" s="6"/>
      <c r="R2994" s="6"/>
      <c r="S2994" s="6"/>
      <c r="T2994" s="6"/>
      <c r="U2994" s="6"/>
      <c r="V2994" s="6"/>
      <c r="W2994" s="6"/>
      <c r="X2994" s="6"/>
      <c r="Y2994" s="6"/>
      <c r="Z2994" s="6"/>
      <c r="AA2994" s="6"/>
      <c r="AB2994" s="6"/>
      <c r="AC2994" s="6"/>
      <c r="AD2994" s="6"/>
      <c r="AE2994" s="6"/>
      <c r="AF2994" s="6"/>
      <c r="AG2994" s="10"/>
    </row>
    <row r="2995" spans="1:33">
      <c r="A2995" s="6"/>
      <c r="B2995" s="6"/>
      <c r="C2995" s="6"/>
      <c r="D2995" s="6"/>
      <c r="E2995" s="6"/>
      <c r="F2995" s="6"/>
      <c r="G2995" s="6"/>
      <c r="H2995" s="6"/>
      <c r="I2995" s="6"/>
      <c r="J2995" s="6"/>
      <c r="K2995" s="6"/>
      <c r="L2995" s="6"/>
      <c r="M2995" s="6"/>
      <c r="N2995" s="6"/>
      <c r="O2995" s="6"/>
      <c r="P2995" s="6"/>
      <c r="Q2995" s="6"/>
      <c r="R2995" s="6"/>
      <c r="S2995" s="6"/>
      <c r="T2995" s="6"/>
      <c r="U2995" s="6"/>
      <c r="V2995" s="6"/>
      <c r="W2995" s="6"/>
      <c r="X2995" s="6"/>
      <c r="Y2995" s="6"/>
      <c r="Z2995" s="6"/>
      <c r="AA2995" s="6"/>
      <c r="AB2995" s="6"/>
      <c r="AC2995" s="6"/>
      <c r="AD2995" s="6"/>
      <c r="AE2995" s="6"/>
      <c r="AF2995" s="6"/>
      <c r="AG2995" s="10"/>
    </row>
    <row r="2996" spans="1:33">
      <c r="A2996" s="6"/>
      <c r="B2996" s="6"/>
      <c r="C2996" s="6"/>
      <c r="D2996" s="6"/>
      <c r="E2996" s="6"/>
      <c r="F2996" s="6"/>
      <c r="G2996" s="6"/>
      <c r="H2996" s="6"/>
      <c r="I2996" s="6"/>
      <c r="J2996" s="6"/>
      <c r="K2996" s="6"/>
      <c r="L2996" s="6"/>
      <c r="M2996" s="6"/>
      <c r="N2996" s="6"/>
      <c r="O2996" s="6"/>
      <c r="P2996" s="6"/>
      <c r="Q2996" s="6"/>
      <c r="R2996" s="6"/>
      <c r="S2996" s="6"/>
      <c r="T2996" s="6"/>
      <c r="U2996" s="6"/>
      <c r="V2996" s="6"/>
      <c r="W2996" s="6"/>
      <c r="X2996" s="6"/>
      <c r="Y2996" s="6"/>
      <c r="Z2996" s="6"/>
      <c r="AA2996" s="6"/>
      <c r="AB2996" s="6"/>
      <c r="AC2996" s="6"/>
      <c r="AD2996" s="6"/>
      <c r="AE2996" s="6"/>
      <c r="AF2996" s="6"/>
      <c r="AG2996" s="10"/>
    </row>
    <row r="2997" spans="1:33">
      <c r="A2997" s="6"/>
      <c r="B2997" s="6"/>
      <c r="C2997" s="6"/>
      <c r="D2997" s="6"/>
      <c r="E2997" s="6"/>
      <c r="F2997" s="6"/>
      <c r="G2997" s="6"/>
      <c r="H2997" s="6"/>
      <c r="I2997" s="6"/>
      <c r="J2997" s="6"/>
      <c r="K2997" s="6"/>
      <c r="L2997" s="6"/>
      <c r="M2997" s="6"/>
      <c r="N2997" s="6"/>
      <c r="O2997" s="6"/>
      <c r="P2997" s="6"/>
      <c r="Q2997" s="6"/>
      <c r="R2997" s="6"/>
      <c r="S2997" s="6"/>
      <c r="T2997" s="6"/>
      <c r="U2997" s="6"/>
      <c r="V2997" s="6"/>
      <c r="W2997" s="6"/>
      <c r="X2997" s="6"/>
      <c r="Y2997" s="6"/>
      <c r="Z2997" s="6"/>
      <c r="AA2997" s="6"/>
      <c r="AB2997" s="6"/>
      <c r="AC2997" s="6"/>
      <c r="AD2997" s="6"/>
      <c r="AE2997" s="6"/>
      <c r="AF2997" s="6"/>
      <c r="AG2997" s="10"/>
    </row>
    <row r="2998" spans="1:33">
      <c r="A2998" s="6"/>
      <c r="B2998" s="6"/>
      <c r="C2998" s="6"/>
      <c r="D2998" s="6"/>
      <c r="E2998" s="6"/>
      <c r="F2998" s="6"/>
      <c r="G2998" s="6"/>
      <c r="H2998" s="6"/>
      <c r="I2998" s="6"/>
      <c r="J2998" s="6"/>
      <c r="K2998" s="6"/>
      <c r="L2998" s="6"/>
      <c r="M2998" s="6"/>
      <c r="N2998" s="6"/>
      <c r="O2998" s="6"/>
      <c r="P2998" s="6"/>
      <c r="Q2998" s="6"/>
      <c r="R2998" s="6"/>
      <c r="S2998" s="6"/>
      <c r="T2998" s="6"/>
      <c r="U2998" s="6"/>
      <c r="V2998" s="6"/>
      <c r="W2998" s="6"/>
      <c r="X2998" s="6"/>
      <c r="Y2998" s="6"/>
      <c r="Z2998" s="6"/>
      <c r="AA2998" s="6"/>
      <c r="AB2998" s="6"/>
      <c r="AC2998" s="6"/>
      <c r="AD2998" s="6"/>
      <c r="AE2998" s="6"/>
      <c r="AF2998" s="6"/>
      <c r="AG2998" s="10"/>
    </row>
    <row r="2999" spans="1:33">
      <c r="A2999" s="6"/>
      <c r="B2999" s="6"/>
      <c r="C2999" s="6"/>
      <c r="D2999" s="6"/>
      <c r="E2999" s="6"/>
      <c r="F2999" s="6"/>
      <c r="G2999" s="6"/>
      <c r="H2999" s="6"/>
      <c r="I2999" s="6"/>
      <c r="J2999" s="6"/>
      <c r="K2999" s="6"/>
      <c r="L2999" s="6"/>
      <c r="M2999" s="6"/>
      <c r="N2999" s="6"/>
      <c r="O2999" s="6"/>
      <c r="P2999" s="6"/>
      <c r="Q2999" s="6"/>
      <c r="R2999" s="6"/>
      <c r="S2999" s="6"/>
      <c r="T2999" s="6"/>
      <c r="U2999" s="6"/>
      <c r="V2999" s="6"/>
      <c r="W2999" s="6"/>
      <c r="X2999" s="6"/>
      <c r="Y2999" s="6"/>
      <c r="Z2999" s="6"/>
      <c r="AA2999" s="6"/>
      <c r="AB2999" s="6"/>
      <c r="AC2999" s="6"/>
      <c r="AD2999" s="6"/>
      <c r="AE2999" s="6"/>
      <c r="AF2999" s="6"/>
      <c r="AG2999" s="10"/>
    </row>
    <row r="3000" spans="1:33">
      <c r="A3000" s="6"/>
      <c r="B3000" s="6"/>
      <c r="C3000" s="6"/>
      <c r="D3000" s="6"/>
      <c r="E3000" s="6"/>
      <c r="F3000" s="6"/>
      <c r="G3000" s="6"/>
      <c r="H3000" s="6"/>
      <c r="I3000" s="6"/>
      <c r="J3000" s="6"/>
      <c r="K3000" s="6"/>
      <c r="L3000" s="6"/>
      <c r="M3000" s="6"/>
      <c r="N3000" s="6"/>
      <c r="O3000" s="6"/>
      <c r="P3000" s="6"/>
      <c r="Q3000" s="6"/>
      <c r="R3000" s="6"/>
      <c r="S3000" s="6"/>
      <c r="T3000" s="6"/>
      <c r="U3000" s="6"/>
      <c r="V3000" s="6"/>
      <c r="W3000" s="6"/>
      <c r="X3000" s="6"/>
      <c r="Y3000" s="6"/>
      <c r="Z3000" s="6"/>
      <c r="AA3000" s="6"/>
      <c r="AB3000" s="6"/>
      <c r="AC3000" s="6"/>
      <c r="AD3000" s="6"/>
      <c r="AE3000" s="6"/>
      <c r="AF3000" s="6"/>
      <c r="AG3000" s="10"/>
    </row>
    <row r="3001" spans="1:33">
      <c r="A3001" s="6"/>
      <c r="B3001" s="6"/>
      <c r="C3001" s="6"/>
      <c r="D3001" s="6"/>
      <c r="E3001" s="6"/>
      <c r="F3001" s="6"/>
      <c r="G3001" s="6"/>
      <c r="H3001" s="6"/>
      <c r="I3001" s="6"/>
      <c r="J3001" s="6"/>
      <c r="K3001" s="6"/>
      <c r="L3001" s="6"/>
      <c r="M3001" s="6"/>
      <c r="N3001" s="6"/>
      <c r="O3001" s="6"/>
      <c r="P3001" s="6"/>
      <c r="Q3001" s="6"/>
      <c r="R3001" s="6"/>
      <c r="S3001" s="6"/>
      <c r="T3001" s="6"/>
      <c r="U3001" s="6"/>
      <c r="V3001" s="6"/>
      <c r="W3001" s="6"/>
      <c r="X3001" s="6"/>
      <c r="Y3001" s="6"/>
      <c r="Z3001" s="6"/>
      <c r="AA3001" s="6"/>
      <c r="AB3001" s="6"/>
      <c r="AC3001" s="6"/>
      <c r="AD3001" s="6"/>
      <c r="AE3001" s="6"/>
      <c r="AF3001" s="6"/>
      <c r="AG3001" s="10"/>
    </row>
    <row r="3002" spans="1:33">
      <c r="A3002" s="6"/>
      <c r="B3002" s="6"/>
      <c r="C3002" s="6"/>
      <c r="D3002" s="6"/>
      <c r="E3002" s="6"/>
      <c r="F3002" s="6"/>
      <c r="G3002" s="6"/>
      <c r="H3002" s="6"/>
      <c r="I3002" s="6"/>
      <c r="J3002" s="6"/>
      <c r="K3002" s="6"/>
      <c r="L3002" s="6"/>
      <c r="M3002" s="6"/>
      <c r="N3002" s="6"/>
      <c r="O3002" s="6"/>
      <c r="P3002" s="6"/>
      <c r="Q3002" s="6"/>
      <c r="R3002" s="6"/>
      <c r="S3002" s="6"/>
      <c r="T3002" s="6"/>
      <c r="U3002" s="6"/>
      <c r="V3002" s="6"/>
      <c r="W3002" s="6"/>
      <c r="X3002" s="6"/>
      <c r="Y3002" s="6"/>
      <c r="Z3002" s="6"/>
      <c r="AA3002" s="6"/>
      <c r="AB3002" s="6"/>
      <c r="AC3002" s="6"/>
      <c r="AD3002" s="6"/>
      <c r="AE3002" s="6"/>
      <c r="AF3002" s="6"/>
      <c r="AG3002" s="10"/>
    </row>
    <row r="3003" spans="1:33">
      <c r="A3003" s="6"/>
      <c r="B3003" s="6"/>
      <c r="C3003" s="6"/>
      <c r="D3003" s="6"/>
      <c r="E3003" s="6"/>
      <c r="F3003" s="6"/>
      <c r="G3003" s="6"/>
      <c r="H3003" s="6"/>
      <c r="I3003" s="6"/>
      <c r="J3003" s="6"/>
      <c r="K3003" s="6"/>
      <c r="L3003" s="6"/>
      <c r="M3003" s="6"/>
      <c r="N3003" s="6"/>
      <c r="O3003" s="6"/>
      <c r="P3003" s="6"/>
      <c r="Q3003" s="6"/>
      <c r="R3003" s="6"/>
      <c r="S3003" s="6"/>
      <c r="T3003" s="6"/>
      <c r="U3003" s="6"/>
      <c r="V3003" s="6"/>
      <c r="W3003" s="6"/>
      <c r="X3003" s="6"/>
      <c r="Y3003" s="6"/>
      <c r="Z3003" s="6"/>
      <c r="AA3003" s="6"/>
      <c r="AB3003" s="6"/>
      <c r="AC3003" s="6"/>
      <c r="AD3003" s="6"/>
      <c r="AE3003" s="6"/>
      <c r="AF3003" s="6"/>
      <c r="AG3003" s="10"/>
    </row>
    <row r="3004" spans="1:33">
      <c r="A3004" s="6"/>
      <c r="B3004" s="6"/>
      <c r="C3004" s="6"/>
      <c r="D3004" s="6"/>
      <c r="E3004" s="6"/>
      <c r="F3004" s="6"/>
      <c r="G3004" s="6"/>
      <c r="H3004" s="6"/>
      <c r="I3004" s="6"/>
      <c r="J3004" s="6"/>
      <c r="K3004" s="6"/>
      <c r="L3004" s="6"/>
      <c r="M3004" s="6"/>
      <c r="N3004" s="6"/>
      <c r="O3004" s="6"/>
      <c r="P3004" s="6"/>
      <c r="Q3004" s="6"/>
      <c r="R3004" s="6"/>
      <c r="S3004" s="6"/>
      <c r="T3004" s="6"/>
      <c r="U3004" s="6"/>
      <c r="V3004" s="6"/>
      <c r="W3004" s="6"/>
      <c r="X3004" s="6"/>
      <c r="Y3004" s="6"/>
      <c r="Z3004" s="6"/>
      <c r="AA3004" s="6"/>
      <c r="AB3004" s="6"/>
      <c r="AC3004" s="6"/>
      <c r="AD3004" s="6"/>
      <c r="AE3004" s="6"/>
      <c r="AF3004" s="6"/>
      <c r="AG3004" s="10"/>
    </row>
    <row r="3005" spans="1:33">
      <c r="A3005" s="6"/>
      <c r="B3005" s="6"/>
      <c r="C3005" s="6"/>
      <c r="D3005" s="6"/>
      <c r="E3005" s="6"/>
      <c r="F3005" s="6"/>
      <c r="G3005" s="6"/>
      <c r="H3005" s="6"/>
      <c r="I3005" s="6"/>
      <c r="J3005" s="6"/>
      <c r="K3005" s="6"/>
      <c r="L3005" s="6"/>
      <c r="M3005" s="6"/>
      <c r="N3005" s="6"/>
      <c r="O3005" s="6"/>
      <c r="P3005" s="6"/>
      <c r="Q3005" s="6"/>
      <c r="R3005" s="6"/>
      <c r="S3005" s="6"/>
      <c r="T3005" s="6"/>
      <c r="U3005" s="6"/>
      <c r="V3005" s="6"/>
      <c r="W3005" s="6"/>
      <c r="X3005" s="6"/>
      <c r="Y3005" s="6"/>
      <c r="Z3005" s="6"/>
      <c r="AA3005" s="6"/>
      <c r="AB3005" s="6"/>
      <c r="AC3005" s="6"/>
      <c r="AD3005" s="6"/>
      <c r="AE3005" s="6"/>
      <c r="AF3005" s="6"/>
      <c r="AG3005" s="10"/>
    </row>
    <row r="3006" spans="1:33">
      <c r="A3006" s="6"/>
      <c r="B3006" s="6"/>
      <c r="C3006" s="6"/>
      <c r="D3006" s="6"/>
      <c r="E3006" s="6"/>
      <c r="F3006" s="6"/>
      <c r="G3006" s="6"/>
      <c r="H3006" s="6"/>
      <c r="I3006" s="6"/>
      <c r="J3006" s="6"/>
      <c r="K3006" s="6"/>
      <c r="L3006" s="6"/>
      <c r="M3006" s="6"/>
      <c r="N3006" s="6"/>
      <c r="O3006" s="6"/>
      <c r="P3006" s="6"/>
      <c r="Q3006" s="6"/>
      <c r="R3006" s="6"/>
      <c r="S3006" s="6"/>
      <c r="T3006" s="6"/>
      <c r="U3006" s="6"/>
      <c r="V3006" s="6"/>
      <c r="W3006" s="6"/>
      <c r="X3006" s="6"/>
      <c r="Y3006" s="6"/>
      <c r="Z3006" s="6"/>
      <c r="AA3006" s="6"/>
      <c r="AB3006" s="6"/>
      <c r="AC3006" s="6"/>
      <c r="AD3006" s="6"/>
      <c r="AE3006" s="6"/>
      <c r="AF3006" s="6"/>
      <c r="AG3006" s="10"/>
    </row>
    <row r="3007" spans="1:33">
      <c r="A3007" s="6"/>
      <c r="B3007" s="6"/>
      <c r="C3007" s="6"/>
      <c r="D3007" s="6"/>
      <c r="E3007" s="6"/>
      <c r="F3007" s="6"/>
      <c r="G3007" s="6"/>
      <c r="H3007" s="6"/>
      <c r="I3007" s="6"/>
      <c r="J3007" s="6"/>
      <c r="K3007" s="6"/>
      <c r="L3007" s="6"/>
      <c r="M3007" s="6"/>
      <c r="N3007" s="6"/>
      <c r="O3007" s="6"/>
      <c r="P3007" s="6"/>
      <c r="Q3007" s="6"/>
      <c r="R3007" s="6"/>
      <c r="S3007" s="6"/>
      <c r="T3007" s="6"/>
      <c r="U3007" s="6"/>
      <c r="V3007" s="6"/>
      <c r="W3007" s="6"/>
      <c r="X3007" s="6"/>
      <c r="Y3007" s="6"/>
      <c r="Z3007" s="6"/>
      <c r="AA3007" s="6"/>
      <c r="AB3007" s="6"/>
      <c r="AC3007" s="6"/>
      <c r="AD3007" s="6"/>
      <c r="AE3007" s="6"/>
      <c r="AF3007" s="6"/>
      <c r="AG3007" s="10"/>
    </row>
    <row r="3008" spans="1:33">
      <c r="A3008" s="6"/>
      <c r="B3008" s="6"/>
      <c r="C3008" s="6"/>
      <c r="D3008" s="6"/>
      <c r="E3008" s="6"/>
      <c r="F3008" s="6"/>
      <c r="G3008" s="6"/>
      <c r="H3008" s="6"/>
      <c r="I3008" s="6"/>
      <c r="J3008" s="6"/>
      <c r="K3008" s="6"/>
      <c r="L3008" s="6"/>
      <c r="M3008" s="6"/>
      <c r="N3008" s="6"/>
      <c r="O3008" s="6"/>
      <c r="P3008" s="6"/>
      <c r="Q3008" s="6"/>
      <c r="R3008" s="6"/>
      <c r="S3008" s="6"/>
      <c r="T3008" s="6"/>
      <c r="U3008" s="6"/>
      <c r="V3008" s="6"/>
      <c r="W3008" s="6"/>
      <c r="X3008" s="6"/>
      <c r="Y3008" s="6"/>
      <c r="Z3008" s="6"/>
      <c r="AA3008" s="6"/>
      <c r="AB3008" s="6"/>
      <c r="AC3008" s="6"/>
      <c r="AD3008" s="6"/>
      <c r="AE3008" s="6"/>
      <c r="AF3008" s="6"/>
      <c r="AG3008" s="10"/>
    </row>
    <row r="3009" spans="1:33">
      <c r="A3009" s="6"/>
      <c r="B3009" s="6"/>
      <c r="C3009" s="6"/>
      <c r="D3009" s="6"/>
      <c r="E3009" s="6"/>
      <c r="F3009" s="6"/>
      <c r="G3009" s="6"/>
      <c r="H3009" s="6"/>
      <c r="I3009" s="6"/>
      <c r="J3009" s="6"/>
      <c r="K3009" s="6"/>
      <c r="L3009" s="6"/>
      <c r="M3009" s="6"/>
      <c r="N3009" s="6"/>
      <c r="O3009" s="6"/>
      <c r="P3009" s="6"/>
      <c r="Q3009" s="6"/>
      <c r="R3009" s="6"/>
      <c r="S3009" s="6"/>
      <c r="T3009" s="6"/>
      <c r="U3009" s="6"/>
      <c r="V3009" s="6"/>
      <c r="W3009" s="6"/>
      <c r="X3009" s="6"/>
      <c r="Y3009" s="6"/>
      <c r="Z3009" s="6"/>
      <c r="AA3009" s="6"/>
      <c r="AB3009" s="6"/>
      <c r="AC3009" s="6"/>
      <c r="AD3009" s="6"/>
      <c r="AE3009" s="6"/>
      <c r="AF3009" s="6"/>
      <c r="AG3009" s="10"/>
    </row>
    <row r="3010" spans="1:33">
      <c r="A3010" s="6"/>
      <c r="B3010" s="6"/>
      <c r="C3010" s="6"/>
      <c r="D3010" s="6"/>
      <c r="E3010" s="6"/>
      <c r="F3010" s="6"/>
      <c r="G3010" s="6"/>
      <c r="H3010" s="6"/>
      <c r="I3010" s="6"/>
      <c r="J3010" s="6"/>
      <c r="K3010" s="6"/>
      <c r="L3010" s="6"/>
      <c r="M3010" s="6"/>
      <c r="N3010" s="6"/>
      <c r="O3010" s="6"/>
      <c r="P3010" s="6"/>
      <c r="Q3010" s="6"/>
      <c r="R3010" s="6"/>
      <c r="S3010" s="6"/>
      <c r="T3010" s="6"/>
      <c r="U3010" s="6"/>
      <c r="V3010" s="6"/>
      <c r="W3010" s="6"/>
      <c r="X3010" s="6"/>
      <c r="Y3010" s="6"/>
      <c r="Z3010" s="6"/>
      <c r="AA3010" s="6"/>
      <c r="AB3010" s="6"/>
      <c r="AC3010" s="6"/>
      <c r="AD3010" s="6"/>
      <c r="AE3010" s="6"/>
      <c r="AF3010" s="6"/>
      <c r="AG3010" s="10"/>
    </row>
    <row r="3011" spans="1:33">
      <c r="A3011" s="6"/>
      <c r="B3011" s="6"/>
      <c r="C3011" s="6"/>
      <c r="D3011" s="6"/>
      <c r="E3011" s="6"/>
      <c r="F3011" s="6"/>
      <c r="G3011" s="6"/>
      <c r="H3011" s="6"/>
      <c r="I3011" s="6"/>
      <c r="J3011" s="6"/>
      <c r="K3011" s="6"/>
      <c r="L3011" s="6"/>
      <c r="M3011" s="6"/>
      <c r="N3011" s="6"/>
      <c r="O3011" s="6"/>
      <c r="P3011" s="6"/>
      <c r="Q3011" s="6"/>
      <c r="R3011" s="6"/>
      <c r="S3011" s="6"/>
      <c r="T3011" s="6"/>
      <c r="U3011" s="6"/>
      <c r="V3011" s="6"/>
      <c r="W3011" s="6"/>
      <c r="X3011" s="6"/>
      <c r="Y3011" s="6"/>
      <c r="Z3011" s="6"/>
      <c r="AA3011" s="6"/>
      <c r="AB3011" s="6"/>
      <c r="AC3011" s="6"/>
      <c r="AD3011" s="6"/>
      <c r="AE3011" s="6"/>
      <c r="AF3011" s="6"/>
      <c r="AG3011" s="10"/>
    </row>
    <row r="3012" spans="1:33">
      <c r="A3012" s="6"/>
      <c r="B3012" s="6"/>
      <c r="C3012" s="6"/>
      <c r="D3012" s="6"/>
      <c r="E3012" s="6"/>
      <c r="F3012" s="6"/>
      <c r="G3012" s="6"/>
      <c r="H3012" s="6"/>
      <c r="I3012" s="6"/>
      <c r="J3012" s="6"/>
      <c r="K3012" s="6"/>
      <c r="L3012" s="6"/>
      <c r="M3012" s="6"/>
      <c r="N3012" s="6"/>
      <c r="O3012" s="6"/>
      <c r="P3012" s="6"/>
      <c r="Q3012" s="6"/>
      <c r="R3012" s="6"/>
      <c r="S3012" s="6"/>
      <c r="T3012" s="6"/>
      <c r="U3012" s="6"/>
      <c r="V3012" s="6"/>
      <c r="W3012" s="6"/>
      <c r="X3012" s="6"/>
      <c r="Y3012" s="6"/>
      <c r="Z3012" s="6"/>
      <c r="AA3012" s="6"/>
      <c r="AB3012" s="6"/>
      <c r="AC3012" s="6"/>
      <c r="AD3012" s="6"/>
      <c r="AE3012" s="6"/>
      <c r="AF3012" s="6"/>
      <c r="AG3012" s="10"/>
    </row>
    <row r="3013" spans="1:33">
      <c r="A3013" s="6"/>
      <c r="B3013" s="6"/>
      <c r="C3013" s="6"/>
      <c r="D3013" s="6"/>
      <c r="E3013" s="6"/>
      <c r="F3013" s="6"/>
      <c r="G3013" s="6"/>
      <c r="H3013" s="6"/>
      <c r="I3013" s="6"/>
      <c r="J3013" s="6"/>
      <c r="K3013" s="6"/>
      <c r="L3013" s="6"/>
      <c r="M3013" s="6"/>
      <c r="N3013" s="6"/>
      <c r="O3013" s="6"/>
      <c r="P3013" s="6"/>
      <c r="Q3013" s="6"/>
      <c r="R3013" s="6"/>
      <c r="S3013" s="6"/>
      <c r="T3013" s="6"/>
      <c r="U3013" s="6"/>
      <c r="V3013" s="6"/>
      <c r="W3013" s="6"/>
      <c r="X3013" s="6"/>
      <c r="Y3013" s="6"/>
      <c r="Z3013" s="6"/>
      <c r="AA3013" s="6"/>
      <c r="AB3013" s="6"/>
      <c r="AC3013" s="6"/>
      <c r="AD3013" s="6"/>
      <c r="AE3013" s="6"/>
      <c r="AF3013" s="6"/>
      <c r="AG3013" s="10"/>
    </row>
    <row r="3014" spans="1:33">
      <c r="A3014" s="6"/>
      <c r="B3014" s="6"/>
      <c r="C3014" s="6"/>
      <c r="D3014" s="6"/>
      <c r="E3014" s="6"/>
      <c r="F3014" s="6"/>
      <c r="G3014" s="6"/>
      <c r="H3014" s="6"/>
      <c r="I3014" s="6"/>
      <c r="J3014" s="6"/>
      <c r="K3014" s="6"/>
      <c r="L3014" s="6"/>
      <c r="M3014" s="6"/>
      <c r="N3014" s="6"/>
      <c r="O3014" s="6"/>
      <c r="P3014" s="6"/>
      <c r="Q3014" s="6"/>
      <c r="R3014" s="6"/>
      <c r="S3014" s="6"/>
      <c r="T3014" s="6"/>
      <c r="U3014" s="6"/>
      <c r="V3014" s="6"/>
      <c r="W3014" s="6"/>
      <c r="X3014" s="6"/>
      <c r="Y3014" s="6"/>
      <c r="Z3014" s="6"/>
      <c r="AA3014" s="6"/>
      <c r="AB3014" s="6"/>
      <c r="AC3014" s="6"/>
      <c r="AD3014" s="6"/>
      <c r="AE3014" s="6"/>
      <c r="AF3014" s="6"/>
      <c r="AG3014" s="10"/>
    </row>
    <row r="3015" spans="1:33">
      <c r="A3015" s="6"/>
      <c r="B3015" s="6"/>
      <c r="C3015" s="6"/>
      <c r="D3015" s="6"/>
      <c r="E3015" s="6"/>
      <c r="F3015" s="6"/>
      <c r="G3015" s="6"/>
      <c r="H3015" s="6"/>
      <c r="I3015" s="6"/>
      <c r="J3015" s="6"/>
      <c r="K3015" s="6"/>
      <c r="L3015" s="6"/>
      <c r="M3015" s="6"/>
      <c r="N3015" s="6"/>
      <c r="O3015" s="6"/>
      <c r="P3015" s="6"/>
      <c r="Q3015" s="6"/>
      <c r="R3015" s="6"/>
      <c r="S3015" s="6"/>
      <c r="T3015" s="6"/>
      <c r="U3015" s="6"/>
      <c r="V3015" s="6"/>
      <c r="W3015" s="6"/>
      <c r="X3015" s="6"/>
      <c r="Y3015" s="6"/>
      <c r="Z3015" s="6"/>
      <c r="AA3015" s="6"/>
      <c r="AB3015" s="6"/>
      <c r="AC3015" s="6"/>
      <c r="AD3015" s="6"/>
      <c r="AE3015" s="6"/>
      <c r="AF3015" s="6"/>
      <c r="AG3015" s="10"/>
    </row>
    <row r="3016" spans="1:33">
      <c r="A3016" s="6"/>
      <c r="B3016" s="6"/>
      <c r="C3016" s="6"/>
      <c r="D3016" s="6"/>
      <c r="E3016" s="6"/>
      <c r="F3016" s="6"/>
      <c r="G3016" s="6"/>
      <c r="H3016" s="6"/>
      <c r="I3016" s="6"/>
      <c r="J3016" s="6"/>
      <c r="K3016" s="6"/>
      <c r="L3016" s="6"/>
      <c r="M3016" s="6"/>
      <c r="N3016" s="6"/>
      <c r="O3016" s="6"/>
      <c r="P3016" s="6"/>
      <c r="Q3016" s="6"/>
      <c r="R3016" s="6"/>
      <c r="S3016" s="6"/>
      <c r="T3016" s="6"/>
      <c r="U3016" s="6"/>
      <c r="V3016" s="6"/>
      <c r="W3016" s="6"/>
      <c r="X3016" s="6"/>
      <c r="Y3016" s="6"/>
      <c r="Z3016" s="6"/>
      <c r="AA3016" s="6"/>
      <c r="AB3016" s="6"/>
      <c r="AC3016" s="6"/>
      <c r="AD3016" s="6"/>
      <c r="AE3016" s="6"/>
      <c r="AF3016" s="6"/>
      <c r="AG3016" s="10"/>
    </row>
    <row r="3017" spans="1:33">
      <c r="A3017" s="6"/>
      <c r="B3017" s="6"/>
      <c r="C3017" s="6"/>
      <c r="D3017" s="6"/>
      <c r="E3017" s="6"/>
      <c r="F3017" s="6"/>
      <c r="G3017" s="6"/>
      <c r="H3017" s="6"/>
      <c r="I3017" s="6"/>
      <c r="J3017" s="6"/>
      <c r="K3017" s="6"/>
      <c r="L3017" s="6"/>
      <c r="M3017" s="6"/>
      <c r="N3017" s="6"/>
      <c r="O3017" s="6"/>
      <c r="P3017" s="6"/>
      <c r="Q3017" s="6"/>
      <c r="R3017" s="6"/>
      <c r="S3017" s="6"/>
      <c r="T3017" s="6"/>
      <c r="U3017" s="6"/>
      <c r="V3017" s="6"/>
      <c r="W3017" s="6"/>
      <c r="X3017" s="6"/>
      <c r="Y3017" s="6"/>
      <c r="Z3017" s="6"/>
      <c r="AA3017" s="6"/>
      <c r="AB3017" s="6"/>
      <c r="AC3017" s="6"/>
      <c r="AD3017" s="6"/>
      <c r="AE3017" s="6"/>
      <c r="AF3017" s="6"/>
      <c r="AG3017" s="10"/>
    </row>
    <row r="3018" spans="1:33">
      <c r="A3018" s="6"/>
      <c r="B3018" s="6"/>
      <c r="C3018" s="6"/>
      <c r="D3018" s="6"/>
      <c r="E3018" s="6"/>
      <c r="F3018" s="6"/>
      <c r="G3018" s="6"/>
      <c r="H3018" s="6"/>
      <c r="I3018" s="6"/>
      <c r="J3018" s="6"/>
      <c r="K3018" s="6"/>
      <c r="L3018" s="6"/>
      <c r="M3018" s="6"/>
      <c r="N3018" s="6"/>
      <c r="O3018" s="6"/>
      <c r="P3018" s="6"/>
      <c r="Q3018" s="6"/>
      <c r="R3018" s="6"/>
      <c r="S3018" s="6"/>
      <c r="T3018" s="6"/>
      <c r="U3018" s="6"/>
      <c r="V3018" s="6"/>
      <c r="W3018" s="6"/>
      <c r="X3018" s="6"/>
      <c r="Y3018" s="6"/>
      <c r="Z3018" s="6"/>
      <c r="AA3018" s="6"/>
      <c r="AB3018" s="6"/>
      <c r="AC3018" s="6"/>
      <c r="AD3018" s="6"/>
      <c r="AE3018" s="6"/>
      <c r="AF3018" s="6"/>
      <c r="AG3018" s="10"/>
    </row>
    <row r="3019" spans="1:33">
      <c r="A3019" s="6"/>
      <c r="B3019" s="6"/>
      <c r="C3019" s="6"/>
      <c r="D3019" s="6"/>
      <c r="E3019" s="6"/>
      <c r="F3019" s="6"/>
      <c r="G3019" s="6"/>
      <c r="H3019" s="6"/>
      <c r="I3019" s="6"/>
      <c r="J3019" s="6"/>
      <c r="K3019" s="6"/>
      <c r="L3019" s="6"/>
      <c r="M3019" s="6"/>
      <c r="N3019" s="6"/>
      <c r="O3019" s="6"/>
      <c r="P3019" s="6"/>
      <c r="Q3019" s="6"/>
      <c r="R3019" s="6"/>
      <c r="S3019" s="6"/>
      <c r="T3019" s="6"/>
      <c r="U3019" s="6"/>
      <c r="V3019" s="6"/>
      <c r="W3019" s="6"/>
      <c r="X3019" s="6"/>
      <c r="Y3019" s="6"/>
      <c r="Z3019" s="6"/>
      <c r="AA3019" s="6"/>
      <c r="AB3019" s="6"/>
      <c r="AC3019" s="6"/>
      <c r="AD3019" s="6"/>
      <c r="AE3019" s="6"/>
      <c r="AF3019" s="6"/>
      <c r="AG3019" s="10"/>
    </row>
    <row r="3020" spans="1:33">
      <c r="A3020" s="6"/>
      <c r="B3020" s="6"/>
      <c r="C3020" s="6"/>
      <c r="D3020" s="6"/>
      <c r="E3020" s="6"/>
      <c r="F3020" s="6"/>
      <c r="G3020" s="6"/>
      <c r="H3020" s="6"/>
      <c r="I3020" s="6"/>
      <c r="J3020" s="6"/>
      <c r="K3020" s="6"/>
      <c r="L3020" s="6"/>
      <c r="M3020" s="6"/>
      <c r="N3020" s="6"/>
      <c r="O3020" s="6"/>
      <c r="P3020" s="6"/>
      <c r="Q3020" s="6"/>
      <c r="R3020" s="6"/>
      <c r="S3020" s="6"/>
      <c r="T3020" s="6"/>
      <c r="U3020" s="6"/>
      <c r="V3020" s="6"/>
      <c r="W3020" s="6"/>
      <c r="X3020" s="6"/>
      <c r="Y3020" s="6"/>
      <c r="Z3020" s="6"/>
      <c r="AA3020" s="6"/>
      <c r="AB3020" s="6"/>
      <c r="AC3020" s="6"/>
      <c r="AD3020" s="6"/>
      <c r="AE3020" s="6"/>
      <c r="AF3020" s="6"/>
      <c r="AG3020" s="10"/>
    </row>
    <row r="3021" spans="1:33">
      <c r="A3021" s="6"/>
      <c r="B3021" s="6"/>
      <c r="C3021" s="6"/>
      <c r="D3021" s="6"/>
      <c r="E3021" s="6"/>
      <c r="F3021" s="6"/>
      <c r="G3021" s="6"/>
      <c r="H3021" s="6"/>
      <c r="I3021" s="6"/>
      <c r="J3021" s="6"/>
      <c r="K3021" s="6"/>
      <c r="L3021" s="6"/>
      <c r="M3021" s="6"/>
      <c r="N3021" s="6"/>
      <c r="O3021" s="6"/>
      <c r="P3021" s="6"/>
      <c r="Q3021" s="6"/>
      <c r="R3021" s="6"/>
      <c r="S3021" s="6"/>
      <c r="T3021" s="6"/>
      <c r="U3021" s="6"/>
      <c r="V3021" s="6"/>
      <c r="W3021" s="6"/>
      <c r="X3021" s="6"/>
      <c r="Y3021" s="6"/>
      <c r="Z3021" s="6"/>
      <c r="AA3021" s="6"/>
      <c r="AB3021" s="6"/>
      <c r="AC3021" s="6"/>
      <c r="AD3021" s="6"/>
      <c r="AE3021" s="6"/>
      <c r="AF3021" s="6"/>
      <c r="AG3021" s="10"/>
    </row>
    <row r="3022" spans="1:33">
      <c r="A3022" s="6"/>
      <c r="B3022" s="6"/>
      <c r="C3022" s="6"/>
      <c r="D3022" s="6"/>
      <c r="E3022" s="6"/>
      <c r="F3022" s="6"/>
      <c r="G3022" s="6"/>
      <c r="H3022" s="6"/>
      <c r="I3022" s="6"/>
      <c r="J3022" s="6"/>
      <c r="K3022" s="6"/>
      <c r="L3022" s="6"/>
      <c r="M3022" s="6"/>
      <c r="N3022" s="6"/>
      <c r="O3022" s="6"/>
      <c r="P3022" s="6"/>
      <c r="Q3022" s="6"/>
      <c r="R3022" s="6"/>
      <c r="S3022" s="6"/>
      <c r="T3022" s="6"/>
      <c r="U3022" s="6"/>
      <c r="V3022" s="6"/>
      <c r="W3022" s="6"/>
      <c r="X3022" s="6"/>
      <c r="Y3022" s="6"/>
      <c r="Z3022" s="6"/>
      <c r="AA3022" s="6"/>
      <c r="AB3022" s="6"/>
      <c r="AC3022" s="6"/>
      <c r="AD3022" s="6"/>
      <c r="AE3022" s="6"/>
      <c r="AF3022" s="6"/>
      <c r="AG3022" s="10"/>
    </row>
    <row r="3023" spans="1:33">
      <c r="A3023" s="6"/>
      <c r="B3023" s="6"/>
      <c r="C3023" s="6"/>
      <c r="D3023" s="6"/>
      <c r="E3023" s="6"/>
      <c r="F3023" s="6"/>
      <c r="G3023" s="6"/>
      <c r="H3023" s="6"/>
      <c r="I3023" s="6"/>
      <c r="J3023" s="6"/>
      <c r="K3023" s="6"/>
      <c r="L3023" s="6"/>
      <c r="M3023" s="6"/>
      <c r="N3023" s="6"/>
      <c r="O3023" s="6"/>
      <c r="P3023" s="6"/>
      <c r="Q3023" s="6"/>
      <c r="R3023" s="6"/>
      <c r="S3023" s="6"/>
      <c r="T3023" s="6"/>
      <c r="U3023" s="6"/>
      <c r="V3023" s="6"/>
      <c r="W3023" s="6"/>
      <c r="X3023" s="6"/>
      <c r="Y3023" s="6"/>
      <c r="Z3023" s="6"/>
      <c r="AA3023" s="6"/>
      <c r="AB3023" s="6"/>
      <c r="AC3023" s="6"/>
      <c r="AD3023" s="6"/>
      <c r="AE3023" s="6"/>
      <c r="AF3023" s="6"/>
      <c r="AG3023" s="10"/>
    </row>
    <row r="3024" spans="1:33">
      <c r="A3024" s="6"/>
      <c r="B3024" s="6"/>
      <c r="C3024" s="6"/>
      <c r="D3024" s="6"/>
      <c r="E3024" s="6"/>
      <c r="F3024" s="6"/>
      <c r="G3024" s="6"/>
      <c r="H3024" s="6"/>
      <c r="I3024" s="6"/>
      <c r="J3024" s="6"/>
      <c r="K3024" s="6"/>
      <c r="L3024" s="6"/>
      <c r="M3024" s="6"/>
      <c r="N3024" s="6"/>
      <c r="O3024" s="6"/>
      <c r="P3024" s="6"/>
      <c r="Q3024" s="6"/>
      <c r="R3024" s="6"/>
      <c r="S3024" s="6"/>
      <c r="T3024" s="6"/>
      <c r="U3024" s="6"/>
      <c r="V3024" s="6"/>
      <c r="W3024" s="6"/>
      <c r="X3024" s="6"/>
      <c r="Y3024" s="6"/>
      <c r="Z3024" s="6"/>
      <c r="AA3024" s="6"/>
      <c r="AB3024" s="6"/>
      <c r="AC3024" s="6"/>
      <c r="AD3024" s="6"/>
      <c r="AE3024" s="6"/>
      <c r="AF3024" s="6"/>
      <c r="AG3024" s="10"/>
    </row>
    <row r="3025" spans="1:33">
      <c r="A3025" s="6"/>
      <c r="B3025" s="6"/>
      <c r="C3025" s="6"/>
      <c r="D3025" s="6"/>
      <c r="E3025" s="6"/>
      <c r="F3025" s="6"/>
      <c r="G3025" s="6"/>
      <c r="H3025" s="6"/>
      <c r="I3025" s="6"/>
      <c r="J3025" s="6"/>
      <c r="K3025" s="6"/>
      <c r="L3025" s="6"/>
      <c r="M3025" s="6"/>
      <c r="N3025" s="6"/>
      <c r="O3025" s="6"/>
      <c r="P3025" s="6"/>
      <c r="Q3025" s="6"/>
      <c r="R3025" s="6"/>
      <c r="S3025" s="6"/>
      <c r="T3025" s="6"/>
      <c r="U3025" s="6"/>
      <c r="V3025" s="6"/>
      <c r="W3025" s="6"/>
      <c r="X3025" s="6"/>
      <c r="Y3025" s="6"/>
      <c r="Z3025" s="6"/>
      <c r="AA3025" s="6"/>
      <c r="AB3025" s="6"/>
      <c r="AC3025" s="6"/>
      <c r="AD3025" s="6"/>
      <c r="AE3025" s="6"/>
      <c r="AF3025" s="6"/>
      <c r="AG3025" s="10"/>
    </row>
    <row r="3026" spans="1:33">
      <c r="A3026" s="6"/>
      <c r="B3026" s="6"/>
      <c r="C3026" s="6"/>
      <c r="D3026" s="6"/>
      <c r="E3026" s="6"/>
      <c r="F3026" s="6"/>
      <c r="G3026" s="6"/>
      <c r="H3026" s="6"/>
      <c r="I3026" s="6"/>
      <c r="J3026" s="6"/>
      <c r="K3026" s="6"/>
      <c r="L3026" s="6"/>
      <c r="M3026" s="6"/>
      <c r="N3026" s="6"/>
      <c r="O3026" s="6"/>
      <c r="P3026" s="6"/>
      <c r="Q3026" s="6"/>
      <c r="R3026" s="6"/>
      <c r="S3026" s="6"/>
      <c r="T3026" s="6"/>
      <c r="U3026" s="6"/>
      <c r="V3026" s="6"/>
      <c r="W3026" s="6"/>
      <c r="X3026" s="6"/>
      <c r="Y3026" s="6"/>
      <c r="Z3026" s="6"/>
      <c r="AA3026" s="6"/>
      <c r="AB3026" s="6"/>
      <c r="AC3026" s="6"/>
      <c r="AD3026" s="6"/>
      <c r="AE3026" s="6"/>
      <c r="AF3026" s="6"/>
      <c r="AG3026" s="10"/>
    </row>
    <row r="3027" spans="1:33">
      <c r="A3027" s="6"/>
      <c r="B3027" s="6"/>
      <c r="C3027" s="6"/>
      <c r="D3027" s="6"/>
      <c r="E3027" s="6"/>
      <c r="F3027" s="6"/>
      <c r="G3027" s="6"/>
      <c r="H3027" s="6"/>
      <c r="I3027" s="6"/>
      <c r="J3027" s="6"/>
      <c r="K3027" s="6"/>
      <c r="L3027" s="6"/>
      <c r="M3027" s="6"/>
      <c r="N3027" s="6"/>
      <c r="O3027" s="6"/>
      <c r="P3027" s="6"/>
      <c r="Q3027" s="6"/>
      <c r="R3027" s="6"/>
      <c r="S3027" s="6"/>
      <c r="T3027" s="6"/>
      <c r="U3027" s="6"/>
      <c r="V3027" s="6"/>
      <c r="W3027" s="6"/>
      <c r="X3027" s="6"/>
      <c r="Y3027" s="6"/>
      <c r="Z3027" s="6"/>
      <c r="AA3027" s="6"/>
      <c r="AB3027" s="6"/>
      <c r="AC3027" s="6"/>
      <c r="AD3027" s="6"/>
      <c r="AE3027" s="6"/>
      <c r="AF3027" s="6"/>
      <c r="AG3027" s="10"/>
    </row>
    <row r="3028" spans="1:33">
      <c r="A3028" s="6"/>
      <c r="B3028" s="6"/>
      <c r="C3028" s="6"/>
      <c r="D3028" s="6"/>
      <c r="E3028" s="6"/>
      <c r="F3028" s="6"/>
      <c r="G3028" s="6"/>
      <c r="H3028" s="6"/>
      <c r="I3028" s="6"/>
      <c r="J3028" s="6"/>
      <c r="K3028" s="6"/>
      <c r="L3028" s="6"/>
      <c r="M3028" s="6"/>
      <c r="N3028" s="6"/>
      <c r="O3028" s="6"/>
      <c r="P3028" s="6"/>
      <c r="Q3028" s="6"/>
      <c r="R3028" s="6"/>
      <c r="S3028" s="6"/>
      <c r="T3028" s="6"/>
      <c r="U3028" s="6"/>
      <c r="V3028" s="6"/>
      <c r="W3028" s="6"/>
      <c r="X3028" s="6"/>
      <c r="Y3028" s="6"/>
      <c r="Z3028" s="6"/>
      <c r="AA3028" s="6"/>
      <c r="AB3028" s="6"/>
      <c r="AC3028" s="6"/>
      <c r="AD3028" s="6"/>
      <c r="AE3028" s="6"/>
      <c r="AF3028" s="6"/>
      <c r="AG3028" s="10"/>
    </row>
    <row r="3029" spans="1:33">
      <c r="A3029" s="6"/>
      <c r="B3029" s="6"/>
      <c r="C3029" s="6"/>
      <c r="D3029" s="6"/>
      <c r="E3029" s="6"/>
      <c r="F3029" s="6"/>
      <c r="G3029" s="6"/>
      <c r="H3029" s="6"/>
      <c r="I3029" s="6"/>
      <c r="J3029" s="6"/>
      <c r="K3029" s="6"/>
      <c r="L3029" s="6"/>
      <c r="M3029" s="6"/>
      <c r="N3029" s="6"/>
      <c r="O3029" s="6"/>
      <c r="P3029" s="6"/>
      <c r="Q3029" s="6"/>
      <c r="R3029" s="6"/>
      <c r="S3029" s="6"/>
      <c r="T3029" s="6"/>
      <c r="U3029" s="6"/>
      <c r="V3029" s="6"/>
      <c r="W3029" s="6"/>
      <c r="X3029" s="6"/>
      <c r="Y3029" s="6"/>
      <c r="Z3029" s="6"/>
      <c r="AA3029" s="6"/>
      <c r="AB3029" s="6"/>
      <c r="AC3029" s="6"/>
      <c r="AD3029" s="6"/>
      <c r="AE3029" s="6"/>
      <c r="AF3029" s="6"/>
      <c r="AG3029" s="10"/>
    </row>
    <row r="3030" spans="1:33">
      <c r="A3030" s="6"/>
      <c r="B3030" s="6"/>
      <c r="C3030" s="6"/>
      <c r="D3030" s="6"/>
      <c r="E3030" s="6"/>
      <c r="F3030" s="6"/>
      <c r="G3030" s="6"/>
      <c r="H3030" s="6"/>
      <c r="I3030" s="6"/>
      <c r="J3030" s="6"/>
      <c r="K3030" s="6"/>
      <c r="L3030" s="6"/>
      <c r="M3030" s="6"/>
      <c r="N3030" s="6"/>
      <c r="O3030" s="6"/>
      <c r="P3030" s="6"/>
      <c r="Q3030" s="6"/>
      <c r="R3030" s="6"/>
      <c r="S3030" s="6"/>
      <c r="T3030" s="6"/>
      <c r="U3030" s="6"/>
      <c r="V3030" s="6"/>
      <c r="W3030" s="6"/>
      <c r="X3030" s="6"/>
      <c r="Y3030" s="6"/>
      <c r="Z3030" s="6"/>
      <c r="AA3030" s="6"/>
      <c r="AB3030" s="6"/>
      <c r="AC3030" s="6"/>
      <c r="AD3030" s="6"/>
      <c r="AE3030" s="6"/>
      <c r="AF3030" s="6"/>
      <c r="AG3030" s="10"/>
    </row>
    <row r="3031" spans="1:33">
      <c r="A3031" s="6"/>
      <c r="B3031" s="6"/>
      <c r="C3031" s="6"/>
      <c r="D3031" s="6"/>
      <c r="E3031" s="6"/>
      <c r="F3031" s="6"/>
      <c r="G3031" s="6"/>
      <c r="H3031" s="6"/>
      <c r="I3031" s="6"/>
      <c r="J3031" s="6"/>
      <c r="K3031" s="6"/>
      <c r="L3031" s="6"/>
      <c r="M3031" s="6"/>
      <c r="N3031" s="6"/>
      <c r="O3031" s="6"/>
      <c r="P3031" s="6"/>
      <c r="Q3031" s="6"/>
      <c r="R3031" s="6"/>
      <c r="S3031" s="6"/>
      <c r="T3031" s="6"/>
      <c r="U3031" s="6"/>
      <c r="V3031" s="6"/>
      <c r="W3031" s="6"/>
      <c r="X3031" s="6"/>
      <c r="Y3031" s="6"/>
      <c r="Z3031" s="6"/>
      <c r="AA3031" s="6"/>
      <c r="AB3031" s="6"/>
      <c r="AC3031" s="6"/>
      <c r="AD3031" s="6"/>
      <c r="AE3031" s="6"/>
      <c r="AF3031" s="6"/>
      <c r="AG3031" s="10"/>
    </row>
    <row r="3032" spans="1:33">
      <c r="A3032" s="6"/>
      <c r="B3032" s="6"/>
      <c r="C3032" s="6"/>
      <c r="D3032" s="6"/>
      <c r="E3032" s="6"/>
      <c r="F3032" s="6"/>
      <c r="G3032" s="6"/>
      <c r="H3032" s="6"/>
      <c r="I3032" s="6"/>
      <c r="J3032" s="6"/>
      <c r="K3032" s="6"/>
      <c r="L3032" s="6"/>
      <c r="M3032" s="6"/>
      <c r="N3032" s="6"/>
      <c r="O3032" s="6"/>
      <c r="P3032" s="6"/>
      <c r="Q3032" s="6"/>
      <c r="R3032" s="6"/>
      <c r="S3032" s="6"/>
      <c r="T3032" s="6"/>
      <c r="U3032" s="6"/>
      <c r="V3032" s="6"/>
      <c r="W3032" s="6"/>
      <c r="X3032" s="6"/>
      <c r="Y3032" s="6"/>
      <c r="Z3032" s="6"/>
      <c r="AA3032" s="6"/>
      <c r="AB3032" s="6"/>
      <c r="AC3032" s="6"/>
      <c r="AD3032" s="6"/>
      <c r="AE3032" s="6"/>
      <c r="AF3032" s="6"/>
      <c r="AG3032" s="10"/>
    </row>
    <row r="3033" spans="1:33">
      <c r="A3033" s="6"/>
      <c r="B3033" s="6"/>
      <c r="C3033" s="6"/>
      <c r="D3033" s="6"/>
      <c r="E3033" s="6"/>
      <c r="F3033" s="6"/>
      <c r="G3033" s="6"/>
      <c r="H3033" s="6"/>
      <c r="I3033" s="6"/>
      <c r="J3033" s="6"/>
      <c r="K3033" s="6"/>
      <c r="L3033" s="6"/>
      <c r="M3033" s="6"/>
      <c r="N3033" s="6"/>
      <c r="O3033" s="6"/>
      <c r="P3033" s="6"/>
      <c r="Q3033" s="6"/>
      <c r="R3033" s="6"/>
      <c r="S3033" s="6"/>
      <c r="T3033" s="6"/>
      <c r="U3033" s="6"/>
      <c r="V3033" s="6"/>
      <c r="W3033" s="6"/>
      <c r="X3033" s="6"/>
      <c r="Y3033" s="6"/>
      <c r="Z3033" s="6"/>
      <c r="AA3033" s="6"/>
      <c r="AB3033" s="6"/>
      <c r="AC3033" s="6"/>
      <c r="AD3033" s="6"/>
      <c r="AE3033" s="6"/>
      <c r="AF3033" s="6"/>
      <c r="AG3033" s="10"/>
    </row>
    <row r="3034" spans="1:33">
      <c r="A3034" s="6"/>
      <c r="B3034" s="6"/>
      <c r="C3034" s="6"/>
      <c r="D3034" s="6"/>
      <c r="E3034" s="6"/>
      <c r="F3034" s="6"/>
      <c r="G3034" s="6"/>
      <c r="H3034" s="6"/>
      <c r="I3034" s="6"/>
      <c r="J3034" s="6"/>
      <c r="K3034" s="6"/>
      <c r="L3034" s="6"/>
      <c r="M3034" s="6"/>
      <c r="N3034" s="6"/>
      <c r="O3034" s="6"/>
      <c r="P3034" s="6"/>
      <c r="Q3034" s="6"/>
      <c r="R3034" s="6"/>
      <c r="S3034" s="6"/>
      <c r="T3034" s="6"/>
      <c r="U3034" s="6"/>
      <c r="V3034" s="6"/>
      <c r="W3034" s="6"/>
      <c r="X3034" s="6"/>
      <c r="Y3034" s="6"/>
      <c r="Z3034" s="6"/>
      <c r="AA3034" s="6"/>
      <c r="AB3034" s="6"/>
      <c r="AC3034" s="6"/>
      <c r="AD3034" s="6"/>
      <c r="AE3034" s="6"/>
      <c r="AF3034" s="6"/>
      <c r="AG3034" s="10"/>
    </row>
    <row r="3035" spans="1:33">
      <c r="A3035" s="6"/>
      <c r="B3035" s="6"/>
      <c r="C3035" s="6"/>
      <c r="D3035" s="6"/>
      <c r="E3035" s="6"/>
      <c r="F3035" s="6"/>
      <c r="G3035" s="6"/>
      <c r="H3035" s="6"/>
      <c r="I3035" s="6"/>
      <c r="J3035" s="6"/>
      <c r="K3035" s="6"/>
      <c r="L3035" s="6"/>
      <c r="M3035" s="6"/>
      <c r="N3035" s="6"/>
      <c r="O3035" s="6"/>
      <c r="P3035" s="6"/>
      <c r="Q3035" s="6"/>
      <c r="R3035" s="6"/>
      <c r="S3035" s="6"/>
      <c r="T3035" s="6"/>
      <c r="U3035" s="6"/>
      <c r="V3035" s="6"/>
      <c r="W3035" s="6"/>
      <c r="X3035" s="6"/>
      <c r="Y3035" s="6"/>
      <c r="Z3035" s="6"/>
      <c r="AA3035" s="6"/>
      <c r="AB3035" s="6"/>
      <c r="AC3035" s="6"/>
      <c r="AD3035" s="6"/>
      <c r="AE3035" s="6"/>
      <c r="AF3035" s="6"/>
      <c r="AG3035" s="10"/>
    </row>
    <row r="3036" spans="1:33">
      <c r="A3036" s="6"/>
      <c r="B3036" s="6"/>
      <c r="C3036" s="6"/>
      <c r="D3036" s="6"/>
      <c r="E3036" s="6"/>
      <c r="F3036" s="6"/>
      <c r="G3036" s="6"/>
      <c r="H3036" s="6"/>
      <c r="I3036" s="6"/>
      <c r="J3036" s="6"/>
      <c r="K3036" s="6"/>
      <c r="L3036" s="6"/>
      <c r="M3036" s="6"/>
      <c r="N3036" s="6"/>
      <c r="O3036" s="6"/>
      <c r="P3036" s="6"/>
      <c r="Q3036" s="6"/>
      <c r="R3036" s="6"/>
      <c r="S3036" s="6"/>
      <c r="T3036" s="6"/>
      <c r="U3036" s="6"/>
      <c r="V3036" s="6"/>
      <c r="W3036" s="6"/>
      <c r="X3036" s="6"/>
      <c r="Y3036" s="6"/>
      <c r="Z3036" s="6"/>
      <c r="AA3036" s="6"/>
      <c r="AB3036" s="6"/>
      <c r="AC3036" s="6"/>
      <c r="AD3036" s="6"/>
      <c r="AE3036" s="6"/>
      <c r="AF3036" s="6"/>
      <c r="AG3036" s="10"/>
    </row>
    <row r="3037" spans="1:33">
      <c r="A3037" s="6"/>
      <c r="B3037" s="6"/>
      <c r="C3037" s="6"/>
      <c r="D3037" s="6"/>
      <c r="E3037" s="6"/>
      <c r="F3037" s="6"/>
      <c r="G3037" s="6"/>
      <c r="H3037" s="6"/>
      <c r="I3037" s="6"/>
      <c r="J3037" s="6"/>
      <c r="K3037" s="6"/>
      <c r="L3037" s="6"/>
      <c r="M3037" s="6"/>
      <c r="N3037" s="6"/>
      <c r="O3037" s="6"/>
      <c r="P3037" s="6"/>
      <c r="Q3037" s="6"/>
      <c r="R3037" s="6"/>
      <c r="S3037" s="6"/>
      <c r="T3037" s="6"/>
      <c r="U3037" s="6"/>
      <c r="V3037" s="6"/>
      <c r="W3037" s="6"/>
      <c r="X3037" s="6"/>
      <c r="Y3037" s="6"/>
      <c r="Z3037" s="6"/>
      <c r="AA3037" s="6"/>
      <c r="AB3037" s="6"/>
      <c r="AC3037" s="6"/>
      <c r="AD3037" s="6"/>
      <c r="AE3037" s="6"/>
      <c r="AF3037" s="6"/>
      <c r="AG3037" s="10"/>
    </row>
    <row r="3038" spans="1:33">
      <c r="A3038" s="6"/>
      <c r="B3038" s="6"/>
      <c r="C3038" s="6"/>
      <c r="D3038" s="6"/>
      <c r="E3038" s="6"/>
      <c r="F3038" s="6"/>
      <c r="G3038" s="6"/>
      <c r="H3038" s="6"/>
      <c r="I3038" s="6"/>
      <c r="J3038" s="6"/>
      <c r="K3038" s="6"/>
      <c r="L3038" s="6"/>
      <c r="M3038" s="6"/>
      <c r="N3038" s="6"/>
      <c r="O3038" s="6"/>
      <c r="P3038" s="6"/>
      <c r="Q3038" s="6"/>
      <c r="R3038" s="6"/>
      <c r="S3038" s="6"/>
      <c r="T3038" s="6"/>
      <c r="U3038" s="6"/>
      <c r="V3038" s="6"/>
      <c r="W3038" s="6"/>
      <c r="X3038" s="6"/>
      <c r="Y3038" s="6"/>
      <c r="Z3038" s="6"/>
      <c r="AA3038" s="6"/>
      <c r="AB3038" s="6"/>
      <c r="AC3038" s="6"/>
      <c r="AD3038" s="6"/>
      <c r="AE3038" s="6"/>
      <c r="AF3038" s="6"/>
      <c r="AG3038" s="10"/>
    </row>
    <row r="3039" spans="1:33">
      <c r="A3039" s="6"/>
      <c r="B3039" s="6"/>
      <c r="C3039" s="6"/>
      <c r="D3039" s="6"/>
      <c r="E3039" s="6"/>
      <c r="F3039" s="6"/>
      <c r="G3039" s="6"/>
      <c r="H3039" s="6"/>
      <c r="I3039" s="6"/>
      <c r="J3039" s="6"/>
      <c r="K3039" s="6"/>
      <c r="L3039" s="6"/>
      <c r="M3039" s="6"/>
      <c r="N3039" s="6"/>
      <c r="O3039" s="6"/>
      <c r="P3039" s="6"/>
      <c r="Q3039" s="6"/>
      <c r="R3039" s="6"/>
      <c r="S3039" s="6"/>
      <c r="T3039" s="6"/>
      <c r="U3039" s="6"/>
      <c r="V3039" s="6"/>
      <c r="W3039" s="6"/>
      <c r="X3039" s="6"/>
      <c r="Y3039" s="6"/>
      <c r="Z3039" s="6"/>
      <c r="AA3039" s="6"/>
      <c r="AB3039" s="6"/>
      <c r="AC3039" s="6"/>
      <c r="AD3039" s="6"/>
      <c r="AE3039" s="6"/>
      <c r="AF3039" s="6"/>
      <c r="AG3039" s="10"/>
    </row>
    <row r="3040" spans="1:33">
      <c r="A3040" s="6"/>
      <c r="B3040" s="6"/>
      <c r="C3040" s="6"/>
      <c r="D3040" s="6"/>
      <c r="E3040" s="6"/>
      <c r="F3040" s="6"/>
      <c r="G3040" s="6"/>
      <c r="H3040" s="6"/>
      <c r="I3040" s="6"/>
      <c r="J3040" s="6"/>
      <c r="K3040" s="6"/>
      <c r="L3040" s="6"/>
      <c r="M3040" s="6"/>
      <c r="N3040" s="6"/>
      <c r="O3040" s="6"/>
      <c r="P3040" s="6"/>
      <c r="Q3040" s="6"/>
      <c r="R3040" s="6"/>
      <c r="S3040" s="6"/>
      <c r="T3040" s="6"/>
      <c r="U3040" s="6"/>
      <c r="V3040" s="6"/>
      <c r="W3040" s="6"/>
      <c r="X3040" s="6"/>
      <c r="Y3040" s="6"/>
      <c r="Z3040" s="6"/>
      <c r="AA3040" s="6"/>
      <c r="AB3040" s="6"/>
      <c r="AC3040" s="6"/>
      <c r="AD3040" s="6"/>
      <c r="AE3040" s="6"/>
      <c r="AF3040" s="6"/>
      <c r="AG3040" s="10"/>
    </row>
    <row r="3041" spans="1:33">
      <c r="A3041" s="6"/>
      <c r="B3041" s="6"/>
      <c r="C3041" s="6"/>
      <c r="D3041" s="6"/>
      <c r="E3041" s="6"/>
      <c r="F3041" s="6"/>
      <c r="G3041" s="6"/>
      <c r="H3041" s="6"/>
      <c r="I3041" s="6"/>
      <c r="J3041" s="6"/>
      <c r="K3041" s="6"/>
      <c r="L3041" s="6"/>
      <c r="M3041" s="6"/>
      <c r="N3041" s="6"/>
      <c r="O3041" s="6"/>
      <c r="P3041" s="6"/>
      <c r="Q3041" s="6"/>
      <c r="R3041" s="6"/>
      <c r="S3041" s="6"/>
      <c r="T3041" s="6"/>
      <c r="U3041" s="6"/>
      <c r="V3041" s="6"/>
      <c r="W3041" s="6"/>
      <c r="X3041" s="6"/>
      <c r="Y3041" s="6"/>
      <c r="Z3041" s="6"/>
      <c r="AA3041" s="6"/>
      <c r="AB3041" s="6"/>
      <c r="AC3041" s="6"/>
      <c r="AD3041" s="6"/>
      <c r="AE3041" s="6"/>
      <c r="AF3041" s="6"/>
      <c r="AG3041" s="10"/>
    </row>
    <row r="3042" spans="1:33">
      <c r="A3042" s="6"/>
      <c r="B3042" s="6"/>
      <c r="C3042" s="6"/>
      <c r="D3042" s="6"/>
      <c r="E3042" s="6"/>
      <c r="F3042" s="6"/>
      <c r="G3042" s="6"/>
      <c r="H3042" s="6"/>
      <c r="I3042" s="6"/>
      <c r="J3042" s="6"/>
      <c r="K3042" s="6"/>
      <c r="L3042" s="6"/>
      <c r="M3042" s="6"/>
      <c r="N3042" s="6"/>
      <c r="O3042" s="6"/>
      <c r="P3042" s="6"/>
      <c r="Q3042" s="6"/>
      <c r="R3042" s="6"/>
      <c r="S3042" s="6"/>
      <c r="T3042" s="6"/>
      <c r="U3042" s="6"/>
      <c r="V3042" s="6"/>
      <c r="W3042" s="6"/>
      <c r="X3042" s="6"/>
      <c r="Y3042" s="6"/>
      <c r="Z3042" s="6"/>
      <c r="AA3042" s="6"/>
      <c r="AB3042" s="6"/>
      <c r="AC3042" s="6"/>
      <c r="AD3042" s="6"/>
      <c r="AE3042" s="6"/>
      <c r="AF3042" s="6"/>
      <c r="AG3042" s="10"/>
    </row>
    <row r="3043" spans="1:33">
      <c r="A3043" s="6"/>
      <c r="B3043" s="6"/>
      <c r="C3043" s="6"/>
      <c r="D3043" s="6"/>
      <c r="E3043" s="6"/>
      <c r="F3043" s="6"/>
      <c r="G3043" s="6"/>
      <c r="H3043" s="6"/>
      <c r="I3043" s="6"/>
      <c r="J3043" s="6"/>
      <c r="K3043" s="6"/>
      <c r="L3043" s="6"/>
      <c r="M3043" s="6"/>
      <c r="N3043" s="6"/>
      <c r="O3043" s="6"/>
      <c r="P3043" s="6"/>
      <c r="Q3043" s="6"/>
      <c r="R3043" s="6"/>
      <c r="S3043" s="6"/>
      <c r="T3043" s="6"/>
      <c r="U3043" s="6"/>
      <c r="V3043" s="6"/>
      <c r="W3043" s="6"/>
      <c r="X3043" s="6"/>
      <c r="Y3043" s="6"/>
      <c r="Z3043" s="6"/>
      <c r="AA3043" s="6"/>
      <c r="AB3043" s="6"/>
      <c r="AC3043" s="6"/>
      <c r="AD3043" s="6"/>
      <c r="AE3043" s="6"/>
      <c r="AF3043" s="6"/>
      <c r="AG3043" s="10"/>
    </row>
    <row r="3044" spans="1:33">
      <c r="A3044" s="6"/>
      <c r="B3044" s="6"/>
      <c r="C3044" s="6"/>
      <c r="D3044" s="6"/>
      <c r="E3044" s="6"/>
      <c r="F3044" s="6"/>
      <c r="G3044" s="6"/>
      <c r="H3044" s="6"/>
      <c r="I3044" s="6"/>
      <c r="J3044" s="6"/>
      <c r="K3044" s="6"/>
      <c r="L3044" s="6"/>
      <c r="M3044" s="6"/>
      <c r="N3044" s="6"/>
      <c r="O3044" s="6"/>
      <c r="P3044" s="6"/>
      <c r="Q3044" s="6"/>
      <c r="R3044" s="6"/>
      <c r="S3044" s="6"/>
      <c r="T3044" s="6"/>
      <c r="U3044" s="6"/>
      <c r="V3044" s="6"/>
      <c r="W3044" s="6"/>
      <c r="X3044" s="6"/>
      <c r="Y3044" s="6"/>
      <c r="Z3044" s="6"/>
      <c r="AA3044" s="6"/>
      <c r="AB3044" s="6"/>
      <c r="AC3044" s="6"/>
      <c r="AD3044" s="6"/>
      <c r="AE3044" s="6"/>
      <c r="AF3044" s="6"/>
      <c r="AG3044" s="10"/>
    </row>
    <row r="3045" spans="1:33">
      <c r="A3045" s="6"/>
      <c r="B3045" s="6"/>
      <c r="C3045" s="6"/>
      <c r="D3045" s="6"/>
      <c r="E3045" s="6"/>
      <c r="F3045" s="6"/>
      <c r="G3045" s="6"/>
      <c r="H3045" s="6"/>
      <c r="I3045" s="6"/>
      <c r="J3045" s="6"/>
      <c r="K3045" s="6"/>
      <c r="L3045" s="6"/>
      <c r="M3045" s="6"/>
      <c r="N3045" s="6"/>
      <c r="O3045" s="6"/>
      <c r="P3045" s="6"/>
      <c r="Q3045" s="6"/>
      <c r="R3045" s="6"/>
      <c r="S3045" s="6"/>
      <c r="T3045" s="6"/>
      <c r="U3045" s="6"/>
      <c r="V3045" s="6"/>
      <c r="W3045" s="6"/>
      <c r="X3045" s="6"/>
      <c r="Y3045" s="6"/>
      <c r="Z3045" s="6"/>
      <c r="AA3045" s="6"/>
      <c r="AB3045" s="6"/>
      <c r="AC3045" s="6"/>
      <c r="AD3045" s="6"/>
      <c r="AE3045" s="6"/>
      <c r="AF3045" s="6"/>
      <c r="AG3045" s="10"/>
    </row>
    <row r="3046" spans="1:33">
      <c r="A3046" s="6"/>
      <c r="B3046" s="6"/>
      <c r="C3046" s="6"/>
      <c r="D3046" s="6"/>
      <c r="E3046" s="6"/>
      <c r="F3046" s="6"/>
      <c r="G3046" s="6"/>
      <c r="H3046" s="6"/>
      <c r="I3046" s="6"/>
      <c r="J3046" s="6"/>
      <c r="K3046" s="6"/>
      <c r="L3046" s="6"/>
      <c r="M3046" s="6"/>
      <c r="N3046" s="6"/>
      <c r="O3046" s="6"/>
      <c r="P3046" s="6"/>
      <c r="Q3046" s="6"/>
      <c r="R3046" s="6"/>
      <c r="S3046" s="6"/>
      <c r="T3046" s="6"/>
      <c r="U3046" s="6"/>
      <c r="V3046" s="6"/>
      <c r="W3046" s="6"/>
      <c r="X3046" s="6"/>
      <c r="Y3046" s="6"/>
      <c r="Z3046" s="6"/>
      <c r="AA3046" s="6"/>
      <c r="AB3046" s="6"/>
      <c r="AC3046" s="6"/>
      <c r="AD3046" s="6"/>
      <c r="AE3046" s="6"/>
      <c r="AF3046" s="6"/>
      <c r="AG3046" s="10"/>
    </row>
    <row r="3047" spans="1:33">
      <c r="A3047" s="6"/>
      <c r="B3047" s="6"/>
      <c r="C3047" s="6"/>
      <c r="D3047" s="6"/>
      <c r="E3047" s="6"/>
      <c r="F3047" s="6"/>
      <c r="G3047" s="6"/>
      <c r="H3047" s="6"/>
      <c r="I3047" s="6"/>
      <c r="J3047" s="6"/>
      <c r="K3047" s="6"/>
      <c r="L3047" s="6"/>
      <c r="M3047" s="6"/>
      <c r="N3047" s="6"/>
      <c r="O3047" s="6"/>
      <c r="P3047" s="6"/>
      <c r="Q3047" s="6"/>
      <c r="R3047" s="6"/>
      <c r="S3047" s="6"/>
      <c r="T3047" s="6"/>
      <c r="U3047" s="6"/>
      <c r="V3047" s="6"/>
      <c r="W3047" s="6"/>
      <c r="X3047" s="6"/>
      <c r="Y3047" s="6"/>
      <c r="Z3047" s="6"/>
      <c r="AA3047" s="6"/>
      <c r="AB3047" s="6"/>
      <c r="AC3047" s="6"/>
      <c r="AD3047" s="6"/>
      <c r="AE3047" s="6"/>
      <c r="AF3047" s="6"/>
      <c r="AG3047" s="10"/>
    </row>
    <row r="3048" spans="1:33">
      <c r="A3048" s="6"/>
      <c r="B3048" s="6"/>
      <c r="C3048" s="6"/>
      <c r="D3048" s="6"/>
      <c r="E3048" s="6"/>
      <c r="F3048" s="6"/>
      <c r="G3048" s="6"/>
      <c r="H3048" s="6"/>
      <c r="I3048" s="6"/>
      <c r="J3048" s="6"/>
      <c r="K3048" s="6"/>
      <c r="L3048" s="6"/>
      <c r="M3048" s="6"/>
      <c r="N3048" s="6"/>
      <c r="O3048" s="6"/>
      <c r="P3048" s="6"/>
      <c r="Q3048" s="6"/>
      <c r="R3048" s="6"/>
      <c r="S3048" s="6"/>
      <c r="T3048" s="6"/>
      <c r="U3048" s="6"/>
      <c r="V3048" s="6"/>
      <c r="W3048" s="6"/>
      <c r="X3048" s="6"/>
      <c r="Y3048" s="6"/>
      <c r="Z3048" s="6"/>
      <c r="AA3048" s="6"/>
      <c r="AB3048" s="6"/>
      <c r="AC3048" s="6"/>
      <c r="AD3048" s="6"/>
      <c r="AE3048" s="6"/>
      <c r="AF3048" s="6"/>
      <c r="AG3048" s="10"/>
    </row>
    <row r="3049" spans="1:33">
      <c r="A3049" s="6"/>
      <c r="B3049" s="6"/>
      <c r="C3049" s="6"/>
      <c r="D3049" s="6"/>
      <c r="E3049" s="6"/>
      <c r="F3049" s="6"/>
      <c r="G3049" s="6"/>
      <c r="H3049" s="6"/>
      <c r="I3049" s="6"/>
      <c r="J3049" s="6"/>
      <c r="K3049" s="6"/>
      <c r="L3049" s="6"/>
      <c r="M3049" s="6"/>
      <c r="N3049" s="6"/>
      <c r="O3049" s="6"/>
      <c r="P3049" s="6"/>
      <c r="Q3049" s="6"/>
      <c r="R3049" s="6"/>
      <c r="S3049" s="6"/>
      <c r="T3049" s="6"/>
      <c r="U3049" s="6"/>
      <c r="V3049" s="6"/>
      <c r="W3049" s="6"/>
      <c r="X3049" s="6"/>
      <c r="Y3049" s="6"/>
      <c r="Z3049" s="6"/>
      <c r="AA3049" s="6"/>
      <c r="AB3049" s="6"/>
      <c r="AC3049" s="6"/>
      <c r="AD3049" s="6"/>
      <c r="AE3049" s="6"/>
      <c r="AF3049" s="6"/>
      <c r="AG3049" s="10"/>
    </row>
    <row r="3050" spans="1:33">
      <c r="A3050" s="6"/>
      <c r="B3050" s="6"/>
      <c r="C3050" s="6"/>
      <c r="D3050" s="6"/>
      <c r="E3050" s="6"/>
      <c r="F3050" s="6"/>
      <c r="G3050" s="6"/>
      <c r="H3050" s="6"/>
      <c r="I3050" s="6"/>
      <c r="J3050" s="6"/>
      <c r="K3050" s="6"/>
      <c r="L3050" s="6"/>
      <c r="M3050" s="6"/>
      <c r="N3050" s="6"/>
      <c r="O3050" s="6"/>
      <c r="P3050" s="6"/>
      <c r="Q3050" s="6"/>
      <c r="R3050" s="6"/>
      <c r="S3050" s="6"/>
      <c r="T3050" s="6"/>
      <c r="U3050" s="6"/>
      <c r="V3050" s="6"/>
      <c r="W3050" s="6"/>
      <c r="X3050" s="6"/>
      <c r="Y3050" s="6"/>
      <c r="Z3050" s="6"/>
      <c r="AA3050" s="6"/>
      <c r="AB3050" s="6"/>
      <c r="AC3050" s="6"/>
      <c r="AD3050" s="6"/>
      <c r="AE3050" s="6"/>
      <c r="AF3050" s="6"/>
      <c r="AG3050" s="10"/>
    </row>
    <row r="3051" spans="1:33">
      <c r="A3051" s="6"/>
      <c r="B3051" s="6"/>
      <c r="C3051" s="6"/>
      <c r="D3051" s="6"/>
      <c r="E3051" s="6"/>
      <c r="F3051" s="6"/>
      <c r="G3051" s="6"/>
      <c r="H3051" s="6"/>
      <c r="I3051" s="6"/>
      <c r="J3051" s="6"/>
      <c r="K3051" s="6"/>
      <c r="L3051" s="6"/>
      <c r="M3051" s="6"/>
      <c r="N3051" s="6"/>
      <c r="O3051" s="6"/>
      <c r="P3051" s="6"/>
      <c r="Q3051" s="6"/>
      <c r="R3051" s="6"/>
      <c r="S3051" s="6"/>
      <c r="T3051" s="6"/>
      <c r="U3051" s="6"/>
      <c r="V3051" s="6"/>
      <c r="W3051" s="6"/>
      <c r="X3051" s="6"/>
      <c r="Y3051" s="6"/>
      <c r="Z3051" s="6"/>
      <c r="AA3051" s="6"/>
      <c r="AB3051" s="6"/>
      <c r="AC3051" s="6"/>
      <c r="AD3051" s="6"/>
      <c r="AE3051" s="6"/>
      <c r="AF3051" s="6"/>
      <c r="AG3051" s="10"/>
    </row>
    <row r="3052" spans="1:33">
      <c r="A3052" s="6"/>
      <c r="B3052" s="6"/>
      <c r="C3052" s="6"/>
      <c r="D3052" s="6"/>
      <c r="E3052" s="6"/>
      <c r="F3052" s="6"/>
      <c r="G3052" s="6"/>
      <c r="H3052" s="6"/>
      <c r="I3052" s="6"/>
      <c r="J3052" s="6"/>
      <c r="K3052" s="6"/>
      <c r="L3052" s="6"/>
      <c r="M3052" s="6"/>
      <c r="N3052" s="6"/>
      <c r="O3052" s="6"/>
      <c r="P3052" s="6"/>
      <c r="Q3052" s="6"/>
      <c r="R3052" s="6"/>
      <c r="S3052" s="6"/>
      <c r="T3052" s="6"/>
      <c r="U3052" s="6"/>
      <c r="V3052" s="6"/>
      <c r="W3052" s="6"/>
      <c r="X3052" s="6"/>
      <c r="Y3052" s="6"/>
      <c r="Z3052" s="6"/>
      <c r="AA3052" s="6"/>
      <c r="AB3052" s="6"/>
      <c r="AC3052" s="6"/>
      <c r="AD3052" s="6"/>
      <c r="AE3052" s="6"/>
      <c r="AF3052" s="6"/>
      <c r="AG3052" s="10"/>
    </row>
    <row r="3053" spans="1:33">
      <c r="A3053" s="6"/>
      <c r="B3053" s="6"/>
      <c r="C3053" s="6"/>
      <c r="D3053" s="6"/>
      <c r="E3053" s="6"/>
      <c r="F3053" s="6"/>
      <c r="G3053" s="6"/>
      <c r="H3053" s="6"/>
      <c r="I3053" s="6"/>
      <c r="J3053" s="6"/>
      <c r="K3053" s="6"/>
      <c r="L3053" s="6"/>
      <c r="M3053" s="6"/>
      <c r="N3053" s="6"/>
      <c r="O3053" s="6"/>
      <c r="P3053" s="6"/>
      <c r="Q3053" s="6"/>
      <c r="R3053" s="6"/>
      <c r="S3053" s="6"/>
      <c r="T3053" s="6"/>
      <c r="U3053" s="6"/>
      <c r="V3053" s="6"/>
      <c r="W3053" s="6"/>
      <c r="X3053" s="6"/>
      <c r="Y3053" s="6"/>
      <c r="Z3053" s="6"/>
      <c r="AA3053" s="6"/>
      <c r="AB3053" s="6"/>
      <c r="AC3053" s="6"/>
      <c r="AD3053" s="6"/>
      <c r="AE3053" s="6"/>
      <c r="AF3053" s="6"/>
      <c r="AG3053" s="10"/>
    </row>
    <row r="3054" spans="1:33">
      <c r="A3054" s="6"/>
      <c r="B3054" s="6"/>
      <c r="C3054" s="6"/>
      <c r="D3054" s="6"/>
      <c r="E3054" s="6"/>
      <c r="F3054" s="6"/>
      <c r="G3054" s="6"/>
      <c r="H3054" s="6"/>
      <c r="I3054" s="6"/>
      <c r="J3054" s="6"/>
      <c r="K3054" s="6"/>
      <c r="L3054" s="6"/>
      <c r="M3054" s="6"/>
      <c r="N3054" s="6"/>
      <c r="O3054" s="6"/>
      <c r="P3054" s="6"/>
      <c r="Q3054" s="6"/>
      <c r="R3054" s="6"/>
      <c r="S3054" s="6"/>
      <c r="T3054" s="6"/>
      <c r="U3054" s="6"/>
      <c r="V3054" s="6"/>
      <c r="W3054" s="6"/>
      <c r="X3054" s="6"/>
      <c r="Y3054" s="6"/>
      <c r="Z3054" s="6"/>
      <c r="AA3054" s="6"/>
      <c r="AB3054" s="6"/>
      <c r="AC3054" s="6"/>
      <c r="AD3054" s="6"/>
      <c r="AE3054" s="6"/>
      <c r="AF3054" s="6"/>
      <c r="AG3054" s="10"/>
    </row>
    <row r="3055" spans="1:33">
      <c r="A3055" s="6"/>
      <c r="B3055" s="6"/>
      <c r="C3055" s="6"/>
      <c r="D3055" s="6"/>
      <c r="E3055" s="6"/>
      <c r="F3055" s="6"/>
      <c r="G3055" s="6"/>
      <c r="H3055" s="6"/>
      <c r="I3055" s="6"/>
      <c r="J3055" s="6"/>
      <c r="K3055" s="6"/>
      <c r="L3055" s="6"/>
      <c r="M3055" s="6"/>
      <c r="N3055" s="6"/>
      <c r="O3055" s="6"/>
      <c r="P3055" s="6"/>
      <c r="Q3055" s="6"/>
      <c r="R3055" s="6"/>
      <c r="S3055" s="6"/>
      <c r="T3055" s="6"/>
      <c r="U3055" s="6"/>
      <c r="V3055" s="6"/>
      <c r="W3055" s="6"/>
      <c r="X3055" s="6"/>
      <c r="Y3055" s="6"/>
      <c r="Z3055" s="6"/>
      <c r="AA3055" s="6"/>
      <c r="AB3055" s="6"/>
      <c r="AC3055" s="6"/>
      <c r="AD3055" s="6"/>
      <c r="AE3055" s="6"/>
      <c r="AF3055" s="6"/>
      <c r="AG3055" s="10"/>
    </row>
    <row r="3056" spans="1:33">
      <c r="A3056" s="6"/>
      <c r="B3056" s="6"/>
      <c r="C3056" s="6"/>
      <c r="D3056" s="6"/>
      <c r="E3056" s="6"/>
      <c r="F3056" s="6"/>
      <c r="G3056" s="6"/>
      <c r="H3056" s="6"/>
      <c r="I3056" s="6"/>
      <c r="J3056" s="6"/>
      <c r="K3056" s="6"/>
      <c r="L3056" s="6"/>
      <c r="M3056" s="6"/>
      <c r="N3056" s="6"/>
      <c r="O3056" s="6"/>
      <c r="P3056" s="6"/>
      <c r="Q3056" s="6"/>
      <c r="R3056" s="6"/>
      <c r="S3056" s="6"/>
      <c r="T3056" s="6"/>
      <c r="U3056" s="6"/>
      <c r="V3056" s="6"/>
      <c r="W3056" s="6"/>
      <c r="X3056" s="6"/>
      <c r="Y3056" s="6"/>
      <c r="Z3056" s="6"/>
      <c r="AA3056" s="6"/>
      <c r="AB3056" s="6"/>
      <c r="AC3056" s="6"/>
      <c r="AD3056" s="6"/>
      <c r="AE3056" s="6"/>
      <c r="AF3056" s="6"/>
      <c r="AG3056" s="10"/>
    </row>
    <row r="3057" spans="1:33">
      <c r="A3057" s="6"/>
      <c r="B3057" s="6"/>
      <c r="C3057" s="6"/>
      <c r="D3057" s="6"/>
      <c r="E3057" s="6"/>
      <c r="F3057" s="6"/>
      <c r="G3057" s="6"/>
      <c r="H3057" s="6"/>
      <c r="I3057" s="6"/>
      <c r="J3057" s="6"/>
      <c r="K3057" s="6"/>
      <c r="L3057" s="6"/>
      <c r="M3057" s="6"/>
      <c r="N3057" s="6"/>
      <c r="O3057" s="6"/>
      <c r="P3057" s="6"/>
      <c r="Q3057" s="6"/>
      <c r="R3057" s="6"/>
      <c r="S3057" s="6"/>
      <c r="T3057" s="6"/>
      <c r="U3057" s="6"/>
      <c r="V3057" s="6"/>
      <c r="W3057" s="6"/>
      <c r="X3057" s="6"/>
      <c r="Y3057" s="6"/>
      <c r="Z3057" s="6"/>
      <c r="AA3057" s="6"/>
      <c r="AB3057" s="6"/>
      <c r="AC3057" s="6"/>
      <c r="AD3057" s="6"/>
      <c r="AE3057" s="6"/>
      <c r="AF3057" s="6"/>
      <c r="AG3057" s="10"/>
    </row>
    <row r="3058" spans="1:33">
      <c r="A3058" s="6"/>
      <c r="B3058" s="6"/>
      <c r="C3058" s="6"/>
      <c r="D3058" s="6"/>
      <c r="E3058" s="6"/>
      <c r="F3058" s="6"/>
      <c r="G3058" s="6"/>
      <c r="H3058" s="6"/>
      <c r="I3058" s="6"/>
      <c r="J3058" s="6"/>
      <c r="K3058" s="6"/>
      <c r="L3058" s="6"/>
      <c r="M3058" s="6"/>
      <c r="N3058" s="6"/>
      <c r="O3058" s="6"/>
      <c r="P3058" s="6"/>
      <c r="Q3058" s="6"/>
      <c r="R3058" s="6"/>
      <c r="S3058" s="6"/>
      <c r="T3058" s="6"/>
      <c r="U3058" s="6"/>
      <c r="V3058" s="6"/>
      <c r="W3058" s="6"/>
      <c r="X3058" s="6"/>
      <c r="Y3058" s="6"/>
      <c r="Z3058" s="6"/>
      <c r="AA3058" s="6"/>
      <c r="AB3058" s="6"/>
      <c r="AC3058" s="6"/>
      <c r="AD3058" s="6"/>
      <c r="AE3058" s="6"/>
      <c r="AF3058" s="6"/>
      <c r="AG3058" s="10"/>
    </row>
    <row r="3059" spans="1:33">
      <c r="A3059" s="6"/>
      <c r="B3059" s="6"/>
      <c r="C3059" s="6"/>
      <c r="D3059" s="6"/>
      <c r="E3059" s="6"/>
      <c r="F3059" s="6"/>
      <c r="G3059" s="6"/>
      <c r="H3059" s="6"/>
      <c r="I3059" s="6"/>
      <c r="J3059" s="6"/>
      <c r="K3059" s="6"/>
      <c r="L3059" s="6"/>
      <c r="M3059" s="6"/>
      <c r="N3059" s="6"/>
      <c r="O3059" s="6"/>
      <c r="P3059" s="6"/>
      <c r="Q3059" s="6"/>
      <c r="R3059" s="6"/>
      <c r="S3059" s="6"/>
      <c r="T3059" s="6"/>
      <c r="U3059" s="6"/>
      <c r="V3059" s="6"/>
      <c r="W3059" s="6"/>
      <c r="X3059" s="6"/>
      <c r="Y3059" s="6"/>
      <c r="Z3059" s="6"/>
      <c r="AA3059" s="6"/>
      <c r="AB3059" s="6"/>
      <c r="AC3059" s="6"/>
      <c r="AD3059" s="6"/>
      <c r="AE3059" s="6"/>
      <c r="AF3059" s="6"/>
      <c r="AG3059" s="10"/>
    </row>
    <row r="3060" spans="1:33">
      <c r="A3060" s="6"/>
      <c r="B3060" s="6"/>
      <c r="C3060" s="6"/>
      <c r="D3060" s="6"/>
      <c r="E3060" s="6"/>
      <c r="F3060" s="6"/>
      <c r="G3060" s="6"/>
      <c r="H3060" s="6"/>
      <c r="I3060" s="6"/>
      <c r="J3060" s="6"/>
      <c r="K3060" s="6"/>
      <c r="L3060" s="6"/>
      <c r="M3060" s="6"/>
      <c r="N3060" s="6"/>
      <c r="O3060" s="6"/>
      <c r="P3060" s="6"/>
      <c r="Q3060" s="6"/>
      <c r="R3060" s="6"/>
      <c r="S3060" s="6"/>
      <c r="T3060" s="6"/>
      <c r="U3060" s="6"/>
      <c r="V3060" s="6"/>
      <c r="W3060" s="6"/>
      <c r="X3060" s="6"/>
      <c r="Y3060" s="6"/>
      <c r="Z3060" s="6"/>
      <c r="AA3060" s="6"/>
      <c r="AB3060" s="6"/>
      <c r="AC3060" s="6"/>
      <c r="AD3060" s="6"/>
      <c r="AE3060" s="6"/>
      <c r="AF3060" s="6"/>
      <c r="AG3060" s="10"/>
    </row>
    <row r="3061" spans="1:33">
      <c r="A3061" s="6"/>
      <c r="B3061" s="6"/>
      <c r="C3061" s="6"/>
      <c r="D3061" s="6"/>
      <c r="E3061" s="6"/>
      <c r="F3061" s="6"/>
      <c r="G3061" s="6"/>
      <c r="H3061" s="6"/>
      <c r="I3061" s="6"/>
      <c r="J3061" s="6"/>
      <c r="K3061" s="6"/>
      <c r="L3061" s="6"/>
      <c r="M3061" s="6"/>
      <c r="N3061" s="6"/>
      <c r="O3061" s="6"/>
      <c r="P3061" s="6"/>
      <c r="Q3061" s="6"/>
      <c r="R3061" s="6"/>
      <c r="S3061" s="6"/>
      <c r="T3061" s="6"/>
      <c r="U3061" s="6"/>
      <c r="V3061" s="6"/>
      <c r="W3061" s="6"/>
      <c r="X3061" s="6"/>
      <c r="Y3061" s="6"/>
      <c r="Z3061" s="6"/>
      <c r="AA3061" s="6"/>
      <c r="AB3061" s="6"/>
      <c r="AC3061" s="6"/>
      <c r="AD3061" s="6"/>
      <c r="AE3061" s="6"/>
      <c r="AF3061" s="6"/>
      <c r="AG3061" s="10"/>
    </row>
    <row r="3062" spans="1:33">
      <c r="A3062" s="6"/>
      <c r="B3062" s="6"/>
      <c r="C3062" s="6"/>
      <c r="D3062" s="6"/>
      <c r="E3062" s="6"/>
      <c r="F3062" s="6"/>
      <c r="G3062" s="6"/>
      <c r="H3062" s="6"/>
      <c r="I3062" s="6"/>
      <c r="J3062" s="6"/>
      <c r="K3062" s="6"/>
      <c r="L3062" s="6"/>
      <c r="M3062" s="6"/>
      <c r="N3062" s="6"/>
      <c r="O3062" s="6"/>
      <c r="P3062" s="6"/>
      <c r="Q3062" s="6"/>
      <c r="R3062" s="6"/>
      <c r="S3062" s="6"/>
      <c r="T3062" s="6"/>
      <c r="U3062" s="6"/>
      <c r="V3062" s="6"/>
      <c r="W3062" s="6"/>
      <c r="X3062" s="6"/>
      <c r="Y3062" s="6"/>
      <c r="Z3062" s="6"/>
      <c r="AA3062" s="6"/>
      <c r="AB3062" s="6"/>
      <c r="AC3062" s="6"/>
      <c r="AD3062" s="6"/>
      <c r="AE3062" s="6"/>
      <c r="AF3062" s="6"/>
      <c r="AG3062" s="10"/>
    </row>
    <row r="3063" spans="1:33">
      <c r="A3063" s="6"/>
      <c r="B3063" s="6"/>
      <c r="C3063" s="6"/>
      <c r="D3063" s="6"/>
      <c r="E3063" s="6"/>
      <c r="F3063" s="6"/>
      <c r="G3063" s="6"/>
      <c r="H3063" s="6"/>
      <c r="I3063" s="6"/>
      <c r="J3063" s="6"/>
      <c r="K3063" s="6"/>
      <c r="L3063" s="6"/>
      <c r="M3063" s="6"/>
      <c r="N3063" s="6"/>
      <c r="O3063" s="6"/>
      <c r="P3063" s="6"/>
      <c r="Q3063" s="6"/>
      <c r="R3063" s="6"/>
      <c r="S3063" s="6"/>
      <c r="T3063" s="6"/>
      <c r="U3063" s="6"/>
      <c r="V3063" s="6"/>
      <c r="W3063" s="6"/>
      <c r="X3063" s="6"/>
      <c r="Y3063" s="6"/>
      <c r="Z3063" s="6"/>
      <c r="AA3063" s="6"/>
      <c r="AB3063" s="6"/>
      <c r="AC3063" s="6"/>
      <c r="AD3063" s="6"/>
      <c r="AE3063" s="6"/>
      <c r="AF3063" s="6"/>
      <c r="AG3063" s="10"/>
    </row>
    <row r="3064" spans="1:33">
      <c r="A3064" s="6"/>
      <c r="B3064" s="6"/>
      <c r="C3064" s="6"/>
      <c r="D3064" s="6"/>
      <c r="E3064" s="6"/>
      <c r="F3064" s="6"/>
      <c r="G3064" s="6"/>
      <c r="H3064" s="6"/>
      <c r="I3064" s="6"/>
      <c r="J3064" s="6"/>
      <c r="K3064" s="6"/>
      <c r="L3064" s="6"/>
      <c r="M3064" s="6"/>
      <c r="N3064" s="6"/>
      <c r="O3064" s="6"/>
      <c r="P3064" s="6"/>
      <c r="Q3064" s="6"/>
      <c r="R3064" s="6"/>
      <c r="S3064" s="6"/>
      <c r="T3064" s="6"/>
      <c r="U3064" s="6"/>
      <c r="V3064" s="6"/>
      <c r="W3064" s="6"/>
      <c r="X3064" s="6"/>
      <c r="Y3064" s="6"/>
      <c r="Z3064" s="6"/>
      <c r="AA3064" s="6"/>
      <c r="AB3064" s="6"/>
      <c r="AC3064" s="6"/>
      <c r="AD3064" s="6"/>
      <c r="AE3064" s="6"/>
      <c r="AF3064" s="6"/>
      <c r="AG3064" s="10"/>
    </row>
    <row r="3065" spans="1:33">
      <c r="A3065" s="6"/>
      <c r="B3065" s="6"/>
      <c r="C3065" s="6"/>
      <c r="D3065" s="6"/>
      <c r="E3065" s="6"/>
      <c r="F3065" s="6"/>
      <c r="G3065" s="6"/>
      <c r="H3065" s="6"/>
      <c r="I3065" s="6"/>
      <c r="J3065" s="6"/>
      <c r="K3065" s="6"/>
      <c r="L3065" s="6"/>
      <c r="M3065" s="6"/>
      <c r="N3065" s="6"/>
      <c r="O3065" s="6"/>
      <c r="P3065" s="6"/>
      <c r="Q3065" s="6"/>
      <c r="R3065" s="6"/>
      <c r="S3065" s="6"/>
      <c r="T3065" s="6"/>
      <c r="U3065" s="6"/>
      <c r="V3065" s="6"/>
      <c r="W3065" s="6"/>
      <c r="X3065" s="6"/>
      <c r="Y3065" s="6"/>
      <c r="Z3065" s="6"/>
      <c r="AA3065" s="6"/>
      <c r="AB3065" s="6"/>
      <c r="AC3065" s="6"/>
      <c r="AD3065" s="6"/>
      <c r="AE3065" s="6"/>
      <c r="AF3065" s="6"/>
      <c r="AG3065" s="10"/>
    </row>
    <row r="3066" spans="1:33">
      <c r="A3066" s="6"/>
      <c r="B3066" s="6"/>
      <c r="C3066" s="6"/>
      <c r="D3066" s="6"/>
      <c r="E3066" s="6"/>
      <c r="F3066" s="6"/>
      <c r="G3066" s="6"/>
      <c r="H3066" s="6"/>
      <c r="I3066" s="6"/>
      <c r="J3066" s="6"/>
      <c r="K3066" s="6"/>
      <c r="L3066" s="6"/>
      <c r="M3066" s="6"/>
      <c r="N3066" s="6"/>
      <c r="O3066" s="6"/>
      <c r="P3066" s="6"/>
      <c r="Q3066" s="6"/>
      <c r="R3066" s="6"/>
      <c r="S3066" s="6"/>
      <c r="T3066" s="6"/>
      <c r="U3066" s="6"/>
      <c r="V3066" s="6"/>
      <c r="W3066" s="6"/>
      <c r="X3066" s="6"/>
      <c r="Y3066" s="6"/>
      <c r="Z3066" s="6"/>
      <c r="AA3066" s="6"/>
      <c r="AB3066" s="6"/>
      <c r="AC3066" s="6"/>
      <c r="AD3066" s="6"/>
      <c r="AE3066" s="6"/>
      <c r="AF3066" s="6"/>
      <c r="AG3066" s="10"/>
    </row>
    <row r="3067" spans="1:33">
      <c r="A3067" s="6"/>
      <c r="B3067" s="6"/>
      <c r="C3067" s="6"/>
      <c r="D3067" s="6"/>
      <c r="E3067" s="6"/>
      <c r="F3067" s="6"/>
      <c r="G3067" s="6"/>
      <c r="H3067" s="6"/>
      <c r="I3067" s="6"/>
      <c r="J3067" s="6"/>
      <c r="K3067" s="6"/>
      <c r="L3067" s="6"/>
      <c r="M3067" s="6"/>
      <c r="N3067" s="6"/>
      <c r="O3067" s="6"/>
      <c r="P3067" s="6"/>
      <c r="Q3067" s="6"/>
      <c r="R3067" s="6"/>
      <c r="S3067" s="6"/>
      <c r="T3067" s="6"/>
      <c r="U3067" s="6"/>
      <c r="V3067" s="6"/>
      <c r="W3067" s="6"/>
      <c r="X3067" s="6"/>
      <c r="Y3067" s="6"/>
      <c r="Z3067" s="6"/>
      <c r="AA3067" s="6"/>
      <c r="AB3067" s="6"/>
      <c r="AC3067" s="6"/>
      <c r="AD3067" s="6"/>
      <c r="AE3067" s="6"/>
      <c r="AF3067" s="6"/>
      <c r="AG3067" s="10"/>
    </row>
    <row r="3068" spans="1:33">
      <c r="A3068" s="6"/>
      <c r="B3068" s="6"/>
      <c r="C3068" s="6"/>
      <c r="D3068" s="6"/>
      <c r="E3068" s="6"/>
      <c r="F3068" s="6"/>
      <c r="G3068" s="6"/>
      <c r="H3068" s="6"/>
      <c r="I3068" s="6"/>
      <c r="J3068" s="6"/>
      <c r="K3068" s="6"/>
      <c r="L3068" s="6"/>
      <c r="M3068" s="6"/>
      <c r="N3068" s="6"/>
      <c r="O3068" s="6"/>
      <c r="P3068" s="6"/>
      <c r="Q3068" s="6"/>
      <c r="R3068" s="6"/>
      <c r="S3068" s="6"/>
      <c r="T3068" s="6"/>
      <c r="U3068" s="6"/>
      <c r="V3068" s="6"/>
      <c r="W3068" s="6"/>
      <c r="X3068" s="6"/>
      <c r="Y3068" s="6"/>
      <c r="Z3068" s="6"/>
      <c r="AA3068" s="6"/>
      <c r="AB3068" s="6"/>
      <c r="AC3068" s="6"/>
      <c r="AD3068" s="6"/>
      <c r="AE3068" s="6"/>
      <c r="AF3068" s="6"/>
      <c r="AG3068" s="10"/>
    </row>
    <row r="3069" spans="1:33">
      <c r="A3069" s="6"/>
      <c r="B3069" s="6"/>
      <c r="C3069" s="6"/>
      <c r="D3069" s="6"/>
      <c r="E3069" s="6"/>
      <c r="F3069" s="6"/>
      <c r="G3069" s="6"/>
      <c r="H3069" s="6"/>
      <c r="I3069" s="6"/>
      <c r="J3069" s="6"/>
      <c r="K3069" s="6"/>
      <c r="L3069" s="6"/>
      <c r="M3069" s="6"/>
      <c r="N3069" s="6"/>
      <c r="O3069" s="6"/>
      <c r="P3069" s="6"/>
      <c r="Q3069" s="6"/>
      <c r="R3069" s="6"/>
      <c r="S3069" s="6"/>
      <c r="T3069" s="6"/>
      <c r="U3069" s="6"/>
      <c r="V3069" s="6"/>
      <c r="W3069" s="6"/>
      <c r="X3069" s="6"/>
      <c r="Y3069" s="6"/>
      <c r="Z3069" s="6"/>
      <c r="AA3069" s="6"/>
      <c r="AB3069" s="6"/>
      <c r="AC3069" s="6"/>
      <c r="AD3069" s="6"/>
      <c r="AE3069" s="6"/>
      <c r="AF3069" s="6"/>
      <c r="AG3069" s="10"/>
    </row>
    <row r="3070" spans="1:33">
      <c r="A3070" s="6"/>
      <c r="B3070" s="6"/>
      <c r="C3070" s="6"/>
      <c r="D3070" s="6"/>
      <c r="E3070" s="6"/>
      <c r="F3070" s="6"/>
      <c r="G3070" s="6"/>
      <c r="H3070" s="6"/>
      <c r="I3070" s="6"/>
      <c r="J3070" s="6"/>
      <c r="K3070" s="6"/>
      <c r="L3070" s="6"/>
      <c r="M3070" s="6"/>
      <c r="N3070" s="6"/>
      <c r="O3070" s="6"/>
      <c r="P3070" s="6"/>
      <c r="Q3070" s="6"/>
      <c r="R3070" s="6"/>
      <c r="S3070" s="6"/>
      <c r="T3070" s="6"/>
      <c r="U3070" s="6"/>
      <c r="V3070" s="6"/>
      <c r="W3070" s="6"/>
      <c r="X3070" s="6"/>
      <c r="Y3070" s="6"/>
      <c r="Z3070" s="6"/>
      <c r="AA3070" s="6"/>
      <c r="AB3070" s="6"/>
      <c r="AC3070" s="6"/>
      <c r="AD3070" s="6"/>
      <c r="AE3070" s="6"/>
      <c r="AF3070" s="6"/>
      <c r="AG3070" s="10"/>
    </row>
    <row r="3071" spans="1:33">
      <c r="A3071" s="6"/>
      <c r="B3071" s="6"/>
      <c r="C3071" s="6"/>
      <c r="D3071" s="6"/>
      <c r="E3071" s="6"/>
      <c r="F3071" s="6"/>
      <c r="G3071" s="6"/>
      <c r="H3071" s="6"/>
      <c r="I3071" s="6"/>
      <c r="J3071" s="6"/>
      <c r="K3071" s="6"/>
      <c r="L3071" s="6"/>
      <c r="M3071" s="6"/>
      <c r="N3071" s="6"/>
      <c r="O3071" s="6"/>
      <c r="P3071" s="6"/>
      <c r="Q3071" s="6"/>
      <c r="R3071" s="6"/>
      <c r="S3071" s="6"/>
      <c r="T3071" s="6"/>
      <c r="U3071" s="6"/>
      <c r="V3071" s="6"/>
      <c r="W3071" s="6"/>
      <c r="X3071" s="6"/>
      <c r="Y3071" s="6"/>
      <c r="Z3071" s="6"/>
      <c r="AA3071" s="6"/>
      <c r="AB3071" s="6"/>
      <c r="AC3071" s="6"/>
      <c r="AD3071" s="6"/>
      <c r="AE3071" s="6"/>
      <c r="AF3071" s="6"/>
      <c r="AG3071" s="10"/>
    </row>
    <row r="3072" spans="1:33">
      <c r="A3072" s="6"/>
      <c r="B3072" s="6"/>
      <c r="C3072" s="6"/>
      <c r="D3072" s="6"/>
      <c r="E3072" s="6"/>
      <c r="F3072" s="6"/>
      <c r="G3072" s="6"/>
      <c r="H3072" s="6"/>
      <c r="I3072" s="6"/>
      <c r="J3072" s="6"/>
      <c r="K3072" s="6"/>
      <c r="L3072" s="6"/>
      <c r="M3072" s="6"/>
      <c r="N3072" s="6"/>
      <c r="O3072" s="6"/>
      <c r="P3072" s="6"/>
      <c r="Q3072" s="6"/>
      <c r="R3072" s="6"/>
      <c r="S3072" s="6"/>
      <c r="T3072" s="6"/>
      <c r="U3072" s="6"/>
      <c r="V3072" s="6"/>
      <c r="W3072" s="6"/>
      <c r="X3072" s="6"/>
      <c r="Y3072" s="6"/>
      <c r="Z3072" s="6"/>
      <c r="AA3072" s="6"/>
      <c r="AB3072" s="6"/>
      <c r="AC3072" s="6"/>
      <c r="AD3072" s="6"/>
      <c r="AE3072" s="6"/>
      <c r="AF3072" s="6"/>
      <c r="AG3072" s="10"/>
    </row>
    <row r="3073" spans="1:33">
      <c r="A3073" s="6"/>
      <c r="B3073" s="6"/>
      <c r="C3073" s="6"/>
      <c r="D3073" s="6"/>
      <c r="E3073" s="6"/>
      <c r="F3073" s="6"/>
      <c r="G3073" s="6"/>
      <c r="H3073" s="6"/>
      <c r="I3073" s="6"/>
      <c r="J3073" s="6"/>
      <c r="K3073" s="6"/>
      <c r="L3073" s="6"/>
      <c r="M3073" s="6"/>
      <c r="N3073" s="6"/>
      <c r="O3073" s="6"/>
      <c r="P3073" s="6"/>
      <c r="Q3073" s="6"/>
      <c r="R3073" s="6"/>
      <c r="S3073" s="6"/>
      <c r="T3073" s="6"/>
      <c r="U3073" s="6"/>
      <c r="V3073" s="6"/>
      <c r="W3073" s="6"/>
      <c r="X3073" s="6"/>
      <c r="Y3073" s="6"/>
      <c r="Z3073" s="6"/>
      <c r="AA3073" s="6"/>
      <c r="AB3073" s="6"/>
      <c r="AC3073" s="6"/>
      <c r="AD3073" s="6"/>
      <c r="AE3073" s="6"/>
      <c r="AF3073" s="6"/>
      <c r="AG3073" s="10"/>
    </row>
    <row r="3074" spans="1:33">
      <c r="A3074" s="6"/>
      <c r="B3074" s="6"/>
      <c r="C3074" s="6"/>
      <c r="D3074" s="6"/>
      <c r="E3074" s="6"/>
      <c r="F3074" s="6"/>
      <c r="G3074" s="6"/>
      <c r="H3074" s="6"/>
      <c r="I3074" s="6"/>
      <c r="J3074" s="6"/>
      <c r="K3074" s="6"/>
      <c r="L3074" s="6"/>
      <c r="M3074" s="6"/>
      <c r="N3074" s="6"/>
      <c r="O3074" s="6"/>
      <c r="P3074" s="6"/>
      <c r="Q3074" s="6"/>
      <c r="R3074" s="6"/>
      <c r="S3074" s="6"/>
      <c r="T3074" s="6"/>
      <c r="U3074" s="6"/>
      <c r="V3074" s="6"/>
      <c r="W3074" s="6"/>
      <c r="X3074" s="6"/>
      <c r="Y3074" s="6"/>
      <c r="Z3074" s="6"/>
      <c r="AA3074" s="6"/>
      <c r="AB3074" s="6"/>
      <c r="AC3074" s="6"/>
      <c r="AD3074" s="6"/>
      <c r="AE3074" s="6"/>
      <c r="AF3074" s="6"/>
      <c r="AG3074" s="10"/>
    </row>
    <row r="3075" spans="1:33">
      <c r="A3075" s="6"/>
      <c r="B3075" s="6"/>
      <c r="C3075" s="6"/>
      <c r="D3075" s="6"/>
      <c r="E3075" s="6"/>
      <c r="F3075" s="6"/>
      <c r="G3075" s="6"/>
      <c r="H3075" s="6"/>
      <c r="I3075" s="6"/>
      <c r="J3075" s="6"/>
      <c r="K3075" s="6"/>
      <c r="L3075" s="6"/>
      <c r="M3075" s="6"/>
      <c r="N3075" s="6"/>
      <c r="O3075" s="6"/>
      <c r="P3075" s="6"/>
      <c r="Q3075" s="6"/>
      <c r="R3075" s="6"/>
      <c r="S3075" s="6"/>
      <c r="T3075" s="6"/>
      <c r="U3075" s="6"/>
      <c r="V3075" s="6"/>
      <c r="W3075" s="6"/>
      <c r="X3075" s="6"/>
      <c r="Y3075" s="6"/>
      <c r="Z3075" s="6"/>
      <c r="AA3075" s="6"/>
      <c r="AB3075" s="6"/>
      <c r="AC3075" s="6"/>
      <c r="AD3075" s="6"/>
      <c r="AE3075" s="6"/>
      <c r="AF3075" s="6"/>
      <c r="AG3075" s="10"/>
    </row>
    <row r="3076" spans="1:33">
      <c r="A3076" s="6"/>
      <c r="B3076" s="6"/>
      <c r="C3076" s="6"/>
      <c r="D3076" s="6"/>
      <c r="E3076" s="6"/>
      <c r="F3076" s="6"/>
      <c r="G3076" s="6"/>
      <c r="H3076" s="6"/>
      <c r="I3076" s="6"/>
      <c r="J3076" s="6"/>
      <c r="K3076" s="6"/>
      <c r="L3076" s="6"/>
      <c r="M3076" s="6"/>
      <c r="N3076" s="6"/>
      <c r="O3076" s="6"/>
      <c r="P3076" s="6"/>
      <c r="Q3076" s="6"/>
      <c r="R3076" s="6"/>
      <c r="S3076" s="6"/>
      <c r="T3076" s="6"/>
      <c r="U3076" s="6"/>
      <c r="V3076" s="6"/>
      <c r="W3076" s="6"/>
      <c r="X3076" s="6"/>
      <c r="Y3076" s="6"/>
      <c r="Z3076" s="6"/>
      <c r="AA3076" s="6"/>
      <c r="AB3076" s="6"/>
      <c r="AC3076" s="6"/>
      <c r="AD3076" s="6"/>
      <c r="AE3076" s="6"/>
      <c r="AF3076" s="6"/>
      <c r="AG3076" s="10"/>
    </row>
    <row r="3077" spans="1:33">
      <c r="A3077" s="6"/>
      <c r="B3077" s="6"/>
      <c r="C3077" s="6"/>
      <c r="D3077" s="6"/>
      <c r="E3077" s="6"/>
      <c r="F3077" s="6"/>
      <c r="G3077" s="6"/>
      <c r="H3077" s="6"/>
      <c r="I3077" s="6"/>
      <c r="J3077" s="6"/>
      <c r="K3077" s="6"/>
      <c r="L3077" s="6"/>
      <c r="M3077" s="6"/>
      <c r="N3077" s="6"/>
      <c r="O3077" s="6"/>
      <c r="P3077" s="6"/>
      <c r="Q3077" s="6"/>
      <c r="R3077" s="6"/>
      <c r="S3077" s="6"/>
      <c r="T3077" s="6"/>
      <c r="U3077" s="6"/>
      <c r="V3077" s="6"/>
      <c r="W3077" s="6"/>
      <c r="X3077" s="6"/>
      <c r="Y3077" s="6"/>
      <c r="Z3077" s="6"/>
      <c r="AA3077" s="6"/>
      <c r="AB3077" s="6"/>
      <c r="AC3077" s="6"/>
      <c r="AD3077" s="6"/>
      <c r="AE3077" s="6"/>
      <c r="AF3077" s="6"/>
      <c r="AG3077" s="10"/>
    </row>
    <row r="3078" spans="1:33">
      <c r="A3078" s="6"/>
      <c r="B3078" s="6"/>
      <c r="C3078" s="6"/>
      <c r="D3078" s="6"/>
      <c r="E3078" s="6"/>
      <c r="F3078" s="6"/>
      <c r="G3078" s="6"/>
      <c r="H3078" s="6"/>
      <c r="I3078" s="6"/>
      <c r="J3078" s="6"/>
      <c r="K3078" s="6"/>
      <c r="L3078" s="6"/>
      <c r="M3078" s="6"/>
      <c r="N3078" s="6"/>
      <c r="O3078" s="6"/>
      <c r="P3078" s="6"/>
      <c r="Q3078" s="6"/>
      <c r="R3078" s="6"/>
      <c r="S3078" s="6"/>
      <c r="T3078" s="6"/>
      <c r="U3078" s="6"/>
      <c r="V3078" s="6"/>
      <c r="W3078" s="6"/>
      <c r="X3078" s="6"/>
      <c r="Y3078" s="6"/>
      <c r="Z3078" s="6"/>
      <c r="AA3078" s="6"/>
      <c r="AB3078" s="6"/>
      <c r="AC3078" s="6"/>
      <c r="AD3078" s="6"/>
      <c r="AE3078" s="6"/>
      <c r="AF3078" s="6"/>
      <c r="AG3078" s="10"/>
    </row>
    <row r="3079" spans="1:33">
      <c r="A3079" s="6"/>
      <c r="B3079" s="6"/>
      <c r="C3079" s="6"/>
      <c r="D3079" s="6"/>
      <c r="E3079" s="6"/>
      <c r="F3079" s="6"/>
      <c r="G3079" s="6"/>
      <c r="H3079" s="6"/>
      <c r="I3079" s="6"/>
      <c r="J3079" s="6"/>
      <c r="K3079" s="6"/>
      <c r="L3079" s="6"/>
      <c r="M3079" s="6"/>
      <c r="N3079" s="6"/>
      <c r="O3079" s="6"/>
      <c r="P3079" s="6"/>
      <c r="Q3079" s="6"/>
      <c r="R3079" s="6"/>
      <c r="S3079" s="6"/>
      <c r="T3079" s="6"/>
      <c r="U3079" s="6"/>
      <c r="V3079" s="6"/>
      <c r="W3079" s="6"/>
      <c r="X3079" s="6"/>
      <c r="Y3079" s="6"/>
      <c r="Z3079" s="6"/>
      <c r="AA3079" s="6"/>
      <c r="AB3079" s="6"/>
      <c r="AC3079" s="6"/>
      <c r="AD3079" s="6"/>
      <c r="AE3079" s="6"/>
      <c r="AF3079" s="6"/>
      <c r="AG3079" s="10"/>
    </row>
    <row r="3080" spans="1:33">
      <c r="A3080" s="6"/>
      <c r="B3080" s="6"/>
      <c r="C3080" s="6"/>
      <c r="D3080" s="6"/>
      <c r="E3080" s="6"/>
      <c r="F3080" s="6"/>
      <c r="G3080" s="6"/>
      <c r="H3080" s="6"/>
      <c r="I3080" s="6"/>
      <c r="J3080" s="6"/>
      <c r="K3080" s="6"/>
      <c r="L3080" s="6"/>
      <c r="M3080" s="6"/>
      <c r="N3080" s="6"/>
      <c r="O3080" s="6"/>
      <c r="P3080" s="6"/>
      <c r="Q3080" s="6"/>
      <c r="R3080" s="6"/>
      <c r="S3080" s="6"/>
      <c r="T3080" s="6"/>
      <c r="U3080" s="6"/>
      <c r="V3080" s="6"/>
      <c r="W3080" s="6"/>
      <c r="X3080" s="6"/>
      <c r="Y3080" s="6"/>
      <c r="Z3080" s="6"/>
      <c r="AA3080" s="6"/>
      <c r="AB3080" s="6"/>
      <c r="AC3080" s="6"/>
      <c r="AD3080" s="6"/>
      <c r="AE3080" s="6"/>
      <c r="AF3080" s="6"/>
      <c r="AG3080" s="10"/>
    </row>
    <row r="3081" spans="1:33">
      <c r="A3081" s="6"/>
      <c r="B3081" s="6"/>
      <c r="C3081" s="6"/>
      <c r="D3081" s="6"/>
      <c r="E3081" s="6"/>
      <c r="F3081" s="6"/>
      <c r="G3081" s="6"/>
      <c r="H3081" s="6"/>
      <c r="I3081" s="6"/>
      <c r="J3081" s="6"/>
      <c r="K3081" s="6"/>
      <c r="L3081" s="6"/>
      <c r="M3081" s="6"/>
      <c r="N3081" s="6"/>
      <c r="O3081" s="6"/>
      <c r="P3081" s="6"/>
      <c r="Q3081" s="6"/>
      <c r="R3081" s="6"/>
      <c r="S3081" s="6"/>
      <c r="T3081" s="6"/>
      <c r="U3081" s="6"/>
      <c r="V3081" s="6"/>
      <c r="W3081" s="6"/>
      <c r="X3081" s="6"/>
      <c r="Y3081" s="6"/>
      <c r="Z3081" s="6"/>
      <c r="AA3081" s="6"/>
      <c r="AB3081" s="6"/>
      <c r="AC3081" s="6"/>
      <c r="AD3081" s="6"/>
      <c r="AE3081" s="6"/>
      <c r="AF3081" s="6"/>
      <c r="AG3081" s="10"/>
    </row>
    <row r="3082" spans="1:33">
      <c r="A3082" s="6"/>
      <c r="B3082" s="6"/>
      <c r="C3082" s="6"/>
      <c r="D3082" s="6"/>
      <c r="E3082" s="6"/>
      <c r="F3082" s="6"/>
      <c r="G3082" s="6"/>
      <c r="H3082" s="6"/>
      <c r="I3082" s="6"/>
      <c r="J3082" s="6"/>
      <c r="K3082" s="6"/>
      <c r="L3082" s="6"/>
      <c r="M3082" s="6"/>
      <c r="N3082" s="6"/>
      <c r="O3082" s="6"/>
      <c r="P3082" s="6"/>
      <c r="Q3082" s="6"/>
      <c r="R3082" s="6"/>
      <c r="S3082" s="6"/>
      <c r="T3082" s="6"/>
      <c r="U3082" s="6"/>
      <c r="V3082" s="6"/>
      <c r="W3082" s="6"/>
      <c r="X3082" s="6"/>
      <c r="Y3082" s="6"/>
      <c r="Z3082" s="6"/>
      <c r="AA3082" s="6"/>
      <c r="AB3082" s="6"/>
      <c r="AC3082" s="6"/>
      <c r="AD3082" s="6"/>
      <c r="AE3082" s="6"/>
      <c r="AF3082" s="6"/>
      <c r="AG3082" s="10"/>
    </row>
    <row r="3083" spans="1:33">
      <c r="A3083" s="6"/>
      <c r="B3083" s="6"/>
      <c r="C3083" s="6"/>
      <c r="D3083" s="6"/>
      <c r="E3083" s="6"/>
      <c r="F3083" s="6"/>
      <c r="G3083" s="6"/>
      <c r="H3083" s="6"/>
      <c r="I3083" s="6"/>
      <c r="J3083" s="6"/>
      <c r="K3083" s="6"/>
      <c r="L3083" s="6"/>
      <c r="M3083" s="6"/>
      <c r="N3083" s="6"/>
      <c r="O3083" s="6"/>
      <c r="P3083" s="6"/>
      <c r="Q3083" s="6"/>
      <c r="R3083" s="6"/>
      <c r="S3083" s="6"/>
      <c r="T3083" s="6"/>
      <c r="U3083" s="6"/>
      <c r="V3083" s="6"/>
      <c r="W3083" s="6"/>
      <c r="X3083" s="6"/>
      <c r="Y3083" s="6"/>
      <c r="Z3083" s="6"/>
      <c r="AA3083" s="6"/>
      <c r="AB3083" s="6"/>
      <c r="AC3083" s="6"/>
      <c r="AD3083" s="6"/>
      <c r="AE3083" s="6"/>
      <c r="AF3083" s="6"/>
      <c r="AG3083" s="10"/>
    </row>
    <row r="3084" spans="1:33">
      <c r="A3084" s="6"/>
      <c r="B3084" s="6"/>
      <c r="C3084" s="6"/>
      <c r="D3084" s="6"/>
      <c r="E3084" s="6"/>
      <c r="F3084" s="6"/>
      <c r="G3084" s="6"/>
      <c r="H3084" s="6"/>
      <c r="I3084" s="6"/>
      <c r="J3084" s="6"/>
      <c r="K3084" s="6"/>
      <c r="L3084" s="6"/>
      <c r="M3084" s="6"/>
      <c r="N3084" s="6"/>
      <c r="O3084" s="6"/>
      <c r="P3084" s="6"/>
      <c r="Q3084" s="6"/>
      <c r="R3084" s="6"/>
      <c r="S3084" s="6"/>
      <c r="T3084" s="6"/>
      <c r="U3084" s="6"/>
      <c r="V3084" s="6"/>
      <c r="W3084" s="6"/>
      <c r="X3084" s="6"/>
      <c r="Y3084" s="6"/>
      <c r="Z3084" s="6"/>
      <c r="AA3084" s="6"/>
      <c r="AB3084" s="6"/>
      <c r="AC3084" s="6"/>
      <c r="AD3084" s="6"/>
      <c r="AE3084" s="6"/>
      <c r="AF3084" s="6"/>
      <c r="AG3084" s="10"/>
    </row>
    <row r="3085" spans="1:33">
      <c r="A3085" s="6"/>
      <c r="B3085" s="6"/>
      <c r="C3085" s="6"/>
      <c r="D3085" s="6"/>
      <c r="E3085" s="6"/>
      <c r="F3085" s="6"/>
      <c r="G3085" s="6"/>
      <c r="H3085" s="6"/>
      <c r="I3085" s="6"/>
      <c r="J3085" s="6"/>
      <c r="K3085" s="6"/>
      <c r="L3085" s="6"/>
      <c r="M3085" s="6"/>
      <c r="N3085" s="6"/>
      <c r="O3085" s="6"/>
      <c r="P3085" s="6"/>
      <c r="Q3085" s="6"/>
      <c r="R3085" s="6"/>
      <c r="S3085" s="6"/>
      <c r="T3085" s="6"/>
      <c r="U3085" s="6"/>
      <c r="V3085" s="6"/>
      <c r="W3085" s="6"/>
      <c r="X3085" s="6"/>
      <c r="Y3085" s="6"/>
      <c r="Z3085" s="6"/>
      <c r="AA3085" s="6"/>
      <c r="AB3085" s="6"/>
      <c r="AC3085" s="6"/>
      <c r="AD3085" s="6"/>
      <c r="AE3085" s="6"/>
      <c r="AF3085" s="6"/>
      <c r="AG3085" s="10"/>
    </row>
    <row r="3086" spans="1:33">
      <c r="A3086" s="6"/>
      <c r="B3086" s="6"/>
      <c r="C3086" s="6"/>
      <c r="D3086" s="6"/>
      <c r="E3086" s="6"/>
      <c r="F3086" s="6"/>
      <c r="G3086" s="6"/>
      <c r="H3086" s="6"/>
      <c r="I3086" s="6"/>
      <c r="J3086" s="6"/>
      <c r="K3086" s="6"/>
      <c r="L3086" s="6"/>
      <c r="M3086" s="6"/>
      <c r="N3086" s="6"/>
      <c r="O3086" s="6"/>
      <c r="P3086" s="6"/>
      <c r="Q3086" s="6"/>
      <c r="R3086" s="6"/>
      <c r="S3086" s="6"/>
      <c r="T3086" s="6"/>
      <c r="U3086" s="6"/>
      <c r="V3086" s="6"/>
      <c r="W3086" s="6"/>
      <c r="X3086" s="6"/>
      <c r="Y3086" s="6"/>
      <c r="Z3086" s="6"/>
      <c r="AA3086" s="6"/>
      <c r="AB3086" s="6"/>
      <c r="AC3086" s="6"/>
      <c r="AD3086" s="6"/>
      <c r="AE3086" s="6"/>
      <c r="AF3086" s="6"/>
      <c r="AG3086" s="10"/>
    </row>
    <row r="3087" spans="1:33">
      <c r="A3087" s="6"/>
      <c r="B3087" s="6"/>
      <c r="C3087" s="6"/>
      <c r="D3087" s="6"/>
      <c r="E3087" s="6"/>
      <c r="F3087" s="6"/>
      <c r="G3087" s="6"/>
      <c r="H3087" s="6"/>
      <c r="I3087" s="6"/>
      <c r="J3087" s="6"/>
      <c r="K3087" s="6"/>
      <c r="L3087" s="6"/>
      <c r="M3087" s="6"/>
      <c r="N3087" s="6"/>
      <c r="O3087" s="6"/>
      <c r="P3087" s="6"/>
      <c r="Q3087" s="6"/>
      <c r="R3087" s="6"/>
      <c r="S3087" s="6"/>
      <c r="T3087" s="6"/>
      <c r="U3087" s="6"/>
      <c r="V3087" s="6"/>
      <c r="W3087" s="6"/>
      <c r="X3087" s="6"/>
      <c r="Y3087" s="6"/>
      <c r="Z3087" s="6"/>
      <c r="AA3087" s="6"/>
      <c r="AB3087" s="6"/>
      <c r="AC3087" s="6"/>
      <c r="AD3087" s="6"/>
      <c r="AE3087" s="6"/>
      <c r="AF3087" s="6"/>
      <c r="AG3087" s="10"/>
    </row>
    <row r="3088" spans="1:33">
      <c r="A3088" s="6"/>
      <c r="B3088" s="6"/>
      <c r="C3088" s="6"/>
      <c r="D3088" s="6"/>
      <c r="E3088" s="6"/>
      <c r="F3088" s="6"/>
      <c r="G3088" s="6"/>
      <c r="H3088" s="6"/>
      <c r="I3088" s="6"/>
      <c r="J3088" s="6"/>
      <c r="K3088" s="6"/>
      <c r="L3088" s="6"/>
      <c r="M3088" s="6"/>
      <c r="N3088" s="6"/>
      <c r="O3088" s="6"/>
      <c r="P3088" s="6"/>
      <c r="Q3088" s="6"/>
      <c r="R3088" s="6"/>
      <c r="S3088" s="6"/>
      <c r="T3088" s="6"/>
      <c r="U3088" s="6"/>
      <c r="V3088" s="6"/>
      <c r="W3088" s="6"/>
      <c r="X3088" s="6"/>
      <c r="Y3088" s="6"/>
      <c r="Z3088" s="6"/>
      <c r="AA3088" s="6"/>
      <c r="AB3088" s="6"/>
      <c r="AC3088" s="6"/>
      <c r="AD3088" s="6"/>
      <c r="AE3088" s="6"/>
      <c r="AF3088" s="6"/>
      <c r="AG3088" s="10"/>
    </row>
    <row r="3089" spans="1:33">
      <c r="A3089" s="6"/>
      <c r="B3089" s="6"/>
      <c r="C3089" s="6"/>
      <c r="D3089" s="6"/>
      <c r="E3089" s="6"/>
      <c r="F3089" s="6"/>
      <c r="G3089" s="6"/>
      <c r="H3089" s="6"/>
      <c r="I3089" s="6"/>
      <c r="J3089" s="6"/>
      <c r="K3089" s="6"/>
      <c r="L3089" s="6"/>
      <c r="M3089" s="6"/>
      <c r="N3089" s="6"/>
      <c r="O3089" s="6"/>
      <c r="P3089" s="6"/>
      <c r="Q3089" s="6"/>
      <c r="R3089" s="6"/>
      <c r="S3089" s="6"/>
      <c r="T3089" s="6"/>
      <c r="U3089" s="6"/>
      <c r="V3089" s="6"/>
      <c r="W3089" s="6"/>
      <c r="X3089" s="6"/>
      <c r="Y3089" s="6"/>
      <c r="Z3089" s="6"/>
      <c r="AA3089" s="6"/>
      <c r="AB3089" s="6"/>
      <c r="AC3089" s="6"/>
      <c r="AD3089" s="6"/>
      <c r="AE3089" s="6"/>
      <c r="AF3089" s="6"/>
      <c r="AG3089" s="10"/>
    </row>
    <row r="3090" spans="1:33">
      <c r="A3090" s="6"/>
      <c r="B3090" s="6"/>
      <c r="C3090" s="6"/>
      <c r="D3090" s="6"/>
      <c r="E3090" s="6"/>
      <c r="F3090" s="6"/>
      <c r="G3090" s="6"/>
      <c r="H3090" s="6"/>
      <c r="I3090" s="6"/>
      <c r="J3090" s="6"/>
      <c r="K3090" s="6"/>
      <c r="L3090" s="6"/>
      <c r="M3090" s="6"/>
      <c r="N3090" s="6"/>
      <c r="O3090" s="6"/>
      <c r="P3090" s="6"/>
      <c r="Q3090" s="6"/>
      <c r="R3090" s="6"/>
      <c r="S3090" s="6"/>
      <c r="T3090" s="6"/>
      <c r="U3090" s="6"/>
      <c r="V3090" s="6"/>
      <c r="W3090" s="6"/>
      <c r="X3090" s="6"/>
      <c r="Y3090" s="6"/>
      <c r="Z3090" s="6"/>
      <c r="AA3090" s="6"/>
      <c r="AB3090" s="6"/>
      <c r="AC3090" s="6"/>
      <c r="AD3090" s="6"/>
      <c r="AE3090" s="6"/>
      <c r="AF3090" s="6"/>
      <c r="AG3090" s="10"/>
    </row>
    <row r="3091" spans="1:33">
      <c r="A3091" s="6"/>
      <c r="B3091" s="6"/>
      <c r="C3091" s="6"/>
      <c r="D3091" s="6"/>
      <c r="E3091" s="6"/>
      <c r="F3091" s="6"/>
      <c r="G3091" s="6"/>
      <c r="H3091" s="6"/>
      <c r="I3091" s="6"/>
      <c r="J3091" s="6"/>
      <c r="K3091" s="6"/>
      <c r="L3091" s="6"/>
      <c r="M3091" s="6"/>
      <c r="N3091" s="6"/>
      <c r="O3091" s="6"/>
      <c r="P3091" s="6"/>
      <c r="Q3091" s="6"/>
      <c r="R3091" s="6"/>
      <c r="S3091" s="6"/>
      <c r="T3091" s="6"/>
      <c r="U3091" s="6"/>
      <c r="V3091" s="6"/>
      <c r="W3091" s="6"/>
      <c r="X3091" s="6"/>
      <c r="Y3091" s="6"/>
      <c r="Z3091" s="6"/>
      <c r="AA3091" s="6"/>
      <c r="AB3091" s="6"/>
      <c r="AC3091" s="6"/>
      <c r="AD3091" s="6"/>
      <c r="AE3091" s="6"/>
      <c r="AF3091" s="6"/>
      <c r="AG3091" s="10"/>
    </row>
    <row r="3092" spans="1:33">
      <c r="A3092" s="6"/>
      <c r="B3092" s="6"/>
      <c r="C3092" s="6"/>
      <c r="D3092" s="6"/>
      <c r="E3092" s="6"/>
      <c r="F3092" s="6"/>
      <c r="G3092" s="6"/>
      <c r="H3092" s="6"/>
      <c r="I3092" s="6"/>
      <c r="J3092" s="6"/>
      <c r="K3092" s="6"/>
      <c r="L3092" s="6"/>
      <c r="M3092" s="6"/>
      <c r="N3092" s="6"/>
      <c r="O3092" s="6"/>
      <c r="P3092" s="6"/>
      <c r="Q3092" s="6"/>
      <c r="R3092" s="6"/>
      <c r="S3092" s="6"/>
      <c r="T3092" s="6"/>
      <c r="U3092" s="6"/>
      <c r="V3092" s="6"/>
      <c r="W3092" s="6"/>
      <c r="X3092" s="6"/>
      <c r="Y3092" s="6"/>
      <c r="Z3092" s="6"/>
      <c r="AA3092" s="6"/>
      <c r="AB3092" s="6"/>
      <c r="AC3092" s="6"/>
      <c r="AD3092" s="6"/>
      <c r="AE3092" s="6"/>
      <c r="AF3092" s="6"/>
      <c r="AG3092" s="10"/>
    </row>
    <row r="3093" spans="1:33">
      <c r="A3093" s="6"/>
      <c r="B3093" s="6"/>
      <c r="C3093" s="6"/>
      <c r="D3093" s="6"/>
      <c r="E3093" s="6"/>
      <c r="F3093" s="6"/>
      <c r="G3093" s="6"/>
      <c r="H3093" s="6"/>
      <c r="I3093" s="6"/>
      <c r="J3093" s="6"/>
      <c r="K3093" s="6"/>
      <c r="L3093" s="6"/>
      <c r="M3093" s="6"/>
      <c r="N3093" s="6"/>
      <c r="O3093" s="6"/>
      <c r="P3093" s="6"/>
      <c r="Q3093" s="6"/>
      <c r="R3093" s="6"/>
      <c r="S3093" s="6"/>
      <c r="T3093" s="6"/>
      <c r="U3093" s="6"/>
      <c r="V3093" s="6"/>
      <c r="W3093" s="6"/>
      <c r="X3093" s="6"/>
      <c r="Y3093" s="6"/>
      <c r="Z3093" s="6"/>
      <c r="AA3093" s="6"/>
      <c r="AB3093" s="6"/>
      <c r="AC3093" s="6"/>
      <c r="AD3093" s="6"/>
      <c r="AE3093" s="6"/>
      <c r="AF3093" s="6"/>
      <c r="AG3093" s="10"/>
    </row>
    <row r="3094" s="6" customFormat="1" spans="1:33">
      <c r="A3094" s="5"/>
      <c r="B3094" s="8"/>
      <c r="C3094" s="5"/>
      <c r="D3094" s="5"/>
      <c r="E3094" s="5"/>
      <c r="F3094" s="5"/>
      <c r="G3094" s="5"/>
      <c r="J3094" s="5"/>
      <c r="K3094" s="5"/>
      <c r="L3094" s="5"/>
      <c r="M3094" s="5"/>
      <c r="N3094" s="5"/>
      <c r="O3094" s="5"/>
      <c r="P3094" s="5"/>
      <c r="Q3094" s="5"/>
      <c r="Y3094" s="5"/>
      <c r="Z3094" s="5"/>
      <c r="AA3094" s="5"/>
      <c r="AB3094" s="5"/>
      <c r="AG3094" s="9"/>
    </row>
    <row r="3095" s="6" customFormat="1" spans="1:33">
      <c r="A3095" s="5"/>
      <c r="B3095" s="5"/>
      <c r="C3095" s="5"/>
      <c r="D3095" s="5"/>
      <c r="E3095" s="5"/>
      <c r="F3095" s="5"/>
      <c r="G3095" s="5"/>
      <c r="J3095" s="5"/>
      <c r="K3095" s="5"/>
      <c r="L3095" s="5"/>
      <c r="M3095" s="5"/>
      <c r="N3095" s="5"/>
      <c r="O3095" s="5"/>
      <c r="P3095" s="5"/>
      <c r="Q3095" s="5"/>
      <c r="Y3095" s="5"/>
      <c r="Z3095" s="5"/>
      <c r="AA3095" s="5"/>
      <c r="AB3095" s="5"/>
      <c r="AG3095" s="9"/>
    </row>
    <row r="3096" s="6" customFormat="1" spans="1:33">
      <c r="A3096" s="5"/>
      <c r="B3096" s="5"/>
      <c r="C3096" s="5"/>
      <c r="D3096" s="5"/>
      <c r="E3096" s="5"/>
      <c r="F3096" s="5"/>
      <c r="G3096" s="5"/>
      <c r="J3096" s="5"/>
      <c r="K3096" s="5"/>
      <c r="L3096" s="5"/>
      <c r="M3096" s="5"/>
      <c r="N3096" s="5"/>
      <c r="O3096" s="5"/>
      <c r="P3096" s="5"/>
      <c r="Q3096" s="5"/>
      <c r="Y3096" s="5"/>
      <c r="Z3096" s="5"/>
      <c r="AA3096" s="5"/>
      <c r="AB3096" s="5"/>
      <c r="AG3096" s="9"/>
    </row>
    <row r="3097" s="6" customFormat="1" spans="1:33">
      <c r="A3097" s="5"/>
      <c r="B3097" s="5"/>
      <c r="C3097" s="5"/>
      <c r="D3097" s="5"/>
      <c r="E3097" s="5"/>
      <c r="F3097" s="5"/>
      <c r="G3097" s="5"/>
      <c r="J3097" s="5"/>
      <c r="K3097" s="5"/>
      <c r="L3097" s="5"/>
      <c r="M3097" s="5"/>
      <c r="N3097" s="5"/>
      <c r="O3097" s="5"/>
      <c r="P3097" s="5"/>
      <c r="Q3097" s="5"/>
      <c r="Y3097" s="5"/>
      <c r="Z3097" s="5"/>
      <c r="AA3097" s="5"/>
      <c r="AB3097" s="5"/>
      <c r="AG3097" s="9"/>
    </row>
    <row r="3098" s="6" customFormat="1" spans="1:33">
      <c r="A3098" s="5"/>
      <c r="B3098" s="5"/>
      <c r="C3098" s="5"/>
      <c r="D3098" s="5"/>
      <c r="E3098" s="5"/>
      <c r="F3098" s="5"/>
      <c r="G3098" s="5"/>
      <c r="J3098" s="5"/>
      <c r="K3098" s="5"/>
      <c r="L3098" s="5"/>
      <c r="M3098" s="5"/>
      <c r="N3098" s="5"/>
      <c r="O3098" s="5"/>
      <c r="P3098" s="5"/>
      <c r="Q3098" s="5"/>
      <c r="Y3098" s="5"/>
      <c r="Z3098" s="5"/>
      <c r="AA3098" s="5"/>
      <c r="AB3098" s="5"/>
      <c r="AG3098" s="9"/>
    </row>
    <row r="3099" s="6" customFormat="1" spans="1:33">
      <c r="A3099" s="5"/>
      <c r="B3099" s="5"/>
      <c r="C3099" s="5"/>
      <c r="D3099" s="5"/>
      <c r="E3099" s="5"/>
      <c r="F3099" s="5"/>
      <c r="G3099" s="5"/>
      <c r="J3099" s="5"/>
      <c r="K3099" s="5"/>
      <c r="L3099" s="5"/>
      <c r="M3099" s="5"/>
      <c r="N3099" s="5"/>
      <c r="O3099" s="5"/>
      <c r="P3099" s="5"/>
      <c r="Q3099" s="5"/>
      <c r="Y3099" s="5"/>
      <c r="Z3099" s="5"/>
      <c r="AA3099" s="5"/>
      <c r="AB3099" s="5"/>
      <c r="AG3099" s="9"/>
    </row>
    <row r="3100" s="6" customFormat="1" spans="1:33">
      <c r="A3100" s="5"/>
      <c r="B3100" s="5"/>
      <c r="C3100" s="5"/>
      <c r="D3100" s="5"/>
      <c r="E3100" s="5"/>
      <c r="F3100" s="5"/>
      <c r="G3100" s="5"/>
      <c r="J3100" s="5"/>
      <c r="K3100" s="5"/>
      <c r="L3100" s="5"/>
      <c r="M3100" s="5"/>
      <c r="N3100" s="5"/>
      <c r="O3100" s="5"/>
      <c r="Y3100" s="5"/>
      <c r="Z3100" s="5"/>
      <c r="AA3100" s="5"/>
      <c r="AB3100" s="5"/>
      <c r="AG3100" s="9"/>
    </row>
    <row r="3101" s="6" customFormat="1" spans="1:33">
      <c r="A3101" s="5"/>
      <c r="B3101" s="5"/>
      <c r="C3101" s="5"/>
      <c r="D3101" s="5"/>
      <c r="E3101" s="5"/>
      <c r="F3101" s="5"/>
      <c r="G3101" s="5"/>
      <c r="J3101" s="5"/>
      <c r="K3101" s="5"/>
      <c r="L3101" s="5"/>
      <c r="M3101" s="5"/>
      <c r="N3101" s="5"/>
      <c r="O3101" s="5"/>
      <c r="P3101" s="5"/>
      <c r="Q3101" s="5"/>
      <c r="Y3101" s="5"/>
      <c r="Z3101" s="5"/>
      <c r="AA3101" s="5"/>
      <c r="AB3101" s="5"/>
      <c r="AG3101" s="9"/>
    </row>
    <row r="3102" s="6" customFormat="1" spans="1:33">
      <c r="A3102" s="5"/>
      <c r="B3102" s="5"/>
      <c r="C3102" s="5"/>
      <c r="D3102" s="5"/>
      <c r="E3102" s="5"/>
      <c r="F3102" s="5"/>
      <c r="G3102" s="5"/>
      <c r="J3102" s="5"/>
      <c r="K3102" s="5"/>
      <c r="L3102" s="5"/>
      <c r="M3102" s="5"/>
      <c r="N3102" s="5"/>
      <c r="O3102" s="5"/>
      <c r="Y3102" s="5"/>
      <c r="Z3102" s="5"/>
      <c r="AA3102" s="5"/>
      <c r="AB3102" s="5"/>
      <c r="AG3102" s="9"/>
    </row>
    <row r="3103" s="6" customFormat="1" spans="1:33">
      <c r="A3103" s="5"/>
      <c r="B3103" s="5"/>
      <c r="C3103" s="5"/>
      <c r="D3103" s="5"/>
      <c r="E3103" s="5"/>
      <c r="F3103" s="5"/>
      <c r="G3103" s="5"/>
      <c r="J3103" s="5"/>
      <c r="K3103" s="5"/>
      <c r="L3103" s="5"/>
      <c r="M3103" s="5"/>
      <c r="N3103" s="5"/>
      <c r="O3103" s="5"/>
      <c r="P3103" s="5"/>
      <c r="Q3103" s="5"/>
      <c r="Y3103" s="5"/>
      <c r="Z3103" s="5"/>
      <c r="AA3103" s="5"/>
      <c r="AB3103" s="5"/>
      <c r="AG3103" s="9"/>
    </row>
    <row r="3104" s="6" customFormat="1" spans="1:33">
      <c r="A3104" s="5"/>
      <c r="B3104" s="5"/>
      <c r="C3104" s="5"/>
      <c r="D3104" s="5"/>
      <c r="E3104" s="5"/>
      <c r="F3104" s="5"/>
      <c r="G3104" s="5"/>
      <c r="J3104" s="5"/>
      <c r="K3104" s="5"/>
      <c r="L3104" s="5"/>
      <c r="M3104" s="5"/>
      <c r="N3104" s="5"/>
      <c r="O3104" s="5"/>
      <c r="P3104" s="5"/>
      <c r="Q3104" s="5"/>
      <c r="Y3104" s="5"/>
      <c r="Z3104" s="5"/>
      <c r="AA3104" s="5"/>
      <c r="AB3104" s="5"/>
      <c r="AG3104" s="9"/>
    </row>
    <row r="3105" s="6" customFormat="1" spans="1:33">
      <c r="A3105" s="5"/>
      <c r="B3105" s="5"/>
      <c r="C3105" s="5"/>
      <c r="D3105" s="5"/>
      <c r="E3105" s="5"/>
      <c r="F3105" s="5"/>
      <c r="G3105" s="5"/>
      <c r="J3105" s="5"/>
      <c r="K3105" s="5"/>
      <c r="L3105" s="5"/>
      <c r="M3105" s="5"/>
      <c r="N3105" s="5"/>
      <c r="O3105" s="5"/>
      <c r="P3105" s="5"/>
      <c r="Q3105" s="5"/>
      <c r="Y3105" s="5"/>
      <c r="Z3105" s="5"/>
      <c r="AA3105" s="5"/>
      <c r="AB3105" s="5"/>
      <c r="AG3105" s="9"/>
    </row>
    <row r="3106" s="6" customFormat="1" spans="1:33">
      <c r="A3106" s="5"/>
      <c r="B3106" s="5"/>
      <c r="C3106" s="5"/>
      <c r="D3106" s="5"/>
      <c r="E3106" s="5"/>
      <c r="F3106" s="5"/>
      <c r="G3106" s="5"/>
      <c r="J3106" s="5"/>
      <c r="K3106" s="5"/>
      <c r="L3106" s="5"/>
      <c r="M3106" s="5"/>
      <c r="N3106" s="5"/>
      <c r="O3106" s="5"/>
      <c r="P3106" s="5"/>
      <c r="Q3106" s="5"/>
      <c r="Y3106" s="5"/>
      <c r="Z3106" s="5"/>
      <c r="AA3106" s="5"/>
      <c r="AB3106" s="5"/>
      <c r="AG3106" s="9"/>
    </row>
    <row r="3107" s="6" customFormat="1" spans="1:33">
      <c r="A3107" s="5"/>
      <c r="B3107" s="5"/>
      <c r="C3107" s="5"/>
      <c r="D3107" s="5"/>
      <c r="E3107" s="5"/>
      <c r="F3107" s="5"/>
      <c r="G3107" s="5"/>
      <c r="J3107" s="5"/>
      <c r="K3107" s="5"/>
      <c r="L3107" s="5"/>
      <c r="M3107" s="5"/>
      <c r="N3107" s="5"/>
      <c r="O3107" s="5"/>
      <c r="P3107" s="5"/>
      <c r="Q3107" s="5"/>
      <c r="Y3107" s="5"/>
      <c r="Z3107" s="5"/>
      <c r="AA3107" s="5"/>
      <c r="AB3107" s="5"/>
      <c r="AG3107" s="9"/>
    </row>
    <row r="3108" s="6" customFormat="1" spans="1:33">
      <c r="A3108" s="5"/>
      <c r="B3108" s="5"/>
      <c r="C3108" s="5"/>
      <c r="D3108" s="5"/>
      <c r="E3108" s="5"/>
      <c r="F3108" s="5"/>
      <c r="G3108" s="5"/>
      <c r="J3108" s="5"/>
      <c r="K3108" s="5"/>
      <c r="L3108" s="5"/>
      <c r="M3108" s="5"/>
      <c r="N3108" s="5"/>
      <c r="O3108" s="5"/>
      <c r="P3108" s="5"/>
      <c r="Q3108" s="5"/>
      <c r="R3108" s="8"/>
      <c r="Y3108" s="5"/>
      <c r="Z3108" s="5"/>
      <c r="AA3108" s="5"/>
      <c r="AB3108" s="5"/>
      <c r="AG3108" s="9"/>
    </row>
    <row r="3109" s="6" customFormat="1" spans="1:33">
      <c r="A3109" s="5"/>
      <c r="B3109" s="5"/>
      <c r="C3109" s="5"/>
      <c r="D3109" s="5"/>
      <c r="E3109" s="5"/>
      <c r="F3109" s="5"/>
      <c r="G3109" s="5"/>
      <c r="J3109" s="5"/>
      <c r="K3109" s="5"/>
      <c r="L3109" s="5"/>
      <c r="M3109" s="5"/>
      <c r="N3109" s="5"/>
      <c r="O3109" s="5"/>
      <c r="P3109" s="5"/>
      <c r="Q3109" s="5"/>
      <c r="Y3109" s="5"/>
      <c r="Z3109" s="5"/>
      <c r="AA3109" s="5"/>
      <c r="AB3109" s="5"/>
      <c r="AG3109" s="9"/>
    </row>
    <row r="3110" s="6" customFormat="1" spans="1:33">
      <c r="A3110" s="5"/>
      <c r="B3110" s="5"/>
      <c r="C3110" s="5"/>
      <c r="D3110" s="5"/>
      <c r="E3110" s="5"/>
      <c r="F3110" s="5"/>
      <c r="G3110" s="5"/>
      <c r="J3110" s="5"/>
      <c r="K3110" s="5"/>
      <c r="L3110" s="5"/>
      <c r="M3110" s="5"/>
      <c r="N3110" s="5"/>
      <c r="O3110" s="5"/>
      <c r="P3110" s="5"/>
      <c r="Q3110" s="5"/>
      <c r="Y3110" s="5"/>
      <c r="Z3110" s="5"/>
      <c r="AA3110" s="5"/>
      <c r="AB3110" s="5"/>
      <c r="AG3110" s="9"/>
    </row>
    <row r="3111" s="6" customFormat="1" spans="1:33">
      <c r="A3111" s="5"/>
      <c r="B3111" s="5"/>
      <c r="C3111" s="5"/>
      <c r="D3111" s="5"/>
      <c r="E3111" s="5"/>
      <c r="F3111" s="5"/>
      <c r="G3111" s="5"/>
      <c r="J3111" s="5"/>
      <c r="K3111" s="5"/>
      <c r="L3111" s="5"/>
      <c r="M3111" s="5"/>
      <c r="N3111" s="5"/>
      <c r="O3111" s="5"/>
      <c r="P3111" s="5"/>
      <c r="Q3111" s="5"/>
      <c r="R3111" s="8"/>
      <c r="Y3111" s="5"/>
      <c r="Z3111" s="5"/>
      <c r="AA3111" s="5"/>
      <c r="AB3111" s="5"/>
      <c r="AG3111" s="9"/>
    </row>
    <row r="3112" s="6" customFormat="1" spans="1:33">
      <c r="A3112" s="5"/>
      <c r="B3112" s="5"/>
      <c r="C3112" s="5"/>
      <c r="D3112" s="5"/>
      <c r="E3112" s="5"/>
      <c r="F3112" s="5"/>
      <c r="G3112" s="5"/>
      <c r="J3112" s="5"/>
      <c r="K3112" s="5"/>
      <c r="L3112" s="5"/>
      <c r="M3112" s="5"/>
      <c r="N3112" s="5"/>
      <c r="O3112" s="5"/>
      <c r="P3112" s="5"/>
      <c r="Q3112" s="5"/>
      <c r="Y3112" s="5"/>
      <c r="Z3112" s="5"/>
      <c r="AA3112" s="5"/>
      <c r="AB3112" s="5"/>
      <c r="AG3112" s="9"/>
    </row>
    <row r="3113" s="6" customFormat="1" spans="1:33">
      <c r="A3113" s="5"/>
      <c r="B3113" s="5"/>
      <c r="C3113" s="5"/>
      <c r="D3113" s="5"/>
      <c r="E3113" s="5"/>
      <c r="F3113" s="5"/>
      <c r="G3113" s="5"/>
      <c r="J3113" s="5"/>
      <c r="K3113" s="5"/>
      <c r="L3113" s="5"/>
      <c r="M3113" s="5"/>
      <c r="N3113" s="5"/>
      <c r="O3113" s="5"/>
      <c r="P3113" s="5"/>
      <c r="Q3113" s="5"/>
      <c r="Y3113" s="5"/>
      <c r="Z3113" s="5"/>
      <c r="AA3113" s="5"/>
      <c r="AB3113" s="5"/>
      <c r="AG3113" s="9"/>
    </row>
    <row r="3114" s="6" customFormat="1" spans="1:33">
      <c r="A3114" s="5"/>
      <c r="B3114" s="5"/>
      <c r="C3114" s="5"/>
      <c r="D3114" s="5"/>
      <c r="E3114" s="5"/>
      <c r="F3114" s="5"/>
      <c r="G3114" s="5"/>
      <c r="J3114" s="5"/>
      <c r="K3114" s="5"/>
      <c r="L3114" s="5"/>
      <c r="M3114" s="5"/>
      <c r="N3114" s="5"/>
      <c r="O3114" s="5"/>
      <c r="P3114" s="5"/>
      <c r="Q3114" s="5"/>
      <c r="Y3114" s="5"/>
      <c r="Z3114" s="5"/>
      <c r="AA3114" s="5"/>
      <c r="AB3114" s="5"/>
      <c r="AG3114" s="9"/>
    </row>
    <row r="3115" s="6" customFormat="1" spans="1:33">
      <c r="A3115" s="5"/>
      <c r="B3115" s="5"/>
      <c r="C3115" s="5"/>
      <c r="D3115" s="5"/>
      <c r="E3115" s="5"/>
      <c r="F3115" s="5"/>
      <c r="G3115" s="5"/>
      <c r="J3115" s="5"/>
      <c r="K3115" s="5"/>
      <c r="L3115" s="5"/>
      <c r="M3115" s="5"/>
      <c r="N3115" s="5"/>
      <c r="O3115" s="5"/>
      <c r="P3115" s="5"/>
      <c r="Q3115" s="5"/>
      <c r="R3115" s="8"/>
      <c r="Y3115" s="5"/>
      <c r="Z3115" s="5"/>
      <c r="AA3115" s="5"/>
      <c r="AB3115" s="5"/>
      <c r="AG3115" s="9"/>
    </row>
    <row r="3116" s="6" customFormat="1" spans="1:33">
      <c r="A3116" s="5"/>
      <c r="B3116" s="5"/>
      <c r="C3116" s="5"/>
      <c r="D3116" s="5"/>
      <c r="E3116" s="5"/>
      <c r="F3116" s="5"/>
      <c r="G3116" s="5"/>
      <c r="J3116" s="5"/>
      <c r="K3116" s="5"/>
      <c r="L3116" s="5"/>
      <c r="M3116" s="5"/>
      <c r="N3116" s="5"/>
      <c r="O3116" s="5"/>
      <c r="P3116" s="5"/>
      <c r="Q3116" s="5"/>
      <c r="R3116" s="5"/>
      <c r="Y3116" s="5"/>
      <c r="Z3116" s="5"/>
      <c r="AA3116" s="5"/>
      <c r="AB3116" s="5"/>
      <c r="AG3116" s="9"/>
    </row>
    <row r="3117" s="6" customFormat="1" spans="1:33">
      <c r="A3117" s="5"/>
      <c r="B3117" s="5"/>
      <c r="C3117" s="5"/>
      <c r="D3117" s="5"/>
      <c r="E3117" s="5"/>
      <c r="F3117" s="5"/>
      <c r="G3117" s="5"/>
      <c r="J3117" s="5"/>
      <c r="K3117" s="5"/>
      <c r="L3117" s="5"/>
      <c r="M3117" s="5"/>
      <c r="N3117" s="5"/>
      <c r="O3117" s="5"/>
      <c r="P3117" s="5"/>
      <c r="Q3117" s="5"/>
      <c r="Y3117" s="5"/>
      <c r="Z3117" s="5"/>
      <c r="AA3117" s="5"/>
      <c r="AB3117" s="5"/>
      <c r="AG3117" s="9"/>
    </row>
    <row r="3118" s="6" customFormat="1" spans="1:33">
      <c r="A3118" s="5"/>
      <c r="B3118" s="5"/>
      <c r="C3118" s="5"/>
      <c r="D3118" s="5"/>
      <c r="E3118" s="5"/>
      <c r="F3118" s="5"/>
      <c r="G3118" s="5"/>
      <c r="J3118" s="5"/>
      <c r="K3118" s="5"/>
      <c r="L3118" s="5"/>
      <c r="M3118" s="5"/>
      <c r="N3118" s="5"/>
      <c r="O3118" s="5"/>
      <c r="P3118" s="5"/>
      <c r="Q3118" s="5"/>
      <c r="Y3118" s="5"/>
      <c r="Z3118" s="5"/>
      <c r="AA3118" s="5"/>
      <c r="AB3118" s="5"/>
      <c r="AG3118" s="9"/>
    </row>
    <row r="3119" s="6" customFormat="1" spans="1:33">
      <c r="A3119" s="5"/>
      <c r="B3119" s="5"/>
      <c r="C3119" s="5"/>
      <c r="D3119" s="5"/>
      <c r="E3119" s="5"/>
      <c r="F3119" s="5"/>
      <c r="G3119" s="5"/>
      <c r="J3119" s="5"/>
      <c r="K3119" s="5"/>
      <c r="L3119" s="5"/>
      <c r="M3119" s="5"/>
      <c r="N3119" s="5"/>
      <c r="O3119" s="5"/>
      <c r="P3119" s="5"/>
      <c r="Q3119" s="5"/>
      <c r="Y3119" s="5"/>
      <c r="Z3119" s="5"/>
      <c r="AA3119" s="5"/>
      <c r="AB3119" s="5"/>
      <c r="AG3119" s="9"/>
    </row>
    <row r="3120" s="6" customFormat="1" spans="1:33">
      <c r="A3120" s="5"/>
      <c r="B3120" s="5"/>
      <c r="C3120" s="5"/>
      <c r="D3120" s="5"/>
      <c r="E3120" s="5"/>
      <c r="F3120" s="5"/>
      <c r="G3120" s="5"/>
      <c r="J3120" s="5"/>
      <c r="K3120" s="5"/>
      <c r="L3120" s="5"/>
      <c r="M3120" s="5"/>
      <c r="N3120" s="5"/>
      <c r="O3120" s="5"/>
      <c r="P3120" s="5"/>
      <c r="Q3120" s="5"/>
      <c r="Y3120" s="5"/>
      <c r="Z3120" s="5"/>
      <c r="AA3120" s="5"/>
      <c r="AB3120" s="5"/>
      <c r="AG3120" s="9"/>
    </row>
    <row r="3121" s="6" customFormat="1" spans="1:33">
      <c r="A3121" s="5"/>
      <c r="B3121" s="5"/>
      <c r="C3121" s="5"/>
      <c r="D3121" s="5"/>
      <c r="E3121" s="5"/>
      <c r="F3121" s="5"/>
      <c r="G3121" s="5"/>
      <c r="J3121" s="5"/>
      <c r="K3121" s="5"/>
      <c r="L3121" s="5"/>
      <c r="M3121" s="5"/>
      <c r="N3121" s="5"/>
      <c r="O3121" s="5"/>
      <c r="P3121" s="5"/>
      <c r="Q3121" s="5"/>
      <c r="Y3121" s="5"/>
      <c r="Z3121" s="5"/>
      <c r="AA3121" s="5"/>
      <c r="AB3121" s="5"/>
      <c r="AG3121" s="9"/>
    </row>
    <row r="3122" s="6" customFormat="1" spans="1:33">
      <c r="A3122" s="5"/>
      <c r="B3122" s="5"/>
      <c r="C3122" s="5"/>
      <c r="D3122" s="5"/>
      <c r="E3122" s="5"/>
      <c r="F3122" s="5"/>
      <c r="G3122" s="5"/>
      <c r="J3122" s="5"/>
      <c r="K3122" s="5"/>
      <c r="L3122" s="5"/>
      <c r="M3122" s="5"/>
      <c r="N3122" s="5"/>
      <c r="O3122" s="5"/>
      <c r="P3122" s="5"/>
      <c r="Q3122" s="5"/>
      <c r="Y3122" s="5"/>
      <c r="Z3122" s="5"/>
      <c r="AA3122" s="5"/>
      <c r="AB3122" s="5"/>
      <c r="AG3122" s="9"/>
    </row>
    <row r="3123" s="6" customFormat="1" spans="1:33">
      <c r="A3123" s="5"/>
      <c r="B3123" s="5"/>
      <c r="C3123" s="5"/>
      <c r="D3123" s="5"/>
      <c r="E3123" s="5"/>
      <c r="F3123" s="5"/>
      <c r="G3123" s="5"/>
      <c r="J3123" s="5"/>
      <c r="K3123" s="5"/>
      <c r="L3123" s="5"/>
      <c r="M3123" s="5"/>
      <c r="N3123" s="5"/>
      <c r="O3123" s="5"/>
      <c r="P3123" s="5"/>
      <c r="Q3123" s="5"/>
      <c r="Y3123" s="5"/>
      <c r="Z3123" s="5"/>
      <c r="AA3123" s="5"/>
      <c r="AB3123" s="5"/>
      <c r="AG3123" s="9"/>
    </row>
    <row r="3124" s="6" customFormat="1" spans="1:33">
      <c r="A3124" s="5"/>
      <c r="B3124" s="5"/>
      <c r="C3124" s="5"/>
      <c r="D3124" s="5"/>
      <c r="E3124" s="5"/>
      <c r="F3124" s="5"/>
      <c r="G3124" s="5"/>
      <c r="J3124" s="5"/>
      <c r="K3124" s="5"/>
      <c r="L3124" s="5"/>
      <c r="M3124" s="5"/>
      <c r="N3124" s="5"/>
      <c r="O3124" s="5"/>
      <c r="P3124" s="5"/>
      <c r="Q3124" s="5"/>
      <c r="Y3124" s="5"/>
      <c r="Z3124" s="5"/>
      <c r="AA3124" s="5"/>
      <c r="AB3124" s="5"/>
      <c r="AG3124" s="9"/>
    </row>
    <row r="3125" s="6" customFormat="1" spans="1:33">
      <c r="A3125" s="5"/>
      <c r="B3125" s="5"/>
      <c r="C3125" s="5"/>
      <c r="D3125" s="5"/>
      <c r="E3125" s="5"/>
      <c r="F3125" s="5"/>
      <c r="G3125" s="5"/>
      <c r="J3125" s="5"/>
      <c r="K3125" s="5"/>
      <c r="L3125" s="5"/>
      <c r="M3125" s="5"/>
      <c r="N3125" s="5"/>
      <c r="O3125" s="5"/>
      <c r="P3125" s="5"/>
      <c r="Q3125" s="5"/>
      <c r="Y3125" s="5"/>
      <c r="Z3125" s="5"/>
      <c r="AA3125" s="5"/>
      <c r="AB3125" s="5"/>
      <c r="AG3125" s="9"/>
    </row>
    <row r="3126" s="6" customFormat="1" spans="1:33">
      <c r="A3126" s="5"/>
      <c r="B3126" s="5"/>
      <c r="C3126" s="5"/>
      <c r="D3126" s="5"/>
      <c r="E3126" s="5"/>
      <c r="F3126" s="5"/>
      <c r="G3126" s="5"/>
      <c r="J3126" s="5"/>
      <c r="K3126" s="5"/>
      <c r="L3126" s="5"/>
      <c r="M3126" s="5"/>
      <c r="N3126" s="5"/>
      <c r="O3126" s="5"/>
      <c r="P3126" s="5"/>
      <c r="Q3126" s="5"/>
      <c r="Y3126" s="5"/>
      <c r="Z3126" s="5"/>
      <c r="AA3126" s="5"/>
      <c r="AB3126" s="5"/>
      <c r="AG3126" s="9"/>
    </row>
    <row r="3127" s="6" customFormat="1" spans="1:33">
      <c r="A3127" s="5"/>
      <c r="B3127" s="5"/>
      <c r="C3127" s="5"/>
      <c r="D3127" s="5"/>
      <c r="E3127" s="5"/>
      <c r="F3127" s="5"/>
      <c r="G3127" s="5"/>
      <c r="J3127" s="5"/>
      <c r="K3127" s="5"/>
      <c r="L3127" s="5"/>
      <c r="M3127" s="5"/>
      <c r="N3127" s="5"/>
      <c r="O3127" s="5"/>
      <c r="P3127" s="5"/>
      <c r="Q3127" s="5"/>
      <c r="Y3127" s="5"/>
      <c r="Z3127" s="5"/>
      <c r="AA3127" s="5"/>
      <c r="AB3127" s="5"/>
      <c r="AG3127" s="9"/>
    </row>
    <row r="3128" s="6" customFormat="1" spans="1:33">
      <c r="A3128" s="5"/>
      <c r="B3128" s="5"/>
      <c r="C3128" s="5"/>
      <c r="D3128" s="5"/>
      <c r="E3128" s="5"/>
      <c r="F3128" s="5"/>
      <c r="G3128" s="5"/>
      <c r="J3128" s="5"/>
      <c r="K3128" s="5"/>
      <c r="L3128" s="5"/>
      <c r="M3128" s="5"/>
      <c r="N3128" s="5"/>
      <c r="O3128" s="5"/>
      <c r="P3128" s="5"/>
      <c r="Q3128" s="5"/>
      <c r="Y3128" s="5"/>
      <c r="Z3128" s="5"/>
      <c r="AA3128" s="5"/>
      <c r="AB3128" s="5"/>
      <c r="AG3128" s="9"/>
    </row>
    <row r="3129" s="6" customFormat="1" spans="1:33">
      <c r="A3129" s="5"/>
      <c r="B3129" s="5"/>
      <c r="C3129" s="5"/>
      <c r="D3129" s="5"/>
      <c r="E3129" s="5"/>
      <c r="F3129" s="5"/>
      <c r="G3129" s="5"/>
      <c r="J3129" s="5"/>
      <c r="K3129" s="5"/>
      <c r="L3129" s="5"/>
      <c r="M3129" s="5"/>
      <c r="N3129" s="5"/>
      <c r="O3129" s="5"/>
      <c r="P3129" s="5"/>
      <c r="Q3129" s="5"/>
      <c r="Y3129" s="5"/>
      <c r="Z3129" s="5"/>
      <c r="AA3129" s="5"/>
      <c r="AB3129" s="5"/>
      <c r="AG3129" s="9"/>
    </row>
    <row r="3130" s="6" customFormat="1" spans="1:33">
      <c r="A3130" s="5"/>
      <c r="B3130" s="5"/>
      <c r="C3130" s="5"/>
      <c r="D3130" s="5"/>
      <c r="E3130" s="5"/>
      <c r="F3130" s="5"/>
      <c r="G3130" s="5"/>
      <c r="J3130" s="5"/>
      <c r="K3130" s="5"/>
      <c r="L3130" s="5"/>
      <c r="M3130" s="5"/>
      <c r="N3130" s="5"/>
      <c r="O3130" s="5"/>
      <c r="P3130" s="5"/>
      <c r="Q3130" s="5"/>
      <c r="Y3130" s="5"/>
      <c r="Z3130" s="5"/>
      <c r="AA3130" s="5"/>
      <c r="AB3130" s="5"/>
      <c r="AG3130" s="9"/>
    </row>
    <row r="3131" s="6" customFormat="1" spans="1:33">
      <c r="A3131" s="5"/>
      <c r="B3131" s="5"/>
      <c r="C3131" s="5"/>
      <c r="D3131" s="5"/>
      <c r="E3131" s="5"/>
      <c r="F3131" s="5"/>
      <c r="G3131" s="5"/>
      <c r="J3131" s="5"/>
      <c r="K3131" s="5"/>
      <c r="L3131" s="5"/>
      <c r="M3131" s="5"/>
      <c r="N3131" s="5"/>
      <c r="O3131" s="5"/>
      <c r="P3131" s="5"/>
      <c r="Q3131" s="5"/>
      <c r="Y3131" s="5"/>
      <c r="Z3131" s="5"/>
      <c r="AA3131" s="5"/>
      <c r="AB3131" s="5"/>
      <c r="AG3131" s="9"/>
    </row>
    <row r="3132" s="6" customFormat="1" spans="1:33">
      <c r="A3132" s="5"/>
      <c r="B3132" s="5"/>
      <c r="C3132" s="5"/>
      <c r="D3132" s="5"/>
      <c r="E3132" s="5"/>
      <c r="F3132" s="5"/>
      <c r="G3132" s="5"/>
      <c r="J3132" s="5"/>
      <c r="K3132" s="5"/>
      <c r="L3132" s="5"/>
      <c r="M3132" s="5"/>
      <c r="N3132" s="5"/>
      <c r="O3132" s="5"/>
      <c r="P3132" s="5"/>
      <c r="Q3132" s="5"/>
      <c r="Y3132" s="5"/>
      <c r="Z3132" s="5"/>
      <c r="AA3132" s="5"/>
      <c r="AB3132" s="5"/>
      <c r="AG3132" s="9"/>
    </row>
    <row r="3133" s="6" customFormat="1" spans="1:33">
      <c r="A3133" s="5"/>
      <c r="B3133" s="5"/>
      <c r="C3133" s="5"/>
      <c r="D3133" s="5"/>
      <c r="E3133" s="5"/>
      <c r="F3133" s="5"/>
      <c r="G3133" s="5"/>
      <c r="J3133" s="5"/>
      <c r="K3133" s="5"/>
      <c r="L3133" s="5"/>
      <c r="M3133" s="5"/>
      <c r="N3133" s="5"/>
      <c r="O3133" s="5"/>
      <c r="P3133" s="5"/>
      <c r="Q3133" s="5"/>
      <c r="Y3133" s="5"/>
      <c r="Z3133" s="5"/>
      <c r="AA3133" s="5"/>
      <c r="AB3133" s="5"/>
      <c r="AG3133" s="9"/>
    </row>
    <row r="3134" s="6" customFormat="1" spans="1:33">
      <c r="A3134" s="5"/>
      <c r="B3134" s="5"/>
      <c r="C3134" s="5"/>
      <c r="D3134" s="5"/>
      <c r="E3134" s="5"/>
      <c r="F3134" s="5"/>
      <c r="G3134" s="5"/>
      <c r="J3134" s="5"/>
      <c r="K3134" s="5"/>
      <c r="L3134" s="5"/>
      <c r="M3134" s="5"/>
      <c r="N3134" s="5"/>
      <c r="O3134" s="5"/>
      <c r="P3134" s="5"/>
      <c r="Q3134" s="5"/>
      <c r="Y3134" s="5"/>
      <c r="Z3134" s="5"/>
      <c r="AA3134" s="5"/>
      <c r="AB3134" s="5"/>
      <c r="AG3134" s="9"/>
    </row>
    <row r="3135" s="6" customFormat="1" spans="1:33">
      <c r="A3135" s="5"/>
      <c r="B3135" s="5"/>
      <c r="C3135" s="5"/>
      <c r="D3135" s="5"/>
      <c r="E3135" s="5"/>
      <c r="F3135" s="5"/>
      <c r="G3135" s="5"/>
      <c r="J3135" s="5"/>
      <c r="K3135" s="5"/>
      <c r="L3135" s="5"/>
      <c r="M3135" s="5"/>
      <c r="N3135" s="5"/>
      <c r="O3135" s="5"/>
      <c r="P3135" s="5"/>
      <c r="Q3135" s="5"/>
      <c r="Y3135" s="5"/>
      <c r="Z3135" s="5"/>
      <c r="AA3135" s="5"/>
      <c r="AB3135" s="5"/>
      <c r="AG3135" s="9"/>
    </row>
    <row r="3136" s="6" customFormat="1" spans="1:33">
      <c r="A3136" s="5"/>
      <c r="B3136" s="5"/>
      <c r="C3136" s="5"/>
      <c r="D3136" s="5"/>
      <c r="E3136" s="5"/>
      <c r="F3136" s="5"/>
      <c r="G3136" s="5"/>
      <c r="J3136" s="5"/>
      <c r="K3136" s="5"/>
      <c r="L3136" s="5"/>
      <c r="M3136" s="5"/>
      <c r="N3136" s="5"/>
      <c r="O3136" s="5"/>
      <c r="P3136" s="5"/>
      <c r="Q3136" s="5"/>
      <c r="Y3136" s="5"/>
      <c r="Z3136" s="5"/>
      <c r="AA3136" s="5"/>
      <c r="AB3136" s="5"/>
      <c r="AG3136" s="9"/>
    </row>
    <row r="3137" s="6" customFormat="1" spans="1:33">
      <c r="A3137" s="5"/>
      <c r="B3137" s="5"/>
      <c r="C3137" s="5"/>
      <c r="D3137" s="5"/>
      <c r="E3137" s="5"/>
      <c r="F3137" s="5"/>
      <c r="G3137" s="5"/>
      <c r="J3137" s="5"/>
      <c r="K3137" s="5"/>
      <c r="L3137" s="5"/>
      <c r="M3137" s="5"/>
      <c r="N3137" s="5"/>
      <c r="O3137" s="5"/>
      <c r="P3137" s="5"/>
      <c r="Q3137" s="5"/>
      <c r="Y3137" s="5"/>
      <c r="Z3137" s="5"/>
      <c r="AA3137" s="5"/>
      <c r="AB3137" s="5"/>
      <c r="AG3137" s="9"/>
    </row>
    <row r="3138" s="6" customFormat="1" spans="1:33">
      <c r="A3138" s="5"/>
      <c r="B3138" s="5"/>
      <c r="C3138" s="5"/>
      <c r="D3138" s="5"/>
      <c r="E3138" s="5"/>
      <c r="F3138" s="5"/>
      <c r="G3138" s="5"/>
      <c r="J3138" s="5"/>
      <c r="K3138" s="5"/>
      <c r="L3138" s="5"/>
      <c r="M3138" s="5"/>
      <c r="N3138" s="5"/>
      <c r="O3138" s="5"/>
      <c r="P3138" s="5"/>
      <c r="Q3138" s="5"/>
      <c r="S3138" s="8"/>
      <c r="Y3138" s="5"/>
      <c r="Z3138" s="5"/>
      <c r="AA3138" s="5"/>
      <c r="AB3138" s="5"/>
      <c r="AG3138" s="9"/>
    </row>
    <row r="3139" s="6" customFormat="1" spans="1:33">
      <c r="A3139" s="5"/>
      <c r="B3139" s="5"/>
      <c r="C3139" s="5"/>
      <c r="D3139" s="5"/>
      <c r="E3139" s="5"/>
      <c r="F3139" s="5"/>
      <c r="G3139" s="5"/>
      <c r="J3139" s="5"/>
      <c r="K3139" s="5"/>
      <c r="L3139" s="5"/>
      <c r="M3139" s="5"/>
      <c r="N3139" s="5"/>
      <c r="O3139" s="5"/>
      <c r="P3139" s="5"/>
      <c r="Q3139" s="5"/>
      <c r="Y3139" s="5"/>
      <c r="Z3139" s="5"/>
      <c r="AA3139" s="5"/>
      <c r="AB3139" s="5"/>
      <c r="AG3139" s="9"/>
    </row>
    <row r="3140" s="6" customFormat="1" spans="1:33">
      <c r="A3140" s="5"/>
      <c r="B3140" s="5"/>
      <c r="C3140" s="5"/>
      <c r="D3140" s="5"/>
      <c r="E3140" s="5"/>
      <c r="F3140" s="5"/>
      <c r="G3140" s="5"/>
      <c r="J3140" s="5"/>
      <c r="K3140" s="5"/>
      <c r="L3140" s="5"/>
      <c r="M3140" s="5"/>
      <c r="N3140" s="5"/>
      <c r="O3140" s="5"/>
      <c r="P3140" s="5"/>
      <c r="Q3140" s="5"/>
      <c r="S3140" s="8"/>
      <c r="X3140" s="8"/>
      <c r="Y3140" s="5"/>
      <c r="Z3140" s="5"/>
      <c r="AA3140" s="5"/>
      <c r="AB3140" s="5"/>
      <c r="AC3140" s="8"/>
      <c r="AG3140" s="9"/>
    </row>
    <row r="3141" s="6" customFormat="1" spans="1:33">
      <c r="A3141" s="5"/>
      <c r="B3141" s="5"/>
      <c r="C3141" s="5"/>
      <c r="D3141" s="5"/>
      <c r="E3141" s="5"/>
      <c r="F3141" s="5"/>
      <c r="G3141" s="5"/>
      <c r="J3141" s="5"/>
      <c r="K3141" s="5"/>
      <c r="L3141" s="5"/>
      <c r="M3141" s="5"/>
      <c r="N3141" s="5"/>
      <c r="O3141" s="5"/>
      <c r="P3141" s="5"/>
      <c r="Q3141" s="5"/>
      <c r="Y3141" s="5"/>
      <c r="Z3141" s="5"/>
      <c r="AA3141" s="5"/>
      <c r="AB3141" s="5"/>
      <c r="AG3141" s="9"/>
    </row>
    <row r="3142" s="6" customFormat="1" spans="1:33">
      <c r="A3142" s="5"/>
      <c r="B3142" s="5"/>
      <c r="C3142" s="5"/>
      <c r="D3142" s="5"/>
      <c r="E3142" s="5"/>
      <c r="F3142" s="5"/>
      <c r="G3142" s="5"/>
      <c r="J3142" s="5"/>
      <c r="K3142" s="5"/>
      <c r="L3142" s="5"/>
      <c r="M3142" s="5"/>
      <c r="N3142" s="5"/>
      <c r="O3142" s="5"/>
      <c r="P3142" s="5"/>
      <c r="Q3142" s="5"/>
      <c r="R3142" s="8"/>
      <c r="Y3142" s="5"/>
      <c r="Z3142" s="5"/>
      <c r="AA3142" s="5"/>
      <c r="AB3142" s="5"/>
      <c r="AG3142" s="9"/>
    </row>
    <row r="3143" s="6" customFormat="1" spans="1:33">
      <c r="A3143" s="5"/>
      <c r="B3143" s="5"/>
      <c r="C3143" s="5"/>
      <c r="D3143" s="5"/>
      <c r="E3143" s="5"/>
      <c r="F3143" s="5"/>
      <c r="G3143" s="5"/>
      <c r="J3143" s="5"/>
      <c r="K3143" s="5"/>
      <c r="L3143" s="5"/>
      <c r="M3143" s="5"/>
      <c r="N3143" s="5"/>
      <c r="O3143" s="5"/>
      <c r="P3143" s="5"/>
      <c r="Q3143" s="5"/>
      <c r="Y3143" s="5"/>
      <c r="Z3143" s="5"/>
      <c r="AA3143" s="5"/>
      <c r="AB3143" s="5"/>
      <c r="AG3143" s="9"/>
    </row>
    <row r="3144" s="6" customFormat="1" spans="1:33">
      <c r="A3144" s="5"/>
      <c r="B3144" s="5"/>
      <c r="C3144" s="5"/>
      <c r="D3144" s="5"/>
      <c r="E3144" s="5"/>
      <c r="F3144" s="5"/>
      <c r="G3144" s="5"/>
      <c r="J3144" s="5"/>
      <c r="K3144" s="5"/>
      <c r="L3144" s="5"/>
      <c r="M3144" s="5"/>
      <c r="N3144" s="5"/>
      <c r="O3144" s="5"/>
      <c r="P3144" s="5"/>
      <c r="Q3144" s="5"/>
      <c r="Y3144" s="5"/>
      <c r="Z3144" s="5"/>
      <c r="AA3144" s="5"/>
      <c r="AB3144" s="5"/>
      <c r="AG3144" s="9"/>
    </row>
    <row r="3145" s="6" customFormat="1" spans="1:33">
      <c r="A3145" s="5"/>
      <c r="B3145" s="5"/>
      <c r="C3145" s="5"/>
      <c r="D3145" s="5"/>
      <c r="E3145" s="5"/>
      <c r="F3145" s="5"/>
      <c r="G3145" s="5"/>
      <c r="J3145" s="5"/>
      <c r="K3145" s="5"/>
      <c r="L3145" s="5"/>
      <c r="M3145" s="5"/>
      <c r="N3145" s="5"/>
      <c r="O3145" s="5"/>
      <c r="P3145" s="5"/>
      <c r="Q3145" s="5"/>
      <c r="Y3145" s="5"/>
      <c r="Z3145" s="5"/>
      <c r="AA3145" s="5"/>
      <c r="AB3145" s="5"/>
      <c r="AG3145" s="9"/>
    </row>
    <row r="3146" s="6" customFormat="1" spans="1:33">
      <c r="A3146" s="5"/>
      <c r="B3146" s="5"/>
      <c r="C3146" s="5"/>
      <c r="D3146" s="5"/>
      <c r="E3146" s="5"/>
      <c r="F3146" s="5"/>
      <c r="G3146" s="5"/>
      <c r="J3146" s="5"/>
      <c r="K3146" s="5"/>
      <c r="L3146" s="5"/>
      <c r="M3146" s="5"/>
      <c r="N3146" s="5"/>
      <c r="O3146" s="5"/>
      <c r="P3146" s="5"/>
      <c r="Q3146" s="5"/>
      <c r="S3146" s="8"/>
      <c r="Y3146" s="5"/>
      <c r="Z3146" s="5"/>
      <c r="AA3146" s="5"/>
      <c r="AB3146" s="5"/>
      <c r="AG3146" s="9"/>
    </row>
    <row r="3147" s="6" customFormat="1" spans="1:33">
      <c r="A3147" s="5"/>
      <c r="B3147" s="5"/>
      <c r="C3147" s="5"/>
      <c r="D3147" s="5"/>
      <c r="E3147" s="5"/>
      <c r="F3147" s="5"/>
      <c r="G3147" s="5"/>
      <c r="J3147" s="5"/>
      <c r="K3147" s="5"/>
      <c r="L3147" s="5"/>
      <c r="M3147" s="5"/>
      <c r="N3147" s="5"/>
      <c r="O3147" s="5"/>
      <c r="P3147" s="5"/>
      <c r="Q3147" s="5"/>
      <c r="Y3147" s="5"/>
      <c r="Z3147" s="5"/>
      <c r="AA3147" s="5"/>
      <c r="AB3147" s="5"/>
      <c r="AG3147" s="9"/>
    </row>
    <row r="3148" s="6" customFormat="1" spans="1:33">
      <c r="A3148" s="5"/>
      <c r="B3148" s="5"/>
      <c r="C3148" s="5"/>
      <c r="D3148" s="5"/>
      <c r="E3148" s="5"/>
      <c r="F3148" s="5"/>
      <c r="G3148" s="5"/>
      <c r="J3148" s="5"/>
      <c r="K3148" s="5"/>
      <c r="L3148" s="5"/>
      <c r="M3148" s="5"/>
      <c r="N3148" s="5"/>
      <c r="O3148" s="5"/>
      <c r="P3148" s="5"/>
      <c r="Q3148" s="5"/>
      <c r="Y3148" s="5"/>
      <c r="Z3148" s="5"/>
      <c r="AA3148" s="5"/>
      <c r="AB3148" s="5"/>
      <c r="AG3148" s="9"/>
    </row>
    <row r="3149" s="6" customFormat="1" spans="1:33">
      <c r="A3149" s="5"/>
      <c r="B3149" s="5"/>
      <c r="C3149" s="5"/>
      <c r="D3149" s="5"/>
      <c r="E3149" s="5"/>
      <c r="F3149" s="5"/>
      <c r="G3149" s="5"/>
      <c r="J3149" s="5"/>
      <c r="K3149" s="5"/>
      <c r="L3149" s="5"/>
      <c r="M3149" s="5"/>
      <c r="N3149" s="5"/>
      <c r="O3149" s="5"/>
      <c r="P3149" s="5"/>
      <c r="Q3149" s="5"/>
      <c r="Y3149" s="5"/>
      <c r="Z3149" s="5"/>
      <c r="AA3149" s="5"/>
      <c r="AB3149" s="5"/>
      <c r="AG3149" s="9"/>
    </row>
    <row r="3150" s="6" customFormat="1" spans="1:33">
      <c r="A3150" s="5"/>
      <c r="B3150" s="5"/>
      <c r="C3150" s="5"/>
      <c r="D3150" s="5"/>
      <c r="E3150" s="5"/>
      <c r="F3150" s="5"/>
      <c r="G3150" s="5"/>
      <c r="J3150" s="5"/>
      <c r="K3150" s="5"/>
      <c r="L3150" s="5"/>
      <c r="M3150" s="5"/>
      <c r="N3150" s="5"/>
      <c r="O3150" s="5"/>
      <c r="P3150" s="5"/>
      <c r="Q3150" s="5"/>
      <c r="R3150" s="8"/>
      <c r="Y3150" s="5"/>
      <c r="Z3150" s="5"/>
      <c r="AA3150" s="5"/>
      <c r="AB3150" s="5"/>
      <c r="AG3150" s="9"/>
    </row>
    <row r="3151" s="6" customFormat="1" spans="1:33">
      <c r="A3151" s="5"/>
      <c r="B3151" s="5"/>
      <c r="C3151" s="5"/>
      <c r="D3151" s="5"/>
      <c r="E3151" s="5"/>
      <c r="F3151" s="5"/>
      <c r="G3151" s="5"/>
      <c r="J3151" s="5"/>
      <c r="K3151" s="5"/>
      <c r="L3151" s="5"/>
      <c r="M3151" s="5"/>
      <c r="N3151" s="5"/>
      <c r="O3151" s="5"/>
      <c r="P3151" s="5"/>
      <c r="Q3151" s="5"/>
      <c r="Y3151" s="5"/>
      <c r="Z3151" s="5"/>
      <c r="AA3151" s="5"/>
      <c r="AB3151" s="5"/>
      <c r="AG3151" s="9"/>
    </row>
    <row r="3152" s="6" customFormat="1" spans="1:33">
      <c r="A3152" s="5"/>
      <c r="B3152" s="5"/>
      <c r="C3152" s="5"/>
      <c r="D3152" s="5"/>
      <c r="E3152" s="5"/>
      <c r="F3152" s="5"/>
      <c r="G3152" s="5"/>
      <c r="J3152" s="5"/>
      <c r="K3152" s="5"/>
      <c r="L3152" s="5"/>
      <c r="M3152" s="5"/>
      <c r="N3152" s="5"/>
      <c r="O3152" s="5"/>
      <c r="P3152" s="5"/>
      <c r="Q3152" s="5"/>
      <c r="Y3152" s="5"/>
      <c r="Z3152" s="5"/>
      <c r="AA3152" s="5"/>
      <c r="AB3152" s="5"/>
      <c r="AG3152" s="9"/>
    </row>
    <row r="3153" s="6" customFormat="1" spans="1:33">
      <c r="A3153" s="5"/>
      <c r="B3153" s="5"/>
      <c r="C3153" s="5"/>
      <c r="D3153" s="5"/>
      <c r="E3153" s="5"/>
      <c r="F3153" s="5"/>
      <c r="G3153" s="5"/>
      <c r="J3153" s="5"/>
      <c r="K3153" s="5"/>
      <c r="L3153" s="5"/>
      <c r="M3153" s="5"/>
      <c r="N3153" s="5"/>
      <c r="O3153" s="5"/>
      <c r="P3153" s="5"/>
      <c r="Q3153" s="5"/>
      <c r="Y3153" s="5"/>
      <c r="Z3153" s="5"/>
      <c r="AA3153" s="5"/>
      <c r="AB3153" s="5"/>
      <c r="AG3153" s="9"/>
    </row>
    <row r="3154" s="6" customFormat="1" spans="1:33">
      <c r="A3154" s="5"/>
      <c r="B3154" s="5"/>
      <c r="C3154" s="5"/>
      <c r="D3154" s="5"/>
      <c r="E3154" s="5"/>
      <c r="F3154" s="5"/>
      <c r="G3154" s="5"/>
      <c r="J3154" s="5"/>
      <c r="K3154" s="5"/>
      <c r="L3154" s="5"/>
      <c r="M3154" s="5"/>
      <c r="N3154" s="5"/>
      <c r="O3154" s="5"/>
      <c r="P3154" s="5"/>
      <c r="Q3154" s="5"/>
      <c r="Y3154" s="5"/>
      <c r="Z3154" s="5"/>
      <c r="AA3154" s="5"/>
      <c r="AB3154" s="5"/>
      <c r="AG3154" s="9"/>
    </row>
    <row r="3155" s="6" customFormat="1" spans="1:33">
      <c r="A3155" s="5"/>
      <c r="B3155" s="5"/>
      <c r="C3155" s="5"/>
      <c r="D3155" s="5"/>
      <c r="E3155" s="5"/>
      <c r="F3155" s="5"/>
      <c r="G3155" s="5"/>
      <c r="J3155" s="5"/>
      <c r="K3155" s="5"/>
      <c r="L3155" s="5"/>
      <c r="M3155" s="5"/>
      <c r="N3155" s="5"/>
      <c r="O3155" s="5"/>
      <c r="P3155" s="5"/>
      <c r="Q3155" s="5"/>
      <c r="Y3155" s="5"/>
      <c r="Z3155" s="5"/>
      <c r="AA3155" s="5"/>
      <c r="AB3155" s="5"/>
      <c r="AG3155" s="9"/>
    </row>
    <row r="3156" s="6" customFormat="1" spans="1:33">
      <c r="A3156" s="5"/>
      <c r="B3156" s="5"/>
      <c r="C3156" s="5"/>
      <c r="D3156" s="5"/>
      <c r="E3156" s="5"/>
      <c r="F3156" s="5"/>
      <c r="G3156" s="5"/>
      <c r="J3156" s="5"/>
      <c r="K3156" s="5"/>
      <c r="L3156" s="5"/>
      <c r="M3156" s="5"/>
      <c r="N3156" s="5"/>
      <c r="O3156" s="5"/>
      <c r="P3156" s="5"/>
      <c r="Q3156" s="5"/>
      <c r="S3156" s="8"/>
      <c r="X3156" s="8"/>
      <c r="Y3156" s="5"/>
      <c r="Z3156" s="5"/>
      <c r="AA3156" s="5"/>
      <c r="AB3156" s="5"/>
      <c r="AG3156" s="9"/>
    </row>
    <row r="3157" s="6" customFormat="1" spans="1:33">
      <c r="A3157" s="5"/>
      <c r="B3157" s="5"/>
      <c r="C3157" s="5"/>
      <c r="D3157" s="5"/>
      <c r="E3157" s="5"/>
      <c r="F3157" s="5"/>
      <c r="G3157" s="5"/>
      <c r="J3157" s="5"/>
      <c r="K3157" s="5"/>
      <c r="L3157" s="5"/>
      <c r="M3157" s="5"/>
      <c r="N3157" s="5"/>
      <c r="O3157" s="5"/>
      <c r="P3157" s="5"/>
      <c r="Q3157" s="5"/>
      <c r="Y3157" s="5"/>
      <c r="Z3157" s="5"/>
      <c r="AA3157" s="5"/>
      <c r="AB3157" s="5"/>
      <c r="AG3157" s="9"/>
    </row>
    <row r="3158" s="6" customFormat="1" spans="1:33">
      <c r="A3158" s="5"/>
      <c r="B3158" s="5"/>
      <c r="C3158" s="5"/>
      <c r="D3158" s="5"/>
      <c r="E3158" s="5"/>
      <c r="F3158" s="5"/>
      <c r="G3158" s="5"/>
      <c r="J3158" s="5"/>
      <c r="K3158" s="5"/>
      <c r="L3158" s="5"/>
      <c r="M3158" s="5"/>
      <c r="N3158" s="5"/>
      <c r="O3158" s="5"/>
      <c r="P3158" s="5"/>
      <c r="Q3158" s="5"/>
      <c r="S3158" s="8"/>
      <c r="X3158" s="8"/>
      <c r="Y3158" s="5"/>
      <c r="Z3158" s="5"/>
      <c r="AA3158" s="5"/>
      <c r="AB3158" s="5"/>
      <c r="AC3158" s="8"/>
      <c r="AG3158" s="9"/>
    </row>
    <row r="3159" s="6" customFormat="1" spans="1:33">
      <c r="A3159" s="5"/>
      <c r="B3159" s="5"/>
      <c r="C3159" s="5"/>
      <c r="D3159" s="5"/>
      <c r="E3159" s="5"/>
      <c r="F3159" s="5"/>
      <c r="G3159" s="5"/>
      <c r="J3159" s="5"/>
      <c r="K3159" s="5"/>
      <c r="L3159" s="5"/>
      <c r="M3159" s="5"/>
      <c r="N3159" s="5"/>
      <c r="O3159" s="5"/>
      <c r="P3159" s="5"/>
      <c r="Q3159" s="5"/>
      <c r="Y3159" s="5"/>
      <c r="Z3159" s="5"/>
      <c r="AA3159" s="5"/>
      <c r="AB3159" s="5"/>
      <c r="AG3159" s="9"/>
    </row>
    <row r="3160" s="6" customFormat="1" spans="1:33">
      <c r="A3160" s="5"/>
      <c r="B3160" s="5"/>
      <c r="C3160" s="5"/>
      <c r="D3160" s="5"/>
      <c r="E3160" s="5"/>
      <c r="F3160" s="5"/>
      <c r="G3160" s="5"/>
      <c r="J3160" s="5"/>
      <c r="K3160" s="5"/>
      <c r="L3160" s="5"/>
      <c r="M3160" s="5"/>
      <c r="N3160" s="5"/>
      <c r="O3160" s="5"/>
      <c r="P3160" s="5"/>
      <c r="Q3160" s="5"/>
      <c r="Y3160" s="5"/>
      <c r="Z3160" s="5"/>
      <c r="AA3160" s="5"/>
      <c r="AB3160" s="5"/>
      <c r="AG3160" s="9"/>
    </row>
    <row r="3161" s="6" customFormat="1" spans="1:33">
      <c r="A3161" s="5"/>
      <c r="B3161" s="5"/>
      <c r="C3161" s="5"/>
      <c r="D3161" s="5"/>
      <c r="E3161" s="5"/>
      <c r="F3161" s="5"/>
      <c r="G3161" s="5"/>
      <c r="J3161" s="5"/>
      <c r="K3161" s="5"/>
      <c r="L3161" s="5"/>
      <c r="M3161" s="5"/>
      <c r="N3161" s="5"/>
      <c r="O3161" s="5"/>
      <c r="P3161" s="5"/>
      <c r="Q3161" s="5"/>
      <c r="Y3161" s="5"/>
      <c r="Z3161" s="5"/>
      <c r="AA3161" s="5"/>
      <c r="AB3161" s="5"/>
      <c r="AG3161" s="9"/>
    </row>
    <row r="3162" s="6" customFormat="1" spans="1:33">
      <c r="A3162" s="5"/>
      <c r="B3162" s="5"/>
      <c r="C3162" s="5"/>
      <c r="D3162" s="5"/>
      <c r="E3162" s="5"/>
      <c r="F3162" s="5"/>
      <c r="G3162" s="5"/>
      <c r="J3162" s="5"/>
      <c r="K3162" s="5"/>
      <c r="L3162" s="5"/>
      <c r="M3162" s="5"/>
      <c r="N3162" s="5"/>
      <c r="O3162" s="5"/>
      <c r="P3162" s="5"/>
      <c r="Q3162" s="5"/>
      <c r="S3162" s="8"/>
      <c r="X3162" s="8"/>
      <c r="Y3162" s="5"/>
      <c r="Z3162" s="5"/>
      <c r="AA3162" s="5"/>
      <c r="AB3162" s="5"/>
      <c r="AC3162" s="8"/>
      <c r="AG3162" s="9"/>
    </row>
    <row r="3163" s="6" customFormat="1" spans="1:33">
      <c r="A3163" s="5"/>
      <c r="B3163" s="5"/>
      <c r="C3163" s="5"/>
      <c r="D3163" s="5"/>
      <c r="E3163" s="5"/>
      <c r="F3163" s="5"/>
      <c r="G3163" s="5"/>
      <c r="J3163" s="5"/>
      <c r="K3163" s="5"/>
      <c r="L3163" s="5"/>
      <c r="M3163" s="5"/>
      <c r="N3163" s="5"/>
      <c r="O3163" s="5"/>
      <c r="P3163" s="5"/>
      <c r="Q3163" s="5"/>
      <c r="Y3163" s="5"/>
      <c r="Z3163" s="5"/>
      <c r="AA3163" s="5"/>
      <c r="AB3163" s="5"/>
      <c r="AG3163" s="9"/>
    </row>
    <row r="3164" s="6" customFormat="1" spans="1:33">
      <c r="A3164" s="5"/>
      <c r="B3164" s="5"/>
      <c r="C3164" s="5"/>
      <c r="D3164" s="5"/>
      <c r="E3164" s="5"/>
      <c r="F3164" s="5"/>
      <c r="G3164" s="5"/>
      <c r="J3164" s="5"/>
      <c r="K3164" s="5"/>
      <c r="L3164" s="5"/>
      <c r="M3164" s="5"/>
      <c r="N3164" s="5"/>
      <c r="O3164" s="5"/>
      <c r="P3164" s="5"/>
      <c r="Q3164" s="5"/>
      <c r="Y3164" s="5"/>
      <c r="Z3164" s="5"/>
      <c r="AA3164" s="5"/>
      <c r="AB3164" s="5"/>
      <c r="AG3164" s="9"/>
    </row>
    <row r="3165" s="6" customFormat="1" spans="1:33">
      <c r="A3165" s="5"/>
      <c r="B3165" s="5"/>
      <c r="C3165" s="5"/>
      <c r="D3165" s="5"/>
      <c r="E3165" s="5"/>
      <c r="F3165" s="5"/>
      <c r="G3165" s="5"/>
      <c r="J3165" s="5"/>
      <c r="K3165" s="5"/>
      <c r="L3165" s="5"/>
      <c r="M3165" s="5"/>
      <c r="N3165" s="5"/>
      <c r="O3165" s="5"/>
      <c r="P3165" s="8"/>
      <c r="Q3165" s="8"/>
      <c r="Y3165" s="5"/>
      <c r="Z3165" s="5"/>
      <c r="AA3165" s="5"/>
      <c r="AB3165" s="5"/>
      <c r="AG3165" s="9"/>
    </row>
    <row r="3166" s="6" customFormat="1" spans="1:33">
      <c r="A3166" s="5"/>
      <c r="B3166" s="5"/>
      <c r="C3166" s="5"/>
      <c r="D3166" s="5"/>
      <c r="E3166" s="5"/>
      <c r="F3166" s="5"/>
      <c r="G3166" s="5"/>
      <c r="J3166" s="5"/>
      <c r="K3166" s="5"/>
      <c r="L3166" s="5"/>
      <c r="M3166" s="5"/>
      <c r="N3166" s="5"/>
      <c r="O3166" s="5"/>
      <c r="P3166" s="5"/>
      <c r="Q3166" s="5"/>
      <c r="Y3166" s="5"/>
      <c r="Z3166" s="5"/>
      <c r="AA3166" s="5"/>
      <c r="AB3166" s="5"/>
      <c r="AG3166" s="9"/>
    </row>
    <row r="3167" s="6" customFormat="1" spans="1:33">
      <c r="A3167" s="5"/>
      <c r="B3167" s="5"/>
      <c r="C3167" s="5"/>
      <c r="D3167" s="5"/>
      <c r="E3167" s="5"/>
      <c r="F3167" s="5"/>
      <c r="G3167" s="5"/>
      <c r="J3167" s="5"/>
      <c r="K3167" s="5"/>
      <c r="L3167" s="5"/>
      <c r="M3167" s="5"/>
      <c r="N3167" s="5"/>
      <c r="O3167" s="5"/>
      <c r="P3167" s="8"/>
      <c r="Q3167" s="8"/>
      <c r="Y3167" s="5"/>
      <c r="Z3167" s="5"/>
      <c r="AA3167" s="5"/>
      <c r="AB3167" s="5"/>
      <c r="AG3167" s="9"/>
    </row>
    <row r="3168" s="6" customFormat="1" spans="1:33">
      <c r="A3168" s="5"/>
      <c r="B3168" s="5"/>
      <c r="C3168" s="5"/>
      <c r="D3168" s="5"/>
      <c r="E3168" s="5"/>
      <c r="F3168" s="5"/>
      <c r="G3168" s="5"/>
      <c r="J3168" s="5"/>
      <c r="K3168" s="5"/>
      <c r="L3168" s="5"/>
      <c r="M3168" s="5"/>
      <c r="N3168" s="5"/>
      <c r="O3168" s="5"/>
      <c r="P3168" s="5"/>
      <c r="Q3168" s="5"/>
      <c r="Y3168" s="5"/>
      <c r="Z3168" s="5"/>
      <c r="AA3168" s="5"/>
      <c r="AB3168" s="5"/>
      <c r="AG3168" s="9"/>
    </row>
    <row r="3169" s="6" customFormat="1" spans="1:33">
      <c r="A3169" s="5"/>
      <c r="C3169" s="5"/>
      <c r="D3169" s="5"/>
      <c r="E3169" s="5"/>
      <c r="F3169" s="5"/>
      <c r="G3169" s="5"/>
      <c r="J3169" s="5"/>
      <c r="K3169" s="5"/>
      <c r="L3169" s="5"/>
      <c r="M3169" s="5"/>
      <c r="N3169" s="5"/>
      <c r="O3169" s="5"/>
      <c r="P3169" s="5"/>
      <c r="Q3169" s="5"/>
      <c r="R3169" s="8"/>
      <c r="S3169" s="8"/>
      <c r="U3169" s="8"/>
      <c r="Y3169" s="5"/>
      <c r="Z3169" s="5"/>
      <c r="AA3169" s="5"/>
      <c r="AB3169" s="5"/>
      <c r="AD3169" s="8"/>
      <c r="AE3169" s="8"/>
      <c r="AG3169" s="9"/>
    </row>
    <row r="3170" spans="1:33">
      <c r="A3170" s="5"/>
      <c r="B3170" s="5"/>
      <c r="C3170" s="5"/>
      <c r="D3170" s="5"/>
      <c r="E3170" s="5"/>
      <c r="F3170" s="5"/>
      <c r="G3170" s="5"/>
      <c r="H3170" s="5"/>
      <c r="I3170" s="5"/>
      <c r="J3170" s="5"/>
      <c r="K3170" s="5"/>
      <c r="L3170" s="5"/>
      <c r="M3170" s="5"/>
      <c r="N3170" s="5"/>
      <c r="O3170" s="5"/>
      <c r="P3170" s="5"/>
      <c r="Q3170" s="5"/>
      <c r="R3170" s="5"/>
      <c r="S3170" s="5"/>
      <c r="T3170" s="5"/>
      <c r="U3170" s="5"/>
      <c r="V3170" s="5"/>
      <c r="W3170" s="5"/>
      <c r="X3170" s="5"/>
      <c r="Y3170" s="5"/>
      <c r="Z3170" s="5"/>
      <c r="AA3170" s="5"/>
      <c r="AB3170" s="5"/>
      <c r="AC3170" s="5"/>
      <c r="AD3170" s="5"/>
      <c r="AE3170" s="5"/>
      <c r="AF3170" s="5"/>
      <c r="AG3170" s="9"/>
    </row>
    <row r="3171" spans="1:33">
      <c r="A3171" s="5"/>
      <c r="B3171" s="5"/>
      <c r="C3171" s="5"/>
      <c r="D3171" s="5"/>
      <c r="E3171" s="5"/>
      <c r="F3171" s="5"/>
      <c r="G3171" s="5"/>
      <c r="H3171" s="5"/>
      <c r="I3171" s="5"/>
      <c r="J3171" s="5"/>
      <c r="K3171" s="5"/>
      <c r="L3171" s="5"/>
      <c r="M3171" s="5"/>
      <c r="N3171" s="5"/>
      <c r="O3171" s="5"/>
      <c r="P3171" s="5"/>
      <c r="Q3171" s="5"/>
      <c r="R3171" s="5"/>
      <c r="S3171" s="5"/>
      <c r="T3171" s="5"/>
      <c r="U3171" s="5"/>
      <c r="V3171" s="5"/>
      <c r="W3171" s="5"/>
      <c r="X3171" s="5"/>
      <c r="Y3171" s="5"/>
      <c r="Z3171" s="5"/>
      <c r="AA3171" s="5"/>
      <c r="AB3171" s="5"/>
      <c r="AC3171" s="5"/>
      <c r="AD3171" s="5"/>
      <c r="AE3171" s="5"/>
      <c r="AF3171" s="5"/>
      <c r="AG3171" s="9"/>
    </row>
    <row r="3172" spans="1:33">
      <c r="A3172" s="5"/>
      <c r="B3172" s="5"/>
      <c r="C3172" s="5"/>
      <c r="D3172" s="5"/>
      <c r="E3172" s="5"/>
      <c r="F3172" s="5"/>
      <c r="G3172" s="5"/>
      <c r="H3172" s="5"/>
      <c r="I3172" s="5"/>
      <c r="J3172" s="5"/>
      <c r="K3172" s="5"/>
      <c r="L3172" s="5"/>
      <c r="M3172" s="5"/>
      <c r="N3172" s="5"/>
      <c r="O3172" s="5"/>
      <c r="P3172" s="5"/>
      <c r="Q3172" s="5"/>
      <c r="R3172" s="5"/>
      <c r="S3172" s="5"/>
      <c r="T3172" s="5"/>
      <c r="U3172" s="5"/>
      <c r="V3172" s="5"/>
      <c r="W3172" s="5"/>
      <c r="X3172" s="5"/>
      <c r="Y3172" s="5"/>
      <c r="Z3172" s="5"/>
      <c r="AA3172" s="5"/>
      <c r="AB3172" s="5"/>
      <c r="AC3172" s="5"/>
      <c r="AD3172" s="5"/>
      <c r="AE3172" s="5"/>
      <c r="AF3172" s="5"/>
      <c r="AG3172" s="9"/>
    </row>
    <row r="3173" spans="1:33">
      <c r="A3173" s="5"/>
      <c r="B3173" s="5"/>
      <c r="C3173" s="5"/>
      <c r="D3173" s="5"/>
      <c r="E3173" s="5"/>
      <c r="F3173" s="5"/>
      <c r="G3173" s="5"/>
      <c r="H3173" s="5"/>
      <c r="I3173" s="5"/>
      <c r="J3173" s="5"/>
      <c r="K3173" s="5"/>
      <c r="L3173" s="5"/>
      <c r="M3173" s="5"/>
      <c r="N3173" s="5"/>
      <c r="O3173" s="5"/>
      <c r="P3173" s="5"/>
      <c r="Q3173" s="5"/>
      <c r="R3173" s="5"/>
      <c r="S3173" s="5"/>
      <c r="T3173" s="5"/>
      <c r="U3173" s="5"/>
      <c r="V3173" s="5"/>
      <c r="W3173" s="5"/>
      <c r="X3173" s="5"/>
      <c r="Y3173" s="5"/>
      <c r="Z3173" s="5"/>
      <c r="AA3173" s="5"/>
      <c r="AB3173" s="5"/>
      <c r="AC3173" s="5"/>
      <c r="AD3173" s="5"/>
      <c r="AE3173" s="5"/>
      <c r="AF3173" s="5"/>
      <c r="AG3173" s="9"/>
    </row>
    <row r="3174" spans="1:33">
      <c r="A3174" s="5"/>
      <c r="B3174" s="5"/>
      <c r="C3174" s="5"/>
      <c r="D3174" s="5"/>
      <c r="E3174" s="5"/>
      <c r="F3174" s="5"/>
      <c r="G3174" s="5"/>
      <c r="H3174" s="5"/>
      <c r="I3174" s="5"/>
      <c r="J3174" s="5"/>
      <c r="K3174" s="5"/>
      <c r="L3174" s="5"/>
      <c r="M3174" s="5"/>
      <c r="N3174" s="5"/>
      <c r="O3174" s="5"/>
      <c r="P3174" s="5"/>
      <c r="Q3174" s="5"/>
      <c r="R3174" s="5"/>
      <c r="S3174" s="5"/>
      <c r="T3174" s="5"/>
      <c r="U3174" s="5"/>
      <c r="V3174" s="5"/>
      <c r="W3174" s="5"/>
      <c r="X3174" s="5"/>
      <c r="Y3174" s="5"/>
      <c r="Z3174" s="5"/>
      <c r="AA3174" s="5"/>
      <c r="AB3174" s="5"/>
      <c r="AC3174" s="5"/>
      <c r="AD3174" s="5"/>
      <c r="AE3174" s="5"/>
      <c r="AF3174" s="5"/>
      <c r="AG3174" s="9"/>
    </row>
    <row r="3175" spans="1:33">
      <c r="A3175" s="5"/>
      <c r="B3175" s="5"/>
      <c r="C3175" s="5"/>
      <c r="D3175" s="5"/>
      <c r="E3175" s="5"/>
      <c r="F3175" s="5"/>
      <c r="G3175" s="5"/>
      <c r="H3175" s="5"/>
      <c r="I3175" s="5"/>
      <c r="J3175" s="5"/>
      <c r="K3175" s="5"/>
      <c r="L3175" s="5"/>
      <c r="M3175" s="5"/>
      <c r="N3175" s="5"/>
      <c r="O3175" s="5"/>
      <c r="P3175" s="5"/>
      <c r="Q3175" s="5"/>
      <c r="R3175" s="5"/>
      <c r="S3175" s="5"/>
      <c r="T3175" s="5"/>
      <c r="U3175" s="5"/>
      <c r="V3175" s="5"/>
      <c r="W3175" s="5"/>
      <c r="X3175" s="5"/>
      <c r="Y3175" s="5"/>
      <c r="Z3175" s="5"/>
      <c r="AA3175" s="5"/>
      <c r="AB3175" s="5"/>
      <c r="AC3175" s="5"/>
      <c r="AD3175" s="5"/>
      <c r="AE3175" s="5"/>
      <c r="AF3175" s="5"/>
      <c r="AG3175" s="9"/>
    </row>
    <row r="3176" spans="1:33">
      <c r="A3176" s="5"/>
      <c r="B3176" s="5"/>
      <c r="C3176" s="5"/>
      <c r="D3176" s="5"/>
      <c r="E3176" s="5"/>
      <c r="F3176" s="5"/>
      <c r="G3176" s="5"/>
      <c r="H3176" s="5"/>
      <c r="I3176" s="5"/>
      <c r="J3176" s="5"/>
      <c r="K3176" s="5"/>
      <c r="L3176" s="5"/>
      <c r="M3176" s="5"/>
      <c r="N3176" s="5"/>
      <c r="O3176" s="5"/>
      <c r="P3176" s="5"/>
      <c r="Q3176" s="5"/>
      <c r="R3176" s="5"/>
      <c r="S3176" s="5"/>
      <c r="T3176" s="5"/>
      <c r="U3176" s="5"/>
      <c r="V3176" s="5"/>
      <c r="W3176" s="5"/>
      <c r="X3176" s="5"/>
      <c r="Y3176" s="5"/>
      <c r="Z3176" s="5"/>
      <c r="AA3176" s="5"/>
      <c r="AB3176" s="5"/>
      <c r="AC3176" s="5"/>
      <c r="AD3176" s="5"/>
      <c r="AE3176" s="5"/>
      <c r="AF3176" s="5"/>
      <c r="AG3176" s="9"/>
    </row>
    <row r="3177" spans="1:33">
      <c r="A3177" s="5"/>
      <c r="B3177" s="5"/>
      <c r="C3177" s="5"/>
      <c r="D3177" s="5"/>
      <c r="E3177" s="5"/>
      <c r="F3177" s="5"/>
      <c r="G3177" s="5"/>
      <c r="H3177" s="5"/>
      <c r="I3177" s="5"/>
      <c r="J3177" s="5"/>
      <c r="K3177" s="5"/>
      <c r="L3177" s="5"/>
      <c r="M3177" s="5"/>
      <c r="N3177" s="5"/>
      <c r="O3177" s="5"/>
      <c r="P3177" s="5"/>
      <c r="Q3177" s="5"/>
      <c r="R3177" s="5"/>
      <c r="S3177" s="5"/>
      <c r="T3177" s="5"/>
      <c r="U3177" s="5"/>
      <c r="V3177" s="5"/>
      <c r="W3177" s="5"/>
      <c r="X3177" s="5"/>
      <c r="Y3177" s="5"/>
      <c r="Z3177" s="5"/>
      <c r="AA3177" s="5"/>
      <c r="AB3177" s="5"/>
      <c r="AC3177" s="5"/>
      <c r="AD3177" s="5"/>
      <c r="AE3177" s="5"/>
      <c r="AF3177" s="5"/>
      <c r="AG3177" s="9"/>
    </row>
    <row r="3178" spans="1:33">
      <c r="A3178" s="5"/>
      <c r="B3178" s="5"/>
      <c r="C3178" s="5"/>
      <c r="D3178" s="5"/>
      <c r="E3178" s="5"/>
      <c r="F3178" s="5"/>
      <c r="G3178" s="5"/>
      <c r="H3178" s="5"/>
      <c r="I3178" s="5"/>
      <c r="J3178" s="5"/>
      <c r="K3178" s="5"/>
      <c r="L3178" s="5"/>
      <c r="M3178" s="5"/>
      <c r="N3178" s="5"/>
      <c r="O3178" s="5"/>
      <c r="P3178" s="5"/>
      <c r="Q3178" s="5"/>
      <c r="R3178" s="5"/>
      <c r="S3178" s="5"/>
      <c r="T3178" s="5"/>
      <c r="U3178" s="5"/>
      <c r="V3178" s="5"/>
      <c r="W3178" s="5"/>
      <c r="X3178" s="5"/>
      <c r="Y3178" s="5"/>
      <c r="Z3178" s="5"/>
      <c r="AA3178" s="5"/>
      <c r="AB3178" s="5"/>
      <c r="AC3178" s="5"/>
      <c r="AD3178" s="5"/>
      <c r="AE3178" s="5"/>
      <c r="AF3178" s="5"/>
      <c r="AG3178" s="9"/>
    </row>
    <row r="3179" spans="1:33">
      <c r="A3179" s="5"/>
      <c r="B3179" s="5"/>
      <c r="C3179" s="5"/>
      <c r="D3179" s="5"/>
      <c r="E3179" s="5"/>
      <c r="F3179" s="5"/>
      <c r="G3179" s="5"/>
      <c r="H3179" s="5"/>
      <c r="I3179" s="5"/>
      <c r="J3179" s="5"/>
      <c r="K3179" s="5"/>
      <c r="L3179" s="5"/>
      <c r="M3179" s="5"/>
      <c r="N3179" s="5"/>
      <c r="O3179" s="5"/>
      <c r="P3179" s="5"/>
      <c r="Q3179" s="5"/>
      <c r="R3179" s="5"/>
      <c r="S3179" s="5"/>
      <c r="T3179" s="5"/>
      <c r="U3179" s="5"/>
      <c r="V3179" s="5"/>
      <c r="W3179" s="5"/>
      <c r="X3179" s="5"/>
      <c r="Y3179" s="5"/>
      <c r="Z3179" s="5"/>
      <c r="AA3179" s="5"/>
      <c r="AB3179" s="5"/>
      <c r="AC3179" s="5"/>
      <c r="AD3179" s="5"/>
      <c r="AE3179" s="5"/>
      <c r="AF3179" s="5"/>
      <c r="AG3179" s="9"/>
    </row>
    <row r="3180" spans="1:33">
      <c r="A3180" s="5"/>
      <c r="B3180" s="5"/>
      <c r="C3180" s="5"/>
      <c r="D3180" s="5"/>
      <c r="E3180" s="5"/>
      <c r="F3180" s="5"/>
      <c r="G3180" s="5"/>
      <c r="H3180" s="5"/>
      <c r="I3180" s="5"/>
      <c r="J3180" s="5"/>
      <c r="K3180" s="5"/>
      <c r="L3180" s="5"/>
      <c r="M3180" s="5"/>
      <c r="N3180" s="5"/>
      <c r="O3180" s="5"/>
      <c r="P3180" s="5"/>
      <c r="Q3180" s="5"/>
      <c r="R3180" s="5"/>
      <c r="S3180" s="5"/>
      <c r="T3180" s="5"/>
      <c r="U3180" s="5"/>
      <c r="V3180" s="5"/>
      <c r="W3180" s="5"/>
      <c r="X3180" s="5"/>
      <c r="Y3180" s="5"/>
      <c r="Z3180" s="5"/>
      <c r="AA3180" s="5"/>
      <c r="AB3180" s="5"/>
      <c r="AC3180" s="5"/>
      <c r="AD3180" s="5"/>
      <c r="AE3180" s="5"/>
      <c r="AF3180" s="5"/>
      <c r="AG3180" s="9"/>
    </row>
    <row r="3181" spans="1:33">
      <c r="A3181" s="5"/>
      <c r="B3181" s="5"/>
      <c r="C3181" s="5"/>
      <c r="D3181" s="5"/>
      <c r="E3181" s="5"/>
      <c r="F3181" s="5"/>
      <c r="G3181" s="5"/>
      <c r="H3181" s="5"/>
      <c r="I3181" s="5"/>
      <c r="J3181" s="5"/>
      <c r="K3181" s="5"/>
      <c r="L3181" s="5"/>
      <c r="M3181" s="5"/>
      <c r="N3181" s="5"/>
      <c r="O3181" s="5"/>
      <c r="P3181" s="5"/>
      <c r="Q3181" s="5"/>
      <c r="R3181" s="5"/>
      <c r="S3181" s="5"/>
      <c r="T3181" s="5"/>
      <c r="U3181" s="5"/>
      <c r="V3181" s="5"/>
      <c r="W3181" s="5"/>
      <c r="X3181" s="5"/>
      <c r="Y3181" s="5"/>
      <c r="Z3181" s="5"/>
      <c r="AA3181" s="5"/>
      <c r="AB3181" s="5"/>
      <c r="AC3181" s="5"/>
      <c r="AD3181" s="5"/>
      <c r="AE3181" s="5"/>
      <c r="AF3181" s="5"/>
      <c r="AG3181" s="9"/>
    </row>
    <row r="3182" spans="1:33">
      <c r="A3182" s="5"/>
      <c r="B3182" s="5"/>
      <c r="C3182" s="5"/>
      <c r="D3182" s="5"/>
      <c r="E3182" s="5"/>
      <c r="F3182" s="5"/>
      <c r="G3182" s="5"/>
      <c r="H3182" s="5"/>
      <c r="I3182" s="5"/>
      <c r="J3182" s="5"/>
      <c r="K3182" s="5"/>
      <c r="L3182" s="5"/>
      <c r="M3182" s="5"/>
      <c r="N3182" s="5"/>
      <c r="O3182" s="5"/>
      <c r="P3182" s="5"/>
      <c r="Q3182" s="5"/>
      <c r="R3182" s="5"/>
      <c r="S3182" s="5"/>
      <c r="T3182" s="5"/>
      <c r="U3182" s="5"/>
      <c r="V3182" s="5"/>
      <c r="W3182" s="5"/>
      <c r="X3182" s="5"/>
      <c r="Y3182" s="5"/>
      <c r="Z3182" s="5"/>
      <c r="AA3182" s="5"/>
      <c r="AB3182" s="5"/>
      <c r="AC3182" s="5"/>
      <c r="AD3182" s="5"/>
      <c r="AE3182" s="5"/>
      <c r="AF3182" s="5"/>
      <c r="AG3182" s="9"/>
    </row>
    <row r="3183" spans="1:33">
      <c r="A3183" s="5"/>
      <c r="B3183" s="5"/>
      <c r="C3183" s="5"/>
      <c r="D3183" s="5"/>
      <c r="E3183" s="5"/>
      <c r="F3183" s="5"/>
      <c r="G3183" s="5"/>
      <c r="H3183" s="5"/>
      <c r="I3183" s="5"/>
      <c r="J3183" s="5"/>
      <c r="K3183" s="5"/>
      <c r="L3183" s="5"/>
      <c r="M3183" s="5"/>
      <c r="N3183" s="5"/>
      <c r="O3183" s="5"/>
      <c r="P3183" s="5"/>
      <c r="Q3183" s="5"/>
      <c r="R3183" s="5"/>
      <c r="S3183" s="5"/>
      <c r="T3183" s="5"/>
      <c r="U3183" s="5"/>
      <c r="V3183" s="5"/>
      <c r="W3183" s="5"/>
      <c r="X3183" s="5"/>
      <c r="Y3183" s="5"/>
      <c r="Z3183" s="5"/>
      <c r="AA3183" s="5"/>
      <c r="AB3183" s="5"/>
      <c r="AC3183" s="5"/>
      <c r="AD3183" s="5"/>
      <c r="AE3183" s="5"/>
      <c r="AF3183" s="5"/>
      <c r="AG3183" s="9"/>
    </row>
    <row r="3184" spans="1:33">
      <c r="A3184" s="5"/>
      <c r="B3184" s="5"/>
      <c r="C3184" s="5"/>
      <c r="D3184" s="5"/>
      <c r="E3184" s="5"/>
      <c r="F3184" s="5"/>
      <c r="G3184" s="5"/>
      <c r="H3184" s="5"/>
      <c r="I3184" s="5"/>
      <c r="J3184" s="5"/>
      <c r="K3184" s="5"/>
      <c r="L3184" s="5"/>
      <c r="M3184" s="5"/>
      <c r="N3184" s="5"/>
      <c r="O3184" s="5"/>
      <c r="P3184" s="5"/>
      <c r="Q3184" s="5"/>
      <c r="R3184" s="5"/>
      <c r="S3184" s="5"/>
      <c r="T3184" s="5"/>
      <c r="U3184" s="5"/>
      <c r="V3184" s="5"/>
      <c r="W3184" s="5"/>
      <c r="X3184" s="5"/>
      <c r="Y3184" s="5"/>
      <c r="Z3184" s="5"/>
      <c r="AA3184" s="5"/>
      <c r="AB3184" s="5"/>
      <c r="AC3184" s="5"/>
      <c r="AD3184" s="5"/>
      <c r="AE3184" s="5"/>
      <c r="AF3184" s="5"/>
      <c r="AG3184" s="9"/>
    </row>
    <row r="3185" spans="1:33">
      <c r="A3185" s="5"/>
      <c r="B3185" s="5"/>
      <c r="C3185" s="5"/>
      <c r="D3185" s="5"/>
      <c r="E3185" s="5"/>
      <c r="F3185" s="5"/>
      <c r="G3185" s="5"/>
      <c r="H3185" s="5"/>
      <c r="I3185" s="5"/>
      <c r="J3185" s="5"/>
      <c r="K3185" s="5"/>
      <c r="L3185" s="5"/>
      <c r="M3185" s="5"/>
      <c r="N3185" s="5"/>
      <c r="O3185" s="5"/>
      <c r="P3185" s="5"/>
      <c r="Q3185" s="5"/>
      <c r="R3185" s="5"/>
      <c r="S3185" s="5"/>
      <c r="T3185" s="5"/>
      <c r="U3185" s="5"/>
      <c r="V3185" s="5"/>
      <c r="W3185" s="5"/>
      <c r="X3185" s="5"/>
      <c r="Y3185" s="5"/>
      <c r="Z3185" s="5"/>
      <c r="AA3185" s="5"/>
      <c r="AB3185" s="5"/>
      <c r="AC3185" s="5"/>
      <c r="AD3185" s="5"/>
      <c r="AE3185" s="5"/>
      <c r="AF3185" s="5"/>
      <c r="AG3185" s="9"/>
    </row>
    <row r="3186" spans="1:33">
      <c r="A3186" s="5"/>
      <c r="B3186" s="5"/>
      <c r="C3186" s="5"/>
      <c r="D3186" s="5"/>
      <c r="E3186" s="5"/>
      <c r="F3186" s="5"/>
      <c r="G3186" s="5"/>
      <c r="H3186" s="5"/>
      <c r="I3186" s="5"/>
      <c r="J3186" s="5"/>
      <c r="K3186" s="5"/>
      <c r="L3186" s="5"/>
      <c r="M3186" s="5"/>
      <c r="N3186" s="5"/>
      <c r="O3186" s="5"/>
      <c r="P3186" s="5"/>
      <c r="Q3186" s="5"/>
      <c r="R3186" s="5"/>
      <c r="S3186" s="5"/>
      <c r="T3186" s="5"/>
      <c r="U3186" s="5"/>
      <c r="V3186" s="5"/>
      <c r="W3186" s="5"/>
      <c r="X3186" s="5"/>
      <c r="Y3186" s="5"/>
      <c r="Z3186" s="5"/>
      <c r="AA3186" s="5"/>
      <c r="AB3186" s="5"/>
      <c r="AC3186" s="5"/>
      <c r="AD3186" s="5"/>
      <c r="AE3186" s="5"/>
      <c r="AF3186" s="5"/>
      <c r="AG3186" s="9"/>
    </row>
    <row r="3187" spans="1:33">
      <c r="A3187" s="5"/>
      <c r="B3187" s="5"/>
      <c r="C3187" s="5"/>
      <c r="D3187" s="5"/>
      <c r="E3187" s="5"/>
      <c r="F3187" s="5"/>
      <c r="G3187" s="5"/>
      <c r="H3187" s="5"/>
      <c r="I3187" s="5"/>
      <c r="J3187" s="5"/>
      <c r="K3187" s="5"/>
      <c r="L3187" s="5"/>
      <c r="M3187" s="5"/>
      <c r="N3187" s="5"/>
      <c r="O3187" s="5"/>
      <c r="P3187" s="5"/>
      <c r="Q3187" s="5"/>
      <c r="R3187" s="5"/>
      <c r="S3187" s="5"/>
      <c r="T3187" s="5"/>
      <c r="U3187" s="5"/>
      <c r="V3187" s="5"/>
      <c r="W3187" s="5"/>
      <c r="X3187" s="5"/>
      <c r="Y3187" s="5"/>
      <c r="Z3187" s="5"/>
      <c r="AA3187" s="5"/>
      <c r="AB3187" s="5"/>
      <c r="AC3187" s="5"/>
      <c r="AD3187" s="5"/>
      <c r="AE3187" s="5"/>
      <c r="AF3187" s="5"/>
      <c r="AG3187" s="9"/>
    </row>
    <row r="3188" spans="1:33">
      <c r="A3188" s="5"/>
      <c r="B3188" s="5"/>
      <c r="C3188" s="5"/>
      <c r="D3188" s="5"/>
      <c r="E3188" s="5"/>
      <c r="F3188" s="5"/>
      <c r="G3188" s="5"/>
      <c r="H3188" s="5"/>
      <c r="I3188" s="5"/>
      <c r="J3188" s="5"/>
      <c r="K3188" s="5"/>
      <c r="L3188" s="5"/>
      <c r="M3188" s="5"/>
      <c r="N3188" s="5"/>
      <c r="O3188" s="5"/>
      <c r="P3188" s="5"/>
      <c r="Q3188" s="5"/>
      <c r="R3188" s="5"/>
      <c r="S3188" s="5"/>
      <c r="T3188" s="5"/>
      <c r="U3188" s="5"/>
      <c r="V3188" s="5"/>
      <c r="W3188" s="5"/>
      <c r="X3188" s="5"/>
      <c r="Y3188" s="5"/>
      <c r="Z3188" s="5"/>
      <c r="AA3188" s="5"/>
      <c r="AB3188" s="5"/>
      <c r="AC3188" s="5"/>
      <c r="AD3188" s="5"/>
      <c r="AE3188" s="5"/>
      <c r="AF3188" s="5"/>
      <c r="AG3188" s="9"/>
    </row>
    <row r="3189" spans="1:33">
      <c r="A3189" s="5"/>
      <c r="B3189" s="5"/>
      <c r="C3189" s="5"/>
      <c r="D3189" s="5"/>
      <c r="E3189" s="5"/>
      <c r="F3189" s="5"/>
      <c r="G3189" s="5"/>
      <c r="H3189" s="5"/>
      <c r="I3189" s="5"/>
      <c r="J3189" s="5"/>
      <c r="K3189" s="5"/>
      <c r="L3189" s="5"/>
      <c r="M3189" s="5"/>
      <c r="N3189" s="5"/>
      <c r="O3189" s="5"/>
      <c r="P3189" s="5"/>
      <c r="Q3189" s="5"/>
      <c r="R3189" s="5"/>
      <c r="S3189" s="5"/>
      <c r="T3189" s="5"/>
      <c r="U3189" s="5"/>
      <c r="V3189" s="5"/>
      <c r="W3189" s="5"/>
      <c r="X3189" s="5"/>
      <c r="Y3189" s="5"/>
      <c r="Z3189" s="5"/>
      <c r="AA3189" s="5"/>
      <c r="AB3189" s="5"/>
      <c r="AC3189" s="5"/>
      <c r="AD3189" s="5"/>
      <c r="AE3189" s="5"/>
      <c r="AF3189" s="5"/>
      <c r="AG3189" s="9"/>
    </row>
    <row r="3190" spans="1:33">
      <c r="A3190" s="5"/>
      <c r="B3190" s="5"/>
      <c r="C3190" s="5"/>
      <c r="D3190" s="5"/>
      <c r="E3190" s="5"/>
      <c r="F3190" s="5"/>
      <c r="G3190" s="5"/>
      <c r="H3190" s="5"/>
      <c r="I3190" s="5"/>
      <c r="J3190" s="5"/>
      <c r="K3190" s="5"/>
      <c r="L3190" s="5"/>
      <c r="M3190" s="5"/>
      <c r="N3190" s="5"/>
      <c r="O3190" s="5"/>
      <c r="P3190" s="5"/>
      <c r="Q3190" s="5"/>
      <c r="R3190" s="5"/>
      <c r="S3190" s="5"/>
      <c r="T3190" s="5"/>
      <c r="U3190" s="5"/>
      <c r="V3190" s="5"/>
      <c r="W3190" s="5"/>
      <c r="X3190" s="5"/>
      <c r="Y3190" s="5"/>
      <c r="Z3190" s="5"/>
      <c r="AA3190" s="5"/>
      <c r="AB3190" s="5"/>
      <c r="AC3190" s="5"/>
      <c r="AD3190" s="5"/>
      <c r="AE3190" s="5"/>
      <c r="AF3190" s="5"/>
      <c r="AG3190" s="9"/>
    </row>
    <row r="3191" spans="1:33">
      <c r="A3191" s="5"/>
      <c r="B3191" s="5"/>
      <c r="C3191" s="5"/>
      <c r="D3191" s="5"/>
      <c r="E3191" s="5"/>
      <c r="F3191" s="5"/>
      <c r="G3191" s="5"/>
      <c r="H3191" s="5"/>
      <c r="I3191" s="5"/>
      <c r="J3191" s="5"/>
      <c r="K3191" s="5"/>
      <c r="L3191" s="5"/>
      <c r="M3191" s="5"/>
      <c r="N3191" s="5"/>
      <c r="O3191" s="5"/>
      <c r="P3191" s="5"/>
      <c r="Q3191" s="5"/>
      <c r="R3191" s="5"/>
      <c r="S3191" s="5"/>
      <c r="T3191" s="5"/>
      <c r="U3191" s="5"/>
      <c r="V3191" s="5"/>
      <c r="W3191" s="5"/>
      <c r="X3191" s="5"/>
      <c r="Y3191" s="5"/>
      <c r="Z3191" s="5"/>
      <c r="AA3191" s="5"/>
      <c r="AB3191" s="5"/>
      <c r="AC3191" s="5"/>
      <c r="AD3191" s="5"/>
      <c r="AE3191" s="5"/>
      <c r="AF3191" s="5"/>
      <c r="AG3191" s="9"/>
    </row>
    <row r="3192" spans="1:33">
      <c r="A3192" s="5"/>
      <c r="B3192" s="5"/>
      <c r="C3192" s="5"/>
      <c r="D3192" s="5"/>
      <c r="E3192" s="5"/>
      <c r="F3192" s="5"/>
      <c r="G3192" s="5"/>
      <c r="H3192" s="5"/>
      <c r="I3192" s="5"/>
      <c r="J3192" s="5"/>
      <c r="K3192" s="5"/>
      <c r="L3192" s="5"/>
      <c r="M3192" s="5"/>
      <c r="N3192" s="5"/>
      <c r="O3192" s="5"/>
      <c r="P3192" s="5"/>
      <c r="Q3192" s="5"/>
      <c r="R3192" s="5"/>
      <c r="S3192" s="5"/>
      <c r="T3192" s="5"/>
      <c r="U3192" s="5"/>
      <c r="V3192" s="5"/>
      <c r="W3192" s="5"/>
      <c r="X3192" s="5"/>
      <c r="Y3192" s="5"/>
      <c r="Z3192" s="5"/>
      <c r="AA3192" s="5"/>
      <c r="AB3192" s="5"/>
      <c r="AC3192" s="5"/>
      <c r="AD3192" s="5"/>
      <c r="AE3192" s="5"/>
      <c r="AF3192" s="5"/>
      <c r="AG3192" s="9"/>
    </row>
    <row r="3193" spans="1:33">
      <c r="A3193" s="5"/>
      <c r="B3193" s="5"/>
      <c r="C3193" s="5"/>
      <c r="D3193" s="5"/>
      <c r="E3193" s="5"/>
      <c r="F3193" s="5"/>
      <c r="G3193" s="5"/>
      <c r="H3193" s="5"/>
      <c r="I3193" s="5"/>
      <c r="J3193" s="5"/>
      <c r="K3193" s="5"/>
      <c r="L3193" s="5"/>
      <c r="M3193" s="5"/>
      <c r="N3193" s="5"/>
      <c r="O3193" s="5"/>
      <c r="P3193" s="5"/>
      <c r="Q3193" s="5"/>
      <c r="R3193" s="5"/>
      <c r="S3193" s="5"/>
      <c r="T3193" s="5"/>
      <c r="U3193" s="5"/>
      <c r="V3193" s="5"/>
      <c r="W3193" s="5"/>
      <c r="X3193" s="5"/>
      <c r="Y3193" s="5"/>
      <c r="Z3193" s="5"/>
      <c r="AA3193" s="5"/>
      <c r="AB3193" s="5"/>
      <c r="AC3193" s="5"/>
      <c r="AD3193" s="5"/>
      <c r="AE3193" s="5"/>
      <c r="AF3193" s="5"/>
      <c r="AG3193" s="9"/>
    </row>
    <row r="3194" spans="1:33">
      <c r="A3194" s="5"/>
      <c r="B3194" s="5"/>
      <c r="C3194" s="5"/>
      <c r="D3194" s="5"/>
      <c r="E3194" s="5"/>
      <c r="F3194" s="5"/>
      <c r="G3194" s="5"/>
      <c r="H3194" s="5"/>
      <c r="I3194" s="5"/>
      <c r="J3194" s="5"/>
      <c r="K3194" s="5"/>
      <c r="L3194" s="5"/>
      <c r="M3194" s="5"/>
      <c r="N3194" s="5"/>
      <c r="O3194" s="5"/>
      <c r="P3194" s="5"/>
      <c r="Q3194" s="5"/>
      <c r="R3194" s="5"/>
      <c r="S3194" s="5"/>
      <c r="T3194" s="5"/>
      <c r="U3194" s="5"/>
      <c r="V3194" s="5"/>
      <c r="W3194" s="5"/>
      <c r="X3194" s="5"/>
      <c r="Y3194" s="5"/>
      <c r="Z3194" s="5"/>
      <c r="AA3194" s="5"/>
      <c r="AB3194" s="5"/>
      <c r="AC3194" s="5"/>
      <c r="AD3194" s="5"/>
      <c r="AE3194" s="5"/>
      <c r="AF3194" s="5"/>
      <c r="AG3194" s="9"/>
    </row>
    <row r="3195" spans="1:33">
      <c r="A3195" s="5"/>
      <c r="B3195" s="5"/>
      <c r="C3195" s="5"/>
      <c r="D3195" s="5"/>
      <c r="E3195" s="5"/>
      <c r="F3195" s="5"/>
      <c r="G3195" s="5"/>
      <c r="H3195" s="5"/>
      <c r="I3195" s="5"/>
      <c r="J3195" s="5"/>
      <c r="K3195" s="5"/>
      <c r="L3195" s="5"/>
      <c r="M3195" s="5"/>
      <c r="N3195" s="5"/>
      <c r="O3195" s="5"/>
      <c r="P3195" s="5"/>
      <c r="Q3195" s="5"/>
      <c r="R3195" s="5"/>
      <c r="S3195" s="5"/>
      <c r="T3195" s="5"/>
      <c r="U3195" s="5"/>
      <c r="V3195" s="5"/>
      <c r="W3195" s="5"/>
      <c r="X3195" s="5"/>
      <c r="Y3195" s="5"/>
      <c r="Z3195" s="5"/>
      <c r="AA3195" s="5"/>
      <c r="AB3195" s="5"/>
      <c r="AC3195" s="5"/>
      <c r="AD3195" s="5"/>
      <c r="AE3195" s="5"/>
      <c r="AF3195" s="5"/>
      <c r="AG3195" s="9"/>
    </row>
    <row r="3196" spans="1:33">
      <c r="A3196" s="5"/>
      <c r="B3196" s="5"/>
      <c r="C3196" s="5"/>
      <c r="D3196" s="5"/>
      <c r="E3196" s="5"/>
      <c r="F3196" s="5"/>
      <c r="G3196" s="5"/>
      <c r="H3196" s="5"/>
      <c r="I3196" s="5"/>
      <c r="J3196" s="5"/>
      <c r="K3196" s="5"/>
      <c r="L3196" s="5"/>
      <c r="M3196" s="5"/>
      <c r="N3196" s="5"/>
      <c r="O3196" s="5"/>
      <c r="P3196" s="5"/>
      <c r="Q3196" s="5"/>
      <c r="R3196" s="5"/>
      <c r="S3196" s="5"/>
      <c r="T3196" s="5"/>
      <c r="U3196" s="5"/>
      <c r="V3196" s="5"/>
      <c r="W3196" s="5"/>
      <c r="X3196" s="5"/>
      <c r="Y3196" s="5"/>
      <c r="Z3196" s="5"/>
      <c r="AA3196" s="5"/>
      <c r="AB3196" s="5"/>
      <c r="AC3196" s="5"/>
      <c r="AD3196" s="5"/>
      <c r="AE3196" s="5"/>
      <c r="AF3196" s="5"/>
      <c r="AG3196" s="9"/>
    </row>
    <row r="3197" spans="1:33">
      <c r="A3197" s="5"/>
      <c r="B3197" s="5"/>
      <c r="C3197" s="5"/>
      <c r="D3197" s="5"/>
      <c r="E3197" s="5"/>
      <c r="F3197" s="5"/>
      <c r="G3197" s="5"/>
      <c r="H3197" s="5"/>
      <c r="I3197" s="5"/>
      <c r="J3197" s="5"/>
      <c r="K3197" s="5"/>
      <c r="L3197" s="5"/>
      <c r="M3197" s="5"/>
      <c r="N3197" s="5"/>
      <c r="O3197" s="5"/>
      <c r="P3197" s="5"/>
      <c r="Q3197" s="5"/>
      <c r="R3197" s="5"/>
      <c r="S3197" s="5"/>
      <c r="T3197" s="5"/>
      <c r="U3197" s="5"/>
      <c r="V3197" s="5"/>
      <c r="W3197" s="5"/>
      <c r="X3197" s="5"/>
      <c r="Y3197" s="5"/>
      <c r="Z3197" s="5"/>
      <c r="AA3197" s="5"/>
      <c r="AB3197" s="5"/>
      <c r="AC3197" s="5"/>
      <c r="AD3197" s="5"/>
      <c r="AE3197" s="5"/>
      <c r="AF3197" s="5"/>
      <c r="AG3197" s="9"/>
    </row>
    <row r="3198" spans="1:33">
      <c r="A3198" s="5"/>
      <c r="B3198" s="5"/>
      <c r="C3198" s="5"/>
      <c r="D3198" s="5"/>
      <c r="E3198" s="5"/>
      <c r="F3198" s="5"/>
      <c r="G3198" s="5"/>
      <c r="H3198" s="5"/>
      <c r="I3198" s="5"/>
      <c r="J3198" s="5"/>
      <c r="K3198" s="5"/>
      <c r="L3198" s="5"/>
      <c r="M3198" s="5"/>
      <c r="N3198" s="5"/>
      <c r="O3198" s="5"/>
      <c r="P3198" s="5"/>
      <c r="Q3198" s="5"/>
      <c r="R3198" s="5"/>
      <c r="S3198" s="5"/>
      <c r="T3198" s="5"/>
      <c r="U3198" s="5"/>
      <c r="V3198" s="5"/>
      <c r="W3198" s="5"/>
      <c r="X3198" s="5"/>
      <c r="Y3198" s="5"/>
      <c r="Z3198" s="5"/>
      <c r="AA3198" s="5"/>
      <c r="AB3198" s="5"/>
      <c r="AC3198" s="5"/>
      <c r="AD3198" s="5"/>
      <c r="AE3198" s="5"/>
      <c r="AF3198" s="5"/>
      <c r="AG3198" s="9"/>
    </row>
    <row r="3199" spans="1:33">
      <c r="A3199" s="5"/>
      <c r="B3199" s="5"/>
      <c r="C3199" s="5"/>
      <c r="D3199" s="5"/>
      <c r="E3199" s="5"/>
      <c r="F3199" s="5"/>
      <c r="G3199" s="5"/>
      <c r="H3199" s="5"/>
      <c r="I3199" s="5"/>
      <c r="J3199" s="5"/>
      <c r="K3199" s="5"/>
      <c r="L3199" s="5"/>
      <c r="M3199" s="5"/>
      <c r="N3199" s="5"/>
      <c r="O3199" s="5"/>
      <c r="P3199" s="5"/>
      <c r="Q3199" s="5"/>
      <c r="R3199" s="5"/>
      <c r="S3199" s="5"/>
      <c r="T3199" s="5"/>
      <c r="U3199" s="5"/>
      <c r="V3199" s="5"/>
      <c r="W3199" s="5"/>
      <c r="X3199" s="5"/>
      <c r="Y3199" s="5"/>
      <c r="Z3199" s="5"/>
      <c r="AA3199" s="5"/>
      <c r="AB3199" s="5"/>
      <c r="AC3199" s="5"/>
      <c r="AD3199" s="5"/>
      <c r="AE3199" s="5"/>
      <c r="AF3199" s="5"/>
      <c r="AG3199" s="9"/>
    </row>
    <row r="3200" spans="1:33">
      <c r="A3200" s="5"/>
      <c r="B3200" s="5"/>
      <c r="C3200" s="5"/>
      <c r="D3200" s="5"/>
      <c r="E3200" s="5"/>
      <c r="F3200" s="5"/>
      <c r="G3200" s="5"/>
      <c r="H3200" s="5"/>
      <c r="I3200" s="5"/>
      <c r="J3200" s="5"/>
      <c r="K3200" s="5"/>
      <c r="L3200" s="5"/>
      <c r="M3200" s="5"/>
      <c r="N3200" s="5"/>
      <c r="O3200" s="5"/>
      <c r="P3200" s="5"/>
      <c r="Q3200" s="5"/>
      <c r="R3200" s="5"/>
      <c r="S3200" s="5"/>
      <c r="T3200" s="5"/>
      <c r="U3200" s="5"/>
      <c r="V3200" s="5"/>
      <c r="W3200" s="5"/>
      <c r="X3200" s="5"/>
      <c r="Y3200" s="5"/>
      <c r="Z3200" s="5"/>
      <c r="AA3200" s="5"/>
      <c r="AB3200" s="5"/>
      <c r="AC3200" s="5"/>
      <c r="AD3200" s="5"/>
      <c r="AE3200" s="5"/>
      <c r="AF3200" s="5"/>
      <c r="AG3200" s="9"/>
    </row>
    <row r="3201" spans="1:33">
      <c r="A3201" s="5"/>
      <c r="B3201" s="5"/>
      <c r="C3201" s="5"/>
      <c r="D3201" s="5"/>
      <c r="E3201" s="5"/>
      <c r="F3201" s="5"/>
      <c r="G3201" s="5"/>
      <c r="H3201" s="5"/>
      <c r="I3201" s="5"/>
      <c r="J3201" s="5"/>
      <c r="K3201" s="5"/>
      <c r="L3201" s="5"/>
      <c r="M3201" s="5"/>
      <c r="N3201" s="5"/>
      <c r="O3201" s="5"/>
      <c r="P3201" s="5"/>
      <c r="Q3201" s="5"/>
      <c r="R3201" s="5"/>
      <c r="S3201" s="5"/>
      <c r="T3201" s="5"/>
      <c r="U3201" s="5"/>
      <c r="V3201" s="5"/>
      <c r="W3201" s="5"/>
      <c r="X3201" s="5"/>
      <c r="Y3201" s="5"/>
      <c r="Z3201" s="5"/>
      <c r="AA3201" s="5"/>
      <c r="AB3201" s="5"/>
      <c r="AC3201" s="5"/>
      <c r="AD3201" s="5"/>
      <c r="AE3201" s="5"/>
      <c r="AF3201" s="5"/>
      <c r="AG3201" s="9"/>
    </row>
    <row r="3202" spans="1:33">
      <c r="A3202" s="5"/>
      <c r="B3202" s="5"/>
      <c r="C3202" s="5"/>
      <c r="D3202" s="5"/>
      <c r="E3202" s="5"/>
      <c r="F3202" s="5"/>
      <c r="G3202" s="5"/>
      <c r="H3202" s="5"/>
      <c r="I3202" s="5"/>
      <c r="J3202" s="5"/>
      <c r="K3202" s="5"/>
      <c r="L3202" s="5"/>
      <c r="M3202" s="5"/>
      <c r="N3202" s="5"/>
      <c r="O3202" s="5"/>
      <c r="P3202" s="5"/>
      <c r="Q3202" s="5"/>
      <c r="R3202" s="5"/>
      <c r="S3202" s="5"/>
      <c r="T3202" s="5"/>
      <c r="U3202" s="5"/>
      <c r="V3202" s="5"/>
      <c r="W3202" s="5"/>
      <c r="X3202" s="5"/>
      <c r="Y3202" s="5"/>
      <c r="Z3202" s="5"/>
      <c r="AA3202" s="5"/>
      <c r="AB3202" s="5"/>
      <c r="AC3202" s="5"/>
      <c r="AD3202" s="5"/>
      <c r="AE3202" s="5"/>
      <c r="AF3202" s="5"/>
      <c r="AG3202" s="9"/>
    </row>
    <row r="3203" spans="1:33">
      <c r="A3203" s="5"/>
      <c r="B3203" s="5"/>
      <c r="C3203" s="5"/>
      <c r="D3203" s="5"/>
      <c r="E3203" s="5"/>
      <c r="F3203" s="5"/>
      <c r="G3203" s="5"/>
      <c r="H3203" s="5"/>
      <c r="I3203" s="5"/>
      <c r="J3203" s="5"/>
      <c r="K3203" s="5"/>
      <c r="L3203" s="5"/>
      <c r="M3203" s="5"/>
      <c r="N3203" s="5"/>
      <c r="O3203" s="5"/>
      <c r="P3203" s="5"/>
      <c r="Q3203" s="5"/>
      <c r="R3203" s="5"/>
      <c r="S3203" s="5"/>
      <c r="T3203" s="5"/>
      <c r="U3203" s="5"/>
      <c r="V3203" s="5"/>
      <c r="W3203" s="5"/>
      <c r="X3203" s="5"/>
      <c r="Y3203" s="5"/>
      <c r="Z3203" s="5"/>
      <c r="AA3203" s="5"/>
      <c r="AB3203" s="5"/>
      <c r="AC3203" s="5"/>
      <c r="AD3203" s="5"/>
      <c r="AE3203" s="5"/>
      <c r="AF3203" s="5"/>
      <c r="AG3203" s="9"/>
    </row>
    <row r="3204" spans="1:33">
      <c r="A3204" s="5"/>
      <c r="B3204" s="5"/>
      <c r="C3204" s="5"/>
      <c r="D3204" s="5"/>
      <c r="E3204" s="5"/>
      <c r="F3204" s="5"/>
      <c r="G3204" s="5"/>
      <c r="H3204" s="5"/>
      <c r="I3204" s="5"/>
      <c r="J3204" s="5"/>
      <c r="K3204" s="5"/>
      <c r="L3204" s="5"/>
      <c r="M3204" s="5"/>
      <c r="N3204" s="5"/>
      <c r="O3204" s="5"/>
      <c r="P3204" s="5"/>
      <c r="Q3204" s="5"/>
      <c r="R3204" s="5"/>
      <c r="S3204" s="5"/>
      <c r="T3204" s="5"/>
      <c r="U3204" s="5"/>
      <c r="V3204" s="5"/>
      <c r="W3204" s="5"/>
      <c r="X3204" s="5"/>
      <c r="Y3204" s="5"/>
      <c r="Z3204" s="5"/>
      <c r="AA3204" s="5"/>
      <c r="AB3204" s="5"/>
      <c r="AC3204" s="5"/>
      <c r="AD3204" s="5"/>
      <c r="AE3204" s="5"/>
      <c r="AF3204" s="5"/>
      <c r="AG3204" s="9"/>
    </row>
    <row r="3205" spans="1:33">
      <c r="A3205" s="5"/>
      <c r="B3205" s="5"/>
      <c r="C3205" s="5"/>
      <c r="D3205" s="5"/>
      <c r="E3205" s="5"/>
      <c r="F3205" s="5"/>
      <c r="G3205" s="5"/>
      <c r="H3205" s="5"/>
      <c r="I3205" s="5"/>
      <c r="J3205" s="5"/>
      <c r="K3205" s="5"/>
      <c r="L3205" s="5"/>
      <c r="M3205" s="5"/>
      <c r="N3205" s="5"/>
      <c r="O3205" s="5"/>
      <c r="P3205" s="5"/>
      <c r="Q3205" s="5"/>
      <c r="R3205" s="5"/>
      <c r="S3205" s="5"/>
      <c r="T3205" s="5"/>
      <c r="U3205" s="5"/>
      <c r="V3205" s="5"/>
      <c r="W3205" s="5"/>
      <c r="X3205" s="5"/>
      <c r="Y3205" s="5"/>
      <c r="Z3205" s="5"/>
      <c r="AA3205" s="5"/>
      <c r="AB3205" s="5"/>
      <c r="AC3205" s="5"/>
      <c r="AD3205" s="5"/>
      <c r="AE3205" s="5"/>
      <c r="AF3205" s="5"/>
      <c r="AG3205" s="9"/>
    </row>
    <row r="3206" spans="1:33">
      <c r="A3206" s="5"/>
      <c r="B3206" s="5"/>
      <c r="C3206" s="5"/>
      <c r="D3206" s="5"/>
      <c r="E3206" s="5"/>
      <c r="F3206" s="5"/>
      <c r="G3206" s="5"/>
      <c r="H3206" s="5"/>
      <c r="I3206" s="5"/>
      <c r="J3206" s="5"/>
      <c r="K3206" s="5"/>
      <c r="L3206" s="5"/>
      <c r="M3206" s="5"/>
      <c r="N3206" s="5"/>
      <c r="O3206" s="5"/>
      <c r="P3206" s="5"/>
      <c r="Q3206" s="5"/>
      <c r="R3206" s="5"/>
      <c r="S3206" s="5"/>
      <c r="T3206" s="5"/>
      <c r="U3206" s="5"/>
      <c r="V3206" s="5"/>
      <c r="W3206" s="5"/>
      <c r="X3206" s="5"/>
      <c r="Y3206" s="5"/>
      <c r="Z3206" s="5"/>
      <c r="AA3206" s="5"/>
      <c r="AB3206" s="5"/>
      <c r="AC3206" s="5"/>
      <c r="AD3206" s="5"/>
      <c r="AE3206" s="5"/>
      <c r="AF3206" s="5"/>
      <c r="AG3206" s="9"/>
    </row>
    <row r="3207" spans="1:33">
      <c r="A3207" s="5"/>
      <c r="B3207" s="5"/>
      <c r="C3207" s="5"/>
      <c r="D3207" s="5"/>
      <c r="E3207" s="5"/>
      <c r="F3207" s="5"/>
      <c r="G3207" s="5"/>
      <c r="H3207" s="5"/>
      <c r="I3207" s="5"/>
      <c r="J3207" s="5"/>
      <c r="K3207" s="5"/>
      <c r="L3207" s="5"/>
      <c r="M3207" s="5"/>
      <c r="N3207" s="5"/>
      <c r="O3207" s="5"/>
      <c r="P3207" s="5"/>
      <c r="Q3207" s="5"/>
      <c r="R3207" s="5"/>
      <c r="S3207" s="5"/>
      <c r="T3207" s="5"/>
      <c r="U3207" s="5"/>
      <c r="V3207" s="5"/>
      <c r="W3207" s="5"/>
      <c r="X3207" s="5"/>
      <c r="Y3207" s="5"/>
      <c r="Z3207" s="5"/>
      <c r="AA3207" s="5"/>
      <c r="AB3207" s="5"/>
      <c r="AC3207" s="5"/>
      <c r="AD3207" s="5"/>
      <c r="AE3207" s="5"/>
      <c r="AF3207" s="5"/>
      <c r="AG3207" s="9"/>
    </row>
    <row r="3208" spans="1:33">
      <c r="A3208" s="5"/>
      <c r="B3208" s="5"/>
      <c r="C3208" s="5"/>
      <c r="D3208" s="5"/>
      <c r="E3208" s="5"/>
      <c r="F3208" s="5"/>
      <c r="G3208" s="5"/>
      <c r="H3208" s="5"/>
      <c r="I3208" s="5"/>
      <c r="J3208" s="5"/>
      <c r="K3208" s="5"/>
      <c r="L3208" s="5"/>
      <c r="M3208" s="5"/>
      <c r="N3208" s="5"/>
      <c r="O3208" s="5"/>
      <c r="P3208" s="5"/>
      <c r="Q3208" s="5"/>
      <c r="R3208" s="5"/>
      <c r="S3208" s="5"/>
      <c r="T3208" s="5"/>
      <c r="U3208" s="5"/>
      <c r="V3208" s="5"/>
      <c r="W3208" s="5"/>
      <c r="X3208" s="5"/>
      <c r="Y3208" s="5"/>
      <c r="Z3208" s="5"/>
      <c r="AA3208" s="5"/>
      <c r="AB3208" s="5"/>
      <c r="AC3208" s="5"/>
      <c r="AD3208" s="5"/>
      <c r="AE3208" s="5"/>
      <c r="AF3208" s="5"/>
      <c r="AG3208" s="9"/>
    </row>
    <row r="3209" spans="1:33">
      <c r="A3209" s="5"/>
      <c r="B3209" s="5"/>
      <c r="C3209" s="5"/>
      <c r="D3209" s="5"/>
      <c r="E3209" s="5"/>
      <c r="F3209" s="5"/>
      <c r="G3209" s="5"/>
      <c r="H3209" s="5"/>
      <c r="I3209" s="5"/>
      <c r="J3209" s="5"/>
      <c r="K3209" s="5"/>
      <c r="L3209" s="5"/>
      <c r="M3209" s="5"/>
      <c r="N3209" s="5"/>
      <c r="O3209" s="5"/>
      <c r="P3209" s="5"/>
      <c r="Q3209" s="5"/>
      <c r="R3209" s="5"/>
      <c r="S3209" s="5"/>
      <c r="T3209" s="5"/>
      <c r="U3209" s="5"/>
      <c r="V3209" s="5"/>
      <c r="W3209" s="5"/>
      <c r="X3209" s="5"/>
      <c r="Y3209" s="5"/>
      <c r="Z3209" s="5"/>
      <c r="AA3209" s="5"/>
      <c r="AB3209" s="5"/>
      <c r="AC3209" s="5"/>
      <c r="AD3209" s="5"/>
      <c r="AE3209" s="5"/>
      <c r="AF3209" s="5"/>
      <c r="AG3209" s="9"/>
    </row>
    <row r="3210" spans="1:33">
      <c r="A3210" s="5"/>
      <c r="B3210" s="5"/>
      <c r="C3210" s="5"/>
      <c r="D3210" s="5"/>
      <c r="E3210" s="5"/>
      <c r="F3210" s="5"/>
      <c r="G3210" s="5"/>
      <c r="H3210" s="5"/>
      <c r="I3210" s="5"/>
      <c r="J3210" s="5"/>
      <c r="K3210" s="5"/>
      <c r="L3210" s="5"/>
      <c r="M3210" s="5"/>
      <c r="N3210" s="5"/>
      <c r="O3210" s="5"/>
      <c r="P3210" s="5"/>
      <c r="Q3210" s="5"/>
      <c r="R3210" s="5"/>
      <c r="S3210" s="5"/>
      <c r="T3210" s="5"/>
      <c r="U3210" s="5"/>
      <c r="V3210" s="5"/>
      <c r="W3210" s="5"/>
      <c r="X3210" s="5"/>
      <c r="Y3210" s="5"/>
      <c r="Z3210" s="5"/>
      <c r="AA3210" s="5"/>
      <c r="AB3210" s="5"/>
      <c r="AC3210" s="5"/>
      <c r="AD3210" s="5"/>
      <c r="AE3210" s="5"/>
      <c r="AF3210" s="5"/>
      <c r="AG3210" s="9"/>
    </row>
    <row r="3211" spans="1:33">
      <c r="A3211" s="5"/>
      <c r="B3211" s="5"/>
      <c r="C3211" s="5"/>
      <c r="D3211" s="5"/>
      <c r="E3211" s="5"/>
      <c r="F3211" s="5"/>
      <c r="G3211" s="5"/>
      <c r="H3211" s="5"/>
      <c r="I3211" s="5"/>
      <c r="J3211" s="5"/>
      <c r="K3211" s="5"/>
      <c r="L3211" s="5"/>
      <c r="M3211" s="5"/>
      <c r="N3211" s="5"/>
      <c r="O3211" s="5"/>
      <c r="P3211" s="5"/>
      <c r="Q3211" s="5"/>
      <c r="R3211" s="5"/>
      <c r="S3211" s="5"/>
      <c r="T3211" s="5"/>
      <c r="U3211" s="5"/>
      <c r="V3211" s="5"/>
      <c r="W3211" s="5"/>
      <c r="X3211" s="5"/>
      <c r="Y3211" s="5"/>
      <c r="Z3211" s="5"/>
      <c r="AA3211" s="5"/>
      <c r="AB3211" s="5"/>
      <c r="AC3211" s="5"/>
      <c r="AD3211" s="5"/>
      <c r="AE3211" s="5"/>
      <c r="AF3211" s="5"/>
      <c r="AG3211" s="9"/>
    </row>
    <row r="3212" spans="1:33">
      <c r="A3212" s="5"/>
      <c r="B3212" s="5"/>
      <c r="C3212" s="5"/>
      <c r="D3212" s="5"/>
      <c r="E3212" s="5"/>
      <c r="F3212" s="5"/>
      <c r="G3212" s="5"/>
      <c r="H3212" s="5"/>
      <c r="I3212" s="5"/>
      <c r="J3212" s="5"/>
      <c r="K3212" s="5"/>
      <c r="L3212" s="5"/>
      <c r="M3212" s="5"/>
      <c r="N3212" s="5"/>
      <c r="O3212" s="5"/>
      <c r="P3212" s="5"/>
      <c r="Q3212" s="5"/>
      <c r="R3212" s="5"/>
      <c r="S3212" s="5"/>
      <c r="T3212" s="5"/>
      <c r="U3212" s="5"/>
      <c r="V3212" s="5"/>
      <c r="W3212" s="5"/>
      <c r="X3212" s="5"/>
      <c r="Y3212" s="5"/>
      <c r="Z3212" s="5"/>
      <c r="AA3212" s="5"/>
      <c r="AB3212" s="5"/>
      <c r="AC3212" s="5"/>
      <c r="AD3212" s="5"/>
      <c r="AE3212" s="5"/>
      <c r="AF3212" s="5"/>
      <c r="AG3212" s="9"/>
    </row>
    <row r="3213" spans="1:33">
      <c r="A3213" s="5"/>
      <c r="B3213" s="5"/>
      <c r="C3213" s="5"/>
      <c r="D3213" s="5"/>
      <c r="E3213" s="5"/>
      <c r="F3213" s="5"/>
      <c r="G3213" s="5"/>
      <c r="H3213" s="5"/>
      <c r="I3213" s="5"/>
      <c r="J3213" s="5"/>
      <c r="K3213" s="5"/>
      <c r="L3213" s="5"/>
      <c r="M3213" s="5"/>
      <c r="N3213" s="5"/>
      <c r="O3213" s="5"/>
      <c r="P3213" s="5"/>
      <c r="Q3213" s="5"/>
      <c r="R3213" s="5"/>
      <c r="S3213" s="5"/>
      <c r="T3213" s="5"/>
      <c r="U3213" s="5"/>
      <c r="V3213" s="5"/>
      <c r="W3213" s="5"/>
      <c r="X3213" s="5"/>
      <c r="Y3213" s="5"/>
      <c r="Z3213" s="5"/>
      <c r="AA3213" s="5"/>
      <c r="AB3213" s="5"/>
      <c r="AC3213" s="5"/>
      <c r="AD3213" s="5"/>
      <c r="AE3213" s="5"/>
      <c r="AF3213" s="5"/>
      <c r="AG3213" s="9"/>
    </row>
    <row r="3214" spans="1:33">
      <c r="A3214" s="5"/>
      <c r="B3214" s="5"/>
      <c r="C3214" s="5"/>
      <c r="D3214" s="5"/>
      <c r="E3214" s="5"/>
      <c r="F3214" s="5"/>
      <c r="G3214" s="5"/>
      <c r="H3214" s="5"/>
      <c r="I3214" s="5"/>
      <c r="J3214" s="5"/>
      <c r="K3214" s="5"/>
      <c r="L3214" s="5"/>
      <c r="M3214" s="5"/>
      <c r="N3214" s="5"/>
      <c r="O3214" s="5"/>
      <c r="P3214" s="5"/>
      <c r="Q3214" s="5"/>
      <c r="R3214" s="5"/>
      <c r="S3214" s="5"/>
      <c r="T3214" s="5"/>
      <c r="U3214" s="5"/>
      <c r="V3214" s="5"/>
      <c r="W3214" s="5"/>
      <c r="X3214" s="5"/>
      <c r="Y3214" s="5"/>
      <c r="Z3214" s="5"/>
      <c r="AA3214" s="5"/>
      <c r="AB3214" s="5"/>
      <c r="AC3214" s="5"/>
      <c r="AD3214" s="5"/>
      <c r="AE3214" s="5"/>
      <c r="AF3214" s="5"/>
      <c r="AG3214" s="9"/>
    </row>
    <row r="3215" spans="1:33">
      <c r="A3215" s="5"/>
      <c r="B3215" s="5"/>
      <c r="C3215" s="5"/>
      <c r="D3215" s="5"/>
      <c r="E3215" s="5"/>
      <c r="F3215" s="5"/>
      <c r="G3215" s="5"/>
      <c r="H3215" s="5"/>
      <c r="I3215" s="5"/>
      <c r="J3215" s="5"/>
      <c r="K3215" s="5"/>
      <c r="L3215" s="5"/>
      <c r="M3215" s="5"/>
      <c r="N3215" s="5"/>
      <c r="O3215" s="5"/>
      <c r="P3215" s="5"/>
      <c r="Q3215" s="5"/>
      <c r="R3215" s="5"/>
      <c r="S3215" s="5"/>
      <c r="T3215" s="5"/>
      <c r="U3215" s="5"/>
      <c r="V3215" s="5"/>
      <c r="W3215" s="5"/>
      <c r="X3215" s="5"/>
      <c r="Y3215" s="5"/>
      <c r="Z3215" s="5"/>
      <c r="AA3215" s="5"/>
      <c r="AB3215" s="5"/>
      <c r="AC3215" s="5"/>
      <c r="AD3215" s="5"/>
      <c r="AE3215" s="5"/>
      <c r="AF3215" s="5"/>
      <c r="AG3215" s="9"/>
    </row>
    <row r="3216" spans="1:33">
      <c r="A3216" s="5"/>
      <c r="B3216" s="5"/>
      <c r="C3216" s="5"/>
      <c r="D3216" s="5"/>
      <c r="E3216" s="5"/>
      <c r="F3216" s="5"/>
      <c r="G3216" s="5"/>
      <c r="H3216" s="5"/>
      <c r="I3216" s="5"/>
      <c r="J3216" s="5"/>
      <c r="K3216" s="5"/>
      <c r="L3216" s="5"/>
      <c r="M3216" s="5"/>
      <c r="N3216" s="5"/>
      <c r="O3216" s="5"/>
      <c r="P3216" s="5"/>
      <c r="Q3216" s="5"/>
      <c r="R3216" s="5"/>
      <c r="S3216" s="5"/>
      <c r="T3216" s="5"/>
      <c r="U3216" s="5"/>
      <c r="V3216" s="5"/>
      <c r="W3216" s="5"/>
      <c r="X3216" s="5"/>
      <c r="Y3216" s="5"/>
      <c r="Z3216" s="5"/>
      <c r="AA3216" s="5"/>
      <c r="AB3216" s="5"/>
      <c r="AC3216" s="5"/>
      <c r="AD3216" s="5"/>
      <c r="AE3216" s="5"/>
      <c r="AF3216" s="5"/>
      <c r="AG3216" s="9"/>
    </row>
    <row r="3217" spans="1:33">
      <c r="A3217" s="5"/>
      <c r="B3217" s="5"/>
      <c r="C3217" s="5"/>
      <c r="D3217" s="5"/>
      <c r="E3217" s="5"/>
      <c r="F3217" s="5"/>
      <c r="G3217" s="5"/>
      <c r="H3217" s="5"/>
      <c r="I3217" s="5"/>
      <c r="J3217" s="5"/>
      <c r="K3217" s="5"/>
      <c r="L3217" s="5"/>
      <c r="M3217" s="5"/>
      <c r="N3217" s="5"/>
      <c r="O3217" s="5"/>
      <c r="P3217" s="5"/>
      <c r="Q3217" s="5"/>
      <c r="R3217" s="5"/>
      <c r="S3217" s="5"/>
      <c r="T3217" s="5"/>
      <c r="U3217" s="5"/>
      <c r="V3217" s="5"/>
      <c r="W3217" s="5"/>
      <c r="X3217" s="5"/>
      <c r="Y3217" s="5"/>
      <c r="Z3217" s="5"/>
      <c r="AA3217" s="5"/>
      <c r="AB3217" s="5"/>
      <c r="AC3217" s="5"/>
      <c r="AD3217" s="5"/>
      <c r="AE3217" s="5"/>
      <c r="AF3217" s="5"/>
      <c r="AG3217" s="9"/>
    </row>
    <row r="3218" spans="1:33">
      <c r="A3218" s="5"/>
      <c r="B3218" s="5"/>
      <c r="C3218" s="5"/>
      <c r="D3218" s="5"/>
      <c r="E3218" s="5"/>
      <c r="F3218" s="5"/>
      <c r="G3218" s="5"/>
      <c r="H3218" s="5"/>
      <c r="I3218" s="5"/>
      <c r="J3218" s="5"/>
      <c r="K3218" s="5"/>
      <c r="L3218" s="5"/>
      <c r="M3218" s="5"/>
      <c r="N3218" s="5"/>
      <c r="O3218" s="5"/>
      <c r="P3218" s="5"/>
      <c r="Q3218" s="5"/>
      <c r="R3218" s="5"/>
      <c r="S3218" s="5"/>
      <c r="T3218" s="5"/>
      <c r="U3218" s="5"/>
      <c r="V3218" s="5"/>
      <c r="W3218" s="5"/>
      <c r="X3218" s="5"/>
      <c r="Y3218" s="5"/>
      <c r="Z3218" s="5"/>
      <c r="AA3218" s="5"/>
      <c r="AB3218" s="5"/>
      <c r="AC3218" s="5"/>
      <c r="AD3218" s="5"/>
      <c r="AE3218" s="5"/>
      <c r="AF3218" s="5"/>
      <c r="AG3218" s="9"/>
    </row>
    <row r="3219" spans="1:33">
      <c r="A3219" s="5"/>
      <c r="B3219" s="5"/>
      <c r="C3219" s="5"/>
      <c r="D3219" s="5"/>
      <c r="E3219" s="5"/>
      <c r="F3219" s="5"/>
      <c r="G3219" s="5"/>
      <c r="H3219" s="5"/>
      <c r="I3219" s="5"/>
      <c r="J3219" s="5"/>
      <c r="K3219" s="5"/>
      <c r="L3219" s="5"/>
      <c r="M3219" s="5"/>
      <c r="N3219" s="5"/>
      <c r="O3219" s="5"/>
      <c r="P3219" s="5"/>
      <c r="Q3219" s="5"/>
      <c r="R3219" s="5"/>
      <c r="S3219" s="5"/>
      <c r="T3219" s="5"/>
      <c r="U3219" s="5"/>
      <c r="V3219" s="5"/>
      <c r="W3219" s="5"/>
      <c r="X3219" s="5"/>
      <c r="Y3219" s="5"/>
      <c r="Z3219" s="5"/>
      <c r="AA3219" s="5"/>
      <c r="AB3219" s="5"/>
      <c r="AC3219" s="5"/>
      <c r="AD3219" s="5"/>
      <c r="AE3219" s="5"/>
      <c r="AF3219" s="5"/>
      <c r="AG3219" s="9"/>
    </row>
    <row r="3220" spans="1:33">
      <c r="A3220" s="5"/>
      <c r="B3220" s="5"/>
      <c r="C3220" s="5"/>
      <c r="D3220" s="5"/>
      <c r="E3220" s="5"/>
      <c r="F3220" s="5"/>
      <c r="G3220" s="5"/>
      <c r="H3220" s="5"/>
      <c r="I3220" s="5"/>
      <c r="J3220" s="5"/>
      <c r="K3220" s="5"/>
      <c r="L3220" s="5"/>
      <c r="M3220" s="5"/>
      <c r="N3220" s="5"/>
      <c r="O3220" s="5"/>
      <c r="P3220" s="5"/>
      <c r="Q3220" s="5"/>
      <c r="R3220" s="5"/>
      <c r="S3220" s="5"/>
      <c r="T3220" s="5"/>
      <c r="U3220" s="5"/>
      <c r="V3220" s="5"/>
      <c r="W3220" s="5"/>
      <c r="X3220" s="5"/>
      <c r="Y3220" s="5"/>
      <c r="Z3220" s="5"/>
      <c r="AA3220" s="5"/>
      <c r="AB3220" s="5"/>
      <c r="AC3220" s="5"/>
      <c r="AD3220" s="5"/>
      <c r="AE3220" s="5"/>
      <c r="AF3220" s="5"/>
      <c r="AG3220" s="9"/>
    </row>
    <row r="3221" spans="1:33">
      <c r="A3221" s="5"/>
      <c r="B3221" s="5"/>
      <c r="C3221" s="5"/>
      <c r="D3221" s="5"/>
      <c r="E3221" s="5"/>
      <c r="F3221" s="5"/>
      <c r="G3221" s="5"/>
      <c r="H3221" s="5"/>
      <c r="I3221" s="5"/>
      <c r="J3221" s="5"/>
      <c r="K3221" s="5"/>
      <c r="L3221" s="5"/>
      <c r="M3221" s="5"/>
      <c r="N3221" s="5"/>
      <c r="O3221" s="5"/>
      <c r="P3221" s="5"/>
      <c r="Q3221" s="5"/>
      <c r="R3221" s="5"/>
      <c r="S3221" s="5"/>
      <c r="T3221" s="5"/>
      <c r="U3221" s="5"/>
      <c r="V3221" s="5"/>
      <c r="W3221" s="5"/>
      <c r="X3221" s="5"/>
      <c r="Y3221" s="5"/>
      <c r="Z3221" s="5"/>
      <c r="AA3221" s="5"/>
      <c r="AB3221" s="5"/>
      <c r="AC3221" s="5"/>
      <c r="AD3221" s="5"/>
      <c r="AE3221" s="5"/>
      <c r="AF3221" s="5"/>
      <c r="AG3221" s="9"/>
    </row>
    <row r="3222" spans="1:33">
      <c r="A3222" s="5"/>
      <c r="B3222" s="5"/>
      <c r="C3222" s="5"/>
      <c r="D3222" s="5"/>
      <c r="E3222" s="5"/>
      <c r="F3222" s="5"/>
      <c r="G3222" s="5"/>
      <c r="H3222" s="5"/>
      <c r="I3222" s="5"/>
      <c r="J3222" s="5"/>
      <c r="K3222" s="5"/>
      <c r="L3222" s="5"/>
      <c r="M3222" s="5"/>
      <c r="N3222" s="5"/>
      <c r="O3222" s="5"/>
      <c r="P3222" s="5"/>
      <c r="Q3222" s="5"/>
      <c r="R3222" s="5"/>
      <c r="S3222" s="5"/>
      <c r="T3222" s="5"/>
      <c r="U3222" s="5"/>
      <c r="V3222" s="5"/>
      <c r="W3222" s="5"/>
      <c r="X3222" s="5"/>
      <c r="Y3222" s="5"/>
      <c r="Z3222" s="5"/>
      <c r="AA3222" s="5"/>
      <c r="AB3222" s="5"/>
      <c r="AC3222" s="5"/>
      <c r="AD3222" s="5"/>
      <c r="AE3222" s="5"/>
      <c r="AF3222" s="5"/>
      <c r="AG3222" s="9"/>
    </row>
    <row r="3223" spans="1:33">
      <c r="A3223" s="5"/>
      <c r="B3223" s="5"/>
      <c r="C3223" s="5"/>
      <c r="D3223" s="5"/>
      <c r="E3223" s="5"/>
      <c r="F3223" s="5"/>
      <c r="G3223" s="5"/>
      <c r="H3223" s="5"/>
      <c r="I3223" s="5"/>
      <c r="J3223" s="5"/>
      <c r="K3223" s="5"/>
      <c r="L3223" s="5"/>
      <c r="M3223" s="5"/>
      <c r="N3223" s="5"/>
      <c r="O3223" s="5"/>
      <c r="P3223" s="5"/>
      <c r="Q3223" s="5"/>
      <c r="R3223" s="5"/>
      <c r="S3223" s="5"/>
      <c r="T3223" s="5"/>
      <c r="U3223" s="5"/>
      <c r="V3223" s="5"/>
      <c r="W3223" s="5"/>
      <c r="X3223" s="5"/>
      <c r="Y3223" s="5"/>
      <c r="Z3223" s="5"/>
      <c r="AA3223" s="5"/>
      <c r="AB3223" s="5"/>
      <c r="AC3223" s="5"/>
      <c r="AD3223" s="5"/>
      <c r="AE3223" s="5"/>
      <c r="AF3223" s="5"/>
      <c r="AG3223" s="9"/>
    </row>
    <row r="3224" spans="1:33">
      <c r="A3224" s="5"/>
      <c r="B3224" s="5"/>
      <c r="C3224" s="5"/>
      <c r="D3224" s="5"/>
      <c r="E3224" s="5"/>
      <c r="F3224" s="5"/>
      <c r="G3224" s="5"/>
      <c r="H3224" s="5"/>
      <c r="I3224" s="5"/>
      <c r="J3224" s="5"/>
      <c r="K3224" s="5"/>
      <c r="L3224" s="5"/>
      <c r="M3224" s="5"/>
      <c r="N3224" s="5"/>
      <c r="O3224" s="5"/>
      <c r="P3224" s="5"/>
      <c r="Q3224" s="5"/>
      <c r="R3224" s="5"/>
      <c r="S3224" s="5"/>
      <c r="T3224" s="5"/>
      <c r="U3224" s="5"/>
      <c r="V3224" s="5"/>
      <c r="W3224" s="5"/>
      <c r="X3224" s="5"/>
      <c r="Y3224" s="5"/>
      <c r="Z3224" s="5"/>
      <c r="AA3224" s="5"/>
      <c r="AB3224" s="5"/>
      <c r="AC3224" s="5"/>
      <c r="AD3224" s="5"/>
      <c r="AE3224" s="5"/>
      <c r="AF3224" s="5"/>
      <c r="AG3224" s="9"/>
    </row>
    <row r="3225" spans="1:33">
      <c r="A3225" s="5"/>
      <c r="B3225" s="5"/>
      <c r="C3225" s="5"/>
      <c r="D3225" s="5"/>
      <c r="E3225" s="5"/>
      <c r="F3225" s="5"/>
      <c r="G3225" s="5"/>
      <c r="H3225" s="5"/>
      <c r="I3225" s="5"/>
      <c r="J3225" s="5"/>
      <c r="K3225" s="5"/>
      <c r="L3225" s="5"/>
      <c r="M3225" s="5"/>
      <c r="N3225" s="5"/>
      <c r="O3225" s="5"/>
      <c r="P3225" s="5"/>
      <c r="Q3225" s="5"/>
      <c r="R3225" s="5"/>
      <c r="S3225" s="5"/>
      <c r="T3225" s="5"/>
      <c r="U3225" s="5"/>
      <c r="V3225" s="5"/>
      <c r="W3225" s="5"/>
      <c r="X3225" s="5"/>
      <c r="Y3225" s="5"/>
      <c r="Z3225" s="5"/>
      <c r="AA3225" s="5"/>
      <c r="AB3225" s="5"/>
      <c r="AC3225" s="5"/>
      <c r="AD3225" s="5"/>
      <c r="AE3225" s="5"/>
      <c r="AF3225" s="5"/>
      <c r="AG3225" s="9"/>
    </row>
    <row r="3226" spans="1:33">
      <c r="A3226" s="5"/>
      <c r="B3226" s="5"/>
      <c r="C3226" s="5"/>
      <c r="D3226" s="5"/>
      <c r="E3226" s="5"/>
      <c r="F3226" s="5"/>
      <c r="G3226" s="5"/>
      <c r="H3226" s="5"/>
      <c r="I3226" s="5"/>
      <c r="J3226" s="5"/>
      <c r="K3226" s="5"/>
      <c r="L3226" s="5"/>
      <c r="M3226" s="5"/>
      <c r="N3226" s="5"/>
      <c r="O3226" s="5"/>
      <c r="P3226" s="5"/>
      <c r="Q3226" s="5"/>
      <c r="R3226" s="5"/>
      <c r="S3226" s="5"/>
      <c r="T3226" s="5"/>
      <c r="U3226" s="5"/>
      <c r="V3226" s="5"/>
      <c r="W3226" s="5"/>
      <c r="X3226" s="5"/>
      <c r="Y3226" s="5"/>
      <c r="Z3226" s="5"/>
      <c r="AA3226" s="5"/>
      <c r="AB3226" s="5"/>
      <c r="AC3226" s="5"/>
      <c r="AD3226" s="5"/>
      <c r="AE3226" s="5"/>
      <c r="AF3226" s="5"/>
      <c r="AG3226" s="9"/>
    </row>
    <row r="3227" spans="1:33">
      <c r="A3227" s="5"/>
      <c r="B3227" s="5"/>
      <c r="C3227" s="5"/>
      <c r="D3227" s="5"/>
      <c r="E3227" s="5"/>
      <c r="F3227" s="5"/>
      <c r="G3227" s="5"/>
      <c r="H3227" s="5"/>
      <c r="I3227" s="5"/>
      <c r="J3227" s="5"/>
      <c r="K3227" s="5"/>
      <c r="L3227" s="5"/>
      <c r="M3227" s="5"/>
      <c r="N3227" s="5"/>
      <c r="O3227" s="5"/>
      <c r="P3227" s="5"/>
      <c r="Q3227" s="5"/>
      <c r="R3227" s="5"/>
      <c r="S3227" s="5"/>
      <c r="T3227" s="5"/>
      <c r="U3227" s="5"/>
      <c r="V3227" s="5"/>
      <c r="W3227" s="5"/>
      <c r="X3227" s="5"/>
      <c r="Y3227" s="5"/>
      <c r="Z3227" s="5"/>
      <c r="AA3227" s="5"/>
      <c r="AB3227" s="5"/>
      <c r="AC3227" s="5"/>
      <c r="AD3227" s="5"/>
      <c r="AE3227" s="5"/>
      <c r="AF3227" s="5"/>
      <c r="AG3227" s="9"/>
    </row>
    <row r="3228" spans="1:33">
      <c r="A3228" s="5"/>
      <c r="B3228" s="5"/>
      <c r="C3228" s="5"/>
      <c r="D3228" s="5"/>
      <c r="E3228" s="5"/>
      <c r="F3228" s="5"/>
      <c r="G3228" s="5"/>
      <c r="H3228" s="5"/>
      <c r="I3228" s="5"/>
      <c r="J3228" s="5"/>
      <c r="K3228" s="5"/>
      <c r="L3228" s="5"/>
      <c r="M3228" s="5"/>
      <c r="N3228" s="5"/>
      <c r="O3228" s="5"/>
      <c r="P3228" s="5"/>
      <c r="Q3228" s="5"/>
      <c r="R3228" s="5"/>
      <c r="S3228" s="5"/>
      <c r="T3228" s="5"/>
      <c r="U3228" s="5"/>
      <c r="V3228" s="5"/>
      <c r="W3228" s="5"/>
      <c r="X3228" s="5"/>
      <c r="Y3228" s="5"/>
      <c r="Z3228" s="5"/>
      <c r="AA3228" s="5"/>
      <c r="AB3228" s="5"/>
      <c r="AC3228" s="5"/>
      <c r="AD3228" s="5"/>
      <c r="AE3228" s="5"/>
      <c r="AF3228" s="5"/>
      <c r="AG3228" s="9"/>
    </row>
    <row r="3229" spans="1:33">
      <c r="A3229" s="5"/>
      <c r="B3229" s="5"/>
      <c r="C3229" s="5"/>
      <c r="D3229" s="5"/>
      <c r="E3229" s="5"/>
      <c r="F3229" s="5"/>
      <c r="G3229" s="5"/>
      <c r="H3229" s="5"/>
      <c r="I3229" s="5"/>
      <c r="J3229" s="5"/>
      <c r="K3229" s="5"/>
      <c r="L3229" s="5"/>
      <c r="M3229" s="5"/>
      <c r="N3229" s="5"/>
      <c r="O3229" s="5"/>
      <c r="P3229" s="5"/>
      <c r="Q3229" s="5"/>
      <c r="R3229" s="5"/>
      <c r="S3229" s="5"/>
      <c r="T3229" s="5"/>
      <c r="U3229" s="5"/>
      <c r="V3229" s="5"/>
      <c r="W3229" s="5"/>
      <c r="X3229" s="5"/>
      <c r="Y3229" s="5"/>
      <c r="Z3229" s="5"/>
      <c r="AA3229" s="5"/>
      <c r="AB3229" s="5"/>
      <c r="AC3229" s="5"/>
      <c r="AD3229" s="5"/>
      <c r="AE3229" s="5"/>
      <c r="AF3229" s="5"/>
      <c r="AG3229" s="9"/>
    </row>
    <row r="3230" spans="1:33">
      <c r="A3230" s="5"/>
      <c r="B3230" s="5"/>
      <c r="C3230" s="5"/>
      <c r="D3230" s="5"/>
      <c r="E3230" s="5"/>
      <c r="F3230" s="5"/>
      <c r="G3230" s="5"/>
      <c r="H3230" s="5"/>
      <c r="I3230" s="5"/>
      <c r="J3230" s="5"/>
      <c r="K3230" s="5"/>
      <c r="L3230" s="5"/>
      <c r="M3230" s="5"/>
      <c r="N3230" s="5"/>
      <c r="O3230" s="5"/>
      <c r="P3230" s="5"/>
      <c r="Q3230" s="5"/>
      <c r="R3230" s="5"/>
      <c r="S3230" s="5"/>
      <c r="T3230" s="5"/>
      <c r="U3230" s="5"/>
      <c r="V3230" s="5"/>
      <c r="W3230" s="5"/>
      <c r="X3230" s="5"/>
      <c r="Y3230" s="5"/>
      <c r="Z3230" s="5"/>
      <c r="AA3230" s="5"/>
      <c r="AB3230" s="5"/>
      <c r="AC3230" s="5"/>
      <c r="AD3230" s="5"/>
      <c r="AE3230" s="5"/>
      <c r="AF3230" s="5"/>
      <c r="AG3230" s="9"/>
    </row>
    <row r="3231" spans="1:33">
      <c r="A3231" s="5"/>
      <c r="B3231" s="5"/>
      <c r="C3231" s="5"/>
      <c r="D3231" s="5"/>
      <c r="E3231" s="5"/>
      <c r="F3231" s="5"/>
      <c r="G3231" s="5"/>
      <c r="H3231" s="5"/>
      <c r="I3231" s="5"/>
      <c r="J3231" s="5"/>
      <c r="K3231" s="5"/>
      <c r="L3231" s="5"/>
      <c r="M3231" s="5"/>
      <c r="N3231" s="5"/>
      <c r="O3231" s="5"/>
      <c r="P3231" s="5"/>
      <c r="Q3231" s="5"/>
      <c r="R3231" s="5"/>
      <c r="S3231" s="5"/>
      <c r="T3231" s="5"/>
      <c r="U3231" s="5"/>
      <c r="V3231" s="5"/>
      <c r="W3231" s="5"/>
      <c r="X3231" s="5"/>
      <c r="Y3231" s="5"/>
      <c r="Z3231" s="5"/>
      <c r="AA3231" s="5"/>
      <c r="AB3231" s="5"/>
      <c r="AC3231" s="5"/>
      <c r="AD3231" s="5"/>
      <c r="AE3231" s="5"/>
      <c r="AF3231" s="5"/>
      <c r="AG3231" s="9"/>
    </row>
    <row r="3232" spans="1:33">
      <c r="A3232" s="5"/>
      <c r="B3232" s="5"/>
      <c r="C3232" s="5"/>
      <c r="D3232" s="5"/>
      <c r="E3232" s="5"/>
      <c r="F3232" s="5"/>
      <c r="G3232" s="5"/>
      <c r="H3232" s="5"/>
      <c r="I3232" s="5"/>
      <c r="J3232" s="5"/>
      <c r="K3232" s="5"/>
      <c r="L3232" s="5"/>
      <c r="M3232" s="5"/>
      <c r="N3232" s="5"/>
      <c r="O3232" s="5"/>
      <c r="P3232" s="5"/>
      <c r="Q3232" s="5"/>
      <c r="R3232" s="5"/>
      <c r="S3232" s="5"/>
      <c r="T3232" s="5"/>
      <c r="U3232" s="5"/>
      <c r="V3232" s="5"/>
      <c r="W3232" s="5"/>
      <c r="X3232" s="5"/>
      <c r="Y3232" s="5"/>
      <c r="Z3232" s="5"/>
      <c r="AA3232" s="5"/>
      <c r="AB3232" s="5"/>
      <c r="AC3232" s="5"/>
      <c r="AD3232" s="5"/>
      <c r="AE3232" s="5"/>
      <c r="AF3232" s="5"/>
      <c r="AG3232" s="9"/>
    </row>
    <row r="3233" spans="1:33">
      <c r="A3233" s="5"/>
      <c r="B3233" s="5"/>
      <c r="C3233" s="5"/>
      <c r="D3233" s="5"/>
      <c r="E3233" s="5"/>
      <c r="F3233" s="5"/>
      <c r="G3233" s="5"/>
      <c r="H3233" s="5"/>
      <c r="I3233" s="5"/>
      <c r="J3233" s="5"/>
      <c r="K3233" s="5"/>
      <c r="L3233" s="5"/>
      <c r="M3233" s="5"/>
      <c r="N3233" s="5"/>
      <c r="O3233" s="5"/>
      <c r="P3233" s="5"/>
      <c r="Q3233" s="5"/>
      <c r="R3233" s="5"/>
      <c r="S3233" s="5"/>
      <c r="T3233" s="5"/>
      <c r="U3233" s="5"/>
      <c r="V3233" s="5"/>
      <c r="W3233" s="5"/>
      <c r="X3233" s="5"/>
      <c r="Y3233" s="5"/>
      <c r="Z3233" s="5"/>
      <c r="AA3233" s="5"/>
      <c r="AB3233" s="5"/>
      <c r="AC3233" s="5"/>
      <c r="AD3233" s="5"/>
      <c r="AE3233" s="5"/>
      <c r="AF3233" s="5"/>
      <c r="AG3233" s="9"/>
    </row>
    <row r="3234" spans="1:33">
      <c r="A3234" s="5"/>
      <c r="B3234" s="5"/>
      <c r="C3234" s="5"/>
      <c r="D3234" s="5"/>
      <c r="E3234" s="5"/>
      <c r="F3234" s="5"/>
      <c r="G3234" s="5"/>
      <c r="H3234" s="5"/>
      <c r="I3234" s="5"/>
      <c r="J3234" s="5"/>
      <c r="K3234" s="5"/>
      <c r="L3234" s="5"/>
      <c r="M3234" s="5"/>
      <c r="N3234" s="5"/>
      <c r="O3234" s="5"/>
      <c r="P3234" s="5"/>
      <c r="Q3234" s="5"/>
      <c r="R3234" s="5"/>
      <c r="S3234" s="5"/>
      <c r="T3234" s="5"/>
      <c r="U3234" s="5"/>
      <c r="V3234" s="5"/>
      <c r="W3234" s="5"/>
      <c r="X3234" s="5"/>
      <c r="Y3234" s="5"/>
      <c r="Z3234" s="5"/>
      <c r="AA3234" s="5"/>
      <c r="AB3234" s="5"/>
      <c r="AC3234" s="5"/>
      <c r="AD3234" s="5"/>
      <c r="AE3234" s="5"/>
      <c r="AF3234" s="5"/>
      <c r="AG3234" s="9"/>
    </row>
    <row r="3235" spans="1:33">
      <c r="A3235" s="5"/>
      <c r="B3235" s="5"/>
      <c r="C3235" s="5"/>
      <c r="D3235" s="5"/>
      <c r="E3235" s="5"/>
      <c r="F3235" s="5"/>
      <c r="G3235" s="5"/>
      <c r="H3235" s="5"/>
      <c r="I3235" s="5"/>
      <c r="J3235" s="5"/>
      <c r="K3235" s="5"/>
      <c r="L3235" s="5"/>
      <c r="M3235" s="5"/>
      <c r="N3235" s="5"/>
      <c r="O3235" s="5"/>
      <c r="P3235" s="5"/>
      <c r="Q3235" s="5"/>
      <c r="R3235" s="5"/>
      <c r="S3235" s="5"/>
      <c r="T3235" s="5"/>
      <c r="U3235" s="5"/>
      <c r="V3235" s="5"/>
      <c r="W3235" s="5"/>
      <c r="X3235" s="5"/>
      <c r="Y3235" s="5"/>
      <c r="Z3235" s="5"/>
      <c r="AA3235" s="5"/>
      <c r="AB3235" s="5"/>
      <c r="AC3235" s="5"/>
      <c r="AD3235" s="5"/>
      <c r="AE3235" s="5"/>
      <c r="AF3235" s="5"/>
      <c r="AG3235" s="9"/>
    </row>
    <row r="3236" spans="1:33">
      <c r="A3236" s="5"/>
      <c r="B3236" s="5"/>
      <c r="C3236" s="5"/>
      <c r="D3236" s="5"/>
      <c r="E3236" s="5"/>
      <c r="F3236" s="5"/>
      <c r="G3236" s="5"/>
      <c r="H3236" s="5"/>
      <c r="I3236" s="5"/>
      <c r="J3236" s="5"/>
      <c r="K3236" s="5"/>
      <c r="L3236" s="5"/>
      <c r="M3236" s="5"/>
      <c r="N3236" s="5"/>
      <c r="O3236" s="5"/>
      <c r="P3236" s="5"/>
      <c r="Q3236" s="5"/>
      <c r="R3236" s="5"/>
      <c r="S3236" s="5"/>
      <c r="T3236" s="5"/>
      <c r="U3236" s="5"/>
      <c r="V3236" s="5"/>
      <c r="W3236" s="5"/>
      <c r="X3236" s="5"/>
      <c r="Y3236" s="5"/>
      <c r="Z3236" s="5"/>
      <c r="AA3236" s="5"/>
      <c r="AB3236" s="5"/>
      <c r="AC3236" s="5"/>
      <c r="AD3236" s="5"/>
      <c r="AE3236" s="5"/>
      <c r="AF3236" s="5"/>
      <c r="AG3236" s="9"/>
    </row>
    <row r="3237" spans="1:33">
      <c r="A3237" s="5"/>
      <c r="B3237" s="5"/>
      <c r="C3237" s="5"/>
      <c r="D3237" s="5"/>
      <c r="E3237" s="5"/>
      <c r="F3237" s="5"/>
      <c r="G3237" s="5"/>
      <c r="H3237" s="5"/>
      <c r="I3237" s="5"/>
      <c r="J3237" s="5"/>
      <c r="K3237" s="5"/>
      <c r="L3237" s="5"/>
      <c r="M3237" s="5"/>
      <c r="N3237" s="5"/>
      <c r="O3237" s="5"/>
      <c r="P3237" s="5"/>
      <c r="Q3237" s="5"/>
      <c r="R3237" s="5"/>
      <c r="S3237" s="5"/>
      <c r="T3237" s="5"/>
      <c r="U3237" s="5"/>
      <c r="V3237" s="5"/>
      <c r="W3237" s="5"/>
      <c r="X3237" s="5"/>
      <c r="Y3237" s="5"/>
      <c r="Z3237" s="5"/>
      <c r="AA3237" s="5"/>
      <c r="AB3237" s="5"/>
      <c r="AC3237" s="5"/>
      <c r="AD3237" s="5"/>
      <c r="AE3237" s="5"/>
      <c r="AF3237" s="5"/>
      <c r="AG3237" s="9"/>
    </row>
    <row r="3238" spans="1:33">
      <c r="A3238" s="5"/>
      <c r="B3238" s="5"/>
      <c r="C3238" s="5"/>
      <c r="D3238" s="5"/>
      <c r="E3238" s="5"/>
      <c r="F3238" s="5"/>
      <c r="G3238" s="5"/>
      <c r="H3238" s="5"/>
      <c r="I3238" s="5"/>
      <c r="J3238" s="5"/>
      <c r="K3238" s="5"/>
      <c r="L3238" s="5"/>
      <c r="M3238" s="5"/>
      <c r="N3238" s="5"/>
      <c r="O3238" s="5"/>
      <c r="P3238" s="5"/>
      <c r="Q3238" s="5"/>
      <c r="R3238" s="5"/>
      <c r="S3238" s="5"/>
      <c r="T3238" s="5"/>
      <c r="U3238" s="5"/>
      <c r="V3238" s="5"/>
      <c r="W3238" s="5"/>
      <c r="X3238" s="5"/>
      <c r="Y3238" s="5"/>
      <c r="Z3238" s="5"/>
      <c r="AA3238" s="5"/>
      <c r="AB3238" s="5"/>
      <c r="AC3238" s="5"/>
      <c r="AD3238" s="5"/>
      <c r="AE3238" s="5"/>
      <c r="AF3238" s="5"/>
      <c r="AG3238" s="9"/>
    </row>
    <row r="3239" spans="1:33">
      <c r="A3239" s="5"/>
      <c r="B3239" s="5"/>
      <c r="C3239" s="5"/>
      <c r="D3239" s="5"/>
      <c r="E3239" s="5"/>
      <c r="F3239" s="5"/>
      <c r="G3239" s="5"/>
      <c r="H3239" s="5"/>
      <c r="I3239" s="5"/>
      <c r="J3239" s="5"/>
      <c r="K3239" s="5"/>
      <c r="L3239" s="5"/>
      <c r="M3239" s="5"/>
      <c r="N3239" s="5"/>
      <c r="O3239" s="5"/>
      <c r="P3239" s="5"/>
      <c r="Q3239" s="5"/>
      <c r="R3239" s="5"/>
      <c r="S3239" s="5"/>
      <c r="T3239" s="5"/>
      <c r="U3239" s="5"/>
      <c r="V3239" s="5"/>
      <c r="W3239" s="5"/>
      <c r="X3239" s="5"/>
      <c r="Y3239" s="5"/>
      <c r="Z3239" s="5"/>
      <c r="AA3239" s="5"/>
      <c r="AB3239" s="5"/>
      <c r="AC3239" s="5"/>
      <c r="AD3239" s="5"/>
      <c r="AE3239" s="5"/>
      <c r="AF3239" s="5"/>
      <c r="AG3239" s="9"/>
    </row>
    <row r="3240" spans="1:33">
      <c r="A3240" s="5"/>
      <c r="B3240" s="5"/>
      <c r="C3240" s="5"/>
      <c r="D3240" s="5"/>
      <c r="E3240" s="5"/>
      <c r="F3240" s="5"/>
      <c r="G3240" s="5"/>
      <c r="H3240" s="5"/>
      <c r="I3240" s="5"/>
      <c r="J3240" s="5"/>
      <c r="K3240" s="5"/>
      <c r="L3240" s="5"/>
      <c r="M3240" s="5"/>
      <c r="N3240" s="5"/>
      <c r="O3240" s="5"/>
      <c r="P3240" s="5"/>
      <c r="Q3240" s="5"/>
      <c r="R3240" s="5"/>
      <c r="S3240" s="5"/>
      <c r="T3240" s="5"/>
      <c r="U3240" s="5"/>
      <c r="V3240" s="5"/>
      <c r="W3240" s="5"/>
      <c r="X3240" s="5"/>
      <c r="Y3240" s="5"/>
      <c r="Z3240" s="5"/>
      <c r="AA3240" s="5"/>
      <c r="AB3240" s="5"/>
      <c r="AC3240" s="5"/>
      <c r="AD3240" s="5"/>
      <c r="AE3240" s="5"/>
      <c r="AF3240" s="5"/>
      <c r="AG3240" s="9"/>
    </row>
    <row r="3241" spans="1:33">
      <c r="A3241" s="5"/>
      <c r="B3241" s="5"/>
      <c r="C3241" s="5"/>
      <c r="D3241" s="5"/>
      <c r="E3241" s="5"/>
      <c r="F3241" s="5"/>
      <c r="G3241" s="5"/>
      <c r="H3241" s="5"/>
      <c r="I3241" s="5"/>
      <c r="J3241" s="5"/>
      <c r="K3241" s="5"/>
      <c r="L3241" s="5"/>
      <c r="M3241" s="5"/>
      <c r="N3241" s="5"/>
      <c r="O3241" s="5"/>
      <c r="P3241" s="5"/>
      <c r="Q3241" s="5"/>
      <c r="R3241" s="5"/>
      <c r="S3241" s="5"/>
      <c r="T3241" s="5"/>
      <c r="U3241" s="5"/>
      <c r="V3241" s="5"/>
      <c r="W3241" s="5"/>
      <c r="X3241" s="5"/>
      <c r="Y3241" s="5"/>
      <c r="Z3241" s="5"/>
      <c r="AA3241" s="5"/>
      <c r="AB3241" s="5"/>
      <c r="AC3241" s="5"/>
      <c r="AD3241" s="5"/>
      <c r="AE3241" s="5"/>
      <c r="AF3241" s="5"/>
      <c r="AG3241" s="9"/>
    </row>
    <row r="3242" spans="1:33">
      <c r="A3242" s="5"/>
      <c r="B3242" s="5"/>
      <c r="C3242" s="5"/>
      <c r="D3242" s="5"/>
      <c r="E3242" s="5"/>
      <c r="F3242" s="5"/>
      <c r="G3242" s="5"/>
      <c r="H3242" s="5"/>
      <c r="I3242" s="5"/>
      <c r="J3242" s="5"/>
      <c r="K3242" s="5"/>
      <c r="L3242" s="5"/>
      <c r="M3242" s="5"/>
      <c r="N3242" s="5"/>
      <c r="O3242" s="5"/>
      <c r="P3242" s="5"/>
      <c r="Q3242" s="5"/>
      <c r="R3242" s="5"/>
      <c r="S3242" s="5"/>
      <c r="T3242" s="5"/>
      <c r="U3242" s="5"/>
      <c r="V3242" s="5"/>
      <c r="W3242" s="5"/>
      <c r="X3242" s="5"/>
      <c r="Y3242" s="5"/>
      <c r="Z3242" s="5"/>
      <c r="AA3242" s="5"/>
      <c r="AB3242" s="5"/>
      <c r="AC3242" s="5"/>
      <c r="AD3242" s="5"/>
      <c r="AE3242" s="5"/>
      <c r="AF3242" s="5"/>
      <c r="AG3242" s="9"/>
    </row>
    <row r="3243" spans="1:33">
      <c r="A3243" s="5"/>
      <c r="B3243" s="5"/>
      <c r="C3243" s="5"/>
      <c r="D3243" s="5"/>
      <c r="E3243" s="5"/>
      <c r="F3243" s="5"/>
      <c r="G3243" s="5"/>
      <c r="H3243" s="5"/>
      <c r="I3243" s="5"/>
      <c r="J3243" s="5"/>
      <c r="K3243" s="5"/>
      <c r="L3243" s="5"/>
      <c r="M3243" s="5"/>
      <c r="N3243" s="5"/>
      <c r="O3243" s="5"/>
      <c r="P3243" s="5"/>
      <c r="Q3243" s="5"/>
      <c r="R3243" s="5"/>
      <c r="S3243" s="5"/>
      <c r="T3243" s="5"/>
      <c r="U3243" s="5"/>
      <c r="V3243" s="5"/>
      <c r="W3243" s="5"/>
      <c r="X3243" s="5"/>
      <c r="Y3243" s="5"/>
      <c r="Z3243" s="5"/>
      <c r="AA3243" s="5"/>
      <c r="AB3243" s="5"/>
      <c r="AC3243" s="5"/>
      <c r="AD3243" s="5"/>
      <c r="AE3243" s="5"/>
      <c r="AF3243" s="5"/>
      <c r="AG3243" s="9"/>
    </row>
    <row r="3244" spans="1:33">
      <c r="A3244" s="5"/>
      <c r="B3244" s="5"/>
      <c r="C3244" s="5"/>
      <c r="D3244" s="5"/>
      <c r="E3244" s="5"/>
      <c r="F3244" s="5"/>
      <c r="G3244" s="5"/>
      <c r="H3244" s="5"/>
      <c r="I3244" s="5"/>
      <c r="J3244" s="5"/>
      <c r="K3244" s="5"/>
      <c r="L3244" s="5"/>
      <c r="M3244" s="5"/>
      <c r="N3244" s="5"/>
      <c r="O3244" s="5"/>
      <c r="P3244" s="5"/>
      <c r="Q3244" s="5"/>
      <c r="R3244" s="5"/>
      <c r="S3244" s="5"/>
      <c r="T3244" s="5"/>
      <c r="U3244" s="5"/>
      <c r="V3244" s="5"/>
      <c r="W3244" s="5"/>
      <c r="X3244" s="5"/>
      <c r="Y3244" s="5"/>
      <c r="Z3244" s="5"/>
      <c r="AA3244" s="5"/>
      <c r="AB3244" s="5"/>
      <c r="AC3244" s="5"/>
      <c r="AD3244" s="5"/>
      <c r="AE3244" s="5"/>
      <c r="AF3244" s="5"/>
      <c r="AG3244" s="9"/>
    </row>
    <row r="3245" spans="1:33">
      <c r="A3245" s="5"/>
      <c r="B3245" s="5"/>
      <c r="C3245" s="5"/>
      <c r="D3245" s="5"/>
      <c r="E3245" s="5"/>
      <c r="F3245" s="5"/>
      <c r="G3245" s="5"/>
      <c r="H3245" s="5"/>
      <c r="I3245" s="5"/>
      <c r="J3245" s="5"/>
      <c r="K3245" s="5"/>
      <c r="L3245" s="5"/>
      <c r="M3245" s="5"/>
      <c r="N3245" s="5"/>
      <c r="O3245" s="5"/>
      <c r="P3245" s="5"/>
      <c r="Q3245" s="5"/>
      <c r="R3245" s="5"/>
      <c r="S3245" s="5"/>
      <c r="T3245" s="5"/>
      <c r="U3245" s="5"/>
      <c r="V3245" s="5"/>
      <c r="W3245" s="5"/>
      <c r="X3245" s="5"/>
      <c r="Y3245" s="5"/>
      <c r="Z3245" s="5"/>
      <c r="AA3245" s="5"/>
      <c r="AB3245" s="5"/>
      <c r="AC3245" s="5"/>
      <c r="AD3245" s="5"/>
      <c r="AE3245" s="5"/>
      <c r="AF3245" s="5"/>
      <c r="AG3245" s="9"/>
    </row>
    <row r="3246" spans="1:33">
      <c r="A3246" s="5"/>
      <c r="B3246" s="5"/>
      <c r="C3246" s="5"/>
      <c r="D3246" s="5"/>
      <c r="E3246" s="5"/>
      <c r="F3246" s="5"/>
      <c r="G3246" s="5"/>
      <c r="H3246" s="5"/>
      <c r="I3246" s="5"/>
      <c r="J3246" s="5"/>
      <c r="K3246" s="5"/>
      <c r="L3246" s="5"/>
      <c r="M3246" s="5"/>
      <c r="N3246" s="5"/>
      <c r="O3246" s="5"/>
      <c r="P3246" s="5"/>
      <c r="Q3246" s="5"/>
      <c r="R3246" s="5"/>
      <c r="S3246" s="5"/>
      <c r="T3246" s="5"/>
      <c r="U3246" s="5"/>
      <c r="V3246" s="5"/>
      <c r="W3246" s="5"/>
      <c r="X3246" s="5"/>
      <c r="Y3246" s="5"/>
      <c r="Z3246" s="5"/>
      <c r="AA3246" s="5"/>
      <c r="AB3246" s="5"/>
      <c r="AC3246" s="5"/>
      <c r="AD3246" s="5"/>
      <c r="AE3246" s="5"/>
      <c r="AF3246" s="5"/>
      <c r="AG3246" s="9"/>
    </row>
    <row r="3247" spans="1:33">
      <c r="A3247" s="5"/>
      <c r="B3247" s="5"/>
      <c r="C3247" s="5"/>
      <c r="D3247" s="5"/>
      <c r="E3247" s="5"/>
      <c r="F3247" s="5"/>
      <c r="G3247" s="5"/>
      <c r="H3247" s="5"/>
      <c r="I3247" s="5"/>
      <c r="J3247" s="5"/>
      <c r="K3247" s="5"/>
      <c r="L3247" s="5"/>
      <c r="M3247" s="5"/>
      <c r="N3247" s="5"/>
      <c r="O3247" s="5"/>
      <c r="P3247" s="5"/>
      <c r="Q3247" s="5"/>
      <c r="R3247" s="5"/>
      <c r="S3247" s="5"/>
      <c r="T3247" s="5"/>
      <c r="U3247" s="5"/>
      <c r="V3247" s="5"/>
      <c r="W3247" s="5"/>
      <c r="X3247" s="5"/>
      <c r="Y3247" s="5"/>
      <c r="Z3247" s="5"/>
      <c r="AA3247" s="5"/>
      <c r="AB3247" s="5"/>
      <c r="AC3247" s="5"/>
      <c r="AD3247" s="5"/>
      <c r="AE3247" s="5"/>
      <c r="AF3247" s="5"/>
      <c r="AG3247" s="9"/>
    </row>
    <row r="3248" spans="1:33">
      <c r="A3248" s="5"/>
      <c r="B3248" s="5"/>
      <c r="C3248" s="5"/>
      <c r="D3248" s="5"/>
      <c r="E3248" s="5"/>
      <c r="F3248" s="5"/>
      <c r="G3248" s="5"/>
      <c r="H3248" s="5"/>
      <c r="I3248" s="5"/>
      <c r="J3248" s="5"/>
      <c r="K3248" s="5"/>
      <c r="L3248" s="5"/>
      <c r="M3248" s="5"/>
      <c r="N3248" s="5"/>
      <c r="O3248" s="5"/>
      <c r="P3248" s="5"/>
      <c r="Q3248" s="5"/>
      <c r="R3248" s="5"/>
      <c r="S3248" s="5"/>
      <c r="T3248" s="5"/>
      <c r="U3248" s="5"/>
      <c r="V3248" s="5"/>
      <c r="W3248" s="5"/>
      <c r="X3248" s="5"/>
      <c r="Y3248" s="5"/>
      <c r="Z3248" s="5"/>
      <c r="AA3248" s="5"/>
      <c r="AB3248" s="5"/>
      <c r="AC3248" s="5"/>
      <c r="AD3248" s="5"/>
      <c r="AE3248" s="5"/>
      <c r="AF3248" s="5"/>
      <c r="AG3248" s="9"/>
    </row>
    <row r="3249" spans="1:33">
      <c r="A3249" s="5"/>
      <c r="B3249" s="5"/>
      <c r="C3249" s="5"/>
      <c r="D3249" s="5"/>
      <c r="E3249" s="5"/>
      <c r="F3249" s="5"/>
      <c r="G3249" s="5"/>
      <c r="H3249" s="5"/>
      <c r="I3249" s="5"/>
      <c r="J3249" s="5"/>
      <c r="K3249" s="5"/>
      <c r="L3249" s="5"/>
      <c r="M3249" s="5"/>
      <c r="N3249" s="5"/>
      <c r="O3249" s="5"/>
      <c r="P3249" s="5"/>
      <c r="Q3249" s="5"/>
      <c r="R3249" s="5"/>
      <c r="S3249" s="5"/>
      <c r="T3249" s="5"/>
      <c r="U3249" s="5"/>
      <c r="V3249" s="5"/>
      <c r="W3249" s="5"/>
      <c r="X3249" s="5"/>
      <c r="Y3249" s="5"/>
      <c r="Z3249" s="5"/>
      <c r="AA3249" s="5"/>
      <c r="AB3249" s="5"/>
      <c r="AC3249" s="5"/>
      <c r="AD3249" s="5"/>
      <c r="AE3249" s="5"/>
      <c r="AF3249" s="5"/>
      <c r="AG3249" s="9"/>
    </row>
    <row r="3250" spans="1:33">
      <c r="A3250" s="5"/>
      <c r="B3250" s="5"/>
      <c r="C3250" s="5"/>
      <c r="D3250" s="5"/>
      <c r="E3250" s="5"/>
      <c r="F3250" s="5"/>
      <c r="G3250" s="5"/>
      <c r="H3250" s="5"/>
      <c r="I3250" s="5"/>
      <c r="J3250" s="5"/>
      <c r="K3250" s="5"/>
      <c r="L3250" s="5"/>
      <c r="M3250" s="5"/>
      <c r="N3250" s="5"/>
      <c r="O3250" s="5"/>
      <c r="P3250" s="5"/>
      <c r="Q3250" s="5"/>
      <c r="R3250" s="5"/>
      <c r="S3250" s="5"/>
      <c r="T3250" s="5"/>
      <c r="U3250" s="5"/>
      <c r="V3250" s="5"/>
      <c r="W3250" s="5"/>
      <c r="X3250" s="5"/>
      <c r="Y3250" s="5"/>
      <c r="Z3250" s="5"/>
      <c r="AA3250" s="5"/>
      <c r="AB3250" s="5"/>
      <c r="AC3250" s="5"/>
      <c r="AD3250" s="5"/>
      <c r="AE3250" s="5"/>
      <c r="AF3250" s="5"/>
      <c r="AG3250" s="9"/>
    </row>
    <row r="3251" spans="1:33">
      <c r="A3251" s="5"/>
      <c r="B3251" s="5"/>
      <c r="C3251" s="5"/>
      <c r="D3251" s="5"/>
      <c r="E3251" s="5"/>
      <c r="F3251" s="5"/>
      <c r="G3251" s="5"/>
      <c r="H3251" s="5"/>
      <c r="I3251" s="5"/>
      <c r="J3251" s="5"/>
      <c r="K3251" s="5"/>
      <c r="L3251" s="5"/>
      <c r="M3251" s="5"/>
      <c r="N3251" s="5"/>
      <c r="O3251" s="5"/>
      <c r="P3251" s="5"/>
      <c r="Q3251" s="5"/>
      <c r="R3251" s="5"/>
      <c r="S3251" s="5"/>
      <c r="T3251" s="5"/>
      <c r="U3251" s="5"/>
      <c r="V3251" s="5"/>
      <c r="W3251" s="5"/>
      <c r="X3251" s="5"/>
      <c r="Y3251" s="5"/>
      <c r="Z3251" s="5"/>
      <c r="AA3251" s="5"/>
      <c r="AB3251" s="5"/>
      <c r="AC3251" s="5"/>
      <c r="AD3251" s="5"/>
      <c r="AE3251" s="5"/>
      <c r="AF3251" s="5"/>
      <c r="AG3251" s="9"/>
    </row>
    <row r="3252" spans="1:33">
      <c r="A3252" s="5"/>
      <c r="B3252" s="5"/>
      <c r="C3252" s="5"/>
      <c r="D3252" s="5"/>
      <c r="E3252" s="5"/>
      <c r="F3252" s="5"/>
      <c r="G3252" s="5"/>
      <c r="H3252" s="5"/>
      <c r="I3252" s="5"/>
      <c r="J3252" s="5"/>
      <c r="K3252" s="5"/>
      <c r="L3252" s="5"/>
      <c r="M3252" s="5"/>
      <c r="N3252" s="5"/>
      <c r="O3252" s="5"/>
      <c r="P3252" s="5"/>
      <c r="Q3252" s="5"/>
      <c r="R3252" s="5"/>
      <c r="S3252" s="5"/>
      <c r="T3252" s="5"/>
      <c r="U3252" s="5"/>
      <c r="V3252" s="5"/>
      <c r="W3252" s="5"/>
      <c r="X3252" s="5"/>
      <c r="Y3252" s="5"/>
      <c r="Z3252" s="5"/>
      <c r="AA3252" s="5"/>
      <c r="AB3252" s="5"/>
      <c r="AC3252" s="5"/>
      <c r="AD3252" s="5"/>
      <c r="AE3252" s="5"/>
      <c r="AF3252" s="5"/>
      <c r="AG3252" s="9"/>
    </row>
    <row r="3253" spans="1:33">
      <c r="A3253" s="5"/>
      <c r="B3253" s="5"/>
      <c r="C3253" s="5"/>
      <c r="D3253" s="5"/>
      <c r="E3253" s="5"/>
      <c r="F3253" s="5"/>
      <c r="G3253" s="5"/>
      <c r="H3253" s="5"/>
      <c r="I3253" s="5"/>
      <c r="J3253" s="5"/>
      <c r="K3253" s="5"/>
      <c r="L3253" s="5"/>
      <c r="M3253" s="5"/>
      <c r="N3253" s="5"/>
      <c r="O3253" s="5"/>
      <c r="P3253" s="5"/>
      <c r="Q3253" s="5"/>
      <c r="R3253" s="5"/>
      <c r="S3253" s="5"/>
      <c r="T3253" s="5"/>
      <c r="U3253" s="5"/>
      <c r="V3253" s="5"/>
      <c r="W3253" s="5"/>
      <c r="X3253" s="5"/>
      <c r="Y3253" s="5"/>
      <c r="Z3253" s="5"/>
      <c r="AA3253" s="5"/>
      <c r="AB3253" s="5"/>
      <c r="AC3253" s="5"/>
      <c r="AD3253" s="5"/>
      <c r="AE3253" s="5"/>
      <c r="AF3253" s="5"/>
      <c r="AG3253" s="9"/>
    </row>
    <row r="3254" spans="1:33">
      <c r="A3254" s="5"/>
      <c r="B3254" s="5"/>
      <c r="C3254" s="5"/>
      <c r="D3254" s="5"/>
      <c r="E3254" s="5"/>
      <c r="F3254" s="5"/>
      <c r="G3254" s="5"/>
      <c r="H3254" s="5"/>
      <c r="I3254" s="5"/>
      <c r="J3254" s="5"/>
      <c r="K3254" s="5"/>
      <c r="L3254" s="5"/>
      <c r="M3254" s="5"/>
      <c r="N3254" s="5"/>
      <c r="O3254" s="5"/>
      <c r="P3254" s="5"/>
      <c r="Q3254" s="5"/>
      <c r="R3254" s="5"/>
      <c r="S3254" s="5"/>
      <c r="T3254" s="5"/>
      <c r="U3254" s="5"/>
      <c r="V3254" s="5"/>
      <c r="W3254" s="5"/>
      <c r="X3254" s="5"/>
      <c r="Y3254" s="5"/>
      <c r="Z3254" s="5"/>
      <c r="AA3254" s="5"/>
      <c r="AB3254" s="5"/>
      <c r="AC3254" s="5"/>
      <c r="AD3254" s="5"/>
      <c r="AE3254" s="5"/>
      <c r="AF3254" s="5"/>
      <c r="AG3254" s="9"/>
    </row>
    <row r="3255" spans="1:33">
      <c r="A3255" s="5"/>
      <c r="B3255" s="5"/>
      <c r="C3255" s="5"/>
      <c r="D3255" s="5"/>
      <c r="E3255" s="5"/>
      <c r="F3255" s="5"/>
      <c r="G3255" s="5"/>
      <c r="H3255" s="5"/>
      <c r="I3255" s="5"/>
      <c r="J3255" s="5"/>
      <c r="K3255" s="5"/>
      <c r="L3255" s="5"/>
      <c r="M3255" s="5"/>
      <c r="N3255" s="5"/>
      <c r="O3255" s="5"/>
      <c r="P3255" s="5"/>
      <c r="Q3255" s="5"/>
      <c r="R3255" s="5"/>
      <c r="S3255" s="5"/>
      <c r="T3255" s="5"/>
      <c r="U3255" s="5"/>
      <c r="V3255" s="5"/>
      <c r="W3255" s="5"/>
      <c r="X3255" s="5"/>
      <c r="Y3255" s="5"/>
      <c r="Z3255" s="5"/>
      <c r="AA3255" s="5"/>
      <c r="AB3255" s="5"/>
      <c r="AC3255" s="5"/>
      <c r="AD3255" s="5"/>
      <c r="AE3255" s="5"/>
      <c r="AF3255" s="5"/>
      <c r="AG3255" s="9"/>
    </row>
    <row r="3256" spans="1:33">
      <c r="A3256" s="5"/>
      <c r="B3256" s="5"/>
      <c r="C3256" s="5"/>
      <c r="D3256" s="5"/>
      <c r="E3256" s="5"/>
      <c r="F3256" s="5"/>
      <c r="G3256" s="5"/>
      <c r="H3256" s="5"/>
      <c r="I3256" s="5"/>
      <c r="J3256" s="5"/>
      <c r="K3256" s="5"/>
      <c r="L3256" s="5"/>
      <c r="M3256" s="5"/>
      <c r="N3256" s="5"/>
      <c r="O3256" s="5"/>
      <c r="P3256" s="5"/>
      <c r="Q3256" s="5"/>
      <c r="R3256" s="5"/>
      <c r="S3256" s="5"/>
      <c r="T3256" s="5"/>
      <c r="U3256" s="5"/>
      <c r="V3256" s="5"/>
      <c r="W3256" s="5"/>
      <c r="X3256" s="5"/>
      <c r="Y3256" s="5"/>
      <c r="Z3256" s="5"/>
      <c r="AA3256" s="5"/>
      <c r="AB3256" s="5"/>
      <c r="AC3256" s="5"/>
      <c r="AD3256" s="5"/>
      <c r="AE3256" s="5"/>
      <c r="AF3256" s="5"/>
      <c r="AG3256" s="9"/>
    </row>
    <row r="3257" spans="1:33">
      <c r="A3257" s="5"/>
      <c r="B3257" s="5"/>
      <c r="C3257" s="5"/>
      <c r="D3257" s="5"/>
      <c r="E3257" s="5"/>
      <c r="F3257" s="5"/>
      <c r="G3257" s="5"/>
      <c r="H3257" s="5"/>
      <c r="I3257" s="5"/>
      <c r="J3257" s="5"/>
      <c r="K3257" s="5"/>
      <c r="L3257" s="5"/>
      <c r="M3257" s="5"/>
      <c r="N3257" s="5"/>
      <c r="O3257" s="5"/>
      <c r="P3257" s="5"/>
      <c r="Q3257" s="5"/>
      <c r="R3257" s="5"/>
      <c r="S3257" s="5"/>
      <c r="T3257" s="5"/>
      <c r="U3257" s="5"/>
      <c r="V3257" s="5"/>
      <c r="W3257" s="5"/>
      <c r="X3257" s="5"/>
      <c r="Y3257" s="5"/>
      <c r="Z3257" s="5"/>
      <c r="AA3257" s="5"/>
      <c r="AB3257" s="5"/>
      <c r="AC3257" s="5"/>
      <c r="AD3257" s="5"/>
      <c r="AE3257" s="5"/>
      <c r="AF3257" s="5"/>
      <c r="AG3257" s="9"/>
    </row>
    <row r="3258" spans="1:33">
      <c r="A3258" s="5"/>
      <c r="B3258" s="5"/>
      <c r="C3258" s="5"/>
      <c r="D3258" s="5"/>
      <c r="E3258" s="5"/>
      <c r="F3258" s="5"/>
      <c r="G3258" s="5"/>
      <c r="H3258" s="5"/>
      <c r="I3258" s="5"/>
      <c r="J3258" s="5"/>
      <c r="K3258" s="5"/>
      <c r="L3258" s="5"/>
      <c r="M3258" s="5"/>
      <c r="N3258" s="5"/>
      <c r="O3258" s="5"/>
      <c r="P3258" s="5"/>
      <c r="Q3258" s="5"/>
      <c r="R3258" s="5"/>
      <c r="S3258" s="5"/>
      <c r="T3258" s="5"/>
      <c r="U3258" s="5"/>
      <c r="V3258" s="5"/>
      <c r="W3258" s="5"/>
      <c r="X3258" s="5"/>
      <c r="Y3258" s="5"/>
      <c r="Z3258" s="5"/>
      <c r="AA3258" s="5"/>
      <c r="AB3258" s="5"/>
      <c r="AC3258" s="5"/>
      <c r="AD3258" s="5"/>
      <c r="AE3258" s="5"/>
      <c r="AF3258" s="5"/>
      <c r="AG3258" s="9"/>
    </row>
    <row r="3259" spans="1:33">
      <c r="A3259" s="5"/>
      <c r="B3259" s="5"/>
      <c r="C3259" s="5"/>
      <c r="D3259" s="5"/>
      <c r="E3259" s="5"/>
      <c r="F3259" s="5"/>
      <c r="G3259" s="5"/>
      <c r="H3259" s="5"/>
      <c r="I3259" s="5"/>
      <c r="J3259" s="5"/>
      <c r="K3259" s="5"/>
      <c r="L3259" s="5"/>
      <c r="M3259" s="5"/>
      <c r="N3259" s="5"/>
      <c r="O3259" s="5"/>
      <c r="P3259" s="5"/>
      <c r="Q3259" s="5"/>
      <c r="R3259" s="5"/>
      <c r="S3259" s="5"/>
      <c r="T3259" s="5"/>
      <c r="U3259" s="5"/>
      <c r="V3259" s="5"/>
      <c r="W3259" s="5"/>
      <c r="X3259" s="5"/>
      <c r="Y3259" s="5"/>
      <c r="Z3259" s="5"/>
      <c r="AA3259" s="5"/>
      <c r="AB3259" s="5"/>
      <c r="AC3259" s="5"/>
      <c r="AD3259" s="5"/>
      <c r="AE3259" s="5"/>
      <c r="AF3259" s="5"/>
      <c r="AG3259" s="9"/>
    </row>
    <row r="3260" spans="1:33">
      <c r="A3260" s="5"/>
      <c r="B3260" s="5"/>
      <c r="C3260" s="5"/>
      <c r="D3260" s="5"/>
      <c r="E3260" s="5"/>
      <c r="F3260" s="5"/>
      <c r="G3260" s="5"/>
      <c r="H3260" s="5"/>
      <c r="I3260" s="5"/>
      <c r="J3260" s="5"/>
      <c r="K3260" s="5"/>
      <c r="L3260" s="5"/>
      <c r="M3260" s="5"/>
      <c r="N3260" s="5"/>
      <c r="O3260" s="5"/>
      <c r="P3260" s="5"/>
      <c r="Q3260" s="5"/>
      <c r="R3260" s="5"/>
      <c r="S3260" s="5"/>
      <c r="T3260" s="5"/>
      <c r="U3260" s="5"/>
      <c r="V3260" s="5"/>
      <c r="W3260" s="5"/>
      <c r="X3260" s="5"/>
      <c r="Y3260" s="5"/>
      <c r="Z3260" s="5"/>
      <c r="AA3260" s="5"/>
      <c r="AB3260" s="5"/>
      <c r="AC3260" s="5"/>
      <c r="AD3260" s="5"/>
      <c r="AE3260" s="5"/>
      <c r="AF3260" s="5"/>
      <c r="AG3260" s="9"/>
    </row>
    <row r="3261" spans="1:33">
      <c r="A3261" s="5"/>
      <c r="B3261" s="5"/>
      <c r="C3261" s="5"/>
      <c r="D3261" s="5"/>
      <c r="E3261" s="5"/>
      <c r="F3261" s="5"/>
      <c r="G3261" s="5"/>
      <c r="H3261" s="5"/>
      <c r="I3261" s="5"/>
      <c r="J3261" s="5"/>
      <c r="K3261" s="5"/>
      <c r="L3261" s="5"/>
      <c r="M3261" s="5"/>
      <c r="N3261" s="5"/>
      <c r="O3261" s="5"/>
      <c r="P3261" s="5"/>
      <c r="Q3261" s="5"/>
      <c r="R3261" s="5"/>
      <c r="S3261" s="5"/>
      <c r="T3261" s="5"/>
      <c r="U3261" s="5"/>
      <c r="V3261" s="5"/>
      <c r="W3261" s="5"/>
      <c r="X3261" s="5"/>
      <c r="Y3261" s="5"/>
      <c r="Z3261" s="5"/>
      <c r="AA3261" s="5"/>
      <c r="AB3261" s="5"/>
      <c r="AC3261" s="5"/>
      <c r="AD3261" s="5"/>
      <c r="AE3261" s="5"/>
      <c r="AF3261" s="5"/>
      <c r="AG3261" s="9"/>
    </row>
    <row r="3262" spans="1:33">
      <c r="A3262" s="5"/>
      <c r="B3262" s="5"/>
      <c r="C3262" s="5"/>
      <c r="D3262" s="5"/>
      <c r="E3262" s="5"/>
      <c r="F3262" s="5"/>
      <c r="G3262" s="5"/>
      <c r="H3262" s="5"/>
      <c r="I3262" s="5"/>
      <c r="J3262" s="5"/>
      <c r="K3262" s="5"/>
      <c r="L3262" s="5"/>
      <c r="M3262" s="5"/>
      <c r="N3262" s="5"/>
      <c r="O3262" s="5"/>
      <c r="P3262" s="5"/>
      <c r="Q3262" s="5"/>
      <c r="R3262" s="5"/>
      <c r="S3262" s="5"/>
      <c r="T3262" s="5"/>
      <c r="U3262" s="5"/>
      <c r="V3262" s="5"/>
      <c r="W3262" s="5"/>
      <c r="X3262" s="5"/>
      <c r="Y3262" s="5"/>
      <c r="Z3262" s="5"/>
      <c r="AA3262" s="5"/>
      <c r="AB3262" s="5"/>
      <c r="AC3262" s="5"/>
      <c r="AD3262" s="5"/>
      <c r="AE3262" s="5"/>
      <c r="AF3262" s="5"/>
      <c r="AG3262" s="9"/>
    </row>
    <row r="3263" spans="1:33">
      <c r="A3263" s="5"/>
      <c r="B3263" s="5"/>
      <c r="C3263" s="5"/>
      <c r="D3263" s="5"/>
      <c r="E3263" s="5"/>
      <c r="F3263" s="5"/>
      <c r="G3263" s="5"/>
      <c r="H3263" s="5"/>
      <c r="I3263" s="5"/>
      <c r="J3263" s="5"/>
      <c r="K3263" s="5"/>
      <c r="L3263" s="5"/>
      <c r="M3263" s="5"/>
      <c r="N3263" s="5"/>
      <c r="O3263" s="5"/>
      <c r="P3263" s="5"/>
      <c r="Q3263" s="5"/>
      <c r="R3263" s="5"/>
      <c r="S3263" s="5"/>
      <c r="T3263" s="5"/>
      <c r="U3263" s="5"/>
      <c r="V3263" s="5"/>
      <c r="W3263" s="5"/>
      <c r="X3263" s="5"/>
      <c r="Y3263" s="5"/>
      <c r="Z3263" s="5"/>
      <c r="AA3263" s="5"/>
      <c r="AB3263" s="5"/>
      <c r="AC3263" s="5"/>
      <c r="AD3263" s="5"/>
      <c r="AE3263" s="5"/>
      <c r="AF3263" s="5"/>
      <c r="AG3263" s="9"/>
    </row>
    <row r="3264" spans="1:33">
      <c r="A3264" s="5"/>
      <c r="B3264" s="5"/>
      <c r="C3264" s="5"/>
      <c r="D3264" s="5"/>
      <c r="E3264" s="5"/>
      <c r="F3264" s="5"/>
      <c r="G3264" s="5"/>
      <c r="H3264" s="5"/>
      <c r="I3264" s="5"/>
      <c r="J3264" s="5"/>
      <c r="K3264" s="5"/>
      <c r="L3264" s="5"/>
      <c r="M3264" s="5"/>
      <c r="N3264" s="5"/>
      <c r="O3264" s="5"/>
      <c r="P3264" s="5"/>
      <c r="Q3264" s="5"/>
      <c r="R3264" s="5"/>
      <c r="S3264" s="5"/>
      <c r="T3264" s="5"/>
      <c r="U3264" s="5"/>
      <c r="V3264" s="5"/>
      <c r="W3264" s="5"/>
      <c r="X3264" s="5"/>
      <c r="Y3264" s="5"/>
      <c r="Z3264" s="5"/>
      <c r="AA3264" s="5"/>
      <c r="AB3264" s="5"/>
      <c r="AC3264" s="5"/>
      <c r="AD3264" s="5"/>
      <c r="AE3264" s="5"/>
      <c r="AF3264" s="5"/>
      <c r="AG3264" s="9"/>
    </row>
    <row r="3265" spans="1:33">
      <c r="A3265" s="5"/>
      <c r="B3265" s="5"/>
      <c r="C3265" s="5"/>
      <c r="D3265" s="5"/>
      <c r="E3265" s="5"/>
      <c r="F3265" s="5"/>
      <c r="G3265" s="5"/>
      <c r="H3265" s="5"/>
      <c r="I3265" s="5"/>
      <c r="J3265" s="5"/>
      <c r="K3265" s="5"/>
      <c r="L3265" s="5"/>
      <c r="M3265" s="5"/>
      <c r="N3265" s="5"/>
      <c r="O3265" s="5"/>
      <c r="P3265" s="5"/>
      <c r="Q3265" s="5"/>
      <c r="R3265" s="5"/>
      <c r="S3265" s="5"/>
      <c r="T3265" s="5"/>
      <c r="U3265" s="5"/>
      <c r="V3265" s="5"/>
      <c r="W3265" s="5"/>
      <c r="X3265" s="5"/>
      <c r="Y3265" s="5"/>
      <c r="Z3265" s="5"/>
      <c r="AA3265" s="5"/>
      <c r="AB3265" s="5"/>
      <c r="AC3265" s="5"/>
      <c r="AD3265" s="5"/>
      <c r="AE3265" s="5"/>
      <c r="AF3265" s="5"/>
      <c r="AG3265" s="9"/>
    </row>
    <row r="3266" spans="1:33">
      <c r="A3266" s="5"/>
      <c r="B3266" s="5"/>
      <c r="C3266" s="5"/>
      <c r="D3266" s="5"/>
      <c r="E3266" s="5"/>
      <c r="F3266" s="5"/>
      <c r="G3266" s="5"/>
      <c r="H3266" s="5"/>
      <c r="I3266" s="5"/>
      <c r="J3266" s="5"/>
      <c r="K3266" s="5"/>
      <c r="L3266" s="5"/>
      <c r="M3266" s="5"/>
      <c r="N3266" s="5"/>
      <c r="O3266" s="5"/>
      <c r="P3266" s="5"/>
      <c r="Q3266" s="5"/>
      <c r="R3266" s="5"/>
      <c r="S3266" s="5"/>
      <c r="T3266" s="5"/>
      <c r="U3266" s="5"/>
      <c r="V3266" s="5"/>
      <c r="W3266" s="5"/>
      <c r="X3266" s="5"/>
      <c r="Y3266" s="5"/>
      <c r="Z3266" s="5"/>
      <c r="AA3266" s="5"/>
      <c r="AB3266" s="5"/>
      <c r="AC3266" s="5"/>
      <c r="AD3266" s="5"/>
      <c r="AE3266" s="5"/>
      <c r="AF3266" s="5"/>
      <c r="AG3266" s="9"/>
    </row>
    <row r="3267" spans="1:33">
      <c r="A3267" s="5"/>
      <c r="B3267" s="5"/>
      <c r="C3267" s="5"/>
      <c r="D3267" s="5"/>
      <c r="E3267" s="5"/>
      <c r="F3267" s="5"/>
      <c r="G3267" s="5"/>
      <c r="H3267" s="5"/>
      <c r="I3267" s="5"/>
      <c r="J3267" s="5"/>
      <c r="K3267" s="5"/>
      <c r="L3267" s="5"/>
      <c r="M3267" s="5"/>
      <c r="N3267" s="5"/>
      <c r="O3267" s="5"/>
      <c r="P3267" s="5"/>
      <c r="Q3267" s="5"/>
      <c r="R3267" s="5"/>
      <c r="S3267" s="5"/>
      <c r="T3267" s="5"/>
      <c r="U3267" s="5"/>
      <c r="V3267" s="5"/>
      <c r="W3267" s="5"/>
      <c r="X3267" s="5"/>
      <c r="Y3267" s="5"/>
      <c r="Z3267" s="5"/>
      <c r="AA3267" s="5"/>
      <c r="AB3267" s="5"/>
      <c r="AC3267" s="5"/>
      <c r="AD3267" s="5"/>
      <c r="AE3267" s="5"/>
      <c r="AF3267" s="5"/>
      <c r="AG3267" s="9"/>
    </row>
    <row r="3268" spans="1:33">
      <c r="A3268" s="5"/>
      <c r="B3268" s="5"/>
      <c r="C3268" s="5"/>
      <c r="D3268" s="5"/>
      <c r="E3268" s="5"/>
      <c r="F3268" s="5"/>
      <c r="G3268" s="5"/>
      <c r="H3268" s="5"/>
      <c r="I3268" s="5"/>
      <c r="J3268" s="5"/>
      <c r="K3268" s="5"/>
      <c r="L3268" s="5"/>
      <c r="M3268" s="5"/>
      <c r="N3268" s="5"/>
      <c r="O3268" s="5"/>
      <c r="P3268" s="5"/>
      <c r="Q3268" s="5"/>
      <c r="R3268" s="5"/>
      <c r="S3268" s="5"/>
      <c r="T3268" s="5"/>
      <c r="U3268" s="5"/>
      <c r="V3268" s="5"/>
      <c r="W3268" s="5"/>
      <c r="X3268" s="5"/>
      <c r="Y3268" s="5"/>
      <c r="Z3268" s="5"/>
      <c r="AA3268" s="5"/>
      <c r="AB3268" s="5"/>
      <c r="AC3268" s="5"/>
      <c r="AD3268" s="5"/>
      <c r="AE3268" s="5"/>
      <c r="AF3268" s="5"/>
      <c r="AG3268" s="9"/>
    </row>
    <row r="3269" spans="1:33">
      <c r="A3269" s="5"/>
      <c r="B3269" s="5"/>
      <c r="C3269" s="5"/>
      <c r="D3269" s="5"/>
      <c r="E3269" s="5"/>
      <c r="F3269" s="5"/>
      <c r="G3269" s="5"/>
      <c r="H3269" s="5"/>
      <c r="I3269" s="5"/>
      <c r="J3269" s="5"/>
      <c r="K3269" s="5"/>
      <c r="L3269" s="5"/>
      <c r="M3269" s="5"/>
      <c r="N3269" s="5"/>
      <c r="O3269" s="5"/>
      <c r="P3269" s="5"/>
      <c r="Q3269" s="5"/>
      <c r="R3269" s="5"/>
      <c r="S3269" s="5"/>
      <c r="T3269" s="5"/>
      <c r="U3269" s="5"/>
      <c r="V3269" s="5"/>
      <c r="W3269" s="5"/>
      <c r="X3269" s="5"/>
      <c r="Y3269" s="5"/>
      <c r="Z3269" s="5"/>
      <c r="AA3269" s="5"/>
      <c r="AB3269" s="5"/>
      <c r="AC3269" s="5"/>
      <c r="AD3269" s="5"/>
      <c r="AE3269" s="5"/>
      <c r="AF3269" s="5"/>
      <c r="AG3269" s="9"/>
    </row>
    <row r="3270" spans="1:33">
      <c r="A3270" s="5"/>
      <c r="B3270" s="5"/>
      <c r="C3270" s="5"/>
      <c r="D3270" s="5"/>
      <c r="E3270" s="5"/>
      <c r="F3270" s="5"/>
      <c r="G3270" s="5"/>
      <c r="H3270" s="5"/>
      <c r="I3270" s="5"/>
      <c r="J3270" s="5"/>
      <c r="K3270" s="5"/>
      <c r="L3270" s="5"/>
      <c r="M3270" s="5"/>
      <c r="N3270" s="5"/>
      <c r="O3270" s="5"/>
      <c r="P3270" s="5"/>
      <c r="Q3270" s="5"/>
      <c r="R3270" s="5"/>
      <c r="S3270" s="5"/>
      <c r="T3270" s="5"/>
      <c r="U3270" s="5"/>
      <c r="V3270" s="5"/>
      <c r="W3270" s="5"/>
      <c r="X3270" s="5"/>
      <c r="Y3270" s="5"/>
      <c r="Z3270" s="5"/>
      <c r="AA3270" s="5"/>
      <c r="AB3270" s="5"/>
      <c r="AC3270" s="5"/>
      <c r="AD3270" s="5"/>
      <c r="AE3270" s="5"/>
      <c r="AF3270" s="5"/>
      <c r="AG3270" s="9"/>
    </row>
    <row r="3271" spans="1:33">
      <c r="A3271" s="5"/>
      <c r="B3271" s="5"/>
      <c r="C3271" s="5"/>
      <c r="D3271" s="5"/>
      <c r="E3271" s="5"/>
      <c r="F3271" s="5"/>
      <c r="G3271" s="5"/>
      <c r="H3271" s="5"/>
      <c r="I3271" s="5"/>
      <c r="J3271" s="5"/>
      <c r="K3271" s="5"/>
      <c r="L3271" s="5"/>
      <c r="M3271" s="5"/>
      <c r="N3271" s="5"/>
      <c r="O3271" s="5"/>
      <c r="P3271" s="5"/>
      <c r="Q3271" s="5"/>
      <c r="R3271" s="5"/>
      <c r="S3271" s="5"/>
      <c r="T3271" s="5"/>
      <c r="U3271" s="5"/>
      <c r="V3271" s="5"/>
      <c r="W3271" s="5"/>
      <c r="X3271" s="5"/>
      <c r="Y3271" s="5"/>
      <c r="Z3271" s="5"/>
      <c r="AA3271" s="5"/>
      <c r="AB3271" s="5"/>
      <c r="AC3271" s="5"/>
      <c r="AD3271" s="5"/>
      <c r="AE3271" s="5"/>
      <c r="AF3271" s="5"/>
      <c r="AG3271" s="9"/>
    </row>
    <row r="3272" spans="1:33">
      <c r="A3272" s="5"/>
      <c r="B3272" s="5"/>
      <c r="C3272" s="5"/>
      <c r="D3272" s="5"/>
      <c r="E3272" s="5"/>
      <c r="F3272" s="5"/>
      <c r="G3272" s="5"/>
      <c r="H3272" s="5"/>
      <c r="I3272" s="5"/>
      <c r="J3272" s="5"/>
      <c r="K3272" s="5"/>
      <c r="L3272" s="5"/>
      <c r="M3272" s="5"/>
      <c r="N3272" s="5"/>
      <c r="O3272" s="5"/>
      <c r="P3272" s="5"/>
      <c r="Q3272" s="5"/>
      <c r="R3272" s="5"/>
      <c r="S3272" s="5"/>
      <c r="T3272" s="5"/>
      <c r="U3272" s="5"/>
      <c r="V3272" s="5"/>
      <c r="W3272" s="5"/>
      <c r="X3272" s="5"/>
      <c r="Y3272" s="5"/>
      <c r="Z3272" s="5"/>
      <c r="AA3272" s="5"/>
      <c r="AB3272" s="5"/>
      <c r="AC3272" s="5"/>
      <c r="AD3272" s="5"/>
      <c r="AE3272" s="5"/>
      <c r="AF3272" s="5"/>
      <c r="AG3272" s="9"/>
    </row>
    <row r="3273" spans="1:33">
      <c r="A3273" s="5"/>
      <c r="B3273" s="5"/>
      <c r="C3273" s="5"/>
      <c r="D3273" s="5"/>
      <c r="E3273" s="5"/>
      <c r="F3273" s="5"/>
      <c r="G3273" s="5"/>
      <c r="H3273" s="5"/>
      <c r="I3273" s="5"/>
      <c r="J3273" s="5"/>
      <c r="K3273" s="5"/>
      <c r="L3273" s="5"/>
      <c r="M3273" s="5"/>
      <c r="N3273" s="5"/>
      <c r="O3273" s="5"/>
      <c r="P3273" s="5"/>
      <c r="Q3273" s="5"/>
      <c r="R3273" s="5"/>
      <c r="S3273" s="5"/>
      <c r="T3273" s="5"/>
      <c r="U3273" s="5"/>
      <c r="V3273" s="5"/>
      <c r="W3273" s="5"/>
      <c r="X3273" s="5"/>
      <c r="Y3273" s="5"/>
      <c r="Z3273" s="5"/>
      <c r="AA3273" s="5"/>
      <c r="AB3273" s="5"/>
      <c r="AC3273" s="5"/>
      <c r="AD3273" s="5"/>
      <c r="AE3273" s="5"/>
      <c r="AF3273" s="5"/>
      <c r="AG3273" s="9"/>
    </row>
    <row r="3274" spans="1:33">
      <c r="A3274" s="5"/>
      <c r="B3274" s="5"/>
      <c r="C3274" s="5"/>
      <c r="D3274" s="5"/>
      <c r="E3274" s="5"/>
      <c r="F3274" s="5"/>
      <c r="G3274" s="5"/>
      <c r="H3274" s="5"/>
      <c r="I3274" s="5"/>
      <c r="J3274" s="5"/>
      <c r="K3274" s="5"/>
      <c r="L3274" s="5"/>
      <c r="M3274" s="5"/>
      <c r="N3274" s="5"/>
      <c r="O3274" s="5"/>
      <c r="P3274" s="5"/>
      <c r="Q3274" s="5"/>
      <c r="R3274" s="5"/>
      <c r="S3274" s="5"/>
      <c r="T3274" s="5"/>
      <c r="U3274" s="5"/>
      <c r="V3274" s="5"/>
      <c r="W3274" s="5"/>
      <c r="X3274" s="5"/>
      <c r="Y3274" s="5"/>
      <c r="Z3274" s="5"/>
      <c r="AA3274" s="5"/>
      <c r="AB3274" s="5"/>
      <c r="AC3274" s="5"/>
      <c r="AD3274" s="5"/>
      <c r="AE3274" s="5"/>
      <c r="AF3274" s="5"/>
      <c r="AG3274" s="9"/>
    </row>
    <row r="3275" spans="1:33">
      <c r="A3275" s="5"/>
      <c r="B3275" s="5"/>
      <c r="C3275" s="5"/>
      <c r="D3275" s="5"/>
      <c r="E3275" s="5"/>
      <c r="F3275" s="5"/>
      <c r="G3275" s="5"/>
      <c r="H3275" s="5"/>
      <c r="I3275" s="5"/>
      <c r="J3275" s="5"/>
      <c r="K3275" s="5"/>
      <c r="L3275" s="5"/>
      <c r="M3275" s="5"/>
      <c r="N3275" s="5"/>
      <c r="O3275" s="5"/>
      <c r="P3275" s="5"/>
      <c r="Q3275" s="5"/>
      <c r="R3275" s="5"/>
      <c r="S3275" s="5"/>
      <c r="T3275" s="5"/>
      <c r="U3275" s="5"/>
      <c r="V3275" s="5"/>
      <c r="W3275" s="5"/>
      <c r="X3275" s="5"/>
      <c r="Y3275" s="5"/>
      <c r="Z3275" s="5"/>
      <c r="AA3275" s="5"/>
      <c r="AB3275" s="5"/>
      <c r="AC3275" s="5"/>
      <c r="AD3275" s="5"/>
      <c r="AE3275" s="5"/>
      <c r="AF3275" s="5"/>
      <c r="AG3275" s="9"/>
    </row>
    <row r="3276" spans="1:33">
      <c r="A3276" s="5"/>
      <c r="B3276" s="5"/>
      <c r="C3276" s="5"/>
      <c r="D3276" s="5"/>
      <c r="E3276" s="5"/>
      <c r="F3276" s="5"/>
      <c r="G3276" s="5"/>
      <c r="H3276" s="5"/>
      <c r="I3276" s="5"/>
      <c r="J3276" s="5"/>
      <c r="K3276" s="5"/>
      <c r="L3276" s="5"/>
      <c r="M3276" s="5"/>
      <c r="N3276" s="5"/>
      <c r="O3276" s="5"/>
      <c r="P3276" s="5"/>
      <c r="Q3276" s="5"/>
      <c r="R3276" s="5"/>
      <c r="S3276" s="5"/>
      <c r="T3276" s="5"/>
      <c r="U3276" s="5"/>
      <c r="V3276" s="5"/>
      <c r="W3276" s="5"/>
      <c r="X3276" s="5"/>
      <c r="Y3276" s="5"/>
      <c r="Z3276" s="5"/>
      <c r="AA3276" s="5"/>
      <c r="AB3276" s="5"/>
      <c r="AC3276" s="5"/>
      <c r="AD3276" s="5"/>
      <c r="AE3276" s="5"/>
      <c r="AF3276" s="5"/>
      <c r="AG3276" s="9"/>
    </row>
    <row r="3277" spans="1:33">
      <c r="A3277" s="5"/>
      <c r="B3277" s="5"/>
      <c r="C3277" s="5"/>
      <c r="D3277" s="5"/>
      <c r="E3277" s="5"/>
      <c r="F3277" s="5"/>
      <c r="G3277" s="5"/>
      <c r="H3277" s="5"/>
      <c r="I3277" s="5"/>
      <c r="J3277" s="5"/>
      <c r="K3277" s="5"/>
      <c r="L3277" s="5"/>
      <c r="M3277" s="5"/>
      <c r="N3277" s="5"/>
      <c r="O3277" s="5"/>
      <c r="P3277" s="5"/>
      <c r="Q3277" s="5"/>
      <c r="R3277" s="5"/>
      <c r="S3277" s="5"/>
      <c r="T3277" s="5"/>
      <c r="U3277" s="5"/>
      <c r="V3277" s="5"/>
      <c r="W3277" s="5"/>
      <c r="X3277" s="5"/>
      <c r="Y3277" s="5"/>
      <c r="Z3277" s="5"/>
      <c r="AA3277" s="5"/>
      <c r="AB3277" s="5"/>
      <c r="AC3277" s="5"/>
      <c r="AD3277" s="5"/>
      <c r="AE3277" s="5"/>
      <c r="AF3277" s="5"/>
      <c r="AG3277" s="9"/>
    </row>
    <row r="3278" spans="1:33">
      <c r="A3278" s="5"/>
      <c r="B3278" s="5"/>
      <c r="C3278" s="5"/>
      <c r="D3278" s="5"/>
      <c r="E3278" s="5"/>
      <c r="F3278" s="5"/>
      <c r="G3278" s="5"/>
      <c r="H3278" s="5"/>
      <c r="I3278" s="5"/>
      <c r="J3278" s="5"/>
      <c r="K3278" s="5"/>
      <c r="L3278" s="5"/>
      <c r="M3278" s="5"/>
      <c r="N3278" s="5"/>
      <c r="O3278" s="5"/>
      <c r="P3278" s="5"/>
      <c r="Q3278" s="5"/>
      <c r="R3278" s="5"/>
      <c r="S3278" s="5"/>
      <c r="T3278" s="5"/>
      <c r="U3278" s="5"/>
      <c r="V3278" s="5"/>
      <c r="W3278" s="5"/>
      <c r="X3278" s="5"/>
      <c r="Y3278" s="5"/>
      <c r="Z3278" s="5"/>
      <c r="AA3278" s="5"/>
      <c r="AB3278" s="5"/>
      <c r="AC3278" s="5"/>
      <c r="AD3278" s="5"/>
      <c r="AE3278" s="5"/>
      <c r="AF3278" s="5"/>
      <c r="AG3278" s="9"/>
    </row>
    <row r="3279" spans="1:33">
      <c r="A3279" s="5"/>
      <c r="B3279" s="5"/>
      <c r="C3279" s="5"/>
      <c r="D3279" s="5"/>
      <c r="E3279" s="5"/>
      <c r="F3279" s="5"/>
      <c r="G3279" s="5"/>
      <c r="H3279" s="5"/>
      <c r="I3279" s="5"/>
      <c r="J3279" s="5"/>
      <c r="K3279" s="5"/>
      <c r="L3279" s="5"/>
      <c r="M3279" s="5"/>
      <c r="N3279" s="5"/>
      <c r="O3279" s="5"/>
      <c r="P3279" s="5"/>
      <c r="Q3279" s="5"/>
      <c r="R3279" s="5"/>
      <c r="S3279" s="5"/>
      <c r="T3279" s="5"/>
      <c r="U3279" s="5"/>
      <c r="V3279" s="5"/>
      <c r="W3279" s="5"/>
      <c r="X3279" s="5"/>
      <c r="Y3279" s="5"/>
      <c r="Z3279" s="5"/>
      <c r="AA3279" s="5"/>
      <c r="AB3279" s="5"/>
      <c r="AC3279" s="5"/>
      <c r="AD3279" s="5"/>
      <c r="AE3279" s="5"/>
      <c r="AF3279" s="5"/>
      <c r="AG3279" s="9"/>
    </row>
    <row r="3280" spans="1:33">
      <c r="A3280" s="5"/>
      <c r="B3280" s="5"/>
      <c r="C3280" s="5"/>
      <c r="D3280" s="5"/>
      <c r="E3280" s="5"/>
      <c r="F3280" s="5"/>
      <c r="G3280" s="5"/>
      <c r="H3280" s="5"/>
      <c r="I3280" s="5"/>
      <c r="J3280" s="5"/>
      <c r="K3280" s="5"/>
      <c r="L3280" s="5"/>
      <c r="M3280" s="5"/>
      <c r="N3280" s="5"/>
      <c r="O3280" s="5"/>
      <c r="P3280" s="5"/>
      <c r="Q3280" s="5"/>
      <c r="R3280" s="5"/>
      <c r="S3280" s="5"/>
      <c r="T3280" s="5"/>
      <c r="U3280" s="5"/>
      <c r="V3280" s="5"/>
      <c r="W3280" s="5"/>
      <c r="X3280" s="5"/>
      <c r="Y3280" s="5"/>
      <c r="Z3280" s="5"/>
      <c r="AA3280" s="5"/>
      <c r="AB3280" s="5"/>
      <c r="AC3280" s="5"/>
      <c r="AD3280" s="5"/>
      <c r="AE3280" s="5"/>
      <c r="AF3280" s="5"/>
      <c r="AG3280" s="9"/>
    </row>
    <row r="3281" spans="1:33">
      <c r="A3281" s="5"/>
      <c r="B3281" s="5"/>
      <c r="C3281" s="5"/>
      <c r="D3281" s="5"/>
      <c r="E3281" s="5"/>
      <c r="F3281" s="5"/>
      <c r="G3281" s="5"/>
      <c r="H3281" s="5"/>
      <c r="I3281" s="5"/>
      <c r="J3281" s="5"/>
      <c r="K3281" s="5"/>
      <c r="L3281" s="5"/>
      <c r="M3281" s="5"/>
      <c r="N3281" s="5"/>
      <c r="O3281" s="5"/>
      <c r="P3281" s="5"/>
      <c r="Q3281" s="5"/>
      <c r="R3281" s="5"/>
      <c r="S3281" s="5"/>
      <c r="T3281" s="5"/>
      <c r="U3281" s="5"/>
      <c r="V3281" s="5"/>
      <c r="W3281" s="5"/>
      <c r="X3281" s="5"/>
      <c r="Y3281" s="5"/>
      <c r="Z3281" s="5"/>
      <c r="AA3281" s="5"/>
      <c r="AB3281" s="5"/>
      <c r="AC3281" s="5"/>
      <c r="AD3281" s="5"/>
      <c r="AE3281" s="5"/>
      <c r="AF3281" s="5"/>
      <c r="AG3281" s="9"/>
    </row>
    <row r="3282" spans="1:33">
      <c r="A3282" s="5"/>
      <c r="B3282" s="5"/>
      <c r="C3282" s="5"/>
      <c r="D3282" s="5"/>
      <c r="E3282" s="5"/>
      <c r="F3282" s="5"/>
      <c r="G3282" s="5"/>
      <c r="H3282" s="5"/>
      <c r="I3282" s="5"/>
      <c r="J3282" s="5"/>
      <c r="K3282" s="5"/>
      <c r="L3282" s="5"/>
      <c r="M3282" s="5"/>
      <c r="N3282" s="5"/>
      <c r="O3282" s="5"/>
      <c r="P3282" s="5"/>
      <c r="Q3282" s="5"/>
      <c r="R3282" s="5"/>
      <c r="S3282" s="5"/>
      <c r="T3282" s="5"/>
      <c r="U3282" s="5"/>
      <c r="V3282" s="5"/>
      <c r="W3282" s="5"/>
      <c r="X3282" s="5"/>
      <c r="Y3282" s="5"/>
      <c r="Z3282" s="5"/>
      <c r="AA3282" s="5"/>
      <c r="AB3282" s="5"/>
      <c r="AC3282" s="5"/>
      <c r="AD3282" s="5"/>
      <c r="AE3282" s="5"/>
      <c r="AF3282" s="5"/>
      <c r="AG3282" s="9"/>
    </row>
    <row r="3283" spans="1:33">
      <c r="A3283" s="5"/>
      <c r="B3283" s="5"/>
      <c r="C3283" s="5"/>
      <c r="D3283" s="5"/>
      <c r="E3283" s="5"/>
      <c r="F3283" s="5"/>
      <c r="G3283" s="5"/>
      <c r="H3283" s="5"/>
      <c r="I3283" s="5"/>
      <c r="J3283" s="5"/>
      <c r="K3283" s="5"/>
      <c r="L3283" s="5"/>
      <c r="M3283" s="5"/>
      <c r="N3283" s="5"/>
      <c r="O3283" s="5"/>
      <c r="P3283" s="5"/>
      <c r="Q3283" s="5"/>
      <c r="R3283" s="5"/>
      <c r="S3283" s="5"/>
      <c r="T3283" s="5"/>
      <c r="U3283" s="5"/>
      <c r="V3283" s="5"/>
      <c r="W3283" s="5"/>
      <c r="X3283" s="5"/>
      <c r="Y3283" s="5"/>
      <c r="Z3283" s="5"/>
      <c r="AA3283" s="5"/>
      <c r="AB3283" s="5"/>
      <c r="AC3283" s="5"/>
      <c r="AD3283" s="5"/>
      <c r="AE3283" s="5"/>
      <c r="AF3283" s="5"/>
      <c r="AG3283" s="9"/>
    </row>
    <row r="3284" spans="1:33">
      <c r="A3284" s="5"/>
      <c r="B3284" s="5"/>
      <c r="C3284" s="5"/>
      <c r="D3284" s="5"/>
      <c r="E3284" s="5"/>
      <c r="F3284" s="5"/>
      <c r="G3284" s="5"/>
      <c r="H3284" s="5"/>
      <c r="I3284" s="5"/>
      <c r="J3284" s="5"/>
      <c r="K3284" s="5"/>
      <c r="L3284" s="5"/>
      <c r="M3284" s="5"/>
      <c r="N3284" s="5"/>
      <c r="O3284" s="5"/>
      <c r="P3284" s="5"/>
      <c r="Q3284" s="5"/>
      <c r="R3284" s="5"/>
      <c r="S3284" s="5"/>
      <c r="T3284" s="5"/>
      <c r="U3284" s="5"/>
      <c r="V3284" s="5"/>
      <c r="W3284" s="5"/>
      <c r="X3284" s="5"/>
      <c r="Y3284" s="5"/>
      <c r="Z3284" s="5"/>
      <c r="AA3284" s="5"/>
      <c r="AB3284" s="5"/>
      <c r="AC3284" s="5"/>
      <c r="AD3284" s="5"/>
      <c r="AE3284" s="5"/>
      <c r="AF3284" s="5"/>
      <c r="AG3284" s="9"/>
    </row>
    <row r="3285" spans="1:33">
      <c r="A3285" s="5"/>
      <c r="B3285" s="5"/>
      <c r="C3285" s="5"/>
      <c r="D3285" s="5"/>
      <c r="E3285" s="5"/>
      <c r="F3285" s="5"/>
      <c r="G3285" s="5"/>
      <c r="H3285" s="5"/>
      <c r="I3285" s="5"/>
      <c r="J3285" s="5"/>
      <c r="K3285" s="5"/>
      <c r="L3285" s="5"/>
      <c r="M3285" s="5"/>
      <c r="N3285" s="5"/>
      <c r="O3285" s="5"/>
      <c r="P3285" s="5"/>
      <c r="Q3285" s="5"/>
      <c r="R3285" s="5"/>
      <c r="S3285" s="5"/>
      <c r="T3285" s="5"/>
      <c r="U3285" s="5"/>
      <c r="V3285" s="5"/>
      <c r="W3285" s="5"/>
      <c r="X3285" s="5"/>
      <c r="Y3285" s="5"/>
      <c r="Z3285" s="5"/>
      <c r="AA3285" s="5"/>
      <c r="AB3285" s="5"/>
      <c r="AC3285" s="5"/>
      <c r="AD3285" s="5"/>
      <c r="AE3285" s="5"/>
      <c r="AF3285" s="5"/>
      <c r="AG3285" s="9"/>
    </row>
    <row r="3286" spans="1:33">
      <c r="A3286" s="5"/>
      <c r="B3286" s="5"/>
      <c r="C3286" s="5"/>
      <c r="D3286" s="5"/>
      <c r="E3286" s="5"/>
      <c r="F3286" s="5"/>
      <c r="G3286" s="5"/>
      <c r="H3286" s="5"/>
      <c r="I3286" s="5"/>
      <c r="J3286" s="5"/>
      <c r="K3286" s="5"/>
      <c r="L3286" s="5"/>
      <c r="M3286" s="5"/>
      <c r="N3286" s="5"/>
      <c r="O3286" s="5"/>
      <c r="P3286" s="5"/>
      <c r="Q3286" s="5"/>
      <c r="R3286" s="5"/>
      <c r="S3286" s="5"/>
      <c r="T3286" s="5"/>
      <c r="U3286" s="5"/>
      <c r="V3286" s="5"/>
      <c r="W3286" s="5"/>
      <c r="X3286" s="5"/>
      <c r="Y3286" s="5"/>
      <c r="Z3286" s="5"/>
      <c r="AA3286" s="5"/>
      <c r="AB3286" s="5"/>
      <c r="AC3286" s="5"/>
      <c r="AD3286" s="5"/>
      <c r="AE3286" s="5"/>
      <c r="AF3286" s="5"/>
      <c r="AG3286" s="9"/>
    </row>
    <row r="3287" spans="1:33">
      <c r="A3287" s="5"/>
      <c r="B3287" s="5"/>
      <c r="C3287" s="5"/>
      <c r="D3287" s="5"/>
      <c r="E3287" s="5"/>
      <c r="F3287" s="5"/>
      <c r="G3287" s="5"/>
      <c r="H3287" s="5"/>
      <c r="I3287" s="5"/>
      <c r="J3287" s="5"/>
      <c r="K3287" s="5"/>
      <c r="L3287" s="5"/>
      <c r="M3287" s="5"/>
      <c r="N3287" s="5"/>
      <c r="O3287" s="5"/>
      <c r="P3287" s="5"/>
      <c r="Q3287" s="5"/>
      <c r="R3287" s="5"/>
      <c r="S3287" s="5"/>
      <c r="T3287" s="5"/>
      <c r="U3287" s="5"/>
      <c r="V3287" s="5"/>
      <c r="W3287" s="5"/>
      <c r="X3287" s="5"/>
      <c r="Y3287" s="5"/>
      <c r="Z3287" s="5"/>
      <c r="AA3287" s="5"/>
      <c r="AB3287" s="5"/>
      <c r="AC3287" s="5"/>
      <c r="AD3287" s="5"/>
      <c r="AE3287" s="5"/>
      <c r="AF3287" s="5"/>
      <c r="AG3287" s="9"/>
    </row>
    <row r="3288" spans="1:33">
      <c r="A3288" s="5"/>
      <c r="B3288" s="5"/>
      <c r="C3288" s="5"/>
      <c r="D3288" s="5"/>
      <c r="E3288" s="5"/>
      <c r="F3288" s="5"/>
      <c r="G3288" s="5"/>
      <c r="H3288" s="5"/>
      <c r="I3288" s="5"/>
      <c r="J3288" s="5"/>
      <c r="K3288" s="5"/>
      <c r="L3288" s="5"/>
      <c r="M3288" s="5"/>
      <c r="N3288" s="5"/>
      <c r="O3288" s="5"/>
      <c r="P3288" s="5"/>
      <c r="Q3288" s="5"/>
      <c r="R3288" s="5"/>
      <c r="S3288" s="5"/>
      <c r="T3288" s="5"/>
      <c r="U3288" s="5"/>
      <c r="V3288" s="5"/>
      <c r="W3288" s="5"/>
      <c r="X3288" s="5"/>
      <c r="Y3288" s="5"/>
      <c r="Z3288" s="5"/>
      <c r="AA3288" s="5"/>
      <c r="AB3288" s="5"/>
      <c r="AC3288" s="5"/>
      <c r="AD3288" s="5"/>
      <c r="AE3288" s="5"/>
      <c r="AF3288" s="5"/>
      <c r="AG3288" s="9"/>
    </row>
    <row r="3289" spans="1:33">
      <c r="A3289" s="5"/>
      <c r="B3289" s="5"/>
      <c r="C3289" s="5"/>
      <c r="D3289" s="5"/>
      <c r="E3289" s="5"/>
      <c r="F3289" s="5"/>
      <c r="G3289" s="5"/>
      <c r="H3289" s="5"/>
      <c r="I3289" s="5"/>
      <c r="J3289" s="5"/>
      <c r="K3289" s="5"/>
      <c r="L3289" s="5"/>
      <c r="M3289" s="5"/>
      <c r="N3289" s="5"/>
      <c r="O3289" s="5"/>
      <c r="P3289" s="5"/>
      <c r="Q3289" s="5"/>
      <c r="R3289" s="5"/>
      <c r="S3289" s="5"/>
      <c r="T3289" s="5"/>
      <c r="U3289" s="5"/>
      <c r="V3289" s="5"/>
      <c r="W3289" s="5"/>
      <c r="X3289" s="5"/>
      <c r="Y3289" s="5"/>
      <c r="Z3289" s="5"/>
      <c r="AA3289" s="5"/>
      <c r="AB3289" s="5"/>
      <c r="AC3289" s="5"/>
      <c r="AD3289" s="5"/>
      <c r="AE3289" s="5"/>
      <c r="AF3289" s="5"/>
      <c r="AG3289" s="9"/>
    </row>
    <row r="3290" spans="1:33">
      <c r="A3290" s="5"/>
      <c r="B3290" s="5"/>
      <c r="C3290" s="5"/>
      <c r="D3290" s="5"/>
      <c r="E3290" s="5"/>
      <c r="F3290" s="5"/>
      <c r="G3290" s="5"/>
      <c r="H3290" s="5"/>
      <c r="I3290" s="5"/>
      <c r="J3290" s="5"/>
      <c r="K3290" s="5"/>
      <c r="L3290" s="5"/>
      <c r="M3290" s="5"/>
      <c r="N3290" s="5"/>
      <c r="O3290" s="5"/>
      <c r="P3290" s="5"/>
      <c r="Q3290" s="5"/>
      <c r="R3290" s="5"/>
      <c r="S3290" s="5"/>
      <c r="T3290" s="5"/>
      <c r="U3290" s="5"/>
      <c r="V3290" s="5"/>
      <c r="W3290" s="5"/>
      <c r="X3290" s="5"/>
      <c r="Y3290" s="5"/>
      <c r="Z3290" s="5"/>
      <c r="AA3290" s="5"/>
      <c r="AB3290" s="5"/>
      <c r="AC3290" s="5"/>
      <c r="AD3290" s="5"/>
      <c r="AE3290" s="5"/>
      <c r="AF3290" s="5"/>
      <c r="AG3290" s="9"/>
    </row>
    <row r="3291" spans="1:33">
      <c r="A3291" s="5"/>
      <c r="B3291" s="5"/>
      <c r="C3291" s="5"/>
      <c r="D3291" s="5"/>
      <c r="E3291" s="5"/>
      <c r="F3291" s="5"/>
      <c r="G3291" s="5"/>
      <c r="H3291" s="5"/>
      <c r="I3291" s="5"/>
      <c r="J3291" s="5"/>
      <c r="K3291" s="5"/>
      <c r="L3291" s="5"/>
      <c r="M3291" s="5"/>
      <c r="N3291" s="5"/>
      <c r="O3291" s="5"/>
      <c r="P3291" s="5"/>
      <c r="Q3291" s="5"/>
      <c r="R3291" s="5"/>
      <c r="S3291" s="5"/>
      <c r="T3291" s="5"/>
      <c r="U3291" s="5"/>
      <c r="V3291" s="5"/>
      <c r="W3291" s="5"/>
      <c r="X3291" s="5"/>
      <c r="Y3291" s="5"/>
      <c r="Z3291" s="5"/>
      <c r="AA3291" s="5"/>
      <c r="AB3291" s="5"/>
      <c r="AC3291" s="5"/>
      <c r="AD3291" s="5"/>
      <c r="AE3291" s="5"/>
      <c r="AF3291" s="5"/>
      <c r="AG3291" s="9"/>
    </row>
    <row r="3292" spans="1:33">
      <c r="A3292" s="5"/>
      <c r="B3292" s="5"/>
      <c r="C3292" s="5"/>
      <c r="D3292" s="5"/>
      <c r="E3292" s="5"/>
      <c r="F3292" s="5"/>
      <c r="G3292" s="5"/>
      <c r="H3292" s="5"/>
      <c r="I3292" s="5"/>
      <c r="J3292" s="5"/>
      <c r="K3292" s="5"/>
      <c r="L3292" s="5"/>
      <c r="M3292" s="5"/>
      <c r="N3292" s="5"/>
      <c r="O3292" s="5"/>
      <c r="P3292" s="5"/>
      <c r="Q3292" s="5"/>
      <c r="R3292" s="5"/>
      <c r="S3292" s="5"/>
      <c r="T3292" s="5"/>
      <c r="U3292" s="5"/>
      <c r="V3292" s="5"/>
      <c r="W3292" s="5"/>
      <c r="X3292" s="5"/>
      <c r="Y3292" s="5"/>
      <c r="Z3292" s="5"/>
      <c r="AA3292" s="5"/>
      <c r="AB3292" s="5"/>
      <c r="AC3292" s="5"/>
      <c r="AD3292" s="5"/>
      <c r="AE3292" s="5"/>
      <c r="AF3292" s="5"/>
      <c r="AG3292" s="9"/>
    </row>
    <row r="3293" spans="1:33">
      <c r="A3293" s="5"/>
      <c r="B3293" s="5"/>
      <c r="C3293" s="5"/>
      <c r="D3293" s="5"/>
      <c r="E3293" s="5"/>
      <c r="F3293" s="5"/>
      <c r="G3293" s="5"/>
      <c r="H3293" s="5"/>
      <c r="I3293" s="5"/>
      <c r="J3293" s="5"/>
      <c r="K3293" s="5"/>
      <c r="L3293" s="5"/>
      <c r="M3293" s="5"/>
      <c r="N3293" s="5"/>
      <c r="O3293" s="5"/>
      <c r="P3293" s="5"/>
      <c r="Q3293" s="5"/>
      <c r="R3293" s="5"/>
      <c r="S3293" s="5"/>
      <c r="T3293" s="5"/>
      <c r="U3293" s="5"/>
      <c r="V3293" s="5"/>
      <c r="W3293" s="5"/>
      <c r="X3293" s="5"/>
      <c r="Y3293" s="5"/>
      <c r="Z3293" s="5"/>
      <c r="AA3293" s="5"/>
      <c r="AB3293" s="5"/>
      <c r="AC3293" s="5"/>
      <c r="AD3293" s="5"/>
      <c r="AE3293" s="5"/>
      <c r="AF3293" s="5"/>
      <c r="AG3293" s="9"/>
    </row>
    <row r="3294" spans="1:33">
      <c r="A3294" s="5"/>
      <c r="B3294" s="5"/>
      <c r="C3294" s="5"/>
      <c r="D3294" s="5"/>
      <c r="E3294" s="5"/>
      <c r="F3294" s="5"/>
      <c r="G3294" s="5"/>
      <c r="H3294" s="5"/>
      <c r="I3294" s="5"/>
      <c r="J3294" s="5"/>
      <c r="K3294" s="5"/>
      <c r="L3294" s="5"/>
      <c r="M3294" s="5"/>
      <c r="N3294" s="5"/>
      <c r="O3294" s="5"/>
      <c r="P3294" s="5"/>
      <c r="Q3294" s="5"/>
      <c r="R3294" s="5"/>
      <c r="S3294" s="5"/>
      <c r="T3294" s="5"/>
      <c r="U3294" s="5"/>
      <c r="V3294" s="5"/>
      <c r="W3294" s="5"/>
      <c r="X3294" s="5"/>
      <c r="Y3294" s="5"/>
      <c r="Z3294" s="5"/>
      <c r="AA3294" s="5"/>
      <c r="AB3294" s="5"/>
      <c r="AC3294" s="5"/>
      <c r="AD3294" s="5"/>
      <c r="AE3294" s="5"/>
      <c r="AF3294" s="5"/>
      <c r="AG3294" s="9"/>
    </row>
    <row r="3295" spans="1:33">
      <c r="A3295" s="5"/>
      <c r="B3295" s="5"/>
      <c r="C3295" s="5"/>
      <c r="D3295" s="5"/>
      <c r="E3295" s="5"/>
      <c r="F3295" s="5"/>
      <c r="G3295" s="5"/>
      <c r="H3295" s="5"/>
      <c r="I3295" s="5"/>
      <c r="J3295" s="5"/>
      <c r="K3295" s="5"/>
      <c r="L3295" s="5"/>
      <c r="M3295" s="5"/>
      <c r="N3295" s="5"/>
      <c r="O3295" s="5"/>
      <c r="P3295" s="5"/>
      <c r="Q3295" s="5"/>
      <c r="R3295" s="5"/>
      <c r="S3295" s="5"/>
      <c r="T3295" s="5"/>
      <c r="U3295" s="5"/>
      <c r="V3295" s="5"/>
      <c r="W3295" s="5"/>
      <c r="X3295" s="5"/>
      <c r="Y3295" s="5"/>
      <c r="Z3295" s="5"/>
      <c r="AA3295" s="5"/>
      <c r="AB3295" s="5"/>
      <c r="AC3295" s="5"/>
      <c r="AD3295" s="5"/>
      <c r="AE3295" s="5"/>
      <c r="AF3295" s="5"/>
      <c r="AG3295" s="9"/>
    </row>
    <row r="3296" spans="1:33">
      <c r="A3296" s="5"/>
      <c r="B3296" s="5"/>
      <c r="C3296" s="5"/>
      <c r="D3296" s="5"/>
      <c r="E3296" s="5"/>
      <c r="F3296" s="5"/>
      <c r="G3296" s="5"/>
      <c r="H3296" s="5"/>
      <c r="I3296" s="5"/>
      <c r="J3296" s="5"/>
      <c r="K3296" s="5"/>
      <c r="L3296" s="5"/>
      <c r="M3296" s="5"/>
      <c r="N3296" s="5"/>
      <c r="O3296" s="5"/>
      <c r="P3296" s="5"/>
      <c r="Q3296" s="5"/>
      <c r="R3296" s="5"/>
      <c r="S3296" s="5"/>
      <c r="T3296" s="5"/>
      <c r="U3296" s="5"/>
      <c r="V3296" s="5"/>
      <c r="W3296" s="5"/>
      <c r="X3296" s="5"/>
      <c r="Y3296" s="5"/>
      <c r="Z3296" s="5"/>
      <c r="AA3296" s="5"/>
      <c r="AB3296" s="5"/>
      <c r="AC3296" s="5"/>
      <c r="AD3296" s="5"/>
      <c r="AE3296" s="5"/>
      <c r="AF3296" s="5"/>
      <c r="AG3296" s="9"/>
    </row>
    <row r="3297" spans="1:33">
      <c r="A3297" s="5"/>
      <c r="B3297" s="5"/>
      <c r="C3297" s="5"/>
      <c r="D3297" s="5"/>
      <c r="E3297" s="5"/>
      <c r="F3297" s="5"/>
      <c r="G3297" s="5"/>
      <c r="H3297" s="5"/>
      <c r="I3297" s="5"/>
      <c r="J3297" s="5"/>
      <c r="K3297" s="5"/>
      <c r="L3297" s="5"/>
      <c r="M3297" s="5"/>
      <c r="N3297" s="5"/>
      <c r="O3297" s="5"/>
      <c r="P3297" s="5"/>
      <c r="Q3297" s="5"/>
      <c r="R3297" s="5"/>
      <c r="S3297" s="5"/>
      <c r="T3297" s="5"/>
      <c r="U3297" s="5"/>
      <c r="V3297" s="5"/>
      <c r="W3297" s="5"/>
      <c r="X3297" s="5"/>
      <c r="Y3297" s="5"/>
      <c r="Z3297" s="5"/>
      <c r="AA3297" s="5"/>
      <c r="AB3297" s="5"/>
      <c r="AC3297" s="5"/>
      <c r="AD3297" s="5"/>
      <c r="AE3297" s="5"/>
      <c r="AF3297" s="5"/>
      <c r="AG3297" s="9"/>
    </row>
    <row r="3298" spans="1:33">
      <c r="A3298" s="5"/>
      <c r="B3298" s="5"/>
      <c r="C3298" s="5"/>
      <c r="D3298" s="5"/>
      <c r="E3298" s="5"/>
      <c r="F3298" s="5"/>
      <c r="G3298" s="5"/>
      <c r="H3298" s="5"/>
      <c r="I3298" s="5"/>
      <c r="J3298" s="5"/>
      <c r="K3298" s="5"/>
      <c r="L3298" s="5"/>
      <c r="M3298" s="5"/>
      <c r="N3298" s="5"/>
      <c r="O3298" s="5"/>
      <c r="P3298" s="5"/>
      <c r="Q3298" s="5"/>
      <c r="R3298" s="5"/>
      <c r="S3298" s="5"/>
      <c r="T3298" s="5"/>
      <c r="U3298" s="5"/>
      <c r="V3298" s="5"/>
      <c r="W3298" s="5"/>
      <c r="X3298" s="5"/>
      <c r="Y3298" s="5"/>
      <c r="Z3298" s="5"/>
      <c r="AA3298" s="5"/>
      <c r="AB3298" s="5"/>
      <c r="AC3298" s="5"/>
      <c r="AD3298" s="5"/>
      <c r="AE3298" s="5"/>
      <c r="AF3298" s="5"/>
      <c r="AG3298" s="9"/>
    </row>
    <row r="3299" spans="1:33">
      <c r="A3299" s="5"/>
      <c r="B3299" s="5"/>
      <c r="C3299" s="5"/>
      <c r="D3299" s="5"/>
      <c r="E3299" s="5"/>
      <c r="F3299" s="5"/>
      <c r="G3299" s="5"/>
      <c r="H3299" s="5"/>
      <c r="I3299" s="5"/>
      <c r="J3299" s="5"/>
      <c r="K3299" s="5"/>
      <c r="L3299" s="5"/>
      <c r="M3299" s="5"/>
      <c r="N3299" s="5"/>
      <c r="O3299" s="5"/>
      <c r="P3299" s="5"/>
      <c r="Q3299" s="5"/>
      <c r="R3299" s="5"/>
      <c r="S3299" s="5"/>
      <c r="T3299" s="5"/>
      <c r="U3299" s="5"/>
      <c r="V3299" s="5"/>
      <c r="W3299" s="5"/>
      <c r="X3299" s="5"/>
      <c r="Y3299" s="5"/>
      <c r="Z3299" s="5"/>
      <c r="AA3299" s="5"/>
      <c r="AB3299" s="5"/>
      <c r="AC3299" s="5"/>
      <c r="AD3299" s="5"/>
      <c r="AE3299" s="5"/>
      <c r="AF3299" s="5"/>
      <c r="AG3299" s="9"/>
    </row>
    <row r="3300" spans="1:33">
      <c r="A3300" s="5"/>
      <c r="B3300" s="5"/>
      <c r="C3300" s="5"/>
      <c r="D3300" s="5"/>
      <c r="E3300" s="5"/>
      <c r="F3300" s="5"/>
      <c r="G3300" s="5"/>
      <c r="H3300" s="5"/>
      <c r="I3300" s="5"/>
      <c r="J3300" s="5"/>
      <c r="K3300" s="5"/>
      <c r="L3300" s="5"/>
      <c r="M3300" s="5"/>
      <c r="N3300" s="5"/>
      <c r="O3300" s="5"/>
      <c r="P3300" s="5"/>
      <c r="Q3300" s="5"/>
      <c r="R3300" s="5"/>
      <c r="S3300" s="5"/>
      <c r="T3300" s="5"/>
      <c r="U3300" s="5"/>
      <c r="V3300" s="5"/>
      <c r="W3300" s="5"/>
      <c r="X3300" s="5"/>
      <c r="Y3300" s="5"/>
      <c r="Z3300" s="5"/>
      <c r="AA3300" s="5"/>
      <c r="AB3300" s="5"/>
      <c r="AC3300" s="5"/>
      <c r="AD3300" s="5"/>
      <c r="AE3300" s="5"/>
      <c r="AF3300" s="5"/>
      <c r="AG3300" s="9"/>
    </row>
    <row r="3301" spans="1:33">
      <c r="A3301" s="5"/>
      <c r="B3301" s="5"/>
      <c r="C3301" s="5"/>
      <c r="D3301" s="5"/>
      <c r="E3301" s="5"/>
      <c r="F3301" s="5"/>
      <c r="G3301" s="5"/>
      <c r="H3301" s="5"/>
      <c r="I3301" s="5"/>
      <c r="J3301" s="5"/>
      <c r="K3301" s="5"/>
      <c r="L3301" s="5"/>
      <c r="M3301" s="5"/>
      <c r="N3301" s="5"/>
      <c r="O3301" s="5"/>
      <c r="P3301" s="5"/>
      <c r="Q3301" s="5"/>
      <c r="R3301" s="5"/>
      <c r="S3301" s="5"/>
      <c r="T3301" s="5"/>
      <c r="U3301" s="5"/>
      <c r="V3301" s="5"/>
      <c r="W3301" s="5"/>
      <c r="X3301" s="5"/>
      <c r="Y3301" s="5"/>
      <c r="Z3301" s="5"/>
      <c r="AA3301" s="5"/>
      <c r="AB3301" s="5"/>
      <c r="AC3301" s="5"/>
      <c r="AD3301" s="5"/>
      <c r="AE3301" s="5"/>
      <c r="AF3301" s="5"/>
      <c r="AG3301" s="9"/>
    </row>
    <row r="3302" spans="1:33">
      <c r="A3302" s="5"/>
      <c r="B3302" s="5"/>
      <c r="C3302" s="5"/>
      <c r="D3302" s="5"/>
      <c r="E3302" s="5"/>
      <c r="F3302" s="5"/>
      <c r="G3302" s="5"/>
      <c r="H3302" s="5"/>
      <c r="I3302" s="5"/>
      <c r="J3302" s="5"/>
      <c r="K3302" s="5"/>
      <c r="L3302" s="5"/>
      <c r="M3302" s="5"/>
      <c r="N3302" s="5"/>
      <c r="O3302" s="5"/>
      <c r="P3302" s="5"/>
      <c r="Q3302" s="5"/>
      <c r="R3302" s="5"/>
      <c r="S3302" s="5"/>
      <c r="T3302" s="5"/>
      <c r="U3302" s="5"/>
      <c r="V3302" s="5"/>
      <c r="W3302" s="5"/>
      <c r="X3302" s="5"/>
      <c r="Y3302" s="5"/>
      <c r="Z3302" s="5"/>
      <c r="AA3302" s="5"/>
      <c r="AB3302" s="5"/>
      <c r="AC3302" s="5"/>
      <c r="AD3302" s="5"/>
      <c r="AE3302" s="5"/>
      <c r="AF3302" s="5"/>
      <c r="AG3302" s="9"/>
    </row>
    <row r="3303" spans="1:33">
      <c r="A3303" s="5"/>
      <c r="B3303" s="5"/>
      <c r="C3303" s="5"/>
      <c r="D3303" s="5"/>
      <c r="E3303" s="5"/>
      <c r="F3303" s="5"/>
      <c r="G3303" s="5"/>
      <c r="H3303" s="5"/>
      <c r="I3303" s="5"/>
      <c r="J3303" s="5"/>
      <c r="K3303" s="5"/>
      <c r="L3303" s="5"/>
      <c r="M3303" s="5"/>
      <c r="N3303" s="5"/>
      <c r="O3303" s="5"/>
      <c r="P3303" s="5"/>
      <c r="Q3303" s="5"/>
      <c r="R3303" s="5"/>
      <c r="S3303" s="5"/>
      <c r="T3303" s="5"/>
      <c r="U3303" s="5"/>
      <c r="V3303" s="5"/>
      <c r="W3303" s="5"/>
      <c r="X3303" s="5"/>
      <c r="Y3303" s="5"/>
      <c r="Z3303" s="5"/>
      <c r="AA3303" s="5"/>
      <c r="AB3303" s="5"/>
      <c r="AC3303" s="5"/>
      <c r="AD3303" s="5"/>
      <c r="AE3303" s="5"/>
      <c r="AF3303" s="5"/>
      <c r="AG3303" s="9"/>
    </row>
    <row r="3304" spans="1:33">
      <c r="A3304" s="5"/>
      <c r="B3304" s="5"/>
      <c r="C3304" s="5"/>
      <c r="D3304" s="5"/>
      <c r="E3304" s="5"/>
      <c r="F3304" s="5"/>
      <c r="G3304" s="5"/>
      <c r="H3304" s="5"/>
      <c r="I3304" s="5"/>
      <c r="J3304" s="5"/>
      <c r="K3304" s="5"/>
      <c r="L3304" s="5"/>
      <c r="M3304" s="5"/>
      <c r="N3304" s="5"/>
      <c r="O3304" s="5"/>
      <c r="P3304" s="5"/>
      <c r="Q3304" s="5"/>
      <c r="R3304" s="5"/>
      <c r="S3304" s="5"/>
      <c r="T3304" s="5"/>
      <c r="U3304" s="5"/>
      <c r="V3304" s="5"/>
      <c r="W3304" s="5"/>
      <c r="X3304" s="5"/>
      <c r="Y3304" s="5"/>
      <c r="Z3304" s="5"/>
      <c r="AA3304" s="5"/>
      <c r="AB3304" s="5"/>
      <c r="AC3304" s="5"/>
      <c r="AD3304" s="5"/>
      <c r="AE3304" s="5"/>
      <c r="AF3304" s="5"/>
      <c r="AG3304" s="9"/>
    </row>
    <row r="3305" spans="1:33">
      <c r="A3305" s="5"/>
      <c r="B3305" s="5"/>
      <c r="C3305" s="5"/>
      <c r="D3305" s="5"/>
      <c r="E3305" s="5"/>
      <c r="F3305" s="5"/>
      <c r="G3305" s="5"/>
      <c r="H3305" s="5"/>
      <c r="I3305" s="5"/>
      <c r="J3305" s="5"/>
      <c r="K3305" s="5"/>
      <c r="L3305" s="5"/>
      <c r="M3305" s="5"/>
      <c r="N3305" s="5"/>
      <c r="O3305" s="5"/>
      <c r="P3305" s="5"/>
      <c r="Q3305" s="5"/>
      <c r="R3305" s="5"/>
      <c r="S3305" s="5"/>
      <c r="T3305" s="5"/>
      <c r="U3305" s="5"/>
      <c r="V3305" s="5"/>
      <c r="W3305" s="5"/>
      <c r="X3305" s="5"/>
      <c r="Y3305" s="5"/>
      <c r="Z3305" s="5"/>
      <c r="AA3305" s="5"/>
      <c r="AB3305" s="5"/>
      <c r="AC3305" s="5"/>
      <c r="AD3305" s="5"/>
      <c r="AE3305" s="5"/>
      <c r="AF3305" s="5"/>
      <c r="AG3305" s="9"/>
    </row>
    <row r="3306" spans="1:33">
      <c r="A3306" s="5"/>
      <c r="B3306" s="5"/>
      <c r="C3306" s="5"/>
      <c r="D3306" s="5"/>
      <c r="E3306" s="5"/>
      <c r="F3306" s="5"/>
      <c r="G3306" s="5"/>
      <c r="H3306" s="5"/>
      <c r="I3306" s="5"/>
      <c r="J3306" s="5"/>
      <c r="K3306" s="5"/>
      <c r="L3306" s="5"/>
      <c r="M3306" s="5"/>
      <c r="N3306" s="5"/>
      <c r="O3306" s="5"/>
      <c r="P3306" s="5"/>
      <c r="Q3306" s="5"/>
      <c r="R3306" s="5"/>
      <c r="S3306" s="5"/>
      <c r="T3306" s="5"/>
      <c r="U3306" s="5"/>
      <c r="V3306" s="5"/>
      <c r="W3306" s="5"/>
      <c r="X3306" s="5"/>
      <c r="Y3306" s="5"/>
      <c r="Z3306" s="5"/>
      <c r="AA3306" s="5"/>
      <c r="AB3306" s="5"/>
      <c r="AC3306" s="5"/>
      <c r="AD3306" s="5"/>
      <c r="AE3306" s="5"/>
      <c r="AF3306" s="5"/>
      <c r="AG3306" s="9"/>
    </row>
    <row r="3307" spans="1:33">
      <c r="A3307" s="5"/>
      <c r="B3307" s="5"/>
      <c r="C3307" s="5"/>
      <c r="D3307" s="5"/>
      <c r="E3307" s="5"/>
      <c r="F3307" s="5"/>
      <c r="G3307" s="5"/>
      <c r="H3307" s="5"/>
      <c r="I3307" s="5"/>
      <c r="J3307" s="5"/>
      <c r="K3307" s="5"/>
      <c r="L3307" s="5"/>
      <c r="M3307" s="5"/>
      <c r="N3307" s="5"/>
      <c r="O3307" s="5"/>
      <c r="P3307" s="5"/>
      <c r="Q3307" s="5"/>
      <c r="R3307" s="5"/>
      <c r="S3307" s="5"/>
      <c r="T3307" s="5"/>
      <c r="U3307" s="5"/>
      <c r="V3307" s="5"/>
      <c r="W3307" s="5"/>
      <c r="X3307" s="5"/>
      <c r="Y3307" s="5"/>
      <c r="Z3307" s="5"/>
      <c r="AA3307" s="5"/>
      <c r="AB3307" s="5"/>
      <c r="AC3307" s="5"/>
      <c r="AD3307" s="5"/>
      <c r="AE3307" s="5"/>
      <c r="AF3307" s="5"/>
      <c r="AG3307" s="9"/>
    </row>
    <row r="3308" spans="1:33">
      <c r="A3308" s="5"/>
      <c r="B3308" s="5"/>
      <c r="C3308" s="5"/>
      <c r="D3308" s="5"/>
      <c r="E3308" s="5"/>
      <c r="F3308" s="5"/>
      <c r="G3308" s="5"/>
      <c r="H3308" s="5"/>
      <c r="I3308" s="5"/>
      <c r="J3308" s="5"/>
      <c r="K3308" s="5"/>
      <c r="L3308" s="5"/>
      <c r="M3308" s="5"/>
      <c r="N3308" s="5"/>
      <c r="O3308" s="5"/>
      <c r="P3308" s="5"/>
      <c r="Q3308" s="5"/>
      <c r="R3308" s="5"/>
      <c r="S3308" s="5"/>
      <c r="T3308" s="5"/>
      <c r="U3308" s="5"/>
      <c r="V3308" s="5"/>
      <c r="W3308" s="5"/>
      <c r="X3308" s="5"/>
      <c r="Y3308" s="5"/>
      <c r="Z3308" s="5"/>
      <c r="AA3308" s="5"/>
      <c r="AB3308" s="5"/>
      <c r="AC3308" s="5"/>
      <c r="AD3308" s="5"/>
      <c r="AE3308" s="5"/>
      <c r="AF3308" s="5"/>
      <c r="AG3308" s="9"/>
    </row>
    <row r="3309" spans="1:33">
      <c r="A3309" s="5"/>
      <c r="B3309" s="5"/>
      <c r="C3309" s="5"/>
      <c r="D3309" s="5"/>
      <c r="E3309" s="5"/>
      <c r="F3309" s="5"/>
      <c r="G3309" s="5"/>
      <c r="H3309" s="5"/>
      <c r="I3309" s="5"/>
      <c r="J3309" s="5"/>
      <c r="K3309" s="5"/>
      <c r="L3309" s="5"/>
      <c r="M3309" s="5"/>
      <c r="N3309" s="5"/>
      <c r="O3309" s="5"/>
      <c r="P3309" s="5"/>
      <c r="Q3309" s="5"/>
      <c r="R3309" s="5"/>
      <c r="S3309" s="5"/>
      <c r="T3309" s="5"/>
      <c r="U3309" s="5"/>
      <c r="V3309" s="5"/>
      <c r="W3309" s="5"/>
      <c r="X3309" s="5"/>
      <c r="Y3309" s="5"/>
      <c r="Z3309" s="5"/>
      <c r="AA3309" s="5"/>
      <c r="AB3309" s="5"/>
      <c r="AC3309" s="5"/>
      <c r="AD3309" s="5"/>
      <c r="AE3309" s="5"/>
      <c r="AF3309" s="5"/>
      <c r="AG3309" s="9"/>
    </row>
    <row r="3310" spans="1:33">
      <c r="A3310" s="5"/>
      <c r="B3310" s="5"/>
      <c r="C3310" s="5"/>
      <c r="D3310" s="5"/>
      <c r="E3310" s="5"/>
      <c r="F3310" s="5"/>
      <c r="G3310" s="5"/>
      <c r="H3310" s="5"/>
      <c r="I3310" s="5"/>
      <c r="J3310" s="5"/>
      <c r="K3310" s="5"/>
      <c r="L3310" s="5"/>
      <c r="M3310" s="5"/>
      <c r="N3310" s="5"/>
      <c r="O3310" s="5"/>
      <c r="P3310" s="5"/>
      <c r="Q3310" s="5"/>
      <c r="R3310" s="5"/>
      <c r="S3310" s="5"/>
      <c r="T3310" s="5"/>
      <c r="U3310" s="5"/>
      <c r="V3310" s="5"/>
      <c r="W3310" s="5"/>
      <c r="X3310" s="5"/>
      <c r="Y3310" s="5"/>
      <c r="Z3310" s="5"/>
      <c r="AA3310" s="5"/>
      <c r="AB3310" s="5"/>
      <c r="AC3310" s="5"/>
      <c r="AD3310" s="5"/>
      <c r="AE3310" s="5"/>
      <c r="AF3310" s="5"/>
      <c r="AG3310" s="9"/>
    </row>
    <row r="3311" spans="1:33">
      <c r="A3311" s="5"/>
      <c r="B3311" s="5"/>
      <c r="C3311" s="5"/>
      <c r="D3311" s="5"/>
      <c r="E3311" s="5"/>
      <c r="F3311" s="5"/>
      <c r="G3311" s="5"/>
      <c r="H3311" s="5"/>
      <c r="I3311" s="5"/>
      <c r="J3311" s="5"/>
      <c r="K3311" s="5"/>
      <c r="L3311" s="5"/>
      <c r="M3311" s="5"/>
      <c r="N3311" s="5"/>
      <c r="O3311" s="5"/>
      <c r="P3311" s="5"/>
      <c r="Q3311" s="5"/>
      <c r="R3311" s="5"/>
      <c r="S3311" s="5"/>
      <c r="T3311" s="5"/>
      <c r="U3311" s="5"/>
      <c r="V3311" s="5"/>
      <c r="W3311" s="5"/>
      <c r="X3311" s="5"/>
      <c r="Y3311" s="5"/>
      <c r="Z3311" s="5"/>
      <c r="AA3311" s="5"/>
      <c r="AB3311" s="5"/>
      <c r="AC3311" s="5"/>
      <c r="AD3311" s="5"/>
      <c r="AE3311" s="5"/>
      <c r="AF3311" s="5"/>
      <c r="AG3311" s="9"/>
    </row>
    <row r="3312" spans="1:33">
      <c r="A3312" s="5"/>
      <c r="B3312" s="5"/>
      <c r="C3312" s="5"/>
      <c r="D3312" s="5"/>
      <c r="E3312" s="5"/>
      <c r="F3312" s="5"/>
      <c r="G3312" s="5"/>
      <c r="H3312" s="5"/>
      <c r="I3312" s="5"/>
      <c r="J3312" s="5"/>
      <c r="K3312" s="5"/>
      <c r="L3312" s="5"/>
      <c r="M3312" s="5"/>
      <c r="N3312" s="5"/>
      <c r="O3312" s="5"/>
      <c r="P3312" s="5"/>
      <c r="Q3312" s="5"/>
      <c r="R3312" s="5"/>
      <c r="S3312" s="5"/>
      <c r="T3312" s="5"/>
      <c r="U3312" s="5"/>
      <c r="V3312" s="5"/>
      <c r="W3312" s="5"/>
      <c r="X3312" s="5"/>
      <c r="Y3312" s="5"/>
      <c r="Z3312" s="5"/>
      <c r="AA3312" s="5"/>
      <c r="AB3312" s="5"/>
      <c r="AC3312" s="5"/>
      <c r="AD3312" s="5"/>
      <c r="AE3312" s="5"/>
      <c r="AF3312" s="5"/>
      <c r="AG3312" s="9"/>
    </row>
    <row r="3313" spans="1:33">
      <c r="A3313" s="5"/>
      <c r="B3313" s="5"/>
      <c r="C3313" s="5"/>
      <c r="D3313" s="5"/>
      <c r="E3313" s="5"/>
      <c r="F3313" s="5"/>
      <c r="G3313" s="5"/>
      <c r="H3313" s="5"/>
      <c r="I3313" s="5"/>
      <c r="J3313" s="5"/>
      <c r="K3313" s="5"/>
      <c r="L3313" s="5"/>
      <c r="M3313" s="5"/>
      <c r="N3313" s="5"/>
      <c r="O3313" s="5"/>
      <c r="P3313" s="5"/>
      <c r="Q3313" s="5"/>
      <c r="R3313" s="5"/>
      <c r="S3313" s="5"/>
      <c r="T3313" s="5"/>
      <c r="U3313" s="5"/>
      <c r="V3313" s="5"/>
      <c r="W3313" s="5"/>
      <c r="X3313" s="5"/>
      <c r="Y3313" s="5"/>
      <c r="Z3313" s="5"/>
      <c r="AA3313" s="5"/>
      <c r="AB3313" s="5"/>
      <c r="AC3313" s="5"/>
      <c r="AD3313" s="5"/>
      <c r="AE3313" s="5"/>
      <c r="AF3313" s="5"/>
      <c r="AG3313" s="9"/>
    </row>
    <row r="3314" spans="1:33">
      <c r="A3314" s="5"/>
      <c r="B3314" s="5"/>
      <c r="C3314" s="5"/>
      <c r="D3314" s="5"/>
      <c r="E3314" s="5"/>
      <c r="F3314" s="5"/>
      <c r="G3314" s="5"/>
      <c r="H3314" s="5"/>
      <c r="I3314" s="5"/>
      <c r="J3314" s="5"/>
      <c r="K3314" s="5"/>
      <c r="L3314" s="5"/>
      <c r="M3314" s="5"/>
      <c r="N3314" s="5"/>
      <c r="O3314" s="5"/>
      <c r="P3314" s="5"/>
      <c r="Q3314" s="5"/>
      <c r="R3314" s="5"/>
      <c r="S3314" s="5"/>
      <c r="T3314" s="5"/>
      <c r="U3314" s="5"/>
      <c r="V3314" s="5"/>
      <c r="W3314" s="5"/>
      <c r="X3314" s="5"/>
      <c r="Y3314" s="5"/>
      <c r="Z3314" s="5"/>
      <c r="AA3314" s="5"/>
      <c r="AB3314" s="5"/>
      <c r="AC3314" s="5"/>
      <c r="AD3314" s="5"/>
      <c r="AE3314" s="5"/>
      <c r="AF3314" s="5"/>
      <c r="AG3314" s="9"/>
    </row>
    <row r="3315" spans="1:33">
      <c r="A3315" s="5"/>
      <c r="B3315" s="5"/>
      <c r="C3315" s="5"/>
      <c r="D3315" s="5"/>
      <c r="E3315" s="5"/>
      <c r="F3315" s="5"/>
      <c r="G3315" s="5"/>
      <c r="H3315" s="5"/>
      <c r="I3315" s="5"/>
      <c r="J3315" s="5"/>
      <c r="K3315" s="5"/>
      <c r="L3315" s="5"/>
      <c r="M3315" s="5"/>
      <c r="N3315" s="5"/>
      <c r="O3315" s="5"/>
      <c r="P3315" s="5"/>
      <c r="Q3315" s="5"/>
      <c r="R3315" s="5"/>
      <c r="S3315" s="5"/>
      <c r="T3315" s="5"/>
      <c r="U3315" s="5"/>
      <c r="V3315" s="5"/>
      <c r="W3315" s="5"/>
      <c r="X3315" s="5"/>
      <c r="Y3315" s="5"/>
      <c r="Z3315" s="5"/>
      <c r="AA3315" s="5"/>
      <c r="AB3315" s="5"/>
      <c r="AC3315" s="5"/>
      <c r="AD3315" s="5"/>
      <c r="AE3315" s="5"/>
      <c r="AF3315" s="5"/>
      <c r="AG3315" s="9"/>
    </row>
    <row r="3316" spans="1:33">
      <c r="A3316" s="5"/>
      <c r="B3316" s="5"/>
      <c r="C3316" s="5"/>
      <c r="D3316" s="5"/>
      <c r="E3316" s="5"/>
      <c r="F3316" s="5"/>
      <c r="G3316" s="5"/>
      <c r="H3316" s="5"/>
      <c r="I3316" s="5"/>
      <c r="J3316" s="5"/>
      <c r="K3316" s="5"/>
      <c r="L3316" s="5"/>
      <c r="M3316" s="5"/>
      <c r="N3316" s="5"/>
      <c r="O3316" s="5"/>
      <c r="P3316" s="5"/>
      <c r="Q3316" s="5"/>
      <c r="R3316" s="5"/>
      <c r="S3316" s="5"/>
      <c r="T3316" s="5"/>
      <c r="U3316" s="5"/>
      <c r="V3316" s="5"/>
      <c r="W3316" s="5"/>
      <c r="X3316" s="5"/>
      <c r="Y3316" s="5"/>
      <c r="Z3316" s="5"/>
      <c r="AA3316" s="5"/>
      <c r="AB3316" s="5"/>
      <c r="AC3316" s="5"/>
      <c r="AD3316" s="5"/>
      <c r="AE3316" s="5"/>
      <c r="AF3316" s="5"/>
      <c r="AG3316" s="9"/>
    </row>
    <row r="3317" spans="1:33">
      <c r="A3317" s="5"/>
      <c r="B3317" s="5"/>
      <c r="C3317" s="5"/>
      <c r="D3317" s="5"/>
      <c r="E3317" s="5"/>
      <c r="F3317" s="5"/>
      <c r="G3317" s="5"/>
      <c r="H3317" s="5"/>
      <c r="I3317" s="5"/>
      <c r="J3317" s="5"/>
      <c r="K3317" s="5"/>
      <c r="L3317" s="5"/>
      <c r="M3317" s="5"/>
      <c r="N3317" s="5"/>
      <c r="O3317" s="5"/>
      <c r="P3317" s="5"/>
      <c r="Q3317" s="5"/>
      <c r="R3317" s="5"/>
      <c r="S3317" s="5"/>
      <c r="T3317" s="5"/>
      <c r="U3317" s="5"/>
      <c r="V3317" s="5"/>
      <c r="W3317" s="5"/>
      <c r="X3317" s="5"/>
      <c r="Y3317" s="5"/>
      <c r="Z3317" s="5"/>
      <c r="AA3317" s="5"/>
      <c r="AB3317" s="5"/>
      <c r="AC3317" s="5"/>
      <c r="AD3317" s="5"/>
      <c r="AE3317" s="5"/>
      <c r="AF3317" s="5"/>
      <c r="AG3317" s="9"/>
    </row>
    <row r="3318" spans="1:33">
      <c r="A3318" s="5"/>
      <c r="B3318" s="5"/>
      <c r="C3318" s="5"/>
      <c r="D3318" s="5"/>
      <c r="E3318" s="5"/>
      <c r="F3318" s="5"/>
      <c r="G3318" s="5"/>
      <c r="H3318" s="5"/>
      <c r="I3318" s="5"/>
      <c r="J3318" s="5"/>
      <c r="K3318" s="5"/>
      <c r="L3318" s="5"/>
      <c r="M3318" s="5"/>
      <c r="N3318" s="5"/>
      <c r="O3318" s="5"/>
      <c r="P3318" s="5"/>
      <c r="Q3318" s="5"/>
      <c r="R3318" s="5"/>
      <c r="S3318" s="5"/>
      <c r="T3318" s="5"/>
      <c r="U3318" s="5"/>
      <c r="V3318" s="5"/>
      <c r="W3318" s="5"/>
      <c r="X3318" s="5"/>
      <c r="Y3318" s="5"/>
      <c r="Z3318" s="5"/>
      <c r="AA3318" s="5"/>
      <c r="AB3318" s="5"/>
      <c r="AC3318" s="5"/>
      <c r="AD3318" s="5"/>
      <c r="AE3318" s="5"/>
      <c r="AF3318" s="5"/>
      <c r="AG3318" s="9"/>
    </row>
    <row r="3319" spans="1:33">
      <c r="A3319" s="5"/>
      <c r="B3319" s="5"/>
      <c r="C3319" s="5"/>
      <c r="D3319" s="5"/>
      <c r="E3319" s="5"/>
      <c r="F3319" s="5"/>
      <c r="G3319" s="5"/>
      <c r="H3319" s="5"/>
      <c r="I3319" s="5"/>
      <c r="J3319" s="5"/>
      <c r="K3319" s="5"/>
      <c r="L3319" s="5"/>
      <c r="M3319" s="5"/>
      <c r="N3319" s="5"/>
      <c r="O3319" s="5"/>
      <c r="P3319" s="5"/>
      <c r="Q3319" s="5"/>
      <c r="R3319" s="5"/>
      <c r="S3319" s="5"/>
      <c r="T3319" s="5"/>
      <c r="U3319" s="5"/>
      <c r="V3319" s="5"/>
      <c r="W3319" s="5"/>
      <c r="X3319" s="5"/>
      <c r="Y3319" s="5"/>
      <c r="Z3319" s="5"/>
      <c r="AA3319" s="5"/>
      <c r="AB3319" s="5"/>
      <c r="AC3319" s="5"/>
      <c r="AD3319" s="5"/>
      <c r="AE3319" s="5"/>
      <c r="AF3319" s="5"/>
      <c r="AG3319" s="9"/>
    </row>
    <row r="3320" spans="1:33">
      <c r="A3320" s="5"/>
      <c r="B3320" s="5"/>
      <c r="C3320" s="5"/>
      <c r="D3320" s="5"/>
      <c r="E3320" s="5"/>
      <c r="F3320" s="5"/>
      <c r="G3320" s="5"/>
      <c r="H3320" s="5"/>
      <c r="I3320" s="5"/>
      <c r="J3320" s="5"/>
      <c r="K3320" s="5"/>
      <c r="L3320" s="5"/>
      <c r="M3320" s="5"/>
      <c r="N3320" s="5"/>
      <c r="O3320" s="5"/>
      <c r="P3320" s="5"/>
      <c r="Q3320" s="5"/>
      <c r="R3320" s="5"/>
      <c r="S3320" s="5"/>
      <c r="T3320" s="5"/>
      <c r="U3320" s="5"/>
      <c r="V3320" s="5"/>
      <c r="W3320" s="5"/>
      <c r="X3320" s="5"/>
      <c r="Y3320" s="5"/>
      <c r="Z3320" s="5"/>
      <c r="AA3320" s="5"/>
      <c r="AB3320" s="5"/>
      <c r="AC3320" s="5"/>
      <c r="AD3320" s="5"/>
      <c r="AE3320" s="5"/>
      <c r="AF3320" s="5"/>
      <c r="AG3320" s="9"/>
    </row>
    <row r="3321" spans="1:33">
      <c r="A3321" s="5"/>
      <c r="B3321" s="5"/>
      <c r="C3321" s="5"/>
      <c r="D3321" s="5"/>
      <c r="E3321" s="5"/>
      <c r="F3321" s="5"/>
      <c r="G3321" s="5"/>
      <c r="H3321" s="5"/>
      <c r="I3321" s="5"/>
      <c r="J3321" s="5"/>
      <c r="K3321" s="5"/>
      <c r="L3321" s="5"/>
      <c r="M3321" s="5"/>
      <c r="N3321" s="5"/>
      <c r="O3321" s="5"/>
      <c r="P3321" s="5"/>
      <c r="Q3321" s="5"/>
      <c r="R3321" s="5"/>
      <c r="S3321" s="5"/>
      <c r="T3321" s="5"/>
      <c r="U3321" s="5"/>
      <c r="V3321" s="5"/>
      <c r="W3321" s="5"/>
      <c r="X3321" s="5"/>
      <c r="Y3321" s="5"/>
      <c r="Z3321" s="5"/>
      <c r="AA3321" s="5"/>
      <c r="AB3321" s="5"/>
      <c r="AC3321" s="5"/>
      <c r="AD3321" s="5"/>
      <c r="AE3321" s="5"/>
      <c r="AF3321" s="5"/>
      <c r="AG3321" s="9"/>
    </row>
    <row r="3322" spans="1:33">
      <c r="A3322" s="5"/>
      <c r="B3322" s="5"/>
      <c r="C3322" s="5"/>
      <c r="D3322" s="5"/>
      <c r="E3322" s="5"/>
      <c r="F3322" s="5"/>
      <c r="G3322" s="5"/>
      <c r="H3322" s="5"/>
      <c r="I3322" s="5"/>
      <c r="J3322" s="5"/>
      <c r="K3322" s="5"/>
      <c r="L3322" s="5"/>
      <c r="M3322" s="5"/>
      <c r="N3322" s="5"/>
      <c r="O3322" s="5"/>
      <c r="P3322" s="5"/>
      <c r="Q3322" s="5"/>
      <c r="R3322" s="5"/>
      <c r="S3322" s="5"/>
      <c r="T3322" s="5"/>
      <c r="U3322" s="5"/>
      <c r="V3322" s="5"/>
      <c r="W3322" s="5"/>
      <c r="X3322" s="5"/>
      <c r="Y3322" s="5"/>
      <c r="Z3322" s="5"/>
      <c r="AA3322" s="5"/>
      <c r="AB3322" s="5"/>
      <c r="AC3322" s="5"/>
      <c r="AD3322" s="5"/>
      <c r="AE3322" s="5"/>
      <c r="AF3322" s="5"/>
      <c r="AG3322" s="9"/>
    </row>
    <row r="3323" spans="1:33">
      <c r="A3323" s="5"/>
      <c r="B3323" s="5"/>
      <c r="C3323" s="5"/>
      <c r="D3323" s="5"/>
      <c r="E3323" s="5"/>
      <c r="F3323" s="5"/>
      <c r="G3323" s="5"/>
      <c r="H3323" s="5"/>
      <c r="I3323" s="5"/>
      <c r="J3323" s="5"/>
      <c r="K3323" s="5"/>
      <c r="L3323" s="5"/>
      <c r="M3323" s="5"/>
      <c r="N3323" s="5"/>
      <c r="O3323" s="5"/>
      <c r="P3323" s="5"/>
      <c r="Q3323" s="5"/>
      <c r="R3323" s="5"/>
      <c r="S3323" s="5"/>
      <c r="T3323" s="5"/>
      <c r="U3323" s="5"/>
      <c r="V3323" s="5"/>
      <c r="W3323" s="5"/>
      <c r="X3323" s="5"/>
      <c r="Y3323" s="5"/>
      <c r="Z3323" s="5"/>
      <c r="AA3323" s="5"/>
      <c r="AB3323" s="5"/>
      <c r="AC3323" s="5"/>
      <c r="AD3323" s="5"/>
      <c r="AE3323" s="5"/>
      <c r="AF3323" s="5"/>
      <c r="AG3323" s="9"/>
    </row>
    <row r="3324" spans="1:33">
      <c r="A3324" s="5"/>
      <c r="B3324" s="5"/>
      <c r="C3324" s="5"/>
      <c r="D3324" s="5"/>
      <c r="E3324" s="5"/>
      <c r="F3324" s="5"/>
      <c r="G3324" s="5"/>
      <c r="H3324" s="5"/>
      <c r="I3324" s="5"/>
      <c r="J3324" s="5"/>
      <c r="K3324" s="5"/>
      <c r="L3324" s="5"/>
      <c r="M3324" s="5"/>
      <c r="N3324" s="5"/>
      <c r="O3324" s="5"/>
      <c r="P3324" s="5"/>
      <c r="Q3324" s="5"/>
      <c r="R3324" s="5"/>
      <c r="S3324" s="5"/>
      <c r="T3324" s="5"/>
      <c r="U3324" s="5"/>
      <c r="V3324" s="5"/>
      <c r="W3324" s="5"/>
      <c r="X3324" s="5"/>
      <c r="Y3324" s="5"/>
      <c r="Z3324" s="5"/>
      <c r="AA3324" s="5"/>
      <c r="AB3324" s="5"/>
      <c r="AC3324" s="5"/>
      <c r="AD3324" s="5"/>
      <c r="AE3324" s="5"/>
      <c r="AF3324" s="5"/>
      <c r="AG3324" s="9"/>
    </row>
    <row r="3325" spans="1:33">
      <c r="A3325" s="5"/>
      <c r="B3325" s="5"/>
      <c r="C3325" s="5"/>
      <c r="D3325" s="5"/>
      <c r="E3325" s="5"/>
      <c r="F3325" s="5"/>
      <c r="G3325" s="5"/>
      <c r="H3325" s="5"/>
      <c r="I3325" s="5"/>
      <c r="J3325" s="5"/>
      <c r="K3325" s="5"/>
      <c r="L3325" s="5"/>
      <c r="M3325" s="5"/>
      <c r="N3325" s="5"/>
      <c r="O3325" s="5"/>
      <c r="P3325" s="5"/>
      <c r="Q3325" s="5"/>
      <c r="R3325" s="5"/>
      <c r="S3325" s="5"/>
      <c r="T3325" s="5"/>
      <c r="U3325" s="5"/>
      <c r="V3325" s="5"/>
      <c r="W3325" s="5"/>
      <c r="X3325" s="5"/>
      <c r="Y3325" s="5"/>
      <c r="Z3325" s="5"/>
      <c r="AA3325" s="5"/>
      <c r="AB3325" s="5"/>
      <c r="AC3325" s="5"/>
      <c r="AD3325" s="5"/>
      <c r="AE3325" s="5"/>
      <c r="AF3325" s="5"/>
      <c r="AG3325" s="9"/>
    </row>
    <row r="3326" spans="1:33">
      <c r="A3326" s="5"/>
      <c r="B3326" s="5"/>
      <c r="C3326" s="5"/>
      <c r="D3326" s="5"/>
      <c r="E3326" s="5"/>
      <c r="F3326" s="5"/>
      <c r="G3326" s="5"/>
      <c r="H3326" s="5"/>
      <c r="I3326" s="5"/>
      <c r="J3326" s="5"/>
      <c r="K3326" s="5"/>
      <c r="L3326" s="5"/>
      <c r="M3326" s="5"/>
      <c r="N3326" s="5"/>
      <c r="O3326" s="5"/>
      <c r="P3326" s="5"/>
      <c r="Q3326" s="5"/>
      <c r="R3326" s="5"/>
      <c r="S3326" s="5"/>
      <c r="T3326" s="5"/>
      <c r="U3326" s="5"/>
      <c r="V3326" s="5"/>
      <c r="W3326" s="5"/>
      <c r="X3326" s="5"/>
      <c r="Y3326" s="5"/>
      <c r="Z3326" s="5"/>
      <c r="AA3326" s="5"/>
      <c r="AB3326" s="5"/>
      <c r="AC3326" s="5"/>
      <c r="AD3326" s="5"/>
      <c r="AE3326" s="5"/>
      <c r="AF3326" s="5"/>
      <c r="AG3326" s="9"/>
    </row>
    <row r="3327" spans="1:33">
      <c r="A3327" s="5"/>
      <c r="B3327" s="5"/>
      <c r="C3327" s="5"/>
      <c r="D3327" s="5"/>
      <c r="E3327" s="5"/>
      <c r="F3327" s="5"/>
      <c r="G3327" s="5"/>
      <c r="H3327" s="5"/>
      <c r="I3327" s="5"/>
      <c r="J3327" s="5"/>
      <c r="K3327" s="5"/>
      <c r="L3327" s="5"/>
      <c r="M3327" s="5"/>
      <c r="N3327" s="5"/>
      <c r="O3327" s="5"/>
      <c r="P3327" s="5"/>
      <c r="Q3327" s="5"/>
      <c r="R3327" s="5"/>
      <c r="S3327" s="5"/>
      <c r="T3327" s="5"/>
      <c r="U3327" s="5"/>
      <c r="V3327" s="5"/>
      <c r="W3327" s="5"/>
      <c r="X3327" s="5"/>
      <c r="Y3327" s="5"/>
      <c r="Z3327" s="5"/>
      <c r="AA3327" s="5"/>
      <c r="AB3327" s="5"/>
      <c r="AC3327" s="5"/>
      <c r="AD3327" s="5"/>
      <c r="AE3327" s="5"/>
      <c r="AF3327" s="5"/>
      <c r="AG3327" s="9"/>
    </row>
    <row r="3328" spans="1:33">
      <c r="A3328" s="5"/>
      <c r="B3328" s="5"/>
      <c r="C3328" s="5"/>
      <c r="D3328" s="5"/>
      <c r="E3328" s="5"/>
      <c r="F3328" s="5"/>
      <c r="G3328" s="5"/>
      <c r="H3328" s="5"/>
      <c r="I3328" s="5"/>
      <c r="J3328" s="5"/>
      <c r="K3328" s="5"/>
      <c r="L3328" s="5"/>
      <c r="M3328" s="5"/>
      <c r="N3328" s="5"/>
      <c r="O3328" s="5"/>
      <c r="P3328" s="5"/>
      <c r="Q3328" s="5"/>
      <c r="R3328" s="5"/>
      <c r="S3328" s="5"/>
      <c r="T3328" s="5"/>
      <c r="U3328" s="5"/>
      <c r="V3328" s="5"/>
      <c r="W3328" s="5"/>
      <c r="X3328" s="5"/>
      <c r="Y3328" s="5"/>
      <c r="Z3328" s="5"/>
      <c r="AA3328" s="5"/>
      <c r="AB3328" s="5"/>
      <c r="AC3328" s="5"/>
      <c r="AD3328" s="5"/>
      <c r="AE3328" s="5"/>
      <c r="AF3328" s="5"/>
      <c r="AG3328" s="9"/>
    </row>
    <row r="3329" spans="1:33">
      <c r="A3329" s="5"/>
      <c r="B3329" s="5"/>
      <c r="C3329" s="5"/>
      <c r="D3329" s="5"/>
      <c r="E3329" s="5"/>
      <c r="F3329" s="5"/>
      <c r="G3329" s="5"/>
      <c r="H3329" s="5"/>
      <c r="I3329" s="5"/>
      <c r="J3329" s="5"/>
      <c r="K3329" s="5"/>
      <c r="L3329" s="5"/>
      <c r="M3329" s="5"/>
      <c r="N3329" s="5"/>
      <c r="O3329" s="5"/>
      <c r="P3329" s="5"/>
      <c r="Q3329" s="5"/>
      <c r="R3329" s="5"/>
      <c r="S3329" s="5"/>
      <c r="T3329" s="5"/>
      <c r="U3329" s="5"/>
      <c r="V3329" s="5"/>
      <c r="W3329" s="5"/>
      <c r="X3329" s="5"/>
      <c r="Y3329" s="5"/>
      <c r="Z3329" s="5"/>
      <c r="AA3329" s="5"/>
      <c r="AB3329" s="5"/>
      <c r="AC3329" s="5"/>
      <c r="AD3329" s="5"/>
      <c r="AE3329" s="5"/>
      <c r="AF3329" s="5"/>
      <c r="AG3329" s="9"/>
    </row>
    <row r="3330" spans="1:33">
      <c r="A3330" s="5"/>
      <c r="B3330" s="5"/>
      <c r="C3330" s="5"/>
      <c r="D3330" s="5"/>
      <c r="E3330" s="5"/>
      <c r="F3330" s="5"/>
      <c r="G3330" s="5"/>
      <c r="H3330" s="5"/>
      <c r="I3330" s="5"/>
      <c r="J3330" s="5"/>
      <c r="K3330" s="5"/>
      <c r="L3330" s="5"/>
      <c r="M3330" s="5"/>
      <c r="N3330" s="5"/>
      <c r="O3330" s="5"/>
      <c r="P3330" s="5"/>
      <c r="Q3330" s="5"/>
      <c r="R3330" s="5"/>
      <c r="S3330" s="5"/>
      <c r="T3330" s="5"/>
      <c r="U3330" s="5"/>
      <c r="V3330" s="5"/>
      <c r="W3330" s="5"/>
      <c r="X3330" s="5"/>
      <c r="Y3330" s="5"/>
      <c r="Z3330" s="5"/>
      <c r="AA3330" s="5"/>
      <c r="AB3330" s="5"/>
      <c r="AC3330" s="5"/>
      <c r="AD3330" s="5"/>
      <c r="AE3330" s="5"/>
      <c r="AF3330" s="5"/>
      <c r="AG3330" s="9"/>
    </row>
    <row r="3331" spans="1:33">
      <c r="A3331" s="5"/>
      <c r="B3331" s="5"/>
      <c r="C3331" s="5"/>
      <c r="D3331" s="5"/>
      <c r="E3331" s="5"/>
      <c r="F3331" s="5"/>
      <c r="G3331" s="5"/>
      <c r="H3331" s="5"/>
      <c r="I3331" s="5"/>
      <c r="J3331" s="5"/>
      <c r="K3331" s="5"/>
      <c r="L3331" s="5"/>
      <c r="M3331" s="5"/>
      <c r="N3331" s="5"/>
      <c r="O3331" s="5"/>
      <c r="P3331" s="5"/>
      <c r="Q3331" s="5"/>
      <c r="R3331" s="5"/>
      <c r="S3331" s="5"/>
      <c r="T3331" s="5"/>
      <c r="U3331" s="5"/>
      <c r="V3331" s="5"/>
      <c r="W3331" s="5"/>
      <c r="X3331" s="5"/>
      <c r="Y3331" s="5"/>
      <c r="Z3331" s="5"/>
      <c r="AA3331" s="5"/>
      <c r="AB3331" s="5"/>
      <c r="AC3331" s="5"/>
      <c r="AD3331" s="5"/>
      <c r="AE3331" s="5"/>
      <c r="AF3331" s="5"/>
      <c r="AG3331" s="9"/>
    </row>
    <row r="3332" spans="1:33">
      <c r="A3332" s="5"/>
      <c r="B3332" s="5"/>
      <c r="C3332" s="5"/>
      <c r="D3332" s="5"/>
      <c r="E3332" s="5"/>
      <c r="F3332" s="5"/>
      <c r="G3332" s="5"/>
      <c r="H3332" s="5"/>
      <c r="I3332" s="5"/>
      <c r="J3332" s="5"/>
      <c r="K3332" s="5"/>
      <c r="L3332" s="5"/>
      <c r="M3332" s="5"/>
      <c r="N3332" s="5"/>
      <c r="O3332" s="5"/>
      <c r="P3332" s="5"/>
      <c r="Q3332" s="5"/>
      <c r="R3332" s="5"/>
      <c r="S3332" s="5"/>
      <c r="T3332" s="5"/>
      <c r="U3332" s="5"/>
      <c r="V3332" s="5"/>
      <c r="W3332" s="5"/>
      <c r="X3332" s="5"/>
      <c r="Y3332" s="5"/>
      <c r="Z3332" s="5"/>
      <c r="AA3332" s="5"/>
      <c r="AB3332" s="5"/>
      <c r="AC3332" s="5"/>
      <c r="AD3332" s="5"/>
      <c r="AE3332" s="5"/>
      <c r="AF3332" s="5"/>
      <c r="AG3332" s="9"/>
    </row>
    <row r="3333" spans="1:33">
      <c r="A3333" s="5"/>
      <c r="B3333" s="5"/>
      <c r="C3333" s="5"/>
      <c r="D3333" s="5"/>
      <c r="E3333" s="5"/>
      <c r="F3333" s="5"/>
      <c r="G3333" s="5"/>
      <c r="H3333" s="5"/>
      <c r="I3333" s="5"/>
      <c r="J3333" s="5"/>
      <c r="K3333" s="5"/>
      <c r="L3333" s="5"/>
      <c r="M3333" s="5"/>
      <c r="N3333" s="5"/>
      <c r="O3333" s="5"/>
      <c r="P3333" s="5"/>
      <c r="Q3333" s="5"/>
      <c r="R3333" s="5"/>
      <c r="S3333" s="5"/>
      <c r="T3333" s="5"/>
      <c r="U3333" s="5"/>
      <c r="V3333" s="5"/>
      <c r="W3333" s="5"/>
      <c r="X3333" s="5"/>
      <c r="Y3333" s="5"/>
      <c r="Z3333" s="5"/>
      <c r="AA3333" s="5"/>
      <c r="AB3333" s="5"/>
      <c r="AC3333" s="5"/>
      <c r="AD3333" s="5"/>
      <c r="AE3333" s="5"/>
      <c r="AF3333" s="5"/>
      <c r="AG3333" s="9"/>
    </row>
    <row r="3334" spans="1:33">
      <c r="A3334" s="5"/>
      <c r="B3334" s="5"/>
      <c r="C3334" s="5"/>
      <c r="D3334" s="5"/>
      <c r="E3334" s="5"/>
      <c r="F3334" s="5"/>
      <c r="G3334" s="5"/>
      <c r="H3334" s="5"/>
      <c r="I3334" s="5"/>
      <c r="J3334" s="5"/>
      <c r="K3334" s="5"/>
      <c r="L3334" s="5"/>
      <c r="M3334" s="5"/>
      <c r="N3334" s="5"/>
      <c r="O3334" s="5"/>
      <c r="P3334" s="5"/>
      <c r="Q3334" s="5"/>
      <c r="R3334" s="5"/>
      <c r="S3334" s="5"/>
      <c r="T3334" s="5"/>
      <c r="U3334" s="5"/>
      <c r="V3334" s="5"/>
      <c r="W3334" s="5"/>
      <c r="X3334" s="5"/>
      <c r="Y3334" s="5"/>
      <c r="Z3334" s="5"/>
      <c r="AA3334" s="5"/>
      <c r="AB3334" s="5"/>
      <c r="AC3334" s="5"/>
      <c r="AD3334" s="5"/>
      <c r="AE3334" s="5"/>
      <c r="AF3334" s="5"/>
      <c r="AG3334" s="9"/>
    </row>
    <row r="3335" spans="1:33">
      <c r="A3335" s="5"/>
      <c r="B3335" s="5"/>
      <c r="C3335" s="5"/>
      <c r="D3335" s="5"/>
      <c r="E3335" s="5"/>
      <c r="F3335" s="5"/>
      <c r="G3335" s="5"/>
      <c r="H3335" s="5"/>
      <c r="I3335" s="5"/>
      <c r="J3335" s="5"/>
      <c r="K3335" s="5"/>
      <c r="L3335" s="5"/>
      <c r="M3335" s="5"/>
      <c r="N3335" s="5"/>
      <c r="O3335" s="5"/>
      <c r="P3335" s="5"/>
      <c r="Q3335" s="5"/>
      <c r="R3335" s="5"/>
      <c r="S3335" s="5"/>
      <c r="T3335" s="5"/>
      <c r="U3335" s="5"/>
      <c r="V3335" s="5"/>
      <c r="W3335" s="5"/>
      <c r="X3335" s="5"/>
      <c r="Y3335" s="5"/>
      <c r="Z3335" s="5"/>
      <c r="AA3335" s="5"/>
      <c r="AB3335" s="5"/>
      <c r="AC3335" s="5"/>
      <c r="AD3335" s="5"/>
      <c r="AE3335" s="5"/>
      <c r="AF3335" s="5"/>
      <c r="AG3335" s="9"/>
    </row>
    <row r="3336" spans="1:33">
      <c r="A3336" s="5"/>
      <c r="B3336" s="5"/>
      <c r="C3336" s="5"/>
      <c r="D3336" s="5"/>
      <c r="E3336" s="5"/>
      <c r="F3336" s="5"/>
      <c r="G3336" s="5"/>
      <c r="H3336" s="5"/>
      <c r="I3336" s="5"/>
      <c r="J3336" s="5"/>
      <c r="K3336" s="5"/>
      <c r="L3336" s="5"/>
      <c r="M3336" s="5"/>
      <c r="N3336" s="5"/>
      <c r="O3336" s="5"/>
      <c r="P3336" s="5"/>
      <c r="Q3336" s="5"/>
      <c r="R3336" s="5"/>
      <c r="S3336" s="5"/>
      <c r="T3336" s="5"/>
      <c r="U3336" s="5"/>
      <c r="V3336" s="5"/>
      <c r="W3336" s="5"/>
      <c r="X3336" s="5"/>
      <c r="Y3336" s="5"/>
      <c r="Z3336" s="5"/>
      <c r="AA3336" s="5"/>
      <c r="AB3336" s="5"/>
      <c r="AC3336" s="5"/>
      <c r="AD3336" s="5"/>
      <c r="AE3336" s="5"/>
      <c r="AF3336" s="5"/>
      <c r="AG3336" s="9"/>
    </row>
    <row r="3337" spans="1:33">
      <c r="A3337" s="5"/>
      <c r="B3337" s="5"/>
      <c r="C3337" s="5"/>
      <c r="D3337" s="5"/>
      <c r="E3337" s="5"/>
      <c r="F3337" s="5"/>
      <c r="G3337" s="5"/>
      <c r="H3337" s="5"/>
      <c r="I3337" s="5"/>
      <c r="J3337" s="5"/>
      <c r="K3337" s="5"/>
      <c r="L3337" s="5"/>
      <c r="M3337" s="5"/>
      <c r="N3337" s="5"/>
      <c r="O3337" s="5"/>
      <c r="P3337" s="5"/>
      <c r="Q3337" s="5"/>
      <c r="R3337" s="5"/>
      <c r="S3337" s="5"/>
      <c r="T3337" s="5"/>
      <c r="U3337" s="5"/>
      <c r="V3337" s="5"/>
      <c r="W3337" s="5"/>
      <c r="X3337" s="5"/>
      <c r="Y3337" s="5"/>
      <c r="Z3337" s="5"/>
      <c r="AA3337" s="5"/>
      <c r="AB3337" s="5"/>
      <c r="AC3337" s="5"/>
      <c r="AD3337" s="5"/>
      <c r="AE3337" s="5"/>
      <c r="AF3337" s="5"/>
      <c r="AG3337" s="9"/>
    </row>
    <row r="3338" spans="1:33">
      <c r="A3338" s="5"/>
      <c r="B3338" s="5"/>
      <c r="C3338" s="5"/>
      <c r="D3338" s="5"/>
      <c r="E3338" s="5"/>
      <c r="F3338" s="5"/>
      <c r="G3338" s="5"/>
      <c r="H3338" s="5"/>
      <c r="I3338" s="5"/>
      <c r="J3338" s="5"/>
      <c r="K3338" s="5"/>
      <c r="L3338" s="5"/>
      <c r="M3338" s="5"/>
      <c r="N3338" s="5"/>
      <c r="O3338" s="5"/>
      <c r="P3338" s="5"/>
      <c r="Q3338" s="5"/>
      <c r="R3338" s="5"/>
      <c r="S3338" s="5"/>
      <c r="T3338" s="5"/>
      <c r="U3338" s="5"/>
      <c r="V3338" s="5"/>
      <c r="W3338" s="5"/>
      <c r="X3338" s="5"/>
      <c r="Y3338" s="5"/>
      <c r="Z3338" s="5"/>
      <c r="AA3338" s="5"/>
      <c r="AB3338" s="5"/>
      <c r="AC3338" s="5"/>
      <c r="AD3338" s="5"/>
      <c r="AE3338" s="5"/>
      <c r="AF3338" s="5"/>
      <c r="AG3338" s="9"/>
    </row>
    <row r="3339" spans="1:33">
      <c r="A3339" s="5"/>
      <c r="B3339" s="5"/>
      <c r="C3339" s="5"/>
      <c r="D3339" s="5"/>
      <c r="E3339" s="5"/>
      <c r="F3339" s="5"/>
      <c r="G3339" s="5"/>
      <c r="H3339" s="5"/>
      <c r="I3339" s="5"/>
      <c r="J3339" s="5"/>
      <c r="K3339" s="5"/>
      <c r="L3339" s="5"/>
      <c r="M3339" s="5"/>
      <c r="N3339" s="5"/>
      <c r="O3339" s="5"/>
      <c r="P3339" s="5"/>
      <c r="Q3339" s="5"/>
      <c r="R3339" s="5"/>
      <c r="S3339" s="5"/>
      <c r="T3339" s="5"/>
      <c r="U3339" s="5"/>
      <c r="V3339" s="5"/>
      <c r="W3339" s="5"/>
      <c r="X3339" s="5"/>
      <c r="Y3339" s="5"/>
      <c r="Z3339" s="5"/>
      <c r="AA3339" s="5"/>
      <c r="AB3339" s="5"/>
      <c r="AC3339" s="5"/>
      <c r="AD3339" s="5"/>
      <c r="AE3339" s="5"/>
      <c r="AF3339" s="5"/>
      <c r="AG3339" s="9"/>
    </row>
    <row r="3340" spans="1:33">
      <c r="A3340" s="5"/>
      <c r="B3340" s="5"/>
      <c r="C3340" s="5"/>
      <c r="D3340" s="5"/>
      <c r="E3340" s="5"/>
      <c r="F3340" s="5"/>
      <c r="G3340" s="5"/>
      <c r="H3340" s="5"/>
      <c r="I3340" s="5"/>
      <c r="J3340" s="5"/>
      <c r="K3340" s="5"/>
      <c r="L3340" s="5"/>
      <c r="M3340" s="5"/>
      <c r="N3340" s="5"/>
      <c r="O3340" s="5"/>
      <c r="P3340" s="5"/>
      <c r="Q3340" s="5"/>
      <c r="R3340" s="5"/>
      <c r="S3340" s="5"/>
      <c r="T3340" s="5"/>
      <c r="U3340" s="5"/>
      <c r="V3340" s="5"/>
      <c r="W3340" s="5"/>
      <c r="X3340" s="5"/>
      <c r="Y3340" s="5"/>
      <c r="Z3340" s="5"/>
      <c r="AA3340" s="5"/>
      <c r="AB3340" s="5"/>
      <c r="AC3340" s="5"/>
      <c r="AD3340" s="5"/>
      <c r="AE3340" s="5"/>
      <c r="AF3340" s="5"/>
      <c r="AG3340" s="9"/>
    </row>
    <row r="3341" spans="1:33">
      <c r="A3341" s="5"/>
      <c r="B3341" s="5"/>
      <c r="C3341" s="5"/>
      <c r="D3341" s="5"/>
      <c r="E3341" s="5"/>
      <c r="F3341" s="5"/>
      <c r="G3341" s="5"/>
      <c r="H3341" s="5"/>
      <c r="I3341" s="5"/>
      <c r="J3341" s="5"/>
      <c r="K3341" s="5"/>
      <c r="L3341" s="5"/>
      <c r="M3341" s="5"/>
      <c r="N3341" s="5"/>
      <c r="O3341" s="5"/>
      <c r="P3341" s="5"/>
      <c r="Q3341" s="5"/>
      <c r="R3341" s="5"/>
      <c r="S3341" s="5"/>
      <c r="T3341" s="5"/>
      <c r="U3341" s="5"/>
      <c r="V3341" s="5"/>
      <c r="W3341" s="5"/>
      <c r="X3341" s="5"/>
      <c r="Y3341" s="5"/>
      <c r="Z3341" s="5"/>
      <c r="AA3341" s="5"/>
      <c r="AB3341" s="5"/>
      <c r="AC3341" s="5"/>
      <c r="AD3341" s="5"/>
      <c r="AE3341" s="5"/>
      <c r="AF3341" s="5"/>
      <c r="AG3341" s="9"/>
    </row>
    <row r="3342" spans="1:33">
      <c r="A3342" s="5"/>
      <c r="B3342" s="5"/>
      <c r="C3342" s="5"/>
      <c r="D3342" s="5"/>
      <c r="E3342" s="5"/>
      <c r="F3342" s="5"/>
      <c r="G3342" s="5"/>
      <c r="H3342" s="5"/>
      <c r="I3342" s="5"/>
      <c r="J3342" s="5"/>
      <c r="K3342" s="5"/>
      <c r="L3342" s="5"/>
      <c r="M3342" s="5"/>
      <c r="N3342" s="5"/>
      <c r="O3342" s="5"/>
      <c r="P3342" s="5"/>
      <c r="Q3342" s="5"/>
      <c r="R3342" s="5"/>
      <c r="S3342" s="5"/>
      <c r="T3342" s="5"/>
      <c r="U3342" s="5"/>
      <c r="V3342" s="5"/>
      <c r="W3342" s="5"/>
      <c r="X3342" s="5"/>
      <c r="Y3342" s="5"/>
      <c r="Z3342" s="5"/>
      <c r="AA3342" s="5"/>
      <c r="AB3342" s="5"/>
      <c r="AC3342" s="5"/>
      <c r="AD3342" s="5"/>
      <c r="AE3342" s="5"/>
      <c r="AF3342" s="5"/>
      <c r="AG3342" s="9"/>
    </row>
    <row r="3343" spans="1:33">
      <c r="A3343" s="5"/>
      <c r="B3343" s="5"/>
      <c r="C3343" s="5"/>
      <c r="D3343" s="5"/>
      <c r="E3343" s="5"/>
      <c r="F3343" s="5"/>
      <c r="G3343" s="5"/>
      <c r="H3343" s="5"/>
      <c r="I3343" s="5"/>
      <c r="J3343" s="5"/>
      <c r="K3343" s="5"/>
      <c r="L3343" s="5"/>
      <c r="M3343" s="5"/>
      <c r="N3343" s="5"/>
      <c r="O3343" s="5"/>
      <c r="P3343" s="5"/>
      <c r="Q3343" s="5"/>
      <c r="R3343" s="5"/>
      <c r="S3343" s="5"/>
      <c r="T3343" s="5"/>
      <c r="U3343" s="5"/>
      <c r="V3343" s="5"/>
      <c r="W3343" s="5"/>
      <c r="X3343" s="5"/>
      <c r="Y3343" s="5"/>
      <c r="Z3343" s="5"/>
      <c r="AA3343" s="5"/>
      <c r="AB3343" s="5"/>
      <c r="AC3343" s="5"/>
      <c r="AD3343" s="5"/>
      <c r="AE3343" s="5"/>
      <c r="AF3343" s="5"/>
      <c r="AG3343" s="9"/>
    </row>
    <row r="3344" spans="1:33">
      <c r="A3344" s="5"/>
      <c r="B3344" s="5"/>
      <c r="C3344" s="5"/>
      <c r="D3344" s="5"/>
      <c r="E3344" s="5"/>
      <c r="F3344" s="5"/>
      <c r="G3344" s="5"/>
      <c r="H3344" s="5"/>
      <c r="I3344" s="5"/>
      <c r="J3344" s="5"/>
      <c r="K3344" s="5"/>
      <c r="L3344" s="5"/>
      <c r="M3344" s="5"/>
      <c r="N3344" s="5"/>
      <c r="O3344" s="5"/>
      <c r="P3344" s="5"/>
      <c r="Q3344" s="5"/>
      <c r="R3344" s="5"/>
      <c r="S3344" s="5"/>
      <c r="T3344" s="5"/>
      <c r="U3344" s="5"/>
      <c r="V3344" s="5"/>
      <c r="W3344" s="5"/>
      <c r="X3344" s="5"/>
      <c r="Y3344" s="5"/>
      <c r="Z3344" s="5"/>
      <c r="AA3344" s="5"/>
      <c r="AB3344" s="5"/>
      <c r="AC3344" s="5"/>
      <c r="AD3344" s="5"/>
      <c r="AE3344" s="5"/>
      <c r="AF3344" s="5"/>
      <c r="AG3344" s="9"/>
    </row>
    <row r="3345" spans="1:33">
      <c r="A3345" s="5"/>
      <c r="B3345" s="5"/>
      <c r="C3345" s="5"/>
      <c r="D3345" s="5"/>
      <c r="E3345" s="5"/>
      <c r="F3345" s="5"/>
      <c r="G3345" s="5"/>
      <c r="H3345" s="5"/>
      <c r="I3345" s="5"/>
      <c r="J3345" s="5"/>
      <c r="K3345" s="5"/>
      <c r="L3345" s="5"/>
      <c r="M3345" s="5"/>
      <c r="N3345" s="5"/>
      <c r="O3345" s="5"/>
      <c r="P3345" s="5"/>
      <c r="Q3345" s="5"/>
      <c r="R3345" s="5"/>
      <c r="S3345" s="5"/>
      <c r="T3345" s="5"/>
      <c r="U3345" s="5"/>
      <c r="V3345" s="5"/>
      <c r="W3345" s="5"/>
      <c r="X3345" s="5"/>
      <c r="Y3345" s="5"/>
      <c r="Z3345" s="5"/>
      <c r="AA3345" s="5"/>
      <c r="AB3345" s="5"/>
      <c r="AC3345" s="5"/>
      <c r="AD3345" s="5"/>
      <c r="AE3345" s="5"/>
      <c r="AF3345" s="5"/>
      <c r="AG3345" s="9"/>
    </row>
    <row r="3346" spans="1:33">
      <c r="A3346" s="5"/>
      <c r="B3346" s="5"/>
      <c r="C3346" s="5"/>
      <c r="D3346" s="5"/>
      <c r="E3346" s="5"/>
      <c r="F3346" s="5"/>
      <c r="G3346" s="5"/>
      <c r="H3346" s="5"/>
      <c r="I3346" s="5"/>
      <c r="J3346" s="5"/>
      <c r="K3346" s="5"/>
      <c r="L3346" s="5"/>
      <c r="M3346" s="5"/>
      <c r="N3346" s="5"/>
      <c r="O3346" s="5"/>
      <c r="P3346" s="5"/>
      <c r="Q3346" s="5"/>
      <c r="R3346" s="5"/>
      <c r="S3346" s="5"/>
      <c r="T3346" s="5"/>
      <c r="U3346" s="5"/>
      <c r="V3346" s="5"/>
      <c r="W3346" s="5"/>
      <c r="X3346" s="5"/>
      <c r="Y3346" s="5"/>
      <c r="Z3346" s="5"/>
      <c r="AA3346" s="5"/>
      <c r="AB3346" s="5"/>
      <c r="AC3346" s="5"/>
      <c r="AD3346" s="5"/>
      <c r="AE3346" s="5"/>
      <c r="AF3346" s="5"/>
      <c r="AG3346" s="9"/>
    </row>
    <row r="3347" spans="1:33">
      <c r="A3347" s="5"/>
      <c r="B3347" s="5"/>
      <c r="C3347" s="5"/>
      <c r="D3347" s="5"/>
      <c r="E3347" s="5"/>
      <c r="F3347" s="5"/>
      <c r="G3347" s="5"/>
      <c r="H3347" s="5"/>
      <c r="I3347" s="5"/>
      <c r="J3347" s="5"/>
      <c r="K3347" s="5"/>
      <c r="L3347" s="5"/>
      <c r="M3347" s="5"/>
      <c r="N3347" s="5"/>
      <c r="O3347" s="5"/>
      <c r="P3347" s="5"/>
      <c r="Q3347" s="5"/>
      <c r="R3347" s="5"/>
      <c r="S3347" s="5"/>
      <c r="T3347" s="5"/>
      <c r="U3347" s="5"/>
      <c r="V3347" s="5"/>
      <c r="W3347" s="5"/>
      <c r="X3347" s="5"/>
      <c r="Y3347" s="5"/>
      <c r="Z3347" s="5"/>
      <c r="AA3347" s="5"/>
      <c r="AB3347" s="5"/>
      <c r="AC3347" s="5"/>
      <c r="AD3347" s="5"/>
      <c r="AE3347" s="5"/>
      <c r="AF3347" s="5"/>
      <c r="AG3347" s="9"/>
    </row>
    <row r="3348" spans="1:33">
      <c r="A3348" s="5"/>
      <c r="B3348" s="5"/>
      <c r="C3348" s="5"/>
      <c r="D3348" s="5"/>
      <c r="E3348" s="5"/>
      <c r="F3348" s="5"/>
      <c r="G3348" s="5"/>
      <c r="H3348" s="5"/>
      <c r="I3348" s="5"/>
      <c r="J3348" s="5"/>
      <c r="K3348" s="5"/>
      <c r="L3348" s="5"/>
      <c r="M3348" s="5"/>
      <c r="N3348" s="5"/>
      <c r="O3348" s="5"/>
      <c r="P3348" s="5"/>
      <c r="Q3348" s="5"/>
      <c r="R3348" s="5"/>
      <c r="S3348" s="5"/>
      <c r="T3348" s="5"/>
      <c r="U3348" s="5"/>
      <c r="V3348" s="5"/>
      <c r="W3348" s="5"/>
      <c r="X3348" s="5"/>
      <c r="Y3348" s="5"/>
      <c r="Z3348" s="5"/>
      <c r="AA3348" s="5"/>
      <c r="AB3348" s="5"/>
      <c r="AC3348" s="5"/>
      <c r="AD3348" s="5"/>
      <c r="AE3348" s="5"/>
      <c r="AF3348" s="5"/>
      <c r="AG3348" s="9"/>
    </row>
    <row r="3349" spans="1:33">
      <c r="A3349" s="5"/>
      <c r="B3349" s="5"/>
      <c r="C3349" s="5"/>
      <c r="D3349" s="5"/>
      <c r="E3349" s="5"/>
      <c r="F3349" s="5"/>
      <c r="G3349" s="5"/>
      <c r="H3349" s="5"/>
      <c r="I3349" s="5"/>
      <c r="J3349" s="5"/>
      <c r="K3349" s="5"/>
      <c r="L3349" s="5"/>
      <c r="M3349" s="5"/>
      <c r="N3349" s="5"/>
      <c r="O3349" s="5"/>
      <c r="P3349" s="5"/>
      <c r="Q3349" s="5"/>
      <c r="R3349" s="5"/>
      <c r="S3349" s="5"/>
      <c r="T3349" s="5"/>
      <c r="U3349" s="5"/>
      <c r="V3349" s="5"/>
      <c r="W3349" s="5"/>
      <c r="X3349" s="5"/>
      <c r="Y3349" s="5"/>
      <c r="Z3349" s="5"/>
      <c r="AA3349" s="5"/>
      <c r="AB3349" s="5"/>
      <c r="AC3349" s="5"/>
      <c r="AD3349" s="5"/>
      <c r="AE3349" s="5"/>
      <c r="AF3349" s="5"/>
      <c r="AG3349" s="9"/>
    </row>
    <row r="3350" spans="1:33">
      <c r="A3350" s="5"/>
      <c r="B3350" s="5"/>
      <c r="C3350" s="5"/>
      <c r="D3350" s="5"/>
      <c r="E3350" s="5"/>
      <c r="F3350" s="5"/>
      <c r="G3350" s="5"/>
      <c r="H3350" s="5"/>
      <c r="I3350" s="5"/>
      <c r="J3350" s="5"/>
      <c r="K3350" s="5"/>
      <c r="L3350" s="5"/>
      <c r="M3350" s="5"/>
      <c r="N3350" s="5"/>
      <c r="O3350" s="5"/>
      <c r="P3350" s="5"/>
      <c r="Q3350" s="5"/>
      <c r="R3350" s="5"/>
      <c r="S3350" s="5"/>
      <c r="T3350" s="5"/>
      <c r="U3350" s="5"/>
      <c r="V3350" s="5"/>
      <c r="W3350" s="5"/>
      <c r="X3350" s="5"/>
      <c r="Y3350" s="5"/>
      <c r="Z3350" s="5"/>
      <c r="AA3350" s="5"/>
      <c r="AB3350" s="5"/>
      <c r="AC3350" s="5"/>
      <c r="AD3350" s="5"/>
      <c r="AE3350" s="5"/>
      <c r="AF3350" s="5"/>
      <c r="AG3350" s="9"/>
    </row>
    <row r="3351" spans="1:33">
      <c r="A3351" s="5"/>
      <c r="B3351" s="5"/>
      <c r="C3351" s="5"/>
      <c r="D3351" s="5"/>
      <c r="E3351" s="5"/>
      <c r="F3351" s="5"/>
      <c r="G3351" s="5"/>
      <c r="H3351" s="5"/>
      <c r="I3351" s="5"/>
      <c r="J3351" s="5"/>
      <c r="K3351" s="5"/>
      <c r="L3351" s="5"/>
      <c r="M3351" s="5"/>
      <c r="N3351" s="5"/>
      <c r="O3351" s="5"/>
      <c r="P3351" s="5"/>
      <c r="Q3351" s="5"/>
      <c r="R3351" s="5"/>
      <c r="S3351" s="5"/>
      <c r="T3351" s="5"/>
      <c r="U3351" s="5"/>
      <c r="V3351" s="5"/>
      <c r="W3351" s="5"/>
      <c r="X3351" s="5"/>
      <c r="Y3351" s="5"/>
      <c r="Z3351" s="5"/>
      <c r="AA3351" s="5"/>
      <c r="AB3351" s="5"/>
      <c r="AC3351" s="5"/>
      <c r="AD3351" s="5"/>
      <c r="AE3351" s="5"/>
      <c r="AF3351" s="5"/>
      <c r="AG3351" s="9"/>
    </row>
    <row r="3352" spans="1:33">
      <c r="A3352" s="5"/>
      <c r="B3352" s="5"/>
      <c r="C3352" s="5"/>
      <c r="D3352" s="5"/>
      <c r="E3352" s="5"/>
      <c r="F3352" s="5"/>
      <c r="G3352" s="5"/>
      <c r="H3352" s="5"/>
      <c r="I3352" s="5"/>
      <c r="J3352" s="5"/>
      <c r="K3352" s="5"/>
      <c r="L3352" s="5"/>
      <c r="M3352" s="5"/>
      <c r="N3352" s="5"/>
      <c r="O3352" s="5"/>
      <c r="P3352" s="5"/>
      <c r="Q3352" s="5"/>
      <c r="R3352" s="5"/>
      <c r="S3352" s="5"/>
      <c r="T3352" s="5"/>
      <c r="U3352" s="5"/>
      <c r="V3352" s="5"/>
      <c r="W3352" s="5"/>
      <c r="X3352" s="5"/>
      <c r="Y3352" s="5"/>
      <c r="Z3352" s="5"/>
      <c r="AA3352" s="5"/>
      <c r="AB3352" s="5"/>
      <c r="AC3352" s="5"/>
      <c r="AD3352" s="5"/>
      <c r="AE3352" s="5"/>
      <c r="AF3352" s="5"/>
      <c r="AG3352" s="9"/>
    </row>
    <row r="3353" spans="1:33">
      <c r="A3353" s="5"/>
      <c r="B3353" s="5"/>
      <c r="C3353" s="5"/>
      <c r="D3353" s="5"/>
      <c r="E3353" s="5"/>
      <c r="F3353" s="5"/>
      <c r="G3353" s="5"/>
      <c r="H3353" s="5"/>
      <c r="I3353" s="5"/>
      <c r="J3353" s="5"/>
      <c r="K3353" s="5"/>
      <c r="L3353" s="5"/>
      <c r="M3353" s="5"/>
      <c r="N3353" s="5"/>
      <c r="O3353" s="5"/>
      <c r="P3353" s="5"/>
      <c r="Q3353" s="5"/>
      <c r="R3353" s="5"/>
      <c r="S3353" s="5"/>
      <c r="T3353" s="5"/>
      <c r="U3353" s="5"/>
      <c r="V3353" s="5"/>
      <c r="W3353" s="5"/>
      <c r="X3353" s="5"/>
      <c r="Y3353" s="5"/>
      <c r="Z3353" s="5"/>
      <c r="AA3353" s="5"/>
      <c r="AB3353" s="5"/>
      <c r="AC3353" s="5"/>
      <c r="AD3353" s="5"/>
      <c r="AE3353" s="5"/>
      <c r="AF3353" s="5"/>
      <c r="AG3353" s="9"/>
    </row>
    <row r="3354" spans="1:33">
      <c r="A3354" s="5"/>
      <c r="B3354" s="5"/>
      <c r="C3354" s="5"/>
      <c r="D3354" s="5"/>
      <c r="E3354" s="5"/>
      <c r="F3354" s="5"/>
      <c r="G3354" s="5"/>
      <c r="H3354" s="5"/>
      <c r="I3354" s="5"/>
      <c r="J3354" s="5"/>
      <c r="K3354" s="5"/>
      <c r="L3354" s="5"/>
      <c r="M3354" s="5"/>
      <c r="N3354" s="5"/>
      <c r="O3354" s="5"/>
      <c r="P3354" s="5"/>
      <c r="Q3354" s="5"/>
      <c r="R3354" s="5"/>
      <c r="S3354" s="5"/>
      <c r="T3354" s="5"/>
      <c r="U3354" s="5"/>
      <c r="V3354" s="5"/>
      <c r="W3354" s="5"/>
      <c r="X3354" s="5"/>
      <c r="Y3354" s="5"/>
      <c r="Z3354" s="5"/>
      <c r="AA3354" s="5"/>
      <c r="AB3354" s="5"/>
      <c r="AC3354" s="5"/>
      <c r="AD3354" s="5"/>
      <c r="AE3354" s="5"/>
      <c r="AF3354" s="5"/>
      <c r="AG3354" s="9"/>
    </row>
    <row r="3355" spans="1:33">
      <c r="A3355" s="5"/>
      <c r="B3355" s="5"/>
      <c r="C3355" s="5"/>
      <c r="D3355" s="5"/>
      <c r="E3355" s="5"/>
      <c r="F3355" s="5"/>
      <c r="G3355" s="5"/>
      <c r="H3355" s="5"/>
      <c r="I3355" s="5"/>
      <c r="J3355" s="5"/>
      <c r="K3355" s="5"/>
      <c r="L3355" s="5"/>
      <c r="M3355" s="5"/>
      <c r="N3355" s="5"/>
      <c r="O3355" s="5"/>
      <c r="P3355" s="5"/>
      <c r="Q3355" s="5"/>
      <c r="R3355" s="5"/>
      <c r="S3355" s="5"/>
      <c r="T3355" s="5"/>
      <c r="U3355" s="5"/>
      <c r="V3355" s="5"/>
      <c r="W3355" s="5"/>
      <c r="X3355" s="5"/>
      <c r="Y3355" s="5"/>
      <c r="Z3355" s="5"/>
      <c r="AA3355" s="5"/>
      <c r="AB3355" s="5"/>
      <c r="AC3355" s="5"/>
      <c r="AD3355" s="5"/>
      <c r="AE3355" s="5"/>
      <c r="AF3355" s="5"/>
      <c r="AG3355" s="9"/>
    </row>
    <row r="3356" spans="1:33">
      <c r="A3356" s="5"/>
      <c r="B3356" s="5"/>
      <c r="C3356" s="5"/>
      <c r="D3356" s="5"/>
      <c r="E3356" s="5"/>
      <c r="F3356" s="5"/>
      <c r="G3356" s="5"/>
      <c r="H3356" s="5"/>
      <c r="I3356" s="5"/>
      <c r="J3356" s="5"/>
      <c r="K3356" s="5"/>
      <c r="L3356" s="5"/>
      <c r="M3356" s="5"/>
      <c r="N3356" s="5"/>
      <c r="O3356" s="5"/>
      <c r="P3356" s="5"/>
      <c r="Q3356" s="5"/>
      <c r="R3356" s="5"/>
      <c r="S3356" s="5"/>
      <c r="T3356" s="5"/>
      <c r="U3356" s="5"/>
      <c r="V3356" s="5"/>
      <c r="W3356" s="5"/>
      <c r="X3356" s="5"/>
      <c r="Y3356" s="5"/>
      <c r="Z3356" s="5"/>
      <c r="AA3356" s="5"/>
      <c r="AB3356" s="5"/>
      <c r="AC3356" s="5"/>
      <c r="AD3356" s="5"/>
      <c r="AE3356" s="5"/>
      <c r="AF3356" s="5"/>
      <c r="AG3356" s="9"/>
    </row>
    <row r="3357" spans="1:33">
      <c r="A3357" s="5"/>
      <c r="B3357" s="5"/>
      <c r="C3357" s="5"/>
      <c r="D3357" s="5"/>
      <c r="E3357" s="5"/>
      <c r="F3357" s="5"/>
      <c r="G3357" s="5"/>
      <c r="H3357" s="5"/>
      <c r="I3357" s="5"/>
      <c r="J3357" s="5"/>
      <c r="K3357" s="5"/>
      <c r="L3357" s="5"/>
      <c r="M3357" s="5"/>
      <c r="N3357" s="5"/>
      <c r="O3357" s="5"/>
      <c r="P3357" s="5"/>
      <c r="Q3357" s="5"/>
      <c r="R3357" s="5"/>
      <c r="S3357" s="5"/>
      <c r="T3357" s="5"/>
      <c r="U3357" s="5"/>
      <c r="V3357" s="5"/>
      <c r="W3357" s="5"/>
      <c r="X3357" s="5"/>
      <c r="Y3357" s="5"/>
      <c r="Z3357" s="5"/>
      <c r="AA3357" s="5"/>
      <c r="AB3357" s="5"/>
      <c r="AC3357" s="5"/>
      <c r="AD3357" s="5"/>
      <c r="AE3357" s="5"/>
      <c r="AF3357" s="5"/>
      <c r="AG3357" s="9"/>
    </row>
    <row r="3358" spans="1:33">
      <c r="A3358" s="5"/>
      <c r="B3358" s="5"/>
      <c r="C3358" s="5"/>
      <c r="D3358" s="5"/>
      <c r="E3358" s="5"/>
      <c r="F3358" s="5"/>
      <c r="G3358" s="5"/>
      <c r="H3358" s="5"/>
      <c r="I3358" s="5"/>
      <c r="J3358" s="5"/>
      <c r="K3358" s="5"/>
      <c r="L3358" s="5"/>
      <c r="M3358" s="5"/>
      <c r="N3358" s="5"/>
      <c r="O3358" s="5"/>
      <c r="P3358" s="5"/>
      <c r="Q3358" s="5"/>
      <c r="R3358" s="5"/>
      <c r="S3358" s="5"/>
      <c r="T3358" s="5"/>
      <c r="U3358" s="5"/>
      <c r="V3358" s="5"/>
      <c r="W3358" s="5"/>
      <c r="X3358" s="5"/>
      <c r="Y3358" s="5"/>
      <c r="Z3358" s="5"/>
      <c r="AA3358" s="5"/>
      <c r="AB3358" s="5"/>
      <c r="AC3358" s="5"/>
      <c r="AD3358" s="5"/>
      <c r="AE3358" s="5"/>
      <c r="AF3358" s="5"/>
      <c r="AG3358" s="9"/>
    </row>
    <row r="3359" spans="1:33">
      <c r="A3359" s="5"/>
      <c r="B3359" s="5"/>
      <c r="C3359" s="5"/>
      <c r="D3359" s="5"/>
      <c r="E3359" s="5"/>
      <c r="F3359" s="5"/>
      <c r="G3359" s="5"/>
      <c r="H3359" s="5"/>
      <c r="I3359" s="5"/>
      <c r="J3359" s="5"/>
      <c r="K3359" s="5"/>
      <c r="L3359" s="5"/>
      <c r="M3359" s="5"/>
      <c r="N3359" s="5"/>
      <c r="O3359" s="5"/>
      <c r="P3359" s="5"/>
      <c r="Q3359" s="5"/>
      <c r="R3359" s="5"/>
      <c r="S3359" s="5"/>
      <c r="T3359" s="5"/>
      <c r="U3359" s="5"/>
      <c r="V3359" s="5"/>
      <c r="W3359" s="5"/>
      <c r="X3359" s="5"/>
      <c r="Y3359" s="5"/>
      <c r="Z3359" s="5"/>
      <c r="AA3359" s="5"/>
      <c r="AB3359" s="5"/>
      <c r="AC3359" s="5"/>
      <c r="AD3359" s="5"/>
      <c r="AE3359" s="5"/>
      <c r="AF3359" s="5"/>
      <c r="AG3359" s="9"/>
    </row>
    <row r="3360" spans="1:33">
      <c r="A3360" s="5"/>
      <c r="B3360" s="5"/>
      <c r="C3360" s="5"/>
      <c r="D3360" s="5"/>
      <c r="E3360" s="5"/>
      <c r="F3360" s="5"/>
      <c r="G3360" s="5"/>
      <c r="H3360" s="5"/>
      <c r="I3360" s="5"/>
      <c r="J3360" s="5"/>
      <c r="K3360" s="5"/>
      <c r="L3360" s="5"/>
      <c r="M3360" s="5"/>
      <c r="N3360" s="5"/>
      <c r="O3360" s="5"/>
      <c r="P3360" s="5"/>
      <c r="Q3360" s="5"/>
      <c r="R3360" s="5"/>
      <c r="S3360" s="5"/>
      <c r="T3360" s="5"/>
      <c r="U3360" s="5"/>
      <c r="V3360" s="5"/>
      <c r="W3360" s="5"/>
      <c r="X3360" s="5"/>
      <c r="Y3360" s="5"/>
      <c r="Z3360" s="5"/>
      <c r="AA3360" s="5"/>
      <c r="AB3360" s="5"/>
      <c r="AC3360" s="5"/>
      <c r="AD3360" s="5"/>
      <c r="AE3360" s="5"/>
      <c r="AF3360" s="5"/>
      <c r="AG3360" s="9"/>
    </row>
    <row r="3361" spans="1:33">
      <c r="A3361" s="5"/>
      <c r="B3361" s="5"/>
      <c r="C3361" s="5"/>
      <c r="D3361" s="5"/>
      <c r="E3361" s="5"/>
      <c r="F3361" s="5"/>
      <c r="G3361" s="5"/>
      <c r="H3361" s="5"/>
      <c r="I3361" s="5"/>
      <c r="J3361" s="5"/>
      <c r="K3361" s="5"/>
      <c r="L3361" s="5"/>
      <c r="M3361" s="5"/>
      <c r="N3361" s="5"/>
      <c r="O3361" s="5"/>
      <c r="P3361" s="5"/>
      <c r="Q3361" s="5"/>
      <c r="R3361" s="5"/>
      <c r="S3361" s="5"/>
      <c r="T3361" s="5"/>
      <c r="U3361" s="5"/>
      <c r="V3361" s="5"/>
      <c r="W3361" s="5"/>
      <c r="X3361" s="5"/>
      <c r="Y3361" s="5"/>
      <c r="Z3361" s="5"/>
      <c r="AA3361" s="5"/>
      <c r="AB3361" s="5"/>
      <c r="AC3361" s="5"/>
      <c r="AD3361" s="5"/>
      <c r="AE3361" s="5"/>
      <c r="AF3361" s="5"/>
      <c r="AG3361" s="9"/>
    </row>
    <row r="3362" spans="1:33">
      <c r="A3362" s="5"/>
      <c r="B3362" s="5"/>
      <c r="C3362" s="5"/>
      <c r="D3362" s="5"/>
      <c r="E3362" s="5"/>
      <c r="F3362" s="5"/>
      <c r="G3362" s="5"/>
      <c r="H3362" s="5"/>
      <c r="I3362" s="5"/>
      <c r="J3362" s="5"/>
      <c r="K3362" s="5"/>
      <c r="L3362" s="5"/>
      <c r="M3362" s="5"/>
      <c r="N3362" s="5"/>
      <c r="O3362" s="5"/>
      <c r="P3362" s="5"/>
      <c r="Q3362" s="5"/>
      <c r="R3362" s="5"/>
      <c r="S3362" s="5"/>
      <c r="T3362" s="5"/>
      <c r="U3362" s="5"/>
      <c r="V3362" s="5"/>
      <c r="W3362" s="5"/>
      <c r="X3362" s="5"/>
      <c r="Y3362" s="5"/>
      <c r="Z3362" s="5"/>
      <c r="AA3362" s="5"/>
      <c r="AB3362" s="5"/>
      <c r="AC3362" s="5"/>
      <c r="AD3362" s="5"/>
      <c r="AE3362" s="5"/>
      <c r="AF3362" s="5"/>
      <c r="AG3362" s="9"/>
    </row>
    <row r="3363" spans="1:33">
      <c r="A3363" s="5"/>
      <c r="B3363" s="5"/>
      <c r="C3363" s="5"/>
      <c r="D3363" s="5"/>
      <c r="E3363" s="5"/>
      <c r="F3363" s="5"/>
      <c r="G3363" s="5"/>
      <c r="H3363" s="5"/>
      <c r="I3363" s="5"/>
      <c r="J3363" s="5"/>
      <c r="K3363" s="5"/>
      <c r="L3363" s="5"/>
      <c r="M3363" s="5"/>
      <c r="N3363" s="5"/>
      <c r="O3363" s="5"/>
      <c r="P3363" s="5"/>
      <c r="Q3363" s="5"/>
      <c r="R3363" s="5"/>
      <c r="S3363" s="5"/>
      <c r="T3363" s="5"/>
      <c r="U3363" s="5"/>
      <c r="V3363" s="5"/>
      <c r="W3363" s="5"/>
      <c r="X3363" s="5"/>
      <c r="Y3363" s="5"/>
      <c r="Z3363" s="5"/>
      <c r="AA3363" s="5"/>
      <c r="AB3363" s="5"/>
      <c r="AC3363" s="5"/>
      <c r="AD3363" s="5"/>
      <c r="AE3363" s="5"/>
      <c r="AF3363" s="5"/>
      <c r="AG3363" s="9"/>
    </row>
    <row r="3364" spans="1:33">
      <c r="A3364" s="5"/>
      <c r="B3364" s="5"/>
      <c r="C3364" s="5"/>
      <c r="D3364" s="5"/>
      <c r="E3364" s="5"/>
      <c r="F3364" s="5"/>
      <c r="G3364" s="5"/>
      <c r="H3364" s="5"/>
      <c r="I3364" s="5"/>
      <c r="J3364" s="5"/>
      <c r="K3364" s="5"/>
      <c r="L3364" s="5"/>
      <c r="M3364" s="5"/>
      <c r="N3364" s="5"/>
      <c r="O3364" s="5"/>
      <c r="P3364" s="5"/>
      <c r="Q3364" s="5"/>
      <c r="R3364" s="5"/>
      <c r="S3364" s="5"/>
      <c r="T3364" s="5"/>
      <c r="U3364" s="5"/>
      <c r="V3364" s="5"/>
      <c r="W3364" s="5"/>
      <c r="X3364" s="5"/>
      <c r="Y3364" s="5"/>
      <c r="Z3364" s="5"/>
      <c r="AA3364" s="5"/>
      <c r="AB3364" s="5"/>
      <c r="AC3364" s="5"/>
      <c r="AD3364" s="5"/>
      <c r="AE3364" s="5"/>
      <c r="AF3364" s="5"/>
      <c r="AG3364" s="9"/>
    </row>
    <row r="3365" spans="1:33">
      <c r="A3365" s="5"/>
      <c r="B3365" s="5"/>
      <c r="C3365" s="5"/>
      <c r="D3365" s="5"/>
      <c r="E3365" s="5"/>
      <c r="F3365" s="5"/>
      <c r="G3365" s="5"/>
      <c r="H3365" s="5"/>
      <c r="I3365" s="5"/>
      <c r="J3365" s="5"/>
      <c r="K3365" s="5"/>
      <c r="L3365" s="5"/>
      <c r="M3365" s="5"/>
      <c r="N3365" s="5"/>
      <c r="O3365" s="5"/>
      <c r="P3365" s="5"/>
      <c r="Q3365" s="5"/>
      <c r="R3365" s="5"/>
      <c r="S3365" s="5"/>
      <c r="T3365" s="5"/>
      <c r="U3365" s="5"/>
      <c r="V3365" s="5"/>
      <c r="W3365" s="5"/>
      <c r="X3365" s="5"/>
      <c r="Y3365" s="5"/>
      <c r="Z3365" s="5"/>
      <c r="AA3365" s="5"/>
      <c r="AB3365" s="5"/>
      <c r="AC3365" s="5"/>
      <c r="AD3365" s="5"/>
      <c r="AE3365" s="5"/>
      <c r="AF3365" s="5"/>
      <c r="AG3365" s="9"/>
    </row>
    <row r="3366" spans="1:33">
      <c r="A3366" s="5"/>
      <c r="B3366" s="5"/>
      <c r="C3366" s="5"/>
      <c r="D3366" s="5"/>
      <c r="E3366" s="5"/>
      <c r="F3366" s="5"/>
      <c r="G3366" s="5"/>
      <c r="H3366" s="5"/>
      <c r="I3366" s="5"/>
      <c r="J3366" s="5"/>
      <c r="K3366" s="5"/>
      <c r="L3366" s="5"/>
      <c r="M3366" s="5"/>
      <c r="N3366" s="5"/>
      <c r="O3366" s="5"/>
      <c r="P3366" s="5"/>
      <c r="Q3366" s="5"/>
      <c r="R3366" s="5"/>
      <c r="S3366" s="5"/>
      <c r="T3366" s="5"/>
      <c r="U3366" s="5"/>
      <c r="V3366" s="5"/>
      <c r="W3366" s="5"/>
      <c r="X3366" s="5"/>
      <c r="Y3366" s="5"/>
      <c r="Z3366" s="5"/>
      <c r="AA3366" s="5"/>
      <c r="AB3366" s="5"/>
      <c r="AC3366" s="5"/>
      <c r="AD3366" s="5"/>
      <c r="AE3366" s="5"/>
      <c r="AF3366" s="5"/>
      <c r="AG3366" s="9"/>
    </row>
    <row r="3367" spans="1:33">
      <c r="A3367" s="5"/>
      <c r="B3367" s="5"/>
      <c r="C3367" s="5"/>
      <c r="D3367" s="5"/>
      <c r="E3367" s="5"/>
      <c r="F3367" s="5"/>
      <c r="G3367" s="5"/>
      <c r="H3367" s="5"/>
      <c r="I3367" s="5"/>
      <c r="J3367" s="5"/>
      <c r="K3367" s="5"/>
      <c r="L3367" s="5"/>
      <c r="M3367" s="5"/>
      <c r="N3367" s="5"/>
      <c r="O3367" s="5"/>
      <c r="P3367" s="5"/>
      <c r="Q3367" s="5"/>
      <c r="R3367" s="5"/>
      <c r="S3367" s="5"/>
      <c r="T3367" s="5"/>
      <c r="U3367" s="5"/>
      <c r="V3367" s="5"/>
      <c r="W3367" s="5"/>
      <c r="X3367" s="5"/>
      <c r="Y3367" s="5"/>
      <c r="Z3367" s="5"/>
      <c r="AA3367" s="5"/>
      <c r="AB3367" s="5"/>
      <c r="AC3367" s="5"/>
      <c r="AD3367" s="5"/>
      <c r="AE3367" s="5"/>
      <c r="AF3367" s="5"/>
      <c r="AG3367" s="9"/>
    </row>
    <row r="3368" spans="1:33">
      <c r="A3368" s="5"/>
      <c r="B3368" s="5"/>
      <c r="C3368" s="5"/>
      <c r="D3368" s="5"/>
      <c r="E3368" s="5"/>
      <c r="F3368" s="5"/>
      <c r="G3368" s="5"/>
      <c r="H3368" s="5"/>
      <c r="I3368" s="5"/>
      <c r="J3368" s="5"/>
      <c r="K3368" s="5"/>
      <c r="L3368" s="5"/>
      <c r="M3368" s="5"/>
      <c r="N3368" s="5"/>
      <c r="O3368" s="5"/>
      <c r="P3368" s="5"/>
      <c r="Q3368" s="5"/>
      <c r="R3368" s="5"/>
      <c r="S3368" s="5"/>
      <c r="T3368" s="5"/>
      <c r="U3368" s="5"/>
      <c r="V3368" s="5"/>
      <c r="W3368" s="5"/>
      <c r="X3368" s="5"/>
      <c r="Y3368" s="5"/>
      <c r="Z3368" s="5"/>
      <c r="AA3368" s="5"/>
      <c r="AB3368" s="5"/>
      <c r="AC3368" s="5"/>
      <c r="AD3368" s="5"/>
      <c r="AE3368" s="5"/>
      <c r="AF3368" s="5"/>
      <c r="AG3368" s="9"/>
    </row>
    <row r="3369" spans="1:33">
      <c r="A3369" s="5"/>
      <c r="B3369" s="5"/>
      <c r="C3369" s="5"/>
      <c r="D3369" s="5"/>
      <c r="E3369" s="5"/>
      <c r="F3369" s="5"/>
      <c r="G3369" s="5"/>
      <c r="H3369" s="5"/>
      <c r="I3369" s="5"/>
      <c r="J3369" s="5"/>
      <c r="K3369" s="5"/>
      <c r="L3369" s="5"/>
      <c r="M3369" s="5"/>
      <c r="N3369" s="5"/>
      <c r="O3369" s="5"/>
      <c r="P3369" s="5"/>
      <c r="Q3369" s="5"/>
      <c r="R3369" s="5"/>
      <c r="S3369" s="5"/>
      <c r="T3369" s="5"/>
      <c r="U3369" s="5"/>
      <c r="V3369" s="5"/>
      <c r="W3369" s="5"/>
      <c r="X3369" s="5"/>
      <c r="Y3369" s="5"/>
      <c r="Z3369" s="5"/>
      <c r="AA3369" s="5"/>
      <c r="AB3369" s="5"/>
      <c r="AC3369" s="5"/>
      <c r="AD3369" s="5"/>
      <c r="AE3369" s="5"/>
      <c r="AF3369" s="5"/>
      <c r="AG3369" s="9"/>
    </row>
    <row r="3370" spans="1:33">
      <c r="A3370" s="5"/>
      <c r="B3370" s="5"/>
      <c r="C3370" s="5"/>
      <c r="D3370" s="5"/>
      <c r="E3370" s="5"/>
      <c r="F3370" s="5"/>
      <c r="G3370" s="5"/>
      <c r="H3370" s="5"/>
      <c r="I3370" s="5"/>
      <c r="J3370" s="5"/>
      <c r="K3370" s="5"/>
      <c r="L3370" s="5"/>
      <c r="M3370" s="5"/>
      <c r="N3370" s="5"/>
      <c r="O3370" s="5"/>
      <c r="P3370" s="5"/>
      <c r="Q3370" s="5"/>
      <c r="R3370" s="5"/>
      <c r="S3370" s="5"/>
      <c r="T3370" s="5"/>
      <c r="U3370" s="5"/>
      <c r="V3370" s="5"/>
      <c r="W3370" s="5"/>
      <c r="X3370" s="5"/>
      <c r="Y3370" s="5"/>
      <c r="Z3370" s="5"/>
      <c r="AA3370" s="5"/>
      <c r="AB3370" s="5"/>
      <c r="AC3370" s="5"/>
      <c r="AD3370" s="5"/>
      <c r="AE3370" s="5"/>
      <c r="AF3370" s="5"/>
      <c r="AG3370" s="9"/>
    </row>
    <row r="3371" spans="1:33">
      <c r="A3371" s="5"/>
      <c r="B3371" s="5"/>
      <c r="C3371" s="5"/>
      <c r="D3371" s="5"/>
      <c r="E3371" s="5"/>
      <c r="F3371" s="5"/>
      <c r="G3371" s="5"/>
      <c r="H3371" s="5"/>
      <c r="I3371" s="5"/>
      <c r="J3371" s="5"/>
      <c r="K3371" s="5"/>
      <c r="L3371" s="5"/>
      <c r="M3371" s="5"/>
      <c r="N3371" s="5"/>
      <c r="O3371" s="5"/>
      <c r="P3371" s="5"/>
      <c r="Q3371" s="5"/>
      <c r="R3371" s="5"/>
      <c r="S3371" s="5"/>
      <c r="T3371" s="5"/>
      <c r="U3371" s="5"/>
      <c r="V3371" s="5"/>
      <c r="W3371" s="5"/>
      <c r="X3371" s="5"/>
      <c r="Y3371" s="5"/>
      <c r="Z3371" s="5"/>
      <c r="AA3371" s="5"/>
      <c r="AB3371" s="5"/>
      <c r="AC3371" s="5"/>
      <c r="AD3371" s="5"/>
      <c r="AE3371" s="5"/>
      <c r="AF3371" s="5"/>
      <c r="AG3371" s="9"/>
    </row>
    <row r="3372" spans="1:33">
      <c r="A3372" s="5"/>
      <c r="B3372" s="5"/>
      <c r="C3372" s="5"/>
      <c r="D3372" s="5"/>
      <c r="E3372" s="5"/>
      <c r="F3372" s="5"/>
      <c r="G3372" s="5"/>
      <c r="H3372" s="5"/>
      <c r="I3372" s="5"/>
      <c r="J3372" s="5"/>
      <c r="K3372" s="5"/>
      <c r="L3372" s="5"/>
      <c r="M3372" s="5"/>
      <c r="N3372" s="5"/>
      <c r="O3372" s="5"/>
      <c r="P3372" s="5"/>
      <c r="Q3372" s="5"/>
      <c r="R3372" s="5"/>
      <c r="S3372" s="5"/>
      <c r="T3372" s="5"/>
      <c r="U3372" s="5"/>
      <c r="V3372" s="5"/>
      <c r="W3372" s="5"/>
      <c r="X3372" s="5"/>
      <c r="Y3372" s="5"/>
      <c r="Z3372" s="5"/>
      <c r="AA3372" s="5"/>
      <c r="AB3372" s="5"/>
      <c r="AC3372" s="5"/>
      <c r="AD3372" s="5"/>
      <c r="AE3372" s="5"/>
      <c r="AF3372" s="5"/>
      <c r="AG3372" s="9"/>
    </row>
    <row r="3373" spans="1:33">
      <c r="A3373" s="5"/>
      <c r="B3373" s="5"/>
      <c r="C3373" s="5"/>
      <c r="D3373" s="5"/>
      <c r="E3373" s="5"/>
      <c r="F3373" s="5"/>
      <c r="G3373" s="5"/>
      <c r="H3373" s="5"/>
      <c r="I3373" s="5"/>
      <c r="J3373" s="5"/>
      <c r="K3373" s="5"/>
      <c r="L3373" s="5"/>
      <c r="M3373" s="5"/>
      <c r="N3373" s="5"/>
      <c r="O3373" s="5"/>
      <c r="P3373" s="5"/>
      <c r="Q3373" s="5"/>
      <c r="R3373" s="5"/>
      <c r="S3373" s="5"/>
      <c r="T3373" s="5"/>
      <c r="U3373" s="5"/>
      <c r="V3373" s="5"/>
      <c r="W3373" s="5"/>
      <c r="X3373" s="5"/>
      <c r="Y3373" s="5"/>
      <c r="Z3373" s="5"/>
      <c r="AA3373" s="5"/>
      <c r="AB3373" s="5"/>
      <c r="AC3373" s="5"/>
      <c r="AD3373" s="5"/>
      <c r="AE3373" s="5"/>
      <c r="AF3373" s="5"/>
      <c r="AG3373" s="9"/>
    </row>
    <row r="3374" spans="1:33">
      <c r="A3374" s="5"/>
      <c r="B3374" s="5"/>
      <c r="C3374" s="5"/>
      <c r="D3374" s="5"/>
      <c r="E3374" s="5"/>
      <c r="F3374" s="5"/>
      <c r="G3374" s="5"/>
      <c r="H3374" s="5"/>
      <c r="I3374" s="5"/>
      <c r="J3374" s="5"/>
      <c r="K3374" s="5"/>
      <c r="L3374" s="5"/>
      <c r="M3374" s="5"/>
      <c r="N3374" s="5"/>
      <c r="O3374" s="5"/>
      <c r="P3374" s="5"/>
      <c r="Q3374" s="5"/>
      <c r="R3374" s="5"/>
      <c r="S3374" s="5"/>
      <c r="T3374" s="5"/>
      <c r="U3374" s="5"/>
      <c r="V3374" s="5"/>
      <c r="W3374" s="5"/>
      <c r="X3374" s="5"/>
      <c r="Y3374" s="5"/>
      <c r="Z3374" s="5"/>
      <c r="AA3374" s="5"/>
      <c r="AB3374" s="5"/>
      <c r="AC3374" s="5"/>
      <c r="AD3374" s="5"/>
      <c r="AE3374" s="5"/>
      <c r="AF3374" s="5"/>
      <c r="AG3374" s="9"/>
    </row>
    <row r="3375" spans="1:33">
      <c r="A3375" s="5"/>
      <c r="B3375" s="5"/>
      <c r="C3375" s="5"/>
      <c r="D3375" s="5"/>
      <c r="E3375" s="5"/>
      <c r="F3375" s="5"/>
      <c r="G3375" s="5"/>
      <c r="H3375" s="5"/>
      <c r="I3375" s="5"/>
      <c r="J3375" s="5"/>
      <c r="K3375" s="5"/>
      <c r="L3375" s="5"/>
      <c r="M3375" s="5"/>
      <c r="N3375" s="5"/>
      <c r="O3375" s="5"/>
      <c r="P3375" s="5"/>
      <c r="Q3375" s="5"/>
      <c r="R3375" s="5"/>
      <c r="S3375" s="5"/>
      <c r="T3375" s="5"/>
      <c r="U3375" s="5"/>
      <c r="V3375" s="5"/>
      <c r="W3375" s="5"/>
      <c r="X3375" s="5"/>
      <c r="Y3375" s="5"/>
      <c r="Z3375" s="5"/>
      <c r="AA3375" s="5"/>
      <c r="AB3375" s="5"/>
      <c r="AC3375" s="5"/>
      <c r="AD3375" s="5"/>
      <c r="AE3375" s="5"/>
      <c r="AF3375" s="5"/>
      <c r="AG3375" s="9"/>
    </row>
    <row r="3376" spans="1:33">
      <c r="A3376" s="5"/>
      <c r="B3376" s="5"/>
      <c r="C3376" s="5"/>
      <c r="D3376" s="5"/>
      <c r="E3376" s="5"/>
      <c r="F3376" s="5"/>
      <c r="G3376" s="5"/>
      <c r="H3376" s="5"/>
      <c r="I3376" s="5"/>
      <c r="J3376" s="5"/>
      <c r="K3376" s="5"/>
      <c r="L3376" s="5"/>
      <c r="M3376" s="5"/>
      <c r="N3376" s="5"/>
      <c r="O3376" s="5"/>
      <c r="P3376" s="5"/>
      <c r="Q3376" s="5"/>
      <c r="R3376" s="5"/>
      <c r="S3376" s="5"/>
      <c r="T3376" s="5"/>
      <c r="U3376" s="5"/>
      <c r="V3376" s="5"/>
      <c r="W3376" s="5"/>
      <c r="X3376" s="5"/>
      <c r="Y3376" s="5"/>
      <c r="Z3376" s="5"/>
      <c r="AA3376" s="5"/>
      <c r="AB3376" s="5"/>
      <c r="AC3376" s="5"/>
      <c r="AD3376" s="5"/>
      <c r="AE3376" s="5"/>
      <c r="AF3376" s="5"/>
      <c r="AG3376" s="9"/>
    </row>
    <row r="3377" spans="1:33">
      <c r="A3377" s="5"/>
      <c r="B3377" s="5"/>
      <c r="C3377" s="5"/>
      <c r="D3377" s="5"/>
      <c r="E3377" s="5"/>
      <c r="F3377" s="5"/>
      <c r="G3377" s="5"/>
      <c r="H3377" s="5"/>
      <c r="I3377" s="5"/>
      <c r="J3377" s="5"/>
      <c r="K3377" s="5"/>
      <c r="L3377" s="5"/>
      <c r="M3377" s="5"/>
      <c r="N3377" s="5"/>
      <c r="O3377" s="5"/>
      <c r="P3377" s="5"/>
      <c r="Q3377" s="5"/>
      <c r="R3377" s="5"/>
      <c r="S3377" s="5"/>
      <c r="T3377" s="5"/>
      <c r="U3377" s="5"/>
      <c r="V3377" s="5"/>
      <c r="W3377" s="5"/>
      <c r="X3377" s="5"/>
      <c r="Y3377" s="5"/>
      <c r="Z3377" s="5"/>
      <c r="AA3377" s="5"/>
      <c r="AB3377" s="5"/>
      <c r="AC3377" s="5"/>
      <c r="AD3377" s="5"/>
      <c r="AE3377" s="5"/>
      <c r="AF3377" s="5"/>
      <c r="AG3377" s="9"/>
    </row>
    <row r="3378" spans="1:33">
      <c r="A3378" s="5"/>
      <c r="B3378" s="5"/>
      <c r="C3378" s="5"/>
      <c r="D3378" s="5"/>
      <c r="E3378" s="5"/>
      <c r="F3378" s="5"/>
      <c r="G3378" s="5"/>
      <c r="H3378" s="5"/>
      <c r="I3378" s="5"/>
      <c r="J3378" s="5"/>
      <c r="K3378" s="5"/>
      <c r="L3378" s="5"/>
      <c r="M3378" s="5"/>
      <c r="N3378" s="5"/>
      <c r="O3378" s="5"/>
      <c r="P3378" s="5"/>
      <c r="Q3378" s="5"/>
      <c r="R3378" s="5"/>
      <c r="S3378" s="5"/>
      <c r="T3378" s="5"/>
      <c r="U3378" s="5"/>
      <c r="V3378" s="5"/>
      <c r="W3378" s="5"/>
      <c r="X3378" s="5"/>
      <c r="Y3378" s="5"/>
      <c r="Z3378" s="5"/>
      <c r="AA3378" s="5"/>
      <c r="AB3378" s="5"/>
      <c r="AC3378" s="5"/>
      <c r="AD3378" s="5"/>
      <c r="AE3378" s="5"/>
      <c r="AF3378" s="5"/>
      <c r="AG3378" s="9"/>
    </row>
    <row r="3379" spans="1:33">
      <c r="A3379" s="5"/>
      <c r="B3379" s="5"/>
      <c r="C3379" s="5"/>
      <c r="D3379" s="5"/>
      <c r="E3379" s="5"/>
      <c r="F3379" s="5"/>
      <c r="G3379" s="5"/>
      <c r="H3379" s="5"/>
      <c r="I3379" s="5"/>
      <c r="J3379" s="5"/>
      <c r="K3379" s="5"/>
      <c r="L3379" s="5"/>
      <c r="M3379" s="5"/>
      <c r="N3379" s="5"/>
      <c r="O3379" s="5"/>
      <c r="P3379" s="5"/>
      <c r="Q3379" s="5"/>
      <c r="R3379" s="5"/>
      <c r="S3379" s="5"/>
      <c r="T3379" s="5"/>
      <c r="U3379" s="5"/>
      <c r="V3379" s="5"/>
      <c r="W3379" s="5"/>
      <c r="X3379" s="5"/>
      <c r="Y3379" s="5"/>
      <c r="Z3379" s="5"/>
      <c r="AA3379" s="5"/>
      <c r="AB3379" s="5"/>
      <c r="AC3379" s="5"/>
      <c r="AD3379" s="5"/>
      <c r="AE3379" s="5"/>
      <c r="AF3379" s="5"/>
      <c r="AG3379" s="9"/>
    </row>
    <row r="3380" spans="1:33">
      <c r="A3380" s="5"/>
      <c r="B3380" s="5"/>
      <c r="C3380" s="5"/>
      <c r="D3380" s="5"/>
      <c r="E3380" s="5"/>
      <c r="F3380" s="5"/>
      <c r="G3380" s="5"/>
      <c r="H3380" s="5"/>
      <c r="I3380" s="5"/>
      <c r="J3380" s="5"/>
      <c r="K3380" s="5"/>
      <c r="L3380" s="5"/>
      <c r="M3380" s="5"/>
      <c r="N3380" s="5"/>
      <c r="O3380" s="5"/>
      <c r="P3380" s="5"/>
      <c r="Q3380" s="5"/>
      <c r="R3380" s="5"/>
      <c r="S3380" s="5"/>
      <c r="T3380" s="5"/>
      <c r="U3380" s="5"/>
      <c r="V3380" s="5"/>
      <c r="W3380" s="5"/>
      <c r="X3380" s="5"/>
      <c r="Y3380" s="5"/>
      <c r="Z3380" s="5"/>
      <c r="AA3380" s="5"/>
      <c r="AB3380" s="5"/>
      <c r="AC3380" s="5"/>
      <c r="AD3380" s="5"/>
      <c r="AE3380" s="5"/>
      <c r="AF3380" s="5"/>
      <c r="AG3380" s="9"/>
    </row>
    <row r="3381" spans="1:33">
      <c r="A3381" s="5"/>
      <c r="B3381" s="5"/>
      <c r="C3381" s="5"/>
      <c r="D3381" s="5"/>
      <c r="E3381" s="5"/>
      <c r="F3381" s="5"/>
      <c r="G3381" s="5"/>
      <c r="H3381" s="5"/>
      <c r="I3381" s="5"/>
      <c r="J3381" s="5"/>
      <c r="K3381" s="5"/>
      <c r="L3381" s="5"/>
      <c r="M3381" s="5"/>
      <c r="N3381" s="5"/>
      <c r="O3381" s="5"/>
      <c r="P3381" s="5"/>
      <c r="Q3381" s="5"/>
      <c r="R3381" s="5"/>
      <c r="S3381" s="5"/>
      <c r="T3381" s="5"/>
      <c r="U3381" s="5"/>
      <c r="V3381" s="5"/>
      <c r="W3381" s="5"/>
      <c r="X3381" s="5"/>
      <c r="Y3381" s="5"/>
      <c r="Z3381" s="5"/>
      <c r="AA3381" s="5"/>
      <c r="AB3381" s="5"/>
      <c r="AC3381" s="5"/>
      <c r="AD3381" s="5"/>
      <c r="AE3381" s="5"/>
      <c r="AF3381" s="5"/>
      <c r="AG3381" s="9"/>
    </row>
    <row r="3382" spans="1:33">
      <c r="A3382" s="5"/>
      <c r="B3382" s="5"/>
      <c r="C3382" s="5"/>
      <c r="D3382" s="5"/>
      <c r="E3382" s="5"/>
      <c r="F3382" s="5"/>
      <c r="G3382" s="5"/>
      <c r="H3382" s="5"/>
      <c r="I3382" s="5"/>
      <c r="J3382" s="5"/>
      <c r="K3382" s="5"/>
      <c r="L3382" s="5"/>
      <c r="M3382" s="5"/>
      <c r="N3382" s="5"/>
      <c r="O3382" s="5"/>
      <c r="P3382" s="5"/>
      <c r="Q3382" s="5"/>
      <c r="R3382" s="5"/>
      <c r="S3382" s="5"/>
      <c r="T3382" s="5"/>
      <c r="U3382" s="5"/>
      <c r="V3382" s="5"/>
      <c r="W3382" s="5"/>
      <c r="X3382" s="5"/>
      <c r="Y3382" s="5"/>
      <c r="Z3382" s="5"/>
      <c r="AA3382" s="5"/>
      <c r="AB3382" s="5"/>
      <c r="AC3382" s="5"/>
      <c r="AD3382" s="5"/>
      <c r="AE3382" s="5"/>
      <c r="AF3382" s="5"/>
      <c r="AG3382" s="9"/>
    </row>
    <row r="3383" spans="1:33">
      <c r="A3383" s="5"/>
      <c r="B3383" s="5"/>
      <c r="C3383" s="5"/>
      <c r="D3383" s="5"/>
      <c r="E3383" s="5"/>
      <c r="F3383" s="5"/>
      <c r="G3383" s="5"/>
      <c r="H3383" s="5"/>
      <c r="I3383" s="5"/>
      <c r="J3383" s="5"/>
      <c r="K3383" s="5"/>
      <c r="L3383" s="5"/>
      <c r="M3383" s="5"/>
      <c r="N3383" s="5"/>
      <c r="O3383" s="5"/>
      <c r="P3383" s="5"/>
      <c r="Q3383" s="5"/>
      <c r="R3383" s="5"/>
      <c r="S3383" s="5"/>
      <c r="T3383" s="5"/>
      <c r="U3383" s="5"/>
      <c r="V3383" s="5"/>
      <c r="W3383" s="5"/>
      <c r="X3383" s="5"/>
      <c r="Y3383" s="5"/>
      <c r="Z3383" s="5"/>
      <c r="AA3383" s="5"/>
      <c r="AB3383" s="5"/>
      <c r="AC3383" s="5"/>
      <c r="AD3383" s="5"/>
      <c r="AE3383" s="5"/>
      <c r="AF3383" s="5"/>
      <c r="AG3383" s="9"/>
    </row>
    <row r="3384" spans="1:33">
      <c r="A3384" s="5"/>
      <c r="B3384" s="5"/>
      <c r="C3384" s="5"/>
      <c r="D3384" s="5"/>
      <c r="E3384" s="5"/>
      <c r="F3384" s="5"/>
      <c r="G3384" s="5"/>
      <c r="H3384" s="5"/>
      <c r="I3384" s="5"/>
      <c r="J3384" s="5"/>
      <c r="K3384" s="5"/>
      <c r="L3384" s="5"/>
      <c r="M3384" s="5"/>
      <c r="N3384" s="5"/>
      <c r="O3384" s="5"/>
      <c r="P3384" s="5"/>
      <c r="Q3384" s="5"/>
      <c r="R3384" s="5"/>
      <c r="S3384" s="5"/>
      <c r="T3384" s="5"/>
      <c r="U3384" s="5"/>
      <c r="V3384" s="5"/>
      <c r="W3384" s="5"/>
      <c r="X3384" s="5"/>
      <c r="Y3384" s="5"/>
      <c r="Z3384" s="5"/>
      <c r="AA3384" s="5"/>
      <c r="AB3384" s="5"/>
      <c r="AC3384" s="5"/>
      <c r="AD3384" s="5"/>
      <c r="AE3384" s="5"/>
      <c r="AF3384" s="5"/>
      <c r="AG3384" s="9"/>
    </row>
    <row r="3385" spans="1:33">
      <c r="A3385" s="5"/>
      <c r="B3385" s="5"/>
      <c r="C3385" s="5"/>
      <c r="D3385" s="5"/>
      <c r="E3385" s="5"/>
      <c r="F3385" s="5"/>
      <c r="G3385" s="5"/>
      <c r="H3385" s="5"/>
      <c r="I3385" s="5"/>
      <c r="J3385" s="5"/>
      <c r="K3385" s="5"/>
      <c r="L3385" s="5"/>
      <c r="M3385" s="5"/>
      <c r="N3385" s="5"/>
      <c r="O3385" s="5"/>
      <c r="P3385" s="5"/>
      <c r="Q3385" s="5"/>
      <c r="R3385" s="5"/>
      <c r="S3385" s="5"/>
      <c r="T3385" s="5"/>
      <c r="U3385" s="5"/>
      <c r="V3385" s="5"/>
      <c r="W3385" s="5"/>
      <c r="X3385" s="5"/>
      <c r="Y3385" s="5"/>
      <c r="Z3385" s="5"/>
      <c r="AA3385" s="5"/>
      <c r="AB3385" s="5"/>
      <c r="AC3385" s="5"/>
      <c r="AD3385" s="5"/>
      <c r="AE3385" s="5"/>
      <c r="AF3385" s="5"/>
      <c r="AG3385" s="9"/>
    </row>
    <row r="3386" spans="1:33">
      <c r="A3386" s="5"/>
      <c r="B3386" s="5"/>
      <c r="C3386" s="5"/>
      <c r="D3386" s="5"/>
      <c r="E3386" s="5"/>
      <c r="F3386" s="5"/>
      <c r="G3386" s="5"/>
      <c r="H3386" s="5"/>
      <c r="I3386" s="5"/>
      <c r="J3386" s="5"/>
      <c r="K3386" s="5"/>
      <c r="L3386" s="5"/>
      <c r="M3386" s="5"/>
      <c r="N3386" s="5"/>
      <c r="O3386" s="5"/>
      <c r="P3386" s="5"/>
      <c r="Q3386" s="5"/>
      <c r="R3386" s="5"/>
      <c r="S3386" s="5"/>
      <c r="T3386" s="5"/>
      <c r="U3386" s="5"/>
      <c r="V3386" s="5"/>
      <c r="W3386" s="5"/>
      <c r="X3386" s="5"/>
      <c r="Y3386" s="5"/>
      <c r="Z3386" s="5"/>
      <c r="AA3386" s="5"/>
      <c r="AB3386" s="5"/>
      <c r="AC3386" s="5"/>
      <c r="AD3386" s="5"/>
      <c r="AE3386" s="5"/>
      <c r="AF3386" s="5"/>
      <c r="AG3386" s="9"/>
    </row>
    <row r="3387" spans="1:33">
      <c r="A3387" s="5"/>
      <c r="B3387" s="5"/>
      <c r="C3387" s="5"/>
      <c r="D3387" s="5"/>
      <c r="E3387" s="5"/>
      <c r="F3387" s="5"/>
      <c r="G3387" s="5"/>
      <c r="H3387" s="5"/>
      <c r="I3387" s="5"/>
      <c r="J3387" s="5"/>
      <c r="K3387" s="5"/>
      <c r="L3387" s="5"/>
      <c r="M3387" s="5"/>
      <c r="N3387" s="5"/>
      <c r="O3387" s="5"/>
      <c r="P3387" s="5"/>
      <c r="Q3387" s="5"/>
      <c r="R3387" s="5"/>
      <c r="S3387" s="5"/>
      <c r="T3387" s="5"/>
      <c r="U3387" s="5"/>
      <c r="V3387" s="5"/>
      <c r="W3387" s="5"/>
      <c r="X3387" s="5"/>
      <c r="Y3387" s="5"/>
      <c r="Z3387" s="5"/>
      <c r="AA3387" s="5"/>
      <c r="AB3387" s="5"/>
      <c r="AC3387" s="5"/>
      <c r="AD3387" s="5"/>
      <c r="AE3387" s="5"/>
      <c r="AF3387" s="5"/>
      <c r="AG3387" s="9"/>
    </row>
    <row r="3388" spans="1:33">
      <c r="A3388" s="5"/>
      <c r="B3388" s="5"/>
      <c r="C3388" s="5"/>
      <c r="D3388" s="5"/>
      <c r="E3388" s="5"/>
      <c r="F3388" s="5"/>
      <c r="G3388" s="5"/>
      <c r="H3388" s="5"/>
      <c r="I3388" s="5"/>
      <c r="J3388" s="5"/>
      <c r="K3388" s="5"/>
      <c r="L3388" s="5"/>
      <c r="M3388" s="5"/>
      <c r="N3388" s="5"/>
      <c r="O3388" s="5"/>
      <c r="P3388" s="5"/>
      <c r="Q3388" s="5"/>
      <c r="R3388" s="5"/>
      <c r="S3388" s="5"/>
      <c r="T3388" s="5"/>
      <c r="U3388" s="5"/>
      <c r="V3388" s="5"/>
      <c r="W3388" s="5"/>
      <c r="X3388" s="5"/>
      <c r="Y3388" s="5"/>
      <c r="Z3388" s="5"/>
      <c r="AA3388" s="5"/>
      <c r="AB3388" s="5"/>
      <c r="AC3388" s="5"/>
      <c r="AD3388" s="5"/>
      <c r="AE3388" s="5"/>
      <c r="AF3388" s="5"/>
      <c r="AG3388" s="9"/>
    </row>
    <row r="3389" spans="1:33">
      <c r="A3389" s="5"/>
      <c r="B3389" s="5"/>
      <c r="C3389" s="5"/>
      <c r="D3389" s="5"/>
      <c r="E3389" s="5"/>
      <c r="F3389" s="5"/>
      <c r="G3389" s="5"/>
      <c r="H3389" s="5"/>
      <c r="I3389" s="5"/>
      <c r="J3389" s="5"/>
      <c r="K3389" s="5"/>
      <c r="L3389" s="5"/>
      <c r="M3389" s="5"/>
      <c r="N3389" s="5"/>
      <c r="O3389" s="5"/>
      <c r="P3389" s="5"/>
      <c r="Q3389" s="5"/>
      <c r="R3389" s="5"/>
      <c r="S3389" s="5"/>
      <c r="T3389" s="5"/>
      <c r="U3389" s="5"/>
      <c r="V3389" s="5"/>
      <c r="W3389" s="5"/>
      <c r="X3389" s="5"/>
      <c r="Y3389" s="5"/>
      <c r="Z3389" s="5"/>
      <c r="AA3389" s="5"/>
      <c r="AB3389" s="5"/>
      <c r="AC3389" s="5"/>
      <c r="AD3389" s="5"/>
      <c r="AE3389" s="5"/>
      <c r="AF3389" s="5"/>
      <c r="AG3389" s="9"/>
    </row>
    <row r="3390" spans="1:33">
      <c r="A3390" s="5"/>
      <c r="B3390" s="5"/>
      <c r="C3390" s="5"/>
      <c r="D3390" s="5"/>
      <c r="E3390" s="5"/>
      <c r="F3390" s="5"/>
      <c r="G3390" s="5"/>
      <c r="H3390" s="5"/>
      <c r="I3390" s="5"/>
      <c r="J3390" s="5"/>
      <c r="K3390" s="5"/>
      <c r="L3390" s="5"/>
      <c r="M3390" s="5"/>
      <c r="N3390" s="5"/>
      <c r="O3390" s="5"/>
      <c r="P3390" s="5"/>
      <c r="Q3390" s="5"/>
      <c r="R3390" s="5"/>
      <c r="S3390" s="5"/>
      <c r="T3390" s="5"/>
      <c r="U3390" s="5"/>
      <c r="V3390" s="5"/>
      <c r="W3390" s="5"/>
      <c r="X3390" s="5"/>
      <c r="Y3390" s="5"/>
      <c r="Z3390" s="5"/>
      <c r="AA3390" s="5"/>
      <c r="AB3390" s="5"/>
      <c r="AC3390" s="5"/>
      <c r="AD3390" s="5"/>
      <c r="AE3390" s="5"/>
      <c r="AF3390" s="5"/>
      <c r="AG3390" s="9"/>
    </row>
    <row r="3391" spans="1:33">
      <c r="A3391" s="5"/>
      <c r="B3391" s="5"/>
      <c r="C3391" s="5"/>
      <c r="D3391" s="5"/>
      <c r="E3391" s="5"/>
      <c r="F3391" s="5"/>
      <c r="G3391" s="5"/>
      <c r="H3391" s="5"/>
      <c r="I3391" s="5"/>
      <c r="J3391" s="5"/>
      <c r="K3391" s="5"/>
      <c r="L3391" s="5"/>
      <c r="M3391" s="5"/>
      <c r="N3391" s="5"/>
      <c r="O3391" s="5"/>
      <c r="P3391" s="5"/>
      <c r="Q3391" s="5"/>
      <c r="R3391" s="5"/>
      <c r="S3391" s="5"/>
      <c r="T3391" s="5"/>
      <c r="U3391" s="5"/>
      <c r="V3391" s="5"/>
      <c r="W3391" s="5"/>
      <c r="X3391" s="5"/>
      <c r="Y3391" s="5"/>
      <c r="Z3391" s="5"/>
      <c r="AA3391" s="5"/>
      <c r="AB3391" s="5"/>
      <c r="AC3391" s="5"/>
      <c r="AD3391" s="5"/>
      <c r="AE3391" s="5"/>
      <c r="AF3391" s="5"/>
      <c r="AG3391" s="9"/>
    </row>
    <row r="3392" spans="1:33">
      <c r="A3392" s="5"/>
      <c r="B3392" s="5"/>
      <c r="C3392" s="5"/>
      <c r="D3392" s="5"/>
      <c r="E3392" s="5"/>
      <c r="F3392" s="5"/>
      <c r="G3392" s="5"/>
      <c r="H3392" s="5"/>
      <c r="I3392" s="5"/>
      <c r="J3392" s="5"/>
      <c r="K3392" s="5"/>
      <c r="L3392" s="5"/>
      <c r="M3392" s="5"/>
      <c r="N3392" s="5"/>
      <c r="O3392" s="5"/>
      <c r="P3392" s="5"/>
      <c r="Q3392" s="5"/>
      <c r="R3392" s="5"/>
      <c r="S3392" s="5"/>
      <c r="T3392" s="5"/>
      <c r="U3392" s="5"/>
      <c r="V3392" s="5"/>
      <c r="W3392" s="5"/>
      <c r="X3392" s="5"/>
      <c r="Y3392" s="5"/>
      <c r="Z3392" s="5"/>
      <c r="AA3392" s="5"/>
      <c r="AB3392" s="5"/>
      <c r="AC3392" s="5"/>
      <c r="AD3392" s="5"/>
      <c r="AE3392" s="5"/>
      <c r="AF3392" s="5"/>
      <c r="AG3392" s="9"/>
    </row>
    <row r="3393" spans="1:33">
      <c r="A3393" s="5"/>
      <c r="B3393" s="5"/>
      <c r="C3393" s="5"/>
      <c r="D3393" s="5"/>
      <c r="E3393" s="5"/>
      <c r="F3393" s="5"/>
      <c r="G3393" s="5"/>
      <c r="H3393" s="5"/>
      <c r="I3393" s="5"/>
      <c r="J3393" s="5"/>
      <c r="K3393" s="5"/>
      <c r="L3393" s="5"/>
      <c r="M3393" s="5"/>
      <c r="N3393" s="5"/>
      <c r="O3393" s="5"/>
      <c r="P3393" s="5"/>
      <c r="Q3393" s="5"/>
      <c r="R3393" s="5"/>
      <c r="S3393" s="5"/>
      <c r="T3393" s="5"/>
      <c r="U3393" s="5"/>
      <c r="V3393" s="5"/>
      <c r="W3393" s="5"/>
      <c r="X3393" s="5"/>
      <c r="Y3393" s="5"/>
      <c r="Z3393" s="5"/>
      <c r="AA3393" s="5"/>
      <c r="AB3393" s="5"/>
      <c r="AC3393" s="5"/>
      <c r="AD3393" s="5"/>
      <c r="AE3393" s="5"/>
      <c r="AF3393" s="5"/>
      <c r="AG3393" s="9"/>
    </row>
    <row r="3394" spans="1:33">
      <c r="A3394" s="5"/>
      <c r="B3394" s="5"/>
      <c r="C3394" s="5"/>
      <c r="D3394" s="5"/>
      <c r="E3394" s="5"/>
      <c r="F3394" s="5"/>
      <c r="G3394" s="5"/>
      <c r="H3394" s="5"/>
      <c r="I3394" s="5"/>
      <c r="J3394" s="5"/>
      <c r="K3394" s="5"/>
      <c r="L3394" s="5"/>
      <c r="M3394" s="5"/>
      <c r="N3394" s="5"/>
      <c r="O3394" s="5"/>
      <c r="P3394" s="5"/>
      <c r="Q3394" s="5"/>
      <c r="R3394" s="5"/>
      <c r="S3394" s="5"/>
      <c r="T3394" s="5"/>
      <c r="U3394" s="5"/>
      <c r="V3394" s="5"/>
      <c r="W3394" s="5"/>
      <c r="X3394" s="5"/>
      <c r="Y3394" s="5"/>
      <c r="Z3394" s="5"/>
      <c r="AA3394" s="5"/>
      <c r="AB3394" s="5"/>
      <c r="AC3394" s="5"/>
      <c r="AD3394" s="5"/>
      <c r="AE3394" s="5"/>
      <c r="AF3394" s="5"/>
      <c r="AG3394" s="9"/>
    </row>
    <row r="3395" spans="1:33">
      <c r="A3395" s="5"/>
      <c r="B3395" s="5"/>
      <c r="C3395" s="5"/>
      <c r="D3395" s="5"/>
      <c r="E3395" s="5"/>
      <c r="F3395" s="5"/>
      <c r="G3395" s="5"/>
      <c r="H3395" s="5"/>
      <c r="I3395" s="5"/>
      <c r="J3395" s="5"/>
      <c r="K3395" s="5"/>
      <c r="L3395" s="5"/>
      <c r="M3395" s="5"/>
      <c r="N3395" s="5"/>
      <c r="O3395" s="5"/>
      <c r="P3395" s="5"/>
      <c r="Q3395" s="5"/>
      <c r="R3395" s="5"/>
      <c r="S3395" s="5"/>
      <c r="T3395" s="5"/>
      <c r="U3395" s="5"/>
      <c r="V3395" s="5"/>
      <c r="W3395" s="5"/>
      <c r="X3395" s="5"/>
      <c r="Y3395" s="5"/>
      <c r="Z3395" s="5"/>
      <c r="AA3395" s="5"/>
      <c r="AB3395" s="5"/>
      <c r="AC3395" s="5"/>
      <c r="AD3395" s="5"/>
      <c r="AE3395" s="5"/>
      <c r="AF3395" s="5"/>
      <c r="AG3395" s="9"/>
    </row>
    <row r="3396" spans="1:33">
      <c r="A3396" s="5"/>
      <c r="B3396" s="5"/>
      <c r="C3396" s="5"/>
      <c r="D3396" s="5"/>
      <c r="E3396" s="5"/>
      <c r="F3396" s="5"/>
      <c r="G3396" s="5"/>
      <c r="H3396" s="5"/>
      <c r="I3396" s="5"/>
      <c r="J3396" s="5"/>
      <c r="K3396" s="5"/>
      <c r="L3396" s="5"/>
      <c r="M3396" s="5"/>
      <c r="N3396" s="5"/>
      <c r="O3396" s="5"/>
      <c r="P3396" s="5"/>
      <c r="Q3396" s="5"/>
      <c r="R3396" s="5"/>
      <c r="S3396" s="5"/>
      <c r="T3396" s="5"/>
      <c r="U3396" s="5"/>
      <c r="V3396" s="5"/>
      <c r="W3396" s="5"/>
      <c r="X3396" s="5"/>
      <c r="Y3396" s="5"/>
      <c r="Z3396" s="5"/>
      <c r="AA3396" s="5"/>
      <c r="AB3396" s="5"/>
      <c r="AC3396" s="5"/>
      <c r="AD3396" s="5"/>
      <c r="AE3396" s="5"/>
      <c r="AF3396" s="5"/>
      <c r="AG3396" s="9"/>
    </row>
    <row r="3397" spans="1:33">
      <c r="A3397" s="5"/>
      <c r="B3397" s="5"/>
      <c r="C3397" s="5"/>
      <c r="D3397" s="5"/>
      <c r="E3397" s="5"/>
      <c r="F3397" s="5"/>
      <c r="G3397" s="5"/>
      <c r="H3397" s="5"/>
      <c r="I3397" s="5"/>
      <c r="J3397" s="5"/>
      <c r="K3397" s="5"/>
      <c r="L3397" s="5"/>
      <c r="M3397" s="5"/>
      <c r="N3397" s="5"/>
      <c r="O3397" s="5"/>
      <c r="P3397" s="5"/>
      <c r="Q3397" s="5"/>
      <c r="R3397" s="5"/>
      <c r="S3397" s="5"/>
      <c r="T3397" s="5"/>
      <c r="U3397" s="5"/>
      <c r="V3397" s="5"/>
      <c r="W3397" s="5"/>
      <c r="X3397" s="5"/>
      <c r="Y3397" s="5"/>
      <c r="Z3397" s="5"/>
      <c r="AA3397" s="5"/>
      <c r="AB3397" s="5"/>
      <c r="AC3397" s="5"/>
      <c r="AD3397" s="5"/>
      <c r="AE3397" s="5"/>
      <c r="AF3397" s="5"/>
      <c r="AG3397" s="9"/>
    </row>
    <row r="3398" spans="1:33">
      <c r="A3398" s="5"/>
      <c r="B3398" s="5"/>
      <c r="C3398" s="5"/>
      <c r="D3398" s="5"/>
      <c r="E3398" s="5"/>
      <c r="F3398" s="5"/>
      <c r="G3398" s="5"/>
      <c r="H3398" s="5"/>
      <c r="I3398" s="5"/>
      <c r="J3398" s="5"/>
      <c r="K3398" s="5"/>
      <c r="L3398" s="5"/>
      <c r="M3398" s="5"/>
      <c r="N3398" s="5"/>
      <c r="O3398" s="5"/>
      <c r="P3398" s="5"/>
      <c r="Q3398" s="5"/>
      <c r="R3398" s="5"/>
      <c r="S3398" s="5"/>
      <c r="T3398" s="5"/>
      <c r="U3398" s="5"/>
      <c r="V3398" s="5"/>
      <c r="W3398" s="5"/>
      <c r="X3398" s="5"/>
      <c r="Y3398" s="5"/>
      <c r="Z3398" s="5"/>
      <c r="AA3398" s="5"/>
      <c r="AB3398" s="5"/>
      <c r="AC3398" s="5"/>
      <c r="AD3398" s="5"/>
      <c r="AE3398" s="5"/>
      <c r="AF3398" s="5"/>
      <c r="AG3398" s="9"/>
    </row>
    <row r="3399" spans="1:33">
      <c r="A3399" s="5"/>
      <c r="B3399" s="5"/>
      <c r="C3399" s="5"/>
      <c r="D3399" s="5"/>
      <c r="E3399" s="5"/>
      <c r="F3399" s="5"/>
      <c r="G3399" s="5"/>
      <c r="H3399" s="5"/>
      <c r="I3399" s="5"/>
      <c r="J3399" s="5"/>
      <c r="K3399" s="5"/>
      <c r="L3399" s="5"/>
      <c r="M3399" s="5"/>
      <c r="N3399" s="5"/>
      <c r="O3399" s="5"/>
      <c r="P3399" s="5"/>
      <c r="Q3399" s="5"/>
      <c r="R3399" s="5"/>
      <c r="S3399" s="5"/>
      <c r="T3399" s="5"/>
      <c r="U3399" s="5"/>
      <c r="V3399" s="5"/>
      <c r="W3399" s="5"/>
      <c r="X3399" s="5"/>
      <c r="Y3399" s="5"/>
      <c r="Z3399" s="5"/>
      <c r="AA3399" s="5"/>
      <c r="AB3399" s="5"/>
      <c r="AC3399" s="5"/>
      <c r="AD3399" s="5"/>
      <c r="AE3399" s="5"/>
      <c r="AF3399" s="5"/>
      <c r="AG3399" s="9"/>
    </row>
    <row r="3400" spans="1:33">
      <c r="A3400" s="5"/>
      <c r="B3400" s="5"/>
      <c r="C3400" s="5"/>
      <c r="D3400" s="5"/>
      <c r="E3400" s="5"/>
      <c r="F3400" s="5"/>
      <c r="G3400" s="5"/>
      <c r="H3400" s="5"/>
      <c r="I3400" s="5"/>
      <c r="J3400" s="5"/>
      <c r="K3400" s="5"/>
      <c r="L3400" s="5"/>
      <c r="M3400" s="5"/>
      <c r="N3400" s="5"/>
      <c r="O3400" s="5"/>
      <c r="P3400" s="5"/>
      <c r="Q3400" s="5"/>
      <c r="R3400" s="5"/>
      <c r="S3400" s="5"/>
      <c r="T3400" s="5"/>
      <c r="U3400" s="5"/>
      <c r="V3400" s="5"/>
      <c r="W3400" s="5"/>
      <c r="X3400" s="5"/>
      <c r="Y3400" s="5"/>
      <c r="Z3400" s="5"/>
      <c r="AA3400" s="5"/>
      <c r="AB3400" s="5"/>
      <c r="AC3400" s="5"/>
      <c r="AD3400" s="5"/>
      <c r="AE3400" s="5"/>
      <c r="AF3400" s="5"/>
      <c r="AG3400" s="9"/>
    </row>
    <row r="3401" spans="1:33">
      <c r="A3401" s="5"/>
      <c r="B3401" s="5"/>
      <c r="C3401" s="5"/>
      <c r="D3401" s="5"/>
      <c r="E3401" s="5"/>
      <c r="F3401" s="5"/>
      <c r="G3401" s="5"/>
      <c r="H3401" s="5"/>
      <c r="I3401" s="5"/>
      <c r="J3401" s="5"/>
      <c r="K3401" s="5"/>
      <c r="L3401" s="5"/>
      <c r="M3401" s="5"/>
      <c r="N3401" s="5"/>
      <c r="O3401" s="5"/>
      <c r="P3401" s="5"/>
      <c r="Q3401" s="5"/>
      <c r="R3401" s="5"/>
      <c r="S3401" s="5"/>
      <c r="T3401" s="5"/>
      <c r="U3401" s="5"/>
      <c r="V3401" s="5"/>
      <c r="W3401" s="5"/>
      <c r="X3401" s="5"/>
      <c r="Y3401" s="5"/>
      <c r="Z3401" s="5"/>
      <c r="AA3401" s="5"/>
      <c r="AB3401" s="5"/>
      <c r="AC3401" s="5"/>
      <c r="AD3401" s="5"/>
      <c r="AE3401" s="5"/>
      <c r="AF3401" s="5"/>
      <c r="AG3401" s="9"/>
    </row>
    <row r="3402" spans="1:33">
      <c r="A3402" s="5"/>
      <c r="B3402" s="5"/>
      <c r="C3402" s="5"/>
      <c r="D3402" s="5"/>
      <c r="E3402" s="5"/>
      <c r="F3402" s="5"/>
      <c r="G3402" s="5"/>
      <c r="H3402" s="5"/>
      <c r="I3402" s="5"/>
      <c r="J3402" s="5"/>
      <c r="K3402" s="5"/>
      <c r="L3402" s="5"/>
      <c r="M3402" s="5"/>
      <c r="N3402" s="5"/>
      <c r="O3402" s="5"/>
      <c r="P3402" s="5"/>
      <c r="Q3402" s="5"/>
      <c r="R3402" s="5"/>
      <c r="S3402" s="5"/>
      <c r="T3402" s="5"/>
      <c r="U3402" s="5"/>
      <c r="V3402" s="5"/>
      <c r="W3402" s="5"/>
      <c r="X3402" s="5"/>
      <c r="Y3402" s="5"/>
      <c r="Z3402" s="5"/>
      <c r="AA3402" s="5"/>
      <c r="AB3402" s="5"/>
      <c r="AC3402" s="5"/>
      <c r="AD3402" s="5"/>
      <c r="AE3402" s="5"/>
      <c r="AF3402" s="5"/>
      <c r="AG3402" s="9"/>
    </row>
    <row r="3403" spans="1:33">
      <c r="A3403" s="5"/>
      <c r="B3403" s="5"/>
      <c r="C3403" s="5"/>
      <c r="D3403" s="5"/>
      <c r="E3403" s="5"/>
      <c r="F3403" s="5"/>
      <c r="G3403" s="5"/>
      <c r="H3403" s="5"/>
      <c r="I3403" s="5"/>
      <c r="J3403" s="5"/>
      <c r="K3403" s="5"/>
      <c r="L3403" s="5"/>
      <c r="M3403" s="5"/>
      <c r="N3403" s="5"/>
      <c r="O3403" s="5"/>
      <c r="P3403" s="5"/>
      <c r="Q3403" s="5"/>
      <c r="R3403" s="5"/>
      <c r="S3403" s="5"/>
      <c r="T3403" s="5"/>
      <c r="U3403" s="5"/>
      <c r="V3403" s="5"/>
      <c r="W3403" s="5"/>
      <c r="X3403" s="5"/>
      <c r="Y3403" s="5"/>
      <c r="Z3403" s="5"/>
      <c r="AA3403" s="5"/>
      <c r="AB3403" s="5"/>
      <c r="AC3403" s="5"/>
      <c r="AD3403" s="5"/>
      <c r="AE3403" s="5"/>
      <c r="AF3403" s="5"/>
      <c r="AG3403" s="9"/>
    </row>
    <row r="3404" spans="1:33">
      <c r="A3404" s="5"/>
      <c r="B3404" s="5"/>
      <c r="C3404" s="5"/>
      <c r="D3404" s="5"/>
      <c r="E3404" s="5"/>
      <c r="F3404" s="5"/>
      <c r="G3404" s="5"/>
      <c r="H3404" s="5"/>
      <c r="I3404" s="5"/>
      <c r="J3404" s="5"/>
      <c r="K3404" s="5"/>
      <c r="L3404" s="5"/>
      <c r="M3404" s="5"/>
      <c r="N3404" s="5"/>
      <c r="O3404" s="5"/>
      <c r="P3404" s="5"/>
      <c r="Q3404" s="5"/>
      <c r="R3404" s="5"/>
      <c r="S3404" s="5"/>
      <c r="T3404" s="5"/>
      <c r="U3404" s="5"/>
      <c r="V3404" s="5"/>
      <c r="W3404" s="5"/>
      <c r="X3404" s="5"/>
      <c r="Y3404" s="5"/>
      <c r="Z3404" s="5"/>
      <c r="AA3404" s="5"/>
      <c r="AB3404" s="5"/>
      <c r="AC3404" s="5"/>
      <c r="AD3404" s="5"/>
      <c r="AE3404" s="5"/>
      <c r="AF3404" s="5"/>
      <c r="AG3404" s="9"/>
    </row>
    <row r="3405" spans="1:33">
      <c r="A3405" s="5"/>
      <c r="B3405" s="5"/>
      <c r="C3405" s="5"/>
      <c r="D3405" s="5"/>
      <c r="E3405" s="5"/>
      <c r="F3405" s="5"/>
      <c r="G3405" s="5"/>
      <c r="H3405" s="5"/>
      <c r="I3405" s="5"/>
      <c r="J3405" s="5"/>
      <c r="K3405" s="5"/>
      <c r="L3405" s="5"/>
      <c r="M3405" s="5"/>
      <c r="N3405" s="5"/>
      <c r="O3405" s="5"/>
      <c r="P3405" s="5"/>
      <c r="Q3405" s="5"/>
      <c r="R3405" s="5"/>
      <c r="S3405" s="5"/>
      <c r="T3405" s="5"/>
      <c r="U3405" s="5"/>
      <c r="V3405" s="5"/>
      <c r="W3405" s="5"/>
      <c r="X3405" s="5"/>
      <c r="Y3405" s="5"/>
      <c r="Z3405" s="5"/>
      <c r="AA3405" s="5"/>
      <c r="AB3405" s="5"/>
      <c r="AC3405" s="5"/>
      <c r="AD3405" s="5"/>
      <c r="AE3405" s="5"/>
      <c r="AF3405" s="5"/>
      <c r="AG3405" s="9"/>
    </row>
    <row r="3406" spans="1:33">
      <c r="A3406" s="5"/>
      <c r="B3406" s="5"/>
      <c r="C3406" s="5"/>
      <c r="D3406" s="5"/>
      <c r="E3406" s="5"/>
      <c r="F3406" s="5"/>
      <c r="G3406" s="5"/>
      <c r="H3406" s="5"/>
      <c r="I3406" s="5"/>
      <c r="J3406" s="5"/>
      <c r="K3406" s="5"/>
      <c r="L3406" s="5"/>
      <c r="M3406" s="5"/>
      <c r="N3406" s="5"/>
      <c r="O3406" s="5"/>
      <c r="P3406" s="5"/>
      <c r="Q3406" s="5"/>
      <c r="R3406" s="5"/>
      <c r="S3406" s="5"/>
      <c r="T3406" s="5"/>
      <c r="U3406" s="5"/>
      <c r="V3406" s="5"/>
      <c r="W3406" s="5"/>
      <c r="X3406" s="5"/>
      <c r="Y3406" s="5"/>
      <c r="Z3406" s="5"/>
      <c r="AA3406" s="5"/>
      <c r="AB3406" s="5"/>
      <c r="AC3406" s="5"/>
      <c r="AD3406" s="5"/>
      <c r="AE3406" s="5"/>
      <c r="AF3406" s="5"/>
      <c r="AG3406" s="9"/>
    </row>
    <row r="3407" spans="1:33">
      <c r="A3407" s="5"/>
      <c r="B3407" s="5"/>
      <c r="C3407" s="5"/>
      <c r="D3407" s="5"/>
      <c r="E3407" s="5"/>
      <c r="F3407" s="5"/>
      <c r="G3407" s="5"/>
      <c r="H3407" s="5"/>
      <c r="I3407" s="5"/>
      <c r="J3407" s="5"/>
      <c r="K3407" s="5"/>
      <c r="L3407" s="5"/>
      <c r="M3407" s="5"/>
      <c r="N3407" s="5"/>
      <c r="O3407" s="5"/>
      <c r="P3407" s="5"/>
      <c r="Q3407" s="5"/>
      <c r="R3407" s="5"/>
      <c r="S3407" s="5"/>
      <c r="T3407" s="5"/>
      <c r="U3407" s="5"/>
      <c r="V3407" s="5"/>
      <c r="W3407" s="5"/>
      <c r="X3407" s="5"/>
      <c r="Y3407" s="5"/>
      <c r="Z3407" s="5"/>
      <c r="AA3407" s="5"/>
      <c r="AB3407" s="5"/>
      <c r="AC3407" s="5"/>
      <c r="AD3407" s="5"/>
      <c r="AE3407" s="5"/>
      <c r="AF3407" s="5"/>
      <c r="AG3407" s="9"/>
    </row>
    <row r="3408" spans="1:33">
      <c r="A3408" s="5"/>
      <c r="B3408" s="5"/>
      <c r="C3408" s="5"/>
      <c r="D3408" s="5"/>
      <c r="E3408" s="5"/>
      <c r="F3408" s="5"/>
      <c r="G3408" s="5"/>
      <c r="H3408" s="5"/>
      <c r="I3408" s="5"/>
      <c r="J3408" s="5"/>
      <c r="K3408" s="5"/>
      <c r="L3408" s="5"/>
      <c r="M3408" s="5"/>
      <c r="N3408" s="5"/>
      <c r="O3408" s="5"/>
      <c r="P3408" s="5"/>
      <c r="Q3408" s="5"/>
      <c r="R3408" s="5"/>
      <c r="S3408" s="5"/>
      <c r="T3408" s="5"/>
      <c r="U3408" s="5"/>
      <c r="V3408" s="5"/>
      <c r="W3408" s="5"/>
      <c r="X3408" s="5"/>
      <c r="Y3408" s="5"/>
      <c r="Z3408" s="5"/>
      <c r="AA3408" s="5"/>
      <c r="AB3408" s="5"/>
      <c r="AC3408" s="5"/>
      <c r="AD3408" s="5"/>
      <c r="AE3408" s="5"/>
      <c r="AF3408" s="5"/>
      <c r="AG3408" s="9"/>
    </row>
    <row r="3409" spans="33:33">
      <c r="AG3409" s="10"/>
    </row>
    <row r="3410" spans="33:33">
      <c r="AG3410" s="10"/>
    </row>
    <row r="3411" spans="33:33">
      <c r="AG3411" s="10"/>
    </row>
    <row r="3412" spans="33:33">
      <c r="AG3412" s="10"/>
    </row>
    <row r="3413" spans="33:33">
      <c r="AG3413" s="10"/>
    </row>
    <row r="3414" spans="33:33">
      <c r="AG3414" s="10"/>
    </row>
    <row r="3415" spans="33:33">
      <c r="AG3415" s="10"/>
    </row>
    <row r="3416" spans="33:33">
      <c r="AG3416" s="10"/>
    </row>
    <row r="3417" spans="33:33">
      <c r="AG3417" s="10"/>
    </row>
    <row r="3418" spans="33:33">
      <c r="AG3418" s="10"/>
    </row>
    <row r="3419" spans="33:33">
      <c r="AG3419" s="10"/>
    </row>
    <row r="3420" spans="33:33">
      <c r="AG3420" s="10"/>
    </row>
    <row r="3421" spans="33:33">
      <c r="AG3421" s="10"/>
    </row>
    <row r="3422" spans="33:33">
      <c r="AG3422" s="10"/>
    </row>
    <row r="3423" spans="33:33">
      <c r="AG3423" s="10"/>
    </row>
    <row r="3424" spans="33:33">
      <c r="AG3424" s="10"/>
    </row>
    <row r="3425" spans="33:33">
      <c r="AG3425" s="10"/>
    </row>
    <row r="3426" spans="33:33">
      <c r="AG3426" s="10"/>
    </row>
    <row r="3427" spans="33:33">
      <c r="AG3427" s="10"/>
    </row>
    <row r="3428" spans="33:33">
      <c r="AG3428" s="10"/>
    </row>
    <row r="3429" spans="33:33">
      <c r="AG3429" s="10"/>
    </row>
    <row r="3430" spans="33:33">
      <c r="AG3430" s="10"/>
    </row>
    <row r="3431" spans="33:33">
      <c r="AG3431" s="10"/>
    </row>
    <row r="3432" spans="33:33">
      <c r="AG3432" s="10"/>
    </row>
    <row r="3433" spans="33:33">
      <c r="AG3433" s="10"/>
    </row>
    <row r="3434" spans="33:33">
      <c r="AG3434" s="10"/>
    </row>
    <row r="3435" spans="33:33">
      <c r="AG3435" s="10"/>
    </row>
    <row r="3436" spans="33:33">
      <c r="AG3436" s="10"/>
    </row>
    <row r="3437" spans="33:33">
      <c r="AG3437" s="10"/>
    </row>
    <row r="3438" spans="33:33">
      <c r="AG3438" s="10"/>
    </row>
    <row r="3439" spans="33:33">
      <c r="AG3439" s="10"/>
    </row>
    <row r="3440" spans="33:33">
      <c r="AG3440" s="10"/>
    </row>
    <row r="3441" spans="33:33">
      <c r="AG3441" s="10"/>
    </row>
    <row r="3442" spans="33:33">
      <c r="AG3442" s="10"/>
    </row>
    <row r="3443" spans="33:33">
      <c r="AG3443" s="10"/>
    </row>
    <row r="3444" spans="33:33">
      <c r="AG3444" s="10"/>
    </row>
    <row r="3445" spans="33:33">
      <c r="AG3445" s="10"/>
    </row>
    <row r="3446" spans="33:33">
      <c r="AG3446" s="10"/>
    </row>
    <row r="3447" spans="33:33">
      <c r="AG3447" s="10"/>
    </row>
    <row r="3448" spans="33:33">
      <c r="AG3448" s="10"/>
    </row>
    <row r="3449" spans="33:33">
      <c r="AG3449" s="10"/>
    </row>
    <row r="3450" spans="33:33">
      <c r="AG3450" s="10"/>
    </row>
    <row r="3451" spans="33:33">
      <c r="AG3451" s="10"/>
    </row>
    <row r="3452" spans="33:33">
      <c r="AG3452" s="10"/>
    </row>
    <row r="3453" spans="33:33">
      <c r="AG3453" s="10"/>
    </row>
    <row r="3454" spans="33:33">
      <c r="AG3454" s="10"/>
    </row>
    <row r="3455" spans="33:33">
      <c r="AG3455" s="10"/>
    </row>
    <row r="3456" spans="33:33">
      <c r="AG3456" s="10"/>
    </row>
    <row r="3457" spans="33:33">
      <c r="AG3457" s="10"/>
    </row>
    <row r="3458" spans="33:33">
      <c r="AG3458" s="10"/>
    </row>
    <row r="3459" spans="33:33">
      <c r="AG3459" s="10"/>
    </row>
    <row r="3460" spans="33:33">
      <c r="AG3460" s="10"/>
    </row>
    <row r="3461" spans="33:33">
      <c r="AG3461" s="10"/>
    </row>
    <row r="3462" spans="33:33">
      <c r="AG3462" s="10"/>
    </row>
    <row r="3463" spans="33:33">
      <c r="AG3463" s="10"/>
    </row>
    <row r="3464" spans="33:33">
      <c r="AG3464" s="10"/>
    </row>
    <row r="3465" spans="33:33">
      <c r="AG3465" s="10"/>
    </row>
    <row r="3466" spans="33:33">
      <c r="AG3466" s="10"/>
    </row>
    <row r="3467" spans="33:33">
      <c r="AG3467" s="10"/>
    </row>
    <row r="3468" spans="33:33">
      <c r="AG3468" s="10"/>
    </row>
    <row r="3469" spans="33:33">
      <c r="AG3469" s="10"/>
    </row>
    <row r="3470" spans="33:33">
      <c r="AG3470" s="10"/>
    </row>
    <row r="3471" spans="33:33">
      <c r="AG3471" s="10"/>
    </row>
    <row r="3472" spans="33:33">
      <c r="AG3472" s="10"/>
    </row>
    <row r="3473" spans="33:33">
      <c r="AG3473" s="10"/>
    </row>
    <row r="3474" spans="33:33">
      <c r="AG3474" s="10"/>
    </row>
    <row r="3475" spans="33:33">
      <c r="AG3475" s="10"/>
    </row>
    <row r="3476" spans="33:33">
      <c r="AG3476" s="10"/>
    </row>
    <row r="3477" spans="33:33">
      <c r="AG3477" s="10"/>
    </row>
    <row r="3478" spans="33:33">
      <c r="AG3478" s="10"/>
    </row>
    <row r="3479" spans="33:33">
      <c r="AG3479" s="10"/>
    </row>
    <row r="3480" spans="33:33">
      <c r="AG3480" s="10"/>
    </row>
    <row r="3481" spans="33:33">
      <c r="AG3481" s="10"/>
    </row>
    <row r="3482" spans="33:33">
      <c r="AG3482" s="10"/>
    </row>
    <row r="3483" spans="33:33">
      <c r="AG3483" s="10"/>
    </row>
    <row r="3484" spans="33:33">
      <c r="AG3484" s="10"/>
    </row>
    <row r="3485" spans="33:33">
      <c r="AG3485" s="10"/>
    </row>
    <row r="3486" spans="33:33">
      <c r="AG3486" s="10"/>
    </row>
    <row r="3487" spans="33:33">
      <c r="AG3487" s="10"/>
    </row>
    <row r="3488" spans="33:33">
      <c r="AG3488" s="10"/>
    </row>
    <row r="3489" spans="33:33">
      <c r="AG3489" s="10"/>
    </row>
    <row r="3490" spans="33:33">
      <c r="AG3490" s="10"/>
    </row>
    <row r="3491" spans="33:33">
      <c r="AG3491" s="10"/>
    </row>
    <row r="3492" spans="33:33">
      <c r="AG3492" s="10"/>
    </row>
    <row r="3493" spans="33:33">
      <c r="AG3493" s="10"/>
    </row>
    <row r="3494" spans="33:33">
      <c r="AG3494" s="10"/>
    </row>
    <row r="3495" spans="33:33">
      <c r="AG3495" s="10"/>
    </row>
    <row r="3496" spans="33:33">
      <c r="AG3496" s="10"/>
    </row>
    <row r="3497" spans="33:33">
      <c r="AG3497" s="10"/>
    </row>
    <row r="3498" spans="33:33">
      <c r="AG3498" s="10"/>
    </row>
    <row r="3499" spans="33:33">
      <c r="AG3499" s="10"/>
    </row>
    <row r="3500" spans="33:33">
      <c r="AG3500" s="10"/>
    </row>
    <row r="3501" spans="33:33">
      <c r="AG3501" s="10"/>
    </row>
    <row r="3502" spans="33:33">
      <c r="AG3502" s="10"/>
    </row>
    <row r="3503" spans="33:33">
      <c r="AG3503" s="10"/>
    </row>
    <row r="3504" spans="33:33">
      <c r="AG3504" s="10"/>
    </row>
    <row r="3505" spans="33:33">
      <c r="AG3505" s="10"/>
    </row>
    <row r="3506" spans="33:33">
      <c r="AG3506" s="10"/>
    </row>
    <row r="3507" spans="33:33">
      <c r="AG3507" s="10"/>
    </row>
    <row r="3508" spans="33:33">
      <c r="AG3508" s="10"/>
    </row>
    <row r="3509" spans="33:33">
      <c r="AG3509" s="10"/>
    </row>
    <row r="3510" spans="33:33">
      <c r="AG3510" s="10"/>
    </row>
    <row r="3511" spans="33:33">
      <c r="AG3511" s="10"/>
    </row>
    <row r="3512" spans="33:33">
      <c r="AG3512" s="10"/>
    </row>
    <row r="3513" spans="33:33">
      <c r="AG3513" s="10"/>
    </row>
    <row r="3514" spans="33:33">
      <c r="AG3514" s="10"/>
    </row>
    <row r="3515" spans="33:33">
      <c r="AG3515" s="10"/>
    </row>
    <row r="3516" spans="33:33">
      <c r="AG3516" s="10"/>
    </row>
    <row r="3517" spans="33:33">
      <c r="AG3517" s="10"/>
    </row>
    <row r="3518" spans="33:33">
      <c r="AG3518" s="10"/>
    </row>
    <row r="3519" spans="33:33">
      <c r="AG3519" s="10"/>
    </row>
    <row r="3520" spans="33:33">
      <c r="AG3520" s="10"/>
    </row>
    <row r="3521" spans="33:33">
      <c r="AG3521" s="10"/>
    </row>
    <row r="3522" spans="33:33">
      <c r="AG3522" s="10"/>
    </row>
    <row r="3523" spans="33:33">
      <c r="AG3523" s="10"/>
    </row>
    <row r="3524" spans="33:33">
      <c r="AG3524" s="10"/>
    </row>
    <row r="3525" spans="33:33">
      <c r="AG3525" s="10"/>
    </row>
    <row r="3526" spans="33:33">
      <c r="AG3526" s="10"/>
    </row>
    <row r="3527" spans="33:33">
      <c r="AG3527" s="10"/>
    </row>
    <row r="3528" spans="33:33">
      <c r="AG3528" s="10"/>
    </row>
    <row r="3529" spans="33:33">
      <c r="AG3529" s="10"/>
    </row>
    <row r="3530" spans="33:33">
      <c r="AG3530" s="10"/>
    </row>
    <row r="3531" spans="33:33">
      <c r="AG3531" s="10"/>
    </row>
    <row r="3532" spans="33:33">
      <c r="AG3532" s="10"/>
    </row>
    <row r="3533" spans="33:33">
      <c r="AG3533" s="10"/>
    </row>
    <row r="3534" spans="33:33">
      <c r="AG3534" s="10"/>
    </row>
    <row r="3535" spans="33:33">
      <c r="AG3535" s="10"/>
    </row>
    <row r="3536" spans="33:33">
      <c r="AG3536" s="10"/>
    </row>
    <row r="3537" spans="33:33">
      <c r="AG3537" s="10"/>
    </row>
    <row r="3538" spans="33:33">
      <c r="AG3538" s="10"/>
    </row>
    <row r="3539" spans="33:33">
      <c r="AG3539" s="10"/>
    </row>
    <row r="3540" spans="33:33">
      <c r="AG3540" s="10"/>
    </row>
    <row r="3541" spans="33:33">
      <c r="AG3541" s="10"/>
    </row>
    <row r="3542" spans="33:33">
      <c r="AG3542" s="10"/>
    </row>
    <row r="3543" spans="33:33">
      <c r="AG3543" s="10"/>
    </row>
    <row r="3544" spans="33:33">
      <c r="AG3544" s="10"/>
    </row>
    <row r="3545" spans="33:33">
      <c r="AG3545" s="10"/>
    </row>
    <row r="3546" spans="33:33">
      <c r="AG3546" s="10"/>
    </row>
    <row r="3547" spans="33:33">
      <c r="AG3547" s="10"/>
    </row>
    <row r="3548" spans="33:33">
      <c r="AG3548" s="10"/>
    </row>
    <row r="3549" spans="33:33">
      <c r="AG3549" s="10"/>
    </row>
    <row r="3550" spans="33:33">
      <c r="AG3550" s="10"/>
    </row>
    <row r="3551" spans="33:33">
      <c r="AG3551" s="10"/>
    </row>
    <row r="3552" spans="33:33">
      <c r="AG3552" s="10"/>
    </row>
    <row r="3553" spans="33:33">
      <c r="AG3553" s="10"/>
    </row>
    <row r="3554" spans="33:33">
      <c r="AG3554" s="10"/>
    </row>
    <row r="3555" spans="33:33">
      <c r="AG3555" s="10"/>
    </row>
    <row r="3556" spans="33:33">
      <c r="AG3556" s="10"/>
    </row>
    <row r="3557" spans="33:33">
      <c r="AG3557" s="10"/>
    </row>
    <row r="3558" spans="33:33">
      <c r="AG3558" s="10"/>
    </row>
    <row r="3559" spans="33:33">
      <c r="AG3559" s="10"/>
    </row>
    <row r="3560" spans="33:33">
      <c r="AG3560" s="10"/>
    </row>
    <row r="3561" spans="33:33">
      <c r="AG3561" s="10"/>
    </row>
    <row r="3562" spans="33:33">
      <c r="AG3562" s="10"/>
    </row>
    <row r="3563" spans="33:33">
      <c r="AG3563" s="10"/>
    </row>
    <row r="3564" spans="33:33">
      <c r="AG3564" s="10"/>
    </row>
    <row r="3565" spans="33:33">
      <c r="AG3565" s="10"/>
    </row>
    <row r="3566" spans="33:33">
      <c r="AG3566" s="10"/>
    </row>
    <row r="3567" spans="33:33">
      <c r="AG3567" s="10"/>
    </row>
    <row r="3568" spans="33:33">
      <c r="AG3568" s="10"/>
    </row>
    <row r="3569" spans="33:33">
      <c r="AG3569" s="10"/>
    </row>
    <row r="3570" spans="33:33">
      <c r="AG3570" s="10"/>
    </row>
    <row r="3571" spans="33:33">
      <c r="AG3571" s="10"/>
    </row>
    <row r="3572" spans="33:33">
      <c r="AG3572" s="10"/>
    </row>
    <row r="3573" spans="33:33">
      <c r="AG3573" s="10"/>
    </row>
    <row r="3574" spans="33:33">
      <c r="AG3574" s="10"/>
    </row>
    <row r="3575" spans="33:33">
      <c r="AG3575" s="10"/>
    </row>
    <row r="3576" spans="33:33">
      <c r="AG3576" s="10"/>
    </row>
    <row r="3577" spans="33:33">
      <c r="AG3577" s="10"/>
    </row>
    <row r="3578" spans="33:33">
      <c r="AG3578" s="10"/>
    </row>
    <row r="3579" spans="33:33">
      <c r="AG3579" s="10"/>
    </row>
    <row r="3580" spans="33:33">
      <c r="AG3580" s="10"/>
    </row>
    <row r="3581" spans="33:33">
      <c r="AG3581" s="10"/>
    </row>
    <row r="3582" spans="33:33">
      <c r="AG3582" s="10"/>
    </row>
    <row r="3583" spans="33:33">
      <c r="AG3583" s="10"/>
    </row>
    <row r="3584" spans="33:33">
      <c r="AG3584" s="10"/>
    </row>
    <row r="3585" spans="33:33">
      <c r="AG3585" s="10"/>
    </row>
    <row r="3586" spans="33:33">
      <c r="AG3586" s="10"/>
    </row>
    <row r="3587" spans="33:33">
      <c r="AG3587" s="10"/>
    </row>
    <row r="3588" spans="33:33">
      <c r="AG3588" s="10"/>
    </row>
    <row r="3589" spans="33:33">
      <c r="AG3589" s="10"/>
    </row>
    <row r="3590" spans="33:33">
      <c r="AG3590" s="10"/>
    </row>
    <row r="3591" spans="33:33">
      <c r="AG3591" s="10"/>
    </row>
    <row r="3592" spans="33:33">
      <c r="AG3592" s="10"/>
    </row>
    <row r="3593" spans="33:33">
      <c r="AG3593" s="10"/>
    </row>
    <row r="3594" spans="33:33">
      <c r="AG3594" s="10"/>
    </row>
    <row r="3595" spans="33:33">
      <c r="AG3595" s="10"/>
    </row>
    <row r="3596" spans="33:33">
      <c r="AG3596" s="10"/>
    </row>
    <row r="3597" spans="33:33">
      <c r="AG3597" s="10"/>
    </row>
    <row r="3598" spans="33:33">
      <c r="AG3598" s="10"/>
    </row>
    <row r="3599" spans="33:33">
      <c r="AG3599" s="10"/>
    </row>
    <row r="3600" spans="33:33">
      <c r="AG3600" s="10"/>
    </row>
    <row r="3601" spans="33:33">
      <c r="AG3601" s="10"/>
    </row>
    <row r="3602" spans="33:33">
      <c r="AG3602" s="10"/>
    </row>
    <row r="3603" spans="33:33">
      <c r="AG3603" s="10"/>
    </row>
    <row r="3604" spans="33:33">
      <c r="AG3604" s="10"/>
    </row>
    <row r="3605" spans="33:33">
      <c r="AG3605" s="10"/>
    </row>
    <row r="3606" spans="33:33">
      <c r="AG3606" s="10"/>
    </row>
    <row r="3607" spans="33:33">
      <c r="AG3607" s="10"/>
    </row>
    <row r="3608" spans="33:33">
      <c r="AG3608" s="10"/>
    </row>
    <row r="3609" spans="33:33">
      <c r="AG3609" s="10"/>
    </row>
    <row r="3610" spans="33:33">
      <c r="AG3610" s="10"/>
    </row>
    <row r="3611" spans="33:33">
      <c r="AG3611" s="10"/>
    </row>
    <row r="3612" spans="33:33">
      <c r="AG3612" s="10"/>
    </row>
    <row r="3613" spans="33:33">
      <c r="AG3613" s="10"/>
    </row>
    <row r="3614" spans="33:33">
      <c r="AG3614" s="10"/>
    </row>
    <row r="3615" spans="33:33">
      <c r="AG3615" s="10"/>
    </row>
    <row r="3616" spans="33:33">
      <c r="AG3616" s="10"/>
    </row>
    <row r="3617" spans="33:33">
      <c r="AG3617" s="10"/>
    </row>
    <row r="3618" spans="33:33">
      <c r="AG3618" s="10"/>
    </row>
    <row r="3619" spans="33:33">
      <c r="AG3619" s="10"/>
    </row>
    <row r="3620" spans="33:33">
      <c r="AG3620" s="10"/>
    </row>
    <row r="3621" spans="33:33">
      <c r="AG3621" s="10"/>
    </row>
    <row r="3622" spans="33:33">
      <c r="AG3622" s="10"/>
    </row>
    <row r="3623" spans="33:33">
      <c r="AG3623" s="10"/>
    </row>
    <row r="3624" spans="33:33">
      <c r="AG3624" s="10"/>
    </row>
    <row r="3625" spans="33:33">
      <c r="AG3625" s="10"/>
    </row>
    <row r="3626" spans="33:33">
      <c r="AG3626" s="10"/>
    </row>
    <row r="3627" spans="33:33">
      <c r="AG3627" s="10"/>
    </row>
    <row r="3628" spans="33:33">
      <c r="AG3628" s="10"/>
    </row>
    <row r="3629" spans="33:33">
      <c r="AG3629" s="10"/>
    </row>
    <row r="3630" spans="33:33">
      <c r="AG3630" s="10"/>
    </row>
    <row r="3631" spans="33:33">
      <c r="AG3631" s="10"/>
    </row>
    <row r="3632" spans="33:33">
      <c r="AG3632" s="10"/>
    </row>
    <row r="3633" spans="33:33">
      <c r="AG3633" s="10"/>
    </row>
    <row r="3634" spans="33:33">
      <c r="AG3634" s="10"/>
    </row>
    <row r="3635" spans="33:33">
      <c r="AG3635" s="10"/>
    </row>
    <row r="3636" spans="33:33">
      <c r="AG3636" s="10"/>
    </row>
    <row r="3637" spans="33:33">
      <c r="AG3637" s="10"/>
    </row>
    <row r="3638" spans="33:33">
      <c r="AG3638" s="10"/>
    </row>
    <row r="3639" spans="33:33">
      <c r="AG3639" s="10"/>
    </row>
    <row r="3640" spans="33:33">
      <c r="AG3640" s="10"/>
    </row>
    <row r="3641" spans="33:33">
      <c r="AG3641" s="10"/>
    </row>
    <row r="3642" spans="33:33">
      <c r="AG3642" s="10"/>
    </row>
    <row r="3643" spans="33:33">
      <c r="AG3643" s="10"/>
    </row>
    <row r="3644" spans="33:33">
      <c r="AG3644" s="10"/>
    </row>
    <row r="3645" spans="33:33">
      <c r="AG3645" s="10"/>
    </row>
    <row r="3646" spans="33:33">
      <c r="AG3646" s="10"/>
    </row>
    <row r="3647" spans="33:33">
      <c r="AG3647" s="10"/>
    </row>
    <row r="3648" spans="33:33">
      <c r="AG3648" s="10"/>
    </row>
    <row r="3649" spans="33:33">
      <c r="AG3649" s="10"/>
    </row>
    <row r="3650" spans="33:33">
      <c r="AG3650" s="10"/>
    </row>
    <row r="3651" spans="33:33">
      <c r="AG3651" s="10"/>
    </row>
    <row r="3652" spans="33:33">
      <c r="AG3652" s="10"/>
    </row>
    <row r="3653" spans="33:33">
      <c r="AG3653" s="10"/>
    </row>
    <row r="3654" spans="33:33">
      <c r="AG3654" s="10"/>
    </row>
    <row r="3655" spans="33:33">
      <c r="AG3655" s="10"/>
    </row>
    <row r="3656" spans="33:33">
      <c r="AG3656" s="10"/>
    </row>
    <row r="3657" spans="33:33">
      <c r="AG3657" s="10"/>
    </row>
    <row r="3658" spans="33:33">
      <c r="AG3658" s="10"/>
    </row>
    <row r="3659" spans="33:33">
      <c r="AG3659" s="10"/>
    </row>
    <row r="3660" spans="33:33">
      <c r="AG3660" s="10"/>
    </row>
    <row r="3661" spans="33:33">
      <c r="AG3661" s="10"/>
    </row>
    <row r="3662" spans="33:33">
      <c r="AG3662" s="10"/>
    </row>
    <row r="3663" spans="33:33">
      <c r="AG3663" s="10"/>
    </row>
    <row r="3664" spans="33:33">
      <c r="AG3664" s="10"/>
    </row>
    <row r="3665" spans="33:33">
      <c r="AG3665" s="10"/>
    </row>
    <row r="3666" spans="33:33">
      <c r="AG3666" s="10"/>
    </row>
    <row r="3667" spans="33:33">
      <c r="AG3667" s="10"/>
    </row>
    <row r="3668" spans="33:33">
      <c r="AG3668" s="10"/>
    </row>
    <row r="3669" spans="33:33">
      <c r="AG3669" s="10"/>
    </row>
    <row r="3670" spans="33:33">
      <c r="AG3670" s="10"/>
    </row>
    <row r="3671" spans="33:33">
      <c r="AG3671" s="10"/>
    </row>
    <row r="3672" spans="33:33">
      <c r="AG3672" s="10"/>
    </row>
    <row r="3673" spans="33:33">
      <c r="AG3673" s="10"/>
    </row>
    <row r="3674" spans="33:33">
      <c r="AG3674" s="10"/>
    </row>
    <row r="3675" spans="33:33">
      <c r="AG3675" s="10"/>
    </row>
    <row r="3676" spans="33:33">
      <c r="AG3676" s="10"/>
    </row>
    <row r="3677" spans="33:33">
      <c r="AG3677" s="10"/>
    </row>
    <row r="3678" spans="33:33">
      <c r="AG3678" s="10"/>
    </row>
    <row r="3679" spans="33:33">
      <c r="AG3679" s="10"/>
    </row>
    <row r="3680" spans="33:33">
      <c r="AG3680" s="10"/>
    </row>
    <row r="3681" spans="33:33">
      <c r="AG3681" s="10"/>
    </row>
    <row r="3682" spans="33:33">
      <c r="AG3682" s="10"/>
    </row>
    <row r="3683" spans="33:33">
      <c r="AG3683" s="10"/>
    </row>
    <row r="3684" spans="33:33">
      <c r="AG3684" s="10"/>
    </row>
    <row r="3685" spans="33:33">
      <c r="AG3685" s="10"/>
    </row>
    <row r="3686" spans="33:33">
      <c r="AG3686" s="10"/>
    </row>
    <row r="3687" spans="33:33">
      <c r="AG3687" s="10"/>
    </row>
    <row r="3688" spans="33:33">
      <c r="AG3688" s="10"/>
    </row>
    <row r="3689" spans="33:33">
      <c r="AG3689" s="10"/>
    </row>
    <row r="3690" spans="33:33">
      <c r="AG3690" s="10"/>
    </row>
    <row r="3691" spans="33:33">
      <c r="AG3691" s="10"/>
    </row>
    <row r="3692" spans="33:33">
      <c r="AG3692" s="10"/>
    </row>
    <row r="3693" spans="33:33">
      <c r="AG3693" s="10"/>
    </row>
    <row r="3694" spans="33:33">
      <c r="AG3694" s="10"/>
    </row>
    <row r="3695" spans="33:33">
      <c r="AG3695" s="10"/>
    </row>
    <row r="3696" spans="33:33">
      <c r="AG3696" s="10"/>
    </row>
    <row r="3697" spans="33:33">
      <c r="AG3697" s="10"/>
    </row>
    <row r="3698" spans="33:33">
      <c r="AG3698" s="10"/>
    </row>
    <row r="3699" spans="33:33">
      <c r="AG3699" s="10"/>
    </row>
    <row r="3700" spans="33:33">
      <c r="AG3700" s="10"/>
    </row>
    <row r="3701" spans="33:33">
      <c r="AG3701" s="10"/>
    </row>
    <row r="3702" spans="33:33">
      <c r="AG3702" s="10"/>
    </row>
    <row r="3703" spans="33:33">
      <c r="AG3703" s="10"/>
    </row>
    <row r="3704" spans="33:33">
      <c r="AG3704" s="10"/>
    </row>
    <row r="3705" spans="33:33">
      <c r="AG3705" s="10"/>
    </row>
    <row r="3706" spans="33:33">
      <c r="AG3706" s="10"/>
    </row>
    <row r="3707" spans="33:33">
      <c r="AG3707" s="10"/>
    </row>
    <row r="3708" spans="33:33">
      <c r="AG3708" s="10"/>
    </row>
    <row r="3709" spans="33:33">
      <c r="AG3709" s="10"/>
    </row>
    <row r="3710" spans="33:33">
      <c r="AG3710" s="10"/>
    </row>
    <row r="3711" spans="33:33">
      <c r="AG3711" s="10"/>
    </row>
    <row r="3712" spans="33:33">
      <c r="AG3712" s="10"/>
    </row>
    <row r="3713" spans="33:33">
      <c r="AG3713" s="10"/>
    </row>
    <row r="3714" spans="33:33">
      <c r="AG3714" s="10"/>
    </row>
    <row r="3715" spans="33:33">
      <c r="AG3715" s="10"/>
    </row>
    <row r="3716" spans="33:33">
      <c r="AG3716" s="10"/>
    </row>
    <row r="3717" spans="33:33">
      <c r="AG3717" s="10"/>
    </row>
    <row r="3718" spans="33:33">
      <c r="AG3718" s="10"/>
    </row>
    <row r="3719" spans="33:33">
      <c r="AG3719" s="10"/>
    </row>
    <row r="3720" spans="33:33">
      <c r="AG3720" s="10"/>
    </row>
    <row r="3721" spans="33:33">
      <c r="AG3721" s="10"/>
    </row>
    <row r="3722" spans="33:33">
      <c r="AG3722" s="10"/>
    </row>
    <row r="3723" spans="33:33">
      <c r="AG3723" s="10"/>
    </row>
    <row r="3724" spans="33:33">
      <c r="AG3724" s="10"/>
    </row>
    <row r="3725" spans="33:33">
      <c r="AG3725" s="10"/>
    </row>
    <row r="3726" spans="33:33">
      <c r="AG3726" s="10"/>
    </row>
    <row r="3727" spans="33:33">
      <c r="AG3727" s="10"/>
    </row>
    <row r="3728" spans="33:33">
      <c r="AG3728" s="10"/>
    </row>
    <row r="3729" spans="33:33">
      <c r="AG3729" s="10"/>
    </row>
    <row r="3730" spans="33:33">
      <c r="AG3730" s="10"/>
    </row>
    <row r="3731" spans="33:33">
      <c r="AG3731" s="10"/>
    </row>
    <row r="3732" spans="33:33">
      <c r="AG3732" s="10"/>
    </row>
    <row r="3733" spans="33:33">
      <c r="AG3733" s="10"/>
    </row>
    <row r="3734" spans="33:33">
      <c r="AG3734" s="10"/>
    </row>
    <row r="3735" spans="33:33">
      <c r="AG3735" s="10"/>
    </row>
    <row r="3736" spans="33:33">
      <c r="AG3736" s="10"/>
    </row>
    <row r="3737" spans="33:33">
      <c r="AG3737" s="10"/>
    </row>
    <row r="3738" spans="33:33">
      <c r="AG3738" s="10"/>
    </row>
    <row r="3739" spans="33:33">
      <c r="AG3739" s="10"/>
    </row>
    <row r="3740" spans="33:33">
      <c r="AG3740" s="10"/>
    </row>
    <row r="3741" spans="33:33">
      <c r="AG3741" s="10"/>
    </row>
    <row r="3742" spans="33:33">
      <c r="AG3742" s="10"/>
    </row>
    <row r="3743" spans="33:33">
      <c r="AG3743" s="10"/>
    </row>
    <row r="3744" spans="33:33">
      <c r="AG3744" s="10"/>
    </row>
    <row r="3745" spans="33:33">
      <c r="AG3745" s="10"/>
    </row>
    <row r="3746" spans="33:33">
      <c r="AG3746" s="10"/>
    </row>
    <row r="3747" spans="33:33">
      <c r="AG3747" s="10"/>
    </row>
    <row r="3748" spans="33:33">
      <c r="AG3748" s="10"/>
    </row>
    <row r="3749" spans="33:33">
      <c r="AG3749" s="10"/>
    </row>
    <row r="3750" spans="33:33">
      <c r="AG3750" s="10"/>
    </row>
    <row r="3751" spans="33:33">
      <c r="AG3751" s="10"/>
    </row>
    <row r="3752" spans="33:33">
      <c r="AG3752" s="10"/>
    </row>
    <row r="3753" spans="33:33">
      <c r="AG3753" s="10"/>
    </row>
    <row r="3754" spans="33:33">
      <c r="AG3754" s="10"/>
    </row>
    <row r="3755" spans="33:33">
      <c r="AG3755" s="10"/>
    </row>
    <row r="3756" spans="33:33">
      <c r="AG3756" s="10"/>
    </row>
    <row r="3757" spans="33:33">
      <c r="AG3757" s="10"/>
    </row>
    <row r="3758" spans="33:33">
      <c r="AG3758" s="10"/>
    </row>
    <row r="3759" spans="33:33">
      <c r="AG3759" s="10"/>
    </row>
    <row r="3760" spans="33:33">
      <c r="AG3760" s="10"/>
    </row>
    <row r="3761" spans="33:33">
      <c r="AG3761" s="10"/>
    </row>
    <row r="3762" spans="33:33">
      <c r="AG3762" s="10"/>
    </row>
    <row r="3763" spans="33:33">
      <c r="AG3763" s="10"/>
    </row>
    <row r="3764" spans="33:33">
      <c r="AG3764" s="10"/>
    </row>
    <row r="3765" spans="33:33">
      <c r="AG3765" s="10"/>
    </row>
    <row r="3766" spans="33:33">
      <c r="AG3766" s="10"/>
    </row>
    <row r="3767" spans="33:33">
      <c r="AG3767" s="10"/>
    </row>
    <row r="3768" spans="33:33">
      <c r="AG3768" s="10"/>
    </row>
    <row r="3769" spans="33:33">
      <c r="AG3769" s="10"/>
    </row>
    <row r="3770" spans="33:33">
      <c r="AG3770" s="10"/>
    </row>
    <row r="3771" spans="33:33">
      <c r="AG3771" s="10"/>
    </row>
    <row r="3772" spans="33:33">
      <c r="AG3772" s="10"/>
    </row>
    <row r="3773" spans="33:33">
      <c r="AG3773" s="10"/>
    </row>
    <row r="3774" spans="33:33">
      <c r="AG3774" s="10"/>
    </row>
    <row r="3775" spans="33:33">
      <c r="AG3775" s="10"/>
    </row>
    <row r="3776" spans="33:33">
      <c r="AG3776" s="10"/>
    </row>
    <row r="3777" spans="33:33">
      <c r="AG3777" s="10"/>
    </row>
    <row r="3778" spans="33:33">
      <c r="AG3778" s="10"/>
    </row>
    <row r="3779" spans="33:33">
      <c r="AG3779" s="10"/>
    </row>
    <row r="3780" spans="33:33">
      <c r="AG3780" s="10"/>
    </row>
    <row r="3781" spans="33:33">
      <c r="AG3781" s="10"/>
    </row>
    <row r="3782" spans="33:33">
      <c r="AG3782" s="10"/>
    </row>
    <row r="3783" spans="33:33">
      <c r="AG3783" s="10"/>
    </row>
    <row r="3784" spans="33:33">
      <c r="AG3784" s="10"/>
    </row>
    <row r="3785" spans="33:33">
      <c r="AG3785" s="10"/>
    </row>
    <row r="3786" spans="33:33">
      <c r="AG3786" s="10"/>
    </row>
    <row r="3787" spans="33:33">
      <c r="AG3787" s="10"/>
    </row>
    <row r="3788" spans="33:33">
      <c r="AG3788" s="10"/>
    </row>
    <row r="3789" spans="33:33">
      <c r="AG3789" s="10"/>
    </row>
    <row r="3790" spans="33:33">
      <c r="AG3790" s="10"/>
    </row>
    <row r="3791" spans="33:33">
      <c r="AG3791" s="10"/>
    </row>
    <row r="3792" spans="33:33">
      <c r="AG3792" s="10"/>
    </row>
    <row r="3793" spans="33:33">
      <c r="AG3793" s="10"/>
    </row>
    <row r="3794" spans="33:33">
      <c r="AG3794" s="10"/>
    </row>
    <row r="3795" spans="33:33">
      <c r="AG3795" s="10"/>
    </row>
    <row r="3796" spans="33:33">
      <c r="AG3796" s="10"/>
    </row>
    <row r="3797" spans="33:33">
      <c r="AG3797" s="10"/>
    </row>
    <row r="3798" spans="33:33">
      <c r="AG3798" s="10"/>
    </row>
    <row r="3799" spans="33:33">
      <c r="AG3799" s="10"/>
    </row>
    <row r="3800" spans="33:33">
      <c r="AG3800" s="10"/>
    </row>
    <row r="3801" spans="33:33">
      <c r="AG3801" s="10"/>
    </row>
    <row r="3802" spans="33:33">
      <c r="AG3802" s="10"/>
    </row>
    <row r="3803" spans="33:33">
      <c r="AG3803" s="10"/>
    </row>
    <row r="3804" spans="33:33">
      <c r="AG3804" s="10"/>
    </row>
    <row r="3805" spans="33:33">
      <c r="AG3805" s="10"/>
    </row>
    <row r="3806" spans="33:33">
      <c r="AG3806" s="10"/>
    </row>
    <row r="3807" spans="33:33">
      <c r="AG3807" s="10"/>
    </row>
    <row r="3808" spans="33:33">
      <c r="AG3808" s="10"/>
    </row>
    <row r="3809" spans="33:33">
      <c r="AG3809" s="10"/>
    </row>
    <row r="3810" spans="33:33">
      <c r="AG3810" s="10"/>
    </row>
    <row r="3811" spans="33:33">
      <c r="AG3811" s="10"/>
    </row>
    <row r="3812" spans="33:33">
      <c r="AG3812" s="10"/>
    </row>
    <row r="3813" spans="33:33">
      <c r="AG3813" s="10"/>
    </row>
    <row r="3814" spans="33:33">
      <c r="AG3814" s="10"/>
    </row>
    <row r="3815" spans="33:33">
      <c r="AG3815" s="10"/>
    </row>
    <row r="3816" spans="33:33">
      <c r="AG3816" s="10"/>
    </row>
    <row r="3817" spans="33:33">
      <c r="AG3817" s="10"/>
    </row>
    <row r="3818" spans="33:33">
      <c r="AG3818" s="10"/>
    </row>
    <row r="3819" spans="33:33">
      <c r="AG3819" s="10"/>
    </row>
    <row r="3820" spans="33:33">
      <c r="AG3820" s="10"/>
    </row>
    <row r="3821" spans="33:33">
      <c r="AG3821" s="10"/>
    </row>
    <row r="3822" spans="33:33">
      <c r="AG3822" s="10"/>
    </row>
    <row r="3823" spans="33:33">
      <c r="AG3823" s="10"/>
    </row>
    <row r="3824" spans="33:33">
      <c r="AG3824" s="10"/>
    </row>
    <row r="3825" spans="33:33">
      <c r="AG3825" s="10"/>
    </row>
    <row r="3826" spans="33:33">
      <c r="AG3826" s="10"/>
    </row>
    <row r="3827" spans="33:33">
      <c r="AG3827" s="10"/>
    </row>
    <row r="3828" spans="33:33">
      <c r="AG3828" s="10"/>
    </row>
    <row r="3829" spans="33:33">
      <c r="AG3829" s="10"/>
    </row>
    <row r="3830" spans="33:33">
      <c r="AG3830" s="10"/>
    </row>
    <row r="3831" spans="33:33">
      <c r="AG3831" s="10"/>
    </row>
    <row r="3832" spans="33:33">
      <c r="AG3832" s="10"/>
    </row>
    <row r="3833" spans="33:33">
      <c r="AG3833" s="10"/>
    </row>
    <row r="3834" spans="33:33">
      <c r="AG3834" s="10"/>
    </row>
    <row r="3835" spans="33:33">
      <c r="AG3835" s="10"/>
    </row>
    <row r="3836" spans="33:33">
      <c r="AG3836" s="10"/>
    </row>
    <row r="3837" spans="33:33">
      <c r="AG3837" s="10"/>
    </row>
    <row r="3838" spans="33:33">
      <c r="AG3838" s="10"/>
    </row>
    <row r="3839" spans="33:33">
      <c r="AG3839" s="10"/>
    </row>
    <row r="3840" spans="33:33">
      <c r="AG3840" s="10"/>
    </row>
    <row r="3841" spans="33:33">
      <c r="AG3841" s="10"/>
    </row>
    <row r="3842" spans="33:33">
      <c r="AG3842" s="10"/>
    </row>
    <row r="3843" spans="33:33">
      <c r="AG3843" s="10"/>
    </row>
    <row r="3844" spans="33:33">
      <c r="AG3844" s="10"/>
    </row>
    <row r="3845" spans="33:33">
      <c r="AG3845" s="10"/>
    </row>
    <row r="3846" spans="33:33">
      <c r="AG3846" s="10"/>
    </row>
    <row r="3847" spans="33:33">
      <c r="AG3847" s="10"/>
    </row>
    <row r="3848" spans="33:33">
      <c r="AG3848" s="10"/>
    </row>
    <row r="3849" spans="33:33">
      <c r="AG3849" s="10"/>
    </row>
    <row r="3850" spans="33:33">
      <c r="AG3850" s="10"/>
    </row>
    <row r="3851" spans="33:33">
      <c r="AG3851" s="10"/>
    </row>
    <row r="3852" spans="33:33">
      <c r="AG3852" s="10"/>
    </row>
    <row r="3853" spans="33:33">
      <c r="AG3853" s="10"/>
    </row>
    <row r="3854" spans="33:33">
      <c r="AG3854" s="10"/>
    </row>
    <row r="3855" spans="33:33">
      <c r="AG3855" s="10"/>
    </row>
    <row r="3856" spans="33:33">
      <c r="AG3856" s="10"/>
    </row>
    <row r="3857" spans="33:33">
      <c r="AG3857" s="10"/>
    </row>
    <row r="3858" spans="33:33">
      <c r="AG3858" s="10"/>
    </row>
    <row r="3859" spans="33:33">
      <c r="AG3859" s="10"/>
    </row>
    <row r="3860" spans="33:33">
      <c r="AG3860" s="10"/>
    </row>
    <row r="3861" spans="33:33">
      <c r="AG3861" s="10"/>
    </row>
    <row r="3862" spans="33:33">
      <c r="AG3862" s="10"/>
    </row>
    <row r="3863" spans="33:33">
      <c r="AG3863" s="10"/>
    </row>
    <row r="3864" spans="33:33">
      <c r="AG3864" s="10"/>
    </row>
    <row r="3865" spans="33:33">
      <c r="AG3865" s="10"/>
    </row>
    <row r="3866" spans="33:33">
      <c r="AG3866" s="10"/>
    </row>
    <row r="3867" spans="33:33">
      <c r="AG3867" s="10"/>
    </row>
    <row r="3868" spans="33:33">
      <c r="AG3868" s="10"/>
    </row>
    <row r="3869" spans="33:33">
      <c r="AG3869" s="10"/>
    </row>
    <row r="3870" spans="33:33">
      <c r="AG3870" s="10"/>
    </row>
    <row r="3871" spans="33:33">
      <c r="AG3871" s="10"/>
    </row>
    <row r="3872" spans="33:33">
      <c r="AG3872" s="10"/>
    </row>
    <row r="3873" spans="33:33">
      <c r="AG3873" s="10"/>
    </row>
    <row r="3874" spans="33:33">
      <c r="AG3874" s="10"/>
    </row>
    <row r="3875" spans="33:33">
      <c r="AG3875" s="10"/>
    </row>
    <row r="3876" spans="33:33">
      <c r="AG3876" s="10"/>
    </row>
    <row r="3877" spans="33:33">
      <c r="AG3877" s="10"/>
    </row>
    <row r="3878" spans="33:33">
      <c r="AG3878" s="10"/>
    </row>
    <row r="3879" spans="33:33">
      <c r="AG3879" s="10"/>
    </row>
    <row r="3880" spans="33:33">
      <c r="AG3880" s="10"/>
    </row>
    <row r="3881" spans="33:33">
      <c r="AG3881" s="10"/>
    </row>
    <row r="3882" spans="33:33">
      <c r="AG3882" s="10"/>
    </row>
    <row r="3883" spans="33:33">
      <c r="AG3883" s="10"/>
    </row>
    <row r="3884" spans="33:33">
      <c r="AG3884" s="10"/>
    </row>
    <row r="3885" spans="33:33">
      <c r="AG3885" s="10"/>
    </row>
    <row r="3886" spans="33:33">
      <c r="AG3886" s="10"/>
    </row>
    <row r="3887" spans="33:33">
      <c r="AG3887" s="10"/>
    </row>
    <row r="3888" spans="33:33">
      <c r="AG3888" s="10"/>
    </row>
    <row r="3889" spans="33:33">
      <c r="AG3889" s="10"/>
    </row>
    <row r="3890" spans="33:33">
      <c r="AG3890" s="10"/>
    </row>
    <row r="3891" spans="33:33">
      <c r="AG3891" s="10"/>
    </row>
    <row r="3892" spans="33:33">
      <c r="AG3892" s="10"/>
    </row>
    <row r="3893" spans="33:33">
      <c r="AG3893" s="10"/>
    </row>
    <row r="3894" spans="33:33">
      <c r="AG3894" s="10"/>
    </row>
    <row r="3895" spans="33:33">
      <c r="AG3895" s="10"/>
    </row>
    <row r="3896" spans="33:33">
      <c r="AG3896" s="10"/>
    </row>
    <row r="3897" spans="33:33">
      <c r="AG3897" s="10"/>
    </row>
    <row r="3898" spans="33:33">
      <c r="AG3898" s="10"/>
    </row>
    <row r="3899" spans="33:33">
      <c r="AG3899" s="10"/>
    </row>
    <row r="3900" spans="33:33">
      <c r="AG3900" s="10"/>
    </row>
    <row r="3901" spans="33:33">
      <c r="AG3901" s="10"/>
    </row>
    <row r="3902" spans="33:33">
      <c r="AG3902" s="10"/>
    </row>
    <row r="3903" spans="33:33">
      <c r="AG3903" s="10"/>
    </row>
    <row r="3904" spans="33:33">
      <c r="AG3904" s="10"/>
    </row>
    <row r="3905" spans="33:33">
      <c r="AG3905" s="10"/>
    </row>
    <row r="3906" spans="33:33">
      <c r="AG3906" s="10"/>
    </row>
    <row r="3907" spans="33:33">
      <c r="AG3907" s="10"/>
    </row>
    <row r="3908" spans="33:33">
      <c r="AG3908" s="10"/>
    </row>
    <row r="3909" spans="33:33">
      <c r="AG3909" s="10"/>
    </row>
    <row r="3910" spans="33:33">
      <c r="AG3910" s="10"/>
    </row>
    <row r="3911" spans="33:33">
      <c r="AG3911" s="10"/>
    </row>
    <row r="3912" spans="33:33">
      <c r="AG3912" s="10"/>
    </row>
    <row r="3913" spans="33:33">
      <c r="AG3913" s="10"/>
    </row>
    <row r="3914" spans="33:33">
      <c r="AG3914" s="10"/>
    </row>
    <row r="3915" spans="33:33">
      <c r="AG3915" s="10"/>
    </row>
    <row r="3916" spans="33:33">
      <c r="AG3916" s="10"/>
    </row>
    <row r="3917" spans="33:33">
      <c r="AG3917" s="10"/>
    </row>
    <row r="3918" spans="33:33">
      <c r="AG3918" s="10"/>
    </row>
    <row r="3919" spans="33:33">
      <c r="AG3919" s="10"/>
    </row>
    <row r="3920" spans="33:33">
      <c r="AG3920" s="10"/>
    </row>
    <row r="3921" spans="33:33">
      <c r="AG3921" s="10"/>
    </row>
    <row r="3922" spans="33:33">
      <c r="AG3922" s="10"/>
    </row>
    <row r="3923" spans="33:33">
      <c r="AG3923" s="10"/>
    </row>
    <row r="3924" spans="33:33">
      <c r="AG3924" s="10"/>
    </row>
    <row r="3925" spans="33:33">
      <c r="AG3925" s="10"/>
    </row>
    <row r="3926" spans="33:33">
      <c r="AG3926" s="10"/>
    </row>
    <row r="3927" spans="33:33">
      <c r="AG3927" s="10"/>
    </row>
    <row r="3928" spans="33:33">
      <c r="AG3928" s="10"/>
    </row>
    <row r="3929" spans="33:33">
      <c r="AG3929" s="10"/>
    </row>
    <row r="3930" spans="33:33">
      <c r="AG3930" s="10"/>
    </row>
    <row r="3931" spans="33:33">
      <c r="AG3931" s="10"/>
    </row>
    <row r="3932" spans="33:33">
      <c r="AG3932" s="10"/>
    </row>
    <row r="3933" spans="33:33">
      <c r="AG3933" s="10"/>
    </row>
    <row r="3934" spans="33:33">
      <c r="AG3934" s="10"/>
    </row>
    <row r="3935" spans="33:33">
      <c r="AG3935" s="10"/>
    </row>
    <row r="3936" spans="33:33">
      <c r="AG3936" s="10"/>
    </row>
    <row r="3937" spans="33:33">
      <c r="AG3937" s="10"/>
    </row>
    <row r="3938" spans="33:33">
      <c r="AG3938" s="10"/>
    </row>
    <row r="3939" spans="33:33">
      <c r="AG3939" s="10"/>
    </row>
    <row r="3940" spans="33:33">
      <c r="AG3940" s="10"/>
    </row>
    <row r="3941" spans="33:33">
      <c r="AG3941" s="10"/>
    </row>
    <row r="3942" spans="33:33">
      <c r="AG3942" s="10"/>
    </row>
    <row r="3943" spans="33:33">
      <c r="AG3943" s="10"/>
    </row>
    <row r="3944" spans="33:33">
      <c r="AG3944" s="10"/>
    </row>
    <row r="3945" spans="33:33">
      <c r="AG3945" s="10"/>
    </row>
    <row r="3946" spans="33:33">
      <c r="AG3946" s="10"/>
    </row>
    <row r="3947" spans="33:33">
      <c r="AG3947" s="10"/>
    </row>
    <row r="3948" spans="33:33">
      <c r="AG3948" s="10"/>
    </row>
    <row r="3949" spans="33:33">
      <c r="AG3949" s="10"/>
    </row>
    <row r="3950" spans="33:33">
      <c r="AG3950" s="10"/>
    </row>
    <row r="3951" spans="33:33">
      <c r="AG3951" s="10"/>
    </row>
    <row r="3952" spans="33:33">
      <c r="AG3952" s="10"/>
    </row>
    <row r="3953" spans="33:33">
      <c r="AG3953" s="10"/>
    </row>
    <row r="3954" spans="33:33">
      <c r="AG3954" s="10"/>
    </row>
    <row r="3955" spans="33:33">
      <c r="AG3955" s="10"/>
    </row>
    <row r="3956" spans="33:33">
      <c r="AG3956" s="10"/>
    </row>
    <row r="3957" spans="33:33">
      <c r="AG3957" s="10"/>
    </row>
    <row r="3958" spans="33:33">
      <c r="AG3958" s="10"/>
    </row>
    <row r="3959" spans="33:33">
      <c r="AG3959" s="10"/>
    </row>
    <row r="3960" spans="33:33">
      <c r="AG3960" s="10"/>
    </row>
    <row r="3961" spans="33:33">
      <c r="AG3961" s="10"/>
    </row>
    <row r="3962" spans="33:33">
      <c r="AG3962" s="10"/>
    </row>
    <row r="3963" spans="33:33">
      <c r="AG3963" s="10"/>
    </row>
    <row r="3964" spans="33:33">
      <c r="AG3964" s="10"/>
    </row>
    <row r="3965" spans="33:33">
      <c r="AG3965" s="10"/>
    </row>
    <row r="3966" spans="33:33">
      <c r="AG3966" s="10"/>
    </row>
    <row r="3967" spans="33:33">
      <c r="AG3967" s="10"/>
    </row>
    <row r="3968" spans="33:33">
      <c r="AG3968" s="10"/>
    </row>
    <row r="3969" spans="33:33">
      <c r="AG3969" s="10"/>
    </row>
    <row r="3970" spans="33:33">
      <c r="AG3970" s="10"/>
    </row>
    <row r="3971" spans="33:33">
      <c r="AG3971" s="10"/>
    </row>
    <row r="3972" spans="33:33">
      <c r="AG3972" s="10"/>
    </row>
    <row r="3973" spans="33:33">
      <c r="AG3973" s="10"/>
    </row>
    <row r="3974" spans="33:33">
      <c r="AG3974" s="10"/>
    </row>
    <row r="3975" spans="33:33">
      <c r="AG3975" s="10"/>
    </row>
    <row r="3976" spans="33:33">
      <c r="AG3976" s="10"/>
    </row>
    <row r="3977" spans="33:33">
      <c r="AG3977" s="10"/>
    </row>
    <row r="3978" spans="33:33">
      <c r="AG3978" s="10"/>
    </row>
    <row r="3979" spans="33:33">
      <c r="AG3979" s="10"/>
    </row>
    <row r="3980" spans="33:33">
      <c r="AG3980" s="10"/>
    </row>
    <row r="3981" spans="33:33">
      <c r="AG3981" s="10"/>
    </row>
    <row r="3982" spans="33:33">
      <c r="AG3982" s="10"/>
    </row>
    <row r="3983" spans="33:33">
      <c r="AG3983" s="10"/>
    </row>
    <row r="3984" spans="33:33">
      <c r="AG3984" s="10"/>
    </row>
    <row r="3985" spans="33:33">
      <c r="AG3985" s="10"/>
    </row>
    <row r="3986" spans="33:33">
      <c r="AG3986" s="10"/>
    </row>
    <row r="3987" spans="33:33">
      <c r="AG3987" s="10"/>
    </row>
    <row r="3988" spans="33:33">
      <c r="AG3988" s="10"/>
    </row>
    <row r="3989" spans="33:33">
      <c r="AG3989" s="10"/>
    </row>
    <row r="3990" spans="33:33">
      <c r="AG3990" s="10"/>
    </row>
    <row r="3991" spans="33:33">
      <c r="AG3991" s="10"/>
    </row>
    <row r="3992" spans="33:33">
      <c r="AG3992" s="10"/>
    </row>
    <row r="3993" spans="33:33">
      <c r="AG3993" s="10"/>
    </row>
    <row r="3994" spans="33:33">
      <c r="AG3994" s="10"/>
    </row>
    <row r="3995" spans="33:33">
      <c r="AG3995" s="10"/>
    </row>
    <row r="3996" spans="33:33">
      <c r="AG3996" s="10"/>
    </row>
    <row r="3997" spans="33:33">
      <c r="AG3997" s="10"/>
    </row>
    <row r="3998" spans="33:33">
      <c r="AG3998" s="10"/>
    </row>
    <row r="3999" spans="33:33">
      <c r="AG3999" s="10"/>
    </row>
    <row r="4000" spans="33:33">
      <c r="AG4000" s="10"/>
    </row>
    <row r="4001" spans="33:33">
      <c r="AG4001" s="10"/>
    </row>
    <row r="4002" spans="33:33">
      <c r="AG4002" s="10"/>
    </row>
    <row r="4003" spans="33:33">
      <c r="AG4003" s="10"/>
    </row>
    <row r="4004" spans="33:33">
      <c r="AG4004" s="10"/>
    </row>
    <row r="4005" spans="33:33">
      <c r="AG4005" s="10"/>
    </row>
    <row r="4006" spans="33:33">
      <c r="AG4006" s="10"/>
    </row>
    <row r="4007" spans="33:33">
      <c r="AG4007" s="10"/>
    </row>
    <row r="4008" spans="33:33">
      <c r="AG4008" s="10"/>
    </row>
    <row r="4009" spans="33:33">
      <c r="AG4009" s="10"/>
    </row>
    <row r="4010" spans="33:33">
      <c r="AG4010" s="10"/>
    </row>
    <row r="4011" spans="33:33">
      <c r="AG4011" s="10"/>
    </row>
    <row r="4012" spans="33:33">
      <c r="AG4012" s="10"/>
    </row>
    <row r="4013" spans="33:33">
      <c r="AG4013" s="10"/>
    </row>
    <row r="4014" spans="33:33">
      <c r="AG4014" s="10"/>
    </row>
    <row r="4015" spans="33:33">
      <c r="AG4015" s="10"/>
    </row>
    <row r="4016" spans="33:33">
      <c r="AG4016" s="10"/>
    </row>
    <row r="4017" spans="33:33">
      <c r="AG4017" s="10"/>
    </row>
    <row r="4018" spans="33:33">
      <c r="AG4018" s="10"/>
    </row>
    <row r="4019" spans="33:33">
      <c r="AG4019" s="10"/>
    </row>
    <row r="4020" spans="33:33">
      <c r="AG4020" s="10"/>
    </row>
    <row r="4021" spans="33:33">
      <c r="AG4021" s="10"/>
    </row>
    <row r="4022" spans="33:33">
      <c r="AG4022" s="10"/>
    </row>
    <row r="4023" spans="33:33">
      <c r="AG4023" s="10"/>
    </row>
    <row r="4024" spans="33:33">
      <c r="AG4024" s="10"/>
    </row>
    <row r="4025" spans="33:33">
      <c r="AG4025" s="10"/>
    </row>
    <row r="4026" spans="33:33">
      <c r="AG4026" s="10"/>
    </row>
    <row r="4027" spans="33:33">
      <c r="AG4027" s="10"/>
    </row>
    <row r="4028" spans="33:33">
      <c r="AG4028" s="10"/>
    </row>
    <row r="4029" spans="33:33">
      <c r="AG4029" s="10"/>
    </row>
    <row r="4030" spans="33:33">
      <c r="AG4030" s="10"/>
    </row>
    <row r="4031" spans="33:33">
      <c r="AG4031" s="10"/>
    </row>
    <row r="4032" spans="33:33">
      <c r="AG4032" s="10"/>
    </row>
    <row r="4033" spans="33:33">
      <c r="AG4033" s="10"/>
    </row>
    <row r="4034" spans="33:33">
      <c r="AG4034" s="10"/>
    </row>
    <row r="4035" spans="33:33">
      <c r="AG4035" s="10"/>
    </row>
    <row r="4036" spans="33:33">
      <c r="AG4036" s="10"/>
    </row>
    <row r="4037" spans="33:33">
      <c r="AG4037" s="10"/>
    </row>
    <row r="4038" spans="33:33">
      <c r="AG4038" s="10"/>
    </row>
    <row r="4039" spans="33:33">
      <c r="AG4039" s="10"/>
    </row>
    <row r="4040" spans="33:33">
      <c r="AG4040" s="10"/>
    </row>
    <row r="4041" spans="33:33">
      <c r="AG4041" s="10"/>
    </row>
    <row r="4042" spans="33:33">
      <c r="AG4042" s="10"/>
    </row>
    <row r="4043" spans="33:33">
      <c r="AG4043" s="10"/>
    </row>
    <row r="4044" spans="33:33">
      <c r="AG4044" s="10"/>
    </row>
    <row r="4045" spans="33:33">
      <c r="AG4045" s="10"/>
    </row>
    <row r="4046" spans="33:33">
      <c r="AG4046" s="10"/>
    </row>
    <row r="4047" spans="33:33">
      <c r="AG4047" s="10"/>
    </row>
    <row r="4048" spans="33:33">
      <c r="AG4048" s="10"/>
    </row>
    <row r="4049" spans="33:33">
      <c r="AG4049" s="10"/>
    </row>
    <row r="4050" spans="33:33">
      <c r="AG4050" s="10"/>
    </row>
    <row r="4051" spans="33:33">
      <c r="AG4051" s="10"/>
    </row>
    <row r="4052" spans="33:33">
      <c r="AG4052" s="10"/>
    </row>
    <row r="4053" spans="33:33">
      <c r="AG4053" s="10"/>
    </row>
    <row r="4054" spans="33:33">
      <c r="AG4054" s="10"/>
    </row>
    <row r="4055" spans="33:33">
      <c r="AG4055" s="10"/>
    </row>
    <row r="4056" spans="33:33">
      <c r="AG4056" s="10"/>
    </row>
    <row r="4057" spans="33:33">
      <c r="AG4057" s="10"/>
    </row>
    <row r="4058" spans="33:33">
      <c r="AG4058" s="10"/>
    </row>
    <row r="4059" spans="33:33">
      <c r="AG4059" s="10"/>
    </row>
    <row r="4060" spans="33:33">
      <c r="AG4060" s="10"/>
    </row>
    <row r="4061" spans="33:33">
      <c r="AG4061" s="10"/>
    </row>
    <row r="4062" spans="33:33">
      <c r="AG4062" s="10"/>
    </row>
    <row r="4063" spans="33:33">
      <c r="AG4063" s="10"/>
    </row>
    <row r="4064" spans="33:33">
      <c r="AG4064" s="10"/>
    </row>
    <row r="4065" spans="33:33">
      <c r="AG4065" s="10"/>
    </row>
    <row r="4066" spans="33:33">
      <c r="AG4066" s="10"/>
    </row>
    <row r="4067" spans="33:33">
      <c r="AG4067" s="10"/>
    </row>
    <row r="4068" spans="33:33">
      <c r="AG4068" s="10"/>
    </row>
    <row r="4069" spans="33:33">
      <c r="AG4069" s="10"/>
    </row>
    <row r="4070" spans="33:33">
      <c r="AG4070" s="10"/>
    </row>
    <row r="4071" spans="33:33">
      <c r="AG4071" s="10"/>
    </row>
    <row r="4072" spans="33:33">
      <c r="AG4072" s="10"/>
    </row>
    <row r="4073" spans="33:33">
      <c r="AG4073" s="10"/>
    </row>
    <row r="4074" spans="33:33">
      <c r="AG4074" s="10"/>
    </row>
    <row r="4075" spans="33:33">
      <c r="AG4075" s="10"/>
    </row>
    <row r="4076" spans="33:33">
      <c r="AG4076" s="10"/>
    </row>
    <row r="4077" spans="33:33">
      <c r="AG4077" s="10"/>
    </row>
    <row r="4078" spans="33:33">
      <c r="AG4078" s="10"/>
    </row>
    <row r="4079" spans="33:33">
      <c r="AG4079" s="10"/>
    </row>
    <row r="4080" spans="33:33">
      <c r="AG4080" s="10"/>
    </row>
    <row r="4081" spans="33:33">
      <c r="AG4081" s="10"/>
    </row>
    <row r="4082" spans="33:33">
      <c r="AG4082" s="10"/>
    </row>
    <row r="4083" spans="33:33">
      <c r="AG4083" s="10"/>
    </row>
    <row r="4084" spans="33:33">
      <c r="AG4084" s="10"/>
    </row>
    <row r="4085" spans="33:33">
      <c r="AG4085" s="10"/>
    </row>
    <row r="4086" spans="33:33">
      <c r="AG4086" s="10"/>
    </row>
    <row r="4087" spans="33:33">
      <c r="AG4087" s="10"/>
    </row>
    <row r="4088" spans="33:33">
      <c r="AG4088" s="10"/>
    </row>
    <row r="4089" spans="33:33">
      <c r="AG4089" s="10"/>
    </row>
    <row r="4090" spans="33:33">
      <c r="AG4090" s="10"/>
    </row>
    <row r="4091" spans="33:33">
      <c r="AG4091" s="10"/>
    </row>
    <row r="4092" spans="33:33">
      <c r="AG4092" s="10"/>
    </row>
    <row r="4093" spans="33:33">
      <c r="AG4093" s="10"/>
    </row>
    <row r="4094" spans="33:33">
      <c r="AG4094" s="10"/>
    </row>
    <row r="4095" spans="33:33">
      <c r="AG4095" s="10"/>
    </row>
    <row r="4096" spans="33:33">
      <c r="AG4096" s="10"/>
    </row>
    <row r="4097" spans="33:33">
      <c r="AG4097" s="10"/>
    </row>
    <row r="4098" spans="33:33">
      <c r="AG4098" s="10"/>
    </row>
    <row r="4099" spans="33:33">
      <c r="AG4099" s="10"/>
    </row>
    <row r="4100" spans="33:33">
      <c r="AG4100" s="10"/>
    </row>
    <row r="4101" spans="33:33">
      <c r="AG4101" s="10"/>
    </row>
    <row r="4102" spans="33:33">
      <c r="AG4102" s="10"/>
    </row>
    <row r="4103" spans="33:33">
      <c r="AG4103" s="10"/>
    </row>
    <row r="4104" spans="33:33">
      <c r="AG4104" s="10"/>
    </row>
    <row r="4105" spans="33:33">
      <c r="AG4105" s="10"/>
    </row>
    <row r="4106" spans="33:33">
      <c r="AG4106" s="10"/>
    </row>
    <row r="4107" spans="33:33">
      <c r="AG4107" s="10"/>
    </row>
    <row r="4108" spans="33:33">
      <c r="AG4108" s="10"/>
    </row>
    <row r="4109" spans="33:33">
      <c r="AG4109" s="10"/>
    </row>
    <row r="4110" spans="33:33">
      <c r="AG4110" s="10"/>
    </row>
    <row r="4111" spans="33:33">
      <c r="AG4111" s="10"/>
    </row>
    <row r="4112" spans="33:33">
      <c r="AG4112" s="10"/>
    </row>
    <row r="4113" spans="33:33">
      <c r="AG4113" s="10"/>
    </row>
    <row r="4114" spans="33:33">
      <c r="AG4114" s="10"/>
    </row>
    <row r="4115" spans="33:33">
      <c r="AG4115" s="10"/>
    </row>
    <row r="4116" spans="33:33">
      <c r="AG4116" s="10"/>
    </row>
    <row r="4117" spans="33:33">
      <c r="AG4117" s="10"/>
    </row>
    <row r="4118" spans="33:33">
      <c r="AG4118" s="10"/>
    </row>
    <row r="4119" spans="33:33">
      <c r="AG4119" s="10"/>
    </row>
    <row r="4120" spans="33:33">
      <c r="AG4120" s="10"/>
    </row>
    <row r="4121" spans="33:33">
      <c r="AG4121" s="10"/>
    </row>
    <row r="4122" spans="33:33">
      <c r="AG4122" s="10"/>
    </row>
    <row r="4123" spans="33:33">
      <c r="AG4123" s="10"/>
    </row>
    <row r="4124" spans="33:33">
      <c r="AG4124" s="10"/>
    </row>
    <row r="4125" spans="33:33">
      <c r="AG4125" s="10"/>
    </row>
    <row r="4126" spans="33:33">
      <c r="AG4126" s="10"/>
    </row>
    <row r="4127" spans="33:33">
      <c r="AG4127" s="10"/>
    </row>
    <row r="4128" spans="33:33">
      <c r="AG4128" s="10"/>
    </row>
    <row r="4129" spans="33:33">
      <c r="AG4129" s="10"/>
    </row>
    <row r="4130" spans="33:33">
      <c r="AG4130" s="10"/>
    </row>
    <row r="4131" spans="33:33">
      <c r="AG4131" s="10"/>
    </row>
    <row r="4132" spans="33:33">
      <c r="AG4132" s="10"/>
    </row>
    <row r="4133" spans="33:33">
      <c r="AG4133" s="10"/>
    </row>
    <row r="4134" spans="33:33">
      <c r="AG4134" s="10"/>
    </row>
    <row r="4135" spans="33:33">
      <c r="AG4135" s="10"/>
    </row>
    <row r="4136" spans="33:33">
      <c r="AG4136" s="10"/>
    </row>
    <row r="4137" spans="33:33">
      <c r="AG4137" s="10"/>
    </row>
    <row r="4138" spans="33:33">
      <c r="AG4138" s="10"/>
    </row>
    <row r="4139" spans="33:33">
      <c r="AG4139" s="10"/>
    </row>
    <row r="4140" spans="33:33">
      <c r="AG4140" s="10"/>
    </row>
    <row r="4141" spans="33:33">
      <c r="AG4141" s="10"/>
    </row>
    <row r="4142" spans="33:33">
      <c r="AG4142" s="10"/>
    </row>
    <row r="4143" spans="33:33">
      <c r="AG4143" s="10"/>
    </row>
    <row r="4144" spans="33:33">
      <c r="AG4144" s="10"/>
    </row>
    <row r="4145" spans="33:33">
      <c r="AG4145" s="10"/>
    </row>
    <row r="4146" spans="33:33">
      <c r="AG4146" s="10"/>
    </row>
    <row r="4147" spans="33:33">
      <c r="AG4147" s="10"/>
    </row>
    <row r="4148" spans="33:33">
      <c r="AG4148" s="10"/>
    </row>
    <row r="4149" spans="33:33">
      <c r="AG4149" s="10"/>
    </row>
    <row r="4150" spans="33:33">
      <c r="AG4150" s="10"/>
    </row>
    <row r="4151" spans="33:33">
      <c r="AG4151" s="10"/>
    </row>
    <row r="4152" spans="33:33">
      <c r="AG4152" s="10"/>
    </row>
    <row r="4153" spans="33:33">
      <c r="AG4153" s="10"/>
    </row>
    <row r="4154" spans="33:33">
      <c r="AG4154" s="10"/>
    </row>
    <row r="4155" spans="33:33">
      <c r="AG4155" s="10"/>
    </row>
    <row r="4156" spans="33:33">
      <c r="AG4156" s="10"/>
    </row>
    <row r="4157" spans="33:33">
      <c r="AG4157" s="10"/>
    </row>
    <row r="4158" spans="33:33">
      <c r="AG4158" s="10"/>
    </row>
    <row r="4159" spans="33:33">
      <c r="AG4159" s="10"/>
    </row>
    <row r="4160" spans="33:33">
      <c r="AG4160" s="10"/>
    </row>
    <row r="4161" spans="33:33">
      <c r="AG4161" s="10"/>
    </row>
    <row r="4162" spans="33:33">
      <c r="AG4162" s="10"/>
    </row>
    <row r="4163" spans="33:33">
      <c r="AG4163" s="10"/>
    </row>
    <row r="4164" spans="33:33">
      <c r="AG4164" s="10"/>
    </row>
    <row r="4165" spans="33:33">
      <c r="AG4165" s="10"/>
    </row>
    <row r="4166" spans="33:33">
      <c r="AG4166" s="10"/>
    </row>
    <row r="4167" spans="33:33">
      <c r="AG4167" s="10"/>
    </row>
    <row r="4168" spans="33:33">
      <c r="AG4168" s="10"/>
    </row>
    <row r="4169" spans="33:33">
      <c r="AG4169" s="10"/>
    </row>
    <row r="4170" spans="33:33">
      <c r="AG4170" s="10"/>
    </row>
    <row r="4171" spans="33:33">
      <c r="AG4171" s="10"/>
    </row>
    <row r="4172" spans="33:33">
      <c r="AG4172" s="10"/>
    </row>
    <row r="4173" spans="33:33">
      <c r="AG4173" s="10"/>
    </row>
    <row r="4174" spans="33:33">
      <c r="AG4174" s="10"/>
    </row>
    <row r="4175" spans="33:33">
      <c r="AG4175" s="10"/>
    </row>
    <row r="4176" spans="33:33">
      <c r="AG4176" s="10"/>
    </row>
    <row r="4177" spans="33:33">
      <c r="AG4177" s="10"/>
    </row>
    <row r="4178" spans="33:33">
      <c r="AG4178" s="10"/>
    </row>
    <row r="4179" spans="33:33">
      <c r="AG4179" s="10"/>
    </row>
    <row r="4180" spans="33:33">
      <c r="AG4180" s="10"/>
    </row>
    <row r="4181" spans="33:33">
      <c r="AG4181" s="10"/>
    </row>
    <row r="4182" spans="33:33">
      <c r="AG4182" s="10"/>
    </row>
    <row r="4183" spans="33:33">
      <c r="AG4183" s="10"/>
    </row>
    <row r="4184" spans="33:33">
      <c r="AG4184" s="10"/>
    </row>
    <row r="4185" spans="33:33">
      <c r="AG4185" s="10"/>
    </row>
    <row r="4186" spans="33:33">
      <c r="AG4186" s="10"/>
    </row>
    <row r="4187" spans="33:33">
      <c r="AG4187" s="10"/>
    </row>
    <row r="4188" spans="33:33">
      <c r="AG4188" s="10"/>
    </row>
    <row r="4189" spans="33:33">
      <c r="AG4189" s="10"/>
    </row>
    <row r="4190" spans="33:33">
      <c r="AG4190" s="10"/>
    </row>
    <row r="4191" spans="33:33">
      <c r="AG4191" s="10"/>
    </row>
    <row r="4192" spans="33:33">
      <c r="AG4192" s="10"/>
    </row>
    <row r="4193" spans="33:33">
      <c r="AG4193" s="10"/>
    </row>
    <row r="4194" spans="33:33">
      <c r="AG4194" s="10"/>
    </row>
    <row r="4195" spans="33:33">
      <c r="AG4195" s="10"/>
    </row>
    <row r="4196" spans="33:33">
      <c r="AG4196" s="10"/>
    </row>
    <row r="4197" spans="33:33">
      <c r="AG4197" s="10"/>
    </row>
    <row r="4198" spans="33:33">
      <c r="AG4198" s="10"/>
    </row>
    <row r="4199" spans="33:33">
      <c r="AG4199" s="10"/>
    </row>
    <row r="4200" spans="33:33">
      <c r="AG4200" s="10"/>
    </row>
    <row r="4201" spans="33:33">
      <c r="AG4201" s="10"/>
    </row>
    <row r="4202" spans="33:33">
      <c r="AG4202" s="10"/>
    </row>
    <row r="4203" spans="33:33">
      <c r="AG4203" s="10"/>
    </row>
    <row r="4204" spans="33:33">
      <c r="AG4204" s="10"/>
    </row>
    <row r="4205" spans="33:33">
      <c r="AG4205" s="10"/>
    </row>
    <row r="4206" spans="33:33">
      <c r="AG4206" s="10"/>
    </row>
    <row r="4207" spans="33:33">
      <c r="AG4207" s="10"/>
    </row>
    <row r="4208" spans="33:33">
      <c r="AG4208" s="10"/>
    </row>
    <row r="4209" spans="33:33">
      <c r="AG4209" s="10"/>
    </row>
    <row r="4210" spans="33:33">
      <c r="AG4210" s="10"/>
    </row>
    <row r="4211" spans="33:33">
      <c r="AG4211" s="10"/>
    </row>
    <row r="4212" spans="33:33">
      <c r="AG4212" s="10"/>
    </row>
    <row r="4213" spans="33:33">
      <c r="AG4213" s="10"/>
    </row>
    <row r="4214" spans="33:33">
      <c r="AG4214" s="10"/>
    </row>
    <row r="4215" spans="33:33">
      <c r="AG4215" s="10"/>
    </row>
    <row r="4216" spans="33:33">
      <c r="AG4216" s="10"/>
    </row>
    <row r="4217" spans="33:33">
      <c r="AG4217" s="10"/>
    </row>
    <row r="4218" spans="33:33">
      <c r="AG4218" s="10"/>
    </row>
    <row r="4219" spans="33:33">
      <c r="AG4219" s="10"/>
    </row>
    <row r="4220" spans="33:33">
      <c r="AG4220" s="10"/>
    </row>
    <row r="4221" spans="33:33">
      <c r="AG4221" s="10"/>
    </row>
    <row r="4222" spans="33:33">
      <c r="AG4222" s="10"/>
    </row>
    <row r="4223" spans="33:33">
      <c r="AG4223" s="10"/>
    </row>
    <row r="4224" spans="33:33">
      <c r="AG4224" s="10"/>
    </row>
    <row r="4225" spans="33:33">
      <c r="AG4225" s="10"/>
    </row>
    <row r="4226" spans="33:33">
      <c r="AG4226" s="10"/>
    </row>
    <row r="4227" spans="33:33">
      <c r="AG4227" s="10"/>
    </row>
    <row r="4228" spans="33:33">
      <c r="AG4228" s="10"/>
    </row>
    <row r="4229" spans="33:33">
      <c r="AG4229" s="10"/>
    </row>
    <row r="4230" spans="33:33">
      <c r="AG4230" s="10"/>
    </row>
    <row r="4231" spans="33:33">
      <c r="AG4231" s="10"/>
    </row>
    <row r="4232" spans="33:33">
      <c r="AG4232" s="10"/>
    </row>
    <row r="4233" spans="33:33">
      <c r="AG4233" s="10"/>
    </row>
    <row r="4234" spans="33:33">
      <c r="AG4234" s="10"/>
    </row>
    <row r="4235" spans="33:33">
      <c r="AG4235" s="10"/>
    </row>
    <row r="4236" spans="33:33">
      <c r="AG4236" s="10"/>
    </row>
    <row r="4237" spans="33:33">
      <c r="AG4237" s="10"/>
    </row>
    <row r="4238" spans="33:33">
      <c r="AG4238" s="10"/>
    </row>
    <row r="4239" spans="33:33">
      <c r="AG4239" s="10"/>
    </row>
    <row r="4240" spans="33:33">
      <c r="AG4240" s="10"/>
    </row>
    <row r="4241" spans="33:33">
      <c r="AG4241" s="10"/>
    </row>
    <row r="4242" spans="33:33">
      <c r="AG4242" s="10"/>
    </row>
    <row r="4243" spans="33:33">
      <c r="AG4243" s="10"/>
    </row>
    <row r="4244" spans="33:33">
      <c r="AG4244" s="10"/>
    </row>
    <row r="4245" spans="33:33">
      <c r="AG4245" s="10"/>
    </row>
    <row r="4246" spans="33:33">
      <c r="AG4246" s="10"/>
    </row>
    <row r="4247" spans="33:33">
      <c r="AG4247" s="10"/>
    </row>
    <row r="4248" spans="33:33">
      <c r="AG4248" s="10"/>
    </row>
    <row r="4249" spans="33:33">
      <c r="AG4249" s="10"/>
    </row>
    <row r="4250" spans="33:33">
      <c r="AG4250" s="10"/>
    </row>
    <row r="4251" spans="33:33">
      <c r="AG4251" s="10"/>
    </row>
    <row r="4252" spans="33:33">
      <c r="AG4252" s="10"/>
    </row>
    <row r="4253" spans="33:33">
      <c r="AG4253" s="10"/>
    </row>
    <row r="4254" spans="33:33">
      <c r="AG4254" s="10"/>
    </row>
    <row r="4255" spans="33:33">
      <c r="AG4255" s="10"/>
    </row>
    <row r="4256" spans="33:33">
      <c r="AG4256" s="10"/>
    </row>
    <row r="4257" spans="33:33">
      <c r="AG4257" s="10"/>
    </row>
    <row r="4258" spans="33:33">
      <c r="AG4258" s="10"/>
    </row>
    <row r="4259" spans="33:33">
      <c r="AG4259" s="10"/>
    </row>
    <row r="4260" spans="33:33">
      <c r="AG4260" s="10"/>
    </row>
    <row r="4261" spans="33:33">
      <c r="AG4261" s="10"/>
    </row>
    <row r="4262" spans="33:33">
      <c r="AG4262" s="10"/>
    </row>
    <row r="4263" spans="33:33">
      <c r="AG4263" s="10"/>
    </row>
    <row r="4264" spans="33:33">
      <c r="AG4264" s="10"/>
    </row>
    <row r="4265" spans="33:33">
      <c r="AG4265" s="10"/>
    </row>
    <row r="4266" spans="33:33">
      <c r="AG4266" s="10"/>
    </row>
    <row r="4267" spans="33:33">
      <c r="AG4267" s="10"/>
    </row>
    <row r="4268" spans="33:33">
      <c r="AG4268" s="10"/>
    </row>
    <row r="4269" spans="33:33">
      <c r="AG4269" s="10"/>
    </row>
    <row r="4270" spans="33:33">
      <c r="AG4270" s="10"/>
    </row>
    <row r="4271" spans="33:33">
      <c r="AG4271" s="10"/>
    </row>
    <row r="4272" spans="33:33">
      <c r="AG4272" s="10"/>
    </row>
    <row r="4273" spans="33:33">
      <c r="AG4273" s="10"/>
    </row>
    <row r="4274" spans="33:33">
      <c r="AG4274" s="10"/>
    </row>
    <row r="4275" spans="33:33">
      <c r="AG4275" s="10"/>
    </row>
    <row r="4276" spans="33:33">
      <c r="AG4276" s="10"/>
    </row>
    <row r="4277" spans="33:33">
      <c r="AG4277" s="10"/>
    </row>
    <row r="4278" spans="33:33">
      <c r="AG4278" s="10"/>
    </row>
    <row r="4279" spans="33:33">
      <c r="AG4279" s="10"/>
    </row>
    <row r="4280" spans="33:33">
      <c r="AG4280" s="10"/>
    </row>
    <row r="4281" spans="33:33">
      <c r="AG4281" s="10"/>
    </row>
    <row r="4282" spans="33:33">
      <c r="AG4282" s="10"/>
    </row>
    <row r="4283" spans="33:33">
      <c r="AG4283" s="10"/>
    </row>
    <row r="4284" spans="33:33">
      <c r="AG4284" s="10"/>
    </row>
    <row r="4285" spans="33:33">
      <c r="AG4285" s="10"/>
    </row>
    <row r="4286" spans="33:33">
      <c r="AG4286" s="10"/>
    </row>
    <row r="4287" spans="33:33">
      <c r="AG4287" s="10"/>
    </row>
    <row r="4288" spans="33:33">
      <c r="AG4288" s="10"/>
    </row>
    <row r="4289" spans="33:33">
      <c r="AG4289" s="10"/>
    </row>
    <row r="4290" spans="33:33">
      <c r="AG4290" s="10"/>
    </row>
    <row r="4291" spans="33:33">
      <c r="AG4291" s="10"/>
    </row>
    <row r="4292" spans="33:33">
      <c r="AG4292" s="10"/>
    </row>
    <row r="4293" spans="33:33">
      <c r="AG4293" s="10"/>
    </row>
    <row r="4294" spans="33:33">
      <c r="AG4294" s="10"/>
    </row>
    <row r="4295" spans="33:33">
      <c r="AG4295" s="10"/>
    </row>
    <row r="4296" spans="33:33">
      <c r="AG4296" s="10"/>
    </row>
    <row r="4297" spans="33:33">
      <c r="AG4297" s="10"/>
    </row>
    <row r="4298" spans="33:33">
      <c r="AG4298" s="10"/>
    </row>
    <row r="4299" spans="33:33">
      <c r="AG4299" s="10"/>
    </row>
    <row r="4300" spans="33:33">
      <c r="AG4300" s="10"/>
    </row>
    <row r="4301" spans="33:33">
      <c r="AG4301" s="10"/>
    </row>
    <row r="4302" spans="33:33">
      <c r="AG4302" s="10"/>
    </row>
    <row r="4303" spans="33:33">
      <c r="AG4303" s="10"/>
    </row>
    <row r="4304" spans="33:33">
      <c r="AG4304" s="10"/>
    </row>
    <row r="4305" spans="33:33">
      <c r="AG4305" s="10"/>
    </row>
    <row r="4306" spans="33:33">
      <c r="AG4306" s="10"/>
    </row>
    <row r="4307" spans="33:33">
      <c r="AG4307" s="10"/>
    </row>
    <row r="4308" spans="33:33">
      <c r="AG4308" s="10"/>
    </row>
    <row r="4309" spans="33:33">
      <c r="AG4309" s="10"/>
    </row>
    <row r="4310" spans="33:33">
      <c r="AG4310" s="10"/>
    </row>
    <row r="4311" spans="33:33">
      <c r="AG4311" s="10"/>
    </row>
    <row r="4312" spans="33:33">
      <c r="AG4312" s="10"/>
    </row>
    <row r="4313" spans="33:33">
      <c r="AG4313" s="10"/>
    </row>
    <row r="4314" spans="33:33">
      <c r="AG4314" s="10"/>
    </row>
    <row r="4315" spans="33:33">
      <c r="AG4315" s="10"/>
    </row>
    <row r="4316" spans="33:33">
      <c r="AG4316" s="10"/>
    </row>
    <row r="4317" spans="33:33">
      <c r="AG4317" s="10"/>
    </row>
    <row r="4318" spans="33:33">
      <c r="AG4318" s="10"/>
    </row>
    <row r="4319" spans="33:33">
      <c r="AG4319" s="10"/>
    </row>
    <row r="4320" spans="33:33">
      <c r="AG4320" s="10"/>
    </row>
    <row r="4321" spans="33:33">
      <c r="AG4321" s="10"/>
    </row>
    <row r="4322" spans="33:33">
      <c r="AG4322" s="10"/>
    </row>
    <row r="4323" spans="33:33">
      <c r="AG4323" s="10"/>
    </row>
    <row r="4324" spans="33:33">
      <c r="AG4324" s="10"/>
    </row>
    <row r="4325" spans="33:33">
      <c r="AG4325" s="10"/>
    </row>
    <row r="4326" spans="33:33">
      <c r="AG4326" s="10"/>
    </row>
    <row r="4327" spans="33:33">
      <c r="AG4327" s="10"/>
    </row>
    <row r="4328" spans="33:33">
      <c r="AG4328" s="10"/>
    </row>
    <row r="4329" spans="33:33">
      <c r="AG4329" s="10"/>
    </row>
    <row r="4330" spans="33:33">
      <c r="AG4330" s="10"/>
    </row>
    <row r="4331" spans="33:33">
      <c r="AG4331" s="10"/>
    </row>
    <row r="4332" spans="33:33">
      <c r="AG4332" s="10"/>
    </row>
    <row r="4333" spans="33:33">
      <c r="AG4333" s="10"/>
    </row>
    <row r="4334" spans="33:33">
      <c r="AG4334" s="10"/>
    </row>
    <row r="4335" spans="33:33">
      <c r="AG4335" s="10"/>
    </row>
    <row r="4336" spans="33:33">
      <c r="AG4336" s="10"/>
    </row>
    <row r="4337" spans="33:33">
      <c r="AG4337" s="10"/>
    </row>
    <row r="4338" spans="33:33">
      <c r="AG4338" s="10"/>
    </row>
    <row r="4339" spans="33:33">
      <c r="AG4339" s="10"/>
    </row>
    <row r="4340" spans="33:33">
      <c r="AG4340" s="10"/>
    </row>
    <row r="4341" spans="33:33">
      <c r="AG4341" s="10"/>
    </row>
    <row r="4342" spans="33:33">
      <c r="AG4342" s="10"/>
    </row>
    <row r="4343" spans="33:33">
      <c r="AG4343" s="10"/>
    </row>
    <row r="4344" spans="33:33">
      <c r="AG4344" s="10"/>
    </row>
    <row r="4345" spans="33:33">
      <c r="AG4345" s="10"/>
    </row>
    <row r="4346" spans="33:33">
      <c r="AG4346" s="10"/>
    </row>
    <row r="4347" spans="33:33">
      <c r="AG4347" s="10"/>
    </row>
    <row r="4348" spans="33:33">
      <c r="AG4348" s="10"/>
    </row>
    <row r="4349" spans="33:33">
      <c r="AG4349" s="10"/>
    </row>
    <row r="4350" spans="33:33">
      <c r="AG4350" s="10"/>
    </row>
    <row r="4351" spans="33:33">
      <c r="AG4351" s="10"/>
    </row>
    <row r="4352" spans="33:33">
      <c r="AG4352" s="10"/>
    </row>
    <row r="4353" spans="33:33">
      <c r="AG4353" s="10"/>
    </row>
    <row r="4354" spans="33:33">
      <c r="AG4354" s="10"/>
    </row>
    <row r="4355" spans="33:33">
      <c r="AG4355" s="10"/>
    </row>
    <row r="4356" spans="33:33">
      <c r="AG4356" s="10"/>
    </row>
    <row r="4357" spans="33:33">
      <c r="AG4357" s="10"/>
    </row>
    <row r="4358" spans="33:33">
      <c r="AG4358" s="10"/>
    </row>
    <row r="4359" spans="33:33">
      <c r="AG4359" s="10"/>
    </row>
    <row r="4360" spans="33:33">
      <c r="AG4360" s="10"/>
    </row>
    <row r="4361" spans="33:33">
      <c r="AG4361" s="10"/>
    </row>
    <row r="4362" spans="33:33">
      <c r="AG4362" s="10"/>
    </row>
    <row r="4363" spans="33:33">
      <c r="AG4363" s="10"/>
    </row>
    <row r="4364" spans="33:33">
      <c r="AG4364" s="10"/>
    </row>
    <row r="4365" spans="33:33">
      <c r="AG4365" s="10"/>
    </row>
    <row r="4366" spans="33:33">
      <c r="AG4366" s="10"/>
    </row>
    <row r="4367" spans="33:33">
      <c r="AG4367" s="10"/>
    </row>
    <row r="4368" spans="33:33">
      <c r="AG4368" s="10"/>
    </row>
    <row r="4369" spans="33:33">
      <c r="AG4369" s="10"/>
    </row>
    <row r="4370" spans="33:33">
      <c r="AG4370" s="10"/>
    </row>
    <row r="4371" spans="33:33">
      <c r="AG4371" s="10"/>
    </row>
    <row r="4372" spans="33:33">
      <c r="AG4372" s="10"/>
    </row>
    <row r="4373" spans="33:33">
      <c r="AG4373" s="10"/>
    </row>
    <row r="4374" spans="33:33">
      <c r="AG4374" s="10"/>
    </row>
    <row r="4375" spans="33:33">
      <c r="AG4375" s="10"/>
    </row>
    <row r="4376" spans="33:33">
      <c r="AG4376" s="10"/>
    </row>
    <row r="4377" spans="33:33">
      <c r="AG4377" s="10"/>
    </row>
    <row r="4378" spans="33:33">
      <c r="AG4378" s="10"/>
    </row>
    <row r="4379" spans="33:33">
      <c r="AG4379" s="10"/>
    </row>
    <row r="4380" spans="33:33">
      <c r="AG4380" s="10"/>
    </row>
    <row r="4381" spans="33:33">
      <c r="AG4381" s="10"/>
    </row>
    <row r="4382" spans="33:33">
      <c r="AG4382" s="10"/>
    </row>
    <row r="4383" spans="33:33">
      <c r="AG4383" s="10"/>
    </row>
    <row r="4384" spans="33:33">
      <c r="AG4384" s="10"/>
    </row>
    <row r="4385" spans="33:33">
      <c r="AG4385" s="10"/>
    </row>
    <row r="4386" spans="33:33">
      <c r="AG4386" s="10"/>
    </row>
    <row r="4387" spans="33:33">
      <c r="AG4387" s="10"/>
    </row>
    <row r="4388" spans="33:33">
      <c r="AG4388" s="10"/>
    </row>
    <row r="4389" spans="33:33">
      <c r="AG4389" s="10"/>
    </row>
    <row r="4390" spans="33:33">
      <c r="AG4390" s="10"/>
    </row>
    <row r="4391" spans="33:33">
      <c r="AG4391" s="10"/>
    </row>
    <row r="4392" spans="33:33">
      <c r="AG4392" s="10"/>
    </row>
    <row r="4393" spans="33:33">
      <c r="AG4393" s="10"/>
    </row>
    <row r="4394" spans="33:33">
      <c r="AG4394" s="10"/>
    </row>
    <row r="4395" spans="33:33">
      <c r="AG4395" s="10"/>
    </row>
    <row r="4396" spans="33:33">
      <c r="AG4396" s="10"/>
    </row>
    <row r="4397" spans="33:33">
      <c r="AG4397" s="10"/>
    </row>
    <row r="4398" spans="33:33">
      <c r="AG4398" s="10"/>
    </row>
    <row r="4399" spans="33:33">
      <c r="AG4399" s="10"/>
    </row>
    <row r="4400" spans="33:33">
      <c r="AG4400" s="10"/>
    </row>
    <row r="4401" spans="33:33">
      <c r="AG4401" s="10"/>
    </row>
    <row r="4402" spans="33:33">
      <c r="AG4402" s="10"/>
    </row>
    <row r="4403" spans="33:33">
      <c r="AG4403" s="10"/>
    </row>
    <row r="4404" spans="33:33">
      <c r="AG4404" s="10"/>
    </row>
    <row r="4405" spans="33:33">
      <c r="AG4405" s="10"/>
    </row>
    <row r="4406" spans="33:33">
      <c r="AG4406" s="10"/>
    </row>
    <row r="4407" spans="33:33">
      <c r="AG4407" s="10"/>
    </row>
    <row r="4408" spans="33:33">
      <c r="AG4408" s="10"/>
    </row>
    <row r="4409" spans="33:33">
      <c r="AG4409" s="10"/>
    </row>
    <row r="4410" spans="33:33">
      <c r="AG4410" s="10"/>
    </row>
    <row r="4411" spans="33:33">
      <c r="AG4411" s="10"/>
    </row>
    <row r="4412" spans="33:33">
      <c r="AG4412" s="10"/>
    </row>
    <row r="4413" spans="33:33">
      <c r="AG4413" s="10"/>
    </row>
    <row r="4414" spans="33:33">
      <c r="AG4414" s="10"/>
    </row>
    <row r="4415" spans="33:33">
      <c r="AG4415" s="10"/>
    </row>
    <row r="4416" spans="33:33">
      <c r="AG4416" s="10"/>
    </row>
    <row r="4417" spans="33:33">
      <c r="AG4417" s="10"/>
    </row>
    <row r="4418" spans="33:33">
      <c r="AG4418" s="10"/>
    </row>
    <row r="4419" spans="33:33">
      <c r="AG4419" s="10"/>
    </row>
    <row r="4420" spans="33:33">
      <c r="AG4420" s="10"/>
    </row>
    <row r="4421" spans="33:33">
      <c r="AG4421" s="10"/>
    </row>
    <row r="4422" spans="33:33">
      <c r="AG4422" s="10"/>
    </row>
    <row r="4423" spans="33:33">
      <c r="AG4423" s="10"/>
    </row>
    <row r="4424" spans="33:33">
      <c r="AG4424" s="10"/>
    </row>
    <row r="4425" spans="33:33">
      <c r="AG4425" s="10"/>
    </row>
    <row r="4426" spans="33:33">
      <c r="AG4426" s="10"/>
    </row>
    <row r="4427" spans="33:33">
      <c r="AG4427" s="10"/>
    </row>
    <row r="4428" spans="33:33">
      <c r="AG4428" s="10"/>
    </row>
    <row r="4429" spans="33:33">
      <c r="AG4429" s="10"/>
    </row>
    <row r="4430" spans="33:33">
      <c r="AG4430" s="10"/>
    </row>
    <row r="4431" spans="33:33">
      <c r="AG4431" s="10"/>
    </row>
    <row r="4432" spans="33:33">
      <c r="AG4432" s="10"/>
    </row>
    <row r="4433" spans="33:33">
      <c r="AG4433" s="10"/>
    </row>
    <row r="4434" spans="33:33">
      <c r="AG4434" s="10"/>
    </row>
    <row r="4435" spans="33:33">
      <c r="AG4435" s="10"/>
    </row>
    <row r="4436" spans="33:33">
      <c r="AG4436" s="10"/>
    </row>
    <row r="4437" spans="33:33">
      <c r="AG4437" s="10"/>
    </row>
    <row r="4438" spans="33:33">
      <c r="AG4438" s="10"/>
    </row>
    <row r="4439" spans="33:33">
      <c r="AG4439" s="10"/>
    </row>
    <row r="4440" spans="33:33">
      <c r="AG4440" s="10"/>
    </row>
    <row r="4441" spans="33:33">
      <c r="AG4441" s="10"/>
    </row>
    <row r="4442" spans="33:33">
      <c r="AG4442" s="10"/>
    </row>
    <row r="4443" spans="33:33">
      <c r="AG4443" s="10"/>
    </row>
    <row r="4444" spans="33:33">
      <c r="AG4444" s="10"/>
    </row>
    <row r="4445" spans="33:33">
      <c r="AG4445" s="10"/>
    </row>
    <row r="4446" spans="33:33">
      <c r="AG4446" s="10"/>
    </row>
    <row r="4447" spans="33:33">
      <c r="AG4447" s="10"/>
    </row>
    <row r="4448" spans="33:33">
      <c r="AG4448" s="10"/>
    </row>
    <row r="4449" spans="33:33">
      <c r="AG4449" s="10"/>
    </row>
    <row r="4450" spans="33:33">
      <c r="AG4450" s="10"/>
    </row>
    <row r="4451" spans="33:33">
      <c r="AG4451" s="10"/>
    </row>
    <row r="4452" spans="33:33">
      <c r="AG4452" s="10"/>
    </row>
    <row r="4453" spans="33:33">
      <c r="AG4453" s="10"/>
    </row>
    <row r="4454" spans="33:33">
      <c r="AG4454" s="10"/>
    </row>
    <row r="4455" spans="33:33">
      <c r="AG4455" s="10"/>
    </row>
    <row r="4456" spans="33:33">
      <c r="AG4456" s="10"/>
    </row>
    <row r="4457" spans="33:33">
      <c r="AG4457" s="10"/>
    </row>
    <row r="4458" spans="33:33">
      <c r="AG4458" s="10"/>
    </row>
    <row r="4459" spans="33:33">
      <c r="AG4459" s="10"/>
    </row>
    <row r="4460" spans="33:33">
      <c r="AG4460" s="10"/>
    </row>
    <row r="4461" spans="33:33">
      <c r="AG4461" s="10"/>
    </row>
    <row r="4462" spans="33:33">
      <c r="AG4462" s="10"/>
    </row>
    <row r="4463" spans="33:33">
      <c r="AG4463" s="10"/>
    </row>
    <row r="4464" spans="33:33">
      <c r="AG4464" s="10"/>
    </row>
    <row r="4465" spans="33:33">
      <c r="AG4465" s="10"/>
    </row>
    <row r="4466" spans="33:33">
      <c r="AG4466" s="10"/>
    </row>
    <row r="4467" spans="33:33">
      <c r="AG4467" s="10"/>
    </row>
    <row r="4468" spans="33:33">
      <c r="AG4468" s="10"/>
    </row>
    <row r="4469" spans="33:33">
      <c r="AG4469" s="10"/>
    </row>
    <row r="4470" spans="33:33">
      <c r="AG4470" s="10"/>
    </row>
    <row r="4471" spans="33:33">
      <c r="AG4471" s="10"/>
    </row>
    <row r="4472" spans="33:33">
      <c r="AG4472" s="10"/>
    </row>
    <row r="4473" spans="33:33">
      <c r="AG4473" s="10"/>
    </row>
    <row r="4474" spans="33:33">
      <c r="AG4474" s="10"/>
    </row>
    <row r="4475" spans="33:33">
      <c r="AG4475" s="10"/>
    </row>
    <row r="4476" spans="33:33">
      <c r="AG4476" s="10"/>
    </row>
    <row r="4477" spans="33:33">
      <c r="AG4477" s="10"/>
    </row>
    <row r="4478" spans="33:33">
      <c r="AG4478" s="10"/>
    </row>
    <row r="4479" spans="33:33">
      <c r="AG4479" s="10"/>
    </row>
    <row r="4480" spans="33:33">
      <c r="AG4480" s="10"/>
    </row>
    <row r="4481" spans="33:33">
      <c r="AG4481" s="10"/>
    </row>
    <row r="4482" spans="33:33">
      <c r="AG4482" s="10"/>
    </row>
    <row r="4483" spans="33:33">
      <c r="AG4483" s="10"/>
    </row>
    <row r="4484" spans="33:33">
      <c r="AG4484" s="10"/>
    </row>
    <row r="4485" spans="33:33">
      <c r="AG4485" s="10"/>
    </row>
    <row r="4486" spans="33:33">
      <c r="AG4486" s="10"/>
    </row>
    <row r="4487" spans="33:33">
      <c r="AG4487" s="10"/>
    </row>
    <row r="4488" spans="33:33">
      <c r="AG4488" s="10"/>
    </row>
    <row r="4489" spans="33:33">
      <c r="AG4489" s="10"/>
    </row>
    <row r="4490" spans="33:33">
      <c r="AG4490" s="10"/>
    </row>
    <row r="4491" spans="33:33">
      <c r="AG4491" s="10"/>
    </row>
    <row r="4492" spans="33:33">
      <c r="AG4492" s="10"/>
    </row>
    <row r="4493" spans="33:33">
      <c r="AG4493" s="10"/>
    </row>
    <row r="4494" spans="33:33">
      <c r="AG4494" s="10"/>
    </row>
    <row r="4495" spans="33:33">
      <c r="AG4495" s="10"/>
    </row>
    <row r="4496" spans="33:33">
      <c r="AG4496" s="10"/>
    </row>
    <row r="4497" spans="33:33">
      <c r="AG4497" s="10"/>
    </row>
    <row r="4498" spans="33:33">
      <c r="AG4498" s="10"/>
    </row>
    <row r="4499" spans="33:33">
      <c r="AG4499" s="10"/>
    </row>
    <row r="4500" spans="33:33">
      <c r="AG4500" s="10"/>
    </row>
    <row r="4501" spans="33:33">
      <c r="AG4501" s="10"/>
    </row>
    <row r="4502" spans="33:33">
      <c r="AG4502" s="10"/>
    </row>
    <row r="4503" spans="33:33">
      <c r="AG4503" s="10"/>
    </row>
    <row r="4504" spans="33:33">
      <c r="AG4504" s="10"/>
    </row>
    <row r="4505" spans="33:33">
      <c r="AG4505" s="10"/>
    </row>
    <row r="4506" spans="33:33">
      <c r="AG4506" s="10"/>
    </row>
    <row r="4507" spans="33:33">
      <c r="AG4507" s="10"/>
    </row>
    <row r="4508" spans="33:33">
      <c r="AG4508" s="10"/>
    </row>
    <row r="4509" spans="33:33">
      <c r="AG4509" s="10"/>
    </row>
    <row r="4510" spans="33:33">
      <c r="AG4510" s="10"/>
    </row>
    <row r="4511" spans="33:33">
      <c r="AG4511" s="10"/>
    </row>
    <row r="4512" spans="33:33">
      <c r="AG4512" s="10"/>
    </row>
    <row r="4513" spans="33:33">
      <c r="AG4513" s="10"/>
    </row>
    <row r="4514" spans="33:33">
      <c r="AG4514" s="10"/>
    </row>
    <row r="4515" spans="33:33">
      <c r="AG4515" s="10"/>
    </row>
    <row r="4516" spans="33:33">
      <c r="AG4516" s="10"/>
    </row>
    <row r="4517" spans="33:33">
      <c r="AG4517" s="10"/>
    </row>
    <row r="4518" spans="33:33">
      <c r="AG4518" s="10"/>
    </row>
    <row r="4519" spans="33:33">
      <c r="AG4519" s="10"/>
    </row>
    <row r="4520" spans="33:33">
      <c r="AG4520" s="10"/>
    </row>
    <row r="4521" spans="33:33">
      <c r="AG4521" s="10"/>
    </row>
    <row r="4522" spans="33:33">
      <c r="AG4522" s="10"/>
    </row>
    <row r="4523" spans="33:33">
      <c r="AG4523" s="10"/>
    </row>
    <row r="4524" spans="33:33">
      <c r="AG4524" s="10"/>
    </row>
    <row r="4525" spans="33:33">
      <c r="AG4525" s="10"/>
    </row>
    <row r="4526" spans="33:33">
      <c r="AG4526" s="10"/>
    </row>
    <row r="4527" spans="33:33">
      <c r="AG4527" s="10"/>
    </row>
    <row r="4528" spans="33:33">
      <c r="AG4528" s="10"/>
    </row>
    <row r="4529" spans="33:33">
      <c r="AG4529" s="10"/>
    </row>
    <row r="4530" spans="33:33">
      <c r="AG4530" s="10"/>
    </row>
    <row r="4531" spans="33:33">
      <c r="AG4531" s="10"/>
    </row>
    <row r="4532" spans="33:33">
      <c r="AG4532" s="10"/>
    </row>
    <row r="4533" spans="33:33">
      <c r="AG4533" s="10"/>
    </row>
    <row r="4534" spans="33:33">
      <c r="AG4534" s="10"/>
    </row>
    <row r="4535" spans="33:33">
      <c r="AG4535" s="10"/>
    </row>
    <row r="4536" spans="33:33">
      <c r="AG4536" s="10"/>
    </row>
    <row r="4537" spans="33:33">
      <c r="AG4537" s="10"/>
    </row>
    <row r="4538" spans="33:33">
      <c r="AG4538" s="10"/>
    </row>
    <row r="4539" spans="33:33">
      <c r="AG4539" s="10"/>
    </row>
    <row r="4540" spans="33:33">
      <c r="AG4540" s="10"/>
    </row>
    <row r="4541" spans="33:33">
      <c r="AG4541" s="10"/>
    </row>
    <row r="4542" spans="33:33">
      <c r="AG4542" s="10"/>
    </row>
    <row r="4543" spans="33:33">
      <c r="AG4543" s="10"/>
    </row>
    <row r="4544" spans="33:33">
      <c r="AG4544" s="10"/>
    </row>
    <row r="4545" spans="33:33">
      <c r="AG4545" s="10"/>
    </row>
    <row r="4546" spans="33:33">
      <c r="AG4546" s="10"/>
    </row>
    <row r="4547" spans="33:33">
      <c r="AG4547" s="10"/>
    </row>
    <row r="4548" spans="33:33">
      <c r="AG4548" s="10"/>
    </row>
    <row r="4549" spans="33:33">
      <c r="AG4549" s="10"/>
    </row>
    <row r="4550" spans="33:33">
      <c r="AG4550" s="10"/>
    </row>
    <row r="4551" spans="33:33">
      <c r="AG4551" s="10"/>
    </row>
    <row r="4552" spans="33:33">
      <c r="AG4552" s="10"/>
    </row>
    <row r="4553" spans="33:33">
      <c r="AG4553" s="10"/>
    </row>
    <row r="4554" spans="33:33">
      <c r="AG4554" s="10"/>
    </row>
    <row r="4555" spans="33:33">
      <c r="AG4555" s="10"/>
    </row>
    <row r="4556" spans="33:33">
      <c r="AG4556" s="10"/>
    </row>
    <row r="4557" spans="33:33">
      <c r="AG4557" s="10"/>
    </row>
    <row r="4558" spans="33:33">
      <c r="AG4558" s="10"/>
    </row>
    <row r="4559" spans="33:33">
      <c r="AG4559" s="10"/>
    </row>
    <row r="4560" spans="33:33">
      <c r="AG4560" s="10"/>
    </row>
    <row r="4561" spans="33:33">
      <c r="AG4561" s="10"/>
    </row>
    <row r="4562" spans="33:33">
      <c r="AG4562" s="10"/>
    </row>
    <row r="4563" spans="33:33">
      <c r="AG4563" s="10"/>
    </row>
    <row r="4564" spans="33:33">
      <c r="AG4564" s="10"/>
    </row>
    <row r="4565" spans="33:33">
      <c r="AG4565" s="10"/>
    </row>
    <row r="4566" spans="33:33">
      <c r="AG4566" s="10"/>
    </row>
    <row r="4567" spans="33:33">
      <c r="AG4567" s="10"/>
    </row>
    <row r="4568" spans="33:33">
      <c r="AG4568" s="10"/>
    </row>
    <row r="4569" spans="33:33">
      <c r="AG4569" s="10"/>
    </row>
    <row r="4570" spans="33:33">
      <c r="AG4570" s="10"/>
    </row>
    <row r="4571" spans="33:33">
      <c r="AG4571" s="10"/>
    </row>
    <row r="4572" spans="33:33">
      <c r="AG4572" s="10"/>
    </row>
    <row r="4573" spans="33:33">
      <c r="AG4573" s="10"/>
    </row>
    <row r="4574" spans="33:33">
      <c r="AG4574" s="10"/>
    </row>
    <row r="4575" spans="33:33">
      <c r="AG4575" s="10"/>
    </row>
    <row r="4576" spans="33:33">
      <c r="AG4576" s="10"/>
    </row>
    <row r="4577" spans="33:33">
      <c r="AG4577" s="10"/>
    </row>
    <row r="4578" spans="33:33">
      <c r="AG4578" s="10"/>
    </row>
    <row r="4579" spans="33:33">
      <c r="AG4579" s="10"/>
    </row>
    <row r="4580" spans="33:33">
      <c r="AG4580" s="10"/>
    </row>
    <row r="4581" spans="33:33">
      <c r="AG4581" s="10"/>
    </row>
    <row r="4582" spans="33:33">
      <c r="AG4582" s="10"/>
    </row>
    <row r="4583" spans="33:33">
      <c r="AG4583" s="10"/>
    </row>
    <row r="4584" spans="33:33">
      <c r="AG4584" s="10"/>
    </row>
    <row r="4585" spans="33:33">
      <c r="AG4585" s="10"/>
    </row>
    <row r="4586" spans="33:33">
      <c r="AG4586" s="10"/>
    </row>
    <row r="4587" spans="33:33">
      <c r="AG4587" s="10"/>
    </row>
    <row r="4588" spans="33:33">
      <c r="AG4588" s="10"/>
    </row>
    <row r="4589" spans="33:33">
      <c r="AG4589" s="10"/>
    </row>
    <row r="4590" spans="33:33">
      <c r="AG4590" s="10"/>
    </row>
    <row r="4591" spans="33:33">
      <c r="AG4591" s="10"/>
    </row>
    <row r="4592" spans="33:33">
      <c r="AG4592" s="10"/>
    </row>
    <row r="4593" spans="33:33">
      <c r="AG4593" s="10"/>
    </row>
    <row r="4594" spans="33:33">
      <c r="AG4594" s="10"/>
    </row>
    <row r="4595" spans="33:33">
      <c r="AG4595" s="10"/>
    </row>
    <row r="4596" spans="33:33">
      <c r="AG4596" s="10"/>
    </row>
    <row r="4597" spans="33:33">
      <c r="AG4597" s="10"/>
    </row>
    <row r="4598" spans="33:33">
      <c r="AG4598" s="10"/>
    </row>
    <row r="4599" spans="33:33">
      <c r="AG4599" s="10"/>
    </row>
    <row r="4600" spans="33:33">
      <c r="AG4600" s="10"/>
    </row>
    <row r="4601" spans="33:33">
      <c r="AG4601" s="10"/>
    </row>
    <row r="4602" spans="33:33">
      <c r="AG4602" s="10"/>
    </row>
    <row r="4603" spans="33:33">
      <c r="AG4603" s="10"/>
    </row>
    <row r="4604" spans="33:33">
      <c r="AG4604" s="10"/>
    </row>
    <row r="4605" spans="33:33">
      <c r="AG4605" s="10"/>
    </row>
    <row r="4606" spans="33:33">
      <c r="AG4606" s="10"/>
    </row>
    <row r="4607" spans="33:33">
      <c r="AG4607" s="10"/>
    </row>
    <row r="4608" spans="33:33">
      <c r="AG4608" s="10"/>
    </row>
    <row r="4609" spans="33:33">
      <c r="AG4609" s="10"/>
    </row>
    <row r="4610" spans="33:33">
      <c r="AG4610" s="10"/>
    </row>
    <row r="4611" spans="33:33">
      <c r="AG4611" s="10"/>
    </row>
    <row r="4612" spans="33:33">
      <c r="AG4612" s="10"/>
    </row>
    <row r="4613" spans="33:33">
      <c r="AG4613" s="10"/>
    </row>
    <row r="4614" spans="33:33">
      <c r="AG4614" s="10"/>
    </row>
    <row r="4615" spans="33:33">
      <c r="AG4615" s="10"/>
    </row>
    <row r="4616" spans="33:33">
      <c r="AG4616" s="10"/>
    </row>
    <row r="4617" spans="33:33">
      <c r="AG4617" s="10"/>
    </row>
    <row r="4618" spans="33:33">
      <c r="AG4618" s="10"/>
    </row>
    <row r="4619" spans="33:33">
      <c r="AG4619" s="10"/>
    </row>
    <row r="4620" spans="33:33">
      <c r="AG4620" s="10"/>
    </row>
    <row r="4621" spans="33:33">
      <c r="AG4621" s="10"/>
    </row>
    <row r="4622" spans="33:33">
      <c r="AG4622" s="10"/>
    </row>
    <row r="4623" spans="33:33">
      <c r="AG4623" s="10"/>
    </row>
    <row r="4624" spans="33:33">
      <c r="AG4624" s="10"/>
    </row>
    <row r="4625" spans="33:33">
      <c r="AG4625" s="10"/>
    </row>
    <row r="4626" spans="33:33">
      <c r="AG4626" s="10"/>
    </row>
    <row r="4627" spans="33:33">
      <c r="AG4627" s="10"/>
    </row>
    <row r="4628" spans="33:33">
      <c r="AG4628" s="10"/>
    </row>
    <row r="4629" spans="33:33">
      <c r="AG4629" s="10"/>
    </row>
    <row r="4630" spans="33:33">
      <c r="AG4630" s="10"/>
    </row>
    <row r="4631" spans="33:33">
      <c r="AG4631" s="10"/>
    </row>
    <row r="4632" spans="33:33">
      <c r="AG4632" s="10"/>
    </row>
    <row r="4633" spans="33:33">
      <c r="AG4633" s="10"/>
    </row>
    <row r="4634" spans="33:33">
      <c r="AG4634" s="10"/>
    </row>
    <row r="4635" spans="33:33">
      <c r="AG4635" s="10"/>
    </row>
    <row r="4636" spans="33:33">
      <c r="AG4636" s="10"/>
    </row>
    <row r="4637" spans="33:33">
      <c r="AG4637" s="10"/>
    </row>
    <row r="4638" spans="33:33">
      <c r="AG4638" s="10"/>
    </row>
    <row r="4639" spans="33:33">
      <c r="AG4639" s="10"/>
    </row>
    <row r="4640" spans="33:33">
      <c r="AG4640" s="10"/>
    </row>
    <row r="4641" spans="33:33">
      <c r="AG4641" s="10"/>
    </row>
    <row r="4642" spans="33:33">
      <c r="AG4642" s="10"/>
    </row>
    <row r="4643" spans="33:33">
      <c r="AG4643" s="10"/>
    </row>
    <row r="4644" spans="33:33">
      <c r="AG4644" s="10"/>
    </row>
    <row r="4645" spans="33:33">
      <c r="AG4645" s="10"/>
    </row>
    <row r="4646" spans="33:33">
      <c r="AG4646" s="10"/>
    </row>
    <row r="4647" spans="33:33">
      <c r="AG4647" s="10"/>
    </row>
    <row r="4648" spans="33:33">
      <c r="AG4648" s="10"/>
    </row>
    <row r="4649" spans="33:33">
      <c r="AG4649" s="10"/>
    </row>
    <row r="4650" spans="33:33">
      <c r="AG4650" s="10"/>
    </row>
    <row r="4651" spans="33:33">
      <c r="AG4651" s="10"/>
    </row>
    <row r="4652" spans="33:33">
      <c r="AG4652" s="10"/>
    </row>
    <row r="4653" spans="33:33">
      <c r="AG4653" s="10"/>
    </row>
    <row r="4654" spans="33:33">
      <c r="AG4654" s="10"/>
    </row>
    <row r="4655" spans="33:33">
      <c r="AG4655" s="10"/>
    </row>
    <row r="4656" spans="33:33">
      <c r="AG4656" s="10"/>
    </row>
    <row r="4657" spans="33:33">
      <c r="AG4657" s="10"/>
    </row>
    <row r="4658" spans="33:33">
      <c r="AG4658" s="10"/>
    </row>
    <row r="4659" spans="33:33">
      <c r="AG4659" s="10"/>
    </row>
    <row r="4660" spans="33:33">
      <c r="AG4660" s="10"/>
    </row>
    <row r="4661" spans="33:33">
      <c r="AG4661" s="10"/>
    </row>
    <row r="4662" spans="33:33">
      <c r="AG4662" s="10"/>
    </row>
    <row r="4663" spans="33:33">
      <c r="AG4663" s="10"/>
    </row>
    <row r="4664" spans="33:33">
      <c r="AG4664" s="10"/>
    </row>
    <row r="4665" spans="33:33">
      <c r="AG4665" s="10"/>
    </row>
    <row r="4666" spans="33:33">
      <c r="AG4666" s="10"/>
    </row>
    <row r="4667" spans="33:33">
      <c r="AG4667" s="10"/>
    </row>
    <row r="4668" spans="33:33">
      <c r="AG4668" s="10"/>
    </row>
    <row r="4669" spans="33:33">
      <c r="AG4669" s="10"/>
    </row>
    <row r="4670" spans="33:33">
      <c r="AG4670" s="10"/>
    </row>
    <row r="4671" spans="33:33">
      <c r="AG4671" s="10"/>
    </row>
    <row r="4672" spans="33:33">
      <c r="AG4672" s="10"/>
    </row>
    <row r="4673" spans="33:33">
      <c r="AG4673" s="10"/>
    </row>
    <row r="4674" spans="33:33">
      <c r="AG4674" s="10"/>
    </row>
    <row r="4675" spans="33:33">
      <c r="AG4675" s="10"/>
    </row>
    <row r="4676" spans="33:33">
      <c r="AG4676" s="10"/>
    </row>
    <row r="4677" spans="33:33">
      <c r="AG4677" s="10"/>
    </row>
    <row r="4678" spans="33:33">
      <c r="AG4678" s="10"/>
    </row>
    <row r="4679" spans="33:33">
      <c r="AG4679" s="10"/>
    </row>
    <row r="4680" spans="33:33">
      <c r="AG4680" s="10"/>
    </row>
    <row r="4681" spans="33:33">
      <c r="AG4681" s="10"/>
    </row>
    <row r="4682" spans="33:33">
      <c r="AG4682" s="10"/>
    </row>
    <row r="4683" spans="33:33">
      <c r="AG4683" s="10"/>
    </row>
    <row r="4684" spans="33:33">
      <c r="AG4684" s="10"/>
    </row>
    <row r="4685" spans="33:33">
      <c r="AG4685" s="10"/>
    </row>
    <row r="4686" spans="33:33">
      <c r="AG4686" s="10"/>
    </row>
    <row r="4687" spans="33:33">
      <c r="AG4687" s="10"/>
    </row>
    <row r="4688" spans="33:33">
      <c r="AG4688" s="10"/>
    </row>
    <row r="4689" spans="33:33">
      <c r="AG4689" s="10"/>
    </row>
    <row r="4690" spans="33:33">
      <c r="AG4690" s="10"/>
    </row>
    <row r="4691" spans="33:33">
      <c r="AG4691" s="10"/>
    </row>
    <row r="4692" spans="33:33">
      <c r="AG4692" s="10"/>
    </row>
    <row r="4693" spans="33:33">
      <c r="AG4693" s="10"/>
    </row>
    <row r="4694" spans="33:33">
      <c r="AG4694" s="10"/>
    </row>
    <row r="4695" spans="33:33">
      <c r="AG4695" s="10"/>
    </row>
    <row r="4696" spans="33:33">
      <c r="AG4696" s="10"/>
    </row>
    <row r="4697" spans="33:33">
      <c r="AG4697" s="10"/>
    </row>
    <row r="4698" spans="33:33">
      <c r="AG4698" s="10"/>
    </row>
    <row r="4699" spans="33:33">
      <c r="AG4699" s="10"/>
    </row>
    <row r="4700" spans="33:33">
      <c r="AG4700" s="10"/>
    </row>
    <row r="4701" spans="33:33">
      <c r="AG4701" s="10"/>
    </row>
    <row r="4702" spans="33:33">
      <c r="AG4702" s="10"/>
    </row>
    <row r="4703" spans="33:33">
      <c r="AG4703" s="10"/>
    </row>
    <row r="4704" spans="33:33">
      <c r="AG4704" s="10"/>
    </row>
    <row r="4705" spans="33:33">
      <c r="AG4705" s="10"/>
    </row>
    <row r="4706" spans="33:33">
      <c r="AG4706" s="10"/>
    </row>
    <row r="4707" spans="33:33">
      <c r="AG4707" s="10"/>
    </row>
    <row r="4708" spans="33:33">
      <c r="AG4708" s="10"/>
    </row>
    <row r="4709" spans="33:33">
      <c r="AG4709" s="10"/>
    </row>
    <row r="4710" spans="33:33">
      <c r="AG4710" s="10"/>
    </row>
    <row r="4711" spans="33:33">
      <c r="AG4711" s="10"/>
    </row>
    <row r="4712" spans="33:33">
      <c r="AG4712" s="10"/>
    </row>
    <row r="4713" spans="33:33">
      <c r="AG4713" s="10"/>
    </row>
    <row r="4714" spans="33:33">
      <c r="AG4714" s="10"/>
    </row>
    <row r="4715" spans="33:33">
      <c r="AG4715" s="10"/>
    </row>
    <row r="4716" spans="33:33">
      <c r="AG4716" s="10"/>
    </row>
    <row r="4717" spans="33:33">
      <c r="AG4717" s="10"/>
    </row>
    <row r="4718" spans="33:33">
      <c r="AG4718" s="10"/>
    </row>
    <row r="4719" spans="33:33">
      <c r="AG4719" s="10"/>
    </row>
    <row r="4720" spans="33:33">
      <c r="AG4720" s="10"/>
    </row>
    <row r="4721" spans="33:33">
      <c r="AG4721" s="10"/>
    </row>
    <row r="4722" spans="33:33">
      <c r="AG4722" s="10"/>
    </row>
    <row r="4723" spans="33:33">
      <c r="AG4723" s="10"/>
    </row>
    <row r="4724" spans="33:33">
      <c r="AG4724" s="10"/>
    </row>
    <row r="4725" spans="33:33">
      <c r="AG4725" s="10"/>
    </row>
    <row r="4726" spans="33:33">
      <c r="AG4726" s="10"/>
    </row>
    <row r="4727" spans="33:33">
      <c r="AG4727" s="10"/>
    </row>
    <row r="4728" spans="33:33">
      <c r="AG4728" s="10"/>
    </row>
    <row r="4729" spans="33:33">
      <c r="AG4729" s="10"/>
    </row>
    <row r="4730" spans="33:33">
      <c r="AG4730" s="10"/>
    </row>
    <row r="4731" spans="33:33">
      <c r="AG4731" s="10"/>
    </row>
    <row r="4732" spans="33:33">
      <c r="AG4732" s="10"/>
    </row>
    <row r="4733" spans="33:33">
      <c r="AG4733" s="10"/>
    </row>
    <row r="4734" spans="33:33">
      <c r="AG4734" s="10"/>
    </row>
    <row r="4735" spans="33:33">
      <c r="AG4735" s="10"/>
    </row>
    <row r="4736" spans="33:33">
      <c r="AG4736" s="10"/>
    </row>
    <row r="4737" spans="33:33">
      <c r="AG4737" s="10"/>
    </row>
    <row r="4738" spans="33:33">
      <c r="AG4738" s="10"/>
    </row>
    <row r="4739" spans="33:33">
      <c r="AG4739" s="10"/>
    </row>
    <row r="4740" spans="33:33">
      <c r="AG4740" s="10"/>
    </row>
    <row r="4741" spans="33:33">
      <c r="AG4741" s="10"/>
    </row>
    <row r="4742" spans="33:33">
      <c r="AG4742" s="10"/>
    </row>
    <row r="4743" spans="33:33">
      <c r="AG4743" s="10"/>
    </row>
    <row r="4744" spans="33:33">
      <c r="AG4744" s="10"/>
    </row>
    <row r="4745" spans="33:33">
      <c r="AG4745" s="10"/>
    </row>
    <row r="4746" spans="33:33">
      <c r="AG4746" s="10"/>
    </row>
    <row r="4747" spans="33:33">
      <c r="AG4747" s="10"/>
    </row>
    <row r="4748" spans="33:33">
      <c r="AG4748" s="10"/>
    </row>
    <row r="4749" spans="33:33">
      <c r="AG4749" s="10"/>
    </row>
    <row r="4750" spans="33:33">
      <c r="AG4750" s="10"/>
    </row>
    <row r="4751" spans="33:33">
      <c r="AG4751" s="10"/>
    </row>
    <row r="4752" spans="33:33">
      <c r="AG4752" s="10"/>
    </row>
    <row r="4753" spans="33:33">
      <c r="AG4753" s="10"/>
    </row>
    <row r="4754" spans="33:33">
      <c r="AG4754" s="10"/>
    </row>
    <row r="4755" spans="33:33">
      <c r="AG4755" s="10"/>
    </row>
    <row r="4756" spans="33:33">
      <c r="AG4756" s="10"/>
    </row>
    <row r="4757" spans="33:33">
      <c r="AG4757" s="10"/>
    </row>
    <row r="4758" spans="33:33">
      <c r="AG4758" s="10"/>
    </row>
    <row r="4759" spans="33:33">
      <c r="AG4759" s="10"/>
    </row>
    <row r="4760" spans="33:33">
      <c r="AG4760" s="10"/>
    </row>
    <row r="4761" spans="33:33">
      <c r="AG4761" s="10"/>
    </row>
    <row r="4762" spans="33:33">
      <c r="AG4762" s="10"/>
    </row>
    <row r="4763" spans="33:33">
      <c r="AG4763" s="10"/>
    </row>
    <row r="4764" spans="33:33">
      <c r="AG4764" s="10"/>
    </row>
    <row r="4765" spans="33:33">
      <c r="AG4765" s="10"/>
    </row>
    <row r="4766" spans="33:33">
      <c r="AG4766" s="10"/>
    </row>
    <row r="4767" spans="33:33">
      <c r="AG4767" s="10"/>
    </row>
    <row r="4768" spans="33:33">
      <c r="AG4768" s="10"/>
    </row>
    <row r="4769" spans="33:33">
      <c r="AG4769" s="10"/>
    </row>
    <row r="4770" spans="33:33">
      <c r="AG4770" s="10"/>
    </row>
    <row r="4771" spans="33:33">
      <c r="AG4771" s="10"/>
    </row>
    <row r="4772" spans="33:33">
      <c r="AG4772" s="10"/>
    </row>
    <row r="4773" spans="33:33">
      <c r="AG4773" s="10"/>
    </row>
    <row r="4774" spans="33:33">
      <c r="AG4774" s="10"/>
    </row>
    <row r="4775" spans="33:33">
      <c r="AG4775" s="10"/>
    </row>
    <row r="4776" spans="33:33">
      <c r="AG4776" s="10"/>
    </row>
    <row r="4777" spans="33:33">
      <c r="AG4777" s="10"/>
    </row>
    <row r="4778" spans="33:33">
      <c r="AG4778" s="10"/>
    </row>
    <row r="4779" spans="33:33">
      <c r="AG4779" s="10"/>
    </row>
    <row r="4780" spans="33:33">
      <c r="AG4780" s="10"/>
    </row>
    <row r="4781" spans="33:33">
      <c r="AG4781" s="10"/>
    </row>
    <row r="4782" spans="33:33">
      <c r="AG4782" s="10"/>
    </row>
    <row r="4783" spans="33:33">
      <c r="AG4783" s="10"/>
    </row>
    <row r="4784" spans="33:33">
      <c r="AG4784" s="10"/>
    </row>
    <row r="4785" spans="33:33">
      <c r="AG4785" s="10"/>
    </row>
    <row r="4786" spans="33:33">
      <c r="AG4786" s="10"/>
    </row>
    <row r="4787" spans="33:33">
      <c r="AG4787" s="10"/>
    </row>
    <row r="4788" spans="33:33">
      <c r="AG4788" s="10"/>
    </row>
    <row r="4789" spans="33:33">
      <c r="AG4789" s="10"/>
    </row>
    <row r="4790" spans="33:33">
      <c r="AG4790" s="10"/>
    </row>
    <row r="4791" spans="33:33">
      <c r="AG4791" s="10"/>
    </row>
    <row r="4792" spans="33:33">
      <c r="AG4792" s="10"/>
    </row>
    <row r="4793" spans="33:33">
      <c r="AG4793" s="10"/>
    </row>
    <row r="4794" spans="33:33">
      <c r="AG4794" s="10"/>
    </row>
    <row r="4795" spans="33:33">
      <c r="AG4795" s="10"/>
    </row>
    <row r="4796" spans="33:33">
      <c r="AG4796" s="10"/>
    </row>
    <row r="4797" spans="33:33">
      <c r="AG4797" s="10"/>
    </row>
    <row r="4798" spans="33:33">
      <c r="AG4798" s="10"/>
    </row>
    <row r="4799" spans="33:33">
      <c r="AG4799" s="10"/>
    </row>
    <row r="4800" spans="33:33">
      <c r="AG4800" s="10"/>
    </row>
    <row r="4801" spans="33:33">
      <c r="AG4801" s="10"/>
    </row>
    <row r="4802" spans="33:33">
      <c r="AG4802" s="10"/>
    </row>
    <row r="4803" spans="33:33">
      <c r="AG4803" s="10"/>
    </row>
    <row r="4804" spans="33:33">
      <c r="AG4804" s="10"/>
    </row>
    <row r="4805" spans="33:33">
      <c r="AG4805" s="10"/>
    </row>
    <row r="4806" spans="33:33">
      <c r="AG4806" s="10"/>
    </row>
    <row r="4807" spans="33:33">
      <c r="AG4807" s="10"/>
    </row>
    <row r="4808" spans="33:33">
      <c r="AG4808" s="10"/>
    </row>
    <row r="4809" spans="33:33">
      <c r="AG4809" s="10"/>
    </row>
    <row r="4810" spans="33:33">
      <c r="AG4810" s="10"/>
    </row>
    <row r="4811" spans="33:33">
      <c r="AG4811" s="10"/>
    </row>
    <row r="4812" spans="33:33">
      <c r="AG4812" s="10"/>
    </row>
    <row r="4813" spans="33:33">
      <c r="AG4813" s="10"/>
    </row>
    <row r="4814" spans="33:33">
      <c r="AG4814" s="10"/>
    </row>
    <row r="4815" spans="33:33">
      <c r="AG4815" s="10"/>
    </row>
    <row r="4816" spans="33:33">
      <c r="AG4816" s="10"/>
    </row>
    <row r="4817" spans="33:33">
      <c r="AG4817" s="10"/>
    </row>
    <row r="4818" spans="33:33">
      <c r="AG4818" s="10"/>
    </row>
    <row r="4819" spans="33:33">
      <c r="AG4819" s="10"/>
    </row>
    <row r="4820" spans="33:33">
      <c r="AG4820" s="10"/>
    </row>
    <row r="4821" spans="33:33">
      <c r="AG4821" s="10"/>
    </row>
    <row r="4822" spans="33:33">
      <c r="AG4822" s="10"/>
    </row>
    <row r="4823" spans="33:33">
      <c r="AG4823" s="10"/>
    </row>
    <row r="4824" spans="33:33">
      <c r="AG4824" s="10"/>
    </row>
    <row r="4825" spans="33:33">
      <c r="AG4825" s="10"/>
    </row>
    <row r="4826" spans="33:33">
      <c r="AG4826" s="10"/>
    </row>
    <row r="4827" spans="33:33">
      <c r="AG4827" s="10"/>
    </row>
    <row r="4828" spans="33:33">
      <c r="AG4828" s="10"/>
    </row>
    <row r="4829" spans="33:33">
      <c r="AG4829" s="10"/>
    </row>
    <row r="4830" spans="33:33">
      <c r="AG4830" s="10"/>
    </row>
    <row r="4831" spans="33:33">
      <c r="AG4831" s="10"/>
    </row>
    <row r="4832" spans="33:33">
      <c r="AG4832" s="10"/>
    </row>
    <row r="4833" spans="33:33">
      <c r="AG4833" s="10"/>
    </row>
    <row r="4834" spans="33:33">
      <c r="AG4834" s="10"/>
    </row>
    <row r="4835" spans="33:33">
      <c r="AG4835" s="10"/>
    </row>
    <row r="4836" spans="33:33">
      <c r="AG4836" s="10"/>
    </row>
    <row r="4837" spans="33:33">
      <c r="AG4837" s="10"/>
    </row>
    <row r="4838" spans="33:33">
      <c r="AG4838" s="10"/>
    </row>
    <row r="4839" spans="33:33">
      <c r="AG4839" s="10"/>
    </row>
    <row r="4840" spans="33:33">
      <c r="AG4840" s="10"/>
    </row>
    <row r="4841" spans="33:33">
      <c r="AG4841" s="10"/>
    </row>
    <row r="4842" spans="33:33">
      <c r="AG4842" s="10"/>
    </row>
    <row r="4843" spans="33:33">
      <c r="AG4843" s="10"/>
    </row>
    <row r="4844" spans="33:33">
      <c r="AG4844" s="10"/>
    </row>
    <row r="4845" spans="33:33">
      <c r="AG4845" s="10"/>
    </row>
    <row r="4846" spans="33:33">
      <c r="AG4846" s="10"/>
    </row>
    <row r="4847" spans="33:33">
      <c r="AG4847" s="10"/>
    </row>
    <row r="4848" spans="33:33">
      <c r="AG4848" s="10"/>
    </row>
    <row r="4849" spans="33:33">
      <c r="AG4849" s="10"/>
    </row>
    <row r="4850" spans="33:33">
      <c r="AG4850" s="10"/>
    </row>
    <row r="4851" spans="33:33">
      <c r="AG4851" s="10"/>
    </row>
    <row r="4852" spans="33:33">
      <c r="AG4852" s="10"/>
    </row>
    <row r="4853" spans="33:33">
      <c r="AG4853" s="10"/>
    </row>
    <row r="4854" spans="33:33">
      <c r="AG4854" s="10"/>
    </row>
    <row r="4855" spans="33:33">
      <c r="AG4855" s="10"/>
    </row>
    <row r="4856" spans="33:33">
      <c r="AG4856" s="10"/>
    </row>
    <row r="4857" spans="33:33">
      <c r="AG4857" s="10"/>
    </row>
    <row r="4858" spans="33:33">
      <c r="AG4858" s="10"/>
    </row>
    <row r="4859" spans="33:33">
      <c r="AG4859" s="10"/>
    </row>
    <row r="4860" spans="33:33">
      <c r="AG4860" s="10"/>
    </row>
    <row r="4861" spans="33:33">
      <c r="AG4861" s="10"/>
    </row>
    <row r="4862" spans="33:33">
      <c r="AG4862" s="10"/>
    </row>
    <row r="4863" spans="33:33">
      <c r="AG4863" s="10"/>
    </row>
    <row r="4864" spans="33:33">
      <c r="AG4864" s="10"/>
    </row>
    <row r="4865" spans="33:33">
      <c r="AG4865" s="10"/>
    </row>
    <row r="4866" spans="33:33">
      <c r="AG4866" s="10"/>
    </row>
    <row r="4867" spans="33:33">
      <c r="AG4867" s="10"/>
    </row>
    <row r="4868" spans="33:33">
      <c r="AG4868" s="10"/>
    </row>
    <row r="4869" spans="33:33">
      <c r="AG4869" s="10"/>
    </row>
    <row r="4870" spans="33:33">
      <c r="AG4870" s="10"/>
    </row>
    <row r="4871" spans="33:33">
      <c r="AG4871" s="10"/>
    </row>
    <row r="4872" spans="33:33">
      <c r="AG4872" s="10"/>
    </row>
    <row r="4873" spans="33:33">
      <c r="AG4873" s="10"/>
    </row>
    <row r="4874" spans="33:33">
      <c r="AG4874" s="10"/>
    </row>
    <row r="4875" spans="33:33">
      <c r="AG4875" s="10"/>
    </row>
    <row r="4876" spans="33:33">
      <c r="AG4876" s="10"/>
    </row>
    <row r="4877" spans="33:33">
      <c r="AG4877" s="10"/>
    </row>
    <row r="4878" spans="33:33">
      <c r="AG4878" s="10"/>
    </row>
    <row r="4879" spans="33:33">
      <c r="AG4879" s="10"/>
    </row>
    <row r="4880" spans="33:33">
      <c r="AG4880" s="10"/>
    </row>
    <row r="4881" spans="33:33">
      <c r="AG4881" s="10"/>
    </row>
    <row r="4882" spans="33:33">
      <c r="AG4882" s="10"/>
    </row>
    <row r="4883" spans="33:33">
      <c r="AG4883" s="10"/>
    </row>
    <row r="4884" spans="33:33">
      <c r="AG4884" s="10"/>
    </row>
    <row r="4885" spans="33:33">
      <c r="AG4885" s="10"/>
    </row>
    <row r="4886" spans="33:33">
      <c r="AG4886" s="10"/>
    </row>
    <row r="4887" spans="33:33">
      <c r="AG4887" s="10"/>
    </row>
    <row r="4888" spans="33:33">
      <c r="AG4888" s="10"/>
    </row>
    <row r="4889" spans="33:33">
      <c r="AG4889" s="10"/>
    </row>
    <row r="4890" spans="33:33">
      <c r="AG4890" s="10"/>
    </row>
    <row r="4891" spans="33:33">
      <c r="AG4891" s="10"/>
    </row>
    <row r="4892" spans="33:33">
      <c r="AG4892" s="10"/>
    </row>
    <row r="4893" spans="33:33">
      <c r="AG4893" s="10"/>
    </row>
    <row r="4894" spans="33:33">
      <c r="AG4894" s="10"/>
    </row>
    <row r="4895" spans="33:33">
      <c r="AG4895" s="10"/>
    </row>
    <row r="4896" spans="33:33">
      <c r="AG4896" s="10"/>
    </row>
    <row r="4897" spans="33:33">
      <c r="AG4897" s="10"/>
    </row>
    <row r="4898" spans="33:33">
      <c r="AG4898" s="10"/>
    </row>
    <row r="4899" spans="33:33">
      <c r="AG4899" s="10"/>
    </row>
    <row r="4900" spans="33:33">
      <c r="AG4900" s="10"/>
    </row>
    <row r="4901" spans="33:33">
      <c r="AG4901" s="10"/>
    </row>
    <row r="4902" spans="33:33">
      <c r="AG4902" s="10"/>
    </row>
    <row r="4903" spans="33:33">
      <c r="AG4903" s="10"/>
    </row>
    <row r="4904" spans="33:33">
      <c r="AG4904" s="10"/>
    </row>
    <row r="4905" spans="33:33">
      <c r="AG4905" s="10"/>
    </row>
    <row r="4906" spans="33:33">
      <c r="AG4906" s="10"/>
    </row>
    <row r="4907" spans="33:33">
      <c r="AG4907" s="10"/>
    </row>
    <row r="4908" spans="33:33">
      <c r="AG4908" s="10"/>
    </row>
    <row r="4909" spans="33:33">
      <c r="AG4909" s="10"/>
    </row>
    <row r="4910" spans="33:33">
      <c r="AG4910" s="10"/>
    </row>
    <row r="4911" spans="33:33">
      <c r="AG4911" s="10"/>
    </row>
    <row r="4912" spans="33:33">
      <c r="AG4912" s="10"/>
    </row>
    <row r="4913" spans="33:33">
      <c r="AG4913" s="10"/>
    </row>
    <row r="4914" spans="33:33">
      <c r="AG4914" s="10"/>
    </row>
    <row r="4915" spans="33:33">
      <c r="AG4915" s="10"/>
    </row>
    <row r="4916" spans="33:33">
      <c r="AG4916" s="10"/>
    </row>
    <row r="4917" spans="33:33">
      <c r="AG4917" s="10"/>
    </row>
    <row r="4918" spans="33:33">
      <c r="AG4918" s="10"/>
    </row>
    <row r="4919" spans="33:33">
      <c r="AG4919" s="10"/>
    </row>
    <row r="4920" spans="33:33">
      <c r="AG4920" s="10"/>
    </row>
    <row r="4921" spans="33:33">
      <c r="AG4921" s="10"/>
    </row>
    <row r="4922" spans="33:33">
      <c r="AG4922" s="10"/>
    </row>
    <row r="4923" spans="33:33">
      <c r="AG4923" s="10"/>
    </row>
    <row r="4924" spans="33:33">
      <c r="AG4924" s="10"/>
    </row>
    <row r="4925" spans="33:33">
      <c r="AG4925" s="10"/>
    </row>
    <row r="4926" spans="33:33">
      <c r="AG4926" s="10"/>
    </row>
    <row r="4927" spans="33:33">
      <c r="AG4927" s="10"/>
    </row>
    <row r="4928" spans="33:33">
      <c r="AG4928" s="10"/>
    </row>
    <row r="4929" spans="33:33">
      <c r="AG4929" s="10"/>
    </row>
    <row r="4930" spans="33:33">
      <c r="AG4930" s="10"/>
    </row>
    <row r="4931" spans="33:33">
      <c r="AG4931" s="10"/>
    </row>
    <row r="4932" spans="33:33">
      <c r="AG4932" s="10"/>
    </row>
    <row r="4933" spans="33:33">
      <c r="AG4933" s="10"/>
    </row>
    <row r="4934" spans="33:33">
      <c r="AG4934" s="10"/>
    </row>
    <row r="4935" spans="33:33">
      <c r="AG4935" s="10"/>
    </row>
    <row r="4936" spans="33:33">
      <c r="AG4936" s="10"/>
    </row>
    <row r="4937" spans="33:33">
      <c r="AG4937" s="10"/>
    </row>
    <row r="4938" spans="33:33">
      <c r="AG4938" s="10"/>
    </row>
    <row r="4939" spans="33:33">
      <c r="AG4939" s="10"/>
    </row>
    <row r="4940" spans="33:33">
      <c r="AG4940" s="10"/>
    </row>
    <row r="4941" spans="33:33">
      <c r="AG4941" s="10"/>
    </row>
    <row r="4942" spans="33:33">
      <c r="AG4942" s="10"/>
    </row>
    <row r="4943" spans="33:33">
      <c r="AG4943" s="10"/>
    </row>
    <row r="4944" spans="33:33">
      <c r="AG4944" s="10"/>
    </row>
    <row r="4945" spans="33:33">
      <c r="AG4945" s="10"/>
    </row>
    <row r="4946" spans="33:33">
      <c r="AG4946" s="10"/>
    </row>
    <row r="4947" spans="33:33">
      <c r="AG4947" s="10"/>
    </row>
    <row r="4948" spans="33:33">
      <c r="AG4948" s="10"/>
    </row>
    <row r="4949" spans="33:33">
      <c r="AG4949" s="10"/>
    </row>
    <row r="4950" spans="33:33">
      <c r="AG4950" s="10"/>
    </row>
    <row r="4951" spans="33:33">
      <c r="AG4951" s="10"/>
    </row>
    <row r="4952" spans="33:33">
      <c r="AG4952" s="10"/>
    </row>
    <row r="4953" spans="33:33">
      <c r="AG4953" s="10"/>
    </row>
    <row r="4954" spans="33:33">
      <c r="AG4954" s="10"/>
    </row>
    <row r="4955" spans="33:33">
      <c r="AG4955" s="10"/>
    </row>
    <row r="4956" spans="33:33">
      <c r="AG4956" s="10"/>
    </row>
    <row r="4957" spans="33:33">
      <c r="AG4957" s="10"/>
    </row>
    <row r="4958" spans="33:33">
      <c r="AG4958" s="10"/>
    </row>
    <row r="4959" spans="33:33">
      <c r="AG4959" s="10"/>
    </row>
    <row r="4960" spans="33:33">
      <c r="AG4960" s="10"/>
    </row>
    <row r="4961" spans="33:33">
      <c r="AG4961" s="10"/>
    </row>
    <row r="4962" spans="33:33">
      <c r="AG4962" s="10"/>
    </row>
    <row r="4963" spans="33:33">
      <c r="AG4963" s="10"/>
    </row>
    <row r="4964" spans="33:33">
      <c r="AG4964" s="10"/>
    </row>
    <row r="4965" spans="33:33">
      <c r="AG4965" s="10"/>
    </row>
    <row r="4966" spans="33:33">
      <c r="AG4966" s="10"/>
    </row>
    <row r="4967" spans="33:33">
      <c r="AG4967" s="10"/>
    </row>
    <row r="4968" spans="33:33">
      <c r="AG4968" s="10"/>
    </row>
    <row r="4969" spans="33:33">
      <c r="AG4969" s="10"/>
    </row>
    <row r="4970" spans="33:33">
      <c r="AG4970" s="10"/>
    </row>
    <row r="4971" spans="33:33">
      <c r="AG4971" s="10"/>
    </row>
    <row r="4972" spans="33:33">
      <c r="AG4972" s="10"/>
    </row>
    <row r="4973" spans="33:33">
      <c r="AG4973" s="10"/>
    </row>
    <row r="4974" spans="33:33">
      <c r="AG4974" s="10"/>
    </row>
    <row r="4975" spans="33:33">
      <c r="AG4975" s="10"/>
    </row>
    <row r="4976" spans="33:33">
      <c r="AG4976" s="10"/>
    </row>
    <row r="4977" spans="33:33">
      <c r="AG4977" s="10"/>
    </row>
    <row r="4978" spans="33:33">
      <c r="AG4978" s="10"/>
    </row>
    <row r="4979" spans="33:33">
      <c r="AG4979" s="10"/>
    </row>
    <row r="4980" spans="33:33">
      <c r="AG4980" s="10"/>
    </row>
    <row r="4981" spans="33:33">
      <c r="AG4981" s="10"/>
    </row>
    <row r="4982" spans="33:33">
      <c r="AG4982" s="10"/>
    </row>
    <row r="4983" spans="33:33">
      <c r="AG4983" s="10"/>
    </row>
    <row r="4984" spans="33:33">
      <c r="AG4984" s="10"/>
    </row>
    <row r="4985" spans="33:33">
      <c r="AG4985" s="10"/>
    </row>
    <row r="4986" spans="33:33">
      <c r="AG4986" s="10"/>
    </row>
    <row r="4987" spans="33:33">
      <c r="AG4987" s="10"/>
    </row>
    <row r="4988" spans="33:33">
      <c r="AG4988" s="10"/>
    </row>
    <row r="4989" spans="33:33">
      <c r="AG4989" s="10"/>
    </row>
    <row r="4990" spans="33:33">
      <c r="AG4990" s="10"/>
    </row>
    <row r="4991" spans="33:33">
      <c r="AG4991" s="10"/>
    </row>
    <row r="4992" spans="33:33">
      <c r="AG4992" s="10"/>
    </row>
    <row r="4993" spans="33:33">
      <c r="AG4993" s="10"/>
    </row>
    <row r="4994" spans="33:33">
      <c r="AG4994" s="10"/>
    </row>
    <row r="4995" spans="33:33">
      <c r="AG4995" s="10"/>
    </row>
    <row r="4996" spans="33:33">
      <c r="AG4996" s="10"/>
    </row>
    <row r="4997" spans="33:33">
      <c r="AG4997" s="10"/>
    </row>
    <row r="4998" spans="33:33">
      <c r="AG4998" s="10"/>
    </row>
    <row r="4999" spans="33:33">
      <c r="AG4999" s="10"/>
    </row>
    <row r="5000" spans="33:33">
      <c r="AG5000" s="10"/>
    </row>
    <row r="5001" spans="33:33">
      <c r="AG5001" s="10"/>
    </row>
    <row r="5002" spans="33:33">
      <c r="AG5002" s="10"/>
    </row>
    <row r="5003" spans="33:33">
      <c r="AG5003" s="10"/>
    </row>
    <row r="5004" spans="33:33">
      <c r="AG5004" s="10"/>
    </row>
    <row r="5005" spans="33:33">
      <c r="AG5005" s="10"/>
    </row>
    <row r="5006" spans="33:33">
      <c r="AG5006" s="10"/>
    </row>
    <row r="5007" spans="33:33">
      <c r="AG5007" s="10"/>
    </row>
    <row r="5008" spans="33:33">
      <c r="AG5008" s="10"/>
    </row>
    <row r="5009" spans="33:33">
      <c r="AG5009" s="10"/>
    </row>
    <row r="5010" spans="33:33">
      <c r="AG5010" s="10"/>
    </row>
    <row r="5011" spans="33:33">
      <c r="AG5011" s="10"/>
    </row>
    <row r="5012" spans="33:33">
      <c r="AG5012" s="10"/>
    </row>
    <row r="5013" spans="33:33">
      <c r="AG5013" s="10"/>
    </row>
    <row r="5014" spans="33:33">
      <c r="AG5014" s="10"/>
    </row>
    <row r="5015" spans="33:33">
      <c r="AG5015" s="10"/>
    </row>
    <row r="5016" spans="33:33">
      <c r="AG5016" s="10"/>
    </row>
    <row r="5017" spans="33:33">
      <c r="AG5017" s="10"/>
    </row>
    <row r="5018" spans="33:33">
      <c r="AG5018" s="10"/>
    </row>
    <row r="5019" spans="33:33">
      <c r="AG5019" s="10"/>
    </row>
    <row r="5020" spans="33:33">
      <c r="AG5020" s="10"/>
    </row>
    <row r="5021" spans="33:33">
      <c r="AG5021" s="10"/>
    </row>
    <row r="5022" spans="33:33">
      <c r="AG5022" s="10"/>
    </row>
    <row r="5023" spans="33:33">
      <c r="AG5023" s="10"/>
    </row>
    <row r="5024" spans="33:33">
      <c r="AG5024" s="10"/>
    </row>
    <row r="5025" spans="33:33">
      <c r="AG5025" s="10"/>
    </row>
    <row r="5026" spans="33:33">
      <c r="AG5026" s="10"/>
    </row>
    <row r="5027" spans="33:33">
      <c r="AG5027" s="10"/>
    </row>
    <row r="5028" spans="33:33">
      <c r="AG5028" s="10"/>
    </row>
    <row r="5029" spans="33:33">
      <c r="AG5029" s="10"/>
    </row>
    <row r="5030" spans="33:33">
      <c r="AG5030" s="10"/>
    </row>
    <row r="5031" spans="33:33">
      <c r="AG5031" s="10"/>
    </row>
    <row r="5032" spans="33:33">
      <c r="AG5032" s="10"/>
    </row>
    <row r="5033" spans="33:33">
      <c r="AG5033" s="10"/>
    </row>
    <row r="5034" spans="33:33">
      <c r="AG5034" s="10"/>
    </row>
    <row r="5035" spans="33:33">
      <c r="AG5035" s="10"/>
    </row>
    <row r="5036" spans="33:33">
      <c r="AG5036" s="10"/>
    </row>
    <row r="5037" spans="33:33">
      <c r="AG5037" s="10"/>
    </row>
    <row r="5038" spans="33:33">
      <c r="AG5038" s="10"/>
    </row>
    <row r="5039" spans="33:33">
      <c r="AG5039" s="10"/>
    </row>
    <row r="5040" spans="33:33">
      <c r="AG5040" s="10"/>
    </row>
    <row r="5041" spans="33:33">
      <c r="AG5041" s="10"/>
    </row>
    <row r="5042" spans="33:33">
      <c r="AG5042" s="10"/>
    </row>
    <row r="5043" spans="33:33">
      <c r="AG5043" s="10"/>
    </row>
    <row r="5044" spans="33:33">
      <c r="AG5044" s="10"/>
    </row>
    <row r="5045" spans="33:33">
      <c r="AG5045" s="10"/>
    </row>
    <row r="5046" spans="33:33">
      <c r="AG5046" s="10"/>
    </row>
    <row r="5047" spans="33:33">
      <c r="AG5047" s="10"/>
    </row>
    <row r="5048" spans="33:33">
      <c r="AG5048" s="10"/>
    </row>
    <row r="5049" spans="33:33">
      <c r="AG5049" s="10"/>
    </row>
    <row r="5050" spans="33:33">
      <c r="AG5050" s="10"/>
    </row>
    <row r="5051" spans="33:33">
      <c r="AG5051" s="10"/>
    </row>
    <row r="5052" spans="33:33">
      <c r="AG5052" s="10"/>
    </row>
    <row r="5053" spans="33:33">
      <c r="AG5053" s="10"/>
    </row>
    <row r="5054" spans="33:33">
      <c r="AG5054" s="10"/>
    </row>
    <row r="5055" spans="33:33">
      <c r="AG5055" s="10"/>
    </row>
    <row r="5056" spans="33:33">
      <c r="AG5056" s="10"/>
    </row>
    <row r="5057" spans="33:33">
      <c r="AG5057" s="10"/>
    </row>
    <row r="5058" spans="33:33">
      <c r="AG5058" s="10"/>
    </row>
    <row r="5059" spans="33:33">
      <c r="AG5059" s="10"/>
    </row>
    <row r="5060" spans="33:33">
      <c r="AG5060" s="10"/>
    </row>
    <row r="5061" spans="33:33">
      <c r="AG5061" s="10"/>
    </row>
    <row r="5062" spans="33:33">
      <c r="AG5062" s="10"/>
    </row>
    <row r="5063" spans="33:33">
      <c r="AG5063" s="10"/>
    </row>
    <row r="5064" spans="33:33">
      <c r="AG5064" s="10"/>
    </row>
    <row r="5065" spans="33:33">
      <c r="AG5065" s="10"/>
    </row>
    <row r="5066" spans="33:33">
      <c r="AG5066" s="10"/>
    </row>
    <row r="5067" spans="33:33">
      <c r="AG5067" s="10"/>
    </row>
    <row r="5068" spans="33:33">
      <c r="AG5068" s="10"/>
    </row>
    <row r="5069" spans="33:33">
      <c r="AG5069" s="10"/>
    </row>
    <row r="5070" spans="33:33">
      <c r="AG5070" s="10"/>
    </row>
    <row r="5071" spans="33:33">
      <c r="AG5071" s="10"/>
    </row>
    <row r="5072" spans="33:33">
      <c r="AG5072" s="10"/>
    </row>
    <row r="5073" spans="33:33">
      <c r="AG5073" s="10"/>
    </row>
    <row r="5074" spans="33:33">
      <c r="AG5074" s="10"/>
    </row>
    <row r="5075" spans="33:33">
      <c r="AG5075" s="10"/>
    </row>
    <row r="5076" spans="33:33">
      <c r="AG5076" s="10"/>
    </row>
    <row r="5077" spans="33:33">
      <c r="AG5077" s="10"/>
    </row>
    <row r="5078" spans="33:33">
      <c r="AG5078" s="10"/>
    </row>
    <row r="5079" spans="33:33">
      <c r="AG5079" s="10"/>
    </row>
    <row r="5080" spans="33:33">
      <c r="AG5080" s="10"/>
    </row>
    <row r="5081" spans="33:33">
      <c r="AG5081" s="10"/>
    </row>
    <row r="5082" spans="33:33">
      <c r="AG5082" s="10"/>
    </row>
    <row r="5083" spans="33:33">
      <c r="AG5083" s="10"/>
    </row>
    <row r="5084" spans="33:33">
      <c r="AG5084" s="10"/>
    </row>
    <row r="5085" spans="33:33">
      <c r="AG5085" s="10"/>
    </row>
    <row r="5086" spans="33:33">
      <c r="AG5086" s="10"/>
    </row>
    <row r="5087" spans="33:33">
      <c r="AG5087" s="10"/>
    </row>
    <row r="5088" spans="33:33">
      <c r="AG5088" s="10"/>
    </row>
    <row r="5089" spans="33:33">
      <c r="AG5089" s="10"/>
    </row>
    <row r="5090" spans="33:33">
      <c r="AG5090" s="10"/>
    </row>
    <row r="5091" spans="33:33">
      <c r="AG5091" s="10"/>
    </row>
    <row r="5092" spans="33:33">
      <c r="AG5092" s="10"/>
    </row>
    <row r="5093" spans="33:33">
      <c r="AG5093" s="10"/>
    </row>
    <row r="5094" spans="33:33">
      <c r="AG5094" s="10"/>
    </row>
    <row r="5095" spans="33:33">
      <c r="AG5095" s="10"/>
    </row>
    <row r="5096" spans="33:33">
      <c r="AG5096" s="10"/>
    </row>
    <row r="5097" spans="33:33">
      <c r="AG5097" s="10"/>
    </row>
    <row r="5098" spans="33:33">
      <c r="AG5098" s="10"/>
    </row>
    <row r="5099" spans="33:33">
      <c r="AG5099" s="10"/>
    </row>
    <row r="5100" spans="33:33">
      <c r="AG5100" s="10"/>
    </row>
    <row r="5101" spans="33:33">
      <c r="AG5101" s="10"/>
    </row>
    <row r="5102" spans="33:33">
      <c r="AG5102" s="10"/>
    </row>
    <row r="5103" spans="33:33">
      <c r="AG5103" s="10"/>
    </row>
    <row r="5104" spans="33:33">
      <c r="AG5104" s="10"/>
    </row>
    <row r="5105" spans="33:33">
      <c r="AG5105" s="10"/>
    </row>
    <row r="5106" spans="33:33">
      <c r="AG5106" s="10"/>
    </row>
    <row r="5107" spans="33:33">
      <c r="AG5107" s="10"/>
    </row>
    <row r="5108" spans="33:33">
      <c r="AG5108" s="10"/>
    </row>
    <row r="5109" spans="33:33">
      <c r="AG5109" s="10"/>
    </row>
    <row r="5110" spans="33:33">
      <c r="AG5110" s="10"/>
    </row>
    <row r="5111" spans="33:33">
      <c r="AG5111" s="10"/>
    </row>
    <row r="5112" spans="33:33">
      <c r="AG5112" s="10"/>
    </row>
    <row r="5113" spans="33:33">
      <c r="AG5113" s="10"/>
    </row>
    <row r="5114" spans="33:33">
      <c r="AG5114" s="10"/>
    </row>
    <row r="5115" spans="33:33">
      <c r="AG5115" s="10"/>
    </row>
    <row r="5116" spans="33:33">
      <c r="AG5116" s="10"/>
    </row>
    <row r="5117" spans="33:33">
      <c r="AG5117" s="10"/>
    </row>
    <row r="5118" spans="33:33">
      <c r="AG5118" s="10"/>
    </row>
    <row r="5119" spans="33:33">
      <c r="AG5119" s="10"/>
    </row>
    <row r="5120" spans="33:33">
      <c r="AG5120" s="10"/>
    </row>
    <row r="5121" spans="33:33">
      <c r="AG5121" s="10"/>
    </row>
    <row r="5122" spans="33:33">
      <c r="AG5122" s="10"/>
    </row>
    <row r="5123" spans="33:33">
      <c r="AG5123" s="10"/>
    </row>
    <row r="5124" spans="33:33">
      <c r="AG5124" s="10"/>
    </row>
    <row r="5125" spans="33:33">
      <c r="AG5125" s="10"/>
    </row>
    <row r="5126" spans="33:33">
      <c r="AG5126" s="10"/>
    </row>
    <row r="5127" spans="33:33">
      <c r="AG5127" s="10"/>
    </row>
    <row r="5128" spans="33:33">
      <c r="AG5128" s="10"/>
    </row>
    <row r="5129" spans="33:33">
      <c r="AG5129" s="10"/>
    </row>
    <row r="5130" spans="33:33">
      <c r="AG5130" s="10"/>
    </row>
    <row r="5131" spans="33:33">
      <c r="AG5131" s="10"/>
    </row>
    <row r="5132" spans="33:33">
      <c r="AG5132" s="10"/>
    </row>
    <row r="5133" spans="33:33">
      <c r="AG5133" s="10"/>
    </row>
    <row r="5134" spans="33:33">
      <c r="AG5134" s="10"/>
    </row>
    <row r="5135" spans="33:33">
      <c r="AG5135" s="10"/>
    </row>
    <row r="5136" spans="33:33">
      <c r="AG5136" s="10"/>
    </row>
    <row r="5137" spans="33:33">
      <c r="AG5137" s="10"/>
    </row>
    <row r="5138" spans="33:33">
      <c r="AG5138" s="10"/>
    </row>
    <row r="5139" spans="33:33">
      <c r="AG5139" s="10"/>
    </row>
    <row r="5140" spans="33:33">
      <c r="AG5140" s="10"/>
    </row>
    <row r="5141" spans="33:33">
      <c r="AG5141" s="10"/>
    </row>
    <row r="5142" spans="33:33">
      <c r="AG5142" s="10"/>
    </row>
    <row r="5143" spans="33:33">
      <c r="AG5143" s="10"/>
    </row>
    <row r="5144" spans="33:33">
      <c r="AG5144" s="10"/>
    </row>
    <row r="5145" spans="33:33">
      <c r="AG5145" s="10"/>
    </row>
    <row r="5146" spans="33:33">
      <c r="AG5146" s="10"/>
    </row>
    <row r="5147" spans="33:33">
      <c r="AG5147" s="10"/>
    </row>
    <row r="5148" spans="33:33">
      <c r="AG5148" s="10"/>
    </row>
    <row r="5149" spans="33:33">
      <c r="AG5149" s="10"/>
    </row>
    <row r="5150" spans="33:33">
      <c r="AG5150" s="10"/>
    </row>
    <row r="5151" spans="33:33">
      <c r="AG5151" s="10"/>
    </row>
    <row r="5152" spans="33:33">
      <c r="AG5152" s="10"/>
    </row>
    <row r="5153" spans="33:33">
      <c r="AG5153" s="10"/>
    </row>
    <row r="5154" spans="33:33">
      <c r="AG5154" s="10"/>
    </row>
    <row r="5155" spans="33:33">
      <c r="AG5155" s="10"/>
    </row>
    <row r="5156" spans="33:33">
      <c r="AG5156" s="10"/>
    </row>
    <row r="5157" spans="33:33">
      <c r="AG5157" s="10"/>
    </row>
    <row r="5158" spans="33:33">
      <c r="AG5158" s="10"/>
    </row>
    <row r="5159" spans="33:33">
      <c r="AG5159" s="10"/>
    </row>
    <row r="5160" spans="33:33">
      <c r="AG5160" s="10"/>
    </row>
    <row r="5161" spans="33:33">
      <c r="AG5161" s="10"/>
    </row>
    <row r="5162" spans="33:33">
      <c r="AG5162" s="10"/>
    </row>
    <row r="5163" spans="33:33">
      <c r="AG5163" s="10"/>
    </row>
    <row r="5164" spans="33:33">
      <c r="AG5164" s="10"/>
    </row>
    <row r="5165" spans="33:33">
      <c r="AG5165" s="10"/>
    </row>
    <row r="5166" spans="33:33">
      <c r="AG5166" s="10"/>
    </row>
    <row r="5167" spans="33:33">
      <c r="AG5167" s="10"/>
    </row>
    <row r="5168" spans="33:33">
      <c r="AG5168" s="10"/>
    </row>
    <row r="5169" spans="33:33">
      <c r="AG5169" s="10"/>
    </row>
    <row r="5170" spans="33:33">
      <c r="AG5170" s="10"/>
    </row>
    <row r="5171" spans="33:33">
      <c r="AG5171" s="10"/>
    </row>
    <row r="5172" spans="33:33">
      <c r="AG5172" s="10"/>
    </row>
    <row r="5173" spans="33:33">
      <c r="AG5173" s="10"/>
    </row>
    <row r="5174" spans="33:33">
      <c r="AG5174" s="10"/>
    </row>
    <row r="5175" spans="33:33">
      <c r="AG5175" s="10"/>
    </row>
    <row r="5176" spans="33:33">
      <c r="AG5176" s="10"/>
    </row>
    <row r="5177" spans="33:33">
      <c r="AG5177" s="10"/>
    </row>
    <row r="5178" spans="33:33">
      <c r="AG5178" s="10"/>
    </row>
    <row r="5179" spans="33:33">
      <c r="AG5179" s="10"/>
    </row>
    <row r="5180" spans="33:33">
      <c r="AG5180" s="10"/>
    </row>
    <row r="5181" spans="33:33">
      <c r="AG5181" s="10"/>
    </row>
    <row r="5182" spans="33:33">
      <c r="AG5182" s="10"/>
    </row>
    <row r="5183" spans="33:33">
      <c r="AG5183" s="10"/>
    </row>
    <row r="5184" spans="33:33">
      <c r="AG5184" s="10"/>
    </row>
    <row r="5185" spans="33:33">
      <c r="AG5185" s="10"/>
    </row>
    <row r="5186" spans="33:33">
      <c r="AG5186" s="10"/>
    </row>
    <row r="5187" spans="33:33">
      <c r="AG5187" s="10"/>
    </row>
    <row r="5188" spans="33:33">
      <c r="AG5188" s="10"/>
    </row>
    <row r="5189" spans="33:33">
      <c r="AG5189" s="10"/>
    </row>
    <row r="5190" spans="33:33">
      <c r="AG5190" s="10"/>
    </row>
    <row r="5191" spans="33:33">
      <c r="AG5191" s="10"/>
    </row>
    <row r="5192" spans="33:33">
      <c r="AG5192" s="10"/>
    </row>
    <row r="5193" spans="33:33">
      <c r="AG5193" s="10"/>
    </row>
    <row r="5194" spans="33:33">
      <c r="AG5194" s="10"/>
    </row>
    <row r="5195" spans="33:33">
      <c r="AG5195" s="10"/>
    </row>
    <row r="5196" spans="33:33">
      <c r="AG5196" s="10"/>
    </row>
    <row r="5197" spans="33:33">
      <c r="AG5197" s="10"/>
    </row>
    <row r="5198" spans="33:33">
      <c r="AG5198" s="10"/>
    </row>
    <row r="5199" spans="33:33">
      <c r="AG5199" s="10"/>
    </row>
    <row r="5200" spans="33:33">
      <c r="AG5200" s="10"/>
    </row>
    <row r="5201" spans="33:33">
      <c r="AG5201" s="10"/>
    </row>
    <row r="5202" spans="33:33">
      <c r="AG5202" s="10"/>
    </row>
    <row r="5203" spans="33:33">
      <c r="AG5203" s="10"/>
    </row>
    <row r="5204" spans="33:33">
      <c r="AG5204" s="10"/>
    </row>
    <row r="5205" spans="33:33">
      <c r="AG5205" s="10"/>
    </row>
    <row r="5206" spans="33:33">
      <c r="AG5206" s="10"/>
    </row>
    <row r="5207" spans="33:33">
      <c r="AG5207" s="10"/>
    </row>
    <row r="5208" spans="33:33">
      <c r="AG5208" s="10"/>
    </row>
    <row r="5209" spans="33:33">
      <c r="AG5209" s="10"/>
    </row>
    <row r="5210" spans="33:33">
      <c r="AG5210" s="10"/>
    </row>
    <row r="5211" spans="33:33">
      <c r="AG5211" s="10"/>
    </row>
    <row r="5212" spans="33:33">
      <c r="AG5212" s="10"/>
    </row>
    <row r="5213" spans="33:33">
      <c r="AG5213" s="10"/>
    </row>
    <row r="5214" spans="33:33">
      <c r="AG5214" s="10"/>
    </row>
    <row r="5215" spans="33:33">
      <c r="AG5215" s="10"/>
    </row>
    <row r="5216" spans="33:33">
      <c r="AG5216" s="10"/>
    </row>
    <row r="5217" spans="33:33">
      <c r="AG5217" s="10"/>
    </row>
    <row r="5218" spans="33:33">
      <c r="AG5218" s="10"/>
    </row>
    <row r="5219" spans="33:33">
      <c r="AG5219" s="10"/>
    </row>
    <row r="5220" spans="33:33">
      <c r="AG5220" s="10"/>
    </row>
    <row r="5221" spans="33:33">
      <c r="AG5221" s="10"/>
    </row>
    <row r="5222" spans="33:33">
      <c r="AG5222" s="10"/>
    </row>
    <row r="5223" spans="33:33">
      <c r="AG5223" s="10"/>
    </row>
    <row r="5224" spans="33:33">
      <c r="AG5224" s="10"/>
    </row>
    <row r="5225" spans="33:33">
      <c r="AG5225" s="10"/>
    </row>
    <row r="5226" spans="33:33">
      <c r="AG5226" s="10"/>
    </row>
    <row r="5227" spans="33:33">
      <c r="AG5227" s="10"/>
    </row>
    <row r="5228" spans="33:33">
      <c r="AG5228" s="10"/>
    </row>
    <row r="5229" spans="33:33">
      <c r="AG5229" s="10"/>
    </row>
    <row r="5230" spans="33:33">
      <c r="AG5230" s="10"/>
    </row>
    <row r="5231" spans="33:33">
      <c r="AG5231" s="10"/>
    </row>
    <row r="5232" spans="33:33">
      <c r="AG5232" s="10"/>
    </row>
    <row r="5233" spans="33:33">
      <c r="AG5233" s="10"/>
    </row>
    <row r="5234" spans="33:33">
      <c r="AG5234" s="10"/>
    </row>
    <row r="5235" spans="33:33">
      <c r="AG5235" s="10"/>
    </row>
    <row r="5236" spans="33:33">
      <c r="AG5236" s="10"/>
    </row>
    <row r="5237" spans="33:33">
      <c r="AG5237" s="10"/>
    </row>
    <row r="5238" spans="33:33">
      <c r="AG5238" s="10"/>
    </row>
    <row r="5239" spans="33:33">
      <c r="AG5239" s="10"/>
    </row>
    <row r="5240" spans="33:33">
      <c r="AG5240" s="10"/>
    </row>
    <row r="5241" spans="33:33">
      <c r="AG5241" s="10"/>
    </row>
    <row r="5242" spans="33:33">
      <c r="AG5242" s="10"/>
    </row>
    <row r="5243" spans="33:33">
      <c r="AG5243" s="10"/>
    </row>
    <row r="5244" spans="33:33">
      <c r="AG5244" s="10"/>
    </row>
    <row r="5245" spans="33:33">
      <c r="AG5245" s="10"/>
    </row>
    <row r="5246" spans="33:33">
      <c r="AG5246" s="10"/>
    </row>
    <row r="5247" spans="33:33">
      <c r="AG5247" s="10"/>
    </row>
    <row r="5248" spans="33:33">
      <c r="AG5248" s="10"/>
    </row>
    <row r="5249" spans="33:33">
      <c r="AG5249" s="10"/>
    </row>
    <row r="5250" spans="33:33">
      <c r="AG5250" s="10"/>
    </row>
    <row r="5251" spans="33:33">
      <c r="AG5251" s="10"/>
    </row>
    <row r="5252" spans="33:33">
      <c r="AG5252" s="10"/>
    </row>
    <row r="5253" spans="33:33">
      <c r="AG5253" s="10"/>
    </row>
    <row r="5254" spans="33:33">
      <c r="AG5254" s="10"/>
    </row>
    <row r="5255" spans="33:33">
      <c r="AG5255" s="10"/>
    </row>
    <row r="5256" spans="33:33">
      <c r="AG5256" s="10"/>
    </row>
    <row r="5257" spans="33:33">
      <c r="AG5257" s="10"/>
    </row>
    <row r="5258" spans="33:33">
      <c r="AG5258" s="10"/>
    </row>
    <row r="5259" spans="33:33">
      <c r="AG5259" s="10"/>
    </row>
    <row r="5260" spans="33:33">
      <c r="AG5260" s="10"/>
    </row>
    <row r="5261" spans="33:33">
      <c r="AG5261" s="10"/>
    </row>
    <row r="5262" spans="33:33">
      <c r="AG5262" s="10"/>
    </row>
    <row r="5263" spans="33:33">
      <c r="AG5263" s="10"/>
    </row>
    <row r="5264" spans="33:33">
      <c r="AG5264" s="10"/>
    </row>
    <row r="5265" spans="33:33">
      <c r="AG5265" s="10"/>
    </row>
    <row r="5266" spans="33:33">
      <c r="AG5266" s="10"/>
    </row>
    <row r="5267" spans="33:33">
      <c r="AG5267" s="10"/>
    </row>
    <row r="5268" spans="33:33">
      <c r="AG5268" s="10"/>
    </row>
    <row r="5269" spans="33:33">
      <c r="AG5269" s="10"/>
    </row>
    <row r="5270" spans="33:33">
      <c r="AG5270" s="10"/>
    </row>
    <row r="5271" spans="33:33">
      <c r="AG5271" s="10"/>
    </row>
    <row r="5272" spans="33:33">
      <c r="AG5272" s="10"/>
    </row>
    <row r="5273" spans="33:33">
      <c r="AG5273" s="10"/>
    </row>
    <row r="5274" spans="33:33">
      <c r="AG5274" s="10"/>
    </row>
    <row r="5275" spans="33:33">
      <c r="AG5275" s="10"/>
    </row>
    <row r="5276" spans="33:33">
      <c r="AG5276" s="10"/>
    </row>
    <row r="5277" spans="33:33">
      <c r="AG5277" s="10"/>
    </row>
    <row r="5278" spans="33:33">
      <c r="AG5278" s="10"/>
    </row>
    <row r="5279" spans="33:33">
      <c r="AG5279" s="10"/>
    </row>
    <row r="5280" spans="33:33">
      <c r="AG5280" s="10"/>
    </row>
    <row r="5281" spans="33:33">
      <c r="AG5281" s="10"/>
    </row>
    <row r="5282" spans="33:33">
      <c r="AG5282" s="10"/>
    </row>
    <row r="5283" spans="33:33">
      <c r="AG5283" s="10"/>
    </row>
    <row r="5284" spans="33:33">
      <c r="AG5284" s="10"/>
    </row>
    <row r="5285" spans="33:33">
      <c r="AG5285" s="10"/>
    </row>
    <row r="5286" spans="33:33">
      <c r="AG5286" s="10"/>
    </row>
    <row r="5287" spans="33:33">
      <c r="AG5287" s="10"/>
    </row>
    <row r="5288" spans="33:33">
      <c r="AG5288" s="10"/>
    </row>
    <row r="5289" spans="33:33">
      <c r="AG5289" s="10"/>
    </row>
    <row r="5290" spans="33:33">
      <c r="AG5290" s="10"/>
    </row>
    <row r="5291" spans="33:33">
      <c r="AG5291" s="10"/>
    </row>
    <row r="5292" spans="33:33">
      <c r="AG5292" s="10"/>
    </row>
    <row r="5293" spans="33:33">
      <c r="AG5293" s="10"/>
    </row>
    <row r="5294" spans="33:33">
      <c r="AG5294" s="10"/>
    </row>
    <row r="5295" spans="33:33">
      <c r="AG5295" s="10"/>
    </row>
    <row r="5296" spans="33:33">
      <c r="AG5296" s="10"/>
    </row>
    <row r="5297" spans="33:33">
      <c r="AG5297" s="10"/>
    </row>
    <row r="5298" spans="33:33">
      <c r="AG5298" s="10"/>
    </row>
    <row r="5299" spans="33:33">
      <c r="AG5299" s="10"/>
    </row>
    <row r="5300" spans="33:33">
      <c r="AG5300" s="10"/>
    </row>
    <row r="5301" spans="33:33">
      <c r="AG5301" s="10"/>
    </row>
    <row r="5302" spans="33:33">
      <c r="AG5302" s="10"/>
    </row>
    <row r="5303" spans="33:33">
      <c r="AG5303" s="10"/>
    </row>
    <row r="5304" spans="33:33">
      <c r="AG5304" s="10"/>
    </row>
    <row r="5305" spans="33:33">
      <c r="AG5305" s="10"/>
    </row>
    <row r="5306" spans="33:33">
      <c r="AG5306" s="10"/>
    </row>
    <row r="5307" spans="33:33">
      <c r="AG5307" s="10"/>
    </row>
    <row r="5308" spans="33:33">
      <c r="AG5308" s="10"/>
    </row>
    <row r="5309" spans="33:33">
      <c r="AG5309" s="10"/>
    </row>
    <row r="5310" spans="33:33">
      <c r="AG5310" s="10"/>
    </row>
    <row r="5311" spans="33:33">
      <c r="AG5311" s="10"/>
    </row>
    <row r="5312" spans="33:33">
      <c r="AG5312" s="10"/>
    </row>
    <row r="5313" spans="33:33">
      <c r="AG5313" s="10"/>
    </row>
    <row r="5314" spans="33:33">
      <c r="AG5314" s="10"/>
    </row>
    <row r="5315" spans="33:33">
      <c r="AG5315" s="10"/>
    </row>
    <row r="5316" spans="33:33">
      <c r="AG5316" s="10"/>
    </row>
    <row r="5317" spans="33:33">
      <c r="AG5317" s="10"/>
    </row>
    <row r="5318" spans="33:33">
      <c r="AG5318" s="10"/>
    </row>
    <row r="5319" spans="33:33">
      <c r="AG5319" s="10"/>
    </row>
    <row r="5320" spans="33:33">
      <c r="AG5320" s="10"/>
    </row>
    <row r="5321" spans="33:33">
      <c r="AG5321" s="10"/>
    </row>
    <row r="5322" spans="33:33">
      <c r="AG5322" s="10"/>
    </row>
    <row r="5323" spans="33:33">
      <c r="AG5323" s="10"/>
    </row>
    <row r="5324" spans="33:33">
      <c r="AG5324" s="10"/>
    </row>
    <row r="5325" spans="33:33">
      <c r="AG5325" s="10"/>
    </row>
    <row r="5326" spans="33:33">
      <c r="AG5326" s="10"/>
    </row>
    <row r="5327" spans="33:33">
      <c r="AG5327" s="10"/>
    </row>
    <row r="5328" spans="33:33">
      <c r="AG5328" s="10"/>
    </row>
    <row r="5329" spans="33:33">
      <c r="AG5329" s="10"/>
    </row>
    <row r="5330" spans="33:33">
      <c r="AG5330" s="10"/>
    </row>
    <row r="5331" spans="33:33">
      <c r="AG5331" s="10"/>
    </row>
    <row r="5332" spans="33:33">
      <c r="AG5332" s="10"/>
    </row>
    <row r="5333" spans="33:33">
      <c r="AG5333" s="10"/>
    </row>
    <row r="5334" spans="33:33">
      <c r="AG5334" s="10"/>
    </row>
    <row r="5335" spans="33:33">
      <c r="AG5335" s="10"/>
    </row>
    <row r="5336" spans="33:33">
      <c r="AG5336" s="10"/>
    </row>
    <row r="5337" spans="33:33">
      <c r="AG5337" s="10"/>
    </row>
    <row r="5338" spans="33:33">
      <c r="AG5338" s="10"/>
    </row>
    <row r="5339" spans="33:33">
      <c r="AG5339" s="10"/>
    </row>
    <row r="5340" spans="33:33">
      <c r="AG5340" s="10"/>
    </row>
    <row r="5341" spans="33:33">
      <c r="AG5341" s="10"/>
    </row>
    <row r="5342" spans="33:33">
      <c r="AG5342" s="10"/>
    </row>
    <row r="5343" spans="33:33">
      <c r="AG5343" s="10"/>
    </row>
    <row r="5344" spans="33:33">
      <c r="AG5344" s="10"/>
    </row>
    <row r="5345" spans="33:33">
      <c r="AG5345" s="10"/>
    </row>
    <row r="5346" spans="33:33">
      <c r="AG5346" s="10"/>
    </row>
    <row r="5347" spans="33:33">
      <c r="AG5347" s="10"/>
    </row>
    <row r="5348" spans="33:33">
      <c r="AG5348" s="10"/>
    </row>
    <row r="5349" spans="33:33">
      <c r="AG5349" s="10"/>
    </row>
    <row r="5350" spans="33:33">
      <c r="AG5350" s="10"/>
    </row>
    <row r="5351" spans="33:33">
      <c r="AG5351" s="10"/>
    </row>
    <row r="5352" spans="33:33">
      <c r="AG5352" s="10"/>
    </row>
    <row r="5353" spans="33:33">
      <c r="AG5353" s="10"/>
    </row>
    <row r="5354" spans="33:33">
      <c r="AG5354" s="10"/>
    </row>
    <row r="5355" spans="33:33">
      <c r="AG5355" s="10"/>
    </row>
    <row r="5356" spans="33:33">
      <c r="AG5356" s="10"/>
    </row>
    <row r="5357" spans="33:33">
      <c r="AG5357" s="10"/>
    </row>
    <row r="5358" spans="33:33">
      <c r="AG5358" s="10"/>
    </row>
    <row r="5359" spans="33:33">
      <c r="AG5359" s="10"/>
    </row>
    <row r="5360" spans="33:33">
      <c r="AG5360" s="10"/>
    </row>
    <row r="5361" spans="33:33">
      <c r="AG5361" s="10"/>
    </row>
    <row r="5362" spans="33:33">
      <c r="AG5362" s="10"/>
    </row>
    <row r="5363" spans="33:33">
      <c r="AG5363" s="10"/>
    </row>
    <row r="5364" spans="33:33">
      <c r="AG5364" s="10"/>
    </row>
    <row r="5365" spans="33:33">
      <c r="AG5365" s="10"/>
    </row>
    <row r="5366" spans="33:33">
      <c r="AG5366" s="10"/>
    </row>
    <row r="5367" spans="33:33">
      <c r="AG5367" s="10"/>
    </row>
    <row r="5368" spans="33:33">
      <c r="AG5368" s="10"/>
    </row>
    <row r="5369" spans="33:33">
      <c r="AG5369" s="10"/>
    </row>
    <row r="5370" spans="33:33">
      <c r="AG5370" s="10"/>
    </row>
    <row r="5371" spans="33:33">
      <c r="AG5371" s="10"/>
    </row>
    <row r="5372" spans="33:33">
      <c r="AG5372" s="10"/>
    </row>
    <row r="5373" spans="33:33">
      <c r="AG5373" s="10"/>
    </row>
    <row r="5374" spans="33:33">
      <c r="AG5374" s="10"/>
    </row>
    <row r="5375" spans="33:33">
      <c r="AG5375" s="10"/>
    </row>
    <row r="5376" spans="33:33">
      <c r="AG5376" s="10"/>
    </row>
    <row r="5377" spans="33:33">
      <c r="AG5377" s="10"/>
    </row>
    <row r="5378" spans="33:33">
      <c r="AG5378" s="10"/>
    </row>
    <row r="5379" spans="33:33">
      <c r="AG5379" s="10"/>
    </row>
    <row r="5380" spans="33:33">
      <c r="AG5380" s="10"/>
    </row>
    <row r="5381" spans="33:33">
      <c r="AG5381" s="10"/>
    </row>
    <row r="5382" spans="33:33">
      <c r="AG5382" s="10"/>
    </row>
    <row r="5383" spans="33:33">
      <c r="AG5383" s="10"/>
    </row>
    <row r="5384" spans="33:33">
      <c r="AG5384" s="10"/>
    </row>
    <row r="5385" spans="33:33">
      <c r="AG5385" s="10"/>
    </row>
    <row r="5386" spans="33:33">
      <c r="AG5386" s="10"/>
    </row>
    <row r="5387" spans="33:33">
      <c r="AG5387" s="10"/>
    </row>
    <row r="5388" spans="33:33">
      <c r="AG5388" s="10"/>
    </row>
    <row r="5389" spans="33:33">
      <c r="AG5389" s="10"/>
    </row>
    <row r="5390" spans="33:33">
      <c r="AG5390" s="10"/>
    </row>
    <row r="5391" spans="33:33">
      <c r="AG5391" s="10"/>
    </row>
    <row r="5392" spans="33:33">
      <c r="AG5392" s="10"/>
    </row>
    <row r="5393" spans="33:33">
      <c r="AG5393" s="10"/>
    </row>
    <row r="5394" spans="33:33">
      <c r="AG5394" s="10"/>
    </row>
    <row r="5395" spans="33:33">
      <c r="AG5395" s="10"/>
    </row>
    <row r="5396" spans="33:33">
      <c r="AG5396" s="10"/>
    </row>
    <row r="5397" spans="33:33">
      <c r="AG5397" s="10"/>
    </row>
    <row r="5398" spans="33:33">
      <c r="AG5398" s="10"/>
    </row>
    <row r="5399" spans="33:33">
      <c r="AG5399" s="10"/>
    </row>
    <row r="5400" spans="33:33">
      <c r="AG5400" s="10"/>
    </row>
    <row r="5401" spans="33:33">
      <c r="AG5401" s="10"/>
    </row>
    <row r="5402" spans="33:33">
      <c r="AG5402" s="10"/>
    </row>
    <row r="5403" spans="33:33">
      <c r="AG5403" s="10"/>
    </row>
    <row r="5404" spans="33:33">
      <c r="AG5404" s="10"/>
    </row>
    <row r="5405" spans="33:33">
      <c r="AG5405" s="10"/>
    </row>
    <row r="5406" spans="33:33">
      <c r="AG5406" s="10"/>
    </row>
    <row r="5407" spans="33:33">
      <c r="AG5407" s="10"/>
    </row>
    <row r="5408" spans="33:33">
      <c r="AG5408" s="10"/>
    </row>
    <row r="5409" spans="33:33">
      <c r="AG5409" s="10"/>
    </row>
    <row r="5410" spans="33:33">
      <c r="AG5410" s="10"/>
    </row>
    <row r="5411" spans="33:33">
      <c r="AG5411" s="10"/>
    </row>
    <row r="5412" spans="33:33">
      <c r="AG5412" s="10"/>
    </row>
    <row r="5413" spans="33:33">
      <c r="AG5413" s="10"/>
    </row>
    <row r="5414" spans="33:33">
      <c r="AG5414" s="10"/>
    </row>
    <row r="5415" spans="33:33">
      <c r="AG5415" s="10"/>
    </row>
    <row r="5416" spans="33:33">
      <c r="AG5416" s="10"/>
    </row>
    <row r="5417" spans="33:33">
      <c r="AG5417" s="10"/>
    </row>
    <row r="5418" spans="33:33">
      <c r="AG5418" s="10"/>
    </row>
    <row r="5419" spans="33:33">
      <c r="AG5419" s="10"/>
    </row>
    <row r="5420" spans="33:33">
      <c r="AG5420" s="10"/>
    </row>
    <row r="5421" spans="33:33">
      <c r="AG5421" s="10"/>
    </row>
    <row r="5422" spans="33:33">
      <c r="AG5422" s="10"/>
    </row>
    <row r="5423" spans="33:33">
      <c r="AG5423" s="10"/>
    </row>
    <row r="5424" spans="33:33">
      <c r="AG5424" s="10"/>
    </row>
    <row r="5425" spans="33:33">
      <c r="AG5425" s="10"/>
    </row>
    <row r="5426" spans="33:33">
      <c r="AG5426" s="10"/>
    </row>
    <row r="5427" spans="33:33">
      <c r="AG5427" s="10"/>
    </row>
    <row r="5428" spans="33:33">
      <c r="AG5428" s="10"/>
    </row>
    <row r="5429" spans="33:33">
      <c r="AG5429" s="10"/>
    </row>
    <row r="5430" spans="33:33">
      <c r="AG5430" s="10"/>
    </row>
    <row r="5431" spans="33:33">
      <c r="AG5431" s="10"/>
    </row>
    <row r="5432" spans="33:33">
      <c r="AG5432" s="10"/>
    </row>
    <row r="5433" spans="33:33">
      <c r="AG5433" s="10"/>
    </row>
    <row r="5434" spans="33:33">
      <c r="AG5434" s="10"/>
    </row>
    <row r="5435" spans="33:33">
      <c r="AG5435" s="10"/>
    </row>
    <row r="5436" spans="33:33">
      <c r="AG5436" s="10"/>
    </row>
    <row r="5437" spans="33:33">
      <c r="AG5437" s="10"/>
    </row>
    <row r="5438" spans="33:33">
      <c r="AG5438" s="10"/>
    </row>
    <row r="5439" spans="33:33">
      <c r="AG5439" s="10"/>
    </row>
    <row r="5440" spans="33:33">
      <c r="AG5440" s="10"/>
    </row>
    <row r="5441" spans="33:33">
      <c r="AG5441" s="10"/>
    </row>
    <row r="5442" spans="33:33">
      <c r="AG5442" s="10"/>
    </row>
    <row r="5443" spans="33:33">
      <c r="AG5443" s="10"/>
    </row>
    <row r="5444" spans="33:33">
      <c r="AG5444" s="10"/>
    </row>
    <row r="5445" spans="33:33">
      <c r="AG5445" s="10"/>
    </row>
    <row r="5446" spans="33:33">
      <c r="AG5446" s="10"/>
    </row>
    <row r="5447" spans="33:33">
      <c r="AG5447" s="10"/>
    </row>
    <row r="5448" spans="33:33">
      <c r="AG5448" s="10"/>
    </row>
    <row r="5449" spans="33:33">
      <c r="AG5449" s="10"/>
    </row>
    <row r="5450" spans="33:33">
      <c r="AG5450" s="10"/>
    </row>
    <row r="5451" spans="33:33">
      <c r="AG5451" s="10"/>
    </row>
    <row r="5452" spans="33:33">
      <c r="AG5452" s="10"/>
    </row>
    <row r="5453" spans="33:33">
      <c r="AG5453" s="10"/>
    </row>
    <row r="5454" spans="33:33">
      <c r="AG5454" s="10"/>
    </row>
    <row r="5455" spans="33:33">
      <c r="AG5455" s="10"/>
    </row>
    <row r="5456" spans="33:33">
      <c r="AG5456" s="10"/>
    </row>
    <row r="5457" spans="33:33">
      <c r="AG5457" s="10"/>
    </row>
    <row r="5458" spans="33:33">
      <c r="AG5458" s="10"/>
    </row>
    <row r="5459" spans="33:33">
      <c r="AG5459" s="10"/>
    </row>
    <row r="5460" spans="33:33">
      <c r="AG5460" s="10"/>
    </row>
    <row r="5461" spans="33:33">
      <c r="AG5461" s="10"/>
    </row>
    <row r="5462" spans="33:33">
      <c r="AG5462" s="10"/>
    </row>
    <row r="5463" spans="33:33">
      <c r="AG5463" s="10"/>
    </row>
    <row r="5464" spans="33:33">
      <c r="AG5464" s="10"/>
    </row>
    <row r="5465" spans="33:33">
      <c r="AG5465" s="10"/>
    </row>
    <row r="5466" spans="33:33">
      <c r="AG5466" s="10"/>
    </row>
    <row r="5467" spans="33:33">
      <c r="AG5467" s="10"/>
    </row>
    <row r="5468" spans="33:33">
      <c r="AG5468" s="10"/>
    </row>
    <row r="5469" spans="33:33">
      <c r="AG5469" s="10"/>
    </row>
    <row r="5470" spans="33:33">
      <c r="AG5470" s="10"/>
    </row>
    <row r="5471" spans="33:33">
      <c r="AG5471" s="10"/>
    </row>
    <row r="5472" spans="33:33">
      <c r="AG5472" s="10"/>
    </row>
    <row r="5473" spans="33:33">
      <c r="AG5473" s="10"/>
    </row>
    <row r="5474" spans="33:33">
      <c r="AG5474" s="10"/>
    </row>
    <row r="5475" spans="33:33">
      <c r="AG5475" s="10"/>
    </row>
    <row r="5476" spans="33:33">
      <c r="AG5476" s="10"/>
    </row>
    <row r="5477" spans="33:33">
      <c r="AG5477" s="10"/>
    </row>
    <row r="5478" spans="33:33">
      <c r="AG5478" s="10"/>
    </row>
    <row r="5479" spans="33:33">
      <c r="AG5479" s="10"/>
    </row>
    <row r="5480" spans="33:33">
      <c r="AG5480" s="10"/>
    </row>
    <row r="5481" spans="33:33">
      <c r="AG5481" s="10"/>
    </row>
    <row r="5482" spans="33:33">
      <c r="AG5482" s="10"/>
    </row>
    <row r="5483" spans="33:33">
      <c r="AG5483" s="10"/>
    </row>
    <row r="5484" spans="33:33">
      <c r="AG5484" s="10"/>
    </row>
    <row r="5485" spans="33:33">
      <c r="AG5485" s="10"/>
    </row>
    <row r="5486" spans="33:33">
      <c r="AG5486" s="10"/>
    </row>
    <row r="5487" spans="33:33">
      <c r="AG5487" s="10"/>
    </row>
    <row r="5488" spans="33:33">
      <c r="AG5488" s="10"/>
    </row>
    <row r="5489" spans="33:33">
      <c r="AG5489" s="10"/>
    </row>
    <row r="5490" spans="33:33">
      <c r="AG5490" s="10"/>
    </row>
    <row r="5491" spans="33:33">
      <c r="AG5491" s="10"/>
    </row>
    <row r="5492" spans="33:33">
      <c r="AG5492" s="10"/>
    </row>
    <row r="5493" spans="33:33">
      <c r="AG5493" s="10"/>
    </row>
    <row r="5494" spans="33:33">
      <c r="AG5494" s="10"/>
    </row>
    <row r="5495" spans="33:33">
      <c r="AG5495" s="10"/>
    </row>
    <row r="5496" spans="33:33">
      <c r="AG5496" s="10"/>
    </row>
    <row r="5497" spans="33:33">
      <c r="AG5497" s="10"/>
    </row>
    <row r="5498" spans="33:33">
      <c r="AG5498" s="10"/>
    </row>
    <row r="5499" spans="33:33">
      <c r="AG5499" s="10"/>
    </row>
    <row r="5500" spans="33:33">
      <c r="AG5500" s="10"/>
    </row>
    <row r="5501" spans="33:33">
      <c r="AG5501" s="10"/>
    </row>
    <row r="5502" spans="33:33">
      <c r="AG5502" s="10"/>
    </row>
    <row r="5503" spans="33:33">
      <c r="AG5503" s="10"/>
    </row>
    <row r="5504" spans="33:33">
      <c r="AG5504" s="10"/>
    </row>
    <row r="5505" spans="33:33">
      <c r="AG5505" s="10"/>
    </row>
    <row r="5506" spans="33:33">
      <c r="AG5506" s="10"/>
    </row>
    <row r="5507" spans="33:33">
      <c r="AG5507" s="10"/>
    </row>
    <row r="5508" spans="33:33">
      <c r="AG5508" s="10"/>
    </row>
    <row r="5509" spans="33:33">
      <c r="AG5509" s="10"/>
    </row>
    <row r="5510" spans="33:33">
      <c r="AG5510" s="10"/>
    </row>
    <row r="5511" spans="33:33">
      <c r="AG5511" s="10"/>
    </row>
    <row r="5512" spans="33:33">
      <c r="AG5512" s="10"/>
    </row>
    <row r="5513" spans="33:33">
      <c r="AG5513" s="10"/>
    </row>
    <row r="5514" spans="33:33">
      <c r="AG5514" s="10"/>
    </row>
    <row r="5515" spans="33:33">
      <c r="AG5515" s="10"/>
    </row>
    <row r="5516" spans="33:33">
      <c r="AG5516" s="10"/>
    </row>
    <row r="5517" spans="33:33">
      <c r="AG5517" s="10"/>
    </row>
    <row r="5518" spans="33:33">
      <c r="AG5518" s="10"/>
    </row>
    <row r="5519" spans="33:33">
      <c r="AG5519" s="10"/>
    </row>
    <row r="5520" spans="33:33">
      <c r="AG5520" s="10"/>
    </row>
    <row r="5521" spans="33:33">
      <c r="AG5521" s="10"/>
    </row>
    <row r="5522" spans="33:33">
      <c r="AG5522" s="10"/>
    </row>
    <row r="5523" spans="33:33">
      <c r="AG5523" s="10"/>
    </row>
    <row r="5524" spans="33:33">
      <c r="AG5524" s="10"/>
    </row>
    <row r="5525" spans="33:33">
      <c r="AG5525" s="10"/>
    </row>
    <row r="5526" spans="33:33">
      <c r="AG5526" s="10"/>
    </row>
    <row r="5527" spans="33:33">
      <c r="AG5527" s="10"/>
    </row>
    <row r="5528" spans="33:33">
      <c r="AG5528" s="10"/>
    </row>
    <row r="5529" spans="33:33">
      <c r="AG5529" s="10"/>
    </row>
    <row r="5530" spans="33:33">
      <c r="AG5530" s="10"/>
    </row>
    <row r="5531" spans="33:33">
      <c r="AG5531" s="10"/>
    </row>
    <row r="5532" spans="33:33">
      <c r="AG5532" s="10"/>
    </row>
    <row r="5533" spans="33:33">
      <c r="AG5533" s="10"/>
    </row>
    <row r="5534" spans="33:33">
      <c r="AG5534" s="10"/>
    </row>
    <row r="5535" spans="33:33">
      <c r="AG5535" s="10"/>
    </row>
    <row r="5536" spans="33:33">
      <c r="AG5536" s="10"/>
    </row>
    <row r="5537" spans="33:33">
      <c r="AG5537" s="10"/>
    </row>
    <row r="5538" spans="33:33">
      <c r="AG5538" s="10"/>
    </row>
    <row r="5539" spans="33:33">
      <c r="AG5539" s="10"/>
    </row>
    <row r="5540" spans="33:33">
      <c r="AG5540" s="10"/>
    </row>
    <row r="5541" spans="33:33">
      <c r="AG5541" s="10"/>
    </row>
    <row r="5542" spans="33:33">
      <c r="AG5542" s="10"/>
    </row>
    <row r="5543" spans="33:33">
      <c r="AG5543" s="10"/>
    </row>
    <row r="5544" spans="33:33">
      <c r="AG5544" s="10"/>
    </row>
    <row r="5545" spans="33:33">
      <c r="AG5545" s="10"/>
    </row>
    <row r="5546" spans="33:33">
      <c r="AG5546" s="10"/>
    </row>
    <row r="5547" spans="33:33">
      <c r="AG5547" s="10"/>
    </row>
    <row r="5548" spans="33:33">
      <c r="AG5548" s="10"/>
    </row>
    <row r="5549" spans="33:33">
      <c r="AG5549" s="10"/>
    </row>
    <row r="5550" spans="33:33">
      <c r="AG5550" s="10"/>
    </row>
    <row r="5551" spans="33:33">
      <c r="AG5551" s="10"/>
    </row>
    <row r="5552" spans="33:33">
      <c r="AG5552" s="10"/>
    </row>
    <row r="5553" spans="33:33">
      <c r="AG5553" s="10"/>
    </row>
    <row r="5554" spans="33:33">
      <c r="AG5554" s="10"/>
    </row>
    <row r="5555" spans="33:33">
      <c r="AG5555" s="10"/>
    </row>
    <row r="5556" spans="33:33">
      <c r="AG5556" s="10"/>
    </row>
    <row r="5557" spans="33:33">
      <c r="AG5557" s="10"/>
    </row>
    <row r="5558" spans="33:33">
      <c r="AG5558" s="10"/>
    </row>
    <row r="5559" spans="33:33">
      <c r="AG5559" s="10"/>
    </row>
    <row r="5560" spans="33:33">
      <c r="AG5560" s="10"/>
    </row>
    <row r="5561" spans="33:33">
      <c r="AG5561" s="10"/>
    </row>
    <row r="5562" spans="33:33">
      <c r="AG5562" s="10"/>
    </row>
    <row r="5563" spans="33:33">
      <c r="AG5563" s="10"/>
    </row>
    <row r="5564" spans="33:33">
      <c r="AG5564" s="10"/>
    </row>
    <row r="5565" spans="33:33">
      <c r="AG5565" s="10"/>
    </row>
    <row r="5566" spans="33:33">
      <c r="AG5566" s="10"/>
    </row>
    <row r="5567" spans="33:33">
      <c r="AG5567" s="10"/>
    </row>
    <row r="5568" spans="33:33">
      <c r="AG5568" s="10"/>
    </row>
    <row r="5569" spans="33:33">
      <c r="AG5569" s="10"/>
    </row>
    <row r="5570" spans="33:33">
      <c r="AG5570" s="10"/>
    </row>
    <row r="5571" spans="33:33">
      <c r="AG5571" s="10"/>
    </row>
    <row r="5572" spans="33:33">
      <c r="AG5572" s="10"/>
    </row>
    <row r="5573" spans="33:33">
      <c r="AG5573" s="10"/>
    </row>
    <row r="5574" spans="33:33">
      <c r="AG5574" s="10"/>
    </row>
    <row r="5575" spans="33:33">
      <c r="AG5575" s="10"/>
    </row>
    <row r="5576" spans="33:33">
      <c r="AG5576" s="10"/>
    </row>
    <row r="5577" spans="33:33">
      <c r="AG5577" s="10"/>
    </row>
    <row r="5578" spans="33:33">
      <c r="AG5578" s="10"/>
    </row>
    <row r="5579" spans="33:33">
      <c r="AG5579" s="10"/>
    </row>
    <row r="5580" spans="33:33">
      <c r="AG5580" s="10"/>
    </row>
    <row r="5581" spans="33:33">
      <c r="AG5581" s="10"/>
    </row>
    <row r="5582" spans="33:33">
      <c r="AG5582" s="10"/>
    </row>
    <row r="5583" spans="33:33">
      <c r="AG5583" s="10"/>
    </row>
    <row r="5584" spans="33:33">
      <c r="AG5584" s="10"/>
    </row>
    <row r="5585" spans="33:33">
      <c r="AG5585" s="10"/>
    </row>
    <row r="5586" spans="33:33">
      <c r="AG5586" s="10"/>
    </row>
    <row r="5587" spans="33:33">
      <c r="AG5587" s="10"/>
    </row>
    <row r="5588" spans="33:33">
      <c r="AG5588" s="10"/>
    </row>
    <row r="5589" spans="33:33">
      <c r="AG5589" s="10"/>
    </row>
    <row r="5590" spans="33:33">
      <c r="AG5590" s="10"/>
    </row>
    <row r="5591" spans="33:33">
      <c r="AG5591" s="10"/>
    </row>
    <row r="5592" spans="33:33">
      <c r="AG5592" s="10"/>
    </row>
    <row r="5593" spans="33:33">
      <c r="AG5593" s="10"/>
    </row>
    <row r="5594" spans="33:33">
      <c r="AG5594" s="10"/>
    </row>
    <row r="5595" spans="33:33">
      <c r="AG5595" s="10"/>
    </row>
    <row r="5596" spans="33:33">
      <c r="AG5596" s="10"/>
    </row>
    <row r="5597" spans="33:33">
      <c r="AG5597" s="10"/>
    </row>
    <row r="5598" spans="33:33">
      <c r="AG5598" s="10"/>
    </row>
    <row r="5599" spans="33:33">
      <c r="AG5599" s="10"/>
    </row>
    <row r="5600" spans="33:33">
      <c r="AG5600" s="10"/>
    </row>
    <row r="5601" spans="33:33">
      <c r="AG5601" s="10"/>
    </row>
    <row r="5602" spans="33:33">
      <c r="AG5602" s="10"/>
    </row>
    <row r="5603" spans="33:33">
      <c r="AG5603" s="10"/>
    </row>
    <row r="5604" spans="33:33">
      <c r="AG5604" s="10"/>
    </row>
    <row r="5605" spans="33:33">
      <c r="AG5605" s="10"/>
    </row>
    <row r="5606" spans="33:33">
      <c r="AG5606" s="10"/>
    </row>
    <row r="5607" spans="33:33">
      <c r="AG5607" s="10"/>
    </row>
    <row r="5608" spans="33:33">
      <c r="AG5608" s="10"/>
    </row>
    <row r="5609" spans="33:33">
      <c r="AG5609" s="10"/>
    </row>
    <row r="5610" spans="33:33">
      <c r="AG5610" s="10"/>
    </row>
    <row r="5611" spans="33:33">
      <c r="AG5611" s="10"/>
    </row>
    <row r="5612" spans="33:33">
      <c r="AG5612" s="10"/>
    </row>
    <row r="5613" spans="33:33">
      <c r="AG5613" s="10"/>
    </row>
    <row r="5614" spans="33:33">
      <c r="AG5614" s="10"/>
    </row>
    <row r="5615" spans="33:33">
      <c r="AG5615" s="10"/>
    </row>
    <row r="5616" spans="33:33">
      <c r="AG5616" s="10"/>
    </row>
    <row r="5617" spans="33:33">
      <c r="AG5617" s="10"/>
    </row>
    <row r="5618" spans="33:33">
      <c r="AG5618" s="10"/>
    </row>
    <row r="5619" spans="33:33">
      <c r="AG5619" s="10"/>
    </row>
    <row r="5620" spans="33:33">
      <c r="AG5620" s="10"/>
    </row>
    <row r="5621" spans="33:33">
      <c r="AG5621" s="10"/>
    </row>
    <row r="5622" spans="33:33">
      <c r="AG5622" s="10"/>
    </row>
    <row r="5623" spans="33:33">
      <c r="AG5623" s="10"/>
    </row>
    <row r="5624" spans="33:33">
      <c r="AG5624" s="10"/>
    </row>
    <row r="5625" spans="33:33">
      <c r="AG5625" s="10"/>
    </row>
    <row r="5626" spans="33:33">
      <c r="AG5626" s="10"/>
    </row>
    <row r="5627" spans="33:33">
      <c r="AG5627" s="10"/>
    </row>
    <row r="5628" spans="33:33">
      <c r="AG5628" s="10"/>
    </row>
    <row r="5629" spans="33:33">
      <c r="AG5629" s="10"/>
    </row>
    <row r="5630" spans="33:33">
      <c r="AG5630" s="10"/>
    </row>
    <row r="5631" spans="33:33">
      <c r="AG5631" s="10"/>
    </row>
    <row r="5632" spans="33:33">
      <c r="AG5632" s="10"/>
    </row>
    <row r="5633" spans="33:33">
      <c r="AG5633" s="10"/>
    </row>
    <row r="5634" spans="33:33">
      <c r="AG5634" s="10"/>
    </row>
    <row r="5635" spans="33:33">
      <c r="AG5635" s="10"/>
    </row>
    <row r="5636" spans="33:33">
      <c r="AG5636" s="10"/>
    </row>
    <row r="5637" spans="33:33">
      <c r="AG5637" s="10"/>
    </row>
    <row r="5638" spans="33:33">
      <c r="AG5638" s="10"/>
    </row>
    <row r="5639" spans="33:33">
      <c r="AG5639" s="10"/>
    </row>
    <row r="5640" spans="33:33">
      <c r="AG5640" s="10"/>
    </row>
    <row r="5641" spans="33:33">
      <c r="AG5641" s="10"/>
    </row>
    <row r="5642" spans="33:33">
      <c r="AG5642" s="10"/>
    </row>
    <row r="5643" spans="33:33">
      <c r="AG5643" s="10"/>
    </row>
    <row r="5644" spans="33:33">
      <c r="AG5644" s="10"/>
    </row>
    <row r="5645" spans="33:33">
      <c r="AG5645" s="10"/>
    </row>
    <row r="5646" spans="33:33">
      <c r="AG5646" s="10"/>
    </row>
    <row r="5647" spans="33:33">
      <c r="AG5647" s="10"/>
    </row>
    <row r="5648" spans="33:33">
      <c r="AG5648" s="10"/>
    </row>
    <row r="5649" spans="33:33">
      <c r="AG5649" s="10"/>
    </row>
    <row r="5650" spans="33:33">
      <c r="AG5650" s="10"/>
    </row>
    <row r="5651" spans="33:33">
      <c r="AG5651" s="10"/>
    </row>
    <row r="5652" spans="33:33">
      <c r="AG5652" s="10"/>
    </row>
    <row r="5653" spans="33:33">
      <c r="AG5653" s="10"/>
    </row>
    <row r="5654" spans="33:33">
      <c r="AG5654" s="10"/>
    </row>
    <row r="5655" spans="33:33">
      <c r="AG5655" s="10"/>
    </row>
    <row r="5656" spans="33:33">
      <c r="AG5656" s="10"/>
    </row>
    <row r="5657" spans="33:33">
      <c r="AG5657" s="10"/>
    </row>
    <row r="5658" spans="33:33">
      <c r="AG5658" s="10"/>
    </row>
    <row r="5659" spans="33:33">
      <c r="AG5659" s="10"/>
    </row>
    <row r="5660" spans="33:33">
      <c r="AG5660" s="10"/>
    </row>
    <row r="5661" spans="33:33">
      <c r="AG5661" s="10"/>
    </row>
    <row r="5662" spans="33:33">
      <c r="AG5662" s="10"/>
    </row>
    <row r="5663" spans="33:33">
      <c r="AG5663" s="10"/>
    </row>
    <row r="5664" spans="33:33">
      <c r="AG5664" s="10"/>
    </row>
    <row r="5665" spans="33:33">
      <c r="AG5665" s="10"/>
    </row>
    <row r="5666" spans="33:33">
      <c r="AG5666" s="10"/>
    </row>
    <row r="5667" spans="33:33">
      <c r="AG5667" s="10"/>
    </row>
    <row r="5668" spans="33:33">
      <c r="AG5668" s="10"/>
    </row>
    <row r="5669" spans="33:33">
      <c r="AG5669" s="10"/>
    </row>
    <row r="5670" spans="33:33">
      <c r="AG5670" s="10"/>
    </row>
    <row r="5671" spans="33:33">
      <c r="AG5671" s="10"/>
    </row>
    <row r="5672" spans="33:33">
      <c r="AG5672" s="10"/>
    </row>
    <row r="5673" spans="33:33">
      <c r="AG5673" s="10"/>
    </row>
    <row r="5674" spans="33:33">
      <c r="AG5674" s="10"/>
    </row>
    <row r="5675" spans="33:33">
      <c r="AG5675" s="10"/>
    </row>
    <row r="5676" spans="33:33">
      <c r="AG5676" s="10"/>
    </row>
    <row r="5677" spans="33:33">
      <c r="AG5677" s="10"/>
    </row>
    <row r="5678" spans="33:33">
      <c r="AG5678" s="10"/>
    </row>
    <row r="5679" spans="33:33">
      <c r="AG5679" s="10"/>
    </row>
    <row r="5680" spans="33:33">
      <c r="AG5680" s="10"/>
    </row>
    <row r="5681" spans="33:33">
      <c r="AG5681" s="10"/>
    </row>
    <row r="5682" spans="33:33">
      <c r="AG5682" s="10"/>
    </row>
    <row r="5683" spans="33:33">
      <c r="AG5683" s="10"/>
    </row>
    <row r="5684" spans="33:33">
      <c r="AG5684" s="10"/>
    </row>
    <row r="5685" spans="33:33">
      <c r="AG5685" s="10"/>
    </row>
    <row r="5686" spans="33:33">
      <c r="AG5686" s="10"/>
    </row>
    <row r="5687" spans="33:33">
      <c r="AG5687" s="10"/>
    </row>
    <row r="5688" spans="33:33">
      <c r="AG5688" s="10"/>
    </row>
    <row r="5689" spans="33:33">
      <c r="AG5689" s="10"/>
    </row>
    <row r="5690" spans="33:33">
      <c r="AG5690" s="10"/>
    </row>
    <row r="5691" spans="33:33">
      <c r="AG5691" s="10"/>
    </row>
    <row r="5692" spans="33:33">
      <c r="AG5692" s="10"/>
    </row>
    <row r="5693" spans="33:33">
      <c r="AG5693" s="10"/>
    </row>
    <row r="5694" spans="33:33">
      <c r="AG5694" s="10"/>
    </row>
    <row r="5695" spans="33:33">
      <c r="AG5695" s="10"/>
    </row>
    <row r="5696" spans="33:33">
      <c r="AG5696" s="10"/>
    </row>
    <row r="5697" spans="33:33">
      <c r="AG5697" s="10"/>
    </row>
    <row r="5698" spans="33:33">
      <c r="AG5698" s="10"/>
    </row>
    <row r="5699" spans="33:33">
      <c r="AG5699" s="10"/>
    </row>
    <row r="5700" spans="33:33">
      <c r="AG5700" s="10"/>
    </row>
    <row r="5701" spans="33:33">
      <c r="AG5701" s="10"/>
    </row>
    <row r="5702" spans="33:33">
      <c r="AG5702" s="10"/>
    </row>
    <row r="5703" spans="33:33">
      <c r="AG5703" s="10"/>
    </row>
    <row r="5704" spans="33:33">
      <c r="AG5704" s="10"/>
    </row>
    <row r="5705" spans="33:33">
      <c r="AG5705" s="10"/>
    </row>
    <row r="5706" spans="33:33">
      <c r="AG5706" s="10"/>
    </row>
    <row r="5707" spans="33:33">
      <c r="AG5707" s="10"/>
    </row>
    <row r="5708" spans="33:33">
      <c r="AG5708" s="10"/>
    </row>
    <row r="5709" spans="33:33">
      <c r="AG5709" s="10"/>
    </row>
    <row r="5710" spans="33:33">
      <c r="AG5710" s="10"/>
    </row>
    <row r="5711" spans="33:33">
      <c r="AG5711" s="10"/>
    </row>
    <row r="5712" spans="33:33">
      <c r="AG5712" s="10"/>
    </row>
    <row r="5713" spans="33:33">
      <c r="AG5713" s="10"/>
    </row>
    <row r="5714" spans="33:33">
      <c r="AG5714" s="10"/>
    </row>
    <row r="5715" spans="33:33">
      <c r="AG5715" s="10"/>
    </row>
    <row r="5716" spans="33:33">
      <c r="AG5716" s="10"/>
    </row>
    <row r="5717" spans="33:33">
      <c r="AG5717" s="10"/>
    </row>
    <row r="5718" spans="33:33">
      <c r="AG5718" s="10"/>
    </row>
    <row r="5719" spans="33:33">
      <c r="AG5719" s="10"/>
    </row>
    <row r="5720" spans="33:33">
      <c r="AG5720" s="10"/>
    </row>
    <row r="5721" spans="33:33">
      <c r="AG5721" s="10"/>
    </row>
    <row r="5722" spans="33:33">
      <c r="AG5722" s="10"/>
    </row>
    <row r="5723" spans="33:33">
      <c r="AG5723" s="10"/>
    </row>
    <row r="5724" spans="33:33">
      <c r="AG5724" s="10"/>
    </row>
    <row r="5725" spans="33:33">
      <c r="AG5725" s="10"/>
    </row>
    <row r="5726" spans="33:33">
      <c r="AG5726" s="10"/>
    </row>
    <row r="5727" spans="33:33">
      <c r="AG5727" s="10"/>
    </row>
    <row r="5728" spans="33:33">
      <c r="AG5728" s="10"/>
    </row>
    <row r="5729" spans="33:33">
      <c r="AG5729" s="10"/>
    </row>
    <row r="5730" spans="33:33">
      <c r="AG5730" s="10"/>
    </row>
    <row r="5731" spans="33:33">
      <c r="AG5731" s="10"/>
    </row>
    <row r="5732" spans="33:33">
      <c r="AG5732" s="10"/>
    </row>
    <row r="5733" spans="33:33">
      <c r="AG5733" s="10"/>
    </row>
    <row r="5734" spans="33:33">
      <c r="AG5734" s="10"/>
    </row>
    <row r="5735" spans="33:33">
      <c r="AG5735" s="10"/>
    </row>
    <row r="5736" spans="33:33">
      <c r="AG5736" s="10"/>
    </row>
    <row r="5737" spans="33:33">
      <c r="AG5737" s="10"/>
    </row>
    <row r="5738" spans="33:33">
      <c r="AG5738" s="10"/>
    </row>
    <row r="5739" spans="33:33">
      <c r="AG5739" s="10"/>
    </row>
    <row r="5740" spans="33:33">
      <c r="AG5740" s="10"/>
    </row>
    <row r="5741" spans="33:33">
      <c r="AG5741" s="10"/>
    </row>
    <row r="5742" spans="33:33">
      <c r="AG5742" s="10"/>
    </row>
    <row r="5743" spans="33:33">
      <c r="AG5743" s="10"/>
    </row>
    <row r="5744" spans="33:33">
      <c r="AG5744" s="10"/>
    </row>
    <row r="5745" spans="33:33">
      <c r="AG5745" s="10"/>
    </row>
    <row r="5746" spans="33:33">
      <c r="AG5746" s="10"/>
    </row>
    <row r="5747" spans="33:33">
      <c r="AG5747" s="10"/>
    </row>
    <row r="5748" spans="33:33">
      <c r="AG5748" s="10"/>
    </row>
    <row r="5749" spans="33:33">
      <c r="AG5749" s="10"/>
    </row>
    <row r="5750" spans="33:33">
      <c r="AG5750" s="10"/>
    </row>
    <row r="5751" spans="33:33">
      <c r="AG5751" s="10"/>
    </row>
    <row r="5752" spans="33:33">
      <c r="AG5752" s="10"/>
    </row>
    <row r="5753" spans="33:33">
      <c r="AG5753" s="10"/>
    </row>
    <row r="5754" spans="33:33">
      <c r="AG5754" s="10"/>
    </row>
    <row r="5755" spans="33:33">
      <c r="AG5755" s="10"/>
    </row>
    <row r="5756" spans="33:33">
      <c r="AG5756" s="10"/>
    </row>
    <row r="5757" spans="33:33">
      <c r="AG5757" s="10"/>
    </row>
    <row r="5758" spans="33:33">
      <c r="AG5758" s="10"/>
    </row>
    <row r="5759" spans="33:33">
      <c r="AG5759" s="10"/>
    </row>
    <row r="5760" spans="33:33">
      <c r="AG5760" s="10"/>
    </row>
    <row r="5761" spans="33:33">
      <c r="AG5761" s="10"/>
    </row>
    <row r="5762" spans="33:33">
      <c r="AG5762" s="10"/>
    </row>
    <row r="5763" spans="33:33">
      <c r="AG5763" s="10"/>
    </row>
    <row r="5764" spans="33:33">
      <c r="AG5764" s="10"/>
    </row>
    <row r="5765" spans="33:33">
      <c r="AG5765" s="10"/>
    </row>
    <row r="5766" spans="33:33">
      <c r="AG5766" s="10"/>
    </row>
    <row r="5767" spans="33:33">
      <c r="AG5767" s="10"/>
    </row>
    <row r="5768" spans="33:33">
      <c r="AG5768" s="10"/>
    </row>
    <row r="5769" spans="33:33">
      <c r="AG5769" s="10"/>
    </row>
    <row r="5770" spans="33:33">
      <c r="AG5770" s="10"/>
    </row>
    <row r="5771" spans="33:33">
      <c r="AG5771" s="10"/>
    </row>
    <row r="5772" spans="33:33">
      <c r="AG5772" s="10"/>
    </row>
    <row r="5773" spans="33:33">
      <c r="AG5773" s="10"/>
    </row>
    <row r="5774" spans="33:33">
      <c r="AG5774" s="10"/>
    </row>
    <row r="5775" spans="33:33">
      <c r="AG5775" s="10"/>
    </row>
    <row r="5776" spans="33:33">
      <c r="AG5776" s="10"/>
    </row>
    <row r="5777" spans="33:33">
      <c r="AG5777" s="10"/>
    </row>
    <row r="5778" spans="33:33">
      <c r="AG5778" s="10"/>
    </row>
    <row r="5779" spans="33:33">
      <c r="AG5779" s="10"/>
    </row>
    <row r="5780" spans="33:33">
      <c r="AG5780" s="10"/>
    </row>
    <row r="5781" spans="33:33">
      <c r="AG5781" s="10"/>
    </row>
    <row r="5782" spans="33:33">
      <c r="AG5782" s="10"/>
    </row>
    <row r="5783" spans="33:33">
      <c r="AG5783" s="10"/>
    </row>
    <row r="5784" spans="33:33">
      <c r="AG5784" s="10"/>
    </row>
    <row r="5785" spans="33:33">
      <c r="AG5785" s="10"/>
    </row>
    <row r="5786" spans="33:33">
      <c r="AG5786" s="10"/>
    </row>
    <row r="5787" spans="33:33">
      <c r="AG5787" s="10"/>
    </row>
    <row r="5788" spans="33:33">
      <c r="AG5788" s="10"/>
    </row>
    <row r="5789" spans="33:33">
      <c r="AG5789" s="10"/>
    </row>
    <row r="5790" spans="33:33">
      <c r="AG5790" s="10"/>
    </row>
    <row r="5791" spans="33:33">
      <c r="AG5791" s="10"/>
    </row>
    <row r="5792" spans="33:33">
      <c r="AG5792" s="10"/>
    </row>
    <row r="5793" spans="33:33">
      <c r="AG5793" s="10"/>
    </row>
    <row r="5794" spans="33:33">
      <c r="AG5794" s="10"/>
    </row>
    <row r="5795" spans="33:33">
      <c r="AG5795" s="10"/>
    </row>
    <row r="5796" spans="33:33">
      <c r="AG5796" s="10"/>
    </row>
    <row r="5797" spans="33:33">
      <c r="AG5797" s="10"/>
    </row>
    <row r="5798" spans="33:33">
      <c r="AG5798" s="10"/>
    </row>
    <row r="5799" spans="33:33">
      <c r="AG5799" s="10"/>
    </row>
    <row r="5800" spans="33:33">
      <c r="AG5800" s="10"/>
    </row>
    <row r="5801" spans="33:33">
      <c r="AG5801" s="10"/>
    </row>
    <row r="5802" spans="33:33">
      <c r="AG5802" s="10"/>
    </row>
    <row r="5803" spans="33:33">
      <c r="AG5803" s="10"/>
    </row>
    <row r="5804" spans="33:33">
      <c r="AG5804" s="10"/>
    </row>
    <row r="5805" spans="33:33">
      <c r="AG5805" s="10"/>
    </row>
    <row r="5806" spans="33:33">
      <c r="AG5806" s="10"/>
    </row>
    <row r="5807" spans="33:33">
      <c r="AG5807" s="10"/>
    </row>
    <row r="5808" spans="33:33">
      <c r="AG5808" s="10"/>
    </row>
    <row r="5809" spans="33:33">
      <c r="AG5809" s="10"/>
    </row>
    <row r="5810" spans="33:33">
      <c r="AG5810" s="10"/>
    </row>
    <row r="5811" spans="33:33">
      <c r="AG5811" s="10"/>
    </row>
    <row r="5812" spans="33:33">
      <c r="AG5812" s="10"/>
    </row>
    <row r="5813" spans="33:33">
      <c r="AG5813" s="10"/>
    </row>
    <row r="5814" spans="33:33">
      <c r="AG5814" s="10"/>
    </row>
    <row r="5815" spans="33:33">
      <c r="AG5815" s="10"/>
    </row>
    <row r="5816" spans="33:33">
      <c r="AG5816" s="10"/>
    </row>
    <row r="5817" spans="33:33">
      <c r="AG5817" s="10"/>
    </row>
    <row r="5818" spans="33:33">
      <c r="AG5818" s="10"/>
    </row>
    <row r="5819" spans="33:33">
      <c r="AG5819" s="10"/>
    </row>
    <row r="5820" spans="33:33">
      <c r="AG5820" s="10"/>
    </row>
    <row r="5821" spans="33:33">
      <c r="AG5821" s="10"/>
    </row>
    <row r="5822" spans="33:33">
      <c r="AG5822" s="10"/>
    </row>
    <row r="5823" spans="33:33">
      <c r="AG5823" s="10"/>
    </row>
    <row r="5824" spans="33:33">
      <c r="AG5824" s="10"/>
    </row>
    <row r="5825" spans="33:33">
      <c r="AG5825" s="10"/>
    </row>
    <row r="5826" spans="33:33">
      <c r="AG5826" s="10"/>
    </row>
    <row r="5827" spans="33:33">
      <c r="AG5827" s="10"/>
    </row>
    <row r="5828" spans="33:33">
      <c r="AG5828" s="10"/>
    </row>
    <row r="5829" spans="33:33">
      <c r="AG5829" s="10"/>
    </row>
    <row r="5830" spans="33:33">
      <c r="AG5830" s="10"/>
    </row>
    <row r="5831" spans="33:33">
      <c r="AG5831" s="10"/>
    </row>
    <row r="5832" spans="33:33">
      <c r="AG5832" s="10"/>
    </row>
    <row r="5833" spans="33:33">
      <c r="AG5833" s="10"/>
    </row>
    <row r="5834" spans="33:33">
      <c r="AG5834" s="10"/>
    </row>
    <row r="5835" spans="33:33">
      <c r="AG5835" s="10"/>
    </row>
    <row r="5836" spans="33:33">
      <c r="AG5836" s="10"/>
    </row>
    <row r="5837" spans="33:33">
      <c r="AG5837" s="10"/>
    </row>
    <row r="5838" spans="33:33">
      <c r="AG5838" s="10"/>
    </row>
    <row r="5839" spans="33:33">
      <c r="AG5839" s="10"/>
    </row>
    <row r="5840" spans="33:33">
      <c r="AG5840" s="10"/>
    </row>
    <row r="5841" spans="33:33">
      <c r="AG5841" s="10"/>
    </row>
    <row r="5842" spans="33:33">
      <c r="AG5842" s="10"/>
    </row>
    <row r="5843" spans="33:33">
      <c r="AG5843" s="10"/>
    </row>
    <row r="5844" spans="33:33">
      <c r="AG5844" s="10"/>
    </row>
    <row r="5845" spans="33:33">
      <c r="AG5845" s="10"/>
    </row>
    <row r="5846" spans="33:33">
      <c r="AG5846" s="10"/>
    </row>
    <row r="5847" spans="33:33">
      <c r="AG5847" s="10"/>
    </row>
    <row r="5848" spans="33:33">
      <c r="AG5848" s="10"/>
    </row>
    <row r="5849" spans="33:33">
      <c r="AG5849" s="10"/>
    </row>
    <row r="5850" spans="33:33">
      <c r="AG5850" s="10"/>
    </row>
    <row r="5851" spans="33:33">
      <c r="AG5851" s="10"/>
    </row>
    <row r="5852" spans="33:33">
      <c r="AG5852" s="10"/>
    </row>
    <row r="5853" spans="33:33">
      <c r="AG5853" s="10"/>
    </row>
    <row r="5854" spans="33:33">
      <c r="AG5854" s="10"/>
    </row>
    <row r="5855" spans="33:33">
      <c r="AG5855" s="10"/>
    </row>
    <row r="5856" spans="33:33">
      <c r="AG5856" s="10"/>
    </row>
    <row r="5857" spans="33:33">
      <c r="AG5857" s="10"/>
    </row>
    <row r="5858" spans="33:33">
      <c r="AG5858" s="10"/>
    </row>
    <row r="5859" spans="33:33">
      <c r="AG5859" s="10"/>
    </row>
    <row r="5860" spans="33:33">
      <c r="AG5860" s="10"/>
    </row>
    <row r="5861" spans="33:33">
      <c r="AG5861" s="10"/>
    </row>
    <row r="5862" spans="33:33">
      <c r="AG5862" s="10"/>
    </row>
    <row r="5863" spans="33:33">
      <c r="AG5863" s="10"/>
    </row>
    <row r="5864" spans="33:33">
      <c r="AG5864" s="10"/>
    </row>
    <row r="5865" spans="33:33">
      <c r="AG5865" s="10"/>
    </row>
    <row r="5866" spans="33:33">
      <c r="AG5866" s="10"/>
    </row>
    <row r="5867" spans="33:33">
      <c r="AG5867" s="10"/>
    </row>
    <row r="5868" spans="33:33">
      <c r="AG5868" s="10"/>
    </row>
    <row r="5869" spans="33:33">
      <c r="AG5869" s="10"/>
    </row>
    <row r="5870" spans="33:33">
      <c r="AG5870" s="10"/>
    </row>
    <row r="5871" spans="33:33">
      <c r="AG5871" s="10"/>
    </row>
    <row r="5872" spans="33:33">
      <c r="AG5872" s="10"/>
    </row>
    <row r="5873" spans="33:33">
      <c r="AG5873" s="10"/>
    </row>
    <row r="5874" spans="33:33">
      <c r="AG5874" s="10"/>
    </row>
    <row r="5875" spans="33:33">
      <c r="AG5875" s="10"/>
    </row>
    <row r="5876" spans="33:33">
      <c r="AG5876" s="10"/>
    </row>
    <row r="5877" spans="33:33">
      <c r="AG5877" s="10"/>
    </row>
    <row r="5878" spans="33:33">
      <c r="AG5878" s="10"/>
    </row>
    <row r="5879" spans="33:33">
      <c r="AG5879" s="10"/>
    </row>
    <row r="5880" spans="33:33">
      <c r="AG5880" s="10"/>
    </row>
    <row r="5881" spans="33:33">
      <c r="AG5881" s="10"/>
    </row>
    <row r="5882" spans="33:33">
      <c r="AG5882" s="10"/>
    </row>
    <row r="5883" spans="33:33">
      <c r="AG5883" s="10"/>
    </row>
    <row r="5884" spans="33:33">
      <c r="AG5884" s="10"/>
    </row>
    <row r="5885" spans="33:33">
      <c r="AG5885" s="10"/>
    </row>
    <row r="5886" spans="33:33">
      <c r="AG5886" s="10"/>
    </row>
    <row r="5887" spans="33:33">
      <c r="AG5887" s="10"/>
    </row>
    <row r="5888" spans="33:33">
      <c r="AG5888" s="10"/>
    </row>
    <row r="5889" spans="33:33">
      <c r="AG5889" s="10"/>
    </row>
    <row r="5890" spans="33:33">
      <c r="AG5890" s="10"/>
    </row>
    <row r="5891" spans="33:33">
      <c r="AG5891" s="10"/>
    </row>
    <row r="5892" spans="33:33">
      <c r="AG5892" s="10"/>
    </row>
    <row r="5893" spans="33:33">
      <c r="AG5893" s="10"/>
    </row>
    <row r="5894" spans="33:33">
      <c r="AG5894" s="10"/>
    </row>
    <row r="5895" spans="33:33">
      <c r="AG5895" s="10"/>
    </row>
    <row r="5896" spans="33:33">
      <c r="AG5896" s="10"/>
    </row>
    <row r="5897" spans="33:33">
      <c r="AG5897" s="10"/>
    </row>
    <row r="5898" spans="33:33">
      <c r="AG5898" s="10"/>
    </row>
    <row r="5899" spans="33:33">
      <c r="AG5899" s="10"/>
    </row>
    <row r="5900" spans="33:33">
      <c r="AG5900" s="10"/>
    </row>
    <row r="5901" spans="33:33">
      <c r="AG5901" s="10"/>
    </row>
    <row r="5902" spans="33:33">
      <c r="AG5902" s="10"/>
    </row>
    <row r="5903" spans="33:33">
      <c r="AG5903" s="10"/>
    </row>
    <row r="5904" spans="33:33">
      <c r="AG5904" s="10"/>
    </row>
    <row r="5905" spans="33:33">
      <c r="AG5905" s="10"/>
    </row>
    <row r="5906" spans="33:33">
      <c r="AG5906" s="10"/>
    </row>
    <row r="5907" spans="33:33">
      <c r="AG5907" s="10"/>
    </row>
    <row r="5908" spans="33:33">
      <c r="AG5908" s="10"/>
    </row>
    <row r="5909" spans="33:33">
      <c r="AG5909" s="10"/>
    </row>
    <row r="5910" spans="33:33">
      <c r="AG5910" s="10"/>
    </row>
    <row r="5911" spans="33:33">
      <c r="AG5911" s="10"/>
    </row>
    <row r="5912" spans="33:33">
      <c r="AG5912" s="10"/>
    </row>
    <row r="5913" spans="33:33">
      <c r="AG5913" s="10"/>
    </row>
    <row r="5914" spans="33:33">
      <c r="AG5914" s="10"/>
    </row>
    <row r="5915" spans="33:33">
      <c r="AG5915" s="10"/>
    </row>
    <row r="5916" spans="33:33">
      <c r="AG5916" s="10"/>
    </row>
    <row r="5917" spans="33:33">
      <c r="AG5917" s="10"/>
    </row>
    <row r="5918" spans="33:33">
      <c r="AG5918" s="10"/>
    </row>
    <row r="5919" spans="33:33">
      <c r="AG5919" s="10"/>
    </row>
    <row r="5920" spans="33:33">
      <c r="AG5920" s="10"/>
    </row>
    <row r="5921" spans="33:33">
      <c r="AG5921" s="10"/>
    </row>
    <row r="5922" spans="33:33">
      <c r="AG5922" s="10"/>
    </row>
    <row r="5923" spans="33:33">
      <c r="AG5923" s="10"/>
    </row>
    <row r="5924" spans="33:33">
      <c r="AG5924" s="10"/>
    </row>
    <row r="5925" spans="33:33">
      <c r="AG5925" s="10"/>
    </row>
    <row r="5926" spans="33:33">
      <c r="AG5926" s="10"/>
    </row>
    <row r="5927" spans="33:33">
      <c r="AG5927" s="10"/>
    </row>
    <row r="5928" spans="33:33">
      <c r="AG5928" s="10"/>
    </row>
    <row r="5929" spans="33:33">
      <c r="AG5929" s="10"/>
    </row>
    <row r="5930" spans="33:33">
      <c r="AG5930" s="10"/>
    </row>
    <row r="5931" spans="33:33">
      <c r="AG5931" s="10"/>
    </row>
    <row r="5932" spans="33:33">
      <c r="AG5932" s="10"/>
    </row>
    <row r="5933" spans="33:33">
      <c r="AG5933" s="10"/>
    </row>
    <row r="5934" spans="33:33">
      <c r="AG5934" s="10"/>
    </row>
    <row r="5935" spans="33:33">
      <c r="AG5935" s="10"/>
    </row>
    <row r="5936" spans="33:33">
      <c r="AG5936" s="10"/>
    </row>
    <row r="5937" spans="33:33">
      <c r="AG5937" s="10"/>
    </row>
    <row r="5938" spans="33:33">
      <c r="AG5938" s="10"/>
    </row>
    <row r="5939" spans="33:33">
      <c r="AG5939" s="10"/>
    </row>
    <row r="5940" spans="33:33">
      <c r="AG5940" s="10"/>
    </row>
    <row r="5941" spans="33:33">
      <c r="AG5941" s="10"/>
    </row>
    <row r="5942" spans="33:33">
      <c r="AG5942" s="10"/>
    </row>
    <row r="5943" spans="33:33">
      <c r="AG5943" s="10"/>
    </row>
    <row r="5944" spans="33:33">
      <c r="AG5944" s="10"/>
    </row>
    <row r="5945" spans="33:33">
      <c r="AG5945" s="10"/>
    </row>
    <row r="5946" spans="33:33">
      <c r="AG5946" s="10"/>
    </row>
    <row r="5947" spans="33:33">
      <c r="AG5947" s="10"/>
    </row>
    <row r="5948" spans="33:33">
      <c r="AG5948" s="10"/>
    </row>
    <row r="5949" spans="33:33">
      <c r="AG5949" s="10"/>
    </row>
    <row r="5950" spans="33:33">
      <c r="AG5950" s="10"/>
    </row>
    <row r="5951" spans="33:33">
      <c r="AG5951" s="10"/>
    </row>
    <row r="5952" spans="33:33">
      <c r="AG5952" s="10"/>
    </row>
    <row r="5953" spans="33:33">
      <c r="AG5953" s="10"/>
    </row>
    <row r="5954" spans="33:33">
      <c r="AG5954" s="10"/>
    </row>
    <row r="5955" spans="33:33">
      <c r="AG5955" s="10"/>
    </row>
    <row r="5956" spans="33:33">
      <c r="AG5956" s="10"/>
    </row>
    <row r="5957" spans="33:33">
      <c r="AG5957" s="10"/>
    </row>
    <row r="5958" spans="33:33">
      <c r="AG5958" s="10"/>
    </row>
    <row r="5959" spans="33:33">
      <c r="AG5959" s="10"/>
    </row>
    <row r="5960" spans="33:33">
      <c r="AG5960" s="10"/>
    </row>
    <row r="5961" spans="33:33">
      <c r="AG5961" s="10"/>
    </row>
    <row r="5962" spans="33:33">
      <c r="AG5962" s="10"/>
    </row>
    <row r="5963" spans="33:33">
      <c r="AG5963" s="10"/>
    </row>
    <row r="5964" spans="33:33">
      <c r="AG5964" s="10"/>
    </row>
    <row r="5965" spans="33:33">
      <c r="AG5965" s="10"/>
    </row>
    <row r="5966" spans="33:33">
      <c r="AG5966" s="10"/>
    </row>
    <row r="5967" spans="33:33">
      <c r="AG5967" s="10"/>
    </row>
    <row r="5968" spans="33:33">
      <c r="AG5968" s="10"/>
    </row>
    <row r="5969" spans="33:33">
      <c r="AG5969" s="10"/>
    </row>
    <row r="5970" spans="33:33">
      <c r="AG5970" s="10"/>
    </row>
    <row r="5971" spans="33:33">
      <c r="AG5971" s="10"/>
    </row>
    <row r="5972" spans="33:33">
      <c r="AG5972" s="10"/>
    </row>
    <row r="5973" spans="33:33">
      <c r="AG5973" s="10"/>
    </row>
    <row r="5974" spans="33:33">
      <c r="AG5974" s="10"/>
    </row>
    <row r="5975" spans="33:33">
      <c r="AG5975" s="10"/>
    </row>
    <row r="5976" spans="33:33">
      <c r="AG5976" s="10"/>
    </row>
    <row r="5977" spans="33:33">
      <c r="AG5977" s="10"/>
    </row>
    <row r="5978" spans="33:33">
      <c r="AG5978" s="10"/>
    </row>
    <row r="5979" spans="33:33">
      <c r="AG5979" s="10"/>
    </row>
    <row r="5980" spans="33:33">
      <c r="AG5980" s="10"/>
    </row>
    <row r="5981" spans="33:33">
      <c r="AG5981" s="10"/>
    </row>
    <row r="5982" spans="33:33">
      <c r="AG5982" s="10"/>
    </row>
    <row r="5983" spans="33:33">
      <c r="AG5983" s="10"/>
    </row>
    <row r="5984" spans="33:33">
      <c r="AG5984" s="10"/>
    </row>
    <row r="5985" spans="33:33">
      <c r="AG5985" s="10"/>
    </row>
    <row r="5986" spans="33:33">
      <c r="AG5986" s="10"/>
    </row>
    <row r="5987" spans="33:33">
      <c r="AG5987" s="10"/>
    </row>
    <row r="5988" spans="33:33">
      <c r="AG5988" s="10"/>
    </row>
    <row r="5989" spans="33:33">
      <c r="AG5989" s="10"/>
    </row>
    <row r="5990" spans="33:33">
      <c r="AG5990" s="10"/>
    </row>
    <row r="5991" spans="33:33">
      <c r="AG5991" s="10"/>
    </row>
    <row r="5992" spans="33:33">
      <c r="AG5992" s="10"/>
    </row>
    <row r="5993" spans="33:33">
      <c r="AG5993" s="10"/>
    </row>
    <row r="5994" spans="33:33">
      <c r="AG5994" s="10"/>
    </row>
    <row r="5995" spans="33:33">
      <c r="AG5995" s="10"/>
    </row>
    <row r="5996" spans="33:33">
      <c r="AG5996" s="10"/>
    </row>
    <row r="5997" spans="33:33">
      <c r="AG5997" s="10"/>
    </row>
    <row r="5998" spans="33:33">
      <c r="AG5998" s="10"/>
    </row>
    <row r="5999" spans="33:33">
      <c r="AG5999" s="10"/>
    </row>
    <row r="6000" spans="33:33">
      <c r="AG6000" s="10"/>
    </row>
    <row r="6001" spans="33:33">
      <c r="AG6001" s="10"/>
    </row>
    <row r="6002" spans="33:33">
      <c r="AG6002" s="10"/>
    </row>
    <row r="6003" spans="33:33">
      <c r="AG6003" s="10"/>
    </row>
    <row r="6004" spans="33:33">
      <c r="AG6004" s="10"/>
    </row>
    <row r="6005" spans="33:33">
      <c r="AG6005" s="10"/>
    </row>
    <row r="6006" spans="33:33">
      <c r="AG6006" s="10"/>
    </row>
    <row r="6007" spans="33:33">
      <c r="AG6007" s="10"/>
    </row>
    <row r="6008" spans="33:33">
      <c r="AG6008" s="10"/>
    </row>
    <row r="6009" spans="33:33">
      <c r="AG6009" s="10"/>
    </row>
    <row r="6010" spans="33:33">
      <c r="AG6010" s="10"/>
    </row>
    <row r="6011" spans="33:33">
      <c r="AG6011" s="10"/>
    </row>
    <row r="6012" spans="33:33">
      <c r="AG6012" s="10"/>
    </row>
    <row r="6013" spans="33:33">
      <c r="AG6013" s="10"/>
    </row>
    <row r="6014" spans="33:33">
      <c r="AG6014" s="10"/>
    </row>
    <row r="6015" spans="33:33">
      <c r="AG6015" s="10"/>
    </row>
    <row r="6016" spans="33:33">
      <c r="AG6016" s="10"/>
    </row>
    <row r="6017" spans="33:33">
      <c r="AG6017" s="10"/>
    </row>
    <row r="6018" spans="33:33">
      <c r="AG6018" s="10"/>
    </row>
    <row r="6019" spans="33:33">
      <c r="AG6019" s="10"/>
    </row>
    <row r="6020" spans="33:33">
      <c r="AG6020" s="10"/>
    </row>
    <row r="6021" spans="33:33">
      <c r="AG6021" s="10"/>
    </row>
    <row r="6022" spans="33:33">
      <c r="AG6022" s="10"/>
    </row>
    <row r="6023" spans="33:33">
      <c r="AG6023" s="10"/>
    </row>
    <row r="6024" spans="33:33">
      <c r="AG6024" s="10"/>
    </row>
    <row r="6025" spans="33:33">
      <c r="AG6025" s="10"/>
    </row>
    <row r="6026" spans="33:33">
      <c r="AG6026" s="10"/>
    </row>
    <row r="6027" spans="33:33">
      <c r="AG6027" s="10"/>
    </row>
    <row r="6028" spans="33:33">
      <c r="AG6028" s="10"/>
    </row>
    <row r="6029" spans="33:33">
      <c r="AG6029" s="10"/>
    </row>
    <row r="6030" spans="33:33">
      <c r="AG6030" s="10"/>
    </row>
    <row r="6031" spans="33:33">
      <c r="AG6031" s="10"/>
    </row>
    <row r="6032" spans="33:33">
      <c r="AG6032" s="10"/>
    </row>
    <row r="6033" spans="33:33">
      <c r="AG6033" s="10"/>
    </row>
    <row r="6034" spans="33:33">
      <c r="AG6034" s="10"/>
    </row>
    <row r="6035" spans="33:33">
      <c r="AG6035" s="10"/>
    </row>
    <row r="6036" spans="33:33">
      <c r="AG6036" s="10"/>
    </row>
    <row r="6037" spans="33:33">
      <c r="AG6037" s="10"/>
    </row>
    <row r="6038" spans="33:33">
      <c r="AG6038" s="10"/>
    </row>
    <row r="6039" spans="33:33">
      <c r="AG6039" s="10"/>
    </row>
    <row r="6040" spans="33:33">
      <c r="AG6040" s="10"/>
    </row>
    <row r="6041" spans="33:33">
      <c r="AG6041" s="10"/>
    </row>
    <row r="6042" spans="33:33">
      <c r="AG6042" s="10"/>
    </row>
    <row r="6043" spans="33:33">
      <c r="AG6043" s="10"/>
    </row>
    <row r="6044" spans="33:33">
      <c r="AG6044" s="10"/>
    </row>
    <row r="6045" spans="33:33">
      <c r="AG6045" s="10"/>
    </row>
    <row r="6046" spans="33:33">
      <c r="AG6046" s="10"/>
    </row>
    <row r="6047" spans="33:33">
      <c r="AG6047" s="10"/>
    </row>
    <row r="6048" spans="33:33">
      <c r="AG6048" s="10"/>
    </row>
    <row r="6049" spans="33:33">
      <c r="AG6049" s="10"/>
    </row>
    <row r="6050" spans="33:33">
      <c r="AG6050" s="10"/>
    </row>
    <row r="6051" spans="33:33">
      <c r="AG6051" s="10"/>
    </row>
    <row r="6052" spans="33:33">
      <c r="AG6052" s="10"/>
    </row>
    <row r="6053" spans="33:33">
      <c r="AG6053" s="10"/>
    </row>
    <row r="6054" spans="33:33">
      <c r="AG6054" s="10"/>
    </row>
    <row r="6055" spans="33:33">
      <c r="AG6055" s="10"/>
    </row>
    <row r="6056" spans="33:33">
      <c r="AG6056" s="10"/>
    </row>
    <row r="6057" spans="33:33">
      <c r="AG6057" s="10"/>
    </row>
    <row r="6058" spans="33:33">
      <c r="AG6058" s="10"/>
    </row>
    <row r="6059" spans="33:33">
      <c r="AG6059" s="10"/>
    </row>
    <row r="6060" spans="33:33">
      <c r="AG6060" s="10"/>
    </row>
    <row r="6061" spans="33:33">
      <c r="AG6061" s="10"/>
    </row>
    <row r="6062" spans="33:33">
      <c r="AG6062" s="10"/>
    </row>
    <row r="6063" spans="33:33">
      <c r="AG6063" s="10"/>
    </row>
    <row r="6064" spans="33:33">
      <c r="AG6064" s="10"/>
    </row>
    <row r="6065" spans="33:33">
      <c r="AG6065" s="10"/>
    </row>
    <row r="6066" spans="33:33">
      <c r="AG6066" s="10"/>
    </row>
    <row r="6067" spans="33:33">
      <c r="AG6067" s="10"/>
    </row>
    <row r="6068" spans="33:33">
      <c r="AG6068" s="10"/>
    </row>
    <row r="6069" spans="33:33">
      <c r="AG6069" s="10"/>
    </row>
    <row r="6070" spans="33:33">
      <c r="AG6070" s="10"/>
    </row>
    <row r="6071" spans="33:33">
      <c r="AG6071" s="10"/>
    </row>
    <row r="6072" spans="33:33">
      <c r="AG6072" s="10"/>
    </row>
    <row r="6073" spans="33:33">
      <c r="AG6073" s="10"/>
    </row>
    <row r="6074" spans="33:33">
      <c r="AG6074" s="10"/>
    </row>
    <row r="6075" spans="33:33">
      <c r="AG6075" s="10"/>
    </row>
    <row r="6076" spans="33:33">
      <c r="AG6076" s="10"/>
    </row>
    <row r="6077" spans="33:33">
      <c r="AG6077" s="10"/>
    </row>
    <row r="6078" spans="33:33">
      <c r="AG6078" s="10"/>
    </row>
    <row r="6079" spans="33:33">
      <c r="AG6079" s="10"/>
    </row>
    <row r="6080" spans="33:33">
      <c r="AG6080" s="10"/>
    </row>
    <row r="6081" spans="33:33">
      <c r="AG6081" s="10"/>
    </row>
    <row r="6082" spans="33:33">
      <c r="AG6082" s="10"/>
    </row>
    <row r="6083" spans="33:33">
      <c r="AG6083" s="10"/>
    </row>
    <row r="6084" spans="33:33">
      <c r="AG6084" s="10"/>
    </row>
    <row r="6085" spans="33:33">
      <c r="AG6085" s="10"/>
    </row>
    <row r="6086" spans="33:33">
      <c r="AG6086" s="10"/>
    </row>
    <row r="6087" spans="33:33">
      <c r="AG6087" s="10"/>
    </row>
    <row r="6088" spans="33:33">
      <c r="AG6088" s="10"/>
    </row>
    <row r="6089" spans="33:33">
      <c r="AG6089" s="10"/>
    </row>
    <row r="6090" spans="33:33">
      <c r="AG6090" s="10"/>
    </row>
    <row r="6091" spans="33:33">
      <c r="AG6091" s="10"/>
    </row>
    <row r="6092" spans="33:33">
      <c r="AG6092" s="10"/>
    </row>
    <row r="6093" spans="33:33">
      <c r="AG6093" s="10"/>
    </row>
    <row r="6094" spans="33:33">
      <c r="AG6094" s="10"/>
    </row>
    <row r="6095" spans="33:33">
      <c r="AG6095" s="10"/>
    </row>
    <row r="6096" spans="33:33">
      <c r="AG6096" s="10"/>
    </row>
    <row r="6097" spans="33:33">
      <c r="AG6097" s="10"/>
    </row>
    <row r="6098" spans="33:33">
      <c r="AG6098" s="10"/>
    </row>
    <row r="6099" spans="33:33">
      <c r="AG6099" s="10"/>
    </row>
    <row r="6100" spans="33:33">
      <c r="AG6100" s="10"/>
    </row>
    <row r="6101" spans="33:33">
      <c r="AG6101" s="10"/>
    </row>
    <row r="6102" spans="33:33">
      <c r="AG6102" s="10"/>
    </row>
    <row r="6103" spans="33:33">
      <c r="AG6103" s="10"/>
    </row>
    <row r="6104" spans="33:33">
      <c r="AG6104" s="10"/>
    </row>
    <row r="6105" spans="33:33">
      <c r="AG6105" s="10"/>
    </row>
    <row r="6106" spans="33:33">
      <c r="AG6106" s="10"/>
    </row>
    <row r="6107" spans="33:33">
      <c r="AG6107" s="10"/>
    </row>
    <row r="6108" spans="33:33">
      <c r="AG6108" s="10"/>
    </row>
    <row r="6109" spans="33:33">
      <c r="AG6109" s="10"/>
    </row>
    <row r="6110" spans="33:33">
      <c r="AG6110" s="10"/>
    </row>
    <row r="6111" spans="33:33">
      <c r="AG6111" s="10"/>
    </row>
    <row r="6112" spans="33:33">
      <c r="AG6112" s="10"/>
    </row>
    <row r="6113" spans="33:33">
      <c r="AG6113" s="10"/>
    </row>
    <row r="6114" spans="33:33">
      <c r="AG6114" s="10"/>
    </row>
    <row r="6115" spans="33:33">
      <c r="AG6115" s="10"/>
    </row>
    <row r="6116" spans="33:33">
      <c r="AG6116" s="10"/>
    </row>
    <row r="6117" spans="33:33">
      <c r="AG6117" s="10"/>
    </row>
    <row r="6118" spans="33:33">
      <c r="AG6118" s="10"/>
    </row>
    <row r="6119" spans="33:33">
      <c r="AG6119" s="10"/>
    </row>
    <row r="6120" spans="33:33">
      <c r="AG6120" s="10"/>
    </row>
    <row r="6121" spans="33:33">
      <c r="AG6121" s="10"/>
    </row>
    <row r="6122" spans="33:33">
      <c r="AG6122" s="10"/>
    </row>
    <row r="6123" spans="33:33">
      <c r="AG6123" s="10"/>
    </row>
    <row r="6124" spans="33:33">
      <c r="AG6124" s="10"/>
    </row>
    <row r="6125" spans="33:33">
      <c r="AG6125" s="10"/>
    </row>
    <row r="6126" spans="33:33">
      <c r="AG6126" s="10"/>
    </row>
    <row r="6127" spans="33:33">
      <c r="AG6127" s="10"/>
    </row>
    <row r="6128" spans="33:33">
      <c r="AG6128" s="10"/>
    </row>
    <row r="6129" spans="33:33">
      <c r="AG6129" s="10"/>
    </row>
    <row r="6130" spans="33:33">
      <c r="AG6130" s="10"/>
    </row>
    <row r="6131" spans="33:33">
      <c r="AG6131" s="10"/>
    </row>
    <row r="6132" spans="33:33">
      <c r="AG6132" s="10"/>
    </row>
    <row r="6133" spans="33:33">
      <c r="AG6133" s="10"/>
    </row>
    <row r="6134" spans="33:33">
      <c r="AG6134" s="10"/>
    </row>
    <row r="6135" spans="33:33">
      <c r="AG6135" s="10"/>
    </row>
    <row r="6136" spans="33:33">
      <c r="AG6136" s="10"/>
    </row>
    <row r="6137" spans="33:33">
      <c r="AG6137" s="10"/>
    </row>
    <row r="6138" spans="33:33">
      <c r="AG6138" s="10"/>
    </row>
    <row r="6139" spans="33:33">
      <c r="AG6139" s="10"/>
    </row>
    <row r="6140" spans="33:33">
      <c r="AG6140" s="10"/>
    </row>
    <row r="6141" spans="33:33">
      <c r="AG6141" s="10"/>
    </row>
    <row r="6142" spans="33:33">
      <c r="AG6142" s="10"/>
    </row>
    <row r="6143" spans="33:33">
      <c r="AG6143" s="10"/>
    </row>
    <row r="6144" spans="33:33">
      <c r="AG6144" s="10"/>
    </row>
    <row r="6145" spans="33:33">
      <c r="AG6145" s="10"/>
    </row>
    <row r="6146" spans="33:33">
      <c r="AG6146" s="10"/>
    </row>
    <row r="6147" spans="33:33">
      <c r="AG6147" s="10"/>
    </row>
    <row r="6148" spans="33:33">
      <c r="AG6148" s="10"/>
    </row>
    <row r="6149" spans="33:33">
      <c r="AG6149" s="10"/>
    </row>
    <row r="6150" spans="33:33">
      <c r="AG6150" s="10"/>
    </row>
    <row r="6151" spans="33:33">
      <c r="AG6151" s="10"/>
    </row>
    <row r="6152" spans="33:33">
      <c r="AG6152" s="10"/>
    </row>
    <row r="6153" spans="33:33">
      <c r="AG6153" s="10"/>
    </row>
    <row r="6154" spans="33:33">
      <c r="AG6154" s="10"/>
    </row>
    <row r="6155" spans="33:33">
      <c r="AG6155" s="10"/>
    </row>
    <row r="6156" spans="33:33">
      <c r="AG6156" s="10"/>
    </row>
    <row r="6157" spans="33:33">
      <c r="AG6157" s="10"/>
    </row>
    <row r="6158" spans="33:33">
      <c r="AG6158" s="10"/>
    </row>
    <row r="6159" spans="33:33">
      <c r="AG6159" s="10"/>
    </row>
    <row r="6160" spans="33:33">
      <c r="AG6160" s="10"/>
    </row>
    <row r="6161" spans="33:33">
      <c r="AG6161" s="10"/>
    </row>
    <row r="6162" spans="33:33">
      <c r="AG6162" s="10"/>
    </row>
    <row r="6163" spans="33:33">
      <c r="AG6163" s="10"/>
    </row>
    <row r="6164" spans="33:33">
      <c r="AG6164" s="10"/>
    </row>
    <row r="6165" spans="33:33">
      <c r="AG6165" s="10"/>
    </row>
    <row r="6166" spans="33:33">
      <c r="AG6166" s="10"/>
    </row>
    <row r="6167" spans="33:33">
      <c r="AG6167" s="10"/>
    </row>
    <row r="6168" spans="33:33">
      <c r="AG6168" s="10"/>
    </row>
    <row r="6169" spans="33:33">
      <c r="AG6169" s="10"/>
    </row>
    <row r="6170" spans="33:33">
      <c r="AG6170" s="10"/>
    </row>
    <row r="6171" spans="33:33">
      <c r="AG6171" s="10"/>
    </row>
    <row r="6172" spans="33:33">
      <c r="AG6172" s="10"/>
    </row>
    <row r="6173" spans="33:33">
      <c r="AG6173" s="10"/>
    </row>
    <row r="6174" spans="33:33">
      <c r="AG6174" s="10"/>
    </row>
    <row r="6175" spans="33:33">
      <c r="AG6175" s="10"/>
    </row>
    <row r="6176" spans="33:33">
      <c r="AG6176" s="10"/>
    </row>
    <row r="6177" spans="33:33">
      <c r="AG6177" s="10"/>
    </row>
    <row r="6178" spans="33:33">
      <c r="AG6178" s="10"/>
    </row>
    <row r="6179" spans="33:33">
      <c r="AG6179" s="10"/>
    </row>
    <row r="6180" spans="33:33">
      <c r="AG6180" s="10"/>
    </row>
    <row r="6181" spans="33:33">
      <c r="AG6181" s="10"/>
    </row>
    <row r="6182" spans="33:33">
      <c r="AG6182" s="10"/>
    </row>
    <row r="6183" spans="33:33">
      <c r="AG6183" s="10"/>
    </row>
    <row r="6184" spans="33:33">
      <c r="AG6184" s="10"/>
    </row>
    <row r="6185" spans="33:33">
      <c r="AG6185" s="10"/>
    </row>
    <row r="6186" spans="33:33">
      <c r="AG6186" s="10"/>
    </row>
    <row r="6187" spans="33:33">
      <c r="AG6187" s="10"/>
    </row>
    <row r="6188" spans="33:33">
      <c r="AG6188" s="10"/>
    </row>
    <row r="6189" spans="33:33">
      <c r="AG6189" s="10"/>
    </row>
    <row r="6190" spans="33:33">
      <c r="AG6190" s="10"/>
    </row>
    <row r="6191" spans="33:33">
      <c r="AG6191" s="10"/>
    </row>
    <row r="6192" spans="33:33">
      <c r="AG6192" s="10"/>
    </row>
    <row r="6193" spans="33:33">
      <c r="AG6193" s="10"/>
    </row>
    <row r="6194" spans="33:33">
      <c r="AG6194" s="10"/>
    </row>
    <row r="6195" spans="33:33">
      <c r="AG6195" s="10"/>
    </row>
    <row r="6196" spans="33:33">
      <c r="AG6196" s="10"/>
    </row>
    <row r="6197" spans="33:33">
      <c r="AG6197" s="10"/>
    </row>
    <row r="6198" spans="33:33">
      <c r="AG6198" s="10"/>
    </row>
    <row r="6199" spans="33:33">
      <c r="AG6199" s="10"/>
    </row>
    <row r="6200" spans="33:33">
      <c r="AG6200" s="10"/>
    </row>
    <row r="6201" spans="33:33">
      <c r="AG6201" s="10"/>
    </row>
    <row r="6202" spans="33:33">
      <c r="AG6202" s="10"/>
    </row>
    <row r="6203" spans="33:33">
      <c r="AG6203" s="10"/>
    </row>
    <row r="6204" spans="33:33">
      <c r="AG6204" s="10"/>
    </row>
    <row r="6205" spans="33:33">
      <c r="AG6205" s="10"/>
    </row>
    <row r="6206" spans="33:33">
      <c r="AG6206" s="10"/>
    </row>
    <row r="6207" spans="33:33">
      <c r="AG6207" s="10"/>
    </row>
    <row r="6208" spans="33:33">
      <c r="AG6208" s="10"/>
    </row>
    <row r="6209" spans="33:33">
      <c r="AG6209" s="10"/>
    </row>
    <row r="6210" spans="33:33">
      <c r="AG6210" s="10"/>
    </row>
    <row r="6211" spans="33:33">
      <c r="AG6211" s="10"/>
    </row>
    <row r="6212" spans="33:33">
      <c r="AG6212" s="10"/>
    </row>
    <row r="6213" spans="33:33">
      <c r="AG6213" s="10"/>
    </row>
    <row r="6214" spans="33:33">
      <c r="AG6214" s="10"/>
    </row>
    <row r="6215" spans="33:33">
      <c r="AG6215" s="10"/>
    </row>
    <row r="6216" spans="33:33">
      <c r="AG6216" s="10"/>
    </row>
    <row r="6217" spans="33:33">
      <c r="AG6217" s="10"/>
    </row>
    <row r="6218" spans="33:33">
      <c r="AG6218" s="10"/>
    </row>
    <row r="6219" spans="33:33">
      <c r="AG6219" s="10"/>
    </row>
    <row r="6220" spans="33:33">
      <c r="AG6220" s="10"/>
    </row>
    <row r="6221" spans="33:33">
      <c r="AG6221" s="10"/>
    </row>
    <row r="6222" spans="33:33">
      <c r="AG6222" s="10"/>
    </row>
    <row r="6223" spans="33:33">
      <c r="AG6223" s="10"/>
    </row>
    <row r="6224" spans="33:33">
      <c r="AG6224" s="10"/>
    </row>
    <row r="6225" spans="33:33">
      <c r="AG6225" s="10"/>
    </row>
    <row r="6226" spans="33:33">
      <c r="AG6226" s="10"/>
    </row>
    <row r="6227" spans="33:33">
      <c r="AG6227" s="10"/>
    </row>
    <row r="6228" spans="33:33">
      <c r="AG6228" s="10"/>
    </row>
    <row r="6229" spans="33:33">
      <c r="AG6229" s="10"/>
    </row>
    <row r="6230" spans="33:33">
      <c r="AG6230" s="10"/>
    </row>
    <row r="6231" spans="33:33">
      <c r="AG6231" s="10"/>
    </row>
    <row r="6232" spans="33:33">
      <c r="AG6232" s="10"/>
    </row>
    <row r="6233" spans="33:33">
      <c r="AG6233" s="10"/>
    </row>
    <row r="6234" spans="33:33">
      <c r="AG6234" s="10"/>
    </row>
    <row r="6235" spans="33:33">
      <c r="AG6235" s="10"/>
    </row>
    <row r="6236" spans="33:33">
      <c r="AG6236" s="10"/>
    </row>
    <row r="6237" spans="33:33">
      <c r="AG6237" s="10"/>
    </row>
    <row r="6238" spans="33:33">
      <c r="AG6238" s="10"/>
    </row>
    <row r="6239" spans="33:33">
      <c r="AG6239" s="10"/>
    </row>
    <row r="6240" spans="33:33">
      <c r="AG6240" s="10"/>
    </row>
    <row r="6241" spans="33:33">
      <c r="AG6241" s="10"/>
    </row>
    <row r="6242" spans="33:33">
      <c r="AG6242" s="10"/>
    </row>
    <row r="6243" spans="33:33">
      <c r="AG6243" s="10"/>
    </row>
    <row r="6244" spans="33:33">
      <c r="AG6244" s="10"/>
    </row>
    <row r="6245" spans="33:33">
      <c r="AG6245" s="10"/>
    </row>
    <row r="6246" spans="33:33">
      <c r="AG6246" s="10"/>
    </row>
    <row r="6247" spans="33:33">
      <c r="AG6247" s="10"/>
    </row>
    <row r="6248" spans="33:33">
      <c r="AG6248" s="10"/>
    </row>
    <row r="6249" spans="33:33">
      <c r="AG6249" s="10"/>
    </row>
    <row r="6250" spans="33:33">
      <c r="AG6250" s="10"/>
    </row>
    <row r="6251" spans="33:33">
      <c r="AG6251" s="10"/>
    </row>
    <row r="6252" spans="33:33">
      <c r="AG6252" s="10"/>
    </row>
    <row r="6253" spans="33:33">
      <c r="AG6253" s="10"/>
    </row>
    <row r="6254" spans="33:33">
      <c r="AG6254" s="10"/>
    </row>
    <row r="6255" spans="33:33">
      <c r="AG6255" s="10"/>
    </row>
    <row r="6256" spans="33:33">
      <c r="AG6256" s="10"/>
    </row>
    <row r="6257" spans="33:33">
      <c r="AG6257" s="10"/>
    </row>
    <row r="6258" spans="33:33">
      <c r="AG6258" s="10"/>
    </row>
    <row r="6259" spans="33:33">
      <c r="AG6259" s="10"/>
    </row>
    <row r="6260" spans="33:33">
      <c r="AG6260" s="10"/>
    </row>
    <row r="6261" spans="33:33">
      <c r="AG6261" s="10"/>
    </row>
    <row r="6262" spans="33:33">
      <c r="AG6262" s="10"/>
    </row>
    <row r="6263" spans="33:33">
      <c r="AG6263" s="10"/>
    </row>
    <row r="6264" spans="33:33">
      <c r="AG6264" s="10"/>
    </row>
    <row r="6265" spans="33:33">
      <c r="AG6265" s="10"/>
    </row>
    <row r="6266" spans="33:33">
      <c r="AG6266" s="10"/>
    </row>
    <row r="6267" spans="33:33">
      <c r="AG6267" s="10"/>
    </row>
    <row r="6268" spans="33:33">
      <c r="AG6268" s="10"/>
    </row>
    <row r="6269" spans="33:33">
      <c r="AG6269" s="10"/>
    </row>
    <row r="6270" spans="33:33">
      <c r="AG6270" s="10"/>
    </row>
    <row r="6271" spans="33:33">
      <c r="AG6271" s="10"/>
    </row>
    <row r="6272" spans="33:33">
      <c r="AG6272" s="10"/>
    </row>
    <row r="6273" spans="33:33">
      <c r="AG6273" s="10"/>
    </row>
    <row r="6274" spans="33:33">
      <c r="AG6274" s="10"/>
    </row>
    <row r="6275" spans="33:33">
      <c r="AG6275" s="10"/>
    </row>
    <row r="6276" spans="33:33">
      <c r="AG6276" s="10"/>
    </row>
    <row r="6277" spans="33:33">
      <c r="AG6277" s="10"/>
    </row>
    <row r="6278" spans="33:33">
      <c r="AG6278" s="10"/>
    </row>
    <row r="6279" spans="33:33">
      <c r="AG6279" s="10"/>
    </row>
    <row r="6280" spans="33:33">
      <c r="AG6280" s="10"/>
    </row>
    <row r="6281" spans="33:33">
      <c r="AG6281" s="10"/>
    </row>
    <row r="6282" spans="33:33">
      <c r="AG6282" s="10"/>
    </row>
    <row r="6283" spans="33:33">
      <c r="AG6283" s="10"/>
    </row>
    <row r="6284" spans="33:33">
      <c r="AG6284" s="10"/>
    </row>
    <row r="6285" spans="33:33">
      <c r="AG6285" s="10"/>
    </row>
    <row r="6286" spans="33:33">
      <c r="AG6286" s="10"/>
    </row>
    <row r="6287" spans="33:33">
      <c r="AG6287" s="10"/>
    </row>
    <row r="6288" spans="33:33">
      <c r="AG6288" s="10"/>
    </row>
    <row r="6289" spans="33:33">
      <c r="AG6289" s="10"/>
    </row>
    <row r="6290" spans="33:33">
      <c r="AG6290" s="10"/>
    </row>
    <row r="6291" spans="33:33">
      <c r="AG6291" s="10"/>
    </row>
    <row r="6292" spans="33:33">
      <c r="AG6292" s="10"/>
    </row>
    <row r="6293" spans="33:33">
      <c r="AG6293" s="10"/>
    </row>
    <row r="6294" spans="33:33">
      <c r="AG6294" s="10"/>
    </row>
    <row r="6295" spans="33:33">
      <c r="AG6295" s="10"/>
    </row>
    <row r="6296" spans="33:33">
      <c r="AG6296" s="10"/>
    </row>
    <row r="6297" spans="33:33">
      <c r="AG6297" s="10"/>
    </row>
    <row r="6298" spans="33:33">
      <c r="AG6298" s="10"/>
    </row>
    <row r="6299" spans="33:33">
      <c r="AG6299" s="10"/>
    </row>
    <row r="6300" spans="33:33">
      <c r="AG6300" s="10"/>
    </row>
    <row r="6301" spans="33:33">
      <c r="AG6301" s="10"/>
    </row>
    <row r="6302" spans="33:33">
      <c r="AG6302" s="10"/>
    </row>
    <row r="6303" spans="33:33">
      <c r="AG6303" s="10"/>
    </row>
    <row r="6304" spans="33:33">
      <c r="AG6304" s="10"/>
    </row>
    <row r="6305" spans="33:33">
      <c r="AG6305" s="10"/>
    </row>
    <row r="6306" spans="33:33">
      <c r="AG6306" s="10"/>
    </row>
    <row r="6307" spans="33:33">
      <c r="AG6307" s="10"/>
    </row>
    <row r="6308" spans="33:33">
      <c r="AG6308" s="10"/>
    </row>
    <row r="6309" spans="33:33">
      <c r="AG6309" s="10"/>
    </row>
    <row r="6310" spans="33:33">
      <c r="AG6310" s="10"/>
    </row>
    <row r="6311" spans="33:33">
      <c r="AG6311" s="10"/>
    </row>
    <row r="6312" spans="33:33">
      <c r="AG6312" s="10"/>
    </row>
    <row r="6313" spans="33:33">
      <c r="AG6313" s="10"/>
    </row>
    <row r="6314" spans="33:33">
      <c r="AG6314" s="10"/>
    </row>
    <row r="6315" spans="33:33">
      <c r="AG6315" s="10"/>
    </row>
    <row r="6316" spans="33:33">
      <c r="AG6316" s="10"/>
    </row>
    <row r="6317" spans="33:33">
      <c r="AG6317" s="10"/>
    </row>
    <row r="6318" spans="33:33">
      <c r="AG6318" s="10"/>
    </row>
    <row r="6319" spans="33:33">
      <c r="AG6319" s="10"/>
    </row>
    <row r="6320" spans="33:33">
      <c r="AG6320" s="10"/>
    </row>
    <row r="6321" spans="33:33">
      <c r="AG6321" s="10"/>
    </row>
    <row r="6322" spans="33:33">
      <c r="AG6322" s="10"/>
    </row>
    <row r="6323" spans="33:33">
      <c r="AG6323" s="10"/>
    </row>
    <row r="6324" spans="33:33">
      <c r="AG6324" s="10"/>
    </row>
    <row r="6325" spans="33:33">
      <c r="AG6325" s="10"/>
    </row>
    <row r="6326" spans="33:33">
      <c r="AG6326" s="10"/>
    </row>
    <row r="6327" spans="33:33">
      <c r="AG6327" s="10"/>
    </row>
    <row r="6328" spans="33:33">
      <c r="AG6328" s="10"/>
    </row>
    <row r="6329" spans="33:33">
      <c r="AG6329" s="10"/>
    </row>
    <row r="6330" spans="33:33">
      <c r="AG6330" s="10"/>
    </row>
    <row r="6331" spans="33:33">
      <c r="AG6331" s="10"/>
    </row>
    <row r="6332" spans="33:33">
      <c r="AG6332" s="10"/>
    </row>
    <row r="6333" spans="33:33">
      <c r="AG6333" s="10"/>
    </row>
    <row r="6334" spans="33:33">
      <c r="AG6334" s="10"/>
    </row>
    <row r="6335" spans="33:33">
      <c r="AG6335" s="10"/>
    </row>
    <row r="6336" spans="33:33">
      <c r="AG6336" s="10"/>
    </row>
    <row r="6337" spans="33:33">
      <c r="AG6337" s="10"/>
    </row>
    <row r="6338" spans="33:33">
      <c r="AG6338" s="10"/>
    </row>
    <row r="6339" spans="33:33">
      <c r="AG6339" s="10"/>
    </row>
    <row r="6340" spans="33:33">
      <c r="AG6340" s="10"/>
    </row>
    <row r="6341" spans="33:33">
      <c r="AG6341" s="10"/>
    </row>
    <row r="6342" spans="33:33">
      <c r="AG6342" s="10"/>
    </row>
    <row r="6343" spans="33:33">
      <c r="AG6343" s="10"/>
    </row>
    <row r="6344" spans="33:33">
      <c r="AG6344" s="10"/>
    </row>
    <row r="6345" spans="33:33">
      <c r="AG6345" s="10"/>
    </row>
    <row r="6346" spans="33:33">
      <c r="AG6346" s="10"/>
    </row>
    <row r="6347" spans="33:33">
      <c r="AG6347" s="10"/>
    </row>
    <row r="6348" spans="33:33">
      <c r="AG6348" s="10"/>
    </row>
    <row r="6349" spans="33:33">
      <c r="AG6349" s="10"/>
    </row>
    <row r="6350" spans="33:33">
      <c r="AG6350" s="10"/>
    </row>
    <row r="6351" spans="33:33">
      <c r="AG6351" s="10"/>
    </row>
    <row r="6352" spans="33:33">
      <c r="AG6352" s="10"/>
    </row>
    <row r="6353" spans="33:33">
      <c r="AG6353" s="10"/>
    </row>
    <row r="6354" spans="33:33">
      <c r="AG6354" s="10"/>
    </row>
    <row r="6355" spans="33:33">
      <c r="AG6355" s="10"/>
    </row>
    <row r="6356" spans="33:33">
      <c r="AG6356" s="10"/>
    </row>
    <row r="6357" spans="33:33">
      <c r="AG6357" s="10"/>
    </row>
    <row r="6358" spans="33:33">
      <c r="AG6358" s="10"/>
    </row>
    <row r="6359" spans="33:33">
      <c r="AG6359" s="10"/>
    </row>
    <row r="6360" spans="33:33">
      <c r="AG6360" s="10"/>
    </row>
    <row r="6361" spans="33:33">
      <c r="AG6361" s="10"/>
    </row>
    <row r="6362" spans="33:33">
      <c r="AG6362" s="10"/>
    </row>
    <row r="6363" spans="33:33">
      <c r="AG6363" s="10"/>
    </row>
    <row r="6364" spans="33:33">
      <c r="AG6364" s="10"/>
    </row>
    <row r="6365" spans="33:33">
      <c r="AG6365" s="10"/>
    </row>
    <row r="6366" spans="33:33">
      <c r="AG6366" s="10"/>
    </row>
    <row r="6367" spans="33:33">
      <c r="AG6367" s="10"/>
    </row>
    <row r="6368" spans="33:33">
      <c r="AG6368" s="10"/>
    </row>
    <row r="6369" spans="33:33">
      <c r="AG6369" s="10"/>
    </row>
    <row r="6370" spans="33:33">
      <c r="AG6370" s="10"/>
    </row>
    <row r="6371" spans="33:33">
      <c r="AG6371" s="10"/>
    </row>
    <row r="6372" spans="33:33">
      <c r="AG6372" s="10"/>
    </row>
    <row r="6373" spans="33:33">
      <c r="AG6373" s="10"/>
    </row>
    <row r="6374" spans="33:33">
      <c r="AG6374" s="10"/>
    </row>
    <row r="6375" spans="33:33">
      <c r="AG6375" s="10"/>
    </row>
    <row r="6376" spans="33:33">
      <c r="AG6376" s="10"/>
    </row>
    <row r="6377" spans="33:33">
      <c r="AG6377" s="10"/>
    </row>
    <row r="6378" spans="33:33">
      <c r="AG6378" s="10"/>
    </row>
    <row r="6379" spans="33:33">
      <c r="AG6379" s="10"/>
    </row>
    <row r="6380" spans="33:33">
      <c r="AG6380" s="10"/>
    </row>
    <row r="6381" spans="33:33">
      <c r="AG6381" s="10"/>
    </row>
    <row r="6382" spans="33:33">
      <c r="AG6382" s="10"/>
    </row>
    <row r="6383" spans="33:33">
      <c r="AG6383" s="10"/>
    </row>
    <row r="6384" spans="33:33">
      <c r="AG6384" s="10"/>
    </row>
    <row r="6385" spans="33:33">
      <c r="AG6385" s="10"/>
    </row>
    <row r="6386" spans="33:33">
      <c r="AG6386" s="10"/>
    </row>
    <row r="6387" spans="33:33">
      <c r="AG6387" s="10"/>
    </row>
    <row r="6388" spans="33:33">
      <c r="AG6388" s="10"/>
    </row>
    <row r="6389" spans="33:33">
      <c r="AG6389" s="10"/>
    </row>
    <row r="6390" spans="33:33">
      <c r="AG6390" s="10"/>
    </row>
    <row r="6391" spans="33:33">
      <c r="AG6391" s="10"/>
    </row>
    <row r="6392" spans="33:33">
      <c r="AG6392" s="10"/>
    </row>
    <row r="6393" spans="33:33">
      <c r="AG6393" s="10"/>
    </row>
    <row r="6394" spans="33:33">
      <c r="AG6394" s="10"/>
    </row>
    <row r="6395" spans="33:33">
      <c r="AG6395" s="10"/>
    </row>
    <row r="6396" spans="33:33">
      <c r="AG6396" s="10"/>
    </row>
    <row r="6397" spans="33:33">
      <c r="AG6397" s="10"/>
    </row>
    <row r="6398" spans="33:33">
      <c r="AG6398" s="10"/>
    </row>
    <row r="6399" spans="33:33">
      <c r="AG6399" s="10"/>
    </row>
    <row r="6400" spans="33:33">
      <c r="AG6400" s="10"/>
    </row>
    <row r="6401" spans="33:33">
      <c r="AG6401" s="10"/>
    </row>
    <row r="6402" spans="33:33">
      <c r="AG6402" s="10"/>
    </row>
    <row r="6403" spans="33:33">
      <c r="AG6403" s="10"/>
    </row>
    <row r="6404" spans="33:33">
      <c r="AG6404" s="10"/>
    </row>
    <row r="6405" spans="33:33">
      <c r="AG6405" s="10"/>
    </row>
    <row r="6406" spans="33:33">
      <c r="AG6406" s="10"/>
    </row>
    <row r="6407" spans="33:33">
      <c r="AG6407" s="10"/>
    </row>
    <row r="6408" spans="33:33">
      <c r="AG6408" s="10"/>
    </row>
    <row r="6409" spans="33:33">
      <c r="AG6409" s="10"/>
    </row>
    <row r="6410" spans="33:33">
      <c r="AG6410" s="10"/>
    </row>
    <row r="6411" spans="33:33">
      <c r="AG6411" s="10"/>
    </row>
    <row r="6412" spans="33:33">
      <c r="AG6412" s="10"/>
    </row>
    <row r="6413" spans="33:33">
      <c r="AG6413" s="10"/>
    </row>
    <row r="6414" spans="33:33">
      <c r="AG6414" s="10"/>
    </row>
    <row r="6415" spans="33:33">
      <c r="AG6415" s="10"/>
    </row>
    <row r="6416" spans="33:33">
      <c r="AG6416" s="10"/>
    </row>
    <row r="6417" spans="33:33">
      <c r="AG6417" s="10"/>
    </row>
    <row r="6418" spans="33:33">
      <c r="AG6418" s="10"/>
    </row>
    <row r="6419" spans="33:33">
      <c r="AG6419" s="10"/>
    </row>
    <row r="6420" spans="33:33">
      <c r="AG6420" s="10"/>
    </row>
    <row r="6421" spans="33:33">
      <c r="AG6421" s="10"/>
    </row>
    <row r="6422" spans="33:33">
      <c r="AG6422" s="10"/>
    </row>
    <row r="6423" spans="33:33">
      <c r="AG6423" s="10"/>
    </row>
    <row r="6424" spans="33:33">
      <c r="AG6424" s="10"/>
    </row>
    <row r="6425" spans="33:33">
      <c r="AG6425" s="10"/>
    </row>
    <row r="6426" spans="33:33">
      <c r="AG6426" s="10"/>
    </row>
    <row r="6427" spans="33:33">
      <c r="AG6427" s="10"/>
    </row>
    <row r="6428" spans="33:33">
      <c r="AG6428" s="10"/>
    </row>
    <row r="6429" spans="33:33">
      <c r="AG6429" s="10"/>
    </row>
    <row r="6430" spans="33:33">
      <c r="AG6430" s="10"/>
    </row>
    <row r="6431" spans="33:33">
      <c r="AG6431" s="10"/>
    </row>
    <row r="6432" spans="33:33">
      <c r="AG6432" s="10"/>
    </row>
    <row r="6433" spans="33:33">
      <c r="AG6433" s="10"/>
    </row>
    <row r="6434" spans="33:33">
      <c r="AG6434" s="10"/>
    </row>
    <row r="6435" spans="33:33">
      <c r="AG6435" s="10"/>
    </row>
    <row r="6436" spans="33:33">
      <c r="AG6436" s="10"/>
    </row>
    <row r="6437" spans="33:33">
      <c r="AG6437" s="10"/>
    </row>
    <row r="6438" spans="33:33">
      <c r="AG6438" s="10"/>
    </row>
    <row r="6439" spans="33:33">
      <c r="AG6439" s="10"/>
    </row>
    <row r="6440" spans="33:33">
      <c r="AG6440" s="10"/>
    </row>
    <row r="6441" spans="33:33">
      <c r="AG6441" s="10"/>
    </row>
    <row r="6442" spans="33:33">
      <c r="AG6442" s="10"/>
    </row>
    <row r="6443" spans="33:33">
      <c r="AG6443" s="10"/>
    </row>
    <row r="6444" spans="33:33">
      <c r="AG6444" s="10"/>
    </row>
    <row r="6445" spans="33:33">
      <c r="AG6445" s="10"/>
    </row>
    <row r="6446" spans="33:33">
      <c r="AG6446" s="10"/>
    </row>
    <row r="6447" spans="33:33">
      <c r="AG6447" s="10"/>
    </row>
    <row r="6448" spans="33:33">
      <c r="AG6448" s="10"/>
    </row>
    <row r="6449" spans="33:33">
      <c r="AG6449" s="10"/>
    </row>
    <row r="6450" spans="33:33">
      <c r="AG6450" s="10"/>
    </row>
    <row r="6451" spans="33:33">
      <c r="AG6451" s="10"/>
    </row>
    <row r="6452" spans="33:33">
      <c r="AG6452" s="10"/>
    </row>
    <row r="6453" spans="33:33">
      <c r="AG6453" s="10"/>
    </row>
    <row r="6454" spans="33:33">
      <c r="AG6454" s="10"/>
    </row>
    <row r="6455" spans="33:33">
      <c r="AG6455" s="10"/>
    </row>
    <row r="6456" spans="33:33">
      <c r="AG6456" s="10"/>
    </row>
    <row r="6457" spans="33:33">
      <c r="AG6457" s="10"/>
    </row>
    <row r="6458" spans="33:33">
      <c r="AG6458" s="10"/>
    </row>
    <row r="6459" spans="33:33">
      <c r="AG6459" s="10"/>
    </row>
    <row r="6460" spans="33:33">
      <c r="AG6460" s="10"/>
    </row>
    <row r="6461" spans="33:33">
      <c r="AG6461" s="10"/>
    </row>
    <row r="6462" spans="33:33">
      <c r="AG6462" s="10"/>
    </row>
    <row r="6463" spans="33:33">
      <c r="AG6463" s="10"/>
    </row>
    <row r="6464" spans="33:33">
      <c r="AG6464" s="10"/>
    </row>
    <row r="6465" spans="33:33">
      <c r="AG6465" s="10"/>
    </row>
    <row r="6466" spans="33:33">
      <c r="AG6466" s="10"/>
    </row>
    <row r="6467" spans="33:33">
      <c r="AG6467" s="10"/>
    </row>
    <row r="6468" spans="33:33">
      <c r="AG6468" s="10"/>
    </row>
    <row r="6469" spans="33:33">
      <c r="AG6469" s="10"/>
    </row>
    <row r="6470" spans="33:33">
      <c r="AG6470" s="10"/>
    </row>
    <row r="6471" spans="33:33">
      <c r="AG6471" s="10"/>
    </row>
    <row r="6472" spans="33:33">
      <c r="AG6472" s="10"/>
    </row>
    <row r="6473" spans="33:33">
      <c r="AG6473" s="10"/>
    </row>
    <row r="6474" spans="33:33">
      <c r="AG6474" s="10"/>
    </row>
    <row r="6475" spans="33:33">
      <c r="AG6475" s="10"/>
    </row>
    <row r="6476" spans="33:33">
      <c r="AG6476" s="10"/>
    </row>
    <row r="6477" spans="33:33">
      <c r="AG6477" s="10"/>
    </row>
    <row r="6478" spans="33:33">
      <c r="AG6478" s="10"/>
    </row>
    <row r="6479" spans="33:33">
      <c r="AG6479" s="10"/>
    </row>
    <row r="6480" spans="33:33">
      <c r="AG6480" s="10"/>
    </row>
    <row r="6481" spans="33:33">
      <c r="AG6481" s="10"/>
    </row>
    <row r="6482" spans="33:33">
      <c r="AG6482" s="10"/>
    </row>
    <row r="6483" spans="33:33">
      <c r="AG6483" s="10"/>
    </row>
    <row r="6484" spans="33:33">
      <c r="AG6484" s="10"/>
    </row>
    <row r="6485" spans="33:33">
      <c r="AG6485" s="10"/>
    </row>
    <row r="6486" spans="33:33">
      <c r="AG6486" s="10"/>
    </row>
    <row r="6487" spans="33:33">
      <c r="AG6487" s="10"/>
    </row>
    <row r="6488" spans="33:33">
      <c r="AG6488" s="10"/>
    </row>
    <row r="6489" spans="33:33">
      <c r="AG6489" s="10"/>
    </row>
    <row r="6490" spans="33:33">
      <c r="AG6490" s="10"/>
    </row>
    <row r="6491" spans="33:33">
      <c r="AG6491" s="10"/>
    </row>
    <row r="6492" spans="33:33">
      <c r="AG6492" s="10"/>
    </row>
    <row r="6493" spans="33:33">
      <c r="AG6493" s="10"/>
    </row>
    <row r="6494" spans="33:33">
      <c r="AG6494" s="10"/>
    </row>
    <row r="6495" spans="33:33">
      <c r="AG6495" s="10"/>
    </row>
    <row r="6496" spans="33:33">
      <c r="AG6496" s="10"/>
    </row>
    <row r="6497" spans="33:33">
      <c r="AG6497" s="10"/>
    </row>
    <row r="6498" spans="33:33">
      <c r="AG6498" s="10"/>
    </row>
    <row r="6499" spans="33:33">
      <c r="AG6499" s="10"/>
    </row>
    <row r="6500" spans="33:33">
      <c r="AG6500" s="10"/>
    </row>
    <row r="6501" spans="33:33">
      <c r="AG6501" s="10"/>
    </row>
    <row r="6502" spans="33:33">
      <c r="AG6502" s="10"/>
    </row>
    <row r="6503" spans="33:33">
      <c r="AG6503" s="10"/>
    </row>
    <row r="6504" spans="33:33">
      <c r="AG6504" s="10"/>
    </row>
    <row r="6505" spans="33:33">
      <c r="AG6505" s="10"/>
    </row>
    <row r="6506" spans="33:33">
      <c r="AG6506" s="10"/>
    </row>
    <row r="6507" spans="33:33">
      <c r="AG6507" s="10"/>
    </row>
    <row r="6508" spans="33:33">
      <c r="AG6508" s="10"/>
    </row>
    <row r="6509" spans="33:33">
      <c r="AG6509" s="10"/>
    </row>
    <row r="6510" spans="33:33">
      <c r="AG6510" s="10"/>
    </row>
    <row r="6511" spans="33:33">
      <c r="AG6511" s="10"/>
    </row>
    <row r="6512" spans="33:33">
      <c r="AG6512" s="10"/>
    </row>
    <row r="6513" spans="33:33">
      <c r="AG6513" s="10"/>
    </row>
    <row r="6514" spans="33:33">
      <c r="AG6514" s="10"/>
    </row>
    <row r="6515" spans="33:33">
      <c r="AG6515" s="10"/>
    </row>
    <row r="6516" spans="33:33">
      <c r="AG6516" s="10"/>
    </row>
    <row r="6517" spans="33:33">
      <c r="AG6517" s="10"/>
    </row>
    <row r="6518" spans="33:33">
      <c r="AG6518" s="10"/>
    </row>
    <row r="6519" spans="33:33">
      <c r="AG6519" s="10"/>
    </row>
    <row r="6520" spans="33:33">
      <c r="AG6520" s="10"/>
    </row>
    <row r="6521" spans="33:33">
      <c r="AG6521" s="10"/>
    </row>
    <row r="6522" spans="33:33">
      <c r="AG6522" s="10"/>
    </row>
    <row r="6523" spans="33:33">
      <c r="AG6523" s="10"/>
    </row>
    <row r="6524" spans="33:33">
      <c r="AG6524" s="10"/>
    </row>
    <row r="6525" spans="33:33">
      <c r="AG6525" s="10"/>
    </row>
    <row r="6526" spans="33:33">
      <c r="AG6526" s="10"/>
    </row>
    <row r="6527" spans="33:33">
      <c r="AG6527" s="10"/>
    </row>
    <row r="6528" spans="33:33">
      <c r="AG6528" s="10"/>
    </row>
    <row r="6529" spans="33:33">
      <c r="AG6529" s="10"/>
    </row>
    <row r="6530" spans="33:33">
      <c r="AG6530" s="10"/>
    </row>
    <row r="6531" spans="33:33">
      <c r="AG6531" s="10"/>
    </row>
    <row r="6532" spans="33:33">
      <c r="AG6532" s="10"/>
    </row>
    <row r="6533" spans="33:33">
      <c r="AG6533" s="10"/>
    </row>
    <row r="6534" spans="33:33">
      <c r="AG6534" s="10"/>
    </row>
    <row r="6535" spans="33:33">
      <c r="AG6535" s="10"/>
    </row>
    <row r="6536" spans="33:33">
      <c r="AG6536" s="10"/>
    </row>
    <row r="6537" spans="33:33">
      <c r="AG6537" s="10"/>
    </row>
    <row r="6538" spans="33:33">
      <c r="AG6538" s="10"/>
    </row>
    <row r="6539" spans="33:33">
      <c r="AG6539" s="10"/>
    </row>
    <row r="6540" spans="33:33">
      <c r="AG6540" s="10"/>
    </row>
    <row r="6541" spans="33:33">
      <c r="AG6541" s="10"/>
    </row>
    <row r="6542" spans="33:33">
      <c r="AG6542" s="10"/>
    </row>
    <row r="6543" spans="33:33">
      <c r="AG6543" s="10"/>
    </row>
    <row r="6544" spans="33:33">
      <c r="AG6544" s="10"/>
    </row>
    <row r="6545" spans="33:33">
      <c r="AG6545" s="10"/>
    </row>
    <row r="6546" spans="33:33">
      <c r="AG6546" s="10"/>
    </row>
    <row r="6547" spans="33:33">
      <c r="AG6547" s="10"/>
    </row>
    <row r="6548" spans="33:33">
      <c r="AG6548" s="10"/>
    </row>
    <row r="6549" spans="33:33">
      <c r="AG6549" s="10"/>
    </row>
    <row r="6550" spans="33:33">
      <c r="AG6550" s="10"/>
    </row>
    <row r="6551" spans="33:33">
      <c r="AG6551" s="10"/>
    </row>
    <row r="6552" spans="33:33">
      <c r="AG6552" s="10"/>
    </row>
    <row r="6553" spans="33:33">
      <c r="AG6553" s="10"/>
    </row>
    <row r="6554" spans="33:33">
      <c r="AG6554" s="10"/>
    </row>
    <row r="6555" spans="33:33">
      <c r="AG6555" s="10"/>
    </row>
    <row r="6556" spans="33:33">
      <c r="AG6556" s="10"/>
    </row>
    <row r="6557" spans="33:33">
      <c r="AG6557" s="10"/>
    </row>
    <row r="6558" spans="33:33">
      <c r="AG6558" s="10"/>
    </row>
    <row r="6559" spans="33:33">
      <c r="AG6559" s="10"/>
    </row>
    <row r="6560" spans="33:33">
      <c r="AG6560" s="10"/>
    </row>
    <row r="6561" spans="33:33">
      <c r="AG6561" s="10"/>
    </row>
    <row r="6562" spans="33:33">
      <c r="AG6562" s="10"/>
    </row>
    <row r="6563" spans="33:33">
      <c r="AG6563" s="10"/>
    </row>
    <row r="6564" spans="33:33">
      <c r="AG6564" s="10"/>
    </row>
    <row r="6565" spans="33:33">
      <c r="AG6565" s="10"/>
    </row>
    <row r="6566" spans="33:33">
      <c r="AG6566" s="10"/>
    </row>
    <row r="6567" spans="33:33">
      <c r="AG6567" s="10"/>
    </row>
    <row r="6568" spans="33:33">
      <c r="AG6568" s="10"/>
    </row>
    <row r="6569" spans="33:33">
      <c r="AG6569" s="10"/>
    </row>
    <row r="6570" spans="33:33">
      <c r="AG6570" s="10"/>
    </row>
    <row r="6571" spans="33:33">
      <c r="AG6571" s="10"/>
    </row>
    <row r="6572" spans="33:33">
      <c r="AG6572" s="10"/>
    </row>
    <row r="6573" spans="33:33">
      <c r="AG6573" s="10"/>
    </row>
    <row r="6574" spans="33:33">
      <c r="AG6574" s="10"/>
    </row>
    <row r="6575" spans="33:33">
      <c r="AG6575" s="10"/>
    </row>
    <row r="6576" spans="33:33">
      <c r="AG6576" s="10"/>
    </row>
    <row r="6577" spans="33:33">
      <c r="AG6577" s="10"/>
    </row>
    <row r="6578" spans="33:33">
      <c r="AG6578" s="10"/>
    </row>
    <row r="6579" spans="33:33">
      <c r="AG6579" s="10"/>
    </row>
    <row r="6580" spans="33:33">
      <c r="AG6580" s="10"/>
    </row>
    <row r="6581" spans="33:33">
      <c r="AG6581" s="10"/>
    </row>
    <row r="6582" spans="33:33">
      <c r="AG6582" s="10"/>
    </row>
    <row r="6583" spans="33:33">
      <c r="AG6583" s="10"/>
    </row>
    <row r="6584" spans="33:33">
      <c r="AG6584" s="10"/>
    </row>
    <row r="6585" spans="33:33">
      <c r="AG6585" s="10"/>
    </row>
    <row r="6586" spans="33:33">
      <c r="AG6586" s="10"/>
    </row>
    <row r="6587" spans="33:33">
      <c r="AG6587" s="10"/>
    </row>
    <row r="6588" spans="33:33">
      <c r="AG6588" s="10"/>
    </row>
    <row r="6589" spans="33:33">
      <c r="AG6589" s="10"/>
    </row>
    <row r="6590" spans="33:33">
      <c r="AG6590" s="10"/>
    </row>
    <row r="6591" spans="33:33">
      <c r="AG6591" s="10"/>
    </row>
    <row r="6592" spans="33:33">
      <c r="AG6592" s="10"/>
    </row>
    <row r="6593" spans="33:33">
      <c r="AG6593" s="10"/>
    </row>
    <row r="6594" spans="33:33">
      <c r="AG6594" s="10"/>
    </row>
    <row r="6595" spans="33:33">
      <c r="AG6595" s="10"/>
    </row>
    <row r="6596" spans="33:33">
      <c r="AG6596" s="10"/>
    </row>
    <row r="6597" spans="33:33">
      <c r="AG6597" s="10"/>
    </row>
    <row r="6598" spans="33:33">
      <c r="AG6598" s="10"/>
    </row>
    <row r="6599" spans="33:33">
      <c r="AG6599" s="10"/>
    </row>
    <row r="6600" spans="33:33">
      <c r="AG6600" s="10"/>
    </row>
    <row r="6601" spans="33:33">
      <c r="AG6601" s="10"/>
    </row>
    <row r="6602" spans="33:33">
      <c r="AG6602" s="10"/>
    </row>
    <row r="6603" spans="33:33">
      <c r="AG6603" s="10"/>
    </row>
    <row r="6604" spans="33:33">
      <c r="AG6604" s="10"/>
    </row>
    <row r="6605" spans="33:33">
      <c r="AG6605" s="10"/>
    </row>
    <row r="6606" spans="33:33">
      <c r="AG6606" s="10"/>
    </row>
    <row r="6607" spans="33:33">
      <c r="AG6607" s="10"/>
    </row>
    <row r="6608" spans="33:33">
      <c r="AG6608" s="10"/>
    </row>
    <row r="6609" spans="33:33">
      <c r="AG6609" s="10"/>
    </row>
    <row r="6610" spans="33:33">
      <c r="AG6610" s="10"/>
    </row>
    <row r="6611" spans="33:33">
      <c r="AG6611" s="10"/>
    </row>
    <row r="6612" spans="33:33">
      <c r="AG6612" s="10"/>
    </row>
    <row r="6613" spans="33:33">
      <c r="AG6613" s="10"/>
    </row>
    <row r="6614" spans="33:33">
      <c r="AG6614" s="10"/>
    </row>
    <row r="6615" spans="33:33">
      <c r="AG6615" s="10"/>
    </row>
    <row r="6616" spans="33:33">
      <c r="AG6616" s="10"/>
    </row>
    <row r="6617" spans="33:33">
      <c r="AG6617" s="10"/>
    </row>
    <row r="6618" spans="33:33">
      <c r="AG6618" s="10"/>
    </row>
    <row r="6619" spans="33:33">
      <c r="AG6619" s="10"/>
    </row>
    <row r="6620" spans="33:33">
      <c r="AG6620" s="10"/>
    </row>
    <row r="6621" spans="33:33">
      <c r="AG6621" s="10"/>
    </row>
    <row r="6622" spans="33:33">
      <c r="AG6622" s="10"/>
    </row>
    <row r="6623" spans="33:33">
      <c r="AG6623" s="10"/>
    </row>
    <row r="6624" spans="33:33">
      <c r="AG6624" s="10"/>
    </row>
    <row r="6625" spans="33:33">
      <c r="AG6625" s="10"/>
    </row>
    <row r="6626" spans="33:33">
      <c r="AG6626" s="10"/>
    </row>
    <row r="6627" spans="33:33">
      <c r="AG6627" s="10"/>
    </row>
    <row r="6628" spans="33:33">
      <c r="AG6628" s="10"/>
    </row>
    <row r="6629" spans="33:33">
      <c r="AG6629" s="10"/>
    </row>
    <row r="6630" spans="33:33">
      <c r="AG6630" s="10"/>
    </row>
    <row r="6631" spans="33:33">
      <c r="AG6631" s="10"/>
    </row>
    <row r="6632" spans="33:33">
      <c r="AG6632" s="10"/>
    </row>
    <row r="6633" spans="33:33">
      <c r="AG6633" s="10"/>
    </row>
    <row r="6634" spans="33:33">
      <c r="AG6634" s="10"/>
    </row>
    <row r="6635" spans="33:33">
      <c r="AG6635" s="10"/>
    </row>
    <row r="6636" spans="33:33">
      <c r="AG6636" s="10"/>
    </row>
    <row r="6637" spans="33:33">
      <c r="AG6637" s="10"/>
    </row>
    <row r="6638" spans="33:33">
      <c r="AG6638" s="10"/>
    </row>
    <row r="6639" spans="33:33">
      <c r="AG6639" s="10"/>
    </row>
    <row r="6640" spans="33:33">
      <c r="AG6640" s="10"/>
    </row>
    <row r="6641" spans="33:33">
      <c r="AG6641" s="10"/>
    </row>
    <row r="6642" spans="33:33">
      <c r="AG6642" s="10"/>
    </row>
    <row r="6643" spans="33:33">
      <c r="AG6643" s="10"/>
    </row>
    <row r="6644" spans="33:33">
      <c r="AG6644" s="10"/>
    </row>
    <row r="6645" spans="33:33">
      <c r="AG6645" s="10"/>
    </row>
    <row r="6646" spans="33:33">
      <c r="AG6646" s="10"/>
    </row>
    <row r="6647" spans="33:33">
      <c r="AG6647" s="10"/>
    </row>
    <row r="6648" spans="33:33">
      <c r="AG6648" s="10"/>
    </row>
    <row r="6649" spans="33:33">
      <c r="AG6649" s="10"/>
    </row>
    <row r="6650" spans="33:33">
      <c r="AG6650" s="10"/>
    </row>
    <row r="6651" spans="33:33">
      <c r="AG6651" s="10"/>
    </row>
    <row r="6652" spans="33:33">
      <c r="AG6652" s="10"/>
    </row>
    <row r="6653" spans="33:33">
      <c r="AG6653" s="10"/>
    </row>
    <row r="6654" spans="33:33">
      <c r="AG6654" s="10"/>
    </row>
    <row r="6655" spans="33:33">
      <c r="AG6655" s="10"/>
    </row>
    <row r="6656" spans="33:33">
      <c r="AG6656" s="10"/>
    </row>
    <row r="6657" spans="33:33">
      <c r="AG6657" s="10"/>
    </row>
    <row r="6658" spans="33:33">
      <c r="AG6658" s="10"/>
    </row>
    <row r="6659" spans="33:33">
      <c r="AG6659" s="10"/>
    </row>
    <row r="6660" spans="33:33">
      <c r="AG6660" s="10"/>
    </row>
    <row r="6661" spans="33:33">
      <c r="AG6661" s="10"/>
    </row>
    <row r="6662" spans="33:33">
      <c r="AG6662" s="10"/>
    </row>
    <row r="6663" spans="33:33">
      <c r="AG6663" s="10"/>
    </row>
    <row r="6664" spans="33:33">
      <c r="AG6664" s="10"/>
    </row>
    <row r="6665" spans="33:33">
      <c r="AG6665" s="10"/>
    </row>
    <row r="6666" spans="33:33">
      <c r="AG6666" s="10"/>
    </row>
    <row r="6667" spans="33:33">
      <c r="AG6667" s="10"/>
    </row>
    <row r="6668" spans="33:33">
      <c r="AG6668" s="10"/>
    </row>
    <row r="6669" spans="33:33">
      <c r="AG6669" s="10"/>
    </row>
    <row r="6670" spans="33:33">
      <c r="AG6670" s="10"/>
    </row>
    <row r="6671" spans="33:33">
      <c r="AG6671" s="10"/>
    </row>
    <row r="6672" spans="33:33">
      <c r="AG6672" s="10"/>
    </row>
    <row r="6673" spans="33:33">
      <c r="AG6673" s="10"/>
    </row>
    <row r="6674" spans="33:33">
      <c r="AG6674" s="10"/>
    </row>
    <row r="6675" spans="33:33">
      <c r="AG6675" s="10"/>
    </row>
    <row r="6676" spans="33:33">
      <c r="AG6676" s="10"/>
    </row>
    <row r="6677" spans="33:33">
      <c r="AG6677" s="10"/>
    </row>
    <row r="6678" spans="33:33">
      <c r="AG6678" s="10"/>
    </row>
    <row r="6679" spans="33:33">
      <c r="AG6679" s="10"/>
    </row>
    <row r="6680" spans="33:33">
      <c r="AG6680" s="10"/>
    </row>
    <row r="6681" spans="33:33">
      <c r="AG6681" s="10"/>
    </row>
    <row r="6682" spans="33:33">
      <c r="AG6682" s="10"/>
    </row>
    <row r="6683" spans="33:33">
      <c r="AG6683" s="10"/>
    </row>
    <row r="6684" spans="33:33">
      <c r="AG6684" s="10"/>
    </row>
    <row r="6685" spans="33:33">
      <c r="AG6685" s="10"/>
    </row>
    <row r="6686" spans="33:33">
      <c r="AG6686" s="10"/>
    </row>
    <row r="6687" spans="33:33">
      <c r="AG6687" s="10"/>
    </row>
    <row r="6688" spans="33:33">
      <c r="AG6688" s="10"/>
    </row>
    <row r="6689" spans="33:33">
      <c r="AG6689" s="10"/>
    </row>
    <row r="6690" spans="33:33">
      <c r="AG6690" s="10"/>
    </row>
    <row r="6691" spans="33:33">
      <c r="AG6691" s="10"/>
    </row>
    <row r="6692" spans="33:33">
      <c r="AG6692" s="10"/>
    </row>
    <row r="6693" spans="33:33">
      <c r="AG6693" s="10"/>
    </row>
    <row r="6694" spans="33:33">
      <c r="AG6694" s="10"/>
    </row>
    <row r="6695" spans="33:33">
      <c r="AG6695" s="10"/>
    </row>
    <row r="6696" spans="33:33">
      <c r="AG6696" s="10"/>
    </row>
    <row r="6697" spans="33:33">
      <c r="AG6697" s="10"/>
    </row>
    <row r="6698" spans="33:33">
      <c r="AG6698" s="10"/>
    </row>
    <row r="6699" spans="33:33">
      <c r="AG6699" s="10"/>
    </row>
    <row r="6700" spans="33:33">
      <c r="AG6700" s="10"/>
    </row>
    <row r="6701" spans="33:33">
      <c r="AG6701" s="10"/>
    </row>
    <row r="6702" spans="33:33">
      <c r="AG6702" s="10"/>
    </row>
    <row r="6703" spans="33:33">
      <c r="AG6703" s="10"/>
    </row>
    <row r="6704" spans="33:33">
      <c r="AG6704" s="10"/>
    </row>
    <row r="6705" spans="33:33">
      <c r="AG6705" s="10"/>
    </row>
    <row r="6706" spans="33:33">
      <c r="AG6706" s="10"/>
    </row>
    <row r="6707" spans="33:33">
      <c r="AG6707" s="10"/>
    </row>
    <row r="6708" spans="33:33">
      <c r="AG6708" s="10"/>
    </row>
    <row r="6709" spans="33:33">
      <c r="AG6709" s="10"/>
    </row>
    <row r="6710" spans="33:33">
      <c r="AG6710" s="10"/>
    </row>
    <row r="6711" spans="33:33">
      <c r="AG6711" s="10"/>
    </row>
    <row r="6712" spans="33:33">
      <c r="AG6712" s="10"/>
    </row>
    <row r="6713" spans="33:33">
      <c r="AG6713" s="10"/>
    </row>
    <row r="6714" spans="33:33">
      <c r="AG6714" s="10"/>
    </row>
    <row r="6715" spans="33:33">
      <c r="AG6715" s="10"/>
    </row>
    <row r="6716" spans="33:33">
      <c r="AG6716" s="10"/>
    </row>
    <row r="6717" spans="33:33">
      <c r="AG6717" s="10"/>
    </row>
    <row r="6718" spans="33:33">
      <c r="AG6718" s="10"/>
    </row>
    <row r="6719" spans="33:33">
      <c r="AG6719" s="10"/>
    </row>
    <row r="6720" spans="33:33">
      <c r="AG6720" s="10"/>
    </row>
    <row r="6721" spans="33:33">
      <c r="AG6721" s="10"/>
    </row>
    <row r="6722" spans="33:33">
      <c r="AG6722" s="10"/>
    </row>
    <row r="6723" spans="33:33">
      <c r="AG6723" s="10"/>
    </row>
    <row r="6724" spans="33:33">
      <c r="AG6724" s="10"/>
    </row>
    <row r="6725" spans="33:33">
      <c r="AG6725" s="10"/>
    </row>
    <row r="6726" spans="33:33">
      <c r="AG6726" s="10"/>
    </row>
    <row r="6727" spans="33:33">
      <c r="AG6727" s="10"/>
    </row>
    <row r="6728" spans="33:33">
      <c r="AG6728" s="10"/>
    </row>
    <row r="6729" spans="33:33">
      <c r="AG6729" s="10"/>
    </row>
    <row r="6730" spans="33:33">
      <c r="AG6730" s="10"/>
    </row>
    <row r="6731" spans="33:33">
      <c r="AG6731" s="10"/>
    </row>
    <row r="6732" spans="33:33">
      <c r="AG6732" s="10"/>
    </row>
    <row r="6733" spans="33:33">
      <c r="AG6733" s="10"/>
    </row>
    <row r="6734" spans="33:33">
      <c r="AG6734" s="10"/>
    </row>
    <row r="6735" spans="33:33">
      <c r="AG6735" s="10"/>
    </row>
    <row r="6736" spans="33:33">
      <c r="AG6736" s="10"/>
    </row>
    <row r="6737" spans="33:33">
      <c r="AG6737" s="10"/>
    </row>
    <row r="6738" spans="33:33">
      <c r="AG6738" s="10"/>
    </row>
    <row r="6739" spans="33:33">
      <c r="AG6739" s="10"/>
    </row>
    <row r="6740" spans="33:33">
      <c r="AG6740" s="10"/>
    </row>
    <row r="6741" spans="33:33">
      <c r="AG6741" s="10"/>
    </row>
    <row r="6742" spans="33:33">
      <c r="AG6742" s="10"/>
    </row>
    <row r="6743" spans="33:33">
      <c r="AG6743" s="10"/>
    </row>
    <row r="6744" spans="33:33">
      <c r="AG6744" s="10"/>
    </row>
    <row r="6745" spans="33:33">
      <c r="AG6745" s="10"/>
    </row>
    <row r="6746" spans="33:33">
      <c r="AG6746" s="10"/>
    </row>
    <row r="6747" spans="33:33">
      <c r="AG6747" s="10"/>
    </row>
    <row r="6748" spans="33:33">
      <c r="AG6748" s="10"/>
    </row>
    <row r="6749" spans="33:33">
      <c r="AG6749" s="10"/>
    </row>
    <row r="6750" spans="33:33">
      <c r="AG6750" s="10"/>
    </row>
    <row r="6751" spans="33:33">
      <c r="AG6751" s="10"/>
    </row>
    <row r="6752" spans="33:33">
      <c r="AG6752" s="10"/>
    </row>
    <row r="6753" spans="33:33">
      <c r="AG6753" s="10"/>
    </row>
    <row r="6754" spans="33:33">
      <c r="AG6754" s="10"/>
    </row>
    <row r="6755" spans="33:33">
      <c r="AG6755" s="10"/>
    </row>
    <row r="6756" spans="33:33">
      <c r="AG6756" s="10"/>
    </row>
    <row r="6757" spans="33:33">
      <c r="AG6757" s="10"/>
    </row>
    <row r="6758" spans="33:33">
      <c r="AG6758" s="10"/>
    </row>
    <row r="6759" spans="33:33">
      <c r="AG6759" s="10"/>
    </row>
    <row r="6760" spans="33:33">
      <c r="AG6760" s="10"/>
    </row>
    <row r="6761" spans="33:33">
      <c r="AG6761" s="10"/>
    </row>
    <row r="6762" spans="33:33">
      <c r="AG6762" s="10"/>
    </row>
    <row r="6763" spans="33:33">
      <c r="AG6763" s="10"/>
    </row>
    <row r="6764" spans="33:33">
      <c r="AG6764" s="10"/>
    </row>
    <row r="6765" spans="33:33">
      <c r="AG6765" s="10"/>
    </row>
    <row r="6766" spans="33:33">
      <c r="AG6766" s="10"/>
    </row>
    <row r="6767" spans="33:33">
      <c r="AG6767" s="10"/>
    </row>
    <row r="6768" spans="33:33">
      <c r="AG6768" s="10"/>
    </row>
    <row r="6769" spans="33:33">
      <c r="AG6769" s="10"/>
    </row>
    <row r="6770" spans="33:33">
      <c r="AG6770" s="10"/>
    </row>
    <row r="6771" spans="33:33">
      <c r="AG6771" s="10"/>
    </row>
    <row r="6772" spans="33:33">
      <c r="AG6772" s="10"/>
    </row>
    <row r="6773" spans="33:33">
      <c r="AG6773" s="10"/>
    </row>
    <row r="6774" spans="33:33">
      <c r="AG6774" s="10"/>
    </row>
    <row r="6775" spans="33:33">
      <c r="AG6775" s="10"/>
    </row>
    <row r="6776" spans="33:33">
      <c r="AG6776" s="10"/>
    </row>
    <row r="6777" spans="33:33">
      <c r="AG6777" s="10"/>
    </row>
    <row r="6778" spans="33:33">
      <c r="AG6778" s="10"/>
    </row>
    <row r="6779" spans="33:33">
      <c r="AG6779" s="10"/>
    </row>
    <row r="6780" spans="33:33">
      <c r="AG6780" s="10"/>
    </row>
    <row r="6781" spans="33:33">
      <c r="AG6781" s="10"/>
    </row>
    <row r="6782" spans="33:33">
      <c r="AG6782" s="10"/>
    </row>
    <row r="6783" spans="33:33">
      <c r="AG6783" s="10"/>
    </row>
    <row r="6784" spans="33:33">
      <c r="AG6784" s="10"/>
    </row>
    <row r="6785" spans="33:33">
      <c r="AG6785" s="10"/>
    </row>
    <row r="6786" spans="33:33">
      <c r="AG6786" s="10"/>
    </row>
    <row r="6787" spans="33:33">
      <c r="AG6787" s="10"/>
    </row>
    <row r="6788" spans="33:33">
      <c r="AG6788" s="10"/>
    </row>
    <row r="6789" spans="33:33">
      <c r="AG6789" s="10"/>
    </row>
    <row r="6790" spans="33:33">
      <c r="AG6790" s="10"/>
    </row>
    <row r="6791" spans="33:33">
      <c r="AG6791" s="10"/>
    </row>
    <row r="6792" spans="33:33">
      <c r="AG6792" s="10"/>
    </row>
    <row r="6793" spans="33:33">
      <c r="AG6793" s="10"/>
    </row>
    <row r="6794" spans="33:33">
      <c r="AG6794" s="10"/>
    </row>
    <row r="6795" spans="33:33">
      <c r="AG6795" s="10"/>
    </row>
    <row r="6796" spans="33:33">
      <c r="AG6796" s="10"/>
    </row>
    <row r="6797" spans="33:33">
      <c r="AG6797" s="10"/>
    </row>
    <row r="6798" spans="33:33">
      <c r="AG6798" s="10"/>
    </row>
    <row r="6799" spans="33:33">
      <c r="AG6799" s="10"/>
    </row>
    <row r="6800" spans="33:33">
      <c r="AG6800" s="10"/>
    </row>
    <row r="6801" spans="33:33">
      <c r="AG6801" s="10"/>
    </row>
    <row r="6802" spans="33:33">
      <c r="AG6802" s="10"/>
    </row>
    <row r="6803" spans="33:33">
      <c r="AG6803" s="10"/>
    </row>
    <row r="6804" spans="33:33">
      <c r="AG6804" s="10"/>
    </row>
    <row r="6805" spans="33:33">
      <c r="AG6805" s="10"/>
    </row>
    <row r="6806" spans="33:33">
      <c r="AG6806" s="10"/>
    </row>
    <row r="6807" spans="33:33">
      <c r="AG6807" s="10"/>
    </row>
    <row r="6808" spans="33:33">
      <c r="AG6808" s="10"/>
    </row>
    <row r="6809" spans="33:33">
      <c r="AG6809" s="10"/>
    </row>
    <row r="6810" spans="33:33">
      <c r="AG6810" s="10"/>
    </row>
    <row r="6811" spans="33:33">
      <c r="AG6811" s="10"/>
    </row>
    <row r="6812" spans="33:33">
      <c r="AG6812" s="10"/>
    </row>
    <row r="6813" spans="33:33">
      <c r="AG6813" s="10"/>
    </row>
    <row r="6814" spans="33:33">
      <c r="AG6814" s="10"/>
    </row>
    <row r="6815" spans="33:33">
      <c r="AG6815" s="10"/>
    </row>
    <row r="6816" spans="33:33">
      <c r="AG6816" s="10"/>
    </row>
    <row r="6817" spans="33:33">
      <c r="AG6817" s="10"/>
    </row>
    <row r="6818" spans="33:33">
      <c r="AG6818" s="10"/>
    </row>
    <row r="6819" spans="33:33">
      <c r="AG6819" s="10"/>
    </row>
    <row r="6820" spans="33:33">
      <c r="AG6820" s="10"/>
    </row>
    <row r="6821" spans="33:33">
      <c r="AG6821" s="10"/>
    </row>
    <row r="6822" spans="33:33">
      <c r="AG6822" s="10"/>
    </row>
    <row r="6823" spans="33:33">
      <c r="AG6823" s="10"/>
    </row>
    <row r="6824" spans="33:33">
      <c r="AG6824" s="10"/>
    </row>
    <row r="6825" spans="33:33">
      <c r="AG6825" s="10"/>
    </row>
    <row r="6826" spans="33:33">
      <c r="AG6826" s="10"/>
    </row>
    <row r="6827" spans="33:33">
      <c r="AG6827" s="10"/>
    </row>
    <row r="6828" spans="33:33">
      <c r="AG6828" s="10"/>
    </row>
    <row r="6829" spans="33:33">
      <c r="AG6829" s="10"/>
    </row>
    <row r="6830" spans="33:33">
      <c r="AG6830" s="10"/>
    </row>
    <row r="6831" spans="33:33">
      <c r="AG6831" s="10"/>
    </row>
    <row r="6832" spans="33:33">
      <c r="AG6832" s="10"/>
    </row>
    <row r="6833" spans="33:33">
      <c r="AG6833" s="10"/>
    </row>
    <row r="6834" spans="33:33">
      <c r="AG6834" s="10"/>
    </row>
    <row r="6835" spans="33:33">
      <c r="AG6835" s="10"/>
    </row>
    <row r="6836" spans="33:33">
      <c r="AG6836" s="10"/>
    </row>
    <row r="6837" spans="33:33">
      <c r="AG6837" s="10"/>
    </row>
    <row r="6838" spans="33:33">
      <c r="AG6838" s="10"/>
    </row>
    <row r="6839" spans="33:33">
      <c r="AG6839" s="10"/>
    </row>
    <row r="6840" spans="33:33">
      <c r="AG6840" s="10"/>
    </row>
    <row r="6841" spans="33:33">
      <c r="AG6841" s="10"/>
    </row>
    <row r="6842" spans="33:33">
      <c r="AG6842" s="10"/>
    </row>
    <row r="6843" spans="33:33">
      <c r="AG6843" s="10"/>
    </row>
    <row r="6844" spans="33:33">
      <c r="AG6844" s="10"/>
    </row>
    <row r="6845" spans="33:33">
      <c r="AG6845" s="10"/>
    </row>
    <row r="6846" spans="33:33">
      <c r="AG6846" s="10"/>
    </row>
    <row r="6847" spans="33:33">
      <c r="AG6847" s="10"/>
    </row>
    <row r="6848" spans="33:33">
      <c r="AG6848" s="10"/>
    </row>
    <row r="6849" spans="33:33">
      <c r="AG6849" s="10"/>
    </row>
    <row r="6850" spans="33:33">
      <c r="AG6850" s="10"/>
    </row>
    <row r="6851" spans="33:33">
      <c r="AG6851" s="10"/>
    </row>
    <row r="6852" spans="33:33">
      <c r="AG6852" s="10"/>
    </row>
    <row r="6853" spans="33:33">
      <c r="AG6853" s="10"/>
    </row>
    <row r="6854" spans="33:33">
      <c r="AG6854" s="10"/>
    </row>
    <row r="6855" spans="33:33">
      <c r="AG6855" s="10"/>
    </row>
    <row r="6856" spans="33:33">
      <c r="AG6856" s="10"/>
    </row>
    <row r="6857" spans="33:33">
      <c r="AG6857" s="10"/>
    </row>
    <row r="6858" spans="33:33">
      <c r="AG6858" s="10"/>
    </row>
    <row r="6859" spans="33:33">
      <c r="AG6859" s="10"/>
    </row>
    <row r="6860" spans="33:33">
      <c r="AG6860" s="10"/>
    </row>
    <row r="6861" spans="33:33">
      <c r="AG6861" s="10"/>
    </row>
    <row r="6862" spans="33:33">
      <c r="AG6862" s="10"/>
    </row>
    <row r="6863" spans="33:33">
      <c r="AG6863" s="10"/>
    </row>
    <row r="6864" spans="33:33">
      <c r="AG6864" s="10"/>
    </row>
    <row r="6865" spans="33:33">
      <c r="AG6865" s="10"/>
    </row>
    <row r="6866" spans="33:33">
      <c r="AG6866" s="10"/>
    </row>
    <row r="6867" spans="33:33">
      <c r="AG6867" s="10"/>
    </row>
    <row r="6868" spans="33:33">
      <c r="AG6868" s="10"/>
    </row>
    <row r="6869" spans="33:33">
      <c r="AG6869" s="10"/>
    </row>
    <row r="6870" spans="33:33">
      <c r="AG6870" s="10"/>
    </row>
    <row r="6871" spans="33:33">
      <c r="AG6871" s="10"/>
    </row>
    <row r="6872" spans="33:33">
      <c r="AG6872" s="10"/>
    </row>
    <row r="6873" spans="33:33">
      <c r="AG6873" s="10"/>
    </row>
    <row r="6874" spans="33:33">
      <c r="AG6874" s="10"/>
    </row>
    <row r="6875" spans="33:33">
      <c r="AG6875" s="10"/>
    </row>
    <row r="6876" spans="33:33">
      <c r="AG6876" s="10"/>
    </row>
    <row r="6877" spans="33:33">
      <c r="AG6877" s="10"/>
    </row>
    <row r="6878" spans="33:33">
      <c r="AG6878" s="10"/>
    </row>
    <row r="6879" spans="33:33">
      <c r="AG6879" s="10"/>
    </row>
    <row r="6880" spans="33:33">
      <c r="AG6880" s="10"/>
    </row>
    <row r="6881" spans="33:33">
      <c r="AG6881" s="10"/>
    </row>
    <row r="6882" spans="33:33">
      <c r="AG6882" s="10"/>
    </row>
    <row r="6883" spans="33:33">
      <c r="AG6883" s="10"/>
    </row>
    <row r="6884" spans="33:33">
      <c r="AG6884" s="10"/>
    </row>
    <row r="6885" spans="33:33">
      <c r="AG6885" s="10"/>
    </row>
    <row r="6886" spans="33:33">
      <c r="AG6886" s="10"/>
    </row>
    <row r="6887" spans="33:33">
      <c r="AG6887" s="10"/>
    </row>
    <row r="6888" spans="33:33">
      <c r="AG6888" s="10"/>
    </row>
    <row r="6889" spans="33:33">
      <c r="AG6889" s="10"/>
    </row>
    <row r="6890" spans="33:33">
      <c r="AG6890" s="10"/>
    </row>
    <row r="6891" spans="33:33">
      <c r="AG6891" s="10"/>
    </row>
    <row r="6892" spans="33:33">
      <c r="AG6892" s="10"/>
    </row>
    <row r="6893" spans="33:33">
      <c r="AG6893" s="10"/>
    </row>
    <row r="6894" spans="33:33">
      <c r="AG6894" s="10"/>
    </row>
    <row r="6895" spans="33:33">
      <c r="AG6895" s="10"/>
    </row>
    <row r="6896" spans="33:33">
      <c r="AG6896" s="10"/>
    </row>
    <row r="6897" spans="33:33">
      <c r="AG6897" s="10"/>
    </row>
    <row r="6898" spans="33:33">
      <c r="AG6898" s="10"/>
    </row>
    <row r="6899" spans="33:33">
      <c r="AG6899" s="10"/>
    </row>
    <row r="6900" spans="33:33">
      <c r="AG6900" s="10"/>
    </row>
    <row r="6901" spans="33:33">
      <c r="AG6901" s="10"/>
    </row>
    <row r="6902" spans="33:33">
      <c r="AG6902" s="10"/>
    </row>
    <row r="6903" spans="33:33">
      <c r="AG6903" s="10"/>
    </row>
    <row r="6904" spans="33:33">
      <c r="AG6904" s="10"/>
    </row>
    <row r="6905" spans="33:33">
      <c r="AG6905" s="10"/>
    </row>
    <row r="6906" spans="33:33">
      <c r="AG6906" s="10"/>
    </row>
    <row r="6907" spans="33:33">
      <c r="AG6907" s="10"/>
    </row>
    <row r="6908" spans="33:33">
      <c r="AG6908" s="10"/>
    </row>
    <row r="6909" spans="33:33">
      <c r="AG6909" s="10"/>
    </row>
    <row r="6910" spans="33:33">
      <c r="AG6910" s="10"/>
    </row>
    <row r="6911" spans="33:33">
      <c r="AG6911" s="10"/>
    </row>
    <row r="6912" spans="33:33">
      <c r="AG6912" s="10"/>
    </row>
    <row r="6913" spans="33:33">
      <c r="AG6913" s="10"/>
    </row>
    <row r="6914" spans="33:33">
      <c r="AG6914" s="10"/>
    </row>
    <row r="6915" spans="33:33">
      <c r="AG6915" s="10"/>
    </row>
    <row r="6916" spans="33:33">
      <c r="AG6916" s="10"/>
    </row>
    <row r="6917" spans="33:33">
      <c r="AG6917" s="10"/>
    </row>
    <row r="6918" spans="33:33">
      <c r="AG6918" s="10"/>
    </row>
    <row r="6919" spans="33:33">
      <c r="AG6919" s="10"/>
    </row>
    <row r="6920" spans="33:33">
      <c r="AG6920" s="10"/>
    </row>
    <row r="6921" spans="33:33">
      <c r="AG6921" s="10"/>
    </row>
    <row r="6922" spans="33:33">
      <c r="AG6922" s="10"/>
    </row>
    <row r="6923" spans="33:33">
      <c r="AG6923" s="10"/>
    </row>
    <row r="6924" spans="33:33">
      <c r="AG6924" s="10"/>
    </row>
    <row r="6925" spans="33:33">
      <c r="AG6925" s="10"/>
    </row>
    <row r="6926" spans="33:33">
      <c r="AG6926" s="10"/>
    </row>
    <row r="6927" spans="33:33">
      <c r="AG6927" s="10"/>
    </row>
    <row r="6928" spans="33:33">
      <c r="AG6928" s="10"/>
    </row>
    <row r="6929" spans="33:33">
      <c r="AG6929" s="10"/>
    </row>
    <row r="6930" spans="33:33">
      <c r="AG6930" s="10"/>
    </row>
    <row r="6931" spans="33:33">
      <c r="AG6931" s="10"/>
    </row>
    <row r="6932" spans="33:33">
      <c r="AG6932" s="10"/>
    </row>
    <row r="6933" spans="33:33">
      <c r="AG6933" s="10"/>
    </row>
    <row r="6934" spans="33:33">
      <c r="AG6934" s="10"/>
    </row>
    <row r="6935" spans="33:33">
      <c r="AG6935" s="10"/>
    </row>
    <row r="6936" spans="33:33">
      <c r="AG6936" s="10"/>
    </row>
    <row r="6937" spans="33:33">
      <c r="AG6937" s="10"/>
    </row>
    <row r="6938" spans="33:33">
      <c r="AG6938" s="10"/>
    </row>
    <row r="6939" spans="33:33">
      <c r="AG6939" s="10"/>
    </row>
    <row r="6940" spans="33:33">
      <c r="AG6940" s="10"/>
    </row>
    <row r="6941" spans="33:33">
      <c r="AG6941" s="10"/>
    </row>
    <row r="6942" spans="33:33">
      <c r="AG6942" s="10"/>
    </row>
    <row r="6943" spans="33:33">
      <c r="AG6943" s="10"/>
    </row>
    <row r="6944" spans="33:33">
      <c r="AG6944" s="10"/>
    </row>
    <row r="6945" spans="33:33">
      <c r="AG6945" s="10"/>
    </row>
    <row r="6946" spans="33:33">
      <c r="AG6946" s="10"/>
    </row>
    <row r="6947" spans="33:33">
      <c r="AG6947" s="10"/>
    </row>
    <row r="6948" spans="33:33">
      <c r="AG6948" s="10"/>
    </row>
    <row r="6949" spans="33:33">
      <c r="AG6949" s="10"/>
    </row>
    <row r="6950" spans="33:33">
      <c r="AG6950" s="10"/>
    </row>
    <row r="6951" spans="33:33">
      <c r="AG6951" s="10"/>
    </row>
    <row r="6952" spans="33:33">
      <c r="AG6952" s="10"/>
    </row>
    <row r="6953" spans="33:33">
      <c r="AG6953" s="10"/>
    </row>
    <row r="6954" spans="33:33">
      <c r="AG6954" s="10"/>
    </row>
    <row r="6955" spans="33:33">
      <c r="AG6955" s="10"/>
    </row>
    <row r="6956" spans="33:33">
      <c r="AG6956" s="10"/>
    </row>
    <row r="6957" spans="33:33">
      <c r="AG6957" s="10"/>
    </row>
    <row r="6958" spans="33:33">
      <c r="AG6958" s="10"/>
    </row>
    <row r="6959" spans="33:33">
      <c r="AG6959" s="10"/>
    </row>
    <row r="6960" spans="33:33">
      <c r="AG6960" s="10"/>
    </row>
    <row r="6961" spans="33:33">
      <c r="AG6961" s="10"/>
    </row>
    <row r="6962" spans="33:33">
      <c r="AG6962" s="10"/>
    </row>
    <row r="6963" spans="33:33">
      <c r="AG6963" s="10"/>
    </row>
    <row r="6964" spans="33:33">
      <c r="AG6964" s="10"/>
    </row>
    <row r="6965" spans="33:33">
      <c r="AG6965" s="10"/>
    </row>
    <row r="6966" spans="33:33">
      <c r="AG6966" s="10"/>
    </row>
    <row r="6967" spans="33:33">
      <c r="AG6967" s="10"/>
    </row>
    <row r="6968" spans="33:33">
      <c r="AG6968" s="10"/>
    </row>
    <row r="6969" spans="33:33">
      <c r="AG6969" s="10"/>
    </row>
    <row r="6970" spans="33:33">
      <c r="AG6970" s="10"/>
    </row>
    <row r="6971" spans="33:33">
      <c r="AG6971" s="10"/>
    </row>
    <row r="6972" spans="33:33">
      <c r="AG6972" s="10"/>
    </row>
    <row r="6973" spans="33:33">
      <c r="AG6973" s="10"/>
    </row>
    <row r="6974" spans="33:33">
      <c r="AG6974" s="10"/>
    </row>
    <row r="6975" spans="33:33">
      <c r="AG6975" s="10"/>
    </row>
    <row r="6976" spans="33:33">
      <c r="AG6976" s="10"/>
    </row>
    <row r="6977" spans="33:33">
      <c r="AG6977" s="10"/>
    </row>
    <row r="6978" spans="33:33">
      <c r="AG6978" s="10"/>
    </row>
    <row r="6979" spans="33:33">
      <c r="AG6979" s="10"/>
    </row>
    <row r="6980" spans="33:33">
      <c r="AG6980" s="10"/>
    </row>
    <row r="6981" spans="33:33">
      <c r="AG6981" s="10"/>
    </row>
    <row r="6982" spans="33:33">
      <c r="AG6982" s="10"/>
    </row>
    <row r="6983" spans="33:33">
      <c r="AG6983" s="10"/>
    </row>
    <row r="6984" spans="33:33">
      <c r="AG6984" s="10"/>
    </row>
    <row r="6985" spans="33:33">
      <c r="AG6985" s="10"/>
    </row>
    <row r="6986" spans="33:33">
      <c r="AG6986" s="10"/>
    </row>
    <row r="6987" spans="33:33">
      <c r="AG6987" s="10"/>
    </row>
    <row r="6988" spans="33:33">
      <c r="AG6988" s="10"/>
    </row>
    <row r="6989" spans="33:33">
      <c r="AG6989" s="10"/>
    </row>
    <row r="6990" spans="33:33">
      <c r="AG6990" s="10"/>
    </row>
    <row r="6991" spans="33:33">
      <c r="AG6991" s="10"/>
    </row>
    <row r="6992" spans="33:33">
      <c r="AG6992" s="10"/>
    </row>
    <row r="6993" spans="33:33">
      <c r="AG6993" s="10"/>
    </row>
    <row r="6994" spans="33:33">
      <c r="AG6994" s="10"/>
    </row>
    <row r="6995" spans="33:33">
      <c r="AG6995" s="10"/>
    </row>
    <row r="6996" spans="33:33">
      <c r="AG6996" s="10"/>
    </row>
    <row r="6997" spans="33:33">
      <c r="AG6997" s="10"/>
    </row>
    <row r="6998" spans="33:33">
      <c r="AG6998" s="10"/>
    </row>
    <row r="6999" spans="33:33">
      <c r="AG6999" s="10"/>
    </row>
    <row r="7000" spans="33:33">
      <c r="AG7000" s="10"/>
    </row>
    <row r="7001" spans="33:33">
      <c r="AG7001" s="10"/>
    </row>
    <row r="7002" spans="33:33">
      <c r="AG7002" s="10"/>
    </row>
    <row r="7003" spans="33:33">
      <c r="AG7003" s="10"/>
    </row>
    <row r="7004" spans="33:33">
      <c r="AG7004" s="10"/>
    </row>
    <row r="7005" spans="33:33">
      <c r="AG7005" s="10"/>
    </row>
    <row r="7006" spans="33:33">
      <c r="AG7006" s="10"/>
    </row>
    <row r="7007" spans="33:33">
      <c r="AG7007" s="10"/>
    </row>
    <row r="7008" spans="33:33">
      <c r="AG7008" s="10"/>
    </row>
    <row r="7009" spans="33:33">
      <c r="AG7009" s="10"/>
    </row>
    <row r="7010" spans="33:33">
      <c r="AG7010" s="10"/>
    </row>
    <row r="7011" spans="33:33">
      <c r="AG7011" s="10"/>
    </row>
    <row r="7012" spans="33:33">
      <c r="AG7012" s="10"/>
    </row>
    <row r="7013" spans="33:33">
      <c r="AG7013" s="10"/>
    </row>
    <row r="7014" spans="33:33">
      <c r="AG7014" s="10"/>
    </row>
    <row r="7015" spans="33:33">
      <c r="AG7015" s="10"/>
    </row>
    <row r="7016" spans="33:33">
      <c r="AG7016" s="10"/>
    </row>
    <row r="7017" spans="33:33">
      <c r="AG7017" s="10"/>
    </row>
    <row r="7018" spans="33:33">
      <c r="AG7018" s="10"/>
    </row>
    <row r="7019" spans="33:33">
      <c r="AG7019" s="10"/>
    </row>
    <row r="7020" spans="33:33">
      <c r="AG7020" s="10"/>
    </row>
    <row r="7021" spans="33:33">
      <c r="AG7021" s="10"/>
    </row>
    <row r="7022" spans="33:33">
      <c r="AG7022" s="10"/>
    </row>
    <row r="7023" spans="33:33">
      <c r="AG7023" s="10"/>
    </row>
    <row r="7024" spans="33:33">
      <c r="AG7024" s="10"/>
    </row>
    <row r="7025" spans="33:33">
      <c r="AG7025" s="10"/>
    </row>
    <row r="7026" spans="33:33">
      <c r="AG7026" s="10"/>
    </row>
    <row r="7027" spans="33:33">
      <c r="AG7027" s="10"/>
    </row>
    <row r="7028" spans="33:33">
      <c r="AG7028" s="10"/>
    </row>
    <row r="7029" spans="33:33">
      <c r="AG7029" s="10"/>
    </row>
    <row r="7030" spans="33:33">
      <c r="AG7030" s="10"/>
    </row>
    <row r="7031" spans="33:33">
      <c r="AG7031" s="10"/>
    </row>
    <row r="7032" spans="33:33">
      <c r="AG7032" s="10"/>
    </row>
    <row r="7033" spans="33:33">
      <c r="AG7033" s="10"/>
    </row>
    <row r="7034" spans="33:33">
      <c r="AG7034" s="10"/>
    </row>
    <row r="7035" spans="33:33">
      <c r="AG7035" s="10"/>
    </row>
    <row r="7036" spans="33:33">
      <c r="AG7036" s="10"/>
    </row>
    <row r="7037" spans="33:33">
      <c r="AG7037" s="10"/>
    </row>
    <row r="7038" spans="33:33">
      <c r="AG7038" s="10"/>
    </row>
    <row r="7039" spans="33:33">
      <c r="AG7039" s="10"/>
    </row>
    <row r="7040" spans="33:33">
      <c r="AG7040" s="10"/>
    </row>
    <row r="7041" spans="33:33">
      <c r="AG7041" s="10"/>
    </row>
    <row r="7042" spans="33:33">
      <c r="AG7042" s="10"/>
    </row>
    <row r="7043" spans="33:33">
      <c r="AG7043" s="10"/>
    </row>
    <row r="7044" spans="33:33">
      <c r="AG7044" s="10"/>
    </row>
    <row r="7045" spans="33:33">
      <c r="AG7045" s="10"/>
    </row>
    <row r="7046" spans="33:33">
      <c r="AG7046" s="10"/>
    </row>
    <row r="7047" spans="33:33">
      <c r="AG7047" s="10"/>
    </row>
    <row r="7048" spans="33:33">
      <c r="AG7048" s="10"/>
    </row>
    <row r="7049" spans="33:33">
      <c r="AG7049" s="10"/>
    </row>
    <row r="7050" spans="33:33">
      <c r="AG7050" s="10"/>
    </row>
    <row r="7051" spans="33:33">
      <c r="AG7051" s="10"/>
    </row>
    <row r="7052" spans="33:33">
      <c r="AG7052" s="10"/>
    </row>
    <row r="7053" spans="33:33">
      <c r="AG7053" s="10"/>
    </row>
    <row r="7054" spans="33:33">
      <c r="AG7054" s="10"/>
    </row>
    <row r="7055" spans="33:33">
      <c r="AG7055" s="10"/>
    </row>
    <row r="7056" spans="33:33">
      <c r="AG7056" s="10"/>
    </row>
    <row r="7057" spans="33:33">
      <c r="AG7057" s="10"/>
    </row>
    <row r="7058" spans="33:33">
      <c r="AG7058" s="10"/>
    </row>
    <row r="7059" spans="33:33">
      <c r="AG7059" s="10"/>
    </row>
    <row r="7060" spans="33:33">
      <c r="AG7060" s="10"/>
    </row>
    <row r="7061" spans="33:33">
      <c r="AG7061" s="10"/>
    </row>
    <row r="7062" spans="33:33">
      <c r="AG7062" s="10"/>
    </row>
    <row r="7063" spans="33:33">
      <c r="AG7063" s="10"/>
    </row>
    <row r="7064" spans="33:33">
      <c r="AG7064" s="10"/>
    </row>
    <row r="7065" spans="33:33">
      <c r="AG7065" s="10"/>
    </row>
    <row r="7066" spans="33:33">
      <c r="AG7066" s="10"/>
    </row>
    <row r="7067" spans="33:33">
      <c r="AG7067" s="10"/>
    </row>
    <row r="7068" spans="33:33">
      <c r="AG7068" s="10"/>
    </row>
    <row r="7069" spans="33:33">
      <c r="AG7069" s="10"/>
    </row>
    <row r="7070" spans="33:33">
      <c r="AG7070" s="10"/>
    </row>
    <row r="7071" spans="33:33">
      <c r="AG7071" s="10"/>
    </row>
    <row r="7072" spans="33:33">
      <c r="AG7072" s="10"/>
    </row>
    <row r="7073" spans="33:33">
      <c r="AG7073" s="10"/>
    </row>
    <row r="7074" spans="33:33">
      <c r="AG7074" s="10"/>
    </row>
    <row r="7075" spans="33:33">
      <c r="AG7075" s="10"/>
    </row>
    <row r="7076" spans="33:33">
      <c r="AG7076" s="10"/>
    </row>
    <row r="7077" spans="33:33">
      <c r="AG7077" s="10"/>
    </row>
    <row r="7078" spans="33:33">
      <c r="AG7078" s="10"/>
    </row>
    <row r="7079" spans="33:33">
      <c r="AG7079" s="10"/>
    </row>
    <row r="7080" spans="33:33">
      <c r="AG7080" s="10"/>
    </row>
    <row r="7081" spans="33:33">
      <c r="AG7081" s="10"/>
    </row>
    <row r="7082" spans="33:33">
      <c r="AG7082" s="10"/>
    </row>
    <row r="7083" spans="33:33">
      <c r="AG7083" s="10"/>
    </row>
    <row r="7084" spans="33:33">
      <c r="AG7084" s="10"/>
    </row>
    <row r="7085" spans="33:33">
      <c r="AG7085" s="10"/>
    </row>
    <row r="7086" spans="33:33">
      <c r="AG7086" s="10"/>
    </row>
    <row r="7087" spans="33:33">
      <c r="AG7087" s="10"/>
    </row>
    <row r="7088" spans="33:33">
      <c r="AG7088" s="10"/>
    </row>
    <row r="7089" spans="33:33">
      <c r="AG7089" s="10"/>
    </row>
    <row r="7090" spans="33:33">
      <c r="AG7090" s="10"/>
    </row>
    <row r="7091" spans="33:33">
      <c r="AG7091" s="10"/>
    </row>
    <row r="7092" spans="33:33">
      <c r="AG7092" s="10"/>
    </row>
    <row r="7093" spans="33:33">
      <c r="AG7093" s="10"/>
    </row>
    <row r="7094" spans="33:33">
      <c r="AG7094" s="10"/>
    </row>
    <row r="7095" spans="33:33">
      <c r="AG7095" s="10"/>
    </row>
    <row r="7096" spans="33:33">
      <c r="AG7096" s="10"/>
    </row>
    <row r="7097" spans="33:33">
      <c r="AG7097" s="10"/>
    </row>
    <row r="7098" spans="33:33">
      <c r="AG7098" s="10"/>
    </row>
    <row r="7099" spans="33:33">
      <c r="AG7099" s="10"/>
    </row>
    <row r="7100" spans="33:33">
      <c r="AG7100" s="10"/>
    </row>
    <row r="7101" spans="33:33">
      <c r="AG7101" s="10"/>
    </row>
    <row r="7102" spans="33:33">
      <c r="AG7102" s="10"/>
    </row>
    <row r="7103" spans="33:33">
      <c r="AG7103" s="10"/>
    </row>
    <row r="7104" spans="33:33">
      <c r="AG7104" s="10"/>
    </row>
    <row r="7105" spans="33:33">
      <c r="AG7105" s="10"/>
    </row>
    <row r="7106" spans="33:33">
      <c r="AG7106" s="10"/>
    </row>
    <row r="7107" spans="33:33">
      <c r="AG7107" s="10"/>
    </row>
    <row r="7108" spans="33:33">
      <c r="AG7108" s="10"/>
    </row>
    <row r="7109" spans="33:33">
      <c r="AG7109" s="10"/>
    </row>
    <row r="7110" spans="33:33">
      <c r="AG7110" s="10"/>
    </row>
    <row r="7111" spans="33:33">
      <c r="AG7111" s="10"/>
    </row>
    <row r="7112" spans="33:33">
      <c r="AG7112" s="10"/>
    </row>
    <row r="7113" spans="33:33">
      <c r="AG7113" s="10"/>
    </row>
    <row r="7114" spans="33:33">
      <c r="AG7114" s="10"/>
    </row>
    <row r="7115" spans="33:33">
      <c r="AG7115" s="10"/>
    </row>
    <row r="7116" spans="33:33">
      <c r="AG7116" s="10"/>
    </row>
    <row r="7117" spans="33:33">
      <c r="AG7117" s="10"/>
    </row>
    <row r="7118" spans="33:33">
      <c r="AG7118" s="10"/>
    </row>
    <row r="7119" spans="33:33">
      <c r="AG7119" s="10"/>
    </row>
    <row r="7120" spans="33:33">
      <c r="AG7120" s="10"/>
    </row>
    <row r="7121" spans="33:33">
      <c r="AG7121" s="10"/>
    </row>
    <row r="7122" spans="33:33">
      <c r="AG7122" s="10"/>
    </row>
    <row r="7123" spans="33:33">
      <c r="AG7123" s="10"/>
    </row>
    <row r="7124" spans="33:33">
      <c r="AG7124" s="10"/>
    </row>
    <row r="7125" spans="33:33">
      <c r="AG7125" s="10"/>
    </row>
    <row r="7126" spans="33:33">
      <c r="AG7126" s="10"/>
    </row>
    <row r="7127" spans="33:33">
      <c r="AG7127" s="10"/>
    </row>
    <row r="7128" spans="33:33">
      <c r="AG7128" s="10"/>
    </row>
    <row r="7129" spans="33:33">
      <c r="AG7129" s="10"/>
    </row>
    <row r="7130" spans="33:33">
      <c r="AG7130" s="10"/>
    </row>
    <row r="7131" spans="33:33">
      <c r="AG7131" s="10"/>
    </row>
    <row r="7132" spans="33:33">
      <c r="AG7132" s="10"/>
    </row>
    <row r="7133" spans="33:33">
      <c r="AG7133" s="10"/>
    </row>
    <row r="7134" spans="33:33">
      <c r="AG7134" s="10"/>
    </row>
    <row r="7135" spans="33:33">
      <c r="AG7135" s="10"/>
    </row>
    <row r="7136" spans="33:33">
      <c r="AG7136" s="10"/>
    </row>
    <row r="7137" spans="33:33">
      <c r="AG7137" s="10"/>
    </row>
    <row r="7138" spans="33:33">
      <c r="AG7138" s="10"/>
    </row>
    <row r="7139" spans="33:33">
      <c r="AG7139" s="10"/>
    </row>
    <row r="7140" spans="33:33">
      <c r="AG7140" s="10"/>
    </row>
    <row r="7141" spans="33:33">
      <c r="AG7141" s="10"/>
    </row>
    <row r="7142" spans="33:33">
      <c r="AG7142" s="10"/>
    </row>
    <row r="7143" spans="33:33">
      <c r="AG7143" s="10"/>
    </row>
    <row r="7144" spans="33:33">
      <c r="AG7144" s="10"/>
    </row>
    <row r="7145" spans="33:33">
      <c r="AG7145" s="10"/>
    </row>
    <row r="7146" spans="33:33">
      <c r="AG7146" s="10"/>
    </row>
    <row r="7147" spans="33:33">
      <c r="AG7147" s="10"/>
    </row>
    <row r="7148" spans="33:33">
      <c r="AG7148" s="10"/>
    </row>
    <row r="7149" spans="33:33">
      <c r="AG7149" s="10"/>
    </row>
    <row r="7150" spans="33:33">
      <c r="AG7150" s="10"/>
    </row>
    <row r="7151" spans="33:33">
      <c r="AG7151" s="10"/>
    </row>
    <row r="7152" spans="33:33">
      <c r="AG7152" s="10"/>
    </row>
    <row r="7153" spans="33:33">
      <c r="AG7153" s="10"/>
    </row>
    <row r="7154" spans="33:33">
      <c r="AG7154" s="10"/>
    </row>
    <row r="7155" spans="33:33">
      <c r="AG7155" s="10"/>
    </row>
    <row r="7156" spans="33:33">
      <c r="AG7156" s="10"/>
    </row>
    <row r="7157" spans="33:33">
      <c r="AG7157" s="10"/>
    </row>
    <row r="7158" spans="33:33">
      <c r="AG7158" s="10"/>
    </row>
    <row r="7159" spans="33:33">
      <c r="AG7159" s="10"/>
    </row>
    <row r="7160" spans="33:33">
      <c r="AG7160" s="10"/>
    </row>
    <row r="7161" spans="33:33">
      <c r="AG7161" s="10"/>
    </row>
    <row r="7162" spans="33:33">
      <c r="AG7162" s="10"/>
    </row>
    <row r="7163" spans="33:33">
      <c r="AG7163" s="10"/>
    </row>
    <row r="7164" spans="33:33">
      <c r="AG7164" s="10"/>
    </row>
    <row r="7165" spans="33:33">
      <c r="AG7165" s="10"/>
    </row>
    <row r="7166" spans="33:33">
      <c r="AG7166" s="10"/>
    </row>
    <row r="7167" spans="33:33">
      <c r="AG7167" s="10"/>
    </row>
    <row r="7168" spans="33:33">
      <c r="AG7168" s="10"/>
    </row>
    <row r="7169" spans="33:33">
      <c r="AG7169" s="10"/>
    </row>
    <row r="7170" spans="33:33">
      <c r="AG7170" s="10"/>
    </row>
    <row r="7171" spans="33:33">
      <c r="AG7171" s="10"/>
    </row>
    <row r="7172" spans="33:33">
      <c r="AG7172" s="10"/>
    </row>
    <row r="7173" spans="33:33">
      <c r="AG7173" s="10"/>
    </row>
    <row r="7174" spans="33:33">
      <c r="AG7174" s="10"/>
    </row>
    <row r="7175" spans="33:33">
      <c r="AG7175" s="10"/>
    </row>
    <row r="7176" spans="33:33">
      <c r="AG7176" s="10"/>
    </row>
    <row r="7177" spans="33:33">
      <c r="AG7177" s="10"/>
    </row>
    <row r="7178" spans="33:33">
      <c r="AG7178" s="10"/>
    </row>
    <row r="7179" spans="33:33">
      <c r="AG7179" s="10"/>
    </row>
    <row r="7180" spans="33:33">
      <c r="AG7180" s="10"/>
    </row>
    <row r="7181" spans="33:33">
      <c r="AG7181" s="10"/>
    </row>
    <row r="7182" spans="33:33">
      <c r="AG7182" s="10"/>
    </row>
    <row r="7183" spans="33:33">
      <c r="AG7183" s="10"/>
    </row>
    <row r="7184" spans="33:33">
      <c r="AG7184" s="10"/>
    </row>
    <row r="7185" spans="33:33">
      <c r="AG7185" s="10"/>
    </row>
    <row r="7186" spans="33:33">
      <c r="AG7186" s="10"/>
    </row>
    <row r="7187" spans="33:33">
      <c r="AG7187" s="10"/>
    </row>
    <row r="7188" spans="33:33">
      <c r="AG7188" s="10"/>
    </row>
    <row r="7189" spans="33:33">
      <c r="AG7189" s="10"/>
    </row>
    <row r="7190" spans="33:33">
      <c r="AG7190" s="10"/>
    </row>
    <row r="7191" spans="33:33">
      <c r="AG7191" s="10"/>
    </row>
    <row r="7192" spans="33:33">
      <c r="AG7192" s="10"/>
    </row>
    <row r="7193" spans="33:33">
      <c r="AG7193" s="10"/>
    </row>
    <row r="7194" spans="33:33">
      <c r="AG7194" s="10"/>
    </row>
    <row r="7195" spans="33:33">
      <c r="AG7195" s="10"/>
    </row>
    <row r="7196" spans="33:33">
      <c r="AG7196" s="10"/>
    </row>
    <row r="7197" spans="33:33">
      <c r="AG7197" s="10"/>
    </row>
    <row r="7198" spans="33:33">
      <c r="AG7198" s="10"/>
    </row>
    <row r="7199" spans="33:33">
      <c r="AG7199" s="10"/>
    </row>
    <row r="7200" spans="33:33">
      <c r="AG7200" s="10"/>
    </row>
    <row r="7201" spans="33:33">
      <c r="AG7201" s="10"/>
    </row>
    <row r="7202" spans="33:33">
      <c r="AG7202" s="10"/>
    </row>
    <row r="7203" spans="33:33">
      <c r="AG7203" s="10"/>
    </row>
    <row r="7204" spans="33:33">
      <c r="AG7204" s="10"/>
    </row>
    <row r="7205" spans="33:33">
      <c r="AG7205" s="10"/>
    </row>
    <row r="7206" spans="33:33">
      <c r="AG7206" s="10"/>
    </row>
    <row r="7207" spans="33:33">
      <c r="AG7207" s="10"/>
    </row>
    <row r="7208" spans="33:33">
      <c r="AG7208" s="10"/>
    </row>
    <row r="7209" spans="33:33">
      <c r="AG7209" s="10"/>
    </row>
    <row r="7210" spans="33:33">
      <c r="AG7210" s="10"/>
    </row>
    <row r="7211" spans="33:33">
      <c r="AG7211" s="10"/>
    </row>
    <row r="7212" spans="33:33">
      <c r="AG7212" s="10"/>
    </row>
    <row r="7213" spans="33:33">
      <c r="AG7213" s="10"/>
    </row>
    <row r="7214" spans="33:33">
      <c r="AG7214" s="10"/>
    </row>
    <row r="7215" spans="33:33">
      <c r="AG7215" s="10"/>
    </row>
    <row r="7216" spans="33:33">
      <c r="AG7216" s="10"/>
    </row>
    <row r="7217" spans="33:33">
      <c r="AG7217" s="10"/>
    </row>
    <row r="7218" spans="33:33">
      <c r="AG7218" s="10"/>
    </row>
    <row r="7219" spans="33:33">
      <c r="AG7219" s="10"/>
    </row>
    <row r="7220" spans="33:33">
      <c r="AG7220" s="10"/>
    </row>
    <row r="7221" spans="33:33">
      <c r="AG7221" s="10"/>
    </row>
    <row r="7222" spans="33:33">
      <c r="AG7222" s="10"/>
    </row>
    <row r="7223" spans="33:33">
      <c r="AG7223" s="10"/>
    </row>
    <row r="7224" spans="33:33">
      <c r="AG7224" s="10"/>
    </row>
    <row r="7225" spans="33:33">
      <c r="AG7225" s="10"/>
    </row>
    <row r="7226" spans="33:33">
      <c r="AG7226" s="10"/>
    </row>
    <row r="7227" spans="33:33">
      <c r="AG7227" s="10"/>
    </row>
    <row r="7228" spans="33:33">
      <c r="AG7228" s="10"/>
    </row>
    <row r="7229" spans="33:33">
      <c r="AG7229" s="10"/>
    </row>
    <row r="7230" spans="33:33">
      <c r="AG7230" s="10"/>
    </row>
    <row r="7231" spans="33:33">
      <c r="AG7231" s="10"/>
    </row>
    <row r="7232" spans="33:33">
      <c r="AG7232" s="10"/>
    </row>
    <row r="7233" spans="33:33">
      <c r="AG7233" s="10"/>
    </row>
    <row r="7234" spans="33:33">
      <c r="AG7234" s="10"/>
    </row>
    <row r="7235" spans="33:33">
      <c r="AG7235" s="10"/>
    </row>
    <row r="7236" spans="33:33">
      <c r="AG7236" s="10"/>
    </row>
    <row r="7237" spans="33:33">
      <c r="AG7237" s="10"/>
    </row>
    <row r="7238" spans="33:33">
      <c r="AG7238" s="10"/>
    </row>
    <row r="7239" spans="33:33">
      <c r="AG7239" s="10"/>
    </row>
    <row r="7240" spans="33:33">
      <c r="AG7240" s="10"/>
    </row>
    <row r="7241" spans="33:33">
      <c r="AG7241" s="10"/>
    </row>
    <row r="7242" spans="33:33">
      <c r="AG7242" s="10"/>
    </row>
    <row r="7243" spans="33:33">
      <c r="AG7243" s="10"/>
    </row>
    <row r="7244" spans="33:33">
      <c r="AG7244" s="10"/>
    </row>
    <row r="7245" spans="33:33">
      <c r="AG7245" s="10"/>
    </row>
    <row r="7246" spans="33:33">
      <c r="AG7246" s="10"/>
    </row>
    <row r="7247" spans="33:33">
      <c r="AG7247" s="10"/>
    </row>
    <row r="7248" spans="33:33">
      <c r="AG7248" s="10"/>
    </row>
    <row r="7249" spans="33:33">
      <c r="AG7249" s="10"/>
    </row>
    <row r="7250" spans="33:33">
      <c r="AG7250" s="10"/>
    </row>
    <row r="7251" spans="33:33">
      <c r="AG7251" s="10"/>
    </row>
    <row r="7252" spans="33:33">
      <c r="AG7252" s="10"/>
    </row>
    <row r="7253" spans="33:33">
      <c r="AG7253" s="10"/>
    </row>
    <row r="7254" spans="33:33">
      <c r="AG7254" s="10"/>
    </row>
    <row r="7255" spans="33:33">
      <c r="AG7255" s="10"/>
    </row>
    <row r="7256" spans="33:33">
      <c r="AG7256" s="10"/>
    </row>
    <row r="7257" spans="33:33">
      <c r="AG7257" s="10"/>
    </row>
    <row r="7258" spans="33:33">
      <c r="AG7258" s="10"/>
    </row>
    <row r="7259" spans="33:33">
      <c r="AG7259" s="10"/>
    </row>
    <row r="7260" spans="33:33">
      <c r="AG7260" s="10"/>
    </row>
    <row r="7261" spans="33:33">
      <c r="AG7261" s="10"/>
    </row>
    <row r="7262" spans="33:33">
      <c r="AG7262" s="10"/>
    </row>
    <row r="7263" spans="33:33">
      <c r="AG7263" s="10"/>
    </row>
    <row r="7264" spans="33:33">
      <c r="AG7264" s="10"/>
    </row>
    <row r="7265" spans="33:33">
      <c r="AG7265" s="10"/>
    </row>
    <row r="7266" spans="33:33">
      <c r="AG7266" s="10"/>
    </row>
    <row r="7267" spans="33:33">
      <c r="AG7267" s="10"/>
    </row>
    <row r="7268" spans="33:33">
      <c r="AG7268" s="10"/>
    </row>
    <row r="7269" spans="33:33">
      <c r="AG7269" s="10"/>
    </row>
    <row r="7270" spans="33:33">
      <c r="AG7270" s="10"/>
    </row>
    <row r="7271" spans="33:33">
      <c r="AG7271" s="10"/>
    </row>
    <row r="7272" spans="33:33">
      <c r="AG7272" s="10"/>
    </row>
    <row r="7273" spans="33:33">
      <c r="AG7273" s="10"/>
    </row>
    <row r="7274" spans="33:33">
      <c r="AG7274" s="10"/>
    </row>
    <row r="7275" spans="33:33">
      <c r="AG7275" s="10"/>
    </row>
    <row r="7276" spans="33:33">
      <c r="AG7276" s="10"/>
    </row>
    <row r="7277" spans="33:33">
      <c r="AG7277" s="10"/>
    </row>
    <row r="7278" spans="33:33">
      <c r="AG7278" s="10"/>
    </row>
    <row r="7279" spans="33:33">
      <c r="AG7279" s="10"/>
    </row>
    <row r="7280" spans="33:33">
      <c r="AG7280" s="10"/>
    </row>
    <row r="7281" spans="33:33">
      <c r="AG7281" s="10"/>
    </row>
    <row r="7282" spans="33:33">
      <c r="AG7282" s="10"/>
    </row>
    <row r="7283" spans="33:33">
      <c r="AG7283" s="10"/>
    </row>
    <row r="7284" spans="33:33">
      <c r="AG7284" s="10"/>
    </row>
    <row r="7285" spans="33:33">
      <c r="AG7285" s="10"/>
    </row>
    <row r="7286" spans="33:33">
      <c r="AG7286" s="10"/>
    </row>
    <row r="7287" spans="33:33">
      <c r="AG7287" s="10"/>
    </row>
    <row r="7288" spans="33:33">
      <c r="AG7288" s="10"/>
    </row>
    <row r="7289" spans="33:33">
      <c r="AG7289" s="10"/>
    </row>
    <row r="7290" spans="33:33">
      <c r="AG7290" s="10"/>
    </row>
    <row r="7291" spans="33:33">
      <c r="AG7291" s="10"/>
    </row>
    <row r="7292" spans="33:33">
      <c r="AG7292" s="10"/>
    </row>
    <row r="7293" spans="33:33">
      <c r="AG7293" s="10"/>
    </row>
    <row r="7294" spans="33:33">
      <c r="AG7294" s="10"/>
    </row>
    <row r="7295" spans="33:33">
      <c r="AG7295" s="10"/>
    </row>
    <row r="7296" spans="33:33">
      <c r="AG7296" s="10"/>
    </row>
    <row r="7297" spans="33:33">
      <c r="AG7297" s="10"/>
    </row>
    <row r="7298" spans="33:33">
      <c r="AG7298" s="10"/>
    </row>
    <row r="7299" spans="33:33">
      <c r="AG7299" s="10"/>
    </row>
    <row r="7300" spans="33:33">
      <c r="AG7300" s="10"/>
    </row>
    <row r="7301" spans="33:33">
      <c r="AG7301" s="10"/>
    </row>
    <row r="7302" spans="33:33">
      <c r="AG7302" s="10"/>
    </row>
    <row r="7303" spans="33:33">
      <c r="AG7303" s="10"/>
    </row>
    <row r="7304" spans="33:33">
      <c r="AG7304" s="10"/>
    </row>
    <row r="7305" spans="33:33">
      <c r="AG7305" s="10"/>
    </row>
    <row r="7306" spans="33:33">
      <c r="AG7306" s="10"/>
    </row>
    <row r="7307" spans="33:33">
      <c r="AG7307" s="10"/>
    </row>
    <row r="7308" spans="33:33">
      <c r="AG7308" s="10"/>
    </row>
    <row r="7309" spans="33:33">
      <c r="AG7309" s="10"/>
    </row>
    <row r="7310" spans="33:33">
      <c r="AG7310" s="10"/>
    </row>
    <row r="7311" spans="33:33">
      <c r="AG7311" s="10"/>
    </row>
    <row r="7312" spans="33:33">
      <c r="AG7312" s="10"/>
    </row>
    <row r="7313" spans="33:33">
      <c r="AG7313" s="10"/>
    </row>
    <row r="7314" spans="33:33">
      <c r="AG7314" s="10"/>
    </row>
    <row r="7315" spans="33:33">
      <c r="AG7315" s="10"/>
    </row>
    <row r="7316" spans="33:33">
      <c r="AG7316" s="10"/>
    </row>
    <row r="7317" spans="33:33">
      <c r="AG7317" s="10"/>
    </row>
    <row r="7318" spans="33:33">
      <c r="AG7318" s="10"/>
    </row>
    <row r="7319" spans="33:33">
      <c r="AG7319" s="10"/>
    </row>
    <row r="7320" spans="33:33">
      <c r="AG7320" s="10"/>
    </row>
    <row r="7321" spans="33:33">
      <c r="AG7321" s="10"/>
    </row>
    <row r="7322" spans="33:33">
      <c r="AG7322" s="10"/>
    </row>
    <row r="7323" spans="33:33">
      <c r="AG7323" s="10"/>
    </row>
    <row r="7324" spans="33:33">
      <c r="AG7324" s="10"/>
    </row>
    <row r="7325" spans="33:33">
      <c r="AG7325" s="10"/>
    </row>
    <row r="7326" spans="33:33">
      <c r="AG7326" s="10"/>
    </row>
    <row r="7327" spans="33:33">
      <c r="AG7327" s="10"/>
    </row>
    <row r="7328" spans="33:33">
      <c r="AG7328" s="10"/>
    </row>
    <row r="7329" spans="33:33">
      <c r="AG7329" s="10"/>
    </row>
    <row r="7330" spans="33:33">
      <c r="AG7330" s="10"/>
    </row>
    <row r="7331" spans="33:33">
      <c r="AG7331" s="10"/>
    </row>
    <row r="7332" spans="33:33">
      <c r="AG7332" s="10"/>
    </row>
    <row r="7333" spans="33:33">
      <c r="AG7333" s="10"/>
    </row>
    <row r="7334" spans="33:33">
      <c r="AG7334" s="10"/>
    </row>
    <row r="7335" spans="33:33">
      <c r="AG7335" s="10"/>
    </row>
    <row r="7336" spans="33:33">
      <c r="AG7336" s="10"/>
    </row>
    <row r="7337" spans="33:33">
      <c r="AG7337" s="10"/>
    </row>
    <row r="7338" spans="33:33">
      <c r="AG7338" s="10"/>
    </row>
    <row r="7339" spans="33:33">
      <c r="AG7339" s="10"/>
    </row>
    <row r="7340" spans="33:33">
      <c r="AG7340" s="10"/>
    </row>
    <row r="7341" spans="33:33">
      <c r="AG7341" s="10"/>
    </row>
    <row r="7342" spans="33:33">
      <c r="AG7342" s="10"/>
    </row>
    <row r="7343" spans="33:33">
      <c r="AG7343" s="10"/>
    </row>
    <row r="7344" spans="33:33">
      <c r="AG7344" s="10"/>
    </row>
    <row r="7345" spans="33:33">
      <c r="AG7345" s="10"/>
    </row>
    <row r="7346" spans="33:33">
      <c r="AG7346" s="10"/>
    </row>
    <row r="7347" spans="33:33">
      <c r="AG7347" s="10"/>
    </row>
    <row r="7348" spans="33:33">
      <c r="AG7348" s="10"/>
    </row>
    <row r="7349" spans="33:33">
      <c r="AG7349" s="10"/>
    </row>
    <row r="7350" spans="33:33">
      <c r="AG7350" s="10"/>
    </row>
    <row r="7351" spans="33:33">
      <c r="AG7351" s="10"/>
    </row>
    <row r="7352" spans="33:33">
      <c r="AG7352" s="10"/>
    </row>
    <row r="7353" spans="33:33">
      <c r="AG7353" s="10"/>
    </row>
    <row r="7354" spans="33:33">
      <c r="AG7354" s="10"/>
    </row>
    <row r="7355" spans="33:33">
      <c r="AG7355" s="10"/>
    </row>
    <row r="7356" spans="33:33">
      <c r="AG7356" s="10"/>
    </row>
    <row r="7357" spans="33:33">
      <c r="AG7357" s="10"/>
    </row>
    <row r="7358" spans="33:33">
      <c r="AG7358" s="10"/>
    </row>
    <row r="7359" spans="33:33">
      <c r="AG7359" s="10"/>
    </row>
    <row r="7360" spans="33:33">
      <c r="AG7360" s="10"/>
    </row>
    <row r="7361" spans="33:33">
      <c r="AG7361" s="10"/>
    </row>
    <row r="7362" spans="33:33">
      <c r="AG7362" s="10"/>
    </row>
    <row r="7363" spans="33:33">
      <c r="AG7363" s="10"/>
    </row>
    <row r="7364" spans="33:33">
      <c r="AG7364" s="10"/>
    </row>
    <row r="7365" spans="33:33">
      <c r="AG7365" s="10"/>
    </row>
    <row r="7366" spans="33:33">
      <c r="AG7366" s="10"/>
    </row>
    <row r="7367" spans="33:33">
      <c r="AG7367" s="10"/>
    </row>
    <row r="7368" spans="33:33">
      <c r="AG7368" s="10"/>
    </row>
    <row r="7369" spans="33:33">
      <c r="AG7369" s="10"/>
    </row>
    <row r="7370" spans="33:33">
      <c r="AG7370" s="10"/>
    </row>
    <row r="7371" spans="33:33">
      <c r="AG7371" s="10"/>
    </row>
    <row r="7372" spans="33:33">
      <c r="AG7372" s="10"/>
    </row>
    <row r="7373" spans="33:33">
      <c r="AG7373" s="10"/>
    </row>
    <row r="7374" spans="33:33">
      <c r="AG7374" s="10"/>
    </row>
    <row r="7375" spans="33:33">
      <c r="AG7375" s="10"/>
    </row>
    <row r="7376" spans="33:33">
      <c r="AG7376" s="10"/>
    </row>
    <row r="7377" spans="33:33">
      <c r="AG7377" s="10"/>
    </row>
    <row r="7378" spans="33:33">
      <c r="AG7378" s="10"/>
    </row>
    <row r="7379" spans="33:33">
      <c r="AG7379" s="10"/>
    </row>
    <row r="7380" spans="33:33">
      <c r="AG7380" s="10"/>
    </row>
    <row r="7381" spans="33:33">
      <c r="AG7381" s="10"/>
    </row>
    <row r="7382" spans="33:33">
      <c r="AG7382" s="10"/>
    </row>
    <row r="7383" spans="33:33">
      <c r="AG7383" s="10"/>
    </row>
    <row r="7384" spans="33:33">
      <c r="AG7384" s="10"/>
    </row>
    <row r="7385" spans="33:33">
      <c r="AG7385" s="10"/>
    </row>
    <row r="7386" spans="33:33">
      <c r="AG7386" s="10"/>
    </row>
    <row r="7387" spans="33:33">
      <c r="AG7387" s="10"/>
    </row>
    <row r="7388" spans="33:33">
      <c r="AG7388" s="10"/>
    </row>
    <row r="7389" spans="33:33">
      <c r="AG7389" s="10"/>
    </row>
    <row r="7390" spans="33:33">
      <c r="AG7390" s="10"/>
    </row>
    <row r="7391" spans="33:33">
      <c r="AG7391" s="10"/>
    </row>
    <row r="7392" spans="33:33">
      <c r="AG7392" s="10"/>
    </row>
    <row r="7393" spans="33:33">
      <c r="AG7393" s="10"/>
    </row>
    <row r="7394" spans="33:33">
      <c r="AG7394" s="10"/>
    </row>
    <row r="7395" spans="33:33">
      <c r="AG7395" s="10"/>
    </row>
    <row r="7396" spans="33:33">
      <c r="AG7396" s="10"/>
    </row>
    <row r="7397" spans="33:33">
      <c r="AG7397" s="10"/>
    </row>
    <row r="7398" spans="33:33">
      <c r="AG7398" s="10"/>
    </row>
    <row r="7399" spans="33:33">
      <c r="AG7399" s="10"/>
    </row>
    <row r="7400" spans="33:33">
      <c r="AG7400" s="10"/>
    </row>
    <row r="7401" spans="33:33">
      <c r="AG7401" s="10"/>
    </row>
    <row r="7402" spans="33:33">
      <c r="AG7402" s="10"/>
    </row>
    <row r="7403" spans="33:33">
      <c r="AG7403" s="10"/>
    </row>
    <row r="7404" spans="33:33">
      <c r="AG7404" s="10"/>
    </row>
    <row r="7405" spans="33:33">
      <c r="AG7405" s="10"/>
    </row>
    <row r="7406" spans="33:33">
      <c r="AG7406" s="10"/>
    </row>
    <row r="7407" spans="33:33">
      <c r="AG7407" s="10"/>
    </row>
    <row r="7408" spans="33:33">
      <c r="AG7408" s="10"/>
    </row>
    <row r="7409" spans="33:33">
      <c r="AG7409" s="10"/>
    </row>
    <row r="7410" spans="33:33">
      <c r="AG7410" s="10"/>
    </row>
    <row r="7411" spans="33:33">
      <c r="AG7411" s="10"/>
    </row>
    <row r="7412" spans="33:33">
      <c r="AG7412" s="10"/>
    </row>
    <row r="7413" spans="33:33">
      <c r="AG7413" s="10"/>
    </row>
    <row r="7414" spans="33:33">
      <c r="AG7414" s="10"/>
    </row>
    <row r="7415" spans="33:33">
      <c r="AG7415" s="10"/>
    </row>
    <row r="7416" spans="33:33">
      <c r="AG7416" s="10"/>
    </row>
    <row r="7417" spans="33:33">
      <c r="AG7417" s="10"/>
    </row>
    <row r="7418" spans="33:33">
      <c r="AG7418" s="10"/>
    </row>
    <row r="7419" spans="33:33">
      <c r="AG7419" s="10"/>
    </row>
    <row r="7420" spans="33:33">
      <c r="AG7420" s="10"/>
    </row>
    <row r="7421" spans="33:33">
      <c r="AG7421" s="10"/>
    </row>
    <row r="7422" spans="33:33">
      <c r="AG7422" s="10"/>
    </row>
    <row r="7423" spans="33:33">
      <c r="AG7423" s="10"/>
    </row>
    <row r="7424" spans="33:33">
      <c r="AG7424" s="10"/>
    </row>
    <row r="7425" spans="33:33">
      <c r="AG7425" s="10"/>
    </row>
    <row r="7426" spans="33:33">
      <c r="AG7426" s="10"/>
    </row>
    <row r="7427" spans="33:33">
      <c r="AG7427" s="10"/>
    </row>
    <row r="7428" spans="33:33">
      <c r="AG7428" s="10"/>
    </row>
    <row r="7429" spans="33:33">
      <c r="AG7429" s="10"/>
    </row>
    <row r="7430" spans="33:33">
      <c r="AG7430" s="10"/>
    </row>
    <row r="7431" spans="33:33">
      <c r="AG7431" s="10"/>
    </row>
    <row r="7432" spans="33:33">
      <c r="AG7432" s="10"/>
    </row>
    <row r="7433" spans="33:33">
      <c r="AG7433" s="10"/>
    </row>
    <row r="7434" spans="33:33">
      <c r="AG7434" s="10"/>
    </row>
    <row r="7435" spans="33:33">
      <c r="AG7435" s="10"/>
    </row>
    <row r="7436" spans="33:33">
      <c r="AG7436" s="10"/>
    </row>
    <row r="7437" spans="33:33">
      <c r="AG7437" s="10"/>
    </row>
    <row r="7438" spans="33:33">
      <c r="AG7438" s="10"/>
    </row>
    <row r="7439" spans="33:33">
      <c r="AG7439" s="10"/>
    </row>
    <row r="7440" spans="33:33">
      <c r="AG7440" s="10"/>
    </row>
    <row r="7441" spans="33:33">
      <c r="AG7441" s="10"/>
    </row>
    <row r="7442" spans="33:33">
      <c r="AG7442" s="10"/>
    </row>
    <row r="7443" spans="33:33">
      <c r="AG7443" s="10"/>
    </row>
    <row r="7444" spans="33:33">
      <c r="AG7444" s="10"/>
    </row>
    <row r="7445" spans="33:33">
      <c r="AG7445" s="10"/>
    </row>
    <row r="7446" spans="33:33">
      <c r="AG7446" s="10"/>
    </row>
    <row r="7447" spans="33:33">
      <c r="AG7447" s="10"/>
    </row>
    <row r="7448" spans="33:33">
      <c r="AG7448" s="10"/>
    </row>
    <row r="7449" spans="33:33">
      <c r="AG7449" s="10"/>
    </row>
    <row r="7450" spans="33:33">
      <c r="AG7450" s="10"/>
    </row>
    <row r="7451" spans="33:33">
      <c r="AG7451" s="10"/>
    </row>
    <row r="7452" spans="33:33">
      <c r="AG7452" s="10"/>
    </row>
    <row r="7453" spans="33:33">
      <c r="AG7453" s="10"/>
    </row>
    <row r="7454" spans="33:33">
      <c r="AG7454" s="10"/>
    </row>
    <row r="7455" spans="33:33">
      <c r="AG7455" s="10"/>
    </row>
    <row r="7456" spans="33:33">
      <c r="AG7456" s="10"/>
    </row>
    <row r="7457" spans="33:33">
      <c r="AG7457" s="10"/>
    </row>
    <row r="7458" spans="33:33">
      <c r="AG7458" s="10"/>
    </row>
    <row r="7459" spans="33:33">
      <c r="AG7459" s="10"/>
    </row>
    <row r="7460" spans="33:33">
      <c r="AG7460" s="10"/>
    </row>
    <row r="7461" spans="33:33">
      <c r="AG7461" s="10"/>
    </row>
    <row r="7462" spans="33:33">
      <c r="AG7462" s="10"/>
    </row>
    <row r="7463" spans="33:33">
      <c r="AG7463" s="10"/>
    </row>
    <row r="7464" spans="33:33">
      <c r="AG7464" s="10"/>
    </row>
    <row r="7465" spans="33:33">
      <c r="AG7465" s="10"/>
    </row>
    <row r="7466" spans="33:33">
      <c r="AG7466" s="10"/>
    </row>
    <row r="7467" spans="33:33">
      <c r="AG7467" s="10"/>
    </row>
    <row r="7468" spans="33:33">
      <c r="AG7468" s="10"/>
    </row>
    <row r="7469" spans="33:33">
      <c r="AG7469" s="10"/>
    </row>
    <row r="7470" spans="33:33">
      <c r="AG7470" s="10"/>
    </row>
    <row r="7471" spans="33:33">
      <c r="AG7471" s="10"/>
    </row>
    <row r="7472" spans="33:33">
      <c r="AG7472" s="10"/>
    </row>
    <row r="7473" spans="33:33">
      <c r="AG7473" s="10"/>
    </row>
    <row r="7474" spans="33:33">
      <c r="AG7474" s="10"/>
    </row>
    <row r="7475" spans="33:33">
      <c r="AG7475" s="10"/>
    </row>
    <row r="7476" spans="33:33">
      <c r="AG7476" s="10"/>
    </row>
    <row r="7477" spans="33:33">
      <c r="AG7477" s="10"/>
    </row>
    <row r="7478" spans="33:33">
      <c r="AG7478" s="10"/>
    </row>
    <row r="7479" spans="33:33">
      <c r="AG7479" s="10"/>
    </row>
    <row r="7480" spans="33:33">
      <c r="AG7480" s="10"/>
    </row>
    <row r="7481" spans="33:33">
      <c r="AG7481" s="10"/>
    </row>
    <row r="7482" spans="33:33">
      <c r="AG7482" s="10"/>
    </row>
    <row r="7483" spans="33:33">
      <c r="AG7483" s="10"/>
    </row>
    <row r="7484" spans="33:33">
      <c r="AG7484" s="10"/>
    </row>
    <row r="7485" spans="33:33">
      <c r="AG7485" s="10"/>
    </row>
    <row r="7486" spans="33:33">
      <c r="AG7486" s="10"/>
    </row>
    <row r="7487" spans="33:33">
      <c r="AG7487" s="10"/>
    </row>
    <row r="7488" spans="33:33">
      <c r="AG7488" s="10"/>
    </row>
    <row r="7489" spans="33:33">
      <c r="AG7489" s="10"/>
    </row>
    <row r="7490" spans="33:33">
      <c r="AG7490" s="10"/>
    </row>
    <row r="7491" spans="33:33">
      <c r="AG7491" s="10"/>
    </row>
    <row r="7492" spans="33:33">
      <c r="AG7492" s="10"/>
    </row>
    <row r="7493" spans="33:33">
      <c r="AG7493" s="10"/>
    </row>
    <row r="7494" spans="33:33">
      <c r="AG7494" s="10"/>
    </row>
    <row r="7495" spans="33:33">
      <c r="AG7495" s="10"/>
    </row>
    <row r="7496" spans="33:33">
      <c r="AG7496" s="10"/>
    </row>
    <row r="7497" spans="33:33">
      <c r="AG7497" s="10"/>
    </row>
    <row r="7498" spans="33:33">
      <c r="AG7498" s="10"/>
    </row>
    <row r="7499" spans="33:33">
      <c r="AG7499" s="10"/>
    </row>
    <row r="7500" spans="33:33">
      <c r="AG7500" s="10"/>
    </row>
    <row r="7501" spans="33:33">
      <c r="AG7501" s="10"/>
    </row>
    <row r="7502" spans="33:33">
      <c r="AG7502" s="10"/>
    </row>
    <row r="7503" spans="33:33">
      <c r="AG7503" s="10"/>
    </row>
    <row r="7504" spans="33:33">
      <c r="AG7504" s="10"/>
    </row>
    <row r="7505" spans="33:33">
      <c r="AG7505" s="10"/>
    </row>
    <row r="7506" spans="33:33">
      <c r="AG7506" s="10"/>
    </row>
    <row r="7507" spans="33:33">
      <c r="AG7507" s="10"/>
    </row>
    <row r="7508" spans="33:33">
      <c r="AG7508" s="10"/>
    </row>
    <row r="7509" spans="33:33">
      <c r="AG7509" s="10"/>
    </row>
    <row r="7510" spans="33:33">
      <c r="AG7510" s="10"/>
    </row>
    <row r="7511" spans="33:33">
      <c r="AG7511" s="10"/>
    </row>
    <row r="7512" spans="33:33">
      <c r="AG7512" s="10"/>
    </row>
    <row r="7513" spans="33:33">
      <c r="AG7513" s="10"/>
    </row>
    <row r="7514" spans="33:33">
      <c r="AG7514" s="10"/>
    </row>
    <row r="7515" spans="33:33">
      <c r="AG7515" s="10"/>
    </row>
    <row r="7516" spans="33:33">
      <c r="AG7516" s="10"/>
    </row>
    <row r="7517" spans="33:33">
      <c r="AG7517" s="10"/>
    </row>
    <row r="7518" spans="33:33">
      <c r="AG7518" s="10"/>
    </row>
    <row r="7519" spans="33:33">
      <c r="AG7519" s="10"/>
    </row>
    <row r="7520" spans="33:33">
      <c r="AG7520" s="10"/>
    </row>
    <row r="7521" spans="33:33">
      <c r="AG7521" s="10"/>
    </row>
    <row r="7522" spans="33:33">
      <c r="AG7522" s="10"/>
    </row>
    <row r="7523" spans="33:33">
      <c r="AG7523" s="10"/>
    </row>
    <row r="7524" spans="33:33">
      <c r="AG7524" s="10"/>
    </row>
    <row r="7525" spans="33:33">
      <c r="AG7525" s="10"/>
    </row>
    <row r="7526" spans="33:33">
      <c r="AG7526" s="10"/>
    </row>
    <row r="7527" spans="33:33">
      <c r="AG7527" s="10"/>
    </row>
    <row r="7528" spans="33:33">
      <c r="AG7528" s="10"/>
    </row>
    <row r="7529" spans="33:33">
      <c r="AG7529" s="10"/>
    </row>
    <row r="7530" spans="33:33">
      <c r="AG7530" s="10"/>
    </row>
    <row r="7531" spans="33:33">
      <c r="AG7531" s="10"/>
    </row>
    <row r="7532" spans="33:33">
      <c r="AG7532" s="10"/>
    </row>
    <row r="7533" spans="33:33">
      <c r="AG7533" s="10"/>
    </row>
    <row r="7534" spans="33:33">
      <c r="AG7534" s="10"/>
    </row>
    <row r="7535" spans="33:33">
      <c r="AG7535" s="10"/>
    </row>
    <row r="7536" spans="33:33">
      <c r="AG7536" s="10"/>
    </row>
    <row r="7537" spans="33:33">
      <c r="AG7537" s="10"/>
    </row>
    <row r="7538" spans="33:33">
      <c r="AG7538" s="10"/>
    </row>
    <row r="7539" spans="33:33">
      <c r="AG7539" s="10"/>
    </row>
    <row r="7540" spans="33:33">
      <c r="AG7540" s="10"/>
    </row>
    <row r="7541" spans="33:33">
      <c r="AG7541" s="10"/>
    </row>
    <row r="7542" spans="33:33">
      <c r="AG7542" s="10"/>
    </row>
    <row r="7543" spans="33:33">
      <c r="AG7543" s="10"/>
    </row>
    <row r="7544" spans="33:33">
      <c r="AG7544" s="10"/>
    </row>
    <row r="7545" spans="33:33">
      <c r="AG7545" s="10"/>
    </row>
    <row r="7546" spans="33:33">
      <c r="AG7546" s="10"/>
    </row>
    <row r="7547" spans="33:33">
      <c r="AG7547" s="10"/>
    </row>
    <row r="7548" spans="33:33">
      <c r="AG7548" s="10"/>
    </row>
    <row r="7549" spans="33:33">
      <c r="AG7549" s="10"/>
    </row>
    <row r="7550" spans="33:33">
      <c r="AG7550" s="10"/>
    </row>
    <row r="7551" spans="33:33">
      <c r="AG7551" s="10"/>
    </row>
    <row r="7552" spans="33:33">
      <c r="AG7552" s="10"/>
    </row>
    <row r="7553" spans="33:33">
      <c r="AG7553" s="10"/>
    </row>
    <row r="7554" spans="33:33">
      <c r="AG7554" s="10"/>
    </row>
    <row r="7555" spans="33:33">
      <c r="AG7555" s="10"/>
    </row>
    <row r="7556" spans="33:33">
      <c r="AG7556" s="10"/>
    </row>
    <row r="7557" spans="33:33">
      <c r="AG7557" s="10"/>
    </row>
    <row r="7558" spans="33:33">
      <c r="AG7558" s="10"/>
    </row>
    <row r="7559" spans="33:33">
      <c r="AG7559" s="10"/>
    </row>
    <row r="7560" spans="33:33">
      <c r="AG7560" s="10"/>
    </row>
    <row r="7561" spans="33:33">
      <c r="AG7561" s="10"/>
    </row>
    <row r="7562" spans="33:33">
      <c r="AG7562" s="10"/>
    </row>
    <row r="7563" spans="33:33">
      <c r="AG7563" s="10"/>
    </row>
    <row r="7564" spans="33:33">
      <c r="AG7564" s="10"/>
    </row>
    <row r="7565" spans="33:33">
      <c r="AG7565" s="10"/>
    </row>
    <row r="7566" spans="33:33">
      <c r="AG7566" s="10"/>
    </row>
    <row r="7567" spans="33:33">
      <c r="AG7567" s="10"/>
    </row>
    <row r="7568" spans="33:33">
      <c r="AG7568" s="10"/>
    </row>
    <row r="7569" spans="33:33">
      <c r="AG7569" s="10"/>
    </row>
    <row r="7570" spans="33:33">
      <c r="AG7570" s="10"/>
    </row>
    <row r="7571" spans="33:33">
      <c r="AG7571" s="10"/>
    </row>
    <row r="7572" spans="33:33">
      <c r="AG7572" s="10"/>
    </row>
    <row r="7573" spans="33:33">
      <c r="AG7573" s="10"/>
    </row>
    <row r="7574" spans="33:33">
      <c r="AG7574" s="10"/>
    </row>
    <row r="7575" spans="33:33">
      <c r="AG7575" s="10"/>
    </row>
    <row r="7576" spans="33:33">
      <c r="AG7576" s="10"/>
    </row>
    <row r="7577" spans="33:33">
      <c r="AG7577" s="10"/>
    </row>
    <row r="7578" spans="33:33">
      <c r="AG7578" s="10"/>
    </row>
    <row r="7579" spans="33:33">
      <c r="AG7579" s="10"/>
    </row>
    <row r="7580" spans="33:33">
      <c r="AG7580" s="10"/>
    </row>
    <row r="7581" spans="33:33">
      <c r="AG7581" s="10"/>
    </row>
    <row r="7582" spans="33:33">
      <c r="AG7582" s="10"/>
    </row>
    <row r="7583" spans="33:33">
      <c r="AG7583" s="10"/>
    </row>
    <row r="7584" spans="33:33">
      <c r="AG7584" s="10"/>
    </row>
    <row r="7585" spans="33:33">
      <c r="AG7585" s="10"/>
    </row>
    <row r="7586" spans="33:33">
      <c r="AG7586" s="10"/>
    </row>
    <row r="7587" spans="33:33">
      <c r="AG7587" s="10"/>
    </row>
    <row r="7588" spans="33:33">
      <c r="AG7588" s="10"/>
    </row>
    <row r="7589" spans="33:33">
      <c r="AG7589" s="10"/>
    </row>
    <row r="7590" spans="33:33">
      <c r="AG7590" s="10"/>
    </row>
    <row r="7591" spans="33:33">
      <c r="AG7591" s="10"/>
    </row>
    <row r="7592" spans="33:33">
      <c r="AG7592" s="10"/>
    </row>
    <row r="7593" spans="33:33">
      <c r="AG7593" s="10"/>
    </row>
    <row r="7594" spans="33:33">
      <c r="AG7594" s="10"/>
    </row>
    <row r="7595" spans="33:33">
      <c r="AG7595" s="10"/>
    </row>
    <row r="7596" spans="33:33">
      <c r="AG7596" s="10"/>
    </row>
    <row r="7597" spans="33:33">
      <c r="AG7597" s="10"/>
    </row>
    <row r="7598" spans="33:33">
      <c r="AG7598" s="10"/>
    </row>
    <row r="7599" spans="33:33">
      <c r="AG7599" s="10"/>
    </row>
    <row r="7600" spans="33:33">
      <c r="AG7600" s="10"/>
    </row>
    <row r="7601" spans="33:33">
      <c r="AG7601" s="10"/>
    </row>
    <row r="7602" spans="33:33">
      <c r="AG7602" s="10"/>
    </row>
    <row r="7603" spans="33:33">
      <c r="AG7603" s="10"/>
    </row>
    <row r="7604" spans="33:33">
      <c r="AG7604" s="10"/>
    </row>
    <row r="7605" spans="33:33">
      <c r="AG7605" s="10"/>
    </row>
    <row r="7606" spans="33:33">
      <c r="AG7606" s="10"/>
    </row>
    <row r="7607" spans="33:33">
      <c r="AG7607" s="10"/>
    </row>
    <row r="7608" spans="33:33">
      <c r="AG7608" s="10"/>
    </row>
    <row r="7609" spans="33:33">
      <c r="AG7609" s="10"/>
    </row>
    <row r="7610" spans="33:33">
      <c r="AG7610" s="10"/>
    </row>
    <row r="7611" spans="33:33">
      <c r="AG7611" s="10"/>
    </row>
    <row r="7612" spans="33:33">
      <c r="AG7612" s="10"/>
    </row>
    <row r="7613" spans="33:33">
      <c r="AG7613" s="10"/>
    </row>
    <row r="7614" spans="33:33">
      <c r="AG7614" s="10"/>
    </row>
    <row r="7615" spans="33:33">
      <c r="AG7615" s="10"/>
    </row>
    <row r="7616" spans="33:33">
      <c r="AG7616" s="10"/>
    </row>
    <row r="7617" spans="33:33">
      <c r="AG7617" s="10"/>
    </row>
    <row r="7618" spans="33:33">
      <c r="AG7618" s="10"/>
    </row>
    <row r="7619" spans="33:33">
      <c r="AG7619" s="10"/>
    </row>
    <row r="7620" spans="33:33">
      <c r="AG7620" s="10"/>
    </row>
    <row r="7621" spans="33:33">
      <c r="AG7621" s="10"/>
    </row>
    <row r="7622" spans="33:33">
      <c r="AG7622" s="10"/>
    </row>
    <row r="7623" spans="33:33">
      <c r="AG7623" s="10"/>
    </row>
    <row r="7624" spans="33:33">
      <c r="AG7624" s="10"/>
    </row>
    <row r="7625" spans="33:33">
      <c r="AG7625" s="10"/>
    </row>
    <row r="7626" spans="33:33">
      <c r="AG7626" s="10"/>
    </row>
    <row r="7627" spans="33:33">
      <c r="AG7627" s="10"/>
    </row>
    <row r="7628" spans="33:33">
      <c r="AG7628" s="10"/>
    </row>
    <row r="7629" spans="33:33">
      <c r="AG7629" s="10"/>
    </row>
    <row r="7630" spans="33:33">
      <c r="AG7630" s="10"/>
    </row>
    <row r="7631" spans="33:33">
      <c r="AG7631" s="10"/>
    </row>
    <row r="7632" spans="33:33">
      <c r="AG7632" s="10"/>
    </row>
    <row r="7633" spans="33:33">
      <c r="AG7633" s="10"/>
    </row>
    <row r="7634" spans="33:33">
      <c r="AG7634" s="10"/>
    </row>
    <row r="7635" spans="33:33">
      <c r="AG7635" s="10"/>
    </row>
    <row r="7636" spans="33:33">
      <c r="AG7636" s="10"/>
    </row>
    <row r="7637" spans="33:33">
      <c r="AG7637" s="10"/>
    </row>
    <row r="7638" spans="33:33">
      <c r="AG7638" s="10"/>
    </row>
    <row r="7639" spans="33:33">
      <c r="AG7639" s="10"/>
    </row>
    <row r="7640" spans="33:33">
      <c r="AG7640" s="10"/>
    </row>
    <row r="7641" spans="33:33">
      <c r="AG7641" s="10"/>
    </row>
    <row r="7642" spans="33:33">
      <c r="AG7642" s="10"/>
    </row>
    <row r="7643" spans="33:33">
      <c r="AG7643" s="10"/>
    </row>
    <row r="7644" spans="33:33">
      <c r="AG7644" s="10"/>
    </row>
    <row r="7645" spans="33:33">
      <c r="AG7645" s="10"/>
    </row>
    <row r="7646" spans="33:33">
      <c r="AG7646" s="10"/>
    </row>
    <row r="7647" spans="33:33">
      <c r="AG7647" s="10"/>
    </row>
    <row r="7648" spans="33:33">
      <c r="AG7648" s="10"/>
    </row>
    <row r="7649" spans="33:33">
      <c r="AG7649" s="10"/>
    </row>
    <row r="7650" spans="33:33">
      <c r="AG7650" s="10"/>
    </row>
    <row r="7651" spans="33:33">
      <c r="AG7651" s="10"/>
    </row>
    <row r="7652" spans="33:33">
      <c r="AG7652" s="10"/>
    </row>
    <row r="7653" spans="33:33">
      <c r="AG7653" s="10"/>
    </row>
    <row r="7654" spans="33:33">
      <c r="AG7654" s="10"/>
    </row>
    <row r="7655" spans="33:33">
      <c r="AG7655" s="10"/>
    </row>
    <row r="7656" spans="33:33">
      <c r="AG7656" s="10"/>
    </row>
    <row r="7657" spans="33:33">
      <c r="AG7657" s="10"/>
    </row>
    <row r="7658" spans="33:33">
      <c r="AG7658" s="10"/>
    </row>
    <row r="7659" spans="33:33">
      <c r="AG7659" s="10"/>
    </row>
    <row r="7660" spans="33:33">
      <c r="AG7660" s="10"/>
    </row>
    <row r="7661" spans="33:33">
      <c r="AG7661" s="10"/>
    </row>
    <row r="7662" spans="33:33">
      <c r="AG7662" s="10"/>
    </row>
    <row r="7663" spans="33:33">
      <c r="AG7663" s="10"/>
    </row>
    <row r="7664" spans="33:33">
      <c r="AG7664" s="10"/>
    </row>
    <row r="7665" spans="33:33">
      <c r="AG7665" s="10"/>
    </row>
    <row r="7666" spans="33:33">
      <c r="AG7666" s="10"/>
    </row>
    <row r="7667" spans="33:33">
      <c r="AG7667" s="10"/>
    </row>
    <row r="7668" spans="33:33">
      <c r="AG7668" s="10"/>
    </row>
    <row r="7669" spans="33:33">
      <c r="AG7669" s="10"/>
    </row>
    <row r="7670" spans="33:33">
      <c r="AG7670" s="10"/>
    </row>
    <row r="7671" spans="33:33">
      <c r="AG7671" s="10"/>
    </row>
    <row r="7672" spans="33:33">
      <c r="AG7672" s="10"/>
    </row>
    <row r="7673" spans="33:33">
      <c r="AG7673" s="10"/>
    </row>
    <row r="7674" spans="33:33">
      <c r="AG7674" s="10"/>
    </row>
    <row r="7675" spans="33:33">
      <c r="AG7675" s="10"/>
    </row>
    <row r="7676" spans="33:33">
      <c r="AG7676" s="10"/>
    </row>
    <row r="7677" spans="33:33">
      <c r="AG7677" s="10"/>
    </row>
    <row r="7678" spans="33:33">
      <c r="AG7678" s="10"/>
    </row>
    <row r="7679" spans="33:33">
      <c r="AG7679" s="10"/>
    </row>
    <row r="7680" spans="33:33">
      <c r="AG7680" s="10"/>
    </row>
    <row r="7681" spans="33:33">
      <c r="AG7681" s="10"/>
    </row>
    <row r="7682" spans="33:33">
      <c r="AG7682" s="10"/>
    </row>
    <row r="7683" spans="33:33">
      <c r="AG7683" s="10"/>
    </row>
    <row r="7684" spans="33:33">
      <c r="AG7684" s="10"/>
    </row>
    <row r="7685" spans="33:33">
      <c r="AG7685" s="10"/>
    </row>
    <row r="7686" spans="33:33">
      <c r="AG7686" s="10"/>
    </row>
    <row r="7687" spans="33:33">
      <c r="AG7687" s="10"/>
    </row>
    <row r="7688" spans="33:33">
      <c r="AG7688" s="10"/>
    </row>
    <row r="7689" spans="33:33">
      <c r="AG7689" s="10"/>
    </row>
    <row r="7690" spans="33:33">
      <c r="AG7690" s="10"/>
    </row>
    <row r="7691" spans="33:33">
      <c r="AG7691" s="10"/>
    </row>
    <row r="7692" spans="33:33">
      <c r="AG7692" s="10"/>
    </row>
    <row r="7693" spans="33:33">
      <c r="AG7693" s="10"/>
    </row>
    <row r="7694" spans="33:33">
      <c r="AG7694" s="10"/>
    </row>
    <row r="7695" spans="33:33">
      <c r="AG7695" s="10"/>
    </row>
    <row r="7696" spans="33:33">
      <c r="AG7696" s="10"/>
    </row>
    <row r="7697" spans="33:33">
      <c r="AG7697" s="10"/>
    </row>
    <row r="7698" spans="33:33">
      <c r="AG7698" s="10"/>
    </row>
    <row r="7699" spans="33:33">
      <c r="AG7699" s="10"/>
    </row>
    <row r="7700" spans="33:33">
      <c r="AG7700" s="10"/>
    </row>
    <row r="7701" spans="33:33">
      <c r="AG7701" s="10"/>
    </row>
    <row r="7702" spans="33:33">
      <c r="AG7702" s="10"/>
    </row>
    <row r="7703" spans="33:33">
      <c r="AG7703" s="10"/>
    </row>
    <row r="7704" spans="33:33">
      <c r="AG7704" s="10"/>
    </row>
    <row r="7705" spans="33:33">
      <c r="AG7705" s="10"/>
    </row>
    <row r="7706" spans="33:33">
      <c r="AG7706" s="10"/>
    </row>
    <row r="7707" spans="33:33">
      <c r="AG7707" s="10"/>
    </row>
    <row r="7708" spans="33:33">
      <c r="AG7708" s="10"/>
    </row>
    <row r="7709" spans="33:33">
      <c r="AG7709" s="10"/>
    </row>
    <row r="7710" spans="33:33">
      <c r="AG7710" s="10"/>
    </row>
    <row r="7711" spans="33:33">
      <c r="AG7711" s="10"/>
    </row>
    <row r="7712" spans="33:33">
      <c r="AG7712" s="10"/>
    </row>
    <row r="7713" spans="33:33">
      <c r="AG7713" s="10"/>
    </row>
    <row r="7714" spans="33:33">
      <c r="AG7714" s="10"/>
    </row>
    <row r="7715" spans="33:33">
      <c r="AG7715" s="10"/>
    </row>
    <row r="7716" spans="33:33">
      <c r="AG7716" s="10"/>
    </row>
    <row r="7717" spans="33:33">
      <c r="AG7717" s="10"/>
    </row>
    <row r="7718" spans="33:33">
      <c r="AG7718" s="10"/>
    </row>
    <row r="7719" spans="33:33">
      <c r="AG7719" s="10"/>
    </row>
    <row r="7720" spans="33:33">
      <c r="AG7720" s="10"/>
    </row>
    <row r="7721" spans="33:33">
      <c r="AG7721" s="10"/>
    </row>
    <row r="7722" spans="33:33">
      <c r="AG7722" s="10"/>
    </row>
    <row r="7723" spans="33:33">
      <c r="AG7723" s="10"/>
    </row>
    <row r="7724" spans="33:33">
      <c r="AG7724" s="10"/>
    </row>
    <row r="7725" spans="33:33">
      <c r="AG7725" s="10"/>
    </row>
    <row r="7726" spans="33:33">
      <c r="AG7726" s="10"/>
    </row>
    <row r="7727" spans="33:33">
      <c r="AG7727" s="10"/>
    </row>
    <row r="7728" spans="33:33">
      <c r="AG7728" s="10"/>
    </row>
    <row r="7729" spans="33:33">
      <c r="AG7729" s="10"/>
    </row>
    <row r="7730" spans="33:33">
      <c r="AG7730" s="10"/>
    </row>
    <row r="7731" spans="33:33">
      <c r="AG7731" s="10"/>
    </row>
    <row r="7732" spans="33:33">
      <c r="AG7732" s="10"/>
    </row>
    <row r="7733" spans="33:33">
      <c r="AG7733" s="10"/>
    </row>
    <row r="7734" spans="33:33">
      <c r="AG7734" s="10"/>
    </row>
    <row r="7735" spans="33:33">
      <c r="AG7735" s="10"/>
    </row>
    <row r="7736" spans="33:33">
      <c r="AG7736" s="10"/>
    </row>
    <row r="7737" spans="33:33">
      <c r="AG7737" s="10"/>
    </row>
    <row r="7738" spans="33:33">
      <c r="AG7738" s="10"/>
    </row>
    <row r="7739" spans="33:33">
      <c r="AG7739" s="10"/>
    </row>
    <row r="7740" spans="33:33">
      <c r="AG7740" s="10"/>
    </row>
    <row r="7741" spans="33:33">
      <c r="AG7741" s="10"/>
    </row>
    <row r="7742" spans="33:33">
      <c r="AG7742" s="10"/>
    </row>
    <row r="7743" spans="33:33">
      <c r="AG7743" s="10"/>
    </row>
    <row r="7744" spans="33:33">
      <c r="AG7744" s="10"/>
    </row>
    <row r="7745" spans="33:33">
      <c r="AG7745" s="10"/>
    </row>
    <row r="7746" spans="33:33">
      <c r="AG7746" s="10"/>
    </row>
    <row r="7747" spans="33:33">
      <c r="AG7747" s="10"/>
    </row>
    <row r="7748" spans="33:33">
      <c r="AG7748" s="10"/>
    </row>
    <row r="7749" spans="33:33">
      <c r="AG7749" s="10"/>
    </row>
    <row r="7750" spans="33:33">
      <c r="AG7750" s="10"/>
    </row>
    <row r="7751" spans="33:33">
      <c r="AG7751" s="10"/>
    </row>
    <row r="7752" spans="33:33">
      <c r="AG7752" s="10"/>
    </row>
    <row r="7753" spans="33:33">
      <c r="AG7753" s="10"/>
    </row>
    <row r="7754" spans="33:33">
      <c r="AG7754" s="10"/>
    </row>
    <row r="7755" spans="33:33">
      <c r="AG7755" s="10"/>
    </row>
    <row r="7756" spans="33:33">
      <c r="AG7756" s="10"/>
    </row>
    <row r="7757" spans="33:33">
      <c r="AG7757" s="10"/>
    </row>
    <row r="7758" spans="33:33">
      <c r="AG7758" s="10"/>
    </row>
    <row r="7759" spans="33:33">
      <c r="AG7759" s="10"/>
    </row>
    <row r="7760" spans="33:33">
      <c r="AG7760" s="10"/>
    </row>
    <row r="7761" spans="33:33">
      <c r="AG7761" s="10"/>
    </row>
    <row r="7762" spans="33:33">
      <c r="AG7762" s="10"/>
    </row>
    <row r="7763" spans="33:33">
      <c r="AG7763" s="10"/>
    </row>
    <row r="7764" spans="33:33">
      <c r="AG7764" s="10"/>
    </row>
    <row r="7765" spans="33:33">
      <c r="AG7765" s="10"/>
    </row>
    <row r="7766" spans="33:33">
      <c r="AG7766" s="10"/>
    </row>
    <row r="7767" spans="33:33">
      <c r="AG7767" s="10"/>
    </row>
    <row r="7768" spans="33:33">
      <c r="AG7768" s="10"/>
    </row>
    <row r="7769" spans="33:33">
      <c r="AG7769" s="10"/>
    </row>
    <row r="7770" spans="33:33">
      <c r="AG7770" s="10"/>
    </row>
    <row r="7771" spans="33:33">
      <c r="AG7771" s="10"/>
    </row>
    <row r="7772" spans="33:33">
      <c r="AG7772" s="10"/>
    </row>
    <row r="7773" spans="33:33">
      <c r="AG7773" s="10"/>
    </row>
    <row r="7774" spans="33:33">
      <c r="AG7774" s="10"/>
    </row>
    <row r="7775" spans="33:33">
      <c r="AG7775" s="10"/>
    </row>
    <row r="7776" spans="33:33">
      <c r="AG7776" s="10"/>
    </row>
    <row r="7777" spans="33:33">
      <c r="AG7777" s="10"/>
    </row>
    <row r="7778" spans="33:33">
      <c r="AG7778" s="10"/>
    </row>
    <row r="7779" spans="33:33">
      <c r="AG7779" s="10"/>
    </row>
    <row r="7780" spans="33:33">
      <c r="AG7780" s="10"/>
    </row>
    <row r="7781" spans="33:33">
      <c r="AG7781" s="10"/>
    </row>
    <row r="7782" spans="33:33">
      <c r="AG7782" s="10"/>
    </row>
    <row r="7783" spans="33:33">
      <c r="AG7783" s="10"/>
    </row>
    <row r="7784" spans="33:33">
      <c r="AG7784" s="10"/>
    </row>
    <row r="7785" spans="33:33">
      <c r="AG7785" s="10"/>
    </row>
    <row r="7786" spans="33:33">
      <c r="AG7786" s="10"/>
    </row>
    <row r="7787" spans="33:33">
      <c r="AG7787" s="10"/>
    </row>
    <row r="7788" spans="33:33">
      <c r="AG7788" s="10"/>
    </row>
    <row r="7789" spans="33:33">
      <c r="AG7789" s="10"/>
    </row>
    <row r="7790" spans="33:33">
      <c r="AG7790" s="10"/>
    </row>
    <row r="7791" spans="33:33">
      <c r="AG7791" s="10"/>
    </row>
    <row r="7792" spans="33:33">
      <c r="AG7792" s="10"/>
    </row>
    <row r="7793" spans="33:33">
      <c r="AG7793" s="10"/>
    </row>
    <row r="7794" spans="33:33">
      <c r="AG7794" s="10"/>
    </row>
    <row r="7795" spans="33:33">
      <c r="AG7795" s="10"/>
    </row>
    <row r="7796" spans="33:33">
      <c r="AG7796" s="10"/>
    </row>
    <row r="7797" spans="33:33">
      <c r="AG7797" s="10"/>
    </row>
    <row r="7798" spans="33:33">
      <c r="AG7798" s="10"/>
    </row>
    <row r="7799" spans="33:33">
      <c r="AG7799" s="10"/>
    </row>
    <row r="7800" spans="33:33">
      <c r="AG7800" s="10"/>
    </row>
    <row r="7801" spans="33:33">
      <c r="AG7801" s="10"/>
    </row>
    <row r="7802" spans="33:33">
      <c r="AG7802" s="10"/>
    </row>
    <row r="7803" spans="33:33">
      <c r="AG7803" s="10"/>
    </row>
    <row r="7804" spans="33:33">
      <c r="AG7804" s="10"/>
    </row>
    <row r="7805" spans="33:33">
      <c r="AG7805" s="10"/>
    </row>
    <row r="7806" spans="33:33">
      <c r="AG7806" s="10"/>
    </row>
    <row r="7807" spans="33:33">
      <c r="AG7807" s="10"/>
    </row>
    <row r="7808" spans="33:33">
      <c r="AG7808" s="10"/>
    </row>
    <row r="7809" spans="33:33">
      <c r="AG7809" s="10"/>
    </row>
    <row r="7810" spans="33:33">
      <c r="AG7810" s="10"/>
    </row>
    <row r="7811" spans="33:33">
      <c r="AG7811" s="10"/>
    </row>
    <row r="7812" spans="33:33">
      <c r="AG7812" s="10"/>
    </row>
    <row r="7813" spans="33:33">
      <c r="AG7813" s="10"/>
    </row>
    <row r="7814" spans="33:33">
      <c r="AG7814" s="10"/>
    </row>
    <row r="7815" spans="33:33">
      <c r="AG7815" s="10"/>
    </row>
    <row r="7816" spans="33:33">
      <c r="AG7816" s="10"/>
    </row>
    <row r="7817" spans="33:33">
      <c r="AG7817" s="10"/>
    </row>
    <row r="7818" spans="33:33">
      <c r="AG7818" s="10"/>
    </row>
    <row r="7819" spans="33:33">
      <c r="AG7819" s="10"/>
    </row>
    <row r="7820" spans="33:33">
      <c r="AG7820" s="10"/>
    </row>
    <row r="7821" spans="33:33">
      <c r="AG7821" s="10"/>
    </row>
    <row r="7822" spans="33:33">
      <c r="AG7822" s="10"/>
    </row>
    <row r="7823" spans="33:33">
      <c r="AG7823" s="10"/>
    </row>
    <row r="7824" spans="33:33">
      <c r="AG7824" s="10"/>
    </row>
    <row r="7825" spans="33:33">
      <c r="AG7825" s="10"/>
    </row>
    <row r="7826" spans="33:33">
      <c r="AG7826" s="10"/>
    </row>
    <row r="7827" spans="33:33">
      <c r="AG7827" s="10"/>
    </row>
    <row r="7828" spans="33:33">
      <c r="AG7828" s="10"/>
    </row>
    <row r="7829" spans="33:33">
      <c r="AG7829" s="10"/>
    </row>
    <row r="7830" spans="33:33">
      <c r="AG7830" s="10"/>
    </row>
    <row r="7831" spans="33:33">
      <c r="AG7831" s="10"/>
    </row>
    <row r="7832" spans="33:33">
      <c r="AG7832" s="10"/>
    </row>
    <row r="7833" spans="33:33">
      <c r="AG7833" s="10"/>
    </row>
    <row r="7834" spans="33:33">
      <c r="AG7834" s="10"/>
    </row>
    <row r="7835" spans="33:33">
      <c r="AG7835" s="10"/>
    </row>
    <row r="7836" spans="33:33">
      <c r="AG7836" s="10"/>
    </row>
    <row r="7837" spans="33:33">
      <c r="AG7837" s="10"/>
    </row>
    <row r="7838" spans="33:33">
      <c r="AG7838" s="10"/>
    </row>
    <row r="7839" spans="33:33">
      <c r="AG7839" s="10"/>
    </row>
    <row r="7840" spans="33:33">
      <c r="AG7840" s="10"/>
    </row>
    <row r="7841" spans="33:33">
      <c r="AG7841" s="10"/>
    </row>
    <row r="7842" spans="33:33">
      <c r="AG7842" s="10"/>
    </row>
    <row r="7843" spans="33:33">
      <c r="AG7843" s="10"/>
    </row>
    <row r="7844" spans="33:33">
      <c r="AG7844" s="10"/>
    </row>
    <row r="7845" spans="33:33">
      <c r="AG7845" s="10"/>
    </row>
    <row r="7846" spans="33:33">
      <c r="AG7846" s="10"/>
    </row>
    <row r="7847" spans="33:33">
      <c r="AG7847" s="10"/>
    </row>
    <row r="7848" spans="33:33">
      <c r="AG7848" s="10"/>
    </row>
    <row r="7849" spans="33:33">
      <c r="AG7849" s="10"/>
    </row>
    <row r="7850" spans="33:33">
      <c r="AG7850" s="10"/>
    </row>
    <row r="7851" spans="33:33">
      <c r="AG7851" s="10"/>
    </row>
    <row r="7852" spans="33:33">
      <c r="AG7852" s="10"/>
    </row>
    <row r="7853" spans="33:33">
      <c r="AG7853" s="10"/>
    </row>
    <row r="7854" spans="33:33">
      <c r="AG7854" s="10"/>
    </row>
    <row r="7855" spans="33:33">
      <c r="AG7855" s="10"/>
    </row>
    <row r="7856" spans="33:33">
      <c r="AG7856" s="10"/>
    </row>
    <row r="7857" spans="33:33">
      <c r="AG7857" s="10"/>
    </row>
    <row r="7858" spans="33:33">
      <c r="AG7858" s="10"/>
    </row>
    <row r="7859" spans="33:33">
      <c r="AG7859" s="10"/>
    </row>
    <row r="7860" spans="33:33">
      <c r="AG7860" s="10"/>
    </row>
    <row r="7861" spans="33:33">
      <c r="AG7861" s="10"/>
    </row>
    <row r="7862" spans="33:33">
      <c r="AG7862" s="10"/>
    </row>
    <row r="7863" spans="33:33">
      <c r="AG7863" s="10"/>
    </row>
    <row r="7864" spans="33:33">
      <c r="AG7864" s="10"/>
    </row>
    <row r="7865" spans="33:33">
      <c r="AG7865" s="10"/>
    </row>
    <row r="7866" spans="33:33">
      <c r="AG7866" s="10"/>
    </row>
    <row r="7867" spans="33:33">
      <c r="AG7867" s="10"/>
    </row>
    <row r="7868" spans="33:33">
      <c r="AG7868" s="10"/>
    </row>
    <row r="7869" spans="33:33">
      <c r="AG7869" s="10"/>
    </row>
    <row r="7870" spans="33:33">
      <c r="AG7870" s="10"/>
    </row>
    <row r="7871" spans="33:33">
      <c r="AG7871" s="10"/>
    </row>
    <row r="7872" spans="33:33">
      <c r="AG7872" s="10"/>
    </row>
    <row r="7873" spans="33:33">
      <c r="AG7873" s="10"/>
    </row>
    <row r="7874" spans="33:33">
      <c r="AG7874" s="10"/>
    </row>
    <row r="7875" spans="33:33">
      <c r="AG7875" s="10"/>
    </row>
    <row r="7876" spans="33:33">
      <c r="AG7876" s="10"/>
    </row>
    <row r="7877" spans="33:33">
      <c r="AG7877" s="10"/>
    </row>
    <row r="7878" spans="33:33">
      <c r="AG7878" s="10"/>
    </row>
    <row r="7879" spans="33:33">
      <c r="AG7879" s="10"/>
    </row>
    <row r="7880" spans="33:33">
      <c r="AG7880" s="10"/>
    </row>
    <row r="7881" spans="33:33">
      <c r="AG7881" s="10"/>
    </row>
    <row r="7882" spans="33:33">
      <c r="AG7882" s="10"/>
    </row>
    <row r="7883" spans="33:33">
      <c r="AG7883" s="10"/>
    </row>
    <row r="7884" spans="33:33">
      <c r="AG7884" s="10"/>
    </row>
    <row r="7885" spans="33:33">
      <c r="AG7885" s="10"/>
    </row>
    <row r="7886" spans="33:33">
      <c r="AG7886" s="10"/>
    </row>
    <row r="7887" spans="33:33">
      <c r="AG7887" s="10"/>
    </row>
    <row r="7888" spans="33:33">
      <c r="AG7888" s="10"/>
    </row>
    <row r="7889" spans="33:33">
      <c r="AG7889" s="10"/>
    </row>
    <row r="7890" spans="33:33">
      <c r="AG7890" s="10"/>
    </row>
    <row r="7891" spans="33:33">
      <c r="AG7891" s="10"/>
    </row>
    <row r="7892" spans="33:33">
      <c r="AG7892" s="10"/>
    </row>
    <row r="7893" spans="33:33">
      <c r="AG7893" s="10"/>
    </row>
    <row r="7894" spans="33:33">
      <c r="AG7894" s="10"/>
    </row>
    <row r="7895" spans="33:33">
      <c r="AG7895" s="10"/>
    </row>
    <row r="7896" spans="33:33">
      <c r="AG7896" s="10"/>
    </row>
    <row r="7897" spans="33:33">
      <c r="AG7897" s="10"/>
    </row>
    <row r="7898" spans="33:33">
      <c r="AG7898" s="10"/>
    </row>
    <row r="7899" spans="33:33">
      <c r="AG7899" s="10"/>
    </row>
    <row r="7900" spans="33:33">
      <c r="AG7900" s="10"/>
    </row>
    <row r="7901" spans="33:33">
      <c r="AG7901" s="10"/>
    </row>
    <row r="7902" spans="33:33">
      <c r="AG7902" s="10"/>
    </row>
    <row r="7903" spans="33:33">
      <c r="AG7903" s="10"/>
    </row>
    <row r="7904" spans="33:33">
      <c r="AG7904" s="10"/>
    </row>
    <row r="7905" spans="33:33">
      <c r="AG7905" s="10"/>
    </row>
    <row r="7906" spans="33:33">
      <c r="AG7906" s="10"/>
    </row>
    <row r="7907" spans="33:33">
      <c r="AG7907" s="10"/>
    </row>
    <row r="7908" spans="33:33">
      <c r="AG7908" s="10"/>
    </row>
    <row r="7909" spans="33:33">
      <c r="AG7909" s="10"/>
    </row>
    <row r="7910" spans="33:33">
      <c r="AG7910" s="10"/>
    </row>
    <row r="7911" spans="33:33">
      <c r="AG7911" s="10"/>
    </row>
    <row r="7912" spans="33:33">
      <c r="AG7912" s="10"/>
    </row>
    <row r="7913" spans="33:33">
      <c r="AG7913" s="10"/>
    </row>
    <row r="7914" spans="33:33">
      <c r="AG7914" s="10"/>
    </row>
    <row r="7915" spans="33:33">
      <c r="AG7915" s="10"/>
    </row>
    <row r="7916" spans="33:33">
      <c r="AG7916" s="10"/>
    </row>
    <row r="7917" spans="33:33">
      <c r="AG7917" s="10"/>
    </row>
    <row r="7918" spans="33:33">
      <c r="AG7918" s="10"/>
    </row>
    <row r="7919" spans="33:33">
      <c r="AG7919" s="10"/>
    </row>
    <row r="7920" spans="33:33">
      <c r="AG7920" s="10"/>
    </row>
    <row r="7921" spans="33:33">
      <c r="AG7921" s="10"/>
    </row>
    <row r="7922" spans="33:33">
      <c r="AG7922" s="10"/>
    </row>
    <row r="7923" spans="33:33">
      <c r="AG7923" s="10"/>
    </row>
    <row r="7924" spans="33:33">
      <c r="AG7924" s="10"/>
    </row>
    <row r="7925" spans="33:33">
      <c r="AG7925" s="10"/>
    </row>
    <row r="7926" spans="33:33">
      <c r="AG7926" s="10"/>
    </row>
    <row r="7927" spans="33:33">
      <c r="AG7927" s="10"/>
    </row>
    <row r="7928" spans="33:33">
      <c r="AG7928" s="10"/>
    </row>
    <row r="7929" spans="33:33">
      <c r="AG7929" s="10"/>
    </row>
    <row r="7930" spans="33:33">
      <c r="AG7930" s="10"/>
    </row>
    <row r="7931" spans="33:33">
      <c r="AG7931" s="10"/>
    </row>
    <row r="7932" spans="33:33">
      <c r="AG7932" s="10"/>
    </row>
    <row r="7933" spans="33:33">
      <c r="AG7933" s="10"/>
    </row>
    <row r="7934" spans="33:33">
      <c r="AG7934" s="10"/>
    </row>
    <row r="7935" spans="33:33">
      <c r="AG7935" s="10"/>
    </row>
    <row r="7936" spans="33:33">
      <c r="AG7936" s="10"/>
    </row>
    <row r="7937" spans="33:33">
      <c r="AG7937" s="10"/>
    </row>
    <row r="7938" spans="33:33">
      <c r="AG7938" s="10"/>
    </row>
    <row r="7939" spans="33:33">
      <c r="AG7939" s="10"/>
    </row>
    <row r="7940" spans="33:33">
      <c r="AG7940" s="10"/>
    </row>
    <row r="7941" spans="33:33">
      <c r="AG7941" s="10"/>
    </row>
    <row r="7942" spans="33:33">
      <c r="AG7942" s="10"/>
    </row>
    <row r="7943" spans="33:33">
      <c r="AG7943" s="10"/>
    </row>
    <row r="7944" spans="33:33">
      <c r="AG7944" s="10"/>
    </row>
    <row r="7945" spans="33:33">
      <c r="AG7945" s="10"/>
    </row>
    <row r="7946" spans="33:33">
      <c r="AG7946" s="10"/>
    </row>
    <row r="7947" spans="33:33">
      <c r="AG7947" s="10"/>
    </row>
    <row r="7948" spans="33:33">
      <c r="AG7948" s="10"/>
    </row>
    <row r="7949" spans="33:33">
      <c r="AG7949" s="10"/>
    </row>
    <row r="7950" spans="33:33">
      <c r="AG7950" s="10"/>
    </row>
    <row r="7951" spans="33:33">
      <c r="AG7951" s="10"/>
    </row>
    <row r="7952" spans="33:33">
      <c r="AG7952" s="10"/>
    </row>
    <row r="7953" spans="33:33">
      <c r="AG7953" s="10"/>
    </row>
    <row r="7954" spans="33:33">
      <c r="AG7954" s="10"/>
    </row>
    <row r="7955" spans="33:33">
      <c r="AG7955" s="10"/>
    </row>
    <row r="7956" spans="33:33">
      <c r="AG7956" s="10"/>
    </row>
    <row r="7957" spans="33:33">
      <c r="AG7957" s="10"/>
    </row>
    <row r="7958" spans="33:33">
      <c r="AG7958" s="10"/>
    </row>
    <row r="7959" spans="33:33">
      <c r="AG7959" s="10"/>
    </row>
    <row r="7960" spans="33:33">
      <c r="AG7960" s="10"/>
    </row>
    <row r="7961" spans="33:33">
      <c r="AG7961" s="10"/>
    </row>
    <row r="7962" spans="33:33">
      <c r="AG7962" s="10"/>
    </row>
    <row r="7963" spans="33:33">
      <c r="AG7963" s="10"/>
    </row>
    <row r="7964" spans="33:33">
      <c r="AG7964" s="10"/>
    </row>
    <row r="7965" spans="33:33">
      <c r="AG7965" s="10"/>
    </row>
    <row r="7966" spans="33:33">
      <c r="AG7966" s="10"/>
    </row>
    <row r="7967" spans="33:33">
      <c r="AG7967" s="10"/>
    </row>
    <row r="7968" spans="33:33">
      <c r="AG7968" s="10"/>
    </row>
    <row r="7969" spans="33:33">
      <c r="AG7969" s="10"/>
    </row>
    <row r="7970" spans="33:33">
      <c r="AG7970" s="10"/>
    </row>
    <row r="7971" spans="33:33">
      <c r="AG7971" s="10"/>
    </row>
    <row r="7972" spans="33:33">
      <c r="AG7972" s="10"/>
    </row>
    <row r="7973" spans="33:33">
      <c r="AG7973" s="10"/>
    </row>
    <row r="7974" spans="33:33">
      <c r="AG7974" s="10"/>
    </row>
    <row r="7975" spans="33:33">
      <c r="AG7975" s="10"/>
    </row>
    <row r="7976" spans="33:33">
      <c r="AG7976" s="10"/>
    </row>
    <row r="7977" spans="33:33">
      <c r="AG7977" s="10"/>
    </row>
    <row r="7978" spans="33:33">
      <c r="AG7978" s="10"/>
    </row>
    <row r="7979" spans="33:33">
      <c r="AG7979" s="10"/>
    </row>
    <row r="7980" spans="33:33">
      <c r="AG7980" s="10"/>
    </row>
    <row r="7981" spans="33:33">
      <c r="AG7981" s="10"/>
    </row>
    <row r="7982" spans="33:33">
      <c r="AG7982" s="10"/>
    </row>
    <row r="7983" spans="33:33">
      <c r="AG7983" s="10"/>
    </row>
    <row r="7984" spans="33:33">
      <c r="AG7984" s="10"/>
    </row>
    <row r="7985" spans="33:33">
      <c r="AG7985" s="10"/>
    </row>
    <row r="7986" spans="33:33">
      <c r="AG7986" s="10"/>
    </row>
    <row r="7987" spans="33:33">
      <c r="AG7987" s="10"/>
    </row>
    <row r="7988" spans="33:33">
      <c r="AG7988" s="10"/>
    </row>
    <row r="7989" spans="33:33">
      <c r="AG7989" s="10"/>
    </row>
    <row r="7990" spans="33:33">
      <c r="AG7990" s="10"/>
    </row>
    <row r="7991" spans="33:33">
      <c r="AG7991" s="10"/>
    </row>
    <row r="7992" spans="33:33">
      <c r="AG7992" s="10"/>
    </row>
    <row r="7993" spans="33:33">
      <c r="AG7993" s="10"/>
    </row>
    <row r="7994" spans="33:33">
      <c r="AG7994" s="10"/>
    </row>
    <row r="7995" spans="33:33">
      <c r="AG7995" s="10"/>
    </row>
    <row r="7996" spans="33:33">
      <c r="AG7996" s="10"/>
    </row>
    <row r="7997" spans="33:33">
      <c r="AG7997" s="10"/>
    </row>
    <row r="7998" spans="33:33">
      <c r="AG7998" s="10"/>
    </row>
    <row r="7999" spans="33:33">
      <c r="AG7999" s="10"/>
    </row>
    <row r="8000" spans="33:33">
      <c r="AG8000" s="10"/>
    </row>
    <row r="8001" spans="33:33">
      <c r="AG8001" s="10"/>
    </row>
    <row r="8002" spans="33:33">
      <c r="AG8002" s="10"/>
    </row>
    <row r="8003" spans="33:33">
      <c r="AG8003" s="10"/>
    </row>
    <row r="8004" spans="33:33">
      <c r="AG8004" s="10"/>
    </row>
    <row r="8005" spans="33:33">
      <c r="AG8005" s="10"/>
    </row>
    <row r="8006" spans="33:33">
      <c r="AG8006" s="10"/>
    </row>
    <row r="8007" spans="33:33">
      <c r="AG8007" s="10"/>
    </row>
    <row r="8008" spans="33:33">
      <c r="AG8008" s="10"/>
    </row>
    <row r="8009" spans="33:33">
      <c r="AG8009" s="10"/>
    </row>
    <row r="8010" spans="33:33">
      <c r="AG8010" s="10"/>
    </row>
    <row r="8011" spans="33:33">
      <c r="AG8011" s="10"/>
    </row>
    <row r="8012" spans="33:33">
      <c r="AG8012" s="10"/>
    </row>
    <row r="8013" spans="33:33">
      <c r="AG8013" s="10"/>
    </row>
    <row r="8014" spans="33:33">
      <c r="AG8014" s="10"/>
    </row>
    <row r="8015" spans="33:33">
      <c r="AG8015" s="10"/>
    </row>
    <row r="8016" spans="33:33">
      <c r="AG8016" s="10"/>
    </row>
    <row r="8017" spans="33:33">
      <c r="AG8017" s="10"/>
    </row>
    <row r="8018" spans="33:33">
      <c r="AG8018" s="10"/>
    </row>
    <row r="8019" spans="33:33">
      <c r="AG8019" s="10"/>
    </row>
    <row r="8020" spans="33:33">
      <c r="AG8020" s="10"/>
    </row>
    <row r="8021" spans="33:33">
      <c r="AG8021" s="10"/>
    </row>
    <row r="8022" spans="33:33">
      <c r="AG8022" s="10"/>
    </row>
    <row r="8023" spans="33:33">
      <c r="AG8023" s="10"/>
    </row>
    <row r="8024" spans="33:33">
      <c r="AG8024" s="10"/>
    </row>
    <row r="8025" spans="33:33">
      <c r="AG8025" s="10"/>
    </row>
    <row r="8026" spans="33:33">
      <c r="AG8026" s="10"/>
    </row>
    <row r="8027" spans="33:33">
      <c r="AG8027" s="10"/>
    </row>
    <row r="8028" spans="33:33">
      <c r="AG8028" s="10"/>
    </row>
    <row r="8029" spans="33:33">
      <c r="AG8029" s="10"/>
    </row>
    <row r="8030" spans="33:33">
      <c r="AG8030" s="10"/>
    </row>
    <row r="8031" spans="33:33">
      <c r="AG8031" s="10"/>
    </row>
    <row r="8032" spans="33:33">
      <c r="AG8032" s="10"/>
    </row>
    <row r="8033" spans="33:33">
      <c r="AG8033" s="10"/>
    </row>
    <row r="8034" spans="33:33">
      <c r="AG8034" s="10"/>
    </row>
    <row r="8035" spans="33:33">
      <c r="AG8035" s="10"/>
    </row>
    <row r="8036" spans="33:33">
      <c r="AG8036" s="10"/>
    </row>
    <row r="8037" spans="33:33">
      <c r="AG8037" s="10"/>
    </row>
    <row r="8038" spans="33:33">
      <c r="AG8038" s="10"/>
    </row>
    <row r="8039" spans="33:33">
      <c r="AG8039" s="10"/>
    </row>
    <row r="8040" spans="33:33">
      <c r="AG8040" s="10"/>
    </row>
    <row r="8041" spans="33:33">
      <c r="AG8041" s="10"/>
    </row>
    <row r="8042" spans="33:33">
      <c r="AG8042" s="10"/>
    </row>
    <row r="8043" spans="33:33">
      <c r="AG8043" s="10"/>
    </row>
    <row r="8044" spans="33:33">
      <c r="AG8044" s="10"/>
    </row>
    <row r="8045" spans="33:33">
      <c r="AG8045" s="10"/>
    </row>
    <row r="8046" spans="33:33">
      <c r="AG8046" s="10"/>
    </row>
    <row r="8047" spans="33:33">
      <c r="AG8047" s="10"/>
    </row>
    <row r="8048" spans="33:33">
      <c r="AG8048" s="10"/>
    </row>
    <row r="8049" spans="33:33">
      <c r="AG8049" s="10"/>
    </row>
    <row r="8050" spans="33:33">
      <c r="AG8050" s="10"/>
    </row>
    <row r="8051" spans="33:33">
      <c r="AG8051" s="10"/>
    </row>
    <row r="8052" spans="33:33">
      <c r="AG8052" s="10"/>
    </row>
    <row r="8053" spans="33:33">
      <c r="AG8053" s="10"/>
    </row>
    <row r="8054" spans="33:33">
      <c r="AG8054" s="10"/>
    </row>
    <row r="8055" spans="33:33">
      <c r="AG8055" s="10"/>
    </row>
    <row r="8056" spans="33:33">
      <c r="AG8056" s="10"/>
    </row>
    <row r="8057" spans="33:33">
      <c r="AG8057" s="10"/>
    </row>
    <row r="8058" spans="33:33">
      <c r="AG8058" s="10"/>
    </row>
    <row r="8059" spans="33:33">
      <c r="AG8059" s="10"/>
    </row>
    <row r="8060" spans="33:33">
      <c r="AG8060" s="10"/>
    </row>
    <row r="8061" spans="33:33">
      <c r="AG8061" s="10"/>
    </row>
    <row r="8062" spans="33:33">
      <c r="AG8062" s="10"/>
    </row>
    <row r="8063" spans="33:33">
      <c r="AG8063" s="10"/>
    </row>
    <row r="8064" spans="33:33">
      <c r="AG8064" s="10"/>
    </row>
    <row r="8065" spans="33:33">
      <c r="AG8065" s="10"/>
    </row>
    <row r="8066" spans="33:33">
      <c r="AG8066" s="10"/>
    </row>
    <row r="8067" spans="33:33">
      <c r="AG8067" s="10"/>
    </row>
    <row r="8068" spans="33:33">
      <c r="AG8068" s="10"/>
    </row>
    <row r="8069" spans="33:33">
      <c r="AG8069" s="10"/>
    </row>
    <row r="8070" spans="33:33">
      <c r="AG8070" s="10"/>
    </row>
    <row r="8071" spans="33:33">
      <c r="AG8071" s="10"/>
    </row>
    <row r="8072" spans="33:33">
      <c r="AG8072" s="10"/>
    </row>
    <row r="8073" spans="33:33">
      <c r="AG8073" s="10"/>
    </row>
    <row r="8074" spans="33:33">
      <c r="AG8074" s="10"/>
    </row>
    <row r="8075" spans="33:33">
      <c r="AG8075" s="10"/>
    </row>
    <row r="8076" spans="33:33">
      <c r="AG8076" s="10"/>
    </row>
    <row r="8077" spans="33:33">
      <c r="AG8077" s="10"/>
    </row>
    <row r="8078" spans="33:33">
      <c r="AG8078" s="10"/>
    </row>
    <row r="8079" spans="33:33">
      <c r="AG8079" s="10"/>
    </row>
    <row r="8080" spans="33:33">
      <c r="AG8080" s="10"/>
    </row>
    <row r="8081" spans="33:33">
      <c r="AG8081" s="10"/>
    </row>
    <row r="8082" spans="33:33">
      <c r="AG8082" s="10"/>
    </row>
    <row r="8083" spans="33:33">
      <c r="AG8083" s="10"/>
    </row>
    <row r="8084" spans="33:33">
      <c r="AG8084" s="10"/>
    </row>
    <row r="8085" spans="33:33">
      <c r="AG8085" s="10"/>
    </row>
    <row r="8086" spans="33:33">
      <c r="AG8086" s="10"/>
    </row>
    <row r="8087" spans="33:33">
      <c r="AG8087" s="10"/>
    </row>
    <row r="8088" spans="33:33">
      <c r="AG8088" s="10"/>
    </row>
    <row r="8089" spans="33:33">
      <c r="AG8089" s="10"/>
    </row>
    <row r="8090" spans="33:33">
      <c r="AG8090" s="10"/>
    </row>
    <row r="8091" spans="33:33">
      <c r="AG8091" s="10"/>
    </row>
    <row r="8092" spans="33:33">
      <c r="AG8092" s="10"/>
    </row>
    <row r="8093" spans="33:33">
      <c r="AG8093" s="10"/>
    </row>
    <row r="8094" spans="33:33">
      <c r="AG8094" s="10"/>
    </row>
    <row r="8095" spans="33:33">
      <c r="AG8095" s="10"/>
    </row>
    <row r="8096" spans="33:33">
      <c r="AG8096" s="10"/>
    </row>
    <row r="8097" spans="33:33">
      <c r="AG8097" s="10"/>
    </row>
    <row r="8098" spans="33:33">
      <c r="AG8098" s="10"/>
    </row>
    <row r="8099" spans="33:33">
      <c r="AG8099" s="10"/>
    </row>
    <row r="8100" spans="33:33">
      <c r="AG8100" s="10"/>
    </row>
    <row r="8101" spans="33:33">
      <c r="AG8101" s="10"/>
    </row>
    <row r="8102" spans="33:33">
      <c r="AG8102" s="10"/>
    </row>
    <row r="8103" spans="33:33">
      <c r="AG8103" s="10"/>
    </row>
    <row r="8104" spans="33:33">
      <c r="AG8104" s="10"/>
    </row>
    <row r="8105" spans="33:33">
      <c r="AG8105" s="10"/>
    </row>
    <row r="8106" spans="33:33">
      <c r="AG8106" s="10"/>
    </row>
    <row r="8107" spans="33:33">
      <c r="AG8107" s="10"/>
    </row>
    <row r="8108" spans="33:33">
      <c r="AG8108" s="10"/>
    </row>
    <row r="8109" spans="33:33">
      <c r="AG8109" s="10"/>
    </row>
    <row r="8110" spans="33:33">
      <c r="AG8110" s="10"/>
    </row>
    <row r="8111" spans="33:33">
      <c r="AG8111" s="10"/>
    </row>
    <row r="8112" spans="33:33">
      <c r="AG8112" s="10"/>
    </row>
    <row r="8113" spans="33:33">
      <c r="AG8113" s="10"/>
    </row>
    <row r="8114" spans="33:33">
      <c r="AG8114" s="10"/>
    </row>
    <row r="8115" spans="33:33">
      <c r="AG8115" s="10"/>
    </row>
    <row r="8116" spans="33:33">
      <c r="AG8116" s="10"/>
    </row>
    <row r="8117" spans="33:33">
      <c r="AG8117" s="10"/>
    </row>
    <row r="8118" spans="33:33">
      <c r="AG8118" s="10"/>
    </row>
    <row r="8119" spans="33:33">
      <c r="AG8119" s="10"/>
    </row>
    <row r="8120" spans="33:33">
      <c r="AG8120" s="10"/>
    </row>
    <row r="8121" spans="33:33">
      <c r="AG8121" s="10"/>
    </row>
    <row r="8122" spans="33:33">
      <c r="AG8122" s="10"/>
    </row>
    <row r="8123" spans="33:33">
      <c r="AG8123" s="10"/>
    </row>
    <row r="8124" spans="33:33">
      <c r="AG8124" s="10"/>
    </row>
    <row r="8125" spans="33:33">
      <c r="AG8125" s="10"/>
    </row>
    <row r="8126" spans="33:33">
      <c r="AG8126" s="10"/>
    </row>
    <row r="8127" spans="33:33">
      <c r="AG8127" s="10"/>
    </row>
    <row r="8128" spans="33:33">
      <c r="AG8128" s="10"/>
    </row>
    <row r="8129" spans="33:33">
      <c r="AG8129" s="10"/>
    </row>
    <row r="8130" spans="33:33">
      <c r="AG8130" s="10"/>
    </row>
    <row r="8131" spans="33:33">
      <c r="AG8131" s="10"/>
    </row>
    <row r="8132" spans="33:33">
      <c r="AG8132" s="10"/>
    </row>
    <row r="8133" spans="33:33">
      <c r="AG8133" s="10"/>
    </row>
    <row r="8134" spans="33:33">
      <c r="AG8134" s="10"/>
    </row>
    <row r="8135" spans="33:33">
      <c r="AG8135" s="10"/>
    </row>
    <row r="8136" spans="33:33">
      <c r="AG8136" s="10"/>
    </row>
    <row r="8137" spans="33:33">
      <c r="AG8137" s="10"/>
    </row>
    <row r="8138" spans="33:33">
      <c r="AG8138" s="10"/>
    </row>
    <row r="8139" spans="33:33">
      <c r="AG8139" s="10"/>
    </row>
    <row r="8140" spans="33:33">
      <c r="AG8140" s="10"/>
    </row>
    <row r="8141" spans="33:33">
      <c r="AG8141" s="10"/>
    </row>
    <row r="8142" spans="33:33">
      <c r="AG8142" s="10"/>
    </row>
    <row r="8143" spans="33:33">
      <c r="AG8143" s="10"/>
    </row>
    <row r="8144" spans="33:33">
      <c r="AG8144" s="10"/>
    </row>
    <row r="8145" spans="33:33">
      <c r="AG8145" s="10"/>
    </row>
    <row r="8146" spans="33:33">
      <c r="AG8146" s="10"/>
    </row>
    <row r="8147" spans="33:33">
      <c r="AG8147" s="10"/>
    </row>
    <row r="8148" spans="33:33">
      <c r="AG8148" s="10"/>
    </row>
    <row r="8149" spans="33:33">
      <c r="AG8149" s="10"/>
    </row>
    <row r="8150" spans="33:33">
      <c r="AG8150" s="10"/>
    </row>
    <row r="8151" spans="33:33">
      <c r="AG8151" s="10"/>
    </row>
    <row r="8152" spans="33:33">
      <c r="AG8152" s="10"/>
    </row>
    <row r="8153" spans="33:33">
      <c r="AG8153" s="10"/>
    </row>
    <row r="8154" spans="33:33">
      <c r="AG8154" s="10"/>
    </row>
    <row r="8155" spans="33:33">
      <c r="AG8155" s="10"/>
    </row>
    <row r="8156" spans="33:33">
      <c r="AG8156" s="10"/>
    </row>
    <row r="8157" spans="33:33">
      <c r="AG8157" s="10"/>
    </row>
    <row r="8158" spans="33:33">
      <c r="AG8158" s="10"/>
    </row>
    <row r="8159" spans="33:33">
      <c r="AG8159" s="10"/>
    </row>
    <row r="8160" spans="33:33">
      <c r="AG8160" s="10"/>
    </row>
    <row r="8161" spans="33:33">
      <c r="AG8161" s="10"/>
    </row>
    <row r="8162" spans="33:33">
      <c r="AG8162" s="10"/>
    </row>
    <row r="8163" spans="33:33">
      <c r="AG8163" s="10"/>
    </row>
    <row r="8164" spans="33:33">
      <c r="AG8164" s="10"/>
    </row>
    <row r="8165" spans="33:33">
      <c r="AG8165" s="10"/>
    </row>
    <row r="8166" spans="33:33">
      <c r="AG8166" s="10"/>
    </row>
    <row r="8167" spans="33:33">
      <c r="AG8167" s="10"/>
    </row>
    <row r="8168" spans="33:33">
      <c r="AG8168" s="10"/>
    </row>
    <row r="8169" spans="33:33">
      <c r="AG8169" s="10"/>
    </row>
    <row r="8170" spans="33:33">
      <c r="AG8170" s="10"/>
    </row>
    <row r="8171" spans="33:33">
      <c r="AG8171" s="10"/>
    </row>
    <row r="8172" spans="33:33">
      <c r="AG8172" s="10"/>
    </row>
    <row r="8173" spans="33:33">
      <c r="AG8173" s="10"/>
    </row>
    <row r="8174" spans="33:33">
      <c r="AG8174" s="10"/>
    </row>
    <row r="8175" spans="33:33">
      <c r="AG8175" s="10"/>
    </row>
    <row r="8176" spans="33:33">
      <c r="AG8176" s="10"/>
    </row>
    <row r="8177" spans="33:33">
      <c r="AG8177" s="10"/>
    </row>
    <row r="8178" spans="33:33">
      <c r="AG8178" s="10"/>
    </row>
    <row r="8179" spans="33:33">
      <c r="AG8179" s="10"/>
    </row>
    <row r="8180" spans="33:33">
      <c r="AG8180" s="10"/>
    </row>
    <row r="8181" spans="33:33">
      <c r="AG8181" s="10"/>
    </row>
    <row r="8182" spans="33:33">
      <c r="AG8182" s="10"/>
    </row>
    <row r="8183" spans="33:33">
      <c r="AG8183" s="10"/>
    </row>
    <row r="8184" spans="33:33">
      <c r="AG8184" s="10"/>
    </row>
    <row r="8185" spans="33:33">
      <c r="AG8185" s="10"/>
    </row>
    <row r="8186" spans="33:33">
      <c r="AG8186" s="10"/>
    </row>
    <row r="8187" spans="33:33">
      <c r="AG8187" s="10"/>
    </row>
    <row r="8188" spans="33:33">
      <c r="AG8188" s="10"/>
    </row>
    <row r="8189" spans="33:33">
      <c r="AG8189" s="10"/>
    </row>
    <row r="8190" spans="33:33">
      <c r="AG8190" s="10"/>
    </row>
    <row r="8191" spans="33:33">
      <c r="AG8191" s="10"/>
    </row>
    <row r="8192" spans="33:33">
      <c r="AG8192" s="10"/>
    </row>
    <row r="8193" spans="33:33">
      <c r="AG8193" s="10"/>
    </row>
    <row r="8194" spans="33:33">
      <c r="AG8194" s="10"/>
    </row>
    <row r="8195" spans="33:33">
      <c r="AG8195" s="10"/>
    </row>
    <row r="8196" spans="33:33">
      <c r="AG8196" s="10"/>
    </row>
    <row r="8197" spans="33:33">
      <c r="AG8197" s="10"/>
    </row>
    <row r="8198" spans="33:33">
      <c r="AG8198" s="10"/>
    </row>
    <row r="8199" spans="33:33">
      <c r="AG8199" s="10"/>
    </row>
    <row r="8200" spans="33:33">
      <c r="AG8200" s="10"/>
    </row>
    <row r="8201" spans="33:33">
      <c r="AG8201" s="10"/>
    </row>
    <row r="8202" spans="33:33">
      <c r="AG8202" s="10"/>
    </row>
    <row r="8203" spans="33:33">
      <c r="AG8203" s="10"/>
    </row>
    <row r="8204" spans="33:33">
      <c r="AG8204" s="10"/>
    </row>
    <row r="8205" spans="33:33">
      <c r="AG8205" s="10"/>
    </row>
    <row r="8206" spans="33:33">
      <c r="AG8206" s="10"/>
    </row>
    <row r="8207" spans="33:33">
      <c r="AG8207" s="10"/>
    </row>
    <row r="8208" spans="33:33">
      <c r="AG8208" s="10"/>
    </row>
    <row r="8209" spans="33:33">
      <c r="AG8209" s="10"/>
    </row>
    <row r="8210" spans="33:33">
      <c r="AG8210" s="10"/>
    </row>
    <row r="8211" spans="33:33">
      <c r="AG8211" s="10"/>
    </row>
    <row r="8212" spans="33:33">
      <c r="AG8212" s="10"/>
    </row>
    <row r="8213" spans="33:33">
      <c r="AG8213" s="10"/>
    </row>
    <row r="8214" spans="33:33">
      <c r="AG8214" s="10"/>
    </row>
    <row r="8215" spans="33:33">
      <c r="AG8215" s="10"/>
    </row>
    <row r="8216" spans="33:33">
      <c r="AG8216" s="10"/>
    </row>
    <row r="8217" spans="33:33">
      <c r="AG8217" s="10"/>
    </row>
    <row r="8218" spans="33:33">
      <c r="AG8218" s="10"/>
    </row>
    <row r="8219" spans="33:33">
      <c r="AG8219" s="10"/>
    </row>
    <row r="8220" spans="33:33">
      <c r="AG8220" s="10"/>
    </row>
    <row r="8221" spans="33:33">
      <c r="AG8221" s="10"/>
    </row>
    <row r="8222" spans="33:33">
      <c r="AG8222" s="10"/>
    </row>
    <row r="8223" spans="33:33">
      <c r="AG8223" s="10"/>
    </row>
    <row r="8224" spans="33:33">
      <c r="AG8224" s="10"/>
    </row>
    <row r="8225" spans="33:33">
      <c r="AG8225" s="10"/>
    </row>
    <row r="8226" spans="33:33">
      <c r="AG8226" s="10"/>
    </row>
    <row r="8227" spans="33:33">
      <c r="AG8227" s="10"/>
    </row>
    <row r="8228" spans="33:33">
      <c r="AG8228" s="10"/>
    </row>
    <row r="8229" spans="33:33">
      <c r="AG8229" s="10"/>
    </row>
    <row r="8230" spans="33:33">
      <c r="AG8230" s="10"/>
    </row>
    <row r="8231" spans="33:33">
      <c r="AG8231" s="10"/>
    </row>
    <row r="8232" spans="33:33">
      <c r="AG8232" s="10"/>
    </row>
    <row r="8233" spans="33:33">
      <c r="AG8233" s="10"/>
    </row>
    <row r="8234" spans="33:33">
      <c r="AG8234" s="10"/>
    </row>
    <row r="8235" spans="33:33">
      <c r="AG8235" s="10"/>
    </row>
    <row r="8236" spans="33:33">
      <c r="AG8236" s="10"/>
    </row>
    <row r="8237" spans="33:33">
      <c r="AG8237" s="10"/>
    </row>
    <row r="8238" spans="33:33">
      <c r="AG8238" s="10"/>
    </row>
    <row r="8239" spans="33:33">
      <c r="AG8239" s="10"/>
    </row>
    <row r="8240" spans="33:33">
      <c r="AG8240" s="10"/>
    </row>
    <row r="8241" spans="33:33">
      <c r="AG8241" s="10"/>
    </row>
    <row r="8242" spans="33:33">
      <c r="AG8242" s="10"/>
    </row>
    <row r="8243" spans="33:33">
      <c r="AG8243" s="10"/>
    </row>
    <row r="8244" spans="33:33">
      <c r="AG8244" s="10"/>
    </row>
    <row r="8245" spans="33:33">
      <c r="AG8245" s="10"/>
    </row>
    <row r="8246" spans="33:33">
      <c r="AG8246" s="10"/>
    </row>
    <row r="8247" spans="33:33">
      <c r="AG8247" s="10"/>
    </row>
    <row r="8248" spans="33:33">
      <c r="AG8248" s="10"/>
    </row>
    <row r="8249" spans="33:33">
      <c r="AG8249" s="10"/>
    </row>
    <row r="8250" spans="33:33">
      <c r="AG8250" s="10"/>
    </row>
    <row r="8251" spans="33:33">
      <c r="AG8251" s="10"/>
    </row>
    <row r="8252" spans="33:33">
      <c r="AG8252" s="10"/>
    </row>
    <row r="8253" spans="33:33">
      <c r="AG8253" s="10"/>
    </row>
    <row r="8254" spans="33:33">
      <c r="AG8254" s="10"/>
    </row>
    <row r="8255" spans="33:33">
      <c r="AG8255" s="10"/>
    </row>
    <row r="8256" spans="33:33">
      <c r="AG8256" s="10"/>
    </row>
    <row r="8257" spans="33:33">
      <c r="AG8257" s="10"/>
    </row>
    <row r="8258" spans="33:33">
      <c r="AG8258" s="10"/>
    </row>
    <row r="8259" spans="33:33">
      <c r="AG8259" s="10"/>
    </row>
    <row r="8260" spans="33:33">
      <c r="AG8260" s="10"/>
    </row>
    <row r="8261" spans="33:33">
      <c r="AG8261" s="10"/>
    </row>
    <row r="8262" spans="33:33">
      <c r="AG8262" s="10"/>
    </row>
    <row r="8263" spans="33:33">
      <c r="AG8263" s="10"/>
    </row>
    <row r="8264" spans="33:33">
      <c r="AG8264" s="10"/>
    </row>
    <row r="8265" spans="33:33">
      <c r="AG8265" s="10"/>
    </row>
    <row r="8266" spans="33:33">
      <c r="AG8266" s="10"/>
    </row>
    <row r="8267" spans="33:33">
      <c r="AG8267" s="10"/>
    </row>
    <row r="8268" spans="33:33">
      <c r="AG8268" s="10"/>
    </row>
    <row r="8269" spans="33:33">
      <c r="AG8269" s="10"/>
    </row>
    <row r="8270" spans="33:33">
      <c r="AG8270" s="10"/>
    </row>
    <row r="8271" spans="33:33">
      <c r="AG8271" s="10"/>
    </row>
    <row r="8272" spans="33:33">
      <c r="AG8272" s="10"/>
    </row>
    <row r="8273" spans="33:33">
      <c r="AG8273" s="10"/>
    </row>
    <row r="8274" spans="33:33">
      <c r="AG8274" s="10"/>
    </row>
    <row r="8275" spans="33:33">
      <c r="AG8275" s="10"/>
    </row>
    <row r="8276" spans="33:33">
      <c r="AG8276" s="10"/>
    </row>
    <row r="8277" spans="33:33">
      <c r="AG8277" s="10"/>
    </row>
    <row r="8278" spans="33:33">
      <c r="AG8278" s="10"/>
    </row>
    <row r="8279" spans="33:33">
      <c r="AG8279" s="10"/>
    </row>
    <row r="8280" spans="33:33">
      <c r="AG8280" s="10"/>
    </row>
    <row r="8281" spans="33:33">
      <c r="AG8281" s="10"/>
    </row>
    <row r="8282" spans="33:33">
      <c r="AG8282" s="10"/>
    </row>
    <row r="8283" spans="33:33">
      <c r="AG8283" s="10"/>
    </row>
    <row r="8284" spans="33:33">
      <c r="AG8284" s="10"/>
    </row>
    <row r="8285" spans="33:33">
      <c r="AG8285" s="10"/>
    </row>
    <row r="8286" spans="33:33">
      <c r="AG8286" s="10"/>
    </row>
    <row r="8287" spans="33:33">
      <c r="AG8287" s="10"/>
    </row>
    <row r="8288" spans="33:33">
      <c r="AG8288" s="10"/>
    </row>
    <row r="8289" spans="33:33">
      <c r="AG8289" s="10"/>
    </row>
    <row r="8290" spans="33:33">
      <c r="AG8290" s="10"/>
    </row>
    <row r="8291" spans="33:33">
      <c r="AG8291" s="10"/>
    </row>
    <row r="8292" spans="33:33">
      <c r="AG8292" s="10"/>
    </row>
    <row r="8293" spans="33:33">
      <c r="AG8293" s="10"/>
    </row>
    <row r="8294" spans="33:33">
      <c r="AG8294" s="10"/>
    </row>
    <row r="8295" spans="33:33">
      <c r="AG8295" s="10"/>
    </row>
    <row r="8296" spans="33:33">
      <c r="AG8296" s="10"/>
    </row>
    <row r="8297" spans="33:33">
      <c r="AG8297" s="10"/>
    </row>
    <row r="8298" spans="33:33">
      <c r="AG8298" s="10"/>
    </row>
    <row r="8299" spans="33:33">
      <c r="AG8299" s="10"/>
    </row>
    <row r="8300" spans="33:33">
      <c r="AG8300" s="10"/>
    </row>
    <row r="8301" spans="33:33">
      <c r="AG8301" s="10"/>
    </row>
    <row r="8302" spans="33:33">
      <c r="AG8302" s="10"/>
    </row>
    <row r="8303" spans="33:33">
      <c r="AG8303" s="10"/>
    </row>
    <row r="8304" spans="33:33">
      <c r="AG8304" s="10"/>
    </row>
    <row r="8305" spans="33:33">
      <c r="AG8305" s="10"/>
    </row>
    <row r="8306" spans="33:33">
      <c r="AG8306" s="10"/>
    </row>
    <row r="8307" spans="33:33">
      <c r="AG8307" s="10"/>
    </row>
    <row r="8308" spans="33:33">
      <c r="AG8308" s="10"/>
    </row>
    <row r="8309" spans="33:33">
      <c r="AG8309" s="10"/>
    </row>
    <row r="8310" spans="33:33">
      <c r="AG8310" s="10"/>
    </row>
    <row r="8311" spans="33:33">
      <c r="AG8311" s="10"/>
    </row>
    <row r="8312" spans="33:33">
      <c r="AG8312" s="10"/>
    </row>
    <row r="8313" spans="33:33">
      <c r="AG8313" s="10"/>
    </row>
    <row r="8314" spans="33:33">
      <c r="AG8314" s="10"/>
    </row>
    <row r="8315" spans="33:33">
      <c r="AG8315" s="10"/>
    </row>
    <row r="8316" spans="33:33">
      <c r="AG8316" s="10"/>
    </row>
    <row r="8317" spans="33:33">
      <c r="AG8317" s="10"/>
    </row>
    <row r="8318" spans="33:33">
      <c r="AG8318" s="10"/>
    </row>
    <row r="8319" spans="33:33">
      <c r="AG8319" s="10"/>
    </row>
    <row r="8320" spans="33:33">
      <c r="AG8320" s="10"/>
    </row>
    <row r="8321" spans="33:33">
      <c r="AG8321" s="10"/>
    </row>
    <row r="8322" spans="33:33">
      <c r="AG8322" s="10"/>
    </row>
    <row r="8323" spans="33:33">
      <c r="AG8323" s="10"/>
    </row>
    <row r="8324" spans="33:33">
      <c r="AG8324" s="10"/>
    </row>
    <row r="8325" spans="33:33">
      <c r="AG8325" s="10"/>
    </row>
    <row r="8326" spans="33:33">
      <c r="AG8326" s="10"/>
    </row>
    <row r="8327" spans="33:33">
      <c r="AG8327" s="10"/>
    </row>
    <row r="8328" spans="33:33">
      <c r="AG8328" s="10"/>
    </row>
    <row r="8329" spans="33:33">
      <c r="AG8329" s="10"/>
    </row>
    <row r="8330" spans="33:33">
      <c r="AG8330" s="10"/>
    </row>
    <row r="8331" spans="33:33">
      <c r="AG8331" s="10"/>
    </row>
    <row r="8332" spans="33:33">
      <c r="AG8332" s="10"/>
    </row>
    <row r="8333" spans="33:33">
      <c r="AG8333" s="10"/>
    </row>
    <row r="8334" spans="33:33">
      <c r="AG8334" s="10"/>
    </row>
    <row r="8335" spans="33:33">
      <c r="AG8335" s="10"/>
    </row>
    <row r="8336" spans="33:33">
      <c r="AG8336" s="10"/>
    </row>
    <row r="8337" spans="33:33">
      <c r="AG8337" s="10"/>
    </row>
    <row r="8338" spans="33:33">
      <c r="AG8338" s="10"/>
    </row>
    <row r="8339" spans="33:33">
      <c r="AG8339" s="10"/>
    </row>
    <row r="8340" spans="33:33">
      <c r="AG8340" s="10"/>
    </row>
    <row r="8341" spans="33:33">
      <c r="AG8341" s="10"/>
    </row>
    <row r="8342" spans="33:33">
      <c r="AG8342" s="10"/>
    </row>
    <row r="8343" spans="33:33">
      <c r="AG8343" s="10"/>
    </row>
    <row r="8344" spans="33:33">
      <c r="AG8344" s="10"/>
    </row>
    <row r="8345" spans="33:33">
      <c r="AG8345" s="10"/>
    </row>
    <row r="8346" spans="33:33">
      <c r="AG8346" s="10"/>
    </row>
    <row r="8347" spans="33:33">
      <c r="AG8347" s="10"/>
    </row>
    <row r="8348" spans="33:33">
      <c r="AG8348" s="10"/>
    </row>
    <row r="8349" spans="33:33">
      <c r="AG8349" s="10"/>
    </row>
    <row r="8350" spans="33:33">
      <c r="AG8350" s="10"/>
    </row>
    <row r="8351" spans="33:33">
      <c r="AG8351" s="10"/>
    </row>
    <row r="8352" spans="33:33">
      <c r="AG8352" s="10"/>
    </row>
    <row r="8353" spans="33:33">
      <c r="AG8353" s="10"/>
    </row>
    <row r="8354" spans="33:33">
      <c r="AG8354" s="10"/>
    </row>
    <row r="8355" spans="33:33">
      <c r="AG8355" s="10"/>
    </row>
    <row r="8356" spans="33:33">
      <c r="AG8356" s="10"/>
    </row>
    <row r="8357" spans="33:33">
      <c r="AG8357" s="10"/>
    </row>
    <row r="8358" spans="33:33">
      <c r="AG8358" s="10"/>
    </row>
    <row r="8359" spans="33:33">
      <c r="AG8359" s="10"/>
    </row>
    <row r="8360" spans="33:33">
      <c r="AG8360" s="10"/>
    </row>
    <row r="8361" spans="33:33">
      <c r="AG8361" s="10"/>
    </row>
    <row r="8362" spans="33:33">
      <c r="AG8362" s="10"/>
    </row>
    <row r="8363" spans="33:33">
      <c r="AG8363" s="10"/>
    </row>
    <row r="8364" spans="33:33">
      <c r="AG8364" s="10"/>
    </row>
    <row r="8365" spans="33:33">
      <c r="AG8365" s="10"/>
    </row>
    <row r="8366" spans="33:33">
      <c r="AG8366" s="10"/>
    </row>
    <row r="8367" spans="33:33">
      <c r="AG8367" s="10"/>
    </row>
    <row r="8368" spans="33:33">
      <c r="AG8368" s="10"/>
    </row>
    <row r="8369" spans="33:33">
      <c r="AG8369" s="10"/>
    </row>
    <row r="8370" spans="33:33">
      <c r="AG8370" s="10"/>
    </row>
    <row r="8371" spans="33:33">
      <c r="AG8371" s="10"/>
    </row>
    <row r="8372" spans="33:33">
      <c r="AG8372" s="10"/>
    </row>
    <row r="8373" spans="33:33">
      <c r="AG8373" s="10"/>
    </row>
    <row r="8374" spans="33:33">
      <c r="AG8374" s="10"/>
    </row>
    <row r="8375" spans="33:33">
      <c r="AG8375" s="10"/>
    </row>
    <row r="8376" spans="33:33">
      <c r="AG8376" s="10"/>
    </row>
    <row r="8377" spans="33:33">
      <c r="AG8377" s="10"/>
    </row>
    <row r="8378" spans="33:33">
      <c r="AG8378" s="10"/>
    </row>
    <row r="8379" spans="33:33">
      <c r="AG8379" s="10"/>
    </row>
    <row r="8380" spans="33:33">
      <c r="AG8380" s="10"/>
    </row>
    <row r="8381" spans="33:33">
      <c r="AG8381" s="10"/>
    </row>
    <row r="8382" spans="33:33">
      <c r="AG8382" s="10"/>
    </row>
    <row r="8383" spans="33:33">
      <c r="AG8383" s="10"/>
    </row>
    <row r="8384" spans="33:33">
      <c r="AG8384" s="10"/>
    </row>
    <row r="8385" spans="33:33">
      <c r="AG8385" s="10"/>
    </row>
    <row r="8386" spans="33:33">
      <c r="AG8386" s="10"/>
    </row>
    <row r="8387" spans="33:33">
      <c r="AG8387" s="10"/>
    </row>
    <row r="8388" spans="33:33">
      <c r="AG8388" s="10"/>
    </row>
    <row r="8389" spans="33:33">
      <c r="AG8389" s="10"/>
    </row>
    <row r="8390" spans="33:33">
      <c r="AG8390" s="10"/>
    </row>
    <row r="8391" spans="33:33">
      <c r="AG8391" s="10"/>
    </row>
    <row r="8392" spans="33:33">
      <c r="AG8392" s="10"/>
    </row>
    <row r="8393" spans="33:33">
      <c r="AG8393" s="10"/>
    </row>
    <row r="8394" spans="33:33">
      <c r="AG8394" s="10"/>
    </row>
    <row r="8395" spans="33:33">
      <c r="AG8395" s="10"/>
    </row>
    <row r="8396" spans="33:33">
      <c r="AG8396" s="10"/>
    </row>
    <row r="8397" spans="33:33">
      <c r="AG8397" s="10"/>
    </row>
    <row r="8398" spans="33:33">
      <c r="AG8398" s="10"/>
    </row>
    <row r="8399" spans="33:33">
      <c r="AG8399" s="10"/>
    </row>
    <row r="8400" spans="33:33">
      <c r="AG8400" s="10"/>
    </row>
    <row r="8401" spans="33:33">
      <c r="AG8401" s="10"/>
    </row>
    <row r="8402" spans="33:33">
      <c r="AG8402" s="10"/>
    </row>
    <row r="8403" spans="33:33">
      <c r="AG8403" s="10"/>
    </row>
    <row r="8404" spans="33:33">
      <c r="AG8404" s="10"/>
    </row>
    <row r="8405" spans="33:33">
      <c r="AG8405" s="10"/>
    </row>
    <row r="8406" spans="33:33">
      <c r="AG8406" s="10"/>
    </row>
    <row r="8407" spans="33:33">
      <c r="AG8407" s="10"/>
    </row>
    <row r="8408" spans="33:33">
      <c r="AG8408" s="10"/>
    </row>
    <row r="8409" spans="33:33">
      <c r="AG8409" s="10"/>
    </row>
    <row r="8410" spans="33:33">
      <c r="AG8410" s="10"/>
    </row>
    <row r="8411" spans="33:33">
      <c r="AG8411" s="10"/>
    </row>
    <row r="8412" spans="33:33">
      <c r="AG8412" s="10"/>
    </row>
    <row r="8413" spans="33:33">
      <c r="AG8413" s="10"/>
    </row>
    <row r="8414" spans="33:33">
      <c r="AG8414" s="10"/>
    </row>
    <row r="8415" spans="33:33">
      <c r="AG8415" s="10"/>
    </row>
    <row r="8416" spans="33:33">
      <c r="AG8416" s="10"/>
    </row>
    <row r="8417" spans="33:33">
      <c r="AG8417" s="10"/>
    </row>
    <row r="8418" spans="33:33">
      <c r="AG8418" s="10"/>
    </row>
    <row r="8419" spans="33:33">
      <c r="AG8419" s="10"/>
    </row>
    <row r="8420" spans="33:33">
      <c r="AG8420" s="10"/>
    </row>
    <row r="8421" spans="33:33">
      <c r="AG8421" s="10"/>
    </row>
    <row r="8422" spans="33:33">
      <c r="AG8422" s="10"/>
    </row>
    <row r="8423" spans="33:33">
      <c r="AG8423" s="10"/>
    </row>
    <row r="8424" spans="33:33">
      <c r="AG8424" s="10"/>
    </row>
    <row r="8425" spans="33:33">
      <c r="AG8425" s="10"/>
    </row>
    <row r="8426" spans="33:33">
      <c r="AG8426" s="10"/>
    </row>
    <row r="8427" spans="33:33">
      <c r="AG8427" s="10"/>
    </row>
    <row r="8428" spans="33:33">
      <c r="AG8428" s="10"/>
    </row>
    <row r="8429" spans="33:33">
      <c r="AG8429" s="10"/>
    </row>
    <row r="8430" spans="33:33">
      <c r="AG8430" s="10"/>
    </row>
    <row r="8431" spans="33:33">
      <c r="AG8431" s="10"/>
    </row>
    <row r="8432" spans="33:33">
      <c r="AG8432" s="10"/>
    </row>
    <row r="8433" spans="33:33">
      <c r="AG8433" s="10"/>
    </row>
    <row r="8434" spans="33:33">
      <c r="AG8434" s="10"/>
    </row>
    <row r="8435" spans="33:33">
      <c r="AG8435" s="10"/>
    </row>
    <row r="8436" spans="33:33">
      <c r="AG8436" s="10"/>
    </row>
    <row r="8437" spans="33:33">
      <c r="AG8437" s="10"/>
    </row>
    <row r="8438" spans="33:33">
      <c r="AG8438" s="10"/>
    </row>
    <row r="8439" spans="33:33">
      <c r="AG8439" s="10"/>
    </row>
    <row r="8440" spans="33:33">
      <c r="AG8440" s="10"/>
    </row>
    <row r="8441" spans="33:33">
      <c r="AG8441" s="10"/>
    </row>
    <row r="8442" spans="33:33">
      <c r="AG8442" s="10"/>
    </row>
    <row r="8443" spans="33:33">
      <c r="AG8443" s="10"/>
    </row>
    <row r="8444" spans="33:33">
      <c r="AG8444" s="10"/>
    </row>
    <row r="8445" spans="33:33">
      <c r="AG8445" s="10"/>
    </row>
    <row r="8446" spans="33:33">
      <c r="AG8446" s="10"/>
    </row>
    <row r="8447" spans="33:33">
      <c r="AG8447" s="10"/>
    </row>
    <row r="8448" spans="33:33">
      <c r="AG8448" s="10"/>
    </row>
    <row r="8449" spans="33:33">
      <c r="AG8449" s="10"/>
    </row>
    <row r="8450" spans="33:33">
      <c r="AG8450" s="10"/>
    </row>
    <row r="8451" spans="33:33">
      <c r="AG8451" s="10"/>
    </row>
    <row r="8452" spans="33:33">
      <c r="AG8452" s="10"/>
    </row>
    <row r="8453" spans="33:33">
      <c r="AG8453" s="10"/>
    </row>
    <row r="8454" spans="33:33">
      <c r="AG8454" s="10"/>
    </row>
    <row r="8455" spans="33:33">
      <c r="AG8455" s="10"/>
    </row>
    <row r="8456" spans="33:33">
      <c r="AG8456" s="10"/>
    </row>
    <row r="8457" spans="33:33">
      <c r="AG8457" s="10"/>
    </row>
    <row r="8458" spans="33:33">
      <c r="AG8458" s="10"/>
    </row>
    <row r="8459" spans="33:33">
      <c r="AG8459" s="10"/>
    </row>
    <row r="8460" spans="33:33">
      <c r="AG8460" s="10"/>
    </row>
    <row r="8461" spans="33:33">
      <c r="AG8461" s="10"/>
    </row>
    <row r="8462" spans="33:33">
      <c r="AG8462" s="10"/>
    </row>
    <row r="8463" spans="33:33">
      <c r="AG8463" s="10"/>
    </row>
    <row r="8464" spans="33:33">
      <c r="AG8464" s="10"/>
    </row>
    <row r="8465" spans="33:33">
      <c r="AG8465" s="10"/>
    </row>
    <row r="8466" spans="33:33">
      <c r="AG8466" s="10"/>
    </row>
    <row r="8467" spans="33:33">
      <c r="AG8467" s="10"/>
    </row>
    <row r="8468" spans="33:33">
      <c r="AG8468" s="10"/>
    </row>
    <row r="8469" spans="33:33">
      <c r="AG8469" s="10"/>
    </row>
    <row r="8470" spans="33:33">
      <c r="AG8470" s="10"/>
    </row>
    <row r="8471" spans="33:33">
      <c r="AG8471" s="10"/>
    </row>
    <row r="8472" spans="33:33">
      <c r="AG8472" s="10"/>
    </row>
    <row r="8473" spans="33:33">
      <c r="AG8473" s="10"/>
    </row>
    <row r="8474" spans="33:33">
      <c r="AG8474" s="10"/>
    </row>
    <row r="8475" spans="33:33">
      <c r="AG8475" s="10"/>
    </row>
    <row r="8476" spans="33:33">
      <c r="AG8476" s="10"/>
    </row>
    <row r="8477" spans="33:33">
      <c r="AG8477" s="10"/>
    </row>
    <row r="8478" spans="33:33">
      <c r="AG8478" s="10"/>
    </row>
    <row r="8479" spans="33:33">
      <c r="AG8479" s="10"/>
    </row>
    <row r="8480" spans="33:33">
      <c r="AG8480" s="10"/>
    </row>
    <row r="8481" spans="33:33">
      <c r="AG8481" s="10"/>
    </row>
    <row r="8482" spans="33:33">
      <c r="AG8482" s="10"/>
    </row>
    <row r="8483" spans="33:33">
      <c r="AG8483" s="10"/>
    </row>
    <row r="8484" spans="33:33">
      <c r="AG8484" s="10"/>
    </row>
    <row r="8485" spans="33:33">
      <c r="AG8485" s="10"/>
    </row>
    <row r="8486" spans="33:33">
      <c r="AG8486" s="10"/>
    </row>
    <row r="8487" spans="33:33">
      <c r="AG8487" s="10"/>
    </row>
    <row r="8488" spans="33:33">
      <c r="AG8488" s="10"/>
    </row>
    <row r="8489" spans="33:33">
      <c r="AG8489" s="10"/>
    </row>
    <row r="8490" spans="33:33">
      <c r="AG8490" s="10"/>
    </row>
    <row r="8491" spans="33:33">
      <c r="AG8491" s="10"/>
    </row>
    <row r="8492" spans="33:33">
      <c r="AG8492" s="10"/>
    </row>
    <row r="8493" spans="33:33">
      <c r="AG8493" s="10"/>
    </row>
    <row r="8494" spans="33:33">
      <c r="AG8494" s="10"/>
    </row>
    <row r="8495" spans="33:33">
      <c r="AG8495" s="10"/>
    </row>
    <row r="8496" spans="33:33">
      <c r="AG8496" s="10"/>
    </row>
    <row r="8497" spans="33:33">
      <c r="AG8497" s="10"/>
    </row>
    <row r="8498" spans="33:33">
      <c r="AG8498" s="10"/>
    </row>
    <row r="8499" spans="33:33">
      <c r="AG8499" s="10"/>
    </row>
    <row r="8500" spans="33:33">
      <c r="AG8500" s="10"/>
    </row>
    <row r="8501" spans="33:33">
      <c r="AG8501" s="10"/>
    </row>
    <row r="8502" spans="33:33">
      <c r="AG8502" s="10"/>
    </row>
    <row r="8503" spans="33:33">
      <c r="AG8503" s="10"/>
    </row>
    <row r="8504" spans="33:33">
      <c r="AG8504" s="10"/>
    </row>
    <row r="8505" spans="33:33">
      <c r="AG8505" s="10"/>
    </row>
    <row r="8506" spans="33:33">
      <c r="AG8506" s="10"/>
    </row>
    <row r="8507" spans="33:33">
      <c r="AG8507" s="10"/>
    </row>
    <row r="8508" spans="33:33">
      <c r="AG8508" s="10"/>
    </row>
    <row r="8509" spans="33:33">
      <c r="AG8509" s="10"/>
    </row>
    <row r="8510" spans="33:33">
      <c r="AG8510" s="10"/>
    </row>
    <row r="8511" spans="33:33">
      <c r="AG8511" s="10"/>
    </row>
    <row r="8512" spans="33:33">
      <c r="AG8512" s="10"/>
    </row>
    <row r="8513" spans="33:33">
      <c r="AG8513" s="10"/>
    </row>
    <row r="8514" spans="33:33">
      <c r="AG8514" s="10"/>
    </row>
    <row r="8515" spans="33:33">
      <c r="AG8515" s="10"/>
    </row>
    <row r="8516" spans="33:33">
      <c r="AG8516" s="10"/>
    </row>
    <row r="8517" spans="33:33">
      <c r="AG8517" s="10"/>
    </row>
    <row r="8518" spans="33:33">
      <c r="AG8518" s="10"/>
    </row>
    <row r="8519" spans="33:33">
      <c r="AG8519" s="10"/>
    </row>
    <row r="8520" spans="33:33">
      <c r="AG8520" s="10"/>
    </row>
    <row r="8521" spans="33:33">
      <c r="AG8521" s="10"/>
    </row>
    <row r="8522" spans="33:33">
      <c r="AG8522" s="10"/>
    </row>
    <row r="8523" spans="33:33">
      <c r="AG8523" s="10"/>
    </row>
    <row r="8524" spans="33:33">
      <c r="AG8524" s="10"/>
    </row>
    <row r="8525" spans="33:33">
      <c r="AG8525" s="10"/>
    </row>
    <row r="8526" spans="33:33">
      <c r="AG8526" s="10"/>
    </row>
    <row r="8527" spans="33:33">
      <c r="AG8527" s="10"/>
    </row>
    <row r="8528" spans="33:33">
      <c r="AG8528" s="10"/>
    </row>
    <row r="8529" spans="33:33">
      <c r="AG8529" s="10"/>
    </row>
    <row r="8530" spans="33:33">
      <c r="AG8530" s="10"/>
    </row>
    <row r="8531" spans="33:33">
      <c r="AG8531" s="10"/>
    </row>
    <row r="8532" spans="33:33">
      <c r="AG8532" s="10"/>
    </row>
    <row r="8533" spans="33:33">
      <c r="AG8533" s="10"/>
    </row>
    <row r="8534" spans="33:33">
      <c r="AG8534" s="10"/>
    </row>
    <row r="8535" spans="33:33">
      <c r="AG8535" s="10"/>
    </row>
    <row r="8536" spans="33:33">
      <c r="AG8536" s="10"/>
    </row>
    <row r="8537" spans="33:33">
      <c r="AG8537" s="10"/>
    </row>
    <row r="8538" spans="33:33">
      <c r="AG8538" s="10"/>
    </row>
    <row r="8539" spans="33:33">
      <c r="AG8539" s="10"/>
    </row>
    <row r="8540" spans="33:33">
      <c r="AG8540" s="10"/>
    </row>
    <row r="8541" spans="33:33">
      <c r="AG8541" s="10"/>
    </row>
    <row r="8542" spans="33:33">
      <c r="AG8542" s="10"/>
    </row>
    <row r="8543" spans="33:33">
      <c r="AG8543" s="10"/>
    </row>
    <row r="8544" spans="33:33">
      <c r="AG8544" s="10"/>
    </row>
    <row r="8545" spans="33:33">
      <c r="AG8545" s="10"/>
    </row>
    <row r="8546" spans="33:33">
      <c r="AG8546" s="10"/>
    </row>
    <row r="8547" spans="33:33">
      <c r="AG8547" s="10"/>
    </row>
    <row r="8548" spans="33:33">
      <c r="AG8548" s="10"/>
    </row>
    <row r="8549" spans="33:33">
      <c r="AG8549" s="10"/>
    </row>
    <row r="8550" spans="33:33">
      <c r="AG8550" s="10"/>
    </row>
    <row r="8551" spans="33:33">
      <c r="AG8551" s="10"/>
    </row>
    <row r="8552" spans="33:33">
      <c r="AG8552" s="10"/>
    </row>
    <row r="8553" spans="33:33">
      <c r="AG8553" s="10"/>
    </row>
    <row r="8554" spans="33:33">
      <c r="AG8554" s="10"/>
    </row>
    <row r="8555" spans="33:33">
      <c r="AG8555" s="10"/>
    </row>
    <row r="8556" spans="33:33">
      <c r="AG8556" s="10"/>
    </row>
    <row r="8557" spans="33:33">
      <c r="AG8557" s="10"/>
    </row>
    <row r="8558" spans="33:33">
      <c r="AG8558" s="10"/>
    </row>
    <row r="8559" spans="33:33">
      <c r="AG8559" s="10"/>
    </row>
    <row r="8560" spans="33:33">
      <c r="AG8560" s="10"/>
    </row>
    <row r="8561" spans="33:33">
      <c r="AG8561" s="10"/>
    </row>
    <row r="8562" spans="33:33">
      <c r="AG8562" s="10"/>
    </row>
    <row r="8563" spans="33:33">
      <c r="AG8563" s="10"/>
    </row>
    <row r="8564" spans="33:33">
      <c r="AG8564" s="10"/>
    </row>
    <row r="8565" spans="33:33">
      <c r="AG8565" s="10"/>
    </row>
    <row r="8566" spans="33:33">
      <c r="AG8566" s="10"/>
    </row>
    <row r="8567" spans="33:33">
      <c r="AG8567" s="10"/>
    </row>
    <row r="8568" spans="33:33">
      <c r="AG8568" s="10"/>
    </row>
    <row r="8569" spans="33:33">
      <c r="AG8569" s="10"/>
    </row>
    <row r="8570" spans="33:33">
      <c r="AG8570" s="10"/>
    </row>
    <row r="8571" spans="33:33">
      <c r="AG8571" s="10"/>
    </row>
    <row r="8572" spans="33:33">
      <c r="AG8572" s="10"/>
    </row>
    <row r="8573" spans="33:33">
      <c r="AG8573" s="10"/>
    </row>
    <row r="8574" spans="33:33">
      <c r="AG8574" s="10"/>
    </row>
    <row r="8575" spans="33:33">
      <c r="AG8575" s="10"/>
    </row>
    <row r="8576" spans="33:33">
      <c r="AG8576" s="10"/>
    </row>
    <row r="8577" spans="33:33">
      <c r="AG8577" s="10"/>
    </row>
    <row r="8578" spans="33:33">
      <c r="AG8578" s="10"/>
    </row>
    <row r="8579" spans="33:33">
      <c r="AG8579" s="10"/>
    </row>
    <row r="8580" spans="33:33">
      <c r="AG8580" s="10"/>
    </row>
    <row r="8581" spans="33:33">
      <c r="AG8581" s="10"/>
    </row>
    <row r="8582" spans="33:33">
      <c r="AG8582" s="10"/>
    </row>
    <row r="8583" spans="33:33">
      <c r="AG8583" s="10"/>
    </row>
    <row r="8584" spans="33:33">
      <c r="AG8584" s="10"/>
    </row>
    <row r="8585" spans="33:33">
      <c r="AG8585" s="10"/>
    </row>
    <row r="8586" spans="33:33">
      <c r="AG8586" s="10"/>
    </row>
    <row r="8587" spans="33:33">
      <c r="AG8587" s="10"/>
    </row>
    <row r="8588" spans="33:33">
      <c r="AG8588" s="10"/>
    </row>
    <row r="8589" spans="33:33">
      <c r="AG8589" s="10"/>
    </row>
    <row r="8590" spans="33:33">
      <c r="AG8590" s="10"/>
    </row>
    <row r="8591" spans="33:33">
      <c r="AG8591" s="10"/>
    </row>
    <row r="8592" spans="33:33">
      <c r="AG8592" s="10"/>
    </row>
    <row r="8593" spans="33:33">
      <c r="AG8593" s="10"/>
    </row>
    <row r="8594" spans="33:33">
      <c r="AG8594" s="10"/>
    </row>
    <row r="8595" spans="33:33">
      <c r="AG8595" s="10"/>
    </row>
    <row r="8596" spans="33:33">
      <c r="AG8596" s="10"/>
    </row>
    <row r="8597" spans="33:33">
      <c r="AG8597" s="10"/>
    </row>
    <row r="8598" spans="33:33">
      <c r="AG8598" s="10"/>
    </row>
    <row r="8599" spans="33:33">
      <c r="AG8599" s="10"/>
    </row>
    <row r="8600" spans="33:33">
      <c r="AG8600" s="10"/>
    </row>
    <row r="8601" spans="33:33">
      <c r="AG8601" s="10"/>
    </row>
    <row r="8602" spans="33:33">
      <c r="AG8602" s="10"/>
    </row>
    <row r="8603" spans="33:33">
      <c r="AG8603" s="10"/>
    </row>
    <row r="8604" spans="33:33">
      <c r="AG8604" s="10"/>
    </row>
    <row r="8605" spans="33:33">
      <c r="AG8605" s="10"/>
    </row>
    <row r="8606" spans="33:33">
      <c r="AG8606" s="10"/>
    </row>
    <row r="8607" spans="33:33">
      <c r="AG8607" s="10"/>
    </row>
    <row r="8608" spans="33:33">
      <c r="AG8608" s="10"/>
    </row>
    <row r="8609" spans="33:33">
      <c r="AG8609" s="10"/>
    </row>
    <row r="8610" spans="33:33">
      <c r="AG8610" s="10"/>
    </row>
    <row r="8611" spans="33:33">
      <c r="AG8611" s="10"/>
    </row>
    <row r="8612" spans="33:33">
      <c r="AG8612" s="10"/>
    </row>
    <row r="8613" spans="33:33">
      <c r="AG8613" s="10"/>
    </row>
    <row r="8614" spans="33:33">
      <c r="AG8614" s="10"/>
    </row>
    <row r="8615" spans="33:33">
      <c r="AG8615" s="10"/>
    </row>
    <row r="8616" spans="33:33">
      <c r="AG8616" s="10"/>
    </row>
    <row r="8617" spans="33:33">
      <c r="AG8617" s="10"/>
    </row>
    <row r="8618" spans="33:33">
      <c r="AG8618" s="10"/>
    </row>
    <row r="8619" spans="33:33">
      <c r="AG8619" s="10"/>
    </row>
    <row r="8620" spans="33:33">
      <c r="AG8620" s="10"/>
    </row>
    <row r="8621" spans="33:33">
      <c r="AG8621" s="10"/>
    </row>
    <row r="8622" spans="33:33">
      <c r="AG8622" s="10"/>
    </row>
    <row r="8623" spans="33:33">
      <c r="AG8623" s="10"/>
    </row>
    <row r="8624" spans="33:33">
      <c r="AG8624" s="10"/>
    </row>
    <row r="8625" spans="33:33">
      <c r="AG8625" s="10"/>
    </row>
    <row r="8626" spans="33:33">
      <c r="AG8626" s="10"/>
    </row>
    <row r="8627" spans="33:33">
      <c r="AG8627" s="10"/>
    </row>
    <row r="8628" spans="33:33">
      <c r="AG8628" s="10"/>
    </row>
    <row r="8629" spans="33:33">
      <c r="AG8629" s="10"/>
    </row>
    <row r="8630" spans="33:33">
      <c r="AG8630" s="10"/>
    </row>
    <row r="8631" spans="33:33">
      <c r="AG8631" s="10"/>
    </row>
    <row r="8632" spans="33:33">
      <c r="AG8632" s="10"/>
    </row>
    <row r="8633" spans="33:33">
      <c r="AG8633" s="10"/>
    </row>
    <row r="8634" spans="33:33">
      <c r="AG8634" s="10"/>
    </row>
    <row r="8635" spans="33:33">
      <c r="AG8635" s="10"/>
    </row>
    <row r="8636" spans="33:33">
      <c r="AG8636" s="10"/>
    </row>
    <row r="8637" spans="33:33">
      <c r="AG8637" s="10"/>
    </row>
    <row r="8638" spans="33:33">
      <c r="AG8638" s="10"/>
    </row>
    <row r="8639" spans="33:33">
      <c r="AG8639" s="10"/>
    </row>
    <row r="8640" spans="33:33">
      <c r="AG8640" s="10"/>
    </row>
    <row r="8641" spans="33:33">
      <c r="AG8641" s="10"/>
    </row>
    <row r="8642" spans="33:33">
      <c r="AG8642" s="10"/>
    </row>
    <row r="8643" spans="33:33">
      <c r="AG8643" s="10"/>
    </row>
    <row r="8644" spans="33:33">
      <c r="AG8644" s="10"/>
    </row>
    <row r="8645" spans="33:33">
      <c r="AG8645" s="10"/>
    </row>
    <row r="8646" spans="33:33">
      <c r="AG8646" s="10"/>
    </row>
    <row r="8647" spans="33:33">
      <c r="AG8647" s="10"/>
    </row>
    <row r="8648" spans="33:33">
      <c r="AG8648" s="10"/>
    </row>
    <row r="8649" spans="33:33">
      <c r="AG8649" s="10"/>
    </row>
    <row r="8650" spans="33:33">
      <c r="AG8650" s="10"/>
    </row>
    <row r="8651" spans="33:33">
      <c r="AG8651" s="10"/>
    </row>
    <row r="8652" spans="33:33">
      <c r="AG8652" s="10"/>
    </row>
    <row r="8653" spans="33:33">
      <c r="AG8653" s="10"/>
    </row>
    <row r="8654" spans="33:33">
      <c r="AG8654" s="10"/>
    </row>
    <row r="8655" spans="33:33">
      <c r="AG8655" s="10"/>
    </row>
    <row r="8656" spans="33:33">
      <c r="AG8656" s="10"/>
    </row>
    <row r="8657" spans="33:33">
      <c r="AG8657" s="10"/>
    </row>
    <row r="8658" spans="33:33">
      <c r="AG8658" s="10"/>
    </row>
    <row r="8659" spans="33:33">
      <c r="AG8659" s="10"/>
    </row>
    <row r="8660" spans="33:33">
      <c r="AG8660" s="10"/>
    </row>
    <row r="8661" spans="33:33">
      <c r="AG8661" s="10"/>
    </row>
    <row r="8662" spans="33:33">
      <c r="AG8662" s="10"/>
    </row>
    <row r="8663" spans="33:33">
      <c r="AG8663" s="10"/>
    </row>
    <row r="8664" spans="33:33">
      <c r="AG8664" s="10"/>
    </row>
    <row r="8665" spans="33:33">
      <c r="AG8665" s="10"/>
    </row>
    <row r="8666" spans="33:33">
      <c r="AG8666" s="10"/>
    </row>
    <row r="8667" spans="33:33">
      <c r="AG8667" s="10"/>
    </row>
    <row r="8668" spans="33:33">
      <c r="AG8668" s="10"/>
    </row>
    <row r="8669" spans="33:33">
      <c r="AG8669" s="10"/>
    </row>
    <row r="8670" spans="33:33">
      <c r="AG8670" s="10"/>
    </row>
    <row r="8671" spans="33:33">
      <c r="AG8671" s="10"/>
    </row>
    <row r="8672" spans="33:33">
      <c r="AG8672" s="10"/>
    </row>
    <row r="8673" spans="33:33">
      <c r="AG8673" s="10"/>
    </row>
    <row r="8674" spans="33:33">
      <c r="AG8674" s="10"/>
    </row>
    <row r="8675" spans="33:33">
      <c r="AG8675" s="10"/>
    </row>
    <row r="8676" spans="33:33">
      <c r="AG8676" s="10"/>
    </row>
    <row r="8677" spans="33:33">
      <c r="AG8677" s="10"/>
    </row>
    <row r="8678" spans="33:33">
      <c r="AG8678" s="10"/>
    </row>
    <row r="8679" spans="33:33">
      <c r="AG8679" s="10"/>
    </row>
    <row r="8680" spans="33:33">
      <c r="AG8680" s="10"/>
    </row>
    <row r="8681" spans="33:33">
      <c r="AG8681" s="10"/>
    </row>
    <row r="8682" spans="33:33">
      <c r="AG8682" s="10"/>
    </row>
    <row r="8683" spans="33:33">
      <c r="AG8683" s="10"/>
    </row>
    <row r="8684" spans="33:33">
      <c r="AG8684" s="10"/>
    </row>
    <row r="8685" spans="33:33">
      <c r="AG8685" s="10"/>
    </row>
    <row r="8686" spans="33:33">
      <c r="AG8686" s="10"/>
    </row>
    <row r="8687" spans="33:33">
      <c r="AG8687" s="10"/>
    </row>
    <row r="8688" spans="33:33">
      <c r="AG8688" s="10"/>
    </row>
    <row r="8689" spans="33:33">
      <c r="AG8689" s="10"/>
    </row>
    <row r="8690" spans="33:33">
      <c r="AG8690" s="10"/>
    </row>
    <row r="8691" spans="33:33">
      <c r="AG8691" s="10"/>
    </row>
    <row r="8692" spans="33:33">
      <c r="AG8692" s="10"/>
    </row>
    <row r="8693" spans="33:33">
      <c r="AG8693" s="10"/>
    </row>
    <row r="8694" spans="33:33">
      <c r="AG8694" s="10"/>
    </row>
    <row r="8695" spans="33:33">
      <c r="AG8695" s="10"/>
    </row>
    <row r="8696" spans="33:33">
      <c r="AG8696" s="10"/>
    </row>
    <row r="8697" spans="33:33">
      <c r="AG8697" s="10"/>
    </row>
    <row r="8698" spans="33:33">
      <c r="AG8698" s="10"/>
    </row>
    <row r="8699" spans="33:33">
      <c r="AG8699" s="10"/>
    </row>
    <row r="8700" spans="33:33">
      <c r="AG8700" s="10"/>
    </row>
    <row r="8701" spans="33:33">
      <c r="AG8701" s="10"/>
    </row>
    <row r="8702" spans="33:33">
      <c r="AG8702" s="10"/>
    </row>
    <row r="8703" spans="33:33">
      <c r="AG8703" s="10"/>
    </row>
    <row r="8704" spans="33:33">
      <c r="AG8704" s="10"/>
    </row>
    <row r="8705" spans="33:33">
      <c r="AG8705" s="10"/>
    </row>
    <row r="8706" spans="33:33">
      <c r="AG8706" s="10"/>
    </row>
    <row r="8707" spans="33:33">
      <c r="AG8707" s="10"/>
    </row>
    <row r="8708" spans="33:33">
      <c r="AG8708" s="10"/>
    </row>
    <row r="8709" spans="33:33">
      <c r="AG8709" s="10"/>
    </row>
    <row r="8710" spans="33:33">
      <c r="AG8710" s="10"/>
    </row>
    <row r="8711" spans="33:33">
      <c r="AG8711" s="10"/>
    </row>
    <row r="8712" spans="33:33">
      <c r="AG8712" s="10"/>
    </row>
    <row r="8713" spans="33:33">
      <c r="AG8713" s="10"/>
    </row>
    <row r="8714" spans="33:33">
      <c r="AG8714" s="10"/>
    </row>
    <row r="8715" spans="33:33">
      <c r="AG8715" s="10"/>
    </row>
    <row r="8716" spans="33:33">
      <c r="AG8716" s="10"/>
    </row>
    <row r="8717" spans="33:33">
      <c r="AG8717" s="10"/>
    </row>
    <row r="8718" spans="33:33">
      <c r="AG8718" s="10"/>
    </row>
    <row r="8719" spans="33:33">
      <c r="AG8719" s="10"/>
    </row>
    <row r="8720" spans="33:33">
      <c r="AG8720" s="10"/>
    </row>
    <row r="8721" spans="33:33">
      <c r="AG8721" s="10"/>
    </row>
    <row r="8722" spans="33:33">
      <c r="AG8722" s="10"/>
    </row>
    <row r="8723" spans="33:33">
      <c r="AG8723" s="10"/>
    </row>
    <row r="8724" spans="33:33">
      <c r="AG8724" s="10"/>
    </row>
    <row r="8725" spans="33:33">
      <c r="AG8725" s="10"/>
    </row>
    <row r="8726" spans="33:33">
      <c r="AG8726" s="10"/>
    </row>
    <row r="8727" spans="33:33">
      <c r="AG8727" s="10"/>
    </row>
    <row r="8728" spans="33:33">
      <c r="AG8728" s="10"/>
    </row>
    <row r="8729" spans="33:33">
      <c r="AG8729" s="10"/>
    </row>
    <row r="8730" spans="33:33">
      <c r="AG8730" s="10"/>
    </row>
    <row r="8731" spans="33:33">
      <c r="AG8731" s="10"/>
    </row>
    <row r="8732" spans="33:33">
      <c r="AG8732" s="10"/>
    </row>
    <row r="8733" spans="33:33">
      <c r="AG8733" s="10"/>
    </row>
    <row r="8734" spans="33:33">
      <c r="AG8734" s="10"/>
    </row>
    <row r="8735" spans="33:33">
      <c r="AG8735" s="10"/>
    </row>
    <row r="8736" spans="33:33">
      <c r="AG8736" s="10"/>
    </row>
    <row r="8737" spans="33:33">
      <c r="AG8737" s="10"/>
    </row>
    <row r="8738" spans="33:33">
      <c r="AG8738" s="10"/>
    </row>
    <row r="8739" spans="33:33">
      <c r="AG8739" s="10"/>
    </row>
    <row r="8740" spans="33:33">
      <c r="AG8740" s="10"/>
    </row>
    <row r="8741" spans="33:33">
      <c r="AG8741" s="10"/>
    </row>
    <row r="8742" spans="33:33">
      <c r="AG8742" s="10"/>
    </row>
    <row r="8743" spans="33:33">
      <c r="AG8743" s="10"/>
    </row>
    <row r="8744" spans="33:33">
      <c r="AG8744" s="10"/>
    </row>
    <row r="8745" spans="33:33">
      <c r="AG8745" s="10"/>
    </row>
    <row r="8746" spans="33:33">
      <c r="AG8746" s="10"/>
    </row>
    <row r="8747" spans="33:33">
      <c r="AG8747" s="10"/>
    </row>
    <row r="8748" spans="33:33">
      <c r="AG8748" s="10"/>
    </row>
    <row r="8749" spans="33:33">
      <c r="AG8749" s="10"/>
    </row>
    <row r="8750" spans="33:33">
      <c r="AG8750" s="10"/>
    </row>
    <row r="8751" spans="33:33">
      <c r="AG8751" s="10"/>
    </row>
    <row r="8752" spans="33:33">
      <c r="AG8752" s="10"/>
    </row>
    <row r="8753" spans="33:33">
      <c r="AG8753" s="10"/>
    </row>
    <row r="8754" spans="33:33">
      <c r="AG8754" s="10"/>
    </row>
    <row r="8755" spans="33:33">
      <c r="AG8755" s="10"/>
    </row>
    <row r="8756" spans="33:33">
      <c r="AG8756" s="10"/>
    </row>
    <row r="8757" spans="33:33">
      <c r="AG8757" s="10"/>
    </row>
    <row r="8758" spans="33:33">
      <c r="AG8758" s="10"/>
    </row>
    <row r="8759" spans="33:33">
      <c r="AG8759" s="10"/>
    </row>
    <row r="8760" spans="33:33">
      <c r="AG8760" s="10"/>
    </row>
    <row r="8761" spans="33:33">
      <c r="AG8761" s="10"/>
    </row>
    <row r="8762" spans="33:33">
      <c r="AG8762" s="10"/>
    </row>
    <row r="8763" spans="33:33">
      <c r="AG8763" s="10"/>
    </row>
    <row r="8764" spans="33:33">
      <c r="AG8764" s="10"/>
    </row>
    <row r="8765" spans="33:33">
      <c r="AG8765" s="10"/>
    </row>
    <row r="8766" spans="33:33">
      <c r="AG8766" s="10"/>
    </row>
    <row r="8767" spans="33:33">
      <c r="AG8767" s="10"/>
    </row>
    <row r="8768" spans="33:33">
      <c r="AG8768" s="10"/>
    </row>
    <row r="8769" spans="33:33">
      <c r="AG8769" s="10"/>
    </row>
    <row r="8770" spans="33:33">
      <c r="AG8770" s="10"/>
    </row>
    <row r="8771" spans="33:33">
      <c r="AG8771" s="10"/>
    </row>
    <row r="8772" spans="33:33">
      <c r="AG8772" s="10"/>
    </row>
    <row r="8773" spans="33:33">
      <c r="AG8773" s="10"/>
    </row>
    <row r="8774" spans="33:33">
      <c r="AG8774" s="10"/>
    </row>
    <row r="8775" spans="33:33">
      <c r="AG8775" s="10"/>
    </row>
    <row r="8776" spans="33:33">
      <c r="AG8776" s="10"/>
    </row>
    <row r="8777" spans="33:33">
      <c r="AG8777" s="10"/>
    </row>
    <row r="8778" spans="33:33">
      <c r="AG8778" s="10"/>
    </row>
    <row r="8779" spans="33:33">
      <c r="AG8779" s="10"/>
    </row>
    <row r="8780" spans="33:33">
      <c r="AG8780" s="10"/>
    </row>
    <row r="8781" spans="33:33">
      <c r="AG8781" s="10"/>
    </row>
    <row r="8782" spans="33:33">
      <c r="AG8782" s="10"/>
    </row>
    <row r="8783" spans="33:33">
      <c r="AG8783" s="10"/>
    </row>
    <row r="8784" spans="33:33">
      <c r="AG8784" s="10"/>
    </row>
    <row r="8785" spans="33:33">
      <c r="AG8785" s="10"/>
    </row>
    <row r="8786" spans="33:33">
      <c r="AG8786" s="10"/>
    </row>
    <row r="8787" spans="33:33">
      <c r="AG8787" s="10"/>
    </row>
    <row r="8788" spans="33:33">
      <c r="AG8788" s="10"/>
    </row>
    <row r="8789" spans="33:33">
      <c r="AG8789" s="10"/>
    </row>
    <row r="8790" spans="33:33">
      <c r="AG8790" s="10"/>
    </row>
    <row r="8791" spans="33:33">
      <c r="AG8791" s="10"/>
    </row>
    <row r="8792" spans="33:33">
      <c r="AG8792" s="10"/>
    </row>
    <row r="8793" spans="33:33">
      <c r="AG8793" s="10"/>
    </row>
    <row r="8794" spans="33:33">
      <c r="AG8794" s="10"/>
    </row>
    <row r="8795" spans="33:33">
      <c r="AG8795" s="10"/>
    </row>
    <row r="8796" spans="33:33">
      <c r="AG8796" s="10"/>
    </row>
    <row r="8797" spans="33:33">
      <c r="AG8797" s="10"/>
    </row>
    <row r="8798" spans="33:33">
      <c r="AG8798" s="10"/>
    </row>
    <row r="8799" spans="33:33">
      <c r="AG8799" s="10"/>
    </row>
    <row r="8800" spans="33:33">
      <c r="AG8800" s="10"/>
    </row>
    <row r="8801" spans="33:33">
      <c r="AG8801" s="10"/>
    </row>
    <row r="8802" spans="33:33">
      <c r="AG8802" s="10"/>
    </row>
    <row r="8803" spans="33:33">
      <c r="AG8803" s="10"/>
    </row>
    <row r="8804" spans="33:33">
      <c r="AG8804" s="10"/>
    </row>
    <row r="8805" spans="33:33">
      <c r="AG8805" s="10"/>
    </row>
    <row r="8806" spans="33:33">
      <c r="AG8806" s="10"/>
    </row>
    <row r="8807" spans="33:33">
      <c r="AG8807" s="10"/>
    </row>
    <row r="8808" spans="33:33">
      <c r="AG8808" s="10"/>
    </row>
    <row r="8809" spans="33:33">
      <c r="AG8809" s="10"/>
    </row>
    <row r="8810" spans="33:33">
      <c r="AG8810" s="10"/>
    </row>
    <row r="8811" spans="33:33">
      <c r="AG8811" s="10"/>
    </row>
    <row r="8812" spans="33:33">
      <c r="AG8812" s="10"/>
    </row>
    <row r="8813" spans="33:33">
      <c r="AG8813" s="10"/>
    </row>
    <row r="8814" spans="33:33">
      <c r="AG8814" s="10"/>
    </row>
    <row r="8815" spans="33:33">
      <c r="AG8815" s="10"/>
    </row>
    <row r="8816" spans="33:33">
      <c r="AG8816" s="10"/>
    </row>
    <row r="8817" spans="33:33">
      <c r="AG8817" s="10"/>
    </row>
    <row r="8818" spans="33:33">
      <c r="AG8818" s="10"/>
    </row>
    <row r="8819" spans="33:33">
      <c r="AG8819" s="10"/>
    </row>
    <row r="8820" spans="33:33">
      <c r="AG8820" s="10"/>
    </row>
    <row r="8821" spans="33:33">
      <c r="AG8821" s="10"/>
    </row>
    <row r="8822" spans="33:33">
      <c r="AG8822" s="10"/>
    </row>
    <row r="8823" spans="33:33">
      <c r="AG8823" s="10"/>
    </row>
    <row r="8824" spans="33:33">
      <c r="AG8824" s="10"/>
    </row>
    <row r="8825" spans="33:33">
      <c r="AG8825" s="10"/>
    </row>
    <row r="8826" spans="33:33">
      <c r="AG8826" s="10"/>
    </row>
    <row r="8827" spans="33:33">
      <c r="AG8827" s="10"/>
    </row>
    <row r="8828" spans="33:33">
      <c r="AG8828" s="10"/>
    </row>
    <row r="8829" spans="33:33">
      <c r="AG8829" s="10"/>
    </row>
    <row r="8830" spans="33:33">
      <c r="AG8830" s="10"/>
    </row>
    <row r="8831" spans="33:33">
      <c r="AG8831" s="10"/>
    </row>
    <row r="8832" spans="33:33">
      <c r="AG8832" s="10"/>
    </row>
    <row r="8833" spans="33:33">
      <c r="AG8833" s="10"/>
    </row>
    <row r="8834" spans="33:33">
      <c r="AG8834" s="10"/>
    </row>
    <row r="8835" spans="33:33">
      <c r="AG8835" s="10"/>
    </row>
    <row r="8836" spans="33:33">
      <c r="AG8836" s="10"/>
    </row>
    <row r="8837" spans="33:33">
      <c r="AG8837" s="10"/>
    </row>
    <row r="8838" spans="33:33">
      <c r="AG8838" s="10"/>
    </row>
    <row r="8839" spans="33:33">
      <c r="AG8839" s="10"/>
    </row>
    <row r="8840" spans="33:33">
      <c r="AG8840" s="10"/>
    </row>
    <row r="8841" spans="33:33">
      <c r="AG8841" s="10"/>
    </row>
    <row r="8842" spans="33:33">
      <c r="AG8842" s="10"/>
    </row>
    <row r="8843" spans="33:33">
      <c r="AG8843" s="10"/>
    </row>
    <row r="8844" spans="33:33">
      <c r="AG8844" s="10"/>
    </row>
    <row r="8845" spans="33:33">
      <c r="AG8845" s="10"/>
    </row>
    <row r="8846" spans="33:33">
      <c r="AG8846" s="10"/>
    </row>
    <row r="8847" spans="33:33">
      <c r="AG8847" s="10"/>
    </row>
    <row r="8848" spans="33:33">
      <c r="AG8848" s="10"/>
    </row>
    <row r="8849" spans="33:33">
      <c r="AG8849" s="10"/>
    </row>
    <row r="8850" spans="33:33">
      <c r="AG8850" s="10"/>
    </row>
    <row r="8851" spans="33:33">
      <c r="AG8851" s="10"/>
    </row>
    <row r="8852" spans="33:33">
      <c r="AG8852" s="10"/>
    </row>
    <row r="8853" spans="33:33">
      <c r="AG8853" s="10"/>
    </row>
    <row r="8854" spans="33:33">
      <c r="AG8854" s="10"/>
    </row>
    <row r="8855" spans="33:33">
      <c r="AG8855" s="10"/>
    </row>
    <row r="8856" spans="33:33">
      <c r="AG8856" s="10"/>
    </row>
    <row r="8857" spans="33:33">
      <c r="AG8857" s="10"/>
    </row>
    <row r="8858" spans="33:33">
      <c r="AG8858" s="10"/>
    </row>
    <row r="8859" spans="33:33">
      <c r="AG8859" s="10"/>
    </row>
    <row r="8860" spans="33:33">
      <c r="AG8860" s="10"/>
    </row>
    <row r="8861" spans="33:33">
      <c r="AG8861" s="10"/>
    </row>
    <row r="8862" spans="33:33">
      <c r="AG8862" s="10"/>
    </row>
    <row r="8863" spans="33:33">
      <c r="AG8863" s="10"/>
    </row>
    <row r="8864" spans="33:33">
      <c r="AG8864" s="10"/>
    </row>
    <row r="8865" spans="33:33">
      <c r="AG8865" s="10"/>
    </row>
    <row r="8866" spans="33:33">
      <c r="AG8866" s="10"/>
    </row>
    <row r="8867" spans="33:33">
      <c r="AG8867" s="10"/>
    </row>
    <row r="8868" spans="33:33">
      <c r="AG8868" s="10"/>
    </row>
    <row r="8869" spans="33:33">
      <c r="AG8869" s="10"/>
    </row>
    <row r="8870" spans="33:33">
      <c r="AG8870" s="10"/>
    </row>
    <row r="8871" spans="33:33">
      <c r="AG8871" s="10"/>
    </row>
    <row r="8872" spans="33:33">
      <c r="AG8872" s="10"/>
    </row>
    <row r="8873" spans="33:33">
      <c r="AG8873" s="10"/>
    </row>
    <row r="8874" spans="33:33">
      <c r="AG8874" s="10"/>
    </row>
    <row r="8875" spans="33:33">
      <c r="AG8875" s="10"/>
    </row>
    <row r="8876" spans="33:33">
      <c r="AG8876" s="10"/>
    </row>
    <row r="8877" spans="33:33">
      <c r="AG8877" s="10"/>
    </row>
    <row r="8878" spans="33:33">
      <c r="AG8878" s="10"/>
    </row>
    <row r="8879" spans="33:33">
      <c r="AG8879" s="10"/>
    </row>
    <row r="8880" spans="33:33">
      <c r="AG8880" s="10"/>
    </row>
    <row r="8881" spans="33:33">
      <c r="AG8881" s="10"/>
    </row>
    <row r="8882" spans="33:33">
      <c r="AG8882" s="10"/>
    </row>
    <row r="8883" spans="33:33">
      <c r="AG8883" s="10"/>
    </row>
    <row r="8884" spans="33:33">
      <c r="AG8884" s="10"/>
    </row>
    <row r="8885" spans="33:33">
      <c r="AG8885" s="10"/>
    </row>
    <row r="8886" spans="33:33">
      <c r="AG8886" s="10"/>
    </row>
    <row r="8887" spans="33:33">
      <c r="AG8887" s="10"/>
    </row>
    <row r="8888" spans="33:33">
      <c r="AG8888" s="10"/>
    </row>
    <row r="8889" spans="33:33">
      <c r="AG8889" s="10"/>
    </row>
    <row r="8890" spans="33:33">
      <c r="AG8890" s="10"/>
    </row>
    <row r="8891" spans="33:33">
      <c r="AG8891" s="10"/>
    </row>
    <row r="8892" spans="33:33">
      <c r="AG8892" s="10"/>
    </row>
    <row r="8893" spans="33:33">
      <c r="AG8893" s="10"/>
    </row>
    <row r="8894" spans="33:33">
      <c r="AG8894" s="10"/>
    </row>
    <row r="8895" spans="33:33">
      <c r="AG8895" s="10"/>
    </row>
    <row r="8896" spans="33:33">
      <c r="AG8896" s="10"/>
    </row>
    <row r="8897" spans="33:33">
      <c r="AG8897" s="10"/>
    </row>
    <row r="8898" spans="33:33">
      <c r="AG8898" s="10"/>
    </row>
    <row r="8899" spans="33:33">
      <c r="AG8899" s="10"/>
    </row>
    <row r="8900" spans="33:33">
      <c r="AG8900" s="10"/>
    </row>
    <row r="8901" spans="33:33">
      <c r="AG8901" s="10"/>
    </row>
    <row r="8902" spans="33:33">
      <c r="AG8902" s="10"/>
    </row>
    <row r="8903" spans="33:33">
      <c r="AG8903" s="10"/>
    </row>
    <row r="8904" spans="33:33">
      <c r="AG8904" s="10"/>
    </row>
    <row r="8905" spans="33:33">
      <c r="AG8905" s="10"/>
    </row>
    <row r="8906" spans="33:33">
      <c r="AG8906" s="10"/>
    </row>
    <row r="8907" spans="33:33">
      <c r="AG8907" s="10"/>
    </row>
    <row r="8908" spans="33:33">
      <c r="AG8908" s="10"/>
    </row>
    <row r="8909" spans="33:33">
      <c r="AG8909" s="10"/>
    </row>
    <row r="8910" spans="33:33">
      <c r="AG8910" s="10"/>
    </row>
    <row r="8911" spans="33:33">
      <c r="AG8911" s="10"/>
    </row>
    <row r="8912" spans="33:33">
      <c r="AG8912" s="10"/>
    </row>
    <row r="8913" spans="33:33">
      <c r="AG8913" s="10"/>
    </row>
    <row r="8914" spans="33:33">
      <c r="AG8914" s="10"/>
    </row>
    <row r="8915" spans="33:33">
      <c r="AG8915" s="10"/>
    </row>
    <row r="8916" spans="33:33">
      <c r="AG8916" s="10"/>
    </row>
    <row r="8917" spans="33:33">
      <c r="AG8917" s="10"/>
    </row>
    <row r="8918" spans="33:33">
      <c r="AG8918" s="10"/>
    </row>
    <row r="8919" spans="33:33">
      <c r="AG8919" s="10"/>
    </row>
    <row r="8920" spans="33:33">
      <c r="AG8920" s="10"/>
    </row>
    <row r="8921" spans="33:33">
      <c r="AG8921" s="10"/>
    </row>
    <row r="8922" spans="33:33">
      <c r="AG8922" s="10"/>
    </row>
    <row r="8923" spans="33:33">
      <c r="AG8923" s="10"/>
    </row>
    <row r="8924" spans="33:33">
      <c r="AG8924" s="10"/>
    </row>
    <row r="8925" spans="33:33">
      <c r="AG8925" s="10"/>
    </row>
    <row r="8926" spans="33:33">
      <c r="AG8926" s="10"/>
    </row>
    <row r="8927" spans="33:33">
      <c r="AG8927" s="10"/>
    </row>
    <row r="8928" spans="33:33">
      <c r="AG8928" s="10"/>
    </row>
    <row r="8929" spans="33:33">
      <c r="AG8929" s="10"/>
    </row>
    <row r="8930" spans="33:33">
      <c r="AG8930" s="10"/>
    </row>
    <row r="8931" spans="33:33">
      <c r="AG8931" s="10"/>
    </row>
    <row r="8932" spans="33:33">
      <c r="AG8932" s="10"/>
    </row>
    <row r="8933" spans="33:33">
      <c r="AG8933" s="10"/>
    </row>
    <row r="8934" spans="33:33">
      <c r="AG8934" s="10"/>
    </row>
    <row r="8935" spans="33:33">
      <c r="AG8935" s="10"/>
    </row>
    <row r="8936" spans="33:33">
      <c r="AG8936" s="10"/>
    </row>
    <row r="8937" spans="33:33">
      <c r="AG8937" s="10"/>
    </row>
    <row r="8938" spans="33:33">
      <c r="AG8938" s="10"/>
    </row>
    <row r="8939" spans="33:33">
      <c r="AG8939" s="10"/>
    </row>
    <row r="8940" spans="33:33">
      <c r="AG8940" s="10"/>
    </row>
    <row r="8941" spans="33:33">
      <c r="AG8941" s="10"/>
    </row>
    <row r="8942" spans="33:33">
      <c r="AG8942" s="10"/>
    </row>
    <row r="8943" spans="33:33">
      <c r="AG8943" s="10"/>
    </row>
    <row r="8944" spans="33:33">
      <c r="AG8944" s="10"/>
    </row>
    <row r="8945" spans="33:33">
      <c r="AG8945" s="10"/>
    </row>
    <row r="8946" spans="33:33">
      <c r="AG8946" s="10"/>
    </row>
    <row r="8947" spans="33:33">
      <c r="AG8947" s="10"/>
    </row>
    <row r="8948" spans="33:33">
      <c r="AG8948" s="10"/>
    </row>
    <row r="8949" spans="33:33">
      <c r="AG8949" s="10"/>
    </row>
    <row r="8950" spans="33:33">
      <c r="AG8950" s="10"/>
    </row>
    <row r="8951" spans="33:33">
      <c r="AG8951" s="10"/>
    </row>
    <row r="8952" spans="33:33">
      <c r="AG8952" s="10"/>
    </row>
    <row r="8953" spans="33:33">
      <c r="AG8953" s="10"/>
    </row>
    <row r="8954" spans="33:33">
      <c r="AG8954" s="10"/>
    </row>
    <row r="8955" spans="33:33">
      <c r="AG8955" s="10"/>
    </row>
    <row r="8956" spans="33:33">
      <c r="AG8956" s="10"/>
    </row>
    <row r="8957" spans="33:33">
      <c r="AG8957" s="10"/>
    </row>
    <row r="8958" spans="33:33">
      <c r="AG8958" s="10"/>
    </row>
    <row r="8959" spans="33:33">
      <c r="AG8959" s="10"/>
    </row>
    <row r="8960" spans="33:33">
      <c r="AG8960" s="10"/>
    </row>
    <row r="8961" spans="33:33">
      <c r="AG8961" s="10"/>
    </row>
    <row r="8962" spans="33:33">
      <c r="AG8962" s="10"/>
    </row>
    <row r="8963" spans="33:33">
      <c r="AG8963" s="10"/>
    </row>
    <row r="8964" spans="33:33">
      <c r="AG8964" s="10"/>
    </row>
    <row r="8965" spans="33:33">
      <c r="AG8965" s="10"/>
    </row>
    <row r="8966" spans="33:33">
      <c r="AG8966" s="10"/>
    </row>
    <row r="8967" spans="33:33">
      <c r="AG8967" s="10"/>
    </row>
    <row r="8968" spans="33:33">
      <c r="AG8968" s="10"/>
    </row>
    <row r="8969" spans="33:33">
      <c r="AG8969" s="10"/>
    </row>
    <row r="8970" spans="33:33">
      <c r="AG8970" s="10"/>
    </row>
    <row r="8971" spans="33:33">
      <c r="AG8971" s="10"/>
    </row>
    <row r="8972" spans="33:33">
      <c r="AG8972" s="10"/>
    </row>
    <row r="8973" spans="33:33">
      <c r="AG8973" s="10"/>
    </row>
    <row r="8974" spans="33:33">
      <c r="AG8974" s="10"/>
    </row>
    <row r="8975" spans="33:33">
      <c r="AG8975" s="10"/>
    </row>
    <row r="8976" spans="33:33">
      <c r="AG8976" s="10"/>
    </row>
    <row r="8977" spans="33:33">
      <c r="AG8977" s="10"/>
    </row>
    <row r="8978" spans="33:33">
      <c r="AG8978" s="10"/>
    </row>
    <row r="8979" spans="33:33">
      <c r="AG8979" s="10"/>
    </row>
    <row r="8980" spans="33:33">
      <c r="AG8980" s="10"/>
    </row>
    <row r="8981" spans="33:33">
      <c r="AG8981" s="10"/>
    </row>
    <row r="8982" spans="33:33">
      <c r="AG8982" s="10"/>
    </row>
    <row r="8983" spans="33:33">
      <c r="AG8983" s="10"/>
    </row>
    <row r="8984" spans="33:33">
      <c r="AG8984" s="10"/>
    </row>
    <row r="8985" spans="33:33">
      <c r="AG8985" s="10"/>
    </row>
    <row r="8986" spans="33:33">
      <c r="AG8986" s="10"/>
    </row>
    <row r="8987" spans="33:33">
      <c r="AG8987" s="10"/>
    </row>
    <row r="8988" spans="33:33">
      <c r="AG8988" s="10"/>
    </row>
    <row r="8989" spans="33:33">
      <c r="AG8989" s="10"/>
    </row>
    <row r="8990" spans="33:33">
      <c r="AG8990" s="10"/>
    </row>
    <row r="8991" spans="33:33">
      <c r="AG8991" s="10"/>
    </row>
    <row r="8992" spans="33:33">
      <c r="AG8992" s="10"/>
    </row>
    <row r="8993" spans="33:33">
      <c r="AG8993" s="10"/>
    </row>
    <row r="8994" spans="33:33">
      <c r="AG8994" s="10"/>
    </row>
    <row r="8995" spans="33:33">
      <c r="AG8995" s="10"/>
    </row>
    <row r="8996" spans="33:33">
      <c r="AG8996" s="10"/>
    </row>
    <row r="8997" spans="33:33">
      <c r="AG8997" s="10"/>
    </row>
    <row r="8998" spans="33:33">
      <c r="AG8998" s="10"/>
    </row>
    <row r="8999" spans="33:33">
      <c r="AG8999" s="10"/>
    </row>
    <row r="9000" spans="33:33">
      <c r="AG9000" s="10"/>
    </row>
    <row r="9001" spans="33:33">
      <c r="AG9001" s="10"/>
    </row>
    <row r="9002" spans="33:33">
      <c r="AG9002" s="10"/>
    </row>
    <row r="9003" spans="33:33">
      <c r="AG9003" s="10"/>
    </row>
    <row r="9004" spans="33:33">
      <c r="AG9004" s="10"/>
    </row>
    <row r="9005" spans="33:33">
      <c r="AG9005" s="10"/>
    </row>
    <row r="9006" spans="33:33">
      <c r="AG9006" s="10"/>
    </row>
    <row r="9007" spans="33:33">
      <c r="AG9007" s="10"/>
    </row>
    <row r="9008" spans="33:33">
      <c r="AG9008" s="10"/>
    </row>
    <row r="9009" spans="33:33">
      <c r="AG9009" s="10"/>
    </row>
    <row r="9010" spans="33:33">
      <c r="AG9010" s="10"/>
    </row>
    <row r="9011" spans="33:33">
      <c r="AG9011" s="10"/>
    </row>
    <row r="9012" spans="33:33">
      <c r="AG9012" s="10"/>
    </row>
    <row r="9013" spans="33:33">
      <c r="AG9013" s="10"/>
    </row>
    <row r="9014" spans="33:33">
      <c r="AG9014" s="10"/>
    </row>
    <row r="9015" spans="33:33">
      <c r="AG9015" s="10"/>
    </row>
    <row r="9016" spans="33:33">
      <c r="AG9016" s="10"/>
    </row>
    <row r="9017" spans="33:33">
      <c r="AG9017" s="10"/>
    </row>
    <row r="9018" spans="33:33">
      <c r="AG9018" s="10"/>
    </row>
    <row r="9019" spans="33:33">
      <c r="AG9019" s="10"/>
    </row>
    <row r="9020" spans="33:33">
      <c r="AG9020" s="10"/>
    </row>
    <row r="9021" spans="33:33">
      <c r="AG9021" s="10"/>
    </row>
    <row r="9022" spans="33:33">
      <c r="AG9022" s="10"/>
    </row>
    <row r="9023" spans="33:33">
      <c r="AG9023" s="10"/>
    </row>
    <row r="9024" spans="33:33">
      <c r="AG9024" s="10"/>
    </row>
    <row r="9025" spans="33:33">
      <c r="AG9025" s="10"/>
    </row>
    <row r="9026" spans="33:33">
      <c r="AG9026" s="10"/>
    </row>
    <row r="9027" spans="33:33">
      <c r="AG9027" s="10"/>
    </row>
    <row r="9028" spans="33:33">
      <c r="AG9028" s="10"/>
    </row>
    <row r="9029" spans="33:33">
      <c r="AG9029" s="10"/>
    </row>
    <row r="9030" spans="33:33">
      <c r="AG9030" s="10"/>
    </row>
    <row r="9031" spans="33:33">
      <c r="AG9031" s="10"/>
    </row>
    <row r="9032" spans="33:33">
      <c r="AG9032" s="10"/>
    </row>
    <row r="9033" spans="33:33">
      <c r="AG9033" s="10"/>
    </row>
    <row r="9034" spans="33:33">
      <c r="AG9034" s="10"/>
    </row>
    <row r="9035" spans="33:33">
      <c r="AG9035" s="10"/>
    </row>
    <row r="9036" spans="33:33">
      <c r="AG9036" s="10"/>
    </row>
    <row r="9037" spans="33:33">
      <c r="AG9037" s="10"/>
    </row>
    <row r="9038" spans="33:33">
      <c r="AG9038" s="10"/>
    </row>
    <row r="9039" spans="33:33">
      <c r="AG9039" s="10"/>
    </row>
    <row r="9040" spans="33:33">
      <c r="AG9040" s="10"/>
    </row>
    <row r="9041" spans="33:33">
      <c r="AG9041" s="10"/>
    </row>
    <row r="9042" spans="33:33">
      <c r="AG9042" s="10"/>
    </row>
    <row r="9043" spans="33:33">
      <c r="AG9043" s="10"/>
    </row>
    <row r="9044" spans="33:33">
      <c r="AG9044" s="10"/>
    </row>
    <row r="9045" spans="33:33">
      <c r="AG9045" s="10"/>
    </row>
    <row r="9046" spans="33:33">
      <c r="AG9046" s="10"/>
    </row>
    <row r="9047" spans="33:33">
      <c r="AG9047" s="10"/>
    </row>
    <row r="9048" spans="33:33">
      <c r="AG9048" s="10"/>
    </row>
    <row r="9049" spans="33:33">
      <c r="AG9049" s="10"/>
    </row>
    <row r="9050" spans="33:33">
      <c r="AG9050" s="10"/>
    </row>
    <row r="9051" spans="33:33">
      <c r="AG9051" s="10"/>
    </row>
    <row r="9052" spans="33:33">
      <c r="AG9052" s="10"/>
    </row>
    <row r="9053" spans="33:33">
      <c r="AG9053" s="10"/>
    </row>
    <row r="9054" spans="33:33">
      <c r="AG9054" s="10"/>
    </row>
    <row r="9055" spans="33:33">
      <c r="AG9055" s="10"/>
    </row>
    <row r="9056" spans="33:33">
      <c r="AG9056" s="10"/>
    </row>
    <row r="9057" spans="33:33">
      <c r="AG9057" s="10"/>
    </row>
    <row r="9058" spans="33:33">
      <c r="AG9058" s="10"/>
    </row>
    <row r="9059" spans="33:33">
      <c r="AG9059" s="10"/>
    </row>
    <row r="9060" spans="33:33">
      <c r="AG9060" s="10"/>
    </row>
    <row r="9061" spans="33:33">
      <c r="AG9061" s="10"/>
    </row>
    <row r="9062" spans="33:33">
      <c r="AG9062" s="10"/>
    </row>
    <row r="9063" spans="33:33">
      <c r="AG9063" s="10"/>
    </row>
    <row r="9064" spans="33:33">
      <c r="AG9064" s="10"/>
    </row>
    <row r="9065" spans="33:33">
      <c r="AG9065" s="10"/>
    </row>
    <row r="9066" spans="33:33">
      <c r="AG9066" s="10"/>
    </row>
    <row r="9067" spans="33:33">
      <c r="AG9067" s="10"/>
    </row>
    <row r="9068" spans="33:33">
      <c r="AG9068" s="10"/>
    </row>
    <row r="9069" spans="33:33">
      <c r="AG9069" s="10"/>
    </row>
    <row r="9070" spans="33:33">
      <c r="AG9070" s="10"/>
    </row>
    <row r="9071" spans="33:33">
      <c r="AG9071" s="10"/>
    </row>
    <row r="9072" spans="33:33">
      <c r="AG9072" s="10"/>
    </row>
    <row r="9073" spans="33:33">
      <c r="AG9073" s="10"/>
    </row>
    <row r="9074" spans="33:33">
      <c r="AG9074" s="10"/>
    </row>
    <row r="9075" spans="33:33">
      <c r="AG9075" s="10"/>
    </row>
    <row r="9076" spans="33:33">
      <c r="AG9076" s="10"/>
    </row>
    <row r="9077" spans="33:33">
      <c r="AG9077" s="10"/>
    </row>
    <row r="9078" spans="33:33">
      <c r="AG9078" s="10"/>
    </row>
    <row r="9079" spans="33:33">
      <c r="AG9079" s="10"/>
    </row>
    <row r="9080" spans="33:33">
      <c r="AG9080" s="10"/>
    </row>
    <row r="9081" spans="33:33">
      <c r="AG9081" s="10"/>
    </row>
    <row r="9082" spans="33:33">
      <c r="AG9082" s="10"/>
    </row>
    <row r="9083" spans="33:33">
      <c r="AG9083" s="10"/>
    </row>
    <row r="9084" spans="33:33">
      <c r="AG9084" s="10"/>
    </row>
    <row r="9085" spans="33:33">
      <c r="AG9085" s="10"/>
    </row>
    <row r="9086" spans="33:33">
      <c r="AG9086" s="10"/>
    </row>
    <row r="9087" spans="33:33">
      <c r="AG9087" s="10"/>
    </row>
    <row r="9088" spans="33:33">
      <c r="AG9088" s="10"/>
    </row>
    <row r="9089" spans="33:33">
      <c r="AG9089" s="10"/>
    </row>
    <row r="9090" spans="33:33">
      <c r="AG9090" s="10"/>
    </row>
    <row r="9091" spans="33:33">
      <c r="AG9091" s="10"/>
    </row>
    <row r="9092" spans="33:33">
      <c r="AG9092" s="10"/>
    </row>
    <row r="9093" spans="33:33">
      <c r="AG9093" s="10"/>
    </row>
    <row r="9094" spans="33:33">
      <c r="AG9094" s="10"/>
    </row>
    <row r="9095" spans="33:33">
      <c r="AG9095" s="10"/>
    </row>
    <row r="9096" spans="33:33">
      <c r="AG9096" s="10"/>
    </row>
    <row r="9097" spans="33:33">
      <c r="AG9097" s="10"/>
    </row>
    <row r="9098" spans="33:33">
      <c r="AG9098" s="10"/>
    </row>
    <row r="9099" spans="33:33">
      <c r="AG9099" s="10"/>
    </row>
    <row r="9100" spans="33:33">
      <c r="AG9100" s="10"/>
    </row>
    <row r="9101" spans="33:33">
      <c r="AG9101" s="10"/>
    </row>
    <row r="9102" spans="33:33">
      <c r="AG9102" s="10"/>
    </row>
    <row r="9103" spans="33:33">
      <c r="AG9103" s="10"/>
    </row>
    <row r="9104" spans="33:33">
      <c r="AG9104" s="10"/>
    </row>
    <row r="9105" spans="33:33">
      <c r="AG9105" s="10"/>
    </row>
    <row r="9106" spans="33:33">
      <c r="AG9106" s="10"/>
    </row>
    <row r="9107" spans="33:33">
      <c r="AG9107" s="10"/>
    </row>
    <row r="9108" spans="33:33">
      <c r="AG9108" s="10"/>
    </row>
    <row r="9109" spans="33:33">
      <c r="AG9109" s="10"/>
    </row>
    <row r="9110" spans="33:33">
      <c r="AG9110" s="10"/>
    </row>
    <row r="9111" spans="33:33">
      <c r="AG9111" s="10"/>
    </row>
    <row r="9112" spans="33:33">
      <c r="AG9112" s="10"/>
    </row>
    <row r="9113" spans="33:33">
      <c r="AG9113" s="10"/>
    </row>
    <row r="9114" spans="33:33">
      <c r="AG9114" s="10"/>
    </row>
    <row r="9115" spans="33:33">
      <c r="AG9115" s="10"/>
    </row>
    <row r="9116" spans="33:33">
      <c r="AG9116" s="10"/>
    </row>
    <row r="9117" spans="33:33">
      <c r="AG9117" s="10"/>
    </row>
    <row r="9118" spans="33:33">
      <c r="AG9118" s="10"/>
    </row>
    <row r="9119" spans="33:33">
      <c r="AG9119" s="10"/>
    </row>
    <row r="9120" spans="33:33">
      <c r="AG9120" s="10"/>
    </row>
    <row r="9121" spans="33:33">
      <c r="AG9121" s="10"/>
    </row>
    <row r="9122" spans="33:33">
      <c r="AG9122" s="10"/>
    </row>
    <row r="9123" spans="33:33">
      <c r="AG9123" s="10"/>
    </row>
    <row r="9124" spans="33:33">
      <c r="AG9124" s="10"/>
    </row>
    <row r="9125" spans="33:33">
      <c r="AG9125" s="10"/>
    </row>
    <row r="9126" spans="33:33">
      <c r="AG9126" s="10"/>
    </row>
    <row r="9127" spans="33:33">
      <c r="AG9127" s="10"/>
    </row>
    <row r="9128" spans="33:33">
      <c r="AG9128" s="10"/>
    </row>
    <row r="9129" spans="33:33">
      <c r="AG9129" s="10"/>
    </row>
    <row r="9130" spans="33:33">
      <c r="AG9130" s="10"/>
    </row>
    <row r="9131" spans="33:33">
      <c r="AG9131" s="10"/>
    </row>
    <row r="9132" spans="33:33">
      <c r="AG9132" s="10"/>
    </row>
    <row r="9133" spans="33:33">
      <c r="AG9133" s="10"/>
    </row>
    <row r="9134" spans="33:33">
      <c r="AG9134" s="10"/>
    </row>
    <row r="9135" spans="33:33">
      <c r="AG9135" s="10"/>
    </row>
    <row r="9136" spans="33:33">
      <c r="AG9136" s="10"/>
    </row>
    <row r="9137" spans="33:33">
      <c r="AG9137" s="10"/>
    </row>
    <row r="9138" spans="33:33">
      <c r="AG9138" s="10"/>
    </row>
    <row r="9139" spans="33:33">
      <c r="AG9139" s="10"/>
    </row>
    <row r="9140" spans="33:33">
      <c r="AG9140" s="10"/>
    </row>
    <row r="9141" spans="33:33">
      <c r="AG9141" s="10"/>
    </row>
    <row r="9142" spans="33:33">
      <c r="AG9142" s="10"/>
    </row>
    <row r="9143" spans="33:33">
      <c r="AG9143" s="10"/>
    </row>
    <row r="9144" spans="33:33">
      <c r="AG9144" s="10"/>
    </row>
    <row r="9145" spans="33:33">
      <c r="AG9145" s="10"/>
    </row>
    <row r="9146" spans="33:33">
      <c r="AG9146" s="10"/>
    </row>
    <row r="9147" spans="33:33">
      <c r="AG9147" s="10"/>
    </row>
    <row r="9148" spans="33:33">
      <c r="AG9148" s="10"/>
    </row>
    <row r="9149" spans="33:33">
      <c r="AG9149" s="10"/>
    </row>
    <row r="9150" spans="33:33">
      <c r="AG9150" s="10"/>
    </row>
    <row r="9151" spans="33:33">
      <c r="AG9151" s="10"/>
    </row>
    <row r="9152" spans="33:33">
      <c r="AG9152" s="10"/>
    </row>
    <row r="9153" spans="33:33">
      <c r="AG9153" s="10"/>
    </row>
    <row r="9154" spans="33:33">
      <c r="AG9154" s="10"/>
    </row>
    <row r="9155" spans="33:33">
      <c r="AG9155" s="10"/>
    </row>
    <row r="9156" spans="33:33">
      <c r="AG9156" s="10"/>
    </row>
    <row r="9157" spans="33:33">
      <c r="AG9157" s="10"/>
    </row>
    <row r="9158" spans="33:33">
      <c r="AG9158" s="10"/>
    </row>
    <row r="9159" spans="33:33">
      <c r="AG9159" s="10"/>
    </row>
    <row r="9160" spans="33:33">
      <c r="AG9160" s="10"/>
    </row>
    <row r="9161" spans="33:33">
      <c r="AG9161" s="10"/>
    </row>
    <row r="9162" spans="33:33">
      <c r="AG9162" s="10"/>
    </row>
    <row r="9163" spans="33:33">
      <c r="AG9163" s="10"/>
    </row>
    <row r="9164" spans="33:33">
      <c r="AG9164" s="10"/>
    </row>
    <row r="9165" spans="33:33">
      <c r="AG9165" s="10"/>
    </row>
    <row r="9166" spans="33:33">
      <c r="AG9166" s="10"/>
    </row>
    <row r="9167" spans="33:33">
      <c r="AG9167" s="10"/>
    </row>
    <row r="9168" spans="33:33">
      <c r="AG9168" s="10"/>
    </row>
    <row r="9169" spans="33:33">
      <c r="AG9169" s="10"/>
    </row>
    <row r="9170" spans="33:33">
      <c r="AG9170" s="10"/>
    </row>
    <row r="9171" spans="33:33">
      <c r="AG9171" s="10"/>
    </row>
    <row r="9172" spans="33:33">
      <c r="AG9172" s="10"/>
    </row>
    <row r="9173" spans="33:33">
      <c r="AG9173" s="10"/>
    </row>
    <row r="9174" spans="33:33">
      <c r="AG9174" s="10"/>
    </row>
    <row r="9175" spans="33:33">
      <c r="AG9175" s="10"/>
    </row>
    <row r="9176" spans="33:33">
      <c r="AG9176" s="10"/>
    </row>
    <row r="9177" spans="33:33">
      <c r="AG9177" s="10"/>
    </row>
    <row r="9178" spans="33:33">
      <c r="AG9178" s="10"/>
    </row>
    <row r="9179" spans="33:33">
      <c r="AG9179" s="10"/>
    </row>
    <row r="9180" spans="33:33">
      <c r="AG9180" s="10"/>
    </row>
    <row r="9181" spans="33:33">
      <c r="AG9181" s="10"/>
    </row>
    <row r="9182" spans="33:33">
      <c r="AG9182" s="10"/>
    </row>
    <row r="9183" spans="33:33">
      <c r="AG9183" s="10"/>
    </row>
    <row r="9184" spans="33:33">
      <c r="AG9184" s="10"/>
    </row>
    <row r="9185" spans="33:33">
      <c r="AG9185" s="10"/>
    </row>
    <row r="9186" spans="33:33">
      <c r="AG9186" s="10"/>
    </row>
    <row r="9187" spans="33:33">
      <c r="AG9187" s="10"/>
    </row>
    <row r="9188" spans="33:33">
      <c r="AG9188" s="10"/>
    </row>
    <row r="9189" spans="33:33">
      <c r="AG9189" s="10"/>
    </row>
    <row r="9190" spans="33:33">
      <c r="AG9190" s="10"/>
    </row>
    <row r="9191" spans="33:33">
      <c r="AG9191" s="10"/>
    </row>
    <row r="9192" spans="33:33">
      <c r="AG9192" s="10"/>
    </row>
    <row r="9193" spans="33:33">
      <c r="AG9193" s="10"/>
    </row>
    <row r="9194" spans="33:33">
      <c r="AG9194" s="10"/>
    </row>
    <row r="9195" spans="33:33">
      <c r="AG9195" s="10"/>
    </row>
    <row r="9196" spans="33:33">
      <c r="AG9196" s="10"/>
    </row>
    <row r="9197" spans="33:33">
      <c r="AG9197" s="10"/>
    </row>
    <row r="9198" spans="33:33">
      <c r="AG9198" s="10"/>
    </row>
    <row r="9199" spans="33:33">
      <c r="AG9199" s="10"/>
    </row>
    <row r="9200" spans="33:33">
      <c r="AG9200" s="10"/>
    </row>
    <row r="9201" spans="33:33">
      <c r="AG9201" s="10"/>
    </row>
    <row r="9202" spans="33:33">
      <c r="AG9202" s="10"/>
    </row>
    <row r="9203" spans="33:33">
      <c r="AG9203" s="10"/>
    </row>
    <row r="9204" spans="33:33">
      <c r="AG9204" s="10"/>
    </row>
    <row r="9205" spans="33:33">
      <c r="AG9205" s="10"/>
    </row>
    <row r="9206" spans="33:33">
      <c r="AG9206" s="10"/>
    </row>
    <row r="9207" spans="33:33">
      <c r="AG9207" s="10"/>
    </row>
    <row r="9208" spans="33:33">
      <c r="AG9208" s="10"/>
    </row>
    <row r="9209" spans="33:33">
      <c r="AG9209" s="10"/>
    </row>
    <row r="9210" spans="33:33">
      <c r="AG9210" s="10"/>
    </row>
    <row r="9211" spans="33:33">
      <c r="AG9211" s="10"/>
    </row>
    <row r="9212" spans="33:33">
      <c r="AG9212" s="10"/>
    </row>
    <row r="9213" spans="33:33">
      <c r="AG9213" s="10"/>
    </row>
    <row r="9214" spans="33:33">
      <c r="AG9214" s="10"/>
    </row>
    <row r="9215" spans="33:33">
      <c r="AG9215" s="10"/>
    </row>
    <row r="9216" spans="33:33">
      <c r="AG9216" s="10"/>
    </row>
    <row r="9217" spans="33:33">
      <c r="AG9217" s="10"/>
    </row>
    <row r="9218" spans="33:33">
      <c r="AG9218" s="10"/>
    </row>
    <row r="9219" spans="33:33">
      <c r="AG9219" s="10"/>
    </row>
    <row r="9220" spans="33:33">
      <c r="AG9220" s="10"/>
    </row>
    <row r="9221" spans="33:33">
      <c r="AG9221" s="10"/>
    </row>
    <row r="9222" spans="33:33">
      <c r="AG9222" s="10"/>
    </row>
    <row r="9223" spans="33:33">
      <c r="AG9223" s="10"/>
    </row>
    <row r="9224" spans="33:33">
      <c r="AG9224" s="10"/>
    </row>
    <row r="9225" spans="33:33">
      <c r="AG9225" s="10"/>
    </row>
    <row r="9226" spans="33:33">
      <c r="AG9226" s="10"/>
    </row>
    <row r="9227" spans="33:33">
      <c r="AG9227" s="10"/>
    </row>
    <row r="9228" spans="33:33">
      <c r="AG9228" s="10"/>
    </row>
    <row r="9229" spans="33:33">
      <c r="AG9229" s="10"/>
    </row>
    <row r="9230" spans="33:33">
      <c r="AG9230" s="10"/>
    </row>
    <row r="9231" spans="33:33">
      <c r="AG9231" s="10"/>
    </row>
    <row r="9232" spans="33:33">
      <c r="AG9232" s="10"/>
    </row>
    <row r="9233" spans="33:33">
      <c r="AG9233" s="10"/>
    </row>
    <row r="9234" spans="33:33">
      <c r="AG9234" s="10"/>
    </row>
    <row r="9235" spans="33:33">
      <c r="AG9235" s="10"/>
    </row>
    <row r="9236" spans="33:33">
      <c r="AG9236" s="10"/>
    </row>
    <row r="9237" spans="33:33">
      <c r="AG9237" s="10"/>
    </row>
    <row r="9238" spans="33:33">
      <c r="AG9238" s="10"/>
    </row>
    <row r="9239" spans="33:33">
      <c r="AG9239" s="10"/>
    </row>
    <row r="9240" spans="33:33">
      <c r="AG9240" s="10"/>
    </row>
    <row r="9241" spans="33:33">
      <c r="AG9241" s="10"/>
    </row>
    <row r="9242" spans="33:33">
      <c r="AG9242" s="10"/>
    </row>
    <row r="9243" spans="33:33">
      <c r="AG9243" s="10"/>
    </row>
    <row r="9244" spans="33:33">
      <c r="AG9244" s="10"/>
    </row>
    <row r="9245" spans="33:33">
      <c r="AG9245" s="10"/>
    </row>
    <row r="9246" spans="33:33">
      <c r="AG9246" s="10"/>
    </row>
    <row r="9247" spans="33:33">
      <c r="AG9247" s="10"/>
    </row>
    <row r="9248" spans="33:33">
      <c r="AG9248" s="10"/>
    </row>
    <row r="9249" spans="33:33">
      <c r="AG9249" s="10"/>
    </row>
    <row r="9250" spans="33:33">
      <c r="AG9250" s="10"/>
    </row>
    <row r="9251" spans="33:33">
      <c r="AG9251" s="10"/>
    </row>
    <row r="9252" spans="33:33">
      <c r="AG9252" s="10"/>
    </row>
    <row r="9253" spans="33:33">
      <c r="AG9253" s="10"/>
    </row>
    <row r="9254" spans="33:33">
      <c r="AG9254" s="10"/>
    </row>
    <row r="9255" spans="33:33">
      <c r="AG9255" s="10"/>
    </row>
    <row r="9256" spans="33:33">
      <c r="AG9256" s="10"/>
    </row>
    <row r="9257" spans="33:33">
      <c r="AG9257" s="10"/>
    </row>
    <row r="9258" spans="33:33">
      <c r="AG9258" s="10"/>
    </row>
    <row r="9259" spans="33:33">
      <c r="AG9259" s="10"/>
    </row>
    <row r="9260" spans="33:33">
      <c r="AG9260" s="10"/>
    </row>
    <row r="9261" spans="33:33">
      <c r="AG9261" s="10"/>
    </row>
    <row r="9262" spans="33:33">
      <c r="AG9262" s="10"/>
    </row>
    <row r="9263" spans="33:33">
      <c r="AG9263" s="10"/>
    </row>
    <row r="9264" spans="33:33">
      <c r="AG9264" s="10"/>
    </row>
    <row r="9265" spans="33:33">
      <c r="AG9265" s="10"/>
    </row>
    <row r="9266" spans="33:33">
      <c r="AG9266" s="10"/>
    </row>
    <row r="9267" spans="33:33">
      <c r="AG9267" s="10"/>
    </row>
    <row r="9268" spans="33:33">
      <c r="AG9268" s="10"/>
    </row>
    <row r="9269" spans="33:33">
      <c r="AG9269" s="10"/>
    </row>
    <row r="9270" spans="33:33">
      <c r="AG9270" s="10"/>
    </row>
    <row r="9271" spans="33:33">
      <c r="AG9271" s="10"/>
    </row>
    <row r="9272" spans="33:33">
      <c r="AG9272" s="10"/>
    </row>
    <row r="9273" spans="33:33">
      <c r="AG9273" s="10"/>
    </row>
    <row r="9274" spans="33:33">
      <c r="AG9274" s="10"/>
    </row>
    <row r="9275" spans="33:33">
      <c r="AG9275" s="10"/>
    </row>
    <row r="9276" spans="33:33">
      <c r="AG9276" s="10"/>
    </row>
    <row r="9277" spans="33:33">
      <c r="AG9277" s="10"/>
    </row>
    <row r="9278" spans="33:33">
      <c r="AG9278" s="10"/>
    </row>
    <row r="9279" spans="33:33">
      <c r="AG9279" s="10"/>
    </row>
    <row r="9280" spans="33:33">
      <c r="AG9280" s="10"/>
    </row>
    <row r="9281" spans="33:33">
      <c r="AG9281" s="10"/>
    </row>
    <row r="9282" spans="33:33">
      <c r="AG9282" s="10"/>
    </row>
    <row r="9283" spans="33:33">
      <c r="AG9283" s="10"/>
    </row>
    <row r="9284" spans="33:33">
      <c r="AG9284" s="10"/>
    </row>
    <row r="9285" spans="33:33">
      <c r="AG9285" s="10"/>
    </row>
    <row r="9286" spans="33:33">
      <c r="AG9286" s="10"/>
    </row>
    <row r="9287" spans="33:33">
      <c r="AG9287" s="10"/>
    </row>
    <row r="9288" spans="33:33">
      <c r="AG9288" s="10"/>
    </row>
    <row r="9289" spans="33:33">
      <c r="AG9289" s="10"/>
    </row>
    <row r="9290" spans="33:33">
      <c r="AG9290" s="10"/>
    </row>
    <row r="9291" spans="33:33">
      <c r="AG9291" s="10"/>
    </row>
    <row r="9292" spans="33:33">
      <c r="AG9292" s="10"/>
    </row>
    <row r="9293" spans="33:33">
      <c r="AG9293" s="10"/>
    </row>
    <row r="9294" spans="33:33">
      <c r="AG9294" s="10"/>
    </row>
    <row r="9295" spans="33:33">
      <c r="AG9295" s="10"/>
    </row>
    <row r="9296" spans="33:33">
      <c r="AG9296" s="10"/>
    </row>
    <row r="9297" spans="33:33">
      <c r="AG9297" s="10"/>
    </row>
    <row r="9298" spans="33:33">
      <c r="AG9298" s="10"/>
    </row>
    <row r="9299" spans="33:33">
      <c r="AG9299" s="10"/>
    </row>
    <row r="9300" spans="33:33">
      <c r="AG9300" s="10"/>
    </row>
    <row r="9301" spans="33:33">
      <c r="AG9301" s="10"/>
    </row>
    <row r="9302" spans="33:33">
      <c r="AG9302" s="10"/>
    </row>
    <row r="9303" spans="33:33">
      <c r="AG9303" s="10"/>
    </row>
    <row r="9304" spans="33:33">
      <c r="AG9304" s="10"/>
    </row>
    <row r="9305" spans="33:33">
      <c r="AG9305" s="10"/>
    </row>
    <row r="9306" spans="33:33">
      <c r="AG9306" s="10"/>
    </row>
    <row r="9307" spans="33:33">
      <c r="AG9307" s="10"/>
    </row>
    <row r="9308" spans="33:33">
      <c r="AG9308" s="10"/>
    </row>
    <row r="9309" spans="33:33">
      <c r="AG9309" s="10"/>
    </row>
    <row r="9310" spans="33:33">
      <c r="AG9310" s="10"/>
    </row>
    <row r="9311" spans="33:33">
      <c r="AG9311" s="10"/>
    </row>
    <row r="9312" spans="33:33">
      <c r="AG9312" s="10"/>
    </row>
    <row r="9313" spans="33:33">
      <c r="AG9313" s="10"/>
    </row>
    <row r="9314" spans="33:33">
      <c r="AG9314" s="10"/>
    </row>
    <row r="9315" spans="33:33">
      <c r="AG9315" s="10"/>
    </row>
    <row r="9316" spans="33:33">
      <c r="AG9316" s="10"/>
    </row>
    <row r="9317" spans="33:33">
      <c r="AG9317" s="10"/>
    </row>
    <row r="9318" spans="33:33">
      <c r="AG9318" s="10"/>
    </row>
    <row r="9319" spans="33:33">
      <c r="AG9319" s="10"/>
    </row>
    <row r="9320" spans="33:33">
      <c r="AG9320" s="10"/>
    </row>
    <row r="9321" spans="33:33">
      <c r="AG9321" s="10"/>
    </row>
    <row r="9322" spans="33:33">
      <c r="AG9322" s="10"/>
    </row>
    <row r="9323" spans="33:33">
      <c r="AG9323" s="10"/>
    </row>
    <row r="9324" spans="33:33">
      <c r="AG9324" s="10"/>
    </row>
    <row r="9325" spans="33:33">
      <c r="AG9325" s="10"/>
    </row>
    <row r="9326" spans="33:33">
      <c r="AG9326" s="10"/>
    </row>
    <row r="9327" spans="33:33">
      <c r="AG9327" s="10"/>
    </row>
    <row r="9328" spans="33:33">
      <c r="AG9328" s="10"/>
    </row>
    <row r="9329" spans="33:33">
      <c r="AG9329" s="10"/>
    </row>
    <row r="9330" spans="33:33">
      <c r="AG9330" s="10"/>
    </row>
    <row r="9331" spans="33:33">
      <c r="AG9331" s="10"/>
    </row>
    <row r="9332" spans="33:33">
      <c r="AG9332" s="10"/>
    </row>
    <row r="9333" spans="33:33">
      <c r="AG9333" s="10"/>
    </row>
    <row r="9334" spans="33:33">
      <c r="AG9334" s="10"/>
    </row>
    <row r="9335" spans="33:33">
      <c r="AG9335" s="10"/>
    </row>
    <row r="9336" spans="33:33">
      <c r="AG9336" s="10"/>
    </row>
    <row r="9337" spans="33:33">
      <c r="AG9337" s="10"/>
    </row>
    <row r="9338" spans="33:33">
      <c r="AG9338" s="10"/>
    </row>
    <row r="9339" spans="33:33">
      <c r="AG9339" s="10"/>
    </row>
    <row r="9340" spans="33:33">
      <c r="AG9340" s="10"/>
    </row>
    <row r="9341" spans="33:33">
      <c r="AG9341" s="10"/>
    </row>
    <row r="9342" spans="33:33">
      <c r="AG9342" s="10"/>
    </row>
    <row r="9343" spans="33:33">
      <c r="AG9343" s="10"/>
    </row>
    <row r="9344" spans="33:33">
      <c r="AG9344" s="10"/>
    </row>
    <row r="9345" spans="33:33">
      <c r="AG9345" s="10"/>
    </row>
    <row r="9346" spans="33:33">
      <c r="AG9346" s="10"/>
    </row>
    <row r="9347" spans="33:33">
      <c r="AG9347" s="10"/>
    </row>
    <row r="9348" spans="33:33">
      <c r="AG9348" s="10"/>
    </row>
    <row r="9349" spans="33:33">
      <c r="AG9349" s="10"/>
    </row>
    <row r="9350" spans="33:33">
      <c r="AG9350" s="10"/>
    </row>
    <row r="9351" spans="33:33">
      <c r="AG9351" s="10"/>
    </row>
    <row r="9352" spans="33:33">
      <c r="AG9352" s="10"/>
    </row>
    <row r="9353" spans="33:33">
      <c r="AG9353" s="10"/>
    </row>
    <row r="9354" spans="33:33">
      <c r="AG9354" s="10"/>
    </row>
    <row r="9355" spans="33:33">
      <c r="AG9355" s="10"/>
    </row>
    <row r="9356" spans="33:33">
      <c r="AG9356" s="10"/>
    </row>
    <row r="9357" spans="33:33">
      <c r="AG9357" s="10"/>
    </row>
    <row r="9358" spans="33:33">
      <c r="AG9358" s="10"/>
    </row>
    <row r="9359" spans="33:33">
      <c r="AG9359" s="10"/>
    </row>
    <row r="9360" spans="33:33">
      <c r="AG9360" s="10"/>
    </row>
    <row r="9361" spans="33:33">
      <c r="AG9361" s="10"/>
    </row>
    <row r="9362" spans="33:33">
      <c r="AG9362" s="10"/>
    </row>
    <row r="9363" spans="33:33">
      <c r="AG9363" s="10"/>
    </row>
    <row r="9364" spans="33:33">
      <c r="AG9364" s="10"/>
    </row>
    <row r="9365" spans="33:33">
      <c r="AG9365" s="10"/>
    </row>
    <row r="9366" spans="33:33">
      <c r="AG9366" s="10"/>
    </row>
    <row r="9367" spans="33:33">
      <c r="AG9367" s="10"/>
    </row>
    <row r="9368" spans="33:33">
      <c r="AG9368" s="10"/>
    </row>
    <row r="9369" spans="33:33">
      <c r="AG9369" s="10"/>
    </row>
    <row r="9370" spans="33:33">
      <c r="AG9370" s="10"/>
    </row>
    <row r="9371" spans="33:33">
      <c r="AG9371" s="10"/>
    </row>
    <row r="9372" spans="33:33">
      <c r="AG9372" s="10"/>
    </row>
    <row r="9373" spans="33:33">
      <c r="AG9373" s="10"/>
    </row>
    <row r="9374" spans="33:33">
      <c r="AG9374" s="10"/>
    </row>
    <row r="9375" spans="33:33">
      <c r="AG9375" s="10"/>
    </row>
    <row r="9376" spans="33:33">
      <c r="AG9376" s="10"/>
    </row>
    <row r="9377" spans="33:33">
      <c r="AG9377" s="10"/>
    </row>
    <row r="9378" spans="33:33">
      <c r="AG9378" s="10"/>
    </row>
    <row r="9379" spans="33:33">
      <c r="AG9379" s="10"/>
    </row>
    <row r="9380" spans="33:33">
      <c r="AG9380" s="10"/>
    </row>
    <row r="9381" spans="33:33">
      <c r="AG9381" s="10"/>
    </row>
    <row r="9382" spans="33:33">
      <c r="AG9382" s="10"/>
    </row>
    <row r="9383" spans="33:33">
      <c r="AG9383" s="10"/>
    </row>
    <row r="9384" spans="33:33">
      <c r="AG9384" s="10"/>
    </row>
    <row r="9385" spans="33:33">
      <c r="AG9385" s="10"/>
    </row>
    <row r="9386" spans="33:33">
      <c r="AG9386" s="10"/>
    </row>
    <row r="9387" spans="33:33">
      <c r="AG9387" s="10"/>
    </row>
    <row r="9388" spans="33:33">
      <c r="AG9388" s="10"/>
    </row>
    <row r="9389" spans="33:33">
      <c r="AG9389" s="10"/>
    </row>
    <row r="9390" spans="33:33">
      <c r="AG9390" s="10"/>
    </row>
    <row r="9391" spans="33:33">
      <c r="AG9391" s="10"/>
    </row>
    <row r="9392" spans="33:33">
      <c r="AG9392" s="10"/>
    </row>
    <row r="9393" spans="33:33">
      <c r="AG9393" s="10"/>
    </row>
    <row r="9394" spans="33:33">
      <c r="AG9394" s="10"/>
    </row>
    <row r="9395" spans="33:33">
      <c r="AG9395" s="10"/>
    </row>
    <row r="9396" spans="33:33">
      <c r="AG9396" s="10"/>
    </row>
    <row r="9397" spans="33:33">
      <c r="AG9397" s="10"/>
    </row>
    <row r="9398" spans="33:33">
      <c r="AG9398" s="10"/>
    </row>
    <row r="9399" spans="33:33">
      <c r="AG9399" s="10"/>
    </row>
    <row r="9400" spans="33:33">
      <c r="AG9400" s="10"/>
    </row>
    <row r="9401" spans="33:33">
      <c r="AG9401" s="10"/>
    </row>
    <row r="9402" spans="33:33">
      <c r="AG9402" s="10"/>
    </row>
    <row r="9403" spans="33:33">
      <c r="AG9403" s="10"/>
    </row>
    <row r="9404" spans="33:33">
      <c r="AG9404" s="10"/>
    </row>
    <row r="9405" spans="33:33">
      <c r="AG9405" s="10"/>
    </row>
    <row r="9406" spans="33:33">
      <c r="AG9406" s="10"/>
    </row>
    <row r="9407" spans="33:33">
      <c r="AG9407" s="10"/>
    </row>
    <row r="9408" spans="33:33">
      <c r="AG9408" s="10"/>
    </row>
    <row r="9409" spans="33:33">
      <c r="AG9409" s="10"/>
    </row>
    <row r="9410" spans="33:33">
      <c r="AG9410" s="10"/>
    </row>
    <row r="9411" spans="33:33">
      <c r="AG9411" s="10"/>
    </row>
    <row r="9412" spans="33:33">
      <c r="AG9412" s="10"/>
    </row>
    <row r="9413" spans="33:33">
      <c r="AG9413" s="10"/>
    </row>
    <row r="9414" spans="33:33">
      <c r="AG9414" s="10"/>
    </row>
    <row r="9415" spans="33:33">
      <c r="AG9415" s="10"/>
    </row>
    <row r="9416" spans="33:33">
      <c r="AG9416" s="10"/>
    </row>
    <row r="9417" spans="33:33">
      <c r="AG9417" s="10"/>
    </row>
    <row r="9418" spans="33:33">
      <c r="AG9418" s="10"/>
    </row>
    <row r="9419" spans="33:33">
      <c r="AG9419" s="10"/>
    </row>
    <row r="9420" spans="33:33">
      <c r="AG9420" s="10"/>
    </row>
    <row r="9421" spans="33:33">
      <c r="AG9421" s="10"/>
    </row>
    <row r="9422" spans="33:33">
      <c r="AG9422" s="10"/>
    </row>
    <row r="9423" spans="33:33">
      <c r="AG9423" s="10"/>
    </row>
    <row r="9424" spans="33:33">
      <c r="AG9424" s="10"/>
    </row>
    <row r="9425" spans="33:33">
      <c r="AG9425" s="10"/>
    </row>
    <row r="9426" spans="33:33">
      <c r="AG9426" s="10"/>
    </row>
    <row r="9427" spans="33:33">
      <c r="AG9427" s="10"/>
    </row>
    <row r="9428" spans="33:33">
      <c r="AG9428" s="10"/>
    </row>
    <row r="9429" spans="33:33">
      <c r="AG9429" s="10"/>
    </row>
    <row r="9430" spans="33:33">
      <c r="AG9430" s="10"/>
    </row>
    <row r="9431" spans="33:33">
      <c r="AG9431" s="10"/>
    </row>
    <row r="9432" spans="33:33">
      <c r="AG9432" s="10"/>
    </row>
    <row r="9433" spans="33:33">
      <c r="AG9433" s="10"/>
    </row>
    <row r="9434" spans="33:33">
      <c r="AG9434" s="10"/>
    </row>
    <row r="9435" spans="33:33">
      <c r="AG9435" s="10"/>
    </row>
    <row r="9436" spans="33:33">
      <c r="AG9436" s="10"/>
    </row>
    <row r="9437" spans="33:33">
      <c r="AG9437" s="10"/>
    </row>
    <row r="9438" spans="33:33">
      <c r="AG9438" s="10"/>
    </row>
    <row r="9439" spans="33:33">
      <c r="AG9439" s="10"/>
    </row>
    <row r="9440" spans="33:33">
      <c r="AG9440" s="10"/>
    </row>
    <row r="9441" spans="33:33">
      <c r="AG9441" s="10"/>
    </row>
    <row r="9442" spans="33:33">
      <c r="AG9442" s="10"/>
    </row>
    <row r="9443" spans="33:33">
      <c r="AG9443" s="10"/>
    </row>
    <row r="9444" spans="33:33">
      <c r="AG9444" s="10"/>
    </row>
    <row r="9445" spans="33:33">
      <c r="AG9445" s="10"/>
    </row>
    <row r="9446" spans="33:33">
      <c r="AG9446" s="10"/>
    </row>
    <row r="9447" spans="33:33">
      <c r="AG9447" s="10"/>
    </row>
    <row r="9448" spans="33:33">
      <c r="AG9448" s="10"/>
    </row>
    <row r="9449" spans="33:33">
      <c r="AG9449" s="10"/>
    </row>
    <row r="9450" spans="33:33">
      <c r="AG9450" s="10"/>
    </row>
    <row r="9451" spans="33:33">
      <c r="AG9451" s="10"/>
    </row>
    <row r="9452" spans="33:33">
      <c r="AG9452" s="10"/>
    </row>
    <row r="9453" spans="33:33">
      <c r="AG9453" s="10"/>
    </row>
    <row r="9454" spans="33:33">
      <c r="AG9454" s="10"/>
    </row>
    <row r="9455" spans="33:33">
      <c r="AG9455" s="10"/>
    </row>
    <row r="9456" spans="33:33">
      <c r="AG9456" s="10"/>
    </row>
    <row r="9457" spans="33:33">
      <c r="AG9457" s="10"/>
    </row>
    <row r="9458" spans="33:33">
      <c r="AG9458" s="10"/>
    </row>
    <row r="9459" spans="33:33">
      <c r="AG9459" s="10"/>
    </row>
    <row r="9460" spans="33:33">
      <c r="AG9460" s="10"/>
    </row>
    <row r="9461" spans="33:33">
      <c r="AG9461" s="10"/>
    </row>
    <row r="9462" spans="33:33">
      <c r="AG9462" s="10"/>
    </row>
    <row r="9463" spans="33:33">
      <c r="AG9463" s="10"/>
    </row>
    <row r="9464" spans="33:33">
      <c r="AG9464" s="10"/>
    </row>
    <row r="9465" spans="33:33">
      <c r="AG9465" s="10"/>
    </row>
    <row r="9466" spans="33:33">
      <c r="AG9466" s="10"/>
    </row>
    <row r="9467" spans="33:33">
      <c r="AG9467" s="10"/>
    </row>
    <row r="9468" spans="33:33">
      <c r="AG9468" s="10"/>
    </row>
    <row r="9469" spans="33:33">
      <c r="AG9469" s="10"/>
    </row>
    <row r="9470" spans="33:33">
      <c r="AG9470" s="10"/>
    </row>
    <row r="9471" spans="33:33">
      <c r="AG9471" s="10"/>
    </row>
    <row r="9472" spans="33:33">
      <c r="AG9472" s="10"/>
    </row>
    <row r="9473" spans="33:33">
      <c r="AG9473" s="10"/>
    </row>
    <row r="9474" spans="33:33">
      <c r="AG9474" s="10"/>
    </row>
    <row r="9475" spans="33:33">
      <c r="AG9475" s="10"/>
    </row>
    <row r="9476" spans="33:33">
      <c r="AG9476" s="10"/>
    </row>
    <row r="9477" spans="33:33">
      <c r="AG9477" s="10"/>
    </row>
    <row r="9478" spans="33:33">
      <c r="AG9478" s="10"/>
    </row>
    <row r="9479" spans="33:33">
      <c r="AG9479" s="10"/>
    </row>
    <row r="9480" spans="33:33">
      <c r="AG9480" s="10"/>
    </row>
    <row r="9481" spans="33:33">
      <c r="AG9481" s="10"/>
    </row>
    <row r="9482" spans="33:33">
      <c r="AG9482" s="10"/>
    </row>
    <row r="9483" spans="33:33">
      <c r="AG9483" s="10"/>
    </row>
    <row r="9484" spans="33:33">
      <c r="AG9484" s="10"/>
    </row>
    <row r="9485" spans="33:33">
      <c r="AG9485" s="10"/>
    </row>
    <row r="9486" spans="33:33">
      <c r="AG9486" s="10"/>
    </row>
    <row r="9487" spans="33:33">
      <c r="AG9487" s="10"/>
    </row>
    <row r="9488" spans="33:33">
      <c r="AG9488" s="10"/>
    </row>
    <row r="9489" spans="33:33">
      <c r="AG9489" s="10"/>
    </row>
    <row r="9490" spans="33:33">
      <c r="AG9490" s="10"/>
    </row>
    <row r="9491" spans="33:33">
      <c r="AG9491" s="10"/>
    </row>
    <row r="9492" spans="33:33">
      <c r="AG9492" s="10"/>
    </row>
    <row r="9493" spans="33:33">
      <c r="AG9493" s="10"/>
    </row>
    <row r="9494" spans="33:33">
      <c r="AG9494" s="10"/>
    </row>
    <row r="9495" spans="33:33">
      <c r="AG9495" s="10"/>
    </row>
    <row r="9496" spans="33:33">
      <c r="AG9496" s="10"/>
    </row>
    <row r="9497" spans="33:33">
      <c r="AG9497" s="10"/>
    </row>
    <row r="9498" spans="33:33">
      <c r="AG9498" s="10"/>
    </row>
    <row r="9499" spans="33:33">
      <c r="AG9499" s="10"/>
    </row>
    <row r="9500" spans="33:33">
      <c r="AG9500" s="10"/>
    </row>
    <row r="9501" spans="33:33">
      <c r="AG9501" s="10"/>
    </row>
    <row r="9502" spans="33:33">
      <c r="AG9502" s="10"/>
    </row>
    <row r="9503" spans="33:33">
      <c r="AG9503" s="10"/>
    </row>
    <row r="9504" spans="33:33">
      <c r="AG9504" s="10"/>
    </row>
    <row r="9505" spans="33:33">
      <c r="AG9505" s="10"/>
    </row>
    <row r="9506" spans="33:33">
      <c r="AG9506" s="10"/>
    </row>
    <row r="9507" spans="33:33">
      <c r="AG9507" s="10"/>
    </row>
    <row r="9508" spans="33:33">
      <c r="AG9508" s="10"/>
    </row>
    <row r="9509" spans="33:33">
      <c r="AG9509" s="10"/>
    </row>
    <row r="9510" spans="33:33">
      <c r="AG9510" s="10"/>
    </row>
    <row r="9511" spans="33:33">
      <c r="AG9511" s="10"/>
    </row>
    <row r="9512" spans="33:33">
      <c r="AG9512" s="10"/>
    </row>
    <row r="9513" spans="33:33">
      <c r="AG9513" s="10"/>
    </row>
    <row r="9514" spans="33:33">
      <c r="AG9514" s="10"/>
    </row>
    <row r="9515" spans="33:33">
      <c r="AG9515" s="10"/>
    </row>
    <row r="9516" spans="33:33">
      <c r="AG9516" s="10"/>
    </row>
    <row r="9517" spans="33:33">
      <c r="AG9517" s="10"/>
    </row>
    <row r="9518" spans="33:33">
      <c r="AG9518" s="10"/>
    </row>
    <row r="9519" spans="33:33">
      <c r="AG9519" s="10"/>
    </row>
    <row r="9520" spans="33:33">
      <c r="AG9520" s="10"/>
    </row>
    <row r="9521" spans="33:33">
      <c r="AG9521" s="10"/>
    </row>
    <row r="9522" spans="33:33">
      <c r="AG9522" s="10"/>
    </row>
    <row r="9523" spans="33:33">
      <c r="AG9523" s="10"/>
    </row>
    <row r="9524" spans="33:33">
      <c r="AG9524" s="10"/>
    </row>
    <row r="9525" spans="33:33">
      <c r="AG9525" s="10"/>
    </row>
    <row r="9526" spans="33:33">
      <c r="AG9526" s="10"/>
    </row>
    <row r="9527" spans="33:33">
      <c r="AG9527" s="10"/>
    </row>
    <row r="9528" spans="33:33">
      <c r="AG9528" s="10"/>
    </row>
    <row r="9529" spans="33:33">
      <c r="AG9529" s="10"/>
    </row>
    <row r="9530" spans="33:33">
      <c r="AG9530" s="10"/>
    </row>
    <row r="9531" spans="33:33">
      <c r="AG9531" s="10"/>
    </row>
    <row r="9532" spans="33:33">
      <c r="AG9532" s="10"/>
    </row>
    <row r="9533" spans="33:33">
      <c r="AG9533" s="10"/>
    </row>
    <row r="9534" spans="33:33">
      <c r="AG9534" s="10"/>
    </row>
    <row r="9535" spans="33:33">
      <c r="AG9535" s="10"/>
    </row>
    <row r="9536" spans="33:33">
      <c r="AG9536" s="10"/>
    </row>
    <row r="9537" spans="33:33">
      <c r="AG9537" s="10"/>
    </row>
    <row r="9538" spans="33:33">
      <c r="AG9538" s="10"/>
    </row>
    <row r="9539" spans="33:33">
      <c r="AG9539" s="10"/>
    </row>
    <row r="9540" spans="33:33">
      <c r="AG9540" s="10"/>
    </row>
    <row r="9541" spans="33:33">
      <c r="AG9541" s="10"/>
    </row>
    <row r="9542" spans="33:33">
      <c r="AG9542" s="10"/>
    </row>
    <row r="9543" spans="33:33">
      <c r="AG9543" s="10"/>
    </row>
    <row r="9544" spans="33:33">
      <c r="AG9544" s="10"/>
    </row>
    <row r="9545" spans="33:33">
      <c r="AG9545" s="10"/>
    </row>
    <row r="9546" spans="33:33">
      <c r="AG9546" s="10"/>
    </row>
    <row r="9547" spans="33:33">
      <c r="AG9547" s="10"/>
    </row>
    <row r="9548" spans="33:33">
      <c r="AG9548" s="10"/>
    </row>
    <row r="9549" spans="33:33">
      <c r="AG9549" s="10"/>
    </row>
    <row r="9550" spans="33:33">
      <c r="AG9550" s="10"/>
    </row>
    <row r="9551" spans="33:33">
      <c r="AG9551" s="10"/>
    </row>
    <row r="9552" spans="33:33">
      <c r="AG9552" s="10"/>
    </row>
    <row r="9553" spans="33:33">
      <c r="AG9553" s="10"/>
    </row>
    <row r="9554" spans="33:33">
      <c r="AG9554" s="10"/>
    </row>
    <row r="9555" spans="33:33">
      <c r="AG9555" s="10"/>
    </row>
    <row r="9556" spans="33:33">
      <c r="AG9556" s="10"/>
    </row>
    <row r="9557" spans="33:33">
      <c r="AG9557" s="10"/>
    </row>
    <row r="9558" spans="33:33">
      <c r="AG9558" s="10"/>
    </row>
    <row r="9559" spans="33:33">
      <c r="AG9559" s="10"/>
    </row>
    <row r="9560" spans="33:33">
      <c r="AG9560" s="10"/>
    </row>
    <row r="9561" spans="33:33">
      <c r="AG9561" s="10"/>
    </row>
    <row r="9562" spans="33:33">
      <c r="AG9562" s="10"/>
    </row>
    <row r="9563" spans="33:33">
      <c r="AG9563" s="10"/>
    </row>
    <row r="9564" spans="33:33">
      <c r="AG9564" s="10"/>
    </row>
    <row r="9565" spans="33:33">
      <c r="AG9565" s="10"/>
    </row>
    <row r="9566" spans="33:33">
      <c r="AG9566" s="10"/>
    </row>
    <row r="9567" spans="33:33">
      <c r="AG9567" s="10"/>
    </row>
    <row r="9568" spans="33:33">
      <c r="AG9568" s="10"/>
    </row>
    <row r="9569" spans="33:33">
      <c r="AG9569" s="10"/>
    </row>
    <row r="9570" spans="33:33">
      <c r="AG9570" s="10"/>
    </row>
    <row r="9571" spans="33:33">
      <c r="AG9571" s="10"/>
    </row>
    <row r="9572" spans="33:33">
      <c r="AG9572" s="10"/>
    </row>
    <row r="9573" spans="33:33">
      <c r="AG9573" s="10"/>
    </row>
    <row r="9574" spans="33:33">
      <c r="AG9574" s="10"/>
    </row>
    <row r="9575" spans="33:33">
      <c r="AG9575" s="10"/>
    </row>
    <row r="9576" spans="33:33">
      <c r="AG9576" s="10"/>
    </row>
    <row r="9577" spans="33:33">
      <c r="AG9577" s="10"/>
    </row>
    <row r="9578" spans="33:33">
      <c r="AG9578" s="10"/>
    </row>
    <row r="9579" spans="33:33">
      <c r="AG9579" s="10"/>
    </row>
    <row r="9580" spans="33:33">
      <c r="AG9580" s="10"/>
    </row>
    <row r="9581" spans="33:33">
      <c r="AG9581" s="10"/>
    </row>
    <row r="9582" spans="33:33">
      <c r="AG9582" s="10"/>
    </row>
    <row r="9583" spans="33:33">
      <c r="AG9583" s="10"/>
    </row>
    <row r="9584" spans="33:33">
      <c r="AG9584" s="10"/>
    </row>
    <row r="9585" spans="33:33">
      <c r="AG9585" s="10"/>
    </row>
    <row r="9586" spans="33:33">
      <c r="AG9586" s="10"/>
    </row>
    <row r="9587" spans="33:33">
      <c r="AG9587" s="10"/>
    </row>
    <row r="9588" spans="33:33">
      <c r="AG9588" s="10"/>
    </row>
    <row r="9589" spans="33:33">
      <c r="AG9589" s="10"/>
    </row>
    <row r="9590" spans="33:33">
      <c r="AG9590" s="10"/>
    </row>
    <row r="9591" spans="33:33">
      <c r="AG9591" s="10"/>
    </row>
    <row r="9592" spans="33:33">
      <c r="AG9592" s="10"/>
    </row>
    <row r="9593" spans="33:33">
      <c r="AG9593" s="10"/>
    </row>
    <row r="9594" spans="33:33">
      <c r="AG9594" s="10"/>
    </row>
    <row r="9595" spans="33:33">
      <c r="AG9595" s="10"/>
    </row>
    <row r="9596" spans="33:33">
      <c r="AG9596" s="10"/>
    </row>
    <row r="9597" spans="33:33">
      <c r="AG9597" s="10"/>
    </row>
    <row r="9598" spans="33:33">
      <c r="AG9598" s="10"/>
    </row>
    <row r="9599" spans="33:33">
      <c r="AG9599" s="10"/>
    </row>
    <row r="9600" spans="33:33">
      <c r="AG9600" s="10"/>
    </row>
    <row r="9601" spans="33:33">
      <c r="AG9601" s="10"/>
    </row>
    <row r="9602" spans="33:33">
      <c r="AG9602" s="10"/>
    </row>
    <row r="9603" spans="33:33">
      <c r="AG9603" s="10"/>
    </row>
    <row r="9604" spans="33:33">
      <c r="AG9604" s="10"/>
    </row>
    <row r="9605" spans="33:33">
      <c r="AG9605" s="10"/>
    </row>
    <row r="9606" spans="33:33">
      <c r="AG9606" s="10"/>
    </row>
    <row r="9607" spans="33:33">
      <c r="AG9607" s="10"/>
    </row>
    <row r="9608" spans="33:33">
      <c r="AG9608" s="10"/>
    </row>
    <row r="9609" spans="33:33">
      <c r="AG9609" s="10"/>
    </row>
    <row r="9610" spans="33:33">
      <c r="AG9610" s="10"/>
    </row>
    <row r="9611" spans="33:33">
      <c r="AG9611" s="10"/>
    </row>
    <row r="9612" spans="33:33">
      <c r="AG9612" s="10"/>
    </row>
    <row r="9613" spans="33:33">
      <c r="AG9613" s="10"/>
    </row>
    <row r="9614" spans="33:33">
      <c r="AG9614" s="10"/>
    </row>
    <row r="9615" spans="33:33">
      <c r="AG9615" s="10"/>
    </row>
    <row r="9616" spans="33:33">
      <c r="AG9616" s="10"/>
    </row>
    <row r="9617" spans="33:33">
      <c r="AG9617" s="10"/>
    </row>
    <row r="9618" spans="33:33">
      <c r="AG9618" s="10"/>
    </row>
    <row r="9619" spans="33:33">
      <c r="AG9619" s="10"/>
    </row>
    <row r="9620" spans="33:33">
      <c r="AG9620" s="10"/>
    </row>
    <row r="9621" spans="33:33">
      <c r="AG9621" s="10"/>
    </row>
    <row r="9622" spans="33:33">
      <c r="AG9622" s="10"/>
    </row>
    <row r="9623" spans="33:33">
      <c r="AG9623" s="10"/>
    </row>
    <row r="9624" spans="33:33">
      <c r="AG9624" s="10"/>
    </row>
    <row r="9625" spans="33:33">
      <c r="AG9625" s="10"/>
    </row>
    <row r="9626" spans="33:33">
      <c r="AG9626" s="10"/>
    </row>
    <row r="9627" spans="33:33">
      <c r="AG9627" s="10"/>
    </row>
    <row r="9628" spans="33:33">
      <c r="AG9628" s="10"/>
    </row>
    <row r="9629" spans="33:33">
      <c r="AG9629" s="10"/>
    </row>
    <row r="9630" spans="33:33">
      <c r="AG9630" s="10"/>
    </row>
    <row r="9631" spans="33:33">
      <c r="AG9631" s="10"/>
    </row>
    <row r="9632" spans="33:33">
      <c r="AG9632" s="10"/>
    </row>
    <row r="9633" spans="33:33">
      <c r="AG9633" s="10"/>
    </row>
    <row r="9634" spans="33:33">
      <c r="AG9634" s="10"/>
    </row>
    <row r="9635" spans="33:33">
      <c r="AG9635" s="10"/>
    </row>
    <row r="9636" spans="33:33">
      <c r="AG9636" s="10"/>
    </row>
    <row r="9637" spans="33:33">
      <c r="AG9637" s="10"/>
    </row>
    <row r="9638" spans="33:33">
      <c r="AG9638" s="10"/>
    </row>
    <row r="9639" spans="33:33">
      <c r="AG9639" s="10"/>
    </row>
    <row r="9640" spans="33:33">
      <c r="AG9640" s="10"/>
    </row>
    <row r="9641" spans="33:33">
      <c r="AG9641" s="10"/>
    </row>
    <row r="9642" spans="33:33">
      <c r="AG9642" s="10"/>
    </row>
    <row r="9643" spans="33:33">
      <c r="AG9643" s="10"/>
    </row>
    <row r="9644" spans="33:33">
      <c r="AG9644" s="10"/>
    </row>
    <row r="9645" spans="33:33">
      <c r="AG9645" s="10"/>
    </row>
    <row r="9646" spans="33:33">
      <c r="AG9646" s="10"/>
    </row>
    <row r="9647" spans="33:33">
      <c r="AG9647" s="10"/>
    </row>
    <row r="9648" spans="33:33">
      <c r="AG9648" s="10"/>
    </row>
    <row r="9649" spans="33:33">
      <c r="AG9649" s="10"/>
    </row>
    <row r="9650" spans="33:33">
      <c r="AG9650" s="10"/>
    </row>
    <row r="9651" spans="33:33">
      <c r="AG9651" s="10"/>
    </row>
    <row r="9652" spans="33:33">
      <c r="AG9652" s="10"/>
    </row>
    <row r="9653" spans="33:33">
      <c r="AG9653" s="10"/>
    </row>
    <row r="9654" spans="33:33">
      <c r="AG9654" s="10"/>
    </row>
    <row r="9655" spans="33:33">
      <c r="AG9655" s="10"/>
    </row>
    <row r="9656" spans="33:33">
      <c r="AG9656" s="10"/>
    </row>
    <row r="9657" spans="33:33">
      <c r="AG9657" s="10"/>
    </row>
    <row r="9658" spans="33:33">
      <c r="AG9658" s="10"/>
    </row>
    <row r="9659" spans="33:33">
      <c r="AG9659" s="10"/>
    </row>
    <row r="9660" spans="33:33">
      <c r="AG9660" s="10"/>
    </row>
    <row r="9661" spans="33:33">
      <c r="AG9661" s="10"/>
    </row>
    <row r="9662" spans="33:33">
      <c r="AG9662" s="10"/>
    </row>
    <row r="9663" spans="33:33">
      <c r="AG9663" s="10"/>
    </row>
    <row r="9664" spans="33:33">
      <c r="AG9664" s="10"/>
    </row>
    <row r="9665" spans="33:33">
      <c r="AG9665" s="10"/>
    </row>
    <row r="9666" spans="33:33">
      <c r="AG9666" s="10"/>
    </row>
    <row r="9667" spans="33:33">
      <c r="AG9667" s="10"/>
    </row>
    <row r="9668" spans="33:33">
      <c r="AG9668" s="10"/>
    </row>
    <row r="9669" spans="33:33">
      <c r="AG9669" s="10"/>
    </row>
    <row r="9670" spans="33:33">
      <c r="AG9670" s="10"/>
    </row>
    <row r="9671" spans="33:33">
      <c r="AG9671" s="10"/>
    </row>
    <row r="9672" spans="33:33">
      <c r="AG9672" s="10"/>
    </row>
    <row r="9673" spans="33:33">
      <c r="AG9673" s="10"/>
    </row>
    <row r="9674" spans="33:33">
      <c r="AG9674" s="10"/>
    </row>
    <row r="9675" spans="33:33">
      <c r="AG9675" s="10"/>
    </row>
    <row r="9676" spans="33:33">
      <c r="AG9676" s="10"/>
    </row>
    <row r="9677" spans="33:33">
      <c r="AG9677" s="10"/>
    </row>
    <row r="9678" spans="33:33">
      <c r="AG9678" s="10"/>
    </row>
    <row r="9679" spans="33:33">
      <c r="AG9679" s="10"/>
    </row>
    <row r="9680" spans="33:33">
      <c r="AG9680" s="10"/>
    </row>
    <row r="9681" spans="33:33">
      <c r="AG9681" s="10"/>
    </row>
    <row r="9682" spans="33:33">
      <c r="AG9682" s="10"/>
    </row>
    <row r="9683" spans="33:33">
      <c r="AG9683" s="10"/>
    </row>
    <row r="9684" spans="33:33">
      <c r="AG9684" s="10"/>
    </row>
    <row r="9685" spans="33:33">
      <c r="AG9685" s="10"/>
    </row>
    <row r="9686" spans="33:33">
      <c r="AG9686" s="10"/>
    </row>
    <row r="9687" spans="33:33">
      <c r="AG9687" s="10"/>
    </row>
    <row r="9688" spans="33:33">
      <c r="AG9688" s="10"/>
    </row>
    <row r="9689" spans="33:33">
      <c r="AG9689" s="10"/>
    </row>
    <row r="9690" spans="33:33">
      <c r="AG9690" s="10"/>
    </row>
    <row r="9691" spans="33:33">
      <c r="AG9691" s="10"/>
    </row>
    <row r="9692" spans="33:33">
      <c r="AG9692" s="10"/>
    </row>
    <row r="9693" spans="33:33">
      <c r="AG9693" s="10"/>
    </row>
    <row r="9694" spans="33:33">
      <c r="AG9694" s="10"/>
    </row>
    <row r="9695" spans="33:33">
      <c r="AG9695" s="10"/>
    </row>
    <row r="9696" spans="33:33">
      <c r="AG9696" s="10"/>
    </row>
    <row r="9697" spans="33:33">
      <c r="AG9697" s="10"/>
    </row>
    <row r="9698" spans="33:33">
      <c r="AG9698" s="10"/>
    </row>
    <row r="9699" spans="33:33">
      <c r="AG9699" s="10"/>
    </row>
    <row r="9700" spans="33:33">
      <c r="AG9700" s="10"/>
    </row>
    <row r="9701" spans="33:33">
      <c r="AG9701" s="10"/>
    </row>
    <row r="9702" spans="33:33">
      <c r="AG9702" s="10"/>
    </row>
    <row r="9703" spans="33:33">
      <c r="AG9703" s="10"/>
    </row>
    <row r="9704" spans="33:33">
      <c r="AG9704" s="10"/>
    </row>
    <row r="9705" spans="33:33">
      <c r="AG9705" s="10"/>
    </row>
    <row r="9706" spans="33:33">
      <c r="AG9706" s="10"/>
    </row>
    <row r="9707" spans="33:33">
      <c r="AG9707" s="10"/>
    </row>
    <row r="9708" spans="33:33">
      <c r="AG9708" s="10"/>
    </row>
    <row r="9709" spans="33:33">
      <c r="AG9709" s="10"/>
    </row>
    <row r="9710" spans="33:33">
      <c r="AG9710" s="10"/>
    </row>
    <row r="9711" spans="33:33">
      <c r="AG9711" s="10"/>
    </row>
    <row r="9712" spans="33:33">
      <c r="AG9712" s="10"/>
    </row>
    <row r="9713" spans="33:33">
      <c r="AG9713" s="10"/>
    </row>
    <row r="9714" spans="33:33">
      <c r="AG9714" s="10"/>
    </row>
    <row r="9715" spans="33:33">
      <c r="AG9715" s="10"/>
    </row>
    <row r="9716" spans="33:33">
      <c r="AG9716" s="10"/>
    </row>
    <row r="9717" spans="33:33">
      <c r="AG9717" s="10"/>
    </row>
    <row r="9718" spans="33:33">
      <c r="AG9718" s="10"/>
    </row>
    <row r="9719" spans="33:33">
      <c r="AG9719" s="10"/>
    </row>
    <row r="9720" spans="33:33">
      <c r="AG9720" s="10"/>
    </row>
    <row r="9721" spans="33:33">
      <c r="AG9721" s="10"/>
    </row>
    <row r="9722" spans="33:33">
      <c r="AG9722" s="10"/>
    </row>
    <row r="9723" spans="33:33">
      <c r="AG9723" s="10"/>
    </row>
    <row r="9724" spans="33:33">
      <c r="AG9724" s="10"/>
    </row>
    <row r="9725" spans="33:33">
      <c r="AG9725" s="10"/>
    </row>
    <row r="9726" spans="33:33">
      <c r="AG9726" s="10"/>
    </row>
    <row r="9727" spans="33:33">
      <c r="AG9727" s="10"/>
    </row>
    <row r="9728" spans="33:33">
      <c r="AG9728" s="10"/>
    </row>
    <row r="9729" spans="33:33">
      <c r="AG9729" s="10"/>
    </row>
    <row r="9730" spans="33:33">
      <c r="AG9730" s="10"/>
    </row>
    <row r="9731" spans="33:33">
      <c r="AG9731" s="10"/>
    </row>
    <row r="9732" spans="33:33">
      <c r="AG9732" s="10"/>
    </row>
    <row r="9733" spans="33:33">
      <c r="AG9733" s="10"/>
    </row>
    <row r="9734" spans="33:33">
      <c r="AG9734" s="10"/>
    </row>
    <row r="9735" spans="33:33">
      <c r="AG9735" s="10"/>
    </row>
    <row r="9736" spans="33:33">
      <c r="AG9736" s="10"/>
    </row>
    <row r="9737" spans="33:33">
      <c r="AG9737" s="10"/>
    </row>
    <row r="9738" spans="33:33">
      <c r="AG9738" s="10"/>
    </row>
    <row r="9739" spans="33:33">
      <c r="AG9739" s="10"/>
    </row>
    <row r="9740" spans="33:33">
      <c r="AG9740" s="10"/>
    </row>
    <row r="9741" spans="33:33">
      <c r="AG9741" s="10"/>
    </row>
    <row r="9742" spans="33:33">
      <c r="AG9742" s="10"/>
    </row>
    <row r="9743" spans="33:33">
      <c r="AG9743" s="10"/>
    </row>
    <row r="9744" spans="33:33">
      <c r="AG9744" s="10"/>
    </row>
    <row r="9745" spans="33:33">
      <c r="AG9745" s="10"/>
    </row>
    <row r="9746" spans="33:33">
      <c r="AG9746" s="10"/>
    </row>
    <row r="9747" spans="33:33">
      <c r="AG9747" s="10"/>
    </row>
    <row r="9748" spans="33:33">
      <c r="AG9748" s="10"/>
    </row>
    <row r="9749" spans="33:33">
      <c r="AG9749" s="10"/>
    </row>
    <row r="9750" spans="33:33">
      <c r="AG9750" s="10"/>
    </row>
    <row r="9751" spans="33:33">
      <c r="AG9751" s="10"/>
    </row>
    <row r="9752" spans="33:33">
      <c r="AG9752" s="10"/>
    </row>
    <row r="9753" spans="33:33">
      <c r="AG9753" s="10"/>
    </row>
    <row r="9754" spans="33:33">
      <c r="AG9754" s="10"/>
    </row>
    <row r="9755" spans="33:33">
      <c r="AG9755" s="10"/>
    </row>
    <row r="9756" spans="33:33">
      <c r="AG9756" s="10"/>
    </row>
    <row r="9757" spans="33:33">
      <c r="AG9757" s="10"/>
    </row>
    <row r="9758" spans="33:33">
      <c r="AG9758" s="10"/>
    </row>
    <row r="9759" spans="33:33">
      <c r="AG9759" s="10"/>
    </row>
    <row r="9760" spans="33:33">
      <c r="AG9760" s="10"/>
    </row>
    <row r="9761" spans="33:33">
      <c r="AG9761" s="10"/>
    </row>
    <row r="9762" spans="33:33">
      <c r="AG9762" s="10"/>
    </row>
    <row r="9763" spans="33:33">
      <c r="AG9763" s="10"/>
    </row>
    <row r="9764" spans="33:33">
      <c r="AG9764" s="10"/>
    </row>
    <row r="9765" spans="33:33">
      <c r="AG9765" s="10"/>
    </row>
    <row r="9766" spans="33:33">
      <c r="AG9766" s="10"/>
    </row>
    <row r="9767" spans="33:33">
      <c r="AG9767" s="10"/>
    </row>
    <row r="9768" spans="33:33">
      <c r="AG9768" s="10"/>
    </row>
    <row r="9769" spans="33:33">
      <c r="AG9769" s="10"/>
    </row>
    <row r="9770" spans="33:33">
      <c r="AG9770" s="10"/>
    </row>
    <row r="9771" spans="33:33">
      <c r="AG9771" s="10"/>
    </row>
    <row r="9772" spans="33:33">
      <c r="AG9772" s="10"/>
    </row>
    <row r="9773" spans="33:33">
      <c r="AG9773" s="10"/>
    </row>
    <row r="9774" spans="33:33">
      <c r="AG9774" s="10"/>
    </row>
    <row r="9775" spans="33:33">
      <c r="AG9775" s="10"/>
    </row>
    <row r="9776" spans="33:33">
      <c r="AG9776" s="10"/>
    </row>
    <row r="9777" spans="33:33">
      <c r="AG9777" s="10"/>
    </row>
    <row r="9778" spans="33:33">
      <c r="AG9778" s="10"/>
    </row>
    <row r="9779" spans="33:33">
      <c r="AG9779" s="10"/>
    </row>
    <row r="9780" spans="33:33">
      <c r="AG9780" s="10"/>
    </row>
    <row r="9781" spans="33:33">
      <c r="AG9781" s="10"/>
    </row>
    <row r="9782" spans="33:33">
      <c r="AG9782" s="10"/>
    </row>
    <row r="9783" spans="33:33">
      <c r="AG9783" s="10"/>
    </row>
    <row r="9784" spans="33:33">
      <c r="AG9784" s="10"/>
    </row>
    <row r="9785" spans="33:33">
      <c r="AG9785" s="10"/>
    </row>
    <row r="9786" spans="33:33">
      <c r="AG9786" s="10"/>
    </row>
    <row r="9787" spans="33:33">
      <c r="AG9787" s="10"/>
    </row>
    <row r="9788" spans="33:33">
      <c r="AG9788" s="10"/>
    </row>
    <row r="9789" spans="33:33">
      <c r="AG9789" s="10"/>
    </row>
    <row r="9790" spans="33:33">
      <c r="AG9790" s="10"/>
    </row>
    <row r="9791" spans="33:33">
      <c r="AG9791" s="10"/>
    </row>
    <row r="9792" spans="33:33">
      <c r="AG9792" s="10"/>
    </row>
    <row r="9793" spans="33:33">
      <c r="AG9793" s="10"/>
    </row>
    <row r="9794" spans="33:33">
      <c r="AG9794" s="10"/>
    </row>
    <row r="9795" spans="33:33">
      <c r="AG9795" s="10"/>
    </row>
    <row r="9796" spans="33:33">
      <c r="AG9796" s="10"/>
    </row>
    <row r="9797" spans="33:33">
      <c r="AG9797" s="10"/>
    </row>
    <row r="9798" spans="33:33">
      <c r="AG9798" s="10"/>
    </row>
    <row r="9799" spans="33:33">
      <c r="AG9799" s="10"/>
    </row>
    <row r="9800" spans="33:33">
      <c r="AG9800" s="10"/>
    </row>
    <row r="9801" spans="33:33">
      <c r="AG9801" s="10"/>
    </row>
    <row r="9802" spans="33:33">
      <c r="AG9802" s="10"/>
    </row>
    <row r="9803" spans="33:33">
      <c r="AG9803" s="10"/>
    </row>
    <row r="9804" spans="33:33">
      <c r="AG9804" s="10"/>
    </row>
    <row r="9805" spans="33:33">
      <c r="AG9805" s="10"/>
    </row>
    <row r="9806" spans="33:33">
      <c r="AG9806" s="10"/>
    </row>
    <row r="9807" spans="33:33">
      <c r="AG9807" s="10"/>
    </row>
    <row r="9808" spans="33:33">
      <c r="AG9808" s="10"/>
    </row>
    <row r="9809" spans="33:33">
      <c r="AG9809" s="10"/>
    </row>
    <row r="9810" spans="33:33">
      <c r="AG9810" s="10"/>
    </row>
    <row r="9811" spans="33:33">
      <c r="AG9811" s="10"/>
    </row>
    <row r="9812" spans="33:33">
      <c r="AG9812" s="10"/>
    </row>
    <row r="9813" spans="33:33">
      <c r="AG9813" s="10"/>
    </row>
    <row r="9814" spans="33:33">
      <c r="AG9814" s="10"/>
    </row>
    <row r="9815" spans="33:33">
      <c r="AG9815" s="10"/>
    </row>
    <row r="9816" spans="33:33">
      <c r="AG9816" s="10"/>
    </row>
    <row r="9817" spans="33:33">
      <c r="AG9817" s="10"/>
    </row>
    <row r="9818" spans="33:33">
      <c r="AG9818" s="10"/>
    </row>
    <row r="9819" spans="33:33">
      <c r="AG9819" s="10"/>
    </row>
    <row r="9820" spans="33:33">
      <c r="AG9820" s="10"/>
    </row>
    <row r="9821" spans="33:33">
      <c r="AG9821" s="10"/>
    </row>
    <row r="9822" spans="33:33">
      <c r="AG9822" s="10"/>
    </row>
    <row r="9823" spans="33:33">
      <c r="AG9823" s="10"/>
    </row>
    <row r="9824" spans="33:33">
      <c r="AG9824" s="10"/>
    </row>
    <row r="9825" spans="33:33">
      <c r="AG9825" s="10"/>
    </row>
    <row r="9826" spans="33:33">
      <c r="AG9826" s="10"/>
    </row>
    <row r="9827" spans="33:33">
      <c r="AG9827" s="10"/>
    </row>
    <row r="9828" spans="33:33">
      <c r="AG9828" s="10"/>
    </row>
    <row r="9829" spans="33:33">
      <c r="AG9829" s="10"/>
    </row>
    <row r="9830" spans="33:33">
      <c r="AG9830" s="10"/>
    </row>
    <row r="9831" spans="33:33">
      <c r="AG9831" s="10"/>
    </row>
    <row r="9832" spans="33:33">
      <c r="AG9832" s="10"/>
    </row>
    <row r="9833" spans="33:33">
      <c r="AG9833" s="10"/>
    </row>
    <row r="9834" spans="33:33">
      <c r="AG9834" s="10"/>
    </row>
    <row r="9835" spans="33:33">
      <c r="AG9835" s="10"/>
    </row>
    <row r="9836" spans="33:33">
      <c r="AG9836" s="10"/>
    </row>
    <row r="9837" spans="33:33">
      <c r="AG9837" s="10"/>
    </row>
    <row r="9838" spans="33:33">
      <c r="AG9838" s="10"/>
    </row>
    <row r="9839" spans="33:33">
      <c r="AG9839" s="10"/>
    </row>
    <row r="9840" spans="33:33">
      <c r="AG9840" s="10"/>
    </row>
    <row r="9841" spans="33:33">
      <c r="AG9841" s="10"/>
    </row>
    <row r="9842" spans="33:33">
      <c r="AG9842" s="10"/>
    </row>
    <row r="9843" spans="33:33">
      <c r="AG9843" s="10"/>
    </row>
    <row r="9844" spans="33:33">
      <c r="AG9844" s="10"/>
    </row>
    <row r="9845" spans="33:33">
      <c r="AG9845" s="10"/>
    </row>
    <row r="9846" spans="33:33">
      <c r="AG9846" s="10"/>
    </row>
    <row r="9847" spans="33:33">
      <c r="AG9847" s="10"/>
    </row>
    <row r="9848" spans="33:33">
      <c r="AG9848" s="10"/>
    </row>
    <row r="9849" spans="33:33">
      <c r="AG9849" s="10"/>
    </row>
    <row r="9850" spans="33:33">
      <c r="AG9850" s="10"/>
    </row>
    <row r="9851" spans="33:33">
      <c r="AG9851" s="10"/>
    </row>
    <row r="9852" spans="33:33">
      <c r="AG9852" s="10"/>
    </row>
    <row r="9853" spans="33:33">
      <c r="AG9853" s="10"/>
    </row>
    <row r="9854" spans="33:33">
      <c r="AG9854" s="10"/>
    </row>
    <row r="9855" spans="33:33">
      <c r="AG9855" s="10"/>
    </row>
    <row r="9856" spans="33:33">
      <c r="AG9856" s="10"/>
    </row>
    <row r="9857" spans="33:33">
      <c r="AG9857" s="10"/>
    </row>
    <row r="9858" spans="33:33">
      <c r="AG9858" s="10"/>
    </row>
    <row r="9859" spans="33:33">
      <c r="AG9859" s="10"/>
    </row>
    <row r="9860" spans="33:33">
      <c r="AG9860" s="10"/>
    </row>
    <row r="9861" spans="33:33">
      <c r="AG9861" s="10"/>
    </row>
    <row r="9862" spans="33:33">
      <c r="AG9862" s="10"/>
    </row>
    <row r="9863" spans="33:33">
      <c r="AG9863" s="10"/>
    </row>
    <row r="9864" spans="33:33">
      <c r="AG9864" s="10"/>
    </row>
    <row r="9865" spans="33:33">
      <c r="AG9865" s="10"/>
    </row>
    <row r="9866" spans="33:33">
      <c r="AG9866" s="10"/>
    </row>
    <row r="9867" spans="33:33">
      <c r="AG9867" s="10"/>
    </row>
    <row r="9868" spans="33:33">
      <c r="AG9868" s="10"/>
    </row>
    <row r="9869" spans="33:33">
      <c r="AG9869" s="10"/>
    </row>
    <row r="9870" spans="33:33">
      <c r="AG9870" s="10"/>
    </row>
    <row r="9871" spans="33:33">
      <c r="AG9871" s="10"/>
    </row>
    <row r="9872" spans="33:33">
      <c r="AG9872" s="10"/>
    </row>
    <row r="9873" spans="33:33">
      <c r="AG9873" s="10"/>
    </row>
    <row r="9874" spans="33:33">
      <c r="AG9874" s="10"/>
    </row>
    <row r="9875" spans="33:33">
      <c r="AG9875" s="10"/>
    </row>
    <row r="9876" spans="33:33">
      <c r="AG9876" s="10"/>
    </row>
    <row r="9877" spans="33:33">
      <c r="AG9877" s="10"/>
    </row>
    <row r="9878" spans="33:33">
      <c r="AG9878" s="10"/>
    </row>
    <row r="9879" spans="33:33">
      <c r="AG9879" s="10"/>
    </row>
    <row r="9880" spans="33:33">
      <c r="AG9880" s="10"/>
    </row>
    <row r="9881" spans="33:33">
      <c r="AG9881" s="10"/>
    </row>
    <row r="9882" spans="33:33">
      <c r="AG9882" s="10"/>
    </row>
    <row r="9883" spans="33:33">
      <c r="AG9883" s="10"/>
    </row>
    <row r="9884" spans="33:33">
      <c r="AG9884" s="10"/>
    </row>
    <row r="9885" spans="33:33">
      <c r="AG9885" s="10"/>
    </row>
    <row r="9886" spans="33:33">
      <c r="AG9886" s="10"/>
    </row>
    <row r="9887" spans="33:33">
      <c r="AG9887" s="10"/>
    </row>
    <row r="9888" spans="33:33">
      <c r="AG9888" s="10"/>
    </row>
    <row r="9889" spans="33:33">
      <c r="AG9889" s="10"/>
    </row>
    <row r="9890" spans="33:33">
      <c r="AG9890" s="10"/>
    </row>
    <row r="9891" spans="33:33">
      <c r="AG9891" s="10"/>
    </row>
    <row r="9892" spans="33:33">
      <c r="AG9892" s="10"/>
    </row>
    <row r="9893" spans="33:33">
      <c r="AG9893" s="10"/>
    </row>
    <row r="9894" spans="33:33">
      <c r="AG9894" s="10"/>
    </row>
    <row r="9895" spans="33:33">
      <c r="AG9895" s="10"/>
    </row>
    <row r="9896" spans="33:33">
      <c r="AG9896" s="10"/>
    </row>
    <row r="9897" spans="33:33">
      <c r="AG9897" s="10"/>
    </row>
    <row r="9898" spans="33:33">
      <c r="AG9898" s="10"/>
    </row>
    <row r="9899" spans="33:33">
      <c r="AG9899" s="10"/>
    </row>
    <row r="9900" spans="33:33">
      <c r="AG9900" s="10"/>
    </row>
    <row r="9901" spans="33:33">
      <c r="AG9901" s="10"/>
    </row>
    <row r="9902" spans="33:33">
      <c r="AG9902" s="10"/>
    </row>
    <row r="9903" spans="33:33">
      <c r="AG9903" s="10"/>
    </row>
    <row r="9904" spans="33:33">
      <c r="AG9904" s="10"/>
    </row>
    <row r="9905" spans="33:33">
      <c r="AG9905" s="10"/>
    </row>
    <row r="9906" spans="33:33">
      <c r="AG9906" s="10"/>
    </row>
    <row r="9907" spans="33:33">
      <c r="AG9907" s="10"/>
    </row>
    <row r="9908" spans="33:33">
      <c r="AG9908" s="10"/>
    </row>
    <row r="9909" spans="33:33">
      <c r="AG9909" s="10"/>
    </row>
    <row r="9910" spans="33:33">
      <c r="AG9910" s="10"/>
    </row>
    <row r="9911" spans="33:33">
      <c r="AG9911" s="10"/>
    </row>
    <row r="9912" spans="33:33">
      <c r="AG9912" s="10"/>
    </row>
    <row r="9913" spans="33:33">
      <c r="AG9913" s="10"/>
    </row>
    <row r="9914" spans="33:33">
      <c r="AG9914" s="10"/>
    </row>
    <row r="9915" spans="33:33">
      <c r="AG9915" s="10"/>
    </row>
    <row r="9916" spans="33:33">
      <c r="AG9916" s="10"/>
    </row>
    <row r="9917" spans="33:33">
      <c r="AG9917" s="10"/>
    </row>
    <row r="9918" spans="33:33">
      <c r="AG9918" s="10"/>
    </row>
    <row r="9919" spans="33:33">
      <c r="AG9919" s="10"/>
    </row>
    <row r="9920" spans="33:33">
      <c r="AG9920" s="10"/>
    </row>
    <row r="9921" spans="33:33">
      <c r="AG9921" s="10"/>
    </row>
    <row r="9922" spans="33:33">
      <c r="AG9922" s="10"/>
    </row>
    <row r="9923" spans="33:33">
      <c r="AG9923" s="10"/>
    </row>
    <row r="9924" spans="33:33">
      <c r="AG9924" s="10"/>
    </row>
    <row r="9925" spans="33:33">
      <c r="AG9925" s="10"/>
    </row>
    <row r="9926" spans="33:33">
      <c r="AG9926" s="10"/>
    </row>
    <row r="9927" spans="33:33">
      <c r="AG9927" s="10"/>
    </row>
    <row r="9928" spans="33:33">
      <c r="AG9928" s="10"/>
    </row>
    <row r="9929" spans="33:33">
      <c r="AG9929" s="10"/>
    </row>
    <row r="9930" spans="33:33">
      <c r="AG9930" s="10"/>
    </row>
    <row r="9931" spans="33:33">
      <c r="AG9931" s="10"/>
    </row>
    <row r="9932" spans="33:33">
      <c r="AG9932" s="10"/>
    </row>
    <row r="9933" spans="33:33">
      <c r="AG9933" s="10"/>
    </row>
    <row r="9934" spans="33:33">
      <c r="AG9934" s="10"/>
    </row>
    <row r="9935" spans="33:33">
      <c r="AG9935" s="10"/>
    </row>
    <row r="9936" spans="33:33">
      <c r="AG9936" s="10"/>
    </row>
    <row r="9937" spans="33:33">
      <c r="AG9937" s="10"/>
    </row>
    <row r="9938" spans="33:33">
      <c r="AG9938" s="10"/>
    </row>
    <row r="9939" spans="33:33">
      <c r="AG9939" s="10"/>
    </row>
    <row r="9940" spans="33:33">
      <c r="AG9940" s="10"/>
    </row>
    <row r="9941" spans="33:33">
      <c r="AG9941" s="10"/>
    </row>
    <row r="9942" spans="33:33">
      <c r="AG9942" s="10"/>
    </row>
    <row r="9943" spans="33:33">
      <c r="AG9943" s="10"/>
    </row>
    <row r="9944" spans="33:33">
      <c r="AG9944" s="10"/>
    </row>
    <row r="9945" spans="33:33">
      <c r="AG9945" s="10"/>
    </row>
    <row r="9946" spans="33:33">
      <c r="AG9946" s="10"/>
    </row>
    <row r="9947" spans="33:33">
      <c r="AG9947" s="10"/>
    </row>
    <row r="9948" spans="33:33">
      <c r="AG9948" s="10"/>
    </row>
    <row r="9949" spans="33:33">
      <c r="AG9949" s="10"/>
    </row>
    <row r="9950" spans="33:33">
      <c r="AG9950" s="10"/>
    </row>
    <row r="9951" spans="33:33">
      <c r="AG9951" s="10"/>
    </row>
    <row r="9952" spans="33:33">
      <c r="AG9952" s="10"/>
    </row>
    <row r="9953" spans="33:33">
      <c r="AG9953" s="10"/>
    </row>
    <row r="9954" spans="33:33">
      <c r="AG9954" s="10"/>
    </row>
    <row r="9955" spans="33:33">
      <c r="AG9955" s="10"/>
    </row>
    <row r="9956" spans="33:33">
      <c r="AG9956" s="10"/>
    </row>
    <row r="9957" spans="33:33">
      <c r="AG9957" s="10"/>
    </row>
    <row r="9958" spans="33:33">
      <c r="AG9958" s="10"/>
    </row>
    <row r="9959" spans="33:33">
      <c r="AG9959" s="10"/>
    </row>
    <row r="9960" spans="33:33">
      <c r="AG9960" s="10"/>
    </row>
    <row r="9961" spans="33:33">
      <c r="AG9961" s="10"/>
    </row>
    <row r="9962" spans="33:33">
      <c r="AG9962" s="10"/>
    </row>
    <row r="9963" spans="33:33">
      <c r="AG9963" s="10"/>
    </row>
    <row r="9964" spans="33:33">
      <c r="AG9964" s="10"/>
    </row>
    <row r="9965" spans="33:33">
      <c r="AG9965" s="10"/>
    </row>
    <row r="9966" spans="33:33">
      <c r="AG9966" s="10"/>
    </row>
    <row r="9967" spans="33:33">
      <c r="AG9967" s="10"/>
    </row>
    <row r="9968" spans="33:33">
      <c r="AG9968" s="10"/>
    </row>
    <row r="9969" spans="33:33">
      <c r="AG9969" s="10"/>
    </row>
    <row r="9970" spans="33:33">
      <c r="AG9970" s="10"/>
    </row>
    <row r="9971" spans="33:33">
      <c r="AG9971" s="10"/>
    </row>
    <row r="9972" spans="33:33">
      <c r="AG9972" s="10"/>
    </row>
    <row r="9973" spans="33:33">
      <c r="AG9973" s="10"/>
    </row>
    <row r="9974" spans="33:33">
      <c r="AG9974" s="10"/>
    </row>
    <row r="9975" spans="33:33">
      <c r="AG9975" s="10"/>
    </row>
    <row r="9976" spans="33:33">
      <c r="AG9976" s="10"/>
    </row>
    <row r="9977" spans="33:33">
      <c r="AG9977" s="10"/>
    </row>
    <row r="9978" spans="33:33">
      <c r="AG9978" s="10"/>
    </row>
    <row r="9979" spans="33:33">
      <c r="AG9979" s="10"/>
    </row>
    <row r="9980" spans="33:33">
      <c r="AG9980" s="10"/>
    </row>
    <row r="9981" spans="33:33">
      <c r="AG9981" s="10"/>
    </row>
    <row r="9982" spans="33:33">
      <c r="AG9982" s="10"/>
    </row>
    <row r="9983" spans="33:33">
      <c r="AG9983" s="10"/>
    </row>
    <row r="9984" spans="33:33">
      <c r="AG9984" s="10"/>
    </row>
    <row r="9985" spans="33:33">
      <c r="AG9985" s="10"/>
    </row>
    <row r="9986" spans="33:33">
      <c r="AG9986" s="10"/>
    </row>
    <row r="9987" spans="33:33">
      <c r="AG9987" s="10"/>
    </row>
    <row r="9988" spans="33:33">
      <c r="AG9988" s="10"/>
    </row>
    <row r="9989" spans="33:33">
      <c r="AG9989" s="10"/>
    </row>
    <row r="9990" spans="33:33">
      <c r="AG9990" s="10"/>
    </row>
    <row r="9991" spans="33:33">
      <c r="AG9991" s="10"/>
    </row>
    <row r="9992" spans="33:33">
      <c r="AG9992" s="10"/>
    </row>
    <row r="9993" spans="33:33">
      <c r="AG9993" s="10"/>
    </row>
    <row r="9994" spans="33:33">
      <c r="AG9994" s="10"/>
    </row>
    <row r="9995" spans="33:33">
      <c r="AG9995" s="10"/>
    </row>
    <row r="9996" spans="33:33">
      <c r="AG9996" s="10"/>
    </row>
    <row r="9997" spans="33:33">
      <c r="AG9997" s="10"/>
    </row>
    <row r="9998" spans="33:33">
      <c r="AG9998" s="10"/>
    </row>
    <row r="9999" spans="33:33">
      <c r="AG9999" s="10"/>
    </row>
    <row r="10000" spans="33:33">
      <c r="AG10000" s="10"/>
    </row>
    <row r="10001" spans="33:33">
      <c r="AG10001" s="10"/>
    </row>
    <row r="10002" spans="33:33">
      <c r="AG10002" s="10"/>
    </row>
    <row r="10003" spans="33:33">
      <c r="AG10003" s="10"/>
    </row>
    <row r="10004" spans="33:33">
      <c r="AG10004" s="10"/>
    </row>
    <row r="10005" spans="33:33">
      <c r="AG10005" s="10"/>
    </row>
    <row r="10006" spans="33:33">
      <c r="AG10006" s="10"/>
    </row>
    <row r="10007" spans="33:33">
      <c r="AG10007" s="10"/>
    </row>
    <row r="10008" spans="33:33">
      <c r="AG10008" s="10"/>
    </row>
    <row r="10009" spans="33:33">
      <c r="AG10009" s="10"/>
    </row>
    <row r="10010" spans="33:33">
      <c r="AG10010" s="10"/>
    </row>
    <row r="10011" spans="33:33">
      <c r="AG10011" s="10"/>
    </row>
    <row r="10012" spans="33:33">
      <c r="AG10012" s="10"/>
    </row>
    <row r="10013" spans="33:33">
      <c r="AG10013" s="10"/>
    </row>
    <row r="10014" spans="33:33">
      <c r="AG10014" s="10"/>
    </row>
    <row r="10015" spans="33:33">
      <c r="AG10015" s="10"/>
    </row>
    <row r="10016" spans="33:33">
      <c r="AG10016" s="10"/>
    </row>
    <row r="10017" spans="33:33">
      <c r="AG10017" s="10"/>
    </row>
    <row r="10018" spans="33:33">
      <c r="AG10018" s="10"/>
    </row>
    <row r="10019" spans="33:33">
      <c r="AG10019" s="10"/>
    </row>
    <row r="10020" spans="33:33">
      <c r="AG10020" s="10"/>
    </row>
    <row r="10021" spans="33:33">
      <c r="AG10021" s="10"/>
    </row>
    <row r="10022" spans="33:33">
      <c r="AG10022" s="10"/>
    </row>
    <row r="10023" spans="33:33">
      <c r="AG10023" s="10"/>
    </row>
    <row r="10024" spans="33:33">
      <c r="AG10024" s="10"/>
    </row>
    <row r="10025" spans="33:33">
      <c r="AG10025" s="10"/>
    </row>
    <row r="10026" spans="33:33">
      <c r="AG10026" s="10"/>
    </row>
    <row r="10027" spans="33:33">
      <c r="AG10027" s="10"/>
    </row>
    <row r="10028" spans="33:33">
      <c r="AG10028" s="10"/>
    </row>
    <row r="10029" spans="33:33">
      <c r="AG10029" s="10"/>
    </row>
    <row r="10030" spans="33:33">
      <c r="AG10030" s="10"/>
    </row>
    <row r="10031" spans="33:33">
      <c r="AG10031" s="10"/>
    </row>
    <row r="10032" spans="33:33">
      <c r="AG10032" s="10"/>
    </row>
    <row r="10033" spans="33:33">
      <c r="AG10033" s="10"/>
    </row>
    <row r="10034" spans="33:33">
      <c r="AG10034" s="10"/>
    </row>
    <row r="10035" spans="33:33">
      <c r="AG10035" s="10"/>
    </row>
    <row r="10036" spans="33:33">
      <c r="AG10036" s="10"/>
    </row>
    <row r="10037" spans="33:33">
      <c r="AG10037" s="10"/>
    </row>
    <row r="10038" spans="33:33">
      <c r="AG10038" s="10"/>
    </row>
    <row r="10039" spans="33:33">
      <c r="AG10039" s="10"/>
    </row>
    <row r="10040" spans="33:33">
      <c r="AG10040" s="10"/>
    </row>
    <row r="10041" spans="33:33">
      <c r="AG10041" s="10"/>
    </row>
    <row r="10042" spans="33:33">
      <c r="AG10042" s="10"/>
    </row>
    <row r="10043" spans="33:33">
      <c r="AG10043" s="10"/>
    </row>
    <row r="10044" spans="33:33">
      <c r="AG10044" s="10"/>
    </row>
    <row r="10045" spans="33:33">
      <c r="AG10045" s="10"/>
    </row>
    <row r="10046" spans="33:33">
      <c r="AG10046" s="10"/>
    </row>
    <row r="10047" spans="33:33">
      <c r="AG10047" s="10"/>
    </row>
    <row r="10048" spans="33:33">
      <c r="AG10048" s="10"/>
    </row>
    <row r="10049" spans="33:33">
      <c r="AG10049" s="10"/>
    </row>
    <row r="10050" spans="33:33">
      <c r="AG10050" s="10"/>
    </row>
    <row r="10051" spans="33:33">
      <c r="AG10051" s="10"/>
    </row>
    <row r="10052" spans="33:33">
      <c r="AG10052" s="10"/>
    </row>
    <row r="10053" spans="33:33">
      <c r="AG10053" s="10"/>
    </row>
    <row r="10054" spans="33:33">
      <c r="AG10054" s="10"/>
    </row>
    <row r="10055" spans="33:33">
      <c r="AG10055" s="10"/>
    </row>
    <row r="10056" spans="33:33">
      <c r="AG10056" s="10"/>
    </row>
    <row r="10057" spans="33:33">
      <c r="AG10057" s="10"/>
    </row>
    <row r="10058" spans="33:33">
      <c r="AG10058" s="10"/>
    </row>
    <row r="10059" spans="33:33">
      <c r="AG10059" s="10"/>
    </row>
    <row r="10060" spans="33:33">
      <c r="AG10060" s="10"/>
    </row>
    <row r="10061" spans="33:33">
      <c r="AG10061" s="10"/>
    </row>
    <row r="10062" spans="33:33">
      <c r="AG10062" s="10"/>
    </row>
    <row r="10063" spans="33:33">
      <c r="AG10063" s="10"/>
    </row>
    <row r="10064" spans="33:33">
      <c r="AG10064" s="10"/>
    </row>
    <row r="10065" spans="33:33">
      <c r="AG10065" s="10"/>
    </row>
    <row r="10066" spans="33:33">
      <c r="AG10066" s="10"/>
    </row>
    <row r="10067" spans="33:33">
      <c r="AG10067" s="10"/>
    </row>
    <row r="10068" spans="33:33">
      <c r="AG10068" s="10"/>
    </row>
    <row r="10069" spans="33:33">
      <c r="AG10069" s="10"/>
    </row>
    <row r="10070" spans="33:33">
      <c r="AG10070" s="10"/>
    </row>
    <row r="10071" spans="33:33">
      <c r="AG10071" s="10"/>
    </row>
    <row r="10072" spans="33:33">
      <c r="AG10072" s="10"/>
    </row>
    <row r="10073" spans="33:33">
      <c r="AG10073" s="10"/>
    </row>
    <row r="10074" spans="33:33">
      <c r="AG10074" s="10"/>
    </row>
    <row r="10075" spans="33:33">
      <c r="AG10075" s="10"/>
    </row>
    <row r="10076" spans="33:33">
      <c r="AG10076" s="10"/>
    </row>
    <row r="10077" spans="33:33">
      <c r="AG10077" s="10"/>
    </row>
    <row r="10078" spans="33:33">
      <c r="AG10078" s="10"/>
    </row>
    <row r="10079" spans="33:33">
      <c r="AG10079" s="10"/>
    </row>
    <row r="10080" spans="33:33">
      <c r="AG10080" s="10"/>
    </row>
    <row r="10081" spans="33:33">
      <c r="AG10081" s="10"/>
    </row>
    <row r="10082" spans="33:33">
      <c r="AG10082" s="10"/>
    </row>
    <row r="10083" spans="33:33">
      <c r="AG10083" s="10"/>
    </row>
    <row r="10084" spans="33:33">
      <c r="AG10084" s="10"/>
    </row>
    <row r="10085" spans="33:33">
      <c r="AG10085" s="10"/>
    </row>
    <row r="10086" spans="33:33">
      <c r="AG10086" s="10"/>
    </row>
    <row r="10087" spans="33:33">
      <c r="AG10087" s="10"/>
    </row>
    <row r="10088" spans="33:33">
      <c r="AG10088" s="10"/>
    </row>
    <row r="10089" spans="33:33">
      <c r="AG10089" s="10"/>
    </row>
    <row r="10090" spans="33:33">
      <c r="AG10090" s="10"/>
    </row>
    <row r="10091" spans="33:33">
      <c r="AG10091" s="10"/>
    </row>
    <row r="10092" spans="33:33">
      <c r="AG10092" s="10"/>
    </row>
    <row r="10093" spans="33:33">
      <c r="AG10093" s="10"/>
    </row>
    <row r="10094" spans="33:33">
      <c r="AG10094" s="10"/>
    </row>
    <row r="10095" spans="33:33">
      <c r="AG10095" s="10"/>
    </row>
    <row r="10096" spans="33:33">
      <c r="AG10096" s="10"/>
    </row>
    <row r="10097" spans="33:33">
      <c r="AG10097" s="10"/>
    </row>
    <row r="10098" spans="33:33">
      <c r="AG10098" s="10"/>
    </row>
    <row r="10099" spans="33:33">
      <c r="AG10099" s="10"/>
    </row>
    <row r="10100" spans="33:33">
      <c r="AG10100" s="10"/>
    </row>
    <row r="10101" spans="33:33">
      <c r="AG10101" s="10"/>
    </row>
    <row r="10102" spans="33:33">
      <c r="AG10102" s="10"/>
    </row>
    <row r="10103" spans="33:33">
      <c r="AG10103" s="10"/>
    </row>
    <row r="10104" spans="33:33">
      <c r="AG10104" s="10"/>
    </row>
    <row r="10105" spans="33:33">
      <c r="AG10105" s="10"/>
    </row>
    <row r="10106" spans="33:33">
      <c r="AG10106" s="10"/>
    </row>
    <row r="10107" spans="33:33">
      <c r="AG10107" s="10"/>
    </row>
    <row r="10108" spans="33:33">
      <c r="AG10108" s="10"/>
    </row>
    <row r="10109" spans="33:33">
      <c r="AG10109" s="10"/>
    </row>
    <row r="10110" spans="33:33">
      <c r="AG10110" s="10"/>
    </row>
    <row r="10111" spans="33:33">
      <c r="AG10111" s="10"/>
    </row>
    <row r="10112" spans="33:33">
      <c r="AG10112" s="10"/>
    </row>
    <row r="10113" spans="33:33">
      <c r="AG10113" s="10"/>
    </row>
    <row r="10114" spans="33:33">
      <c r="AG10114" s="10"/>
    </row>
    <row r="10115" spans="33:33">
      <c r="AG10115" s="10"/>
    </row>
    <row r="10116" spans="33:33">
      <c r="AG10116" s="10"/>
    </row>
    <row r="10117" spans="33:33">
      <c r="AG10117" s="10"/>
    </row>
    <row r="10118" spans="33:33">
      <c r="AG10118" s="10"/>
    </row>
    <row r="10119" spans="33:33">
      <c r="AG10119" s="10"/>
    </row>
    <row r="10120" spans="33:33">
      <c r="AG10120" s="10"/>
    </row>
    <row r="10121" spans="33:33">
      <c r="AG10121" s="10"/>
    </row>
    <row r="10122" spans="33:33">
      <c r="AG10122" s="10"/>
    </row>
    <row r="10123" spans="33:33">
      <c r="AG10123" s="10"/>
    </row>
    <row r="10124" spans="33:33">
      <c r="AG10124" s="10"/>
    </row>
    <row r="10125" spans="33:33">
      <c r="AG10125" s="10"/>
    </row>
    <row r="10126" spans="33:33">
      <c r="AG10126" s="10"/>
    </row>
    <row r="10127" spans="33:33">
      <c r="AG10127" s="10"/>
    </row>
    <row r="10128" spans="33:33">
      <c r="AG10128" s="10"/>
    </row>
    <row r="10129" spans="33:33">
      <c r="AG10129" s="10"/>
    </row>
    <row r="10130" spans="33:33">
      <c r="AG10130" s="10"/>
    </row>
    <row r="10131" spans="33:33">
      <c r="AG10131" s="10"/>
    </row>
    <row r="10132" spans="33:33">
      <c r="AG10132" s="10"/>
    </row>
    <row r="10133" spans="33:33">
      <c r="AG10133" s="10"/>
    </row>
    <row r="10134" spans="33:33">
      <c r="AG10134" s="10"/>
    </row>
    <row r="10135" spans="33:33">
      <c r="AG10135" s="10"/>
    </row>
    <row r="10136" spans="33:33">
      <c r="AG10136" s="10"/>
    </row>
    <row r="10137" spans="33:33">
      <c r="AG10137" s="10"/>
    </row>
    <row r="10138" spans="33:33">
      <c r="AG10138" s="10"/>
    </row>
    <row r="10139" spans="33:33">
      <c r="AG10139" s="10"/>
    </row>
    <row r="10140" spans="33:33">
      <c r="AG10140" s="10"/>
    </row>
    <row r="10141" spans="33:33">
      <c r="AG10141" s="10"/>
    </row>
    <row r="10142" spans="33:33">
      <c r="AG10142" s="10"/>
    </row>
    <row r="10143" spans="33:33">
      <c r="AG10143" s="10"/>
    </row>
    <row r="10144" spans="33:33">
      <c r="AG10144" s="10"/>
    </row>
    <row r="10145" spans="33:33">
      <c r="AG10145" s="10"/>
    </row>
    <row r="10146" spans="33:33">
      <c r="AG10146" s="10"/>
    </row>
    <row r="10147" spans="33:33">
      <c r="AG10147" s="10"/>
    </row>
    <row r="10148" spans="33:33">
      <c r="AG10148" s="10"/>
    </row>
    <row r="10149" spans="33:33">
      <c r="AG10149" s="10"/>
    </row>
    <row r="10150" spans="33:33">
      <c r="AG10150" s="10"/>
    </row>
    <row r="10151" spans="33:33">
      <c r="AG10151" s="10"/>
    </row>
    <row r="10152" spans="33:33">
      <c r="AG10152" s="10"/>
    </row>
    <row r="10153" spans="33:33">
      <c r="AG10153" s="10"/>
    </row>
    <row r="10154" spans="33:33">
      <c r="AG10154" s="10"/>
    </row>
    <row r="10155" spans="33:33">
      <c r="AG10155" s="10"/>
    </row>
    <row r="10156" spans="33:33">
      <c r="AG10156" s="10"/>
    </row>
    <row r="10157" spans="33:33">
      <c r="AG10157" s="10"/>
    </row>
    <row r="10158" spans="33:33">
      <c r="AG10158" s="10"/>
    </row>
    <row r="10159" spans="33:33">
      <c r="AG10159" s="10"/>
    </row>
    <row r="10160" spans="33:33">
      <c r="AG10160" s="10"/>
    </row>
    <row r="10161" spans="33:33">
      <c r="AG10161" s="10"/>
    </row>
    <row r="10162" spans="33:33">
      <c r="AG10162" s="10"/>
    </row>
    <row r="10163" spans="33:33">
      <c r="AG10163" s="10"/>
    </row>
    <row r="10164" spans="33:33">
      <c r="AG10164" s="10"/>
    </row>
    <row r="10165" spans="33:33">
      <c r="AG10165" s="10"/>
    </row>
    <row r="10166" spans="33:33">
      <c r="AG10166" s="10"/>
    </row>
    <row r="10167" spans="33:33">
      <c r="AG10167" s="10"/>
    </row>
    <row r="10168" spans="33:33">
      <c r="AG10168" s="10"/>
    </row>
    <row r="10169" spans="33:33">
      <c r="AG10169" s="10"/>
    </row>
    <row r="10170" spans="33:33">
      <c r="AG10170" s="10"/>
    </row>
    <row r="10171" spans="33:33">
      <c r="AG10171" s="10"/>
    </row>
    <row r="10172" spans="33:33">
      <c r="AG10172" s="10"/>
    </row>
    <row r="10173" spans="33:33">
      <c r="AG10173" s="10"/>
    </row>
    <row r="10174" spans="33:33">
      <c r="AG10174" s="10"/>
    </row>
    <row r="10175" spans="33:33">
      <c r="AG10175" s="10"/>
    </row>
    <row r="10176" spans="33:33">
      <c r="AG10176" s="10"/>
    </row>
    <row r="10177" spans="33:33">
      <c r="AG10177" s="10"/>
    </row>
    <row r="10178" spans="33:33">
      <c r="AG10178" s="10"/>
    </row>
    <row r="10179" spans="33:33">
      <c r="AG10179" s="10"/>
    </row>
    <row r="10180" spans="33:33">
      <c r="AG10180" s="10"/>
    </row>
    <row r="10181" spans="33:33">
      <c r="AG10181" s="10"/>
    </row>
    <row r="10182" spans="33:33">
      <c r="AG10182" s="10"/>
    </row>
    <row r="10183" spans="33:33">
      <c r="AG10183" s="10"/>
    </row>
    <row r="10184" spans="33:33">
      <c r="AG10184" s="10"/>
    </row>
    <row r="10185" spans="33:33">
      <c r="AG10185" s="10"/>
    </row>
    <row r="10186" spans="33:33">
      <c r="AG10186" s="10"/>
    </row>
    <row r="10187" spans="33:33">
      <c r="AG10187" s="10"/>
    </row>
    <row r="10188" spans="33:33">
      <c r="AG10188" s="10"/>
    </row>
    <row r="10189" spans="33:33">
      <c r="AG10189" s="10"/>
    </row>
    <row r="10190" spans="33:33">
      <c r="AG10190" s="10"/>
    </row>
    <row r="10191" spans="33:33">
      <c r="AG10191" s="10"/>
    </row>
    <row r="10192" spans="33:33">
      <c r="AG10192" s="10"/>
    </row>
    <row r="10193" spans="33:33">
      <c r="AG10193" s="10"/>
    </row>
    <row r="10194" spans="33:33">
      <c r="AG10194" s="10"/>
    </row>
    <row r="10195" spans="33:33">
      <c r="AG10195" s="10"/>
    </row>
    <row r="10196" spans="33:33">
      <c r="AG10196" s="10"/>
    </row>
    <row r="10197" spans="33:33">
      <c r="AG10197" s="10"/>
    </row>
    <row r="10198" spans="33:33">
      <c r="AG10198" s="10"/>
    </row>
    <row r="10199" spans="33:33">
      <c r="AG10199" s="10"/>
    </row>
    <row r="10200" spans="33:33">
      <c r="AG10200" s="10"/>
    </row>
    <row r="10201" spans="33:33">
      <c r="AG10201" s="10"/>
    </row>
    <row r="10202" spans="33:33">
      <c r="AG10202" s="10"/>
    </row>
    <row r="10203" spans="33:33">
      <c r="AG10203" s="10"/>
    </row>
    <row r="10204" spans="33:33">
      <c r="AG10204" s="10"/>
    </row>
    <row r="10205" spans="33:33">
      <c r="AG10205" s="10"/>
    </row>
    <row r="10206" spans="33:33">
      <c r="AG10206" s="10"/>
    </row>
    <row r="10207" spans="33:33">
      <c r="AG10207" s="10"/>
    </row>
    <row r="10208" spans="33:33">
      <c r="AG10208" s="10"/>
    </row>
    <row r="10209" spans="33:33">
      <c r="AG10209" s="10"/>
    </row>
    <row r="10210" spans="33:33">
      <c r="AG10210" s="10"/>
    </row>
    <row r="10211" spans="33:33">
      <c r="AG10211" s="10"/>
    </row>
    <row r="10212" spans="33:33">
      <c r="AG10212" s="10"/>
    </row>
    <row r="10213" spans="33:33">
      <c r="AG10213" s="10"/>
    </row>
    <row r="10214" spans="33:33">
      <c r="AG10214" s="10"/>
    </row>
    <row r="10215" spans="33:33">
      <c r="AG10215" s="10"/>
    </row>
    <row r="10216" spans="33:33">
      <c r="AG10216" s="10"/>
    </row>
    <row r="10217" spans="33:33">
      <c r="AG10217" s="10"/>
    </row>
    <row r="10218" spans="33:33">
      <c r="AG10218" s="10"/>
    </row>
    <row r="10219" spans="33:33">
      <c r="AG10219" s="10"/>
    </row>
    <row r="10220" spans="33:33">
      <c r="AG10220" s="10"/>
    </row>
    <row r="10221" spans="33:33">
      <c r="AG10221" s="10"/>
    </row>
    <row r="10222" spans="33:33">
      <c r="AG10222" s="10"/>
    </row>
    <row r="10223" spans="33:33">
      <c r="AG10223" s="10"/>
    </row>
    <row r="10224" spans="33:33">
      <c r="AG10224" s="10"/>
    </row>
    <row r="10225" spans="33:33">
      <c r="AG10225" s="10"/>
    </row>
    <row r="10226" spans="33:33">
      <c r="AG10226" s="10"/>
    </row>
    <row r="10227" spans="33:33">
      <c r="AG10227" s="10"/>
    </row>
    <row r="10228" spans="33:33">
      <c r="AG10228" s="10"/>
    </row>
    <row r="10229" spans="33:33">
      <c r="AG10229" s="10"/>
    </row>
    <row r="10230" spans="33:33">
      <c r="AG10230" s="10"/>
    </row>
    <row r="10231" spans="33:33">
      <c r="AG10231" s="10"/>
    </row>
    <row r="10232" spans="33:33">
      <c r="AG10232" s="10"/>
    </row>
    <row r="10233" spans="33:33">
      <c r="AG10233" s="10"/>
    </row>
    <row r="10234" spans="33:33">
      <c r="AG10234" s="10"/>
    </row>
    <row r="10235" spans="33:33">
      <c r="AG10235" s="10"/>
    </row>
    <row r="10236" spans="33:33">
      <c r="AG10236" s="10"/>
    </row>
    <row r="10237" spans="33:33">
      <c r="AG10237" s="10"/>
    </row>
    <row r="10238" spans="33:33">
      <c r="AG10238" s="10"/>
    </row>
    <row r="10239" spans="33:33">
      <c r="AG10239" s="10"/>
    </row>
    <row r="10240" spans="33:33">
      <c r="AG10240" s="10"/>
    </row>
    <row r="10241" spans="33:33">
      <c r="AG10241" s="10"/>
    </row>
    <row r="10242" spans="33:33">
      <c r="AG10242" s="10"/>
    </row>
    <row r="10243" spans="33:33">
      <c r="AG10243" s="10"/>
    </row>
    <row r="10244" spans="33:33">
      <c r="AG10244" s="10"/>
    </row>
    <row r="10245" spans="33:33">
      <c r="AG10245" s="10"/>
    </row>
    <row r="10246" spans="33:33">
      <c r="AG10246" s="10"/>
    </row>
    <row r="10247" spans="33:33">
      <c r="AG10247" s="10"/>
    </row>
    <row r="10248" spans="33:33">
      <c r="AG10248" s="10"/>
    </row>
    <row r="10249" spans="33:33">
      <c r="AG10249" s="10"/>
    </row>
    <row r="10250" spans="33:33">
      <c r="AG10250" s="10"/>
    </row>
    <row r="10251" spans="33:33">
      <c r="AG10251" s="10"/>
    </row>
    <row r="10252" spans="33:33">
      <c r="AG10252" s="10"/>
    </row>
    <row r="10253" spans="33:33">
      <c r="AG10253" s="10"/>
    </row>
    <row r="10254" spans="33:33">
      <c r="AG10254" s="10"/>
    </row>
    <row r="10255" spans="33:33">
      <c r="AG10255" s="10"/>
    </row>
    <row r="10256" spans="33:33">
      <c r="AG10256" s="10"/>
    </row>
    <row r="10257" spans="33:33">
      <c r="AG10257" s="10"/>
    </row>
    <row r="10258" spans="33:33">
      <c r="AG10258" s="10"/>
    </row>
    <row r="10259" spans="33:33">
      <c r="AG10259" s="10"/>
    </row>
    <row r="10260" spans="33:33">
      <c r="AG10260" s="10"/>
    </row>
    <row r="10261" spans="33:33">
      <c r="AG10261" s="10"/>
    </row>
    <row r="10262" spans="33:33">
      <c r="AG10262" s="10"/>
    </row>
    <row r="10263" spans="33:33">
      <c r="AG10263" s="10"/>
    </row>
    <row r="10264" spans="33:33">
      <c r="AG10264" s="10"/>
    </row>
    <row r="10265" spans="33:33">
      <c r="AG10265" s="10"/>
    </row>
    <row r="10266" spans="33:33">
      <c r="AG10266" s="10"/>
    </row>
    <row r="10267" spans="33:33">
      <c r="AG10267" s="10"/>
    </row>
    <row r="10268" spans="33:33">
      <c r="AG10268" s="10"/>
    </row>
    <row r="10269" spans="33:33">
      <c r="AG10269" s="10"/>
    </row>
    <row r="10270" spans="33:33">
      <c r="AG10270" s="10"/>
    </row>
    <row r="10271" spans="33:33">
      <c r="AG10271" s="10"/>
    </row>
    <row r="10272" spans="33:33">
      <c r="AG10272" s="10"/>
    </row>
    <row r="10273" spans="33:33">
      <c r="AG10273" s="10"/>
    </row>
    <row r="10274" spans="33:33">
      <c r="AG10274" s="10"/>
    </row>
    <row r="10275" spans="33:33">
      <c r="AG10275" s="10"/>
    </row>
    <row r="10276" spans="33:33">
      <c r="AG10276" s="10"/>
    </row>
    <row r="10277" spans="33:33">
      <c r="AG10277" s="10"/>
    </row>
    <row r="10278" spans="33:33">
      <c r="AG10278" s="10"/>
    </row>
    <row r="10279" spans="33:33">
      <c r="AG10279" s="10"/>
    </row>
    <row r="10280" spans="33:33">
      <c r="AG10280" s="10"/>
    </row>
    <row r="10281" spans="33:33">
      <c r="AG10281" s="10"/>
    </row>
    <row r="10282" spans="33:33">
      <c r="AG10282" s="10"/>
    </row>
    <row r="10283" spans="33:33">
      <c r="AG10283" s="10"/>
    </row>
    <row r="10284" spans="33:33">
      <c r="AG10284" s="10"/>
    </row>
    <row r="10285" spans="33:33">
      <c r="AG10285" s="10"/>
    </row>
    <row r="10286" spans="33:33">
      <c r="AG10286" s="10"/>
    </row>
    <row r="10287" spans="33:33">
      <c r="AG10287" s="10"/>
    </row>
    <row r="10288" spans="33:33">
      <c r="AG10288" s="10"/>
    </row>
    <row r="10289" spans="33:33">
      <c r="AG10289" s="10"/>
    </row>
    <row r="10290" spans="33:33">
      <c r="AG10290" s="10"/>
    </row>
    <row r="10291" spans="33:33">
      <c r="AG10291" s="10"/>
    </row>
    <row r="10292" spans="33:33">
      <c r="AG10292" s="10"/>
    </row>
    <row r="10293" spans="33:33">
      <c r="AG10293" s="10"/>
    </row>
    <row r="10294" spans="33:33">
      <c r="AG10294" s="10"/>
    </row>
    <row r="10295" spans="33:33">
      <c r="AG10295" s="10"/>
    </row>
    <row r="10296" spans="33:33">
      <c r="AG10296" s="10"/>
    </row>
    <row r="10297" spans="33:33">
      <c r="AG10297" s="10"/>
    </row>
    <row r="10298" spans="33:33">
      <c r="AG10298" s="10"/>
    </row>
    <row r="10299" spans="33:33">
      <c r="AG10299" s="10"/>
    </row>
    <row r="10300" spans="33:33">
      <c r="AG10300" s="10"/>
    </row>
    <row r="10301" spans="33:33">
      <c r="AG10301" s="10"/>
    </row>
    <row r="10302" spans="33:33">
      <c r="AG10302" s="10"/>
    </row>
    <row r="10303" spans="33:33">
      <c r="AG10303" s="10"/>
    </row>
    <row r="10304" spans="33:33">
      <c r="AG10304" s="10"/>
    </row>
    <row r="10305" spans="33:33">
      <c r="AG10305" s="10"/>
    </row>
    <row r="10306" spans="33:33">
      <c r="AG10306" s="10"/>
    </row>
    <row r="10307" spans="33:33">
      <c r="AG10307" s="10"/>
    </row>
    <row r="10308" spans="33:33">
      <c r="AG10308" s="10"/>
    </row>
    <row r="10309" spans="33:33">
      <c r="AG10309" s="10"/>
    </row>
    <row r="10310" spans="33:33">
      <c r="AG10310" s="10"/>
    </row>
    <row r="10311" spans="33:33">
      <c r="AG10311" s="10"/>
    </row>
    <row r="10312" spans="33:33">
      <c r="AG10312" s="10"/>
    </row>
    <row r="10313" spans="33:33">
      <c r="AG10313" s="10"/>
    </row>
    <row r="10314" spans="33:33">
      <c r="AG10314" s="10"/>
    </row>
    <row r="10315" spans="33:33">
      <c r="AG10315" s="10"/>
    </row>
    <row r="10316" spans="33:33">
      <c r="AG10316" s="10"/>
    </row>
    <row r="10317" spans="33:33">
      <c r="AG10317" s="10"/>
    </row>
    <row r="10318" spans="33:33">
      <c r="AG10318" s="10"/>
    </row>
    <row r="10319" spans="33:33">
      <c r="AG10319" s="10"/>
    </row>
    <row r="10320" spans="33:33">
      <c r="AG10320" s="10"/>
    </row>
    <row r="10321" spans="33:33">
      <c r="AG10321" s="10"/>
    </row>
    <row r="10322" spans="33:33">
      <c r="AG10322" s="10"/>
    </row>
    <row r="10323" spans="33:33">
      <c r="AG10323" s="10"/>
    </row>
    <row r="10324" spans="33:33">
      <c r="AG10324" s="10"/>
    </row>
    <row r="10325" spans="33:33">
      <c r="AG10325" s="10"/>
    </row>
    <row r="10326" spans="33:33">
      <c r="AG10326" s="10"/>
    </row>
    <row r="10327" spans="33:33">
      <c r="AG10327" s="10"/>
    </row>
    <row r="10328" spans="33:33">
      <c r="AG10328" s="10"/>
    </row>
    <row r="10329" spans="33:33">
      <c r="AG10329" s="10"/>
    </row>
    <row r="10330" spans="33:33">
      <c r="AG10330" s="10"/>
    </row>
    <row r="10331" spans="33:33">
      <c r="AG10331" s="10"/>
    </row>
    <row r="10332" spans="33:33">
      <c r="AG10332" s="10"/>
    </row>
    <row r="10333" spans="33:33">
      <c r="AG10333" s="10"/>
    </row>
    <row r="10334" spans="33:33">
      <c r="AG10334" s="10"/>
    </row>
    <row r="10335" spans="33:33">
      <c r="AG10335" s="10"/>
    </row>
    <row r="10336" spans="33:33">
      <c r="AG10336" s="10"/>
    </row>
    <row r="10337" spans="33:33">
      <c r="AG10337" s="10"/>
    </row>
    <row r="10338" spans="33:33">
      <c r="AG10338" s="10"/>
    </row>
    <row r="10339" spans="33:33">
      <c r="AG10339" s="10"/>
    </row>
    <row r="10340" spans="33:33">
      <c r="AG10340" s="10"/>
    </row>
    <row r="10341" spans="33:33">
      <c r="AG10341" s="10"/>
    </row>
    <row r="10342" spans="33:33">
      <c r="AG10342" s="10"/>
    </row>
    <row r="10343" spans="33:33">
      <c r="AG10343" s="10"/>
    </row>
    <row r="10344" spans="33:33">
      <c r="AG10344" s="10"/>
    </row>
    <row r="10345" spans="33:33">
      <c r="AG10345" s="10"/>
    </row>
    <row r="10346" spans="33:33">
      <c r="AG10346" s="10"/>
    </row>
    <row r="10347" spans="33:33">
      <c r="AG10347" s="10"/>
    </row>
    <row r="10348" spans="33:33">
      <c r="AG10348" s="10"/>
    </row>
    <row r="10349" spans="33:33">
      <c r="AG10349" s="10"/>
    </row>
    <row r="10350" spans="33:33">
      <c r="AG10350" s="10"/>
    </row>
    <row r="10351" spans="33:33">
      <c r="AG10351" s="10"/>
    </row>
    <row r="10352" spans="33:33">
      <c r="AG10352" s="10"/>
    </row>
    <row r="10353" spans="33:33">
      <c r="AG10353" s="10"/>
    </row>
    <row r="10354" spans="33:33">
      <c r="AG10354" s="10"/>
    </row>
    <row r="10355" spans="33:33">
      <c r="AG10355" s="10"/>
    </row>
    <row r="10356" spans="33:33">
      <c r="AG10356" s="10"/>
    </row>
    <row r="10357" spans="33:33">
      <c r="AG10357" s="10"/>
    </row>
    <row r="10358" spans="33:33">
      <c r="AG10358" s="10"/>
    </row>
    <row r="10359" spans="33:33">
      <c r="AG10359" s="10"/>
    </row>
    <row r="10360" spans="33:33">
      <c r="AG10360" s="10"/>
    </row>
    <row r="10361" spans="33:33">
      <c r="AG10361" s="10"/>
    </row>
    <row r="10362" spans="33:33">
      <c r="AG10362" s="10"/>
    </row>
    <row r="10363" spans="33:33">
      <c r="AG10363" s="10"/>
    </row>
    <row r="10364" spans="33:33">
      <c r="AG10364" s="10"/>
    </row>
    <row r="10365" spans="33:33">
      <c r="AG10365" s="10"/>
    </row>
    <row r="10366" spans="33:33">
      <c r="AG10366" s="10"/>
    </row>
    <row r="10367" spans="33:33">
      <c r="AG10367" s="10"/>
    </row>
    <row r="10368" spans="33:33">
      <c r="AG10368" s="10"/>
    </row>
    <row r="10369" spans="33:33">
      <c r="AG10369" s="10"/>
    </row>
    <row r="10370" spans="33:33">
      <c r="AG10370" s="10"/>
    </row>
    <row r="10371" spans="33:33">
      <c r="AG10371" s="10"/>
    </row>
    <row r="10372" spans="33:33">
      <c r="AG10372" s="10"/>
    </row>
    <row r="10373" spans="33:33">
      <c r="AG10373" s="10"/>
    </row>
    <row r="10374" spans="33:33">
      <c r="AG10374" s="10"/>
    </row>
    <row r="10375" spans="33:33">
      <c r="AG10375" s="10"/>
    </row>
    <row r="10376" spans="33:33">
      <c r="AG10376" s="10"/>
    </row>
    <row r="10377" spans="33:33">
      <c r="AG10377" s="10"/>
    </row>
    <row r="10378" spans="33:33">
      <c r="AG10378" s="10"/>
    </row>
    <row r="10379" spans="33:33">
      <c r="AG10379" s="10"/>
    </row>
    <row r="10380" spans="33:33">
      <c r="AG10380" s="10"/>
    </row>
    <row r="10381" spans="33:33">
      <c r="AG10381" s="10"/>
    </row>
    <row r="10382" spans="33:33">
      <c r="AG10382" s="10"/>
    </row>
    <row r="10383" spans="33:33">
      <c r="AG10383" s="10"/>
    </row>
    <row r="10384" spans="33:33">
      <c r="AG10384" s="10"/>
    </row>
    <row r="10385" spans="33:33">
      <c r="AG10385" s="10"/>
    </row>
    <row r="10386" spans="33:33">
      <c r="AG10386" s="10"/>
    </row>
    <row r="10387" spans="33:33">
      <c r="AG10387" s="10"/>
    </row>
    <row r="10388" spans="33:33">
      <c r="AG10388" s="10"/>
    </row>
    <row r="10389" spans="33:33">
      <c r="AG10389" s="10"/>
    </row>
    <row r="10390" spans="33:33">
      <c r="AG10390" s="10"/>
    </row>
    <row r="10391" spans="33:33">
      <c r="AG10391" s="10"/>
    </row>
    <row r="10392" spans="33:33">
      <c r="AG10392" s="10"/>
    </row>
    <row r="10393" spans="33:33">
      <c r="AG10393" s="10"/>
    </row>
    <row r="10394" spans="33:33">
      <c r="AG10394" s="10"/>
    </row>
    <row r="10395" spans="33:33">
      <c r="AG10395" s="10"/>
    </row>
    <row r="10396" spans="33:33">
      <c r="AG10396" s="10"/>
    </row>
    <row r="10397" spans="33:33">
      <c r="AG10397" s="10"/>
    </row>
    <row r="10398" spans="33:33">
      <c r="AG10398" s="10"/>
    </row>
    <row r="10399" spans="33:33">
      <c r="AG10399" s="10"/>
    </row>
    <row r="10400" spans="33:33">
      <c r="AG10400" s="10"/>
    </row>
    <row r="10401" spans="33:33">
      <c r="AG10401" s="10"/>
    </row>
    <row r="10402" spans="33:33">
      <c r="AG10402" s="10"/>
    </row>
    <row r="10403" spans="33:33">
      <c r="AG10403" s="10"/>
    </row>
    <row r="10404" spans="33:33">
      <c r="AG10404" s="10"/>
    </row>
    <row r="10405" spans="33:33">
      <c r="AG10405" s="10"/>
    </row>
    <row r="10406" spans="33:33">
      <c r="AG10406" s="10"/>
    </row>
    <row r="10407" spans="33:33">
      <c r="AG10407" s="10"/>
    </row>
    <row r="10408" spans="33:33">
      <c r="AG10408" s="10"/>
    </row>
    <row r="10409" spans="33:33">
      <c r="AG10409" s="10"/>
    </row>
    <row r="10410" spans="33:33">
      <c r="AG10410" s="10"/>
    </row>
    <row r="10411" spans="33:33">
      <c r="AG10411" s="10"/>
    </row>
    <row r="10412" spans="33:33">
      <c r="AG10412" s="10"/>
    </row>
    <row r="10413" spans="33:33">
      <c r="AG10413" s="10"/>
    </row>
    <row r="10414" spans="33:33">
      <c r="AG10414" s="10"/>
    </row>
    <row r="10415" spans="33:33">
      <c r="AG10415" s="10"/>
    </row>
    <row r="10416" spans="33:33">
      <c r="AG10416" s="10"/>
    </row>
    <row r="10417" spans="33:33">
      <c r="AG10417" s="10"/>
    </row>
    <row r="10418" spans="33:33">
      <c r="AG10418" s="10"/>
    </row>
    <row r="10419" spans="33:33">
      <c r="AG10419" s="10"/>
    </row>
    <row r="10420" spans="33:33">
      <c r="AG10420" s="10"/>
    </row>
    <row r="10421" spans="33:33">
      <c r="AG10421" s="10"/>
    </row>
    <row r="10422" spans="33:33">
      <c r="AG10422" s="10"/>
    </row>
    <row r="10423" spans="33:33">
      <c r="AG10423" s="10"/>
    </row>
    <row r="10424" spans="33:33">
      <c r="AG10424" s="10"/>
    </row>
    <row r="10425" spans="33:33">
      <c r="AG10425" s="10"/>
    </row>
    <row r="10426" spans="33:33">
      <c r="AG10426" s="10"/>
    </row>
    <row r="10427" spans="33:33">
      <c r="AG10427" s="10"/>
    </row>
    <row r="10428" spans="33:33">
      <c r="AG10428" s="10"/>
    </row>
    <row r="10429" spans="33:33">
      <c r="AG10429" s="10"/>
    </row>
    <row r="10430" spans="33:33">
      <c r="AG10430" s="10"/>
    </row>
    <row r="10431" spans="33:33">
      <c r="AG10431" s="10"/>
    </row>
    <row r="10432" spans="33:33">
      <c r="AG10432" s="10"/>
    </row>
    <row r="10433" spans="33:33">
      <c r="AG10433" s="10"/>
    </row>
    <row r="10434" spans="33:33">
      <c r="AG10434" s="10"/>
    </row>
    <row r="10435" spans="33:33">
      <c r="AG10435" s="10"/>
    </row>
    <row r="10436" spans="33:33">
      <c r="AG10436" s="10"/>
    </row>
    <row r="10437" spans="33:33">
      <c r="AG10437" s="10"/>
    </row>
    <row r="10438" spans="33:33">
      <c r="AG10438" s="10"/>
    </row>
    <row r="10439" spans="33:33">
      <c r="AG10439" s="10"/>
    </row>
    <row r="10440" spans="33:33">
      <c r="AG10440" s="10"/>
    </row>
    <row r="10441" spans="33:33">
      <c r="AG10441" s="10"/>
    </row>
    <row r="10442" spans="33:33">
      <c r="AG10442" s="10"/>
    </row>
    <row r="10443" spans="33:33">
      <c r="AG10443" s="10"/>
    </row>
    <row r="10444" spans="33:33">
      <c r="AG10444" s="10"/>
    </row>
    <row r="10445" spans="33:33">
      <c r="AG10445" s="10"/>
    </row>
    <row r="10446" spans="33:33">
      <c r="AG10446" s="10"/>
    </row>
    <row r="10447" spans="33:33">
      <c r="AG10447" s="10"/>
    </row>
    <row r="10448" spans="33:33">
      <c r="AG10448" s="10"/>
    </row>
    <row r="10449" spans="33:33">
      <c r="AG10449" s="10"/>
    </row>
    <row r="10450" spans="33:33">
      <c r="AG10450" s="10"/>
    </row>
    <row r="10451" spans="33:33">
      <c r="AG10451" s="10"/>
    </row>
    <row r="10452" spans="33:33">
      <c r="AG10452" s="10"/>
    </row>
    <row r="10453" spans="33:33">
      <c r="AG10453" s="10"/>
    </row>
    <row r="10454" spans="33:33">
      <c r="AG10454" s="10"/>
    </row>
    <row r="10455" spans="33:33">
      <c r="AG10455" s="10"/>
    </row>
    <row r="10456" spans="33:33">
      <c r="AG10456" s="10"/>
    </row>
    <row r="10457" spans="33:33">
      <c r="AG10457" s="10"/>
    </row>
    <row r="10458" spans="33:33">
      <c r="AG10458" s="10"/>
    </row>
    <row r="10459" spans="33:33">
      <c r="AG10459" s="10"/>
    </row>
    <row r="10460" spans="33:33">
      <c r="AG10460" s="10"/>
    </row>
    <row r="10461" spans="33:33">
      <c r="AG10461" s="10"/>
    </row>
    <row r="10462" spans="33:33">
      <c r="AG10462" s="10"/>
    </row>
    <row r="10463" spans="33:33">
      <c r="AG10463" s="10"/>
    </row>
    <row r="10464" spans="33:33">
      <c r="AG10464" s="10"/>
    </row>
    <row r="10465" spans="33:33">
      <c r="AG10465" s="10"/>
    </row>
    <row r="10466" spans="33:33">
      <c r="AG10466" s="10"/>
    </row>
    <row r="10467" spans="33:33">
      <c r="AG10467" s="10"/>
    </row>
    <row r="10468" spans="33:33">
      <c r="AG10468" s="10"/>
    </row>
    <row r="10469" spans="33:33">
      <c r="AG10469" s="10"/>
    </row>
    <row r="10470" spans="33:33">
      <c r="AG10470" s="10"/>
    </row>
    <row r="10471" spans="33:33">
      <c r="AG10471" s="10"/>
    </row>
    <row r="10472" spans="33:33">
      <c r="AG10472" s="10"/>
    </row>
    <row r="10473" spans="33:33">
      <c r="AG10473" s="10"/>
    </row>
    <row r="10474" spans="33:33">
      <c r="AG10474" s="10"/>
    </row>
    <row r="10475" spans="33:33">
      <c r="AG10475" s="10"/>
    </row>
    <row r="10476" spans="33:33">
      <c r="AG10476" s="10"/>
    </row>
    <row r="10477" spans="33:33">
      <c r="AG10477" s="10"/>
    </row>
    <row r="10478" spans="33:33">
      <c r="AG10478" s="10"/>
    </row>
    <row r="10479" spans="33:33">
      <c r="AG10479" s="10"/>
    </row>
    <row r="10480" spans="33:33">
      <c r="AG10480" s="10"/>
    </row>
    <row r="10481" spans="33:33">
      <c r="AG10481" s="10"/>
    </row>
    <row r="10482" spans="33:33">
      <c r="AG10482" s="10"/>
    </row>
    <row r="10483" spans="33:33">
      <c r="AG10483" s="10"/>
    </row>
    <row r="10484" spans="33:33">
      <c r="AG10484" s="10"/>
    </row>
    <row r="10485" spans="33:33">
      <c r="AG10485" s="10"/>
    </row>
    <row r="10486" spans="33:33">
      <c r="AG10486" s="10"/>
    </row>
    <row r="10487" spans="33:33">
      <c r="AG10487" s="10"/>
    </row>
    <row r="10488" spans="33:33">
      <c r="AG10488" s="10"/>
    </row>
    <row r="10489" spans="33:33">
      <c r="AG10489" s="10"/>
    </row>
    <row r="10490" spans="33:33">
      <c r="AG10490" s="10"/>
    </row>
    <row r="10491" spans="33:33">
      <c r="AG10491" s="10"/>
    </row>
    <row r="10492" spans="33:33">
      <c r="AG10492" s="10"/>
    </row>
    <row r="10493" spans="33:33">
      <c r="AG10493" s="10"/>
    </row>
    <row r="10494" spans="33:33">
      <c r="AG10494" s="10"/>
    </row>
    <row r="10495" spans="33:33">
      <c r="AG10495" s="10"/>
    </row>
    <row r="10496" spans="33:33">
      <c r="AG10496" s="10"/>
    </row>
    <row r="10497" spans="33:33">
      <c r="AG10497" s="10"/>
    </row>
    <row r="10498" spans="33:33">
      <c r="AG10498" s="10"/>
    </row>
    <row r="10499" spans="33:33">
      <c r="AG10499" s="10"/>
    </row>
    <row r="10500" spans="33:33">
      <c r="AG10500" s="10"/>
    </row>
    <row r="10501" spans="33:33">
      <c r="AG10501" s="10"/>
    </row>
    <row r="10502" spans="33:33">
      <c r="AG10502" s="10"/>
    </row>
    <row r="10503" spans="33:33">
      <c r="AG10503" s="10"/>
    </row>
    <row r="10504" spans="33:33">
      <c r="AG10504" s="10"/>
    </row>
    <row r="10505" spans="33:33">
      <c r="AG10505" s="10"/>
    </row>
    <row r="10506" spans="33:33">
      <c r="AG10506" s="10"/>
    </row>
    <row r="10507" spans="33:33">
      <c r="AG10507" s="10"/>
    </row>
    <row r="10508" spans="33:33">
      <c r="AG10508" s="10"/>
    </row>
    <row r="10509" spans="33:33">
      <c r="AG10509" s="10"/>
    </row>
    <row r="10510" spans="33:33">
      <c r="AG10510" s="10"/>
    </row>
    <row r="10511" spans="33:33">
      <c r="AG10511" s="10"/>
    </row>
    <row r="10512" spans="33:33">
      <c r="AG10512" s="10"/>
    </row>
    <row r="10513" spans="33:33">
      <c r="AG10513" s="10"/>
    </row>
    <row r="10514" spans="33:33">
      <c r="AG10514" s="10"/>
    </row>
    <row r="10515" spans="33:33">
      <c r="AG10515" s="10"/>
    </row>
    <row r="10516" spans="33:33">
      <c r="AG10516" s="10"/>
    </row>
    <row r="10517" spans="33:33">
      <c r="AG10517" s="10"/>
    </row>
    <row r="10518" spans="33:33">
      <c r="AG10518" s="10"/>
    </row>
    <row r="10519" spans="33:33">
      <c r="AG10519" s="10"/>
    </row>
    <row r="10520" spans="33:33">
      <c r="AG10520" s="10"/>
    </row>
    <row r="10521" spans="33:33">
      <c r="AG10521" s="10"/>
    </row>
    <row r="10522" spans="33:33">
      <c r="AG10522" s="10"/>
    </row>
    <row r="10523" spans="33:33">
      <c r="AG10523" s="10"/>
    </row>
    <row r="10524" spans="33:33">
      <c r="AG10524" s="10"/>
    </row>
    <row r="10525" spans="33:33">
      <c r="AG10525" s="10"/>
    </row>
    <row r="10526" spans="33:33">
      <c r="AG10526" s="10"/>
    </row>
    <row r="10527" spans="33:33">
      <c r="AG10527" s="10"/>
    </row>
    <row r="10528" spans="33:33">
      <c r="AG10528" s="10"/>
    </row>
    <row r="10529" spans="33:33">
      <c r="AG10529" s="10"/>
    </row>
    <row r="10530" spans="33:33">
      <c r="AG10530" s="10"/>
    </row>
    <row r="10531" spans="33:33">
      <c r="AG10531" s="10"/>
    </row>
    <row r="10532" spans="33:33">
      <c r="AG10532" s="10"/>
    </row>
    <row r="10533" spans="33:33">
      <c r="AG10533" s="10"/>
    </row>
    <row r="10534" spans="33:33">
      <c r="AG10534" s="10"/>
    </row>
    <row r="10535" spans="33:33">
      <c r="AG10535" s="10"/>
    </row>
    <row r="10536" spans="33:33">
      <c r="AG10536" s="10"/>
    </row>
    <row r="10537" spans="33:33">
      <c r="AG10537" s="10"/>
    </row>
    <row r="10538" spans="33:33">
      <c r="AG10538" s="10"/>
    </row>
    <row r="10539" spans="33:33">
      <c r="AG10539" s="10"/>
    </row>
    <row r="10540" spans="33:33">
      <c r="AG10540" s="10"/>
    </row>
    <row r="10541" spans="33:33">
      <c r="AG10541" s="10"/>
    </row>
    <row r="10542" spans="33:33">
      <c r="AG10542" s="10"/>
    </row>
    <row r="10543" spans="33:33">
      <c r="AG10543" s="10"/>
    </row>
    <row r="10544" spans="33:33">
      <c r="AG10544" s="10"/>
    </row>
    <row r="10545" spans="33:33">
      <c r="AG10545" s="10"/>
    </row>
    <row r="10546" spans="33:33">
      <c r="AG10546" s="10"/>
    </row>
    <row r="10547" spans="33:33">
      <c r="AG10547" s="10"/>
    </row>
    <row r="10548" spans="33:33">
      <c r="AG10548" s="10"/>
    </row>
    <row r="10549" spans="33:33">
      <c r="AG10549" s="10"/>
    </row>
    <row r="10550" spans="33:33">
      <c r="AG10550" s="10"/>
    </row>
    <row r="10551" spans="33:33">
      <c r="AG10551" s="10"/>
    </row>
    <row r="10552" spans="33:33">
      <c r="AG10552" s="10"/>
    </row>
    <row r="10553" spans="33:33">
      <c r="AG10553" s="10"/>
    </row>
    <row r="10554" spans="33:33">
      <c r="AG10554" s="10"/>
    </row>
    <row r="10555" spans="33:33">
      <c r="AG10555" s="10"/>
    </row>
    <row r="10556" spans="33:33">
      <c r="AG10556" s="10"/>
    </row>
    <row r="10557" spans="33:33">
      <c r="AG10557" s="10"/>
    </row>
    <row r="10558" spans="33:33">
      <c r="AG10558" s="10"/>
    </row>
    <row r="10559" spans="33:33">
      <c r="AG10559" s="10"/>
    </row>
    <row r="10560" spans="33:33">
      <c r="AG10560" s="10"/>
    </row>
    <row r="10561" spans="33:33">
      <c r="AG10561" s="10"/>
    </row>
    <row r="10562" spans="33:33">
      <c r="AG10562" s="10"/>
    </row>
    <row r="10563" spans="33:33">
      <c r="AG10563" s="10"/>
    </row>
    <row r="10564" spans="33:33">
      <c r="AG10564" s="10"/>
    </row>
    <row r="10565" spans="33:33">
      <c r="AG10565" s="10"/>
    </row>
    <row r="10566" spans="33:33">
      <c r="AG10566" s="10"/>
    </row>
    <row r="10567" spans="33:33">
      <c r="AG10567" s="10"/>
    </row>
    <row r="10568" spans="33:33">
      <c r="AG10568" s="10"/>
    </row>
    <row r="10569" spans="33:33">
      <c r="AG10569" s="10"/>
    </row>
    <row r="10570" spans="33:33">
      <c r="AG10570" s="10"/>
    </row>
    <row r="10571" spans="33:33">
      <c r="AG10571" s="10"/>
    </row>
    <row r="10572" spans="33:33">
      <c r="AG10572" s="10"/>
    </row>
    <row r="10573" spans="33:33">
      <c r="AG10573" s="10"/>
    </row>
    <row r="10574" spans="33:33">
      <c r="AG10574" s="10"/>
    </row>
    <row r="10575" spans="33:33">
      <c r="AG10575" s="10"/>
    </row>
    <row r="10576" spans="33:33">
      <c r="AG10576" s="10"/>
    </row>
    <row r="10577" spans="33:33">
      <c r="AG10577" s="10"/>
    </row>
    <row r="10578" spans="33:33">
      <c r="AG10578" s="10"/>
    </row>
    <row r="10579" spans="33:33">
      <c r="AG10579" s="10"/>
    </row>
    <row r="10580" spans="33:33">
      <c r="AG10580" s="10"/>
    </row>
    <row r="10581" spans="33:33">
      <c r="AG10581" s="10"/>
    </row>
    <row r="10582" spans="33:33">
      <c r="AG10582" s="10"/>
    </row>
    <row r="10583" spans="33:33">
      <c r="AG10583" s="10"/>
    </row>
    <row r="10584" spans="33:33">
      <c r="AG10584" s="10"/>
    </row>
    <row r="10585" spans="33:33">
      <c r="AG10585" s="10"/>
    </row>
    <row r="10586" spans="33:33">
      <c r="AG10586" s="10"/>
    </row>
    <row r="10587" spans="33:33">
      <c r="AG10587" s="10"/>
    </row>
    <row r="10588" spans="33:33">
      <c r="AG10588" s="10"/>
    </row>
    <row r="10589" spans="33:33">
      <c r="AG10589" s="10"/>
    </row>
    <row r="10590" spans="33:33">
      <c r="AG10590" s="10"/>
    </row>
    <row r="10591" spans="33:33">
      <c r="AG10591" s="10"/>
    </row>
    <row r="10592" spans="33:33">
      <c r="AG10592" s="10"/>
    </row>
    <row r="10593" spans="33:33">
      <c r="AG10593" s="10"/>
    </row>
    <row r="10594" spans="33:33">
      <c r="AG10594" s="10"/>
    </row>
    <row r="10595" spans="33:33">
      <c r="AG10595" s="10"/>
    </row>
    <row r="10596" spans="33:33">
      <c r="AG10596" s="10"/>
    </row>
    <row r="10597" spans="33:33">
      <c r="AG10597" s="10"/>
    </row>
    <row r="10598" spans="33:33">
      <c r="AG10598" s="10"/>
    </row>
    <row r="10599" spans="33:33">
      <c r="AG10599" s="10"/>
    </row>
    <row r="10600" spans="33:33">
      <c r="AG10600" s="10"/>
    </row>
    <row r="10601" spans="33:33">
      <c r="AG10601" s="10"/>
    </row>
    <row r="10602" spans="33:33">
      <c r="AG10602" s="10"/>
    </row>
    <row r="10603" spans="33:33">
      <c r="AG10603" s="10"/>
    </row>
    <row r="10604" spans="33:33">
      <c r="AG10604" s="10"/>
    </row>
    <row r="10605" spans="33:33">
      <c r="AG10605" s="10"/>
    </row>
    <row r="10606" spans="33:33">
      <c r="AG10606" s="10"/>
    </row>
    <row r="10607" spans="33:33">
      <c r="AG10607" s="10"/>
    </row>
    <row r="10608" spans="33:33">
      <c r="AG10608" s="10"/>
    </row>
    <row r="10609" spans="33:33">
      <c r="AG10609" s="10"/>
    </row>
    <row r="10610" spans="33:33">
      <c r="AG10610" s="10"/>
    </row>
    <row r="10611" spans="33:33">
      <c r="AG10611" s="10"/>
    </row>
    <row r="10612" spans="33:33">
      <c r="AG10612" s="10"/>
    </row>
    <row r="10613" spans="33:33">
      <c r="AG10613" s="10"/>
    </row>
    <row r="10614" spans="33:33">
      <c r="AG10614" s="10"/>
    </row>
    <row r="10615" spans="33:33">
      <c r="AG10615" s="10"/>
    </row>
    <row r="10616" spans="33:33">
      <c r="AG10616" s="10"/>
    </row>
    <row r="10617" spans="33:33">
      <c r="AG10617" s="10"/>
    </row>
    <row r="10618" spans="33:33">
      <c r="AG10618" s="10"/>
    </row>
    <row r="10619" spans="33:33">
      <c r="AG10619" s="10"/>
    </row>
    <row r="10620" spans="33:33">
      <c r="AG10620" s="10"/>
    </row>
    <row r="10621" spans="33:33">
      <c r="AG10621" s="10"/>
    </row>
    <row r="10622" spans="33:33">
      <c r="AG10622" s="10"/>
    </row>
    <row r="10623" spans="33:33">
      <c r="AG10623" s="10"/>
    </row>
    <row r="10624" spans="33:33">
      <c r="AG10624" s="10"/>
    </row>
    <row r="10625" spans="33:33">
      <c r="AG10625" s="10"/>
    </row>
    <row r="10626" spans="33:33">
      <c r="AG10626" s="10"/>
    </row>
    <row r="10627" spans="33:33">
      <c r="AG10627" s="10"/>
    </row>
    <row r="10628" spans="33:33">
      <c r="AG10628" s="10"/>
    </row>
    <row r="10629" spans="33:33">
      <c r="AG10629" s="10"/>
    </row>
    <row r="10630" spans="33:33">
      <c r="AG10630" s="10"/>
    </row>
    <row r="10631" spans="33:33">
      <c r="AG10631" s="10"/>
    </row>
    <row r="10632" spans="33:33">
      <c r="AG10632" s="10"/>
    </row>
    <row r="10633" spans="33:33">
      <c r="AG10633" s="10"/>
    </row>
    <row r="10634" spans="33:33">
      <c r="AG10634" s="10"/>
    </row>
    <row r="10635" spans="33:33">
      <c r="AG10635" s="10"/>
    </row>
    <row r="10636" spans="33:33">
      <c r="AG10636" s="10"/>
    </row>
    <row r="10637" spans="33:33">
      <c r="AG10637" s="10"/>
    </row>
    <row r="10638" spans="33:33">
      <c r="AG10638" s="10"/>
    </row>
    <row r="10639" spans="33:33">
      <c r="AG10639" s="10"/>
    </row>
    <row r="10640" spans="33:33">
      <c r="AG10640" s="10"/>
    </row>
    <row r="10641" spans="33:33">
      <c r="AG10641" s="10"/>
    </row>
    <row r="10642" spans="33:33">
      <c r="AG10642" s="10"/>
    </row>
    <row r="10643" spans="33:33">
      <c r="AG10643" s="10"/>
    </row>
    <row r="10644" spans="33:33">
      <c r="AG10644" s="10"/>
    </row>
    <row r="10645" spans="33:33">
      <c r="AG10645" s="10"/>
    </row>
    <row r="10646" spans="33:33">
      <c r="AG10646" s="10"/>
    </row>
    <row r="10647" spans="33:33">
      <c r="AG10647" s="10"/>
    </row>
    <row r="10648" spans="33:33">
      <c r="AG10648" s="10"/>
    </row>
    <row r="10649" spans="33:33">
      <c r="AG10649" s="10"/>
    </row>
    <row r="10650" spans="33:33">
      <c r="AG10650" s="10"/>
    </row>
    <row r="10651" spans="33:33">
      <c r="AG10651" s="10"/>
    </row>
    <row r="10652" spans="33:33">
      <c r="AG10652" s="10"/>
    </row>
    <row r="10653" spans="33:33">
      <c r="AG10653" s="10"/>
    </row>
    <row r="10654" spans="33:33">
      <c r="AG10654" s="10"/>
    </row>
    <row r="10655" spans="33:33">
      <c r="AG10655" s="10"/>
    </row>
    <row r="10656" spans="33:33">
      <c r="AG10656" s="10"/>
    </row>
    <row r="10657" spans="33:33">
      <c r="AG10657" s="10"/>
    </row>
    <row r="10658" spans="33:33">
      <c r="AG10658" s="10"/>
    </row>
    <row r="10659" spans="33:33">
      <c r="AG10659" s="10"/>
    </row>
    <row r="10660" spans="33:33">
      <c r="AG10660" s="10"/>
    </row>
    <row r="10661" spans="33:33">
      <c r="AG10661" s="10"/>
    </row>
    <row r="10662" spans="33:33">
      <c r="AG10662" s="10"/>
    </row>
    <row r="10663" spans="33:33">
      <c r="AG10663" s="10"/>
    </row>
    <row r="10664" spans="33:33">
      <c r="AG10664" s="10"/>
    </row>
    <row r="10665" spans="33:33">
      <c r="AG10665" s="10"/>
    </row>
    <row r="10666" spans="33:33">
      <c r="AG10666" s="10"/>
    </row>
    <row r="10667" spans="33:33">
      <c r="AG10667" s="10"/>
    </row>
    <row r="10668" spans="33:33">
      <c r="AG10668" s="10"/>
    </row>
    <row r="10669" spans="33:33">
      <c r="AG10669" s="10"/>
    </row>
    <row r="10670" spans="33:33">
      <c r="AG10670" s="10"/>
    </row>
    <row r="10671" spans="33:33">
      <c r="AG10671" s="10"/>
    </row>
    <row r="10672" spans="33:33">
      <c r="AG10672" s="10"/>
    </row>
    <row r="10673" spans="33:33">
      <c r="AG10673" s="10"/>
    </row>
    <row r="10674" spans="33:33">
      <c r="AG10674" s="10"/>
    </row>
    <row r="10675" spans="33:33">
      <c r="AG10675" s="10"/>
    </row>
    <row r="10676" spans="33:33">
      <c r="AG10676" s="10"/>
    </row>
    <row r="10677" spans="33:33">
      <c r="AG10677" s="10"/>
    </row>
    <row r="10678" spans="33:33">
      <c r="AG10678" s="10"/>
    </row>
    <row r="10679" spans="33:33">
      <c r="AG10679" s="10"/>
    </row>
    <row r="10680" spans="33:33">
      <c r="AG10680" s="10"/>
    </row>
    <row r="10681" spans="33:33">
      <c r="AG10681" s="10"/>
    </row>
    <row r="10682" spans="33:33">
      <c r="AG10682" s="10"/>
    </row>
    <row r="10683" spans="33:33">
      <c r="AG10683" s="10"/>
    </row>
    <row r="10684" spans="33:33">
      <c r="AG10684" s="10"/>
    </row>
    <row r="10685" spans="33:33">
      <c r="AG10685" s="10"/>
    </row>
    <row r="10686" spans="33:33">
      <c r="AG10686" s="10"/>
    </row>
    <row r="10687" spans="33:33">
      <c r="AG10687" s="10"/>
    </row>
    <row r="10688" spans="33:33">
      <c r="AG10688" s="10"/>
    </row>
    <row r="10689" spans="33:33">
      <c r="AG10689" s="10"/>
    </row>
    <row r="10690" spans="33:33">
      <c r="AG10690" s="10"/>
    </row>
    <row r="10691" spans="33:33">
      <c r="AG10691" s="10"/>
    </row>
    <row r="10692" spans="33:33">
      <c r="AG10692" s="10"/>
    </row>
    <row r="10693" spans="33:33">
      <c r="AG10693" s="10"/>
    </row>
    <row r="10694" spans="33:33">
      <c r="AG10694" s="10"/>
    </row>
    <row r="10695" spans="33:33">
      <c r="AG10695" s="10"/>
    </row>
    <row r="10696" spans="33:33">
      <c r="AG10696" s="10"/>
    </row>
    <row r="10697" spans="33:33">
      <c r="AG10697" s="10"/>
    </row>
    <row r="10698" spans="33:33">
      <c r="AG10698" s="10"/>
    </row>
    <row r="10699" spans="33:33">
      <c r="AG10699" s="10"/>
    </row>
    <row r="10700" spans="33:33">
      <c r="AG10700" s="10"/>
    </row>
    <row r="10701" spans="33:33">
      <c r="AG10701" s="10"/>
    </row>
    <row r="10702" spans="33:33">
      <c r="AG10702" s="10"/>
    </row>
    <row r="10703" spans="33:33">
      <c r="AG10703" s="10"/>
    </row>
    <row r="10704" spans="33:33">
      <c r="AG10704" s="10"/>
    </row>
    <row r="10705" spans="33:33">
      <c r="AG10705" s="10"/>
    </row>
    <row r="10706" spans="33:33">
      <c r="AG10706" s="10"/>
    </row>
    <row r="10707" spans="33:33">
      <c r="AG10707" s="10"/>
    </row>
    <row r="10708" spans="33:33">
      <c r="AG10708" s="10"/>
    </row>
    <row r="10709" spans="33:33">
      <c r="AG10709" s="10"/>
    </row>
    <row r="10710" spans="33:33">
      <c r="AG10710" s="10"/>
    </row>
    <row r="10711" spans="33:33">
      <c r="AG10711" s="10"/>
    </row>
    <row r="10712" spans="33:33">
      <c r="AG10712" s="10"/>
    </row>
    <row r="10713" spans="33:33">
      <c r="AG10713" s="10"/>
    </row>
    <row r="10714" spans="33:33">
      <c r="AG10714" s="10"/>
    </row>
    <row r="10715" spans="33:33">
      <c r="AG10715" s="10"/>
    </row>
    <row r="10716" spans="33:33">
      <c r="AG10716" s="10"/>
    </row>
    <row r="10717" spans="33:33">
      <c r="AG10717" s="10"/>
    </row>
    <row r="10718" spans="33:33">
      <c r="AG10718" s="10"/>
    </row>
    <row r="10719" spans="33:33">
      <c r="AG10719" s="10"/>
    </row>
    <row r="10720" spans="33:33">
      <c r="AG10720" s="10"/>
    </row>
    <row r="10721" spans="33:33">
      <c r="AG10721" s="10"/>
    </row>
    <row r="10722" spans="33:33">
      <c r="AG10722" s="10"/>
    </row>
    <row r="10723" spans="33:33">
      <c r="AG10723" s="10"/>
    </row>
    <row r="10724" spans="33:33">
      <c r="AG10724" s="10"/>
    </row>
    <row r="10725" spans="33:33">
      <c r="AG10725" s="10"/>
    </row>
    <row r="10726" spans="33:33">
      <c r="AG10726" s="10"/>
    </row>
    <row r="10727" spans="33:33">
      <c r="AG10727" s="10"/>
    </row>
    <row r="10728" spans="33:33">
      <c r="AG10728" s="10"/>
    </row>
    <row r="10729" spans="33:33">
      <c r="AG10729" s="10"/>
    </row>
    <row r="10730" spans="33:33">
      <c r="AG10730" s="10"/>
    </row>
    <row r="10731" spans="33:33">
      <c r="AG10731" s="10"/>
    </row>
    <row r="10732" spans="33:33">
      <c r="AG10732" s="10"/>
    </row>
    <row r="10733" spans="33:33">
      <c r="AG10733" s="10"/>
    </row>
    <row r="10734" spans="33:33">
      <c r="AG10734" s="10"/>
    </row>
    <row r="10735" spans="33:33">
      <c r="AG10735" s="10"/>
    </row>
    <row r="10736" spans="33:33">
      <c r="AG10736" s="10"/>
    </row>
    <row r="10737" spans="33:33">
      <c r="AG10737" s="10"/>
    </row>
    <row r="10738" spans="33:33">
      <c r="AG10738" s="10"/>
    </row>
    <row r="10739" spans="33:33">
      <c r="AG10739" s="10"/>
    </row>
    <row r="10740" spans="33:33">
      <c r="AG10740" s="10"/>
    </row>
    <row r="10741" spans="33:33">
      <c r="AG10741" s="10"/>
    </row>
    <row r="10742" spans="33:33">
      <c r="AG10742" s="10"/>
    </row>
    <row r="10743" spans="33:33">
      <c r="AG10743" s="10"/>
    </row>
    <row r="10744" spans="33:33">
      <c r="AG10744" s="10"/>
    </row>
    <row r="10745" spans="33:33">
      <c r="AG10745" s="10"/>
    </row>
    <row r="10746" spans="33:33">
      <c r="AG10746" s="10"/>
    </row>
    <row r="10747" spans="33:33">
      <c r="AG10747" s="10"/>
    </row>
    <row r="10748" spans="33:33">
      <c r="AG10748" s="10"/>
    </row>
    <row r="10749" spans="33:33">
      <c r="AG10749" s="10"/>
    </row>
    <row r="10750" spans="33:33">
      <c r="AG10750" s="10"/>
    </row>
    <row r="10751" spans="33:33">
      <c r="AG10751" s="10"/>
    </row>
    <row r="10752" spans="33:33">
      <c r="AG10752" s="10"/>
    </row>
    <row r="10753" spans="33:33">
      <c r="AG10753" s="10"/>
    </row>
    <row r="10754" spans="33:33">
      <c r="AG10754" s="10"/>
    </row>
    <row r="10755" spans="33:33">
      <c r="AG10755" s="10"/>
    </row>
    <row r="10756" spans="33:33">
      <c r="AG10756" s="10"/>
    </row>
    <row r="10757" spans="33:33">
      <c r="AG10757" s="10"/>
    </row>
    <row r="10758" spans="33:33">
      <c r="AG10758" s="10"/>
    </row>
    <row r="10759" spans="33:33">
      <c r="AG10759" s="10"/>
    </row>
    <row r="10760" spans="33:33">
      <c r="AG10760" s="10"/>
    </row>
    <row r="10761" spans="33:33">
      <c r="AG10761" s="10"/>
    </row>
    <row r="10762" spans="33:33">
      <c r="AG10762" s="10"/>
    </row>
    <row r="10763" spans="33:33">
      <c r="AG10763" s="10"/>
    </row>
    <row r="10764" spans="33:33">
      <c r="AG10764" s="10"/>
    </row>
    <row r="10765" spans="33:33">
      <c r="AG10765" s="10"/>
    </row>
    <row r="10766" spans="33:33">
      <c r="AG10766" s="10"/>
    </row>
    <row r="10767" spans="33:33">
      <c r="AG10767" s="10"/>
    </row>
    <row r="10768" spans="33:33">
      <c r="AG10768" s="10"/>
    </row>
    <row r="10769" spans="33:33">
      <c r="AG10769" s="10"/>
    </row>
    <row r="10770" spans="33:33">
      <c r="AG10770" s="10"/>
    </row>
    <row r="10771" spans="33:33">
      <c r="AG10771" s="10"/>
    </row>
    <row r="10772" spans="33:33">
      <c r="AG10772" s="10"/>
    </row>
    <row r="10773" spans="33:33">
      <c r="AG10773" s="10"/>
    </row>
    <row r="10774" spans="33:33">
      <c r="AG10774" s="10"/>
    </row>
    <row r="10775" spans="33:33">
      <c r="AG10775" s="10"/>
    </row>
    <row r="10776" spans="33:33">
      <c r="AG10776" s="10"/>
    </row>
    <row r="10777" spans="33:33">
      <c r="AG10777" s="10"/>
    </row>
    <row r="10778" spans="33:33">
      <c r="AG10778" s="10"/>
    </row>
    <row r="10779" spans="33:33">
      <c r="AG10779" s="10"/>
    </row>
    <row r="10780" spans="33:33">
      <c r="AG10780" s="10"/>
    </row>
    <row r="10781" spans="33:33">
      <c r="AG10781" s="10"/>
    </row>
    <row r="10782" spans="33:33">
      <c r="AG10782" s="10"/>
    </row>
    <row r="10783" spans="33:33">
      <c r="AG10783" s="10"/>
    </row>
    <row r="10784" spans="33:33">
      <c r="AG10784" s="10"/>
    </row>
    <row r="10785" spans="33:33">
      <c r="AG10785" s="10"/>
    </row>
    <row r="10786" spans="33:33">
      <c r="AG10786" s="10"/>
    </row>
    <row r="10787" spans="33:33">
      <c r="AG10787" s="10"/>
    </row>
    <row r="10788" spans="33:33">
      <c r="AG10788" s="10"/>
    </row>
    <row r="10789" spans="33:33">
      <c r="AG10789" s="10"/>
    </row>
    <row r="10790" spans="33:33">
      <c r="AG10790" s="10"/>
    </row>
    <row r="10791" spans="33:33">
      <c r="AG10791" s="10"/>
    </row>
    <row r="10792" spans="33:33">
      <c r="AG10792" s="10"/>
    </row>
    <row r="10793" spans="33:33">
      <c r="AG10793" s="10"/>
    </row>
    <row r="10794" spans="33:33">
      <c r="AG10794" s="10"/>
    </row>
    <row r="10795" spans="33:33">
      <c r="AG10795" s="10"/>
    </row>
    <row r="10796" spans="33:33">
      <c r="AG10796" s="10"/>
    </row>
    <row r="10797" spans="33:33">
      <c r="AG10797" s="10"/>
    </row>
    <row r="10798" spans="33:33">
      <c r="AG10798" s="10"/>
    </row>
    <row r="10799" spans="33:33">
      <c r="AG10799" s="10"/>
    </row>
    <row r="10800" spans="33:33">
      <c r="AG10800" s="10"/>
    </row>
    <row r="10801" spans="33:33">
      <c r="AG10801" s="10"/>
    </row>
    <row r="10802" spans="33:33">
      <c r="AG10802" s="10"/>
    </row>
    <row r="10803" spans="33:33">
      <c r="AG10803" s="10"/>
    </row>
    <row r="10804" spans="33:33">
      <c r="AG10804" s="10"/>
    </row>
    <row r="10805" spans="33:33">
      <c r="AG10805" s="10"/>
    </row>
    <row r="10806" spans="33:33">
      <c r="AG10806" s="10"/>
    </row>
    <row r="10807" spans="33:33">
      <c r="AG10807" s="10"/>
    </row>
    <row r="10808" spans="33:33">
      <c r="AG10808" s="10"/>
    </row>
    <row r="10809" spans="33:33">
      <c r="AG10809" s="10"/>
    </row>
    <row r="10810" spans="33:33">
      <c r="AG10810" s="10"/>
    </row>
    <row r="10811" spans="33:33">
      <c r="AG10811" s="10"/>
    </row>
    <row r="10812" spans="33:33">
      <c r="AG10812" s="10"/>
    </row>
    <row r="10813" spans="33:33">
      <c r="AG10813" s="10"/>
    </row>
    <row r="10814" spans="33:33">
      <c r="AG10814" s="10"/>
    </row>
    <row r="10815" spans="33:33">
      <c r="AG10815" s="10"/>
    </row>
    <row r="10816" spans="33:33">
      <c r="AG10816" s="10"/>
    </row>
    <row r="10817" spans="33:33">
      <c r="AG10817" s="10"/>
    </row>
    <row r="10818" spans="33:33">
      <c r="AG10818" s="10"/>
    </row>
    <row r="10819" spans="33:33">
      <c r="AG10819" s="10"/>
    </row>
    <row r="10820" spans="33:33">
      <c r="AG10820" s="10"/>
    </row>
    <row r="10821" spans="33:33">
      <c r="AG10821" s="10"/>
    </row>
    <row r="10822" spans="33:33">
      <c r="AG10822" s="10"/>
    </row>
    <row r="10823" spans="33:33">
      <c r="AG10823" s="10"/>
    </row>
    <row r="10824" spans="33:33">
      <c r="AG10824" s="10"/>
    </row>
    <row r="10825" spans="33:33">
      <c r="AG10825" s="10"/>
    </row>
    <row r="10826" spans="33:33">
      <c r="AG10826" s="10"/>
    </row>
    <row r="10827" spans="33:33">
      <c r="AG10827" s="10"/>
    </row>
    <row r="10828" spans="33:33">
      <c r="AG10828" s="10"/>
    </row>
    <row r="10829" spans="33:33">
      <c r="AG10829" s="10"/>
    </row>
    <row r="10830" spans="33:33">
      <c r="AG10830" s="10"/>
    </row>
    <row r="10831" spans="33:33">
      <c r="AG10831" s="10"/>
    </row>
    <row r="10832" spans="33:33">
      <c r="AG10832" s="10"/>
    </row>
    <row r="10833" spans="33:33">
      <c r="AG10833" s="10"/>
    </row>
    <row r="10834" spans="33:33">
      <c r="AG10834" s="10"/>
    </row>
    <row r="10835" spans="33:33">
      <c r="AG10835" s="10"/>
    </row>
    <row r="10836" spans="33:33">
      <c r="AG10836" s="10"/>
    </row>
    <row r="10837" spans="33:33">
      <c r="AG10837" s="10"/>
    </row>
    <row r="10838" spans="33:33">
      <c r="AG10838" s="10"/>
    </row>
    <row r="10839" spans="33:33">
      <c r="AG10839" s="10"/>
    </row>
    <row r="10840" spans="33:33">
      <c r="AG10840" s="10"/>
    </row>
    <row r="10841" spans="33:33">
      <c r="AG10841" s="10"/>
    </row>
    <row r="10842" spans="33:33">
      <c r="AG10842" s="10"/>
    </row>
    <row r="10843" spans="33:33">
      <c r="AG10843" s="10"/>
    </row>
    <row r="10844" spans="33:33">
      <c r="AG10844" s="10"/>
    </row>
    <row r="10845" spans="33:33">
      <c r="AG10845" s="10"/>
    </row>
    <row r="10846" spans="33:33">
      <c r="AG10846" s="10"/>
    </row>
    <row r="10847" spans="33:33">
      <c r="AG10847" s="10"/>
    </row>
    <row r="10848" spans="33:33">
      <c r="AG10848" s="10"/>
    </row>
    <row r="10849" spans="33:33">
      <c r="AG10849" s="10"/>
    </row>
    <row r="10850" spans="33:33">
      <c r="AG10850" s="10"/>
    </row>
    <row r="10851" spans="33:33">
      <c r="AG10851" s="10"/>
    </row>
    <row r="10852" spans="33:33">
      <c r="AG10852" s="10"/>
    </row>
    <row r="10853" spans="33:33">
      <c r="AG10853" s="10"/>
    </row>
    <row r="10854" spans="33:33">
      <c r="AG10854" s="10"/>
    </row>
    <row r="10855" spans="33:33">
      <c r="AG10855" s="10"/>
    </row>
    <row r="10856" spans="33:33">
      <c r="AG10856" s="10"/>
    </row>
    <row r="10857" spans="33:33">
      <c r="AG10857" s="10"/>
    </row>
    <row r="10858" spans="33:33">
      <c r="AG10858" s="10"/>
    </row>
    <row r="10859" spans="33:33">
      <c r="AG10859" s="10"/>
    </row>
    <row r="10860" spans="33:33">
      <c r="AG10860" s="10"/>
    </row>
    <row r="10861" spans="33:33">
      <c r="AG10861" s="10"/>
    </row>
    <row r="10862" spans="33:33">
      <c r="AG10862" s="10"/>
    </row>
    <row r="10863" spans="33:33">
      <c r="AG10863" s="10"/>
    </row>
    <row r="10864" spans="33:33">
      <c r="AG10864" s="10"/>
    </row>
    <row r="10865" spans="33:33">
      <c r="AG10865" s="10"/>
    </row>
    <row r="10866" spans="33:33">
      <c r="AG10866" s="10"/>
    </row>
    <row r="10867" spans="33:33">
      <c r="AG10867" s="10"/>
    </row>
    <row r="10868" spans="33:33">
      <c r="AG10868" s="10"/>
    </row>
    <row r="10869" spans="33:33">
      <c r="AG10869" s="10"/>
    </row>
    <row r="10870" spans="33:33">
      <c r="AG10870" s="10"/>
    </row>
    <row r="10871" spans="33:33">
      <c r="AG10871" s="10"/>
    </row>
    <row r="10872" spans="33:33">
      <c r="AG10872" s="10"/>
    </row>
    <row r="10873" spans="33:33">
      <c r="AG10873" s="10"/>
    </row>
    <row r="10874" spans="33:33">
      <c r="AG10874" s="10"/>
    </row>
    <row r="10875" spans="33:33">
      <c r="AG10875" s="10"/>
    </row>
    <row r="10876" spans="33:33">
      <c r="AG10876" s="10"/>
    </row>
    <row r="10877" spans="33:33">
      <c r="AG10877" s="10"/>
    </row>
    <row r="10878" spans="33:33">
      <c r="AG10878" s="10"/>
    </row>
    <row r="10879" spans="33:33">
      <c r="AG10879" s="10"/>
    </row>
    <row r="10880" spans="33:33">
      <c r="AG10880" s="10"/>
    </row>
    <row r="10881" spans="33:33">
      <c r="AG10881" s="10"/>
    </row>
    <row r="10882" spans="33:33">
      <c r="AG10882" s="10"/>
    </row>
    <row r="10883" spans="33:33">
      <c r="AG10883" s="10"/>
    </row>
    <row r="10884" spans="33:33">
      <c r="AG10884" s="10"/>
    </row>
    <row r="10885" spans="33:33">
      <c r="AG10885" s="10"/>
    </row>
    <row r="10886" spans="33:33">
      <c r="AG10886" s="10"/>
    </row>
    <row r="10887" spans="33:33">
      <c r="AG10887" s="10"/>
    </row>
    <row r="10888" spans="33:33">
      <c r="AG10888" s="10"/>
    </row>
    <row r="10889" spans="33:33">
      <c r="AG10889" s="10"/>
    </row>
    <row r="10890" spans="33:33">
      <c r="AG10890" s="10"/>
    </row>
    <row r="10891" spans="33:33">
      <c r="AG10891" s="10"/>
    </row>
    <row r="10892" spans="33:33">
      <c r="AG10892" s="10"/>
    </row>
    <row r="10893" spans="33:33">
      <c r="AG10893" s="10"/>
    </row>
    <row r="10894" spans="33:33">
      <c r="AG10894" s="10"/>
    </row>
    <row r="10895" spans="33:33">
      <c r="AG10895" s="10"/>
    </row>
    <row r="10896" spans="33:33">
      <c r="AG10896" s="10"/>
    </row>
    <row r="10897" spans="33:33">
      <c r="AG10897" s="10"/>
    </row>
    <row r="10898" spans="33:33">
      <c r="AG10898" s="10"/>
    </row>
    <row r="10899" spans="33:33">
      <c r="AG10899" s="10"/>
    </row>
    <row r="10900" spans="33:33">
      <c r="AG10900" s="10"/>
    </row>
    <row r="10901" spans="33:33">
      <c r="AG10901" s="10"/>
    </row>
    <row r="10902" spans="33:33">
      <c r="AG10902" s="10"/>
    </row>
    <row r="10903" spans="33:33">
      <c r="AG10903" s="10"/>
    </row>
    <row r="10904" spans="33:33">
      <c r="AG10904" s="10"/>
    </row>
    <row r="10905" spans="33:33">
      <c r="AG10905" s="10"/>
    </row>
    <row r="10906" spans="33:33">
      <c r="AG10906" s="10"/>
    </row>
    <row r="10907" spans="33:33">
      <c r="AG10907" s="10"/>
    </row>
    <row r="10908" spans="33:33">
      <c r="AG10908" s="10"/>
    </row>
    <row r="10909" spans="33:33">
      <c r="AG10909" s="10"/>
    </row>
    <row r="10910" spans="33:33">
      <c r="AG10910" s="10"/>
    </row>
    <row r="10911" spans="33:33">
      <c r="AG10911" s="10"/>
    </row>
    <row r="10912" spans="33:33">
      <c r="AG10912" s="10"/>
    </row>
    <row r="10913" spans="33:33">
      <c r="AG10913" s="10"/>
    </row>
    <row r="10914" spans="33:33">
      <c r="AG10914" s="10"/>
    </row>
    <row r="10915" spans="33:33">
      <c r="AG10915" s="10"/>
    </row>
    <row r="10916" spans="33:33">
      <c r="AG10916" s="10"/>
    </row>
    <row r="10917" spans="33:33">
      <c r="AG10917" s="10"/>
    </row>
    <row r="10918" spans="33:33">
      <c r="AG10918" s="10"/>
    </row>
    <row r="10919" spans="33:33">
      <c r="AG10919" s="10"/>
    </row>
    <row r="10920" spans="33:33">
      <c r="AG10920" s="10"/>
    </row>
    <row r="10921" spans="33:33">
      <c r="AG10921" s="10"/>
    </row>
    <row r="10922" spans="33:33">
      <c r="AG10922" s="10"/>
    </row>
    <row r="10923" spans="33:33">
      <c r="AG10923" s="10"/>
    </row>
    <row r="10924" spans="33:33">
      <c r="AG10924" s="10"/>
    </row>
    <row r="10925" spans="33:33">
      <c r="AG10925" s="10"/>
    </row>
    <row r="10926" spans="33:33">
      <c r="AG10926" s="10"/>
    </row>
    <row r="10927" spans="33:33">
      <c r="AG10927" s="10"/>
    </row>
    <row r="10928" spans="33:33">
      <c r="AG10928" s="10"/>
    </row>
    <row r="10929" spans="33:33">
      <c r="AG10929" s="10"/>
    </row>
    <row r="10930" spans="33:33">
      <c r="AG10930" s="10"/>
    </row>
    <row r="10931" spans="33:33">
      <c r="AG10931" s="10"/>
    </row>
    <row r="10932" spans="33:33">
      <c r="AG10932" s="10"/>
    </row>
    <row r="10933" spans="33:33">
      <c r="AG10933" s="10"/>
    </row>
    <row r="10934" spans="33:33">
      <c r="AG10934" s="10"/>
    </row>
    <row r="10935" spans="33:33">
      <c r="AG10935" s="10"/>
    </row>
    <row r="10936" spans="33:33">
      <c r="AG10936" s="10"/>
    </row>
    <row r="10937" spans="33:33">
      <c r="AG10937" s="10"/>
    </row>
    <row r="10938" spans="33:33">
      <c r="AG10938" s="10"/>
    </row>
    <row r="10939" spans="33:33">
      <c r="AG10939" s="10"/>
    </row>
    <row r="10940" spans="33:33">
      <c r="AG10940" s="10"/>
    </row>
    <row r="10941" spans="33:33">
      <c r="AG10941" s="10"/>
    </row>
    <row r="10942" spans="33:33">
      <c r="AG10942" s="10"/>
    </row>
    <row r="10943" spans="33:33">
      <c r="AG10943" s="10"/>
    </row>
    <row r="10944" spans="33:33">
      <c r="AG10944" s="10"/>
    </row>
    <row r="10945" spans="33:33">
      <c r="AG10945" s="10"/>
    </row>
    <row r="10946" spans="33:33">
      <c r="AG10946" s="10"/>
    </row>
    <row r="10947" spans="33:33">
      <c r="AG10947" s="10"/>
    </row>
    <row r="10948" spans="33:33">
      <c r="AG10948" s="10"/>
    </row>
    <row r="10949" spans="33:33">
      <c r="AG10949" s="10"/>
    </row>
    <row r="10950" spans="33:33">
      <c r="AG10950" s="10"/>
    </row>
    <row r="10951" spans="33:33">
      <c r="AG10951" s="10"/>
    </row>
    <row r="10952" spans="33:33">
      <c r="AG10952" s="10"/>
    </row>
    <row r="10953" spans="33:33">
      <c r="AG10953" s="10"/>
    </row>
    <row r="10954" spans="33:33">
      <c r="AG10954" s="10"/>
    </row>
    <row r="10955" spans="33:33">
      <c r="AG10955" s="10"/>
    </row>
    <row r="10956" spans="33:33">
      <c r="AG10956" s="10"/>
    </row>
    <row r="10957" spans="33:33">
      <c r="AG10957" s="10"/>
    </row>
    <row r="10958" spans="33:33">
      <c r="AG10958" s="10"/>
    </row>
    <row r="10959" spans="33:33">
      <c r="AG10959" s="10"/>
    </row>
    <row r="10960" spans="33:33">
      <c r="AG10960" s="10"/>
    </row>
    <row r="10961" spans="33:33">
      <c r="AG10961" s="10"/>
    </row>
    <row r="10962" spans="33:33">
      <c r="AG10962" s="10"/>
    </row>
    <row r="10963" spans="33:33">
      <c r="AG10963" s="10"/>
    </row>
    <row r="10964" spans="33:33">
      <c r="AG10964" s="10"/>
    </row>
    <row r="10965" spans="33:33">
      <c r="AG10965" s="10"/>
    </row>
    <row r="10966" spans="33:33">
      <c r="AG10966" s="10"/>
    </row>
    <row r="10967" spans="33:33">
      <c r="AG10967" s="10"/>
    </row>
    <row r="10968" spans="33:33">
      <c r="AG10968" s="10"/>
    </row>
    <row r="10969" spans="33:33">
      <c r="AG10969" s="10"/>
    </row>
    <row r="10970" spans="33:33">
      <c r="AG10970" s="10"/>
    </row>
    <row r="10971" spans="33:33">
      <c r="AG10971" s="10"/>
    </row>
    <row r="10972" spans="33:33">
      <c r="AG10972" s="10"/>
    </row>
    <row r="10973" spans="33:33">
      <c r="AG10973" s="10"/>
    </row>
    <row r="10974" spans="33:33">
      <c r="AG10974" s="10"/>
    </row>
    <row r="10975" spans="33:33">
      <c r="AG10975" s="10"/>
    </row>
    <row r="10976" spans="33:33">
      <c r="AG10976" s="10"/>
    </row>
    <row r="10977" spans="33:33">
      <c r="AG10977" s="10"/>
    </row>
    <row r="10978" spans="33:33">
      <c r="AG10978" s="10"/>
    </row>
    <row r="10979" spans="33:33">
      <c r="AG10979" s="10"/>
    </row>
    <row r="10980" spans="33:33">
      <c r="AG10980" s="10"/>
    </row>
    <row r="10981" spans="33:33">
      <c r="AG10981" s="10"/>
    </row>
    <row r="10982" spans="33:33">
      <c r="AG10982" s="10"/>
    </row>
    <row r="10983" spans="33:33">
      <c r="AG10983" s="10"/>
    </row>
    <row r="10984" spans="33:33">
      <c r="AG10984" s="10"/>
    </row>
    <row r="10985" spans="33:33">
      <c r="AG10985" s="10"/>
    </row>
    <row r="10986" spans="33:33">
      <c r="AG10986" s="10"/>
    </row>
    <row r="10987" spans="33:33">
      <c r="AG10987" s="10"/>
    </row>
    <row r="10988" spans="33:33">
      <c r="AG10988" s="10"/>
    </row>
    <row r="10989" spans="33:33">
      <c r="AG10989" s="10"/>
    </row>
    <row r="10990" spans="33:33">
      <c r="AG10990" s="10"/>
    </row>
    <row r="10991" spans="33:33">
      <c r="AG10991" s="10"/>
    </row>
    <row r="10992" spans="33:33">
      <c r="AG10992" s="10"/>
    </row>
    <row r="10993" spans="33:33">
      <c r="AG10993" s="10"/>
    </row>
    <row r="10994" spans="33:33">
      <c r="AG10994" s="10"/>
    </row>
    <row r="10995" spans="33:33">
      <c r="AG10995" s="10"/>
    </row>
    <row r="10996" spans="33:33">
      <c r="AG10996" s="10"/>
    </row>
    <row r="10997" spans="33:33">
      <c r="AG10997" s="10"/>
    </row>
    <row r="10998" spans="33:33">
      <c r="AG10998" s="10"/>
    </row>
    <row r="10999" spans="33:33">
      <c r="AG10999" s="10"/>
    </row>
    <row r="11000" spans="33:33">
      <c r="AG11000" s="10"/>
    </row>
    <row r="11001" spans="33:33">
      <c r="AG11001" s="10"/>
    </row>
    <row r="11002" spans="33:33">
      <c r="AG11002" s="10"/>
    </row>
    <row r="11003" spans="33:33">
      <c r="AG11003" s="10"/>
    </row>
    <row r="11004" spans="33:33">
      <c r="AG11004" s="10"/>
    </row>
    <row r="11005" spans="33:33">
      <c r="AG11005" s="10"/>
    </row>
    <row r="11006" spans="33:33">
      <c r="AG11006" s="10"/>
    </row>
    <row r="11007" spans="33:33">
      <c r="AG11007" s="10"/>
    </row>
    <row r="11008" spans="33:33">
      <c r="AG11008" s="10"/>
    </row>
    <row r="11009" spans="33:33">
      <c r="AG11009" s="10"/>
    </row>
    <row r="11010" spans="33:33">
      <c r="AG11010" s="10"/>
    </row>
    <row r="11011" spans="33:33">
      <c r="AG11011" s="10"/>
    </row>
    <row r="11012" spans="33:33">
      <c r="AG11012" s="10"/>
    </row>
    <row r="11013" spans="33:33">
      <c r="AG11013" s="10"/>
    </row>
    <row r="11014" spans="33:33">
      <c r="AG11014" s="10"/>
    </row>
    <row r="11015" spans="33:33">
      <c r="AG11015" s="10"/>
    </row>
    <row r="11016" spans="33:33">
      <c r="AG11016" s="10"/>
    </row>
    <row r="11017" spans="33:33">
      <c r="AG11017" s="10"/>
    </row>
    <row r="11018" spans="33:33">
      <c r="AG11018" s="10"/>
    </row>
    <row r="11019" spans="33:33">
      <c r="AG11019" s="10"/>
    </row>
    <row r="11020" spans="33:33">
      <c r="AG11020" s="10"/>
    </row>
    <row r="11021" spans="33:33">
      <c r="AG11021" s="10"/>
    </row>
    <row r="11022" spans="33:33">
      <c r="AG11022" s="10"/>
    </row>
    <row r="11023" spans="33:33">
      <c r="AG11023" s="10"/>
    </row>
    <row r="11024" spans="33:33">
      <c r="AG11024" s="10"/>
    </row>
    <row r="11025" spans="33:33">
      <c r="AG11025" s="10"/>
    </row>
    <row r="11026" spans="33:33">
      <c r="AG11026" s="10"/>
    </row>
    <row r="11027" spans="33:33">
      <c r="AG11027" s="10"/>
    </row>
    <row r="11028" spans="33:33">
      <c r="AG11028" s="10"/>
    </row>
    <row r="11029" spans="33:33">
      <c r="AG11029" s="10"/>
    </row>
    <row r="11030" spans="33:33">
      <c r="AG11030" s="10"/>
    </row>
    <row r="11031" spans="33:33">
      <c r="AG11031" s="10"/>
    </row>
    <row r="11032" spans="33:33">
      <c r="AG11032" s="10"/>
    </row>
    <row r="11033" spans="33:33">
      <c r="AG11033" s="10"/>
    </row>
    <row r="11034" spans="33:33">
      <c r="AG11034" s="10"/>
    </row>
    <row r="11035" spans="33:33">
      <c r="AG11035" s="10"/>
    </row>
    <row r="11036" spans="33:33">
      <c r="AG11036" s="10"/>
    </row>
    <row r="11037" spans="33:33">
      <c r="AG11037" s="10"/>
    </row>
    <row r="11038" spans="33:33">
      <c r="AG11038" s="10"/>
    </row>
    <row r="11039" spans="33:33">
      <c r="AG11039" s="10"/>
    </row>
    <row r="11040" spans="33:33">
      <c r="AG11040" s="10"/>
    </row>
    <row r="11041" spans="33:33">
      <c r="AG11041" s="10"/>
    </row>
    <row r="11042" spans="33:33">
      <c r="AG11042" s="10"/>
    </row>
    <row r="11043" spans="33:33">
      <c r="AG11043" s="10"/>
    </row>
    <row r="11044" spans="33:33">
      <c r="AG11044" s="10"/>
    </row>
    <row r="11045" spans="33:33">
      <c r="AG11045" s="10"/>
    </row>
    <row r="11046" spans="33:33">
      <c r="AG11046" s="10"/>
    </row>
    <row r="11047" spans="33:33">
      <c r="AG11047" s="10"/>
    </row>
    <row r="11048" spans="33:33">
      <c r="AG11048" s="10"/>
    </row>
    <row r="11049" spans="33:33">
      <c r="AG11049" s="10"/>
    </row>
    <row r="11050" spans="33:33">
      <c r="AG11050" s="10"/>
    </row>
    <row r="11051" spans="33:33">
      <c r="AG11051" s="10"/>
    </row>
    <row r="11052" spans="33:33">
      <c r="AG11052" s="10"/>
    </row>
    <row r="11053" spans="33:33">
      <c r="AG11053" s="10"/>
    </row>
    <row r="11054" spans="33:33">
      <c r="AG11054" s="10"/>
    </row>
    <row r="11055" spans="33:33">
      <c r="AG11055" s="10"/>
    </row>
    <row r="11056" spans="33:33">
      <c r="AG11056" s="10"/>
    </row>
    <row r="11057" spans="33:33">
      <c r="AG11057" s="10"/>
    </row>
    <row r="11058" spans="33:33">
      <c r="AG11058" s="10"/>
    </row>
    <row r="11059" spans="33:33">
      <c r="AG11059" s="10"/>
    </row>
    <row r="11060" spans="33:33">
      <c r="AG11060" s="10"/>
    </row>
    <row r="11061" spans="33:33">
      <c r="AG11061" s="10"/>
    </row>
    <row r="11062" spans="33:33">
      <c r="AG11062" s="10"/>
    </row>
    <row r="11063" spans="33:33">
      <c r="AG11063" s="10"/>
    </row>
    <row r="11064" spans="33:33">
      <c r="AG11064" s="10"/>
    </row>
    <row r="11065" spans="33:33">
      <c r="AG11065" s="10"/>
    </row>
    <row r="11066" spans="33:33">
      <c r="AG11066" s="10"/>
    </row>
    <row r="11067" spans="33:33">
      <c r="AG11067" s="10"/>
    </row>
    <row r="11068" spans="33:33">
      <c r="AG11068" s="10"/>
    </row>
    <row r="11069" spans="33:33">
      <c r="AG11069" s="10"/>
    </row>
    <row r="11070" spans="33:33">
      <c r="AG11070" s="10"/>
    </row>
    <row r="11071" spans="33:33">
      <c r="AG11071" s="10"/>
    </row>
    <row r="11072" spans="33:33">
      <c r="AG11072" s="10"/>
    </row>
    <row r="11073" spans="33:33">
      <c r="AG11073" s="10"/>
    </row>
    <row r="11074" spans="33:33">
      <c r="AG11074" s="10"/>
    </row>
    <row r="11075" spans="33:33">
      <c r="AG11075" s="10"/>
    </row>
    <row r="11076" spans="33:33">
      <c r="AG11076" s="10"/>
    </row>
    <row r="11077" spans="33:33">
      <c r="AG11077" s="10"/>
    </row>
    <row r="11078" spans="33:33">
      <c r="AG11078" s="10"/>
    </row>
    <row r="11079" spans="33:33">
      <c r="AG11079" s="10"/>
    </row>
    <row r="11080" spans="33:33">
      <c r="AG11080" s="10"/>
    </row>
    <row r="11081" spans="33:33">
      <c r="AG11081" s="10"/>
    </row>
    <row r="11082" spans="33:33">
      <c r="AG11082" s="10"/>
    </row>
    <row r="11083" spans="33:33">
      <c r="AG11083" s="10"/>
    </row>
    <row r="11084" spans="33:33">
      <c r="AG11084" s="10"/>
    </row>
    <row r="11085" spans="33:33">
      <c r="AG11085" s="10"/>
    </row>
    <row r="11086" spans="33:33">
      <c r="AG11086" s="10"/>
    </row>
    <row r="11087" spans="33:33">
      <c r="AG11087" s="10"/>
    </row>
    <row r="11088" spans="33:33">
      <c r="AG11088" s="10"/>
    </row>
    <row r="11089" spans="33:33">
      <c r="AG11089" s="10"/>
    </row>
    <row r="11090" spans="33:33">
      <c r="AG11090" s="10"/>
    </row>
    <row r="11091" spans="33:33">
      <c r="AG11091" s="10"/>
    </row>
    <row r="11092" spans="33:33">
      <c r="AG11092" s="10"/>
    </row>
    <row r="11093" spans="33:33">
      <c r="AG11093" s="10"/>
    </row>
    <row r="11094" spans="33:33">
      <c r="AG11094" s="10"/>
    </row>
    <row r="11095" spans="33:33">
      <c r="AG11095" s="10"/>
    </row>
    <row r="11096" spans="33:33">
      <c r="AG11096" s="10"/>
    </row>
    <row r="11097" spans="33:33">
      <c r="AG11097" s="10"/>
    </row>
    <row r="11098" spans="33:33">
      <c r="AG11098" s="10"/>
    </row>
    <row r="11099" spans="33:33">
      <c r="AG11099" s="10"/>
    </row>
    <row r="11100" spans="33:33">
      <c r="AG11100" s="10"/>
    </row>
    <row r="11101" spans="33:33">
      <c r="AG11101" s="10"/>
    </row>
    <row r="11102" spans="33:33">
      <c r="AG11102" s="10"/>
    </row>
    <row r="11103" spans="33:33">
      <c r="AG11103" s="10"/>
    </row>
    <row r="11104" spans="33:33">
      <c r="AG11104" s="10"/>
    </row>
    <row r="11105" spans="33:33">
      <c r="AG11105" s="10"/>
    </row>
    <row r="11106" spans="33:33">
      <c r="AG11106" s="10"/>
    </row>
    <row r="11107" spans="33:33">
      <c r="AG11107" s="10"/>
    </row>
    <row r="11108" spans="33:33">
      <c r="AG11108" s="10"/>
    </row>
    <row r="11109" spans="33:33">
      <c r="AG11109" s="10"/>
    </row>
    <row r="11110" spans="33:33">
      <c r="AG11110" s="10"/>
    </row>
    <row r="11111" spans="33:33">
      <c r="AG11111" s="10"/>
    </row>
    <row r="11112" spans="33:33">
      <c r="AG11112" s="10"/>
    </row>
    <row r="11113" spans="33:33">
      <c r="AG11113" s="10"/>
    </row>
    <row r="11114" spans="33:33">
      <c r="AG11114" s="10"/>
    </row>
    <row r="11115" spans="33:33">
      <c r="AG11115" s="10"/>
    </row>
    <row r="11116" spans="33:33">
      <c r="AG11116" s="10"/>
    </row>
    <row r="11117" spans="33:33">
      <c r="AG11117" s="10"/>
    </row>
    <row r="11118" spans="33:33">
      <c r="AG11118" s="10"/>
    </row>
    <row r="11119" spans="33:33">
      <c r="AG11119" s="10"/>
    </row>
    <row r="11120" spans="33:33">
      <c r="AG11120" s="10"/>
    </row>
    <row r="11121" spans="33:33">
      <c r="AG11121" s="10"/>
    </row>
    <row r="11122" spans="33:33">
      <c r="AG11122" s="10"/>
    </row>
    <row r="11123" spans="33:33">
      <c r="AG11123" s="10"/>
    </row>
    <row r="11124" spans="33:33">
      <c r="AG11124" s="10"/>
    </row>
    <row r="11125" spans="33:33">
      <c r="AG11125" s="10"/>
    </row>
    <row r="11126" spans="33:33">
      <c r="AG11126" s="10"/>
    </row>
    <row r="11127" spans="33:33">
      <c r="AG11127" s="10"/>
    </row>
    <row r="11128" spans="33:33">
      <c r="AG11128" s="10"/>
    </row>
    <row r="11129" spans="33:33">
      <c r="AG11129" s="10"/>
    </row>
    <row r="11130" spans="33:33">
      <c r="AG11130" s="10"/>
    </row>
    <row r="11131" spans="33:33">
      <c r="AG11131" s="10"/>
    </row>
    <row r="11132" spans="33:33">
      <c r="AG11132" s="10"/>
    </row>
    <row r="11133" spans="33:33">
      <c r="AG11133" s="10"/>
    </row>
    <row r="11134" spans="33:33">
      <c r="AG11134" s="10"/>
    </row>
    <row r="11135" spans="33:33">
      <c r="AG11135" s="10"/>
    </row>
    <row r="11136" spans="33:33">
      <c r="AG11136" s="10"/>
    </row>
    <row r="11137" spans="33:33">
      <c r="AG11137" s="10"/>
    </row>
    <row r="11138" spans="33:33">
      <c r="AG11138" s="10"/>
    </row>
    <row r="11139" spans="33:33">
      <c r="AG11139" s="10"/>
    </row>
    <row r="11140" spans="33:33">
      <c r="AG11140" s="10"/>
    </row>
    <row r="11141" spans="33:33">
      <c r="AG11141" s="10"/>
    </row>
    <row r="11142" spans="33:33">
      <c r="AG11142" s="10"/>
    </row>
    <row r="11143" spans="33:33">
      <c r="AG11143" s="10"/>
    </row>
    <row r="11144" spans="33:33">
      <c r="AG11144" s="10"/>
    </row>
    <row r="11145" spans="33:33">
      <c r="AG11145" s="10"/>
    </row>
    <row r="11146" spans="33:33">
      <c r="AG11146" s="10"/>
    </row>
    <row r="11147" spans="33:33">
      <c r="AG11147" s="10"/>
    </row>
    <row r="11148" spans="33:33">
      <c r="AG11148" s="10"/>
    </row>
    <row r="11149" spans="33:33">
      <c r="AG11149" s="10"/>
    </row>
    <row r="11150" spans="33:33">
      <c r="AG11150" s="10"/>
    </row>
    <row r="11151" spans="33:33">
      <c r="AG11151" s="10"/>
    </row>
    <row r="11152" spans="33:33">
      <c r="AG11152" s="10"/>
    </row>
    <row r="11153" spans="33:33">
      <c r="AG11153" s="10"/>
    </row>
    <row r="11154" spans="33:33">
      <c r="AG11154" s="10"/>
    </row>
    <row r="11155" spans="33:33">
      <c r="AG11155" s="10"/>
    </row>
    <row r="11156" spans="33:33">
      <c r="AG11156" s="10"/>
    </row>
    <row r="11157" spans="33:33">
      <c r="AG11157" s="10"/>
    </row>
    <row r="11158" spans="33:33">
      <c r="AG11158" s="10"/>
    </row>
    <row r="11159" spans="33:33">
      <c r="AG11159" s="10"/>
    </row>
    <row r="11160" spans="33:33">
      <c r="AG11160" s="10"/>
    </row>
    <row r="11161" spans="33:33">
      <c r="AG11161" s="10"/>
    </row>
    <row r="11162" spans="33:33">
      <c r="AG11162" s="10"/>
    </row>
    <row r="11163" spans="33:33">
      <c r="AG11163" s="10"/>
    </row>
    <row r="11164" spans="33:33">
      <c r="AG11164" s="10"/>
    </row>
    <row r="11165" spans="33:33">
      <c r="AG11165" s="10"/>
    </row>
    <row r="11166" spans="33:33">
      <c r="AG11166" s="10"/>
    </row>
    <row r="11167" spans="33:33">
      <c r="AG11167" s="10"/>
    </row>
    <row r="11168" spans="33:33">
      <c r="AG11168" s="10"/>
    </row>
    <row r="11169" spans="33:33">
      <c r="AG11169" s="10"/>
    </row>
    <row r="11170" spans="33:33">
      <c r="AG11170" s="10"/>
    </row>
    <row r="11171" spans="33:33">
      <c r="AG11171" s="10"/>
    </row>
    <row r="11172" spans="33:33">
      <c r="AG11172" s="10"/>
    </row>
    <row r="11173" spans="33:33">
      <c r="AG11173" s="10"/>
    </row>
    <row r="11174" spans="33:33">
      <c r="AG11174" s="10"/>
    </row>
    <row r="11175" spans="33:33">
      <c r="AG11175" s="10"/>
    </row>
    <row r="11176" spans="33:33">
      <c r="AG11176" s="10"/>
    </row>
    <row r="11177" spans="33:33">
      <c r="AG11177" s="10"/>
    </row>
    <row r="11178" spans="33:33">
      <c r="AG11178" s="10"/>
    </row>
    <row r="11179" spans="33:33">
      <c r="AG11179" s="10"/>
    </row>
    <row r="11180" spans="33:33">
      <c r="AG11180" s="10"/>
    </row>
    <row r="11181" spans="33:33">
      <c r="AG11181" s="10"/>
    </row>
    <row r="11182" spans="33:33">
      <c r="AG11182" s="10"/>
    </row>
    <row r="11183" spans="33:33">
      <c r="AG11183" s="10"/>
    </row>
    <row r="11184" spans="33:33">
      <c r="AG11184" s="10"/>
    </row>
    <row r="11185" spans="33:33">
      <c r="AG11185" s="10"/>
    </row>
    <row r="11186" spans="33:33">
      <c r="AG11186" s="10"/>
    </row>
    <row r="11187" spans="33:33">
      <c r="AG11187" s="10"/>
    </row>
    <row r="11188" spans="33:33">
      <c r="AG11188" s="10"/>
    </row>
    <row r="11189" spans="33:33">
      <c r="AG11189" s="10"/>
    </row>
    <row r="11190" spans="33:33">
      <c r="AG11190" s="10"/>
    </row>
    <row r="11191" spans="33:33">
      <c r="AG11191" s="10"/>
    </row>
    <row r="11192" spans="33:33">
      <c r="AG11192" s="10"/>
    </row>
    <row r="11193" spans="33:33">
      <c r="AG11193" s="10"/>
    </row>
    <row r="11194" spans="33:33">
      <c r="AG11194" s="10"/>
    </row>
    <row r="11195" spans="33:33">
      <c r="AG11195" s="10"/>
    </row>
    <row r="11196" spans="33:33">
      <c r="AG11196" s="10"/>
    </row>
    <row r="11197" spans="33:33">
      <c r="AG11197" s="10"/>
    </row>
    <row r="11198" spans="33:33">
      <c r="AG11198" s="10"/>
    </row>
    <row r="11199" spans="33:33">
      <c r="AG11199" s="10"/>
    </row>
    <row r="11200" spans="33:33">
      <c r="AG11200" s="10"/>
    </row>
    <row r="11201" spans="33:33">
      <c r="AG11201" s="10"/>
    </row>
    <row r="11202" spans="33:33">
      <c r="AG11202" s="10"/>
    </row>
    <row r="11203" spans="33:33">
      <c r="AG11203" s="10"/>
    </row>
    <row r="11204" spans="33:33">
      <c r="AG11204" s="10"/>
    </row>
    <row r="11205" spans="33:33">
      <c r="AG11205" s="10"/>
    </row>
    <row r="11206" spans="33:33">
      <c r="AG11206" s="10"/>
    </row>
    <row r="11207" spans="33:33">
      <c r="AG11207" s="10"/>
    </row>
    <row r="11208" spans="33:33">
      <c r="AG11208" s="10"/>
    </row>
    <row r="11209" spans="33:33">
      <c r="AG11209" s="10"/>
    </row>
    <row r="11210" spans="33:33">
      <c r="AG11210" s="10"/>
    </row>
    <row r="11211" spans="33:33">
      <c r="AG11211" s="10"/>
    </row>
    <row r="11212" spans="33:33">
      <c r="AG11212" s="10"/>
    </row>
    <row r="11213" spans="33:33">
      <c r="AG11213" s="10"/>
    </row>
    <row r="11214" spans="33:33">
      <c r="AG11214" s="10"/>
    </row>
    <row r="11215" spans="33:33">
      <c r="AG11215" s="10"/>
    </row>
    <row r="11216" spans="33:33">
      <c r="AG11216" s="10"/>
    </row>
    <row r="11217" spans="33:33">
      <c r="AG11217" s="10"/>
    </row>
    <row r="11218" spans="33:33">
      <c r="AG11218" s="10"/>
    </row>
    <row r="11219" spans="33:33">
      <c r="AG11219" s="10"/>
    </row>
    <row r="11220" spans="33:33">
      <c r="AG11220" s="10"/>
    </row>
    <row r="11221" spans="33:33">
      <c r="AG11221" s="10"/>
    </row>
    <row r="11222" spans="33:33">
      <c r="AG11222" s="10"/>
    </row>
    <row r="11223" spans="33:33">
      <c r="AG11223" s="10"/>
    </row>
    <row r="11224" spans="33:33">
      <c r="AG11224" s="10"/>
    </row>
    <row r="11225" spans="33:33">
      <c r="AG11225" s="10"/>
    </row>
    <row r="11226" spans="33:33">
      <c r="AG11226" s="10"/>
    </row>
    <row r="11227" spans="33:33">
      <c r="AG11227" s="10"/>
    </row>
    <row r="11228" spans="33:33">
      <c r="AG11228" s="10"/>
    </row>
    <row r="11229" spans="33:33">
      <c r="AG11229" s="10"/>
    </row>
    <row r="11230" spans="33:33">
      <c r="AG11230" s="10"/>
    </row>
    <row r="11231" spans="33:33">
      <c r="AG11231" s="10"/>
    </row>
    <row r="11232" spans="33:33">
      <c r="AG11232" s="10"/>
    </row>
    <row r="11233" spans="33:33">
      <c r="AG11233" s="10"/>
    </row>
    <row r="11234" spans="33:33">
      <c r="AG11234" s="10"/>
    </row>
    <row r="11235" spans="33:33">
      <c r="AG11235" s="10"/>
    </row>
    <row r="11236" spans="33:33">
      <c r="AG11236" s="10"/>
    </row>
    <row r="11237" spans="33:33">
      <c r="AG11237" s="10"/>
    </row>
    <row r="11238" spans="33:33">
      <c r="AG11238" s="10"/>
    </row>
    <row r="11239" spans="33:33">
      <c r="AG11239" s="10"/>
    </row>
    <row r="11240" spans="33:33">
      <c r="AG11240" s="10"/>
    </row>
    <row r="11241" spans="33:33">
      <c r="AG11241" s="10"/>
    </row>
    <row r="11242" spans="33:33">
      <c r="AG11242" s="10"/>
    </row>
    <row r="11243" spans="33:33">
      <c r="AG11243" s="10"/>
    </row>
    <row r="11244" spans="33:33">
      <c r="AG11244" s="10"/>
    </row>
    <row r="11245" spans="33:33">
      <c r="AG11245" s="10"/>
    </row>
    <row r="11246" spans="33:33">
      <c r="AG11246" s="10"/>
    </row>
    <row r="11247" spans="33:33">
      <c r="AG11247" s="10"/>
    </row>
    <row r="11248" spans="33:33">
      <c r="AG11248" s="10"/>
    </row>
    <row r="11249" spans="33:33">
      <c r="AG11249" s="10"/>
    </row>
    <row r="11250" spans="33:33">
      <c r="AG11250" s="10"/>
    </row>
    <row r="11251" spans="33:33">
      <c r="AG11251" s="10"/>
    </row>
    <row r="11252" spans="33:33">
      <c r="AG11252" s="10"/>
    </row>
    <row r="11253" spans="33:33">
      <c r="AG11253" s="10"/>
    </row>
    <row r="11254" spans="33:33">
      <c r="AG11254" s="10"/>
    </row>
    <row r="11255" spans="33:33">
      <c r="AG11255" s="10"/>
    </row>
    <row r="11256" spans="33:33">
      <c r="AG11256" s="10"/>
    </row>
    <row r="11257" spans="33:33">
      <c r="AG11257" s="10"/>
    </row>
    <row r="11258" spans="33:33">
      <c r="AG11258" s="10"/>
    </row>
    <row r="11259" spans="33:33">
      <c r="AG11259" s="10"/>
    </row>
    <row r="11260" spans="33:33">
      <c r="AG11260" s="10"/>
    </row>
    <row r="11261" spans="33:33">
      <c r="AG11261" s="10"/>
    </row>
    <row r="11262" spans="33:33">
      <c r="AG11262" s="10"/>
    </row>
    <row r="11263" spans="33:33">
      <c r="AG11263" s="10"/>
    </row>
    <row r="11264" spans="33:33">
      <c r="AG11264" s="10"/>
    </row>
    <row r="11265" spans="33:33">
      <c r="AG11265" s="10"/>
    </row>
    <row r="11266" spans="33:33">
      <c r="AG11266" s="10"/>
    </row>
    <row r="11267" spans="33:33">
      <c r="AG11267" s="10"/>
    </row>
    <row r="11268" spans="33:33">
      <c r="AG11268" s="10"/>
    </row>
    <row r="11269" spans="33:33">
      <c r="AG11269" s="10"/>
    </row>
    <row r="11270" spans="33:33">
      <c r="AG11270" s="10"/>
    </row>
    <row r="11271" spans="33:33">
      <c r="AG11271" s="10"/>
    </row>
    <row r="11272" spans="33:33">
      <c r="AG11272" s="10"/>
    </row>
    <row r="11273" spans="33:33">
      <c r="AG11273" s="10"/>
    </row>
    <row r="11274" spans="33:33">
      <c r="AG11274" s="10"/>
    </row>
    <row r="11275" spans="33:33">
      <c r="AG11275" s="10"/>
    </row>
    <row r="11276" spans="33:33">
      <c r="AG11276" s="10"/>
    </row>
    <row r="11277" spans="33:33">
      <c r="AG11277" s="10"/>
    </row>
    <row r="11278" spans="33:33">
      <c r="AG11278" s="10"/>
    </row>
    <row r="11279" spans="33:33">
      <c r="AG11279" s="10"/>
    </row>
    <row r="11280" spans="33:33">
      <c r="AG11280" s="10"/>
    </row>
    <row r="11281" spans="33:33">
      <c r="AG11281" s="10"/>
    </row>
    <row r="11282" spans="33:33">
      <c r="AG11282" s="10"/>
    </row>
    <row r="11283" spans="33:33">
      <c r="AG11283" s="10"/>
    </row>
    <row r="11284" spans="33:33">
      <c r="AG11284" s="10"/>
    </row>
    <row r="11285" spans="33:33">
      <c r="AG11285" s="10"/>
    </row>
    <row r="11286" spans="33:33">
      <c r="AG11286" s="10"/>
    </row>
    <row r="11287" spans="33:33">
      <c r="AG11287" s="10"/>
    </row>
    <row r="11288" spans="33:33">
      <c r="AG11288" s="10"/>
    </row>
    <row r="11289" spans="33:33">
      <c r="AG11289" s="10"/>
    </row>
    <row r="11290" spans="33:33">
      <c r="AG11290" s="10"/>
    </row>
    <row r="11291" spans="33:33">
      <c r="AG11291" s="10"/>
    </row>
    <row r="11292" spans="33:33">
      <c r="AG11292" s="10"/>
    </row>
    <row r="11293" spans="33:33">
      <c r="AG11293" s="10"/>
    </row>
    <row r="11294" spans="33:33">
      <c r="AG11294" s="10"/>
    </row>
    <row r="11295" spans="33:33">
      <c r="AG11295" s="10"/>
    </row>
    <row r="11296" spans="33:33">
      <c r="AG11296" s="10"/>
    </row>
    <row r="11297" spans="33:33">
      <c r="AG11297" s="10"/>
    </row>
    <row r="11298" spans="33:33">
      <c r="AG11298" s="10"/>
    </row>
    <row r="11299" spans="33:33">
      <c r="AG11299" s="10"/>
    </row>
    <row r="11300" spans="33:33">
      <c r="AG11300" s="10"/>
    </row>
    <row r="11301" spans="33:33">
      <c r="AG11301" s="10"/>
    </row>
    <row r="11302" spans="33:33">
      <c r="AG11302" s="10"/>
    </row>
    <row r="11303" spans="33:33">
      <c r="AG11303" s="10"/>
    </row>
    <row r="11304" spans="33:33">
      <c r="AG11304" s="10"/>
    </row>
    <row r="11305" spans="33:33">
      <c r="AG11305" s="10"/>
    </row>
    <row r="11306" spans="33:33">
      <c r="AG11306" s="10"/>
    </row>
    <row r="11307" spans="33:33">
      <c r="AG11307" s="10"/>
    </row>
    <row r="11308" spans="33:33">
      <c r="AG11308" s="10"/>
    </row>
    <row r="11309" spans="33:33">
      <c r="AG11309" s="10"/>
    </row>
    <row r="11310" spans="33:33">
      <c r="AG11310" s="10"/>
    </row>
    <row r="11311" spans="33:33">
      <c r="AG11311" s="10"/>
    </row>
    <row r="11312" spans="33:33">
      <c r="AG11312" s="10"/>
    </row>
    <row r="11313" spans="33:33">
      <c r="AG11313" s="10"/>
    </row>
    <row r="11314" spans="33:33">
      <c r="AG11314" s="10"/>
    </row>
    <row r="11315" spans="33:33">
      <c r="AG11315" s="10"/>
    </row>
    <row r="11316" spans="33:33">
      <c r="AG11316" s="10"/>
    </row>
    <row r="11317" spans="33:33">
      <c r="AG11317" s="10"/>
    </row>
    <row r="11318" spans="33:33">
      <c r="AG11318" s="10"/>
    </row>
    <row r="11319" spans="33:33">
      <c r="AG11319" s="10"/>
    </row>
    <row r="11320" spans="33:33">
      <c r="AG11320" s="10"/>
    </row>
    <row r="11321" spans="33:33">
      <c r="AG11321" s="10"/>
    </row>
    <row r="11322" spans="33:33">
      <c r="AG11322" s="10"/>
    </row>
    <row r="11323" spans="33:33">
      <c r="AG11323" s="10"/>
    </row>
    <row r="11324" spans="33:33">
      <c r="AG11324" s="10"/>
    </row>
    <row r="11325" spans="33:33">
      <c r="AG11325" s="10"/>
    </row>
    <row r="11326" spans="33:33">
      <c r="AG11326" s="10"/>
    </row>
    <row r="11327" spans="33:33">
      <c r="AG11327" s="10"/>
    </row>
    <row r="11328" spans="33:33">
      <c r="AG11328" s="10"/>
    </row>
    <row r="11329" spans="33:33">
      <c r="AG11329" s="10"/>
    </row>
    <row r="11330" spans="33:33">
      <c r="AG11330" s="10"/>
    </row>
    <row r="11331" spans="33:33">
      <c r="AG11331" s="10"/>
    </row>
    <row r="11332" spans="33:33">
      <c r="AG11332" s="10"/>
    </row>
    <row r="11333" spans="33:33">
      <c r="AG11333" s="10"/>
    </row>
    <row r="11334" spans="33:33">
      <c r="AG11334" s="10"/>
    </row>
    <row r="11335" spans="33:33">
      <c r="AG11335" s="10"/>
    </row>
    <row r="11336" spans="33:33">
      <c r="AG11336" s="10"/>
    </row>
    <row r="11337" spans="33:33">
      <c r="AG11337" s="10"/>
    </row>
    <row r="11338" spans="33:33">
      <c r="AG11338" s="10"/>
    </row>
    <row r="11339" spans="33:33">
      <c r="AG11339" s="10"/>
    </row>
    <row r="11340" spans="33:33">
      <c r="AG11340" s="10"/>
    </row>
    <row r="11341" spans="33:33">
      <c r="AG11341" s="10"/>
    </row>
    <row r="11342" spans="33:33">
      <c r="AG11342" s="10"/>
    </row>
    <row r="11343" spans="33:33">
      <c r="AG11343" s="10"/>
    </row>
    <row r="11344" spans="33:33">
      <c r="AG11344" s="10"/>
    </row>
    <row r="11345" spans="33:33">
      <c r="AG11345" s="10"/>
    </row>
    <row r="11346" spans="33:33">
      <c r="AG11346" s="10"/>
    </row>
    <row r="11347" spans="33:33">
      <c r="AG11347" s="10"/>
    </row>
    <row r="11348" spans="33:33">
      <c r="AG11348" s="10"/>
    </row>
    <row r="11349" spans="33:33">
      <c r="AG11349" s="10"/>
    </row>
    <row r="11350" spans="33:33">
      <c r="AG11350" s="10"/>
    </row>
    <row r="11351" spans="33:33">
      <c r="AG11351" s="10"/>
    </row>
    <row r="11352" spans="33:33">
      <c r="AG11352" s="10"/>
    </row>
    <row r="11353" spans="33:33">
      <c r="AG11353" s="10"/>
    </row>
    <row r="11354" spans="33:33">
      <c r="AG11354" s="10"/>
    </row>
    <row r="11355" spans="33:33">
      <c r="AG11355" s="10"/>
    </row>
    <row r="11356" spans="33:33">
      <c r="AG11356" s="10"/>
    </row>
    <row r="11357" spans="33:33">
      <c r="AG11357" s="10"/>
    </row>
    <row r="11358" spans="33:33">
      <c r="AG11358" s="10"/>
    </row>
    <row r="11359" spans="33:33">
      <c r="AG11359" s="10"/>
    </row>
    <row r="11360" spans="33:33">
      <c r="AG11360" s="10"/>
    </row>
    <row r="11361" spans="33:33">
      <c r="AG11361" s="10"/>
    </row>
    <row r="11362" spans="33:33">
      <c r="AG11362" s="10"/>
    </row>
    <row r="11363" spans="33:33">
      <c r="AG11363" s="10"/>
    </row>
    <row r="11364" spans="33:33">
      <c r="AG11364" s="10"/>
    </row>
    <row r="11365" spans="33:33">
      <c r="AG11365" s="10"/>
    </row>
    <row r="11366" spans="33:33">
      <c r="AG11366" s="10"/>
    </row>
    <row r="11367" spans="33:33">
      <c r="AG11367" s="10"/>
    </row>
    <row r="11368" spans="33:33">
      <c r="AG11368" s="10"/>
    </row>
    <row r="11369" spans="33:33">
      <c r="AG11369" s="10"/>
    </row>
    <row r="11370" spans="33:33">
      <c r="AG11370" s="10"/>
    </row>
    <row r="11371" spans="33:33">
      <c r="AG11371" s="10"/>
    </row>
    <row r="11372" spans="33:33">
      <c r="AG11372" s="10"/>
    </row>
    <row r="11373" spans="33:33">
      <c r="AG11373" s="10"/>
    </row>
    <row r="11374" spans="33:33">
      <c r="AG11374" s="10"/>
    </row>
    <row r="11375" spans="33:33">
      <c r="AG11375" s="10"/>
    </row>
    <row r="11376" spans="33:33">
      <c r="AG11376" s="10"/>
    </row>
    <row r="11377" spans="33:33">
      <c r="AG11377" s="10"/>
    </row>
    <row r="11378" spans="33:33">
      <c r="AG11378" s="10"/>
    </row>
    <row r="11379" spans="33:33">
      <c r="AG11379" s="10"/>
    </row>
    <row r="11380" spans="33:33">
      <c r="AG11380" s="10"/>
    </row>
    <row r="11381" spans="33:33">
      <c r="AG11381" s="10"/>
    </row>
    <row r="11382" spans="33:33">
      <c r="AG11382" s="10"/>
    </row>
    <row r="11383" spans="33:33">
      <c r="AG11383" s="10"/>
    </row>
    <row r="11384" spans="33:33">
      <c r="AG11384" s="10"/>
    </row>
    <row r="11385" spans="33:33">
      <c r="AG11385" s="10"/>
    </row>
    <row r="11386" spans="33:33">
      <c r="AG11386" s="10"/>
    </row>
    <row r="11387" spans="33:33">
      <c r="AG11387" s="10"/>
    </row>
    <row r="11388" spans="33:33">
      <c r="AG11388" s="10"/>
    </row>
    <row r="11389" spans="33:33">
      <c r="AG11389" s="10"/>
    </row>
    <row r="11390" spans="33:33">
      <c r="AG11390" s="10"/>
    </row>
    <row r="11391" spans="33:33">
      <c r="AG11391" s="10"/>
    </row>
    <row r="11392" spans="33:33">
      <c r="AG11392" s="10"/>
    </row>
    <row r="11393" spans="33:33">
      <c r="AG11393" s="10"/>
    </row>
    <row r="11394" spans="33:33">
      <c r="AG11394" s="10"/>
    </row>
    <row r="11395" spans="33:33">
      <c r="AG11395" s="10"/>
    </row>
    <row r="11396" spans="33:33">
      <c r="AG11396" s="10"/>
    </row>
    <row r="11397" spans="33:33">
      <c r="AG11397" s="10"/>
    </row>
    <row r="11398" spans="33:33">
      <c r="AG11398" s="10"/>
    </row>
    <row r="11399" spans="33:33">
      <c r="AG11399" s="10"/>
    </row>
    <row r="11400" spans="33:33">
      <c r="AG11400" s="10"/>
    </row>
    <row r="11401" spans="33:33">
      <c r="AG11401" s="10"/>
    </row>
    <row r="11402" spans="33:33">
      <c r="AG11402" s="10"/>
    </row>
    <row r="11403" spans="33:33">
      <c r="AG11403" s="10"/>
    </row>
    <row r="11404" spans="33:33">
      <c r="AG11404" s="10"/>
    </row>
    <row r="11405" spans="33:33">
      <c r="AG11405" s="10"/>
    </row>
    <row r="11406" spans="33:33">
      <c r="AG11406" s="10"/>
    </row>
    <row r="11407" spans="33:33">
      <c r="AG11407" s="10"/>
    </row>
    <row r="11408" spans="33:33">
      <c r="AG11408" s="10"/>
    </row>
    <row r="11409" spans="33:33">
      <c r="AG11409" s="10"/>
    </row>
    <row r="11410" spans="33:33">
      <c r="AG11410" s="10"/>
    </row>
    <row r="11411" spans="33:33">
      <c r="AG11411" s="10"/>
    </row>
    <row r="11412" spans="33:33">
      <c r="AG11412" s="10"/>
    </row>
    <row r="11413" spans="33:33">
      <c r="AG11413" s="10"/>
    </row>
    <row r="11414" spans="33:33">
      <c r="AG11414" s="10"/>
    </row>
    <row r="11415" spans="33:33">
      <c r="AG11415" s="10"/>
    </row>
    <row r="11416" spans="33:33">
      <c r="AG11416" s="10"/>
    </row>
    <row r="11417" spans="33:33">
      <c r="AG11417" s="10"/>
    </row>
    <row r="11418" spans="33:33">
      <c r="AG11418" s="10"/>
    </row>
    <row r="11419" spans="33:33">
      <c r="AG11419" s="10"/>
    </row>
    <row r="11420" spans="33:33">
      <c r="AG11420" s="10"/>
    </row>
    <row r="11421" spans="33:33">
      <c r="AG11421" s="10"/>
    </row>
    <row r="11422" spans="33:33">
      <c r="AG11422" s="10"/>
    </row>
    <row r="11423" spans="33:33">
      <c r="AG11423" s="10"/>
    </row>
    <row r="11424" spans="33:33">
      <c r="AG11424" s="10"/>
    </row>
    <row r="11425" spans="33:33">
      <c r="AG11425" s="10"/>
    </row>
    <row r="11426" spans="33:33">
      <c r="AG11426" s="10"/>
    </row>
    <row r="11427" spans="33:33">
      <c r="AG11427" s="10"/>
    </row>
    <row r="11428" spans="33:33">
      <c r="AG11428" s="10"/>
    </row>
    <row r="11429" spans="33:33">
      <c r="AG11429" s="10"/>
    </row>
    <row r="11430" spans="33:33">
      <c r="AG11430" s="10"/>
    </row>
    <row r="11431" spans="33:33">
      <c r="AG11431" s="10"/>
    </row>
    <row r="11432" spans="33:33">
      <c r="AG11432" s="10"/>
    </row>
    <row r="11433" spans="33:33">
      <c r="AG11433" s="10"/>
    </row>
    <row r="11434" spans="33:33">
      <c r="AG11434" s="10"/>
    </row>
    <row r="11435" spans="33:33">
      <c r="AG11435" s="10"/>
    </row>
    <row r="11436" spans="33:33">
      <c r="AG11436" s="10"/>
    </row>
    <row r="11437" spans="33:33">
      <c r="AG11437" s="10"/>
    </row>
    <row r="11438" spans="33:33">
      <c r="AG11438" s="10"/>
    </row>
    <row r="11439" spans="33:33">
      <c r="AG11439" s="10"/>
    </row>
    <row r="11440" spans="33:33">
      <c r="AG11440" s="10"/>
    </row>
    <row r="11441" spans="33:33">
      <c r="AG11441" s="10"/>
    </row>
    <row r="11442" spans="33:33">
      <c r="AG11442" s="10"/>
    </row>
    <row r="11443" spans="33:33">
      <c r="AG11443" s="10"/>
    </row>
    <row r="11444" spans="33:33">
      <c r="AG11444" s="10"/>
    </row>
    <row r="11445" spans="33:33">
      <c r="AG11445" s="10"/>
    </row>
    <row r="11446" spans="33:33">
      <c r="AG11446" s="10"/>
    </row>
    <row r="11447" spans="33:33">
      <c r="AG11447" s="10"/>
    </row>
    <row r="11448" spans="33:33">
      <c r="AG11448" s="10"/>
    </row>
    <row r="11449" spans="33:33">
      <c r="AG11449" s="10"/>
    </row>
    <row r="11450" spans="33:33">
      <c r="AG11450" s="10"/>
    </row>
    <row r="11451" spans="33:33">
      <c r="AG11451" s="10"/>
    </row>
    <row r="11452" spans="33:33">
      <c r="AG11452" s="10"/>
    </row>
    <row r="11453" spans="33:33">
      <c r="AG11453" s="10"/>
    </row>
    <row r="11454" spans="33:33">
      <c r="AG11454" s="10"/>
    </row>
    <row r="11455" spans="33:33">
      <c r="AG11455" s="10"/>
    </row>
    <row r="11456" spans="33:33">
      <c r="AG11456" s="10"/>
    </row>
    <row r="11457" spans="33:33">
      <c r="AG11457" s="10"/>
    </row>
    <row r="11458" spans="33:33">
      <c r="AG11458" s="10"/>
    </row>
    <row r="11459" spans="33:33">
      <c r="AG11459" s="10"/>
    </row>
    <row r="11460" spans="33:33">
      <c r="AG11460" s="10"/>
    </row>
    <row r="11461" spans="33:33">
      <c r="AG11461" s="10"/>
    </row>
    <row r="11462" spans="33:33">
      <c r="AG11462" s="10"/>
    </row>
    <row r="11463" spans="33:33">
      <c r="AG11463" s="10"/>
    </row>
    <row r="11464" spans="33:33">
      <c r="AG11464" s="10"/>
    </row>
    <row r="11465" spans="33:33">
      <c r="AG11465" s="10"/>
    </row>
    <row r="11466" spans="33:33">
      <c r="AG11466" s="10"/>
    </row>
    <row r="11467" spans="33:33">
      <c r="AG11467" s="10"/>
    </row>
    <row r="11468" spans="33:33">
      <c r="AG11468" s="10"/>
    </row>
    <row r="11469" spans="33:33">
      <c r="AG11469" s="10"/>
    </row>
    <row r="11470" spans="33:33">
      <c r="AG11470" s="10"/>
    </row>
    <row r="11471" spans="33:33">
      <c r="AG11471" s="10"/>
    </row>
    <row r="11472" spans="33:33">
      <c r="AG11472" s="10"/>
    </row>
    <row r="11473" spans="33:33">
      <c r="AG11473" s="10"/>
    </row>
    <row r="11474" spans="33:33">
      <c r="AG11474" s="10"/>
    </row>
    <row r="11475" spans="33:33">
      <c r="AG11475" s="10"/>
    </row>
    <row r="11476" spans="33:33">
      <c r="AG11476" s="10"/>
    </row>
    <row r="11477" spans="33:33">
      <c r="AG11477" s="10"/>
    </row>
    <row r="11478" spans="33:33">
      <c r="AG11478" s="10"/>
    </row>
    <row r="11479" spans="33:33">
      <c r="AG11479" s="10"/>
    </row>
    <row r="11480" spans="33:33">
      <c r="AG11480" s="10"/>
    </row>
    <row r="11481" spans="33:33">
      <c r="AG11481" s="10"/>
    </row>
    <row r="11482" spans="33:33">
      <c r="AG11482" s="10"/>
    </row>
    <row r="11483" spans="33:33">
      <c r="AG11483" s="10"/>
    </row>
    <row r="11484" spans="33:33">
      <c r="AG11484" s="10"/>
    </row>
    <row r="11485" spans="33:33">
      <c r="AG11485" s="10"/>
    </row>
    <row r="11486" spans="33:33">
      <c r="AG11486" s="10"/>
    </row>
    <row r="11487" spans="33:33">
      <c r="AG11487" s="10"/>
    </row>
    <row r="11488" spans="33:33">
      <c r="AG11488" s="10"/>
    </row>
    <row r="11489" spans="33:33">
      <c r="AG11489" s="10"/>
    </row>
    <row r="11490" spans="33:33">
      <c r="AG11490" s="10"/>
    </row>
    <row r="11491" spans="33:33">
      <c r="AG11491" s="10"/>
    </row>
    <row r="11492" spans="33:33">
      <c r="AG11492" s="10"/>
    </row>
    <row r="11493" spans="33:33">
      <c r="AG11493" s="10"/>
    </row>
    <row r="11494" spans="33:33">
      <c r="AG11494" s="10"/>
    </row>
    <row r="11495" spans="33:33">
      <c r="AG11495" s="10"/>
    </row>
    <row r="11496" spans="33:33">
      <c r="AG11496" s="10"/>
    </row>
    <row r="11497" spans="33:33">
      <c r="AG11497" s="10"/>
    </row>
    <row r="11498" spans="33:33">
      <c r="AG11498" s="10"/>
    </row>
    <row r="11499" spans="33:33">
      <c r="AG11499" s="10"/>
    </row>
    <row r="11500" spans="33:33">
      <c r="AG11500" s="10"/>
    </row>
    <row r="11501" spans="33:33">
      <c r="AG11501" s="10"/>
    </row>
    <row r="11502" spans="33:33">
      <c r="AG11502" s="10"/>
    </row>
    <row r="11503" spans="33:33">
      <c r="AG11503" s="10"/>
    </row>
    <row r="11504" spans="33:33">
      <c r="AG11504" s="10"/>
    </row>
    <row r="11505" spans="33:33">
      <c r="AG11505" s="10"/>
    </row>
    <row r="11506" spans="33:33">
      <c r="AG11506" s="10"/>
    </row>
    <row r="11507" spans="33:33">
      <c r="AG11507" s="10"/>
    </row>
    <row r="11508" spans="33:33">
      <c r="AG11508" s="10"/>
    </row>
    <row r="11509" spans="33:33">
      <c r="AG11509" s="10"/>
    </row>
    <row r="11510" spans="33:33">
      <c r="AG11510" s="10"/>
    </row>
    <row r="11511" spans="33:33">
      <c r="AG11511" s="10"/>
    </row>
    <row r="11512" spans="33:33">
      <c r="AG11512" s="10"/>
    </row>
    <row r="11513" spans="33:33">
      <c r="AG11513" s="10"/>
    </row>
    <row r="11514" spans="33:33">
      <c r="AG11514" s="10"/>
    </row>
    <row r="11515" spans="33:33">
      <c r="AG11515" s="10"/>
    </row>
    <row r="11516" spans="33:33">
      <c r="AG11516" s="10"/>
    </row>
    <row r="11517" spans="33:33">
      <c r="AG11517" s="10"/>
    </row>
    <row r="11518" spans="33:33">
      <c r="AG11518" s="10"/>
    </row>
    <row r="11519" spans="33:33">
      <c r="AG11519" s="10"/>
    </row>
    <row r="11520" spans="33:33">
      <c r="AG11520" s="10"/>
    </row>
    <row r="11521" spans="33:33">
      <c r="AG11521" s="10"/>
    </row>
    <row r="11522" spans="33:33">
      <c r="AG11522" s="10"/>
    </row>
    <row r="11523" spans="33:33">
      <c r="AG11523" s="10"/>
    </row>
    <row r="11524" spans="33:33">
      <c r="AG11524" s="10"/>
    </row>
    <row r="11525" spans="33:33">
      <c r="AG11525" s="10"/>
    </row>
    <row r="11526" spans="33:33">
      <c r="AG11526" s="10"/>
    </row>
    <row r="11527" spans="33:33">
      <c r="AG11527" s="10"/>
    </row>
    <row r="11528" spans="33:33">
      <c r="AG11528" s="10"/>
    </row>
    <row r="11529" spans="33:33">
      <c r="AG11529" s="10"/>
    </row>
    <row r="11530" spans="33:33">
      <c r="AG11530" s="10"/>
    </row>
    <row r="11531" spans="33:33">
      <c r="AG11531" s="10"/>
    </row>
    <row r="11532" spans="33:33">
      <c r="AG11532" s="10"/>
    </row>
    <row r="11533" spans="33:33">
      <c r="AG11533" s="10"/>
    </row>
    <row r="11534" spans="33:33">
      <c r="AG11534" s="10"/>
    </row>
    <row r="11535" spans="33:33">
      <c r="AG11535" s="10"/>
    </row>
    <row r="11536" spans="33:33">
      <c r="AG11536" s="10"/>
    </row>
    <row r="11537" spans="33:33">
      <c r="AG11537" s="10"/>
    </row>
    <row r="11538" spans="33:33">
      <c r="AG11538" s="10"/>
    </row>
    <row r="11539" spans="33:33">
      <c r="AG11539" s="10"/>
    </row>
    <row r="11540" spans="33:33">
      <c r="AG11540" s="10"/>
    </row>
    <row r="11541" spans="33:33">
      <c r="AG11541" s="10"/>
    </row>
    <row r="11542" spans="33:33">
      <c r="AG11542" s="10"/>
    </row>
    <row r="11543" spans="33:33">
      <c r="AG11543" s="10"/>
    </row>
    <row r="11544" spans="33:33">
      <c r="AG11544" s="10"/>
    </row>
    <row r="11545" spans="33:33">
      <c r="AG11545" s="10"/>
    </row>
    <row r="11546" spans="33:33">
      <c r="AG11546" s="10"/>
    </row>
    <row r="11547" spans="33:33">
      <c r="AG11547" s="10"/>
    </row>
    <row r="11548" spans="33:33">
      <c r="AG11548" s="10"/>
    </row>
    <row r="11549" spans="33:33">
      <c r="AG11549" s="10"/>
    </row>
    <row r="11550" spans="33:33">
      <c r="AG11550" s="10"/>
    </row>
    <row r="11551" spans="33:33">
      <c r="AG11551" s="10"/>
    </row>
    <row r="11552" spans="33:33">
      <c r="AG11552" s="10"/>
    </row>
    <row r="11553" spans="33:33">
      <c r="AG11553" s="10"/>
    </row>
    <row r="11554" spans="33:33">
      <c r="AG11554" s="10"/>
    </row>
    <row r="11555" spans="33:33">
      <c r="AG11555" s="10"/>
    </row>
    <row r="11556" spans="33:33">
      <c r="AG11556" s="10"/>
    </row>
    <row r="11557" spans="33:33">
      <c r="AG11557" s="10"/>
    </row>
    <row r="11558" spans="33:33">
      <c r="AG11558" s="10"/>
    </row>
    <row r="11559" spans="33:33">
      <c r="AG11559" s="10"/>
    </row>
    <row r="11560" spans="33:33">
      <c r="AG11560" s="10"/>
    </row>
    <row r="11561" spans="33:33">
      <c r="AG11561" s="10"/>
    </row>
    <row r="11562" spans="33:33">
      <c r="AG11562" s="10"/>
    </row>
    <row r="11563" spans="33:33">
      <c r="AG11563" s="10"/>
    </row>
    <row r="11564" spans="33:33">
      <c r="AG11564" s="10"/>
    </row>
    <row r="11565" spans="33:33">
      <c r="AG11565" s="10"/>
    </row>
    <row r="11566" spans="33:33">
      <c r="AG11566" s="10"/>
    </row>
    <row r="11567" spans="33:33">
      <c r="AG11567" s="10"/>
    </row>
    <row r="11568" spans="33:33">
      <c r="AG11568" s="10"/>
    </row>
    <row r="11569" spans="33:33">
      <c r="AG11569" s="10"/>
    </row>
    <row r="11570" spans="33:33">
      <c r="AG11570" s="10"/>
    </row>
    <row r="11571" spans="33:33">
      <c r="AG11571" s="10"/>
    </row>
    <row r="11572" spans="33:33">
      <c r="AG11572" s="10"/>
    </row>
    <row r="11573" spans="33:33">
      <c r="AG11573" s="10"/>
    </row>
    <row r="11574" spans="33:33">
      <c r="AG11574" s="10"/>
    </row>
    <row r="11575" spans="33:33">
      <c r="AG11575" s="10"/>
    </row>
    <row r="11576" spans="33:33">
      <c r="AG11576" s="10"/>
    </row>
    <row r="11577" spans="33:33">
      <c r="AG11577" s="10"/>
    </row>
    <row r="11578" spans="33:33">
      <c r="AG11578" s="10"/>
    </row>
    <row r="11579" spans="33:33">
      <c r="AG11579" s="10"/>
    </row>
    <row r="11580" spans="33:33">
      <c r="AG11580" s="10"/>
    </row>
    <row r="11581" spans="33:33">
      <c r="AG11581" s="10"/>
    </row>
    <row r="11582" spans="33:33">
      <c r="AG11582" s="10"/>
    </row>
    <row r="11583" spans="33:33">
      <c r="AG11583" s="10"/>
    </row>
    <row r="11584" spans="33:33">
      <c r="AG11584" s="10"/>
    </row>
    <row r="11585" spans="33:33">
      <c r="AG11585" s="10"/>
    </row>
    <row r="11586" spans="33:33">
      <c r="AG11586" s="10"/>
    </row>
    <row r="11587" spans="33:33">
      <c r="AG11587" s="10"/>
    </row>
    <row r="11588" spans="33:33">
      <c r="AG11588" s="10"/>
    </row>
    <row r="11589" spans="33:33">
      <c r="AG11589" s="10"/>
    </row>
    <row r="11590" spans="33:33">
      <c r="AG11590" s="10"/>
    </row>
    <row r="11591" spans="33:33">
      <c r="AG11591" s="10"/>
    </row>
    <row r="11592" spans="33:33">
      <c r="AG11592" s="10"/>
    </row>
    <row r="11593" spans="33:33">
      <c r="AG11593" s="10"/>
    </row>
    <row r="11594" spans="33:33">
      <c r="AG11594" s="10"/>
    </row>
    <row r="11595" spans="33:33">
      <c r="AG11595" s="10"/>
    </row>
    <row r="11596" spans="33:33">
      <c r="AG11596" s="10"/>
    </row>
    <row r="11597" spans="33:33">
      <c r="AG11597" s="10"/>
    </row>
    <row r="11598" spans="33:33">
      <c r="AG11598" s="10"/>
    </row>
    <row r="11599" spans="33:33">
      <c r="AG11599" s="10"/>
    </row>
    <row r="11600" spans="33:33">
      <c r="AG11600" s="10"/>
    </row>
    <row r="11601" spans="33:33">
      <c r="AG11601" s="10"/>
    </row>
    <row r="11602" spans="33:33">
      <c r="AG11602" s="10"/>
    </row>
    <row r="11603" spans="33:33">
      <c r="AG11603" s="10"/>
    </row>
    <row r="11604" spans="33:33">
      <c r="AG11604" s="10"/>
    </row>
    <row r="11605" spans="33:33">
      <c r="AG11605" s="10"/>
    </row>
    <row r="11606" spans="33:33">
      <c r="AG11606" s="10"/>
    </row>
    <row r="11607" spans="33:33">
      <c r="AG11607" s="10"/>
    </row>
    <row r="11608" spans="33:33">
      <c r="AG11608" s="10"/>
    </row>
    <row r="11609" spans="33:33">
      <c r="AG11609" s="10"/>
    </row>
    <row r="11610" spans="33:33">
      <c r="AG11610" s="10"/>
    </row>
    <row r="11611" spans="33:33">
      <c r="AG11611" s="10"/>
    </row>
    <row r="11612" spans="33:33">
      <c r="AG11612" s="10"/>
    </row>
    <row r="11613" spans="33:33">
      <c r="AG11613" s="10"/>
    </row>
    <row r="11614" spans="33:33">
      <c r="AG11614" s="10"/>
    </row>
    <row r="11615" spans="33:33">
      <c r="AG11615" s="10"/>
    </row>
    <row r="11616" spans="33:33">
      <c r="AG11616" s="10"/>
    </row>
    <row r="11617" spans="33:33">
      <c r="AG11617" s="10"/>
    </row>
    <row r="11618" spans="33:33">
      <c r="AG11618" s="10"/>
    </row>
    <row r="11619" spans="33:33">
      <c r="AG11619" s="10"/>
    </row>
    <row r="11620" spans="33:33">
      <c r="AG11620" s="10"/>
    </row>
    <row r="11621" spans="33:33">
      <c r="AG11621" s="10"/>
    </row>
    <row r="11622" spans="33:33">
      <c r="AG11622" s="10"/>
    </row>
    <row r="11623" spans="33:33">
      <c r="AG11623" s="10"/>
    </row>
    <row r="11624" spans="33:33">
      <c r="AG11624" s="10"/>
    </row>
    <row r="11625" spans="33:33">
      <c r="AG11625" s="10"/>
    </row>
    <row r="11626" spans="33:33">
      <c r="AG11626" s="10"/>
    </row>
    <row r="11627" spans="33:33">
      <c r="AG11627" s="10"/>
    </row>
    <row r="11628" spans="33:33">
      <c r="AG11628" s="10"/>
    </row>
    <row r="11629" spans="33:33">
      <c r="AG11629" s="10"/>
    </row>
    <row r="11630" spans="33:33">
      <c r="AG11630" s="10"/>
    </row>
    <row r="11631" spans="33:33">
      <c r="AG11631" s="10"/>
    </row>
    <row r="11632" spans="33:33">
      <c r="AG11632" s="10"/>
    </row>
    <row r="11633" spans="33:33">
      <c r="AG11633" s="10"/>
    </row>
    <row r="11634" spans="33:33">
      <c r="AG11634" s="10"/>
    </row>
    <row r="11635" spans="33:33">
      <c r="AG11635" s="10"/>
    </row>
    <row r="11636" spans="33:33">
      <c r="AG11636" s="10"/>
    </row>
    <row r="11637" spans="33:33">
      <c r="AG11637" s="10"/>
    </row>
    <row r="11638" spans="33:33">
      <c r="AG11638" s="10"/>
    </row>
    <row r="11639" spans="33:33">
      <c r="AG11639" s="10"/>
    </row>
    <row r="11640" spans="33:33">
      <c r="AG11640" s="10"/>
    </row>
    <row r="11641" spans="33:33">
      <c r="AG11641" s="10"/>
    </row>
    <row r="11642" spans="33:33">
      <c r="AG11642" s="10"/>
    </row>
    <row r="11643" spans="33:33">
      <c r="AG11643" s="10"/>
    </row>
    <row r="11644" spans="33:33">
      <c r="AG11644" s="10"/>
    </row>
    <row r="11645" spans="33:33">
      <c r="AG11645" s="10"/>
    </row>
    <row r="11646" spans="33:33">
      <c r="AG11646" s="10"/>
    </row>
    <row r="11647" spans="33:33">
      <c r="AG11647" s="10"/>
    </row>
    <row r="11648" spans="33:33">
      <c r="AG11648" s="10"/>
    </row>
    <row r="11649" spans="33:33">
      <c r="AG11649" s="10"/>
    </row>
    <row r="11650" spans="33:33">
      <c r="AG11650" s="10"/>
    </row>
    <row r="11651" spans="33:33">
      <c r="AG11651" s="10"/>
    </row>
    <row r="11652" spans="33:33">
      <c r="AG11652" s="10"/>
    </row>
    <row r="11653" spans="33:33">
      <c r="AG11653" s="10"/>
    </row>
    <row r="11654" spans="33:33">
      <c r="AG11654" s="10"/>
    </row>
    <row r="11655" spans="33:33">
      <c r="AG11655" s="10"/>
    </row>
    <row r="11656" spans="33:33">
      <c r="AG11656" s="10"/>
    </row>
    <row r="11657" spans="33:33">
      <c r="AG11657" s="10"/>
    </row>
    <row r="11658" spans="33:33">
      <c r="AG11658" s="10"/>
    </row>
    <row r="11659" spans="33:33">
      <c r="AG11659" s="10"/>
    </row>
    <row r="11660" spans="33:33">
      <c r="AG11660" s="10"/>
    </row>
    <row r="11661" spans="33:33">
      <c r="AG11661" s="10"/>
    </row>
    <row r="11662" spans="33:33">
      <c r="AG11662" s="10"/>
    </row>
    <row r="11663" spans="33:33">
      <c r="AG11663" s="10"/>
    </row>
    <row r="11664" spans="33:33">
      <c r="AG11664" s="10"/>
    </row>
    <row r="11665" spans="33:33">
      <c r="AG11665" s="10"/>
    </row>
    <row r="11666" spans="33:33">
      <c r="AG11666" s="10"/>
    </row>
    <row r="11667" spans="33:33">
      <c r="AG11667" s="10"/>
    </row>
    <row r="11668" spans="33:33">
      <c r="AG11668" s="10"/>
    </row>
    <row r="11669" spans="33:33">
      <c r="AG11669" s="10"/>
    </row>
    <row r="11670" spans="33:33">
      <c r="AG11670" s="10"/>
    </row>
    <row r="11671" spans="33:33">
      <c r="AG11671" s="10"/>
    </row>
    <row r="11672" spans="33:33">
      <c r="AG11672" s="10"/>
    </row>
    <row r="11673" spans="33:33">
      <c r="AG11673" s="10"/>
    </row>
    <row r="11674" spans="33:33">
      <c r="AG11674" s="10"/>
    </row>
    <row r="11675" spans="33:33">
      <c r="AG11675" s="10"/>
    </row>
    <row r="11676" spans="33:33">
      <c r="AG11676" s="10"/>
    </row>
    <row r="11677" spans="33:33">
      <c r="AG11677" s="10"/>
    </row>
    <row r="11678" spans="33:33">
      <c r="AG11678" s="10"/>
    </row>
    <row r="11679" spans="33:33">
      <c r="AG11679" s="10"/>
    </row>
    <row r="11680" spans="33:33">
      <c r="AG11680" s="10"/>
    </row>
    <row r="11681" spans="33:33">
      <c r="AG11681" s="10"/>
    </row>
    <row r="11682" spans="33:33">
      <c r="AG11682" s="10"/>
    </row>
    <row r="11683" spans="33:33">
      <c r="AG11683" s="10"/>
    </row>
    <row r="11684" spans="33:33">
      <c r="AG11684" s="10"/>
    </row>
    <row r="11685" spans="33:33">
      <c r="AG11685" s="10"/>
    </row>
    <row r="11686" spans="33:33">
      <c r="AG11686" s="10"/>
    </row>
    <row r="11687" spans="33:33">
      <c r="AG11687" s="10"/>
    </row>
    <row r="11688" spans="33:33">
      <c r="AG11688" s="10"/>
    </row>
    <row r="11689" spans="33:33">
      <c r="AG11689" s="10"/>
    </row>
    <row r="11690" spans="33:33">
      <c r="AG11690" s="10"/>
    </row>
    <row r="11691" spans="33:33">
      <c r="AG11691" s="10"/>
    </row>
    <row r="11692" spans="33:33">
      <c r="AG11692" s="10"/>
    </row>
    <row r="11693" spans="33:33">
      <c r="AG11693" s="10"/>
    </row>
    <row r="11694" spans="33:33">
      <c r="AG11694" s="10"/>
    </row>
    <row r="11695" spans="33:33">
      <c r="AG11695" s="10"/>
    </row>
    <row r="11696" spans="33:33">
      <c r="AG11696" s="10"/>
    </row>
    <row r="11697" spans="33:33">
      <c r="AG11697" s="10"/>
    </row>
    <row r="11698" spans="33:33">
      <c r="AG11698" s="10"/>
    </row>
    <row r="11699" spans="33:33">
      <c r="AG11699" s="10"/>
    </row>
    <row r="11700" spans="33:33">
      <c r="AG11700" s="10"/>
    </row>
    <row r="11701" spans="33:33">
      <c r="AG11701" s="10"/>
    </row>
    <row r="11702" spans="33:33">
      <c r="AG11702" s="10"/>
    </row>
    <row r="11703" spans="33:33">
      <c r="AG11703" s="10"/>
    </row>
    <row r="11704" spans="33:33">
      <c r="AG11704" s="10"/>
    </row>
    <row r="11705" spans="33:33">
      <c r="AG11705" s="10"/>
    </row>
    <row r="11706" spans="33:33">
      <c r="AG11706" s="10"/>
    </row>
    <row r="11707" spans="33:33">
      <c r="AG11707" s="10"/>
    </row>
    <row r="11708" spans="33:33">
      <c r="AG11708" s="10"/>
    </row>
    <row r="11709" spans="33:33">
      <c r="AG11709" s="10"/>
    </row>
    <row r="11710" spans="33:33">
      <c r="AG11710" s="10"/>
    </row>
    <row r="11711" spans="33:33">
      <c r="AG11711" s="10"/>
    </row>
    <row r="11712" spans="33:33">
      <c r="AG11712" s="10"/>
    </row>
    <row r="11713" spans="33:33">
      <c r="AG11713" s="10"/>
    </row>
    <row r="11714" spans="33:33">
      <c r="AG11714" s="10"/>
    </row>
    <row r="11715" spans="33:33">
      <c r="AG11715" s="10"/>
    </row>
    <row r="11716" spans="33:33">
      <c r="AG11716" s="10"/>
    </row>
    <row r="11717" spans="33:33">
      <c r="AG11717" s="10"/>
    </row>
    <row r="11718" spans="33:33">
      <c r="AG11718" s="10"/>
    </row>
    <row r="11719" spans="33:33">
      <c r="AG11719" s="10"/>
    </row>
    <row r="11720" spans="33:33">
      <c r="AG11720" s="10"/>
    </row>
    <row r="11721" spans="33:33">
      <c r="AG11721" s="10"/>
    </row>
    <row r="11722" spans="33:33">
      <c r="AG11722" s="10"/>
    </row>
    <row r="11723" spans="33:33">
      <c r="AG11723" s="10"/>
    </row>
    <row r="11724" spans="33:33">
      <c r="AG11724" s="10"/>
    </row>
    <row r="11725" spans="33:33">
      <c r="AG11725" s="10"/>
    </row>
    <row r="11726" spans="33:33">
      <c r="AG11726" s="10"/>
    </row>
    <row r="11727" spans="33:33">
      <c r="AG11727" s="10"/>
    </row>
    <row r="11728" spans="33:33">
      <c r="AG11728" s="10"/>
    </row>
    <row r="11729" spans="33:33">
      <c r="AG11729" s="10"/>
    </row>
    <row r="11730" spans="33:33">
      <c r="AG11730" s="10"/>
    </row>
    <row r="11731" spans="33:33">
      <c r="AG11731" s="10"/>
    </row>
    <row r="11732" spans="33:33">
      <c r="AG11732" s="10"/>
    </row>
    <row r="11733" spans="33:33">
      <c r="AG11733" s="10"/>
    </row>
    <row r="11734" spans="33:33">
      <c r="AG11734" s="10"/>
    </row>
    <row r="11735" spans="33:33">
      <c r="AG11735" s="10"/>
    </row>
    <row r="11736" spans="33:33">
      <c r="AG11736" s="10"/>
    </row>
    <row r="11737" spans="33:33">
      <c r="AG11737" s="10"/>
    </row>
    <row r="11738" spans="33:33">
      <c r="AG11738" s="10"/>
    </row>
    <row r="11739" spans="33:33">
      <c r="AG11739" s="10"/>
    </row>
    <row r="11740" spans="33:33">
      <c r="AG11740" s="10"/>
    </row>
    <row r="11741" spans="33:33">
      <c r="AG11741" s="10"/>
    </row>
    <row r="11742" spans="33:33">
      <c r="AG11742" s="10"/>
    </row>
    <row r="11743" spans="33:33">
      <c r="AG11743" s="10"/>
    </row>
    <row r="11744" spans="33:33">
      <c r="AG11744" s="10"/>
    </row>
    <row r="11745" spans="33:33">
      <c r="AG11745" s="10"/>
    </row>
    <row r="11746" spans="33:33">
      <c r="AG11746" s="10"/>
    </row>
    <row r="11747" spans="33:33">
      <c r="AG11747" s="10"/>
    </row>
    <row r="11748" spans="33:33">
      <c r="AG11748" s="10"/>
    </row>
    <row r="11749" spans="33:33">
      <c r="AG11749" s="10"/>
    </row>
    <row r="11750" spans="33:33">
      <c r="AG11750" s="10"/>
    </row>
    <row r="11751" spans="33:33">
      <c r="AG11751" s="10"/>
    </row>
    <row r="11752" spans="33:33">
      <c r="AG11752" s="10"/>
    </row>
    <row r="11753" spans="33:33">
      <c r="AG11753" s="10"/>
    </row>
    <row r="11754" spans="33:33">
      <c r="AG11754" s="10"/>
    </row>
    <row r="11755" spans="33:33">
      <c r="AG11755" s="10"/>
    </row>
    <row r="11756" spans="33:33">
      <c r="AG11756" s="10"/>
    </row>
    <row r="11757" spans="33:33">
      <c r="AG11757" s="10"/>
    </row>
    <row r="11758" spans="33:33">
      <c r="AG11758" s="10"/>
    </row>
    <row r="11759" spans="33:33">
      <c r="AG11759" s="10"/>
    </row>
    <row r="11760" spans="33:33">
      <c r="AG11760" s="10"/>
    </row>
    <row r="11761" spans="33:33">
      <c r="AG11761" s="10"/>
    </row>
    <row r="11762" spans="33:33">
      <c r="AG11762" s="10"/>
    </row>
    <row r="11763" spans="33:33">
      <c r="AG11763" s="10"/>
    </row>
    <row r="11764" spans="33:33">
      <c r="AG11764" s="10"/>
    </row>
    <row r="11765" spans="33:33">
      <c r="AG11765" s="10"/>
    </row>
    <row r="11766" spans="33:33">
      <c r="AG11766" s="10"/>
    </row>
    <row r="11767" spans="33:33">
      <c r="AG11767" s="10"/>
    </row>
    <row r="11768" spans="33:33">
      <c r="AG11768" s="10"/>
    </row>
    <row r="11769" spans="33:33">
      <c r="AG11769" s="10"/>
    </row>
    <row r="11770" spans="33:33">
      <c r="AG11770" s="10"/>
    </row>
    <row r="11771" spans="33:33">
      <c r="AG11771" s="10"/>
    </row>
    <row r="11772" spans="33:33">
      <c r="AG11772" s="10"/>
    </row>
    <row r="11773" spans="33:33">
      <c r="AG11773" s="10"/>
    </row>
    <row r="11774" spans="33:33">
      <c r="AG11774" s="10"/>
    </row>
    <row r="11775" spans="33:33">
      <c r="AG11775" s="10"/>
    </row>
    <row r="11776" spans="33:33">
      <c r="AG11776" s="10"/>
    </row>
    <row r="11777" spans="33:33">
      <c r="AG11777" s="10"/>
    </row>
    <row r="11778" spans="33:33">
      <c r="AG11778" s="10"/>
    </row>
    <row r="11779" spans="33:33">
      <c r="AG11779" s="10"/>
    </row>
    <row r="11780" spans="33:33">
      <c r="AG11780" s="10"/>
    </row>
    <row r="11781" spans="33:33">
      <c r="AG11781" s="10"/>
    </row>
    <row r="11782" spans="33:33">
      <c r="AG11782" s="10"/>
    </row>
    <row r="11783" spans="33:33">
      <c r="AG11783" s="10"/>
    </row>
    <row r="11784" spans="33:33">
      <c r="AG11784" s="10"/>
    </row>
    <row r="11785" spans="33:33">
      <c r="AG11785" s="10"/>
    </row>
    <row r="11786" spans="33:33">
      <c r="AG11786" s="10"/>
    </row>
    <row r="11787" spans="33:33">
      <c r="AG11787" s="10"/>
    </row>
    <row r="11788" spans="33:33">
      <c r="AG11788" s="10"/>
    </row>
    <row r="11789" spans="33:33">
      <c r="AG11789" s="10"/>
    </row>
    <row r="11790" spans="33:33">
      <c r="AG11790" s="10"/>
    </row>
    <row r="11791" spans="33:33">
      <c r="AG11791" s="10"/>
    </row>
    <row r="11792" spans="33:33">
      <c r="AG11792" s="10"/>
    </row>
    <row r="11793" spans="33:33">
      <c r="AG11793" s="10"/>
    </row>
    <row r="11794" spans="33:33">
      <c r="AG11794" s="10"/>
    </row>
    <row r="11795" spans="33:33">
      <c r="AG11795" s="10"/>
    </row>
    <row r="11796" spans="33:33">
      <c r="AG11796" s="10"/>
    </row>
    <row r="11797" spans="33:33">
      <c r="AG11797" s="10"/>
    </row>
    <row r="11798" spans="33:33">
      <c r="AG11798" s="10"/>
    </row>
    <row r="11799" spans="33:33">
      <c r="AG11799" s="10"/>
    </row>
    <row r="11800" spans="33:33">
      <c r="AG11800" s="10"/>
    </row>
    <row r="11801" spans="33:33">
      <c r="AG11801" s="10"/>
    </row>
    <row r="11802" spans="33:33">
      <c r="AG11802" s="10"/>
    </row>
    <row r="11803" spans="33:33">
      <c r="AG11803" s="10"/>
    </row>
    <row r="11804" spans="33:33">
      <c r="AG11804" s="10"/>
    </row>
    <row r="11805" spans="33:33">
      <c r="AG11805" s="10"/>
    </row>
    <row r="11806" spans="33:33">
      <c r="AG11806" s="10"/>
    </row>
    <row r="11807" spans="33:33">
      <c r="AG11807" s="10"/>
    </row>
    <row r="11808" spans="33:33">
      <c r="AG11808" s="10"/>
    </row>
    <row r="11809" spans="33:33">
      <c r="AG11809" s="10"/>
    </row>
    <row r="11810" spans="33:33">
      <c r="AG11810" s="10"/>
    </row>
    <row r="11811" spans="33:33">
      <c r="AG11811" s="10"/>
    </row>
    <row r="11812" spans="33:33">
      <c r="AG11812" s="10"/>
    </row>
    <row r="11813" spans="33:33">
      <c r="AG11813" s="10"/>
    </row>
    <row r="11814" spans="33:33">
      <c r="AG11814" s="10"/>
    </row>
    <row r="11815" spans="33:33">
      <c r="AG11815" s="10"/>
    </row>
    <row r="11816" spans="33:33">
      <c r="AG11816" s="10"/>
    </row>
    <row r="11817" spans="33:33">
      <c r="AG11817" s="10"/>
    </row>
    <row r="11818" spans="33:33">
      <c r="AG11818" s="10"/>
    </row>
    <row r="11819" spans="33:33">
      <c r="AG11819" s="10"/>
    </row>
    <row r="11820" spans="33:33">
      <c r="AG11820" s="10"/>
    </row>
    <row r="11821" spans="33:33">
      <c r="AG11821" s="10"/>
    </row>
    <row r="11822" spans="33:33">
      <c r="AG11822" s="10"/>
    </row>
    <row r="11823" spans="33:33">
      <c r="AG11823" s="10"/>
    </row>
    <row r="11824" spans="33:33">
      <c r="AG11824" s="10"/>
    </row>
    <row r="11825" spans="33:33">
      <c r="AG11825" s="10"/>
    </row>
    <row r="11826" spans="33:33">
      <c r="AG11826" s="10"/>
    </row>
    <row r="11827" spans="33:33">
      <c r="AG11827" s="10"/>
    </row>
    <row r="11828" spans="33:33">
      <c r="AG11828" s="10"/>
    </row>
    <row r="11829" spans="33:33">
      <c r="AG11829" s="10"/>
    </row>
    <row r="11830" spans="33:33">
      <c r="AG11830" s="10"/>
    </row>
    <row r="11831" spans="33:33">
      <c r="AG11831" s="10"/>
    </row>
    <row r="11832" spans="33:33">
      <c r="AG11832" s="10"/>
    </row>
    <row r="11833" spans="33:33">
      <c r="AG11833" s="10"/>
    </row>
    <row r="11834" spans="33:33">
      <c r="AG11834" s="10"/>
    </row>
    <row r="11835" spans="33:33">
      <c r="AG11835" s="10"/>
    </row>
    <row r="11836" spans="33:33">
      <c r="AG11836" s="10"/>
    </row>
    <row r="11837" spans="33:33">
      <c r="AG11837" s="10"/>
    </row>
    <row r="11838" spans="33:33">
      <c r="AG11838" s="10"/>
    </row>
    <row r="11839" spans="33:33">
      <c r="AG11839" s="10"/>
    </row>
    <row r="11840" spans="33:33">
      <c r="AG11840" s="10"/>
    </row>
    <row r="11841" spans="33:33">
      <c r="AG11841" s="10"/>
    </row>
    <row r="11842" spans="33:33">
      <c r="AG11842" s="10"/>
    </row>
    <row r="11843" spans="33:33">
      <c r="AG11843" s="10"/>
    </row>
    <row r="11844" spans="33:33">
      <c r="AG11844" s="10"/>
    </row>
    <row r="11845" spans="33:33">
      <c r="AG11845" s="10"/>
    </row>
    <row r="11846" spans="33:33">
      <c r="AG11846" s="10"/>
    </row>
    <row r="11847" spans="33:33">
      <c r="AG11847" s="10"/>
    </row>
    <row r="11848" spans="33:33">
      <c r="AG11848" s="10"/>
    </row>
    <row r="11849" spans="33:33">
      <c r="AG11849" s="10"/>
    </row>
    <row r="11850" spans="33:33">
      <c r="AG11850" s="10"/>
    </row>
    <row r="11851" spans="33:33">
      <c r="AG11851" s="10"/>
    </row>
    <row r="11852" spans="33:33">
      <c r="AG11852" s="10"/>
    </row>
    <row r="11853" spans="33:33">
      <c r="AG11853" s="10"/>
    </row>
    <row r="11854" spans="33:33">
      <c r="AG11854" s="10"/>
    </row>
    <row r="11855" spans="33:33">
      <c r="AG11855" s="10"/>
    </row>
    <row r="11856" spans="33:33">
      <c r="AG11856" s="10"/>
    </row>
    <row r="11857" spans="33:33">
      <c r="AG11857" s="10"/>
    </row>
    <row r="11858" spans="33:33">
      <c r="AG11858" s="10"/>
    </row>
    <row r="11859" spans="33:33">
      <c r="AG11859" s="10"/>
    </row>
    <row r="11860" spans="33:33">
      <c r="AG11860" s="10"/>
    </row>
    <row r="11861" spans="33:33">
      <c r="AG11861" s="10"/>
    </row>
    <row r="11862" spans="33:33">
      <c r="AG11862" s="10"/>
    </row>
    <row r="11863" spans="33:33">
      <c r="AG11863" s="10"/>
    </row>
    <row r="11864" spans="33:33">
      <c r="AG11864" s="10"/>
    </row>
    <row r="11865" spans="33:33">
      <c r="AG11865" s="10"/>
    </row>
    <row r="11866" spans="33:33">
      <c r="AG11866" s="10"/>
    </row>
    <row r="11867" spans="33:33">
      <c r="AG11867" s="10"/>
    </row>
    <row r="11868" spans="33:33">
      <c r="AG11868" s="10"/>
    </row>
    <row r="11869" spans="33:33">
      <c r="AG11869" s="10"/>
    </row>
    <row r="11870" spans="33:33">
      <c r="AG11870" s="10"/>
    </row>
    <row r="11871" spans="33:33">
      <c r="AG11871" s="10"/>
    </row>
    <row r="11872" spans="33:33">
      <c r="AG11872" s="10"/>
    </row>
    <row r="11873" spans="33:33">
      <c r="AG11873" s="10"/>
    </row>
    <row r="11874" spans="33:33">
      <c r="AG11874" s="10"/>
    </row>
    <row r="11875" spans="33:33">
      <c r="AG11875" s="10"/>
    </row>
    <row r="11876" spans="33:33">
      <c r="AG11876" s="10"/>
    </row>
    <row r="11877" spans="33:33">
      <c r="AG11877" s="10"/>
    </row>
    <row r="11878" spans="33:33">
      <c r="AG11878" s="10"/>
    </row>
    <row r="11879" spans="33:33">
      <c r="AG11879" s="10"/>
    </row>
    <row r="11880" spans="33:33">
      <c r="AG11880" s="10"/>
    </row>
    <row r="11881" spans="33:33">
      <c r="AG11881" s="10"/>
    </row>
    <row r="11882" spans="33:33">
      <c r="AG11882" s="10"/>
    </row>
    <row r="11883" spans="33:33">
      <c r="AG11883" s="10"/>
    </row>
    <row r="11884" spans="33:33">
      <c r="AG11884" s="10"/>
    </row>
    <row r="11885" spans="33:33">
      <c r="AG11885" s="10"/>
    </row>
    <row r="11886" spans="33:33">
      <c r="AG11886" s="10"/>
    </row>
    <row r="11887" spans="33:33">
      <c r="AG11887" s="10"/>
    </row>
    <row r="11888" spans="33:33">
      <c r="AG11888" s="10"/>
    </row>
    <row r="11889" spans="33:33">
      <c r="AG11889" s="10"/>
    </row>
    <row r="11890" spans="33:33">
      <c r="AG11890" s="10"/>
    </row>
    <row r="11891" spans="33:33">
      <c r="AG11891" s="10"/>
    </row>
    <row r="11892" spans="33:33">
      <c r="AG11892" s="10"/>
    </row>
    <row r="11893" spans="33:33">
      <c r="AG11893" s="10"/>
    </row>
    <row r="11894" spans="33:33">
      <c r="AG11894" s="10"/>
    </row>
    <row r="11895" spans="33:33">
      <c r="AG11895" s="10"/>
    </row>
    <row r="11896" spans="33:33">
      <c r="AG11896" s="10"/>
    </row>
    <row r="11897" spans="33:33">
      <c r="AG11897" s="10"/>
    </row>
    <row r="11898" spans="33:33">
      <c r="AG11898" s="10"/>
    </row>
    <row r="11899" spans="33:33">
      <c r="AG11899" s="10"/>
    </row>
    <row r="11900" spans="33:33">
      <c r="AG11900" s="10"/>
    </row>
    <row r="11901" spans="33:33">
      <c r="AG11901" s="10"/>
    </row>
    <row r="11902" spans="33:33">
      <c r="AG11902" s="10"/>
    </row>
    <row r="11903" spans="33:33">
      <c r="AG11903" s="10"/>
    </row>
    <row r="11904" spans="33:33">
      <c r="AG11904" s="10"/>
    </row>
    <row r="11905" spans="33:33">
      <c r="AG11905" s="10"/>
    </row>
    <row r="11906" spans="33:33">
      <c r="AG11906" s="10"/>
    </row>
    <row r="11907" spans="33:33">
      <c r="AG11907" s="10"/>
    </row>
    <row r="11908" spans="33:33">
      <c r="AG11908" s="10"/>
    </row>
    <row r="11909" spans="33:33">
      <c r="AG11909" s="10"/>
    </row>
    <row r="11910" spans="33:33">
      <c r="AG11910" s="10"/>
    </row>
    <row r="11911" spans="33:33">
      <c r="AG11911" s="10"/>
    </row>
    <row r="11912" spans="33:33">
      <c r="AG11912" s="10"/>
    </row>
    <row r="11913" spans="33:33">
      <c r="AG11913" s="10"/>
    </row>
    <row r="11914" spans="33:33">
      <c r="AG11914" s="10"/>
    </row>
    <row r="11915" spans="33:33">
      <c r="AG11915" s="10"/>
    </row>
    <row r="11916" spans="33:33">
      <c r="AG11916" s="10"/>
    </row>
    <row r="11917" spans="33:33">
      <c r="AG11917" s="10"/>
    </row>
    <row r="11918" spans="33:33">
      <c r="AG11918" s="10"/>
    </row>
    <row r="11919" spans="33:33">
      <c r="AG11919" s="10"/>
    </row>
    <row r="11920" spans="33:33">
      <c r="AG11920" s="10"/>
    </row>
    <row r="11921" spans="33:33">
      <c r="AG11921" s="10"/>
    </row>
    <row r="11922" spans="33:33">
      <c r="AG11922" s="10"/>
    </row>
    <row r="11923" spans="33:33">
      <c r="AG11923" s="10"/>
    </row>
    <row r="11924" spans="33:33">
      <c r="AG11924" s="10"/>
    </row>
    <row r="11925" spans="33:33">
      <c r="AG11925" s="10"/>
    </row>
    <row r="11926" spans="33:33">
      <c r="AG11926" s="10"/>
    </row>
    <row r="11927" spans="33:33">
      <c r="AG11927" s="10"/>
    </row>
    <row r="11928" spans="33:33">
      <c r="AG11928" s="10"/>
    </row>
    <row r="11929" spans="33:33">
      <c r="AG11929" s="10"/>
    </row>
    <row r="11930" spans="33:33">
      <c r="AG11930" s="10"/>
    </row>
    <row r="11931" spans="33:33">
      <c r="AG11931" s="10"/>
    </row>
    <row r="11932" spans="33:33">
      <c r="AG11932" s="10"/>
    </row>
    <row r="11933" spans="33:33">
      <c r="AG11933" s="10"/>
    </row>
    <row r="11934" spans="33:33">
      <c r="AG11934" s="10"/>
    </row>
    <row r="11935" spans="33:33">
      <c r="AG11935" s="10"/>
    </row>
    <row r="11936" spans="33:33">
      <c r="AG11936" s="10"/>
    </row>
    <row r="11937" spans="33:33">
      <c r="AG11937" s="10"/>
    </row>
    <row r="11938" spans="33:33">
      <c r="AG11938" s="10"/>
    </row>
    <row r="11939" spans="33:33">
      <c r="AG11939" s="10"/>
    </row>
    <row r="11940" spans="33:33">
      <c r="AG11940" s="10"/>
    </row>
    <row r="11941" spans="33:33">
      <c r="AG11941" s="10"/>
    </row>
    <row r="11942" spans="33:33">
      <c r="AG11942" s="10"/>
    </row>
    <row r="11943" spans="33:33">
      <c r="AG11943" s="10"/>
    </row>
    <row r="11944" spans="33:33">
      <c r="AG11944" s="10"/>
    </row>
    <row r="11945" spans="33:33">
      <c r="AG11945" s="10"/>
    </row>
    <row r="11946" spans="33:33">
      <c r="AG11946" s="10"/>
    </row>
    <row r="11947" spans="33:33">
      <c r="AG11947" s="10"/>
    </row>
    <row r="11948" spans="33:33">
      <c r="AG11948" s="10"/>
    </row>
    <row r="11949" spans="33:33">
      <c r="AG11949" s="10"/>
    </row>
    <row r="11950" spans="33:33">
      <c r="AG11950" s="10"/>
    </row>
    <row r="11951" spans="33:33">
      <c r="AG11951" s="10"/>
    </row>
    <row r="11952" spans="33:33">
      <c r="AG11952" s="10"/>
    </row>
    <row r="11953" spans="33:33">
      <c r="AG11953" s="10"/>
    </row>
    <row r="11954" spans="33:33">
      <c r="AG11954" s="10"/>
    </row>
    <row r="11955" spans="33:33">
      <c r="AG11955" s="10"/>
    </row>
    <row r="11956" spans="33:33">
      <c r="AG11956" s="10"/>
    </row>
    <row r="11957" spans="33:33">
      <c r="AG11957" s="10"/>
    </row>
    <row r="11958" spans="33:33">
      <c r="AG11958" s="10"/>
    </row>
    <row r="11959" spans="33:33">
      <c r="AG11959" s="10"/>
    </row>
    <row r="11960" spans="33:33">
      <c r="AG11960" s="10"/>
    </row>
    <row r="11961" spans="33:33">
      <c r="AG11961" s="10"/>
    </row>
    <row r="11962" spans="33:33">
      <c r="AG11962" s="10"/>
    </row>
    <row r="11963" spans="33:33">
      <c r="AG11963" s="10"/>
    </row>
    <row r="11964" spans="33:33">
      <c r="AG11964" s="10"/>
    </row>
    <row r="11965" spans="33:33">
      <c r="AG11965" s="10"/>
    </row>
    <row r="11966" spans="33:33">
      <c r="AG11966" s="10"/>
    </row>
    <row r="11967" spans="33:33">
      <c r="AG11967" s="10"/>
    </row>
    <row r="11968" spans="33:33">
      <c r="AG11968" s="10"/>
    </row>
    <row r="11969" spans="33:33">
      <c r="AG11969" s="10"/>
    </row>
    <row r="11970" spans="33:33">
      <c r="AG11970" s="10"/>
    </row>
    <row r="11971" spans="33:33">
      <c r="AG11971" s="10"/>
    </row>
    <row r="11972" spans="33:33">
      <c r="AG11972" s="10"/>
    </row>
    <row r="11973" spans="33:33">
      <c r="AG11973" s="10"/>
    </row>
    <row r="11974" spans="33:33">
      <c r="AG11974" s="10"/>
    </row>
    <row r="11975" spans="33:33">
      <c r="AG11975" s="10"/>
    </row>
    <row r="11976" spans="33:33">
      <c r="AG11976" s="10"/>
    </row>
    <row r="11977" spans="33:33">
      <c r="AG11977" s="10"/>
    </row>
    <row r="11978" spans="33:33">
      <c r="AG11978" s="10"/>
    </row>
    <row r="11979" spans="33:33">
      <c r="AG11979" s="10"/>
    </row>
    <row r="11980" spans="33:33">
      <c r="AG11980" s="10"/>
    </row>
    <row r="11981" spans="33:33">
      <c r="AG11981" s="10"/>
    </row>
    <row r="11982" spans="33:33">
      <c r="AG11982" s="10"/>
    </row>
    <row r="11983" spans="33:33">
      <c r="AG11983" s="10"/>
    </row>
    <row r="11984" spans="33:33">
      <c r="AG11984" s="10"/>
    </row>
    <row r="11985" spans="33:33">
      <c r="AG11985" s="10"/>
    </row>
    <row r="11986" spans="33:33">
      <c r="AG11986" s="10"/>
    </row>
    <row r="11987" spans="33:33">
      <c r="AG11987" s="10"/>
    </row>
    <row r="11988" spans="33:33">
      <c r="AG11988" s="10"/>
    </row>
    <row r="11989" spans="33:33">
      <c r="AG11989" s="10"/>
    </row>
    <row r="11990" spans="33:33">
      <c r="AG11990" s="10"/>
    </row>
    <row r="11991" spans="33:33">
      <c r="AG11991" s="10"/>
    </row>
    <row r="11992" spans="33:33">
      <c r="AG11992" s="10"/>
    </row>
    <row r="11993" spans="33:33">
      <c r="AG11993" s="10"/>
    </row>
    <row r="11994" spans="33:33">
      <c r="AG11994" s="10"/>
    </row>
    <row r="11995" spans="33:33">
      <c r="AG11995" s="10"/>
    </row>
    <row r="11996" spans="33:33">
      <c r="AG11996" s="10"/>
    </row>
    <row r="11997" spans="33:33">
      <c r="AG11997" s="10"/>
    </row>
    <row r="11998" spans="33:33">
      <c r="AG11998" s="10"/>
    </row>
    <row r="11999" spans="33:33">
      <c r="AG11999" s="10"/>
    </row>
    <row r="12000" spans="33:33">
      <c r="AG12000" s="10"/>
    </row>
    <row r="12001" spans="33:33">
      <c r="AG12001" s="10"/>
    </row>
    <row r="12002" spans="33:33">
      <c r="AG12002" s="10"/>
    </row>
    <row r="12003" spans="33:33">
      <c r="AG12003" s="10"/>
    </row>
    <row r="12004" spans="33:33">
      <c r="AG12004" s="10"/>
    </row>
    <row r="12005" spans="33:33">
      <c r="AG12005" s="10"/>
    </row>
    <row r="12006" spans="33:33">
      <c r="AG12006" s="10"/>
    </row>
    <row r="12007" spans="33:33">
      <c r="AG12007" s="10"/>
    </row>
    <row r="12008" spans="33:33">
      <c r="AG12008" s="10"/>
    </row>
    <row r="12009" spans="33:33">
      <c r="AG12009" s="10"/>
    </row>
    <row r="12010" spans="33:33">
      <c r="AG12010" s="10"/>
    </row>
    <row r="12011" spans="33:33">
      <c r="AG12011" s="10"/>
    </row>
    <row r="12012" spans="33:33">
      <c r="AG12012" s="10"/>
    </row>
    <row r="12013" spans="33:33">
      <c r="AG12013" s="10"/>
    </row>
    <row r="12014" spans="33:33">
      <c r="AG12014" s="10"/>
    </row>
    <row r="12015" spans="33:33">
      <c r="AG12015" s="10"/>
    </row>
    <row r="12016" spans="33:33">
      <c r="AG12016" s="10"/>
    </row>
    <row r="12017" spans="33:33">
      <c r="AG12017" s="10"/>
    </row>
    <row r="12018" spans="33:33">
      <c r="AG12018" s="10"/>
    </row>
    <row r="12019" spans="33:33">
      <c r="AG12019" s="10"/>
    </row>
    <row r="12020" spans="33:33">
      <c r="AG12020" s="10"/>
    </row>
    <row r="12021" spans="33:33">
      <c r="AG12021" s="10"/>
    </row>
    <row r="12022" spans="33:33">
      <c r="AG12022" s="10"/>
    </row>
    <row r="12023" spans="33:33">
      <c r="AG12023" s="10"/>
    </row>
    <row r="12024" spans="33:33">
      <c r="AG12024" s="10"/>
    </row>
    <row r="12025" spans="33:33">
      <c r="AG12025" s="10"/>
    </row>
    <row r="12026" spans="33:33">
      <c r="AG12026" s="10"/>
    </row>
    <row r="12027" spans="33:33">
      <c r="AG12027" s="10"/>
    </row>
    <row r="12028" spans="33:33">
      <c r="AG12028" s="10"/>
    </row>
    <row r="12029" spans="33:33">
      <c r="AG12029" s="10"/>
    </row>
    <row r="12030" spans="33:33">
      <c r="AG12030" s="10"/>
    </row>
    <row r="12031" spans="33:33">
      <c r="AG12031" s="10"/>
    </row>
    <row r="12032" spans="33:33">
      <c r="AG12032" s="10"/>
    </row>
    <row r="12033" spans="33:33">
      <c r="AG12033" s="10"/>
    </row>
    <row r="12034" spans="33:33">
      <c r="AG12034" s="10"/>
    </row>
    <row r="12035" spans="33:33">
      <c r="AG12035" s="10"/>
    </row>
    <row r="12036" spans="33:33">
      <c r="AG12036" s="10"/>
    </row>
    <row r="12037" spans="33:33">
      <c r="AG12037" s="10"/>
    </row>
    <row r="12038" spans="33:33">
      <c r="AG12038" s="10"/>
    </row>
    <row r="12039" spans="33:33">
      <c r="AG12039" s="10"/>
    </row>
    <row r="12040" spans="33:33">
      <c r="AG12040" s="10"/>
    </row>
    <row r="12041" spans="33:33">
      <c r="AG12041" s="10"/>
    </row>
    <row r="12042" spans="33:33">
      <c r="AG12042" s="10"/>
    </row>
    <row r="12043" spans="33:33">
      <c r="AG12043" s="10"/>
    </row>
    <row r="12044" spans="33:33">
      <c r="AG12044" s="10"/>
    </row>
    <row r="12045" spans="33:33">
      <c r="AG12045" s="10"/>
    </row>
    <row r="12046" spans="33:33">
      <c r="AG12046" s="10"/>
    </row>
    <row r="12047" spans="33:33">
      <c r="AG12047" s="10"/>
    </row>
    <row r="12048" spans="33:33">
      <c r="AG12048" s="10"/>
    </row>
    <row r="12049" spans="33:33">
      <c r="AG12049" s="10"/>
    </row>
    <row r="12050" spans="33:33">
      <c r="AG12050" s="10"/>
    </row>
    <row r="12051" spans="33:33">
      <c r="AG12051" s="10"/>
    </row>
    <row r="12052" spans="33:33">
      <c r="AG12052" s="10"/>
    </row>
    <row r="12053" spans="33:33">
      <c r="AG12053" s="10"/>
    </row>
    <row r="12054" spans="33:33">
      <c r="AG12054" s="10"/>
    </row>
    <row r="12055" spans="33:33">
      <c r="AG12055" s="10"/>
    </row>
    <row r="12056" spans="33:33">
      <c r="AG12056" s="10"/>
    </row>
    <row r="12057" spans="33:33">
      <c r="AG12057" s="10"/>
    </row>
    <row r="12058" spans="33:33">
      <c r="AG12058" s="10"/>
    </row>
    <row r="12059" spans="33:33">
      <c r="AG12059" s="10"/>
    </row>
    <row r="12060" spans="33:33">
      <c r="AG12060" s="10"/>
    </row>
    <row r="12061" spans="33:33">
      <c r="AG12061" s="10"/>
    </row>
    <row r="12062" spans="33:33">
      <c r="AG12062" s="10"/>
    </row>
    <row r="12063" spans="33:33">
      <c r="AG12063" s="10"/>
    </row>
    <row r="12064" spans="33:33">
      <c r="AG12064" s="10"/>
    </row>
    <row r="12065" spans="33:33">
      <c r="AG12065" s="10"/>
    </row>
    <row r="12066" spans="33:33">
      <c r="AG12066" s="10"/>
    </row>
    <row r="12067" spans="33:33">
      <c r="AG12067" s="10"/>
    </row>
    <row r="12068" spans="33:33">
      <c r="AG12068" s="10"/>
    </row>
    <row r="12069" spans="33:33">
      <c r="AG12069" s="10"/>
    </row>
    <row r="12070" spans="33:33">
      <c r="AG12070" s="10"/>
    </row>
    <row r="12071" spans="33:33">
      <c r="AG12071" s="10"/>
    </row>
    <row r="12072" spans="33:33">
      <c r="AG12072" s="10"/>
    </row>
    <row r="12073" spans="33:33">
      <c r="AG12073" s="10"/>
    </row>
    <row r="12074" spans="33:33">
      <c r="AG12074" s="10"/>
    </row>
    <row r="12075" spans="33:33">
      <c r="AG12075" s="10"/>
    </row>
    <row r="12076" spans="33:33">
      <c r="AG12076" s="10"/>
    </row>
    <row r="12077" spans="33:33">
      <c r="AG12077" s="10"/>
    </row>
    <row r="12078" spans="33:33">
      <c r="AG12078" s="10"/>
    </row>
    <row r="12079" spans="33:33">
      <c r="AG12079" s="10"/>
    </row>
    <row r="12080" spans="33:33">
      <c r="AG12080" s="10"/>
    </row>
    <row r="12081" spans="33:33">
      <c r="AG12081" s="10"/>
    </row>
    <row r="12082" spans="33:33">
      <c r="AG12082" s="10"/>
    </row>
    <row r="12083" spans="33:33">
      <c r="AG12083" s="10"/>
    </row>
    <row r="12084" spans="33:33">
      <c r="AG12084" s="10"/>
    </row>
    <row r="12085" spans="33:33">
      <c r="AG12085" s="10"/>
    </row>
    <row r="12086" spans="33:33">
      <c r="AG12086" s="10"/>
    </row>
    <row r="12087" spans="33:33">
      <c r="AG12087" s="10"/>
    </row>
    <row r="12088" spans="33:33">
      <c r="AG12088" s="10"/>
    </row>
    <row r="12089" spans="33:33">
      <c r="AG12089" s="10"/>
    </row>
    <row r="12090" spans="33:33">
      <c r="AG12090" s="10"/>
    </row>
    <row r="12091" spans="33:33">
      <c r="AG12091" s="10"/>
    </row>
    <row r="12092" spans="33:33">
      <c r="AG12092" s="10"/>
    </row>
    <row r="12093" spans="33:33">
      <c r="AG12093" s="10"/>
    </row>
    <row r="12094" spans="33:33">
      <c r="AG12094" s="10"/>
    </row>
    <row r="12095" spans="33:33">
      <c r="AG12095" s="10"/>
    </row>
    <row r="12096" spans="33:33">
      <c r="AG12096" s="10"/>
    </row>
    <row r="12097" spans="33:33">
      <c r="AG12097" s="10"/>
    </row>
    <row r="12098" spans="33:33">
      <c r="AG12098" s="10"/>
    </row>
    <row r="12099" spans="33:33">
      <c r="AG12099" s="10"/>
    </row>
    <row r="12100" spans="33:33">
      <c r="AG12100" s="10"/>
    </row>
    <row r="12101" spans="33:33">
      <c r="AG12101" s="10"/>
    </row>
    <row r="12102" spans="33:33">
      <c r="AG12102" s="10"/>
    </row>
    <row r="12103" spans="33:33">
      <c r="AG12103" s="10"/>
    </row>
    <row r="12104" spans="33:33">
      <c r="AG12104" s="10"/>
    </row>
    <row r="12105" spans="33:33">
      <c r="AG12105" s="10"/>
    </row>
    <row r="12106" spans="33:33">
      <c r="AG12106" s="10"/>
    </row>
    <row r="12107" spans="33:33">
      <c r="AG12107" s="10"/>
    </row>
    <row r="12108" spans="33:33">
      <c r="AG12108" s="10"/>
    </row>
    <row r="12109" spans="33:33">
      <c r="AG12109" s="10"/>
    </row>
    <row r="12110" spans="33:33">
      <c r="AG12110" s="10"/>
    </row>
    <row r="12111" spans="33:33">
      <c r="AG12111" s="10"/>
    </row>
    <row r="12112" spans="33:33">
      <c r="AG12112" s="10"/>
    </row>
    <row r="12113" spans="33:33">
      <c r="AG12113" s="10"/>
    </row>
    <row r="12114" spans="33:33">
      <c r="AG12114" s="10"/>
    </row>
    <row r="12115" spans="33:33">
      <c r="AG12115" s="10"/>
    </row>
    <row r="12116" spans="33:33">
      <c r="AG12116" s="10"/>
    </row>
    <row r="12117" spans="33:33">
      <c r="AG12117" s="10"/>
    </row>
    <row r="12118" spans="33:33">
      <c r="AG12118" s="10"/>
    </row>
    <row r="12119" spans="33:33">
      <c r="AG12119" s="10"/>
    </row>
    <row r="12120" spans="33:33">
      <c r="AG12120" s="10"/>
    </row>
    <row r="12121" spans="33:33">
      <c r="AG12121" s="10"/>
    </row>
    <row r="12122" spans="33:33">
      <c r="AG12122" s="10"/>
    </row>
    <row r="12123" spans="33:33">
      <c r="AG12123" s="10"/>
    </row>
    <row r="12124" spans="33:33">
      <c r="AG12124" s="10"/>
    </row>
    <row r="12125" spans="33:33">
      <c r="AG12125" s="10"/>
    </row>
    <row r="12126" spans="33:33">
      <c r="AG12126" s="10"/>
    </row>
    <row r="12127" spans="33:33">
      <c r="AG12127" s="10"/>
    </row>
    <row r="12128" spans="33:33">
      <c r="AG12128" s="10"/>
    </row>
    <row r="12129" spans="33:33">
      <c r="AG12129" s="10"/>
    </row>
    <row r="12130" spans="33:33">
      <c r="AG12130" s="10"/>
    </row>
    <row r="12131" spans="33:33">
      <c r="AG12131" s="10"/>
    </row>
    <row r="12132" spans="33:33">
      <c r="AG12132" s="10"/>
    </row>
    <row r="12133" spans="33:33">
      <c r="AG12133" s="10"/>
    </row>
    <row r="12134" spans="33:33">
      <c r="AG12134" s="10"/>
    </row>
    <row r="12135" spans="33:33">
      <c r="AG12135" s="10"/>
    </row>
    <row r="12136" spans="33:33">
      <c r="AG12136" s="10"/>
    </row>
    <row r="12137" spans="33:33">
      <c r="AG12137" s="10"/>
    </row>
    <row r="12138" spans="33:33">
      <c r="AG12138" s="10"/>
    </row>
    <row r="12139" spans="33:33">
      <c r="AG12139" s="10"/>
    </row>
    <row r="12140" spans="33:33">
      <c r="AG12140" s="10"/>
    </row>
    <row r="12141" spans="33:33">
      <c r="AG12141" s="10"/>
    </row>
    <row r="12142" spans="33:33">
      <c r="AG12142" s="10"/>
    </row>
    <row r="12143" spans="33:33">
      <c r="AG12143" s="10"/>
    </row>
    <row r="12144" spans="33:33">
      <c r="AG12144" s="10"/>
    </row>
    <row r="12145" spans="33:33">
      <c r="AG12145" s="10"/>
    </row>
    <row r="12146" spans="33:33">
      <c r="AG12146" s="10"/>
    </row>
    <row r="12147" spans="33:33">
      <c r="AG12147" s="10"/>
    </row>
    <row r="12148" spans="33:33">
      <c r="AG12148" s="10"/>
    </row>
    <row r="12149" spans="33:33">
      <c r="AG12149" s="10"/>
    </row>
    <row r="12150" spans="33:33">
      <c r="AG12150" s="10"/>
    </row>
    <row r="12151" spans="33:33">
      <c r="AG12151" s="10"/>
    </row>
    <row r="12152" spans="33:33">
      <c r="AG12152" s="10"/>
    </row>
    <row r="12153" spans="33:33">
      <c r="AG12153" s="10"/>
    </row>
    <row r="12154" spans="33:33">
      <c r="AG12154" s="10"/>
    </row>
    <row r="12155" spans="33:33">
      <c r="AG12155" s="10"/>
    </row>
    <row r="12156" spans="33:33">
      <c r="AG12156" s="10"/>
    </row>
    <row r="12157" spans="33:33">
      <c r="AG12157" s="10"/>
    </row>
    <row r="12158" spans="33:33">
      <c r="AG12158" s="10"/>
    </row>
    <row r="12159" spans="33:33">
      <c r="AG12159" s="10"/>
    </row>
    <row r="12160" spans="33:33">
      <c r="AG12160" s="10"/>
    </row>
    <row r="12161" spans="33:33">
      <c r="AG12161" s="10"/>
    </row>
    <row r="12162" spans="33:33">
      <c r="AG12162" s="10"/>
    </row>
    <row r="12163" spans="33:33">
      <c r="AG12163" s="10"/>
    </row>
    <row r="12164" spans="33:33">
      <c r="AG12164" s="10"/>
    </row>
    <row r="12165" spans="33:33">
      <c r="AG12165" s="10"/>
    </row>
    <row r="12166" spans="33:33">
      <c r="AG12166" s="10"/>
    </row>
    <row r="12167" spans="33:33">
      <c r="AG12167" s="10"/>
    </row>
    <row r="12168" spans="33:33">
      <c r="AG12168" s="10"/>
    </row>
    <row r="12169" spans="33:33">
      <c r="AG12169" s="10"/>
    </row>
    <row r="12170" spans="33:33">
      <c r="AG12170" s="10"/>
    </row>
    <row r="12171" spans="33:33">
      <c r="AG12171" s="10"/>
    </row>
    <row r="12172" spans="33:33">
      <c r="AG12172" s="10"/>
    </row>
    <row r="12173" spans="33:33">
      <c r="AG12173" s="10"/>
    </row>
    <row r="12174" spans="33:33">
      <c r="AG12174" s="10"/>
    </row>
    <row r="12175" spans="33:33">
      <c r="AG12175" s="10"/>
    </row>
    <row r="12176" spans="33:33">
      <c r="AG12176" s="10"/>
    </row>
    <row r="12177" spans="33:33">
      <c r="AG12177" s="10"/>
    </row>
    <row r="12178" spans="33:33">
      <c r="AG12178" s="10"/>
    </row>
    <row r="12179" spans="33:33">
      <c r="AG12179" s="10"/>
    </row>
    <row r="12180" spans="33:33">
      <c r="AG12180" s="10"/>
    </row>
    <row r="12181" spans="33:33">
      <c r="AG12181" s="10"/>
    </row>
    <row r="12182" spans="33:33">
      <c r="AG12182" s="10"/>
    </row>
    <row r="12183" spans="33:33">
      <c r="AG12183" s="10"/>
    </row>
    <row r="12184" spans="33:33">
      <c r="AG12184" s="10"/>
    </row>
    <row r="12185" spans="33:33">
      <c r="AG12185" s="10"/>
    </row>
    <row r="12186" spans="33:33">
      <c r="AG12186" s="10"/>
    </row>
    <row r="12187" spans="33:33">
      <c r="AG12187" s="10"/>
    </row>
    <row r="12188" spans="33:33">
      <c r="AG12188" s="10"/>
    </row>
    <row r="12189" spans="33:33">
      <c r="AG12189" s="10"/>
    </row>
    <row r="12190" spans="33:33">
      <c r="AG12190" s="10"/>
    </row>
    <row r="12191" spans="33:33">
      <c r="AG12191" s="10"/>
    </row>
    <row r="12192" spans="33:33">
      <c r="AG12192" s="10"/>
    </row>
    <row r="12193" spans="33:33">
      <c r="AG12193" s="10"/>
    </row>
    <row r="12194" spans="33:33">
      <c r="AG12194" s="10"/>
    </row>
    <row r="12195" spans="33:33">
      <c r="AG12195" s="10"/>
    </row>
    <row r="12196" spans="33:33">
      <c r="AG12196" s="10"/>
    </row>
    <row r="12197" spans="33:33">
      <c r="AG12197" s="10"/>
    </row>
    <row r="12198" spans="33:33">
      <c r="AG12198" s="10"/>
    </row>
    <row r="12199" spans="33:33">
      <c r="AG12199" s="10"/>
    </row>
    <row r="12200" spans="33:33">
      <c r="AG12200" s="10"/>
    </row>
    <row r="12201" spans="33:33">
      <c r="AG12201" s="10"/>
    </row>
    <row r="12202" spans="33:33">
      <c r="AG12202" s="10"/>
    </row>
    <row r="12203" spans="33:33">
      <c r="AG12203" s="10"/>
    </row>
    <row r="12204" spans="33:33">
      <c r="AG12204" s="10"/>
    </row>
    <row r="12205" spans="33:33">
      <c r="AG12205" s="10"/>
    </row>
    <row r="12206" spans="33:33">
      <c r="AG12206" s="10"/>
    </row>
    <row r="12207" spans="33:33">
      <c r="AG12207" s="10"/>
    </row>
    <row r="12208" spans="33:33">
      <c r="AG12208" s="10"/>
    </row>
    <row r="12209" spans="33:33">
      <c r="AG12209" s="10"/>
    </row>
    <row r="12210" spans="33:33">
      <c r="AG12210" s="10"/>
    </row>
    <row r="12211" spans="33:33">
      <c r="AG12211" s="10"/>
    </row>
    <row r="12212" spans="33:33">
      <c r="AG12212" s="10"/>
    </row>
    <row r="12213" spans="33:33">
      <c r="AG12213" s="10"/>
    </row>
    <row r="12214" spans="33:33">
      <c r="AG12214" s="10"/>
    </row>
    <row r="12215" spans="33:33">
      <c r="AG12215" s="10"/>
    </row>
    <row r="12216" spans="33:33">
      <c r="AG12216" s="10"/>
    </row>
    <row r="12217" spans="33:33">
      <c r="AG12217" s="10"/>
    </row>
    <row r="12218" spans="33:33">
      <c r="AG12218" s="10"/>
    </row>
    <row r="12219" spans="33:33">
      <c r="AG12219" s="10"/>
    </row>
    <row r="12220" spans="33:33">
      <c r="AG12220" s="10"/>
    </row>
    <row r="12221" spans="33:33">
      <c r="AG12221" s="10"/>
    </row>
    <row r="12222" spans="33:33">
      <c r="AG12222" s="10"/>
    </row>
    <row r="12223" spans="33:33">
      <c r="AG12223" s="10"/>
    </row>
    <row r="12224" spans="33:33">
      <c r="AG12224" s="10"/>
    </row>
    <row r="12225" spans="33:33">
      <c r="AG12225" s="10"/>
    </row>
    <row r="12226" spans="33:33">
      <c r="AG12226" s="10"/>
    </row>
    <row r="12227" spans="33:33">
      <c r="AG12227" s="10"/>
    </row>
    <row r="12228" spans="33:33">
      <c r="AG12228" s="10"/>
    </row>
    <row r="12229" spans="33:33">
      <c r="AG12229" s="10"/>
    </row>
    <row r="12230" spans="33:33">
      <c r="AG12230" s="10"/>
    </row>
    <row r="12231" spans="33:33">
      <c r="AG12231" s="10"/>
    </row>
    <row r="12232" spans="33:33">
      <c r="AG12232" s="10"/>
    </row>
    <row r="12233" spans="33:33">
      <c r="AG12233" s="10"/>
    </row>
    <row r="12234" spans="33:33">
      <c r="AG12234" s="10"/>
    </row>
    <row r="12235" spans="33:33">
      <c r="AG12235" s="10"/>
    </row>
    <row r="12236" spans="33:33">
      <c r="AG12236" s="10"/>
    </row>
    <row r="12237" spans="33:33">
      <c r="AG12237" s="10"/>
    </row>
    <row r="12238" spans="33:33">
      <c r="AG12238" s="10"/>
    </row>
    <row r="12239" spans="33:33">
      <c r="AG12239" s="10"/>
    </row>
    <row r="12240" spans="33:33">
      <c r="AG12240" s="10"/>
    </row>
    <row r="12241" spans="33:33">
      <c r="AG12241" s="10"/>
    </row>
    <row r="12242" spans="33:33">
      <c r="AG12242" s="10"/>
    </row>
    <row r="12243" spans="33:33">
      <c r="AG12243" s="10"/>
    </row>
    <row r="12244" spans="33:33">
      <c r="AG12244" s="10"/>
    </row>
    <row r="12245" spans="33:33">
      <c r="AG12245" s="10"/>
    </row>
    <row r="12246" spans="33:33">
      <c r="AG12246" s="10"/>
    </row>
    <row r="12247" spans="33:33">
      <c r="AG12247" s="10"/>
    </row>
    <row r="12248" spans="33:33">
      <c r="AG12248" s="10"/>
    </row>
    <row r="12249" spans="33:33">
      <c r="AG12249" s="10"/>
    </row>
    <row r="12250" spans="33:33">
      <c r="AG12250" s="10"/>
    </row>
    <row r="12251" spans="33:33">
      <c r="AG12251" s="10"/>
    </row>
    <row r="12252" spans="33:33">
      <c r="AG12252" s="10"/>
    </row>
    <row r="12253" spans="33:33">
      <c r="AG12253" s="10"/>
    </row>
    <row r="12254" spans="33:33">
      <c r="AG12254" s="10"/>
    </row>
    <row r="12255" spans="33:33">
      <c r="AG12255" s="10"/>
    </row>
    <row r="12256" spans="33:33">
      <c r="AG12256" s="10"/>
    </row>
    <row r="12257" spans="33:33">
      <c r="AG12257" s="10"/>
    </row>
    <row r="12258" spans="33:33">
      <c r="AG12258" s="10"/>
    </row>
    <row r="12259" spans="33:33">
      <c r="AG12259" s="10"/>
    </row>
    <row r="12260" spans="33:33">
      <c r="AG12260" s="10"/>
    </row>
    <row r="12261" spans="33:33">
      <c r="AG12261" s="10"/>
    </row>
    <row r="12262" spans="33:33">
      <c r="AG12262" s="10"/>
    </row>
    <row r="12263" spans="33:33">
      <c r="AG12263" s="10"/>
    </row>
    <row r="12264" spans="33:33">
      <c r="AG12264" s="10"/>
    </row>
    <row r="12265" spans="33:33">
      <c r="AG12265" s="10"/>
    </row>
    <row r="12266" spans="33:33">
      <c r="AG12266" s="10"/>
    </row>
    <row r="12267" spans="33:33">
      <c r="AG12267" s="10"/>
    </row>
    <row r="12268" spans="33:33">
      <c r="AG12268" s="10"/>
    </row>
    <row r="12269" spans="33:33">
      <c r="AG12269" s="10"/>
    </row>
    <row r="12270" spans="33:33">
      <c r="AG12270" s="10"/>
    </row>
    <row r="12271" spans="33:33">
      <c r="AG12271" s="10"/>
    </row>
    <row r="12272" spans="33:33">
      <c r="AG12272" s="10"/>
    </row>
    <row r="12273" spans="33:33">
      <c r="AG12273" s="10"/>
    </row>
    <row r="12274" spans="33:33">
      <c r="AG12274" s="10"/>
    </row>
    <row r="12275" spans="33:33">
      <c r="AG12275" s="10"/>
    </row>
    <row r="12276" spans="33:33">
      <c r="AG12276" s="10"/>
    </row>
    <row r="12277" spans="33:33">
      <c r="AG12277" s="10"/>
    </row>
    <row r="12278" spans="33:33">
      <c r="AG12278" s="10"/>
    </row>
    <row r="12279" spans="33:33">
      <c r="AG12279" s="10"/>
    </row>
    <row r="12280" spans="33:33">
      <c r="AG12280" s="10"/>
    </row>
    <row r="12281" spans="33:33">
      <c r="AG12281" s="10"/>
    </row>
    <row r="12282" spans="33:33">
      <c r="AG12282" s="10"/>
    </row>
    <row r="12283" spans="33:33">
      <c r="AG12283" s="10"/>
    </row>
    <row r="12284" spans="33:33">
      <c r="AG12284" s="10"/>
    </row>
    <row r="12285" spans="33:33">
      <c r="AG12285" s="10"/>
    </row>
    <row r="12286" spans="33:33">
      <c r="AG12286" s="10"/>
    </row>
    <row r="12287" spans="33:33">
      <c r="AG12287" s="10"/>
    </row>
    <row r="12288" spans="33:33">
      <c r="AG12288" s="10"/>
    </row>
    <row r="12289" spans="33:33">
      <c r="AG12289" s="10"/>
    </row>
    <row r="12290" spans="33:33">
      <c r="AG12290" s="10"/>
    </row>
    <row r="12291" spans="33:33">
      <c r="AG12291" s="10"/>
    </row>
    <row r="12292" spans="33:33">
      <c r="AG12292" s="10"/>
    </row>
    <row r="12293" spans="33:33">
      <c r="AG12293" s="10"/>
    </row>
    <row r="12294" spans="33:33">
      <c r="AG12294" s="10"/>
    </row>
    <row r="12295" spans="33:33">
      <c r="AG12295" s="10"/>
    </row>
    <row r="12296" spans="33:33">
      <c r="AG12296" s="10"/>
    </row>
    <row r="12297" spans="33:33">
      <c r="AG12297" s="10"/>
    </row>
    <row r="12298" spans="33:33">
      <c r="AG12298" s="10"/>
    </row>
    <row r="12299" spans="33:33">
      <c r="AG12299" s="10"/>
    </row>
    <row r="12300" spans="33:33">
      <c r="AG12300" s="10"/>
    </row>
    <row r="12301" spans="33:33">
      <c r="AG12301" s="10"/>
    </row>
    <row r="12302" spans="33:33">
      <c r="AG12302" s="10"/>
    </row>
    <row r="12303" spans="33:33">
      <c r="AG12303" s="10"/>
    </row>
    <row r="12304" spans="33:33">
      <c r="AG12304" s="10"/>
    </row>
    <row r="12305" spans="33:33">
      <c r="AG12305" s="10"/>
    </row>
    <row r="12306" spans="33:33">
      <c r="AG12306" s="10"/>
    </row>
    <row r="12307" spans="33:33">
      <c r="AG12307" s="10"/>
    </row>
    <row r="12308" spans="33:33">
      <c r="AG12308" s="10"/>
    </row>
    <row r="12309" spans="33:33">
      <c r="AG12309" s="10"/>
    </row>
    <row r="12310" spans="33:33">
      <c r="AG12310" s="10"/>
    </row>
    <row r="12311" spans="33:33">
      <c r="AG12311" s="10"/>
    </row>
    <row r="12312" spans="33:33">
      <c r="AG12312" s="10"/>
    </row>
    <row r="12313" spans="33:33">
      <c r="AG12313" s="10"/>
    </row>
    <row r="12314" spans="33:33">
      <c r="AG12314" s="10"/>
    </row>
    <row r="12315" spans="33:33">
      <c r="AG12315" s="10"/>
    </row>
    <row r="12316" spans="33:33">
      <c r="AG12316" s="10"/>
    </row>
    <row r="12317" spans="33:33">
      <c r="AG12317" s="10"/>
    </row>
    <row r="12318" spans="33:33">
      <c r="AG12318" s="10"/>
    </row>
    <row r="12319" spans="33:33">
      <c r="AG12319" s="10"/>
    </row>
    <row r="12320" spans="33:33">
      <c r="AG12320" s="10"/>
    </row>
    <row r="12321" spans="33:33">
      <c r="AG12321" s="10"/>
    </row>
    <row r="12322" spans="33:33">
      <c r="AG12322" s="10"/>
    </row>
    <row r="12323" spans="33:33">
      <c r="AG12323" s="10"/>
    </row>
    <row r="12324" spans="33:33">
      <c r="AG12324" s="10"/>
    </row>
    <row r="12325" spans="33:33">
      <c r="AG12325" s="10"/>
    </row>
    <row r="12326" spans="33:33">
      <c r="AG12326" s="10"/>
    </row>
    <row r="12327" spans="33:33">
      <c r="AG12327" s="10"/>
    </row>
    <row r="12328" spans="33:33">
      <c r="AG12328" s="10"/>
    </row>
    <row r="12329" spans="33:33">
      <c r="AG12329" s="10"/>
    </row>
    <row r="12330" spans="33:33">
      <c r="AG12330" s="10"/>
    </row>
    <row r="12331" spans="33:33">
      <c r="AG12331" s="10"/>
    </row>
    <row r="12332" spans="33:33">
      <c r="AG12332" s="10"/>
    </row>
    <row r="12333" spans="33:33">
      <c r="AG12333" s="10"/>
    </row>
    <row r="12334" spans="33:33">
      <c r="AG12334" s="10"/>
    </row>
    <row r="12335" spans="33:33">
      <c r="AG12335" s="10"/>
    </row>
    <row r="12336" spans="33:33">
      <c r="AG12336" s="10"/>
    </row>
    <row r="12337" spans="33:33">
      <c r="AG12337" s="10"/>
    </row>
    <row r="12338" spans="33:33">
      <c r="AG12338" s="10"/>
    </row>
    <row r="12339" spans="33:33">
      <c r="AG12339" s="10"/>
    </row>
    <row r="12340" spans="33:33">
      <c r="AG12340" s="10"/>
    </row>
    <row r="12341" spans="33:33">
      <c r="AG12341" s="10"/>
    </row>
    <row r="12342" spans="33:33">
      <c r="AG12342" s="10"/>
    </row>
    <row r="12343" spans="33:33">
      <c r="AG12343" s="10"/>
    </row>
    <row r="12344" spans="33:33">
      <c r="AG12344" s="10"/>
    </row>
    <row r="12345" spans="33:33">
      <c r="AG12345" s="10"/>
    </row>
    <row r="12346" spans="33:33">
      <c r="AG12346" s="10"/>
    </row>
    <row r="12347" spans="33:33">
      <c r="AG12347" s="10"/>
    </row>
    <row r="12348" spans="33:33">
      <c r="AG12348" s="10"/>
    </row>
    <row r="12349" spans="33:33">
      <c r="AG12349" s="10"/>
    </row>
    <row r="12350" spans="33:33">
      <c r="AG12350" s="10"/>
    </row>
    <row r="12351" spans="33:33">
      <c r="AG12351" s="10"/>
    </row>
    <row r="12352" spans="33:33">
      <c r="AG12352" s="10"/>
    </row>
    <row r="12353" spans="33:33">
      <c r="AG12353" s="10"/>
    </row>
    <row r="12354" spans="33:33">
      <c r="AG12354" s="10"/>
    </row>
    <row r="12355" spans="33:33">
      <c r="AG12355" s="10"/>
    </row>
    <row r="12356" spans="33:33">
      <c r="AG12356" s="10"/>
    </row>
    <row r="12357" spans="33:33">
      <c r="AG12357" s="10"/>
    </row>
    <row r="12358" spans="33:33">
      <c r="AG12358" s="10"/>
    </row>
    <row r="12359" spans="33:33">
      <c r="AG12359" s="10"/>
    </row>
    <row r="12360" spans="33:33">
      <c r="AG12360" s="10"/>
    </row>
    <row r="12361" spans="33:33">
      <c r="AG12361" s="10"/>
    </row>
    <row r="12362" spans="33:33">
      <c r="AG12362" s="10"/>
    </row>
    <row r="12363" spans="33:33">
      <c r="AG12363" s="10"/>
    </row>
    <row r="12364" spans="33:33">
      <c r="AG12364" s="10"/>
    </row>
    <row r="12365" spans="33:33">
      <c r="AG12365" s="10"/>
    </row>
    <row r="12366" spans="33:33">
      <c r="AG12366" s="10"/>
    </row>
    <row r="12367" spans="33:33">
      <c r="AG12367" s="10"/>
    </row>
    <row r="12368" spans="33:33">
      <c r="AG12368" s="10"/>
    </row>
    <row r="12369" spans="33:33">
      <c r="AG12369" s="10"/>
    </row>
    <row r="12370" spans="33:33">
      <c r="AG12370" s="10"/>
    </row>
    <row r="12371" spans="33:33">
      <c r="AG12371" s="10"/>
    </row>
    <row r="12372" spans="33:33">
      <c r="AG12372" s="10"/>
    </row>
    <row r="12373" spans="33:33">
      <c r="AG12373" s="10"/>
    </row>
    <row r="12374" spans="33:33">
      <c r="AG12374" s="10"/>
    </row>
    <row r="12375" spans="33:33">
      <c r="AG12375" s="10"/>
    </row>
    <row r="12376" spans="33:33">
      <c r="AG12376" s="10"/>
    </row>
    <row r="12377" spans="33:33">
      <c r="AG12377" s="10"/>
    </row>
    <row r="12378" spans="33:33">
      <c r="AG12378" s="10"/>
    </row>
    <row r="12379" spans="33:33">
      <c r="AG12379" s="10"/>
    </row>
    <row r="12380" spans="33:33">
      <c r="AG12380" s="10"/>
    </row>
    <row r="12381" spans="33:33">
      <c r="AG12381" s="10"/>
    </row>
    <row r="12382" spans="33:33">
      <c r="AG12382" s="10"/>
    </row>
    <row r="12383" spans="33:33">
      <c r="AG12383" s="10"/>
    </row>
    <row r="12384" spans="33:33">
      <c r="AG12384" s="10"/>
    </row>
    <row r="12385" spans="33:33">
      <c r="AG12385" s="10"/>
    </row>
    <row r="12386" spans="33:33">
      <c r="AG12386" s="10"/>
    </row>
    <row r="12387" spans="33:33">
      <c r="AG12387" s="10"/>
    </row>
    <row r="12388" spans="33:33">
      <c r="AG12388" s="10"/>
    </row>
    <row r="12389" spans="33:33">
      <c r="AG12389" s="10"/>
    </row>
    <row r="12390" spans="33:33">
      <c r="AG12390" s="10"/>
    </row>
    <row r="12391" spans="33:33">
      <c r="AG12391" s="10"/>
    </row>
    <row r="12392" spans="33:33">
      <c r="AG12392" s="10"/>
    </row>
    <row r="12393" spans="33:33">
      <c r="AG12393" s="10"/>
    </row>
    <row r="12394" spans="33:33">
      <c r="AG12394" s="10"/>
    </row>
    <row r="12395" spans="33:33">
      <c r="AG12395" s="10"/>
    </row>
    <row r="12396" spans="33:33">
      <c r="AG12396" s="10"/>
    </row>
    <row r="12397" spans="33:33">
      <c r="AG12397" s="10"/>
    </row>
    <row r="12398" spans="33:33">
      <c r="AG12398" s="10"/>
    </row>
    <row r="12399" spans="33:33">
      <c r="AG12399" s="10"/>
    </row>
    <row r="12400" spans="33:33">
      <c r="AG12400" s="10"/>
    </row>
    <row r="12401" spans="33:33">
      <c r="AG12401" s="10"/>
    </row>
    <row r="12402" spans="33:33">
      <c r="AG12402" s="10"/>
    </row>
    <row r="12403" spans="33:33">
      <c r="AG12403" s="10"/>
    </row>
    <row r="12404" spans="33:33">
      <c r="AG12404" s="10"/>
    </row>
    <row r="12405" spans="33:33">
      <c r="AG12405" s="10"/>
    </row>
    <row r="12406" spans="33:33">
      <c r="AG12406" s="10"/>
    </row>
    <row r="12407" spans="33:33">
      <c r="AG12407" s="10"/>
    </row>
    <row r="12408" spans="33:33">
      <c r="AG12408" s="10"/>
    </row>
    <row r="12409" spans="33:33">
      <c r="AG12409" s="10"/>
    </row>
    <row r="12410" spans="33:33">
      <c r="AG12410" s="10"/>
    </row>
    <row r="12411" spans="33:33">
      <c r="AG12411" s="10"/>
    </row>
    <row r="12412" spans="33:33">
      <c r="AG12412" s="10"/>
    </row>
    <row r="12413" spans="33:33">
      <c r="AG12413" s="10"/>
    </row>
    <row r="12414" spans="33:33">
      <c r="AG12414" s="10"/>
    </row>
    <row r="12415" spans="33:33">
      <c r="AG12415" s="10"/>
    </row>
    <row r="12416" spans="33:33">
      <c r="AG12416" s="10"/>
    </row>
    <row r="12417" spans="33:33">
      <c r="AG12417" s="10"/>
    </row>
    <row r="12418" spans="33:33">
      <c r="AG12418" s="10"/>
    </row>
    <row r="12419" spans="33:33">
      <c r="AG12419" s="10"/>
    </row>
    <row r="12420" spans="33:33">
      <c r="AG12420" s="10"/>
    </row>
    <row r="12421" spans="33:33">
      <c r="AG12421" s="10"/>
    </row>
    <row r="12422" spans="33:33">
      <c r="AG12422" s="10"/>
    </row>
    <row r="12423" spans="33:33">
      <c r="AG12423" s="10"/>
    </row>
    <row r="12424" spans="33:33">
      <c r="AG12424" s="10"/>
    </row>
    <row r="12425" spans="33:33">
      <c r="AG12425" s="10"/>
    </row>
    <row r="12426" spans="33:33">
      <c r="AG12426" s="10"/>
    </row>
    <row r="12427" spans="33:33">
      <c r="AG12427" s="10"/>
    </row>
    <row r="12428" spans="33:33">
      <c r="AG12428" s="10"/>
    </row>
    <row r="12429" spans="33:33">
      <c r="AG12429" s="10"/>
    </row>
    <row r="12430" spans="33:33">
      <c r="AG12430" s="10"/>
    </row>
    <row r="12431" spans="33:33">
      <c r="AG12431" s="10"/>
    </row>
    <row r="12432" spans="33:33">
      <c r="AG12432" s="10"/>
    </row>
    <row r="12433" spans="33:33">
      <c r="AG12433" s="10"/>
    </row>
    <row r="12434" spans="33:33">
      <c r="AG12434" s="10"/>
    </row>
    <row r="12435" spans="33:33">
      <c r="AG12435" s="10"/>
    </row>
    <row r="12436" spans="33:33">
      <c r="AG12436" s="10"/>
    </row>
    <row r="12437" spans="33:33">
      <c r="AG12437" s="10"/>
    </row>
    <row r="12438" spans="33:33">
      <c r="AG12438" s="10"/>
    </row>
    <row r="12439" spans="33:33">
      <c r="AG12439" s="10"/>
    </row>
    <row r="12440" spans="33:33">
      <c r="AG12440" s="10"/>
    </row>
    <row r="12441" spans="33:33">
      <c r="AG12441" s="10"/>
    </row>
    <row r="12442" spans="33:33">
      <c r="AG12442" s="10"/>
    </row>
    <row r="12443" spans="33:33">
      <c r="AG12443" s="10"/>
    </row>
    <row r="12444" spans="33:33">
      <c r="AG12444" s="10"/>
    </row>
    <row r="12445" spans="33:33">
      <c r="AG12445" s="10"/>
    </row>
    <row r="12446" spans="33:33">
      <c r="AG12446" s="10"/>
    </row>
    <row r="12447" spans="33:33">
      <c r="AG12447" s="10"/>
    </row>
    <row r="12448" spans="33:33">
      <c r="AG12448" s="10"/>
    </row>
    <row r="12449" spans="33:33">
      <c r="AG12449" s="10"/>
    </row>
    <row r="12450" spans="33:33">
      <c r="AG12450" s="10"/>
    </row>
    <row r="12451" spans="33:33">
      <c r="AG12451" s="10"/>
    </row>
    <row r="12452" spans="33:33">
      <c r="AG12452" s="10"/>
    </row>
    <row r="12453" spans="33:33">
      <c r="AG12453" s="10"/>
    </row>
    <row r="12454" spans="33:33">
      <c r="AG12454" s="10"/>
    </row>
    <row r="12455" spans="33:33">
      <c r="AG12455" s="10"/>
    </row>
    <row r="12456" spans="33:33">
      <c r="AG12456" s="10"/>
    </row>
    <row r="12457" spans="33:33">
      <c r="AG12457" s="10"/>
    </row>
    <row r="12458" spans="33:33">
      <c r="AG12458" s="10"/>
    </row>
    <row r="12459" spans="33:33">
      <c r="AG12459" s="10"/>
    </row>
    <row r="12460" spans="33:33">
      <c r="AG12460" s="10"/>
    </row>
    <row r="12461" spans="33:33">
      <c r="AG12461" s="10"/>
    </row>
    <row r="12462" spans="33:33">
      <c r="AG12462" s="10"/>
    </row>
    <row r="12463" spans="33:33">
      <c r="AG12463" s="10"/>
    </row>
    <row r="12464" spans="33:33">
      <c r="AG12464" s="10"/>
    </row>
    <row r="12465" spans="33:33">
      <c r="AG12465" s="10"/>
    </row>
    <row r="12466" spans="33:33">
      <c r="AG12466" s="10"/>
    </row>
    <row r="12467" spans="33:33">
      <c r="AG12467" s="10"/>
    </row>
    <row r="12468" spans="33:33">
      <c r="AG12468" s="10"/>
    </row>
    <row r="12469" spans="33:33">
      <c r="AG12469" s="10"/>
    </row>
    <row r="12470" spans="33:33">
      <c r="AG12470" s="10"/>
    </row>
    <row r="12471" spans="33:33">
      <c r="AG12471" s="10"/>
    </row>
    <row r="12472" spans="33:33">
      <c r="AG12472" s="10"/>
    </row>
    <row r="12473" spans="33:33">
      <c r="AG12473" s="10"/>
    </row>
    <row r="12474" spans="33:33">
      <c r="AG12474" s="10"/>
    </row>
    <row r="12475" spans="33:33">
      <c r="AG12475" s="10"/>
    </row>
    <row r="12476" spans="33:33">
      <c r="AG12476" s="10"/>
    </row>
    <row r="12477" spans="33:33">
      <c r="AG12477" s="10"/>
    </row>
    <row r="12478" spans="33:33">
      <c r="AG12478" s="10"/>
    </row>
    <row r="12479" spans="33:33">
      <c r="AG12479" s="10"/>
    </row>
    <row r="12480" spans="33:33">
      <c r="AG12480" s="10"/>
    </row>
    <row r="12481" spans="33:33">
      <c r="AG12481" s="10"/>
    </row>
    <row r="12482" spans="33:33">
      <c r="AG12482" s="10"/>
    </row>
    <row r="12483" spans="33:33">
      <c r="AG12483" s="10"/>
    </row>
    <row r="12484" spans="33:33">
      <c r="AG12484" s="10"/>
    </row>
    <row r="12485" spans="33:33">
      <c r="AG12485" s="10"/>
    </row>
    <row r="12486" spans="33:33">
      <c r="AG12486" s="10"/>
    </row>
    <row r="12487" spans="33:33">
      <c r="AG12487" s="10"/>
    </row>
    <row r="12488" spans="33:33">
      <c r="AG12488" s="10"/>
    </row>
    <row r="12489" spans="33:33">
      <c r="AG12489" s="10"/>
    </row>
    <row r="12490" spans="33:33">
      <c r="AG12490" s="10"/>
    </row>
    <row r="12491" spans="33:33">
      <c r="AG12491" s="10"/>
    </row>
    <row r="12492" spans="33:33">
      <c r="AG12492" s="10"/>
    </row>
    <row r="12493" spans="33:33">
      <c r="AG12493" s="10"/>
    </row>
    <row r="12494" spans="33:33">
      <c r="AG12494" s="10"/>
    </row>
    <row r="12495" spans="33:33">
      <c r="AG12495" s="10"/>
    </row>
    <row r="12496" spans="33:33">
      <c r="AG12496" s="10"/>
    </row>
    <row r="12497" spans="33:33">
      <c r="AG12497" s="10"/>
    </row>
    <row r="12498" spans="33:33">
      <c r="AG12498" s="10"/>
    </row>
    <row r="12499" spans="33:33">
      <c r="AG12499" s="10"/>
    </row>
    <row r="12500" spans="33:33">
      <c r="AG12500" s="10"/>
    </row>
    <row r="12501" spans="33:33">
      <c r="AG12501" s="10"/>
    </row>
    <row r="12502" spans="33:33">
      <c r="AG12502" s="10"/>
    </row>
    <row r="12503" spans="33:33">
      <c r="AG12503" s="10"/>
    </row>
    <row r="12504" spans="33:33">
      <c r="AG12504" s="10"/>
    </row>
    <row r="12505" spans="33:33">
      <c r="AG12505" s="10"/>
    </row>
    <row r="12506" spans="33:33">
      <c r="AG12506" s="10"/>
    </row>
    <row r="12507" spans="33:33">
      <c r="AG12507" s="10"/>
    </row>
    <row r="12508" spans="33:33">
      <c r="AG12508" s="10"/>
    </row>
    <row r="12509" spans="33:33">
      <c r="AG12509" s="10"/>
    </row>
    <row r="12510" spans="33:33">
      <c r="AG12510" s="10"/>
    </row>
    <row r="12511" spans="33:33">
      <c r="AG12511" s="10"/>
    </row>
    <row r="12512" spans="33:33">
      <c r="AG12512" s="10"/>
    </row>
    <row r="12513" spans="33:33">
      <c r="AG12513" s="10"/>
    </row>
    <row r="12514" spans="33:33">
      <c r="AG12514" s="10"/>
    </row>
    <row r="12515" spans="33:33">
      <c r="AG12515" s="10"/>
    </row>
    <row r="12516" spans="33:33">
      <c r="AG12516" s="10"/>
    </row>
    <row r="12517" spans="33:33">
      <c r="AG12517" s="10"/>
    </row>
    <row r="12518" spans="33:33">
      <c r="AG12518" s="10"/>
    </row>
    <row r="12519" spans="33:33">
      <c r="AG12519" s="10"/>
    </row>
    <row r="12520" spans="33:33">
      <c r="AG12520" s="10"/>
    </row>
    <row r="12521" spans="33:33">
      <c r="AG12521" s="10"/>
    </row>
    <row r="12522" spans="33:33">
      <c r="AG12522" s="10"/>
    </row>
    <row r="12523" spans="33:33">
      <c r="AG12523" s="10"/>
    </row>
    <row r="12524" spans="33:33">
      <c r="AG12524" s="10"/>
    </row>
    <row r="12525" spans="33:33">
      <c r="AG12525" s="10"/>
    </row>
    <row r="12526" spans="33:33">
      <c r="AG12526" s="10"/>
    </row>
    <row r="12527" spans="33:33">
      <c r="AG12527" s="10"/>
    </row>
    <row r="12528" spans="33:33">
      <c r="AG12528" s="10"/>
    </row>
    <row r="12529" spans="33:33">
      <c r="AG12529" s="10"/>
    </row>
    <row r="12530" spans="33:33">
      <c r="AG12530" s="10"/>
    </row>
    <row r="12531" spans="33:33">
      <c r="AG12531" s="10"/>
    </row>
    <row r="12532" spans="33:33">
      <c r="AG12532" s="10"/>
    </row>
    <row r="12533" spans="33:33">
      <c r="AG12533" s="10"/>
    </row>
    <row r="12534" spans="33:33">
      <c r="AG12534" s="10"/>
    </row>
    <row r="12535" spans="33:33">
      <c r="AG12535" s="10"/>
    </row>
    <row r="12536" spans="33:33">
      <c r="AG12536" s="10"/>
    </row>
    <row r="12537" spans="33:33">
      <c r="AG12537" s="10"/>
    </row>
    <row r="12538" spans="33:33">
      <c r="AG12538" s="10"/>
    </row>
    <row r="12539" spans="33:33">
      <c r="AG12539" s="10"/>
    </row>
    <row r="12540" spans="33:33">
      <c r="AG12540" s="10"/>
    </row>
    <row r="12541" spans="33:33">
      <c r="AG12541" s="10"/>
    </row>
    <row r="12542" spans="33:33">
      <c r="AG12542" s="10"/>
    </row>
    <row r="12543" spans="33:33">
      <c r="AG12543" s="10"/>
    </row>
    <row r="12544" spans="33:33">
      <c r="AG12544" s="10"/>
    </row>
    <row r="12545" spans="33:33">
      <c r="AG12545" s="10"/>
    </row>
    <row r="12546" spans="33:33">
      <c r="AG12546" s="10"/>
    </row>
    <row r="12547" spans="33:33">
      <c r="AG12547" s="10"/>
    </row>
    <row r="12548" spans="33:33">
      <c r="AG12548" s="10"/>
    </row>
    <row r="12549" spans="33:33">
      <c r="AG12549" s="10"/>
    </row>
    <row r="12550" spans="33:33">
      <c r="AG12550" s="10"/>
    </row>
    <row r="12551" spans="33:33">
      <c r="AG12551" s="10"/>
    </row>
    <row r="12552" spans="33:33">
      <c r="AG12552" s="10"/>
    </row>
    <row r="12553" spans="33:33">
      <c r="AG12553" s="10"/>
    </row>
    <row r="12554" spans="33:33">
      <c r="AG12554" s="10"/>
    </row>
    <row r="12555" spans="33:33">
      <c r="AG12555" s="10"/>
    </row>
    <row r="12556" spans="33:33">
      <c r="AG12556" s="10"/>
    </row>
    <row r="12557" spans="33:33">
      <c r="AG12557" s="10"/>
    </row>
    <row r="12558" spans="33:33">
      <c r="AG12558" s="10"/>
    </row>
    <row r="12559" spans="33:33">
      <c r="AG12559" s="10"/>
    </row>
    <row r="12560" spans="33:33">
      <c r="AG12560" s="10"/>
    </row>
    <row r="12561" spans="33:33">
      <c r="AG12561" s="10"/>
    </row>
    <row r="12562" spans="33:33">
      <c r="AG12562" s="10"/>
    </row>
    <row r="12563" spans="33:33">
      <c r="AG12563" s="10"/>
    </row>
    <row r="12564" spans="33:33">
      <c r="AG12564" s="10"/>
    </row>
    <row r="12565" spans="33:33">
      <c r="AG12565" s="10"/>
    </row>
    <row r="12566" spans="33:33">
      <c r="AG12566" s="10"/>
    </row>
    <row r="12567" spans="33:33">
      <c r="AG12567" s="10"/>
    </row>
    <row r="12568" spans="33:33">
      <c r="AG12568" s="10"/>
    </row>
    <row r="12569" spans="33:33">
      <c r="AG12569" s="10"/>
    </row>
    <row r="12570" spans="33:33">
      <c r="AG12570" s="10"/>
    </row>
    <row r="12571" spans="33:33">
      <c r="AG12571" s="10"/>
    </row>
    <row r="12572" spans="33:33">
      <c r="AG12572" s="10"/>
    </row>
    <row r="12573" spans="33:33">
      <c r="AG12573" s="10"/>
    </row>
    <row r="12574" spans="33:33">
      <c r="AG12574" s="10"/>
    </row>
    <row r="12575" spans="33:33">
      <c r="AG12575" s="10"/>
    </row>
    <row r="12576" spans="33:33">
      <c r="AG12576" s="10"/>
    </row>
    <row r="12577" spans="33:33">
      <c r="AG12577" s="10"/>
    </row>
    <row r="12578" spans="33:33">
      <c r="AG12578" s="10"/>
    </row>
    <row r="12579" spans="33:33">
      <c r="AG12579" s="10"/>
    </row>
    <row r="12580" spans="33:33">
      <c r="AG12580" s="10"/>
    </row>
    <row r="12581" spans="33:33">
      <c r="AG12581" s="10"/>
    </row>
    <row r="12582" spans="33:33">
      <c r="AG12582" s="10"/>
    </row>
    <row r="12583" spans="33:33">
      <c r="AG12583" s="10"/>
    </row>
    <row r="12584" spans="33:33">
      <c r="AG12584" s="10"/>
    </row>
    <row r="12585" spans="33:33">
      <c r="AG12585" s="10"/>
    </row>
    <row r="12586" spans="33:33">
      <c r="AG12586" s="10"/>
    </row>
    <row r="12587" spans="33:33">
      <c r="AG12587" s="10"/>
    </row>
    <row r="12588" spans="33:33">
      <c r="AG12588" s="10"/>
    </row>
    <row r="12589" spans="33:33">
      <c r="AG12589" s="10"/>
    </row>
    <row r="12590" spans="33:33">
      <c r="AG12590" s="10"/>
    </row>
    <row r="12591" spans="33:33">
      <c r="AG12591" s="10"/>
    </row>
    <row r="12592" spans="33:33">
      <c r="AG12592" s="10"/>
    </row>
    <row r="12593" spans="33:33">
      <c r="AG12593" s="10"/>
    </row>
    <row r="12594" spans="33:33">
      <c r="AG12594" s="10"/>
    </row>
    <row r="12595" spans="33:33">
      <c r="AG12595" s="10"/>
    </row>
    <row r="12596" spans="33:33">
      <c r="AG12596" s="10"/>
    </row>
    <row r="12597" spans="33:33">
      <c r="AG12597" s="10"/>
    </row>
    <row r="12598" spans="33:33">
      <c r="AG12598" s="10"/>
    </row>
    <row r="12599" spans="33:33">
      <c r="AG12599" s="10"/>
    </row>
    <row r="12600" spans="33:33">
      <c r="AG12600" s="10"/>
    </row>
    <row r="12601" spans="33:33">
      <c r="AG12601" s="10"/>
    </row>
    <row r="12602" spans="33:33">
      <c r="AG12602" s="10"/>
    </row>
    <row r="12603" spans="33:33">
      <c r="AG12603" s="10"/>
    </row>
    <row r="12604" spans="33:33">
      <c r="AG12604" s="10"/>
    </row>
    <row r="12605" spans="33:33">
      <c r="AG12605" s="10"/>
    </row>
    <row r="12606" spans="33:33">
      <c r="AG12606" s="10"/>
    </row>
    <row r="12607" spans="33:33">
      <c r="AG12607" s="10"/>
    </row>
    <row r="12608" spans="33:33">
      <c r="AG12608" s="10"/>
    </row>
    <row r="12609" spans="33:33">
      <c r="AG12609" s="10"/>
    </row>
    <row r="12610" spans="33:33">
      <c r="AG12610" s="10"/>
    </row>
    <row r="12611" spans="33:33">
      <c r="AG12611" s="10"/>
    </row>
    <row r="12612" spans="33:33">
      <c r="AG12612" s="10"/>
    </row>
    <row r="12613" spans="33:33">
      <c r="AG12613" s="10"/>
    </row>
    <row r="12614" spans="33:33">
      <c r="AG12614" s="10"/>
    </row>
    <row r="12615" spans="33:33">
      <c r="AG12615" s="10"/>
    </row>
    <row r="12616" spans="33:33">
      <c r="AG12616" s="10"/>
    </row>
    <row r="12617" spans="33:33">
      <c r="AG12617" s="10"/>
    </row>
    <row r="12618" spans="33:33">
      <c r="AG12618" s="10"/>
    </row>
    <row r="12619" spans="33:33">
      <c r="AG12619" s="10"/>
    </row>
    <row r="12620" spans="33:33">
      <c r="AG12620" s="10"/>
    </row>
    <row r="12621" spans="33:33">
      <c r="AG12621" s="10"/>
    </row>
    <row r="12622" spans="33:33">
      <c r="AG12622" s="10"/>
    </row>
    <row r="12623" spans="33:33">
      <c r="AG12623" s="10"/>
    </row>
    <row r="12624" spans="33:33">
      <c r="AG12624" s="10"/>
    </row>
    <row r="12625" spans="33:33">
      <c r="AG12625" s="10"/>
    </row>
    <row r="12626" spans="33:33">
      <c r="AG12626" s="10"/>
    </row>
    <row r="12627" spans="33:33">
      <c r="AG12627" s="10"/>
    </row>
    <row r="12628" spans="33:33">
      <c r="AG12628" s="10"/>
    </row>
    <row r="12629" spans="33:33">
      <c r="AG12629" s="10"/>
    </row>
    <row r="12630" spans="33:33">
      <c r="AG12630" s="10"/>
    </row>
    <row r="12631" spans="33:33">
      <c r="AG12631" s="10"/>
    </row>
    <row r="12632" spans="33:33">
      <c r="AG12632" s="10"/>
    </row>
    <row r="12633" spans="33:33">
      <c r="AG12633" s="10"/>
    </row>
    <row r="12634" spans="33:33">
      <c r="AG12634" s="10"/>
    </row>
    <row r="12635" spans="33:33">
      <c r="AG12635" s="10"/>
    </row>
    <row r="12636" spans="33:33">
      <c r="AG12636" s="10"/>
    </row>
    <row r="12637" spans="33:33">
      <c r="AG12637" s="10"/>
    </row>
    <row r="12638" spans="33:33">
      <c r="AG12638" s="10"/>
    </row>
    <row r="12639" spans="33:33">
      <c r="AG12639" s="10"/>
    </row>
    <row r="12640" spans="33:33">
      <c r="AG12640" s="10"/>
    </row>
    <row r="12641" spans="33:33">
      <c r="AG12641" s="10"/>
    </row>
    <row r="12642" spans="33:33">
      <c r="AG12642" s="10"/>
    </row>
    <row r="12643" spans="33:33">
      <c r="AG12643" s="10"/>
    </row>
    <row r="12644" spans="33:33">
      <c r="AG12644" s="10"/>
    </row>
    <row r="12645" spans="33:33">
      <c r="AG12645" s="10"/>
    </row>
    <row r="12646" spans="33:33">
      <c r="AG12646" s="10"/>
    </row>
    <row r="12647" spans="33:33">
      <c r="AG12647" s="10"/>
    </row>
    <row r="12648" spans="33:33">
      <c r="AG12648" s="10"/>
    </row>
    <row r="12649" spans="33:33">
      <c r="AG12649" s="10"/>
    </row>
    <row r="12650" spans="33:33">
      <c r="AG12650" s="10"/>
    </row>
    <row r="12651" spans="33:33">
      <c r="AG12651" s="10"/>
    </row>
    <row r="12652" spans="33:33">
      <c r="AG12652" s="10"/>
    </row>
    <row r="12653" spans="33:33">
      <c r="AG12653" s="10"/>
    </row>
    <row r="12654" spans="33:33">
      <c r="AG12654" s="10"/>
    </row>
    <row r="12655" spans="33:33">
      <c r="AG12655" s="10"/>
    </row>
    <row r="12656" spans="33:33">
      <c r="AG12656" s="10"/>
    </row>
    <row r="12657" spans="33:33">
      <c r="AG12657" s="10"/>
    </row>
    <row r="12658" spans="33:33">
      <c r="AG12658" s="10"/>
    </row>
    <row r="12659" spans="33:33">
      <c r="AG12659" s="10"/>
    </row>
    <row r="12660" spans="33:33">
      <c r="AG12660" s="10"/>
    </row>
    <row r="12661" spans="33:33">
      <c r="AG12661" s="10"/>
    </row>
    <row r="12662" spans="33:33">
      <c r="AG12662" s="10"/>
    </row>
    <row r="12663" spans="33:33">
      <c r="AG12663" s="10"/>
    </row>
    <row r="12664" spans="33:33">
      <c r="AG12664" s="10"/>
    </row>
    <row r="12665" spans="33:33">
      <c r="AG12665" s="10"/>
    </row>
    <row r="12666" spans="33:33">
      <c r="AG12666" s="10"/>
    </row>
    <row r="12667" spans="33:33">
      <c r="AG12667" s="10"/>
    </row>
    <row r="12668" spans="33:33">
      <c r="AG12668" s="10"/>
    </row>
    <row r="12669" spans="33:33">
      <c r="AG12669" s="10"/>
    </row>
    <row r="12670" spans="33:33">
      <c r="AG12670" s="10"/>
    </row>
    <row r="12671" spans="33:33">
      <c r="AG12671" s="10"/>
    </row>
    <row r="12672" spans="33:33">
      <c r="AG12672" s="10"/>
    </row>
    <row r="12673" spans="33:33">
      <c r="AG12673" s="10"/>
    </row>
    <row r="12674" spans="33:33">
      <c r="AG12674" s="10"/>
    </row>
    <row r="12675" spans="33:33">
      <c r="AG12675" s="10"/>
    </row>
    <row r="12676" spans="33:33">
      <c r="AG12676" s="10"/>
    </row>
    <row r="12677" spans="33:33">
      <c r="AG12677" s="10"/>
    </row>
    <row r="12678" spans="33:33">
      <c r="AG12678" s="10"/>
    </row>
    <row r="12679" spans="33:33">
      <c r="AG12679" s="10"/>
    </row>
    <row r="12680" spans="33:33">
      <c r="AG12680" s="10"/>
    </row>
    <row r="12681" spans="33:33">
      <c r="AG12681" s="10"/>
    </row>
    <row r="12682" spans="33:33">
      <c r="AG12682" s="10"/>
    </row>
    <row r="12683" spans="33:33">
      <c r="AG12683" s="10"/>
    </row>
    <row r="12684" spans="33:33">
      <c r="AG12684" s="10"/>
    </row>
    <row r="12685" spans="33:33">
      <c r="AG12685" s="10"/>
    </row>
    <row r="12686" spans="33:33">
      <c r="AG12686" s="10"/>
    </row>
    <row r="12687" spans="33:33">
      <c r="AG12687" s="10"/>
    </row>
    <row r="12688" spans="33:33">
      <c r="AG12688" s="10"/>
    </row>
    <row r="12689" spans="33:33">
      <c r="AG12689" s="10"/>
    </row>
    <row r="12690" spans="33:33">
      <c r="AG12690" s="10"/>
    </row>
    <row r="12691" spans="33:33">
      <c r="AG12691" s="10"/>
    </row>
    <row r="12692" spans="33:33">
      <c r="AG12692" s="10"/>
    </row>
    <row r="12693" spans="33:33">
      <c r="AG12693" s="10"/>
    </row>
    <row r="12694" spans="33:33">
      <c r="AG12694" s="10"/>
    </row>
    <row r="12695" spans="33:33">
      <c r="AG12695" s="10"/>
    </row>
    <row r="12696" spans="33:33">
      <c r="AG12696" s="10"/>
    </row>
    <row r="12697" spans="33:33">
      <c r="AG12697" s="10"/>
    </row>
    <row r="12698" spans="33:33">
      <c r="AG12698" s="10"/>
    </row>
    <row r="12699" spans="33:33">
      <c r="AG12699" s="10"/>
    </row>
    <row r="12700" spans="33:33">
      <c r="AG12700" s="10"/>
    </row>
    <row r="12701" spans="33:33">
      <c r="AG12701" s="10"/>
    </row>
    <row r="12702" spans="33:33">
      <c r="AG12702" s="10"/>
    </row>
    <row r="12703" spans="33:33">
      <c r="AG12703" s="10"/>
    </row>
    <row r="12704" spans="33:33">
      <c r="AG12704" s="10"/>
    </row>
    <row r="12705" spans="33:33">
      <c r="AG12705" s="10"/>
    </row>
    <row r="12706" spans="33:33">
      <c r="AG12706" s="10"/>
    </row>
    <row r="12707" spans="33:33">
      <c r="AG12707" s="10"/>
    </row>
    <row r="12708" spans="33:33">
      <c r="AG12708" s="10"/>
    </row>
    <row r="12709" spans="33:33">
      <c r="AG12709" s="10"/>
    </row>
    <row r="12710" spans="33:33">
      <c r="AG12710" s="10"/>
    </row>
    <row r="12711" spans="33:33">
      <c r="AG12711" s="10"/>
    </row>
    <row r="12712" spans="33:33">
      <c r="AG12712" s="10"/>
    </row>
    <row r="12713" spans="33:33">
      <c r="AG12713" s="10"/>
    </row>
    <row r="12714" spans="33:33">
      <c r="AG12714" s="10"/>
    </row>
    <row r="12715" spans="33:33">
      <c r="AG12715" s="10"/>
    </row>
    <row r="12716" spans="33:33">
      <c r="AG12716" s="10"/>
    </row>
    <row r="12717" spans="33:33">
      <c r="AG12717" s="10"/>
    </row>
    <row r="12718" spans="33:33">
      <c r="AG12718" s="10"/>
    </row>
    <row r="12719" spans="33:33">
      <c r="AG12719" s="10"/>
    </row>
    <row r="12720" spans="33:33">
      <c r="AG12720" s="10"/>
    </row>
    <row r="12721" spans="33:33">
      <c r="AG12721" s="10"/>
    </row>
    <row r="12722" spans="33:33">
      <c r="AG12722" s="10"/>
    </row>
    <row r="12723" spans="33:33">
      <c r="AG12723" s="10"/>
    </row>
    <row r="12724" spans="33:33">
      <c r="AG12724" s="10"/>
    </row>
    <row r="12725" spans="33:33">
      <c r="AG12725" s="10"/>
    </row>
    <row r="12726" spans="33:33">
      <c r="AG12726" s="10"/>
    </row>
    <row r="12727" spans="33:33">
      <c r="AG12727" s="10"/>
    </row>
    <row r="12728" spans="33:33">
      <c r="AG12728" s="10"/>
    </row>
    <row r="12729" spans="33:33">
      <c r="AG12729" s="10"/>
    </row>
    <row r="12730" spans="33:33">
      <c r="AG12730" s="10"/>
    </row>
    <row r="12731" spans="33:33">
      <c r="AG12731" s="10"/>
    </row>
    <row r="12732" spans="33:33">
      <c r="AG12732" s="10"/>
    </row>
    <row r="12733" spans="33:33">
      <c r="AG12733" s="10"/>
    </row>
    <row r="12734" spans="33:33">
      <c r="AG12734" s="10"/>
    </row>
    <row r="12735" spans="33:33">
      <c r="AG12735" s="10"/>
    </row>
    <row r="12736" spans="33:33">
      <c r="AG12736" s="10"/>
    </row>
    <row r="12737" spans="33:33">
      <c r="AG12737" s="10"/>
    </row>
    <row r="12738" spans="33:33">
      <c r="AG12738" s="10"/>
    </row>
    <row r="12739" spans="33:33">
      <c r="AG12739" s="10"/>
    </row>
    <row r="12740" spans="33:33">
      <c r="AG12740" s="10"/>
    </row>
    <row r="12741" spans="33:33">
      <c r="AG12741" s="10"/>
    </row>
    <row r="12742" spans="33:33">
      <c r="AG12742" s="10"/>
    </row>
    <row r="12743" spans="33:33">
      <c r="AG12743" s="10"/>
    </row>
    <row r="12744" spans="33:33">
      <c r="AG12744" s="10"/>
    </row>
    <row r="12745" spans="33:33">
      <c r="AG12745" s="10"/>
    </row>
    <row r="12746" spans="33:33">
      <c r="AG12746" s="10"/>
    </row>
    <row r="12747" spans="33:33">
      <c r="AG12747" s="10"/>
    </row>
    <row r="12748" spans="33:33">
      <c r="AG12748" s="10"/>
    </row>
    <row r="12749" spans="33:33">
      <c r="AG12749" s="10"/>
    </row>
    <row r="12750" spans="33:33">
      <c r="AG12750" s="10"/>
    </row>
    <row r="12751" spans="33:33">
      <c r="AG12751" s="10"/>
    </row>
    <row r="12752" spans="33:33">
      <c r="AG12752" s="10"/>
    </row>
    <row r="12753" spans="33:33">
      <c r="AG12753" s="10"/>
    </row>
    <row r="12754" spans="33:33">
      <c r="AG12754" s="10"/>
    </row>
    <row r="12755" spans="33:33">
      <c r="AG12755" s="10"/>
    </row>
    <row r="12756" spans="33:33">
      <c r="AG12756" s="10"/>
    </row>
    <row r="12757" spans="33:33">
      <c r="AG12757" s="10"/>
    </row>
    <row r="12758" spans="33:33">
      <c r="AG12758" s="10"/>
    </row>
    <row r="12759" spans="33:33">
      <c r="AG12759" s="10"/>
    </row>
    <row r="12760" spans="33:33">
      <c r="AG12760" s="10"/>
    </row>
    <row r="12761" spans="33:33">
      <c r="AG12761" s="10"/>
    </row>
    <row r="12762" spans="33:33">
      <c r="AG12762" s="10"/>
    </row>
    <row r="12763" spans="33:33">
      <c r="AG12763" s="10"/>
    </row>
    <row r="12764" spans="33:33">
      <c r="AG12764" s="10"/>
    </row>
    <row r="12765" spans="33:33">
      <c r="AG12765" s="10"/>
    </row>
    <row r="12766" spans="33:33">
      <c r="AG12766" s="10"/>
    </row>
    <row r="12767" spans="33:33">
      <c r="AG12767" s="10"/>
    </row>
    <row r="12768" spans="33:33">
      <c r="AG12768" s="10"/>
    </row>
    <row r="12769" spans="33:33">
      <c r="AG12769" s="10"/>
    </row>
    <row r="12770" spans="33:33">
      <c r="AG12770" s="10"/>
    </row>
    <row r="12771" spans="33:33">
      <c r="AG12771" s="10"/>
    </row>
    <row r="12772" spans="33:33">
      <c r="AG12772" s="10"/>
    </row>
    <row r="12773" spans="33:33">
      <c r="AG12773" s="10"/>
    </row>
    <row r="12774" spans="33:33">
      <c r="AG12774" s="10"/>
    </row>
    <row r="12775" spans="33:33">
      <c r="AG12775" s="10"/>
    </row>
    <row r="12776" spans="33:33">
      <c r="AG12776" s="10"/>
    </row>
    <row r="12777" spans="33:33">
      <c r="AG12777" s="10"/>
    </row>
    <row r="12778" spans="33:33">
      <c r="AG12778" s="10"/>
    </row>
    <row r="12779" spans="33:33">
      <c r="AG12779" s="10"/>
    </row>
    <row r="12780" spans="33:33">
      <c r="AG12780" s="10"/>
    </row>
    <row r="12781" spans="33:33">
      <c r="AG12781" s="10"/>
    </row>
    <row r="12782" spans="33:33">
      <c r="AG12782" s="10"/>
    </row>
    <row r="12783" spans="33:33">
      <c r="AG12783" s="10"/>
    </row>
    <row r="12784" spans="33:33">
      <c r="AG12784" s="10"/>
    </row>
    <row r="12785" spans="33:33">
      <c r="AG12785" s="10"/>
    </row>
    <row r="12786" spans="33:33">
      <c r="AG12786" s="10"/>
    </row>
    <row r="12787" spans="33:33">
      <c r="AG12787" s="10"/>
    </row>
    <row r="12788" spans="33:33">
      <c r="AG12788" s="10"/>
    </row>
    <row r="12789" spans="33:33">
      <c r="AG12789" s="10"/>
    </row>
    <row r="12790" spans="33:33">
      <c r="AG12790" s="10"/>
    </row>
    <row r="12791" spans="33:33">
      <c r="AG12791" s="10"/>
    </row>
    <row r="12792" spans="33:33">
      <c r="AG12792" s="10"/>
    </row>
    <row r="12793" spans="33:33">
      <c r="AG12793" s="10"/>
    </row>
    <row r="12794" spans="33:33">
      <c r="AG12794" s="10"/>
    </row>
    <row r="12795" spans="33:33">
      <c r="AG12795" s="10"/>
    </row>
    <row r="12796" spans="33:33">
      <c r="AG12796" s="10"/>
    </row>
    <row r="12797" spans="33:33">
      <c r="AG12797" s="10"/>
    </row>
    <row r="12798" spans="33:33">
      <c r="AG12798" s="10"/>
    </row>
    <row r="12799" spans="33:33">
      <c r="AG12799" s="10"/>
    </row>
    <row r="12800" spans="33:33">
      <c r="AG12800" s="10"/>
    </row>
    <row r="12801" spans="33:33">
      <c r="AG12801" s="10"/>
    </row>
    <row r="12802" spans="33:33">
      <c r="AG12802" s="10"/>
    </row>
    <row r="12803" spans="33:33">
      <c r="AG12803" s="10"/>
    </row>
    <row r="12804" spans="33:33">
      <c r="AG12804" s="10"/>
    </row>
    <row r="12805" spans="33:33">
      <c r="AG12805" s="10"/>
    </row>
    <row r="12806" spans="33:33">
      <c r="AG12806" s="10"/>
    </row>
    <row r="12807" spans="33:33">
      <c r="AG12807" s="10"/>
    </row>
    <row r="12808" spans="33:33">
      <c r="AG12808" s="10"/>
    </row>
    <row r="12809" spans="33:33">
      <c r="AG12809" s="10"/>
    </row>
    <row r="12810" spans="33:33">
      <c r="AG12810" s="10"/>
    </row>
    <row r="12811" spans="33:33">
      <c r="AG12811" s="10"/>
    </row>
    <row r="12812" spans="33:33">
      <c r="AG12812" s="10"/>
    </row>
    <row r="12813" spans="33:33">
      <c r="AG12813" s="10"/>
    </row>
    <row r="12814" spans="33:33">
      <c r="AG12814" s="10"/>
    </row>
    <row r="12815" spans="33:33">
      <c r="AG12815" s="10"/>
    </row>
    <row r="12816" spans="33:33">
      <c r="AG12816" s="10"/>
    </row>
    <row r="12817" spans="33:33">
      <c r="AG12817" s="10"/>
    </row>
    <row r="12818" spans="33:33">
      <c r="AG12818" s="10"/>
    </row>
    <row r="12819" spans="33:33">
      <c r="AG12819" s="10"/>
    </row>
    <row r="12820" spans="33:33">
      <c r="AG12820" s="10"/>
    </row>
    <row r="12821" spans="33:33">
      <c r="AG12821" s="10"/>
    </row>
    <row r="12822" spans="33:33">
      <c r="AG12822" s="10"/>
    </row>
    <row r="12823" spans="33:33">
      <c r="AG12823" s="10"/>
    </row>
    <row r="12824" spans="33:33">
      <c r="AG12824" s="10"/>
    </row>
    <row r="12825" spans="33:33">
      <c r="AG12825" s="10"/>
    </row>
    <row r="12826" spans="33:33">
      <c r="AG12826" s="10"/>
    </row>
    <row r="12827" spans="33:33">
      <c r="AG12827" s="10"/>
    </row>
    <row r="12828" spans="33:33">
      <c r="AG12828" s="10"/>
    </row>
    <row r="12829" spans="33:33">
      <c r="AG12829" s="10"/>
    </row>
    <row r="12830" spans="33:33">
      <c r="AG12830" s="10"/>
    </row>
    <row r="12831" spans="33:33">
      <c r="AG12831" s="10"/>
    </row>
    <row r="12832" spans="33:33">
      <c r="AG12832" s="10"/>
    </row>
    <row r="12833" spans="33:33">
      <c r="AG12833" s="10"/>
    </row>
    <row r="12834" spans="33:33">
      <c r="AG12834" s="10"/>
    </row>
    <row r="12835" spans="33:33">
      <c r="AG12835" s="10"/>
    </row>
    <row r="12836" spans="33:33">
      <c r="AG12836" s="10"/>
    </row>
    <row r="12837" spans="33:33">
      <c r="AG12837" s="10"/>
    </row>
    <row r="12838" spans="33:33">
      <c r="AG12838" s="10"/>
    </row>
    <row r="12839" spans="33:33">
      <c r="AG12839" s="10"/>
    </row>
    <row r="12840" spans="33:33">
      <c r="AG12840" s="10"/>
    </row>
    <row r="12841" spans="33:33">
      <c r="AG12841" s="10"/>
    </row>
    <row r="12842" spans="33:33">
      <c r="AG12842" s="10"/>
    </row>
    <row r="12843" spans="33:33">
      <c r="AG12843" s="10"/>
    </row>
    <row r="12844" spans="33:33">
      <c r="AG12844" s="10"/>
    </row>
    <row r="12845" spans="33:33">
      <c r="AG12845" s="10"/>
    </row>
    <row r="12846" spans="33:33">
      <c r="AG12846" s="10"/>
    </row>
    <row r="12847" spans="33:33">
      <c r="AG12847" s="10"/>
    </row>
    <row r="12848" spans="33:33">
      <c r="AG12848" s="10"/>
    </row>
    <row r="12849" spans="33:33">
      <c r="AG12849" s="10"/>
    </row>
    <row r="12850" spans="33:33">
      <c r="AG12850" s="10"/>
    </row>
    <row r="12851" spans="33:33">
      <c r="AG12851" s="10"/>
    </row>
    <row r="12852" spans="33:33">
      <c r="AG12852" s="10"/>
    </row>
    <row r="12853" spans="33:33">
      <c r="AG12853" s="10"/>
    </row>
    <row r="12854" spans="33:33">
      <c r="AG12854" s="10"/>
    </row>
    <row r="12855" spans="33:33">
      <c r="AG12855" s="10"/>
    </row>
    <row r="12856" spans="33:33">
      <c r="AG12856" s="10"/>
    </row>
    <row r="12857" spans="33:33">
      <c r="AG12857" s="10"/>
    </row>
    <row r="12858" spans="33:33">
      <c r="AG12858" s="10"/>
    </row>
    <row r="12859" spans="33:33">
      <c r="AG12859" s="10"/>
    </row>
    <row r="12860" spans="33:33">
      <c r="AG12860" s="10"/>
    </row>
    <row r="12861" spans="33:33">
      <c r="AG12861" s="10"/>
    </row>
    <row r="12862" spans="33:33">
      <c r="AG12862" s="10"/>
    </row>
    <row r="12863" spans="33:33">
      <c r="AG12863" s="10"/>
    </row>
    <row r="12864" spans="33:33">
      <c r="AG12864" s="10"/>
    </row>
    <row r="12865" spans="33:33">
      <c r="AG12865" s="10"/>
    </row>
    <row r="12866" spans="33:33">
      <c r="AG12866" s="10"/>
    </row>
    <row r="12867" spans="33:33">
      <c r="AG12867" s="10"/>
    </row>
    <row r="12868" spans="33:33">
      <c r="AG12868" s="10"/>
    </row>
    <row r="12869" spans="33:33">
      <c r="AG12869" s="10"/>
    </row>
    <row r="12870" spans="33:33">
      <c r="AG12870" s="10"/>
    </row>
    <row r="12871" spans="33:33">
      <c r="AG12871" s="10"/>
    </row>
    <row r="12872" spans="33:33">
      <c r="AG12872" s="10"/>
    </row>
    <row r="12873" spans="33:33">
      <c r="AG12873" s="10"/>
    </row>
    <row r="12874" spans="33:33">
      <c r="AG12874" s="10"/>
    </row>
    <row r="12875" spans="33:33">
      <c r="AG12875" s="10"/>
    </row>
    <row r="12876" spans="33:33">
      <c r="AG12876" s="10"/>
    </row>
    <row r="12877" spans="33:33">
      <c r="AG12877" s="10"/>
    </row>
    <row r="12878" spans="33:33">
      <c r="AG12878" s="10"/>
    </row>
    <row r="12879" spans="33:33">
      <c r="AG12879" s="10"/>
    </row>
    <row r="12880" spans="33:33">
      <c r="AG12880" s="10"/>
    </row>
    <row r="12881" spans="33:33">
      <c r="AG12881" s="10"/>
    </row>
    <row r="12882" spans="33:33">
      <c r="AG12882" s="10"/>
    </row>
    <row r="12883" spans="33:33">
      <c r="AG12883" s="10"/>
    </row>
    <row r="12884" spans="33:33">
      <c r="AG12884" s="10"/>
    </row>
    <row r="12885" spans="33:33">
      <c r="AG12885" s="10"/>
    </row>
    <row r="12886" spans="33:33">
      <c r="AG12886" s="10"/>
    </row>
    <row r="12887" spans="33:33">
      <c r="AG12887" s="10"/>
    </row>
    <row r="12888" spans="33:33">
      <c r="AG12888" s="10"/>
    </row>
    <row r="12889" spans="33:33">
      <c r="AG12889" s="10"/>
    </row>
    <row r="12890" spans="33:33">
      <c r="AG12890" s="10"/>
    </row>
    <row r="12891" spans="33:33">
      <c r="AG12891" s="10"/>
    </row>
    <row r="12892" spans="33:33">
      <c r="AG12892" s="10"/>
    </row>
    <row r="12893" spans="33:33">
      <c r="AG12893" s="10"/>
    </row>
    <row r="12894" spans="33:33">
      <c r="AG12894" s="10"/>
    </row>
    <row r="12895" spans="33:33">
      <c r="AG12895" s="10"/>
    </row>
    <row r="12896" spans="33:33">
      <c r="AG12896" s="10"/>
    </row>
    <row r="12897" spans="33:33">
      <c r="AG12897" s="10"/>
    </row>
    <row r="12898" spans="33:33">
      <c r="AG12898" s="10"/>
    </row>
    <row r="12899" spans="33:33">
      <c r="AG12899" s="10"/>
    </row>
    <row r="12900" spans="33:33">
      <c r="AG12900" s="10"/>
    </row>
    <row r="12901" spans="33:33">
      <c r="AG12901" s="10"/>
    </row>
    <row r="12902" spans="33:33">
      <c r="AG12902" s="10"/>
    </row>
    <row r="12903" spans="33:33">
      <c r="AG12903" s="10"/>
    </row>
    <row r="12904" spans="33:33">
      <c r="AG12904" s="10"/>
    </row>
    <row r="12905" spans="33:33">
      <c r="AG12905" s="10"/>
    </row>
    <row r="12906" spans="33:33">
      <c r="AG12906" s="10"/>
    </row>
    <row r="12907" spans="33:33">
      <c r="AG12907" s="10"/>
    </row>
    <row r="12908" spans="33:33">
      <c r="AG12908" s="10"/>
    </row>
    <row r="12909" spans="33:33">
      <c r="AG12909" s="10"/>
    </row>
    <row r="12910" spans="33:33">
      <c r="AG12910" s="10"/>
    </row>
    <row r="12911" spans="33:33">
      <c r="AG12911" s="10"/>
    </row>
    <row r="12912" spans="33:33">
      <c r="AG12912" s="10"/>
    </row>
    <row r="12913" spans="33:33">
      <c r="AG12913" s="10"/>
    </row>
    <row r="12914" spans="33:33">
      <c r="AG12914" s="10"/>
    </row>
    <row r="12915" spans="33:33">
      <c r="AG12915" s="10"/>
    </row>
    <row r="12916" spans="33:33">
      <c r="AG12916" s="10"/>
    </row>
    <row r="12917" spans="33:33">
      <c r="AG12917" s="10"/>
    </row>
    <row r="12918" spans="33:33">
      <c r="AG12918" s="10"/>
    </row>
    <row r="12919" spans="33:33">
      <c r="AG12919" s="10"/>
    </row>
    <row r="12920" spans="33:33">
      <c r="AG12920" s="10"/>
    </row>
    <row r="12921" spans="33:33">
      <c r="AG12921" s="10"/>
    </row>
    <row r="12922" spans="33:33">
      <c r="AG12922" s="10"/>
    </row>
    <row r="12923" spans="33:33">
      <c r="AG12923" s="10"/>
    </row>
    <row r="12924" spans="33:33">
      <c r="AG12924" s="10"/>
    </row>
    <row r="12925" spans="33:33">
      <c r="AG12925" s="10"/>
    </row>
    <row r="12926" spans="33:33">
      <c r="AG12926" s="10"/>
    </row>
    <row r="12927" spans="33:33">
      <c r="AG12927" s="10"/>
    </row>
    <row r="12928" spans="33:33">
      <c r="AG12928" s="10"/>
    </row>
    <row r="12929" spans="33:33">
      <c r="AG12929" s="10"/>
    </row>
    <row r="12930" spans="33:33">
      <c r="AG12930" s="10"/>
    </row>
    <row r="12931" spans="33:33">
      <c r="AG12931" s="10"/>
    </row>
    <row r="12932" spans="33:33">
      <c r="AG12932" s="10"/>
    </row>
    <row r="12933" spans="33:33">
      <c r="AG12933" s="10"/>
    </row>
    <row r="12934" spans="33:33">
      <c r="AG12934" s="10"/>
    </row>
    <row r="12935" spans="33:33">
      <c r="AG12935" s="10"/>
    </row>
    <row r="12936" spans="33:33">
      <c r="AG12936" s="10"/>
    </row>
    <row r="12937" spans="33:33">
      <c r="AG12937" s="10"/>
    </row>
    <row r="12938" spans="33:33">
      <c r="AG12938" s="10"/>
    </row>
    <row r="12939" spans="33:33">
      <c r="AG12939" s="10"/>
    </row>
    <row r="12940" spans="33:33">
      <c r="AG12940" s="10"/>
    </row>
    <row r="12941" spans="33:33">
      <c r="AG12941" s="10"/>
    </row>
    <row r="12942" spans="33:33">
      <c r="AG12942" s="10"/>
    </row>
    <row r="12943" spans="33:33">
      <c r="AG12943" s="10"/>
    </row>
    <row r="12944" spans="33:33">
      <c r="AG12944" s="10"/>
    </row>
    <row r="12945" spans="33:33">
      <c r="AG12945" s="10"/>
    </row>
    <row r="12946" spans="33:33">
      <c r="AG12946" s="10"/>
    </row>
    <row r="12947" spans="33:33">
      <c r="AG12947" s="10"/>
    </row>
    <row r="12948" spans="33:33">
      <c r="AG12948" s="10"/>
    </row>
    <row r="12949" spans="33:33">
      <c r="AG12949" s="10"/>
    </row>
    <row r="12950" spans="33:33">
      <c r="AG12950" s="10"/>
    </row>
    <row r="12951" spans="33:33">
      <c r="AG12951" s="10"/>
    </row>
    <row r="12952" spans="33:33">
      <c r="AG12952" s="10"/>
    </row>
    <row r="12953" spans="33:33">
      <c r="AG12953" s="10"/>
    </row>
    <row r="12954" spans="33:33">
      <c r="AG12954" s="10"/>
    </row>
    <row r="12955" spans="33:33">
      <c r="AG12955" s="10"/>
    </row>
    <row r="12956" spans="33:33">
      <c r="AG12956" s="10"/>
    </row>
    <row r="12957" spans="33:33">
      <c r="AG12957" s="10"/>
    </row>
    <row r="12958" spans="33:33">
      <c r="AG12958" s="10"/>
    </row>
    <row r="12959" spans="33:33">
      <c r="AG12959" s="10"/>
    </row>
    <row r="12960" spans="33:33">
      <c r="AG12960" s="10"/>
    </row>
    <row r="12961" spans="33:33">
      <c r="AG12961" s="10"/>
    </row>
    <row r="12962" spans="33:33">
      <c r="AG12962" s="10"/>
    </row>
    <row r="12963" spans="33:33">
      <c r="AG12963" s="10"/>
    </row>
    <row r="12964" spans="33:33">
      <c r="AG12964" s="10"/>
    </row>
    <row r="12965" spans="33:33">
      <c r="AG12965" s="10"/>
    </row>
    <row r="12966" spans="33:33">
      <c r="AG12966" s="10"/>
    </row>
    <row r="12967" spans="33:33">
      <c r="AG12967" s="10"/>
    </row>
    <row r="12968" spans="33:33">
      <c r="AG12968" s="10"/>
    </row>
    <row r="12969" spans="33:33">
      <c r="AG12969" s="10"/>
    </row>
    <row r="12970" spans="33:33">
      <c r="AG12970" s="10"/>
    </row>
    <row r="12971" spans="33:33">
      <c r="AG12971" s="10"/>
    </row>
    <row r="12972" spans="33:33">
      <c r="AG12972" s="10"/>
    </row>
    <row r="12973" spans="33:33">
      <c r="AG12973" s="10"/>
    </row>
    <row r="12974" spans="33:33">
      <c r="AG12974" s="10"/>
    </row>
    <row r="12975" spans="33:33">
      <c r="AG12975" s="10"/>
    </row>
    <row r="12976" spans="33:33">
      <c r="AG12976" s="10"/>
    </row>
    <row r="12977" spans="33:33">
      <c r="AG12977" s="10"/>
    </row>
    <row r="12978" spans="33:33">
      <c r="AG12978" s="10"/>
    </row>
    <row r="12979" spans="33:33">
      <c r="AG12979" s="10"/>
    </row>
    <row r="12980" spans="33:33">
      <c r="AG12980" s="10"/>
    </row>
    <row r="12981" spans="33:33">
      <c r="AG12981" s="10"/>
    </row>
    <row r="12982" spans="33:33">
      <c r="AG12982" s="10"/>
    </row>
    <row r="12983" spans="33:33">
      <c r="AG12983" s="10"/>
    </row>
    <row r="12984" spans="33:33">
      <c r="AG12984" s="10"/>
    </row>
    <row r="12985" spans="33:33">
      <c r="AG12985" s="10"/>
    </row>
    <row r="12986" spans="33:33">
      <c r="AG12986" s="10"/>
    </row>
    <row r="12987" spans="33:33">
      <c r="AG12987" s="10"/>
    </row>
    <row r="12988" spans="33:33">
      <c r="AG12988" s="10"/>
    </row>
    <row r="12989" spans="33:33">
      <c r="AG12989" s="10"/>
    </row>
    <row r="12990" spans="33:33">
      <c r="AG12990" s="10"/>
    </row>
    <row r="12991" spans="33:33">
      <c r="AG12991" s="10"/>
    </row>
    <row r="12992" spans="33:33">
      <c r="AG12992" s="10"/>
    </row>
    <row r="12993" spans="33:33">
      <c r="AG12993" s="10"/>
    </row>
    <row r="12994" spans="33:33">
      <c r="AG12994" s="10"/>
    </row>
    <row r="12995" spans="33:33">
      <c r="AG12995" s="10"/>
    </row>
    <row r="12996" spans="33:33">
      <c r="AG12996" s="10"/>
    </row>
    <row r="12997" spans="33:33">
      <c r="AG12997" s="10"/>
    </row>
    <row r="12998" spans="33:33">
      <c r="AG12998" s="10"/>
    </row>
    <row r="12999" spans="33:33">
      <c r="AG12999" s="10"/>
    </row>
    <row r="13000" spans="33:33">
      <c r="AG13000" s="10"/>
    </row>
    <row r="13001" spans="33:33">
      <c r="AG13001" s="10"/>
    </row>
    <row r="13002" spans="33:33">
      <c r="AG13002" s="10"/>
    </row>
    <row r="13003" spans="33:33">
      <c r="AG13003" s="10"/>
    </row>
    <row r="13004" spans="33:33">
      <c r="AG13004" s="10"/>
    </row>
    <row r="13005" spans="33:33">
      <c r="AG13005" s="10"/>
    </row>
    <row r="13006" spans="33:33">
      <c r="AG13006" s="10"/>
    </row>
    <row r="13007" spans="33:33">
      <c r="AG13007" s="10"/>
    </row>
    <row r="13008" spans="33:33">
      <c r="AG13008" s="10"/>
    </row>
    <row r="13009" spans="33:33">
      <c r="AG13009" s="10"/>
    </row>
    <row r="13010" spans="33:33">
      <c r="AG13010" s="10"/>
    </row>
    <row r="13011" spans="33:33">
      <c r="AG13011" s="10"/>
    </row>
    <row r="13012" spans="33:33">
      <c r="AG13012" s="10"/>
    </row>
    <row r="13013" spans="33:33">
      <c r="AG13013" s="10"/>
    </row>
    <row r="13014" spans="33:33">
      <c r="AG13014" s="10"/>
    </row>
    <row r="13015" spans="33:33">
      <c r="AG13015" s="10"/>
    </row>
    <row r="13016" spans="33:33">
      <c r="AG13016" s="10"/>
    </row>
    <row r="13017" spans="33:33">
      <c r="AG13017" s="10"/>
    </row>
    <row r="13018" spans="33:33">
      <c r="AG13018" s="10"/>
    </row>
    <row r="13019" spans="33:33">
      <c r="AG13019" s="10"/>
    </row>
    <row r="13020" spans="33:33">
      <c r="AG13020" s="10"/>
    </row>
    <row r="13021" spans="33:33">
      <c r="AG13021" s="10"/>
    </row>
    <row r="13022" spans="33:33">
      <c r="AG13022" s="10"/>
    </row>
    <row r="13023" spans="33:33">
      <c r="AG13023" s="10"/>
    </row>
    <row r="13024" spans="33:33">
      <c r="AG13024" s="10"/>
    </row>
    <row r="13025" spans="33:33">
      <c r="AG13025" s="10"/>
    </row>
    <row r="13026" spans="33:33">
      <c r="AG13026" s="10"/>
    </row>
    <row r="13027" spans="33:33">
      <c r="AG13027" s="10"/>
    </row>
    <row r="13028" spans="33:33">
      <c r="AG13028" s="10"/>
    </row>
    <row r="13029" spans="33:33">
      <c r="AG13029" s="10"/>
    </row>
    <row r="13030" spans="33:33">
      <c r="AG13030" s="10"/>
    </row>
    <row r="13031" spans="33:33">
      <c r="AG13031" s="10"/>
    </row>
    <row r="13032" spans="33:33">
      <c r="AG13032" s="10"/>
    </row>
    <row r="13033" spans="33:33">
      <c r="AG13033" s="10"/>
    </row>
    <row r="13034" spans="33:33">
      <c r="AG13034" s="10"/>
    </row>
    <row r="13035" spans="33:33">
      <c r="AG13035" s="10"/>
    </row>
    <row r="13036" spans="33:33">
      <c r="AG13036" s="10"/>
    </row>
    <row r="13037" spans="33:33">
      <c r="AG13037" s="10"/>
    </row>
    <row r="13038" spans="33:33">
      <c r="AG13038" s="10"/>
    </row>
    <row r="13039" spans="33:33">
      <c r="AG13039" s="10"/>
    </row>
    <row r="13040" spans="33:33">
      <c r="AG13040" s="10"/>
    </row>
    <row r="13041" spans="33:33">
      <c r="AG13041" s="10"/>
    </row>
    <row r="13042" spans="33:33">
      <c r="AG13042" s="10"/>
    </row>
    <row r="13043" spans="33:33">
      <c r="AG13043" s="10"/>
    </row>
    <row r="13044" spans="33:33">
      <c r="AG13044" s="10"/>
    </row>
    <row r="13045" spans="33:33">
      <c r="AG13045" s="10"/>
    </row>
    <row r="13046" spans="33:33">
      <c r="AG13046" s="10"/>
    </row>
    <row r="13047" spans="33:33">
      <c r="AG13047" s="10"/>
    </row>
    <row r="13048" spans="33:33">
      <c r="AG13048" s="10"/>
    </row>
    <row r="13049" spans="33:33">
      <c r="AG13049" s="10"/>
    </row>
    <row r="13050" spans="33:33">
      <c r="AG13050" s="10"/>
    </row>
    <row r="13051" spans="33:33">
      <c r="AG13051" s="10"/>
    </row>
    <row r="13052" spans="33:33">
      <c r="AG13052" s="10"/>
    </row>
    <row r="13053" spans="33:33">
      <c r="AG13053" s="10"/>
    </row>
    <row r="13054" spans="33:33">
      <c r="AG13054" s="10"/>
    </row>
    <row r="13055" spans="33:33">
      <c r="AG13055" s="10"/>
    </row>
    <row r="13056" spans="33:33">
      <c r="AG13056" s="10"/>
    </row>
    <row r="13057" spans="33:33">
      <c r="AG13057" s="10"/>
    </row>
    <row r="13058" spans="33:33">
      <c r="AG13058" s="10"/>
    </row>
    <row r="13059" spans="33:33">
      <c r="AG13059" s="10"/>
    </row>
    <row r="13060" spans="33:33">
      <c r="AG13060" s="10"/>
    </row>
    <row r="13061" spans="33:33">
      <c r="AG13061" s="10"/>
    </row>
    <row r="13062" spans="33:33">
      <c r="AG13062" s="10"/>
    </row>
    <row r="13063" spans="33:33">
      <c r="AG13063" s="10"/>
    </row>
    <row r="13064" spans="33:33">
      <c r="AG13064" s="10"/>
    </row>
    <row r="13065" spans="33:33">
      <c r="AG13065" s="10"/>
    </row>
    <row r="13066" spans="33:33">
      <c r="AG13066" s="10"/>
    </row>
    <row r="13067" spans="33:33">
      <c r="AG13067" s="10"/>
    </row>
    <row r="13068" spans="33:33">
      <c r="AG13068" s="10"/>
    </row>
    <row r="13069" spans="33:33">
      <c r="AG13069" s="10"/>
    </row>
    <row r="13070" spans="33:33">
      <c r="AG13070" s="10"/>
    </row>
    <row r="13071" spans="33:33">
      <c r="AG13071" s="10"/>
    </row>
    <row r="13072" spans="33:33">
      <c r="AG13072" s="10"/>
    </row>
    <row r="13073" spans="33:33">
      <c r="AG13073" s="10"/>
    </row>
    <row r="13074" spans="33:33">
      <c r="AG13074" s="10"/>
    </row>
    <row r="13075" spans="33:33">
      <c r="AG13075" s="10"/>
    </row>
    <row r="13076" spans="33:33">
      <c r="AG13076" s="10"/>
    </row>
    <row r="13077" spans="33:33">
      <c r="AG13077" s="10"/>
    </row>
    <row r="13078" spans="33:33">
      <c r="AG13078" s="10"/>
    </row>
    <row r="13079" spans="33:33">
      <c r="AG13079" s="10"/>
    </row>
    <row r="13080" spans="33:33">
      <c r="AG13080" s="10"/>
    </row>
    <row r="13081" spans="33:33">
      <c r="AG13081" s="10"/>
    </row>
    <row r="13082" spans="33:33">
      <c r="AG13082" s="10"/>
    </row>
    <row r="13083" spans="33:33">
      <c r="AG13083" s="10"/>
    </row>
    <row r="13084" spans="33:33">
      <c r="AG13084" s="10"/>
    </row>
    <row r="13085" spans="33:33">
      <c r="AG13085" s="10"/>
    </row>
    <row r="13086" spans="33:33">
      <c r="AG13086" s="10"/>
    </row>
    <row r="13087" spans="33:33">
      <c r="AG13087" s="10"/>
    </row>
    <row r="13088" spans="33:33">
      <c r="AG13088" s="10"/>
    </row>
    <row r="13089" spans="33:33">
      <c r="AG13089" s="10"/>
    </row>
    <row r="13090" spans="33:33">
      <c r="AG13090" s="10"/>
    </row>
    <row r="13091" spans="33:33">
      <c r="AG13091" s="10"/>
    </row>
    <row r="13092" spans="33:33">
      <c r="AG13092" s="10"/>
    </row>
    <row r="13093" spans="33:33">
      <c r="AG13093" s="10"/>
    </row>
    <row r="13094" spans="33:33">
      <c r="AG13094" s="10"/>
    </row>
    <row r="13095" spans="33:33">
      <c r="AG13095" s="10"/>
    </row>
    <row r="13096" spans="33:33">
      <c r="AG13096" s="10"/>
    </row>
    <row r="13097" spans="33:33">
      <c r="AG13097" s="10"/>
    </row>
    <row r="13098" spans="33:33">
      <c r="AG13098" s="10"/>
    </row>
    <row r="13099" spans="33:33">
      <c r="AG13099" s="10"/>
    </row>
    <row r="13100" spans="33:33">
      <c r="AG13100" s="10"/>
    </row>
    <row r="13101" spans="33:33">
      <c r="AG13101" s="10"/>
    </row>
    <row r="13102" spans="33:33">
      <c r="AG13102" s="10"/>
    </row>
    <row r="13103" spans="33:33">
      <c r="AG13103" s="10"/>
    </row>
    <row r="13104" spans="33:33">
      <c r="AG13104" s="10"/>
    </row>
    <row r="13105" spans="33:33">
      <c r="AG13105" s="10"/>
    </row>
    <row r="13106" spans="33:33">
      <c r="AG13106" s="10"/>
    </row>
    <row r="13107" spans="33:33">
      <c r="AG13107" s="10"/>
    </row>
    <row r="13108" spans="33:33">
      <c r="AG13108" s="10"/>
    </row>
    <row r="13109" spans="33:33">
      <c r="AG13109" s="10"/>
    </row>
    <row r="13110" spans="33:33">
      <c r="AG13110" s="10"/>
    </row>
    <row r="13111" spans="33:33">
      <c r="AG13111" s="10"/>
    </row>
    <row r="13112" spans="33:33">
      <c r="AG13112" s="10"/>
    </row>
    <row r="13113" spans="33:33">
      <c r="AG13113" s="10"/>
    </row>
    <row r="13114" spans="33:33">
      <c r="AG13114" s="10"/>
    </row>
    <row r="13115" spans="33:33">
      <c r="AG13115" s="10"/>
    </row>
    <row r="13116" spans="33:33">
      <c r="AG13116" s="10"/>
    </row>
    <row r="13117" spans="33:33">
      <c r="AG13117" s="10"/>
    </row>
    <row r="13118" spans="33:33">
      <c r="AG13118" s="10"/>
    </row>
    <row r="13119" spans="33:33">
      <c r="AG13119" s="10"/>
    </row>
    <row r="13120" spans="33:33">
      <c r="AG13120" s="10"/>
    </row>
    <row r="13121" spans="33:33">
      <c r="AG13121" s="10"/>
    </row>
    <row r="13122" spans="33:33">
      <c r="AG13122" s="10"/>
    </row>
    <row r="13123" spans="33:33">
      <c r="AG13123" s="10"/>
    </row>
    <row r="13124" spans="33:33">
      <c r="AG13124" s="10"/>
    </row>
    <row r="13125" spans="33:33">
      <c r="AG13125" s="10"/>
    </row>
    <row r="13126" spans="33:33">
      <c r="AG13126" s="10"/>
    </row>
    <row r="13127" spans="33:33">
      <c r="AG13127" s="10"/>
    </row>
    <row r="13128" spans="33:33">
      <c r="AG13128" s="10"/>
    </row>
    <row r="13129" spans="33:33">
      <c r="AG13129" s="10"/>
    </row>
    <row r="13130" spans="33:33">
      <c r="AG13130" s="10"/>
    </row>
    <row r="13131" spans="33:33">
      <c r="AG13131" s="10"/>
    </row>
    <row r="13132" spans="33:33">
      <c r="AG13132" s="10"/>
    </row>
    <row r="13133" spans="33:33">
      <c r="AG13133" s="10"/>
    </row>
    <row r="13134" spans="33:33">
      <c r="AG13134" s="10"/>
    </row>
    <row r="13135" spans="33:33">
      <c r="AG13135" s="10"/>
    </row>
    <row r="13136" spans="33:33">
      <c r="AG13136" s="10"/>
    </row>
    <row r="13137" spans="33:33">
      <c r="AG13137" s="10"/>
    </row>
    <row r="13138" spans="33:33">
      <c r="AG13138" s="10"/>
    </row>
    <row r="13139" spans="33:33">
      <c r="AG13139" s="10"/>
    </row>
    <row r="13140" spans="33:33">
      <c r="AG13140" s="10"/>
    </row>
    <row r="13141" spans="33:33">
      <c r="AG13141" s="10"/>
    </row>
    <row r="13142" spans="33:33">
      <c r="AG13142" s="10"/>
    </row>
    <row r="13143" spans="33:33">
      <c r="AG13143" s="10"/>
    </row>
    <row r="13144" spans="33:33">
      <c r="AG13144" s="10"/>
    </row>
    <row r="13145" spans="33:33">
      <c r="AG13145" s="10"/>
    </row>
    <row r="13146" spans="33:33">
      <c r="AG13146" s="10"/>
    </row>
    <row r="13147" spans="33:33">
      <c r="AG13147" s="10"/>
    </row>
    <row r="13148" spans="33:33">
      <c r="AG13148" s="10"/>
    </row>
    <row r="13149" spans="33:33">
      <c r="AG13149" s="10"/>
    </row>
    <row r="13150" spans="33:33">
      <c r="AG13150" s="10"/>
    </row>
    <row r="13151" spans="33:33">
      <c r="AG13151" s="10"/>
    </row>
    <row r="13152" spans="33:33">
      <c r="AG13152" s="10"/>
    </row>
    <row r="13153" spans="33:33">
      <c r="AG13153" s="10"/>
    </row>
    <row r="13154" spans="33:33">
      <c r="AG13154" s="10"/>
    </row>
    <row r="13155" spans="33:33">
      <c r="AG13155" s="10"/>
    </row>
    <row r="13156" spans="33:33">
      <c r="AG13156" s="10"/>
    </row>
    <row r="13157" spans="33:33">
      <c r="AG13157" s="10"/>
    </row>
    <row r="13158" spans="33:33">
      <c r="AG13158" s="10"/>
    </row>
    <row r="13159" spans="33:33">
      <c r="AG13159" s="10"/>
    </row>
    <row r="13160" spans="33:33">
      <c r="AG13160" s="10"/>
    </row>
    <row r="13161" spans="33:33">
      <c r="AG13161" s="10"/>
    </row>
    <row r="13162" spans="33:33">
      <c r="AG13162" s="10"/>
    </row>
    <row r="13163" spans="33:33">
      <c r="AG13163" s="10"/>
    </row>
    <row r="13164" spans="33:33">
      <c r="AG13164" s="10"/>
    </row>
    <row r="13165" spans="33:33">
      <c r="AG13165" s="10"/>
    </row>
    <row r="13166" spans="33:33">
      <c r="AG13166" s="10"/>
    </row>
    <row r="13167" spans="33:33">
      <c r="AG13167" s="10"/>
    </row>
    <row r="13168" spans="33:33">
      <c r="AG13168" s="10"/>
    </row>
    <row r="13169" spans="33:33">
      <c r="AG13169" s="10"/>
    </row>
    <row r="13170" spans="33:33">
      <c r="AG13170" s="10"/>
    </row>
    <row r="13171" spans="33:33">
      <c r="AG13171" s="10"/>
    </row>
    <row r="13172" spans="33:33">
      <c r="AG13172" s="10"/>
    </row>
    <row r="13173" spans="33:33">
      <c r="AG13173" s="10"/>
    </row>
    <row r="13174" spans="33:33">
      <c r="AG13174" s="10"/>
    </row>
    <row r="13175" spans="33:33">
      <c r="AG13175" s="10"/>
    </row>
    <row r="13176" spans="33:33">
      <c r="AG13176" s="10"/>
    </row>
    <row r="13177" spans="33:33">
      <c r="AG13177" s="10"/>
    </row>
    <row r="13178" spans="33:33">
      <c r="AG13178" s="10"/>
    </row>
    <row r="13179" spans="33:33">
      <c r="AG13179" s="10"/>
    </row>
    <row r="13180" spans="33:33">
      <c r="AG13180" s="10"/>
    </row>
    <row r="13181" spans="33:33">
      <c r="AG13181" s="10"/>
    </row>
    <row r="13182" spans="33:33">
      <c r="AG13182" s="10"/>
    </row>
    <row r="13183" spans="33:33">
      <c r="AG13183" s="10"/>
    </row>
    <row r="13184" spans="33:33">
      <c r="AG13184" s="10"/>
    </row>
    <row r="13185" spans="33:33">
      <c r="AG13185" s="10"/>
    </row>
    <row r="13186" spans="33:33">
      <c r="AG13186" s="10"/>
    </row>
    <row r="13187" spans="33:33">
      <c r="AG13187" s="10"/>
    </row>
    <row r="13188" spans="33:33">
      <c r="AG13188" s="10"/>
    </row>
    <row r="13189" spans="33:33">
      <c r="AG13189" s="10"/>
    </row>
    <row r="13190" spans="33:33">
      <c r="AG13190" s="10"/>
    </row>
    <row r="13191" spans="33:33">
      <c r="AG13191" s="10"/>
    </row>
    <row r="13192" spans="33:33">
      <c r="AG13192" s="10"/>
    </row>
    <row r="13193" spans="33:33">
      <c r="AG13193" s="10"/>
    </row>
    <row r="13194" spans="33:33">
      <c r="AG13194" s="10"/>
    </row>
    <row r="13195" spans="33:33">
      <c r="AG13195" s="10"/>
    </row>
    <row r="13196" spans="33:33">
      <c r="AG13196" s="10"/>
    </row>
    <row r="13197" spans="33:33">
      <c r="AG13197" s="10"/>
    </row>
    <row r="13198" spans="33:33">
      <c r="AG13198" s="10"/>
    </row>
    <row r="13199" spans="33:33">
      <c r="AG13199" s="10"/>
    </row>
    <row r="13200" spans="33:33">
      <c r="AG13200" s="10"/>
    </row>
    <row r="13201" spans="33:33">
      <c r="AG13201" s="10"/>
    </row>
    <row r="13202" spans="33:33">
      <c r="AG13202" s="10"/>
    </row>
    <row r="13203" spans="33:33">
      <c r="AG13203" s="10"/>
    </row>
    <row r="13204" spans="33:33">
      <c r="AG13204" s="10"/>
    </row>
    <row r="13205" spans="33:33">
      <c r="AG13205" s="10"/>
    </row>
    <row r="13206" spans="33:33">
      <c r="AG13206" s="10"/>
    </row>
    <row r="13207" spans="33:33">
      <c r="AG13207" s="10"/>
    </row>
    <row r="13208" spans="33:33">
      <c r="AG13208" s="10"/>
    </row>
    <row r="13209" spans="33:33">
      <c r="AG13209" s="10"/>
    </row>
    <row r="13210" spans="33:33">
      <c r="AG13210" s="10"/>
    </row>
    <row r="13211" spans="33:33">
      <c r="AG13211" s="10"/>
    </row>
    <row r="13212" spans="33:33">
      <c r="AG13212" s="10"/>
    </row>
    <row r="13213" spans="33:33">
      <c r="AG13213" s="10"/>
    </row>
    <row r="13214" spans="33:33">
      <c r="AG13214" s="10"/>
    </row>
    <row r="13215" spans="33:33">
      <c r="AG13215" s="10"/>
    </row>
    <row r="13216" spans="33:33">
      <c r="AG13216" s="10"/>
    </row>
    <row r="13217" spans="33:33">
      <c r="AG13217" s="10"/>
    </row>
    <row r="13218" spans="33:33">
      <c r="AG13218" s="10"/>
    </row>
    <row r="13219" spans="33:33">
      <c r="AG13219" s="10"/>
    </row>
    <row r="13220" spans="33:33">
      <c r="AG13220" s="10"/>
    </row>
    <row r="13221" spans="33:33">
      <c r="AG13221" s="10"/>
    </row>
    <row r="13222" spans="33:33">
      <c r="AG13222" s="10"/>
    </row>
    <row r="13223" spans="33:33">
      <c r="AG13223" s="10"/>
    </row>
    <row r="13224" spans="33:33">
      <c r="AG13224" s="10"/>
    </row>
    <row r="13225" spans="33:33">
      <c r="AG13225" s="10"/>
    </row>
    <row r="13226" spans="33:33">
      <c r="AG13226" s="10"/>
    </row>
    <row r="13227" spans="33:33">
      <c r="AG13227" s="10"/>
    </row>
    <row r="13228" spans="33:33">
      <c r="AG13228" s="10"/>
    </row>
    <row r="13229" spans="33:33">
      <c r="AG13229" s="10"/>
    </row>
    <row r="13230" spans="33:33">
      <c r="AG13230" s="10"/>
    </row>
    <row r="13231" spans="33:33">
      <c r="AG13231" s="10"/>
    </row>
    <row r="13232" spans="33:33">
      <c r="AG13232" s="10"/>
    </row>
    <row r="13233" spans="33:33">
      <c r="AG13233" s="10"/>
    </row>
    <row r="13234" spans="33:33">
      <c r="AG13234" s="10"/>
    </row>
    <row r="13235" spans="33:33">
      <c r="AG13235" s="10"/>
    </row>
    <row r="13236" spans="33:33">
      <c r="AG13236" s="10"/>
    </row>
    <row r="13237" spans="33:33">
      <c r="AG13237" s="10"/>
    </row>
    <row r="13238" spans="33:33">
      <c r="AG13238" s="10"/>
    </row>
    <row r="13239" spans="33:33">
      <c r="AG13239" s="10"/>
    </row>
    <row r="13240" spans="33:33">
      <c r="AG13240" s="10"/>
    </row>
    <row r="13241" spans="33:33">
      <c r="AG13241" s="10"/>
    </row>
    <row r="13242" spans="33:33">
      <c r="AG13242" s="10"/>
    </row>
    <row r="13243" spans="33:33">
      <c r="AG13243" s="10"/>
    </row>
    <row r="13244" spans="33:33">
      <c r="AG13244" s="10"/>
    </row>
    <row r="13245" spans="33:33">
      <c r="AG13245" s="10"/>
    </row>
    <row r="13246" spans="33:33">
      <c r="AG13246" s="10"/>
    </row>
    <row r="13247" spans="33:33">
      <c r="AG13247" s="10"/>
    </row>
    <row r="13248" spans="33:33">
      <c r="AG13248" s="10"/>
    </row>
    <row r="13249" spans="33:33">
      <c r="AG13249" s="10"/>
    </row>
    <row r="13250" spans="33:33">
      <c r="AG13250" s="10"/>
    </row>
    <row r="13251" spans="33:33">
      <c r="AG13251" s="10"/>
    </row>
    <row r="13252" spans="33:33">
      <c r="AG13252" s="10"/>
    </row>
    <row r="13253" spans="33:33">
      <c r="AG13253" s="10"/>
    </row>
    <row r="13254" spans="33:33">
      <c r="AG13254" s="10"/>
    </row>
    <row r="13255" spans="33:33">
      <c r="AG13255" s="10"/>
    </row>
    <row r="13256" spans="33:33">
      <c r="AG13256" s="10"/>
    </row>
    <row r="13257" spans="33:33">
      <c r="AG13257" s="10"/>
    </row>
    <row r="13258" spans="33:33">
      <c r="AG13258" s="10"/>
    </row>
    <row r="13259" spans="33:33">
      <c r="AG13259" s="10"/>
    </row>
    <row r="13260" spans="33:33">
      <c r="AG13260" s="10"/>
    </row>
    <row r="13261" spans="33:33">
      <c r="AG13261" s="10"/>
    </row>
    <row r="13262" spans="33:33">
      <c r="AG13262" s="10"/>
    </row>
    <row r="13263" spans="33:33">
      <c r="AG13263" s="10"/>
    </row>
    <row r="13264" spans="33:33">
      <c r="AG13264" s="10"/>
    </row>
    <row r="13265" spans="33:33">
      <c r="AG13265" s="10"/>
    </row>
    <row r="13266" spans="33:33">
      <c r="AG13266" s="10"/>
    </row>
    <row r="13267" spans="33:33">
      <c r="AG13267" s="10"/>
    </row>
    <row r="13268" spans="33:33">
      <c r="AG13268" s="10"/>
    </row>
    <row r="13269" spans="33:33">
      <c r="AG13269" s="10"/>
    </row>
    <row r="13270" spans="33:33">
      <c r="AG13270" s="10"/>
    </row>
    <row r="13271" spans="33:33">
      <c r="AG13271" s="10"/>
    </row>
    <row r="13272" spans="33:33">
      <c r="AG13272" s="10"/>
    </row>
    <row r="13273" spans="33:33">
      <c r="AG13273" s="10"/>
    </row>
    <row r="13274" spans="33:33">
      <c r="AG13274" s="10"/>
    </row>
    <row r="13275" spans="33:33">
      <c r="AG13275" s="10"/>
    </row>
    <row r="13276" spans="33:33">
      <c r="AG13276" s="10"/>
    </row>
    <row r="13277" spans="33:33">
      <c r="AG13277" s="10"/>
    </row>
    <row r="13278" spans="33:33">
      <c r="AG13278" s="10"/>
    </row>
    <row r="13279" spans="33:33">
      <c r="AG13279" s="10"/>
    </row>
    <row r="13280" spans="33:33">
      <c r="AG13280" s="10"/>
    </row>
    <row r="13281" spans="33:33">
      <c r="AG13281" s="10"/>
    </row>
    <row r="13282" spans="33:33">
      <c r="AG13282" s="10"/>
    </row>
    <row r="13283" spans="33:33">
      <c r="AG13283" s="10"/>
    </row>
    <row r="13284" spans="33:33">
      <c r="AG13284" s="10"/>
    </row>
    <row r="13285" spans="33:33">
      <c r="AG13285" s="10"/>
    </row>
    <row r="13286" spans="33:33">
      <c r="AG13286" s="10"/>
    </row>
    <row r="13287" spans="33:33">
      <c r="AG13287" s="10"/>
    </row>
    <row r="13288" spans="33:33">
      <c r="AG13288" s="10"/>
    </row>
    <row r="13289" spans="33:33">
      <c r="AG13289" s="10"/>
    </row>
    <row r="13290" spans="33:33">
      <c r="AG13290" s="10"/>
    </row>
    <row r="13291" spans="33:33">
      <c r="AG13291" s="10"/>
    </row>
    <row r="13292" spans="33:33">
      <c r="AG13292" s="10"/>
    </row>
    <row r="13293" spans="33:33">
      <c r="AG13293" s="10"/>
    </row>
    <row r="13294" spans="33:33">
      <c r="AG13294" s="10"/>
    </row>
    <row r="13295" spans="33:33">
      <c r="AG13295" s="10"/>
    </row>
    <row r="13296" spans="33:33">
      <c r="AG13296" s="10"/>
    </row>
    <row r="13297" spans="33:33">
      <c r="AG13297" s="10"/>
    </row>
    <row r="13298" spans="33:33">
      <c r="AG13298" s="10"/>
    </row>
    <row r="13299" spans="33:33">
      <c r="AG13299" s="10"/>
    </row>
    <row r="13300" spans="33:33">
      <c r="AG13300" s="10"/>
    </row>
    <row r="13301" spans="33:33">
      <c r="AG13301" s="10"/>
    </row>
    <row r="13302" spans="33:33">
      <c r="AG13302" s="10"/>
    </row>
    <row r="13303" spans="33:33">
      <c r="AG13303" s="10"/>
    </row>
    <row r="13304" spans="33:33">
      <c r="AG13304" s="10"/>
    </row>
    <row r="13305" spans="33:33">
      <c r="AG13305" s="10"/>
    </row>
    <row r="13306" spans="33:33">
      <c r="AG13306" s="10"/>
    </row>
    <row r="13307" spans="33:33">
      <c r="AG13307" s="10"/>
    </row>
    <row r="13308" spans="33:33">
      <c r="AG13308" s="10"/>
    </row>
    <row r="13309" spans="33:33">
      <c r="AG13309" s="10"/>
    </row>
    <row r="13310" spans="33:33">
      <c r="AG13310" s="10"/>
    </row>
    <row r="13311" spans="33:33">
      <c r="AG13311" s="10"/>
    </row>
    <row r="13312" spans="33:33">
      <c r="AG13312" s="10"/>
    </row>
    <row r="13313" spans="33:33">
      <c r="AG13313" s="10"/>
    </row>
    <row r="13314" spans="33:33">
      <c r="AG13314" s="10"/>
    </row>
    <row r="13315" spans="33:33">
      <c r="AG13315" s="10"/>
    </row>
    <row r="13316" spans="33:33">
      <c r="AG13316" s="10"/>
    </row>
    <row r="13317" spans="33:33">
      <c r="AG13317" s="10"/>
    </row>
    <row r="13318" spans="33:33">
      <c r="AG13318" s="10"/>
    </row>
    <row r="13319" spans="33:33">
      <c r="AG13319" s="10"/>
    </row>
    <row r="13320" spans="33:33">
      <c r="AG13320" s="10"/>
    </row>
    <row r="13321" spans="33:33">
      <c r="AG13321" s="10"/>
    </row>
    <row r="13322" spans="33:33">
      <c r="AG13322" s="10"/>
    </row>
    <row r="13323" spans="33:33">
      <c r="AG13323" s="10"/>
    </row>
    <row r="13324" spans="33:33">
      <c r="AG13324" s="10"/>
    </row>
    <row r="13325" spans="33:33">
      <c r="AG13325" s="10"/>
    </row>
    <row r="13326" spans="33:33">
      <c r="AG13326" s="10"/>
    </row>
    <row r="13327" spans="33:33">
      <c r="AG13327" s="10"/>
    </row>
    <row r="13328" spans="33:33">
      <c r="AG13328" s="10"/>
    </row>
    <row r="13329" spans="33:33">
      <c r="AG13329" s="10"/>
    </row>
    <row r="13330" spans="33:33">
      <c r="AG13330" s="10"/>
    </row>
    <row r="13331" spans="33:33">
      <c r="AG13331" s="10"/>
    </row>
    <row r="13332" spans="33:33">
      <c r="AG13332" s="10"/>
    </row>
    <row r="13333" spans="33:33">
      <c r="AG13333" s="10"/>
    </row>
    <row r="13334" spans="33:33">
      <c r="AG13334" s="10"/>
    </row>
    <row r="13335" spans="33:33">
      <c r="AG13335" s="10"/>
    </row>
    <row r="13336" spans="33:33">
      <c r="AG13336" s="10"/>
    </row>
    <row r="13337" spans="33:33">
      <c r="AG13337" s="10"/>
    </row>
    <row r="13338" spans="33:33">
      <c r="AG13338" s="10"/>
    </row>
    <row r="13339" spans="33:33">
      <c r="AG13339" s="10"/>
    </row>
    <row r="13340" spans="33:33">
      <c r="AG13340" s="10"/>
    </row>
    <row r="13341" spans="33:33">
      <c r="AG13341" s="10"/>
    </row>
    <row r="13342" spans="33:33">
      <c r="AG13342" s="10"/>
    </row>
    <row r="13343" spans="33:33">
      <c r="AG13343" s="10"/>
    </row>
    <row r="13344" spans="33:33">
      <c r="AG13344" s="10"/>
    </row>
    <row r="13345" spans="33:33">
      <c r="AG13345" s="10"/>
    </row>
    <row r="13346" spans="33:33">
      <c r="AG13346" s="10"/>
    </row>
    <row r="13347" spans="33:33">
      <c r="AG13347" s="10"/>
    </row>
    <row r="13348" spans="33:33">
      <c r="AG13348" s="10"/>
    </row>
    <row r="13349" spans="33:33">
      <c r="AG13349" s="10"/>
    </row>
    <row r="13350" spans="33:33">
      <c r="AG13350" s="10"/>
    </row>
    <row r="13351" spans="33:33">
      <c r="AG13351" s="10"/>
    </row>
    <row r="13352" spans="33:33">
      <c r="AG13352" s="10"/>
    </row>
    <row r="13353" spans="33:33">
      <c r="AG13353" s="10"/>
    </row>
    <row r="13354" spans="33:33">
      <c r="AG13354" s="10"/>
    </row>
    <row r="13355" spans="33:33">
      <c r="AG13355" s="10"/>
    </row>
    <row r="13356" spans="33:33">
      <c r="AG13356" s="10"/>
    </row>
    <row r="13357" spans="33:33">
      <c r="AG13357" s="10"/>
    </row>
    <row r="13358" spans="33:33">
      <c r="AG13358" s="10"/>
    </row>
    <row r="13359" spans="33:33">
      <c r="AG13359" s="10"/>
    </row>
    <row r="13360" spans="33:33">
      <c r="AG13360" s="10"/>
    </row>
    <row r="13361" spans="33:33">
      <c r="AG13361" s="10"/>
    </row>
    <row r="13362" spans="33:33">
      <c r="AG13362" s="10"/>
    </row>
    <row r="13363" spans="33:33">
      <c r="AG13363" s="10"/>
    </row>
    <row r="13364" spans="33:33">
      <c r="AG13364" s="10"/>
    </row>
    <row r="13365" spans="33:33">
      <c r="AG13365" s="10"/>
    </row>
    <row r="13366" spans="33:33">
      <c r="AG13366" s="10"/>
    </row>
    <row r="13367" spans="33:33">
      <c r="AG13367" s="10"/>
    </row>
    <row r="13368" spans="33:33">
      <c r="AG13368" s="10"/>
    </row>
    <row r="13369" spans="33:33">
      <c r="AG13369" s="10"/>
    </row>
    <row r="13370" spans="33:33">
      <c r="AG13370" s="10"/>
    </row>
    <row r="13371" spans="33:33">
      <c r="AG13371" s="10"/>
    </row>
    <row r="13372" spans="33:33">
      <c r="AG13372" s="10"/>
    </row>
    <row r="13373" spans="33:33">
      <c r="AG13373" s="10"/>
    </row>
    <row r="13374" spans="33:33">
      <c r="AG13374" s="10"/>
    </row>
    <row r="13375" spans="33:33">
      <c r="AG13375" s="10"/>
    </row>
    <row r="13376" spans="33:33">
      <c r="AG13376" s="10"/>
    </row>
    <row r="13377" spans="33:33">
      <c r="AG13377" s="10"/>
    </row>
    <row r="13378" spans="33:33">
      <c r="AG13378" s="10"/>
    </row>
    <row r="13379" spans="33:33">
      <c r="AG13379" s="10"/>
    </row>
    <row r="13380" spans="33:33">
      <c r="AG13380" s="10"/>
    </row>
    <row r="13381" spans="33:33">
      <c r="AG13381" s="10"/>
    </row>
    <row r="13382" spans="33:33">
      <c r="AG13382" s="10"/>
    </row>
    <row r="13383" spans="33:33">
      <c r="AG13383" s="10"/>
    </row>
    <row r="13384" spans="33:33">
      <c r="AG13384" s="10"/>
    </row>
    <row r="13385" spans="33:33">
      <c r="AG13385" s="10"/>
    </row>
    <row r="13386" spans="33:33">
      <c r="AG13386" s="10"/>
    </row>
    <row r="13387" spans="33:33">
      <c r="AG13387" s="10"/>
    </row>
    <row r="13388" spans="33:33">
      <c r="AG13388" s="10"/>
    </row>
    <row r="13389" spans="33:33">
      <c r="AG13389" s="10"/>
    </row>
    <row r="13390" spans="33:33">
      <c r="AG13390" s="10"/>
    </row>
    <row r="13391" spans="33:33">
      <c r="AG13391" s="10"/>
    </row>
    <row r="13392" spans="33:33">
      <c r="AG13392" s="10"/>
    </row>
    <row r="13393" spans="33:33">
      <c r="AG13393" s="10"/>
    </row>
    <row r="13394" spans="33:33">
      <c r="AG13394" s="10"/>
    </row>
    <row r="13395" spans="33:33">
      <c r="AG13395" s="10"/>
    </row>
    <row r="13396" spans="33:33">
      <c r="AG13396" s="10"/>
    </row>
    <row r="13397" spans="33:33">
      <c r="AG13397" s="10"/>
    </row>
    <row r="13398" spans="33:33">
      <c r="AG13398" s="10"/>
    </row>
    <row r="13399" spans="33:33">
      <c r="AG13399" s="10"/>
    </row>
    <row r="13400" spans="33:33">
      <c r="AG13400" s="10"/>
    </row>
    <row r="13401" spans="33:33">
      <c r="AG13401" s="10"/>
    </row>
    <row r="13402" spans="33:33">
      <c r="AG13402" s="10"/>
    </row>
    <row r="13403" spans="33:33">
      <c r="AG13403" s="10"/>
    </row>
    <row r="13404" spans="33:33">
      <c r="AG13404" s="10"/>
    </row>
    <row r="13405" spans="33:33">
      <c r="AG13405" s="10"/>
    </row>
    <row r="13406" spans="33:33">
      <c r="AG13406" s="10"/>
    </row>
    <row r="13407" spans="33:33">
      <c r="AG13407" s="10"/>
    </row>
    <row r="13408" spans="33:33">
      <c r="AG13408" s="10"/>
    </row>
    <row r="13409" spans="33:33">
      <c r="AG13409" s="10"/>
    </row>
    <row r="13410" spans="33:33">
      <c r="AG13410" s="10"/>
    </row>
    <row r="13411" spans="33:33">
      <c r="AG13411" s="10"/>
    </row>
    <row r="13412" spans="33:33">
      <c r="AG13412" s="10"/>
    </row>
    <row r="13413" spans="33:33">
      <c r="AG13413" s="10"/>
    </row>
    <row r="13414" spans="33:33">
      <c r="AG13414" s="10"/>
    </row>
    <row r="13415" spans="33:33">
      <c r="AG13415" s="10"/>
    </row>
    <row r="13416" spans="33:33">
      <c r="AG13416" s="10"/>
    </row>
    <row r="13417" spans="33:33">
      <c r="AG13417" s="10"/>
    </row>
    <row r="13418" spans="33:33">
      <c r="AG13418" s="10"/>
    </row>
    <row r="13419" spans="33:33">
      <c r="AG13419" s="10"/>
    </row>
    <row r="13420" spans="33:33">
      <c r="AG13420" s="10"/>
    </row>
    <row r="13421" spans="33:33">
      <c r="AG13421" s="10"/>
    </row>
    <row r="13422" spans="33:33">
      <c r="AG13422" s="10"/>
    </row>
    <row r="13423" spans="33:33">
      <c r="AG13423" s="10"/>
    </row>
    <row r="13424" spans="33:33">
      <c r="AG13424" s="10"/>
    </row>
    <row r="13425" spans="33:33">
      <c r="AG13425" s="10"/>
    </row>
    <row r="13426" spans="33:33">
      <c r="AG13426" s="10"/>
    </row>
    <row r="13427" spans="33:33">
      <c r="AG13427" s="10"/>
    </row>
    <row r="13428" spans="33:33">
      <c r="AG13428" s="10"/>
    </row>
    <row r="13429" spans="33:33">
      <c r="AG13429" s="10"/>
    </row>
    <row r="13430" spans="33:33">
      <c r="AG13430" s="10"/>
    </row>
    <row r="13431" spans="33:33">
      <c r="AG13431" s="10"/>
    </row>
    <row r="13432" spans="33:33">
      <c r="AG13432" s="10"/>
    </row>
    <row r="13433" spans="33:33">
      <c r="AG13433" s="10"/>
    </row>
    <row r="13434" spans="33:33">
      <c r="AG13434" s="10"/>
    </row>
    <row r="13435" spans="33:33">
      <c r="AG13435" s="10"/>
    </row>
    <row r="13436" spans="33:33">
      <c r="AG13436" s="10"/>
    </row>
    <row r="13437" spans="33:33">
      <c r="AG13437" s="10"/>
    </row>
    <row r="13438" spans="33:33">
      <c r="AG13438" s="10"/>
    </row>
    <row r="13439" spans="33:33">
      <c r="AG13439" s="10"/>
    </row>
    <row r="13440" spans="33:33">
      <c r="AG13440" s="10"/>
    </row>
    <row r="13441" spans="33:33">
      <c r="AG13441" s="10"/>
    </row>
    <row r="13442" spans="33:33">
      <c r="AG13442" s="10"/>
    </row>
    <row r="13443" spans="33:33">
      <c r="AG13443" s="10"/>
    </row>
    <row r="13444" spans="33:33">
      <c r="AG13444" s="10"/>
    </row>
    <row r="13445" spans="33:33">
      <c r="AG13445" s="10"/>
    </row>
    <row r="13446" spans="33:33">
      <c r="AG13446" s="10"/>
    </row>
    <row r="13447" spans="33:33">
      <c r="AG13447" s="10"/>
    </row>
    <row r="13448" spans="33:33">
      <c r="AG13448" s="10"/>
    </row>
    <row r="13449" spans="33:33">
      <c r="AG13449" s="10"/>
    </row>
    <row r="13450" spans="33:33">
      <c r="AG13450" s="10"/>
    </row>
    <row r="13451" spans="33:33">
      <c r="AG13451" s="10"/>
    </row>
    <row r="13452" spans="33:33">
      <c r="AG13452" s="10"/>
    </row>
    <row r="13453" spans="33:33">
      <c r="AG13453" s="10"/>
    </row>
    <row r="13454" spans="33:33">
      <c r="AG13454" s="10"/>
    </row>
    <row r="13455" spans="33:33">
      <c r="AG13455" s="10"/>
    </row>
    <row r="13456" spans="33:33">
      <c r="AG13456" s="10"/>
    </row>
    <row r="13457" spans="33:33">
      <c r="AG13457" s="10"/>
    </row>
    <row r="13458" spans="33:33">
      <c r="AG13458" s="10"/>
    </row>
    <row r="13459" spans="33:33">
      <c r="AG13459" s="10"/>
    </row>
    <row r="13460" spans="33:33">
      <c r="AG13460" s="10"/>
    </row>
    <row r="13461" spans="33:33">
      <c r="AG13461" s="10"/>
    </row>
    <row r="13462" spans="33:33">
      <c r="AG13462" s="10"/>
    </row>
    <row r="13463" spans="33:33">
      <c r="AG13463" s="10"/>
    </row>
    <row r="13464" spans="33:33">
      <c r="AG13464" s="10"/>
    </row>
    <row r="13465" spans="33:33">
      <c r="AG13465" s="10"/>
    </row>
    <row r="13466" spans="33:33">
      <c r="AG13466" s="10"/>
    </row>
    <row r="13467" spans="33:33">
      <c r="AG13467" s="10"/>
    </row>
    <row r="13468" spans="33:33">
      <c r="AG13468" s="10"/>
    </row>
    <row r="13469" spans="33:33">
      <c r="AG13469" s="10"/>
    </row>
    <row r="13470" spans="33:33">
      <c r="AG13470" s="10"/>
    </row>
    <row r="13471" spans="33:33">
      <c r="AG13471" s="10"/>
    </row>
    <row r="13472" spans="33:33">
      <c r="AG13472" s="10"/>
    </row>
    <row r="13473" spans="33:33">
      <c r="AG13473" s="10"/>
    </row>
    <row r="13474" spans="33:33">
      <c r="AG13474" s="10"/>
    </row>
    <row r="13475" spans="33:33">
      <c r="AG13475" s="10"/>
    </row>
    <row r="13476" spans="33:33">
      <c r="AG13476" s="10"/>
    </row>
    <row r="13477" spans="33:33">
      <c r="AG13477" s="10"/>
    </row>
    <row r="13478" spans="33:33">
      <c r="AG13478" s="10"/>
    </row>
    <row r="13479" spans="33:33">
      <c r="AG13479" s="10"/>
    </row>
    <row r="13480" spans="33:33">
      <c r="AG13480" s="10"/>
    </row>
    <row r="13481" spans="33:33">
      <c r="AG13481" s="10"/>
    </row>
    <row r="13482" spans="33:33">
      <c r="AG13482" s="10"/>
    </row>
    <row r="13483" spans="33:33">
      <c r="AG13483" s="10"/>
    </row>
    <row r="13484" spans="33:33">
      <c r="AG13484" s="10"/>
    </row>
    <row r="13485" spans="33:33">
      <c r="AG13485" s="10"/>
    </row>
    <row r="13486" spans="33:33">
      <c r="AG13486" s="10"/>
    </row>
    <row r="13487" spans="33:33">
      <c r="AG13487" s="10"/>
    </row>
    <row r="13488" spans="33:33">
      <c r="AG13488" s="10"/>
    </row>
    <row r="13489" spans="33:33">
      <c r="AG13489" s="10"/>
    </row>
    <row r="13490" spans="33:33">
      <c r="AG13490" s="10"/>
    </row>
    <row r="13491" spans="33:33">
      <c r="AG13491" s="10"/>
    </row>
    <row r="13492" spans="33:33">
      <c r="AG13492" s="10"/>
    </row>
    <row r="13493" spans="33:33">
      <c r="AG13493" s="10"/>
    </row>
    <row r="13494" spans="33:33">
      <c r="AG13494" s="10"/>
    </row>
    <row r="13495" spans="33:33">
      <c r="AG13495" s="10"/>
    </row>
    <row r="13496" spans="33:33">
      <c r="AG13496" s="10"/>
    </row>
    <row r="13497" spans="33:33">
      <c r="AG13497" s="10"/>
    </row>
    <row r="13498" spans="33:33">
      <c r="AG13498" s="10"/>
    </row>
    <row r="13499" spans="33:33">
      <c r="AG13499" s="10"/>
    </row>
    <row r="13500" spans="33:33">
      <c r="AG13500" s="10"/>
    </row>
    <row r="13501" spans="33:33">
      <c r="AG13501" s="10"/>
    </row>
    <row r="13502" spans="33:33">
      <c r="AG13502" s="10"/>
    </row>
    <row r="13503" spans="33:33">
      <c r="AG13503" s="10"/>
    </row>
    <row r="13504" spans="33:33">
      <c r="AG13504" s="10"/>
    </row>
    <row r="13505" spans="33:33">
      <c r="AG13505" s="10"/>
    </row>
    <row r="13506" spans="33:33">
      <c r="AG13506" s="10"/>
    </row>
    <row r="13507" spans="33:33">
      <c r="AG13507" s="10"/>
    </row>
    <row r="13508" spans="33:33">
      <c r="AG13508" s="10"/>
    </row>
    <row r="13509" spans="33:33">
      <c r="AG13509" s="10"/>
    </row>
    <row r="13510" spans="33:33">
      <c r="AG13510" s="10"/>
    </row>
    <row r="13511" spans="33:33">
      <c r="AG13511" s="10"/>
    </row>
    <row r="13512" spans="33:33">
      <c r="AG13512" s="10"/>
    </row>
    <row r="13513" spans="33:33">
      <c r="AG13513" s="10"/>
    </row>
    <row r="13514" spans="33:33">
      <c r="AG13514" s="10"/>
    </row>
    <row r="13515" spans="33:33">
      <c r="AG13515" s="10"/>
    </row>
    <row r="13516" spans="33:33">
      <c r="AG13516" s="10"/>
    </row>
    <row r="13517" spans="33:33">
      <c r="AG13517" s="10"/>
    </row>
    <row r="13518" spans="33:33">
      <c r="AG13518" s="10"/>
    </row>
    <row r="13519" spans="33:33">
      <c r="AG13519" s="10"/>
    </row>
    <row r="13520" spans="33:33">
      <c r="AG13520" s="10"/>
    </row>
    <row r="13521" spans="33:33">
      <c r="AG13521" s="10"/>
    </row>
    <row r="13522" spans="33:33">
      <c r="AG13522" s="10"/>
    </row>
    <row r="13523" spans="33:33">
      <c r="AG13523" s="10"/>
    </row>
    <row r="13524" spans="33:33">
      <c r="AG13524" s="10"/>
    </row>
    <row r="13525" spans="33:33">
      <c r="AG13525" s="10"/>
    </row>
    <row r="13526" spans="33:33">
      <c r="AG13526" s="10"/>
    </row>
    <row r="13527" spans="33:33">
      <c r="AG13527" s="10"/>
    </row>
    <row r="13528" spans="33:33">
      <c r="AG13528" s="10"/>
    </row>
    <row r="13529" spans="33:33">
      <c r="AG13529" s="10"/>
    </row>
    <row r="13530" spans="33:33">
      <c r="AG13530" s="10"/>
    </row>
    <row r="13531" spans="33:33">
      <c r="AG13531" s="10"/>
    </row>
    <row r="13532" spans="33:33">
      <c r="AG13532" s="10"/>
    </row>
    <row r="13533" spans="33:33">
      <c r="AG13533" s="10"/>
    </row>
    <row r="13534" spans="33:33">
      <c r="AG13534" s="10"/>
    </row>
    <row r="13535" spans="33:33">
      <c r="AG13535" s="10"/>
    </row>
    <row r="13536" spans="33:33">
      <c r="AG13536" s="10"/>
    </row>
    <row r="13537" spans="33:33">
      <c r="AG13537" s="10"/>
    </row>
    <row r="13538" spans="33:33">
      <c r="AG13538" s="10"/>
    </row>
    <row r="13539" spans="33:33">
      <c r="AG13539" s="10"/>
    </row>
    <row r="13540" spans="33:33">
      <c r="AG13540" s="10"/>
    </row>
    <row r="13541" spans="33:33">
      <c r="AG13541" s="10"/>
    </row>
    <row r="13542" spans="33:33">
      <c r="AG13542" s="10"/>
    </row>
    <row r="13543" spans="33:33">
      <c r="AG13543" s="10"/>
    </row>
    <row r="13544" spans="33:33">
      <c r="AG13544" s="10"/>
    </row>
    <row r="13545" spans="33:33">
      <c r="AG13545" s="10"/>
    </row>
    <row r="13546" spans="33:33">
      <c r="AG13546" s="10"/>
    </row>
    <row r="13547" spans="33:33">
      <c r="AG13547" s="10"/>
    </row>
    <row r="13548" spans="33:33">
      <c r="AG13548" s="10"/>
    </row>
    <row r="13549" spans="33:33">
      <c r="AG13549" s="10"/>
    </row>
    <row r="13550" spans="33:33">
      <c r="AG13550" s="10"/>
    </row>
    <row r="13551" spans="33:33">
      <c r="AG13551" s="10"/>
    </row>
    <row r="13552" spans="33:33">
      <c r="AG13552" s="10"/>
    </row>
    <row r="13553" spans="33:33">
      <c r="AG13553" s="10"/>
    </row>
    <row r="13554" spans="33:33">
      <c r="AG13554" s="10"/>
    </row>
    <row r="13555" spans="33:33">
      <c r="AG13555" s="10"/>
    </row>
    <row r="13556" spans="33:33">
      <c r="AG13556" s="10"/>
    </row>
    <row r="13557" spans="33:33">
      <c r="AG13557" s="10"/>
    </row>
    <row r="13558" spans="33:33">
      <c r="AG13558" s="10"/>
    </row>
    <row r="13559" spans="33:33">
      <c r="AG13559" s="10"/>
    </row>
    <row r="13560" spans="33:33">
      <c r="AG13560" s="10"/>
    </row>
    <row r="13561" spans="33:33">
      <c r="AG13561" s="10"/>
    </row>
    <row r="13562" spans="33:33">
      <c r="AG13562" s="10"/>
    </row>
    <row r="13563" spans="33:33">
      <c r="AG13563" s="10"/>
    </row>
    <row r="13564" spans="33:33">
      <c r="AG13564" s="10"/>
    </row>
    <row r="13565" spans="33:33">
      <c r="AG13565" s="10"/>
    </row>
    <row r="13566" spans="33:33">
      <c r="AG13566" s="10"/>
    </row>
    <row r="13567" spans="33:33">
      <c r="AG13567" s="10"/>
    </row>
    <row r="13568" spans="33:33">
      <c r="AG13568" s="10"/>
    </row>
    <row r="13569" spans="33:33">
      <c r="AG13569" s="10"/>
    </row>
    <row r="13570" spans="33:33">
      <c r="AG13570" s="10"/>
    </row>
    <row r="13571" spans="33:33">
      <c r="AG13571" s="10"/>
    </row>
    <row r="13572" spans="33:33">
      <c r="AG13572" s="10"/>
    </row>
    <row r="13573" spans="33:33">
      <c r="AG13573" s="10"/>
    </row>
    <row r="13574" spans="33:33">
      <c r="AG13574" s="10"/>
    </row>
    <row r="13575" spans="33:33">
      <c r="AG13575" s="10"/>
    </row>
    <row r="13576" spans="33:33">
      <c r="AG13576" s="10"/>
    </row>
    <row r="13577" spans="33:33">
      <c r="AG13577" s="10"/>
    </row>
    <row r="13578" spans="33:33">
      <c r="AG13578" s="10"/>
    </row>
    <row r="13579" spans="33:33">
      <c r="AG13579" s="10"/>
    </row>
    <row r="13580" spans="33:33">
      <c r="AG13580" s="10"/>
    </row>
    <row r="13581" spans="33:33">
      <c r="AG13581" s="10"/>
    </row>
    <row r="13582" spans="33:33">
      <c r="AG13582" s="10"/>
    </row>
    <row r="13583" spans="33:33">
      <c r="AG13583" s="10"/>
    </row>
    <row r="13584" spans="33:33">
      <c r="AG13584" s="10"/>
    </row>
    <row r="13585" spans="33:33">
      <c r="AG13585" s="10"/>
    </row>
    <row r="13586" spans="33:33">
      <c r="AG13586" s="10"/>
    </row>
    <row r="13587" spans="33:33">
      <c r="AG13587" s="10"/>
    </row>
    <row r="13588" spans="33:33">
      <c r="AG13588" s="10"/>
    </row>
    <row r="13589" spans="33:33">
      <c r="AG13589" s="10"/>
    </row>
    <row r="13590" spans="33:33">
      <c r="AG13590" s="10"/>
    </row>
    <row r="13591" spans="33:33">
      <c r="AG13591" s="10"/>
    </row>
    <row r="13592" spans="33:33">
      <c r="AG13592" s="10"/>
    </row>
    <row r="13593" spans="33:33">
      <c r="AG13593" s="10"/>
    </row>
    <row r="13594" spans="33:33">
      <c r="AG13594" s="10"/>
    </row>
    <row r="13595" spans="33:33">
      <c r="AG13595" s="10"/>
    </row>
    <row r="13596" spans="33:33">
      <c r="AG13596" s="10"/>
    </row>
    <row r="13597" spans="33:33">
      <c r="AG13597" s="10"/>
    </row>
    <row r="13598" spans="33:33">
      <c r="AG13598" s="10"/>
    </row>
    <row r="13599" spans="33:33">
      <c r="AG13599" s="10"/>
    </row>
    <row r="13600" spans="33:33">
      <c r="AG13600" s="10"/>
    </row>
    <row r="13601" spans="33:33">
      <c r="AG13601" s="10"/>
    </row>
    <row r="13602" spans="33:33">
      <c r="AG13602" s="10"/>
    </row>
    <row r="13603" spans="33:33">
      <c r="AG13603" s="10"/>
    </row>
    <row r="13604" spans="33:33">
      <c r="AG13604" s="10"/>
    </row>
    <row r="13605" spans="33:33">
      <c r="AG13605" s="10"/>
    </row>
    <row r="13606" spans="33:33">
      <c r="AG13606" s="10"/>
    </row>
    <row r="13607" spans="33:33">
      <c r="AG13607" s="10"/>
    </row>
    <row r="13608" spans="33:33">
      <c r="AG13608" s="10"/>
    </row>
    <row r="13609" spans="33:33">
      <c r="AG13609" s="10"/>
    </row>
    <row r="13610" spans="33:33">
      <c r="AG13610" s="10"/>
    </row>
    <row r="13611" spans="33:33">
      <c r="AG13611" s="10"/>
    </row>
    <row r="13612" spans="33:33">
      <c r="AG13612" s="10"/>
    </row>
    <row r="13613" spans="33:33">
      <c r="AG13613" s="10"/>
    </row>
    <row r="13614" spans="33:33">
      <c r="AG13614" s="10"/>
    </row>
    <row r="13615" spans="33:33">
      <c r="AG13615" s="10"/>
    </row>
    <row r="13616" spans="33:33">
      <c r="AG13616" s="10"/>
    </row>
    <row r="13617" spans="33:33">
      <c r="AG13617" s="10"/>
    </row>
    <row r="13618" spans="33:33">
      <c r="AG13618" s="10"/>
    </row>
    <row r="13619" spans="33:33">
      <c r="AG13619" s="10"/>
    </row>
    <row r="13620" spans="33:33">
      <c r="AG13620" s="10"/>
    </row>
    <row r="13621" spans="33:33">
      <c r="AG13621" s="10"/>
    </row>
    <row r="13622" spans="33:33">
      <c r="AG13622" s="10"/>
    </row>
    <row r="13623" spans="33:33">
      <c r="AG13623" s="10"/>
    </row>
    <row r="13624" spans="33:33">
      <c r="AG13624" s="10"/>
    </row>
    <row r="13625" spans="33:33">
      <c r="AG13625" s="10"/>
    </row>
    <row r="13626" spans="33:33">
      <c r="AG13626" s="10"/>
    </row>
    <row r="13627" spans="33:33">
      <c r="AG13627" s="10"/>
    </row>
    <row r="13628" spans="33:33">
      <c r="AG13628" s="10"/>
    </row>
    <row r="13629" spans="33:33">
      <c r="AG13629" s="10"/>
    </row>
    <row r="13630" spans="33:33">
      <c r="AG13630" s="10"/>
    </row>
    <row r="13631" spans="33:33">
      <c r="AG13631" s="10"/>
    </row>
    <row r="13632" spans="33:33">
      <c r="AG13632" s="10"/>
    </row>
    <row r="13633" spans="33:33">
      <c r="AG13633" s="10"/>
    </row>
    <row r="13634" spans="33:33">
      <c r="AG13634" s="10"/>
    </row>
    <row r="13635" spans="33:33">
      <c r="AG13635" s="10"/>
    </row>
    <row r="13636" spans="33:33">
      <c r="AG13636" s="10"/>
    </row>
    <row r="13637" spans="33:33">
      <c r="AG13637" s="10"/>
    </row>
    <row r="13638" spans="33:33">
      <c r="AG13638" s="10"/>
    </row>
    <row r="13639" spans="33:33">
      <c r="AG13639" s="10"/>
    </row>
    <row r="13640" spans="33:33">
      <c r="AG13640" s="10"/>
    </row>
    <row r="13641" spans="33:33">
      <c r="AG13641" s="10"/>
    </row>
    <row r="13642" spans="33:33">
      <c r="AG13642" s="10"/>
    </row>
    <row r="13643" spans="33:33">
      <c r="AG13643" s="10"/>
    </row>
    <row r="13644" spans="33:33">
      <c r="AG13644" s="10"/>
    </row>
    <row r="13645" spans="33:33">
      <c r="AG13645" s="10"/>
    </row>
    <row r="13646" spans="33:33">
      <c r="AG13646" s="10"/>
    </row>
    <row r="13647" spans="33:33">
      <c r="AG13647" s="10"/>
    </row>
    <row r="13648" spans="33:33">
      <c r="AG13648" s="10"/>
    </row>
    <row r="13649" spans="33:33">
      <c r="AG13649" s="10"/>
    </row>
    <row r="13650" spans="33:33">
      <c r="AG13650" s="10"/>
    </row>
    <row r="13651" spans="33:33">
      <c r="AG13651" s="10"/>
    </row>
    <row r="13652" spans="33:33">
      <c r="AG13652" s="10"/>
    </row>
    <row r="13653" spans="33:33">
      <c r="AG13653" s="10"/>
    </row>
    <row r="13654" spans="33:33">
      <c r="AG13654" s="10"/>
    </row>
    <row r="13655" spans="33:33">
      <c r="AG13655" s="10"/>
    </row>
    <row r="13656" spans="33:33">
      <c r="AG13656" s="10"/>
    </row>
    <row r="13657" spans="33:33">
      <c r="AG13657" s="10"/>
    </row>
    <row r="13658" spans="33:33">
      <c r="AG13658" s="10"/>
    </row>
    <row r="13659" spans="33:33">
      <c r="AG13659" s="10"/>
    </row>
    <row r="13660" spans="33:33">
      <c r="AG13660" s="10"/>
    </row>
    <row r="13661" spans="33:33">
      <c r="AG13661" s="10"/>
    </row>
    <row r="13662" spans="33:33">
      <c r="AG13662" s="10"/>
    </row>
    <row r="13663" spans="33:33">
      <c r="AG13663" s="10"/>
    </row>
    <row r="13664" spans="33:33">
      <c r="AG13664" s="10"/>
    </row>
    <row r="13665" spans="33:33">
      <c r="AG13665" s="10"/>
    </row>
    <row r="13666" spans="33:33">
      <c r="AG13666" s="10"/>
    </row>
    <row r="13667" spans="33:33">
      <c r="AG13667" s="10"/>
    </row>
    <row r="13668" spans="33:33">
      <c r="AG13668" s="10"/>
    </row>
    <row r="13669" spans="33:33">
      <c r="AG13669" s="10"/>
    </row>
    <row r="13670" spans="33:33">
      <c r="AG13670" s="10"/>
    </row>
    <row r="13671" spans="33:33">
      <c r="AG13671" s="10"/>
    </row>
    <row r="13672" spans="33:33">
      <c r="AG13672" s="10"/>
    </row>
    <row r="13673" spans="33:33">
      <c r="AG13673" s="10"/>
    </row>
    <row r="13674" spans="33:33">
      <c r="AG13674" s="10"/>
    </row>
    <row r="13675" spans="33:33">
      <c r="AG13675" s="10"/>
    </row>
    <row r="13676" spans="33:33">
      <c r="AG13676" s="10"/>
    </row>
    <row r="13677" spans="33:33">
      <c r="AG13677" s="10"/>
    </row>
    <row r="13678" spans="33:33">
      <c r="AG13678" s="10"/>
    </row>
    <row r="13679" spans="33:33">
      <c r="AG13679" s="10"/>
    </row>
    <row r="13680" spans="33:33">
      <c r="AG13680" s="10"/>
    </row>
    <row r="13681" spans="33:33">
      <c r="AG13681" s="10"/>
    </row>
    <row r="13682" spans="33:33">
      <c r="AG13682" s="10"/>
    </row>
    <row r="13683" spans="33:33">
      <c r="AG13683" s="10"/>
    </row>
    <row r="13684" spans="33:33">
      <c r="AG13684" s="10"/>
    </row>
    <row r="13685" spans="33:33">
      <c r="AG13685" s="10"/>
    </row>
    <row r="13686" spans="33:33">
      <c r="AG13686" s="10"/>
    </row>
    <row r="13687" spans="33:33">
      <c r="AG13687" s="10"/>
    </row>
    <row r="13688" spans="33:33">
      <c r="AG13688" s="10"/>
    </row>
    <row r="13689" spans="33:33">
      <c r="AG13689" s="10"/>
    </row>
    <row r="13690" spans="33:33">
      <c r="AG13690" s="10"/>
    </row>
    <row r="13691" spans="33:33">
      <c r="AG13691" s="10"/>
    </row>
    <row r="13692" spans="33:33">
      <c r="AG13692" s="10"/>
    </row>
    <row r="13693" spans="33:33">
      <c r="AG13693" s="10"/>
    </row>
    <row r="13694" spans="33:33">
      <c r="AG13694" s="10"/>
    </row>
    <row r="13695" spans="33:33">
      <c r="AG13695" s="10"/>
    </row>
    <row r="13696" spans="33:33">
      <c r="AG13696" s="10"/>
    </row>
    <row r="13697" spans="33:33">
      <c r="AG13697" s="10"/>
    </row>
    <row r="13698" spans="33:33">
      <c r="AG13698" s="10"/>
    </row>
    <row r="13699" spans="33:33">
      <c r="AG13699" s="10"/>
    </row>
    <row r="13700" spans="33:33">
      <c r="AG13700" s="10"/>
    </row>
    <row r="13701" spans="33:33">
      <c r="AG13701" s="10"/>
    </row>
    <row r="13702" spans="33:33">
      <c r="AG13702" s="10"/>
    </row>
    <row r="13703" spans="33:33">
      <c r="AG13703" s="10"/>
    </row>
    <row r="13704" spans="33:33">
      <c r="AG13704" s="10"/>
    </row>
    <row r="13705" spans="33:33">
      <c r="AG13705" s="10"/>
    </row>
    <row r="13706" spans="33:33">
      <c r="AG13706" s="10"/>
    </row>
    <row r="13707" spans="33:33">
      <c r="AG13707" s="10"/>
    </row>
    <row r="13708" spans="33:33">
      <c r="AG13708" s="10"/>
    </row>
    <row r="13709" spans="33:33">
      <c r="AG13709" s="10"/>
    </row>
    <row r="13710" spans="33:33">
      <c r="AG13710" s="10"/>
    </row>
    <row r="13711" spans="33:33">
      <c r="AG13711" s="10"/>
    </row>
    <row r="13712" spans="33:33">
      <c r="AG13712" s="10"/>
    </row>
    <row r="13713" spans="33:33">
      <c r="AG13713" s="10"/>
    </row>
    <row r="13714" spans="33:33">
      <c r="AG13714" s="10"/>
    </row>
    <row r="13715" spans="33:33">
      <c r="AG13715" s="10"/>
    </row>
    <row r="13716" spans="33:33">
      <c r="AG13716" s="10"/>
    </row>
    <row r="13717" spans="33:33">
      <c r="AG13717" s="10"/>
    </row>
    <row r="13718" spans="33:33">
      <c r="AG13718" s="10"/>
    </row>
    <row r="13719" spans="33:33">
      <c r="AG13719" s="10"/>
    </row>
    <row r="13720" spans="33:33">
      <c r="AG13720" s="10"/>
    </row>
    <row r="13721" spans="33:33">
      <c r="AG13721" s="10"/>
    </row>
    <row r="13722" spans="33:33">
      <c r="AG13722" s="10"/>
    </row>
    <row r="13723" spans="33:33">
      <c r="AG13723" s="10"/>
    </row>
    <row r="13724" spans="33:33">
      <c r="AG13724" s="10"/>
    </row>
    <row r="13725" spans="33:33">
      <c r="AG13725" s="10"/>
    </row>
    <row r="13726" spans="33:33">
      <c r="AG13726" s="10"/>
    </row>
    <row r="13727" spans="33:33">
      <c r="AG13727" s="10"/>
    </row>
    <row r="13728" spans="33:33">
      <c r="AG13728" s="10"/>
    </row>
    <row r="13729" spans="33:33">
      <c r="AG13729" s="10"/>
    </row>
    <row r="13730" spans="33:33">
      <c r="AG13730" s="10"/>
    </row>
    <row r="13731" spans="33:33">
      <c r="AG13731" s="10"/>
    </row>
    <row r="13732" spans="33:33">
      <c r="AG13732" s="10"/>
    </row>
    <row r="13733" spans="33:33">
      <c r="AG13733" s="10"/>
    </row>
    <row r="13734" spans="33:33">
      <c r="AG13734" s="10"/>
    </row>
    <row r="13735" spans="33:33">
      <c r="AG13735" s="10"/>
    </row>
    <row r="13736" spans="33:33">
      <c r="AG13736" s="10"/>
    </row>
    <row r="13737" spans="33:33">
      <c r="AG13737" s="10"/>
    </row>
    <row r="13738" spans="33:33">
      <c r="AG13738" s="10"/>
    </row>
    <row r="13739" spans="33:33">
      <c r="AG13739" s="10"/>
    </row>
    <row r="13740" spans="33:33">
      <c r="AG13740" s="10"/>
    </row>
    <row r="13741" spans="33:33">
      <c r="AG13741" s="10"/>
    </row>
    <row r="13742" spans="33:33">
      <c r="AG13742" s="10"/>
    </row>
    <row r="13743" spans="33:33">
      <c r="AG13743" s="10"/>
    </row>
    <row r="13744" spans="33:33">
      <c r="AG13744" s="10"/>
    </row>
    <row r="13745" spans="33:33">
      <c r="AG13745" s="10"/>
    </row>
    <row r="13746" spans="33:33">
      <c r="AG13746" s="10"/>
    </row>
    <row r="13747" spans="33:33">
      <c r="AG13747" s="10"/>
    </row>
    <row r="13748" spans="33:33">
      <c r="AG13748" s="10"/>
    </row>
    <row r="13749" spans="33:33">
      <c r="AG13749" s="10"/>
    </row>
    <row r="13750" spans="33:33">
      <c r="AG13750" s="10"/>
    </row>
    <row r="13751" spans="33:33">
      <c r="AG13751" s="10"/>
    </row>
    <row r="13752" spans="33:33">
      <c r="AG13752" s="10"/>
    </row>
    <row r="13753" spans="33:33">
      <c r="AG13753" s="10"/>
    </row>
    <row r="13754" spans="33:33">
      <c r="AG13754" s="10"/>
    </row>
    <row r="13755" spans="33:33">
      <c r="AG13755" s="10"/>
    </row>
    <row r="13756" spans="33:33">
      <c r="AG13756" s="10"/>
    </row>
    <row r="13757" spans="33:33">
      <c r="AG13757" s="10"/>
    </row>
    <row r="13758" spans="33:33">
      <c r="AG13758" s="10"/>
    </row>
    <row r="13759" spans="33:33">
      <c r="AG13759" s="10"/>
    </row>
    <row r="13760" spans="33:33">
      <c r="AG13760" s="10"/>
    </row>
    <row r="13761" spans="33:33">
      <c r="AG13761" s="10"/>
    </row>
    <row r="13762" spans="33:33">
      <c r="AG13762" s="10"/>
    </row>
    <row r="13763" spans="33:33">
      <c r="AG13763" s="10"/>
    </row>
    <row r="13764" spans="33:33">
      <c r="AG13764" s="10"/>
    </row>
    <row r="13765" spans="33:33">
      <c r="AG13765" s="10"/>
    </row>
    <row r="13766" spans="33:33">
      <c r="AG13766" s="10"/>
    </row>
    <row r="13767" spans="33:33">
      <c r="AG13767" s="10"/>
    </row>
    <row r="13768" spans="33:33">
      <c r="AG13768" s="10"/>
    </row>
    <row r="13769" spans="33:33">
      <c r="AG13769" s="10"/>
    </row>
    <row r="13770" spans="33:33">
      <c r="AG13770" s="10"/>
    </row>
    <row r="13771" spans="33:33">
      <c r="AG13771" s="10"/>
    </row>
    <row r="13772" spans="33:33">
      <c r="AG13772" s="10"/>
    </row>
    <row r="13773" spans="33:33">
      <c r="AG13773" s="10"/>
    </row>
    <row r="13774" spans="33:33">
      <c r="AG13774" s="10"/>
    </row>
    <row r="13775" spans="33:33">
      <c r="AG13775" s="10"/>
    </row>
    <row r="13776" spans="33:33">
      <c r="AG13776" s="10"/>
    </row>
    <row r="13777" spans="33:33">
      <c r="AG13777" s="10"/>
    </row>
    <row r="13778" spans="33:33">
      <c r="AG13778" s="10"/>
    </row>
    <row r="13779" spans="33:33">
      <c r="AG13779" s="10"/>
    </row>
    <row r="13780" spans="33:33">
      <c r="AG13780" s="10"/>
    </row>
    <row r="13781" spans="33:33">
      <c r="AG13781" s="10"/>
    </row>
    <row r="13782" spans="33:33">
      <c r="AG13782" s="10"/>
    </row>
    <row r="13783" spans="33:33">
      <c r="AG13783" s="10"/>
    </row>
    <row r="13784" spans="33:33">
      <c r="AG13784" s="10"/>
    </row>
    <row r="13785" spans="33:33">
      <c r="AG13785" s="10"/>
    </row>
    <row r="13786" spans="33:33">
      <c r="AG13786" s="10"/>
    </row>
    <row r="13787" spans="33:33">
      <c r="AG13787" s="10"/>
    </row>
    <row r="13788" spans="33:33">
      <c r="AG13788" s="10"/>
    </row>
    <row r="13789" spans="33:33">
      <c r="AG13789" s="10"/>
    </row>
    <row r="13790" spans="33:33">
      <c r="AG13790" s="10"/>
    </row>
    <row r="13791" spans="33:33">
      <c r="AG13791" s="10"/>
    </row>
    <row r="13792" spans="33:33">
      <c r="AG13792" s="10"/>
    </row>
    <row r="13793" spans="33:33">
      <c r="AG13793" s="10"/>
    </row>
    <row r="13794" spans="33:33">
      <c r="AG13794" s="10"/>
    </row>
    <row r="13795" spans="33:33">
      <c r="AG13795" s="10"/>
    </row>
    <row r="13796" spans="33:33">
      <c r="AG13796" s="10"/>
    </row>
    <row r="13797" spans="33:33">
      <c r="AG13797" s="10"/>
    </row>
    <row r="13798" spans="33:33">
      <c r="AG13798" s="10"/>
    </row>
    <row r="13799" spans="33:33">
      <c r="AG13799" s="10"/>
    </row>
    <row r="13800" spans="33:33">
      <c r="AG13800" s="10"/>
    </row>
    <row r="13801" spans="33:33">
      <c r="AG13801" s="10"/>
    </row>
    <row r="13802" spans="33:33">
      <c r="AG13802" s="10"/>
    </row>
    <row r="13803" spans="33:33">
      <c r="AG13803" s="10"/>
    </row>
    <row r="13804" spans="33:33">
      <c r="AG13804" s="10"/>
    </row>
    <row r="13805" spans="33:33">
      <c r="AG13805" s="10"/>
    </row>
    <row r="13806" spans="33:33">
      <c r="AG13806" s="10"/>
    </row>
    <row r="13807" spans="33:33">
      <c r="AG13807" s="10"/>
    </row>
    <row r="13808" spans="33:33">
      <c r="AG13808" s="10"/>
    </row>
    <row r="13809" spans="33:33">
      <c r="AG13809" s="10"/>
    </row>
    <row r="13810" spans="33:33">
      <c r="AG13810" s="10"/>
    </row>
    <row r="13811" spans="33:33">
      <c r="AG13811" s="10"/>
    </row>
    <row r="13812" spans="33:33">
      <c r="AG13812" s="10"/>
    </row>
    <row r="13813" spans="33:33">
      <c r="AG13813" s="10"/>
    </row>
    <row r="13814" spans="33:33">
      <c r="AG13814" s="10"/>
    </row>
    <row r="13815" spans="33:33">
      <c r="AG13815" s="10"/>
    </row>
    <row r="13816" spans="33:33">
      <c r="AG13816" s="10"/>
    </row>
    <row r="13817" spans="33:33">
      <c r="AG13817" s="10"/>
    </row>
    <row r="13818" spans="33:33">
      <c r="AG13818" s="10"/>
    </row>
    <row r="13819" spans="33:33">
      <c r="AG13819" s="10"/>
    </row>
    <row r="13820" spans="33:33">
      <c r="AG13820" s="10"/>
    </row>
    <row r="13821" spans="33:33">
      <c r="AG13821" s="10"/>
    </row>
    <row r="13822" spans="33:33">
      <c r="AG13822" s="10"/>
    </row>
    <row r="13823" spans="33:33">
      <c r="AG13823" s="10"/>
    </row>
    <row r="13824" spans="33:33">
      <c r="AG13824" s="10"/>
    </row>
    <row r="13825" spans="33:33">
      <c r="AG13825" s="10"/>
    </row>
    <row r="13826" spans="33:33">
      <c r="AG13826" s="10"/>
    </row>
    <row r="13827" spans="33:33">
      <c r="AG13827" s="10"/>
    </row>
    <row r="13828" spans="33:33">
      <c r="AG13828" s="10"/>
    </row>
    <row r="13829" spans="33:33">
      <c r="AG13829" s="10"/>
    </row>
    <row r="13830" spans="33:33">
      <c r="AG13830" s="10"/>
    </row>
    <row r="13831" spans="33:33">
      <c r="AG13831" s="10"/>
    </row>
    <row r="13832" spans="33:33">
      <c r="AG13832" s="10"/>
    </row>
    <row r="13833" spans="33:33">
      <c r="AG13833" s="10"/>
    </row>
    <row r="13834" spans="33:33">
      <c r="AG13834" s="10"/>
    </row>
    <row r="13835" spans="33:33">
      <c r="AG13835" s="10"/>
    </row>
    <row r="13836" spans="33:33">
      <c r="AG13836" s="10"/>
    </row>
    <row r="13837" spans="33:33">
      <c r="AG13837" s="10"/>
    </row>
    <row r="13838" spans="33:33">
      <c r="AG13838" s="10"/>
    </row>
    <row r="13839" spans="33:33">
      <c r="AG13839" s="10"/>
    </row>
    <row r="13840" spans="33:33">
      <c r="AG13840" s="10"/>
    </row>
    <row r="13841" spans="33:33">
      <c r="AG13841" s="10"/>
    </row>
    <row r="13842" spans="33:33">
      <c r="AG13842" s="10"/>
    </row>
    <row r="13843" spans="33:33">
      <c r="AG13843" s="10"/>
    </row>
    <row r="13844" spans="33:33">
      <c r="AG13844" s="10"/>
    </row>
    <row r="13845" spans="33:33">
      <c r="AG13845" s="10"/>
    </row>
    <row r="13846" spans="33:33">
      <c r="AG13846" s="10"/>
    </row>
    <row r="13847" spans="33:33">
      <c r="AG13847" s="10"/>
    </row>
    <row r="13848" spans="33:33">
      <c r="AG13848" s="10"/>
    </row>
    <row r="13849" spans="33:33">
      <c r="AG13849" s="10"/>
    </row>
    <row r="13850" spans="33:33">
      <c r="AG13850" s="10"/>
    </row>
    <row r="13851" spans="33:33">
      <c r="AG13851" s="10"/>
    </row>
    <row r="13852" spans="33:33">
      <c r="AG13852" s="10"/>
    </row>
    <row r="13853" spans="33:33">
      <c r="AG13853" s="10"/>
    </row>
    <row r="13854" spans="33:33">
      <c r="AG13854" s="10"/>
    </row>
    <row r="13855" spans="33:33">
      <c r="AG13855" s="10"/>
    </row>
    <row r="13856" spans="33:33">
      <c r="AG13856" s="10"/>
    </row>
    <row r="13857" spans="33:33">
      <c r="AG13857" s="10"/>
    </row>
    <row r="13858" spans="33:33">
      <c r="AG13858" s="10"/>
    </row>
    <row r="13859" spans="33:33">
      <c r="AG13859" s="10"/>
    </row>
    <row r="13860" spans="33:33">
      <c r="AG13860" s="10"/>
    </row>
    <row r="13861" spans="33:33">
      <c r="AG13861" s="10"/>
    </row>
    <row r="13862" spans="33:33">
      <c r="AG13862" s="10"/>
    </row>
    <row r="13863" spans="33:33">
      <c r="AG13863" s="10"/>
    </row>
    <row r="13864" spans="33:33">
      <c r="AG13864" s="10"/>
    </row>
    <row r="13865" spans="33:33">
      <c r="AG13865" s="10"/>
    </row>
    <row r="13866" spans="33:33">
      <c r="AG13866" s="10"/>
    </row>
    <row r="13867" spans="33:33">
      <c r="AG13867" s="10"/>
    </row>
    <row r="13868" spans="33:33">
      <c r="AG13868" s="10"/>
    </row>
    <row r="13869" spans="33:33">
      <c r="AG13869" s="10"/>
    </row>
    <row r="13870" spans="33:33">
      <c r="AG13870" s="10"/>
    </row>
    <row r="13871" spans="33:33">
      <c r="AG13871" s="10"/>
    </row>
    <row r="13872" spans="33:33">
      <c r="AG13872" s="10"/>
    </row>
    <row r="13873" spans="33:33">
      <c r="AG13873" s="10"/>
    </row>
    <row r="13874" spans="33:33">
      <c r="AG13874" s="10"/>
    </row>
    <row r="13875" spans="33:33">
      <c r="AG13875" s="10"/>
    </row>
    <row r="13876" spans="33:33">
      <c r="AG13876" s="10"/>
    </row>
    <row r="13877" spans="33:33">
      <c r="AG13877" s="10"/>
    </row>
    <row r="13878" spans="33:33">
      <c r="AG13878" s="10"/>
    </row>
    <row r="13879" spans="33:33">
      <c r="AG13879" s="10"/>
    </row>
    <row r="13880" spans="33:33">
      <c r="AG13880" s="10"/>
    </row>
    <row r="13881" spans="33:33">
      <c r="AG13881" s="10"/>
    </row>
    <row r="13882" spans="33:33">
      <c r="AG13882" s="10"/>
    </row>
    <row r="13883" spans="33:33">
      <c r="AG13883" s="10"/>
    </row>
    <row r="13884" spans="33:33">
      <c r="AG13884" s="10"/>
    </row>
    <row r="13885" spans="33:33">
      <c r="AG13885" s="10"/>
    </row>
    <row r="13886" spans="33:33">
      <c r="AG13886" s="10"/>
    </row>
    <row r="13887" spans="33:33">
      <c r="AG13887" s="10"/>
    </row>
    <row r="13888" spans="33:33">
      <c r="AG13888" s="10"/>
    </row>
    <row r="13889" spans="33:33">
      <c r="AG13889" s="10"/>
    </row>
    <row r="13890" spans="33:33">
      <c r="AG13890" s="10"/>
    </row>
    <row r="13891" spans="33:33">
      <c r="AG13891" s="10"/>
    </row>
    <row r="13892" spans="33:33">
      <c r="AG13892" s="10"/>
    </row>
    <row r="13893" spans="33:33">
      <c r="AG13893" s="10"/>
    </row>
    <row r="13894" spans="33:33">
      <c r="AG13894" s="10"/>
    </row>
    <row r="13895" spans="33:33">
      <c r="AG13895" s="10"/>
    </row>
    <row r="13896" spans="33:33">
      <c r="AG13896" s="10"/>
    </row>
    <row r="13897" spans="33:33">
      <c r="AG13897" s="10"/>
    </row>
    <row r="13898" spans="33:33">
      <c r="AG13898" s="10"/>
    </row>
    <row r="13899" spans="33:33">
      <c r="AG13899" s="10"/>
    </row>
    <row r="13900" spans="33:33">
      <c r="AG13900" s="10"/>
    </row>
    <row r="13901" spans="33:33">
      <c r="AG13901" s="10"/>
    </row>
    <row r="13902" spans="33:33">
      <c r="AG13902" s="10"/>
    </row>
    <row r="13903" spans="33:33">
      <c r="AG13903" s="10"/>
    </row>
    <row r="13904" spans="33:33">
      <c r="AG13904" s="10"/>
    </row>
    <row r="13905" spans="33:33">
      <c r="AG13905" s="10"/>
    </row>
    <row r="13906" spans="33:33">
      <c r="AG13906" s="10"/>
    </row>
    <row r="13907" spans="33:33">
      <c r="AG13907" s="10"/>
    </row>
    <row r="13908" spans="33:33">
      <c r="AG13908" s="10"/>
    </row>
    <row r="13909" spans="33:33">
      <c r="AG13909" s="10"/>
    </row>
    <row r="13910" spans="33:33">
      <c r="AG13910" s="10"/>
    </row>
    <row r="13911" spans="33:33">
      <c r="AG13911" s="10"/>
    </row>
    <row r="13912" spans="33:33">
      <c r="AG13912" s="10"/>
    </row>
    <row r="13913" spans="33:33">
      <c r="AG13913" s="10"/>
    </row>
    <row r="13914" spans="33:33">
      <c r="AG13914" s="10"/>
    </row>
    <row r="13915" spans="33:33">
      <c r="AG13915" s="10"/>
    </row>
    <row r="13916" spans="33:33">
      <c r="AG13916" s="10"/>
    </row>
    <row r="13917" spans="33:33">
      <c r="AG13917" s="10"/>
    </row>
    <row r="13918" spans="33:33">
      <c r="AG13918" s="10"/>
    </row>
    <row r="13919" spans="33:33">
      <c r="AG13919" s="10"/>
    </row>
    <row r="13920" spans="33:33">
      <c r="AG13920" s="10"/>
    </row>
    <row r="13921" spans="33:33">
      <c r="AG13921" s="10"/>
    </row>
    <row r="13922" spans="33:33">
      <c r="AG13922" s="10"/>
    </row>
    <row r="13923" spans="33:33">
      <c r="AG13923" s="10"/>
    </row>
    <row r="13924" spans="33:33">
      <c r="AG13924" s="10"/>
    </row>
    <row r="13925" spans="33:33">
      <c r="AG13925" s="10"/>
    </row>
    <row r="13926" spans="33:33">
      <c r="AG13926" s="10"/>
    </row>
    <row r="13927" spans="33:33">
      <c r="AG13927" s="10"/>
    </row>
    <row r="13928" spans="33:33">
      <c r="AG13928" s="10"/>
    </row>
    <row r="13929" spans="33:33">
      <c r="AG13929" s="10"/>
    </row>
    <row r="13930" spans="33:33">
      <c r="AG13930" s="10"/>
    </row>
    <row r="13931" spans="33:33">
      <c r="AG13931" s="10"/>
    </row>
    <row r="13932" spans="33:33">
      <c r="AG13932" s="10"/>
    </row>
    <row r="13933" spans="33:33">
      <c r="AG13933" s="10"/>
    </row>
    <row r="13934" spans="33:33">
      <c r="AG13934" s="10"/>
    </row>
    <row r="13935" spans="33:33">
      <c r="AG13935" s="10"/>
    </row>
    <row r="13936" spans="33:33">
      <c r="AG13936" s="10"/>
    </row>
    <row r="13937" spans="33:33">
      <c r="AG13937" s="10"/>
    </row>
    <row r="13938" spans="33:33">
      <c r="AG13938" s="10"/>
    </row>
    <row r="13939" spans="33:33">
      <c r="AG13939" s="10"/>
    </row>
    <row r="13940" spans="33:33">
      <c r="AG13940" s="10"/>
    </row>
    <row r="13941" spans="33:33">
      <c r="AG13941" s="10"/>
    </row>
    <row r="13942" spans="33:33">
      <c r="AG13942" s="10"/>
    </row>
    <row r="13943" spans="33:33">
      <c r="AG13943" s="10"/>
    </row>
    <row r="13944" spans="33:33">
      <c r="AG13944" s="10"/>
    </row>
    <row r="13945" spans="33:33">
      <c r="AG13945" s="10"/>
    </row>
    <row r="13946" spans="33:33">
      <c r="AG13946" s="10"/>
    </row>
    <row r="13947" spans="33:33">
      <c r="AG13947" s="10"/>
    </row>
    <row r="13948" spans="33:33">
      <c r="AG13948" s="10"/>
    </row>
    <row r="13949" spans="33:33">
      <c r="AG13949" s="10"/>
    </row>
    <row r="13950" spans="33:33">
      <c r="AG13950" s="10"/>
    </row>
    <row r="13951" spans="33:33">
      <c r="AG13951" s="10"/>
    </row>
    <row r="13952" spans="33:33">
      <c r="AG13952" s="10"/>
    </row>
    <row r="13953" spans="33:33">
      <c r="AG13953" s="10"/>
    </row>
    <row r="13954" spans="33:33">
      <c r="AG13954" s="10"/>
    </row>
    <row r="13955" spans="33:33">
      <c r="AG13955" s="10"/>
    </row>
    <row r="13956" spans="33:33">
      <c r="AG13956" s="10"/>
    </row>
    <row r="13957" spans="33:33">
      <c r="AG13957" s="10"/>
    </row>
    <row r="13958" spans="33:33">
      <c r="AG13958" s="10"/>
    </row>
    <row r="13959" spans="33:33">
      <c r="AG13959" s="10"/>
    </row>
    <row r="13960" spans="33:33">
      <c r="AG13960" s="10"/>
    </row>
    <row r="13961" spans="33:33">
      <c r="AG13961" s="10"/>
    </row>
    <row r="13962" spans="33:33">
      <c r="AG13962" s="10"/>
    </row>
    <row r="13963" spans="33:33">
      <c r="AG13963" s="10"/>
    </row>
    <row r="13964" spans="33:33">
      <c r="AG13964" s="10"/>
    </row>
    <row r="13965" spans="33:33">
      <c r="AG13965" s="10"/>
    </row>
    <row r="13966" spans="33:33">
      <c r="AG13966" s="10"/>
    </row>
    <row r="13967" spans="33:33">
      <c r="AG13967" s="10"/>
    </row>
    <row r="13968" spans="33:33">
      <c r="AG13968" s="10"/>
    </row>
    <row r="13969" spans="33:33">
      <c r="AG13969" s="10"/>
    </row>
    <row r="13970" spans="33:33">
      <c r="AG13970" s="10"/>
    </row>
    <row r="13971" spans="33:33">
      <c r="AG13971" s="10"/>
    </row>
    <row r="13972" spans="33:33">
      <c r="AG13972" s="10"/>
    </row>
    <row r="13973" spans="33:33">
      <c r="AG13973" s="10"/>
    </row>
    <row r="13974" spans="33:33">
      <c r="AG13974" s="10"/>
    </row>
    <row r="13975" spans="33:33">
      <c r="AG13975" s="10"/>
    </row>
    <row r="13976" spans="33:33">
      <c r="AG13976" s="10"/>
    </row>
    <row r="13977" spans="33:33">
      <c r="AG13977" s="10"/>
    </row>
    <row r="13978" spans="33:33">
      <c r="AG13978" s="10"/>
    </row>
    <row r="13979" spans="33:33">
      <c r="AG13979" s="10"/>
    </row>
    <row r="13980" spans="33:33">
      <c r="AG13980" s="10"/>
    </row>
    <row r="13981" spans="33:33">
      <c r="AG13981" s="10"/>
    </row>
    <row r="13982" spans="33:33">
      <c r="AG13982" s="10"/>
    </row>
    <row r="13983" spans="33:33">
      <c r="AG13983" s="10"/>
    </row>
    <row r="13984" spans="33:33">
      <c r="AG13984" s="10"/>
    </row>
    <row r="13985" spans="33:33">
      <c r="AG13985" s="10"/>
    </row>
    <row r="13986" spans="33:33">
      <c r="AG13986" s="10"/>
    </row>
    <row r="13987" spans="33:33">
      <c r="AG13987" s="10"/>
    </row>
    <row r="13988" spans="33:33">
      <c r="AG13988" s="10"/>
    </row>
    <row r="13989" spans="33:33">
      <c r="AG13989" s="10"/>
    </row>
    <row r="13990" spans="33:33">
      <c r="AG13990" s="10"/>
    </row>
    <row r="13991" spans="33:33">
      <c r="AG13991" s="10"/>
    </row>
    <row r="13992" spans="33:33">
      <c r="AG13992" s="10"/>
    </row>
    <row r="13993" spans="33:33">
      <c r="AG13993" s="10"/>
    </row>
    <row r="13994" spans="33:33">
      <c r="AG13994" s="10"/>
    </row>
    <row r="13995" spans="33:33">
      <c r="AG13995" s="10"/>
    </row>
    <row r="13996" spans="33:33">
      <c r="AG13996" s="10"/>
    </row>
    <row r="13997" spans="33:33">
      <c r="AG13997" s="10"/>
    </row>
    <row r="13998" spans="33:33">
      <c r="AG13998" s="10"/>
    </row>
    <row r="13999" spans="33:33">
      <c r="AG13999" s="10"/>
    </row>
    <row r="14000" spans="33:33">
      <c r="AG14000" s="10"/>
    </row>
    <row r="14001" spans="33:33">
      <c r="AG14001" s="10"/>
    </row>
    <row r="14002" spans="33:33">
      <c r="AG14002" s="10"/>
    </row>
    <row r="14003" spans="33:33">
      <c r="AG14003" s="10"/>
    </row>
    <row r="14004" spans="33:33">
      <c r="AG14004" s="10"/>
    </row>
    <row r="14005" spans="33:33">
      <c r="AG14005" s="10"/>
    </row>
    <row r="14006" spans="33:33">
      <c r="AG14006" s="10"/>
    </row>
    <row r="14007" spans="33:33">
      <c r="AG14007" s="10"/>
    </row>
    <row r="14008" spans="33:33">
      <c r="AG14008" s="10"/>
    </row>
    <row r="14009" spans="33:33">
      <c r="AG14009" s="10"/>
    </row>
    <row r="14010" spans="33:33">
      <c r="AG14010" s="10"/>
    </row>
    <row r="14011" spans="33:33">
      <c r="AG14011" s="10"/>
    </row>
    <row r="14012" spans="33:33">
      <c r="AG14012" s="10"/>
    </row>
    <row r="14013" spans="33:33">
      <c r="AG14013" s="10"/>
    </row>
    <row r="14014" spans="33:33">
      <c r="AG14014" s="10"/>
    </row>
    <row r="14015" spans="33:33">
      <c r="AG14015" s="10"/>
    </row>
    <row r="14016" spans="33:33">
      <c r="AG14016" s="10"/>
    </row>
    <row r="14017" spans="33:33">
      <c r="AG14017" s="10"/>
    </row>
    <row r="14018" spans="33:33">
      <c r="AG14018" s="10"/>
    </row>
    <row r="14019" spans="33:33">
      <c r="AG14019" s="10"/>
    </row>
    <row r="14020" spans="33:33">
      <c r="AG14020" s="10"/>
    </row>
    <row r="14021" spans="33:33">
      <c r="AG14021" s="10"/>
    </row>
    <row r="14022" spans="33:33">
      <c r="AG14022" s="10"/>
    </row>
    <row r="14023" spans="33:33">
      <c r="AG14023" s="10"/>
    </row>
    <row r="14024" spans="33:33">
      <c r="AG14024" s="10"/>
    </row>
    <row r="14025" spans="33:33">
      <c r="AG14025" s="10"/>
    </row>
    <row r="14026" spans="33:33">
      <c r="AG14026" s="10"/>
    </row>
    <row r="14027" spans="33:33">
      <c r="AG14027" s="10"/>
    </row>
    <row r="14028" spans="33:33">
      <c r="AG14028" s="10"/>
    </row>
    <row r="14029" spans="33:33">
      <c r="AG14029" s="10"/>
    </row>
    <row r="14030" spans="33:33">
      <c r="AG14030" s="10"/>
    </row>
    <row r="14031" spans="33:33">
      <c r="AG14031" s="10"/>
    </row>
    <row r="14032" spans="33:33">
      <c r="AG14032" s="10"/>
    </row>
    <row r="14033" spans="33:33">
      <c r="AG14033" s="10"/>
    </row>
    <row r="14034" spans="33:33">
      <c r="AG14034" s="10"/>
    </row>
    <row r="14035" spans="33:33">
      <c r="AG14035" s="10"/>
    </row>
    <row r="14036" spans="33:33">
      <c r="AG14036" s="10"/>
    </row>
    <row r="14037" spans="33:33">
      <c r="AG14037" s="10"/>
    </row>
    <row r="14038" spans="33:33">
      <c r="AG14038" s="10"/>
    </row>
    <row r="14039" spans="33:33">
      <c r="AG14039" s="10"/>
    </row>
    <row r="14040" spans="33:33">
      <c r="AG14040" s="10"/>
    </row>
    <row r="14041" spans="33:33">
      <c r="AG14041" s="10"/>
    </row>
    <row r="14042" spans="33:33">
      <c r="AG14042" s="10"/>
    </row>
    <row r="14043" spans="33:33">
      <c r="AG14043" s="10"/>
    </row>
    <row r="14044" spans="33:33">
      <c r="AG14044" s="10"/>
    </row>
    <row r="14045" spans="33:33">
      <c r="AG14045" s="10"/>
    </row>
    <row r="14046" spans="33:33">
      <c r="AG14046" s="10"/>
    </row>
    <row r="14047" spans="33:33">
      <c r="AG14047" s="10"/>
    </row>
    <row r="14048" spans="33:33">
      <c r="AG14048" s="10"/>
    </row>
    <row r="14049" spans="33:33">
      <c r="AG14049" s="10"/>
    </row>
    <row r="14050" spans="33:33">
      <c r="AG14050" s="10"/>
    </row>
    <row r="14051" spans="33:33">
      <c r="AG14051" s="10"/>
    </row>
    <row r="14052" spans="33:33">
      <c r="AG14052" s="10"/>
    </row>
    <row r="14053" spans="33:33">
      <c r="AG14053" s="10"/>
    </row>
    <row r="14054" spans="33:33">
      <c r="AG14054" s="10"/>
    </row>
    <row r="14055" spans="33:33">
      <c r="AG14055" s="10"/>
    </row>
    <row r="14056" spans="33:33">
      <c r="AG14056" s="10"/>
    </row>
    <row r="14057" spans="33:33">
      <c r="AG14057" s="10"/>
    </row>
    <row r="14058" spans="33:33">
      <c r="AG14058" s="10"/>
    </row>
    <row r="14059" spans="33:33">
      <c r="AG14059" s="10"/>
    </row>
    <row r="14060" spans="33:33">
      <c r="AG14060" s="10"/>
    </row>
    <row r="14061" spans="33:33">
      <c r="AG14061" s="10"/>
    </row>
    <row r="14062" spans="33:33">
      <c r="AG14062" s="10"/>
    </row>
    <row r="14063" spans="33:33">
      <c r="AG14063" s="10"/>
    </row>
    <row r="14064" spans="33:33">
      <c r="AG14064" s="10"/>
    </row>
    <row r="14065" spans="33:33">
      <c r="AG14065" s="10"/>
    </row>
    <row r="14066" spans="33:33">
      <c r="AG14066" s="10"/>
    </row>
    <row r="14067" spans="33:33">
      <c r="AG14067" s="10"/>
    </row>
    <row r="14068" spans="33:33">
      <c r="AG14068" s="10"/>
    </row>
    <row r="14069" spans="33:33">
      <c r="AG14069" s="10"/>
    </row>
    <row r="14070" spans="33:33">
      <c r="AG14070" s="10"/>
    </row>
    <row r="14071" spans="33:33">
      <c r="AG14071" s="10"/>
    </row>
    <row r="14072" spans="33:33">
      <c r="AG14072" s="10"/>
    </row>
    <row r="14073" spans="33:33">
      <c r="AG14073" s="10"/>
    </row>
    <row r="14074" spans="33:33">
      <c r="AG14074" s="10"/>
    </row>
    <row r="14075" spans="33:33">
      <c r="AG14075" s="10"/>
    </row>
    <row r="14076" spans="33:33">
      <c r="AG14076" s="10"/>
    </row>
    <row r="14077" spans="33:33">
      <c r="AG14077" s="10"/>
    </row>
    <row r="14078" spans="33:33">
      <c r="AG14078" s="10"/>
    </row>
    <row r="14079" spans="33:33">
      <c r="AG14079" s="10"/>
    </row>
    <row r="14080" spans="33:33">
      <c r="AG14080" s="10"/>
    </row>
    <row r="14081" spans="33:33">
      <c r="AG14081" s="10"/>
    </row>
    <row r="14082" spans="33:33">
      <c r="AG14082" s="10"/>
    </row>
    <row r="14083" spans="33:33">
      <c r="AG14083" s="10"/>
    </row>
    <row r="14084" spans="33:33">
      <c r="AG14084" s="10"/>
    </row>
    <row r="14085" spans="33:33">
      <c r="AG14085" s="10"/>
    </row>
    <row r="14086" spans="33:33">
      <c r="AG14086" s="10"/>
    </row>
    <row r="14087" spans="33:33">
      <c r="AG14087" s="10"/>
    </row>
    <row r="14088" spans="33:33">
      <c r="AG14088" s="10"/>
    </row>
    <row r="14089" spans="33:33">
      <c r="AG14089" s="10"/>
    </row>
    <row r="14090" spans="33:33">
      <c r="AG14090" s="10"/>
    </row>
    <row r="14091" spans="33:33">
      <c r="AG14091" s="10"/>
    </row>
    <row r="14092" spans="33:33">
      <c r="AG14092" s="10"/>
    </row>
    <row r="14093" spans="33:33">
      <c r="AG14093" s="10"/>
    </row>
    <row r="14094" spans="33:33">
      <c r="AG14094" s="10"/>
    </row>
    <row r="14095" spans="33:33">
      <c r="AG14095" s="10"/>
    </row>
    <row r="14096" spans="33:33">
      <c r="AG14096" s="10"/>
    </row>
    <row r="14097" spans="33:33">
      <c r="AG14097" s="10"/>
    </row>
    <row r="14098" spans="33:33">
      <c r="AG14098" s="10"/>
    </row>
    <row r="14099" spans="33:33">
      <c r="AG14099" s="10"/>
    </row>
    <row r="14100" spans="33:33">
      <c r="AG14100" s="10"/>
    </row>
    <row r="14101" spans="33:33">
      <c r="AG14101" s="10"/>
    </row>
    <row r="14102" spans="33:33">
      <c r="AG14102" s="10"/>
    </row>
    <row r="14103" spans="33:33">
      <c r="AG14103" s="10"/>
    </row>
    <row r="14104" spans="33:33">
      <c r="AG14104" s="10"/>
    </row>
    <row r="14105" spans="33:33">
      <c r="AG14105" s="10"/>
    </row>
    <row r="14106" spans="33:33">
      <c r="AG14106" s="10"/>
    </row>
    <row r="14107" spans="33:33">
      <c r="AG14107" s="10"/>
    </row>
    <row r="14108" spans="33:33">
      <c r="AG14108" s="10"/>
    </row>
    <row r="14109" spans="33:33">
      <c r="AG14109" s="10"/>
    </row>
    <row r="14110" spans="33:33">
      <c r="AG14110" s="10"/>
    </row>
    <row r="14111" spans="33:33">
      <c r="AG14111" s="10"/>
    </row>
    <row r="14112" spans="33:33">
      <c r="AG14112" s="10"/>
    </row>
    <row r="14113" spans="33:33">
      <c r="AG14113" s="10"/>
    </row>
    <row r="14114" spans="33:33">
      <c r="AG14114" s="10"/>
    </row>
    <row r="14115" spans="33:33">
      <c r="AG14115" s="10"/>
    </row>
    <row r="14116" spans="33:33">
      <c r="AG14116" s="10"/>
    </row>
    <row r="14117" spans="33:33">
      <c r="AG14117" s="10"/>
    </row>
    <row r="14118" spans="33:33">
      <c r="AG14118" s="10"/>
    </row>
    <row r="14119" spans="33:33">
      <c r="AG14119" s="10"/>
    </row>
    <row r="14120" spans="33:33">
      <c r="AG14120" s="10"/>
    </row>
    <row r="14121" spans="33:33">
      <c r="AG14121" s="10"/>
    </row>
    <row r="14122" spans="33:33">
      <c r="AG14122" s="10"/>
    </row>
    <row r="14123" spans="33:33">
      <c r="AG14123" s="10"/>
    </row>
    <row r="14124" spans="33:33">
      <c r="AG14124" s="10"/>
    </row>
    <row r="14125" spans="33:33">
      <c r="AG14125" s="10"/>
    </row>
    <row r="14126" spans="33:33">
      <c r="AG14126" s="10"/>
    </row>
    <row r="14127" spans="33:33">
      <c r="AG14127" s="10"/>
    </row>
    <row r="14128" spans="33:33">
      <c r="AG14128" s="10"/>
    </row>
    <row r="14129" spans="33:33">
      <c r="AG14129" s="10"/>
    </row>
    <row r="14130" spans="33:33">
      <c r="AG14130" s="10"/>
    </row>
    <row r="14131" spans="33:33">
      <c r="AG14131" s="10"/>
    </row>
    <row r="14132" spans="33:33">
      <c r="AG14132" s="10"/>
    </row>
    <row r="14133" spans="33:33">
      <c r="AG14133" s="10"/>
    </row>
    <row r="14134" spans="33:33">
      <c r="AG14134" s="10"/>
    </row>
    <row r="14135" spans="33:33">
      <c r="AG14135" s="10"/>
    </row>
    <row r="14136" spans="33:33">
      <c r="AG14136" s="10"/>
    </row>
    <row r="14137" spans="33:33">
      <c r="AG14137" s="10"/>
    </row>
    <row r="14138" spans="33:33">
      <c r="AG14138" s="10"/>
    </row>
    <row r="14139" spans="33:33">
      <c r="AG14139" s="10"/>
    </row>
    <row r="14140" spans="33:33">
      <c r="AG14140" s="10"/>
    </row>
    <row r="14141" spans="33:33">
      <c r="AG14141" s="10"/>
    </row>
    <row r="14142" spans="33:33">
      <c r="AG14142" s="10"/>
    </row>
    <row r="14143" spans="33:33">
      <c r="AG14143" s="10"/>
    </row>
    <row r="14144" spans="33:33">
      <c r="AG14144" s="10"/>
    </row>
    <row r="14145" spans="33:33">
      <c r="AG14145" s="10"/>
    </row>
    <row r="14146" spans="33:33">
      <c r="AG14146" s="10"/>
    </row>
    <row r="14147" spans="33:33">
      <c r="AG14147" s="10"/>
    </row>
    <row r="14148" spans="33:33">
      <c r="AG14148" s="10"/>
    </row>
    <row r="14149" spans="33:33">
      <c r="AG14149" s="10"/>
    </row>
    <row r="14150" spans="33:33">
      <c r="AG14150" s="10"/>
    </row>
    <row r="14151" spans="33:33">
      <c r="AG14151" s="10"/>
    </row>
    <row r="14152" spans="33:33">
      <c r="AG14152" s="10"/>
    </row>
    <row r="14153" spans="33:33">
      <c r="AG14153" s="10"/>
    </row>
    <row r="14154" spans="33:33">
      <c r="AG14154" s="10"/>
    </row>
    <row r="14155" spans="33:33">
      <c r="AG14155" s="10"/>
    </row>
    <row r="14156" spans="33:33">
      <c r="AG14156" s="10"/>
    </row>
    <row r="14157" spans="33:33">
      <c r="AG14157" s="10"/>
    </row>
    <row r="14158" spans="33:33">
      <c r="AG14158" s="10"/>
    </row>
    <row r="14159" spans="33:33">
      <c r="AG14159" s="10"/>
    </row>
    <row r="14160" spans="33:33">
      <c r="AG14160" s="10"/>
    </row>
    <row r="14161" spans="33:33">
      <c r="AG14161" s="10"/>
    </row>
    <row r="14162" spans="33:33">
      <c r="AG14162" s="10"/>
    </row>
    <row r="14163" spans="33:33">
      <c r="AG14163" s="10"/>
    </row>
    <row r="14164" spans="33:33">
      <c r="AG14164" s="10"/>
    </row>
    <row r="14165" spans="33:33">
      <c r="AG14165" s="10"/>
    </row>
    <row r="14166" spans="33:33">
      <c r="AG14166" s="10"/>
    </row>
    <row r="14167" spans="33:33">
      <c r="AG14167" s="10"/>
    </row>
    <row r="14168" spans="33:33">
      <c r="AG14168" s="10"/>
    </row>
    <row r="14169" spans="33:33">
      <c r="AG14169" s="10"/>
    </row>
    <row r="14170" spans="33:33">
      <c r="AG14170" s="10"/>
    </row>
    <row r="14171" spans="33:33">
      <c r="AG14171" s="10"/>
    </row>
    <row r="14172" spans="33:33">
      <c r="AG14172" s="10"/>
    </row>
    <row r="14173" spans="33:33">
      <c r="AG14173" s="10"/>
    </row>
    <row r="14174" spans="33:33">
      <c r="AG14174" s="10"/>
    </row>
    <row r="14175" spans="33:33">
      <c r="AG14175" s="10"/>
    </row>
    <row r="14176" spans="33:33">
      <c r="AG14176" s="10"/>
    </row>
    <row r="14177" spans="33:33">
      <c r="AG14177" s="10"/>
    </row>
    <row r="14178" spans="33:33">
      <c r="AG14178" s="10"/>
    </row>
    <row r="14179" spans="33:33">
      <c r="AG14179" s="10"/>
    </row>
    <row r="14180" spans="33:33">
      <c r="AG14180" s="10"/>
    </row>
    <row r="14181" spans="33:33">
      <c r="AG14181" s="10"/>
    </row>
    <row r="14182" spans="33:33">
      <c r="AG14182" s="10"/>
    </row>
    <row r="14183" spans="33:33">
      <c r="AG14183" s="10"/>
    </row>
    <row r="14184" spans="33:33">
      <c r="AG14184" s="10"/>
    </row>
    <row r="14185" spans="33:33">
      <c r="AG14185" s="10"/>
    </row>
    <row r="14186" spans="33:33">
      <c r="AG14186" s="10"/>
    </row>
    <row r="14187" spans="33:33">
      <c r="AG14187" s="10"/>
    </row>
    <row r="14188" spans="33:33">
      <c r="AG14188" s="10"/>
    </row>
    <row r="14189" spans="33:33">
      <c r="AG14189" s="10"/>
    </row>
    <row r="14190" spans="33:33">
      <c r="AG14190" s="10"/>
    </row>
    <row r="14191" spans="33:33">
      <c r="AG14191" s="10"/>
    </row>
    <row r="14192" spans="33:33">
      <c r="AG14192" s="10"/>
    </row>
    <row r="14193" spans="33:33">
      <c r="AG14193" s="10"/>
    </row>
    <row r="14194" spans="33:33">
      <c r="AG14194" s="10"/>
    </row>
    <row r="14195" spans="33:33">
      <c r="AG14195" s="10"/>
    </row>
    <row r="14196" spans="33:33">
      <c r="AG14196" s="10"/>
    </row>
    <row r="14197" spans="33:33">
      <c r="AG14197" s="10"/>
    </row>
    <row r="14198" spans="33:33">
      <c r="AG14198" s="10"/>
    </row>
    <row r="14199" spans="33:33">
      <c r="AG14199" s="10"/>
    </row>
    <row r="14200" spans="33:33">
      <c r="AG14200" s="10"/>
    </row>
    <row r="14201" spans="33:33">
      <c r="AG14201" s="10"/>
    </row>
    <row r="14202" spans="33:33">
      <c r="AG14202" s="10"/>
    </row>
    <row r="14203" spans="33:33">
      <c r="AG14203" s="10"/>
    </row>
    <row r="14204" spans="33:33">
      <c r="AG14204" s="10"/>
    </row>
    <row r="14205" spans="33:33">
      <c r="AG14205" s="10"/>
    </row>
    <row r="14206" spans="33:33">
      <c r="AG14206" s="10"/>
    </row>
    <row r="14207" spans="33:33">
      <c r="AG14207" s="10"/>
    </row>
    <row r="14208" spans="33:33">
      <c r="AG14208" s="10"/>
    </row>
    <row r="14209" spans="33:33">
      <c r="AG14209" s="10"/>
    </row>
    <row r="14210" spans="33:33">
      <c r="AG14210" s="10"/>
    </row>
    <row r="14211" spans="33:33">
      <c r="AG14211" s="10"/>
    </row>
    <row r="14212" spans="33:33">
      <c r="AG14212" s="10"/>
    </row>
    <row r="14213" spans="33:33">
      <c r="AG14213" s="10"/>
    </row>
    <row r="14214" spans="33:33">
      <c r="AG14214" s="10"/>
    </row>
    <row r="14215" spans="33:33">
      <c r="AG14215" s="10"/>
    </row>
    <row r="14216" spans="33:33">
      <c r="AG14216" s="10"/>
    </row>
    <row r="14217" spans="33:33">
      <c r="AG14217" s="10"/>
    </row>
    <row r="14218" spans="33:33">
      <c r="AG14218" s="10"/>
    </row>
    <row r="14219" spans="33:33">
      <c r="AG14219" s="10"/>
    </row>
    <row r="14220" spans="33:33">
      <c r="AG14220" s="10"/>
    </row>
    <row r="14221" spans="33:33">
      <c r="AG14221" s="10"/>
    </row>
    <row r="14222" spans="33:33">
      <c r="AG14222" s="10"/>
    </row>
    <row r="14223" spans="33:33">
      <c r="AG14223" s="10"/>
    </row>
    <row r="14224" spans="33:33">
      <c r="AG14224" s="10"/>
    </row>
    <row r="14225" spans="33:33">
      <c r="AG14225" s="10"/>
    </row>
    <row r="14226" spans="33:33">
      <c r="AG14226" s="10"/>
    </row>
    <row r="14227" spans="33:33">
      <c r="AG14227" s="10"/>
    </row>
    <row r="14228" spans="33:33">
      <c r="AG14228" s="10"/>
    </row>
    <row r="14229" spans="33:33">
      <c r="AG14229" s="10"/>
    </row>
    <row r="14230" spans="33:33">
      <c r="AG14230" s="10"/>
    </row>
    <row r="14231" spans="33:33">
      <c r="AG14231" s="10"/>
    </row>
    <row r="14232" spans="33:33">
      <c r="AG14232" s="10"/>
    </row>
    <row r="14233" spans="33:33">
      <c r="AG14233" s="10"/>
    </row>
    <row r="14234" spans="33:33">
      <c r="AG14234" s="10"/>
    </row>
    <row r="14235" spans="33:33">
      <c r="AG14235" s="10"/>
    </row>
    <row r="14236" spans="33:33">
      <c r="AG14236" s="10"/>
    </row>
    <row r="14237" spans="33:33">
      <c r="AG14237" s="10"/>
    </row>
    <row r="14238" spans="33:33">
      <c r="AG14238" s="10"/>
    </row>
    <row r="14239" spans="33:33">
      <c r="AG14239" s="10"/>
    </row>
    <row r="14240" spans="33:33">
      <c r="AG14240" s="10"/>
    </row>
    <row r="14241" spans="33:33">
      <c r="AG14241" s="10"/>
    </row>
    <row r="14242" spans="33:33">
      <c r="AG14242" s="10"/>
    </row>
    <row r="14243" spans="33:33">
      <c r="AG14243" s="10"/>
    </row>
    <row r="14244" spans="33:33">
      <c r="AG14244" s="10"/>
    </row>
    <row r="14245" spans="33:33">
      <c r="AG14245" s="10"/>
    </row>
    <row r="14246" spans="33:33">
      <c r="AG14246" s="10"/>
    </row>
    <row r="14247" spans="33:33">
      <c r="AG14247" s="10"/>
    </row>
    <row r="14248" spans="33:33">
      <c r="AG14248" s="10"/>
    </row>
    <row r="14249" spans="33:33">
      <c r="AG14249" s="10"/>
    </row>
    <row r="14250" spans="33:33">
      <c r="AG14250" s="10"/>
    </row>
    <row r="14251" spans="33:33">
      <c r="AG14251" s="10"/>
    </row>
    <row r="14252" spans="33:33">
      <c r="AG14252" s="10"/>
    </row>
    <row r="14253" spans="33:33">
      <c r="AG14253" s="10"/>
    </row>
    <row r="14254" spans="33:33">
      <c r="AG14254" s="10"/>
    </row>
    <row r="14255" spans="33:33">
      <c r="AG14255" s="10"/>
    </row>
    <row r="14256" spans="33:33">
      <c r="AG14256" s="10"/>
    </row>
    <row r="14257" spans="33:33">
      <c r="AG14257" s="10"/>
    </row>
    <row r="14258" spans="33:33">
      <c r="AG14258" s="10"/>
    </row>
    <row r="14259" spans="33:33">
      <c r="AG14259" s="10"/>
    </row>
    <row r="14260" spans="33:33">
      <c r="AG14260" s="10"/>
    </row>
    <row r="14261" spans="33:33">
      <c r="AG14261" s="10"/>
    </row>
    <row r="14262" spans="33:33">
      <c r="AG14262" s="10"/>
    </row>
    <row r="14263" spans="33:33">
      <c r="AG14263" s="10"/>
    </row>
    <row r="14264" spans="33:33">
      <c r="AG14264" s="10"/>
    </row>
    <row r="14265" spans="33:33">
      <c r="AG14265" s="10"/>
    </row>
    <row r="14266" spans="33:33">
      <c r="AG14266" s="10"/>
    </row>
    <row r="14267" spans="33:33">
      <c r="AG14267" s="10"/>
    </row>
    <row r="14268" spans="33:33">
      <c r="AG14268" s="10"/>
    </row>
    <row r="14269" spans="33:33">
      <c r="AG14269" s="10"/>
    </row>
    <row r="14270" spans="33:33">
      <c r="AG14270" s="10"/>
    </row>
    <row r="14271" spans="33:33">
      <c r="AG14271" s="10"/>
    </row>
    <row r="14272" spans="33:33">
      <c r="AG14272" s="10"/>
    </row>
    <row r="14273" spans="33:33">
      <c r="AG14273" s="10"/>
    </row>
    <row r="14274" spans="33:33">
      <c r="AG14274" s="10"/>
    </row>
    <row r="14275" spans="33:33">
      <c r="AG14275" s="10"/>
    </row>
    <row r="14276" spans="33:33">
      <c r="AG14276" s="10"/>
    </row>
    <row r="14277" spans="33:33">
      <c r="AG14277" s="10"/>
    </row>
    <row r="14278" spans="33:33">
      <c r="AG14278" s="10"/>
    </row>
    <row r="14279" spans="33:33">
      <c r="AG14279" s="10"/>
    </row>
    <row r="14280" spans="33:33">
      <c r="AG14280" s="10"/>
    </row>
    <row r="14281" spans="33:33">
      <c r="AG14281" s="10"/>
    </row>
    <row r="14282" spans="33:33">
      <c r="AG14282" s="10"/>
    </row>
    <row r="14283" spans="33:33">
      <c r="AG14283" s="10"/>
    </row>
    <row r="14284" spans="33:33">
      <c r="AG14284" s="10"/>
    </row>
    <row r="14285" spans="33:33">
      <c r="AG14285" s="10"/>
    </row>
    <row r="14286" spans="33:33">
      <c r="AG14286" s="10"/>
    </row>
    <row r="14287" spans="33:33">
      <c r="AG14287" s="10"/>
    </row>
    <row r="14288" spans="33:33">
      <c r="AG14288" s="10"/>
    </row>
    <row r="14289" spans="33:33">
      <c r="AG14289" s="10"/>
    </row>
    <row r="14290" spans="33:33">
      <c r="AG14290" s="10"/>
    </row>
    <row r="14291" spans="33:33">
      <c r="AG14291" s="10"/>
    </row>
    <row r="14292" spans="33:33">
      <c r="AG14292" s="10"/>
    </row>
    <row r="14293" spans="33:33">
      <c r="AG14293" s="10"/>
    </row>
    <row r="14294" spans="33:33">
      <c r="AG14294" s="10"/>
    </row>
    <row r="14295" spans="33:33">
      <c r="AG14295" s="10"/>
    </row>
    <row r="14296" spans="33:33">
      <c r="AG14296" s="10"/>
    </row>
    <row r="14297" spans="33:33">
      <c r="AG14297" s="10"/>
    </row>
    <row r="14298" spans="33:33">
      <c r="AG14298" s="10"/>
    </row>
    <row r="14299" spans="33:33">
      <c r="AG14299" s="10"/>
    </row>
    <row r="14300" spans="33:33">
      <c r="AG14300" s="10"/>
    </row>
    <row r="14301" spans="33:33">
      <c r="AG14301" s="10"/>
    </row>
    <row r="14302" spans="33:33">
      <c r="AG14302" s="10"/>
    </row>
    <row r="14303" spans="33:33">
      <c r="AG14303" s="10"/>
    </row>
    <row r="14304" spans="33:33">
      <c r="AG14304" s="10"/>
    </row>
    <row r="14305" spans="33:33">
      <c r="AG14305" s="10"/>
    </row>
    <row r="14306" spans="33:33">
      <c r="AG14306" s="10"/>
    </row>
    <row r="14307" spans="33:33">
      <c r="AG14307" s="10"/>
    </row>
    <row r="14308" spans="33:33">
      <c r="AG14308" s="10"/>
    </row>
    <row r="14309" spans="33:33">
      <c r="AG14309" s="10"/>
    </row>
    <row r="14310" spans="33:33">
      <c r="AG14310" s="10"/>
    </row>
    <row r="14311" spans="33:33">
      <c r="AG14311" s="10"/>
    </row>
    <row r="14312" spans="33:33">
      <c r="AG14312" s="10"/>
    </row>
    <row r="14313" spans="33:33">
      <c r="AG14313" s="10"/>
    </row>
    <row r="14314" spans="33:33">
      <c r="AG14314" s="10"/>
    </row>
    <row r="14315" spans="33:33">
      <c r="AG14315" s="10"/>
    </row>
    <row r="14316" spans="33:33">
      <c r="AG14316" s="10"/>
    </row>
    <row r="14317" spans="33:33">
      <c r="AG14317" s="10"/>
    </row>
    <row r="14318" spans="33:33">
      <c r="AG14318" s="10"/>
    </row>
    <row r="14319" spans="33:33">
      <c r="AG14319" s="10"/>
    </row>
    <row r="14320" spans="33:33">
      <c r="AG14320" s="10"/>
    </row>
    <row r="14321" spans="33:33">
      <c r="AG14321" s="10"/>
    </row>
    <row r="14322" spans="33:33">
      <c r="AG14322" s="10"/>
    </row>
    <row r="14323" spans="33:33">
      <c r="AG14323" s="10"/>
    </row>
    <row r="14324" spans="33:33">
      <c r="AG14324" s="10"/>
    </row>
    <row r="14325" spans="33:33">
      <c r="AG14325" s="10"/>
    </row>
    <row r="14326" spans="33:33">
      <c r="AG14326" s="10"/>
    </row>
    <row r="14327" spans="33:33">
      <c r="AG14327" s="10"/>
    </row>
    <row r="14328" spans="33:33">
      <c r="AG14328" s="10"/>
    </row>
    <row r="14329" spans="33:33">
      <c r="AG14329" s="10"/>
    </row>
    <row r="14330" spans="33:33">
      <c r="AG14330" s="10"/>
    </row>
    <row r="14331" spans="33:33">
      <c r="AG14331" s="10"/>
    </row>
    <row r="14332" spans="33:33">
      <c r="AG14332" s="10"/>
    </row>
    <row r="14333" spans="33:33">
      <c r="AG14333" s="10"/>
    </row>
    <row r="14334" spans="33:33">
      <c r="AG14334" s="10"/>
    </row>
    <row r="14335" spans="33:33">
      <c r="AG14335" s="10"/>
    </row>
    <row r="14336" spans="33:33">
      <c r="AG14336" s="10"/>
    </row>
    <row r="14337" spans="33:33">
      <c r="AG14337" s="10"/>
    </row>
    <row r="14338" spans="33:33">
      <c r="AG14338" s="10"/>
    </row>
    <row r="14339" spans="33:33">
      <c r="AG14339" s="10"/>
    </row>
    <row r="14340" spans="33:33">
      <c r="AG14340" s="10"/>
    </row>
    <row r="14341" spans="33:33">
      <c r="AG14341" s="10"/>
    </row>
    <row r="14342" spans="33:33">
      <c r="AG14342" s="10"/>
    </row>
    <row r="14343" spans="33:33">
      <c r="AG14343" s="10"/>
    </row>
    <row r="14344" spans="33:33">
      <c r="AG14344" s="10"/>
    </row>
    <row r="14345" spans="33:33">
      <c r="AG14345" s="10"/>
    </row>
    <row r="14346" spans="33:33">
      <c r="AG14346" s="10"/>
    </row>
    <row r="14347" spans="33:33">
      <c r="AG14347" s="10"/>
    </row>
    <row r="14348" spans="33:33">
      <c r="AG14348" s="10"/>
    </row>
    <row r="14349" spans="33:33">
      <c r="AG14349" s="10"/>
    </row>
    <row r="14350" spans="33:33">
      <c r="AG14350" s="10"/>
    </row>
    <row r="14351" spans="33:33">
      <c r="AG14351" s="10"/>
    </row>
    <row r="14352" spans="33:33">
      <c r="AG14352" s="10"/>
    </row>
    <row r="14353" spans="33:33">
      <c r="AG14353" s="10"/>
    </row>
    <row r="14354" spans="33:33">
      <c r="AG14354" s="10"/>
    </row>
    <row r="14355" spans="33:33">
      <c r="AG14355" s="10"/>
    </row>
    <row r="14356" spans="33:33">
      <c r="AG14356" s="10"/>
    </row>
    <row r="14357" spans="33:33">
      <c r="AG14357" s="10"/>
    </row>
    <row r="14358" spans="33:33">
      <c r="AG14358" s="10"/>
    </row>
    <row r="14359" spans="33:33">
      <c r="AG14359" s="10"/>
    </row>
    <row r="14360" spans="33:33">
      <c r="AG14360" s="10"/>
    </row>
    <row r="14361" spans="33:33">
      <c r="AG14361" s="10"/>
    </row>
    <row r="14362" spans="33:33">
      <c r="AG14362" s="10"/>
    </row>
    <row r="14363" spans="33:33">
      <c r="AG14363" s="10"/>
    </row>
    <row r="14364" spans="33:33">
      <c r="AG14364" s="10"/>
    </row>
    <row r="14365" spans="33:33">
      <c r="AG14365" s="10"/>
    </row>
    <row r="14366" spans="33:33">
      <c r="AG14366" s="10"/>
    </row>
    <row r="14367" spans="33:33">
      <c r="AG14367" s="10"/>
    </row>
    <row r="14368" spans="33:33">
      <c r="AG14368" s="10"/>
    </row>
    <row r="14369" spans="33:33">
      <c r="AG14369" s="10"/>
    </row>
    <row r="14370" spans="33:33">
      <c r="AG14370" s="10"/>
    </row>
    <row r="14371" spans="33:33">
      <c r="AG14371" s="10"/>
    </row>
    <row r="14372" spans="33:33">
      <c r="AG14372" s="10"/>
    </row>
    <row r="14373" spans="33:33">
      <c r="AG14373" s="10"/>
    </row>
    <row r="14374" spans="33:33">
      <c r="AG14374" s="10"/>
    </row>
    <row r="14375" spans="33:33">
      <c r="AG14375" s="10"/>
    </row>
    <row r="14376" spans="33:33">
      <c r="AG14376" s="10"/>
    </row>
    <row r="14377" spans="33:33">
      <c r="AG14377" s="10"/>
    </row>
    <row r="14378" spans="33:33">
      <c r="AG14378" s="10"/>
    </row>
    <row r="14379" spans="33:33">
      <c r="AG14379" s="10"/>
    </row>
    <row r="14380" spans="33:33">
      <c r="AG14380" s="10"/>
    </row>
    <row r="14381" spans="33:33">
      <c r="AG14381" s="10"/>
    </row>
    <row r="14382" spans="33:33">
      <c r="AG14382" s="10"/>
    </row>
    <row r="14383" spans="33:33">
      <c r="AG14383" s="10"/>
    </row>
    <row r="14384" spans="33:33">
      <c r="AG14384" s="10"/>
    </row>
    <row r="14385" spans="33:33">
      <c r="AG14385" s="10"/>
    </row>
    <row r="14386" spans="33:33">
      <c r="AG14386" s="10"/>
    </row>
    <row r="14387" spans="33:33">
      <c r="AG14387" s="10"/>
    </row>
    <row r="14388" spans="33:33">
      <c r="AG14388" s="10"/>
    </row>
    <row r="14389" spans="33:33">
      <c r="AG14389" s="10"/>
    </row>
    <row r="14390" spans="33:33">
      <c r="AG14390" s="10"/>
    </row>
    <row r="14391" spans="33:33">
      <c r="AG14391" s="10"/>
    </row>
    <row r="14392" spans="33:33">
      <c r="AG14392" s="10"/>
    </row>
    <row r="14393" spans="33:33">
      <c r="AG14393" s="10"/>
    </row>
    <row r="14394" spans="33:33">
      <c r="AG14394" s="10"/>
    </row>
    <row r="14395" spans="33:33">
      <c r="AG14395" s="10"/>
    </row>
    <row r="14396" spans="33:33">
      <c r="AG14396" s="10"/>
    </row>
    <row r="14397" spans="33:33">
      <c r="AG14397" s="10"/>
    </row>
    <row r="14398" spans="33:33">
      <c r="AG14398" s="10"/>
    </row>
    <row r="14399" spans="33:33">
      <c r="AG14399" s="10"/>
    </row>
    <row r="14400" spans="33:33">
      <c r="AG14400" s="10"/>
    </row>
    <row r="14401" spans="33:33">
      <c r="AG14401" s="10"/>
    </row>
    <row r="14402" spans="33:33">
      <c r="AG14402" s="10"/>
    </row>
    <row r="14403" spans="33:33">
      <c r="AG14403" s="10"/>
    </row>
    <row r="14404" spans="33:33">
      <c r="AG14404" s="10"/>
    </row>
    <row r="14405" spans="33:33">
      <c r="AG14405" s="10"/>
    </row>
    <row r="14406" spans="33:33">
      <c r="AG14406" s="10"/>
    </row>
    <row r="14407" spans="33:33">
      <c r="AG14407" s="10"/>
    </row>
    <row r="14408" spans="33:33">
      <c r="AG14408" s="10"/>
    </row>
    <row r="14409" spans="33:33">
      <c r="AG14409" s="10"/>
    </row>
    <row r="14410" spans="33:33">
      <c r="AG14410" s="10"/>
    </row>
    <row r="14411" spans="33:33">
      <c r="AG14411" s="10"/>
    </row>
    <row r="14412" spans="33:33">
      <c r="AG14412" s="10"/>
    </row>
    <row r="14413" spans="33:33">
      <c r="AG14413" s="10"/>
    </row>
    <row r="14414" spans="33:33">
      <c r="AG14414" s="10"/>
    </row>
    <row r="14415" spans="33:33">
      <c r="AG14415" s="10"/>
    </row>
    <row r="14416" spans="33:33">
      <c r="AG14416" s="10"/>
    </row>
    <row r="14417" spans="33:33">
      <c r="AG14417" s="10"/>
    </row>
    <row r="14418" spans="33:33">
      <c r="AG14418" s="10"/>
    </row>
    <row r="14419" spans="33:33">
      <c r="AG14419" s="10"/>
    </row>
    <row r="14420" spans="33:33">
      <c r="AG14420" s="10"/>
    </row>
    <row r="14421" spans="33:33">
      <c r="AG14421" s="10"/>
    </row>
    <row r="14422" spans="33:33">
      <c r="AG14422" s="10"/>
    </row>
    <row r="14423" spans="33:33">
      <c r="AG14423" s="10"/>
    </row>
    <row r="14424" spans="33:33">
      <c r="AG14424" s="10"/>
    </row>
    <row r="14425" spans="33:33">
      <c r="AG14425" s="10"/>
    </row>
    <row r="14426" spans="33:33">
      <c r="AG14426" s="10"/>
    </row>
    <row r="14427" spans="33:33">
      <c r="AG14427" s="10"/>
    </row>
    <row r="14428" spans="33:33">
      <c r="AG14428" s="10"/>
    </row>
    <row r="14429" spans="33:33">
      <c r="AG14429" s="10"/>
    </row>
    <row r="14430" spans="33:33">
      <c r="AG14430" s="10"/>
    </row>
    <row r="14431" spans="33:33">
      <c r="AG14431" s="10"/>
    </row>
    <row r="14432" spans="33:33">
      <c r="AG14432" s="10"/>
    </row>
    <row r="14433" spans="33:33">
      <c r="AG14433" s="10"/>
    </row>
    <row r="14434" spans="33:33">
      <c r="AG14434" s="10"/>
    </row>
    <row r="14435" spans="33:33">
      <c r="AG14435" s="10"/>
    </row>
    <row r="14436" spans="33:33">
      <c r="AG14436" s="10"/>
    </row>
    <row r="14437" spans="33:33">
      <c r="AG14437" s="10"/>
    </row>
    <row r="14438" spans="33:33">
      <c r="AG14438" s="10"/>
    </row>
    <row r="14439" spans="33:33">
      <c r="AG14439" s="10"/>
    </row>
    <row r="14440" spans="33:33">
      <c r="AG14440" s="10"/>
    </row>
    <row r="14441" spans="33:33">
      <c r="AG14441" s="10"/>
    </row>
    <row r="14442" spans="33:33">
      <c r="AG14442" s="10"/>
    </row>
    <row r="14443" spans="33:33">
      <c r="AG14443" s="10"/>
    </row>
    <row r="14444" spans="33:33">
      <c r="AG14444" s="10"/>
    </row>
    <row r="14445" spans="33:33">
      <c r="AG14445" s="10"/>
    </row>
    <row r="14446" spans="33:33">
      <c r="AG14446" s="10"/>
    </row>
    <row r="14447" spans="33:33">
      <c r="AG14447" s="10"/>
    </row>
    <row r="14448" spans="33:33">
      <c r="AG14448" s="10"/>
    </row>
    <row r="14449" spans="33:33">
      <c r="AG14449" s="10"/>
    </row>
    <row r="14450" spans="33:33">
      <c r="AG14450" s="10"/>
    </row>
    <row r="14451" spans="33:33">
      <c r="AG14451" s="10"/>
    </row>
    <row r="14452" spans="33:33">
      <c r="AG14452" s="10"/>
    </row>
    <row r="14453" spans="33:33">
      <c r="AG14453" s="10"/>
    </row>
    <row r="14454" spans="33:33">
      <c r="AG14454" s="10"/>
    </row>
    <row r="14455" spans="33:33">
      <c r="AG14455" s="10"/>
    </row>
    <row r="14456" spans="33:33">
      <c r="AG14456" s="10"/>
    </row>
    <row r="14457" spans="33:33">
      <c r="AG14457" s="10"/>
    </row>
    <row r="14458" spans="33:33">
      <c r="AG14458" s="10"/>
    </row>
    <row r="14459" spans="33:33">
      <c r="AG14459" s="10"/>
    </row>
    <row r="14460" spans="33:33">
      <c r="AG14460" s="10"/>
    </row>
    <row r="14461" spans="33:33">
      <c r="AG14461" s="10"/>
    </row>
    <row r="14462" spans="33:33">
      <c r="AG14462" s="10"/>
    </row>
    <row r="14463" spans="33:33">
      <c r="AG14463" s="10"/>
    </row>
    <row r="14464" spans="33:33">
      <c r="AG14464" s="10"/>
    </row>
    <row r="14465" spans="33:33">
      <c r="AG14465" s="10"/>
    </row>
    <row r="14466" spans="33:33">
      <c r="AG14466" s="10"/>
    </row>
    <row r="14467" spans="33:33">
      <c r="AG14467" s="10"/>
    </row>
    <row r="14468" spans="33:33">
      <c r="AG14468" s="10"/>
    </row>
    <row r="14469" spans="33:33">
      <c r="AG14469" s="10"/>
    </row>
    <row r="14470" spans="33:33">
      <c r="AG14470" s="10"/>
    </row>
    <row r="14471" spans="33:33">
      <c r="AG14471" s="10"/>
    </row>
    <row r="14472" spans="33:33">
      <c r="AG14472" s="10"/>
    </row>
    <row r="14473" spans="33:33">
      <c r="AG14473" s="10"/>
    </row>
    <row r="14474" spans="33:33">
      <c r="AG14474" s="10"/>
    </row>
    <row r="14475" spans="33:33">
      <c r="AG14475" s="10"/>
    </row>
    <row r="14476" spans="33:33">
      <c r="AG14476" s="10"/>
    </row>
    <row r="14477" spans="33:33">
      <c r="AG14477" s="10"/>
    </row>
    <row r="14478" spans="33:33">
      <c r="AG14478" s="10"/>
    </row>
    <row r="14479" spans="33:33">
      <c r="AG14479" s="10"/>
    </row>
    <row r="14480" spans="33:33">
      <c r="AG14480" s="10"/>
    </row>
    <row r="14481" spans="33:33">
      <c r="AG14481" s="10"/>
    </row>
    <row r="14482" spans="33:33">
      <c r="AG14482" s="10"/>
    </row>
    <row r="14483" spans="33:33">
      <c r="AG14483" s="10"/>
    </row>
    <row r="14484" spans="33:33">
      <c r="AG14484" s="10"/>
    </row>
    <row r="14485" spans="33:33">
      <c r="AG14485" s="10"/>
    </row>
    <row r="14486" spans="33:33">
      <c r="AG14486" s="10"/>
    </row>
    <row r="14487" spans="33:33">
      <c r="AG14487" s="10"/>
    </row>
    <row r="14488" spans="33:33">
      <c r="AG14488" s="10"/>
    </row>
    <row r="14489" spans="33:33">
      <c r="AG14489" s="10"/>
    </row>
    <row r="14490" spans="33:33">
      <c r="AG14490" s="10"/>
    </row>
    <row r="14491" spans="33:33">
      <c r="AG14491" s="10"/>
    </row>
    <row r="14492" spans="33:33">
      <c r="AG14492" s="10"/>
    </row>
    <row r="14493" spans="33:33">
      <c r="AG14493" s="10"/>
    </row>
    <row r="14494" spans="33:33">
      <c r="AG14494" s="10"/>
    </row>
    <row r="14495" spans="33:33">
      <c r="AG14495" s="10"/>
    </row>
    <row r="14496" spans="33:33">
      <c r="AG14496" s="10"/>
    </row>
    <row r="14497" spans="33:33">
      <c r="AG14497" s="10"/>
    </row>
    <row r="14498" spans="33:33">
      <c r="AG14498" s="10"/>
    </row>
    <row r="14499" spans="33:33">
      <c r="AG14499" s="10"/>
    </row>
    <row r="14500" spans="33:33">
      <c r="AG14500" s="10"/>
    </row>
    <row r="14501" spans="33:33">
      <c r="AG14501" s="10"/>
    </row>
    <row r="14502" spans="33:33">
      <c r="AG14502" s="10"/>
    </row>
    <row r="14503" spans="33:33">
      <c r="AG14503" s="10"/>
    </row>
    <row r="14504" spans="33:33">
      <c r="AG14504" s="10"/>
    </row>
    <row r="14505" spans="33:33">
      <c r="AG14505" s="10"/>
    </row>
    <row r="14506" spans="33:33">
      <c r="AG14506" s="10"/>
    </row>
    <row r="14507" spans="33:33">
      <c r="AG14507" s="10"/>
    </row>
    <row r="14508" spans="33:33">
      <c r="AG14508" s="10"/>
    </row>
    <row r="14509" spans="33:33">
      <c r="AG14509" s="10"/>
    </row>
    <row r="14510" spans="33:33">
      <c r="AG14510" s="10"/>
    </row>
    <row r="14511" spans="33:33">
      <c r="AG14511" s="10"/>
    </row>
    <row r="14512" spans="33:33">
      <c r="AG14512" s="10"/>
    </row>
    <row r="14513" spans="33:33">
      <c r="AG14513" s="10"/>
    </row>
    <row r="14514" spans="33:33">
      <c r="AG14514" s="10"/>
    </row>
    <row r="14515" spans="33:33">
      <c r="AG14515" s="10"/>
    </row>
    <row r="14516" spans="33:33">
      <c r="AG14516" s="10"/>
    </row>
    <row r="14517" spans="33:33">
      <c r="AG14517" s="10"/>
    </row>
    <row r="14518" spans="33:33">
      <c r="AG14518" s="10"/>
    </row>
    <row r="14519" spans="33:33">
      <c r="AG14519" s="10"/>
    </row>
    <row r="14520" spans="33:33">
      <c r="AG14520" s="10"/>
    </row>
    <row r="14521" spans="33:33">
      <c r="AG14521" s="10"/>
    </row>
    <row r="14522" spans="33:33">
      <c r="AG14522" s="10"/>
    </row>
    <row r="14523" spans="33:33">
      <c r="AG14523" s="10"/>
    </row>
    <row r="14524" spans="33:33">
      <c r="AG14524" s="10"/>
    </row>
    <row r="14525" spans="33:33">
      <c r="AG14525" s="10"/>
    </row>
    <row r="14526" spans="33:33">
      <c r="AG14526" s="10"/>
    </row>
    <row r="14527" spans="33:33">
      <c r="AG14527" s="10"/>
    </row>
    <row r="14528" spans="33:33">
      <c r="AG14528" s="10"/>
    </row>
    <row r="14529" spans="33:33">
      <c r="AG14529" s="10"/>
    </row>
    <row r="14530" spans="33:33">
      <c r="AG14530" s="10"/>
    </row>
    <row r="14531" spans="33:33">
      <c r="AG14531" s="10"/>
    </row>
    <row r="14532" spans="33:33">
      <c r="AG14532" s="10"/>
    </row>
    <row r="14533" spans="33:33">
      <c r="AG14533" s="10"/>
    </row>
    <row r="14534" spans="33:33">
      <c r="AG14534" s="10"/>
    </row>
    <row r="14535" spans="33:33">
      <c r="AG14535" s="10"/>
    </row>
    <row r="14536" spans="33:33">
      <c r="AG14536" s="10"/>
    </row>
    <row r="14537" spans="33:33">
      <c r="AG14537" s="10"/>
    </row>
    <row r="14538" spans="33:33">
      <c r="AG14538" s="10"/>
    </row>
    <row r="14539" spans="33:33">
      <c r="AG14539" s="10"/>
    </row>
    <row r="14540" spans="33:33">
      <c r="AG14540" s="10"/>
    </row>
    <row r="14541" spans="33:33">
      <c r="AG14541" s="10"/>
    </row>
    <row r="14542" spans="33:33">
      <c r="AG14542" s="10"/>
    </row>
    <row r="14543" spans="33:33">
      <c r="AG14543" s="10"/>
    </row>
    <row r="14544" spans="33:33">
      <c r="AG14544" s="10"/>
    </row>
    <row r="14545" spans="33:33">
      <c r="AG14545" s="10"/>
    </row>
    <row r="14546" spans="33:33">
      <c r="AG14546" s="10"/>
    </row>
    <row r="14547" spans="33:33">
      <c r="AG14547" s="10"/>
    </row>
    <row r="14548" spans="33:33">
      <c r="AG14548" s="10"/>
    </row>
    <row r="14549" spans="33:33">
      <c r="AG14549" s="10"/>
    </row>
    <row r="14550" spans="33:33">
      <c r="AG14550" s="10"/>
    </row>
    <row r="14551" spans="33:33">
      <c r="AG14551" s="10"/>
    </row>
    <row r="14552" spans="33:33">
      <c r="AG14552" s="10"/>
    </row>
    <row r="14553" spans="33:33">
      <c r="AG14553" s="10"/>
    </row>
    <row r="14554" spans="33:33">
      <c r="AG14554" s="10"/>
    </row>
    <row r="14555" spans="33:33">
      <c r="AG14555" s="10"/>
    </row>
    <row r="14556" spans="33:33">
      <c r="AG14556" s="10"/>
    </row>
    <row r="14557" spans="33:33">
      <c r="AG14557" s="10"/>
    </row>
    <row r="14558" spans="33:33">
      <c r="AG14558" s="10"/>
    </row>
    <row r="14559" spans="33:33">
      <c r="AG14559" s="10"/>
    </row>
    <row r="14560" spans="33:33">
      <c r="AG14560" s="10"/>
    </row>
    <row r="14561" spans="33:33">
      <c r="AG14561" s="10"/>
    </row>
    <row r="14562" spans="33:33">
      <c r="AG14562" s="10"/>
    </row>
    <row r="14563" spans="33:33">
      <c r="AG14563" s="10"/>
    </row>
    <row r="14564" spans="33:33">
      <c r="AG14564" s="10"/>
    </row>
    <row r="14565" spans="33:33">
      <c r="AG14565" s="10"/>
    </row>
    <row r="14566" spans="33:33">
      <c r="AG14566" s="10"/>
    </row>
    <row r="14567" spans="33:33">
      <c r="AG14567" s="10"/>
    </row>
    <row r="14568" spans="33:33">
      <c r="AG14568" s="10"/>
    </row>
    <row r="14569" spans="33:33">
      <c r="AG14569" s="10"/>
    </row>
    <row r="14570" spans="33:33">
      <c r="AG14570" s="10"/>
    </row>
    <row r="14571" spans="33:33">
      <c r="AG14571" s="10"/>
    </row>
    <row r="14572" spans="33:33">
      <c r="AG14572" s="10"/>
    </row>
    <row r="14573" spans="33:33">
      <c r="AG14573" s="10"/>
    </row>
    <row r="14574" spans="33:33">
      <c r="AG14574" s="10"/>
    </row>
    <row r="14575" spans="33:33">
      <c r="AG14575" s="10"/>
    </row>
    <row r="14576" spans="33:33">
      <c r="AG14576" s="10"/>
    </row>
    <row r="14577" spans="33:33">
      <c r="AG14577" s="10"/>
    </row>
    <row r="14578" spans="33:33">
      <c r="AG14578" s="10"/>
    </row>
    <row r="14579" spans="33:33">
      <c r="AG14579" s="10"/>
    </row>
    <row r="14580" spans="33:33">
      <c r="AG14580" s="10"/>
    </row>
    <row r="14581" spans="33:33">
      <c r="AG14581" s="10"/>
    </row>
    <row r="14582" spans="33:33">
      <c r="AG14582" s="10"/>
    </row>
    <row r="14583" spans="33:33">
      <c r="AG14583" s="10"/>
    </row>
    <row r="14584" spans="33:33">
      <c r="AG14584" s="10"/>
    </row>
    <row r="14585" spans="33:33">
      <c r="AG14585" s="10"/>
    </row>
    <row r="14586" spans="33:33">
      <c r="AG14586" s="10"/>
    </row>
    <row r="14587" spans="33:33">
      <c r="AG14587" s="10"/>
    </row>
    <row r="14588" spans="33:33">
      <c r="AG14588" s="10"/>
    </row>
    <row r="14589" spans="33:33">
      <c r="AG14589" s="10"/>
    </row>
    <row r="14590" spans="33:33">
      <c r="AG14590" s="10"/>
    </row>
    <row r="14591" spans="33:33">
      <c r="AG14591" s="10"/>
    </row>
    <row r="14592" spans="33:33">
      <c r="AG14592" s="10"/>
    </row>
    <row r="14593" spans="33:33">
      <c r="AG14593" s="10"/>
    </row>
    <row r="14594" spans="33:33">
      <c r="AG14594" s="10"/>
    </row>
    <row r="14595" spans="33:33">
      <c r="AG14595" s="10"/>
    </row>
    <row r="14596" spans="33:33">
      <c r="AG14596" s="10"/>
    </row>
    <row r="14597" spans="33:33">
      <c r="AG14597" s="10"/>
    </row>
    <row r="14598" spans="33:33">
      <c r="AG14598" s="10"/>
    </row>
    <row r="14599" spans="33:33">
      <c r="AG14599" s="10"/>
    </row>
    <row r="14600" spans="33:33">
      <c r="AG14600" s="10"/>
    </row>
    <row r="14601" spans="33:33">
      <c r="AG14601" s="10"/>
    </row>
    <row r="14602" spans="33:33">
      <c r="AG14602" s="10"/>
    </row>
    <row r="14603" spans="33:33">
      <c r="AG14603" s="10"/>
    </row>
    <row r="14604" spans="33:33">
      <c r="AG14604" s="10"/>
    </row>
    <row r="14605" spans="33:33">
      <c r="AG14605" s="10"/>
    </row>
    <row r="14606" spans="33:33">
      <c r="AG14606" s="10"/>
    </row>
    <row r="14607" spans="33:33">
      <c r="AG14607" s="10"/>
    </row>
    <row r="14608" spans="33:33">
      <c r="AG14608" s="10"/>
    </row>
    <row r="14609" spans="33:33">
      <c r="AG14609" s="10"/>
    </row>
    <row r="14610" spans="33:33">
      <c r="AG14610" s="10"/>
    </row>
    <row r="14611" spans="33:33">
      <c r="AG14611" s="10"/>
    </row>
    <row r="14612" spans="33:33">
      <c r="AG14612" s="10"/>
    </row>
    <row r="14613" spans="33:33">
      <c r="AG14613" s="10"/>
    </row>
    <row r="14614" spans="33:33">
      <c r="AG14614" s="10"/>
    </row>
    <row r="14615" spans="33:33">
      <c r="AG14615" s="10"/>
    </row>
    <row r="14616" spans="33:33">
      <c r="AG14616" s="10"/>
    </row>
    <row r="14617" spans="33:33">
      <c r="AG14617" s="10"/>
    </row>
    <row r="14618" spans="33:33">
      <c r="AG14618" s="10"/>
    </row>
    <row r="14619" spans="33:33">
      <c r="AG14619" s="10"/>
    </row>
    <row r="14620" spans="33:33">
      <c r="AG14620" s="10"/>
    </row>
    <row r="14621" spans="33:33">
      <c r="AG14621" s="10"/>
    </row>
    <row r="14622" spans="33:33">
      <c r="AG14622" s="10"/>
    </row>
    <row r="14623" spans="33:33">
      <c r="AG14623" s="10"/>
    </row>
    <row r="14624" spans="33:33">
      <c r="AG14624" s="10"/>
    </row>
    <row r="14625" spans="33:33">
      <c r="AG14625" s="10"/>
    </row>
    <row r="14626" spans="33:33">
      <c r="AG14626" s="10"/>
    </row>
    <row r="14627" spans="33:33">
      <c r="AG14627" s="10"/>
    </row>
    <row r="14628" spans="33:33">
      <c r="AG14628" s="10"/>
    </row>
    <row r="14629" spans="33:33">
      <c r="AG14629" s="10"/>
    </row>
    <row r="14630" spans="33:33">
      <c r="AG14630" s="10"/>
    </row>
    <row r="14631" spans="33:33">
      <c r="AG14631" s="10"/>
    </row>
    <row r="14632" spans="33:33">
      <c r="AG14632" s="10"/>
    </row>
    <row r="14633" spans="33:33">
      <c r="AG14633" s="10"/>
    </row>
    <row r="14634" spans="33:33">
      <c r="AG14634" s="10"/>
    </row>
    <row r="14635" spans="33:33">
      <c r="AG14635" s="10"/>
    </row>
    <row r="14636" spans="33:33">
      <c r="AG14636" s="10"/>
    </row>
    <row r="14637" spans="33:33">
      <c r="AG14637" s="10"/>
    </row>
    <row r="14638" spans="33:33">
      <c r="AG14638" s="10"/>
    </row>
    <row r="14639" spans="33:33">
      <c r="AG14639" s="10"/>
    </row>
    <row r="14640" spans="33:33">
      <c r="AG14640" s="10"/>
    </row>
    <row r="14641" spans="33:33">
      <c r="AG14641" s="10"/>
    </row>
    <row r="14642" spans="33:33">
      <c r="AG14642" s="10"/>
    </row>
    <row r="14643" spans="33:33">
      <c r="AG14643" s="10"/>
    </row>
    <row r="14644" spans="33:33">
      <c r="AG14644" s="10"/>
    </row>
    <row r="14645" spans="33:33">
      <c r="AG14645" s="10"/>
    </row>
    <row r="14646" spans="33:33">
      <c r="AG14646" s="10"/>
    </row>
    <row r="14647" spans="33:33">
      <c r="AG14647" s="10"/>
    </row>
    <row r="14648" spans="33:33">
      <c r="AG14648" s="10"/>
    </row>
    <row r="14649" spans="33:33">
      <c r="AG14649" s="10"/>
    </row>
    <row r="14650" spans="33:33">
      <c r="AG14650" s="10"/>
    </row>
    <row r="14651" spans="33:33">
      <c r="AG14651" s="10"/>
    </row>
    <row r="14652" spans="33:33">
      <c r="AG14652" s="10"/>
    </row>
    <row r="14653" spans="33:33">
      <c r="AG14653" s="10"/>
    </row>
    <row r="14654" spans="33:33">
      <c r="AG14654" s="10"/>
    </row>
    <row r="14655" spans="33:33">
      <c r="AG14655" s="10"/>
    </row>
    <row r="14656" spans="33:33">
      <c r="AG14656" s="10"/>
    </row>
    <row r="14657" spans="33:33">
      <c r="AG14657" s="10"/>
    </row>
    <row r="14658" spans="33:33">
      <c r="AG14658" s="10"/>
    </row>
    <row r="14659" spans="33:33">
      <c r="AG14659" s="10"/>
    </row>
    <row r="14660" spans="33:33">
      <c r="AG14660" s="10"/>
    </row>
    <row r="14661" spans="33:33">
      <c r="AG14661" s="10"/>
    </row>
    <row r="14662" spans="33:33">
      <c r="AG14662" s="10"/>
    </row>
    <row r="14663" spans="33:33">
      <c r="AG14663" s="10"/>
    </row>
    <row r="14664" spans="33:33">
      <c r="AG14664" s="10"/>
    </row>
    <row r="14665" spans="33:33">
      <c r="AG14665" s="10"/>
    </row>
    <row r="14666" spans="33:33">
      <c r="AG14666" s="10"/>
    </row>
    <row r="14667" spans="33:33">
      <c r="AG14667" s="10"/>
    </row>
    <row r="14668" spans="33:33">
      <c r="AG14668" s="10"/>
    </row>
    <row r="14669" spans="33:33">
      <c r="AG14669" s="10"/>
    </row>
    <row r="14670" spans="33:33">
      <c r="AG14670" s="10"/>
    </row>
    <row r="14671" spans="33:33">
      <c r="AG14671" s="10"/>
    </row>
    <row r="14672" spans="33:33">
      <c r="AG14672" s="10"/>
    </row>
    <row r="14673" spans="33:33">
      <c r="AG14673" s="10"/>
    </row>
    <row r="14674" spans="33:33">
      <c r="AG14674" s="10"/>
    </row>
    <row r="14675" spans="33:33">
      <c r="AG14675" s="10"/>
    </row>
    <row r="14676" spans="33:33">
      <c r="AG14676" s="10"/>
    </row>
    <row r="14677" spans="33:33">
      <c r="AG14677" s="10"/>
    </row>
    <row r="14678" spans="33:33">
      <c r="AG14678" s="10"/>
    </row>
    <row r="14679" spans="33:33">
      <c r="AG14679" s="10"/>
    </row>
    <row r="14680" spans="33:33">
      <c r="AG14680" s="10"/>
    </row>
    <row r="14681" spans="33:33">
      <c r="AG14681" s="10"/>
    </row>
    <row r="14682" spans="33:33">
      <c r="AG14682" s="10"/>
    </row>
    <row r="14683" spans="33:33">
      <c r="AG14683" s="10"/>
    </row>
    <row r="14684" spans="33:33">
      <c r="AG14684" s="10"/>
    </row>
    <row r="14685" spans="33:33">
      <c r="AG14685" s="10"/>
    </row>
    <row r="14686" spans="33:33">
      <c r="AG14686" s="10"/>
    </row>
    <row r="14687" spans="33:33">
      <c r="AG14687" s="10"/>
    </row>
    <row r="14688" spans="33:33">
      <c r="AG14688" s="10"/>
    </row>
    <row r="14689" spans="33:33">
      <c r="AG14689" s="10"/>
    </row>
    <row r="14690" spans="33:33">
      <c r="AG14690" s="10"/>
    </row>
    <row r="14691" spans="33:33">
      <c r="AG14691" s="10"/>
    </row>
    <row r="14692" spans="33:33">
      <c r="AG14692" s="10"/>
    </row>
    <row r="14693" spans="33:33">
      <c r="AG14693" s="10"/>
    </row>
    <row r="14694" spans="33:33">
      <c r="AG14694" s="10"/>
    </row>
    <row r="14695" spans="33:33">
      <c r="AG14695" s="10"/>
    </row>
    <row r="14696" spans="33:33">
      <c r="AG14696" s="10"/>
    </row>
    <row r="14697" spans="33:33">
      <c r="AG14697" s="10"/>
    </row>
    <row r="14698" spans="33:33">
      <c r="AG14698" s="10"/>
    </row>
    <row r="14699" spans="33:33">
      <c r="AG14699" s="10"/>
    </row>
    <row r="14700" spans="33:33">
      <c r="AG14700" s="10"/>
    </row>
    <row r="14701" spans="33:33">
      <c r="AG14701" s="10"/>
    </row>
    <row r="14702" spans="33:33">
      <c r="AG14702" s="10"/>
    </row>
    <row r="14703" spans="33:33">
      <c r="AG14703" s="10"/>
    </row>
    <row r="14704" spans="33:33">
      <c r="AG14704" s="10"/>
    </row>
    <row r="14705" spans="33:33">
      <c r="AG14705" s="10"/>
    </row>
    <row r="14706" spans="33:33">
      <c r="AG14706" s="10"/>
    </row>
    <row r="14707" spans="33:33">
      <c r="AG14707" s="10"/>
    </row>
    <row r="14708" spans="33:33">
      <c r="AG14708" s="10"/>
    </row>
    <row r="14709" spans="33:33">
      <c r="AG14709" s="10"/>
    </row>
    <row r="14710" spans="33:33">
      <c r="AG14710" s="10"/>
    </row>
    <row r="14711" spans="33:33">
      <c r="AG14711" s="10"/>
    </row>
    <row r="14712" spans="33:33">
      <c r="AG14712" s="10"/>
    </row>
    <row r="14713" spans="33:33">
      <c r="AG14713" s="10"/>
    </row>
    <row r="14714" spans="33:33">
      <c r="AG14714" s="10"/>
    </row>
    <row r="14715" spans="33:33">
      <c r="AG14715" s="10"/>
    </row>
    <row r="14716" spans="33:33">
      <c r="AG14716" s="10"/>
    </row>
    <row r="14717" spans="33:33">
      <c r="AG14717" s="10"/>
    </row>
    <row r="14718" spans="33:33">
      <c r="AG14718" s="10"/>
    </row>
    <row r="14719" spans="33:33">
      <c r="AG14719" s="10"/>
    </row>
    <row r="14720" spans="33:33">
      <c r="AG14720" s="10"/>
    </row>
    <row r="14721" spans="33:33">
      <c r="AG14721" s="10"/>
    </row>
    <row r="14722" spans="33:33">
      <c r="AG14722" s="10"/>
    </row>
    <row r="14723" spans="33:33">
      <c r="AG14723" s="10"/>
    </row>
    <row r="14724" spans="33:33">
      <c r="AG14724" s="10"/>
    </row>
    <row r="14725" spans="33:33">
      <c r="AG14725" s="10"/>
    </row>
    <row r="14726" spans="33:33">
      <c r="AG14726" s="10"/>
    </row>
    <row r="14727" spans="33:33">
      <c r="AG14727" s="10"/>
    </row>
    <row r="14728" spans="33:33">
      <c r="AG14728" s="10"/>
    </row>
    <row r="14729" spans="33:33">
      <c r="AG14729" s="10"/>
    </row>
    <row r="14730" spans="33:33">
      <c r="AG14730" s="10"/>
    </row>
    <row r="14731" spans="33:33">
      <c r="AG14731" s="10"/>
    </row>
    <row r="14732" spans="33:33">
      <c r="AG14732" s="10"/>
    </row>
    <row r="14733" spans="33:33">
      <c r="AG14733" s="10"/>
    </row>
    <row r="14734" spans="33:33">
      <c r="AG14734" s="10"/>
    </row>
    <row r="14735" spans="33:33">
      <c r="AG14735" s="10"/>
    </row>
    <row r="14736" spans="33:33">
      <c r="AG14736" s="10"/>
    </row>
    <row r="14737" spans="33:33">
      <c r="AG14737" s="10"/>
    </row>
    <row r="14738" spans="33:33">
      <c r="AG14738" s="10"/>
    </row>
    <row r="14739" spans="33:33">
      <c r="AG14739" s="10"/>
    </row>
    <row r="14740" spans="33:33">
      <c r="AG14740" s="10"/>
    </row>
    <row r="14741" spans="33:33">
      <c r="AG14741" s="10"/>
    </row>
    <row r="14742" spans="33:33">
      <c r="AG14742" s="10"/>
    </row>
    <row r="14743" spans="33:33">
      <c r="AG14743" s="10"/>
    </row>
    <row r="14744" spans="33:33">
      <c r="AG14744" s="10"/>
    </row>
    <row r="14745" spans="33:33">
      <c r="AG14745" s="10"/>
    </row>
    <row r="14746" spans="33:33">
      <c r="AG14746" s="10"/>
    </row>
    <row r="14747" spans="33:33">
      <c r="AG14747" s="10"/>
    </row>
    <row r="14748" spans="33:33">
      <c r="AG14748" s="10"/>
    </row>
    <row r="14749" spans="33:33">
      <c r="AG14749" s="10"/>
    </row>
    <row r="14750" spans="33:33">
      <c r="AG14750" s="10"/>
    </row>
    <row r="14751" spans="33:33">
      <c r="AG14751" s="10"/>
    </row>
    <row r="14752" spans="33:33">
      <c r="AG14752" s="10"/>
    </row>
    <row r="14753" spans="33:33">
      <c r="AG14753" s="10"/>
    </row>
    <row r="14754" spans="33:33">
      <c r="AG14754" s="10"/>
    </row>
    <row r="14755" spans="33:33">
      <c r="AG14755" s="10"/>
    </row>
    <row r="14756" spans="33:33">
      <c r="AG14756" s="10"/>
    </row>
    <row r="14757" spans="33:33">
      <c r="AG14757" s="10"/>
    </row>
    <row r="14758" spans="33:33">
      <c r="AG14758" s="10"/>
    </row>
    <row r="14759" spans="33:33">
      <c r="AG14759" s="10"/>
    </row>
    <row r="14760" spans="33:33">
      <c r="AG14760" s="10"/>
    </row>
    <row r="14761" spans="33:33">
      <c r="AG14761" s="10"/>
    </row>
    <row r="14762" spans="33:33">
      <c r="AG14762" s="10"/>
    </row>
    <row r="14763" spans="33:33">
      <c r="AG14763" s="10"/>
    </row>
    <row r="14764" spans="33:33">
      <c r="AG14764" s="10"/>
    </row>
    <row r="14765" spans="33:33">
      <c r="AG14765" s="10"/>
    </row>
    <row r="14766" spans="33:33">
      <c r="AG14766" s="10"/>
    </row>
    <row r="14767" spans="33:33">
      <c r="AG14767" s="10"/>
    </row>
    <row r="14768" spans="33:33">
      <c r="AG14768" s="10"/>
    </row>
    <row r="14769" spans="33:33">
      <c r="AG14769" s="10"/>
    </row>
    <row r="14770" spans="33:33">
      <c r="AG14770" s="10"/>
    </row>
    <row r="14771" spans="33:33">
      <c r="AG14771" s="10"/>
    </row>
    <row r="14772" spans="33:33">
      <c r="AG14772" s="10"/>
    </row>
    <row r="14773" spans="33:33">
      <c r="AG14773" s="10"/>
    </row>
    <row r="14774" spans="33:33">
      <c r="AG14774" s="10"/>
    </row>
    <row r="14775" spans="33:33">
      <c r="AG14775" s="10"/>
    </row>
    <row r="14776" spans="33:33">
      <c r="AG14776" s="10"/>
    </row>
    <row r="14777" spans="33:33">
      <c r="AG14777" s="10"/>
    </row>
    <row r="14778" spans="33:33">
      <c r="AG14778" s="10"/>
    </row>
    <row r="14779" spans="33:33">
      <c r="AG14779" s="10"/>
    </row>
    <row r="14780" spans="33:33">
      <c r="AG14780" s="10"/>
    </row>
    <row r="14781" spans="33:33">
      <c r="AG14781" s="10"/>
    </row>
    <row r="14782" spans="33:33">
      <c r="AG14782" s="10"/>
    </row>
    <row r="14783" spans="33:33">
      <c r="AG14783" s="10"/>
    </row>
    <row r="14784" spans="33:33">
      <c r="AG14784" s="10"/>
    </row>
    <row r="14785" spans="33:33">
      <c r="AG14785" s="10"/>
    </row>
    <row r="14786" spans="33:33">
      <c r="AG14786" s="10"/>
    </row>
    <row r="14787" spans="33:33">
      <c r="AG14787" s="10"/>
    </row>
    <row r="14788" spans="33:33">
      <c r="AG14788" s="10"/>
    </row>
    <row r="14789" spans="33:33">
      <c r="AG14789" s="10"/>
    </row>
    <row r="14790" spans="33:33">
      <c r="AG14790" s="10"/>
    </row>
    <row r="14791" spans="33:33">
      <c r="AG14791" s="10"/>
    </row>
    <row r="14792" spans="33:33">
      <c r="AG14792" s="10"/>
    </row>
    <row r="14793" spans="33:33">
      <c r="AG14793" s="10"/>
    </row>
    <row r="14794" spans="33:33">
      <c r="AG14794" s="10"/>
    </row>
    <row r="14795" spans="33:33">
      <c r="AG14795" s="10"/>
    </row>
    <row r="14796" spans="33:33">
      <c r="AG14796" s="10"/>
    </row>
    <row r="14797" spans="33:33">
      <c r="AG14797" s="10"/>
    </row>
    <row r="14798" spans="33:33">
      <c r="AG14798" s="10"/>
    </row>
    <row r="14799" spans="33:33">
      <c r="AG14799" s="10"/>
    </row>
    <row r="14800" spans="33:33">
      <c r="AG14800" s="10"/>
    </row>
    <row r="14801" spans="33:33">
      <c r="AG14801" s="10"/>
    </row>
    <row r="14802" spans="33:33">
      <c r="AG14802" s="10"/>
    </row>
    <row r="14803" spans="33:33">
      <c r="AG14803" s="10"/>
    </row>
    <row r="14804" spans="33:33">
      <c r="AG14804" s="10"/>
    </row>
    <row r="14805" spans="33:33">
      <c r="AG14805" s="10"/>
    </row>
    <row r="14806" spans="33:33">
      <c r="AG14806" s="10"/>
    </row>
    <row r="14807" spans="33:33">
      <c r="AG14807" s="10"/>
    </row>
    <row r="14808" spans="33:33">
      <c r="AG14808" s="10"/>
    </row>
    <row r="14809" spans="33:33">
      <c r="AG14809" s="10"/>
    </row>
    <row r="14810" spans="33:33">
      <c r="AG14810" s="10"/>
    </row>
    <row r="14811" spans="33:33">
      <c r="AG14811" s="10"/>
    </row>
    <row r="14812" spans="33:33">
      <c r="AG14812" s="10"/>
    </row>
    <row r="14813" spans="33:33">
      <c r="AG14813" s="10"/>
    </row>
    <row r="14814" spans="33:33">
      <c r="AG14814" s="10"/>
    </row>
    <row r="14815" spans="33:33">
      <c r="AG14815" s="10"/>
    </row>
    <row r="14816" spans="33:33">
      <c r="AG14816" s="10"/>
    </row>
    <row r="14817" spans="33:33">
      <c r="AG14817" s="10"/>
    </row>
    <row r="14818" spans="33:33">
      <c r="AG14818" s="10"/>
    </row>
    <row r="14819" spans="33:33">
      <c r="AG14819" s="10"/>
    </row>
    <row r="14820" spans="33:33">
      <c r="AG14820" s="10"/>
    </row>
    <row r="14821" spans="33:33">
      <c r="AG14821" s="10"/>
    </row>
    <row r="14822" spans="33:33">
      <c r="AG14822" s="10"/>
    </row>
    <row r="14823" spans="33:33">
      <c r="AG14823" s="10"/>
    </row>
    <row r="14824" spans="33:33">
      <c r="AG14824" s="10"/>
    </row>
    <row r="14825" spans="33:33">
      <c r="AG14825" s="10"/>
    </row>
    <row r="14826" spans="33:33">
      <c r="AG14826" s="10"/>
    </row>
    <row r="14827" spans="33:33">
      <c r="AG14827" s="10"/>
    </row>
    <row r="14828" spans="33:33">
      <c r="AG14828" s="10"/>
    </row>
    <row r="14829" spans="33:33">
      <c r="AG14829" s="10"/>
    </row>
    <row r="14830" spans="33:33">
      <c r="AG14830" s="10"/>
    </row>
    <row r="14831" spans="33:33">
      <c r="AG14831" s="10"/>
    </row>
    <row r="14832" spans="33:33">
      <c r="AG14832" s="10"/>
    </row>
    <row r="14833" spans="33:33">
      <c r="AG14833" s="10"/>
    </row>
    <row r="14834" spans="33:33">
      <c r="AG14834" s="10"/>
    </row>
    <row r="14835" spans="33:33">
      <c r="AG14835" s="10"/>
    </row>
    <row r="14836" spans="33:33">
      <c r="AG14836" s="10"/>
    </row>
    <row r="14837" spans="33:33">
      <c r="AG14837" s="10"/>
    </row>
    <row r="14838" spans="33:33">
      <c r="AG14838" s="10"/>
    </row>
    <row r="14839" spans="33:33">
      <c r="AG14839" s="10"/>
    </row>
    <row r="14840" spans="33:33">
      <c r="AG14840" s="10"/>
    </row>
    <row r="14841" spans="33:33">
      <c r="AG14841" s="10"/>
    </row>
    <row r="14842" spans="33:33">
      <c r="AG14842" s="10"/>
    </row>
    <row r="14843" spans="33:33">
      <c r="AG14843" s="10"/>
    </row>
    <row r="14844" spans="33:33">
      <c r="AG14844" s="10"/>
    </row>
    <row r="14845" spans="33:33">
      <c r="AG14845" s="10"/>
    </row>
    <row r="14846" spans="33:33">
      <c r="AG14846" s="10"/>
    </row>
    <row r="14847" spans="33:33">
      <c r="AG14847" s="10"/>
    </row>
    <row r="14848" spans="33:33">
      <c r="AG14848" s="10"/>
    </row>
    <row r="14849" spans="33:33">
      <c r="AG14849" s="10"/>
    </row>
    <row r="14850" spans="33:33">
      <c r="AG14850" s="10"/>
    </row>
    <row r="14851" spans="33:33">
      <c r="AG14851" s="10"/>
    </row>
    <row r="14852" spans="33:33">
      <c r="AG14852" s="10"/>
    </row>
    <row r="14853" spans="33:33">
      <c r="AG14853" s="10"/>
    </row>
    <row r="14854" spans="33:33">
      <c r="AG14854" s="10"/>
    </row>
    <row r="14855" spans="33:33">
      <c r="AG14855" s="10"/>
    </row>
    <row r="14856" spans="33:33">
      <c r="AG14856" s="10"/>
    </row>
    <row r="14857" spans="33:33">
      <c r="AG14857" s="10"/>
    </row>
    <row r="14858" spans="33:33">
      <c r="AG14858" s="10"/>
    </row>
    <row r="14859" spans="33:33">
      <c r="AG14859" s="10"/>
    </row>
    <row r="14860" spans="33:33">
      <c r="AG14860" s="10"/>
    </row>
    <row r="14861" spans="33:33">
      <c r="AG14861" s="10"/>
    </row>
    <row r="14862" spans="33:33">
      <c r="AG14862" s="10"/>
    </row>
    <row r="14863" spans="33:33">
      <c r="AG14863" s="10"/>
    </row>
    <row r="14864" spans="33:33">
      <c r="AG14864" s="10"/>
    </row>
    <row r="14865" spans="33:33">
      <c r="AG14865" s="10"/>
    </row>
    <row r="14866" spans="33:33">
      <c r="AG14866" s="10"/>
    </row>
    <row r="14867" spans="33:33">
      <c r="AG14867" s="10"/>
    </row>
    <row r="14868" spans="33:33">
      <c r="AG14868" s="10"/>
    </row>
    <row r="14869" spans="33:33">
      <c r="AG14869" s="10"/>
    </row>
    <row r="14870" spans="33:33">
      <c r="AG14870" s="10"/>
    </row>
    <row r="14871" spans="33:33">
      <c r="AG14871" s="10"/>
    </row>
    <row r="14872" spans="33:33">
      <c r="AG14872" s="10"/>
    </row>
    <row r="14873" spans="33:33">
      <c r="AG14873" s="10"/>
    </row>
    <row r="14874" spans="33:33">
      <c r="AG14874" s="10"/>
    </row>
    <row r="14875" spans="33:33">
      <c r="AG14875" s="10"/>
    </row>
    <row r="14876" spans="33:33">
      <c r="AG14876" s="10"/>
    </row>
    <row r="14877" spans="33:33">
      <c r="AG14877" s="10"/>
    </row>
    <row r="14878" spans="33:33">
      <c r="AG14878" s="10"/>
    </row>
    <row r="14879" spans="33:33">
      <c r="AG14879" s="10"/>
    </row>
    <row r="14880" spans="33:33">
      <c r="AG14880" s="10"/>
    </row>
    <row r="14881" spans="33:33">
      <c r="AG14881" s="10"/>
    </row>
    <row r="14882" spans="33:33">
      <c r="AG14882" s="10"/>
    </row>
    <row r="14883" spans="33:33">
      <c r="AG14883" s="10"/>
    </row>
    <row r="14884" spans="33:33">
      <c r="AG14884" s="10"/>
    </row>
    <row r="14885" spans="33:33">
      <c r="AG14885" s="10"/>
    </row>
    <row r="14886" spans="33:33">
      <c r="AG14886" s="10"/>
    </row>
    <row r="14887" spans="33:33">
      <c r="AG14887" s="10"/>
    </row>
    <row r="14888" spans="33:33">
      <c r="AG14888" s="10"/>
    </row>
    <row r="14889" spans="33:33">
      <c r="AG14889" s="10"/>
    </row>
    <row r="14890" spans="33:33">
      <c r="AG14890" s="10"/>
    </row>
    <row r="14891" spans="33:33">
      <c r="AG14891" s="10"/>
    </row>
    <row r="14892" spans="33:33">
      <c r="AG14892" s="10"/>
    </row>
    <row r="14893" spans="33:33">
      <c r="AG14893" s="10"/>
    </row>
    <row r="14894" spans="33:33">
      <c r="AG14894" s="10"/>
    </row>
    <row r="14895" spans="33:33">
      <c r="AG14895" s="10"/>
    </row>
    <row r="14896" spans="33:33">
      <c r="AG14896" s="10"/>
    </row>
    <row r="14897" spans="33:33">
      <c r="AG14897" s="10"/>
    </row>
    <row r="14898" spans="33:33">
      <c r="AG14898" s="10"/>
    </row>
    <row r="14899" spans="33:33">
      <c r="AG14899" s="10"/>
    </row>
    <row r="14900" spans="33:33">
      <c r="AG14900" s="10"/>
    </row>
    <row r="14901" spans="33:33">
      <c r="AG14901" s="10"/>
    </row>
    <row r="14902" spans="33:33">
      <c r="AG14902" s="10"/>
    </row>
    <row r="14903" spans="33:33">
      <c r="AG14903" s="10"/>
    </row>
    <row r="14904" spans="33:33">
      <c r="AG14904" s="10"/>
    </row>
    <row r="14905" spans="33:33">
      <c r="AG14905" s="10"/>
    </row>
    <row r="14906" spans="33:33">
      <c r="AG14906" s="10"/>
    </row>
    <row r="14907" spans="33:33">
      <c r="AG14907" s="10"/>
    </row>
    <row r="14908" spans="33:33">
      <c r="AG14908" s="10"/>
    </row>
    <row r="14909" spans="33:33">
      <c r="AG14909" s="10"/>
    </row>
    <row r="14910" spans="33:33">
      <c r="AG14910" s="10"/>
    </row>
    <row r="14911" spans="33:33">
      <c r="AG14911" s="10"/>
    </row>
    <row r="14912" spans="33:33">
      <c r="AG14912" s="10"/>
    </row>
    <row r="14913" spans="33:33">
      <c r="AG14913" s="10"/>
    </row>
    <row r="14914" spans="33:33">
      <c r="AG14914" s="10"/>
    </row>
    <row r="14915" spans="33:33">
      <c r="AG14915" s="10"/>
    </row>
    <row r="14916" spans="33:33">
      <c r="AG14916" s="10"/>
    </row>
    <row r="14917" spans="33:33">
      <c r="AG14917" s="10"/>
    </row>
    <row r="14918" spans="33:33">
      <c r="AG14918" s="10"/>
    </row>
    <row r="14919" spans="33:33">
      <c r="AG14919" s="10"/>
    </row>
    <row r="14920" spans="33:33">
      <c r="AG14920" s="10"/>
    </row>
    <row r="14921" spans="33:33">
      <c r="AG14921" s="10"/>
    </row>
    <row r="14922" spans="33:33">
      <c r="AG14922" s="10"/>
    </row>
    <row r="14923" spans="33:33">
      <c r="AG14923" s="10"/>
    </row>
    <row r="14924" spans="33:33">
      <c r="AG14924" s="10"/>
    </row>
    <row r="14925" spans="33:33">
      <c r="AG14925" s="10"/>
    </row>
    <row r="14926" spans="33:33">
      <c r="AG14926" s="10"/>
    </row>
    <row r="14927" spans="33:33">
      <c r="AG14927" s="10"/>
    </row>
    <row r="14928" spans="33:33">
      <c r="AG14928" s="10"/>
    </row>
    <row r="14929" spans="33:33">
      <c r="AG14929" s="10"/>
    </row>
    <row r="14930" spans="33:33">
      <c r="AG14930" s="10"/>
    </row>
    <row r="14931" spans="33:33">
      <c r="AG14931" s="10"/>
    </row>
    <row r="14932" spans="33:33">
      <c r="AG14932" s="10"/>
    </row>
    <row r="14933" spans="33:33">
      <c r="AG14933" s="10"/>
    </row>
    <row r="14934" spans="33:33">
      <c r="AG14934" s="10"/>
    </row>
    <row r="14935" spans="33:33">
      <c r="AG14935" s="10"/>
    </row>
    <row r="14936" spans="33:33">
      <c r="AG14936" s="10"/>
    </row>
    <row r="14937" spans="33:33">
      <c r="AG14937" s="10"/>
    </row>
    <row r="14938" spans="33:33">
      <c r="AG14938" s="10"/>
    </row>
    <row r="14939" spans="33:33">
      <c r="AG14939" s="10"/>
    </row>
    <row r="14940" spans="33:33">
      <c r="AG14940" s="10"/>
    </row>
    <row r="14941" spans="33:33">
      <c r="AG14941" s="10"/>
    </row>
    <row r="14942" spans="33:33">
      <c r="AG14942" s="10"/>
    </row>
    <row r="14943" spans="33:33">
      <c r="AG14943" s="10"/>
    </row>
    <row r="14944" spans="33:33">
      <c r="AG14944" s="10"/>
    </row>
    <row r="14945" spans="33:33">
      <c r="AG14945" s="10"/>
    </row>
    <row r="14946" spans="33:33">
      <c r="AG14946" s="10"/>
    </row>
    <row r="14947" spans="33:33">
      <c r="AG14947" s="10"/>
    </row>
    <row r="14948" spans="33:33">
      <c r="AG14948" s="10"/>
    </row>
    <row r="14949" spans="33:33">
      <c r="AG14949" s="10"/>
    </row>
    <row r="14950" spans="33:33">
      <c r="AG14950" s="10"/>
    </row>
    <row r="14951" spans="33:33">
      <c r="AG14951" s="10"/>
    </row>
    <row r="14952" spans="33:33">
      <c r="AG14952" s="10"/>
    </row>
    <row r="14953" spans="33:33">
      <c r="AG14953" s="10"/>
    </row>
    <row r="14954" spans="33:33">
      <c r="AG14954" s="10"/>
    </row>
    <row r="14955" spans="33:33">
      <c r="AG14955" s="10"/>
    </row>
    <row r="14956" spans="33:33">
      <c r="AG14956" s="10"/>
    </row>
    <row r="14957" spans="33:33">
      <c r="AG14957" s="10"/>
    </row>
    <row r="14958" spans="33:33">
      <c r="AG14958" s="10"/>
    </row>
    <row r="14959" spans="33:33">
      <c r="AG14959" s="10"/>
    </row>
    <row r="14960" spans="33:33">
      <c r="AG14960" s="10"/>
    </row>
    <row r="14961" spans="33:33">
      <c r="AG14961" s="10"/>
    </row>
    <row r="14962" spans="33:33">
      <c r="AG14962" s="10"/>
    </row>
    <row r="14963" spans="33:33">
      <c r="AG14963" s="10"/>
    </row>
    <row r="14964" spans="33:33">
      <c r="AG14964" s="10"/>
    </row>
    <row r="14965" spans="33:33">
      <c r="AG14965" s="10"/>
    </row>
    <row r="14966" spans="33:33">
      <c r="AG14966" s="10"/>
    </row>
    <row r="14967" spans="33:33">
      <c r="AG14967" s="10"/>
    </row>
    <row r="14968" spans="33:33">
      <c r="AG14968" s="10"/>
    </row>
    <row r="14969" spans="33:33">
      <c r="AG14969" s="10"/>
    </row>
    <row r="14970" spans="33:33">
      <c r="AG14970" s="10"/>
    </row>
    <row r="14971" spans="33:33">
      <c r="AG14971" s="10"/>
    </row>
    <row r="14972" spans="33:33">
      <c r="AG14972" s="10"/>
    </row>
    <row r="14973" spans="33:33">
      <c r="AG14973" s="10"/>
    </row>
    <row r="14974" spans="33:33">
      <c r="AG14974" s="10"/>
    </row>
    <row r="14975" spans="33:33">
      <c r="AG14975" s="10"/>
    </row>
    <row r="14976" spans="33:33">
      <c r="AG14976" s="10"/>
    </row>
    <row r="14977" spans="33:33">
      <c r="AG14977" s="10"/>
    </row>
    <row r="14978" spans="33:33">
      <c r="AG14978" s="10"/>
    </row>
    <row r="14979" spans="33:33">
      <c r="AG14979" s="10"/>
    </row>
    <row r="14980" spans="33:33">
      <c r="AG14980" s="10"/>
    </row>
    <row r="14981" spans="33:33">
      <c r="AG14981" s="10"/>
    </row>
    <row r="14982" spans="33:33">
      <c r="AG14982" s="10"/>
    </row>
    <row r="14983" spans="33:33">
      <c r="AG14983" s="10"/>
    </row>
    <row r="14984" spans="33:33">
      <c r="AG14984" s="10"/>
    </row>
    <row r="14985" spans="33:33">
      <c r="AG14985" s="10"/>
    </row>
    <row r="14986" spans="33:33">
      <c r="AG14986" s="10"/>
    </row>
    <row r="14987" spans="33:33">
      <c r="AG14987" s="10"/>
    </row>
    <row r="14988" spans="33:33">
      <c r="AG14988" s="10"/>
    </row>
    <row r="14989" spans="33:33">
      <c r="AG14989" s="10"/>
    </row>
    <row r="14990" spans="33:33">
      <c r="AG14990" s="10"/>
    </row>
    <row r="14991" spans="33:33">
      <c r="AG14991" s="10"/>
    </row>
    <row r="14992" spans="33:33">
      <c r="AG14992" s="10"/>
    </row>
    <row r="14993" spans="33:33">
      <c r="AG14993" s="10"/>
    </row>
    <row r="14994" spans="33:33">
      <c r="AG14994" s="10"/>
    </row>
    <row r="14995" spans="33:33">
      <c r="AG14995" s="10"/>
    </row>
    <row r="14996" spans="33:33">
      <c r="AG14996" s="10"/>
    </row>
    <row r="14997" spans="33:33">
      <c r="AG14997" s="10"/>
    </row>
    <row r="14998" spans="33:33">
      <c r="AG14998" s="10"/>
    </row>
    <row r="14999" spans="33:33">
      <c r="AG14999" s="10"/>
    </row>
    <row r="15000" spans="33:33">
      <c r="AG15000" s="10"/>
    </row>
    <row r="15001" spans="33:33">
      <c r="AG15001" s="10"/>
    </row>
    <row r="15002" spans="33:33">
      <c r="AG15002" s="10"/>
    </row>
    <row r="15003" spans="33:33">
      <c r="AG15003" s="10"/>
    </row>
    <row r="15004" spans="33:33">
      <c r="AG15004" s="10"/>
    </row>
    <row r="15005" spans="33:33">
      <c r="AG15005" s="10"/>
    </row>
    <row r="15006" spans="33:33">
      <c r="AG15006" s="10"/>
    </row>
    <row r="15007" spans="33:33">
      <c r="AG15007" s="10"/>
    </row>
    <row r="15008" spans="33:33">
      <c r="AG15008" s="10"/>
    </row>
    <row r="15009" spans="33:33">
      <c r="AG15009" s="10"/>
    </row>
    <row r="15010" spans="33:33">
      <c r="AG15010" s="10"/>
    </row>
    <row r="15011" spans="33:33">
      <c r="AG15011" s="10"/>
    </row>
    <row r="15012" spans="33:33">
      <c r="AG15012" s="10"/>
    </row>
    <row r="15013" spans="33:33">
      <c r="AG15013" s="10"/>
    </row>
    <row r="15014" spans="33:33">
      <c r="AG15014" s="10"/>
    </row>
    <row r="15015" spans="33:33">
      <c r="AG15015" s="10"/>
    </row>
    <row r="15016" spans="33:33">
      <c r="AG15016" s="10"/>
    </row>
    <row r="15017" spans="33:33">
      <c r="AG15017" s="10"/>
    </row>
    <row r="15018" spans="33:33">
      <c r="AG15018" s="10"/>
    </row>
    <row r="15019" spans="33:33">
      <c r="AG15019" s="10"/>
    </row>
    <row r="15020" spans="33:33">
      <c r="AG15020" s="10"/>
    </row>
    <row r="15021" spans="33:33">
      <c r="AG15021" s="10"/>
    </row>
    <row r="15022" spans="33:33">
      <c r="AG15022" s="10"/>
    </row>
    <row r="15023" spans="33:33">
      <c r="AG15023" s="10"/>
    </row>
    <row r="15024" spans="33:33">
      <c r="AG15024" s="10"/>
    </row>
    <row r="15025" spans="33:33">
      <c r="AG15025" s="10"/>
    </row>
    <row r="15026" spans="33:33">
      <c r="AG15026" s="10"/>
    </row>
    <row r="15027" spans="33:33">
      <c r="AG15027" s="10"/>
    </row>
    <row r="15028" spans="33:33">
      <c r="AG15028" s="10"/>
    </row>
    <row r="15029" spans="33:33">
      <c r="AG15029" s="10"/>
    </row>
    <row r="15030" spans="33:33">
      <c r="AG15030" s="10"/>
    </row>
    <row r="15031" spans="33:33">
      <c r="AG15031" s="10"/>
    </row>
    <row r="15032" spans="33:33">
      <c r="AG15032" s="10"/>
    </row>
    <row r="15033" spans="33:33">
      <c r="AG15033" s="10"/>
    </row>
    <row r="15034" spans="33:33">
      <c r="AG15034" s="10"/>
    </row>
    <row r="15035" spans="33:33">
      <c r="AG15035" s="10"/>
    </row>
    <row r="15036" spans="33:33">
      <c r="AG15036" s="10"/>
    </row>
    <row r="15037" spans="33:33">
      <c r="AG15037" s="10"/>
    </row>
    <row r="15038" spans="33:33">
      <c r="AG15038" s="10"/>
    </row>
    <row r="15039" spans="33:33">
      <c r="AG15039" s="10"/>
    </row>
    <row r="15040" spans="33:33">
      <c r="AG15040" s="10"/>
    </row>
    <row r="15041" spans="33:33">
      <c r="AG15041" s="10"/>
    </row>
    <row r="15042" spans="33:33">
      <c r="AG15042" s="10"/>
    </row>
    <row r="15043" spans="33:33">
      <c r="AG15043" s="10"/>
    </row>
    <row r="15044" spans="33:33">
      <c r="AG15044" s="10"/>
    </row>
    <row r="15045" spans="33:33">
      <c r="AG15045" s="10"/>
    </row>
    <row r="15046" spans="33:33">
      <c r="AG15046" s="10"/>
    </row>
    <row r="15047" spans="33:33">
      <c r="AG15047" s="10"/>
    </row>
    <row r="15048" spans="33:33">
      <c r="AG15048" s="10"/>
    </row>
    <row r="15049" spans="33:33">
      <c r="AG15049" s="10"/>
    </row>
    <row r="15050" spans="33:33">
      <c r="AG15050" s="10"/>
    </row>
    <row r="15051" spans="33:33">
      <c r="AG15051" s="10"/>
    </row>
    <row r="15052" spans="33:33">
      <c r="AG15052" s="10"/>
    </row>
    <row r="15053" spans="33:33">
      <c r="AG15053" s="10"/>
    </row>
    <row r="15054" spans="33:33">
      <c r="AG15054" s="10"/>
    </row>
    <row r="15055" spans="33:33">
      <c r="AG15055" s="10"/>
    </row>
    <row r="15056" spans="33:33">
      <c r="AG15056" s="10"/>
    </row>
    <row r="15057" spans="33:33">
      <c r="AG15057" s="10"/>
    </row>
    <row r="15058" spans="33:33">
      <c r="AG15058" s="10"/>
    </row>
    <row r="15059" spans="33:33">
      <c r="AG15059" s="10"/>
    </row>
    <row r="15060" spans="33:33">
      <c r="AG15060" s="10"/>
    </row>
    <row r="15061" spans="33:33">
      <c r="AG15061" s="10"/>
    </row>
    <row r="15062" spans="33:33">
      <c r="AG15062" s="10"/>
    </row>
    <row r="15063" spans="33:33">
      <c r="AG15063" s="10"/>
    </row>
    <row r="15064" spans="33:33">
      <c r="AG15064" s="10"/>
    </row>
    <row r="15065" spans="33:33">
      <c r="AG15065" s="10"/>
    </row>
    <row r="15066" spans="33:33">
      <c r="AG15066" s="10"/>
    </row>
    <row r="15067" spans="33:33">
      <c r="AG15067" s="10"/>
    </row>
    <row r="15068" spans="33:33">
      <c r="AG15068" s="10"/>
    </row>
    <row r="15069" spans="33:33">
      <c r="AG15069" s="10"/>
    </row>
    <row r="15070" spans="33:33">
      <c r="AG15070" s="10"/>
    </row>
    <row r="15071" spans="33:33">
      <c r="AG15071" s="10"/>
    </row>
    <row r="15072" spans="33:33">
      <c r="AG15072" s="10"/>
    </row>
    <row r="15073" spans="33:33">
      <c r="AG15073" s="10"/>
    </row>
    <row r="15074" spans="33:33">
      <c r="AG15074" s="10"/>
    </row>
    <row r="15075" spans="33:33">
      <c r="AG15075" s="10"/>
    </row>
    <row r="15076" spans="33:33">
      <c r="AG15076" s="10"/>
    </row>
    <row r="15077" spans="33:33">
      <c r="AG15077" s="10"/>
    </row>
    <row r="15078" spans="33:33">
      <c r="AG15078" s="10"/>
    </row>
    <row r="15079" spans="33:33">
      <c r="AG15079" s="10"/>
    </row>
    <row r="15080" spans="33:33">
      <c r="AG15080" s="10"/>
    </row>
    <row r="15081" spans="33:33">
      <c r="AG15081" s="10"/>
    </row>
    <row r="15082" spans="33:33">
      <c r="AG15082" s="10"/>
    </row>
    <row r="15083" spans="33:33">
      <c r="AG15083" s="10"/>
    </row>
    <row r="15084" spans="33:33">
      <c r="AG15084" s="10"/>
    </row>
    <row r="15085" spans="33:33">
      <c r="AG15085" s="10"/>
    </row>
    <row r="15086" spans="33:33">
      <c r="AG15086" s="10"/>
    </row>
    <row r="15087" spans="33:33">
      <c r="AG15087" s="10"/>
    </row>
    <row r="15088" spans="33:33">
      <c r="AG15088" s="10"/>
    </row>
    <row r="15089" spans="33:33">
      <c r="AG15089" s="10"/>
    </row>
    <row r="15090" spans="33:33">
      <c r="AG15090" s="10"/>
    </row>
    <row r="15091" spans="33:33">
      <c r="AG15091" s="10"/>
    </row>
    <row r="15092" spans="33:33">
      <c r="AG15092" s="10"/>
    </row>
    <row r="15093" spans="33:33">
      <c r="AG15093" s="10"/>
    </row>
    <row r="15094" spans="33:33">
      <c r="AG15094" s="10"/>
    </row>
    <row r="15095" spans="33:33">
      <c r="AG15095" s="10"/>
    </row>
    <row r="15096" spans="33:33">
      <c r="AG15096" s="10"/>
    </row>
    <row r="15097" spans="33:33">
      <c r="AG15097" s="10"/>
    </row>
    <row r="15098" spans="33:33">
      <c r="AG15098" s="10"/>
    </row>
    <row r="15099" spans="33:33">
      <c r="AG15099" s="10"/>
    </row>
    <row r="15100" spans="33:33">
      <c r="AG15100" s="10"/>
    </row>
    <row r="15101" spans="33:33">
      <c r="AG15101" s="10"/>
    </row>
    <row r="15102" spans="33:33">
      <c r="AG15102" s="10"/>
    </row>
    <row r="15103" spans="33:33">
      <c r="AG15103" s="10"/>
    </row>
    <row r="15104" spans="33:33">
      <c r="AG15104" s="10"/>
    </row>
    <row r="15105" spans="33:33">
      <c r="AG15105" s="10"/>
    </row>
    <row r="15106" spans="33:33">
      <c r="AG15106" s="10"/>
    </row>
    <row r="15107" spans="33:33">
      <c r="AG15107" s="10"/>
    </row>
    <row r="15108" spans="33:33">
      <c r="AG15108" s="10"/>
    </row>
    <row r="15109" spans="33:33">
      <c r="AG15109" s="10"/>
    </row>
    <row r="15110" spans="33:33">
      <c r="AG15110" s="10"/>
    </row>
    <row r="15111" spans="33:33">
      <c r="AG15111" s="10"/>
    </row>
    <row r="15112" spans="33:33">
      <c r="AG15112" s="10"/>
    </row>
    <row r="15113" spans="33:33">
      <c r="AG15113" s="10"/>
    </row>
    <row r="15114" spans="33:33">
      <c r="AG15114" s="10"/>
    </row>
    <row r="15115" spans="33:33">
      <c r="AG15115" s="10"/>
    </row>
    <row r="15116" spans="33:33">
      <c r="AG15116" s="10"/>
    </row>
    <row r="15117" spans="33:33">
      <c r="AG15117" s="10"/>
    </row>
    <row r="15118" spans="33:33">
      <c r="AG15118" s="10"/>
    </row>
    <row r="15119" spans="33:33">
      <c r="AG15119" s="10"/>
    </row>
    <row r="15120" spans="33:33">
      <c r="AG15120" s="10"/>
    </row>
    <row r="15121" spans="33:33">
      <c r="AG15121" s="10"/>
    </row>
    <row r="15122" spans="33:33">
      <c r="AG15122" s="10"/>
    </row>
    <row r="15123" spans="33:33">
      <c r="AG15123" s="10"/>
    </row>
    <row r="15124" spans="33:33">
      <c r="AG15124" s="10"/>
    </row>
    <row r="15125" spans="33:33">
      <c r="AG15125" s="10"/>
    </row>
    <row r="15126" spans="33:33">
      <c r="AG15126" s="10"/>
    </row>
    <row r="15127" spans="33:33">
      <c r="AG15127" s="10"/>
    </row>
    <row r="15128" spans="33:33">
      <c r="AG15128" s="10"/>
    </row>
    <row r="15129" spans="33:33">
      <c r="AG15129" s="10"/>
    </row>
    <row r="15130" spans="33:33">
      <c r="AG15130" s="10"/>
    </row>
    <row r="15131" spans="33:33">
      <c r="AG15131" s="10"/>
    </row>
    <row r="15132" spans="33:33">
      <c r="AG15132" s="10"/>
    </row>
    <row r="15133" spans="33:33">
      <c r="AG15133" s="10"/>
    </row>
    <row r="15134" spans="33:33">
      <c r="AG15134" s="10"/>
    </row>
    <row r="15135" spans="33:33">
      <c r="AG15135" s="10"/>
    </row>
    <row r="15136" spans="33:33">
      <c r="AG15136" s="10"/>
    </row>
    <row r="15137" spans="33:33">
      <c r="AG15137" s="10"/>
    </row>
    <row r="15138" spans="33:33">
      <c r="AG15138" s="10"/>
    </row>
    <row r="15139" spans="33:33">
      <c r="AG15139" s="10"/>
    </row>
    <row r="15140" spans="33:33">
      <c r="AG15140" s="10"/>
    </row>
    <row r="15141" spans="33:33">
      <c r="AG15141" s="10"/>
    </row>
    <row r="15142" spans="33:33">
      <c r="AG15142" s="10"/>
    </row>
    <row r="15143" spans="33:33">
      <c r="AG15143" s="10"/>
    </row>
    <row r="15144" spans="33:33">
      <c r="AG15144" s="10"/>
    </row>
    <row r="15145" spans="33:33">
      <c r="AG15145" s="10"/>
    </row>
    <row r="15146" spans="33:33">
      <c r="AG15146" s="10"/>
    </row>
    <row r="15147" spans="33:33">
      <c r="AG15147" s="10"/>
    </row>
    <row r="15148" spans="33:33">
      <c r="AG15148" s="10"/>
    </row>
    <row r="15149" spans="33:33">
      <c r="AG15149" s="10"/>
    </row>
    <row r="15150" spans="33:33">
      <c r="AG15150" s="10"/>
    </row>
    <row r="15151" spans="33:33">
      <c r="AG15151" s="10"/>
    </row>
    <row r="15152" spans="33:33">
      <c r="AG15152" s="10"/>
    </row>
    <row r="15153" spans="33:33">
      <c r="AG15153" s="10"/>
    </row>
    <row r="15154" spans="33:33">
      <c r="AG15154" s="10"/>
    </row>
    <row r="15155" spans="33:33">
      <c r="AG15155" s="10"/>
    </row>
    <row r="15156" spans="33:33">
      <c r="AG15156" s="10"/>
    </row>
    <row r="15157" spans="33:33">
      <c r="AG15157" s="10"/>
    </row>
    <row r="15158" spans="33:33">
      <c r="AG15158" s="10"/>
    </row>
    <row r="15159" spans="33:33">
      <c r="AG15159" s="10"/>
    </row>
    <row r="15160" spans="33:33">
      <c r="AG15160" s="10"/>
    </row>
    <row r="15161" spans="33:33">
      <c r="AG15161" s="10"/>
    </row>
    <row r="15162" spans="33:33">
      <c r="AG15162" s="10"/>
    </row>
    <row r="15163" spans="33:33">
      <c r="AG15163" s="10"/>
    </row>
    <row r="15164" spans="33:33">
      <c r="AG15164" s="10"/>
    </row>
    <row r="15165" spans="33:33">
      <c r="AG15165" s="10"/>
    </row>
    <row r="15166" spans="33:33">
      <c r="AG15166" s="10"/>
    </row>
    <row r="15167" spans="33:33">
      <c r="AG15167" s="10"/>
    </row>
    <row r="15168" spans="33:33">
      <c r="AG15168" s="10"/>
    </row>
    <row r="15169" spans="33:33">
      <c r="AG15169" s="10"/>
    </row>
    <row r="15170" spans="33:33">
      <c r="AG15170" s="10"/>
    </row>
    <row r="15171" spans="33:33">
      <c r="AG15171" s="10"/>
    </row>
    <row r="15172" spans="33:33">
      <c r="AG15172" s="10"/>
    </row>
    <row r="15173" spans="33:33">
      <c r="AG15173" s="10"/>
    </row>
    <row r="15174" spans="33:33">
      <c r="AG15174" s="10"/>
    </row>
    <row r="15175" spans="33:33">
      <c r="AG15175" s="10"/>
    </row>
    <row r="15176" spans="33:33">
      <c r="AG15176" s="10"/>
    </row>
    <row r="15177" spans="33:33">
      <c r="AG15177" s="10"/>
    </row>
    <row r="15178" spans="33:33">
      <c r="AG15178" s="10"/>
    </row>
    <row r="15179" spans="33:33">
      <c r="AG15179" s="10"/>
    </row>
    <row r="15180" spans="33:33">
      <c r="AG15180" s="10"/>
    </row>
    <row r="15181" spans="33:33">
      <c r="AG15181" s="10"/>
    </row>
    <row r="15182" spans="33:33">
      <c r="AG15182" s="10"/>
    </row>
    <row r="15183" spans="33:33">
      <c r="AG15183" s="10"/>
    </row>
    <row r="15184" spans="33:33">
      <c r="AG15184" s="10"/>
    </row>
    <row r="15185" spans="33:33">
      <c r="AG15185" s="10"/>
    </row>
    <row r="15186" spans="33:33">
      <c r="AG15186" s="10"/>
    </row>
    <row r="15187" spans="33:33">
      <c r="AG15187" s="10"/>
    </row>
    <row r="15188" spans="33:33">
      <c r="AG15188" s="10"/>
    </row>
    <row r="15189" spans="33:33">
      <c r="AG15189" s="10"/>
    </row>
    <row r="15190" spans="33:33">
      <c r="AG15190" s="10"/>
    </row>
    <row r="15191" spans="33:33">
      <c r="AG15191" s="10"/>
    </row>
    <row r="15192" spans="33:33">
      <c r="AG15192" s="10"/>
    </row>
    <row r="15193" spans="33:33">
      <c r="AG15193" s="10"/>
    </row>
    <row r="15194" spans="33:33">
      <c r="AG15194" s="10"/>
    </row>
    <row r="15195" spans="33:33">
      <c r="AG15195" s="10"/>
    </row>
    <row r="15196" spans="33:33">
      <c r="AG15196" s="10"/>
    </row>
    <row r="15197" spans="33:33">
      <c r="AG15197" s="10"/>
    </row>
    <row r="15198" spans="33:33">
      <c r="AG15198" s="10"/>
    </row>
    <row r="15199" spans="33:33">
      <c r="AG15199" s="10"/>
    </row>
    <row r="15200" spans="33:33">
      <c r="AG15200" s="10"/>
    </row>
    <row r="15201" spans="33:33">
      <c r="AG15201" s="10"/>
    </row>
    <row r="15202" spans="33:33">
      <c r="AG15202" s="10"/>
    </row>
    <row r="15203" spans="33:33">
      <c r="AG15203" s="10"/>
    </row>
    <row r="15204" spans="33:33">
      <c r="AG15204" s="10"/>
    </row>
    <row r="15205" spans="33:33">
      <c r="AG15205" s="10"/>
    </row>
    <row r="15206" spans="33:33">
      <c r="AG15206" s="10"/>
    </row>
    <row r="15207" spans="33:33">
      <c r="AG15207" s="10"/>
    </row>
    <row r="15208" spans="33:33">
      <c r="AG15208" s="10"/>
    </row>
    <row r="15209" spans="33:33">
      <c r="AG15209" s="10"/>
    </row>
    <row r="15210" spans="33:33">
      <c r="AG15210" s="10"/>
    </row>
    <row r="15211" spans="33:33">
      <c r="AG15211" s="10"/>
    </row>
    <row r="15212" spans="33:33">
      <c r="AG15212" s="10"/>
    </row>
    <row r="15213" spans="33:33">
      <c r="AG15213" s="10"/>
    </row>
    <row r="15214" spans="33:33">
      <c r="AG15214" s="10"/>
    </row>
    <row r="15215" spans="33:33">
      <c r="AG15215" s="10"/>
    </row>
    <row r="15216" spans="33:33">
      <c r="AG15216" s="10"/>
    </row>
    <row r="15217" spans="33:33">
      <c r="AG15217" s="10"/>
    </row>
    <row r="15218" spans="33:33">
      <c r="AG15218" s="10"/>
    </row>
    <row r="15219" spans="33:33">
      <c r="AG15219" s="10"/>
    </row>
    <row r="15220" spans="33:33">
      <c r="AG15220" s="10"/>
    </row>
    <row r="15221" spans="33:33">
      <c r="AG15221" s="10"/>
    </row>
    <row r="15222" spans="33:33">
      <c r="AG15222" s="10"/>
    </row>
    <row r="15223" spans="33:33">
      <c r="AG15223" s="10"/>
    </row>
    <row r="15224" spans="33:33">
      <c r="AG15224" s="10"/>
    </row>
    <row r="15225" spans="33:33">
      <c r="AG15225" s="10"/>
    </row>
    <row r="15226" spans="33:33">
      <c r="AG15226" s="10"/>
    </row>
    <row r="15227" spans="33:33">
      <c r="AG15227" s="10"/>
    </row>
    <row r="15228" spans="33:33">
      <c r="AG15228" s="10"/>
    </row>
    <row r="15229" spans="33:33">
      <c r="AG15229" s="10"/>
    </row>
    <row r="15230" spans="33:33">
      <c r="AG15230" s="10"/>
    </row>
    <row r="15231" spans="33:33">
      <c r="AG15231" s="10"/>
    </row>
    <row r="15232" spans="33:33">
      <c r="AG15232" s="10"/>
    </row>
    <row r="15233" spans="33:33">
      <c r="AG15233" s="10"/>
    </row>
    <row r="15234" spans="33:33">
      <c r="AG15234" s="10"/>
    </row>
    <row r="15235" spans="33:33">
      <c r="AG15235" s="10"/>
    </row>
    <row r="15236" spans="33:33">
      <c r="AG15236" s="10"/>
    </row>
    <row r="15237" spans="33:33">
      <c r="AG15237" s="10"/>
    </row>
    <row r="15238" spans="33:33">
      <c r="AG15238" s="10"/>
    </row>
    <row r="15239" spans="33:33">
      <c r="AG15239" s="10"/>
    </row>
    <row r="15240" spans="33:33">
      <c r="AG15240" s="10"/>
    </row>
    <row r="15241" spans="33:33">
      <c r="AG15241" s="10"/>
    </row>
    <row r="15242" spans="33:33">
      <c r="AG15242" s="10"/>
    </row>
    <row r="15243" spans="33:33">
      <c r="AG15243" s="10"/>
    </row>
    <row r="15244" spans="33:33">
      <c r="AG15244" s="10"/>
    </row>
    <row r="15245" spans="33:33">
      <c r="AG15245" s="10"/>
    </row>
    <row r="15246" spans="33:33">
      <c r="AG15246" s="10"/>
    </row>
    <row r="15247" spans="33:33">
      <c r="AG15247" s="10"/>
    </row>
    <row r="15248" spans="33:33">
      <c r="AG15248" s="10"/>
    </row>
    <row r="15249" spans="33:33">
      <c r="AG15249" s="10"/>
    </row>
    <row r="15250" spans="33:33">
      <c r="AG15250" s="10"/>
    </row>
    <row r="15251" spans="33:33">
      <c r="AG15251" s="10"/>
    </row>
    <row r="15252" spans="33:33">
      <c r="AG15252" s="10"/>
    </row>
    <row r="15253" spans="33:33">
      <c r="AG15253" s="10"/>
    </row>
    <row r="15254" spans="33:33">
      <c r="AG15254" s="10"/>
    </row>
    <row r="15255" spans="33:33">
      <c r="AG15255" s="10"/>
    </row>
    <row r="15256" spans="33:33">
      <c r="AG15256" s="10"/>
    </row>
    <row r="15257" spans="33:33">
      <c r="AG15257" s="10"/>
    </row>
    <row r="15258" spans="33:33">
      <c r="AG15258" s="10"/>
    </row>
    <row r="15259" spans="33:33">
      <c r="AG15259" s="10"/>
    </row>
    <row r="15260" spans="33:33">
      <c r="AG15260" s="10"/>
    </row>
    <row r="15261" spans="33:33">
      <c r="AG15261" s="10"/>
    </row>
    <row r="15262" spans="33:33">
      <c r="AG15262" s="10"/>
    </row>
    <row r="15263" spans="33:33">
      <c r="AG15263" s="10"/>
    </row>
    <row r="15264" spans="33:33">
      <c r="AG15264" s="10"/>
    </row>
    <row r="15265" spans="33:33">
      <c r="AG15265" s="10"/>
    </row>
    <row r="15266" spans="33:33">
      <c r="AG15266" s="10"/>
    </row>
    <row r="15267" spans="33:33">
      <c r="AG15267" s="10"/>
    </row>
    <row r="15268" spans="33:33">
      <c r="AG15268" s="10"/>
    </row>
    <row r="15269" spans="33:33">
      <c r="AG15269" s="10"/>
    </row>
    <row r="15270" spans="33:33">
      <c r="AG15270" s="10"/>
    </row>
    <row r="15271" spans="33:33">
      <c r="AG15271" s="10"/>
    </row>
    <row r="15272" spans="33:33">
      <c r="AG15272" s="10"/>
    </row>
    <row r="15273" spans="33:33">
      <c r="AG15273" s="10"/>
    </row>
    <row r="15274" spans="33:33">
      <c r="AG15274" s="10"/>
    </row>
    <row r="15275" spans="33:33">
      <c r="AG15275" s="10"/>
    </row>
    <row r="15276" spans="33:33">
      <c r="AG15276" s="10"/>
    </row>
    <row r="15277" spans="33:33">
      <c r="AG15277" s="10"/>
    </row>
    <row r="15278" spans="33:33">
      <c r="AG15278" s="10"/>
    </row>
    <row r="15279" spans="33:33">
      <c r="AG15279" s="10"/>
    </row>
    <row r="15280" spans="33:33">
      <c r="AG15280" s="10"/>
    </row>
    <row r="15281" spans="33:33">
      <c r="AG15281" s="10"/>
    </row>
    <row r="15282" spans="33:33">
      <c r="AG15282" s="10"/>
    </row>
    <row r="15283" spans="33:33">
      <c r="AG15283" s="10"/>
    </row>
    <row r="15284" spans="33:33">
      <c r="AG15284" s="10"/>
    </row>
    <row r="15285" spans="33:33">
      <c r="AG15285" s="10"/>
    </row>
    <row r="15286" spans="33:33">
      <c r="AG15286" s="10"/>
    </row>
    <row r="15287" spans="33:33">
      <c r="AG15287" s="10"/>
    </row>
    <row r="15288" spans="33:33">
      <c r="AG15288" s="10"/>
    </row>
    <row r="15289" spans="33:33">
      <c r="AG15289" s="10"/>
    </row>
    <row r="15290" spans="33:33">
      <c r="AG15290" s="10"/>
    </row>
    <row r="15291" spans="33:33">
      <c r="AG15291" s="10"/>
    </row>
    <row r="15292" spans="33:33">
      <c r="AG15292" s="10"/>
    </row>
    <row r="15293" spans="33:33">
      <c r="AG15293" s="10"/>
    </row>
    <row r="15294" spans="33:33">
      <c r="AG15294" s="10"/>
    </row>
    <row r="15295" spans="33:33">
      <c r="AG15295" s="10"/>
    </row>
    <row r="15296" spans="33:33">
      <c r="AG15296" s="10"/>
    </row>
    <row r="15297" spans="33:33">
      <c r="AG15297" s="10"/>
    </row>
    <row r="15298" spans="33:33">
      <c r="AG15298" s="10"/>
    </row>
    <row r="15299" spans="33:33">
      <c r="AG15299" s="10"/>
    </row>
    <row r="15300" spans="33:33">
      <c r="AG15300" s="10"/>
    </row>
    <row r="15301" spans="33:33">
      <c r="AG15301" s="10"/>
    </row>
    <row r="15302" spans="33:33">
      <c r="AG15302" s="10"/>
    </row>
    <row r="15303" spans="33:33">
      <c r="AG15303" s="10"/>
    </row>
    <row r="15304" spans="33:33">
      <c r="AG15304" s="10"/>
    </row>
    <row r="15305" spans="33:33">
      <c r="AG15305" s="10"/>
    </row>
    <row r="15306" spans="33:33">
      <c r="AG15306" s="10"/>
    </row>
    <row r="15307" spans="33:33">
      <c r="AG15307" s="10"/>
    </row>
    <row r="15308" spans="33:33">
      <c r="AG15308" s="10"/>
    </row>
    <row r="15309" spans="33:33">
      <c r="AG15309" s="10"/>
    </row>
    <row r="15310" spans="33:33">
      <c r="AG15310" s="10"/>
    </row>
    <row r="15311" spans="33:33">
      <c r="AG15311" s="10"/>
    </row>
    <row r="15312" spans="33:33">
      <c r="AG15312" s="10"/>
    </row>
    <row r="15313" spans="33:33">
      <c r="AG15313" s="10"/>
    </row>
    <row r="15314" spans="33:33">
      <c r="AG15314" s="10"/>
    </row>
    <row r="15315" spans="33:33">
      <c r="AG15315" s="10"/>
    </row>
    <row r="15316" spans="33:33">
      <c r="AG15316" s="10"/>
    </row>
    <row r="15317" spans="33:33">
      <c r="AG15317" s="10"/>
    </row>
    <row r="15318" spans="33:33">
      <c r="AG15318" s="10"/>
    </row>
    <row r="15319" spans="33:33">
      <c r="AG15319" s="10"/>
    </row>
    <row r="15320" spans="33:33">
      <c r="AG15320" s="10"/>
    </row>
    <row r="15321" spans="33:33">
      <c r="AG15321" s="10"/>
    </row>
    <row r="15322" spans="33:33">
      <c r="AG15322" s="10"/>
    </row>
    <row r="15323" spans="33:33">
      <c r="AG15323" s="10"/>
    </row>
    <row r="15324" spans="33:33">
      <c r="AG15324" s="10"/>
    </row>
    <row r="15325" spans="33:33">
      <c r="AG15325" s="10"/>
    </row>
    <row r="15326" spans="33:33">
      <c r="AG15326" s="10"/>
    </row>
    <row r="15327" spans="33:33">
      <c r="AG15327" s="10"/>
    </row>
    <row r="15328" spans="33:33">
      <c r="AG15328" s="10"/>
    </row>
    <row r="15329" spans="33:33">
      <c r="AG15329" s="10"/>
    </row>
    <row r="15330" spans="33:33">
      <c r="AG15330" s="10"/>
    </row>
    <row r="15331" spans="33:33">
      <c r="AG15331" s="10"/>
    </row>
    <row r="15332" spans="33:33">
      <c r="AG15332" s="10"/>
    </row>
    <row r="15333" spans="33:33">
      <c r="AG15333" s="10"/>
    </row>
    <row r="15334" spans="33:33">
      <c r="AG15334" s="10"/>
    </row>
    <row r="15335" spans="33:33">
      <c r="AG15335" s="10"/>
    </row>
    <row r="15336" spans="33:33">
      <c r="AG15336" s="10"/>
    </row>
    <row r="15337" spans="33:33">
      <c r="AG15337" s="10"/>
    </row>
    <row r="15338" spans="33:33">
      <c r="AG15338" s="10"/>
    </row>
    <row r="15339" spans="33:33">
      <c r="AG15339" s="10"/>
    </row>
    <row r="15340" spans="33:33">
      <c r="AG15340" s="10"/>
    </row>
    <row r="15341" spans="33:33">
      <c r="AG15341" s="10"/>
    </row>
    <row r="15342" spans="33:33">
      <c r="AG15342" s="10"/>
    </row>
    <row r="15343" spans="33:33">
      <c r="AG15343" s="10"/>
    </row>
    <row r="15344" spans="33:33">
      <c r="AG15344" s="10"/>
    </row>
    <row r="15345" spans="33:33">
      <c r="AG15345" s="10"/>
    </row>
    <row r="15346" spans="33:33">
      <c r="AG15346" s="10"/>
    </row>
    <row r="15347" spans="33:33">
      <c r="AG15347" s="10"/>
    </row>
    <row r="15348" spans="33:33">
      <c r="AG15348" s="10"/>
    </row>
    <row r="15349" spans="33:33">
      <c r="AG15349" s="10"/>
    </row>
    <row r="15350" spans="33:33">
      <c r="AG15350" s="10"/>
    </row>
    <row r="15351" spans="33:33">
      <c r="AG15351" s="10"/>
    </row>
    <row r="15352" spans="33:33">
      <c r="AG15352" s="10"/>
    </row>
    <row r="15353" spans="33:33">
      <c r="AG15353" s="10"/>
    </row>
    <row r="15354" spans="33:33">
      <c r="AG15354" s="10"/>
    </row>
    <row r="15355" spans="33:33">
      <c r="AG15355" s="10"/>
    </row>
    <row r="15356" spans="33:33">
      <c r="AG15356" s="10"/>
    </row>
    <row r="15357" spans="33:33">
      <c r="AG15357" s="10"/>
    </row>
    <row r="15358" spans="33:33">
      <c r="AG15358" s="10"/>
    </row>
    <row r="15359" spans="33:33">
      <c r="AG15359" s="10"/>
    </row>
    <row r="15360" spans="33:33">
      <c r="AG15360" s="10"/>
    </row>
    <row r="15361" spans="33:33">
      <c r="AG15361" s="10"/>
    </row>
    <row r="15362" spans="33:33">
      <c r="AG15362" s="10"/>
    </row>
    <row r="15363" spans="33:33">
      <c r="AG15363" s="10"/>
    </row>
    <row r="15364" spans="33:33">
      <c r="AG15364" s="10"/>
    </row>
    <row r="15365" spans="33:33">
      <c r="AG15365" s="10"/>
    </row>
    <row r="15366" spans="33:33">
      <c r="AG15366" s="10"/>
    </row>
    <row r="15367" spans="33:33">
      <c r="AG15367" s="10"/>
    </row>
    <row r="15368" spans="33:33">
      <c r="AG15368" s="10"/>
    </row>
    <row r="15369" spans="33:33">
      <c r="AG15369" s="10"/>
    </row>
    <row r="15370" spans="33:33">
      <c r="AG15370" s="10"/>
    </row>
    <row r="15371" spans="33:33">
      <c r="AG15371" s="10"/>
    </row>
    <row r="15372" spans="33:33">
      <c r="AG15372" s="10"/>
    </row>
    <row r="15373" spans="33:33">
      <c r="AG15373" s="10"/>
    </row>
    <row r="15374" spans="33:33">
      <c r="AG15374" s="10"/>
    </row>
    <row r="15375" spans="33:33">
      <c r="AG15375" s="10"/>
    </row>
    <row r="15376" spans="33:33">
      <c r="AG15376" s="10"/>
    </row>
    <row r="15377" spans="33:33">
      <c r="AG15377" s="10"/>
    </row>
    <row r="15378" spans="33:33">
      <c r="AG15378" s="10"/>
    </row>
    <row r="15379" spans="33:33">
      <c r="AG15379" s="10"/>
    </row>
    <row r="15380" spans="33:33">
      <c r="AG15380" s="10"/>
    </row>
    <row r="15381" spans="33:33">
      <c r="AG15381" s="10"/>
    </row>
    <row r="15382" spans="33:33">
      <c r="AG15382" s="10"/>
    </row>
    <row r="15383" spans="33:33">
      <c r="AG15383" s="10"/>
    </row>
    <row r="15384" spans="33:33">
      <c r="AG15384" s="10"/>
    </row>
    <row r="15385" spans="33:33">
      <c r="AG15385" s="10"/>
    </row>
    <row r="15386" spans="33:33">
      <c r="AG15386" s="10"/>
    </row>
    <row r="15387" spans="33:33">
      <c r="AG15387" s="10"/>
    </row>
    <row r="15388" spans="33:33">
      <c r="AG15388" s="10"/>
    </row>
    <row r="15389" spans="33:33">
      <c r="AG15389" s="10"/>
    </row>
    <row r="15390" spans="33:33">
      <c r="AG15390" s="10"/>
    </row>
    <row r="15391" spans="33:33">
      <c r="AG15391" s="10"/>
    </row>
    <row r="15392" spans="33:33">
      <c r="AG15392" s="10"/>
    </row>
    <row r="15393" spans="33:33">
      <c r="AG15393" s="10"/>
    </row>
    <row r="15394" spans="33:33">
      <c r="AG15394" s="10"/>
    </row>
    <row r="15395" spans="33:33">
      <c r="AG15395" s="10"/>
    </row>
    <row r="15396" spans="33:33">
      <c r="AG15396" s="10"/>
    </row>
    <row r="15397" spans="33:33">
      <c r="AG15397" s="10"/>
    </row>
    <row r="15398" spans="33:33">
      <c r="AG15398" s="10"/>
    </row>
    <row r="15399" spans="33:33">
      <c r="AG15399" s="10"/>
    </row>
    <row r="15400" spans="33:33">
      <c r="AG15400" s="10"/>
    </row>
    <row r="15401" spans="33:33">
      <c r="AG15401" s="10"/>
    </row>
    <row r="15402" spans="33:33">
      <c r="AG15402" s="10"/>
    </row>
    <row r="15403" spans="33:33">
      <c r="AG15403" s="10"/>
    </row>
    <row r="15404" spans="33:33">
      <c r="AG15404" s="10"/>
    </row>
    <row r="15405" spans="33:33">
      <c r="AG15405" s="10"/>
    </row>
    <row r="15406" spans="33:33">
      <c r="AG15406" s="10"/>
    </row>
    <row r="15407" spans="33:33">
      <c r="AG15407" s="10"/>
    </row>
    <row r="15408" spans="33:33">
      <c r="AG15408" s="10"/>
    </row>
    <row r="15409" spans="33:33">
      <c r="AG15409" s="10"/>
    </row>
    <row r="15410" spans="33:33">
      <c r="AG15410" s="10"/>
    </row>
    <row r="15411" spans="33:33">
      <c r="AG15411" s="10"/>
    </row>
    <row r="15412" spans="33:33">
      <c r="AG15412" s="10"/>
    </row>
    <row r="15413" spans="33:33">
      <c r="AG15413" s="10"/>
    </row>
    <row r="15414" spans="33:33">
      <c r="AG15414" s="10"/>
    </row>
    <row r="15415" spans="33:33">
      <c r="AG15415" s="10"/>
    </row>
    <row r="15416" spans="33:33">
      <c r="AG15416" s="10"/>
    </row>
    <row r="15417" spans="33:33">
      <c r="AG15417" s="10"/>
    </row>
    <row r="15418" spans="33:33">
      <c r="AG15418" s="10"/>
    </row>
    <row r="15419" spans="33:33">
      <c r="AG15419" s="10"/>
    </row>
    <row r="15420" spans="33:33">
      <c r="AG15420" s="10"/>
    </row>
    <row r="15421" spans="33:33">
      <c r="AG15421" s="10"/>
    </row>
    <row r="15422" spans="33:33">
      <c r="AG15422" s="10"/>
    </row>
    <row r="15423" spans="33:33">
      <c r="AG15423" s="10"/>
    </row>
    <row r="15424" spans="33:33">
      <c r="AG15424" s="10"/>
    </row>
    <row r="15425" spans="33:33">
      <c r="AG15425" s="10"/>
    </row>
    <row r="15426" spans="33:33">
      <c r="AG15426" s="10"/>
    </row>
    <row r="15427" spans="33:33">
      <c r="AG15427" s="10"/>
    </row>
    <row r="15428" spans="33:33">
      <c r="AG15428" s="10"/>
    </row>
    <row r="15429" spans="33:33">
      <c r="AG15429" s="10"/>
    </row>
    <row r="15430" spans="33:33">
      <c r="AG15430" s="10"/>
    </row>
    <row r="15431" spans="33:33">
      <c r="AG15431" s="10"/>
    </row>
    <row r="15432" spans="33:33">
      <c r="AG15432" s="10"/>
    </row>
    <row r="15433" spans="33:33">
      <c r="AG15433" s="10"/>
    </row>
    <row r="15434" spans="33:33">
      <c r="AG15434" s="10"/>
    </row>
    <row r="15435" spans="33:33">
      <c r="AG15435" s="10"/>
    </row>
    <row r="15436" spans="33:33">
      <c r="AG15436" s="10"/>
    </row>
    <row r="15437" spans="33:33">
      <c r="AG15437" s="10"/>
    </row>
    <row r="15438" spans="33:33">
      <c r="AG15438" s="10"/>
    </row>
    <row r="15439" spans="33:33">
      <c r="AG15439" s="10"/>
    </row>
    <row r="15440" spans="33:33">
      <c r="AG15440" s="10"/>
    </row>
    <row r="15441" spans="33:33">
      <c r="AG15441" s="10"/>
    </row>
    <row r="15442" spans="33:33">
      <c r="AG15442" s="10"/>
    </row>
    <row r="15443" spans="33:33">
      <c r="AG15443" s="10"/>
    </row>
    <row r="15444" spans="33:33">
      <c r="AG15444" s="10"/>
    </row>
    <row r="15445" spans="33:33">
      <c r="AG15445" s="10"/>
    </row>
    <row r="15446" spans="33:33">
      <c r="AG15446" s="10"/>
    </row>
    <row r="15447" spans="33:33">
      <c r="AG15447" s="10"/>
    </row>
    <row r="15448" spans="33:33">
      <c r="AG15448" s="10"/>
    </row>
    <row r="15449" spans="33:33">
      <c r="AG15449" s="10"/>
    </row>
    <row r="15450" spans="33:33">
      <c r="AG15450" s="10"/>
    </row>
    <row r="15451" spans="33:33">
      <c r="AG15451" s="10"/>
    </row>
    <row r="15452" spans="33:33">
      <c r="AG15452" s="10"/>
    </row>
    <row r="15453" spans="33:33">
      <c r="AG15453" s="10"/>
    </row>
    <row r="15454" spans="33:33">
      <c r="AG15454" s="10"/>
    </row>
    <row r="15455" spans="33:33">
      <c r="AG15455" s="10"/>
    </row>
    <row r="15456" spans="33:33">
      <c r="AG15456" s="10"/>
    </row>
    <row r="15457" spans="33:33">
      <c r="AG15457" s="10"/>
    </row>
    <row r="15458" spans="33:33">
      <c r="AG15458" s="10"/>
    </row>
    <row r="15459" spans="33:33">
      <c r="AG15459" s="10"/>
    </row>
    <row r="15460" spans="33:33">
      <c r="AG15460" s="10"/>
    </row>
    <row r="15461" spans="33:33">
      <c r="AG15461" s="10"/>
    </row>
    <row r="15462" spans="33:33">
      <c r="AG15462" s="10"/>
    </row>
    <row r="15463" spans="33:33">
      <c r="AG15463" s="10"/>
    </row>
    <row r="15464" spans="33:33">
      <c r="AG15464" s="10"/>
    </row>
    <row r="15465" spans="33:33">
      <c r="AG15465" s="10"/>
    </row>
    <row r="15466" spans="33:33">
      <c r="AG15466" s="10"/>
    </row>
    <row r="15467" spans="33:33">
      <c r="AG15467" s="10"/>
    </row>
    <row r="15468" spans="33:33">
      <c r="AG15468" s="10"/>
    </row>
    <row r="15469" spans="33:33">
      <c r="AG15469" s="10"/>
    </row>
    <row r="15470" spans="33:33">
      <c r="AG15470" s="10"/>
    </row>
    <row r="15471" spans="33:33">
      <c r="AG15471" s="10"/>
    </row>
    <row r="15472" spans="33:33">
      <c r="AG15472" s="10"/>
    </row>
    <row r="15473" spans="33:33">
      <c r="AG15473" s="10"/>
    </row>
    <row r="15474" spans="33:33">
      <c r="AG15474" s="10"/>
    </row>
    <row r="15475" spans="33:33">
      <c r="AG15475" s="10"/>
    </row>
    <row r="15476" spans="33:33">
      <c r="AG15476" s="10"/>
    </row>
    <row r="15477" spans="33:33">
      <c r="AG15477" s="10"/>
    </row>
    <row r="15478" spans="33:33">
      <c r="AG15478" s="10"/>
    </row>
    <row r="15479" spans="33:33">
      <c r="AG15479" s="10"/>
    </row>
    <row r="15480" spans="33:33">
      <c r="AG15480" s="10"/>
    </row>
    <row r="15481" spans="33:33">
      <c r="AG15481" s="10"/>
    </row>
    <row r="15482" spans="33:33">
      <c r="AG15482" s="10"/>
    </row>
    <row r="15483" spans="33:33">
      <c r="AG15483" s="10"/>
    </row>
    <row r="15484" spans="33:33">
      <c r="AG15484" s="10"/>
    </row>
    <row r="15485" spans="33:33">
      <c r="AG15485" s="10"/>
    </row>
    <row r="15486" spans="33:33">
      <c r="AG15486" s="10"/>
    </row>
    <row r="15487" spans="33:33">
      <c r="AG15487" s="10"/>
    </row>
    <row r="15488" spans="33:33">
      <c r="AG15488" s="10"/>
    </row>
    <row r="15489" spans="33:33">
      <c r="AG15489" s="10"/>
    </row>
    <row r="15490" spans="33:33">
      <c r="AG15490" s="10"/>
    </row>
    <row r="15491" spans="33:33">
      <c r="AG15491" s="10"/>
    </row>
    <row r="15492" spans="33:33">
      <c r="AG15492" s="10"/>
    </row>
    <row r="15493" spans="33:33">
      <c r="AG15493" s="10"/>
    </row>
    <row r="15494" spans="33:33">
      <c r="AG15494" s="10"/>
    </row>
    <row r="15495" spans="33:33">
      <c r="AG15495" s="10"/>
    </row>
    <row r="15496" spans="33:33">
      <c r="AG15496" s="10"/>
    </row>
    <row r="15497" spans="33:33">
      <c r="AG15497" s="10"/>
    </row>
    <row r="15498" spans="33:33">
      <c r="AG15498" s="10"/>
    </row>
    <row r="15499" spans="33:33">
      <c r="AG15499" s="10"/>
    </row>
    <row r="15500" spans="33:33">
      <c r="AG15500" s="10"/>
    </row>
    <row r="15501" spans="33:33">
      <c r="AG15501" s="10"/>
    </row>
    <row r="15502" spans="33:33">
      <c r="AG15502" s="10"/>
    </row>
    <row r="15503" spans="33:33">
      <c r="AG15503" s="10"/>
    </row>
    <row r="15504" spans="33:33">
      <c r="AG15504" s="10"/>
    </row>
    <row r="15505" spans="33:33">
      <c r="AG15505" s="10"/>
    </row>
    <row r="15506" spans="33:33">
      <c r="AG15506" s="10"/>
    </row>
    <row r="15507" spans="33:33">
      <c r="AG15507" s="10"/>
    </row>
    <row r="15508" spans="33:33">
      <c r="AG15508" s="10"/>
    </row>
    <row r="15509" spans="33:33">
      <c r="AG15509" s="10"/>
    </row>
    <row r="15510" spans="33:33">
      <c r="AG15510" s="10"/>
    </row>
    <row r="15511" spans="33:33">
      <c r="AG15511" s="10"/>
    </row>
    <row r="15512" spans="33:33">
      <c r="AG15512" s="10"/>
    </row>
    <row r="15513" spans="33:33">
      <c r="AG15513" s="10"/>
    </row>
    <row r="15514" spans="33:33">
      <c r="AG15514" s="10"/>
    </row>
    <row r="15515" spans="33:33">
      <c r="AG15515" s="10"/>
    </row>
    <row r="15516" spans="33:33">
      <c r="AG15516" s="10"/>
    </row>
    <row r="15517" spans="33:33">
      <c r="AG15517" s="10"/>
    </row>
    <row r="15518" spans="33:33">
      <c r="AG15518" s="10"/>
    </row>
    <row r="15519" spans="33:33">
      <c r="AG15519" s="10"/>
    </row>
    <row r="15520" spans="33:33">
      <c r="AG15520" s="10"/>
    </row>
    <row r="15521" spans="33:33">
      <c r="AG15521" s="10"/>
    </row>
    <row r="15522" spans="33:33">
      <c r="AG15522" s="10"/>
    </row>
    <row r="15523" spans="33:33">
      <c r="AG15523" s="10"/>
    </row>
    <row r="15524" spans="33:33">
      <c r="AG15524" s="10"/>
    </row>
    <row r="15525" spans="33:33">
      <c r="AG15525" s="10"/>
    </row>
    <row r="15526" spans="33:33">
      <c r="AG15526" s="10"/>
    </row>
    <row r="15527" spans="33:33">
      <c r="AG15527" s="10"/>
    </row>
    <row r="15528" spans="33:33">
      <c r="AG15528" s="10"/>
    </row>
    <row r="15529" spans="33:33">
      <c r="AG15529" s="10"/>
    </row>
    <row r="15530" spans="33:33">
      <c r="AG15530" s="10"/>
    </row>
    <row r="15531" spans="33:33">
      <c r="AG15531" s="10"/>
    </row>
    <row r="15532" spans="33:33">
      <c r="AG15532" s="10"/>
    </row>
    <row r="15533" spans="33:33">
      <c r="AG15533" s="10"/>
    </row>
    <row r="15534" spans="33:33">
      <c r="AG15534" s="10"/>
    </row>
    <row r="15535" spans="33:33">
      <c r="AG15535" s="10"/>
    </row>
    <row r="15536" spans="33:33">
      <c r="AG15536" s="10"/>
    </row>
    <row r="15537" spans="33:33">
      <c r="AG15537" s="10"/>
    </row>
    <row r="15538" spans="33:33">
      <c r="AG15538" s="10"/>
    </row>
    <row r="15539" spans="33:33">
      <c r="AG15539" s="10"/>
    </row>
    <row r="15540" spans="33:33">
      <c r="AG15540" s="10"/>
    </row>
    <row r="15541" spans="33:33">
      <c r="AG15541" s="10"/>
    </row>
    <row r="15542" spans="33:33">
      <c r="AG15542" s="10"/>
    </row>
    <row r="15543" spans="33:33">
      <c r="AG15543" s="10"/>
    </row>
    <row r="15544" spans="33:33">
      <c r="AG15544" s="10"/>
    </row>
    <row r="15545" spans="33:33">
      <c r="AG15545" s="10"/>
    </row>
    <row r="15546" spans="33:33">
      <c r="AG15546" s="10"/>
    </row>
    <row r="15547" spans="33:33">
      <c r="AG15547" s="10"/>
    </row>
    <row r="15548" spans="33:33">
      <c r="AG15548" s="10"/>
    </row>
    <row r="15549" spans="33:33">
      <c r="AG15549" s="10"/>
    </row>
    <row r="15550" spans="33:33">
      <c r="AG15550" s="10"/>
    </row>
    <row r="15551" spans="33:33">
      <c r="AG15551" s="10"/>
    </row>
    <row r="15552" spans="33:33">
      <c r="AG15552" s="10"/>
    </row>
    <row r="15553" spans="33:33">
      <c r="AG15553" s="10"/>
    </row>
    <row r="15554" spans="33:33">
      <c r="AG15554" s="10"/>
    </row>
    <row r="15555" spans="33:33">
      <c r="AG15555" s="10"/>
    </row>
    <row r="15556" spans="33:33">
      <c r="AG15556" s="10"/>
    </row>
    <row r="15557" spans="33:33">
      <c r="AG15557" s="10"/>
    </row>
    <row r="15558" spans="33:33">
      <c r="AG15558" s="10"/>
    </row>
    <row r="15559" spans="33:33">
      <c r="AG15559" s="10"/>
    </row>
    <row r="15560" spans="33:33">
      <c r="AG15560" s="10"/>
    </row>
    <row r="15561" spans="33:33">
      <c r="AG15561" s="10"/>
    </row>
    <row r="15562" spans="33:33">
      <c r="AG15562" s="10"/>
    </row>
    <row r="15563" spans="33:33">
      <c r="AG15563" s="10"/>
    </row>
    <row r="15564" spans="33:33">
      <c r="AG15564" s="10"/>
    </row>
    <row r="15565" spans="33:33">
      <c r="AG15565" s="10"/>
    </row>
    <row r="15566" spans="33:33">
      <c r="AG15566" s="10"/>
    </row>
    <row r="15567" spans="33:33">
      <c r="AG15567" s="10"/>
    </row>
    <row r="15568" spans="33:33">
      <c r="AG15568" s="10"/>
    </row>
    <row r="15569" spans="33:33">
      <c r="AG15569" s="10"/>
    </row>
    <row r="15570" spans="33:33">
      <c r="AG15570" s="10"/>
    </row>
    <row r="15571" spans="33:33">
      <c r="AG15571" s="10"/>
    </row>
    <row r="15572" spans="33:33">
      <c r="AG15572" s="10"/>
    </row>
    <row r="15573" spans="33:33">
      <c r="AG15573" s="10"/>
    </row>
    <row r="15574" spans="33:33">
      <c r="AG15574" s="10"/>
    </row>
    <row r="15575" spans="33:33">
      <c r="AG15575" s="10"/>
    </row>
    <row r="15576" spans="33:33">
      <c r="AG15576" s="10"/>
    </row>
    <row r="15577" spans="33:33">
      <c r="AG15577" s="10"/>
    </row>
    <row r="15578" spans="33:33">
      <c r="AG15578" s="10"/>
    </row>
    <row r="15579" spans="33:33">
      <c r="AG15579" s="10"/>
    </row>
    <row r="15580" spans="33:33">
      <c r="AG15580" s="10"/>
    </row>
    <row r="15581" spans="33:33">
      <c r="AG15581" s="10"/>
    </row>
    <row r="15582" spans="33:33">
      <c r="AG15582" s="10"/>
    </row>
    <row r="15583" spans="33:33">
      <c r="AG15583" s="10"/>
    </row>
    <row r="15584" spans="33:33">
      <c r="AG15584" s="10"/>
    </row>
    <row r="15585" spans="33:33">
      <c r="AG15585" s="10"/>
    </row>
    <row r="15586" spans="33:33">
      <c r="AG15586" s="10"/>
    </row>
    <row r="15587" spans="33:33">
      <c r="AG15587" s="10"/>
    </row>
    <row r="15588" spans="33:33">
      <c r="AG15588" s="10"/>
    </row>
    <row r="15589" spans="33:33">
      <c r="AG15589" s="10"/>
    </row>
    <row r="15590" spans="33:33">
      <c r="AG15590" s="10"/>
    </row>
    <row r="15591" spans="33:33">
      <c r="AG15591" s="10"/>
    </row>
    <row r="15592" spans="33:33">
      <c r="AG15592" s="10"/>
    </row>
    <row r="15593" spans="33:33">
      <c r="AG15593" s="10"/>
    </row>
    <row r="15594" spans="33:33">
      <c r="AG15594" s="10"/>
    </row>
    <row r="15595" spans="33:33">
      <c r="AG15595" s="10"/>
    </row>
    <row r="15596" spans="33:33">
      <c r="AG15596" s="10"/>
    </row>
    <row r="15597" spans="33:33">
      <c r="AG15597" s="10"/>
    </row>
    <row r="15598" spans="33:33">
      <c r="AG15598" s="10"/>
    </row>
    <row r="15599" spans="33:33">
      <c r="AG15599" s="10"/>
    </row>
    <row r="15600" spans="33:33">
      <c r="AG15600" s="10"/>
    </row>
    <row r="15601" spans="33:33">
      <c r="AG15601" s="10"/>
    </row>
    <row r="15602" spans="33:33">
      <c r="AG15602" s="10"/>
    </row>
    <row r="15603" spans="33:33">
      <c r="AG15603" s="10"/>
    </row>
    <row r="15604" spans="33:33">
      <c r="AG15604" s="10"/>
    </row>
    <row r="15605" spans="33:33">
      <c r="AG15605" s="10"/>
    </row>
    <row r="15606" spans="33:33">
      <c r="AG15606" s="10"/>
    </row>
    <row r="15607" spans="33:33">
      <c r="AG15607" s="10"/>
    </row>
    <row r="15608" spans="33:33">
      <c r="AG15608" s="10"/>
    </row>
    <row r="15609" spans="33:33">
      <c r="AG15609" s="10"/>
    </row>
    <row r="15610" spans="33:33">
      <c r="AG15610" s="10"/>
    </row>
    <row r="15611" spans="33:33">
      <c r="AG15611" s="10"/>
    </row>
    <row r="15612" spans="33:33">
      <c r="AG15612" s="10"/>
    </row>
    <row r="15613" spans="33:33">
      <c r="AG15613" s="10"/>
    </row>
    <row r="15614" spans="33:33">
      <c r="AG15614" s="10"/>
    </row>
    <row r="15615" spans="33:33">
      <c r="AG15615" s="10"/>
    </row>
    <row r="15616" spans="33:33">
      <c r="AG15616" s="10"/>
    </row>
    <row r="15617" spans="33:33">
      <c r="AG15617" s="10"/>
    </row>
    <row r="15618" spans="33:33">
      <c r="AG15618" s="10"/>
    </row>
    <row r="15619" spans="33:33">
      <c r="AG15619" s="10"/>
    </row>
    <row r="15620" spans="33:33">
      <c r="AG15620" s="10"/>
    </row>
    <row r="15621" spans="33:33">
      <c r="AG15621" s="10"/>
    </row>
    <row r="15622" spans="33:33">
      <c r="AG15622" s="10"/>
    </row>
    <row r="15623" spans="33:33">
      <c r="AG15623" s="10"/>
    </row>
    <row r="15624" spans="33:33">
      <c r="AG15624" s="10"/>
    </row>
    <row r="15625" spans="33:33">
      <c r="AG15625" s="10"/>
    </row>
    <row r="15626" spans="33:33">
      <c r="AG15626" s="10"/>
    </row>
    <row r="15627" spans="33:33">
      <c r="AG15627" s="10"/>
    </row>
    <row r="15628" spans="33:33">
      <c r="AG15628" s="10"/>
    </row>
    <row r="15629" spans="33:33">
      <c r="AG15629" s="10"/>
    </row>
    <row r="15630" spans="33:33">
      <c r="AG15630" s="10"/>
    </row>
    <row r="15631" spans="33:33">
      <c r="AG15631" s="10"/>
    </row>
    <row r="15632" spans="33:33">
      <c r="AG15632" s="10"/>
    </row>
    <row r="15633" spans="33:33">
      <c r="AG15633" s="10"/>
    </row>
    <row r="15634" spans="33:33">
      <c r="AG15634" s="10"/>
    </row>
    <row r="15635" spans="33:33">
      <c r="AG15635" s="10"/>
    </row>
    <row r="15636" spans="33:33">
      <c r="AG15636" s="10"/>
    </row>
    <row r="15637" spans="33:33">
      <c r="AG15637" s="10"/>
    </row>
    <row r="15638" spans="33:33">
      <c r="AG15638" s="10"/>
    </row>
    <row r="15639" spans="33:33">
      <c r="AG15639" s="10"/>
    </row>
    <row r="15640" spans="33:33">
      <c r="AG15640" s="10"/>
    </row>
    <row r="15641" spans="33:33">
      <c r="AG15641" s="10"/>
    </row>
    <row r="15642" spans="33:33">
      <c r="AG15642" s="10"/>
    </row>
    <row r="15643" spans="33:33">
      <c r="AG15643" s="10"/>
    </row>
    <row r="15644" spans="33:33">
      <c r="AG15644" s="10"/>
    </row>
    <row r="15645" spans="33:33">
      <c r="AG15645" s="10"/>
    </row>
    <row r="15646" spans="33:33">
      <c r="AG15646" s="10"/>
    </row>
    <row r="15647" spans="33:33">
      <c r="AG15647" s="10"/>
    </row>
    <row r="15648" spans="33:33">
      <c r="AG15648" s="10"/>
    </row>
    <row r="15649" spans="33:33">
      <c r="AG15649" s="10"/>
    </row>
    <row r="15650" spans="33:33">
      <c r="AG15650" s="10"/>
    </row>
    <row r="15651" spans="33:33">
      <c r="AG15651" s="10"/>
    </row>
    <row r="15652" spans="33:33">
      <c r="AG15652" s="10"/>
    </row>
    <row r="15653" spans="33:33">
      <c r="AG15653" s="10"/>
    </row>
    <row r="15654" spans="33:33">
      <c r="AG15654" s="10"/>
    </row>
    <row r="15655" spans="33:33">
      <c r="AG15655" s="10"/>
    </row>
    <row r="15656" spans="33:33">
      <c r="AG15656" s="10"/>
    </row>
    <row r="15657" spans="33:33">
      <c r="AG15657" s="10"/>
    </row>
    <row r="15658" spans="33:33">
      <c r="AG15658" s="10"/>
    </row>
    <row r="15659" spans="33:33">
      <c r="AG15659" s="10"/>
    </row>
    <row r="15660" spans="33:33">
      <c r="AG15660" s="10"/>
    </row>
    <row r="15661" spans="33:33">
      <c r="AG15661" s="10"/>
    </row>
    <row r="15662" spans="33:33">
      <c r="AG15662" s="10"/>
    </row>
    <row r="15663" spans="33:33">
      <c r="AG15663" s="10"/>
    </row>
    <row r="15664" spans="33:33">
      <c r="AG15664" s="10"/>
    </row>
    <row r="15665" spans="33:33">
      <c r="AG15665" s="10"/>
    </row>
    <row r="15666" spans="33:33">
      <c r="AG15666" s="10"/>
    </row>
    <row r="15667" spans="33:33">
      <c r="AG15667" s="10"/>
    </row>
    <row r="15668" spans="33:33">
      <c r="AG15668" s="10"/>
    </row>
    <row r="15669" spans="33:33">
      <c r="AG15669" s="10"/>
    </row>
    <row r="15670" spans="33:33">
      <c r="AG15670" s="10"/>
    </row>
    <row r="15671" spans="33:33">
      <c r="AG15671" s="10"/>
    </row>
    <row r="15672" spans="33:33">
      <c r="AG15672" s="10"/>
    </row>
    <row r="15673" spans="33:33">
      <c r="AG15673" s="10"/>
    </row>
    <row r="15674" spans="33:33">
      <c r="AG15674" s="10"/>
    </row>
    <row r="15675" spans="33:33">
      <c r="AG15675" s="10"/>
    </row>
    <row r="15676" spans="33:33">
      <c r="AG15676" s="10"/>
    </row>
    <row r="15677" spans="33:33">
      <c r="AG15677" s="10"/>
    </row>
    <row r="15678" spans="33:33">
      <c r="AG15678" s="10"/>
    </row>
    <row r="15679" spans="33:33">
      <c r="AG15679" s="10"/>
    </row>
    <row r="15680" spans="33:33">
      <c r="AG15680" s="10"/>
    </row>
    <row r="15681" spans="33:33">
      <c r="AG15681" s="10"/>
    </row>
    <row r="15682" spans="33:33">
      <c r="AG15682" s="10"/>
    </row>
    <row r="15683" spans="33:33">
      <c r="AG15683" s="10"/>
    </row>
    <row r="15684" spans="33:33">
      <c r="AG15684" s="10"/>
    </row>
    <row r="15685" spans="33:33">
      <c r="AG15685" s="10"/>
    </row>
    <row r="15686" spans="33:33">
      <c r="AG15686" s="10"/>
    </row>
    <row r="15687" spans="33:33">
      <c r="AG15687" s="10"/>
    </row>
    <row r="15688" spans="33:33">
      <c r="AG15688" s="10"/>
    </row>
    <row r="15689" spans="33:33">
      <c r="AG15689" s="10"/>
    </row>
    <row r="15690" spans="33:33">
      <c r="AG15690" s="10"/>
    </row>
    <row r="15691" spans="33:33">
      <c r="AG15691" s="10"/>
    </row>
    <row r="15692" spans="33:33">
      <c r="AG15692" s="10"/>
    </row>
    <row r="15693" spans="33:33">
      <c r="AG15693" s="10"/>
    </row>
    <row r="15694" spans="33:33">
      <c r="AG15694" s="10"/>
    </row>
    <row r="15695" spans="33:33">
      <c r="AG15695" s="10"/>
    </row>
    <row r="15696" spans="33:33">
      <c r="AG15696" s="10"/>
    </row>
    <row r="15697" spans="33:33">
      <c r="AG15697" s="10"/>
    </row>
    <row r="15698" spans="33:33">
      <c r="AG15698" s="10"/>
    </row>
    <row r="15699" spans="33:33">
      <c r="AG15699" s="10"/>
    </row>
    <row r="15700" spans="33:33">
      <c r="AG15700" s="10"/>
    </row>
    <row r="15701" spans="33:33">
      <c r="AG15701" s="10"/>
    </row>
    <row r="15702" spans="33:33">
      <c r="AG15702" s="10"/>
    </row>
    <row r="15703" spans="33:33">
      <c r="AG15703" s="10"/>
    </row>
    <row r="15704" spans="33:33">
      <c r="AG15704" s="10"/>
    </row>
    <row r="15705" spans="33:33">
      <c r="AG15705" s="10"/>
    </row>
    <row r="15706" spans="33:33">
      <c r="AG15706" s="10"/>
    </row>
    <row r="15707" spans="33:33">
      <c r="AG15707" s="10"/>
    </row>
    <row r="15708" spans="33:33">
      <c r="AG15708" s="10"/>
    </row>
    <row r="15709" spans="33:33">
      <c r="AG15709" s="10"/>
    </row>
    <row r="15710" spans="33:33">
      <c r="AG15710" s="10"/>
    </row>
    <row r="15711" spans="33:33">
      <c r="AG15711" s="10"/>
    </row>
    <row r="15712" spans="33:33">
      <c r="AG15712" s="10"/>
    </row>
    <row r="15713" spans="33:33">
      <c r="AG15713" s="10"/>
    </row>
    <row r="15714" spans="33:33">
      <c r="AG15714" s="10"/>
    </row>
    <row r="15715" spans="33:33">
      <c r="AG15715" s="10"/>
    </row>
    <row r="15716" spans="33:33">
      <c r="AG15716" s="10"/>
    </row>
    <row r="15717" spans="33:33">
      <c r="AG15717" s="10"/>
    </row>
    <row r="15718" spans="33:33">
      <c r="AG15718" s="10"/>
    </row>
    <row r="15719" spans="33:33">
      <c r="AG15719" s="10"/>
    </row>
    <row r="15720" spans="33:33">
      <c r="AG15720" s="10"/>
    </row>
    <row r="15721" spans="33:33">
      <c r="AG15721" s="10"/>
    </row>
    <row r="15722" spans="33:33">
      <c r="AG15722" s="10"/>
    </row>
    <row r="15723" spans="33:33">
      <c r="AG15723" s="10"/>
    </row>
    <row r="15724" spans="33:33">
      <c r="AG15724" s="10"/>
    </row>
    <row r="15725" spans="33:33">
      <c r="AG15725" s="10"/>
    </row>
    <row r="15726" spans="33:33">
      <c r="AG15726" s="10"/>
    </row>
    <row r="15727" spans="33:33">
      <c r="AG15727" s="10"/>
    </row>
    <row r="15728" spans="33:33">
      <c r="AG15728" s="10"/>
    </row>
    <row r="15729" spans="33:33">
      <c r="AG15729" s="10"/>
    </row>
    <row r="15730" spans="33:33">
      <c r="AG15730" s="10"/>
    </row>
    <row r="15731" spans="33:33">
      <c r="AG15731" s="10"/>
    </row>
    <row r="15732" spans="33:33">
      <c r="AG15732" s="10"/>
    </row>
    <row r="15733" spans="33:33">
      <c r="AG15733" s="10"/>
    </row>
    <row r="15734" spans="33:33">
      <c r="AG15734" s="10"/>
    </row>
    <row r="15735" spans="33:33">
      <c r="AG15735" s="10"/>
    </row>
    <row r="15736" spans="33:33">
      <c r="AG15736" s="10"/>
    </row>
    <row r="15737" spans="33:33">
      <c r="AG15737" s="10"/>
    </row>
    <row r="15738" spans="33:33">
      <c r="AG15738" s="10"/>
    </row>
    <row r="15739" spans="33:33">
      <c r="AG15739" s="10"/>
    </row>
    <row r="15740" spans="33:33">
      <c r="AG15740" s="10"/>
    </row>
    <row r="15741" spans="33:33">
      <c r="AG15741" s="10"/>
    </row>
    <row r="15742" spans="33:33">
      <c r="AG15742" s="10"/>
    </row>
    <row r="15743" spans="33:33">
      <c r="AG15743" s="10"/>
    </row>
    <row r="15744" spans="33:33">
      <c r="AG15744" s="10"/>
    </row>
    <row r="15745" spans="33:33">
      <c r="AG15745" s="10"/>
    </row>
    <row r="15746" spans="33:33">
      <c r="AG15746" s="10"/>
    </row>
    <row r="15747" spans="33:33">
      <c r="AG15747" s="10"/>
    </row>
    <row r="15748" spans="33:33">
      <c r="AG15748" s="10"/>
    </row>
    <row r="15749" spans="33:33">
      <c r="AG15749" s="10"/>
    </row>
    <row r="15750" spans="33:33">
      <c r="AG15750" s="10"/>
    </row>
    <row r="15751" spans="33:33">
      <c r="AG15751" s="10"/>
    </row>
    <row r="15752" spans="33:33">
      <c r="AG15752" s="10"/>
    </row>
    <row r="15753" spans="33:33">
      <c r="AG15753" s="10"/>
    </row>
    <row r="15754" spans="33:33">
      <c r="AG15754" s="10"/>
    </row>
    <row r="15755" spans="33:33">
      <c r="AG15755" s="10"/>
    </row>
    <row r="15756" spans="33:33">
      <c r="AG15756" s="10"/>
    </row>
    <row r="15757" spans="33:33">
      <c r="AG15757" s="10"/>
    </row>
    <row r="15758" spans="33:33">
      <c r="AG15758" s="10"/>
    </row>
    <row r="15759" spans="33:33">
      <c r="AG15759" s="10"/>
    </row>
    <row r="15760" spans="33:33">
      <c r="AG15760" s="10"/>
    </row>
    <row r="15761" spans="33:33">
      <c r="AG15761" s="10"/>
    </row>
    <row r="15762" spans="33:33">
      <c r="AG15762" s="10"/>
    </row>
    <row r="15763" spans="33:33">
      <c r="AG15763" s="10"/>
    </row>
    <row r="15764" spans="33:33">
      <c r="AG15764" s="10"/>
    </row>
    <row r="15765" spans="33:33">
      <c r="AG15765" s="10"/>
    </row>
    <row r="15766" spans="33:33">
      <c r="AG15766" s="10"/>
    </row>
    <row r="15767" spans="33:33">
      <c r="AG15767" s="10"/>
    </row>
    <row r="15768" spans="33:33">
      <c r="AG15768" s="10"/>
    </row>
    <row r="15769" spans="33:33">
      <c r="AG15769" s="10"/>
    </row>
    <row r="15770" spans="33:33">
      <c r="AG15770" s="10"/>
    </row>
    <row r="15771" spans="33:33">
      <c r="AG15771" s="10"/>
    </row>
    <row r="15772" spans="33:33">
      <c r="AG15772" s="10"/>
    </row>
    <row r="15773" spans="33:33">
      <c r="AG15773" s="10"/>
    </row>
    <row r="15774" spans="33:33">
      <c r="AG15774" s="10"/>
    </row>
    <row r="15775" spans="33:33">
      <c r="AG15775" s="10"/>
    </row>
    <row r="15776" spans="33:33">
      <c r="AG15776" s="10"/>
    </row>
    <row r="15777" spans="33:33">
      <c r="AG15777" s="10"/>
    </row>
    <row r="15778" spans="33:33">
      <c r="AG15778" s="10"/>
    </row>
    <row r="15779" spans="33:33">
      <c r="AG15779" s="10"/>
    </row>
    <row r="15780" spans="33:33">
      <c r="AG15780" s="10"/>
    </row>
    <row r="15781" spans="33:33">
      <c r="AG15781" s="10"/>
    </row>
    <row r="15782" spans="33:33">
      <c r="AG15782" s="10"/>
    </row>
    <row r="15783" spans="33:33">
      <c r="AG15783" s="10"/>
    </row>
    <row r="15784" spans="33:33">
      <c r="AG15784" s="10"/>
    </row>
    <row r="15785" spans="33:33">
      <c r="AG15785" s="10"/>
    </row>
    <row r="15786" spans="33:33">
      <c r="AG15786" s="10"/>
    </row>
    <row r="15787" spans="33:33">
      <c r="AG15787" s="10"/>
    </row>
    <row r="15788" spans="33:33">
      <c r="AG15788" s="10"/>
    </row>
    <row r="15789" spans="33:33">
      <c r="AG15789" s="10"/>
    </row>
    <row r="15790" spans="33:33">
      <c r="AG15790" s="10"/>
    </row>
    <row r="15791" spans="33:33">
      <c r="AG15791" s="10"/>
    </row>
    <row r="15792" spans="33:33">
      <c r="AG15792" s="10"/>
    </row>
    <row r="15793" spans="33:33">
      <c r="AG15793" s="10"/>
    </row>
    <row r="15794" spans="33:33">
      <c r="AG15794" s="10"/>
    </row>
    <row r="15795" spans="33:33">
      <c r="AG15795" s="10"/>
    </row>
    <row r="15796" spans="33:33">
      <c r="AG15796" s="10"/>
    </row>
    <row r="15797" spans="33:33">
      <c r="AG15797" s="10"/>
    </row>
    <row r="15798" spans="33:33">
      <c r="AG15798" s="10"/>
    </row>
    <row r="15799" spans="33:33">
      <c r="AG15799" s="10"/>
    </row>
    <row r="15800" spans="33:33">
      <c r="AG15800" s="10"/>
    </row>
    <row r="15801" spans="33:33">
      <c r="AG15801" s="10"/>
    </row>
    <row r="15802" spans="33:33">
      <c r="AG15802" s="10"/>
    </row>
    <row r="15803" spans="33:33">
      <c r="AG15803" s="10"/>
    </row>
    <row r="15804" spans="33:33">
      <c r="AG15804" s="10"/>
    </row>
    <row r="15805" spans="33:33">
      <c r="AG15805" s="10"/>
    </row>
    <row r="15806" spans="33:33">
      <c r="AG15806" s="10"/>
    </row>
    <row r="15807" spans="33:33">
      <c r="AG15807" s="10"/>
    </row>
    <row r="15808" spans="33:33">
      <c r="AG15808" s="10"/>
    </row>
    <row r="15809" spans="33:33">
      <c r="AG15809" s="10"/>
    </row>
    <row r="15810" spans="33:33">
      <c r="AG15810" s="10"/>
    </row>
    <row r="15811" spans="33:33">
      <c r="AG15811" s="10"/>
    </row>
    <row r="15812" spans="33:33">
      <c r="AG15812" s="10"/>
    </row>
    <row r="15813" spans="33:33">
      <c r="AG15813" s="10"/>
    </row>
    <row r="15814" spans="33:33">
      <c r="AG15814" s="10"/>
    </row>
    <row r="15815" spans="33:33">
      <c r="AG15815" s="10"/>
    </row>
    <row r="15816" spans="33:33">
      <c r="AG15816" s="10"/>
    </row>
    <row r="15817" spans="33:33">
      <c r="AG15817" s="10"/>
    </row>
    <row r="15818" spans="33:33">
      <c r="AG15818" s="10"/>
    </row>
    <row r="15819" spans="33:33">
      <c r="AG15819" s="10"/>
    </row>
    <row r="15820" spans="33:33">
      <c r="AG15820" s="10"/>
    </row>
    <row r="15821" spans="33:33">
      <c r="AG15821" s="10"/>
    </row>
    <row r="15822" spans="33:33">
      <c r="AG15822" s="10"/>
    </row>
    <row r="15823" spans="33:33">
      <c r="AG15823" s="10"/>
    </row>
    <row r="15824" spans="33:33">
      <c r="AG15824" s="10"/>
    </row>
    <row r="15825" spans="33:33">
      <c r="AG15825" s="10"/>
    </row>
    <row r="15826" spans="33:33">
      <c r="AG15826" s="10"/>
    </row>
    <row r="15827" spans="33:33">
      <c r="AG15827" s="10"/>
    </row>
    <row r="15828" spans="33:33">
      <c r="AG15828" s="10"/>
    </row>
    <row r="15829" spans="33:33">
      <c r="AG15829" s="10"/>
    </row>
    <row r="15830" spans="33:33">
      <c r="AG15830" s="10"/>
    </row>
    <row r="15831" spans="33:33">
      <c r="AG15831" s="10"/>
    </row>
    <row r="15832" spans="33:33">
      <c r="AG15832" s="10"/>
    </row>
    <row r="15833" spans="33:33">
      <c r="AG15833" s="10"/>
    </row>
    <row r="15834" spans="33:33">
      <c r="AG15834" s="10"/>
    </row>
    <row r="15835" spans="33:33">
      <c r="AG15835" s="10"/>
    </row>
    <row r="15836" spans="33:33">
      <c r="AG15836" s="10"/>
    </row>
    <row r="15837" spans="33:33">
      <c r="AG15837" s="10"/>
    </row>
    <row r="15838" spans="33:33">
      <c r="AG15838" s="10"/>
    </row>
    <row r="15839" spans="33:33">
      <c r="AG15839" s="10"/>
    </row>
    <row r="15840" spans="33:33">
      <c r="AG15840" s="10"/>
    </row>
    <row r="15841" spans="33:33">
      <c r="AG15841" s="10"/>
    </row>
    <row r="15842" spans="33:33">
      <c r="AG15842" s="10"/>
    </row>
    <row r="15843" spans="33:33">
      <c r="AG15843" s="10"/>
    </row>
    <row r="15844" spans="33:33">
      <c r="AG15844" s="10"/>
    </row>
    <row r="15845" spans="33:33">
      <c r="AG15845" s="10"/>
    </row>
    <row r="15846" spans="33:33">
      <c r="AG15846" s="10"/>
    </row>
    <row r="15847" spans="33:33">
      <c r="AG15847" s="10"/>
    </row>
    <row r="15848" spans="33:33">
      <c r="AG15848" s="10"/>
    </row>
    <row r="15849" spans="33:33">
      <c r="AG15849" s="10"/>
    </row>
    <row r="15850" spans="33:33">
      <c r="AG15850" s="10"/>
    </row>
    <row r="15851" spans="33:33">
      <c r="AG15851" s="10"/>
    </row>
    <row r="15852" spans="33:33">
      <c r="AG15852" s="10"/>
    </row>
    <row r="15853" spans="33:33">
      <c r="AG15853" s="10"/>
    </row>
    <row r="15854" spans="33:33">
      <c r="AG15854" s="10"/>
    </row>
    <row r="15855" spans="33:33">
      <c r="AG15855" s="10"/>
    </row>
    <row r="15856" spans="33:33">
      <c r="AG15856" s="10"/>
    </row>
    <row r="15857" spans="33:33">
      <c r="AG15857" s="10"/>
    </row>
    <row r="15858" spans="33:33">
      <c r="AG15858" s="10"/>
    </row>
    <row r="15859" spans="33:33">
      <c r="AG15859" s="10"/>
    </row>
    <row r="15860" spans="33:33">
      <c r="AG15860" s="10"/>
    </row>
    <row r="15861" spans="33:33">
      <c r="AG15861" s="10"/>
    </row>
    <row r="15862" spans="33:33">
      <c r="AG15862" s="10"/>
    </row>
    <row r="15863" spans="33:33">
      <c r="AG15863" s="10"/>
    </row>
    <row r="15864" spans="33:33">
      <c r="AG15864" s="10"/>
    </row>
    <row r="15865" spans="33:33">
      <c r="AG15865" s="10"/>
    </row>
    <row r="15866" spans="33:33">
      <c r="AG15866" s="10"/>
    </row>
    <row r="15867" spans="33:33">
      <c r="AG15867" s="10"/>
    </row>
    <row r="15868" spans="33:33">
      <c r="AG15868" s="10"/>
    </row>
    <row r="15869" spans="33:33">
      <c r="AG15869" s="10"/>
    </row>
    <row r="15870" spans="33:33">
      <c r="AG15870" s="10"/>
    </row>
    <row r="15871" spans="33:33">
      <c r="AG15871" s="10"/>
    </row>
    <row r="15872" spans="33:33">
      <c r="AG15872" s="10"/>
    </row>
    <row r="15873" spans="33:33">
      <c r="AG15873" s="10"/>
    </row>
    <row r="15874" spans="33:33">
      <c r="AG15874" s="10"/>
    </row>
    <row r="15875" spans="33:33">
      <c r="AG15875" s="10"/>
    </row>
    <row r="15876" spans="33:33">
      <c r="AG15876" s="10"/>
    </row>
    <row r="15877" spans="33:33">
      <c r="AG15877" s="10"/>
    </row>
    <row r="15878" spans="33:33">
      <c r="AG15878" s="10"/>
    </row>
    <row r="15879" spans="33:33">
      <c r="AG15879" s="10"/>
    </row>
    <row r="15880" spans="33:33">
      <c r="AG15880" s="10"/>
    </row>
    <row r="15881" spans="33:33">
      <c r="AG15881" s="10"/>
    </row>
    <row r="15882" spans="33:33">
      <c r="AG15882" s="10"/>
    </row>
    <row r="15883" spans="33:33">
      <c r="AG15883" s="10"/>
    </row>
    <row r="15884" spans="33:33">
      <c r="AG15884" s="10"/>
    </row>
    <row r="15885" spans="33:33">
      <c r="AG15885" s="10"/>
    </row>
    <row r="15886" spans="33:33">
      <c r="AG15886" s="10"/>
    </row>
    <row r="15887" spans="33:33">
      <c r="AG15887" s="10"/>
    </row>
    <row r="15888" spans="33:33">
      <c r="AG15888" s="10"/>
    </row>
    <row r="15889" spans="33:33">
      <c r="AG15889" s="10"/>
    </row>
    <row r="15890" spans="33:33">
      <c r="AG15890" s="10"/>
    </row>
    <row r="15891" spans="33:33">
      <c r="AG15891" s="10"/>
    </row>
    <row r="15892" spans="33:33">
      <c r="AG15892" s="10"/>
    </row>
    <row r="15893" spans="33:33">
      <c r="AG15893" s="10"/>
    </row>
    <row r="15894" spans="33:33">
      <c r="AG15894" s="10"/>
    </row>
    <row r="15895" spans="33:33">
      <c r="AG15895" s="10"/>
    </row>
    <row r="15896" spans="33:33">
      <c r="AG15896" s="10"/>
    </row>
    <row r="15897" spans="33:33">
      <c r="AG15897" s="10"/>
    </row>
    <row r="15898" spans="33:33">
      <c r="AG15898" s="10"/>
    </row>
    <row r="15899" spans="33:33">
      <c r="AG15899" s="10"/>
    </row>
    <row r="15900" spans="33:33">
      <c r="AG15900" s="10"/>
    </row>
    <row r="15901" spans="33:33">
      <c r="AG15901" s="10"/>
    </row>
    <row r="15902" spans="33:33">
      <c r="AG15902" s="10"/>
    </row>
    <row r="15903" spans="33:33">
      <c r="AG15903" s="10"/>
    </row>
    <row r="15904" spans="33:33">
      <c r="AG15904" s="10"/>
    </row>
    <row r="15905" spans="33:33">
      <c r="AG15905" s="10"/>
    </row>
    <row r="15906" spans="33:33">
      <c r="AG15906" s="10"/>
    </row>
    <row r="15907" spans="33:33">
      <c r="AG15907" s="10"/>
    </row>
    <row r="15908" spans="33:33">
      <c r="AG15908" s="10"/>
    </row>
    <row r="15909" spans="33:33">
      <c r="AG15909" s="10"/>
    </row>
    <row r="15910" spans="33:33">
      <c r="AG15910" s="10"/>
    </row>
    <row r="15911" spans="33:33">
      <c r="AG15911" s="10"/>
    </row>
    <row r="15912" spans="33:33">
      <c r="AG15912" s="10"/>
    </row>
    <row r="15913" spans="33:33">
      <c r="AG15913" s="10"/>
    </row>
    <row r="15914" spans="33:33">
      <c r="AG15914" s="10"/>
    </row>
    <row r="15915" spans="33:33">
      <c r="AG15915" s="10"/>
    </row>
    <row r="15916" spans="33:33">
      <c r="AG15916" s="10"/>
    </row>
    <row r="15917" spans="33:33">
      <c r="AG15917" s="10"/>
    </row>
    <row r="15918" spans="33:33">
      <c r="AG15918" s="10"/>
    </row>
    <row r="15919" spans="33:33">
      <c r="AG15919" s="10"/>
    </row>
    <row r="15920" spans="33:33">
      <c r="AG15920" s="10"/>
    </row>
    <row r="15921" spans="33:33">
      <c r="AG15921" s="10"/>
    </row>
    <row r="15922" spans="33:33">
      <c r="AG15922" s="10"/>
    </row>
    <row r="15923" spans="33:33">
      <c r="AG15923" s="10"/>
    </row>
    <row r="15924" spans="33:33">
      <c r="AG15924" s="10"/>
    </row>
    <row r="15925" spans="33:33">
      <c r="AG15925" s="10"/>
    </row>
    <row r="15926" spans="33:33">
      <c r="AG15926" s="10"/>
    </row>
    <row r="15927" spans="33:33">
      <c r="AG15927" s="10"/>
    </row>
    <row r="15928" spans="33:33">
      <c r="AG15928" s="10"/>
    </row>
    <row r="15929" spans="33:33">
      <c r="AG15929" s="10"/>
    </row>
    <row r="15930" spans="33:33">
      <c r="AG15930" s="10"/>
    </row>
    <row r="15931" spans="33:33">
      <c r="AG15931" s="10"/>
    </row>
    <row r="15932" spans="33:33">
      <c r="AG15932" s="10"/>
    </row>
    <row r="15933" spans="33:33">
      <c r="AG15933" s="10"/>
    </row>
    <row r="15934" spans="33:33">
      <c r="AG15934" s="10"/>
    </row>
    <row r="15935" spans="33:33">
      <c r="AG15935" s="10"/>
    </row>
    <row r="15936" spans="33:33">
      <c r="AG15936" s="10"/>
    </row>
    <row r="15937" spans="33:33">
      <c r="AG15937" s="10"/>
    </row>
    <row r="15938" spans="33:33">
      <c r="AG15938" s="10"/>
    </row>
    <row r="15939" spans="33:33">
      <c r="AG15939" s="10"/>
    </row>
    <row r="15940" spans="33:33">
      <c r="AG15940" s="10"/>
    </row>
    <row r="15941" spans="33:33">
      <c r="AG15941" s="10"/>
    </row>
    <row r="15942" spans="33:33">
      <c r="AG15942" s="10"/>
    </row>
    <row r="15943" spans="33:33">
      <c r="AG15943" s="10"/>
    </row>
    <row r="15944" spans="33:33">
      <c r="AG15944" s="10"/>
    </row>
    <row r="15945" spans="33:33">
      <c r="AG15945" s="10"/>
    </row>
    <row r="15946" spans="33:33">
      <c r="AG15946" s="10"/>
    </row>
    <row r="15947" spans="33:33">
      <c r="AG15947" s="10"/>
    </row>
    <row r="15948" spans="33:33">
      <c r="AG15948" s="10"/>
    </row>
    <row r="15949" spans="33:33">
      <c r="AG15949" s="10"/>
    </row>
    <row r="15950" spans="33:33">
      <c r="AG15950" s="10"/>
    </row>
    <row r="15951" spans="33:33">
      <c r="AG15951" s="10"/>
    </row>
    <row r="15952" spans="33:33">
      <c r="AG15952" s="10"/>
    </row>
    <row r="15953" spans="33:33">
      <c r="AG15953" s="10"/>
    </row>
    <row r="15954" spans="33:33">
      <c r="AG15954" s="10"/>
    </row>
    <row r="15955" spans="33:33">
      <c r="AG15955" s="10"/>
    </row>
    <row r="15956" spans="33:33">
      <c r="AG15956" s="10"/>
    </row>
    <row r="15957" spans="33:33">
      <c r="AG15957" s="10"/>
    </row>
    <row r="15958" spans="33:33">
      <c r="AG15958" s="10"/>
    </row>
    <row r="15959" spans="33:33">
      <c r="AG15959" s="10"/>
    </row>
    <row r="15960" spans="33:33">
      <c r="AG15960" s="10"/>
    </row>
    <row r="15961" spans="33:33">
      <c r="AG15961" s="10"/>
    </row>
    <row r="15962" spans="33:33">
      <c r="AG15962" s="10"/>
    </row>
    <row r="15963" spans="33:33">
      <c r="AG15963" s="10"/>
    </row>
    <row r="15964" spans="33:33">
      <c r="AG15964" s="10"/>
    </row>
    <row r="15965" spans="33:33">
      <c r="AG15965" s="10"/>
    </row>
    <row r="15966" spans="33:33">
      <c r="AG15966" s="10"/>
    </row>
    <row r="15967" spans="33:33">
      <c r="AG15967" s="10"/>
    </row>
    <row r="15968" spans="33:33">
      <c r="AG15968" s="10"/>
    </row>
    <row r="15969" spans="33:33">
      <c r="AG15969" s="10"/>
    </row>
    <row r="15970" spans="33:33">
      <c r="AG15970" s="10"/>
    </row>
    <row r="15971" spans="33:33">
      <c r="AG15971" s="10"/>
    </row>
    <row r="15972" spans="33:33">
      <c r="AG15972" s="10"/>
    </row>
    <row r="15973" spans="33:33">
      <c r="AG15973" s="10"/>
    </row>
    <row r="15974" spans="33:33">
      <c r="AG15974" s="10"/>
    </row>
    <row r="15975" spans="33:33">
      <c r="AG15975" s="10"/>
    </row>
    <row r="15976" spans="33:33">
      <c r="AG15976" s="10"/>
    </row>
    <row r="15977" spans="33:33">
      <c r="AG15977" s="10"/>
    </row>
    <row r="15978" spans="33:33">
      <c r="AG15978" s="10"/>
    </row>
    <row r="15979" spans="33:33">
      <c r="AG15979" s="10"/>
    </row>
    <row r="15980" spans="33:33">
      <c r="AG15980" s="10"/>
    </row>
    <row r="15981" spans="33:33">
      <c r="AG15981" s="10"/>
    </row>
    <row r="15982" spans="33:33">
      <c r="AG15982" s="10"/>
    </row>
    <row r="15983" spans="33:33">
      <c r="AG15983" s="10"/>
    </row>
    <row r="15984" spans="33:33">
      <c r="AG15984" s="10"/>
    </row>
    <row r="15985" spans="33:33">
      <c r="AG15985" s="10"/>
    </row>
    <row r="15986" spans="33:33">
      <c r="AG15986" s="10"/>
    </row>
    <row r="15987" spans="33:33">
      <c r="AG15987" s="10"/>
    </row>
    <row r="15988" spans="33:33">
      <c r="AG15988" s="10"/>
    </row>
    <row r="15989" spans="33:33">
      <c r="AG15989" s="10"/>
    </row>
    <row r="15990" spans="33:33">
      <c r="AG15990" s="10"/>
    </row>
    <row r="15991" spans="33:33">
      <c r="AG15991" s="10"/>
    </row>
    <row r="15992" spans="33:33">
      <c r="AG15992" s="10"/>
    </row>
    <row r="15993" spans="33:33">
      <c r="AG15993" s="10"/>
    </row>
    <row r="15994" spans="33:33">
      <c r="AG15994" s="10"/>
    </row>
    <row r="15995" spans="33:33">
      <c r="AG15995" s="10"/>
    </row>
    <row r="15996" spans="33:33">
      <c r="AG15996" s="10"/>
    </row>
    <row r="15997" spans="33:33">
      <c r="AG15997" s="10"/>
    </row>
    <row r="15998" spans="33:33">
      <c r="AG15998" s="10"/>
    </row>
    <row r="15999" spans="33:33">
      <c r="AG15999" s="10"/>
    </row>
    <row r="16000" spans="33:33">
      <c r="AG16000" s="10"/>
    </row>
    <row r="16001" spans="33:33">
      <c r="AG16001" s="10"/>
    </row>
    <row r="16002" spans="33:33">
      <c r="AG16002" s="10"/>
    </row>
    <row r="16003" spans="33:33">
      <c r="AG16003" s="10"/>
    </row>
    <row r="16004" spans="33:33">
      <c r="AG16004" s="10"/>
    </row>
    <row r="16005" spans="33:33">
      <c r="AG16005" s="10"/>
    </row>
    <row r="16006" spans="33:33">
      <c r="AG16006" s="10"/>
    </row>
    <row r="16007" spans="33:33">
      <c r="AG16007" s="10"/>
    </row>
    <row r="16008" spans="33:33">
      <c r="AG16008" s="10"/>
    </row>
    <row r="16009" spans="33:33">
      <c r="AG16009" s="10"/>
    </row>
    <row r="16010" spans="33:33">
      <c r="AG16010" s="10"/>
    </row>
    <row r="16011" spans="33:33">
      <c r="AG16011" s="10"/>
    </row>
    <row r="16012" spans="33:33">
      <c r="AG16012" s="10"/>
    </row>
    <row r="16013" spans="33:33">
      <c r="AG16013" s="10"/>
    </row>
    <row r="16014" spans="33:33">
      <c r="AG16014" s="10"/>
    </row>
    <row r="16015" spans="33:33">
      <c r="AG16015" s="10"/>
    </row>
    <row r="16016" spans="33:33">
      <c r="AG16016" s="10"/>
    </row>
    <row r="16017" spans="33:33">
      <c r="AG16017" s="10"/>
    </row>
    <row r="16018" spans="33:33">
      <c r="AG16018" s="10"/>
    </row>
    <row r="16019" spans="33:33">
      <c r="AG16019" s="10"/>
    </row>
    <row r="16020" spans="33:33">
      <c r="AG16020" s="10"/>
    </row>
    <row r="16021" spans="33:33">
      <c r="AG16021" s="10"/>
    </row>
    <row r="16022" spans="33:33">
      <c r="AG16022" s="10"/>
    </row>
    <row r="16023" spans="33:33">
      <c r="AG16023" s="10"/>
    </row>
    <row r="16024" spans="33:33">
      <c r="AG16024" s="10"/>
    </row>
    <row r="16025" spans="33:33">
      <c r="AG16025" s="10"/>
    </row>
    <row r="16026" spans="33:33">
      <c r="AG16026" s="10"/>
    </row>
    <row r="16027" spans="33:33">
      <c r="AG16027" s="10"/>
    </row>
    <row r="16028" spans="33:33">
      <c r="AG16028" s="10"/>
    </row>
    <row r="16029" spans="33:33">
      <c r="AG16029" s="10"/>
    </row>
    <row r="16030" spans="33:33">
      <c r="AG16030" s="10"/>
    </row>
    <row r="16031" spans="33:33">
      <c r="AG16031" s="10"/>
    </row>
    <row r="16032" spans="33:33">
      <c r="AG16032" s="10"/>
    </row>
    <row r="16033" spans="33:33">
      <c r="AG16033" s="10"/>
    </row>
    <row r="16034" spans="33:33">
      <c r="AG16034" s="10"/>
    </row>
    <row r="16035" spans="33:33">
      <c r="AG16035" s="10"/>
    </row>
    <row r="16036" spans="33:33">
      <c r="AG16036" s="10"/>
    </row>
    <row r="16037" spans="33:33">
      <c r="AG16037" s="10"/>
    </row>
    <row r="16038" spans="33:33">
      <c r="AG16038" s="10"/>
    </row>
    <row r="16039" spans="33:33">
      <c r="AG16039" s="10"/>
    </row>
    <row r="16040" spans="33:33">
      <c r="AG16040" s="10"/>
    </row>
    <row r="16041" spans="33:33">
      <c r="AG16041" s="10"/>
    </row>
    <row r="16042" spans="33:33">
      <c r="AG16042" s="10"/>
    </row>
    <row r="16043" spans="33:33">
      <c r="AG16043" s="10"/>
    </row>
    <row r="16044" spans="33:33">
      <c r="AG16044" s="10"/>
    </row>
    <row r="16045" spans="33:33">
      <c r="AG16045" s="10"/>
    </row>
    <row r="16046" spans="33:33">
      <c r="AG16046" s="10"/>
    </row>
    <row r="16047" spans="33:33">
      <c r="AG16047" s="10"/>
    </row>
    <row r="16048" spans="33:33">
      <c r="AG16048" s="10"/>
    </row>
    <row r="16049" spans="33:33">
      <c r="AG16049" s="10"/>
    </row>
    <row r="16050" spans="33:33">
      <c r="AG16050" s="10"/>
    </row>
    <row r="16051" spans="33:33">
      <c r="AG16051" s="10"/>
    </row>
    <row r="16052" spans="33:33">
      <c r="AG16052" s="10"/>
    </row>
    <row r="16053" spans="33:33">
      <c r="AG16053" s="10"/>
    </row>
    <row r="16054" spans="33:33">
      <c r="AG16054" s="10"/>
    </row>
    <row r="16055" spans="33:33">
      <c r="AG16055" s="10"/>
    </row>
    <row r="16056" spans="33:33">
      <c r="AG16056" s="10"/>
    </row>
    <row r="16057" spans="33:33">
      <c r="AG16057" s="10"/>
    </row>
    <row r="16058" spans="33:33">
      <c r="AG16058" s="10"/>
    </row>
    <row r="16059" spans="33:33">
      <c r="AG16059" s="10"/>
    </row>
    <row r="16060" spans="33:33">
      <c r="AG16060" s="10"/>
    </row>
    <row r="16061" spans="33:33">
      <c r="AG16061" s="10"/>
    </row>
    <row r="16062" spans="33:33">
      <c r="AG16062" s="10"/>
    </row>
    <row r="16063" spans="33:33">
      <c r="AG16063" s="10"/>
    </row>
    <row r="16064" spans="33:33">
      <c r="AG16064" s="10"/>
    </row>
    <row r="16065" spans="33:33">
      <c r="AG16065" s="10"/>
    </row>
    <row r="16066" spans="33:33">
      <c r="AG16066" s="10"/>
    </row>
    <row r="16067" spans="33:33">
      <c r="AG16067" s="10"/>
    </row>
  </sheetData>
  <autoFilter ref="A1:AG645">
    <extLst/>
  </autoFilter>
  <sortState ref="A2:AG645">
    <sortCondition ref="AG1"/>
  </sortState>
  <pageMargins left="0.699305555555556" right="0.699305555555556" top="0.75" bottom="0.75" header="0.3" footer="0.3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r:id="rId4">
            <anchor moveWithCells="1">
              <from>
                <xdr:col>33</xdr:col>
                <xdr:colOff>28575</xdr:colOff>
                <xdr:row>0</xdr:row>
                <xdr:rowOff>9525</xdr:rowOff>
              </from>
              <to>
                <xdr:col>35</xdr:col>
                <xdr:colOff>0</xdr:colOff>
                <xdr:row>1</xdr:row>
                <xdr:rowOff>171450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C1352"/>
  <sheetViews>
    <sheetView workbookViewId="0">
      <selection activeCell="P24" sqref="P24"/>
    </sheetView>
  </sheetViews>
  <sheetFormatPr defaultColWidth="9" defaultRowHeight="14.25" outlineLevelCol="2"/>
  <cols>
    <col min="1" max="1" width="24.75" customWidth="1"/>
    <col min="2" max="2" width="11.875" customWidth="1"/>
    <col min="3" max="3" width="13.75"/>
  </cols>
  <sheetData>
    <row r="1" spans="1:3">
      <c r="A1" t="s">
        <v>11</v>
      </c>
      <c r="B1" t="s">
        <v>3355</v>
      </c>
      <c r="C1" t="s">
        <v>3356</v>
      </c>
    </row>
    <row r="2" spans="1:2">
      <c r="A2" t="s">
        <v>3357</v>
      </c>
      <c r="B2">
        <f>SUM(B3:B5000)</f>
        <v>0</v>
      </c>
    </row>
    <row r="3" spans="1:3">
      <c r="A3" t="s">
        <v>3358</v>
      </c>
      <c r="B3">
        <f>SUMIFS(allorders!O:O,allorders!L:L,'数据处理(仓储使用)'!$A3,allorders!$AG:$AG,"&lt;="&amp;日期!#REF!,allorders!$AG:$AG,"&gt;="&amp;日期!#REF!)</f>
        <v>0</v>
      </c>
      <c r="C3" t="e">
        <f>B3/(日期!#REF!-日期!#REF!+1)</f>
        <v>#REF!</v>
      </c>
    </row>
    <row r="102" spans="2:3">
      <c r="B102">
        <f>SUMIFS(allorders!O:O,allorders!L:L,'数据处理(仓储使用)'!$A102,allorders!$AG:$AG,"&lt;="&amp;日期!#REF!,allorders!$AG:$AG,"&gt;="&amp;日期!#REF!)</f>
        <v>0</v>
      </c>
      <c r="C102" t="e">
        <f>B102/(日期!#REF!-日期!#REF!+1)</f>
        <v>#REF!</v>
      </c>
    </row>
    <row r="103" spans="2:3">
      <c r="B103">
        <f>SUMIFS(allorders!O:O,allorders!L:L,'数据处理(仓储使用)'!$A103,allorders!$AG:$AG,"&lt;="&amp;日期!#REF!,allorders!$AG:$AG,"&gt;="&amp;日期!#REF!)</f>
        <v>0</v>
      </c>
      <c r="C103" t="e">
        <f>B103/(日期!#REF!-日期!#REF!+1)</f>
        <v>#REF!</v>
      </c>
    </row>
    <row r="104" spans="2:3">
      <c r="B104">
        <f>SUMIFS(allorders!O:O,allorders!L:L,'数据处理(仓储使用)'!$A104,allorders!$AG:$AG,"&lt;="&amp;日期!#REF!,allorders!$AG:$AG,"&gt;="&amp;日期!#REF!)</f>
        <v>0</v>
      </c>
      <c r="C104" t="e">
        <f>B104/(日期!#REF!-日期!#REF!+1)</f>
        <v>#REF!</v>
      </c>
    </row>
    <row r="105" spans="2:3">
      <c r="B105">
        <f>SUMIFS(allorders!O:O,allorders!L:L,'数据处理(仓储使用)'!$A105,allorders!$AG:$AG,"&lt;="&amp;日期!#REF!,allorders!$AG:$AG,"&gt;="&amp;日期!#REF!)</f>
        <v>0</v>
      </c>
      <c r="C105" t="e">
        <f>B105/(日期!#REF!-日期!#REF!+1)</f>
        <v>#REF!</v>
      </c>
    </row>
    <row r="106" spans="2:3">
      <c r="B106">
        <f>SUMIFS(allorders!O:O,allorders!L:L,'数据处理(仓储使用)'!$A106,allorders!$AG:$AG,"&lt;="&amp;日期!#REF!,allorders!$AG:$AG,"&gt;="&amp;日期!#REF!)</f>
        <v>0</v>
      </c>
      <c r="C106" t="e">
        <f>B106/(日期!#REF!-日期!#REF!+1)</f>
        <v>#REF!</v>
      </c>
    </row>
    <row r="107" spans="2:3">
      <c r="B107">
        <f>SUMIFS(allorders!O:O,allorders!L:L,'数据处理(仓储使用)'!$A107,allorders!$AG:$AG,"&lt;="&amp;日期!#REF!,allorders!$AG:$AG,"&gt;="&amp;日期!#REF!)</f>
        <v>0</v>
      </c>
      <c r="C107" t="e">
        <f>B107/(日期!#REF!-日期!#REF!+1)</f>
        <v>#REF!</v>
      </c>
    </row>
    <row r="108" spans="2:3">
      <c r="B108">
        <f>SUMIFS(allorders!O:O,allorders!L:L,'数据处理(仓储使用)'!$A108,allorders!$AG:$AG,"&lt;="&amp;日期!#REF!,allorders!$AG:$AG,"&gt;="&amp;日期!#REF!)</f>
        <v>0</v>
      </c>
      <c r="C108" t="e">
        <f>B108/(日期!#REF!-日期!#REF!+1)</f>
        <v>#REF!</v>
      </c>
    </row>
    <row r="109" spans="2:3">
      <c r="B109">
        <f>SUMIFS(allorders!O:O,allorders!L:L,'数据处理(仓储使用)'!$A109,allorders!$AG:$AG,"&lt;="&amp;日期!#REF!,allorders!$AG:$AG,"&gt;="&amp;日期!#REF!)</f>
        <v>0</v>
      </c>
      <c r="C109" t="e">
        <f>B109/(日期!#REF!-日期!#REF!+1)</f>
        <v>#REF!</v>
      </c>
    </row>
    <row r="110" spans="2:3">
      <c r="B110">
        <f>SUMIFS(allorders!O:O,allorders!L:L,'数据处理(仓储使用)'!$A110,allorders!$AG:$AG,"&lt;="&amp;日期!#REF!,allorders!$AG:$AG,"&gt;="&amp;日期!#REF!)</f>
        <v>0</v>
      </c>
      <c r="C110" t="e">
        <f>B110/(日期!#REF!-日期!#REF!+1)</f>
        <v>#REF!</v>
      </c>
    </row>
    <row r="111" spans="2:3">
      <c r="B111">
        <f>SUMIFS(allorders!O:O,allorders!L:L,'数据处理(仓储使用)'!$A111,allorders!$AG:$AG,"&lt;="&amp;日期!#REF!,allorders!$AG:$AG,"&gt;="&amp;日期!#REF!)</f>
        <v>0</v>
      </c>
      <c r="C111" t="e">
        <f>B111/(日期!#REF!-日期!#REF!+1)</f>
        <v>#REF!</v>
      </c>
    </row>
    <row r="112" spans="2:3">
      <c r="B112">
        <f>SUMIFS(allorders!O:O,allorders!L:L,'数据处理(仓储使用)'!$A112,allorders!$AG:$AG,"&lt;="&amp;日期!#REF!,allorders!$AG:$AG,"&gt;="&amp;日期!#REF!)</f>
        <v>0</v>
      </c>
      <c r="C112" t="e">
        <f>B112/(日期!#REF!-日期!#REF!+1)</f>
        <v>#REF!</v>
      </c>
    </row>
    <row r="113" spans="2:3">
      <c r="B113">
        <f>SUMIFS(allorders!O:O,allorders!L:L,'数据处理(仓储使用)'!$A113,allorders!$AG:$AG,"&lt;="&amp;日期!#REF!,allorders!$AG:$AG,"&gt;="&amp;日期!#REF!)</f>
        <v>0</v>
      </c>
      <c r="C113" t="e">
        <f>B113/(日期!#REF!-日期!#REF!+1)</f>
        <v>#REF!</v>
      </c>
    </row>
    <row r="114" spans="2:3">
      <c r="B114">
        <f>SUMIFS(allorders!O:O,allorders!L:L,'数据处理(仓储使用)'!$A114,allorders!$AG:$AG,"&lt;="&amp;日期!#REF!,allorders!$AG:$AG,"&gt;="&amp;日期!#REF!)</f>
        <v>0</v>
      </c>
      <c r="C114" t="e">
        <f>B114/(日期!#REF!-日期!#REF!+1)</f>
        <v>#REF!</v>
      </c>
    </row>
    <row r="115" spans="2:3">
      <c r="B115">
        <f>SUMIFS(allorders!O:O,allorders!L:L,'数据处理(仓储使用)'!$A115,allorders!$AG:$AG,"&lt;="&amp;日期!#REF!,allorders!$AG:$AG,"&gt;="&amp;日期!#REF!)</f>
        <v>0</v>
      </c>
      <c r="C115" t="e">
        <f>B115/(日期!#REF!-日期!#REF!+1)</f>
        <v>#REF!</v>
      </c>
    </row>
    <row r="116" spans="2:3">
      <c r="B116">
        <f>SUMIFS(allorders!O:O,allorders!L:L,'数据处理(仓储使用)'!$A116,allorders!$AG:$AG,"&lt;="&amp;日期!#REF!,allorders!$AG:$AG,"&gt;="&amp;日期!#REF!)</f>
        <v>0</v>
      </c>
      <c r="C116" t="e">
        <f>B116/(日期!#REF!-日期!#REF!+1)</f>
        <v>#REF!</v>
      </c>
    </row>
    <row r="117" spans="2:3">
      <c r="B117">
        <f>SUMIFS(allorders!O:O,allorders!L:L,'数据处理(仓储使用)'!$A117,allorders!$AG:$AG,"&lt;="&amp;日期!#REF!,allorders!$AG:$AG,"&gt;="&amp;日期!#REF!)</f>
        <v>0</v>
      </c>
      <c r="C117" t="e">
        <f>B117/(日期!#REF!-日期!#REF!+1)</f>
        <v>#REF!</v>
      </c>
    </row>
    <row r="118" spans="2:3">
      <c r="B118">
        <f>SUMIFS(allorders!O:O,allorders!L:L,'数据处理(仓储使用)'!$A118,allorders!$AG:$AG,"&lt;="&amp;日期!#REF!,allorders!$AG:$AG,"&gt;="&amp;日期!#REF!)</f>
        <v>0</v>
      </c>
      <c r="C118" t="e">
        <f>B118/(日期!#REF!-日期!#REF!+1)</f>
        <v>#REF!</v>
      </c>
    </row>
    <row r="119" spans="2:3">
      <c r="B119">
        <f>SUMIFS(allorders!O:O,allorders!L:L,'数据处理(仓储使用)'!$A119,allorders!$AG:$AG,"&lt;="&amp;日期!#REF!,allorders!$AG:$AG,"&gt;="&amp;日期!#REF!)</f>
        <v>0</v>
      </c>
      <c r="C119" t="e">
        <f>B119/(日期!#REF!-日期!#REF!+1)</f>
        <v>#REF!</v>
      </c>
    </row>
    <row r="120" spans="2:3">
      <c r="B120">
        <f>SUMIFS(allorders!O:O,allorders!L:L,'数据处理(仓储使用)'!$A120,allorders!$AG:$AG,"&lt;="&amp;日期!#REF!,allorders!$AG:$AG,"&gt;="&amp;日期!#REF!)</f>
        <v>0</v>
      </c>
      <c r="C120" t="e">
        <f>B120/(日期!#REF!-日期!#REF!+1)</f>
        <v>#REF!</v>
      </c>
    </row>
    <row r="121" spans="2:3">
      <c r="B121">
        <f>SUMIFS(allorders!O:O,allorders!L:L,'数据处理(仓储使用)'!$A121,allorders!$AG:$AG,"&lt;="&amp;日期!#REF!,allorders!$AG:$AG,"&gt;="&amp;日期!#REF!)</f>
        <v>0</v>
      </c>
      <c r="C121" t="e">
        <f>B121/(日期!#REF!-日期!#REF!+1)</f>
        <v>#REF!</v>
      </c>
    </row>
    <row r="122" spans="2:3">
      <c r="B122">
        <f>SUMIFS(allorders!O:O,allorders!L:L,'数据处理(仓储使用)'!$A122,allorders!$AG:$AG,"&lt;="&amp;日期!#REF!,allorders!$AG:$AG,"&gt;="&amp;日期!#REF!)</f>
        <v>0</v>
      </c>
      <c r="C122" t="e">
        <f>B122/(日期!#REF!-日期!#REF!+1)</f>
        <v>#REF!</v>
      </c>
    </row>
    <row r="123" spans="2:3">
      <c r="B123">
        <f>SUMIFS(allorders!O:O,allorders!L:L,'数据处理(仓储使用)'!$A123,allorders!$AG:$AG,"&lt;="&amp;日期!#REF!,allorders!$AG:$AG,"&gt;="&amp;日期!#REF!)</f>
        <v>0</v>
      </c>
      <c r="C123" t="e">
        <f>B123/(日期!#REF!-日期!#REF!+1)</f>
        <v>#REF!</v>
      </c>
    </row>
    <row r="124" spans="2:3">
      <c r="B124">
        <f>SUMIFS(allorders!O:O,allorders!L:L,'数据处理(仓储使用)'!$A124,allorders!$AG:$AG,"&lt;="&amp;日期!#REF!,allorders!$AG:$AG,"&gt;="&amp;日期!#REF!)</f>
        <v>0</v>
      </c>
      <c r="C124" t="e">
        <f>B124/(日期!#REF!-日期!#REF!+1)</f>
        <v>#REF!</v>
      </c>
    </row>
    <row r="125" spans="2:3">
      <c r="B125">
        <f>SUMIFS(allorders!O:O,allorders!L:L,'数据处理(仓储使用)'!$A125,allorders!$AG:$AG,"&lt;="&amp;日期!#REF!,allorders!$AG:$AG,"&gt;="&amp;日期!#REF!)</f>
        <v>0</v>
      </c>
      <c r="C125" t="e">
        <f>B125/(日期!#REF!-日期!#REF!+1)</f>
        <v>#REF!</v>
      </c>
    </row>
    <row r="126" spans="2:3">
      <c r="B126">
        <f>SUMIFS(allorders!O:O,allorders!L:L,'数据处理(仓储使用)'!$A126,allorders!$AG:$AG,"&lt;="&amp;日期!#REF!,allorders!$AG:$AG,"&gt;="&amp;日期!#REF!)</f>
        <v>0</v>
      </c>
      <c r="C126" t="e">
        <f>B126/(日期!#REF!-日期!#REF!+1)</f>
        <v>#REF!</v>
      </c>
    </row>
    <row r="127" spans="2:3">
      <c r="B127">
        <f>SUMIFS(allorders!O:O,allorders!L:L,'数据处理(仓储使用)'!$A127,allorders!$AG:$AG,"&lt;="&amp;日期!#REF!,allorders!$AG:$AG,"&gt;="&amp;日期!#REF!)</f>
        <v>0</v>
      </c>
      <c r="C127" t="e">
        <f>B127/(日期!#REF!-日期!#REF!+1)</f>
        <v>#REF!</v>
      </c>
    </row>
    <row r="128" spans="2:3">
      <c r="B128">
        <f>SUMIFS(allorders!O:O,allorders!L:L,'数据处理(仓储使用)'!$A128,allorders!$AG:$AG,"&lt;="&amp;日期!#REF!,allorders!$AG:$AG,"&gt;="&amp;日期!#REF!)</f>
        <v>0</v>
      </c>
      <c r="C128" t="e">
        <f>B128/(日期!#REF!-日期!#REF!+1)</f>
        <v>#REF!</v>
      </c>
    </row>
    <row r="129" spans="2:3">
      <c r="B129">
        <f>SUMIFS(allorders!O:O,allorders!L:L,'数据处理(仓储使用)'!$A129,allorders!$AG:$AG,"&lt;="&amp;日期!#REF!,allorders!$AG:$AG,"&gt;="&amp;日期!#REF!)</f>
        <v>0</v>
      </c>
      <c r="C129" t="e">
        <f>B129/(日期!#REF!-日期!#REF!+1)</f>
        <v>#REF!</v>
      </c>
    </row>
    <row r="130" spans="2:3">
      <c r="B130">
        <f>SUMIFS(allorders!O:O,allorders!L:L,'数据处理(仓储使用)'!$A130,allorders!$AG:$AG,"&lt;="&amp;日期!#REF!,allorders!$AG:$AG,"&gt;="&amp;日期!#REF!)</f>
        <v>0</v>
      </c>
      <c r="C130" t="e">
        <f>B130/(日期!#REF!-日期!#REF!+1)</f>
        <v>#REF!</v>
      </c>
    </row>
    <row r="131" spans="2:3">
      <c r="B131">
        <f>SUMIFS(allorders!O:O,allorders!L:L,'数据处理(仓储使用)'!$A131,allorders!$AG:$AG,"&lt;="&amp;日期!#REF!,allorders!$AG:$AG,"&gt;="&amp;日期!#REF!)</f>
        <v>0</v>
      </c>
      <c r="C131" t="e">
        <f>B131/(日期!#REF!-日期!#REF!+1)</f>
        <v>#REF!</v>
      </c>
    </row>
    <row r="132" spans="2:3">
      <c r="B132">
        <f>SUMIFS(allorders!O:O,allorders!L:L,'数据处理(仓储使用)'!$A132,allorders!$AG:$AG,"&lt;="&amp;日期!#REF!,allorders!$AG:$AG,"&gt;="&amp;日期!#REF!)</f>
        <v>0</v>
      </c>
      <c r="C132" t="e">
        <f>B132/(日期!#REF!-日期!#REF!+1)</f>
        <v>#REF!</v>
      </c>
    </row>
    <row r="133" spans="2:3">
      <c r="B133">
        <f>SUMIFS(allorders!O:O,allorders!L:L,'数据处理(仓储使用)'!$A133,allorders!$AG:$AG,"&lt;="&amp;日期!#REF!,allorders!$AG:$AG,"&gt;="&amp;日期!#REF!)</f>
        <v>0</v>
      </c>
      <c r="C133" t="e">
        <f>B133/(日期!#REF!-日期!#REF!+1)</f>
        <v>#REF!</v>
      </c>
    </row>
    <row r="134" spans="2:3">
      <c r="B134">
        <f>SUMIFS(allorders!O:O,allorders!L:L,'数据处理(仓储使用)'!$A134,allorders!$AG:$AG,"&lt;="&amp;日期!#REF!,allorders!$AG:$AG,"&gt;="&amp;日期!#REF!)</f>
        <v>0</v>
      </c>
      <c r="C134" t="e">
        <f>B134/(日期!#REF!-日期!#REF!+1)</f>
        <v>#REF!</v>
      </c>
    </row>
    <row r="135" spans="2:3">
      <c r="B135">
        <f>SUMIFS(allorders!O:O,allorders!L:L,'数据处理(仓储使用)'!$A135,allorders!$AG:$AG,"&lt;="&amp;日期!#REF!,allorders!$AG:$AG,"&gt;="&amp;日期!#REF!)</f>
        <v>0</v>
      </c>
      <c r="C135" t="e">
        <f>B135/(日期!#REF!-日期!#REF!+1)</f>
        <v>#REF!</v>
      </c>
    </row>
    <row r="136" spans="2:3">
      <c r="B136">
        <f>SUMIFS(allorders!O:O,allorders!L:L,'数据处理(仓储使用)'!$A136,allorders!$AG:$AG,"&lt;="&amp;日期!#REF!,allorders!$AG:$AG,"&gt;="&amp;日期!#REF!)</f>
        <v>0</v>
      </c>
      <c r="C136" t="e">
        <f>B136/(日期!#REF!-日期!#REF!+1)</f>
        <v>#REF!</v>
      </c>
    </row>
    <row r="137" spans="2:3">
      <c r="B137">
        <f>SUMIFS(allorders!O:O,allorders!L:L,'数据处理(仓储使用)'!$A137,allorders!$AG:$AG,"&lt;="&amp;日期!#REF!,allorders!$AG:$AG,"&gt;="&amp;日期!#REF!)</f>
        <v>0</v>
      </c>
      <c r="C137" t="e">
        <f>B137/(日期!#REF!-日期!#REF!+1)</f>
        <v>#REF!</v>
      </c>
    </row>
    <row r="138" spans="2:3">
      <c r="B138">
        <f>SUMIFS(allorders!O:O,allorders!L:L,'数据处理(仓储使用)'!$A138,allorders!$AG:$AG,"&lt;="&amp;日期!#REF!,allorders!$AG:$AG,"&gt;="&amp;日期!#REF!)</f>
        <v>0</v>
      </c>
      <c r="C138" t="e">
        <f>B138/(日期!#REF!-日期!#REF!+1)</f>
        <v>#REF!</v>
      </c>
    </row>
    <row r="139" spans="2:3">
      <c r="B139">
        <f>SUMIFS(allorders!O:O,allorders!L:L,'数据处理(仓储使用)'!$A139,allorders!$AG:$AG,"&lt;="&amp;日期!#REF!,allorders!$AG:$AG,"&gt;="&amp;日期!#REF!)</f>
        <v>0</v>
      </c>
      <c r="C139" t="e">
        <f>B139/(日期!#REF!-日期!#REF!+1)</f>
        <v>#REF!</v>
      </c>
    </row>
    <row r="140" spans="2:3">
      <c r="B140">
        <f>SUMIFS(allorders!O:O,allorders!L:L,'数据处理(仓储使用)'!$A140,allorders!$AG:$AG,"&lt;="&amp;日期!#REF!,allorders!$AG:$AG,"&gt;="&amp;日期!#REF!)</f>
        <v>0</v>
      </c>
      <c r="C140" t="e">
        <f>B140/(日期!#REF!-日期!#REF!+1)</f>
        <v>#REF!</v>
      </c>
    </row>
    <row r="141" spans="2:3">
      <c r="B141">
        <f>SUMIFS(allorders!O:O,allorders!L:L,'数据处理(仓储使用)'!$A141,allorders!$AG:$AG,"&lt;="&amp;日期!#REF!,allorders!$AG:$AG,"&gt;="&amp;日期!#REF!)</f>
        <v>0</v>
      </c>
      <c r="C141" t="e">
        <f>B141/(日期!#REF!-日期!#REF!+1)</f>
        <v>#REF!</v>
      </c>
    </row>
    <row r="142" spans="2:3">
      <c r="B142">
        <f>SUMIFS(allorders!O:O,allorders!L:L,'数据处理(仓储使用)'!$A142,allorders!$AG:$AG,"&lt;="&amp;日期!#REF!,allorders!$AG:$AG,"&gt;="&amp;日期!#REF!)</f>
        <v>0</v>
      </c>
      <c r="C142" t="e">
        <f>B142/(日期!#REF!-日期!#REF!+1)</f>
        <v>#REF!</v>
      </c>
    </row>
    <row r="143" spans="2:3">
      <c r="B143">
        <f>SUMIFS(allorders!O:O,allorders!L:L,'数据处理(仓储使用)'!$A143,allorders!$AG:$AG,"&lt;="&amp;日期!#REF!,allorders!$AG:$AG,"&gt;="&amp;日期!#REF!)</f>
        <v>0</v>
      </c>
      <c r="C143" t="e">
        <f>B143/(日期!#REF!-日期!#REF!+1)</f>
        <v>#REF!</v>
      </c>
    </row>
    <row r="144" spans="2:3">
      <c r="B144">
        <f>SUMIFS(allorders!O:O,allorders!L:L,'数据处理(仓储使用)'!$A144,allorders!$AG:$AG,"&lt;="&amp;日期!#REF!,allorders!$AG:$AG,"&gt;="&amp;日期!#REF!)</f>
        <v>0</v>
      </c>
      <c r="C144" t="e">
        <f>B144/(日期!#REF!-日期!#REF!+1)</f>
        <v>#REF!</v>
      </c>
    </row>
    <row r="145" spans="2:3">
      <c r="B145">
        <f>SUMIFS(allorders!O:O,allorders!L:L,'数据处理(仓储使用)'!$A145,allorders!$AG:$AG,"&lt;="&amp;日期!#REF!,allorders!$AG:$AG,"&gt;="&amp;日期!#REF!)</f>
        <v>0</v>
      </c>
      <c r="C145" t="e">
        <f>B145/(日期!#REF!-日期!#REF!+1)</f>
        <v>#REF!</v>
      </c>
    </row>
    <row r="146" spans="2:3">
      <c r="B146">
        <f>SUMIFS(allorders!O:O,allorders!L:L,'数据处理(仓储使用)'!$A146,allorders!$AG:$AG,"&lt;="&amp;日期!#REF!,allorders!$AG:$AG,"&gt;="&amp;日期!#REF!)</f>
        <v>0</v>
      </c>
      <c r="C146" t="e">
        <f>B146/(日期!#REF!-日期!#REF!+1)</f>
        <v>#REF!</v>
      </c>
    </row>
    <row r="147" spans="2:3">
      <c r="B147">
        <f>SUMIFS(allorders!O:O,allorders!L:L,'数据处理(仓储使用)'!$A147,allorders!$AG:$AG,"&lt;="&amp;日期!#REF!,allorders!$AG:$AG,"&gt;="&amp;日期!#REF!)</f>
        <v>0</v>
      </c>
      <c r="C147" t="e">
        <f>B147/(日期!#REF!-日期!#REF!+1)</f>
        <v>#REF!</v>
      </c>
    </row>
    <row r="148" spans="2:3">
      <c r="B148">
        <f>SUMIFS(allorders!O:O,allorders!L:L,'数据处理(仓储使用)'!$A148,allorders!$AG:$AG,"&lt;="&amp;日期!#REF!,allorders!$AG:$AG,"&gt;="&amp;日期!#REF!)</f>
        <v>0</v>
      </c>
      <c r="C148" t="e">
        <f>B148/(日期!#REF!-日期!#REF!+1)</f>
        <v>#REF!</v>
      </c>
    </row>
    <row r="149" spans="2:3">
      <c r="B149">
        <f>SUMIFS(allorders!O:O,allorders!L:L,'数据处理(仓储使用)'!$A149,allorders!$AG:$AG,"&lt;="&amp;日期!#REF!,allorders!$AG:$AG,"&gt;="&amp;日期!#REF!)</f>
        <v>0</v>
      </c>
      <c r="C149" t="e">
        <f>B149/(日期!#REF!-日期!#REF!+1)</f>
        <v>#REF!</v>
      </c>
    </row>
    <row r="150" spans="2:3">
      <c r="B150">
        <f>SUMIFS(allorders!O:O,allorders!L:L,'数据处理(仓储使用)'!$A150,allorders!$AG:$AG,"&lt;="&amp;日期!#REF!,allorders!$AG:$AG,"&gt;="&amp;日期!#REF!)</f>
        <v>0</v>
      </c>
      <c r="C150" t="e">
        <f>B150/(日期!#REF!-日期!#REF!+1)</f>
        <v>#REF!</v>
      </c>
    </row>
    <row r="151" spans="2:3">
      <c r="B151">
        <f>SUMIFS(allorders!O:O,allorders!L:L,'数据处理(仓储使用)'!$A151,allorders!$AG:$AG,"&lt;="&amp;日期!#REF!,allorders!$AG:$AG,"&gt;="&amp;日期!#REF!)</f>
        <v>0</v>
      </c>
      <c r="C151" t="e">
        <f>B151/(日期!#REF!-日期!#REF!+1)</f>
        <v>#REF!</v>
      </c>
    </row>
    <row r="152" spans="2:3">
      <c r="B152">
        <f>SUMIFS(allorders!O:O,allorders!L:L,'数据处理(仓储使用)'!$A152,allorders!$AG:$AG,"&lt;="&amp;日期!#REF!,allorders!$AG:$AG,"&gt;="&amp;日期!#REF!)</f>
        <v>0</v>
      </c>
      <c r="C152" t="e">
        <f>B152/(日期!#REF!-日期!#REF!+1)</f>
        <v>#REF!</v>
      </c>
    </row>
    <row r="153" spans="2:3">
      <c r="B153">
        <f>SUMIFS(allorders!O:O,allorders!L:L,'数据处理(仓储使用)'!$A153,allorders!$AG:$AG,"&lt;="&amp;日期!#REF!,allorders!$AG:$AG,"&gt;="&amp;日期!#REF!)</f>
        <v>0</v>
      </c>
      <c r="C153" t="e">
        <f>B153/(日期!#REF!-日期!#REF!+1)</f>
        <v>#REF!</v>
      </c>
    </row>
    <row r="154" spans="2:3">
      <c r="B154">
        <f>SUMIFS(allorders!O:O,allorders!L:L,'数据处理(仓储使用)'!$A154,allorders!$AG:$AG,"&lt;="&amp;日期!#REF!,allorders!$AG:$AG,"&gt;="&amp;日期!#REF!)</f>
        <v>0</v>
      </c>
      <c r="C154" t="e">
        <f>B154/(日期!#REF!-日期!#REF!+1)</f>
        <v>#REF!</v>
      </c>
    </row>
    <row r="155" spans="2:3">
      <c r="B155">
        <f>SUMIFS(allorders!O:O,allorders!L:L,'数据处理(仓储使用)'!$A155,allorders!$AG:$AG,"&lt;="&amp;日期!#REF!,allorders!$AG:$AG,"&gt;="&amp;日期!#REF!)</f>
        <v>0</v>
      </c>
      <c r="C155" t="e">
        <f>B155/(日期!#REF!-日期!#REF!+1)</f>
        <v>#REF!</v>
      </c>
    </row>
    <row r="156" spans="2:3">
      <c r="B156">
        <f>SUMIFS(allorders!O:O,allorders!L:L,'数据处理(仓储使用)'!$A156,allorders!$AG:$AG,"&lt;="&amp;日期!#REF!,allorders!$AG:$AG,"&gt;="&amp;日期!#REF!)</f>
        <v>0</v>
      </c>
      <c r="C156" t="e">
        <f>B156/(日期!#REF!-日期!#REF!+1)</f>
        <v>#REF!</v>
      </c>
    </row>
    <row r="157" spans="2:3">
      <c r="B157">
        <f>SUMIFS(allorders!O:O,allorders!L:L,'数据处理(仓储使用)'!$A157,allorders!$AG:$AG,"&lt;="&amp;日期!#REF!,allorders!$AG:$AG,"&gt;="&amp;日期!#REF!)</f>
        <v>0</v>
      </c>
      <c r="C157" t="e">
        <f>B157/(日期!#REF!-日期!#REF!+1)</f>
        <v>#REF!</v>
      </c>
    </row>
    <row r="158" spans="2:3">
      <c r="B158">
        <f>SUMIFS(allorders!O:O,allorders!L:L,'数据处理(仓储使用)'!$A158,allorders!$AG:$AG,"&lt;="&amp;日期!#REF!,allorders!$AG:$AG,"&gt;="&amp;日期!#REF!)</f>
        <v>0</v>
      </c>
      <c r="C158" t="e">
        <f>B158/(日期!#REF!-日期!#REF!+1)</f>
        <v>#REF!</v>
      </c>
    </row>
    <row r="159" spans="2:3">
      <c r="B159">
        <f>SUMIFS(allorders!O:O,allorders!L:L,'数据处理(仓储使用)'!$A159,allorders!$AG:$AG,"&lt;="&amp;日期!#REF!,allorders!$AG:$AG,"&gt;="&amp;日期!#REF!)</f>
        <v>0</v>
      </c>
      <c r="C159" t="e">
        <f>B159/(日期!#REF!-日期!#REF!+1)</f>
        <v>#REF!</v>
      </c>
    </row>
    <row r="160" spans="2:3">
      <c r="B160">
        <f>SUMIFS(allorders!O:O,allorders!L:L,'数据处理(仓储使用)'!$A160,allorders!$AG:$AG,"&lt;="&amp;日期!#REF!,allorders!$AG:$AG,"&gt;="&amp;日期!#REF!)</f>
        <v>0</v>
      </c>
      <c r="C160" t="e">
        <f>B160/(日期!#REF!-日期!#REF!+1)</f>
        <v>#REF!</v>
      </c>
    </row>
    <row r="161" spans="2:3">
      <c r="B161">
        <f>SUMIFS(allorders!O:O,allorders!L:L,'数据处理(仓储使用)'!$A161,allorders!$AG:$AG,"&lt;="&amp;日期!#REF!,allorders!$AG:$AG,"&gt;="&amp;日期!#REF!)</f>
        <v>0</v>
      </c>
      <c r="C161" t="e">
        <f>B161/(日期!#REF!-日期!#REF!+1)</f>
        <v>#REF!</v>
      </c>
    </row>
    <row r="162" spans="2:3">
      <c r="B162">
        <f>SUMIFS(allorders!O:O,allorders!L:L,'数据处理(仓储使用)'!$A162,allorders!$AG:$AG,"&lt;="&amp;日期!#REF!,allorders!$AG:$AG,"&gt;="&amp;日期!#REF!)</f>
        <v>0</v>
      </c>
      <c r="C162" t="e">
        <f>B162/(日期!#REF!-日期!#REF!+1)</f>
        <v>#REF!</v>
      </c>
    </row>
    <row r="163" spans="2:3">
      <c r="B163">
        <f>SUMIFS(allorders!O:O,allorders!L:L,'数据处理(仓储使用)'!$A163,allorders!$AG:$AG,"&lt;="&amp;日期!#REF!,allorders!$AG:$AG,"&gt;="&amp;日期!#REF!)</f>
        <v>0</v>
      </c>
      <c r="C163" t="e">
        <f>B163/(日期!#REF!-日期!#REF!+1)</f>
        <v>#REF!</v>
      </c>
    </row>
    <row r="164" spans="2:3">
      <c r="B164">
        <f>SUMIFS(allorders!O:O,allorders!L:L,'数据处理(仓储使用)'!$A164,allorders!$AG:$AG,"&lt;="&amp;日期!#REF!,allorders!$AG:$AG,"&gt;="&amp;日期!#REF!)</f>
        <v>0</v>
      </c>
      <c r="C164" t="e">
        <f>B164/(日期!#REF!-日期!#REF!+1)</f>
        <v>#REF!</v>
      </c>
    </row>
    <row r="165" spans="2:3">
      <c r="B165">
        <f>SUMIFS(allorders!O:O,allorders!L:L,'数据处理(仓储使用)'!$A165,allorders!$AG:$AG,"&lt;="&amp;日期!#REF!,allorders!$AG:$AG,"&gt;="&amp;日期!#REF!)</f>
        <v>0</v>
      </c>
      <c r="C165" t="e">
        <f>B165/(日期!#REF!-日期!#REF!+1)</f>
        <v>#REF!</v>
      </c>
    </row>
    <row r="166" spans="2:3">
      <c r="B166">
        <f>SUMIFS(allorders!O:O,allorders!L:L,'数据处理(仓储使用)'!$A166,allorders!$AG:$AG,"&lt;="&amp;日期!#REF!,allorders!$AG:$AG,"&gt;="&amp;日期!#REF!)</f>
        <v>0</v>
      </c>
      <c r="C166" t="e">
        <f>B166/(日期!#REF!-日期!#REF!+1)</f>
        <v>#REF!</v>
      </c>
    </row>
    <row r="167" spans="2:3">
      <c r="B167">
        <f>SUMIFS(allorders!O:O,allorders!L:L,'数据处理(仓储使用)'!$A167,allorders!$AG:$AG,"&lt;="&amp;日期!#REF!,allorders!$AG:$AG,"&gt;="&amp;日期!#REF!)</f>
        <v>0</v>
      </c>
      <c r="C167" t="e">
        <f>B167/(日期!#REF!-日期!#REF!+1)</f>
        <v>#REF!</v>
      </c>
    </row>
    <row r="168" spans="2:3">
      <c r="B168">
        <f>SUMIFS(allorders!O:O,allorders!L:L,'数据处理(仓储使用)'!$A168,allorders!$AG:$AG,"&lt;="&amp;日期!#REF!,allorders!$AG:$AG,"&gt;="&amp;日期!#REF!)</f>
        <v>0</v>
      </c>
      <c r="C168" t="e">
        <f>B168/(日期!#REF!-日期!#REF!+1)</f>
        <v>#REF!</v>
      </c>
    </row>
    <row r="169" spans="2:3">
      <c r="B169">
        <f>SUMIFS(allorders!O:O,allorders!L:L,'数据处理(仓储使用)'!$A169,allorders!$AG:$AG,"&lt;="&amp;日期!#REF!,allorders!$AG:$AG,"&gt;="&amp;日期!#REF!)</f>
        <v>0</v>
      </c>
      <c r="C169" t="e">
        <f>B169/(日期!#REF!-日期!#REF!+1)</f>
        <v>#REF!</v>
      </c>
    </row>
    <row r="170" spans="2:3">
      <c r="B170">
        <f>SUMIFS(allorders!O:O,allorders!L:L,'数据处理(仓储使用)'!$A170,allorders!$AG:$AG,"&lt;="&amp;日期!#REF!,allorders!$AG:$AG,"&gt;="&amp;日期!#REF!)</f>
        <v>0</v>
      </c>
      <c r="C170" t="e">
        <f>B170/(日期!#REF!-日期!#REF!+1)</f>
        <v>#REF!</v>
      </c>
    </row>
    <row r="171" spans="2:3">
      <c r="B171">
        <f>SUMIFS(allorders!O:O,allorders!L:L,'数据处理(仓储使用)'!$A171,allorders!$AG:$AG,"&lt;="&amp;日期!#REF!,allorders!$AG:$AG,"&gt;="&amp;日期!#REF!)</f>
        <v>0</v>
      </c>
      <c r="C171" t="e">
        <f>B171/(日期!#REF!-日期!#REF!+1)</f>
        <v>#REF!</v>
      </c>
    </row>
    <row r="172" spans="2:3">
      <c r="B172">
        <f>SUMIFS(allorders!O:O,allorders!L:L,'数据处理(仓储使用)'!$A172,allorders!$AG:$AG,"&lt;="&amp;日期!#REF!,allorders!$AG:$AG,"&gt;="&amp;日期!#REF!)</f>
        <v>0</v>
      </c>
      <c r="C172" t="e">
        <f>B172/(日期!#REF!-日期!#REF!+1)</f>
        <v>#REF!</v>
      </c>
    </row>
    <row r="173" spans="2:3">
      <c r="B173">
        <f>SUMIFS(allorders!O:O,allorders!L:L,'数据处理(仓储使用)'!$A173,allorders!$AG:$AG,"&lt;="&amp;日期!#REF!,allorders!$AG:$AG,"&gt;="&amp;日期!#REF!)</f>
        <v>0</v>
      </c>
      <c r="C173" t="e">
        <f>B173/(日期!#REF!-日期!#REF!+1)</f>
        <v>#REF!</v>
      </c>
    </row>
    <row r="174" spans="2:3">
      <c r="B174">
        <f>SUMIFS(allorders!O:O,allorders!L:L,'数据处理(仓储使用)'!$A174,allorders!$AG:$AG,"&lt;="&amp;日期!#REF!,allorders!$AG:$AG,"&gt;="&amp;日期!#REF!)</f>
        <v>0</v>
      </c>
      <c r="C174" t="e">
        <f>B174/(日期!#REF!-日期!#REF!+1)</f>
        <v>#REF!</v>
      </c>
    </row>
    <row r="175" spans="2:3">
      <c r="B175">
        <f>SUMIFS(allorders!O:O,allorders!L:L,'数据处理(仓储使用)'!$A175,allorders!$AG:$AG,"&lt;="&amp;日期!#REF!,allorders!$AG:$AG,"&gt;="&amp;日期!#REF!)</f>
        <v>0</v>
      </c>
      <c r="C175" t="e">
        <f>B175/(日期!#REF!-日期!#REF!+1)</f>
        <v>#REF!</v>
      </c>
    </row>
    <row r="176" spans="2:3">
      <c r="B176">
        <f>SUMIFS(allorders!O:O,allorders!L:L,'数据处理(仓储使用)'!$A176,allorders!$AG:$AG,"&lt;="&amp;日期!#REF!,allorders!$AG:$AG,"&gt;="&amp;日期!#REF!)</f>
        <v>0</v>
      </c>
      <c r="C176" t="e">
        <f>B176/(日期!#REF!-日期!#REF!+1)</f>
        <v>#REF!</v>
      </c>
    </row>
    <row r="177" spans="2:3">
      <c r="B177">
        <f>SUMIFS(allorders!O:O,allorders!L:L,'数据处理(仓储使用)'!$A177,allorders!$AG:$AG,"&lt;="&amp;日期!#REF!,allorders!$AG:$AG,"&gt;="&amp;日期!#REF!)</f>
        <v>0</v>
      </c>
      <c r="C177" t="e">
        <f>B177/(日期!#REF!-日期!#REF!+1)</f>
        <v>#REF!</v>
      </c>
    </row>
    <row r="178" spans="2:3">
      <c r="B178">
        <f>SUMIFS(allorders!O:O,allorders!L:L,'数据处理(仓储使用)'!$A178,allorders!$AG:$AG,"&lt;="&amp;日期!#REF!,allorders!$AG:$AG,"&gt;="&amp;日期!#REF!)</f>
        <v>0</v>
      </c>
      <c r="C178" t="e">
        <f>B178/(日期!#REF!-日期!#REF!+1)</f>
        <v>#REF!</v>
      </c>
    </row>
    <row r="179" spans="2:3">
      <c r="B179">
        <f>SUMIFS(allorders!O:O,allorders!L:L,'数据处理(仓储使用)'!$A179,allorders!$AG:$AG,"&lt;="&amp;日期!#REF!,allorders!$AG:$AG,"&gt;="&amp;日期!#REF!)</f>
        <v>0</v>
      </c>
      <c r="C179" t="e">
        <f>B179/(日期!#REF!-日期!#REF!+1)</f>
        <v>#REF!</v>
      </c>
    </row>
    <row r="180" spans="2:3">
      <c r="B180">
        <f>SUMIFS(allorders!O:O,allorders!L:L,'数据处理(仓储使用)'!$A180,allorders!$AG:$AG,"&lt;="&amp;日期!#REF!,allorders!$AG:$AG,"&gt;="&amp;日期!#REF!)</f>
        <v>0</v>
      </c>
      <c r="C180" t="e">
        <f>B180/(日期!#REF!-日期!#REF!+1)</f>
        <v>#REF!</v>
      </c>
    </row>
    <row r="181" spans="2:3">
      <c r="B181">
        <f>SUMIFS(allorders!O:O,allorders!L:L,'数据处理(仓储使用)'!$A181,allorders!$AG:$AG,"&lt;="&amp;日期!#REF!,allorders!$AG:$AG,"&gt;="&amp;日期!#REF!)</f>
        <v>0</v>
      </c>
      <c r="C181" t="e">
        <f>B181/(日期!#REF!-日期!#REF!+1)</f>
        <v>#REF!</v>
      </c>
    </row>
    <row r="182" spans="2:3">
      <c r="B182">
        <f>SUMIFS(allorders!O:O,allorders!L:L,'数据处理(仓储使用)'!$A182,allorders!$AG:$AG,"&lt;="&amp;日期!#REF!,allorders!$AG:$AG,"&gt;="&amp;日期!#REF!)</f>
        <v>0</v>
      </c>
      <c r="C182" t="e">
        <f>B182/(日期!#REF!-日期!#REF!+1)</f>
        <v>#REF!</v>
      </c>
    </row>
    <row r="183" spans="2:3">
      <c r="B183">
        <f>SUMIFS(allorders!O:O,allorders!L:L,'数据处理(仓储使用)'!$A183,allorders!$AG:$AG,"&lt;="&amp;日期!#REF!,allorders!$AG:$AG,"&gt;="&amp;日期!#REF!)</f>
        <v>0</v>
      </c>
      <c r="C183" t="e">
        <f>B183/(日期!#REF!-日期!#REF!+1)</f>
        <v>#REF!</v>
      </c>
    </row>
    <row r="184" spans="2:3">
      <c r="B184">
        <f>SUMIFS(allorders!O:O,allorders!L:L,'数据处理(仓储使用)'!$A184,allorders!$AG:$AG,"&lt;="&amp;日期!#REF!,allorders!$AG:$AG,"&gt;="&amp;日期!#REF!)</f>
        <v>0</v>
      </c>
      <c r="C184" t="e">
        <f>B184/(日期!#REF!-日期!#REF!+1)</f>
        <v>#REF!</v>
      </c>
    </row>
    <row r="185" spans="2:3">
      <c r="B185">
        <f>SUMIFS(allorders!O:O,allorders!L:L,'数据处理(仓储使用)'!$A185,allorders!$AG:$AG,"&lt;="&amp;日期!#REF!,allorders!$AG:$AG,"&gt;="&amp;日期!#REF!)</f>
        <v>0</v>
      </c>
      <c r="C185" t="e">
        <f>B185/(日期!#REF!-日期!#REF!+1)</f>
        <v>#REF!</v>
      </c>
    </row>
    <row r="186" spans="2:3">
      <c r="B186">
        <f>SUMIFS(allorders!O:O,allorders!L:L,'数据处理(仓储使用)'!$A186,allorders!$AG:$AG,"&lt;="&amp;日期!#REF!,allorders!$AG:$AG,"&gt;="&amp;日期!#REF!)</f>
        <v>0</v>
      </c>
      <c r="C186" t="e">
        <f>B186/(日期!#REF!-日期!#REF!+1)</f>
        <v>#REF!</v>
      </c>
    </row>
    <row r="187" spans="2:3">
      <c r="B187">
        <f>SUMIFS(allorders!O:O,allorders!L:L,'数据处理(仓储使用)'!$A187,allorders!$AG:$AG,"&lt;="&amp;日期!#REF!,allorders!$AG:$AG,"&gt;="&amp;日期!#REF!)</f>
        <v>0</v>
      </c>
      <c r="C187" t="e">
        <f>B187/(日期!#REF!-日期!#REF!+1)</f>
        <v>#REF!</v>
      </c>
    </row>
    <row r="188" spans="2:3">
      <c r="B188">
        <f>SUMIFS(allorders!O:O,allorders!L:L,'数据处理(仓储使用)'!$A188,allorders!$AG:$AG,"&lt;="&amp;日期!#REF!,allorders!$AG:$AG,"&gt;="&amp;日期!#REF!)</f>
        <v>0</v>
      </c>
      <c r="C188" t="e">
        <f>B188/(日期!#REF!-日期!#REF!+1)</f>
        <v>#REF!</v>
      </c>
    </row>
    <row r="189" spans="2:3">
      <c r="B189">
        <f>SUMIFS(allorders!O:O,allorders!L:L,'数据处理(仓储使用)'!$A189,allorders!$AG:$AG,"&lt;="&amp;日期!#REF!,allorders!$AG:$AG,"&gt;="&amp;日期!#REF!)</f>
        <v>0</v>
      </c>
      <c r="C189" t="e">
        <f>B189/(日期!#REF!-日期!#REF!+1)</f>
        <v>#REF!</v>
      </c>
    </row>
    <row r="190" spans="2:3">
      <c r="B190">
        <f>SUMIFS(allorders!O:O,allorders!L:L,'数据处理(仓储使用)'!$A190,allorders!$AG:$AG,"&lt;="&amp;日期!#REF!,allorders!$AG:$AG,"&gt;="&amp;日期!#REF!)</f>
        <v>0</v>
      </c>
      <c r="C190" t="e">
        <f>B190/(日期!#REF!-日期!#REF!+1)</f>
        <v>#REF!</v>
      </c>
    </row>
    <row r="191" spans="2:3">
      <c r="B191">
        <f>SUMIFS(allorders!O:O,allorders!L:L,'数据处理(仓储使用)'!$A191,allorders!$AG:$AG,"&lt;="&amp;日期!#REF!,allorders!$AG:$AG,"&gt;="&amp;日期!#REF!)</f>
        <v>0</v>
      </c>
      <c r="C191" t="e">
        <f>B191/(日期!#REF!-日期!#REF!+1)</f>
        <v>#REF!</v>
      </c>
    </row>
    <row r="192" spans="2:3">
      <c r="B192">
        <f>SUMIFS(allorders!O:O,allorders!L:L,'数据处理(仓储使用)'!$A192,allorders!$AG:$AG,"&lt;="&amp;日期!#REF!,allorders!$AG:$AG,"&gt;="&amp;日期!#REF!)</f>
        <v>0</v>
      </c>
      <c r="C192" t="e">
        <f>B192/(日期!#REF!-日期!#REF!+1)</f>
        <v>#REF!</v>
      </c>
    </row>
    <row r="193" spans="2:3">
      <c r="B193">
        <f>SUMIFS(allorders!O:O,allorders!L:L,'数据处理(仓储使用)'!$A193,allorders!$AG:$AG,"&lt;="&amp;日期!#REF!,allorders!$AG:$AG,"&gt;="&amp;日期!#REF!)</f>
        <v>0</v>
      </c>
      <c r="C193" t="e">
        <f>B193/(日期!#REF!-日期!#REF!+1)</f>
        <v>#REF!</v>
      </c>
    </row>
    <row r="194" spans="2:3">
      <c r="B194">
        <f>SUMIFS(allorders!O:O,allorders!L:L,'数据处理(仓储使用)'!$A194,allorders!$AG:$AG,"&lt;="&amp;日期!#REF!,allorders!$AG:$AG,"&gt;="&amp;日期!#REF!)</f>
        <v>0</v>
      </c>
      <c r="C194" t="e">
        <f>B194/(日期!#REF!-日期!#REF!+1)</f>
        <v>#REF!</v>
      </c>
    </row>
    <row r="195" spans="2:3">
      <c r="B195">
        <f>SUMIFS(allorders!O:O,allorders!L:L,'数据处理(仓储使用)'!$A195,allorders!$AG:$AG,"&lt;="&amp;日期!#REF!,allorders!$AG:$AG,"&gt;="&amp;日期!#REF!)</f>
        <v>0</v>
      </c>
      <c r="C195" t="e">
        <f>B195/(日期!#REF!-日期!#REF!+1)</f>
        <v>#REF!</v>
      </c>
    </row>
    <row r="196" spans="2:3">
      <c r="B196">
        <f>SUMIFS(allorders!O:O,allorders!L:L,'数据处理(仓储使用)'!$A196,allorders!$AG:$AG,"&lt;="&amp;日期!#REF!,allorders!$AG:$AG,"&gt;="&amp;日期!#REF!)</f>
        <v>0</v>
      </c>
      <c r="C196" t="e">
        <f>B196/(日期!#REF!-日期!#REF!+1)</f>
        <v>#REF!</v>
      </c>
    </row>
    <row r="197" spans="2:3">
      <c r="B197">
        <f>SUMIFS(allorders!O:O,allorders!L:L,'数据处理(仓储使用)'!$A197,allorders!$AG:$AG,"&lt;="&amp;日期!#REF!,allorders!$AG:$AG,"&gt;="&amp;日期!#REF!)</f>
        <v>0</v>
      </c>
      <c r="C197" t="e">
        <f>B197/(日期!#REF!-日期!#REF!+1)</f>
        <v>#REF!</v>
      </c>
    </row>
    <row r="198" spans="2:3">
      <c r="B198">
        <f>SUMIFS(allorders!O:O,allorders!L:L,'数据处理(仓储使用)'!$A198,allorders!$AG:$AG,"&lt;="&amp;日期!#REF!,allorders!$AG:$AG,"&gt;="&amp;日期!#REF!)</f>
        <v>0</v>
      </c>
      <c r="C198" t="e">
        <f>B198/(日期!#REF!-日期!#REF!+1)</f>
        <v>#REF!</v>
      </c>
    </row>
    <row r="199" spans="2:3">
      <c r="B199">
        <f>SUMIFS(allorders!O:O,allorders!L:L,'数据处理(仓储使用)'!$A199,allorders!$AG:$AG,"&lt;="&amp;日期!#REF!,allorders!$AG:$AG,"&gt;="&amp;日期!#REF!)</f>
        <v>0</v>
      </c>
      <c r="C199" t="e">
        <f>B199/(日期!#REF!-日期!#REF!+1)</f>
        <v>#REF!</v>
      </c>
    </row>
    <row r="200" spans="2:3">
      <c r="B200">
        <f>SUMIFS(allorders!O:O,allorders!L:L,'数据处理(仓储使用)'!$A200,allorders!$AG:$AG,"&lt;="&amp;日期!#REF!,allorders!$AG:$AG,"&gt;="&amp;日期!#REF!)</f>
        <v>0</v>
      </c>
      <c r="C200" t="e">
        <f>B200/(日期!#REF!-日期!#REF!+1)</f>
        <v>#REF!</v>
      </c>
    </row>
    <row r="201" spans="2:3">
      <c r="B201">
        <f>SUMIFS(allorders!O:O,allorders!L:L,'数据处理(仓储使用)'!$A201,allorders!$AG:$AG,"&lt;="&amp;日期!#REF!,allorders!$AG:$AG,"&gt;="&amp;日期!#REF!)</f>
        <v>0</v>
      </c>
      <c r="C201" t="e">
        <f>B201/(日期!#REF!-日期!#REF!+1)</f>
        <v>#REF!</v>
      </c>
    </row>
    <row r="202" spans="2:3">
      <c r="B202">
        <f>SUMIFS(allorders!O:O,allorders!L:L,'数据处理(仓储使用)'!$A202,allorders!$AG:$AG,"&lt;="&amp;日期!#REF!,allorders!$AG:$AG,"&gt;="&amp;日期!#REF!)</f>
        <v>0</v>
      </c>
      <c r="C202" t="e">
        <f>B202/(日期!#REF!-日期!#REF!+1)</f>
        <v>#REF!</v>
      </c>
    </row>
    <row r="203" spans="2:3">
      <c r="B203">
        <f>SUMIFS(allorders!O:O,allorders!L:L,'数据处理(仓储使用)'!$A203,allorders!$AG:$AG,"&lt;="&amp;日期!#REF!,allorders!$AG:$AG,"&gt;="&amp;日期!#REF!)</f>
        <v>0</v>
      </c>
      <c r="C203" t="e">
        <f>B203/(日期!#REF!-日期!#REF!+1)</f>
        <v>#REF!</v>
      </c>
    </row>
    <row r="204" spans="2:3">
      <c r="B204">
        <f>SUMIFS(allorders!O:O,allorders!L:L,'数据处理(仓储使用)'!$A204,allorders!$AG:$AG,"&lt;="&amp;日期!#REF!,allorders!$AG:$AG,"&gt;="&amp;日期!#REF!)</f>
        <v>0</v>
      </c>
      <c r="C204" t="e">
        <f>B204/(日期!#REF!-日期!#REF!+1)</f>
        <v>#REF!</v>
      </c>
    </row>
    <row r="205" spans="2:3">
      <c r="B205">
        <f>SUMIFS(allorders!O:O,allorders!L:L,'数据处理(仓储使用)'!$A205,allorders!$AG:$AG,"&lt;="&amp;日期!#REF!,allorders!$AG:$AG,"&gt;="&amp;日期!#REF!)</f>
        <v>0</v>
      </c>
      <c r="C205" t="e">
        <f>B205/(日期!#REF!-日期!#REF!+1)</f>
        <v>#REF!</v>
      </c>
    </row>
    <row r="206" spans="2:3">
      <c r="B206">
        <f>SUMIFS(allorders!O:O,allorders!L:L,'数据处理(仓储使用)'!$A206,allorders!$AG:$AG,"&lt;="&amp;日期!#REF!,allorders!$AG:$AG,"&gt;="&amp;日期!#REF!)</f>
        <v>0</v>
      </c>
      <c r="C206" t="e">
        <f>B206/(日期!#REF!-日期!#REF!+1)</f>
        <v>#REF!</v>
      </c>
    </row>
    <row r="207" spans="2:3">
      <c r="B207">
        <f>SUMIFS(allorders!O:O,allorders!L:L,'数据处理(仓储使用)'!$A207,allorders!$AG:$AG,"&lt;="&amp;日期!#REF!,allorders!$AG:$AG,"&gt;="&amp;日期!#REF!)</f>
        <v>0</v>
      </c>
      <c r="C207" t="e">
        <f>B207/(日期!#REF!-日期!#REF!+1)</f>
        <v>#REF!</v>
      </c>
    </row>
    <row r="208" spans="2:3">
      <c r="B208">
        <f>SUMIFS(allorders!O:O,allorders!L:L,'数据处理(仓储使用)'!$A208,allorders!$AG:$AG,"&lt;="&amp;日期!#REF!,allorders!$AG:$AG,"&gt;="&amp;日期!#REF!)</f>
        <v>0</v>
      </c>
      <c r="C208" t="e">
        <f>B208/(日期!#REF!-日期!#REF!+1)</f>
        <v>#REF!</v>
      </c>
    </row>
    <row r="209" spans="2:3">
      <c r="B209">
        <f>SUMIFS(allorders!O:O,allorders!L:L,'数据处理(仓储使用)'!$A209,allorders!$AG:$AG,"&lt;="&amp;日期!#REF!,allorders!$AG:$AG,"&gt;="&amp;日期!#REF!)</f>
        <v>0</v>
      </c>
      <c r="C209" t="e">
        <f>B209/(日期!#REF!-日期!#REF!+1)</f>
        <v>#REF!</v>
      </c>
    </row>
    <row r="210" spans="2:3">
      <c r="B210">
        <f>SUMIFS(allorders!O:O,allorders!L:L,'数据处理(仓储使用)'!$A210,allorders!$AG:$AG,"&lt;="&amp;日期!#REF!,allorders!$AG:$AG,"&gt;="&amp;日期!#REF!)</f>
        <v>0</v>
      </c>
      <c r="C210" t="e">
        <f>B210/(日期!#REF!-日期!#REF!+1)</f>
        <v>#REF!</v>
      </c>
    </row>
    <row r="211" spans="2:3">
      <c r="B211">
        <f>SUMIFS(allorders!O:O,allorders!L:L,'数据处理(仓储使用)'!$A211,allorders!$AG:$AG,"&lt;="&amp;日期!#REF!,allorders!$AG:$AG,"&gt;="&amp;日期!#REF!)</f>
        <v>0</v>
      </c>
      <c r="C211" t="e">
        <f>B211/(日期!#REF!-日期!#REF!+1)</f>
        <v>#REF!</v>
      </c>
    </row>
    <row r="212" spans="2:3">
      <c r="B212">
        <f>SUMIFS(allorders!O:O,allorders!L:L,'数据处理(仓储使用)'!$A212,allorders!$AG:$AG,"&lt;="&amp;日期!#REF!,allorders!$AG:$AG,"&gt;="&amp;日期!#REF!)</f>
        <v>0</v>
      </c>
      <c r="C212" t="e">
        <f>B212/(日期!#REF!-日期!#REF!+1)</f>
        <v>#REF!</v>
      </c>
    </row>
    <row r="213" spans="2:3">
      <c r="B213">
        <f>SUMIFS(allorders!O:O,allorders!L:L,'数据处理(仓储使用)'!$A213,allorders!$AG:$AG,"&lt;="&amp;日期!#REF!,allorders!$AG:$AG,"&gt;="&amp;日期!#REF!)</f>
        <v>0</v>
      </c>
      <c r="C213" t="e">
        <f>B213/(日期!#REF!-日期!#REF!+1)</f>
        <v>#REF!</v>
      </c>
    </row>
    <row r="214" spans="2:3">
      <c r="B214">
        <f>SUMIFS(allorders!O:O,allorders!L:L,'数据处理(仓储使用)'!$A214,allorders!$AG:$AG,"&lt;="&amp;日期!#REF!,allorders!$AG:$AG,"&gt;="&amp;日期!#REF!)</f>
        <v>0</v>
      </c>
      <c r="C214" t="e">
        <f>B214/(日期!#REF!-日期!#REF!+1)</f>
        <v>#REF!</v>
      </c>
    </row>
    <row r="215" spans="2:3">
      <c r="B215">
        <f>SUMIFS(allorders!O:O,allorders!L:L,'数据处理(仓储使用)'!$A215,allorders!$AG:$AG,"&lt;="&amp;日期!#REF!,allorders!$AG:$AG,"&gt;="&amp;日期!#REF!)</f>
        <v>0</v>
      </c>
      <c r="C215" t="e">
        <f>B215/(日期!#REF!-日期!#REF!+1)</f>
        <v>#REF!</v>
      </c>
    </row>
    <row r="216" spans="2:3">
      <c r="B216">
        <f>SUMIFS(allorders!O:O,allorders!L:L,'数据处理(仓储使用)'!$A216,allorders!$AG:$AG,"&lt;="&amp;日期!#REF!,allorders!$AG:$AG,"&gt;="&amp;日期!#REF!)</f>
        <v>0</v>
      </c>
      <c r="C216" t="e">
        <f>B216/(日期!#REF!-日期!#REF!+1)</f>
        <v>#REF!</v>
      </c>
    </row>
    <row r="217" spans="2:3">
      <c r="B217">
        <f>SUMIFS(allorders!O:O,allorders!L:L,'数据处理(仓储使用)'!$A217,allorders!$AG:$AG,"&lt;="&amp;日期!#REF!,allorders!$AG:$AG,"&gt;="&amp;日期!#REF!)</f>
        <v>0</v>
      </c>
      <c r="C217" t="e">
        <f>B217/(日期!#REF!-日期!#REF!+1)</f>
        <v>#REF!</v>
      </c>
    </row>
    <row r="218" spans="2:3">
      <c r="B218">
        <f>SUMIFS(allorders!O:O,allorders!L:L,'数据处理(仓储使用)'!$A218,allorders!$AG:$AG,"&lt;="&amp;日期!#REF!,allorders!$AG:$AG,"&gt;="&amp;日期!#REF!)</f>
        <v>0</v>
      </c>
      <c r="C218" t="e">
        <f>B218/(日期!#REF!-日期!#REF!+1)</f>
        <v>#REF!</v>
      </c>
    </row>
    <row r="219" spans="2:3">
      <c r="B219">
        <f>SUMIFS(allorders!O:O,allorders!L:L,'数据处理(仓储使用)'!$A219,allorders!$AG:$AG,"&lt;="&amp;日期!#REF!,allorders!$AG:$AG,"&gt;="&amp;日期!#REF!)</f>
        <v>0</v>
      </c>
      <c r="C219" t="e">
        <f>B219/(日期!#REF!-日期!#REF!+1)</f>
        <v>#REF!</v>
      </c>
    </row>
    <row r="220" spans="2:3">
      <c r="B220">
        <f>SUMIFS(allorders!O:O,allorders!L:L,'数据处理(仓储使用)'!$A220,allorders!$AG:$AG,"&lt;="&amp;日期!#REF!,allorders!$AG:$AG,"&gt;="&amp;日期!#REF!)</f>
        <v>0</v>
      </c>
      <c r="C220" t="e">
        <f>B220/(日期!#REF!-日期!#REF!+1)</f>
        <v>#REF!</v>
      </c>
    </row>
    <row r="221" spans="2:3">
      <c r="B221">
        <f>SUMIFS(allorders!O:O,allorders!L:L,'数据处理(仓储使用)'!$A221,allorders!$AG:$AG,"&lt;="&amp;日期!#REF!,allorders!$AG:$AG,"&gt;="&amp;日期!#REF!)</f>
        <v>0</v>
      </c>
      <c r="C221" t="e">
        <f>B221/(日期!#REF!-日期!#REF!+1)</f>
        <v>#REF!</v>
      </c>
    </row>
    <row r="222" spans="2:3">
      <c r="B222">
        <f>SUMIFS(allorders!O:O,allorders!L:L,'数据处理(仓储使用)'!$A222,allorders!$AG:$AG,"&lt;="&amp;日期!#REF!,allorders!$AG:$AG,"&gt;="&amp;日期!#REF!)</f>
        <v>0</v>
      </c>
      <c r="C222" t="e">
        <f>B222/(日期!#REF!-日期!#REF!+1)</f>
        <v>#REF!</v>
      </c>
    </row>
    <row r="223" spans="2:3">
      <c r="B223">
        <f>SUMIFS(allorders!O:O,allorders!L:L,'数据处理(仓储使用)'!$A223,allorders!$AG:$AG,"&lt;="&amp;日期!#REF!,allorders!$AG:$AG,"&gt;="&amp;日期!#REF!)</f>
        <v>0</v>
      </c>
      <c r="C223" t="e">
        <f>B223/(日期!#REF!-日期!#REF!+1)</f>
        <v>#REF!</v>
      </c>
    </row>
    <row r="224" spans="2:3">
      <c r="B224">
        <f>SUMIFS(allorders!O:O,allorders!L:L,'数据处理(仓储使用)'!$A224,allorders!$AG:$AG,"&lt;="&amp;日期!#REF!,allorders!$AG:$AG,"&gt;="&amp;日期!#REF!)</f>
        <v>0</v>
      </c>
      <c r="C224" t="e">
        <f>B224/(日期!#REF!-日期!#REF!+1)</f>
        <v>#REF!</v>
      </c>
    </row>
    <row r="225" spans="2:3">
      <c r="B225">
        <f>SUMIFS(allorders!O:O,allorders!L:L,'数据处理(仓储使用)'!$A225,allorders!$AG:$AG,"&lt;="&amp;日期!#REF!,allorders!$AG:$AG,"&gt;="&amp;日期!#REF!)</f>
        <v>0</v>
      </c>
      <c r="C225" t="e">
        <f>B225/(日期!#REF!-日期!#REF!+1)</f>
        <v>#REF!</v>
      </c>
    </row>
    <row r="226" spans="2:3">
      <c r="B226">
        <f>SUMIFS(allorders!O:O,allorders!L:L,'数据处理(仓储使用)'!$A226,allorders!$AG:$AG,"&lt;="&amp;日期!#REF!,allorders!$AG:$AG,"&gt;="&amp;日期!#REF!)</f>
        <v>0</v>
      </c>
      <c r="C226" t="e">
        <f>B226/(日期!#REF!-日期!#REF!+1)</f>
        <v>#REF!</v>
      </c>
    </row>
    <row r="227" spans="2:3">
      <c r="B227">
        <f>SUMIFS(allorders!O:O,allorders!L:L,'数据处理(仓储使用)'!$A227,allorders!$AG:$AG,"&lt;="&amp;日期!#REF!,allorders!$AG:$AG,"&gt;="&amp;日期!#REF!)</f>
        <v>0</v>
      </c>
      <c r="C227" t="e">
        <f>B227/(日期!#REF!-日期!#REF!+1)</f>
        <v>#REF!</v>
      </c>
    </row>
    <row r="228" spans="2:3">
      <c r="B228">
        <f>SUMIFS(allorders!O:O,allorders!L:L,'数据处理(仓储使用)'!$A228,allorders!$AG:$AG,"&lt;="&amp;日期!#REF!,allorders!$AG:$AG,"&gt;="&amp;日期!#REF!)</f>
        <v>0</v>
      </c>
      <c r="C228" t="e">
        <f>B228/(日期!#REF!-日期!#REF!+1)</f>
        <v>#REF!</v>
      </c>
    </row>
    <row r="229" spans="2:3">
      <c r="B229">
        <f>SUMIFS(allorders!O:O,allorders!L:L,'数据处理(仓储使用)'!$A229,allorders!$AG:$AG,"&lt;="&amp;日期!#REF!,allorders!$AG:$AG,"&gt;="&amp;日期!#REF!)</f>
        <v>0</v>
      </c>
      <c r="C229" t="e">
        <f>B229/(日期!#REF!-日期!#REF!+1)</f>
        <v>#REF!</v>
      </c>
    </row>
    <row r="230" spans="2:3">
      <c r="B230">
        <f>SUMIFS(allorders!O:O,allorders!L:L,'数据处理(仓储使用)'!$A230,allorders!$AG:$AG,"&lt;="&amp;日期!#REF!,allorders!$AG:$AG,"&gt;="&amp;日期!#REF!)</f>
        <v>0</v>
      </c>
      <c r="C230" t="e">
        <f>B230/(日期!#REF!-日期!#REF!+1)</f>
        <v>#REF!</v>
      </c>
    </row>
    <row r="231" spans="2:3">
      <c r="B231">
        <f>SUMIFS(allorders!O:O,allorders!L:L,'数据处理(仓储使用)'!$A231,allorders!$AG:$AG,"&lt;="&amp;日期!#REF!,allorders!$AG:$AG,"&gt;="&amp;日期!#REF!)</f>
        <v>0</v>
      </c>
      <c r="C231" t="e">
        <f>B231/(日期!#REF!-日期!#REF!+1)</f>
        <v>#REF!</v>
      </c>
    </row>
    <row r="232" spans="2:3">
      <c r="B232">
        <f>SUMIFS(allorders!O:O,allorders!L:L,'数据处理(仓储使用)'!$A232,allorders!$AG:$AG,"&lt;="&amp;日期!#REF!,allorders!$AG:$AG,"&gt;="&amp;日期!#REF!)</f>
        <v>0</v>
      </c>
      <c r="C232" t="e">
        <f>B232/(日期!#REF!-日期!#REF!+1)</f>
        <v>#REF!</v>
      </c>
    </row>
    <row r="233" spans="2:3">
      <c r="B233">
        <f>SUMIFS(allorders!O:O,allorders!L:L,'数据处理(仓储使用)'!$A233,allorders!$AG:$AG,"&lt;="&amp;日期!#REF!,allorders!$AG:$AG,"&gt;="&amp;日期!#REF!)</f>
        <v>0</v>
      </c>
      <c r="C233" t="e">
        <f>B233/(日期!#REF!-日期!#REF!+1)</f>
        <v>#REF!</v>
      </c>
    </row>
    <row r="234" spans="2:3">
      <c r="B234">
        <f>SUMIFS(allorders!O:O,allorders!L:L,'数据处理(仓储使用)'!$A234,allorders!$AG:$AG,"&lt;="&amp;日期!#REF!,allorders!$AG:$AG,"&gt;="&amp;日期!#REF!)</f>
        <v>0</v>
      </c>
      <c r="C234" t="e">
        <f>B234/(日期!#REF!-日期!#REF!+1)</f>
        <v>#REF!</v>
      </c>
    </row>
    <row r="235" spans="2:3">
      <c r="B235">
        <f>SUMIFS(allorders!O:O,allorders!L:L,'数据处理(仓储使用)'!$A235,allorders!$AG:$AG,"&lt;="&amp;日期!#REF!,allorders!$AG:$AG,"&gt;="&amp;日期!#REF!)</f>
        <v>0</v>
      </c>
      <c r="C235" t="e">
        <f>B235/(日期!#REF!-日期!#REF!+1)</f>
        <v>#REF!</v>
      </c>
    </row>
    <row r="236" spans="2:3">
      <c r="B236">
        <f>SUMIFS(allorders!O:O,allorders!L:L,'数据处理(仓储使用)'!$A236,allorders!$AG:$AG,"&lt;="&amp;日期!#REF!,allorders!$AG:$AG,"&gt;="&amp;日期!#REF!)</f>
        <v>0</v>
      </c>
      <c r="C236" t="e">
        <f>B236/(日期!#REF!-日期!#REF!+1)</f>
        <v>#REF!</v>
      </c>
    </row>
    <row r="237" spans="2:3">
      <c r="B237">
        <f>SUMIFS(allorders!O:O,allorders!L:L,'数据处理(仓储使用)'!$A237,allorders!$AG:$AG,"&lt;="&amp;日期!#REF!,allorders!$AG:$AG,"&gt;="&amp;日期!#REF!)</f>
        <v>0</v>
      </c>
      <c r="C237" t="e">
        <f>B237/(日期!#REF!-日期!#REF!+1)</f>
        <v>#REF!</v>
      </c>
    </row>
    <row r="238" spans="2:3">
      <c r="B238">
        <f>SUMIFS(allorders!O:O,allorders!L:L,'数据处理(仓储使用)'!$A238,allorders!$AG:$AG,"&lt;="&amp;日期!#REF!,allorders!$AG:$AG,"&gt;="&amp;日期!#REF!)</f>
        <v>0</v>
      </c>
      <c r="C238" t="e">
        <f>B238/(日期!#REF!-日期!#REF!+1)</f>
        <v>#REF!</v>
      </c>
    </row>
    <row r="239" spans="2:3">
      <c r="B239">
        <f>SUMIFS(allorders!O:O,allorders!L:L,'数据处理(仓储使用)'!$A239,allorders!$AG:$AG,"&lt;="&amp;日期!#REF!,allorders!$AG:$AG,"&gt;="&amp;日期!#REF!)</f>
        <v>0</v>
      </c>
      <c r="C239" t="e">
        <f>B239/(日期!#REF!-日期!#REF!+1)</f>
        <v>#REF!</v>
      </c>
    </row>
    <row r="240" spans="2:3">
      <c r="B240">
        <f>SUMIFS(allorders!O:O,allorders!L:L,'数据处理(仓储使用)'!$A240,allorders!$AG:$AG,"&lt;="&amp;日期!#REF!,allorders!$AG:$AG,"&gt;="&amp;日期!#REF!)</f>
        <v>0</v>
      </c>
      <c r="C240" t="e">
        <f>B240/(日期!#REF!-日期!#REF!+1)</f>
        <v>#REF!</v>
      </c>
    </row>
    <row r="241" spans="2:3">
      <c r="B241">
        <f>SUMIFS(allorders!O:O,allorders!L:L,'数据处理(仓储使用)'!$A241,allorders!$AG:$AG,"&lt;="&amp;日期!#REF!,allorders!$AG:$AG,"&gt;="&amp;日期!#REF!)</f>
        <v>0</v>
      </c>
      <c r="C241" t="e">
        <f>B241/(日期!#REF!-日期!#REF!+1)</f>
        <v>#REF!</v>
      </c>
    </row>
    <row r="242" spans="2:3">
      <c r="B242">
        <f>SUMIFS(allorders!O:O,allorders!L:L,'数据处理(仓储使用)'!$A242,allorders!$AG:$AG,"&lt;="&amp;日期!#REF!,allorders!$AG:$AG,"&gt;="&amp;日期!#REF!)</f>
        <v>0</v>
      </c>
      <c r="C242" t="e">
        <f>B242/(日期!#REF!-日期!#REF!+1)</f>
        <v>#REF!</v>
      </c>
    </row>
    <row r="243" spans="2:3">
      <c r="B243">
        <f>SUMIFS(allorders!O:O,allorders!L:L,'数据处理(仓储使用)'!$A243,allorders!$AG:$AG,"&lt;="&amp;日期!#REF!,allorders!$AG:$AG,"&gt;="&amp;日期!#REF!)</f>
        <v>0</v>
      </c>
      <c r="C243" t="e">
        <f>B243/(日期!#REF!-日期!#REF!+1)</f>
        <v>#REF!</v>
      </c>
    </row>
    <row r="244" spans="2:3">
      <c r="B244">
        <f>SUMIFS(allorders!O:O,allorders!L:L,'数据处理(仓储使用)'!$A244,allorders!$AG:$AG,"&lt;="&amp;日期!#REF!,allorders!$AG:$AG,"&gt;="&amp;日期!#REF!)</f>
        <v>0</v>
      </c>
      <c r="C244" t="e">
        <f>B244/(日期!#REF!-日期!#REF!+1)</f>
        <v>#REF!</v>
      </c>
    </row>
    <row r="245" spans="2:3">
      <c r="B245">
        <f>SUMIFS(allorders!O:O,allorders!L:L,'数据处理(仓储使用)'!$A245,allorders!$AG:$AG,"&lt;="&amp;日期!#REF!,allorders!$AG:$AG,"&gt;="&amp;日期!#REF!)</f>
        <v>0</v>
      </c>
      <c r="C245" t="e">
        <f>B245/(日期!#REF!-日期!#REF!+1)</f>
        <v>#REF!</v>
      </c>
    </row>
    <row r="246" spans="2:3">
      <c r="B246">
        <f>SUMIFS(allorders!O:O,allorders!L:L,'数据处理(仓储使用)'!$A246,allorders!$AG:$AG,"&lt;="&amp;日期!#REF!,allorders!$AG:$AG,"&gt;="&amp;日期!#REF!)</f>
        <v>0</v>
      </c>
      <c r="C246" t="e">
        <f>B246/(日期!#REF!-日期!#REF!+1)</f>
        <v>#REF!</v>
      </c>
    </row>
    <row r="247" spans="2:3">
      <c r="B247">
        <f>SUMIFS(allorders!O:O,allorders!L:L,'数据处理(仓储使用)'!$A247,allorders!$AG:$AG,"&lt;="&amp;日期!#REF!,allorders!$AG:$AG,"&gt;="&amp;日期!#REF!)</f>
        <v>0</v>
      </c>
      <c r="C247" t="e">
        <f>B247/(日期!#REF!-日期!#REF!+1)</f>
        <v>#REF!</v>
      </c>
    </row>
    <row r="248" spans="2:3">
      <c r="B248">
        <f>SUMIFS(allorders!O:O,allorders!L:L,'数据处理(仓储使用)'!$A248,allorders!$AG:$AG,"&lt;="&amp;日期!#REF!,allorders!$AG:$AG,"&gt;="&amp;日期!#REF!)</f>
        <v>0</v>
      </c>
      <c r="C248" t="e">
        <f>B248/(日期!#REF!-日期!#REF!+1)</f>
        <v>#REF!</v>
      </c>
    </row>
    <row r="249" spans="2:3">
      <c r="B249">
        <f>SUMIFS(allorders!O:O,allorders!L:L,'数据处理(仓储使用)'!$A249,allorders!$AG:$AG,"&lt;="&amp;日期!#REF!,allorders!$AG:$AG,"&gt;="&amp;日期!#REF!)</f>
        <v>0</v>
      </c>
      <c r="C249" t="e">
        <f>B249/(日期!#REF!-日期!#REF!+1)</f>
        <v>#REF!</v>
      </c>
    </row>
    <row r="250" spans="2:3">
      <c r="B250">
        <f>SUMIFS(allorders!O:O,allorders!L:L,'数据处理(仓储使用)'!$A250,allorders!$AG:$AG,"&lt;="&amp;日期!#REF!,allorders!$AG:$AG,"&gt;="&amp;日期!#REF!)</f>
        <v>0</v>
      </c>
      <c r="C250" t="e">
        <f>B250/(日期!#REF!-日期!#REF!+1)</f>
        <v>#REF!</v>
      </c>
    </row>
    <row r="251" spans="2:3">
      <c r="B251">
        <f>SUMIFS(allorders!O:O,allorders!L:L,'数据处理(仓储使用)'!$A251,allorders!$AG:$AG,"&lt;="&amp;日期!#REF!,allorders!$AG:$AG,"&gt;="&amp;日期!#REF!)</f>
        <v>0</v>
      </c>
      <c r="C251" t="e">
        <f>B251/(日期!#REF!-日期!#REF!+1)</f>
        <v>#REF!</v>
      </c>
    </row>
    <row r="252" spans="2:3">
      <c r="B252">
        <f>SUMIFS(allorders!O:O,allorders!L:L,'数据处理(仓储使用)'!$A252,allorders!$AG:$AG,"&lt;="&amp;日期!#REF!,allorders!$AG:$AG,"&gt;="&amp;日期!#REF!)</f>
        <v>0</v>
      </c>
      <c r="C252" t="e">
        <f>B252/(日期!#REF!-日期!#REF!+1)</f>
        <v>#REF!</v>
      </c>
    </row>
    <row r="253" spans="2:3">
      <c r="B253">
        <f>SUMIFS(allorders!O:O,allorders!L:L,'数据处理(仓储使用)'!$A253,allorders!$AG:$AG,"&lt;="&amp;日期!#REF!,allorders!$AG:$AG,"&gt;="&amp;日期!#REF!)</f>
        <v>0</v>
      </c>
      <c r="C253" t="e">
        <f>B253/(日期!#REF!-日期!#REF!+1)</f>
        <v>#REF!</v>
      </c>
    </row>
    <row r="254" spans="2:3">
      <c r="B254">
        <f>SUMIFS(allorders!O:O,allorders!L:L,'数据处理(仓储使用)'!$A254,allorders!$AG:$AG,"&lt;="&amp;日期!#REF!,allorders!$AG:$AG,"&gt;="&amp;日期!#REF!)</f>
        <v>0</v>
      </c>
      <c r="C254" t="e">
        <f>B254/(日期!#REF!-日期!#REF!+1)</f>
        <v>#REF!</v>
      </c>
    </row>
    <row r="255" spans="2:3">
      <c r="B255">
        <f>SUMIFS(allorders!O:O,allorders!L:L,'数据处理(仓储使用)'!$A255,allorders!$AG:$AG,"&lt;="&amp;日期!#REF!,allorders!$AG:$AG,"&gt;="&amp;日期!#REF!)</f>
        <v>0</v>
      </c>
      <c r="C255" t="e">
        <f>B255/(日期!#REF!-日期!#REF!+1)</f>
        <v>#REF!</v>
      </c>
    </row>
    <row r="256" spans="2:3">
      <c r="B256">
        <f>SUMIFS(allorders!O:O,allorders!L:L,'数据处理(仓储使用)'!$A256,allorders!$AG:$AG,"&lt;="&amp;日期!#REF!,allorders!$AG:$AG,"&gt;="&amp;日期!#REF!)</f>
        <v>0</v>
      </c>
      <c r="C256" t="e">
        <f>B256/(日期!#REF!-日期!#REF!+1)</f>
        <v>#REF!</v>
      </c>
    </row>
    <row r="257" spans="2:3">
      <c r="B257">
        <f>SUMIFS(allorders!O:O,allorders!L:L,'数据处理(仓储使用)'!$A257,allorders!$AG:$AG,"&lt;="&amp;日期!#REF!,allorders!$AG:$AG,"&gt;="&amp;日期!#REF!)</f>
        <v>0</v>
      </c>
      <c r="C257" t="e">
        <f>B257/(日期!#REF!-日期!#REF!+1)</f>
        <v>#REF!</v>
      </c>
    </row>
    <row r="258" spans="2:3">
      <c r="B258">
        <f>SUMIFS(allorders!O:O,allorders!L:L,'数据处理(仓储使用)'!$A258,allorders!$AG:$AG,"&lt;="&amp;日期!#REF!,allorders!$AG:$AG,"&gt;="&amp;日期!#REF!)</f>
        <v>0</v>
      </c>
      <c r="C258" t="e">
        <f>B258/(日期!#REF!-日期!#REF!+1)</f>
        <v>#REF!</v>
      </c>
    </row>
    <row r="259" spans="2:3">
      <c r="B259">
        <f>SUMIFS(allorders!O:O,allorders!L:L,'数据处理(仓储使用)'!$A259,allorders!$AG:$AG,"&lt;="&amp;日期!#REF!,allorders!$AG:$AG,"&gt;="&amp;日期!#REF!)</f>
        <v>0</v>
      </c>
      <c r="C259" t="e">
        <f>B259/(日期!#REF!-日期!#REF!+1)</f>
        <v>#REF!</v>
      </c>
    </row>
    <row r="260" spans="2:3">
      <c r="B260">
        <f>SUMIFS(allorders!O:O,allorders!L:L,'数据处理(仓储使用)'!$A260,allorders!$AG:$AG,"&lt;="&amp;日期!#REF!,allorders!$AG:$AG,"&gt;="&amp;日期!#REF!)</f>
        <v>0</v>
      </c>
      <c r="C260" t="e">
        <f>B260/(日期!#REF!-日期!#REF!+1)</f>
        <v>#REF!</v>
      </c>
    </row>
    <row r="261" spans="2:3">
      <c r="B261">
        <f>SUMIFS(allorders!O:O,allorders!L:L,'数据处理(仓储使用)'!$A261,allorders!$AG:$AG,"&lt;="&amp;日期!#REF!,allorders!$AG:$AG,"&gt;="&amp;日期!#REF!)</f>
        <v>0</v>
      </c>
      <c r="C261" t="e">
        <f>B261/(日期!#REF!-日期!#REF!+1)</f>
        <v>#REF!</v>
      </c>
    </row>
    <row r="262" spans="2:3">
      <c r="B262">
        <f>SUMIFS(allorders!O:O,allorders!L:L,'数据处理(仓储使用)'!$A262,allorders!$AG:$AG,"&lt;="&amp;日期!#REF!,allorders!$AG:$AG,"&gt;="&amp;日期!#REF!)</f>
        <v>0</v>
      </c>
      <c r="C262" t="e">
        <f>B262/(日期!#REF!-日期!#REF!+1)</f>
        <v>#REF!</v>
      </c>
    </row>
    <row r="263" spans="2:3">
      <c r="B263">
        <f>SUMIFS(allorders!O:O,allorders!L:L,'数据处理(仓储使用)'!$A263,allorders!$AG:$AG,"&lt;="&amp;日期!#REF!,allorders!$AG:$AG,"&gt;="&amp;日期!#REF!)</f>
        <v>0</v>
      </c>
      <c r="C263" t="e">
        <f>B263/(日期!#REF!-日期!#REF!+1)</f>
        <v>#REF!</v>
      </c>
    </row>
    <row r="264" spans="2:3">
      <c r="B264">
        <f>SUMIFS(allorders!O:O,allorders!L:L,'数据处理(仓储使用)'!$A264,allorders!$AG:$AG,"&lt;="&amp;日期!#REF!,allorders!$AG:$AG,"&gt;="&amp;日期!#REF!)</f>
        <v>0</v>
      </c>
      <c r="C264" t="e">
        <f>B264/(日期!#REF!-日期!#REF!+1)</f>
        <v>#REF!</v>
      </c>
    </row>
    <row r="265" spans="2:3">
      <c r="B265">
        <f>SUMIFS(allorders!O:O,allorders!L:L,'数据处理(仓储使用)'!$A265,allorders!$AG:$AG,"&lt;="&amp;日期!#REF!,allorders!$AG:$AG,"&gt;="&amp;日期!#REF!)</f>
        <v>0</v>
      </c>
      <c r="C265" t="e">
        <f>B265/(日期!#REF!-日期!#REF!+1)</f>
        <v>#REF!</v>
      </c>
    </row>
    <row r="266" spans="2:3">
      <c r="B266">
        <f>SUMIFS(allorders!O:O,allorders!L:L,'数据处理(仓储使用)'!$A266,allorders!$AG:$AG,"&lt;="&amp;日期!#REF!,allorders!$AG:$AG,"&gt;="&amp;日期!#REF!)</f>
        <v>0</v>
      </c>
      <c r="C266" t="e">
        <f>B266/(日期!#REF!-日期!#REF!+1)</f>
        <v>#REF!</v>
      </c>
    </row>
    <row r="267" spans="2:3">
      <c r="B267">
        <f>SUMIFS(allorders!O:O,allorders!L:L,'数据处理(仓储使用)'!$A267,allorders!$AG:$AG,"&lt;="&amp;日期!#REF!,allorders!$AG:$AG,"&gt;="&amp;日期!#REF!)</f>
        <v>0</v>
      </c>
      <c r="C267" t="e">
        <f>B267/(日期!#REF!-日期!#REF!+1)</f>
        <v>#REF!</v>
      </c>
    </row>
    <row r="268" spans="2:3">
      <c r="B268">
        <f>SUMIFS(allorders!O:O,allorders!L:L,'数据处理(仓储使用)'!$A268,allorders!$AG:$AG,"&lt;="&amp;日期!#REF!,allorders!$AG:$AG,"&gt;="&amp;日期!#REF!)</f>
        <v>0</v>
      </c>
      <c r="C268" t="e">
        <f>B268/(日期!#REF!-日期!#REF!+1)</f>
        <v>#REF!</v>
      </c>
    </row>
    <row r="269" spans="2:3">
      <c r="B269">
        <f>SUMIFS(allorders!O:O,allorders!L:L,'数据处理(仓储使用)'!$A269,allorders!$AG:$AG,"&lt;="&amp;日期!#REF!,allorders!$AG:$AG,"&gt;="&amp;日期!#REF!)</f>
        <v>0</v>
      </c>
      <c r="C269" t="e">
        <f>B269/(日期!#REF!-日期!#REF!+1)</f>
        <v>#REF!</v>
      </c>
    </row>
    <row r="270" spans="2:3">
      <c r="B270">
        <f>SUMIFS(allorders!O:O,allorders!L:L,'数据处理(仓储使用)'!$A270,allorders!$AG:$AG,"&lt;="&amp;日期!#REF!,allorders!$AG:$AG,"&gt;="&amp;日期!#REF!)</f>
        <v>0</v>
      </c>
      <c r="C270" t="e">
        <f>B270/(日期!#REF!-日期!#REF!+1)</f>
        <v>#REF!</v>
      </c>
    </row>
    <row r="271" spans="2:3">
      <c r="B271">
        <f>SUMIFS(allorders!O:O,allorders!L:L,'数据处理(仓储使用)'!$A271,allorders!$AG:$AG,"&lt;="&amp;日期!#REF!,allorders!$AG:$AG,"&gt;="&amp;日期!#REF!)</f>
        <v>0</v>
      </c>
      <c r="C271" t="e">
        <f>B271/(日期!#REF!-日期!#REF!+1)</f>
        <v>#REF!</v>
      </c>
    </row>
    <row r="272" spans="2:3">
      <c r="B272">
        <f>SUMIFS(allorders!O:O,allorders!L:L,'数据处理(仓储使用)'!$A272,allorders!$AG:$AG,"&lt;="&amp;日期!#REF!,allorders!$AG:$AG,"&gt;="&amp;日期!#REF!)</f>
        <v>0</v>
      </c>
      <c r="C272" t="e">
        <f>B272/(日期!#REF!-日期!#REF!+1)</f>
        <v>#REF!</v>
      </c>
    </row>
    <row r="273" spans="2:3">
      <c r="B273">
        <f>SUMIFS(allorders!O:O,allorders!L:L,'数据处理(仓储使用)'!$A273,allorders!$AG:$AG,"&lt;="&amp;日期!#REF!,allorders!$AG:$AG,"&gt;="&amp;日期!#REF!)</f>
        <v>0</v>
      </c>
      <c r="C273" t="e">
        <f>B273/(日期!#REF!-日期!#REF!+1)</f>
        <v>#REF!</v>
      </c>
    </row>
    <row r="274" spans="2:3">
      <c r="B274">
        <f>SUMIFS(allorders!O:O,allorders!L:L,'数据处理(仓储使用)'!$A274,allorders!$AG:$AG,"&lt;="&amp;日期!#REF!,allorders!$AG:$AG,"&gt;="&amp;日期!#REF!)</f>
        <v>0</v>
      </c>
      <c r="C274" t="e">
        <f>B274/(日期!#REF!-日期!#REF!+1)</f>
        <v>#REF!</v>
      </c>
    </row>
    <row r="275" spans="2:3">
      <c r="B275">
        <f>SUMIFS(allorders!O:O,allorders!L:L,'数据处理(仓储使用)'!$A275,allorders!$AG:$AG,"&lt;="&amp;日期!#REF!,allorders!$AG:$AG,"&gt;="&amp;日期!#REF!)</f>
        <v>0</v>
      </c>
      <c r="C275" t="e">
        <f>B275/(日期!#REF!-日期!#REF!+1)</f>
        <v>#REF!</v>
      </c>
    </row>
    <row r="276" spans="2:3">
      <c r="B276">
        <f>SUMIFS(allorders!O:O,allorders!L:L,'数据处理(仓储使用)'!$A276,allorders!$AG:$AG,"&lt;="&amp;日期!#REF!,allorders!$AG:$AG,"&gt;="&amp;日期!#REF!)</f>
        <v>0</v>
      </c>
      <c r="C276" t="e">
        <f>B276/(日期!#REF!-日期!#REF!+1)</f>
        <v>#REF!</v>
      </c>
    </row>
    <row r="277" spans="2:3">
      <c r="B277">
        <f>SUMIFS(allorders!O:O,allorders!L:L,'数据处理(仓储使用)'!$A277,allorders!$AG:$AG,"&lt;="&amp;日期!#REF!,allorders!$AG:$AG,"&gt;="&amp;日期!#REF!)</f>
        <v>0</v>
      </c>
      <c r="C277" t="e">
        <f>B277/(日期!#REF!-日期!#REF!+1)</f>
        <v>#REF!</v>
      </c>
    </row>
    <row r="278" spans="2:3">
      <c r="B278">
        <f>SUMIFS(allorders!O:O,allorders!L:L,'数据处理(仓储使用)'!$A278,allorders!$AG:$AG,"&lt;="&amp;日期!#REF!,allorders!$AG:$AG,"&gt;="&amp;日期!#REF!)</f>
        <v>0</v>
      </c>
      <c r="C278" t="e">
        <f>B278/(日期!#REF!-日期!#REF!+1)</f>
        <v>#REF!</v>
      </c>
    </row>
    <row r="279" spans="2:3">
      <c r="B279">
        <f>SUMIFS(allorders!O:O,allorders!L:L,'数据处理(仓储使用)'!$A279,allorders!$AG:$AG,"&lt;="&amp;日期!#REF!,allorders!$AG:$AG,"&gt;="&amp;日期!#REF!)</f>
        <v>0</v>
      </c>
      <c r="C279" t="e">
        <f>B279/(日期!#REF!-日期!#REF!+1)</f>
        <v>#REF!</v>
      </c>
    </row>
    <row r="280" spans="2:3">
      <c r="B280">
        <f>SUMIFS(allorders!O:O,allorders!L:L,'数据处理(仓储使用)'!$A280,allorders!$AG:$AG,"&lt;="&amp;日期!#REF!,allorders!$AG:$AG,"&gt;="&amp;日期!#REF!)</f>
        <v>0</v>
      </c>
      <c r="C280" t="e">
        <f>B280/(日期!#REF!-日期!#REF!+1)</f>
        <v>#REF!</v>
      </c>
    </row>
    <row r="281" spans="2:3">
      <c r="B281">
        <f>SUMIFS(allorders!O:O,allorders!L:L,'数据处理(仓储使用)'!$A281,allorders!$AG:$AG,"&lt;="&amp;日期!#REF!,allorders!$AG:$AG,"&gt;="&amp;日期!#REF!)</f>
        <v>0</v>
      </c>
      <c r="C281" t="e">
        <f>B281/(日期!#REF!-日期!#REF!+1)</f>
        <v>#REF!</v>
      </c>
    </row>
    <row r="282" spans="2:3">
      <c r="B282">
        <f>SUMIFS(allorders!O:O,allorders!L:L,'数据处理(仓储使用)'!$A282,allorders!$AG:$AG,"&lt;="&amp;日期!#REF!,allorders!$AG:$AG,"&gt;="&amp;日期!#REF!)</f>
        <v>0</v>
      </c>
      <c r="C282" t="e">
        <f>B282/(日期!#REF!-日期!#REF!+1)</f>
        <v>#REF!</v>
      </c>
    </row>
    <row r="283" spans="2:3">
      <c r="B283">
        <f>SUMIFS(allorders!O:O,allorders!L:L,'数据处理(仓储使用)'!$A283,allorders!$AG:$AG,"&lt;="&amp;日期!#REF!,allorders!$AG:$AG,"&gt;="&amp;日期!#REF!)</f>
        <v>0</v>
      </c>
      <c r="C283" t="e">
        <f>B283/(日期!#REF!-日期!#REF!+1)</f>
        <v>#REF!</v>
      </c>
    </row>
    <row r="284" spans="2:3">
      <c r="B284">
        <f>SUMIFS(allorders!O:O,allorders!L:L,'数据处理(仓储使用)'!$A284,allorders!$AG:$AG,"&lt;="&amp;日期!#REF!,allorders!$AG:$AG,"&gt;="&amp;日期!#REF!)</f>
        <v>0</v>
      </c>
      <c r="C284" t="e">
        <f>B284/(日期!#REF!-日期!#REF!+1)</f>
        <v>#REF!</v>
      </c>
    </row>
    <row r="285" spans="2:3">
      <c r="B285">
        <f>SUMIFS(allorders!O:O,allorders!L:L,'数据处理(仓储使用)'!$A285,allorders!$AG:$AG,"&lt;="&amp;日期!#REF!,allorders!$AG:$AG,"&gt;="&amp;日期!#REF!)</f>
        <v>0</v>
      </c>
      <c r="C285" t="e">
        <f>B285/(日期!#REF!-日期!#REF!+1)</f>
        <v>#REF!</v>
      </c>
    </row>
    <row r="286" spans="2:3">
      <c r="B286">
        <f>SUMIFS(allorders!O:O,allorders!L:L,'数据处理(仓储使用)'!$A286,allorders!$AG:$AG,"&lt;="&amp;日期!#REF!,allorders!$AG:$AG,"&gt;="&amp;日期!#REF!)</f>
        <v>0</v>
      </c>
      <c r="C286" t="e">
        <f>B286/(日期!#REF!-日期!#REF!+1)</f>
        <v>#REF!</v>
      </c>
    </row>
    <row r="287" spans="2:3">
      <c r="B287">
        <f>SUMIFS(allorders!O:O,allorders!L:L,'数据处理(仓储使用)'!$A287,allorders!$AG:$AG,"&lt;="&amp;日期!#REF!,allorders!$AG:$AG,"&gt;="&amp;日期!#REF!)</f>
        <v>0</v>
      </c>
      <c r="C287" t="e">
        <f>B287/(日期!#REF!-日期!#REF!+1)</f>
        <v>#REF!</v>
      </c>
    </row>
    <row r="288" spans="2:3">
      <c r="B288">
        <f>SUMIFS(allorders!O:O,allorders!L:L,'数据处理(仓储使用)'!$A288,allorders!$AG:$AG,"&lt;="&amp;日期!#REF!,allorders!$AG:$AG,"&gt;="&amp;日期!#REF!)</f>
        <v>0</v>
      </c>
      <c r="C288" t="e">
        <f>B288/(日期!#REF!-日期!#REF!+1)</f>
        <v>#REF!</v>
      </c>
    </row>
    <row r="289" spans="2:3">
      <c r="B289">
        <f>SUMIFS(allorders!O:O,allorders!L:L,'数据处理(仓储使用)'!$A289,allorders!$AG:$AG,"&lt;="&amp;日期!#REF!,allorders!$AG:$AG,"&gt;="&amp;日期!#REF!)</f>
        <v>0</v>
      </c>
      <c r="C289" t="e">
        <f>B289/(日期!#REF!-日期!#REF!+1)</f>
        <v>#REF!</v>
      </c>
    </row>
    <row r="290" spans="2:3">
      <c r="B290">
        <f>SUMIFS(allorders!O:O,allorders!L:L,'数据处理(仓储使用)'!$A290,allorders!$AG:$AG,"&lt;="&amp;日期!#REF!,allorders!$AG:$AG,"&gt;="&amp;日期!#REF!)</f>
        <v>0</v>
      </c>
      <c r="C290" t="e">
        <f>B290/(日期!#REF!-日期!#REF!+1)</f>
        <v>#REF!</v>
      </c>
    </row>
    <row r="291" spans="2:3">
      <c r="B291">
        <f>SUMIFS(allorders!O:O,allorders!L:L,'数据处理(仓储使用)'!$A291,allorders!$AG:$AG,"&lt;="&amp;日期!#REF!,allorders!$AG:$AG,"&gt;="&amp;日期!#REF!)</f>
        <v>0</v>
      </c>
      <c r="C291" t="e">
        <f>B291/(日期!#REF!-日期!#REF!+1)</f>
        <v>#REF!</v>
      </c>
    </row>
    <row r="292" spans="2:3">
      <c r="B292">
        <f>SUMIFS(allorders!O:O,allorders!L:L,'数据处理(仓储使用)'!$A292,allorders!$AG:$AG,"&lt;="&amp;日期!#REF!,allorders!$AG:$AG,"&gt;="&amp;日期!#REF!)</f>
        <v>0</v>
      </c>
      <c r="C292" t="e">
        <f>B292/(日期!#REF!-日期!#REF!+1)</f>
        <v>#REF!</v>
      </c>
    </row>
    <row r="293" spans="2:3">
      <c r="B293">
        <f>SUMIFS(allorders!O:O,allorders!L:L,'数据处理(仓储使用)'!$A293,allorders!$AG:$AG,"&lt;="&amp;日期!#REF!,allorders!$AG:$AG,"&gt;="&amp;日期!#REF!)</f>
        <v>0</v>
      </c>
      <c r="C293" t="e">
        <f>B293/(日期!#REF!-日期!#REF!+1)</f>
        <v>#REF!</v>
      </c>
    </row>
    <row r="294" spans="2:3">
      <c r="B294">
        <f>SUMIFS(allorders!O:O,allorders!L:L,'数据处理(仓储使用)'!$A294,allorders!$AG:$AG,"&lt;="&amp;日期!#REF!,allorders!$AG:$AG,"&gt;="&amp;日期!#REF!)</f>
        <v>0</v>
      </c>
      <c r="C294" t="e">
        <f>B294/(日期!#REF!-日期!#REF!+1)</f>
        <v>#REF!</v>
      </c>
    </row>
    <row r="295" spans="2:3">
      <c r="B295">
        <f>SUMIFS(allorders!O:O,allorders!L:L,'数据处理(仓储使用)'!$A295,allorders!$AG:$AG,"&lt;="&amp;日期!#REF!,allorders!$AG:$AG,"&gt;="&amp;日期!#REF!)</f>
        <v>0</v>
      </c>
      <c r="C295" t="e">
        <f>B295/(日期!#REF!-日期!#REF!+1)</f>
        <v>#REF!</v>
      </c>
    </row>
    <row r="296" spans="2:3">
      <c r="B296">
        <f>SUMIFS(allorders!O:O,allorders!L:L,'数据处理(仓储使用)'!$A296,allorders!$AG:$AG,"&lt;="&amp;日期!#REF!,allorders!$AG:$AG,"&gt;="&amp;日期!#REF!)</f>
        <v>0</v>
      </c>
      <c r="C296" t="e">
        <f>B296/(日期!#REF!-日期!#REF!+1)</f>
        <v>#REF!</v>
      </c>
    </row>
    <row r="297" spans="2:3">
      <c r="B297">
        <f>SUMIFS(allorders!O:O,allorders!L:L,'数据处理(仓储使用)'!$A297,allorders!$AG:$AG,"&lt;="&amp;日期!#REF!,allorders!$AG:$AG,"&gt;="&amp;日期!#REF!)</f>
        <v>0</v>
      </c>
      <c r="C297" t="e">
        <f>B297/(日期!#REF!-日期!#REF!+1)</f>
        <v>#REF!</v>
      </c>
    </row>
    <row r="298" spans="2:3">
      <c r="B298">
        <f>SUMIFS(allorders!O:O,allorders!L:L,'数据处理(仓储使用)'!$A298,allorders!$AG:$AG,"&lt;="&amp;日期!#REF!,allorders!$AG:$AG,"&gt;="&amp;日期!#REF!)</f>
        <v>0</v>
      </c>
      <c r="C298" t="e">
        <f>B298/(日期!#REF!-日期!#REF!+1)</f>
        <v>#REF!</v>
      </c>
    </row>
    <row r="299" spans="2:3">
      <c r="B299">
        <f>SUMIFS(allorders!O:O,allorders!L:L,'数据处理(仓储使用)'!$A299,allorders!$AG:$AG,"&lt;="&amp;日期!#REF!,allorders!$AG:$AG,"&gt;="&amp;日期!#REF!)</f>
        <v>0</v>
      </c>
      <c r="C299" t="e">
        <f>B299/(日期!#REF!-日期!#REF!+1)</f>
        <v>#REF!</v>
      </c>
    </row>
    <row r="300" spans="2:3">
      <c r="B300">
        <f>SUMIFS(allorders!O:O,allorders!L:L,'数据处理(仓储使用)'!$A300,allorders!$AG:$AG,"&lt;="&amp;日期!#REF!,allorders!$AG:$AG,"&gt;="&amp;日期!#REF!)</f>
        <v>0</v>
      </c>
      <c r="C300" t="e">
        <f>B300/(日期!#REF!-日期!#REF!+1)</f>
        <v>#REF!</v>
      </c>
    </row>
    <row r="301" spans="2:3">
      <c r="B301">
        <f>SUMIFS(allorders!O:O,allorders!L:L,'数据处理(仓储使用)'!$A301,allorders!$AG:$AG,"&lt;="&amp;日期!#REF!,allorders!$AG:$AG,"&gt;="&amp;日期!#REF!)</f>
        <v>0</v>
      </c>
      <c r="C301" t="e">
        <f>B301/(日期!#REF!-日期!#REF!+1)</f>
        <v>#REF!</v>
      </c>
    </row>
    <row r="302" spans="2:3">
      <c r="B302">
        <f>SUMIFS(allorders!O:O,allorders!L:L,'数据处理(仓储使用)'!$A302,allorders!$AG:$AG,"&lt;="&amp;日期!#REF!,allorders!$AG:$AG,"&gt;="&amp;日期!#REF!)</f>
        <v>0</v>
      </c>
      <c r="C302" t="e">
        <f>B302/(日期!#REF!-日期!#REF!+1)</f>
        <v>#REF!</v>
      </c>
    </row>
    <row r="303" spans="2:3">
      <c r="B303">
        <f>SUMIFS(allorders!O:O,allorders!L:L,'数据处理(仓储使用)'!$A303,allorders!$AG:$AG,"&lt;="&amp;日期!#REF!,allorders!$AG:$AG,"&gt;="&amp;日期!#REF!)</f>
        <v>0</v>
      </c>
      <c r="C303" t="e">
        <f>B303/(日期!#REF!-日期!#REF!+1)</f>
        <v>#REF!</v>
      </c>
    </row>
    <row r="304" spans="2:3">
      <c r="B304">
        <f>SUMIFS(allorders!O:O,allorders!L:L,'数据处理(仓储使用)'!$A304,allorders!$AG:$AG,"&lt;="&amp;日期!#REF!,allorders!$AG:$AG,"&gt;="&amp;日期!#REF!)</f>
        <v>0</v>
      </c>
      <c r="C304" t="e">
        <f>B304/(日期!#REF!-日期!#REF!+1)</f>
        <v>#REF!</v>
      </c>
    </row>
    <row r="305" spans="2:3">
      <c r="B305">
        <f>SUMIFS(allorders!O:O,allorders!L:L,'数据处理(仓储使用)'!$A305,allorders!$AG:$AG,"&lt;="&amp;日期!#REF!,allorders!$AG:$AG,"&gt;="&amp;日期!#REF!)</f>
        <v>0</v>
      </c>
      <c r="C305" t="e">
        <f>B305/(日期!#REF!-日期!#REF!+1)</f>
        <v>#REF!</v>
      </c>
    </row>
    <row r="306" spans="2:3">
      <c r="B306">
        <f>SUMIFS(allorders!O:O,allorders!L:L,'数据处理(仓储使用)'!$A306,allorders!$AG:$AG,"&lt;="&amp;日期!#REF!,allorders!$AG:$AG,"&gt;="&amp;日期!#REF!)</f>
        <v>0</v>
      </c>
      <c r="C306" t="e">
        <f>B306/(日期!#REF!-日期!#REF!+1)</f>
        <v>#REF!</v>
      </c>
    </row>
    <row r="307" spans="2:3">
      <c r="B307">
        <f>SUMIFS(allorders!O:O,allorders!L:L,'数据处理(仓储使用)'!$A307,allorders!$AG:$AG,"&lt;="&amp;日期!#REF!,allorders!$AG:$AG,"&gt;="&amp;日期!#REF!)</f>
        <v>0</v>
      </c>
      <c r="C307" t="e">
        <f>B307/(日期!#REF!-日期!#REF!+1)</f>
        <v>#REF!</v>
      </c>
    </row>
    <row r="308" spans="2:3">
      <c r="B308">
        <f>SUMIFS(allorders!O:O,allorders!L:L,'数据处理(仓储使用)'!$A308,allorders!$AG:$AG,"&lt;="&amp;日期!#REF!,allorders!$AG:$AG,"&gt;="&amp;日期!#REF!)</f>
        <v>0</v>
      </c>
      <c r="C308" t="e">
        <f>B308/(日期!#REF!-日期!#REF!+1)</f>
        <v>#REF!</v>
      </c>
    </row>
    <row r="309" spans="2:3">
      <c r="B309">
        <f>SUMIFS(allorders!O:O,allorders!L:L,'数据处理(仓储使用)'!$A309,allorders!$AG:$AG,"&lt;="&amp;日期!#REF!,allorders!$AG:$AG,"&gt;="&amp;日期!#REF!)</f>
        <v>0</v>
      </c>
      <c r="C309" t="e">
        <f>B309/(日期!#REF!-日期!#REF!+1)</f>
        <v>#REF!</v>
      </c>
    </row>
    <row r="310" spans="2:3">
      <c r="B310">
        <f>SUMIFS(allorders!O:O,allorders!L:L,'数据处理(仓储使用)'!$A310,allorders!$AG:$AG,"&lt;="&amp;日期!#REF!,allorders!$AG:$AG,"&gt;="&amp;日期!#REF!)</f>
        <v>0</v>
      </c>
      <c r="C310" t="e">
        <f>B310/(日期!#REF!-日期!#REF!+1)</f>
        <v>#REF!</v>
      </c>
    </row>
    <row r="311" spans="2:3">
      <c r="B311">
        <f>SUMIFS(allorders!O:O,allorders!L:L,'数据处理(仓储使用)'!$A311,allorders!$AG:$AG,"&lt;="&amp;日期!#REF!,allorders!$AG:$AG,"&gt;="&amp;日期!#REF!)</f>
        <v>0</v>
      </c>
      <c r="C311" t="e">
        <f>B311/(日期!#REF!-日期!#REF!+1)</f>
        <v>#REF!</v>
      </c>
    </row>
    <row r="312" spans="2:3">
      <c r="B312">
        <f>SUMIFS(allorders!O:O,allorders!L:L,'数据处理(仓储使用)'!$A312,allorders!$AG:$AG,"&lt;="&amp;日期!#REF!,allorders!$AG:$AG,"&gt;="&amp;日期!#REF!)</f>
        <v>0</v>
      </c>
      <c r="C312" t="e">
        <f>B312/(日期!#REF!-日期!#REF!+1)</f>
        <v>#REF!</v>
      </c>
    </row>
    <row r="313" spans="2:3">
      <c r="B313">
        <f>SUMIFS(allorders!O:O,allorders!L:L,'数据处理(仓储使用)'!$A313,allorders!$AG:$AG,"&lt;="&amp;日期!#REF!,allorders!$AG:$AG,"&gt;="&amp;日期!#REF!)</f>
        <v>0</v>
      </c>
      <c r="C313" t="e">
        <f>B313/(日期!#REF!-日期!#REF!+1)</f>
        <v>#REF!</v>
      </c>
    </row>
    <row r="314" spans="2:3">
      <c r="B314">
        <f>SUMIFS(allorders!O:O,allorders!L:L,'数据处理(仓储使用)'!$A314,allorders!$AG:$AG,"&lt;="&amp;日期!#REF!,allorders!$AG:$AG,"&gt;="&amp;日期!#REF!)</f>
        <v>0</v>
      </c>
      <c r="C314" t="e">
        <f>B314/(日期!#REF!-日期!#REF!+1)</f>
        <v>#REF!</v>
      </c>
    </row>
    <row r="315" spans="2:3">
      <c r="B315">
        <f>SUMIFS(allorders!O:O,allorders!L:L,'数据处理(仓储使用)'!$A315,allorders!$AG:$AG,"&lt;="&amp;日期!#REF!,allorders!$AG:$AG,"&gt;="&amp;日期!#REF!)</f>
        <v>0</v>
      </c>
      <c r="C315" t="e">
        <f>B315/(日期!#REF!-日期!#REF!+1)</f>
        <v>#REF!</v>
      </c>
    </row>
    <row r="316" spans="2:3">
      <c r="B316">
        <f>SUMIFS(allorders!O:O,allorders!L:L,'数据处理(仓储使用)'!$A316,allorders!$AG:$AG,"&lt;="&amp;日期!#REF!,allorders!$AG:$AG,"&gt;="&amp;日期!#REF!)</f>
        <v>0</v>
      </c>
      <c r="C316" t="e">
        <f>B316/(日期!#REF!-日期!#REF!+1)</f>
        <v>#REF!</v>
      </c>
    </row>
    <row r="317" spans="2:3">
      <c r="B317">
        <f>SUMIFS(allorders!O:O,allorders!L:L,'数据处理(仓储使用)'!$A317,allorders!$AG:$AG,"&lt;="&amp;日期!#REF!,allorders!$AG:$AG,"&gt;="&amp;日期!#REF!)</f>
        <v>0</v>
      </c>
      <c r="C317" t="e">
        <f>B317/(日期!#REF!-日期!#REF!+1)</f>
        <v>#REF!</v>
      </c>
    </row>
    <row r="318" spans="2:3">
      <c r="B318">
        <f>SUMIFS(allorders!O:O,allorders!L:L,'数据处理(仓储使用)'!$A318,allorders!$AG:$AG,"&lt;="&amp;日期!#REF!,allorders!$AG:$AG,"&gt;="&amp;日期!#REF!)</f>
        <v>0</v>
      </c>
      <c r="C318" t="e">
        <f>B318/(日期!#REF!-日期!#REF!+1)</f>
        <v>#REF!</v>
      </c>
    </row>
    <row r="319" spans="2:3">
      <c r="B319">
        <f>SUMIFS(allorders!O:O,allorders!L:L,'数据处理(仓储使用)'!$A319,allorders!$AG:$AG,"&lt;="&amp;日期!#REF!,allorders!$AG:$AG,"&gt;="&amp;日期!#REF!)</f>
        <v>0</v>
      </c>
      <c r="C319" t="e">
        <f>B319/(日期!#REF!-日期!#REF!+1)</f>
        <v>#REF!</v>
      </c>
    </row>
    <row r="320" spans="2:3">
      <c r="B320">
        <f>SUMIFS(allorders!O:O,allorders!L:L,'数据处理(仓储使用)'!$A320,allorders!$AG:$AG,"&lt;="&amp;日期!#REF!,allorders!$AG:$AG,"&gt;="&amp;日期!#REF!)</f>
        <v>0</v>
      </c>
      <c r="C320" t="e">
        <f>B320/(日期!#REF!-日期!#REF!+1)</f>
        <v>#REF!</v>
      </c>
    </row>
    <row r="321" spans="2:3">
      <c r="B321">
        <f>SUMIFS(allorders!O:O,allorders!L:L,'数据处理(仓储使用)'!$A321,allorders!$AG:$AG,"&lt;="&amp;日期!#REF!,allorders!$AG:$AG,"&gt;="&amp;日期!#REF!)</f>
        <v>0</v>
      </c>
      <c r="C321" t="e">
        <f>B321/(日期!#REF!-日期!#REF!+1)</f>
        <v>#REF!</v>
      </c>
    </row>
    <row r="322" spans="2:3">
      <c r="B322">
        <f>SUMIFS(allorders!O:O,allorders!L:L,'数据处理(仓储使用)'!$A322,allorders!$AG:$AG,"&lt;="&amp;日期!#REF!,allorders!$AG:$AG,"&gt;="&amp;日期!#REF!)</f>
        <v>0</v>
      </c>
      <c r="C322" t="e">
        <f>B322/(日期!#REF!-日期!#REF!+1)</f>
        <v>#REF!</v>
      </c>
    </row>
    <row r="323" spans="2:3">
      <c r="B323">
        <f>SUMIFS(allorders!O:O,allorders!L:L,'数据处理(仓储使用)'!$A323,allorders!$AG:$AG,"&lt;="&amp;日期!#REF!,allorders!$AG:$AG,"&gt;="&amp;日期!#REF!)</f>
        <v>0</v>
      </c>
      <c r="C323" t="e">
        <f>B323/(日期!#REF!-日期!#REF!+1)</f>
        <v>#REF!</v>
      </c>
    </row>
    <row r="324" spans="2:3">
      <c r="B324">
        <f>SUMIFS(allorders!O:O,allorders!L:L,'数据处理(仓储使用)'!$A324,allorders!$AG:$AG,"&lt;="&amp;日期!#REF!,allorders!$AG:$AG,"&gt;="&amp;日期!#REF!)</f>
        <v>0</v>
      </c>
      <c r="C324" t="e">
        <f>B324/(日期!#REF!-日期!#REF!+1)</f>
        <v>#REF!</v>
      </c>
    </row>
    <row r="325" spans="2:3">
      <c r="B325">
        <f>SUMIFS(allorders!O:O,allorders!L:L,'数据处理(仓储使用)'!$A325,allorders!$AG:$AG,"&lt;="&amp;日期!#REF!,allorders!$AG:$AG,"&gt;="&amp;日期!#REF!)</f>
        <v>0</v>
      </c>
      <c r="C325" t="e">
        <f>B325/(日期!#REF!-日期!#REF!+1)</f>
        <v>#REF!</v>
      </c>
    </row>
    <row r="326" spans="2:3">
      <c r="B326">
        <f>SUMIFS(allorders!O:O,allorders!L:L,'数据处理(仓储使用)'!$A326,allorders!$AG:$AG,"&lt;="&amp;日期!#REF!,allorders!$AG:$AG,"&gt;="&amp;日期!#REF!)</f>
        <v>0</v>
      </c>
      <c r="C326" t="e">
        <f>B326/(日期!#REF!-日期!#REF!+1)</f>
        <v>#REF!</v>
      </c>
    </row>
    <row r="327" spans="2:3">
      <c r="B327">
        <f>SUMIFS(allorders!O:O,allorders!L:L,'数据处理(仓储使用)'!$A327,allorders!$AG:$AG,"&lt;="&amp;日期!#REF!,allorders!$AG:$AG,"&gt;="&amp;日期!#REF!)</f>
        <v>0</v>
      </c>
      <c r="C327" t="e">
        <f>B327/(日期!#REF!-日期!#REF!+1)</f>
        <v>#REF!</v>
      </c>
    </row>
    <row r="328" spans="2:3">
      <c r="B328">
        <f>SUMIFS(allorders!O:O,allorders!L:L,'数据处理(仓储使用)'!$A328,allorders!$AG:$AG,"&lt;="&amp;日期!#REF!,allorders!$AG:$AG,"&gt;="&amp;日期!#REF!)</f>
        <v>0</v>
      </c>
      <c r="C328" t="e">
        <f>B328/(日期!#REF!-日期!#REF!+1)</f>
        <v>#REF!</v>
      </c>
    </row>
    <row r="329" spans="2:3">
      <c r="B329">
        <f>SUMIFS(allorders!O:O,allorders!L:L,'数据处理(仓储使用)'!$A329,allorders!$AG:$AG,"&lt;="&amp;日期!#REF!,allorders!$AG:$AG,"&gt;="&amp;日期!#REF!)</f>
        <v>0</v>
      </c>
      <c r="C329" t="e">
        <f>B329/(日期!#REF!-日期!#REF!+1)</f>
        <v>#REF!</v>
      </c>
    </row>
    <row r="330" spans="2:3">
      <c r="B330">
        <f>SUMIFS(allorders!O:O,allorders!L:L,'数据处理(仓储使用)'!$A330,allorders!$AG:$AG,"&lt;="&amp;日期!#REF!,allorders!$AG:$AG,"&gt;="&amp;日期!#REF!)</f>
        <v>0</v>
      </c>
      <c r="C330" t="e">
        <f>B330/(日期!#REF!-日期!#REF!+1)</f>
        <v>#REF!</v>
      </c>
    </row>
    <row r="331" spans="2:3">
      <c r="B331">
        <f>SUMIFS(allorders!O:O,allorders!L:L,'数据处理(仓储使用)'!$A331,allorders!$AG:$AG,"&lt;="&amp;日期!#REF!,allorders!$AG:$AG,"&gt;="&amp;日期!#REF!)</f>
        <v>0</v>
      </c>
      <c r="C331" t="e">
        <f>B331/(日期!#REF!-日期!#REF!+1)</f>
        <v>#REF!</v>
      </c>
    </row>
    <row r="332" spans="2:3">
      <c r="B332">
        <f>SUMIFS(allorders!O:O,allorders!L:L,'数据处理(仓储使用)'!$A332,allorders!$AG:$AG,"&lt;="&amp;日期!#REF!,allorders!$AG:$AG,"&gt;="&amp;日期!#REF!)</f>
        <v>0</v>
      </c>
      <c r="C332" t="e">
        <f>B332/(日期!#REF!-日期!#REF!+1)</f>
        <v>#REF!</v>
      </c>
    </row>
    <row r="333" spans="2:3">
      <c r="B333">
        <f>SUMIFS(allorders!O:O,allorders!L:L,'数据处理(仓储使用)'!$A333,allorders!$AG:$AG,"&lt;="&amp;日期!#REF!,allorders!$AG:$AG,"&gt;="&amp;日期!#REF!)</f>
        <v>0</v>
      </c>
      <c r="C333" t="e">
        <f>B333/(日期!#REF!-日期!#REF!+1)</f>
        <v>#REF!</v>
      </c>
    </row>
    <row r="334" spans="2:3">
      <c r="B334">
        <f>SUMIFS(allorders!O:O,allorders!L:L,'数据处理(仓储使用)'!$A334,allorders!$AG:$AG,"&lt;="&amp;日期!#REF!,allorders!$AG:$AG,"&gt;="&amp;日期!#REF!)</f>
        <v>0</v>
      </c>
      <c r="C334" t="e">
        <f>B334/(日期!#REF!-日期!#REF!+1)</f>
        <v>#REF!</v>
      </c>
    </row>
    <row r="335" spans="2:3">
      <c r="B335">
        <f>SUMIFS(allorders!O:O,allorders!L:L,'数据处理(仓储使用)'!$A335,allorders!$AG:$AG,"&lt;="&amp;日期!#REF!,allorders!$AG:$AG,"&gt;="&amp;日期!#REF!)</f>
        <v>0</v>
      </c>
      <c r="C335" t="e">
        <f>B335/(日期!#REF!-日期!#REF!+1)</f>
        <v>#REF!</v>
      </c>
    </row>
    <row r="336" spans="2:3">
      <c r="B336">
        <f>SUMIFS(allorders!O:O,allorders!L:L,'数据处理(仓储使用)'!$A336,allorders!$AG:$AG,"&lt;="&amp;日期!#REF!,allorders!$AG:$AG,"&gt;="&amp;日期!#REF!)</f>
        <v>0</v>
      </c>
      <c r="C336" t="e">
        <f>B336/(日期!#REF!-日期!#REF!+1)</f>
        <v>#REF!</v>
      </c>
    </row>
    <row r="337" spans="2:3">
      <c r="B337">
        <f>SUMIFS(allorders!O:O,allorders!L:L,'数据处理(仓储使用)'!$A337,allorders!$AG:$AG,"&lt;="&amp;日期!#REF!,allorders!$AG:$AG,"&gt;="&amp;日期!#REF!)</f>
        <v>0</v>
      </c>
      <c r="C337" t="e">
        <f>B337/(日期!#REF!-日期!#REF!+1)</f>
        <v>#REF!</v>
      </c>
    </row>
    <row r="338" spans="2:3">
      <c r="B338">
        <f>SUMIFS(allorders!O:O,allorders!L:L,'数据处理(仓储使用)'!$A338,allorders!$AG:$AG,"&lt;="&amp;日期!#REF!,allorders!$AG:$AG,"&gt;="&amp;日期!#REF!)</f>
        <v>0</v>
      </c>
      <c r="C338" t="e">
        <f>B338/(日期!#REF!-日期!#REF!+1)</f>
        <v>#REF!</v>
      </c>
    </row>
    <row r="339" spans="2:3">
      <c r="B339">
        <f>SUMIFS(allorders!O:O,allorders!L:L,'数据处理(仓储使用)'!$A339,allorders!$AG:$AG,"&lt;="&amp;日期!#REF!,allorders!$AG:$AG,"&gt;="&amp;日期!#REF!)</f>
        <v>0</v>
      </c>
      <c r="C339" t="e">
        <f>B339/(日期!#REF!-日期!#REF!+1)</f>
        <v>#REF!</v>
      </c>
    </row>
    <row r="340" spans="2:3">
      <c r="B340">
        <f>SUMIFS(allorders!O:O,allorders!L:L,'数据处理(仓储使用)'!$A340,allorders!$AG:$AG,"&lt;="&amp;日期!#REF!,allorders!$AG:$AG,"&gt;="&amp;日期!#REF!)</f>
        <v>0</v>
      </c>
      <c r="C340" t="e">
        <f>B340/(日期!#REF!-日期!#REF!+1)</f>
        <v>#REF!</v>
      </c>
    </row>
    <row r="341" spans="2:3">
      <c r="B341">
        <f>SUMIFS(allorders!O:O,allorders!L:L,'数据处理(仓储使用)'!$A341,allorders!$AG:$AG,"&lt;="&amp;日期!#REF!,allorders!$AG:$AG,"&gt;="&amp;日期!#REF!)</f>
        <v>0</v>
      </c>
      <c r="C341" t="e">
        <f>B341/(日期!#REF!-日期!#REF!+1)</f>
        <v>#REF!</v>
      </c>
    </row>
    <row r="342" spans="2:3">
      <c r="B342">
        <f>SUMIFS(allorders!O:O,allorders!L:L,'数据处理(仓储使用)'!$A342,allorders!$AG:$AG,"&lt;="&amp;日期!#REF!,allorders!$AG:$AG,"&gt;="&amp;日期!#REF!)</f>
        <v>0</v>
      </c>
      <c r="C342" t="e">
        <f>B342/(日期!#REF!-日期!#REF!+1)</f>
        <v>#REF!</v>
      </c>
    </row>
    <row r="343" spans="2:3">
      <c r="B343">
        <f>SUMIFS(allorders!O:O,allorders!L:L,'数据处理(仓储使用)'!$A343,allorders!$AG:$AG,"&lt;="&amp;日期!#REF!,allorders!$AG:$AG,"&gt;="&amp;日期!#REF!)</f>
        <v>0</v>
      </c>
      <c r="C343" t="e">
        <f>B343/(日期!#REF!-日期!#REF!+1)</f>
        <v>#REF!</v>
      </c>
    </row>
    <row r="344" spans="2:3">
      <c r="B344">
        <f>SUMIFS(allorders!O:O,allorders!L:L,'数据处理(仓储使用)'!$A344,allorders!$AG:$AG,"&lt;="&amp;日期!#REF!,allorders!$AG:$AG,"&gt;="&amp;日期!#REF!)</f>
        <v>0</v>
      </c>
      <c r="C344" t="e">
        <f>B344/(日期!#REF!-日期!#REF!+1)</f>
        <v>#REF!</v>
      </c>
    </row>
    <row r="345" spans="2:3">
      <c r="B345">
        <f>SUMIFS(allorders!O:O,allorders!L:L,'数据处理(仓储使用)'!$A345,allorders!$AG:$AG,"&lt;="&amp;日期!#REF!,allorders!$AG:$AG,"&gt;="&amp;日期!#REF!)</f>
        <v>0</v>
      </c>
      <c r="C345" t="e">
        <f>B345/(日期!#REF!-日期!#REF!+1)</f>
        <v>#REF!</v>
      </c>
    </row>
    <row r="346" spans="2:3">
      <c r="B346">
        <f>SUMIFS(allorders!O:O,allorders!L:L,'数据处理(仓储使用)'!$A346,allorders!$AG:$AG,"&lt;="&amp;日期!#REF!,allorders!$AG:$AG,"&gt;="&amp;日期!#REF!)</f>
        <v>0</v>
      </c>
      <c r="C346" t="e">
        <f>B346/(日期!#REF!-日期!#REF!+1)</f>
        <v>#REF!</v>
      </c>
    </row>
    <row r="347" spans="2:3">
      <c r="B347">
        <f>SUMIFS(allorders!O:O,allorders!L:L,'数据处理(仓储使用)'!$A347,allorders!$AG:$AG,"&lt;="&amp;日期!#REF!,allorders!$AG:$AG,"&gt;="&amp;日期!#REF!)</f>
        <v>0</v>
      </c>
      <c r="C347" t="e">
        <f>B347/(日期!#REF!-日期!#REF!+1)</f>
        <v>#REF!</v>
      </c>
    </row>
    <row r="348" spans="2:3">
      <c r="B348">
        <f>SUMIFS(allorders!O:O,allorders!L:L,'数据处理(仓储使用)'!$A348,allorders!$AG:$AG,"&lt;="&amp;日期!#REF!,allorders!$AG:$AG,"&gt;="&amp;日期!#REF!)</f>
        <v>0</v>
      </c>
      <c r="C348" t="e">
        <f>B348/(日期!#REF!-日期!#REF!+1)</f>
        <v>#REF!</v>
      </c>
    </row>
    <row r="349" spans="2:3">
      <c r="B349">
        <f>SUMIFS(allorders!O:O,allorders!L:L,'数据处理(仓储使用)'!$A349,allorders!$AG:$AG,"&lt;="&amp;日期!#REF!,allorders!$AG:$AG,"&gt;="&amp;日期!#REF!)</f>
        <v>0</v>
      </c>
      <c r="C349" t="e">
        <f>B349/(日期!#REF!-日期!#REF!+1)</f>
        <v>#REF!</v>
      </c>
    </row>
    <row r="350" spans="2:3">
      <c r="B350">
        <f>SUMIFS(allorders!O:O,allorders!L:L,'数据处理(仓储使用)'!$A350,allorders!$AG:$AG,"&lt;="&amp;日期!#REF!,allorders!$AG:$AG,"&gt;="&amp;日期!#REF!)</f>
        <v>0</v>
      </c>
      <c r="C350" t="e">
        <f>B350/(日期!#REF!-日期!#REF!+1)</f>
        <v>#REF!</v>
      </c>
    </row>
    <row r="351" spans="2:3">
      <c r="B351">
        <f>SUMIFS(allorders!O:O,allorders!L:L,'数据处理(仓储使用)'!$A351,allorders!$AG:$AG,"&lt;="&amp;日期!#REF!,allorders!$AG:$AG,"&gt;="&amp;日期!#REF!)</f>
        <v>0</v>
      </c>
      <c r="C351" t="e">
        <f>B351/(日期!#REF!-日期!#REF!+1)</f>
        <v>#REF!</v>
      </c>
    </row>
    <row r="352" spans="2:3">
      <c r="B352">
        <f>SUMIFS(allorders!O:O,allorders!L:L,'数据处理(仓储使用)'!$A352,allorders!$AG:$AG,"&lt;="&amp;日期!#REF!,allorders!$AG:$AG,"&gt;="&amp;日期!#REF!)</f>
        <v>0</v>
      </c>
      <c r="C352" t="e">
        <f>B352/(日期!#REF!-日期!#REF!+1)</f>
        <v>#REF!</v>
      </c>
    </row>
    <row r="353" spans="2:3">
      <c r="B353">
        <f>SUMIFS(allorders!O:O,allorders!L:L,'数据处理(仓储使用)'!$A353,allorders!$AG:$AG,"&lt;="&amp;日期!#REF!,allorders!$AG:$AG,"&gt;="&amp;日期!#REF!)</f>
        <v>0</v>
      </c>
      <c r="C353" t="e">
        <f>B353/(日期!#REF!-日期!#REF!+1)</f>
        <v>#REF!</v>
      </c>
    </row>
    <row r="354" spans="2:3">
      <c r="B354">
        <f>SUMIFS(allorders!O:O,allorders!L:L,'数据处理(仓储使用)'!$A354,allorders!$AG:$AG,"&lt;="&amp;日期!#REF!,allorders!$AG:$AG,"&gt;="&amp;日期!#REF!)</f>
        <v>0</v>
      </c>
      <c r="C354" t="e">
        <f>B354/(日期!#REF!-日期!#REF!+1)</f>
        <v>#REF!</v>
      </c>
    </row>
    <row r="355" spans="2:3">
      <c r="B355">
        <f>SUMIFS(allorders!O:O,allorders!L:L,'数据处理(仓储使用)'!$A355,allorders!$AG:$AG,"&lt;="&amp;日期!#REF!,allorders!$AG:$AG,"&gt;="&amp;日期!#REF!)</f>
        <v>0</v>
      </c>
      <c r="C355" t="e">
        <f>B355/(日期!#REF!-日期!#REF!+1)</f>
        <v>#REF!</v>
      </c>
    </row>
    <row r="356" spans="2:3">
      <c r="B356">
        <f>SUMIFS(allorders!O:O,allorders!L:L,'数据处理(仓储使用)'!$A356,allorders!$AG:$AG,"&lt;="&amp;日期!#REF!,allorders!$AG:$AG,"&gt;="&amp;日期!#REF!)</f>
        <v>0</v>
      </c>
      <c r="C356" t="e">
        <f>B356/(日期!#REF!-日期!#REF!+1)</f>
        <v>#REF!</v>
      </c>
    </row>
    <row r="357" spans="2:3">
      <c r="B357">
        <f>SUMIFS(allorders!O:O,allorders!L:L,'数据处理(仓储使用)'!$A357,allorders!$AG:$AG,"&lt;="&amp;日期!#REF!,allorders!$AG:$AG,"&gt;="&amp;日期!#REF!)</f>
        <v>0</v>
      </c>
      <c r="C357" t="e">
        <f>B357/(日期!#REF!-日期!#REF!+1)</f>
        <v>#REF!</v>
      </c>
    </row>
    <row r="358" spans="2:3">
      <c r="B358">
        <f>SUMIFS(allorders!O:O,allorders!L:L,'数据处理(仓储使用)'!$A358,allorders!$AG:$AG,"&lt;="&amp;日期!#REF!,allorders!$AG:$AG,"&gt;="&amp;日期!#REF!)</f>
        <v>0</v>
      </c>
      <c r="C358" t="e">
        <f>B358/(日期!#REF!-日期!#REF!+1)</f>
        <v>#REF!</v>
      </c>
    </row>
    <row r="359" spans="2:3">
      <c r="B359">
        <f>SUMIFS(allorders!O:O,allorders!L:L,'数据处理(仓储使用)'!$A359,allorders!$AG:$AG,"&lt;="&amp;日期!#REF!,allorders!$AG:$AG,"&gt;="&amp;日期!#REF!)</f>
        <v>0</v>
      </c>
      <c r="C359" t="e">
        <f>B359/(日期!#REF!-日期!#REF!+1)</f>
        <v>#REF!</v>
      </c>
    </row>
    <row r="360" spans="2:3">
      <c r="B360">
        <f>SUMIFS(allorders!O:O,allorders!L:L,'数据处理(仓储使用)'!$A360,allorders!$AG:$AG,"&lt;="&amp;日期!#REF!,allorders!$AG:$AG,"&gt;="&amp;日期!#REF!)</f>
        <v>0</v>
      </c>
      <c r="C360" t="e">
        <f>B360/(日期!#REF!-日期!#REF!+1)</f>
        <v>#REF!</v>
      </c>
    </row>
    <row r="361" spans="2:3">
      <c r="B361">
        <f>SUMIFS(allorders!O:O,allorders!L:L,'数据处理(仓储使用)'!$A361,allorders!$AG:$AG,"&lt;="&amp;日期!#REF!,allorders!$AG:$AG,"&gt;="&amp;日期!#REF!)</f>
        <v>0</v>
      </c>
      <c r="C361" t="e">
        <f>B361/(日期!#REF!-日期!#REF!+1)</f>
        <v>#REF!</v>
      </c>
    </row>
    <row r="362" spans="2:3">
      <c r="B362">
        <f>SUMIFS(allorders!O:O,allorders!L:L,'数据处理(仓储使用)'!$A362,allorders!$AG:$AG,"&lt;="&amp;日期!#REF!,allorders!$AG:$AG,"&gt;="&amp;日期!#REF!)</f>
        <v>0</v>
      </c>
      <c r="C362" t="e">
        <f>B362/(日期!#REF!-日期!#REF!+1)</f>
        <v>#REF!</v>
      </c>
    </row>
    <row r="363" spans="2:3">
      <c r="B363">
        <f>SUMIFS(allorders!O:O,allorders!L:L,'数据处理(仓储使用)'!$A363,allorders!$AG:$AG,"&lt;="&amp;日期!#REF!,allorders!$AG:$AG,"&gt;="&amp;日期!#REF!)</f>
        <v>0</v>
      </c>
      <c r="C363" t="e">
        <f>B363/(日期!#REF!-日期!#REF!+1)</f>
        <v>#REF!</v>
      </c>
    </row>
    <row r="364" spans="2:3">
      <c r="B364">
        <f>SUMIFS(allorders!O:O,allorders!L:L,'数据处理(仓储使用)'!$A364,allorders!$AG:$AG,"&lt;="&amp;日期!#REF!,allorders!$AG:$AG,"&gt;="&amp;日期!#REF!)</f>
        <v>0</v>
      </c>
      <c r="C364" t="e">
        <f>B364/(日期!#REF!-日期!#REF!+1)</f>
        <v>#REF!</v>
      </c>
    </row>
    <row r="365" spans="2:3">
      <c r="B365">
        <f>SUMIFS(allorders!O:O,allorders!L:L,'数据处理(仓储使用)'!$A365,allorders!$AG:$AG,"&lt;="&amp;日期!#REF!,allorders!$AG:$AG,"&gt;="&amp;日期!#REF!)</f>
        <v>0</v>
      </c>
      <c r="C365" t="e">
        <f>B365/(日期!#REF!-日期!#REF!+1)</f>
        <v>#REF!</v>
      </c>
    </row>
    <row r="366" spans="2:3">
      <c r="B366">
        <f>SUMIFS(allorders!O:O,allorders!L:L,'数据处理(仓储使用)'!$A366,allorders!$AG:$AG,"&lt;="&amp;日期!#REF!,allorders!$AG:$AG,"&gt;="&amp;日期!#REF!)</f>
        <v>0</v>
      </c>
      <c r="C366" t="e">
        <f>B366/(日期!#REF!-日期!#REF!+1)</f>
        <v>#REF!</v>
      </c>
    </row>
    <row r="367" spans="2:3">
      <c r="B367">
        <f>SUMIFS(allorders!O:O,allorders!L:L,'数据处理(仓储使用)'!$A367,allorders!$AG:$AG,"&lt;="&amp;日期!#REF!,allorders!$AG:$AG,"&gt;="&amp;日期!#REF!)</f>
        <v>0</v>
      </c>
      <c r="C367" t="e">
        <f>B367/(日期!#REF!-日期!#REF!+1)</f>
        <v>#REF!</v>
      </c>
    </row>
    <row r="368" spans="2:3">
      <c r="B368">
        <f>SUMIFS(allorders!O:O,allorders!L:L,'数据处理(仓储使用)'!$A368,allorders!$AG:$AG,"&lt;="&amp;日期!#REF!,allorders!$AG:$AG,"&gt;="&amp;日期!#REF!)</f>
        <v>0</v>
      </c>
      <c r="C368" t="e">
        <f>B368/(日期!#REF!-日期!#REF!+1)</f>
        <v>#REF!</v>
      </c>
    </row>
    <row r="369" spans="2:3">
      <c r="B369">
        <f>SUMIFS(allorders!O:O,allorders!L:L,'数据处理(仓储使用)'!$A369,allorders!$AG:$AG,"&lt;="&amp;日期!#REF!,allorders!$AG:$AG,"&gt;="&amp;日期!#REF!)</f>
        <v>0</v>
      </c>
      <c r="C369" t="e">
        <f>B369/(日期!#REF!-日期!#REF!+1)</f>
        <v>#REF!</v>
      </c>
    </row>
    <row r="370" spans="2:3">
      <c r="B370">
        <f>SUMIFS(allorders!O:O,allorders!L:L,'数据处理(仓储使用)'!$A370,allorders!$AG:$AG,"&lt;="&amp;日期!#REF!,allorders!$AG:$AG,"&gt;="&amp;日期!#REF!)</f>
        <v>0</v>
      </c>
      <c r="C370" t="e">
        <f>B370/(日期!#REF!-日期!#REF!+1)</f>
        <v>#REF!</v>
      </c>
    </row>
    <row r="371" spans="2:3">
      <c r="B371">
        <f>SUMIFS(allorders!O:O,allorders!L:L,'数据处理(仓储使用)'!$A371,allorders!$AG:$AG,"&lt;="&amp;日期!#REF!,allorders!$AG:$AG,"&gt;="&amp;日期!#REF!)</f>
        <v>0</v>
      </c>
      <c r="C371" t="e">
        <f>B371/(日期!#REF!-日期!#REF!+1)</f>
        <v>#REF!</v>
      </c>
    </row>
    <row r="372" spans="2:3">
      <c r="B372">
        <f>SUMIFS(allorders!O:O,allorders!L:L,'数据处理(仓储使用)'!$A372,allorders!$AG:$AG,"&lt;="&amp;日期!#REF!,allorders!$AG:$AG,"&gt;="&amp;日期!#REF!)</f>
        <v>0</v>
      </c>
      <c r="C372" t="e">
        <f>B372/(日期!#REF!-日期!#REF!+1)</f>
        <v>#REF!</v>
      </c>
    </row>
    <row r="373" spans="2:3">
      <c r="B373">
        <f>SUMIFS(allorders!O:O,allorders!L:L,'数据处理(仓储使用)'!$A373,allorders!$AG:$AG,"&lt;="&amp;日期!#REF!,allorders!$AG:$AG,"&gt;="&amp;日期!#REF!)</f>
        <v>0</v>
      </c>
      <c r="C373" t="e">
        <f>B373/(日期!#REF!-日期!#REF!+1)</f>
        <v>#REF!</v>
      </c>
    </row>
    <row r="374" spans="2:3">
      <c r="B374">
        <f>SUMIFS(allorders!O:O,allorders!L:L,'数据处理(仓储使用)'!$A374,allorders!$AG:$AG,"&lt;="&amp;日期!#REF!,allorders!$AG:$AG,"&gt;="&amp;日期!#REF!)</f>
        <v>0</v>
      </c>
      <c r="C374" t="e">
        <f>B374/(日期!#REF!-日期!#REF!+1)</f>
        <v>#REF!</v>
      </c>
    </row>
    <row r="375" spans="2:3">
      <c r="B375">
        <f>SUMIFS(allorders!O:O,allorders!L:L,'数据处理(仓储使用)'!$A375,allorders!$AG:$AG,"&lt;="&amp;日期!#REF!,allorders!$AG:$AG,"&gt;="&amp;日期!#REF!)</f>
        <v>0</v>
      </c>
      <c r="C375" t="e">
        <f>B375/(日期!#REF!-日期!#REF!+1)</f>
        <v>#REF!</v>
      </c>
    </row>
    <row r="376" spans="2:3">
      <c r="B376">
        <f>SUMIFS(allorders!O:O,allorders!L:L,'数据处理(仓储使用)'!$A376,allorders!$AG:$AG,"&lt;="&amp;日期!#REF!,allorders!$AG:$AG,"&gt;="&amp;日期!#REF!)</f>
        <v>0</v>
      </c>
      <c r="C376" t="e">
        <f>B376/(日期!#REF!-日期!#REF!+1)</f>
        <v>#REF!</v>
      </c>
    </row>
    <row r="377" spans="2:3">
      <c r="B377">
        <f>SUMIFS(allorders!O:O,allorders!L:L,'数据处理(仓储使用)'!$A377,allorders!$AG:$AG,"&lt;="&amp;日期!#REF!,allorders!$AG:$AG,"&gt;="&amp;日期!#REF!)</f>
        <v>0</v>
      </c>
      <c r="C377" t="e">
        <f>B377/(日期!#REF!-日期!#REF!+1)</f>
        <v>#REF!</v>
      </c>
    </row>
    <row r="378" spans="2:3">
      <c r="B378">
        <f>SUMIFS(allorders!O:O,allorders!L:L,'数据处理(仓储使用)'!$A378,allorders!$AG:$AG,"&lt;="&amp;日期!#REF!,allorders!$AG:$AG,"&gt;="&amp;日期!#REF!)</f>
        <v>0</v>
      </c>
      <c r="C378" t="e">
        <f>B378/(日期!#REF!-日期!#REF!+1)</f>
        <v>#REF!</v>
      </c>
    </row>
    <row r="379" spans="2:3">
      <c r="B379">
        <f>SUMIFS(allorders!O:O,allorders!L:L,'数据处理(仓储使用)'!$A379,allorders!$AG:$AG,"&lt;="&amp;日期!#REF!,allorders!$AG:$AG,"&gt;="&amp;日期!#REF!)</f>
        <v>0</v>
      </c>
      <c r="C379" t="e">
        <f>B379/(日期!#REF!-日期!#REF!+1)</f>
        <v>#REF!</v>
      </c>
    </row>
    <row r="380" spans="2:3">
      <c r="B380">
        <f>SUMIFS(allorders!O:O,allorders!L:L,'数据处理(仓储使用)'!$A380,allorders!$AG:$AG,"&lt;="&amp;日期!#REF!,allorders!$AG:$AG,"&gt;="&amp;日期!#REF!)</f>
        <v>0</v>
      </c>
      <c r="C380" t="e">
        <f>B380/(日期!#REF!-日期!#REF!+1)</f>
        <v>#REF!</v>
      </c>
    </row>
    <row r="381" spans="2:3">
      <c r="B381">
        <f>SUMIFS(allorders!O:O,allorders!L:L,'数据处理(仓储使用)'!$A381,allorders!$AG:$AG,"&lt;="&amp;日期!#REF!,allorders!$AG:$AG,"&gt;="&amp;日期!#REF!)</f>
        <v>0</v>
      </c>
      <c r="C381" t="e">
        <f>B381/(日期!#REF!-日期!#REF!+1)</f>
        <v>#REF!</v>
      </c>
    </row>
    <row r="382" spans="2:3">
      <c r="B382">
        <f>SUMIFS(allorders!O:O,allorders!L:L,'数据处理(仓储使用)'!$A382,allorders!$AG:$AG,"&lt;="&amp;日期!#REF!,allorders!$AG:$AG,"&gt;="&amp;日期!#REF!)</f>
        <v>0</v>
      </c>
      <c r="C382" t="e">
        <f>B382/(日期!#REF!-日期!#REF!+1)</f>
        <v>#REF!</v>
      </c>
    </row>
    <row r="383" spans="2:3">
      <c r="B383">
        <f>SUMIFS(allorders!O:O,allorders!L:L,'数据处理(仓储使用)'!$A383,allorders!$AG:$AG,"&lt;="&amp;日期!#REF!,allorders!$AG:$AG,"&gt;="&amp;日期!#REF!)</f>
        <v>0</v>
      </c>
      <c r="C383" t="e">
        <f>B383/(日期!#REF!-日期!#REF!+1)</f>
        <v>#REF!</v>
      </c>
    </row>
    <row r="384" spans="2:3">
      <c r="B384">
        <f>SUMIFS(allorders!O:O,allorders!L:L,'数据处理(仓储使用)'!$A384,allorders!$AG:$AG,"&lt;="&amp;日期!#REF!,allorders!$AG:$AG,"&gt;="&amp;日期!#REF!)</f>
        <v>0</v>
      </c>
      <c r="C384" t="e">
        <f>B384/(日期!#REF!-日期!#REF!+1)</f>
        <v>#REF!</v>
      </c>
    </row>
    <row r="385" spans="2:3">
      <c r="B385">
        <f>SUMIFS(allorders!O:O,allorders!L:L,'数据处理(仓储使用)'!$A385,allorders!$AG:$AG,"&lt;="&amp;日期!#REF!,allorders!$AG:$AG,"&gt;="&amp;日期!#REF!)</f>
        <v>0</v>
      </c>
      <c r="C385" t="e">
        <f>B385/(日期!#REF!-日期!#REF!+1)</f>
        <v>#REF!</v>
      </c>
    </row>
    <row r="386" spans="2:3">
      <c r="B386">
        <f>SUMIFS(allorders!O:O,allorders!L:L,'数据处理(仓储使用)'!$A386,allorders!$AG:$AG,"&lt;="&amp;日期!#REF!,allorders!$AG:$AG,"&gt;="&amp;日期!#REF!)</f>
        <v>0</v>
      </c>
      <c r="C386" t="e">
        <f>B386/(日期!#REF!-日期!#REF!+1)</f>
        <v>#REF!</v>
      </c>
    </row>
    <row r="387" spans="2:3">
      <c r="B387">
        <f>SUMIFS(allorders!O:O,allorders!L:L,'数据处理(仓储使用)'!$A387,allorders!$AG:$AG,"&lt;="&amp;日期!#REF!,allorders!$AG:$AG,"&gt;="&amp;日期!#REF!)</f>
        <v>0</v>
      </c>
      <c r="C387" t="e">
        <f>B387/(日期!#REF!-日期!#REF!+1)</f>
        <v>#REF!</v>
      </c>
    </row>
    <row r="388" spans="2:3">
      <c r="B388">
        <f>SUMIFS(allorders!O:O,allorders!L:L,'数据处理(仓储使用)'!$A388,allorders!$AG:$AG,"&lt;="&amp;日期!#REF!,allorders!$AG:$AG,"&gt;="&amp;日期!#REF!)</f>
        <v>0</v>
      </c>
      <c r="C388" t="e">
        <f>B388/(日期!#REF!-日期!#REF!+1)</f>
        <v>#REF!</v>
      </c>
    </row>
    <row r="389" spans="2:3">
      <c r="B389">
        <f>SUMIFS(allorders!O:O,allorders!L:L,'数据处理(仓储使用)'!$A389,allorders!$AG:$AG,"&lt;="&amp;日期!#REF!,allorders!$AG:$AG,"&gt;="&amp;日期!#REF!)</f>
        <v>0</v>
      </c>
      <c r="C389" t="e">
        <f>B389/(日期!#REF!-日期!#REF!+1)</f>
        <v>#REF!</v>
      </c>
    </row>
    <row r="390" spans="2:3">
      <c r="B390">
        <f>SUMIFS(allorders!O:O,allorders!L:L,'数据处理(仓储使用)'!$A390,allorders!$AG:$AG,"&lt;="&amp;日期!#REF!,allorders!$AG:$AG,"&gt;="&amp;日期!#REF!)</f>
        <v>0</v>
      </c>
      <c r="C390" t="e">
        <f>B390/(日期!#REF!-日期!#REF!+1)</f>
        <v>#REF!</v>
      </c>
    </row>
    <row r="391" spans="2:3">
      <c r="B391">
        <f>SUMIFS(allorders!O:O,allorders!L:L,'数据处理(仓储使用)'!$A391,allorders!$AG:$AG,"&lt;="&amp;日期!#REF!,allorders!$AG:$AG,"&gt;="&amp;日期!#REF!)</f>
        <v>0</v>
      </c>
      <c r="C391" t="e">
        <f>B391/(日期!#REF!-日期!#REF!+1)</f>
        <v>#REF!</v>
      </c>
    </row>
    <row r="392" spans="2:3">
      <c r="B392">
        <f>SUMIFS(allorders!O:O,allorders!L:L,'数据处理(仓储使用)'!$A392,allorders!$AG:$AG,"&lt;="&amp;日期!#REF!,allorders!$AG:$AG,"&gt;="&amp;日期!#REF!)</f>
        <v>0</v>
      </c>
      <c r="C392" t="e">
        <f>B392/(日期!#REF!-日期!#REF!+1)</f>
        <v>#REF!</v>
      </c>
    </row>
    <row r="393" spans="2:3">
      <c r="B393">
        <f>SUMIFS(allorders!O:O,allorders!L:L,'数据处理(仓储使用)'!$A393,allorders!$AG:$AG,"&lt;="&amp;日期!#REF!,allorders!$AG:$AG,"&gt;="&amp;日期!#REF!)</f>
        <v>0</v>
      </c>
      <c r="C393" t="e">
        <f>B393/(日期!#REF!-日期!#REF!+1)</f>
        <v>#REF!</v>
      </c>
    </row>
    <row r="394" spans="2:3">
      <c r="B394">
        <f>SUMIFS(allorders!O:O,allorders!L:L,'数据处理(仓储使用)'!$A394,allorders!$AG:$AG,"&lt;="&amp;日期!#REF!,allorders!$AG:$AG,"&gt;="&amp;日期!#REF!)</f>
        <v>0</v>
      </c>
      <c r="C394" t="e">
        <f>B394/(日期!#REF!-日期!#REF!+1)</f>
        <v>#REF!</v>
      </c>
    </row>
    <row r="395" spans="2:3">
      <c r="B395">
        <f>SUMIFS(allorders!O:O,allorders!L:L,'数据处理(仓储使用)'!$A395,allorders!$AG:$AG,"&lt;="&amp;日期!#REF!,allorders!$AG:$AG,"&gt;="&amp;日期!#REF!)</f>
        <v>0</v>
      </c>
      <c r="C395" t="e">
        <f>B395/(日期!#REF!-日期!#REF!+1)</f>
        <v>#REF!</v>
      </c>
    </row>
    <row r="396" spans="2:3">
      <c r="B396">
        <f>SUMIFS(allorders!O:O,allorders!L:L,'数据处理(仓储使用)'!$A396,allorders!$AG:$AG,"&lt;="&amp;日期!#REF!,allorders!$AG:$AG,"&gt;="&amp;日期!#REF!)</f>
        <v>0</v>
      </c>
      <c r="C396" t="e">
        <f>B396/(日期!#REF!-日期!#REF!+1)</f>
        <v>#REF!</v>
      </c>
    </row>
    <row r="397" spans="2:3">
      <c r="B397">
        <f>SUMIFS(allorders!O:O,allorders!L:L,'数据处理(仓储使用)'!$A397,allorders!$AG:$AG,"&lt;="&amp;日期!#REF!,allorders!$AG:$AG,"&gt;="&amp;日期!#REF!)</f>
        <v>0</v>
      </c>
      <c r="C397" t="e">
        <f>B397/(日期!#REF!-日期!#REF!+1)</f>
        <v>#REF!</v>
      </c>
    </row>
    <row r="398" spans="2:3">
      <c r="B398">
        <f>SUMIFS(allorders!O:O,allorders!L:L,'数据处理(仓储使用)'!$A398,allorders!$AG:$AG,"&lt;="&amp;日期!#REF!,allorders!$AG:$AG,"&gt;="&amp;日期!#REF!)</f>
        <v>0</v>
      </c>
      <c r="C398" t="e">
        <f>B398/(日期!#REF!-日期!#REF!+1)</f>
        <v>#REF!</v>
      </c>
    </row>
    <row r="399" spans="2:3">
      <c r="B399">
        <f>SUMIFS(allorders!O:O,allorders!L:L,'数据处理(仓储使用)'!$A399,allorders!$AG:$AG,"&lt;="&amp;日期!#REF!,allorders!$AG:$AG,"&gt;="&amp;日期!#REF!)</f>
        <v>0</v>
      </c>
      <c r="C399" t="e">
        <f>B399/(日期!#REF!-日期!#REF!+1)</f>
        <v>#REF!</v>
      </c>
    </row>
    <row r="400" spans="2:3">
      <c r="B400">
        <f>SUMIFS(allorders!O:O,allorders!L:L,'数据处理(仓储使用)'!$A400,allorders!$AG:$AG,"&lt;="&amp;日期!#REF!,allorders!$AG:$AG,"&gt;="&amp;日期!#REF!)</f>
        <v>0</v>
      </c>
      <c r="C400" t="e">
        <f>B400/(日期!#REF!-日期!#REF!+1)</f>
        <v>#REF!</v>
      </c>
    </row>
    <row r="401" spans="2:3">
      <c r="B401">
        <f>SUMIFS(allorders!O:O,allorders!L:L,'数据处理(仓储使用)'!$A401,allorders!$AG:$AG,"&lt;="&amp;日期!#REF!,allorders!$AG:$AG,"&gt;="&amp;日期!#REF!)</f>
        <v>0</v>
      </c>
      <c r="C401" t="e">
        <f>B401/(日期!#REF!-日期!#REF!+1)</f>
        <v>#REF!</v>
      </c>
    </row>
    <row r="402" spans="2:3">
      <c r="B402">
        <f>SUMIFS(allorders!O:O,allorders!L:L,'数据处理(仓储使用)'!$A402,allorders!$AG:$AG,"&lt;="&amp;日期!#REF!,allorders!$AG:$AG,"&gt;="&amp;日期!#REF!)</f>
        <v>0</v>
      </c>
      <c r="C402" t="e">
        <f>B402/(日期!#REF!-日期!#REF!+1)</f>
        <v>#REF!</v>
      </c>
    </row>
    <row r="403" spans="2:3">
      <c r="B403">
        <f>SUMIFS(allorders!O:O,allorders!L:L,'数据处理(仓储使用)'!$A403,allorders!$AG:$AG,"&lt;="&amp;日期!#REF!,allorders!$AG:$AG,"&gt;="&amp;日期!#REF!)</f>
        <v>0</v>
      </c>
      <c r="C403" t="e">
        <f>B403/(日期!#REF!-日期!#REF!+1)</f>
        <v>#REF!</v>
      </c>
    </row>
    <row r="404" spans="2:3">
      <c r="B404">
        <f>SUMIFS(allorders!O:O,allorders!L:L,'数据处理(仓储使用)'!$A404,allorders!$AG:$AG,"&lt;="&amp;日期!#REF!,allorders!$AG:$AG,"&gt;="&amp;日期!#REF!)</f>
        <v>0</v>
      </c>
      <c r="C404" t="e">
        <f>B404/(日期!#REF!-日期!#REF!+1)</f>
        <v>#REF!</v>
      </c>
    </row>
    <row r="405" spans="2:3">
      <c r="B405">
        <f>SUMIFS(allorders!O:O,allorders!L:L,'数据处理(仓储使用)'!$A405,allorders!$AG:$AG,"&lt;="&amp;日期!#REF!,allorders!$AG:$AG,"&gt;="&amp;日期!#REF!)</f>
        <v>0</v>
      </c>
      <c r="C405" t="e">
        <f>B405/(日期!#REF!-日期!#REF!+1)</f>
        <v>#REF!</v>
      </c>
    </row>
    <row r="406" spans="2:3">
      <c r="B406">
        <f>SUMIFS(allorders!O:O,allorders!L:L,'数据处理(仓储使用)'!$A406,allorders!$AG:$AG,"&lt;="&amp;日期!#REF!,allorders!$AG:$AG,"&gt;="&amp;日期!#REF!)</f>
        <v>0</v>
      </c>
      <c r="C406" t="e">
        <f>B406/(日期!#REF!-日期!#REF!+1)</f>
        <v>#REF!</v>
      </c>
    </row>
    <row r="407" spans="2:3">
      <c r="B407">
        <f>SUMIFS(allorders!O:O,allorders!L:L,'数据处理(仓储使用)'!$A407,allorders!$AG:$AG,"&lt;="&amp;日期!#REF!,allorders!$AG:$AG,"&gt;="&amp;日期!#REF!)</f>
        <v>0</v>
      </c>
      <c r="C407" t="e">
        <f>B407/(日期!#REF!-日期!#REF!+1)</f>
        <v>#REF!</v>
      </c>
    </row>
    <row r="408" spans="2:3">
      <c r="B408">
        <f>SUMIFS(allorders!O:O,allorders!L:L,'数据处理(仓储使用)'!$A408,allorders!$AG:$AG,"&lt;="&amp;日期!#REF!,allorders!$AG:$AG,"&gt;="&amp;日期!#REF!)</f>
        <v>0</v>
      </c>
      <c r="C408" t="e">
        <f>B408/(日期!#REF!-日期!#REF!+1)</f>
        <v>#REF!</v>
      </c>
    </row>
    <row r="409" spans="2:3">
      <c r="B409">
        <f>SUMIFS(allorders!O:O,allorders!L:L,'数据处理(仓储使用)'!$A409,allorders!$AG:$AG,"&lt;="&amp;日期!#REF!,allorders!$AG:$AG,"&gt;="&amp;日期!#REF!)</f>
        <v>0</v>
      </c>
      <c r="C409" t="e">
        <f>B409/(日期!#REF!-日期!#REF!+1)</f>
        <v>#REF!</v>
      </c>
    </row>
    <row r="410" spans="2:3">
      <c r="B410">
        <f>SUMIFS(allorders!O:O,allorders!L:L,'数据处理(仓储使用)'!$A410,allorders!$AG:$AG,"&lt;="&amp;日期!#REF!,allorders!$AG:$AG,"&gt;="&amp;日期!#REF!)</f>
        <v>0</v>
      </c>
      <c r="C410" t="e">
        <f>B410/(日期!#REF!-日期!#REF!+1)</f>
        <v>#REF!</v>
      </c>
    </row>
    <row r="411" spans="2:3">
      <c r="B411">
        <f>SUMIFS(allorders!O:O,allorders!L:L,'数据处理(仓储使用)'!$A411,allorders!$AG:$AG,"&lt;="&amp;日期!#REF!,allorders!$AG:$AG,"&gt;="&amp;日期!#REF!)</f>
        <v>0</v>
      </c>
      <c r="C411" t="e">
        <f>B411/(日期!#REF!-日期!#REF!+1)</f>
        <v>#REF!</v>
      </c>
    </row>
    <row r="412" spans="2:3">
      <c r="B412">
        <f>SUMIFS(allorders!O:O,allorders!L:L,'数据处理(仓储使用)'!$A412,allorders!$AG:$AG,"&lt;="&amp;日期!#REF!,allorders!$AG:$AG,"&gt;="&amp;日期!#REF!)</f>
        <v>0</v>
      </c>
      <c r="C412" t="e">
        <f>B412/(日期!#REF!-日期!#REF!+1)</f>
        <v>#REF!</v>
      </c>
    </row>
    <row r="413" spans="2:3">
      <c r="B413">
        <f>SUMIFS(allorders!O:O,allorders!L:L,'数据处理(仓储使用)'!$A413,allorders!$AG:$AG,"&lt;="&amp;日期!#REF!,allorders!$AG:$AG,"&gt;="&amp;日期!#REF!)</f>
        <v>0</v>
      </c>
      <c r="C413" t="e">
        <f>B413/(日期!#REF!-日期!#REF!+1)</f>
        <v>#REF!</v>
      </c>
    </row>
    <row r="414" spans="2:3">
      <c r="B414">
        <f>SUMIFS(allorders!O:O,allorders!L:L,'数据处理(仓储使用)'!$A414,allorders!$AG:$AG,"&lt;="&amp;日期!#REF!,allorders!$AG:$AG,"&gt;="&amp;日期!#REF!)</f>
        <v>0</v>
      </c>
      <c r="C414" t="e">
        <f>B414/(日期!#REF!-日期!#REF!+1)</f>
        <v>#REF!</v>
      </c>
    </row>
    <row r="415" spans="2:3">
      <c r="B415">
        <f>SUMIFS(allorders!O:O,allorders!L:L,'数据处理(仓储使用)'!$A415,allorders!$AG:$AG,"&lt;="&amp;日期!#REF!,allorders!$AG:$AG,"&gt;="&amp;日期!#REF!)</f>
        <v>0</v>
      </c>
      <c r="C415" t="e">
        <f>B415/(日期!#REF!-日期!#REF!+1)</f>
        <v>#REF!</v>
      </c>
    </row>
    <row r="416" spans="2:3">
      <c r="B416">
        <f>SUMIFS(allorders!O:O,allorders!L:L,'数据处理(仓储使用)'!$A416,allorders!$AG:$AG,"&lt;="&amp;日期!#REF!,allorders!$AG:$AG,"&gt;="&amp;日期!#REF!)</f>
        <v>0</v>
      </c>
      <c r="C416" t="e">
        <f>B416/(日期!#REF!-日期!#REF!+1)</f>
        <v>#REF!</v>
      </c>
    </row>
    <row r="417" spans="2:3">
      <c r="B417">
        <f>SUMIFS(allorders!O:O,allorders!L:L,'数据处理(仓储使用)'!$A417,allorders!$AG:$AG,"&lt;="&amp;日期!#REF!,allorders!$AG:$AG,"&gt;="&amp;日期!#REF!)</f>
        <v>0</v>
      </c>
      <c r="C417" t="e">
        <f>B417/(日期!#REF!-日期!#REF!+1)</f>
        <v>#REF!</v>
      </c>
    </row>
    <row r="418" spans="2:3">
      <c r="B418">
        <f>SUMIFS(allorders!O:O,allorders!L:L,'数据处理(仓储使用)'!$A418,allorders!$AG:$AG,"&lt;="&amp;日期!#REF!,allorders!$AG:$AG,"&gt;="&amp;日期!#REF!)</f>
        <v>0</v>
      </c>
      <c r="C418" t="e">
        <f>B418/(日期!#REF!-日期!#REF!+1)</f>
        <v>#REF!</v>
      </c>
    </row>
    <row r="419" spans="2:3">
      <c r="B419">
        <f>SUMIFS(allorders!O:O,allorders!L:L,'数据处理(仓储使用)'!$A419,allorders!$AG:$AG,"&lt;="&amp;日期!#REF!,allorders!$AG:$AG,"&gt;="&amp;日期!#REF!)</f>
        <v>0</v>
      </c>
      <c r="C419" t="e">
        <f>B419/(日期!#REF!-日期!#REF!+1)</f>
        <v>#REF!</v>
      </c>
    </row>
    <row r="420" spans="2:3">
      <c r="B420">
        <f>SUMIFS(allorders!O:O,allorders!L:L,'数据处理(仓储使用)'!$A420,allorders!$AG:$AG,"&lt;="&amp;日期!#REF!,allorders!$AG:$AG,"&gt;="&amp;日期!#REF!)</f>
        <v>0</v>
      </c>
      <c r="C420" t="e">
        <f>B420/(日期!#REF!-日期!#REF!+1)</f>
        <v>#REF!</v>
      </c>
    </row>
    <row r="421" spans="2:3">
      <c r="B421">
        <f>SUMIFS(allorders!O:O,allorders!L:L,'数据处理(仓储使用)'!$A421,allorders!$AG:$AG,"&lt;="&amp;日期!#REF!,allorders!$AG:$AG,"&gt;="&amp;日期!#REF!)</f>
        <v>0</v>
      </c>
      <c r="C421" t="e">
        <f>B421/(日期!#REF!-日期!#REF!+1)</f>
        <v>#REF!</v>
      </c>
    </row>
    <row r="422" spans="2:3">
      <c r="B422">
        <f>SUMIFS(allorders!O:O,allorders!L:L,'数据处理(仓储使用)'!$A422,allorders!$AG:$AG,"&lt;="&amp;日期!#REF!,allorders!$AG:$AG,"&gt;="&amp;日期!#REF!)</f>
        <v>0</v>
      </c>
      <c r="C422" t="e">
        <f>B422/(日期!#REF!-日期!#REF!+1)</f>
        <v>#REF!</v>
      </c>
    </row>
    <row r="423" spans="2:3">
      <c r="B423">
        <f>SUMIFS(allorders!O:O,allorders!L:L,'数据处理(仓储使用)'!$A423,allorders!$AG:$AG,"&lt;="&amp;日期!#REF!,allorders!$AG:$AG,"&gt;="&amp;日期!#REF!)</f>
        <v>0</v>
      </c>
      <c r="C423" t="e">
        <f>B423/(日期!#REF!-日期!#REF!+1)</f>
        <v>#REF!</v>
      </c>
    </row>
    <row r="424" spans="2:3">
      <c r="B424">
        <f>SUMIFS(allorders!O:O,allorders!L:L,'数据处理(仓储使用)'!$A424,allorders!$AG:$AG,"&lt;="&amp;日期!#REF!,allorders!$AG:$AG,"&gt;="&amp;日期!#REF!)</f>
        <v>0</v>
      </c>
      <c r="C424" t="e">
        <f>B424/(日期!#REF!-日期!#REF!+1)</f>
        <v>#REF!</v>
      </c>
    </row>
    <row r="425" spans="2:3">
      <c r="B425">
        <f>SUMIFS(allorders!O:O,allorders!L:L,'数据处理(仓储使用)'!$A425,allorders!$AG:$AG,"&lt;="&amp;日期!#REF!,allorders!$AG:$AG,"&gt;="&amp;日期!#REF!)</f>
        <v>0</v>
      </c>
      <c r="C425" t="e">
        <f>B425/(日期!#REF!-日期!#REF!+1)</f>
        <v>#REF!</v>
      </c>
    </row>
    <row r="426" spans="2:3">
      <c r="B426">
        <f>SUMIFS(allorders!O:O,allorders!L:L,'数据处理(仓储使用)'!$A426,allorders!$AG:$AG,"&lt;="&amp;日期!#REF!,allorders!$AG:$AG,"&gt;="&amp;日期!#REF!)</f>
        <v>0</v>
      </c>
      <c r="C426" t="e">
        <f>B426/(日期!#REF!-日期!#REF!+1)</f>
        <v>#REF!</v>
      </c>
    </row>
    <row r="427" spans="2:3">
      <c r="B427">
        <f>SUMIFS(allorders!O:O,allorders!L:L,'数据处理(仓储使用)'!$A427,allorders!$AG:$AG,"&lt;="&amp;日期!#REF!,allorders!$AG:$AG,"&gt;="&amp;日期!#REF!)</f>
        <v>0</v>
      </c>
      <c r="C427" t="e">
        <f>B427/(日期!#REF!-日期!#REF!+1)</f>
        <v>#REF!</v>
      </c>
    </row>
    <row r="428" spans="2:3">
      <c r="B428">
        <f>SUMIFS(allorders!O:O,allorders!L:L,'数据处理(仓储使用)'!$A428,allorders!$AG:$AG,"&lt;="&amp;日期!#REF!,allorders!$AG:$AG,"&gt;="&amp;日期!#REF!)</f>
        <v>0</v>
      </c>
      <c r="C428" t="e">
        <f>B428/(日期!#REF!-日期!#REF!+1)</f>
        <v>#REF!</v>
      </c>
    </row>
    <row r="429" spans="2:3">
      <c r="B429">
        <f>SUMIFS(allorders!O:O,allorders!L:L,'数据处理(仓储使用)'!$A429,allorders!$AG:$AG,"&lt;="&amp;日期!#REF!,allorders!$AG:$AG,"&gt;="&amp;日期!#REF!)</f>
        <v>0</v>
      </c>
      <c r="C429" t="e">
        <f>B429/(日期!#REF!-日期!#REF!+1)</f>
        <v>#REF!</v>
      </c>
    </row>
    <row r="430" spans="2:3">
      <c r="B430">
        <f>SUMIFS(allorders!O:O,allorders!L:L,'数据处理(仓储使用)'!$A430,allorders!$AG:$AG,"&lt;="&amp;日期!#REF!,allorders!$AG:$AG,"&gt;="&amp;日期!#REF!)</f>
        <v>0</v>
      </c>
      <c r="C430" t="e">
        <f>B430/(日期!#REF!-日期!#REF!+1)</f>
        <v>#REF!</v>
      </c>
    </row>
    <row r="431" spans="2:3">
      <c r="B431">
        <f>SUMIFS(allorders!O:O,allorders!L:L,'数据处理(仓储使用)'!$A431,allorders!$AG:$AG,"&lt;="&amp;日期!#REF!,allorders!$AG:$AG,"&gt;="&amp;日期!#REF!)</f>
        <v>0</v>
      </c>
      <c r="C431" t="e">
        <f>B431/(日期!#REF!-日期!#REF!+1)</f>
        <v>#REF!</v>
      </c>
    </row>
    <row r="432" spans="2:3">
      <c r="B432">
        <f>SUMIFS(allorders!O:O,allorders!L:L,'数据处理(仓储使用)'!$A432,allorders!$AG:$AG,"&lt;="&amp;日期!#REF!,allorders!$AG:$AG,"&gt;="&amp;日期!#REF!)</f>
        <v>0</v>
      </c>
      <c r="C432" t="e">
        <f>B432/(日期!#REF!-日期!#REF!+1)</f>
        <v>#REF!</v>
      </c>
    </row>
    <row r="433" spans="2:3">
      <c r="B433">
        <f>SUMIFS(allorders!O:O,allorders!L:L,'数据处理(仓储使用)'!$A433,allorders!$AG:$AG,"&lt;="&amp;日期!#REF!,allorders!$AG:$AG,"&gt;="&amp;日期!#REF!)</f>
        <v>0</v>
      </c>
      <c r="C433" t="e">
        <f>B433/(日期!#REF!-日期!#REF!+1)</f>
        <v>#REF!</v>
      </c>
    </row>
    <row r="434" spans="2:3">
      <c r="B434">
        <f>SUMIFS(allorders!O:O,allorders!L:L,'数据处理(仓储使用)'!$A434,allorders!$AG:$AG,"&lt;="&amp;日期!#REF!,allorders!$AG:$AG,"&gt;="&amp;日期!#REF!)</f>
        <v>0</v>
      </c>
      <c r="C434" t="e">
        <f>B434/(日期!#REF!-日期!#REF!+1)</f>
        <v>#REF!</v>
      </c>
    </row>
    <row r="435" spans="2:3">
      <c r="B435">
        <f>SUMIFS(allorders!O:O,allorders!L:L,'数据处理(仓储使用)'!$A435,allorders!$AG:$AG,"&lt;="&amp;日期!#REF!,allorders!$AG:$AG,"&gt;="&amp;日期!#REF!)</f>
        <v>0</v>
      </c>
      <c r="C435" t="e">
        <f>B435/(日期!#REF!-日期!#REF!+1)</f>
        <v>#REF!</v>
      </c>
    </row>
    <row r="436" spans="2:3">
      <c r="B436">
        <f>SUMIFS(allorders!O:O,allorders!L:L,'数据处理(仓储使用)'!$A436,allorders!$AG:$AG,"&lt;="&amp;日期!#REF!,allorders!$AG:$AG,"&gt;="&amp;日期!#REF!)</f>
        <v>0</v>
      </c>
      <c r="C436" t="e">
        <f>B436/(日期!#REF!-日期!#REF!+1)</f>
        <v>#REF!</v>
      </c>
    </row>
    <row r="437" spans="2:3">
      <c r="B437">
        <f>SUMIFS(allorders!O:O,allorders!L:L,'数据处理(仓储使用)'!$A437,allorders!$AG:$AG,"&lt;="&amp;日期!#REF!,allorders!$AG:$AG,"&gt;="&amp;日期!#REF!)</f>
        <v>0</v>
      </c>
      <c r="C437" t="e">
        <f>B437/(日期!#REF!-日期!#REF!+1)</f>
        <v>#REF!</v>
      </c>
    </row>
    <row r="438" spans="2:3">
      <c r="B438">
        <f>SUMIFS(allorders!O:O,allorders!L:L,'数据处理(仓储使用)'!$A438,allorders!$AG:$AG,"&lt;="&amp;日期!#REF!,allorders!$AG:$AG,"&gt;="&amp;日期!#REF!)</f>
        <v>0</v>
      </c>
      <c r="C438" t="e">
        <f>B438/(日期!#REF!-日期!#REF!+1)</f>
        <v>#REF!</v>
      </c>
    </row>
    <row r="439" spans="2:3">
      <c r="B439">
        <f>SUMIFS(allorders!O:O,allorders!L:L,'数据处理(仓储使用)'!$A439,allorders!$AG:$AG,"&lt;="&amp;日期!#REF!,allorders!$AG:$AG,"&gt;="&amp;日期!#REF!)</f>
        <v>0</v>
      </c>
      <c r="C439" t="e">
        <f>B439/(日期!#REF!-日期!#REF!+1)</f>
        <v>#REF!</v>
      </c>
    </row>
    <row r="440" spans="2:3">
      <c r="B440">
        <f>SUMIFS(allorders!O:O,allorders!L:L,'数据处理(仓储使用)'!$A440,allorders!$AG:$AG,"&lt;="&amp;日期!#REF!,allorders!$AG:$AG,"&gt;="&amp;日期!#REF!)</f>
        <v>0</v>
      </c>
      <c r="C440" t="e">
        <f>B440/(日期!#REF!-日期!#REF!+1)</f>
        <v>#REF!</v>
      </c>
    </row>
    <row r="441" spans="2:3">
      <c r="B441">
        <f>SUMIFS(allorders!O:O,allorders!L:L,'数据处理(仓储使用)'!$A441,allorders!$AG:$AG,"&lt;="&amp;日期!#REF!,allorders!$AG:$AG,"&gt;="&amp;日期!#REF!)</f>
        <v>0</v>
      </c>
      <c r="C441" t="e">
        <f>B441/(日期!#REF!-日期!#REF!+1)</f>
        <v>#REF!</v>
      </c>
    </row>
    <row r="442" spans="2:3">
      <c r="B442">
        <f>SUMIFS(allorders!O:O,allorders!L:L,'数据处理(仓储使用)'!$A442,allorders!$AG:$AG,"&lt;="&amp;日期!#REF!,allorders!$AG:$AG,"&gt;="&amp;日期!#REF!)</f>
        <v>0</v>
      </c>
      <c r="C442" t="e">
        <f>B442/(日期!#REF!-日期!#REF!+1)</f>
        <v>#REF!</v>
      </c>
    </row>
    <row r="443" spans="2:3">
      <c r="B443">
        <f>SUMIFS(allorders!O:O,allorders!L:L,'数据处理(仓储使用)'!$A443,allorders!$AG:$AG,"&lt;="&amp;日期!#REF!,allorders!$AG:$AG,"&gt;="&amp;日期!#REF!)</f>
        <v>0</v>
      </c>
      <c r="C443" t="e">
        <f>B443/(日期!#REF!-日期!#REF!+1)</f>
        <v>#REF!</v>
      </c>
    </row>
    <row r="444" spans="2:3">
      <c r="B444">
        <f>SUMIFS(allorders!O:O,allorders!L:L,'数据处理(仓储使用)'!$A444,allorders!$AG:$AG,"&lt;="&amp;日期!#REF!,allorders!$AG:$AG,"&gt;="&amp;日期!#REF!)</f>
        <v>0</v>
      </c>
      <c r="C444" t="e">
        <f>B444/(日期!#REF!-日期!#REF!+1)</f>
        <v>#REF!</v>
      </c>
    </row>
    <row r="445" spans="2:3">
      <c r="B445">
        <f>SUMIFS(allorders!O:O,allorders!L:L,'数据处理(仓储使用)'!$A445,allorders!$AG:$AG,"&lt;="&amp;日期!#REF!,allorders!$AG:$AG,"&gt;="&amp;日期!#REF!)</f>
        <v>0</v>
      </c>
      <c r="C445" t="e">
        <f>B445/(日期!#REF!-日期!#REF!+1)</f>
        <v>#REF!</v>
      </c>
    </row>
    <row r="446" spans="2:3">
      <c r="B446">
        <f>SUMIFS(allorders!O:O,allorders!L:L,'数据处理(仓储使用)'!$A446,allorders!$AG:$AG,"&lt;="&amp;日期!#REF!,allorders!$AG:$AG,"&gt;="&amp;日期!#REF!)</f>
        <v>0</v>
      </c>
      <c r="C446" t="e">
        <f>B446/(日期!#REF!-日期!#REF!+1)</f>
        <v>#REF!</v>
      </c>
    </row>
    <row r="447" spans="2:3">
      <c r="B447">
        <f>SUMIFS(allorders!O:O,allorders!L:L,'数据处理(仓储使用)'!$A447,allorders!$AG:$AG,"&lt;="&amp;日期!#REF!,allorders!$AG:$AG,"&gt;="&amp;日期!#REF!)</f>
        <v>0</v>
      </c>
      <c r="C447" t="e">
        <f>B447/(日期!#REF!-日期!#REF!+1)</f>
        <v>#REF!</v>
      </c>
    </row>
    <row r="448" spans="2:3">
      <c r="B448">
        <f>SUMIFS(allorders!O:O,allorders!L:L,'数据处理(仓储使用)'!$A448,allorders!$AG:$AG,"&lt;="&amp;日期!#REF!,allorders!$AG:$AG,"&gt;="&amp;日期!#REF!)</f>
        <v>0</v>
      </c>
      <c r="C448" t="e">
        <f>B448/(日期!#REF!-日期!#REF!+1)</f>
        <v>#REF!</v>
      </c>
    </row>
    <row r="449" spans="2:3">
      <c r="B449">
        <f>SUMIFS(allorders!O:O,allorders!L:L,'数据处理(仓储使用)'!$A449,allorders!$AG:$AG,"&lt;="&amp;日期!#REF!,allorders!$AG:$AG,"&gt;="&amp;日期!#REF!)</f>
        <v>0</v>
      </c>
      <c r="C449" t="e">
        <f>B449/(日期!#REF!-日期!#REF!+1)</f>
        <v>#REF!</v>
      </c>
    </row>
    <row r="450" spans="2:3">
      <c r="B450">
        <f>SUMIFS(allorders!O:O,allorders!L:L,'数据处理(仓储使用)'!$A450,allorders!$AG:$AG,"&lt;="&amp;日期!#REF!,allorders!$AG:$AG,"&gt;="&amp;日期!#REF!)</f>
        <v>0</v>
      </c>
      <c r="C450" t="e">
        <f>B450/(日期!#REF!-日期!#REF!+1)</f>
        <v>#REF!</v>
      </c>
    </row>
    <row r="451" spans="2:3">
      <c r="B451">
        <f>SUMIFS(allorders!O:O,allorders!L:L,'数据处理(仓储使用)'!$A451,allorders!$AG:$AG,"&lt;="&amp;日期!#REF!,allorders!$AG:$AG,"&gt;="&amp;日期!#REF!)</f>
        <v>0</v>
      </c>
      <c r="C451" t="e">
        <f>B451/(日期!#REF!-日期!#REF!+1)</f>
        <v>#REF!</v>
      </c>
    </row>
    <row r="452" spans="2:3">
      <c r="B452">
        <f>SUMIFS(allorders!O:O,allorders!L:L,'数据处理(仓储使用)'!$A452,allorders!$AG:$AG,"&lt;="&amp;日期!#REF!,allorders!$AG:$AG,"&gt;="&amp;日期!#REF!)</f>
        <v>0</v>
      </c>
      <c r="C452" t="e">
        <f>B452/(日期!#REF!-日期!#REF!+1)</f>
        <v>#REF!</v>
      </c>
    </row>
    <row r="453" spans="2:3">
      <c r="B453">
        <f>SUMIFS(allorders!O:O,allorders!L:L,'数据处理(仓储使用)'!$A453,allorders!$AG:$AG,"&lt;="&amp;日期!#REF!,allorders!$AG:$AG,"&gt;="&amp;日期!#REF!)</f>
        <v>0</v>
      </c>
      <c r="C453" t="e">
        <f>B453/(日期!#REF!-日期!#REF!+1)</f>
        <v>#REF!</v>
      </c>
    </row>
    <row r="454" spans="2:3">
      <c r="B454">
        <f>SUMIFS(allorders!O:O,allorders!L:L,'数据处理(仓储使用)'!$A454,allorders!$AG:$AG,"&lt;="&amp;日期!#REF!,allorders!$AG:$AG,"&gt;="&amp;日期!#REF!)</f>
        <v>0</v>
      </c>
      <c r="C454" t="e">
        <f>B454/(日期!#REF!-日期!#REF!+1)</f>
        <v>#REF!</v>
      </c>
    </row>
    <row r="455" spans="2:3">
      <c r="B455">
        <f>SUMIFS(allorders!O:O,allorders!L:L,'数据处理(仓储使用)'!$A455,allorders!$AG:$AG,"&lt;="&amp;日期!#REF!,allorders!$AG:$AG,"&gt;="&amp;日期!#REF!)</f>
        <v>0</v>
      </c>
      <c r="C455" t="e">
        <f>B455/(日期!#REF!-日期!#REF!+1)</f>
        <v>#REF!</v>
      </c>
    </row>
    <row r="456" spans="2:3">
      <c r="B456">
        <f>SUMIFS(allorders!O:O,allorders!L:L,'数据处理(仓储使用)'!$A456,allorders!$AG:$AG,"&lt;="&amp;日期!#REF!,allorders!$AG:$AG,"&gt;="&amp;日期!#REF!)</f>
        <v>0</v>
      </c>
      <c r="C456" t="e">
        <f>B456/(日期!#REF!-日期!#REF!+1)</f>
        <v>#REF!</v>
      </c>
    </row>
    <row r="457" spans="2:3">
      <c r="B457">
        <f>SUMIFS(allorders!O:O,allorders!L:L,'数据处理(仓储使用)'!$A457,allorders!$AG:$AG,"&lt;="&amp;日期!#REF!,allorders!$AG:$AG,"&gt;="&amp;日期!#REF!)</f>
        <v>0</v>
      </c>
      <c r="C457" t="e">
        <f>B457/(日期!#REF!-日期!#REF!+1)</f>
        <v>#REF!</v>
      </c>
    </row>
    <row r="458" spans="2:3">
      <c r="B458">
        <f>SUMIFS(allorders!O:O,allorders!L:L,'数据处理(仓储使用)'!$A458,allorders!$AG:$AG,"&lt;="&amp;日期!#REF!,allorders!$AG:$AG,"&gt;="&amp;日期!#REF!)</f>
        <v>0</v>
      </c>
      <c r="C458" t="e">
        <f>B458/(日期!#REF!-日期!#REF!+1)</f>
        <v>#REF!</v>
      </c>
    </row>
    <row r="459" spans="2:3">
      <c r="B459">
        <f>SUMIFS(allorders!O:O,allorders!L:L,'数据处理(仓储使用)'!$A459,allorders!$AG:$AG,"&lt;="&amp;日期!#REF!,allorders!$AG:$AG,"&gt;="&amp;日期!#REF!)</f>
        <v>0</v>
      </c>
      <c r="C459" t="e">
        <f>B459/(日期!#REF!-日期!#REF!+1)</f>
        <v>#REF!</v>
      </c>
    </row>
    <row r="460" spans="2:3">
      <c r="B460">
        <f>SUMIFS(allorders!O:O,allorders!L:L,'数据处理(仓储使用)'!$A460,allorders!$AG:$AG,"&lt;="&amp;日期!#REF!,allorders!$AG:$AG,"&gt;="&amp;日期!#REF!)</f>
        <v>0</v>
      </c>
      <c r="C460" t="e">
        <f>B460/(日期!#REF!-日期!#REF!+1)</f>
        <v>#REF!</v>
      </c>
    </row>
    <row r="461" spans="2:3">
      <c r="B461">
        <f>SUMIFS(allorders!O:O,allorders!L:L,'数据处理(仓储使用)'!$A461,allorders!$AG:$AG,"&lt;="&amp;日期!#REF!,allorders!$AG:$AG,"&gt;="&amp;日期!#REF!)</f>
        <v>0</v>
      </c>
      <c r="C461" t="e">
        <f>B461/(日期!#REF!-日期!#REF!+1)</f>
        <v>#REF!</v>
      </c>
    </row>
    <row r="462" spans="2:3">
      <c r="B462">
        <f>SUMIFS(allorders!O:O,allorders!L:L,'数据处理(仓储使用)'!$A462,allorders!$AG:$AG,"&lt;="&amp;日期!#REF!,allorders!$AG:$AG,"&gt;="&amp;日期!#REF!)</f>
        <v>0</v>
      </c>
      <c r="C462" t="e">
        <f>B462/(日期!#REF!-日期!#REF!+1)</f>
        <v>#REF!</v>
      </c>
    </row>
    <row r="463" spans="2:3">
      <c r="B463">
        <f>SUMIFS(allorders!O:O,allorders!L:L,'数据处理(仓储使用)'!$A463,allorders!$AG:$AG,"&lt;="&amp;日期!#REF!,allorders!$AG:$AG,"&gt;="&amp;日期!#REF!)</f>
        <v>0</v>
      </c>
      <c r="C463" t="e">
        <f>B463/(日期!#REF!-日期!#REF!+1)</f>
        <v>#REF!</v>
      </c>
    </row>
    <row r="464" spans="2:3">
      <c r="B464">
        <f>SUMIFS(allorders!O:O,allorders!L:L,'数据处理(仓储使用)'!$A464,allorders!$AG:$AG,"&lt;="&amp;日期!#REF!,allorders!$AG:$AG,"&gt;="&amp;日期!#REF!)</f>
        <v>0</v>
      </c>
      <c r="C464" t="e">
        <f>B464/(日期!#REF!-日期!#REF!+1)</f>
        <v>#REF!</v>
      </c>
    </row>
    <row r="465" spans="2:3">
      <c r="B465">
        <f>SUMIFS(allorders!O:O,allorders!L:L,'数据处理(仓储使用)'!$A465,allorders!$AG:$AG,"&lt;="&amp;日期!#REF!,allorders!$AG:$AG,"&gt;="&amp;日期!#REF!)</f>
        <v>0</v>
      </c>
      <c r="C465" t="e">
        <f>B465/(日期!#REF!-日期!#REF!+1)</f>
        <v>#REF!</v>
      </c>
    </row>
    <row r="466" spans="2:3">
      <c r="B466">
        <f>SUMIFS(allorders!O:O,allorders!L:L,'数据处理(仓储使用)'!$A466,allorders!$AG:$AG,"&lt;="&amp;日期!#REF!,allorders!$AG:$AG,"&gt;="&amp;日期!#REF!)</f>
        <v>0</v>
      </c>
      <c r="C466" t="e">
        <f>B466/(日期!#REF!-日期!#REF!+1)</f>
        <v>#REF!</v>
      </c>
    </row>
    <row r="467" spans="2:3">
      <c r="B467">
        <f>SUMIFS(allorders!O:O,allorders!L:L,'数据处理(仓储使用)'!$A467,allorders!$AG:$AG,"&lt;="&amp;日期!#REF!,allorders!$AG:$AG,"&gt;="&amp;日期!#REF!)</f>
        <v>0</v>
      </c>
      <c r="C467" t="e">
        <f>B467/(日期!#REF!-日期!#REF!+1)</f>
        <v>#REF!</v>
      </c>
    </row>
    <row r="468" spans="2:3">
      <c r="B468">
        <f>SUMIFS(allorders!O:O,allorders!L:L,'数据处理(仓储使用)'!$A468,allorders!$AG:$AG,"&lt;="&amp;日期!#REF!,allorders!$AG:$AG,"&gt;="&amp;日期!#REF!)</f>
        <v>0</v>
      </c>
      <c r="C468" t="e">
        <f>B468/(日期!#REF!-日期!#REF!+1)</f>
        <v>#REF!</v>
      </c>
    </row>
    <row r="469" spans="2:3">
      <c r="B469">
        <f>SUMIFS(allorders!O:O,allorders!L:L,'数据处理(仓储使用)'!$A469,allorders!$AG:$AG,"&lt;="&amp;日期!#REF!,allorders!$AG:$AG,"&gt;="&amp;日期!#REF!)</f>
        <v>0</v>
      </c>
      <c r="C469" t="e">
        <f>B469/(日期!#REF!-日期!#REF!+1)</f>
        <v>#REF!</v>
      </c>
    </row>
    <row r="470" spans="2:3">
      <c r="B470">
        <f>SUMIFS(allorders!O:O,allorders!L:L,'数据处理(仓储使用)'!$A470,allorders!$AG:$AG,"&lt;="&amp;日期!#REF!,allorders!$AG:$AG,"&gt;="&amp;日期!#REF!)</f>
        <v>0</v>
      </c>
      <c r="C470" t="e">
        <f>B470/(日期!#REF!-日期!#REF!+1)</f>
        <v>#REF!</v>
      </c>
    </row>
    <row r="471" spans="2:3">
      <c r="B471">
        <f>SUMIFS(allorders!O:O,allorders!L:L,'数据处理(仓储使用)'!$A471,allorders!$AG:$AG,"&lt;="&amp;日期!#REF!,allorders!$AG:$AG,"&gt;="&amp;日期!#REF!)</f>
        <v>0</v>
      </c>
      <c r="C471" t="e">
        <f>B471/(日期!#REF!-日期!#REF!+1)</f>
        <v>#REF!</v>
      </c>
    </row>
    <row r="472" spans="2:3">
      <c r="B472">
        <f>SUMIFS(allorders!O:O,allorders!L:L,'数据处理(仓储使用)'!$A472,allorders!$AG:$AG,"&lt;="&amp;日期!#REF!,allorders!$AG:$AG,"&gt;="&amp;日期!#REF!)</f>
        <v>0</v>
      </c>
      <c r="C472" t="e">
        <f>B472/(日期!#REF!-日期!#REF!+1)</f>
        <v>#REF!</v>
      </c>
    </row>
    <row r="473" spans="2:3">
      <c r="B473">
        <f>SUMIFS(allorders!O:O,allorders!L:L,'数据处理(仓储使用)'!$A473,allorders!$AG:$AG,"&lt;="&amp;日期!#REF!,allorders!$AG:$AG,"&gt;="&amp;日期!#REF!)</f>
        <v>0</v>
      </c>
      <c r="C473" t="e">
        <f>B473/(日期!#REF!-日期!#REF!+1)</f>
        <v>#REF!</v>
      </c>
    </row>
    <row r="474" spans="2:3">
      <c r="B474">
        <f>SUMIFS(allorders!O:O,allorders!L:L,'数据处理(仓储使用)'!$A474,allorders!$AG:$AG,"&lt;="&amp;日期!#REF!,allorders!$AG:$AG,"&gt;="&amp;日期!#REF!)</f>
        <v>0</v>
      </c>
      <c r="C474" t="e">
        <f>B474/(日期!#REF!-日期!#REF!+1)</f>
        <v>#REF!</v>
      </c>
    </row>
    <row r="475" spans="2:3">
      <c r="B475">
        <f>SUMIFS(allorders!O:O,allorders!L:L,'数据处理(仓储使用)'!$A475,allorders!$AG:$AG,"&lt;="&amp;日期!#REF!,allorders!$AG:$AG,"&gt;="&amp;日期!#REF!)</f>
        <v>0</v>
      </c>
      <c r="C475" t="e">
        <f>B475/(日期!#REF!-日期!#REF!+1)</f>
        <v>#REF!</v>
      </c>
    </row>
    <row r="476" spans="2:3">
      <c r="B476">
        <f>SUMIFS(allorders!O:O,allorders!L:L,'数据处理(仓储使用)'!$A476,allorders!$AG:$AG,"&lt;="&amp;日期!#REF!,allorders!$AG:$AG,"&gt;="&amp;日期!#REF!)</f>
        <v>0</v>
      </c>
      <c r="C476" t="e">
        <f>B476/(日期!#REF!-日期!#REF!+1)</f>
        <v>#REF!</v>
      </c>
    </row>
    <row r="477" spans="2:3">
      <c r="B477">
        <f>SUMIFS(allorders!O:O,allorders!L:L,'数据处理(仓储使用)'!$A477,allorders!$AG:$AG,"&lt;="&amp;日期!#REF!,allorders!$AG:$AG,"&gt;="&amp;日期!#REF!)</f>
        <v>0</v>
      </c>
      <c r="C477" t="e">
        <f>B477/(日期!#REF!-日期!#REF!+1)</f>
        <v>#REF!</v>
      </c>
    </row>
    <row r="478" spans="2:3">
      <c r="B478">
        <f>SUMIFS(allorders!O:O,allorders!L:L,'数据处理(仓储使用)'!$A478,allorders!$AG:$AG,"&lt;="&amp;日期!#REF!,allorders!$AG:$AG,"&gt;="&amp;日期!#REF!)</f>
        <v>0</v>
      </c>
      <c r="C478" t="e">
        <f>B478/(日期!#REF!-日期!#REF!+1)</f>
        <v>#REF!</v>
      </c>
    </row>
    <row r="479" spans="2:3">
      <c r="B479">
        <f>SUMIFS(allorders!O:O,allorders!L:L,'数据处理(仓储使用)'!$A479,allorders!$AG:$AG,"&lt;="&amp;日期!#REF!,allorders!$AG:$AG,"&gt;="&amp;日期!#REF!)</f>
        <v>0</v>
      </c>
      <c r="C479" t="e">
        <f>B479/(日期!#REF!-日期!#REF!+1)</f>
        <v>#REF!</v>
      </c>
    </row>
    <row r="480" spans="2:3">
      <c r="B480">
        <f>SUMIFS(allorders!O:O,allorders!L:L,'数据处理(仓储使用)'!$A480,allorders!$AG:$AG,"&lt;="&amp;日期!#REF!,allorders!$AG:$AG,"&gt;="&amp;日期!#REF!)</f>
        <v>0</v>
      </c>
      <c r="C480" t="e">
        <f>B480/(日期!#REF!-日期!#REF!+1)</f>
        <v>#REF!</v>
      </c>
    </row>
    <row r="481" spans="2:3">
      <c r="B481">
        <f>SUMIFS(allorders!O:O,allorders!L:L,'数据处理(仓储使用)'!$A481,allorders!$AG:$AG,"&lt;="&amp;日期!#REF!,allorders!$AG:$AG,"&gt;="&amp;日期!#REF!)</f>
        <v>0</v>
      </c>
      <c r="C481" t="e">
        <f>B481/(日期!#REF!-日期!#REF!+1)</f>
        <v>#REF!</v>
      </c>
    </row>
    <row r="482" spans="2:3">
      <c r="B482">
        <f>SUMIFS(allorders!O:O,allorders!L:L,'数据处理(仓储使用)'!$A482,allorders!$AG:$AG,"&lt;="&amp;日期!#REF!,allorders!$AG:$AG,"&gt;="&amp;日期!#REF!)</f>
        <v>0</v>
      </c>
      <c r="C482" t="e">
        <f>B482/(日期!#REF!-日期!#REF!+1)</f>
        <v>#REF!</v>
      </c>
    </row>
    <row r="483" spans="2:3">
      <c r="B483">
        <f>SUMIFS(allorders!O:O,allorders!L:L,'数据处理(仓储使用)'!$A483,allorders!$AG:$AG,"&lt;="&amp;日期!#REF!,allorders!$AG:$AG,"&gt;="&amp;日期!#REF!)</f>
        <v>0</v>
      </c>
      <c r="C483" t="e">
        <f>B483/(日期!#REF!-日期!#REF!+1)</f>
        <v>#REF!</v>
      </c>
    </row>
    <row r="484" spans="2:3">
      <c r="B484">
        <f>SUMIFS(allorders!O:O,allorders!L:L,'数据处理(仓储使用)'!$A484,allorders!$AG:$AG,"&lt;="&amp;日期!#REF!,allorders!$AG:$AG,"&gt;="&amp;日期!#REF!)</f>
        <v>0</v>
      </c>
      <c r="C484" t="e">
        <f>B484/(日期!#REF!-日期!#REF!+1)</f>
        <v>#REF!</v>
      </c>
    </row>
    <row r="485" spans="2:3">
      <c r="B485">
        <f>SUMIFS(allorders!O:O,allorders!L:L,'数据处理(仓储使用)'!$A485,allorders!$AG:$AG,"&lt;="&amp;日期!#REF!,allorders!$AG:$AG,"&gt;="&amp;日期!#REF!)</f>
        <v>0</v>
      </c>
      <c r="C485" t="e">
        <f>B485/(日期!#REF!-日期!#REF!+1)</f>
        <v>#REF!</v>
      </c>
    </row>
    <row r="486" spans="2:3">
      <c r="B486">
        <f>SUMIFS(allorders!O:O,allorders!L:L,'数据处理(仓储使用)'!$A486,allorders!$AG:$AG,"&lt;="&amp;日期!#REF!,allorders!$AG:$AG,"&gt;="&amp;日期!#REF!)</f>
        <v>0</v>
      </c>
      <c r="C486" t="e">
        <f>B486/(日期!#REF!-日期!#REF!+1)</f>
        <v>#REF!</v>
      </c>
    </row>
    <row r="487" spans="2:3">
      <c r="B487">
        <f>SUMIFS(allorders!O:O,allorders!L:L,'数据处理(仓储使用)'!$A487,allorders!$AG:$AG,"&lt;="&amp;日期!#REF!,allorders!$AG:$AG,"&gt;="&amp;日期!#REF!)</f>
        <v>0</v>
      </c>
      <c r="C487" t="e">
        <f>B487/(日期!#REF!-日期!#REF!+1)</f>
        <v>#REF!</v>
      </c>
    </row>
    <row r="488" spans="2:3">
      <c r="B488">
        <f>SUMIFS(allorders!O:O,allorders!L:L,'数据处理(仓储使用)'!$A488,allorders!$AG:$AG,"&lt;="&amp;日期!#REF!,allorders!$AG:$AG,"&gt;="&amp;日期!#REF!)</f>
        <v>0</v>
      </c>
      <c r="C488" t="e">
        <f>B488/(日期!#REF!-日期!#REF!+1)</f>
        <v>#REF!</v>
      </c>
    </row>
    <row r="489" spans="2:3">
      <c r="B489">
        <f>SUMIFS(allorders!O:O,allorders!L:L,'数据处理(仓储使用)'!$A489,allorders!$AG:$AG,"&lt;="&amp;日期!#REF!,allorders!$AG:$AG,"&gt;="&amp;日期!#REF!)</f>
        <v>0</v>
      </c>
      <c r="C489" t="e">
        <f>B489/(日期!#REF!-日期!#REF!+1)</f>
        <v>#REF!</v>
      </c>
    </row>
    <row r="490" spans="2:3">
      <c r="B490">
        <f>SUMIFS(allorders!O:O,allorders!L:L,'数据处理(仓储使用)'!$A490,allorders!$AG:$AG,"&lt;="&amp;日期!#REF!,allorders!$AG:$AG,"&gt;="&amp;日期!#REF!)</f>
        <v>0</v>
      </c>
      <c r="C490" t="e">
        <f>B490/(日期!#REF!-日期!#REF!+1)</f>
        <v>#REF!</v>
      </c>
    </row>
    <row r="491" spans="2:3">
      <c r="B491">
        <f>SUMIFS(allorders!O:O,allorders!L:L,'数据处理(仓储使用)'!$A491,allorders!$AG:$AG,"&lt;="&amp;日期!#REF!,allorders!$AG:$AG,"&gt;="&amp;日期!#REF!)</f>
        <v>0</v>
      </c>
      <c r="C491" t="e">
        <f>B491/(日期!#REF!-日期!#REF!+1)</f>
        <v>#REF!</v>
      </c>
    </row>
    <row r="492" spans="2:3">
      <c r="B492">
        <f>SUMIFS(allorders!O:O,allorders!L:L,'数据处理(仓储使用)'!$A492,allorders!$AG:$AG,"&lt;="&amp;日期!#REF!,allorders!$AG:$AG,"&gt;="&amp;日期!#REF!)</f>
        <v>0</v>
      </c>
      <c r="C492" t="e">
        <f>B492/(日期!#REF!-日期!#REF!+1)</f>
        <v>#REF!</v>
      </c>
    </row>
    <row r="493" spans="2:3">
      <c r="B493">
        <f>SUMIFS(allorders!O:O,allorders!L:L,'数据处理(仓储使用)'!$A493,allorders!$AG:$AG,"&lt;="&amp;日期!#REF!,allorders!$AG:$AG,"&gt;="&amp;日期!#REF!)</f>
        <v>0</v>
      </c>
      <c r="C493" t="e">
        <f>B493/(日期!#REF!-日期!#REF!+1)</f>
        <v>#REF!</v>
      </c>
    </row>
    <row r="494" spans="2:3">
      <c r="B494">
        <f>SUMIFS(allorders!O:O,allorders!L:L,'数据处理(仓储使用)'!$A494,allorders!$AG:$AG,"&lt;="&amp;日期!#REF!,allorders!$AG:$AG,"&gt;="&amp;日期!#REF!)</f>
        <v>0</v>
      </c>
      <c r="C494" t="e">
        <f>B494/(日期!#REF!-日期!#REF!+1)</f>
        <v>#REF!</v>
      </c>
    </row>
    <row r="495" spans="2:3">
      <c r="B495">
        <f>SUMIFS(allorders!O:O,allorders!L:L,'数据处理(仓储使用)'!$A495,allorders!$AG:$AG,"&lt;="&amp;日期!#REF!,allorders!$AG:$AG,"&gt;="&amp;日期!#REF!)</f>
        <v>0</v>
      </c>
      <c r="C495" t="e">
        <f>B495/(日期!#REF!-日期!#REF!+1)</f>
        <v>#REF!</v>
      </c>
    </row>
    <row r="496" spans="2:3">
      <c r="B496">
        <f>SUMIFS(allorders!O:O,allorders!L:L,'数据处理(仓储使用)'!$A496,allorders!$AG:$AG,"&lt;="&amp;日期!#REF!,allorders!$AG:$AG,"&gt;="&amp;日期!#REF!)</f>
        <v>0</v>
      </c>
      <c r="C496" t="e">
        <f>B496/(日期!#REF!-日期!#REF!+1)</f>
        <v>#REF!</v>
      </c>
    </row>
    <row r="497" spans="2:3">
      <c r="B497">
        <f>SUMIFS(allorders!O:O,allorders!L:L,'数据处理(仓储使用)'!$A497,allorders!$AG:$AG,"&lt;="&amp;日期!#REF!,allorders!$AG:$AG,"&gt;="&amp;日期!#REF!)</f>
        <v>0</v>
      </c>
      <c r="C497" t="e">
        <f>B497/(日期!#REF!-日期!#REF!+1)</f>
        <v>#REF!</v>
      </c>
    </row>
    <row r="498" spans="2:3">
      <c r="B498">
        <f>SUMIFS(allorders!O:O,allorders!L:L,'数据处理(仓储使用)'!$A498,allorders!$AG:$AG,"&lt;="&amp;日期!#REF!,allorders!$AG:$AG,"&gt;="&amp;日期!#REF!)</f>
        <v>0</v>
      </c>
      <c r="C498" t="e">
        <f>B498/(日期!#REF!-日期!#REF!+1)</f>
        <v>#REF!</v>
      </c>
    </row>
    <row r="499" spans="2:3">
      <c r="B499">
        <f>SUMIFS(allorders!O:O,allorders!L:L,'数据处理(仓储使用)'!$A499,allorders!$AG:$AG,"&lt;="&amp;日期!#REF!,allorders!$AG:$AG,"&gt;="&amp;日期!#REF!)</f>
        <v>0</v>
      </c>
      <c r="C499" t="e">
        <f>B499/(日期!#REF!-日期!#REF!+1)</f>
        <v>#REF!</v>
      </c>
    </row>
    <row r="500" spans="2:3">
      <c r="B500">
        <f>SUMIFS(allorders!O:O,allorders!L:L,'数据处理(仓储使用)'!$A500,allorders!$AG:$AG,"&lt;="&amp;日期!#REF!,allorders!$AG:$AG,"&gt;="&amp;日期!#REF!)</f>
        <v>0</v>
      </c>
      <c r="C500" t="e">
        <f>B500/(日期!#REF!-日期!#REF!+1)</f>
        <v>#REF!</v>
      </c>
    </row>
    <row r="501" spans="2:3">
      <c r="B501">
        <f>SUMIFS(allorders!O:O,allorders!L:L,'数据处理(仓储使用)'!$A501,allorders!$AG:$AG,"&lt;="&amp;日期!#REF!,allorders!$AG:$AG,"&gt;="&amp;日期!#REF!)</f>
        <v>0</v>
      </c>
      <c r="C501" t="e">
        <f>B501/(日期!#REF!-日期!#REF!+1)</f>
        <v>#REF!</v>
      </c>
    </row>
    <row r="502" spans="2:3">
      <c r="B502">
        <f>SUMIFS(allorders!O:O,allorders!L:L,'数据处理(仓储使用)'!$A502,allorders!$AG:$AG,"&lt;="&amp;日期!#REF!,allorders!$AG:$AG,"&gt;="&amp;日期!#REF!)</f>
        <v>0</v>
      </c>
      <c r="C502" t="e">
        <f>B502/(日期!#REF!-日期!#REF!+1)</f>
        <v>#REF!</v>
      </c>
    </row>
    <row r="503" spans="2:3">
      <c r="B503">
        <f>SUMIFS(allorders!O:O,allorders!L:L,'数据处理(仓储使用)'!$A503,allorders!$AG:$AG,"&lt;="&amp;日期!#REF!,allorders!$AG:$AG,"&gt;="&amp;日期!#REF!)</f>
        <v>0</v>
      </c>
      <c r="C503" t="e">
        <f>B503/(日期!#REF!-日期!#REF!+1)</f>
        <v>#REF!</v>
      </c>
    </row>
    <row r="504" spans="2:3">
      <c r="B504">
        <f>SUMIFS(allorders!O:O,allorders!L:L,'数据处理(仓储使用)'!$A504,allorders!$AG:$AG,"&lt;="&amp;日期!#REF!,allorders!$AG:$AG,"&gt;="&amp;日期!#REF!)</f>
        <v>0</v>
      </c>
      <c r="C504" t="e">
        <f>B504/(日期!#REF!-日期!#REF!+1)</f>
        <v>#REF!</v>
      </c>
    </row>
    <row r="505" spans="2:3">
      <c r="B505">
        <f>SUMIFS(allorders!O:O,allorders!L:L,'数据处理(仓储使用)'!$A505,allorders!$AG:$AG,"&lt;="&amp;日期!#REF!,allorders!$AG:$AG,"&gt;="&amp;日期!#REF!)</f>
        <v>0</v>
      </c>
      <c r="C505" t="e">
        <f>B505/(日期!#REF!-日期!#REF!+1)</f>
        <v>#REF!</v>
      </c>
    </row>
    <row r="506" spans="2:3">
      <c r="B506">
        <f>SUMIFS(allorders!O:O,allorders!L:L,'数据处理(仓储使用)'!$A506,allorders!$AG:$AG,"&lt;="&amp;日期!#REF!,allorders!$AG:$AG,"&gt;="&amp;日期!#REF!)</f>
        <v>0</v>
      </c>
      <c r="C506" t="e">
        <f>B506/(日期!#REF!-日期!#REF!+1)</f>
        <v>#REF!</v>
      </c>
    </row>
    <row r="507" spans="2:3">
      <c r="B507">
        <f>SUMIFS(allorders!O:O,allorders!L:L,'数据处理(仓储使用)'!$A507,allorders!$AG:$AG,"&lt;="&amp;日期!#REF!,allorders!$AG:$AG,"&gt;="&amp;日期!#REF!)</f>
        <v>0</v>
      </c>
      <c r="C507" t="e">
        <f>B507/(日期!#REF!-日期!#REF!+1)</f>
        <v>#REF!</v>
      </c>
    </row>
    <row r="508" spans="2:3">
      <c r="B508">
        <f>SUMIFS(allorders!O:O,allorders!L:L,'数据处理(仓储使用)'!$A508,allorders!$AG:$AG,"&lt;="&amp;日期!#REF!,allorders!$AG:$AG,"&gt;="&amp;日期!#REF!)</f>
        <v>0</v>
      </c>
      <c r="C508" t="e">
        <f>B508/(日期!#REF!-日期!#REF!+1)</f>
        <v>#REF!</v>
      </c>
    </row>
    <row r="509" spans="2:3">
      <c r="B509">
        <f>SUMIFS(allorders!O:O,allorders!L:L,'数据处理(仓储使用)'!$A509,allorders!$AG:$AG,"&lt;="&amp;日期!#REF!,allorders!$AG:$AG,"&gt;="&amp;日期!#REF!)</f>
        <v>0</v>
      </c>
      <c r="C509" t="e">
        <f>B509/(日期!#REF!-日期!#REF!+1)</f>
        <v>#REF!</v>
      </c>
    </row>
    <row r="510" spans="2:3">
      <c r="B510">
        <f>SUMIFS(allorders!O:O,allorders!L:L,'数据处理(仓储使用)'!$A510,allorders!$AG:$AG,"&lt;="&amp;日期!#REF!,allorders!$AG:$AG,"&gt;="&amp;日期!#REF!)</f>
        <v>0</v>
      </c>
      <c r="C510" t="e">
        <f>B510/(日期!#REF!-日期!#REF!+1)</f>
        <v>#REF!</v>
      </c>
    </row>
    <row r="511" spans="2:3">
      <c r="B511">
        <f>SUMIFS(allorders!O:O,allorders!L:L,'数据处理(仓储使用)'!$A511,allorders!$AG:$AG,"&lt;="&amp;日期!#REF!,allorders!$AG:$AG,"&gt;="&amp;日期!#REF!)</f>
        <v>0</v>
      </c>
      <c r="C511" t="e">
        <f>B511/(日期!#REF!-日期!#REF!+1)</f>
        <v>#REF!</v>
      </c>
    </row>
    <row r="512" spans="2:3">
      <c r="B512">
        <f>SUMIFS(allorders!O:O,allorders!L:L,'数据处理(仓储使用)'!$A512,allorders!$AG:$AG,"&lt;="&amp;日期!#REF!,allorders!$AG:$AG,"&gt;="&amp;日期!#REF!)</f>
        <v>0</v>
      </c>
      <c r="C512" t="e">
        <f>B512/(日期!#REF!-日期!#REF!+1)</f>
        <v>#REF!</v>
      </c>
    </row>
    <row r="513" spans="2:3">
      <c r="B513">
        <f>SUMIFS(allorders!O:O,allorders!L:L,'数据处理(仓储使用)'!$A513,allorders!$AG:$AG,"&lt;="&amp;日期!#REF!,allorders!$AG:$AG,"&gt;="&amp;日期!#REF!)</f>
        <v>0</v>
      </c>
      <c r="C513" t="e">
        <f>B513/(日期!#REF!-日期!#REF!+1)</f>
        <v>#REF!</v>
      </c>
    </row>
    <row r="514" spans="2:3">
      <c r="B514">
        <f>SUMIFS(allorders!O:O,allorders!L:L,'数据处理(仓储使用)'!$A514,allorders!$AG:$AG,"&lt;="&amp;日期!#REF!,allorders!$AG:$AG,"&gt;="&amp;日期!#REF!)</f>
        <v>0</v>
      </c>
      <c r="C514" t="e">
        <f>B514/(日期!#REF!-日期!#REF!+1)</f>
        <v>#REF!</v>
      </c>
    </row>
    <row r="515" spans="2:3">
      <c r="B515">
        <f>SUMIFS(allorders!O:O,allorders!L:L,'数据处理(仓储使用)'!$A515,allorders!$AG:$AG,"&lt;="&amp;日期!#REF!,allorders!$AG:$AG,"&gt;="&amp;日期!#REF!)</f>
        <v>0</v>
      </c>
      <c r="C515" t="e">
        <f>B515/(日期!#REF!-日期!#REF!+1)</f>
        <v>#REF!</v>
      </c>
    </row>
    <row r="516" spans="2:3">
      <c r="B516">
        <f>SUMIFS(allorders!O:O,allorders!L:L,'数据处理(仓储使用)'!$A516,allorders!$AG:$AG,"&lt;="&amp;日期!#REF!,allorders!$AG:$AG,"&gt;="&amp;日期!#REF!)</f>
        <v>0</v>
      </c>
      <c r="C516" t="e">
        <f>B516/(日期!#REF!-日期!#REF!+1)</f>
        <v>#REF!</v>
      </c>
    </row>
    <row r="517" spans="2:3">
      <c r="B517">
        <f>SUMIFS(allorders!O:O,allorders!L:L,'数据处理(仓储使用)'!$A517,allorders!$AG:$AG,"&lt;="&amp;日期!#REF!,allorders!$AG:$AG,"&gt;="&amp;日期!#REF!)</f>
        <v>0</v>
      </c>
      <c r="C517" t="e">
        <f>B517/(日期!#REF!-日期!#REF!+1)</f>
        <v>#REF!</v>
      </c>
    </row>
    <row r="518" spans="2:3">
      <c r="B518">
        <f>SUMIFS(allorders!O:O,allorders!L:L,'数据处理(仓储使用)'!$A518,allorders!$AG:$AG,"&lt;="&amp;日期!#REF!,allorders!$AG:$AG,"&gt;="&amp;日期!#REF!)</f>
        <v>0</v>
      </c>
      <c r="C518" t="e">
        <f>B518/(日期!#REF!-日期!#REF!+1)</f>
        <v>#REF!</v>
      </c>
    </row>
    <row r="519" spans="2:3">
      <c r="B519">
        <f>SUMIFS(allorders!O:O,allorders!L:L,'数据处理(仓储使用)'!$A519,allorders!$AG:$AG,"&lt;="&amp;日期!#REF!,allorders!$AG:$AG,"&gt;="&amp;日期!#REF!)</f>
        <v>0</v>
      </c>
      <c r="C519" t="e">
        <f>B519/(日期!#REF!-日期!#REF!+1)</f>
        <v>#REF!</v>
      </c>
    </row>
    <row r="520" spans="2:3">
      <c r="B520">
        <f>SUMIFS(allorders!O:O,allorders!L:L,'数据处理(仓储使用)'!$A520,allorders!$AG:$AG,"&lt;="&amp;日期!#REF!,allorders!$AG:$AG,"&gt;="&amp;日期!#REF!)</f>
        <v>0</v>
      </c>
      <c r="C520" t="e">
        <f>B520/(日期!#REF!-日期!#REF!+1)</f>
        <v>#REF!</v>
      </c>
    </row>
    <row r="521" spans="2:3">
      <c r="B521">
        <f>SUMIFS(allorders!O:O,allorders!L:L,'数据处理(仓储使用)'!$A521,allorders!$AG:$AG,"&lt;="&amp;日期!#REF!,allorders!$AG:$AG,"&gt;="&amp;日期!#REF!)</f>
        <v>0</v>
      </c>
      <c r="C521" t="e">
        <f>B521/(日期!#REF!-日期!#REF!+1)</f>
        <v>#REF!</v>
      </c>
    </row>
    <row r="522" spans="2:3">
      <c r="B522">
        <f>SUMIFS(allorders!O:O,allorders!L:L,'数据处理(仓储使用)'!$A522,allorders!$AG:$AG,"&lt;="&amp;日期!#REF!,allorders!$AG:$AG,"&gt;="&amp;日期!#REF!)</f>
        <v>0</v>
      </c>
      <c r="C522" t="e">
        <f>B522/(日期!#REF!-日期!#REF!+1)</f>
        <v>#REF!</v>
      </c>
    </row>
    <row r="523" spans="2:3">
      <c r="B523">
        <f>SUMIFS(allorders!O:O,allorders!L:L,'数据处理(仓储使用)'!$A523,allorders!$AG:$AG,"&lt;="&amp;日期!#REF!,allorders!$AG:$AG,"&gt;="&amp;日期!#REF!)</f>
        <v>0</v>
      </c>
      <c r="C523" t="e">
        <f>B523/(日期!#REF!-日期!#REF!+1)</f>
        <v>#REF!</v>
      </c>
    </row>
    <row r="524" spans="2:3">
      <c r="B524">
        <f>SUMIFS(allorders!O:O,allorders!L:L,'数据处理(仓储使用)'!$A524,allorders!$AG:$AG,"&lt;="&amp;日期!#REF!,allorders!$AG:$AG,"&gt;="&amp;日期!#REF!)</f>
        <v>0</v>
      </c>
      <c r="C524" t="e">
        <f>B524/(日期!#REF!-日期!#REF!+1)</f>
        <v>#REF!</v>
      </c>
    </row>
    <row r="525" spans="2:3">
      <c r="B525">
        <f>SUMIFS(allorders!O:O,allorders!L:L,'数据处理(仓储使用)'!$A525,allorders!$AG:$AG,"&lt;="&amp;日期!#REF!,allorders!$AG:$AG,"&gt;="&amp;日期!#REF!)</f>
        <v>0</v>
      </c>
      <c r="C525" t="e">
        <f>B525/(日期!#REF!-日期!#REF!+1)</f>
        <v>#REF!</v>
      </c>
    </row>
    <row r="526" spans="2:3">
      <c r="B526">
        <f>SUMIFS(allorders!O:O,allorders!L:L,'数据处理(仓储使用)'!$A526,allorders!$AG:$AG,"&lt;="&amp;日期!#REF!,allorders!$AG:$AG,"&gt;="&amp;日期!#REF!)</f>
        <v>0</v>
      </c>
      <c r="C526" t="e">
        <f>B526/(日期!#REF!-日期!#REF!+1)</f>
        <v>#REF!</v>
      </c>
    </row>
    <row r="527" spans="2:3">
      <c r="B527">
        <f>SUMIFS(allorders!O:O,allorders!L:L,'数据处理(仓储使用)'!$A527,allorders!$AG:$AG,"&lt;="&amp;日期!#REF!,allorders!$AG:$AG,"&gt;="&amp;日期!#REF!)</f>
        <v>0</v>
      </c>
      <c r="C527" t="e">
        <f>B527/(日期!#REF!-日期!#REF!+1)</f>
        <v>#REF!</v>
      </c>
    </row>
    <row r="528" spans="2:3">
      <c r="B528">
        <f>SUMIFS(allorders!O:O,allorders!L:L,'数据处理(仓储使用)'!$A528,allorders!$AG:$AG,"&lt;="&amp;日期!#REF!,allorders!$AG:$AG,"&gt;="&amp;日期!#REF!)</f>
        <v>0</v>
      </c>
      <c r="C528" t="e">
        <f>B528/(日期!#REF!-日期!#REF!+1)</f>
        <v>#REF!</v>
      </c>
    </row>
    <row r="529" spans="2:3">
      <c r="B529">
        <f>SUMIFS(allorders!O:O,allorders!L:L,'数据处理(仓储使用)'!$A529,allorders!$AG:$AG,"&lt;="&amp;日期!#REF!,allorders!$AG:$AG,"&gt;="&amp;日期!#REF!)</f>
        <v>0</v>
      </c>
      <c r="C529" t="e">
        <f>B529/(日期!#REF!-日期!#REF!+1)</f>
        <v>#REF!</v>
      </c>
    </row>
    <row r="530" spans="2:3">
      <c r="B530">
        <f>SUMIFS(allorders!O:O,allorders!L:L,'数据处理(仓储使用)'!$A530,allorders!$AG:$AG,"&lt;="&amp;日期!#REF!,allorders!$AG:$AG,"&gt;="&amp;日期!#REF!)</f>
        <v>0</v>
      </c>
      <c r="C530" t="e">
        <f>B530/(日期!#REF!-日期!#REF!+1)</f>
        <v>#REF!</v>
      </c>
    </row>
    <row r="531" spans="2:3">
      <c r="B531">
        <f>SUMIFS(allorders!O:O,allorders!L:L,'数据处理(仓储使用)'!$A531,allorders!$AG:$AG,"&lt;="&amp;日期!#REF!,allorders!$AG:$AG,"&gt;="&amp;日期!#REF!)</f>
        <v>0</v>
      </c>
      <c r="C531" t="e">
        <f>B531/(日期!#REF!-日期!#REF!+1)</f>
        <v>#REF!</v>
      </c>
    </row>
    <row r="532" spans="2:3">
      <c r="B532">
        <f>SUMIFS(allorders!O:O,allorders!L:L,'数据处理(仓储使用)'!$A532,allorders!$AG:$AG,"&lt;="&amp;日期!#REF!,allorders!$AG:$AG,"&gt;="&amp;日期!#REF!)</f>
        <v>0</v>
      </c>
      <c r="C532" t="e">
        <f>B532/(日期!#REF!-日期!#REF!+1)</f>
        <v>#REF!</v>
      </c>
    </row>
    <row r="533" spans="2:3">
      <c r="B533">
        <f>SUMIFS(allorders!O:O,allorders!L:L,'数据处理(仓储使用)'!$A533,allorders!$AG:$AG,"&lt;="&amp;日期!#REF!,allorders!$AG:$AG,"&gt;="&amp;日期!#REF!)</f>
        <v>0</v>
      </c>
      <c r="C533" t="e">
        <f>B533/(日期!#REF!-日期!#REF!+1)</f>
        <v>#REF!</v>
      </c>
    </row>
    <row r="534" spans="2:3">
      <c r="B534">
        <f>SUMIFS(allorders!O:O,allorders!L:L,'数据处理(仓储使用)'!$A534,allorders!$AG:$AG,"&lt;="&amp;日期!#REF!,allorders!$AG:$AG,"&gt;="&amp;日期!#REF!)</f>
        <v>0</v>
      </c>
      <c r="C534" t="e">
        <f>B534/(日期!#REF!-日期!#REF!+1)</f>
        <v>#REF!</v>
      </c>
    </row>
    <row r="535" spans="2:3">
      <c r="B535">
        <f>SUMIFS(allorders!O:O,allorders!L:L,'数据处理(仓储使用)'!$A535,allorders!$AG:$AG,"&lt;="&amp;日期!#REF!,allorders!$AG:$AG,"&gt;="&amp;日期!#REF!)</f>
        <v>0</v>
      </c>
      <c r="C535" t="e">
        <f>B535/(日期!#REF!-日期!#REF!+1)</f>
        <v>#REF!</v>
      </c>
    </row>
    <row r="536" spans="2:3">
      <c r="B536">
        <f>SUMIFS(allorders!O:O,allorders!L:L,'数据处理(仓储使用)'!$A536,allorders!$AG:$AG,"&lt;="&amp;日期!#REF!,allorders!$AG:$AG,"&gt;="&amp;日期!#REF!)</f>
        <v>0</v>
      </c>
      <c r="C536" t="e">
        <f>B536/(日期!#REF!-日期!#REF!+1)</f>
        <v>#REF!</v>
      </c>
    </row>
    <row r="537" spans="2:3">
      <c r="B537">
        <f>SUMIFS(allorders!O:O,allorders!L:L,'数据处理(仓储使用)'!$A537,allorders!$AG:$AG,"&lt;="&amp;日期!#REF!,allorders!$AG:$AG,"&gt;="&amp;日期!#REF!)</f>
        <v>0</v>
      </c>
      <c r="C537" t="e">
        <f>B537/(日期!#REF!-日期!#REF!+1)</f>
        <v>#REF!</v>
      </c>
    </row>
    <row r="538" spans="2:3">
      <c r="B538">
        <f>SUMIFS(allorders!O:O,allorders!L:L,'数据处理(仓储使用)'!$A538,allorders!$AG:$AG,"&lt;="&amp;日期!#REF!,allorders!$AG:$AG,"&gt;="&amp;日期!#REF!)</f>
        <v>0</v>
      </c>
      <c r="C538" t="e">
        <f>B538/(日期!#REF!-日期!#REF!+1)</f>
        <v>#REF!</v>
      </c>
    </row>
    <row r="539" spans="2:3">
      <c r="B539">
        <f>SUMIFS(allorders!O:O,allorders!L:L,'数据处理(仓储使用)'!$A539,allorders!$AG:$AG,"&lt;="&amp;日期!#REF!,allorders!$AG:$AG,"&gt;="&amp;日期!#REF!)</f>
        <v>0</v>
      </c>
      <c r="C539" t="e">
        <f>B539/(日期!#REF!-日期!#REF!+1)</f>
        <v>#REF!</v>
      </c>
    </row>
    <row r="540" spans="2:3">
      <c r="B540">
        <f>SUMIFS(allorders!O:O,allorders!L:L,'数据处理(仓储使用)'!$A540,allorders!$AG:$AG,"&lt;="&amp;日期!#REF!,allorders!$AG:$AG,"&gt;="&amp;日期!#REF!)</f>
        <v>0</v>
      </c>
      <c r="C540" t="e">
        <f>B540/(日期!#REF!-日期!#REF!+1)</f>
        <v>#REF!</v>
      </c>
    </row>
    <row r="541" spans="2:3">
      <c r="B541">
        <f>SUMIFS(allorders!O:O,allorders!L:L,'数据处理(仓储使用)'!$A541,allorders!$AG:$AG,"&lt;="&amp;日期!#REF!,allorders!$AG:$AG,"&gt;="&amp;日期!#REF!)</f>
        <v>0</v>
      </c>
      <c r="C541" t="e">
        <f>B541/(日期!#REF!-日期!#REF!+1)</f>
        <v>#REF!</v>
      </c>
    </row>
    <row r="542" spans="2:3">
      <c r="B542">
        <f>SUMIFS(allorders!O:O,allorders!L:L,'数据处理(仓储使用)'!$A542,allorders!$AG:$AG,"&lt;="&amp;日期!#REF!,allorders!$AG:$AG,"&gt;="&amp;日期!#REF!)</f>
        <v>0</v>
      </c>
      <c r="C542" t="e">
        <f>B542/(日期!#REF!-日期!#REF!+1)</f>
        <v>#REF!</v>
      </c>
    </row>
    <row r="543" spans="2:3">
      <c r="B543">
        <f>SUMIFS(allorders!O:O,allorders!L:L,'数据处理(仓储使用)'!$A543,allorders!$AG:$AG,"&lt;="&amp;日期!#REF!,allorders!$AG:$AG,"&gt;="&amp;日期!#REF!)</f>
        <v>0</v>
      </c>
      <c r="C543" t="e">
        <f>B543/(日期!#REF!-日期!#REF!+1)</f>
        <v>#REF!</v>
      </c>
    </row>
    <row r="544" spans="2:3">
      <c r="B544">
        <f>SUMIFS(allorders!O:O,allorders!L:L,'数据处理(仓储使用)'!$A544,allorders!$AG:$AG,"&lt;="&amp;日期!#REF!,allorders!$AG:$AG,"&gt;="&amp;日期!#REF!)</f>
        <v>0</v>
      </c>
      <c r="C544" t="e">
        <f>B544/(日期!#REF!-日期!#REF!+1)</f>
        <v>#REF!</v>
      </c>
    </row>
    <row r="545" spans="2:3">
      <c r="B545">
        <f>SUMIFS(allorders!O:O,allorders!L:L,'数据处理(仓储使用)'!$A545,allorders!$AG:$AG,"&lt;="&amp;日期!#REF!,allorders!$AG:$AG,"&gt;="&amp;日期!#REF!)</f>
        <v>0</v>
      </c>
      <c r="C545" t="e">
        <f>B545/(日期!#REF!-日期!#REF!+1)</f>
        <v>#REF!</v>
      </c>
    </row>
    <row r="546" spans="2:3">
      <c r="B546">
        <f>SUMIFS(allorders!O:O,allorders!L:L,'数据处理(仓储使用)'!$A546,allorders!$AG:$AG,"&lt;="&amp;日期!#REF!,allorders!$AG:$AG,"&gt;="&amp;日期!#REF!)</f>
        <v>0</v>
      </c>
      <c r="C546" t="e">
        <f>B546/(日期!#REF!-日期!#REF!+1)</f>
        <v>#REF!</v>
      </c>
    </row>
    <row r="547" spans="2:3">
      <c r="B547">
        <f>SUMIFS(allorders!O:O,allorders!L:L,'数据处理(仓储使用)'!$A547,allorders!$AG:$AG,"&lt;="&amp;日期!#REF!,allorders!$AG:$AG,"&gt;="&amp;日期!#REF!)</f>
        <v>0</v>
      </c>
      <c r="C547" t="e">
        <f>B547/(日期!#REF!-日期!#REF!+1)</f>
        <v>#REF!</v>
      </c>
    </row>
    <row r="548" spans="2:3">
      <c r="B548">
        <f>SUMIFS(allorders!O:O,allorders!L:L,'数据处理(仓储使用)'!$A548,allorders!$AG:$AG,"&lt;="&amp;日期!#REF!,allorders!$AG:$AG,"&gt;="&amp;日期!#REF!)</f>
        <v>0</v>
      </c>
      <c r="C548" t="e">
        <f>B548/(日期!#REF!-日期!#REF!+1)</f>
        <v>#REF!</v>
      </c>
    </row>
    <row r="549" spans="2:3">
      <c r="B549">
        <f>SUMIFS(allorders!O:O,allorders!L:L,'数据处理(仓储使用)'!$A549,allorders!$AG:$AG,"&lt;="&amp;日期!#REF!,allorders!$AG:$AG,"&gt;="&amp;日期!#REF!)</f>
        <v>0</v>
      </c>
      <c r="C549" t="e">
        <f>B549/(日期!#REF!-日期!#REF!+1)</f>
        <v>#REF!</v>
      </c>
    </row>
    <row r="550" spans="2:3">
      <c r="B550">
        <f>SUMIFS(allorders!O:O,allorders!L:L,'数据处理(仓储使用)'!$A550,allorders!$AG:$AG,"&lt;="&amp;日期!#REF!,allorders!$AG:$AG,"&gt;="&amp;日期!#REF!)</f>
        <v>0</v>
      </c>
      <c r="C550" t="e">
        <f>B550/(日期!#REF!-日期!#REF!+1)</f>
        <v>#REF!</v>
      </c>
    </row>
    <row r="551" spans="2:3">
      <c r="B551">
        <f>SUMIFS(allorders!O:O,allorders!L:L,'数据处理(仓储使用)'!$A551,allorders!$AG:$AG,"&lt;="&amp;日期!#REF!,allorders!$AG:$AG,"&gt;="&amp;日期!#REF!)</f>
        <v>0</v>
      </c>
      <c r="C551" t="e">
        <f>B551/(日期!#REF!-日期!#REF!+1)</f>
        <v>#REF!</v>
      </c>
    </row>
    <row r="552" spans="2:3">
      <c r="B552">
        <f>SUMIFS(allorders!O:O,allorders!L:L,'数据处理(仓储使用)'!$A552,allorders!$AG:$AG,"&lt;="&amp;日期!#REF!,allorders!$AG:$AG,"&gt;="&amp;日期!#REF!)</f>
        <v>0</v>
      </c>
      <c r="C552" t="e">
        <f>B552/(日期!#REF!-日期!#REF!+1)</f>
        <v>#REF!</v>
      </c>
    </row>
    <row r="553" spans="2:3">
      <c r="B553">
        <f>SUMIFS(allorders!O:O,allorders!L:L,'数据处理(仓储使用)'!$A553,allorders!$AG:$AG,"&lt;="&amp;日期!#REF!,allorders!$AG:$AG,"&gt;="&amp;日期!#REF!)</f>
        <v>0</v>
      </c>
      <c r="C553" t="e">
        <f>B553/(日期!#REF!-日期!#REF!+1)</f>
        <v>#REF!</v>
      </c>
    </row>
    <row r="554" spans="2:3">
      <c r="B554">
        <f>SUMIFS(allorders!O:O,allorders!L:L,'数据处理(仓储使用)'!$A554,allorders!$AG:$AG,"&lt;="&amp;日期!#REF!,allorders!$AG:$AG,"&gt;="&amp;日期!#REF!)</f>
        <v>0</v>
      </c>
      <c r="C554" t="e">
        <f>B554/(日期!#REF!-日期!#REF!+1)</f>
        <v>#REF!</v>
      </c>
    </row>
    <row r="555" spans="2:3">
      <c r="B555">
        <f>SUMIFS(allorders!O:O,allorders!L:L,'数据处理(仓储使用)'!$A555,allorders!$AG:$AG,"&lt;="&amp;日期!#REF!,allorders!$AG:$AG,"&gt;="&amp;日期!#REF!)</f>
        <v>0</v>
      </c>
      <c r="C555" t="e">
        <f>B555/(日期!#REF!-日期!#REF!+1)</f>
        <v>#REF!</v>
      </c>
    </row>
    <row r="556" spans="2:3">
      <c r="B556">
        <f>SUMIFS(allorders!O:O,allorders!L:L,'数据处理(仓储使用)'!$A556,allorders!$AG:$AG,"&lt;="&amp;日期!#REF!,allorders!$AG:$AG,"&gt;="&amp;日期!#REF!)</f>
        <v>0</v>
      </c>
      <c r="C556" t="e">
        <f>B556/(日期!#REF!-日期!#REF!+1)</f>
        <v>#REF!</v>
      </c>
    </row>
    <row r="557" spans="2:3">
      <c r="B557">
        <f>SUMIFS(allorders!O:O,allorders!L:L,'数据处理(仓储使用)'!$A557,allorders!$AG:$AG,"&lt;="&amp;日期!#REF!,allorders!$AG:$AG,"&gt;="&amp;日期!#REF!)</f>
        <v>0</v>
      </c>
      <c r="C557" t="e">
        <f>B557/(日期!#REF!-日期!#REF!+1)</f>
        <v>#REF!</v>
      </c>
    </row>
    <row r="558" spans="2:3">
      <c r="B558">
        <f>SUMIFS(allorders!O:O,allorders!L:L,'数据处理(仓储使用)'!$A558,allorders!$AG:$AG,"&lt;="&amp;日期!#REF!,allorders!$AG:$AG,"&gt;="&amp;日期!#REF!)</f>
        <v>0</v>
      </c>
      <c r="C558" t="e">
        <f>B558/(日期!#REF!-日期!#REF!+1)</f>
        <v>#REF!</v>
      </c>
    </row>
    <row r="559" spans="2:3">
      <c r="B559">
        <f>SUMIFS(allorders!O:O,allorders!L:L,'数据处理(仓储使用)'!$A559,allorders!$AG:$AG,"&lt;="&amp;日期!#REF!,allorders!$AG:$AG,"&gt;="&amp;日期!#REF!)</f>
        <v>0</v>
      </c>
      <c r="C559" t="e">
        <f>B559/(日期!#REF!-日期!#REF!+1)</f>
        <v>#REF!</v>
      </c>
    </row>
    <row r="560" spans="2:3">
      <c r="B560">
        <f>SUMIFS(allorders!O:O,allorders!L:L,'数据处理(仓储使用)'!$A560,allorders!$AG:$AG,"&lt;="&amp;日期!#REF!,allorders!$AG:$AG,"&gt;="&amp;日期!#REF!)</f>
        <v>0</v>
      </c>
      <c r="C560" t="e">
        <f>B560/(日期!#REF!-日期!#REF!+1)</f>
        <v>#REF!</v>
      </c>
    </row>
    <row r="561" spans="2:3">
      <c r="B561">
        <f>SUMIFS(allorders!O:O,allorders!L:L,'数据处理(仓储使用)'!$A561,allorders!$AG:$AG,"&lt;="&amp;日期!#REF!,allorders!$AG:$AG,"&gt;="&amp;日期!#REF!)</f>
        <v>0</v>
      </c>
      <c r="C561" t="e">
        <f>B561/(日期!#REF!-日期!#REF!+1)</f>
        <v>#REF!</v>
      </c>
    </row>
    <row r="562" spans="2:3">
      <c r="B562">
        <f>SUMIFS(allorders!O:O,allorders!L:L,'数据处理(仓储使用)'!$A562,allorders!$AG:$AG,"&lt;="&amp;日期!#REF!,allorders!$AG:$AG,"&gt;="&amp;日期!#REF!)</f>
        <v>0</v>
      </c>
      <c r="C562" t="e">
        <f>B562/(日期!#REF!-日期!#REF!+1)</f>
        <v>#REF!</v>
      </c>
    </row>
    <row r="563" spans="2:3">
      <c r="B563">
        <f>SUMIFS(allorders!O:O,allorders!L:L,'数据处理(仓储使用)'!$A563,allorders!$AG:$AG,"&lt;="&amp;日期!#REF!,allorders!$AG:$AG,"&gt;="&amp;日期!#REF!)</f>
        <v>0</v>
      </c>
      <c r="C563" t="e">
        <f>B563/(日期!#REF!-日期!#REF!+1)</f>
        <v>#REF!</v>
      </c>
    </row>
    <row r="564" spans="2:3">
      <c r="B564">
        <f>SUMIFS(allorders!O:O,allorders!L:L,'数据处理(仓储使用)'!$A564,allorders!$AG:$AG,"&lt;="&amp;日期!#REF!,allorders!$AG:$AG,"&gt;="&amp;日期!#REF!)</f>
        <v>0</v>
      </c>
      <c r="C564" t="e">
        <f>B564/(日期!#REF!-日期!#REF!+1)</f>
        <v>#REF!</v>
      </c>
    </row>
    <row r="565" spans="2:3">
      <c r="B565">
        <f>SUMIFS(allorders!O:O,allorders!L:L,'数据处理(仓储使用)'!$A565,allorders!$AG:$AG,"&lt;="&amp;日期!#REF!,allorders!$AG:$AG,"&gt;="&amp;日期!#REF!)</f>
        <v>0</v>
      </c>
      <c r="C565" t="e">
        <f>B565/(日期!#REF!-日期!#REF!+1)</f>
        <v>#REF!</v>
      </c>
    </row>
    <row r="566" spans="2:3">
      <c r="B566">
        <f>SUMIFS(allorders!O:O,allorders!L:L,'数据处理(仓储使用)'!$A566,allorders!$AG:$AG,"&lt;="&amp;日期!#REF!,allorders!$AG:$AG,"&gt;="&amp;日期!#REF!)</f>
        <v>0</v>
      </c>
      <c r="C566" t="e">
        <f>B566/(日期!#REF!-日期!#REF!+1)</f>
        <v>#REF!</v>
      </c>
    </row>
    <row r="567" spans="2:3">
      <c r="B567">
        <f>SUMIFS(allorders!O:O,allorders!L:L,'数据处理(仓储使用)'!$A567,allorders!$AG:$AG,"&lt;="&amp;日期!#REF!,allorders!$AG:$AG,"&gt;="&amp;日期!#REF!)</f>
        <v>0</v>
      </c>
      <c r="C567" t="e">
        <f>B567/(日期!#REF!-日期!#REF!+1)</f>
        <v>#REF!</v>
      </c>
    </row>
    <row r="568" spans="2:3">
      <c r="B568">
        <f>SUMIFS(allorders!O:O,allorders!L:L,'数据处理(仓储使用)'!$A568,allorders!$AG:$AG,"&lt;="&amp;日期!#REF!,allorders!$AG:$AG,"&gt;="&amp;日期!#REF!)</f>
        <v>0</v>
      </c>
      <c r="C568" t="e">
        <f>B568/(日期!#REF!-日期!#REF!+1)</f>
        <v>#REF!</v>
      </c>
    </row>
    <row r="569" spans="2:3">
      <c r="B569">
        <f>SUMIFS(allorders!O:O,allorders!L:L,'数据处理(仓储使用)'!$A569,allorders!$AG:$AG,"&lt;="&amp;日期!#REF!,allorders!$AG:$AG,"&gt;="&amp;日期!#REF!)</f>
        <v>0</v>
      </c>
      <c r="C569" t="e">
        <f>B569/(日期!#REF!-日期!#REF!+1)</f>
        <v>#REF!</v>
      </c>
    </row>
    <row r="570" spans="2:3">
      <c r="B570">
        <f>SUMIFS(allorders!O:O,allorders!L:L,'数据处理(仓储使用)'!$A570,allorders!$AG:$AG,"&lt;="&amp;日期!#REF!,allorders!$AG:$AG,"&gt;="&amp;日期!#REF!)</f>
        <v>0</v>
      </c>
      <c r="C570" t="e">
        <f>B570/(日期!#REF!-日期!#REF!+1)</f>
        <v>#REF!</v>
      </c>
    </row>
    <row r="571" spans="2:3">
      <c r="B571">
        <f>SUMIFS(allorders!O:O,allorders!L:L,'数据处理(仓储使用)'!$A571,allorders!$AG:$AG,"&lt;="&amp;日期!#REF!,allorders!$AG:$AG,"&gt;="&amp;日期!#REF!)</f>
        <v>0</v>
      </c>
      <c r="C571" t="e">
        <f>B571/(日期!#REF!-日期!#REF!+1)</f>
        <v>#REF!</v>
      </c>
    </row>
    <row r="572" spans="2:3">
      <c r="B572">
        <f>SUMIFS(allorders!O:O,allorders!L:L,'数据处理(仓储使用)'!$A572,allorders!$AG:$AG,"&lt;="&amp;日期!#REF!,allorders!$AG:$AG,"&gt;="&amp;日期!#REF!)</f>
        <v>0</v>
      </c>
      <c r="C572" t="e">
        <f>B572/(日期!#REF!-日期!#REF!+1)</f>
        <v>#REF!</v>
      </c>
    </row>
    <row r="573" spans="2:3">
      <c r="B573">
        <f>SUMIFS(allorders!O:O,allorders!L:L,'数据处理(仓储使用)'!$A573,allorders!$AG:$AG,"&lt;="&amp;日期!#REF!,allorders!$AG:$AG,"&gt;="&amp;日期!#REF!)</f>
        <v>0</v>
      </c>
      <c r="C573" t="e">
        <f>B573/(日期!#REF!-日期!#REF!+1)</f>
        <v>#REF!</v>
      </c>
    </row>
    <row r="574" spans="2:3">
      <c r="B574">
        <f>SUMIFS(allorders!O:O,allorders!L:L,'数据处理(仓储使用)'!$A574,allorders!$AG:$AG,"&lt;="&amp;日期!#REF!,allorders!$AG:$AG,"&gt;="&amp;日期!#REF!)</f>
        <v>0</v>
      </c>
      <c r="C574" t="e">
        <f>B574/(日期!#REF!-日期!#REF!+1)</f>
        <v>#REF!</v>
      </c>
    </row>
    <row r="575" spans="2:3">
      <c r="B575">
        <f>SUMIFS(allorders!O:O,allorders!L:L,'数据处理(仓储使用)'!$A575,allorders!$AG:$AG,"&lt;="&amp;日期!#REF!,allorders!$AG:$AG,"&gt;="&amp;日期!#REF!)</f>
        <v>0</v>
      </c>
      <c r="C575" t="e">
        <f>B575/(日期!#REF!-日期!#REF!+1)</f>
        <v>#REF!</v>
      </c>
    </row>
    <row r="576" spans="2:3">
      <c r="B576">
        <f>SUMIFS(allorders!O:O,allorders!L:L,'数据处理(仓储使用)'!$A576,allorders!$AG:$AG,"&lt;="&amp;日期!#REF!,allorders!$AG:$AG,"&gt;="&amp;日期!#REF!)</f>
        <v>0</v>
      </c>
      <c r="C576" t="e">
        <f>B576/(日期!#REF!-日期!#REF!+1)</f>
        <v>#REF!</v>
      </c>
    </row>
    <row r="577" spans="2:3">
      <c r="B577">
        <f>SUMIFS(allorders!O:O,allorders!L:L,'数据处理(仓储使用)'!$A577,allorders!$AG:$AG,"&lt;="&amp;日期!#REF!,allorders!$AG:$AG,"&gt;="&amp;日期!#REF!)</f>
        <v>0</v>
      </c>
      <c r="C577" t="e">
        <f>B577/(日期!#REF!-日期!#REF!+1)</f>
        <v>#REF!</v>
      </c>
    </row>
    <row r="578" spans="2:3">
      <c r="B578">
        <f>SUMIFS(allorders!O:O,allorders!L:L,'数据处理(仓储使用)'!$A578,allorders!$AG:$AG,"&lt;="&amp;日期!#REF!,allorders!$AG:$AG,"&gt;="&amp;日期!#REF!)</f>
        <v>0</v>
      </c>
      <c r="C578" t="e">
        <f>B578/(日期!#REF!-日期!#REF!+1)</f>
        <v>#REF!</v>
      </c>
    </row>
    <row r="579" spans="2:3">
      <c r="B579">
        <f>SUMIFS(allorders!O:O,allorders!L:L,'数据处理(仓储使用)'!$A579,allorders!$AG:$AG,"&lt;="&amp;日期!#REF!,allorders!$AG:$AG,"&gt;="&amp;日期!#REF!)</f>
        <v>0</v>
      </c>
      <c r="C579" t="e">
        <f>B579/(日期!#REF!-日期!#REF!+1)</f>
        <v>#REF!</v>
      </c>
    </row>
    <row r="580" spans="2:3">
      <c r="B580">
        <f>SUMIFS(allorders!O:O,allorders!L:L,'数据处理(仓储使用)'!$A580,allorders!$AG:$AG,"&lt;="&amp;日期!#REF!,allorders!$AG:$AG,"&gt;="&amp;日期!#REF!)</f>
        <v>0</v>
      </c>
      <c r="C580" t="e">
        <f>B580/(日期!#REF!-日期!#REF!+1)</f>
        <v>#REF!</v>
      </c>
    </row>
    <row r="581" spans="2:3">
      <c r="B581">
        <f>SUMIFS(allorders!O:O,allorders!L:L,'数据处理(仓储使用)'!$A581,allorders!$AG:$AG,"&lt;="&amp;日期!#REF!,allorders!$AG:$AG,"&gt;="&amp;日期!#REF!)</f>
        <v>0</v>
      </c>
      <c r="C581" t="e">
        <f>B581/(日期!#REF!-日期!#REF!+1)</f>
        <v>#REF!</v>
      </c>
    </row>
    <row r="582" spans="2:3">
      <c r="B582">
        <f>SUMIFS(allorders!O:O,allorders!L:L,'数据处理(仓储使用)'!$A582,allorders!$AG:$AG,"&lt;="&amp;日期!#REF!,allorders!$AG:$AG,"&gt;="&amp;日期!#REF!)</f>
        <v>0</v>
      </c>
      <c r="C582" t="e">
        <f>B582/(日期!#REF!-日期!#REF!+1)</f>
        <v>#REF!</v>
      </c>
    </row>
    <row r="583" spans="2:3">
      <c r="B583">
        <f>SUMIFS(allorders!O:O,allorders!L:L,'数据处理(仓储使用)'!$A583,allorders!$AG:$AG,"&lt;="&amp;日期!#REF!,allorders!$AG:$AG,"&gt;="&amp;日期!#REF!)</f>
        <v>0</v>
      </c>
      <c r="C583" t="e">
        <f>B583/(日期!#REF!-日期!#REF!+1)</f>
        <v>#REF!</v>
      </c>
    </row>
    <row r="584" spans="2:3">
      <c r="B584">
        <f>SUMIFS(allorders!O:O,allorders!L:L,'数据处理(仓储使用)'!$A584,allorders!$AG:$AG,"&lt;="&amp;日期!#REF!,allorders!$AG:$AG,"&gt;="&amp;日期!#REF!)</f>
        <v>0</v>
      </c>
      <c r="C584" t="e">
        <f>B584/(日期!#REF!-日期!#REF!+1)</f>
        <v>#REF!</v>
      </c>
    </row>
    <row r="585" spans="2:3">
      <c r="B585">
        <f>SUMIFS(allorders!O:O,allorders!L:L,'数据处理(仓储使用)'!$A585,allorders!$AG:$AG,"&lt;="&amp;日期!#REF!,allorders!$AG:$AG,"&gt;="&amp;日期!#REF!)</f>
        <v>0</v>
      </c>
      <c r="C585" t="e">
        <f>B585/(日期!#REF!-日期!#REF!+1)</f>
        <v>#REF!</v>
      </c>
    </row>
    <row r="586" spans="2:3">
      <c r="B586">
        <f>SUMIFS(allorders!O:O,allorders!L:L,'数据处理(仓储使用)'!$A586,allorders!$AG:$AG,"&lt;="&amp;日期!#REF!,allorders!$AG:$AG,"&gt;="&amp;日期!#REF!)</f>
        <v>0</v>
      </c>
      <c r="C586" t="e">
        <f>B586/(日期!#REF!-日期!#REF!+1)</f>
        <v>#REF!</v>
      </c>
    </row>
    <row r="587" spans="2:3">
      <c r="B587">
        <f>SUMIFS(allorders!O:O,allorders!L:L,'数据处理(仓储使用)'!$A587,allorders!$AG:$AG,"&lt;="&amp;日期!#REF!,allorders!$AG:$AG,"&gt;="&amp;日期!#REF!)</f>
        <v>0</v>
      </c>
      <c r="C587" t="e">
        <f>B587/(日期!#REF!-日期!#REF!+1)</f>
        <v>#REF!</v>
      </c>
    </row>
    <row r="588" spans="2:3">
      <c r="B588">
        <f>SUMIFS(allorders!O:O,allorders!L:L,'数据处理(仓储使用)'!$A588,allorders!$AG:$AG,"&lt;="&amp;日期!#REF!,allorders!$AG:$AG,"&gt;="&amp;日期!#REF!)</f>
        <v>0</v>
      </c>
      <c r="C588" t="e">
        <f>B588/(日期!#REF!-日期!#REF!+1)</f>
        <v>#REF!</v>
      </c>
    </row>
    <row r="589" spans="2:3">
      <c r="B589">
        <f>SUMIFS(allorders!O:O,allorders!L:L,'数据处理(仓储使用)'!$A589,allorders!$AG:$AG,"&lt;="&amp;日期!#REF!,allorders!$AG:$AG,"&gt;="&amp;日期!#REF!)</f>
        <v>0</v>
      </c>
      <c r="C589" t="e">
        <f>B589/(日期!#REF!-日期!#REF!+1)</f>
        <v>#REF!</v>
      </c>
    </row>
    <row r="590" spans="2:3">
      <c r="B590">
        <f>SUMIFS(allorders!O:O,allorders!L:L,'数据处理(仓储使用)'!$A590,allorders!$AG:$AG,"&lt;="&amp;日期!#REF!,allorders!$AG:$AG,"&gt;="&amp;日期!#REF!)</f>
        <v>0</v>
      </c>
      <c r="C590" t="e">
        <f>B590/(日期!#REF!-日期!#REF!+1)</f>
        <v>#REF!</v>
      </c>
    </row>
    <row r="591" spans="2:3">
      <c r="B591">
        <f>SUMIFS(allorders!O:O,allorders!L:L,'数据处理(仓储使用)'!$A591,allorders!$AG:$AG,"&lt;="&amp;日期!#REF!,allorders!$AG:$AG,"&gt;="&amp;日期!#REF!)</f>
        <v>0</v>
      </c>
      <c r="C591" t="e">
        <f>B591/(日期!#REF!-日期!#REF!+1)</f>
        <v>#REF!</v>
      </c>
    </row>
    <row r="592" spans="2:3">
      <c r="B592">
        <f>SUMIFS(allorders!O:O,allorders!L:L,'数据处理(仓储使用)'!$A592,allorders!$AG:$AG,"&lt;="&amp;日期!#REF!,allorders!$AG:$AG,"&gt;="&amp;日期!#REF!)</f>
        <v>0</v>
      </c>
      <c r="C592" t="e">
        <f>B592/(日期!#REF!-日期!#REF!+1)</f>
        <v>#REF!</v>
      </c>
    </row>
    <row r="593" spans="2:3">
      <c r="B593">
        <f>SUMIFS(allorders!O:O,allorders!L:L,'数据处理(仓储使用)'!$A593,allorders!$AG:$AG,"&lt;="&amp;日期!#REF!,allorders!$AG:$AG,"&gt;="&amp;日期!#REF!)</f>
        <v>0</v>
      </c>
      <c r="C593" t="e">
        <f>B593/(日期!#REF!-日期!#REF!+1)</f>
        <v>#REF!</v>
      </c>
    </row>
    <row r="594" spans="2:3">
      <c r="B594">
        <f>SUMIFS(allorders!O:O,allorders!L:L,'数据处理(仓储使用)'!$A594,allorders!$AG:$AG,"&lt;="&amp;日期!#REF!,allorders!$AG:$AG,"&gt;="&amp;日期!#REF!)</f>
        <v>0</v>
      </c>
      <c r="C594" t="e">
        <f>B594/(日期!#REF!-日期!#REF!+1)</f>
        <v>#REF!</v>
      </c>
    </row>
    <row r="595" spans="2:3">
      <c r="B595">
        <f>SUMIFS(allorders!O:O,allorders!L:L,'数据处理(仓储使用)'!$A595,allorders!$AG:$AG,"&lt;="&amp;日期!#REF!,allorders!$AG:$AG,"&gt;="&amp;日期!#REF!)</f>
        <v>0</v>
      </c>
      <c r="C595" t="e">
        <f>B595/(日期!#REF!-日期!#REF!+1)</f>
        <v>#REF!</v>
      </c>
    </row>
    <row r="596" spans="2:3">
      <c r="B596">
        <f>SUMIFS(allorders!O:O,allorders!L:L,'数据处理(仓储使用)'!$A596,allorders!$AG:$AG,"&lt;="&amp;日期!#REF!,allorders!$AG:$AG,"&gt;="&amp;日期!#REF!)</f>
        <v>0</v>
      </c>
      <c r="C596" t="e">
        <f>B596/(日期!#REF!-日期!#REF!+1)</f>
        <v>#REF!</v>
      </c>
    </row>
    <row r="597" spans="2:3">
      <c r="B597">
        <f>SUMIFS(allorders!O:O,allorders!L:L,'数据处理(仓储使用)'!$A597,allorders!$AG:$AG,"&lt;="&amp;日期!#REF!,allorders!$AG:$AG,"&gt;="&amp;日期!#REF!)</f>
        <v>0</v>
      </c>
      <c r="C597" t="e">
        <f>B597/(日期!#REF!-日期!#REF!+1)</f>
        <v>#REF!</v>
      </c>
    </row>
    <row r="598" spans="2:3">
      <c r="B598">
        <f>SUMIFS(allorders!O:O,allorders!L:L,'数据处理(仓储使用)'!$A598,allorders!$AG:$AG,"&lt;="&amp;日期!#REF!,allorders!$AG:$AG,"&gt;="&amp;日期!#REF!)</f>
        <v>0</v>
      </c>
      <c r="C598" t="e">
        <f>B598/(日期!#REF!-日期!#REF!+1)</f>
        <v>#REF!</v>
      </c>
    </row>
    <row r="599" spans="2:3">
      <c r="B599">
        <f>SUMIFS(allorders!O:O,allorders!L:L,'数据处理(仓储使用)'!$A599,allorders!$AG:$AG,"&lt;="&amp;日期!#REF!,allorders!$AG:$AG,"&gt;="&amp;日期!#REF!)</f>
        <v>0</v>
      </c>
      <c r="C599" t="e">
        <f>B599/(日期!#REF!-日期!#REF!+1)</f>
        <v>#REF!</v>
      </c>
    </row>
    <row r="600" spans="2:3">
      <c r="B600">
        <f>SUMIFS(allorders!O:O,allorders!L:L,'数据处理(仓储使用)'!$A600,allorders!$AG:$AG,"&lt;="&amp;日期!#REF!,allorders!$AG:$AG,"&gt;="&amp;日期!#REF!)</f>
        <v>0</v>
      </c>
      <c r="C600" t="e">
        <f>B600/(日期!#REF!-日期!#REF!+1)</f>
        <v>#REF!</v>
      </c>
    </row>
    <row r="601" spans="2:3">
      <c r="B601">
        <f>SUMIFS(allorders!O:O,allorders!L:L,'数据处理(仓储使用)'!$A601,allorders!$AG:$AG,"&lt;="&amp;日期!#REF!,allorders!$AG:$AG,"&gt;="&amp;日期!#REF!)</f>
        <v>0</v>
      </c>
      <c r="C601" t="e">
        <f>B601/(日期!#REF!-日期!#REF!+1)</f>
        <v>#REF!</v>
      </c>
    </row>
    <row r="602" spans="2:3">
      <c r="B602">
        <f>SUMIFS(allorders!O:O,allorders!L:L,'数据处理(仓储使用)'!$A602,allorders!$AG:$AG,"&lt;="&amp;日期!#REF!,allorders!$AG:$AG,"&gt;="&amp;日期!#REF!)</f>
        <v>0</v>
      </c>
      <c r="C602" t="e">
        <f>B602/(日期!#REF!-日期!#REF!+1)</f>
        <v>#REF!</v>
      </c>
    </row>
    <row r="603" spans="2:3">
      <c r="B603">
        <f>SUMIFS(allorders!O:O,allorders!L:L,'数据处理(仓储使用)'!$A603,allorders!$AG:$AG,"&lt;="&amp;日期!#REF!,allorders!$AG:$AG,"&gt;="&amp;日期!#REF!)</f>
        <v>0</v>
      </c>
      <c r="C603" t="e">
        <f>B603/(日期!#REF!-日期!#REF!+1)</f>
        <v>#REF!</v>
      </c>
    </row>
    <row r="604" spans="2:3">
      <c r="B604">
        <f>SUMIFS(allorders!O:O,allorders!L:L,'数据处理(仓储使用)'!$A604,allorders!$AG:$AG,"&lt;="&amp;日期!#REF!,allorders!$AG:$AG,"&gt;="&amp;日期!#REF!)</f>
        <v>0</v>
      </c>
      <c r="C604" t="e">
        <f>B604/(日期!#REF!-日期!#REF!+1)</f>
        <v>#REF!</v>
      </c>
    </row>
    <row r="605" spans="2:3">
      <c r="B605">
        <f>SUMIFS(allorders!O:O,allorders!L:L,'数据处理(仓储使用)'!$A605,allorders!$AG:$AG,"&lt;="&amp;日期!#REF!,allorders!$AG:$AG,"&gt;="&amp;日期!#REF!)</f>
        <v>0</v>
      </c>
      <c r="C605" t="e">
        <f>B605/(日期!#REF!-日期!#REF!+1)</f>
        <v>#REF!</v>
      </c>
    </row>
    <row r="606" spans="2:3">
      <c r="B606">
        <f>SUMIFS(allorders!O:O,allorders!L:L,'数据处理(仓储使用)'!$A606,allorders!$AG:$AG,"&lt;="&amp;日期!#REF!,allorders!$AG:$AG,"&gt;="&amp;日期!#REF!)</f>
        <v>0</v>
      </c>
      <c r="C606" t="e">
        <f>B606/(日期!#REF!-日期!#REF!+1)</f>
        <v>#REF!</v>
      </c>
    </row>
    <row r="607" spans="2:3">
      <c r="B607">
        <f>SUMIFS(allorders!O:O,allorders!L:L,'数据处理(仓储使用)'!$A607,allorders!$AG:$AG,"&lt;="&amp;日期!#REF!,allorders!$AG:$AG,"&gt;="&amp;日期!#REF!)</f>
        <v>0</v>
      </c>
      <c r="C607" t="e">
        <f>B607/(日期!#REF!-日期!#REF!+1)</f>
        <v>#REF!</v>
      </c>
    </row>
    <row r="608" spans="2:3">
      <c r="B608">
        <f>SUMIFS(allorders!O:O,allorders!L:L,'数据处理(仓储使用)'!$A608,allorders!$AG:$AG,"&lt;="&amp;日期!#REF!,allorders!$AG:$AG,"&gt;="&amp;日期!#REF!)</f>
        <v>0</v>
      </c>
      <c r="C608" t="e">
        <f>B608/(日期!#REF!-日期!#REF!+1)</f>
        <v>#REF!</v>
      </c>
    </row>
    <row r="609" spans="2:3">
      <c r="B609">
        <f>SUMIFS(allorders!O:O,allorders!L:L,'数据处理(仓储使用)'!$A609,allorders!$AG:$AG,"&lt;="&amp;日期!#REF!,allorders!$AG:$AG,"&gt;="&amp;日期!#REF!)</f>
        <v>0</v>
      </c>
      <c r="C609" t="e">
        <f>B609/(日期!#REF!-日期!#REF!+1)</f>
        <v>#REF!</v>
      </c>
    </row>
    <row r="610" spans="2:3">
      <c r="B610">
        <f>SUMIFS(allorders!O:O,allorders!L:L,'数据处理(仓储使用)'!$A610,allorders!$AG:$AG,"&lt;="&amp;日期!#REF!,allorders!$AG:$AG,"&gt;="&amp;日期!#REF!)</f>
        <v>0</v>
      </c>
      <c r="C610" t="e">
        <f>B610/(日期!#REF!-日期!#REF!+1)</f>
        <v>#REF!</v>
      </c>
    </row>
    <row r="611" spans="2:3">
      <c r="B611">
        <f>SUMIFS(allorders!O:O,allorders!L:L,'数据处理(仓储使用)'!$A611,allorders!$AG:$AG,"&lt;="&amp;日期!#REF!,allorders!$AG:$AG,"&gt;="&amp;日期!#REF!)</f>
        <v>0</v>
      </c>
      <c r="C611" t="e">
        <f>B611/(日期!#REF!-日期!#REF!+1)</f>
        <v>#REF!</v>
      </c>
    </row>
    <row r="612" spans="2:3">
      <c r="B612">
        <f>SUMIFS(allorders!O:O,allorders!L:L,'数据处理(仓储使用)'!$A612,allorders!$AG:$AG,"&lt;="&amp;日期!#REF!,allorders!$AG:$AG,"&gt;="&amp;日期!#REF!)</f>
        <v>0</v>
      </c>
      <c r="C612" t="e">
        <f>B612/(日期!#REF!-日期!#REF!+1)</f>
        <v>#REF!</v>
      </c>
    </row>
    <row r="613" spans="2:3">
      <c r="B613">
        <f>SUMIFS(allorders!O:O,allorders!L:L,'数据处理(仓储使用)'!$A613,allorders!$AG:$AG,"&lt;="&amp;日期!#REF!,allorders!$AG:$AG,"&gt;="&amp;日期!#REF!)</f>
        <v>0</v>
      </c>
      <c r="C613" t="e">
        <f>B613/(日期!#REF!-日期!#REF!+1)</f>
        <v>#REF!</v>
      </c>
    </row>
    <row r="614" spans="2:3">
      <c r="B614">
        <f>SUMIFS(allorders!O:O,allorders!L:L,'数据处理(仓储使用)'!$A614,allorders!$AG:$AG,"&lt;="&amp;日期!#REF!,allorders!$AG:$AG,"&gt;="&amp;日期!#REF!)</f>
        <v>0</v>
      </c>
      <c r="C614" t="e">
        <f>B614/(日期!#REF!-日期!#REF!+1)</f>
        <v>#REF!</v>
      </c>
    </row>
    <row r="615" spans="2:3">
      <c r="B615">
        <f>SUMIFS(allorders!O:O,allorders!L:L,'数据处理(仓储使用)'!$A615,allorders!$AG:$AG,"&lt;="&amp;日期!#REF!,allorders!$AG:$AG,"&gt;="&amp;日期!#REF!)</f>
        <v>0</v>
      </c>
      <c r="C615" t="e">
        <f>B615/(日期!#REF!-日期!#REF!+1)</f>
        <v>#REF!</v>
      </c>
    </row>
    <row r="616" spans="2:3">
      <c r="B616">
        <f>SUMIFS(allorders!O:O,allorders!L:L,'数据处理(仓储使用)'!$A616,allorders!$AG:$AG,"&lt;="&amp;日期!#REF!,allorders!$AG:$AG,"&gt;="&amp;日期!#REF!)</f>
        <v>0</v>
      </c>
      <c r="C616" t="e">
        <f>B616/(日期!#REF!-日期!#REF!+1)</f>
        <v>#REF!</v>
      </c>
    </row>
    <row r="617" spans="2:3">
      <c r="B617">
        <f>SUMIFS(allorders!O:O,allorders!L:L,'数据处理(仓储使用)'!$A617,allorders!$AG:$AG,"&lt;="&amp;日期!#REF!,allorders!$AG:$AG,"&gt;="&amp;日期!#REF!)</f>
        <v>0</v>
      </c>
      <c r="C617" t="e">
        <f>B617/(日期!#REF!-日期!#REF!+1)</f>
        <v>#REF!</v>
      </c>
    </row>
    <row r="618" spans="2:3">
      <c r="B618">
        <f>SUMIFS(allorders!O:O,allorders!L:L,'数据处理(仓储使用)'!$A618,allorders!$AG:$AG,"&lt;="&amp;日期!#REF!,allorders!$AG:$AG,"&gt;="&amp;日期!#REF!)</f>
        <v>0</v>
      </c>
      <c r="C618" t="e">
        <f>B618/(日期!#REF!-日期!#REF!+1)</f>
        <v>#REF!</v>
      </c>
    </row>
    <row r="619" spans="2:3">
      <c r="B619">
        <f>SUMIFS(allorders!O:O,allorders!L:L,'数据处理(仓储使用)'!$A619,allorders!$AG:$AG,"&lt;="&amp;日期!#REF!,allorders!$AG:$AG,"&gt;="&amp;日期!#REF!)</f>
        <v>0</v>
      </c>
      <c r="C619" t="e">
        <f>B619/(日期!#REF!-日期!#REF!+1)</f>
        <v>#REF!</v>
      </c>
    </row>
    <row r="620" spans="2:3">
      <c r="B620">
        <f>SUMIFS(allorders!O:O,allorders!L:L,'数据处理(仓储使用)'!$A620,allorders!$AG:$AG,"&lt;="&amp;日期!#REF!,allorders!$AG:$AG,"&gt;="&amp;日期!#REF!)</f>
        <v>0</v>
      </c>
      <c r="C620" t="e">
        <f>B620/(日期!#REF!-日期!#REF!+1)</f>
        <v>#REF!</v>
      </c>
    </row>
    <row r="621" spans="2:3">
      <c r="B621">
        <f>SUMIFS(allorders!O:O,allorders!L:L,'数据处理(仓储使用)'!$A621,allorders!$AG:$AG,"&lt;="&amp;日期!#REF!,allorders!$AG:$AG,"&gt;="&amp;日期!#REF!)</f>
        <v>0</v>
      </c>
      <c r="C621" t="e">
        <f>B621/(日期!#REF!-日期!#REF!+1)</f>
        <v>#REF!</v>
      </c>
    </row>
    <row r="622" spans="2:3">
      <c r="B622">
        <f>SUMIFS(allorders!O:O,allorders!L:L,'数据处理(仓储使用)'!$A622,allorders!$AG:$AG,"&lt;="&amp;日期!#REF!,allorders!$AG:$AG,"&gt;="&amp;日期!#REF!)</f>
        <v>0</v>
      </c>
      <c r="C622" t="e">
        <f>B622/(日期!#REF!-日期!#REF!+1)</f>
        <v>#REF!</v>
      </c>
    </row>
    <row r="623" spans="2:3">
      <c r="B623">
        <f>SUMIFS(allorders!O:O,allorders!L:L,'数据处理(仓储使用)'!$A623,allorders!$AG:$AG,"&lt;="&amp;日期!#REF!,allorders!$AG:$AG,"&gt;="&amp;日期!#REF!)</f>
        <v>0</v>
      </c>
      <c r="C623" t="e">
        <f>B623/(日期!#REF!-日期!#REF!+1)</f>
        <v>#REF!</v>
      </c>
    </row>
    <row r="624" spans="2:3">
      <c r="B624">
        <f>SUMIFS(allorders!O:O,allorders!L:L,'数据处理(仓储使用)'!$A624,allorders!$AG:$AG,"&lt;="&amp;日期!#REF!,allorders!$AG:$AG,"&gt;="&amp;日期!#REF!)</f>
        <v>0</v>
      </c>
      <c r="C624" t="e">
        <f>B624/(日期!#REF!-日期!#REF!+1)</f>
        <v>#REF!</v>
      </c>
    </row>
    <row r="625" spans="2:3">
      <c r="B625">
        <f>SUMIFS(allorders!O:O,allorders!L:L,'数据处理(仓储使用)'!$A625,allorders!$AG:$AG,"&lt;="&amp;日期!#REF!,allorders!$AG:$AG,"&gt;="&amp;日期!#REF!)</f>
        <v>0</v>
      </c>
      <c r="C625" t="e">
        <f>B625/(日期!#REF!-日期!#REF!+1)</f>
        <v>#REF!</v>
      </c>
    </row>
    <row r="626" spans="2:3">
      <c r="B626">
        <f>SUMIFS(allorders!O:O,allorders!L:L,'数据处理(仓储使用)'!$A626,allorders!$AG:$AG,"&lt;="&amp;日期!#REF!,allorders!$AG:$AG,"&gt;="&amp;日期!#REF!)</f>
        <v>0</v>
      </c>
      <c r="C626" t="e">
        <f>B626/(日期!#REF!-日期!#REF!+1)</f>
        <v>#REF!</v>
      </c>
    </row>
    <row r="627" spans="2:3">
      <c r="B627">
        <f>SUMIFS(allorders!O:O,allorders!L:L,'数据处理(仓储使用)'!$A627,allorders!$AG:$AG,"&lt;="&amp;日期!#REF!,allorders!$AG:$AG,"&gt;="&amp;日期!#REF!)</f>
        <v>0</v>
      </c>
      <c r="C627" t="e">
        <f>B627/(日期!#REF!-日期!#REF!+1)</f>
        <v>#REF!</v>
      </c>
    </row>
    <row r="628" spans="2:3">
      <c r="B628">
        <f>SUMIFS(allorders!O:O,allorders!L:L,'数据处理(仓储使用)'!$A628,allorders!$AG:$AG,"&lt;="&amp;日期!#REF!,allorders!$AG:$AG,"&gt;="&amp;日期!#REF!)</f>
        <v>0</v>
      </c>
      <c r="C628" t="e">
        <f>B628/(日期!#REF!-日期!#REF!+1)</f>
        <v>#REF!</v>
      </c>
    </row>
    <row r="629" spans="2:3">
      <c r="B629">
        <f>SUMIFS(allorders!O:O,allorders!L:L,'数据处理(仓储使用)'!$A629,allorders!$AG:$AG,"&lt;="&amp;日期!#REF!,allorders!$AG:$AG,"&gt;="&amp;日期!#REF!)</f>
        <v>0</v>
      </c>
      <c r="C629" t="e">
        <f>B629/(日期!#REF!-日期!#REF!+1)</f>
        <v>#REF!</v>
      </c>
    </row>
    <row r="630" spans="2:3">
      <c r="B630">
        <f>SUMIFS(allorders!O:O,allorders!L:L,'数据处理(仓储使用)'!$A630,allorders!$AG:$AG,"&lt;="&amp;日期!#REF!,allorders!$AG:$AG,"&gt;="&amp;日期!#REF!)</f>
        <v>0</v>
      </c>
      <c r="C630" t="e">
        <f>B630/(日期!#REF!-日期!#REF!+1)</f>
        <v>#REF!</v>
      </c>
    </row>
    <row r="631" spans="2:3">
      <c r="B631">
        <f>SUMIFS(allorders!O:O,allorders!L:L,'数据处理(仓储使用)'!$A631,allorders!$AG:$AG,"&lt;="&amp;日期!#REF!,allorders!$AG:$AG,"&gt;="&amp;日期!#REF!)</f>
        <v>0</v>
      </c>
      <c r="C631" t="e">
        <f>B631/(日期!#REF!-日期!#REF!+1)</f>
        <v>#REF!</v>
      </c>
    </row>
    <row r="632" spans="2:3">
      <c r="B632">
        <f>SUMIFS(allorders!O:O,allorders!L:L,'数据处理(仓储使用)'!$A632,allorders!$AG:$AG,"&lt;="&amp;日期!#REF!,allorders!$AG:$AG,"&gt;="&amp;日期!#REF!)</f>
        <v>0</v>
      </c>
      <c r="C632" t="e">
        <f>B632/(日期!#REF!-日期!#REF!+1)</f>
        <v>#REF!</v>
      </c>
    </row>
    <row r="633" spans="2:3">
      <c r="B633">
        <f>SUMIFS(allorders!O:O,allorders!L:L,'数据处理(仓储使用)'!$A633,allorders!$AG:$AG,"&lt;="&amp;日期!#REF!,allorders!$AG:$AG,"&gt;="&amp;日期!#REF!)</f>
        <v>0</v>
      </c>
      <c r="C633" t="e">
        <f>B633/(日期!#REF!-日期!#REF!+1)</f>
        <v>#REF!</v>
      </c>
    </row>
    <row r="634" spans="2:3">
      <c r="B634">
        <f>SUMIFS(allorders!O:O,allorders!L:L,'数据处理(仓储使用)'!$A634,allorders!$AG:$AG,"&lt;="&amp;日期!#REF!,allorders!$AG:$AG,"&gt;="&amp;日期!#REF!)</f>
        <v>0</v>
      </c>
      <c r="C634" t="e">
        <f>B634/(日期!#REF!-日期!#REF!+1)</f>
        <v>#REF!</v>
      </c>
    </row>
    <row r="635" spans="2:3">
      <c r="B635">
        <f>SUMIFS(allorders!O:O,allorders!L:L,'数据处理(仓储使用)'!$A635,allorders!$AG:$AG,"&lt;="&amp;日期!#REF!,allorders!$AG:$AG,"&gt;="&amp;日期!#REF!)</f>
        <v>0</v>
      </c>
      <c r="C635" t="e">
        <f>B635/(日期!#REF!-日期!#REF!+1)</f>
        <v>#REF!</v>
      </c>
    </row>
    <row r="636" spans="2:3">
      <c r="B636">
        <f>SUMIFS(allorders!O:O,allorders!L:L,'数据处理(仓储使用)'!$A636,allorders!$AG:$AG,"&lt;="&amp;日期!#REF!,allorders!$AG:$AG,"&gt;="&amp;日期!#REF!)</f>
        <v>0</v>
      </c>
      <c r="C636" t="e">
        <f>B636/(日期!#REF!-日期!#REF!+1)</f>
        <v>#REF!</v>
      </c>
    </row>
    <row r="637" spans="2:3">
      <c r="B637">
        <f>SUMIFS(allorders!O:O,allorders!L:L,'数据处理(仓储使用)'!$A637,allorders!$AG:$AG,"&lt;="&amp;日期!#REF!,allorders!$AG:$AG,"&gt;="&amp;日期!#REF!)</f>
        <v>0</v>
      </c>
      <c r="C637" t="e">
        <f>B637/(日期!#REF!-日期!#REF!+1)</f>
        <v>#REF!</v>
      </c>
    </row>
    <row r="638" spans="2:3">
      <c r="B638">
        <f>SUMIFS(allorders!O:O,allorders!L:L,'数据处理(仓储使用)'!$A638,allorders!$AG:$AG,"&lt;="&amp;日期!#REF!,allorders!$AG:$AG,"&gt;="&amp;日期!#REF!)</f>
        <v>0</v>
      </c>
      <c r="C638" t="e">
        <f>B638/(日期!#REF!-日期!#REF!+1)</f>
        <v>#REF!</v>
      </c>
    </row>
    <row r="639" spans="2:3">
      <c r="B639">
        <f>SUMIFS(allorders!O:O,allorders!L:L,'数据处理(仓储使用)'!$A639,allorders!$AG:$AG,"&lt;="&amp;日期!#REF!,allorders!$AG:$AG,"&gt;="&amp;日期!#REF!)</f>
        <v>0</v>
      </c>
      <c r="C639" t="e">
        <f>B639/(日期!#REF!-日期!#REF!+1)</f>
        <v>#REF!</v>
      </c>
    </row>
    <row r="640" spans="2:3">
      <c r="B640">
        <f>SUMIFS(allorders!O:O,allorders!L:L,'数据处理(仓储使用)'!$A640,allorders!$AG:$AG,"&lt;="&amp;日期!#REF!,allorders!$AG:$AG,"&gt;="&amp;日期!#REF!)</f>
        <v>0</v>
      </c>
      <c r="C640" t="e">
        <f>B640/(日期!#REF!-日期!#REF!+1)</f>
        <v>#REF!</v>
      </c>
    </row>
    <row r="641" spans="2:3">
      <c r="B641">
        <f>SUMIFS(allorders!O:O,allorders!L:L,'数据处理(仓储使用)'!$A641,allorders!$AG:$AG,"&lt;="&amp;日期!#REF!,allorders!$AG:$AG,"&gt;="&amp;日期!#REF!)</f>
        <v>0</v>
      </c>
      <c r="C641" t="e">
        <f>B641/(日期!#REF!-日期!#REF!+1)</f>
        <v>#REF!</v>
      </c>
    </row>
    <row r="642" spans="2:3">
      <c r="B642">
        <f>SUMIFS(allorders!O:O,allorders!L:L,'数据处理(仓储使用)'!$A642,allorders!$AG:$AG,"&lt;="&amp;日期!#REF!,allorders!$AG:$AG,"&gt;="&amp;日期!#REF!)</f>
        <v>0</v>
      </c>
      <c r="C642" t="e">
        <f>B642/(日期!#REF!-日期!#REF!+1)</f>
        <v>#REF!</v>
      </c>
    </row>
    <row r="643" spans="2:3">
      <c r="B643">
        <f>SUMIFS(allorders!O:O,allorders!L:L,'数据处理(仓储使用)'!$A643,allorders!$AG:$AG,"&lt;="&amp;日期!#REF!,allorders!$AG:$AG,"&gt;="&amp;日期!#REF!)</f>
        <v>0</v>
      </c>
      <c r="C643" t="e">
        <f>B643/(日期!#REF!-日期!#REF!+1)</f>
        <v>#REF!</v>
      </c>
    </row>
    <row r="644" spans="2:3">
      <c r="B644">
        <f>SUMIFS(allorders!O:O,allorders!L:L,'数据处理(仓储使用)'!$A644,allorders!$AG:$AG,"&lt;="&amp;日期!#REF!,allorders!$AG:$AG,"&gt;="&amp;日期!#REF!)</f>
        <v>0</v>
      </c>
      <c r="C644" t="e">
        <f>B644/(日期!#REF!-日期!#REF!+1)</f>
        <v>#REF!</v>
      </c>
    </row>
    <row r="645" spans="2:3">
      <c r="B645">
        <f>SUMIFS(allorders!O:O,allorders!L:L,'数据处理(仓储使用)'!$A645,allorders!$AG:$AG,"&lt;="&amp;日期!#REF!,allorders!$AG:$AG,"&gt;="&amp;日期!#REF!)</f>
        <v>0</v>
      </c>
      <c r="C645" t="e">
        <f>B645/(日期!#REF!-日期!#REF!+1)</f>
        <v>#REF!</v>
      </c>
    </row>
    <row r="646" spans="2:3">
      <c r="B646">
        <f>SUMIFS(allorders!O:O,allorders!L:L,'数据处理(仓储使用)'!$A646,allorders!$AG:$AG,"&lt;="&amp;日期!#REF!,allorders!$AG:$AG,"&gt;="&amp;日期!#REF!)</f>
        <v>0</v>
      </c>
      <c r="C646" t="e">
        <f>B646/(日期!#REF!-日期!#REF!+1)</f>
        <v>#REF!</v>
      </c>
    </row>
    <row r="647" spans="2:3">
      <c r="B647">
        <f>SUMIFS(allorders!O:O,allorders!L:L,'数据处理(仓储使用)'!$A647,allorders!$AG:$AG,"&lt;="&amp;日期!#REF!,allorders!$AG:$AG,"&gt;="&amp;日期!#REF!)</f>
        <v>0</v>
      </c>
      <c r="C647" t="e">
        <f>B647/(日期!#REF!-日期!#REF!+1)</f>
        <v>#REF!</v>
      </c>
    </row>
    <row r="648" spans="2:3">
      <c r="B648">
        <f>SUMIFS(allorders!O:O,allorders!L:L,'数据处理(仓储使用)'!$A648,allorders!$AG:$AG,"&lt;="&amp;日期!#REF!,allorders!$AG:$AG,"&gt;="&amp;日期!#REF!)</f>
        <v>0</v>
      </c>
      <c r="C648" t="e">
        <f>B648/(日期!#REF!-日期!#REF!+1)</f>
        <v>#REF!</v>
      </c>
    </row>
    <row r="649" spans="2:3">
      <c r="B649">
        <f>SUMIFS(allorders!O:O,allorders!L:L,'数据处理(仓储使用)'!$A649,allorders!$AG:$AG,"&lt;="&amp;日期!#REF!,allorders!$AG:$AG,"&gt;="&amp;日期!#REF!)</f>
        <v>0</v>
      </c>
      <c r="C649" t="e">
        <f>B649/(日期!#REF!-日期!#REF!+1)</f>
        <v>#REF!</v>
      </c>
    </row>
    <row r="650" spans="2:3">
      <c r="B650">
        <f>SUMIFS(allorders!O:O,allorders!L:L,'数据处理(仓储使用)'!$A650,allorders!$AG:$AG,"&lt;="&amp;日期!#REF!,allorders!$AG:$AG,"&gt;="&amp;日期!#REF!)</f>
        <v>0</v>
      </c>
      <c r="C650" t="e">
        <f>B650/(日期!#REF!-日期!#REF!+1)</f>
        <v>#REF!</v>
      </c>
    </row>
    <row r="651" spans="2:3">
      <c r="B651">
        <f>SUMIFS(allorders!O:O,allorders!L:L,'数据处理(仓储使用)'!$A651,allorders!$AG:$AG,"&lt;="&amp;日期!#REF!,allorders!$AG:$AG,"&gt;="&amp;日期!#REF!)</f>
        <v>0</v>
      </c>
      <c r="C651" t="e">
        <f>B651/(日期!#REF!-日期!#REF!+1)</f>
        <v>#REF!</v>
      </c>
    </row>
    <row r="652" spans="2:3">
      <c r="B652">
        <f>SUMIFS(allorders!O:O,allorders!L:L,'数据处理(仓储使用)'!$A652,allorders!$AG:$AG,"&lt;="&amp;日期!#REF!,allorders!$AG:$AG,"&gt;="&amp;日期!#REF!)</f>
        <v>0</v>
      </c>
      <c r="C652" t="e">
        <f>B652/(日期!#REF!-日期!#REF!+1)</f>
        <v>#REF!</v>
      </c>
    </row>
    <row r="653" spans="2:3">
      <c r="B653">
        <f>SUMIFS(allorders!O:O,allorders!L:L,'数据处理(仓储使用)'!$A653,allorders!$AG:$AG,"&lt;="&amp;日期!#REF!,allorders!$AG:$AG,"&gt;="&amp;日期!#REF!)</f>
        <v>0</v>
      </c>
      <c r="C653" t="e">
        <f>B653/(日期!#REF!-日期!#REF!+1)</f>
        <v>#REF!</v>
      </c>
    </row>
    <row r="654" spans="2:3">
      <c r="B654">
        <f>SUMIFS(allorders!O:O,allorders!L:L,'数据处理(仓储使用)'!$A654,allorders!$AG:$AG,"&lt;="&amp;日期!#REF!,allorders!$AG:$AG,"&gt;="&amp;日期!#REF!)</f>
        <v>0</v>
      </c>
      <c r="C654" t="e">
        <f>B654/(日期!#REF!-日期!#REF!+1)</f>
        <v>#REF!</v>
      </c>
    </row>
    <row r="655" spans="2:3">
      <c r="B655">
        <f>SUMIFS(allorders!O:O,allorders!L:L,'数据处理(仓储使用)'!$A655,allorders!$AG:$AG,"&lt;="&amp;日期!#REF!,allorders!$AG:$AG,"&gt;="&amp;日期!#REF!)</f>
        <v>0</v>
      </c>
      <c r="C655" t="e">
        <f>B655/(日期!#REF!-日期!#REF!+1)</f>
        <v>#REF!</v>
      </c>
    </row>
    <row r="656" spans="2:3">
      <c r="B656">
        <f>SUMIFS(allorders!O:O,allorders!L:L,'数据处理(仓储使用)'!$A656,allorders!$AG:$AG,"&lt;="&amp;日期!#REF!,allorders!$AG:$AG,"&gt;="&amp;日期!#REF!)</f>
        <v>0</v>
      </c>
      <c r="C656" t="e">
        <f>B656/(日期!#REF!-日期!#REF!+1)</f>
        <v>#REF!</v>
      </c>
    </row>
    <row r="657" spans="2:3">
      <c r="B657">
        <f>SUMIFS(allorders!O:O,allorders!L:L,'数据处理(仓储使用)'!$A657,allorders!$AG:$AG,"&lt;="&amp;日期!#REF!,allorders!$AG:$AG,"&gt;="&amp;日期!#REF!)</f>
        <v>0</v>
      </c>
      <c r="C657" t="e">
        <f>B657/(日期!#REF!-日期!#REF!+1)</f>
        <v>#REF!</v>
      </c>
    </row>
    <row r="658" spans="2:3">
      <c r="B658">
        <f>SUMIFS(allorders!O:O,allorders!L:L,'数据处理(仓储使用)'!$A658,allorders!$AG:$AG,"&lt;="&amp;日期!#REF!,allorders!$AG:$AG,"&gt;="&amp;日期!#REF!)</f>
        <v>0</v>
      </c>
      <c r="C658" t="e">
        <f>B658/(日期!#REF!-日期!#REF!+1)</f>
        <v>#REF!</v>
      </c>
    </row>
    <row r="659" spans="2:3">
      <c r="B659">
        <f>SUMIFS(allorders!O:O,allorders!L:L,'数据处理(仓储使用)'!$A659,allorders!$AG:$AG,"&lt;="&amp;日期!#REF!,allorders!$AG:$AG,"&gt;="&amp;日期!#REF!)</f>
        <v>0</v>
      </c>
      <c r="C659" t="e">
        <f>B659/(日期!#REF!-日期!#REF!+1)</f>
        <v>#REF!</v>
      </c>
    </row>
    <row r="660" spans="2:3">
      <c r="B660">
        <f>SUMIFS(allorders!O:O,allorders!L:L,'数据处理(仓储使用)'!$A660,allorders!$AG:$AG,"&lt;="&amp;日期!#REF!,allorders!$AG:$AG,"&gt;="&amp;日期!#REF!)</f>
        <v>0</v>
      </c>
      <c r="C660" t="e">
        <f>B660/(日期!#REF!-日期!#REF!+1)</f>
        <v>#REF!</v>
      </c>
    </row>
    <row r="661" spans="2:3">
      <c r="B661">
        <f>SUMIFS(allorders!O:O,allorders!L:L,'数据处理(仓储使用)'!$A661,allorders!$AG:$AG,"&lt;="&amp;日期!#REF!,allorders!$AG:$AG,"&gt;="&amp;日期!#REF!)</f>
        <v>0</v>
      </c>
      <c r="C661" t="e">
        <f>B661/(日期!#REF!-日期!#REF!+1)</f>
        <v>#REF!</v>
      </c>
    </row>
    <row r="662" spans="2:3">
      <c r="B662">
        <f>SUMIFS(allorders!O:O,allorders!L:L,'数据处理(仓储使用)'!$A662,allorders!$AG:$AG,"&lt;="&amp;日期!#REF!,allorders!$AG:$AG,"&gt;="&amp;日期!#REF!)</f>
        <v>0</v>
      </c>
      <c r="C662" t="e">
        <f>B662/(日期!#REF!-日期!#REF!+1)</f>
        <v>#REF!</v>
      </c>
    </row>
    <row r="663" spans="2:3">
      <c r="B663">
        <f>SUMIFS(allorders!O:O,allorders!L:L,'数据处理(仓储使用)'!$A663,allorders!$AG:$AG,"&lt;="&amp;日期!#REF!,allorders!$AG:$AG,"&gt;="&amp;日期!#REF!)</f>
        <v>0</v>
      </c>
      <c r="C663" t="e">
        <f>B663/(日期!#REF!-日期!#REF!+1)</f>
        <v>#REF!</v>
      </c>
    </row>
    <row r="664" spans="2:3">
      <c r="B664">
        <f>SUMIFS(allorders!O:O,allorders!L:L,'数据处理(仓储使用)'!$A664,allorders!$AG:$AG,"&lt;="&amp;日期!#REF!,allorders!$AG:$AG,"&gt;="&amp;日期!#REF!)</f>
        <v>0</v>
      </c>
      <c r="C664" t="e">
        <f>B664/(日期!#REF!-日期!#REF!+1)</f>
        <v>#REF!</v>
      </c>
    </row>
    <row r="665" spans="2:3">
      <c r="B665">
        <f>SUMIFS(allorders!O:O,allorders!L:L,'数据处理(仓储使用)'!$A665,allorders!$AG:$AG,"&lt;="&amp;日期!#REF!,allorders!$AG:$AG,"&gt;="&amp;日期!#REF!)</f>
        <v>0</v>
      </c>
      <c r="C665" t="e">
        <f>B665/(日期!#REF!-日期!#REF!+1)</f>
        <v>#REF!</v>
      </c>
    </row>
    <row r="666" spans="2:3">
      <c r="B666">
        <f>SUMIFS(allorders!O:O,allorders!L:L,'数据处理(仓储使用)'!$A666,allorders!$AG:$AG,"&lt;="&amp;日期!#REF!,allorders!$AG:$AG,"&gt;="&amp;日期!#REF!)</f>
        <v>0</v>
      </c>
      <c r="C666" t="e">
        <f>B666/(日期!#REF!-日期!#REF!+1)</f>
        <v>#REF!</v>
      </c>
    </row>
    <row r="667" spans="2:3">
      <c r="B667">
        <f>SUMIFS(allorders!O:O,allorders!L:L,'数据处理(仓储使用)'!$A667,allorders!$AG:$AG,"&lt;="&amp;日期!#REF!,allorders!$AG:$AG,"&gt;="&amp;日期!#REF!)</f>
        <v>0</v>
      </c>
      <c r="C667" t="e">
        <f>B667/(日期!#REF!-日期!#REF!+1)</f>
        <v>#REF!</v>
      </c>
    </row>
    <row r="668" spans="2:3">
      <c r="B668">
        <f>SUMIFS(allorders!O:O,allorders!L:L,'数据处理(仓储使用)'!$A668,allorders!$AG:$AG,"&lt;="&amp;日期!#REF!,allorders!$AG:$AG,"&gt;="&amp;日期!#REF!)</f>
        <v>0</v>
      </c>
      <c r="C668" t="e">
        <f>B668/(日期!#REF!-日期!#REF!+1)</f>
        <v>#REF!</v>
      </c>
    </row>
    <row r="669" spans="2:3">
      <c r="B669">
        <f>SUMIFS(allorders!O:O,allorders!L:L,'数据处理(仓储使用)'!$A669,allorders!$AG:$AG,"&lt;="&amp;日期!#REF!,allorders!$AG:$AG,"&gt;="&amp;日期!#REF!)</f>
        <v>0</v>
      </c>
      <c r="C669" t="e">
        <f>B669/(日期!#REF!-日期!#REF!+1)</f>
        <v>#REF!</v>
      </c>
    </row>
    <row r="670" spans="2:3">
      <c r="B670">
        <f>SUMIFS(allorders!O:O,allorders!L:L,'数据处理(仓储使用)'!$A670,allorders!$AG:$AG,"&lt;="&amp;日期!#REF!,allorders!$AG:$AG,"&gt;="&amp;日期!#REF!)</f>
        <v>0</v>
      </c>
      <c r="C670" t="e">
        <f>B670/(日期!#REF!-日期!#REF!+1)</f>
        <v>#REF!</v>
      </c>
    </row>
    <row r="671" spans="2:3">
      <c r="B671">
        <f>SUMIFS(allorders!O:O,allorders!L:L,'数据处理(仓储使用)'!$A671,allorders!$AG:$AG,"&lt;="&amp;日期!#REF!,allorders!$AG:$AG,"&gt;="&amp;日期!#REF!)</f>
        <v>0</v>
      </c>
      <c r="C671" t="e">
        <f>B671/(日期!#REF!-日期!#REF!+1)</f>
        <v>#REF!</v>
      </c>
    </row>
    <row r="672" spans="2:3">
      <c r="B672">
        <f>SUMIFS(allorders!O:O,allorders!L:L,'数据处理(仓储使用)'!$A672,allorders!$AG:$AG,"&lt;="&amp;日期!#REF!,allorders!$AG:$AG,"&gt;="&amp;日期!#REF!)</f>
        <v>0</v>
      </c>
      <c r="C672" t="e">
        <f>B672/(日期!#REF!-日期!#REF!+1)</f>
        <v>#REF!</v>
      </c>
    </row>
    <row r="673" spans="2:3">
      <c r="B673">
        <f>SUMIFS(allorders!O:O,allorders!L:L,'数据处理(仓储使用)'!$A673,allorders!$AG:$AG,"&lt;="&amp;日期!#REF!,allorders!$AG:$AG,"&gt;="&amp;日期!#REF!)</f>
        <v>0</v>
      </c>
      <c r="C673" t="e">
        <f>B673/(日期!#REF!-日期!#REF!+1)</f>
        <v>#REF!</v>
      </c>
    </row>
    <row r="674" spans="2:3">
      <c r="B674">
        <f>SUMIFS(allorders!O:O,allorders!L:L,'数据处理(仓储使用)'!$A674,allorders!$AG:$AG,"&lt;="&amp;日期!#REF!,allorders!$AG:$AG,"&gt;="&amp;日期!#REF!)</f>
        <v>0</v>
      </c>
      <c r="C674" t="e">
        <f>B674/(日期!#REF!-日期!#REF!+1)</f>
        <v>#REF!</v>
      </c>
    </row>
    <row r="675" spans="2:3">
      <c r="B675">
        <f>SUMIFS(allorders!O:O,allorders!L:L,'数据处理(仓储使用)'!$A675,allorders!$AG:$AG,"&lt;="&amp;日期!#REF!,allorders!$AG:$AG,"&gt;="&amp;日期!#REF!)</f>
        <v>0</v>
      </c>
      <c r="C675" t="e">
        <f>B675/(日期!#REF!-日期!#REF!+1)</f>
        <v>#REF!</v>
      </c>
    </row>
    <row r="676" spans="2:3">
      <c r="B676">
        <f>SUMIFS(allorders!O:O,allorders!L:L,'数据处理(仓储使用)'!$A676,allorders!$AG:$AG,"&lt;="&amp;日期!#REF!,allorders!$AG:$AG,"&gt;="&amp;日期!#REF!)</f>
        <v>0</v>
      </c>
      <c r="C676" t="e">
        <f>B676/(日期!#REF!-日期!#REF!+1)</f>
        <v>#REF!</v>
      </c>
    </row>
    <row r="677" spans="2:3">
      <c r="B677">
        <f>SUMIFS(allorders!O:O,allorders!L:L,'数据处理(仓储使用)'!$A677,allorders!$AG:$AG,"&lt;="&amp;日期!#REF!,allorders!$AG:$AG,"&gt;="&amp;日期!#REF!)</f>
        <v>0</v>
      </c>
      <c r="C677" t="e">
        <f>B677/(日期!#REF!-日期!#REF!+1)</f>
        <v>#REF!</v>
      </c>
    </row>
    <row r="678" spans="2:3">
      <c r="B678">
        <f>SUMIFS(allorders!O:O,allorders!L:L,'数据处理(仓储使用)'!$A678,allorders!$AG:$AG,"&lt;="&amp;日期!#REF!,allorders!$AG:$AG,"&gt;="&amp;日期!#REF!)</f>
        <v>0</v>
      </c>
      <c r="C678" t="e">
        <f>B678/(日期!#REF!-日期!#REF!+1)</f>
        <v>#REF!</v>
      </c>
    </row>
    <row r="679" spans="2:3">
      <c r="B679">
        <f>SUMIFS(allorders!O:O,allorders!L:L,'数据处理(仓储使用)'!$A679,allorders!$AG:$AG,"&lt;="&amp;日期!#REF!,allorders!$AG:$AG,"&gt;="&amp;日期!#REF!)</f>
        <v>0</v>
      </c>
      <c r="C679" t="e">
        <f>B679/(日期!#REF!-日期!#REF!+1)</f>
        <v>#REF!</v>
      </c>
    </row>
    <row r="680" spans="2:3">
      <c r="B680">
        <f>SUMIFS(allorders!O:O,allorders!L:L,'数据处理(仓储使用)'!$A680,allorders!$AG:$AG,"&lt;="&amp;日期!#REF!,allorders!$AG:$AG,"&gt;="&amp;日期!#REF!)</f>
        <v>0</v>
      </c>
      <c r="C680" t="e">
        <f>B680/(日期!#REF!-日期!#REF!+1)</f>
        <v>#REF!</v>
      </c>
    </row>
    <row r="681" spans="2:3">
      <c r="B681">
        <f>SUMIFS(allorders!O:O,allorders!L:L,'数据处理(仓储使用)'!$A681,allorders!$AG:$AG,"&lt;="&amp;日期!#REF!,allorders!$AG:$AG,"&gt;="&amp;日期!#REF!)</f>
        <v>0</v>
      </c>
      <c r="C681" t="e">
        <f>B681/(日期!#REF!-日期!#REF!+1)</f>
        <v>#REF!</v>
      </c>
    </row>
    <row r="682" spans="2:3">
      <c r="B682">
        <f>SUMIFS(allorders!O:O,allorders!L:L,'数据处理(仓储使用)'!$A682,allorders!$AG:$AG,"&lt;="&amp;日期!#REF!,allorders!$AG:$AG,"&gt;="&amp;日期!#REF!)</f>
        <v>0</v>
      </c>
      <c r="C682" t="e">
        <f>B682/(日期!#REF!-日期!#REF!+1)</f>
        <v>#REF!</v>
      </c>
    </row>
    <row r="683" spans="2:3">
      <c r="B683">
        <f>SUMIFS(allorders!O:O,allorders!L:L,'数据处理(仓储使用)'!$A683,allorders!$AG:$AG,"&lt;="&amp;日期!#REF!,allorders!$AG:$AG,"&gt;="&amp;日期!#REF!)</f>
        <v>0</v>
      </c>
      <c r="C683" t="e">
        <f>B683/(日期!#REF!-日期!#REF!+1)</f>
        <v>#REF!</v>
      </c>
    </row>
    <row r="684" spans="2:3">
      <c r="B684">
        <f>SUMIFS(allorders!O:O,allorders!L:L,'数据处理(仓储使用)'!$A684,allorders!$AG:$AG,"&lt;="&amp;日期!#REF!,allorders!$AG:$AG,"&gt;="&amp;日期!#REF!)</f>
        <v>0</v>
      </c>
      <c r="C684" t="e">
        <f>B684/(日期!#REF!-日期!#REF!+1)</f>
        <v>#REF!</v>
      </c>
    </row>
    <row r="685" spans="2:3">
      <c r="B685">
        <f>SUMIFS(allorders!O:O,allorders!L:L,'数据处理(仓储使用)'!$A685,allorders!$AG:$AG,"&lt;="&amp;日期!#REF!,allorders!$AG:$AG,"&gt;="&amp;日期!#REF!)</f>
        <v>0</v>
      </c>
      <c r="C685" t="e">
        <f>B685/(日期!#REF!-日期!#REF!+1)</f>
        <v>#REF!</v>
      </c>
    </row>
    <row r="686" spans="2:3">
      <c r="B686">
        <f>SUMIFS(allorders!O:O,allorders!L:L,'数据处理(仓储使用)'!$A686,allorders!$AG:$AG,"&lt;="&amp;日期!#REF!,allorders!$AG:$AG,"&gt;="&amp;日期!#REF!)</f>
        <v>0</v>
      </c>
      <c r="C686" t="e">
        <f>B686/(日期!#REF!-日期!#REF!+1)</f>
        <v>#REF!</v>
      </c>
    </row>
    <row r="687" spans="2:3">
      <c r="B687">
        <f>SUMIFS(allorders!O:O,allorders!L:L,'数据处理(仓储使用)'!$A687,allorders!$AG:$AG,"&lt;="&amp;日期!#REF!,allorders!$AG:$AG,"&gt;="&amp;日期!#REF!)</f>
        <v>0</v>
      </c>
      <c r="C687" t="e">
        <f>B687/(日期!#REF!-日期!#REF!+1)</f>
        <v>#REF!</v>
      </c>
    </row>
    <row r="688" spans="2:3">
      <c r="B688">
        <f>SUMIFS(allorders!O:O,allorders!L:L,'数据处理(仓储使用)'!$A688,allorders!$AG:$AG,"&lt;="&amp;日期!#REF!,allorders!$AG:$AG,"&gt;="&amp;日期!#REF!)</f>
        <v>0</v>
      </c>
      <c r="C688" t="e">
        <f>B688/(日期!#REF!-日期!#REF!+1)</f>
        <v>#REF!</v>
      </c>
    </row>
    <row r="689" spans="2:3">
      <c r="B689">
        <f>SUMIFS(allorders!O:O,allorders!L:L,'数据处理(仓储使用)'!$A689,allorders!$AG:$AG,"&lt;="&amp;日期!#REF!,allorders!$AG:$AG,"&gt;="&amp;日期!#REF!)</f>
        <v>0</v>
      </c>
      <c r="C689" t="e">
        <f>B689/(日期!#REF!-日期!#REF!+1)</f>
        <v>#REF!</v>
      </c>
    </row>
    <row r="690" spans="2:3">
      <c r="B690">
        <f>SUMIFS(allorders!O:O,allorders!L:L,'数据处理(仓储使用)'!$A690,allorders!$AG:$AG,"&lt;="&amp;日期!#REF!,allorders!$AG:$AG,"&gt;="&amp;日期!#REF!)</f>
        <v>0</v>
      </c>
      <c r="C690" t="e">
        <f>B690/(日期!#REF!-日期!#REF!+1)</f>
        <v>#REF!</v>
      </c>
    </row>
    <row r="691" spans="2:3">
      <c r="B691">
        <f>SUMIFS(allorders!O:O,allorders!L:L,'数据处理(仓储使用)'!$A691,allorders!$AG:$AG,"&lt;="&amp;日期!#REF!,allorders!$AG:$AG,"&gt;="&amp;日期!#REF!)</f>
        <v>0</v>
      </c>
      <c r="C691" t="e">
        <f>B691/(日期!#REF!-日期!#REF!+1)</f>
        <v>#REF!</v>
      </c>
    </row>
    <row r="692" spans="2:3">
      <c r="B692">
        <f>SUMIFS(allorders!O:O,allorders!L:L,'数据处理(仓储使用)'!$A692,allorders!$AG:$AG,"&lt;="&amp;日期!#REF!,allorders!$AG:$AG,"&gt;="&amp;日期!#REF!)</f>
        <v>0</v>
      </c>
      <c r="C692" t="e">
        <f>B692/(日期!#REF!-日期!#REF!+1)</f>
        <v>#REF!</v>
      </c>
    </row>
    <row r="693" spans="2:3">
      <c r="B693">
        <f>SUMIFS(allorders!O:O,allorders!L:L,'数据处理(仓储使用)'!$A693,allorders!$AG:$AG,"&lt;="&amp;日期!#REF!,allorders!$AG:$AG,"&gt;="&amp;日期!#REF!)</f>
        <v>0</v>
      </c>
      <c r="C693" t="e">
        <f>B693/(日期!#REF!-日期!#REF!+1)</f>
        <v>#REF!</v>
      </c>
    </row>
    <row r="694" spans="2:3">
      <c r="B694">
        <f>SUMIFS(allorders!O:O,allorders!L:L,'数据处理(仓储使用)'!$A694,allorders!$AG:$AG,"&lt;="&amp;日期!#REF!,allorders!$AG:$AG,"&gt;="&amp;日期!#REF!)</f>
        <v>0</v>
      </c>
      <c r="C694" t="e">
        <f>B694/(日期!#REF!-日期!#REF!+1)</f>
        <v>#REF!</v>
      </c>
    </row>
    <row r="695" spans="2:3">
      <c r="B695">
        <f>SUMIFS(allorders!O:O,allorders!L:L,'数据处理(仓储使用)'!$A695,allorders!$AG:$AG,"&lt;="&amp;日期!#REF!,allorders!$AG:$AG,"&gt;="&amp;日期!#REF!)</f>
        <v>0</v>
      </c>
      <c r="C695" t="e">
        <f>B695/(日期!#REF!-日期!#REF!+1)</f>
        <v>#REF!</v>
      </c>
    </row>
    <row r="696" spans="2:3">
      <c r="B696">
        <f>SUMIFS(allorders!O:O,allorders!L:L,'数据处理(仓储使用)'!$A696,allorders!$AG:$AG,"&lt;="&amp;日期!#REF!,allorders!$AG:$AG,"&gt;="&amp;日期!#REF!)</f>
        <v>0</v>
      </c>
      <c r="C696" t="e">
        <f>B696/(日期!#REF!-日期!#REF!+1)</f>
        <v>#REF!</v>
      </c>
    </row>
    <row r="697" spans="2:3">
      <c r="B697">
        <f>SUMIFS(allorders!O:O,allorders!L:L,'数据处理(仓储使用)'!$A697,allorders!$AG:$AG,"&lt;="&amp;日期!#REF!,allorders!$AG:$AG,"&gt;="&amp;日期!#REF!)</f>
        <v>0</v>
      </c>
      <c r="C697" t="e">
        <f>B697/(日期!#REF!-日期!#REF!+1)</f>
        <v>#REF!</v>
      </c>
    </row>
    <row r="698" spans="2:3">
      <c r="B698">
        <f>SUMIFS(allorders!O:O,allorders!L:L,'数据处理(仓储使用)'!$A698,allorders!$AG:$AG,"&lt;="&amp;日期!#REF!,allorders!$AG:$AG,"&gt;="&amp;日期!#REF!)</f>
        <v>0</v>
      </c>
      <c r="C698" t="e">
        <f>B698/(日期!#REF!-日期!#REF!+1)</f>
        <v>#REF!</v>
      </c>
    </row>
    <row r="699" spans="2:3">
      <c r="B699">
        <f>SUMIFS(allorders!O:O,allorders!L:L,'数据处理(仓储使用)'!$A699,allorders!$AG:$AG,"&lt;="&amp;日期!#REF!,allorders!$AG:$AG,"&gt;="&amp;日期!#REF!)</f>
        <v>0</v>
      </c>
      <c r="C699" t="e">
        <f>B699/(日期!#REF!-日期!#REF!+1)</f>
        <v>#REF!</v>
      </c>
    </row>
    <row r="700" spans="2:3">
      <c r="B700">
        <f>SUMIFS(allorders!O:O,allorders!L:L,'数据处理(仓储使用)'!$A700,allorders!$AG:$AG,"&lt;="&amp;日期!#REF!,allorders!$AG:$AG,"&gt;="&amp;日期!#REF!)</f>
        <v>0</v>
      </c>
      <c r="C700" t="e">
        <f>B700/(日期!#REF!-日期!#REF!+1)</f>
        <v>#REF!</v>
      </c>
    </row>
    <row r="701" spans="2:3">
      <c r="B701">
        <f>SUMIFS(allorders!O:O,allorders!L:L,'数据处理(仓储使用)'!$A701,allorders!$AG:$AG,"&lt;="&amp;日期!#REF!,allorders!$AG:$AG,"&gt;="&amp;日期!#REF!)</f>
        <v>0</v>
      </c>
      <c r="C701" t="e">
        <f>B701/(日期!#REF!-日期!#REF!+1)</f>
        <v>#REF!</v>
      </c>
    </row>
    <row r="702" spans="2:3">
      <c r="B702">
        <f>SUMIFS(allorders!O:O,allorders!L:L,'数据处理(仓储使用)'!$A702,allorders!$AG:$AG,"&lt;="&amp;日期!#REF!,allorders!$AG:$AG,"&gt;="&amp;日期!#REF!)</f>
        <v>0</v>
      </c>
      <c r="C702" t="e">
        <f>B702/(日期!#REF!-日期!#REF!+1)</f>
        <v>#REF!</v>
      </c>
    </row>
    <row r="703" spans="2:3">
      <c r="B703">
        <f>SUMIFS(allorders!O:O,allorders!L:L,'数据处理(仓储使用)'!$A703,allorders!$AG:$AG,"&lt;="&amp;日期!#REF!,allorders!$AG:$AG,"&gt;="&amp;日期!#REF!)</f>
        <v>0</v>
      </c>
      <c r="C703" t="e">
        <f>B703/(日期!#REF!-日期!#REF!+1)</f>
        <v>#REF!</v>
      </c>
    </row>
    <row r="704" spans="2:3">
      <c r="B704">
        <f>SUMIFS(allorders!O:O,allorders!L:L,'数据处理(仓储使用)'!$A704,allorders!$AG:$AG,"&lt;="&amp;日期!#REF!,allorders!$AG:$AG,"&gt;="&amp;日期!#REF!)</f>
        <v>0</v>
      </c>
      <c r="C704" t="e">
        <f>B704/(日期!#REF!-日期!#REF!+1)</f>
        <v>#REF!</v>
      </c>
    </row>
    <row r="705" spans="2:3">
      <c r="B705">
        <f>SUMIFS(allorders!O:O,allorders!L:L,'数据处理(仓储使用)'!$A705,allorders!$AG:$AG,"&lt;="&amp;日期!#REF!,allorders!$AG:$AG,"&gt;="&amp;日期!#REF!)</f>
        <v>0</v>
      </c>
      <c r="C705" t="e">
        <f>B705/(日期!#REF!-日期!#REF!+1)</f>
        <v>#REF!</v>
      </c>
    </row>
    <row r="706" spans="2:3">
      <c r="B706">
        <f>SUMIFS(allorders!O:O,allorders!L:L,'数据处理(仓储使用)'!$A706,allorders!$AG:$AG,"&lt;="&amp;日期!#REF!,allorders!$AG:$AG,"&gt;="&amp;日期!#REF!)</f>
        <v>0</v>
      </c>
      <c r="C706" t="e">
        <f>B706/(日期!#REF!-日期!#REF!+1)</f>
        <v>#REF!</v>
      </c>
    </row>
    <row r="707" spans="2:3">
      <c r="B707">
        <f>SUMIFS(allorders!O:O,allorders!L:L,'数据处理(仓储使用)'!$A707,allorders!$AG:$AG,"&lt;="&amp;日期!#REF!,allorders!$AG:$AG,"&gt;="&amp;日期!#REF!)</f>
        <v>0</v>
      </c>
      <c r="C707" t="e">
        <f>B707/(日期!#REF!-日期!#REF!+1)</f>
        <v>#REF!</v>
      </c>
    </row>
    <row r="708" spans="2:3">
      <c r="B708">
        <f>SUMIFS(allorders!O:O,allorders!L:L,'数据处理(仓储使用)'!$A708,allorders!$AG:$AG,"&lt;="&amp;日期!#REF!,allorders!$AG:$AG,"&gt;="&amp;日期!#REF!)</f>
        <v>0</v>
      </c>
      <c r="C708" t="e">
        <f>B708/(日期!#REF!-日期!#REF!+1)</f>
        <v>#REF!</v>
      </c>
    </row>
    <row r="709" spans="2:3">
      <c r="B709">
        <f>SUMIFS(allorders!O:O,allorders!L:L,'数据处理(仓储使用)'!$A709,allorders!$AG:$AG,"&lt;="&amp;日期!#REF!,allorders!$AG:$AG,"&gt;="&amp;日期!#REF!)</f>
        <v>0</v>
      </c>
      <c r="C709" t="e">
        <f>B709/(日期!#REF!-日期!#REF!+1)</f>
        <v>#REF!</v>
      </c>
    </row>
    <row r="710" spans="2:3">
      <c r="B710">
        <f>SUMIFS(allorders!O:O,allorders!L:L,'数据处理(仓储使用)'!$A710,allorders!$AG:$AG,"&lt;="&amp;日期!#REF!,allorders!$AG:$AG,"&gt;="&amp;日期!#REF!)</f>
        <v>0</v>
      </c>
      <c r="C710" t="e">
        <f>B710/(日期!#REF!-日期!#REF!+1)</f>
        <v>#REF!</v>
      </c>
    </row>
    <row r="711" spans="2:3">
      <c r="B711">
        <f>SUMIFS(allorders!O:O,allorders!L:L,'数据处理(仓储使用)'!$A711,allorders!$AG:$AG,"&lt;="&amp;日期!#REF!,allorders!$AG:$AG,"&gt;="&amp;日期!#REF!)</f>
        <v>0</v>
      </c>
      <c r="C711" t="e">
        <f>B711/(日期!#REF!-日期!#REF!+1)</f>
        <v>#REF!</v>
      </c>
    </row>
    <row r="712" spans="2:3">
      <c r="B712">
        <f>SUMIFS(allorders!O:O,allorders!L:L,'数据处理(仓储使用)'!$A712,allorders!$AG:$AG,"&lt;="&amp;日期!#REF!,allorders!$AG:$AG,"&gt;="&amp;日期!#REF!)</f>
        <v>0</v>
      </c>
      <c r="C712" t="e">
        <f>B712/(日期!#REF!-日期!#REF!+1)</f>
        <v>#REF!</v>
      </c>
    </row>
    <row r="713" spans="2:3">
      <c r="B713">
        <f>SUMIFS(allorders!O:O,allorders!L:L,'数据处理(仓储使用)'!$A713,allorders!$AG:$AG,"&lt;="&amp;日期!#REF!,allorders!$AG:$AG,"&gt;="&amp;日期!#REF!)</f>
        <v>0</v>
      </c>
      <c r="C713" t="e">
        <f>B713/(日期!#REF!-日期!#REF!+1)</f>
        <v>#REF!</v>
      </c>
    </row>
    <row r="714" spans="2:3">
      <c r="B714">
        <f>SUMIFS(allorders!O:O,allorders!L:L,'数据处理(仓储使用)'!$A714,allorders!$AG:$AG,"&lt;="&amp;日期!#REF!,allorders!$AG:$AG,"&gt;="&amp;日期!#REF!)</f>
        <v>0</v>
      </c>
      <c r="C714" t="e">
        <f>B714/(日期!#REF!-日期!#REF!+1)</f>
        <v>#REF!</v>
      </c>
    </row>
    <row r="715" spans="2:3">
      <c r="B715">
        <f>SUMIFS(allorders!O:O,allorders!L:L,'数据处理(仓储使用)'!$A715,allorders!$AG:$AG,"&lt;="&amp;日期!#REF!,allorders!$AG:$AG,"&gt;="&amp;日期!#REF!)</f>
        <v>0</v>
      </c>
      <c r="C715" t="e">
        <f>B715/(日期!#REF!-日期!#REF!+1)</f>
        <v>#REF!</v>
      </c>
    </row>
    <row r="716" spans="2:3">
      <c r="B716">
        <f>SUMIFS(allorders!O:O,allorders!L:L,'数据处理(仓储使用)'!$A716,allorders!$AG:$AG,"&lt;="&amp;日期!#REF!,allorders!$AG:$AG,"&gt;="&amp;日期!#REF!)</f>
        <v>0</v>
      </c>
      <c r="C716" t="e">
        <f>B716/(日期!#REF!-日期!#REF!+1)</f>
        <v>#REF!</v>
      </c>
    </row>
    <row r="717" spans="2:3">
      <c r="B717">
        <f>SUMIFS(allorders!O:O,allorders!L:L,'数据处理(仓储使用)'!$A717,allorders!$AG:$AG,"&lt;="&amp;日期!#REF!,allorders!$AG:$AG,"&gt;="&amp;日期!#REF!)</f>
        <v>0</v>
      </c>
      <c r="C717" t="e">
        <f>B717/(日期!#REF!-日期!#REF!+1)</f>
        <v>#REF!</v>
      </c>
    </row>
    <row r="718" spans="2:3">
      <c r="B718">
        <f>SUMIFS(allorders!O:O,allorders!L:L,'数据处理(仓储使用)'!$A718,allorders!$AG:$AG,"&lt;="&amp;日期!#REF!,allorders!$AG:$AG,"&gt;="&amp;日期!#REF!)</f>
        <v>0</v>
      </c>
      <c r="C718" t="e">
        <f>B718/(日期!#REF!-日期!#REF!+1)</f>
        <v>#REF!</v>
      </c>
    </row>
    <row r="719" spans="2:3">
      <c r="B719">
        <f>SUMIFS(allorders!O:O,allorders!L:L,'数据处理(仓储使用)'!$A719,allorders!$AG:$AG,"&lt;="&amp;日期!#REF!,allorders!$AG:$AG,"&gt;="&amp;日期!#REF!)</f>
        <v>0</v>
      </c>
      <c r="C719" t="e">
        <f>B719/(日期!#REF!-日期!#REF!+1)</f>
        <v>#REF!</v>
      </c>
    </row>
    <row r="720" spans="2:3">
      <c r="B720">
        <f>SUMIFS(allorders!O:O,allorders!L:L,'数据处理(仓储使用)'!$A720,allorders!$AG:$AG,"&lt;="&amp;日期!#REF!,allorders!$AG:$AG,"&gt;="&amp;日期!#REF!)</f>
        <v>0</v>
      </c>
      <c r="C720" t="e">
        <f>B720/(日期!#REF!-日期!#REF!+1)</f>
        <v>#REF!</v>
      </c>
    </row>
    <row r="721" spans="2:3">
      <c r="B721">
        <f>SUMIFS(allorders!O:O,allorders!L:L,'数据处理(仓储使用)'!$A721,allorders!$AG:$AG,"&lt;="&amp;日期!#REF!,allorders!$AG:$AG,"&gt;="&amp;日期!#REF!)</f>
        <v>0</v>
      </c>
      <c r="C721" t="e">
        <f>B721/(日期!#REF!-日期!#REF!+1)</f>
        <v>#REF!</v>
      </c>
    </row>
    <row r="722" spans="2:3">
      <c r="B722">
        <f>SUMIFS(allorders!O:O,allorders!L:L,'数据处理(仓储使用)'!$A722,allorders!$AG:$AG,"&lt;="&amp;日期!#REF!,allorders!$AG:$AG,"&gt;="&amp;日期!#REF!)</f>
        <v>0</v>
      </c>
      <c r="C722" t="e">
        <f>B722/(日期!#REF!-日期!#REF!+1)</f>
        <v>#REF!</v>
      </c>
    </row>
    <row r="723" spans="2:3">
      <c r="B723">
        <f>SUMIFS(allorders!O:O,allorders!L:L,'数据处理(仓储使用)'!$A723,allorders!$AG:$AG,"&lt;="&amp;日期!#REF!,allorders!$AG:$AG,"&gt;="&amp;日期!#REF!)</f>
        <v>0</v>
      </c>
      <c r="C723" t="e">
        <f>B723/(日期!#REF!-日期!#REF!+1)</f>
        <v>#REF!</v>
      </c>
    </row>
    <row r="724" spans="2:3">
      <c r="B724">
        <f>SUMIFS(allorders!O:O,allorders!L:L,'数据处理(仓储使用)'!$A724,allorders!$AG:$AG,"&lt;="&amp;日期!#REF!,allorders!$AG:$AG,"&gt;="&amp;日期!#REF!)</f>
        <v>0</v>
      </c>
      <c r="C724" t="e">
        <f>B724/(日期!#REF!-日期!#REF!+1)</f>
        <v>#REF!</v>
      </c>
    </row>
    <row r="725" spans="2:3">
      <c r="B725">
        <f>SUMIFS(allorders!O:O,allorders!L:L,'数据处理(仓储使用)'!$A725,allorders!$AG:$AG,"&lt;="&amp;日期!#REF!,allorders!$AG:$AG,"&gt;="&amp;日期!#REF!)</f>
        <v>0</v>
      </c>
      <c r="C725" t="e">
        <f>B725/(日期!#REF!-日期!#REF!+1)</f>
        <v>#REF!</v>
      </c>
    </row>
    <row r="726" spans="2:3">
      <c r="B726">
        <f>SUMIFS(allorders!O:O,allorders!L:L,'数据处理(仓储使用)'!$A726,allorders!$AG:$AG,"&lt;="&amp;日期!#REF!,allorders!$AG:$AG,"&gt;="&amp;日期!#REF!)</f>
        <v>0</v>
      </c>
      <c r="C726" t="e">
        <f>B726/(日期!#REF!-日期!#REF!+1)</f>
        <v>#REF!</v>
      </c>
    </row>
    <row r="727" spans="2:3">
      <c r="B727">
        <f>SUMIFS(allorders!O:O,allorders!L:L,'数据处理(仓储使用)'!$A727,allorders!$AG:$AG,"&lt;="&amp;日期!#REF!,allorders!$AG:$AG,"&gt;="&amp;日期!#REF!)</f>
        <v>0</v>
      </c>
      <c r="C727" t="e">
        <f>B727/(日期!#REF!-日期!#REF!+1)</f>
        <v>#REF!</v>
      </c>
    </row>
    <row r="728" spans="2:3">
      <c r="B728">
        <f>SUMIFS(allorders!O:O,allorders!L:L,'数据处理(仓储使用)'!$A728,allorders!$AG:$AG,"&lt;="&amp;日期!#REF!,allorders!$AG:$AG,"&gt;="&amp;日期!#REF!)</f>
        <v>0</v>
      </c>
      <c r="C728" t="e">
        <f>B728/(日期!#REF!-日期!#REF!+1)</f>
        <v>#REF!</v>
      </c>
    </row>
    <row r="729" spans="2:3">
      <c r="B729">
        <f>SUMIFS(allorders!O:O,allorders!L:L,'数据处理(仓储使用)'!$A729,allorders!$AG:$AG,"&lt;="&amp;日期!#REF!,allorders!$AG:$AG,"&gt;="&amp;日期!#REF!)</f>
        <v>0</v>
      </c>
      <c r="C729" t="e">
        <f>B729/(日期!#REF!-日期!#REF!+1)</f>
        <v>#REF!</v>
      </c>
    </row>
    <row r="730" spans="2:3">
      <c r="B730">
        <f>SUMIFS(allorders!O:O,allorders!L:L,'数据处理(仓储使用)'!$A730,allorders!$AG:$AG,"&lt;="&amp;日期!#REF!,allorders!$AG:$AG,"&gt;="&amp;日期!#REF!)</f>
        <v>0</v>
      </c>
      <c r="C730" t="e">
        <f>B730/(日期!#REF!-日期!#REF!+1)</f>
        <v>#REF!</v>
      </c>
    </row>
    <row r="731" spans="2:3">
      <c r="B731">
        <f>SUMIFS(allorders!O:O,allorders!L:L,'数据处理(仓储使用)'!$A731,allorders!$AG:$AG,"&lt;="&amp;日期!#REF!,allorders!$AG:$AG,"&gt;="&amp;日期!#REF!)</f>
        <v>0</v>
      </c>
      <c r="C731" t="e">
        <f>B731/(日期!#REF!-日期!#REF!+1)</f>
        <v>#REF!</v>
      </c>
    </row>
    <row r="732" spans="2:3">
      <c r="B732">
        <f>SUMIFS(allorders!O:O,allorders!L:L,'数据处理(仓储使用)'!$A732,allorders!$AG:$AG,"&lt;="&amp;日期!#REF!,allorders!$AG:$AG,"&gt;="&amp;日期!#REF!)</f>
        <v>0</v>
      </c>
      <c r="C732" t="e">
        <f>B732/(日期!#REF!-日期!#REF!+1)</f>
        <v>#REF!</v>
      </c>
    </row>
    <row r="733" spans="2:3">
      <c r="B733">
        <f>SUMIFS(allorders!O:O,allorders!L:L,'数据处理(仓储使用)'!$A733,allorders!$AG:$AG,"&lt;="&amp;日期!#REF!,allorders!$AG:$AG,"&gt;="&amp;日期!#REF!)</f>
        <v>0</v>
      </c>
      <c r="C733" t="e">
        <f>B733/(日期!#REF!-日期!#REF!+1)</f>
        <v>#REF!</v>
      </c>
    </row>
    <row r="734" spans="2:3">
      <c r="B734">
        <f>SUMIFS(allorders!O:O,allorders!L:L,'数据处理(仓储使用)'!$A734,allorders!$AG:$AG,"&lt;="&amp;日期!#REF!,allorders!$AG:$AG,"&gt;="&amp;日期!#REF!)</f>
        <v>0</v>
      </c>
      <c r="C734" t="e">
        <f>B734/(日期!#REF!-日期!#REF!+1)</f>
        <v>#REF!</v>
      </c>
    </row>
    <row r="735" spans="2:3">
      <c r="B735">
        <f>SUMIFS(allorders!O:O,allorders!L:L,'数据处理(仓储使用)'!$A735,allorders!$AG:$AG,"&lt;="&amp;日期!#REF!,allorders!$AG:$AG,"&gt;="&amp;日期!#REF!)</f>
        <v>0</v>
      </c>
      <c r="C735" t="e">
        <f>B735/(日期!#REF!-日期!#REF!+1)</f>
        <v>#REF!</v>
      </c>
    </row>
    <row r="736" spans="2:3">
      <c r="B736">
        <f>SUMIFS(allorders!O:O,allorders!L:L,'数据处理(仓储使用)'!$A736,allorders!$AG:$AG,"&lt;="&amp;日期!#REF!,allorders!$AG:$AG,"&gt;="&amp;日期!#REF!)</f>
        <v>0</v>
      </c>
      <c r="C736" t="e">
        <f>B736/(日期!#REF!-日期!#REF!+1)</f>
        <v>#REF!</v>
      </c>
    </row>
    <row r="737" spans="2:3">
      <c r="B737">
        <f>SUMIFS(allorders!O:O,allorders!L:L,'数据处理(仓储使用)'!$A737,allorders!$AG:$AG,"&lt;="&amp;日期!#REF!,allorders!$AG:$AG,"&gt;="&amp;日期!#REF!)</f>
        <v>0</v>
      </c>
      <c r="C737" t="e">
        <f>B737/(日期!#REF!-日期!#REF!+1)</f>
        <v>#REF!</v>
      </c>
    </row>
    <row r="738" spans="2:3">
      <c r="B738">
        <f>SUMIFS(allorders!O:O,allorders!L:L,'数据处理(仓储使用)'!$A738,allorders!$AG:$AG,"&lt;="&amp;日期!#REF!,allorders!$AG:$AG,"&gt;="&amp;日期!#REF!)</f>
        <v>0</v>
      </c>
      <c r="C738" t="e">
        <f>B738/(日期!#REF!-日期!#REF!+1)</f>
        <v>#REF!</v>
      </c>
    </row>
    <row r="739" spans="2:3">
      <c r="B739">
        <f>SUMIFS(allorders!O:O,allorders!L:L,'数据处理(仓储使用)'!$A739,allorders!$AG:$AG,"&lt;="&amp;日期!#REF!,allorders!$AG:$AG,"&gt;="&amp;日期!#REF!)</f>
        <v>0</v>
      </c>
      <c r="C739" t="e">
        <f>B739/(日期!#REF!-日期!#REF!+1)</f>
        <v>#REF!</v>
      </c>
    </row>
    <row r="740" spans="2:3">
      <c r="B740">
        <f>SUMIFS(allorders!O:O,allorders!L:L,'数据处理(仓储使用)'!$A740,allorders!$AG:$AG,"&lt;="&amp;日期!#REF!,allorders!$AG:$AG,"&gt;="&amp;日期!#REF!)</f>
        <v>0</v>
      </c>
      <c r="C740" t="e">
        <f>B740/(日期!#REF!-日期!#REF!+1)</f>
        <v>#REF!</v>
      </c>
    </row>
    <row r="741" spans="2:3">
      <c r="B741">
        <f>SUMIFS(allorders!O:O,allorders!L:L,'数据处理(仓储使用)'!$A741,allorders!$AG:$AG,"&lt;="&amp;日期!#REF!,allorders!$AG:$AG,"&gt;="&amp;日期!#REF!)</f>
        <v>0</v>
      </c>
      <c r="C741" t="e">
        <f>B741/(日期!#REF!-日期!#REF!+1)</f>
        <v>#REF!</v>
      </c>
    </row>
    <row r="742" spans="2:3">
      <c r="B742">
        <f>SUMIFS(allorders!O:O,allorders!L:L,'数据处理(仓储使用)'!$A742,allorders!$AG:$AG,"&lt;="&amp;日期!#REF!,allorders!$AG:$AG,"&gt;="&amp;日期!#REF!)</f>
        <v>0</v>
      </c>
      <c r="C742" t="e">
        <f>B742/(日期!#REF!-日期!#REF!+1)</f>
        <v>#REF!</v>
      </c>
    </row>
    <row r="743" spans="2:3">
      <c r="B743">
        <f>SUMIFS(allorders!O:O,allorders!L:L,'数据处理(仓储使用)'!$A743,allorders!$AG:$AG,"&lt;="&amp;日期!#REF!,allorders!$AG:$AG,"&gt;="&amp;日期!#REF!)</f>
        <v>0</v>
      </c>
      <c r="C743" t="e">
        <f>B743/(日期!#REF!-日期!#REF!+1)</f>
        <v>#REF!</v>
      </c>
    </row>
    <row r="744" spans="2:3">
      <c r="B744">
        <f>SUMIFS(allorders!O:O,allorders!L:L,'数据处理(仓储使用)'!$A744,allorders!$AG:$AG,"&lt;="&amp;日期!#REF!,allorders!$AG:$AG,"&gt;="&amp;日期!#REF!)</f>
        <v>0</v>
      </c>
      <c r="C744" t="e">
        <f>B744/(日期!#REF!-日期!#REF!+1)</f>
        <v>#REF!</v>
      </c>
    </row>
    <row r="745" spans="2:3">
      <c r="B745">
        <f>SUMIFS(allorders!O:O,allorders!L:L,'数据处理(仓储使用)'!$A745,allorders!$AG:$AG,"&lt;="&amp;日期!#REF!,allorders!$AG:$AG,"&gt;="&amp;日期!#REF!)</f>
        <v>0</v>
      </c>
      <c r="C745" t="e">
        <f>B745/(日期!#REF!-日期!#REF!+1)</f>
        <v>#REF!</v>
      </c>
    </row>
    <row r="746" spans="2:3">
      <c r="B746">
        <f>SUMIFS(allorders!O:O,allorders!L:L,'数据处理(仓储使用)'!$A746,allorders!$AG:$AG,"&lt;="&amp;日期!#REF!,allorders!$AG:$AG,"&gt;="&amp;日期!#REF!)</f>
        <v>0</v>
      </c>
      <c r="C746" t="e">
        <f>B746/(日期!#REF!-日期!#REF!+1)</f>
        <v>#REF!</v>
      </c>
    </row>
    <row r="747" spans="2:3">
      <c r="B747">
        <f>SUMIFS(allorders!O:O,allorders!L:L,'数据处理(仓储使用)'!$A747,allorders!$AG:$AG,"&lt;="&amp;日期!#REF!,allorders!$AG:$AG,"&gt;="&amp;日期!#REF!)</f>
        <v>0</v>
      </c>
      <c r="C747" t="e">
        <f>B747/(日期!#REF!-日期!#REF!+1)</f>
        <v>#REF!</v>
      </c>
    </row>
    <row r="748" spans="2:3">
      <c r="B748">
        <f>SUMIFS(allorders!O:O,allorders!L:L,'数据处理(仓储使用)'!$A748,allorders!$AG:$AG,"&lt;="&amp;日期!#REF!,allorders!$AG:$AG,"&gt;="&amp;日期!#REF!)</f>
        <v>0</v>
      </c>
      <c r="C748" t="e">
        <f>B748/(日期!#REF!-日期!#REF!+1)</f>
        <v>#REF!</v>
      </c>
    </row>
    <row r="749" spans="2:3">
      <c r="B749">
        <f>SUMIFS(allorders!O:O,allorders!L:L,'数据处理(仓储使用)'!$A749,allorders!$AG:$AG,"&lt;="&amp;日期!#REF!,allorders!$AG:$AG,"&gt;="&amp;日期!#REF!)</f>
        <v>0</v>
      </c>
      <c r="C749" t="e">
        <f>B749/(日期!#REF!-日期!#REF!+1)</f>
        <v>#REF!</v>
      </c>
    </row>
    <row r="750" spans="2:3">
      <c r="B750">
        <f>SUMIFS(allorders!O:O,allorders!L:L,'数据处理(仓储使用)'!$A750,allorders!$AG:$AG,"&lt;="&amp;日期!#REF!,allorders!$AG:$AG,"&gt;="&amp;日期!#REF!)</f>
        <v>0</v>
      </c>
      <c r="C750" t="e">
        <f>B750/(日期!#REF!-日期!#REF!+1)</f>
        <v>#REF!</v>
      </c>
    </row>
    <row r="751" spans="2:3">
      <c r="B751">
        <f>SUMIFS(allorders!O:O,allorders!L:L,'数据处理(仓储使用)'!$A751,allorders!$AG:$AG,"&lt;="&amp;日期!#REF!,allorders!$AG:$AG,"&gt;="&amp;日期!#REF!)</f>
        <v>0</v>
      </c>
      <c r="C751" t="e">
        <f>B751/(日期!#REF!-日期!#REF!+1)</f>
        <v>#REF!</v>
      </c>
    </row>
    <row r="752" spans="2:3">
      <c r="B752">
        <f>SUMIFS(allorders!O:O,allorders!L:L,'数据处理(仓储使用)'!$A752,allorders!$AG:$AG,"&lt;="&amp;日期!#REF!,allorders!$AG:$AG,"&gt;="&amp;日期!#REF!)</f>
        <v>0</v>
      </c>
      <c r="C752" t="e">
        <f>B752/(日期!#REF!-日期!#REF!+1)</f>
        <v>#REF!</v>
      </c>
    </row>
    <row r="753" spans="2:3">
      <c r="B753">
        <f>SUMIFS(allorders!O:O,allorders!L:L,'数据处理(仓储使用)'!$A753,allorders!$AG:$AG,"&lt;="&amp;日期!#REF!,allorders!$AG:$AG,"&gt;="&amp;日期!#REF!)</f>
        <v>0</v>
      </c>
      <c r="C753" t="e">
        <f>B753/(日期!#REF!-日期!#REF!+1)</f>
        <v>#REF!</v>
      </c>
    </row>
    <row r="754" spans="2:3">
      <c r="B754">
        <f>SUMIFS(allorders!O:O,allorders!L:L,'数据处理(仓储使用)'!$A754,allorders!$AG:$AG,"&lt;="&amp;日期!#REF!,allorders!$AG:$AG,"&gt;="&amp;日期!#REF!)</f>
        <v>0</v>
      </c>
      <c r="C754" t="e">
        <f>B754/(日期!#REF!-日期!#REF!+1)</f>
        <v>#REF!</v>
      </c>
    </row>
    <row r="755" spans="2:3">
      <c r="B755">
        <f>SUMIFS(allorders!O:O,allorders!L:L,'数据处理(仓储使用)'!$A755,allorders!$AG:$AG,"&lt;="&amp;日期!#REF!,allorders!$AG:$AG,"&gt;="&amp;日期!#REF!)</f>
        <v>0</v>
      </c>
      <c r="C755" t="e">
        <f>B755/(日期!#REF!-日期!#REF!+1)</f>
        <v>#REF!</v>
      </c>
    </row>
    <row r="756" spans="2:3">
      <c r="B756">
        <f>SUMIFS(allorders!O:O,allorders!L:L,'数据处理(仓储使用)'!$A756,allorders!$AG:$AG,"&lt;="&amp;日期!#REF!,allorders!$AG:$AG,"&gt;="&amp;日期!#REF!)</f>
        <v>0</v>
      </c>
      <c r="C756" t="e">
        <f>B756/(日期!#REF!-日期!#REF!+1)</f>
        <v>#REF!</v>
      </c>
    </row>
    <row r="757" spans="2:3">
      <c r="B757">
        <f>SUMIFS(allorders!O:O,allorders!L:L,'数据处理(仓储使用)'!$A757,allorders!$AG:$AG,"&lt;="&amp;日期!#REF!,allorders!$AG:$AG,"&gt;="&amp;日期!#REF!)</f>
        <v>0</v>
      </c>
      <c r="C757" t="e">
        <f>B757/(日期!#REF!-日期!#REF!+1)</f>
        <v>#REF!</v>
      </c>
    </row>
    <row r="758" spans="2:3">
      <c r="B758">
        <f>SUMIFS(allorders!O:O,allorders!L:L,'数据处理(仓储使用)'!$A758,allorders!$AG:$AG,"&lt;="&amp;日期!#REF!,allorders!$AG:$AG,"&gt;="&amp;日期!#REF!)</f>
        <v>0</v>
      </c>
      <c r="C758" t="e">
        <f>B758/(日期!#REF!-日期!#REF!+1)</f>
        <v>#REF!</v>
      </c>
    </row>
    <row r="759" spans="2:3">
      <c r="B759">
        <f>SUMIFS(allorders!O:O,allorders!L:L,'数据处理(仓储使用)'!$A759,allorders!$AG:$AG,"&lt;="&amp;日期!#REF!,allorders!$AG:$AG,"&gt;="&amp;日期!#REF!)</f>
        <v>0</v>
      </c>
      <c r="C759" t="e">
        <f>B759/(日期!#REF!-日期!#REF!+1)</f>
        <v>#REF!</v>
      </c>
    </row>
    <row r="760" spans="2:3">
      <c r="B760">
        <f>SUMIFS(allorders!O:O,allorders!L:L,'数据处理(仓储使用)'!$A760,allorders!$AG:$AG,"&lt;="&amp;日期!#REF!,allorders!$AG:$AG,"&gt;="&amp;日期!#REF!)</f>
        <v>0</v>
      </c>
      <c r="C760" t="e">
        <f>B760/(日期!#REF!-日期!#REF!+1)</f>
        <v>#REF!</v>
      </c>
    </row>
    <row r="761" spans="2:3">
      <c r="B761">
        <f>SUMIFS(allorders!O:O,allorders!L:L,'数据处理(仓储使用)'!$A761,allorders!$AG:$AG,"&lt;="&amp;日期!#REF!,allorders!$AG:$AG,"&gt;="&amp;日期!#REF!)</f>
        <v>0</v>
      </c>
      <c r="C761" t="e">
        <f>B761/(日期!#REF!-日期!#REF!+1)</f>
        <v>#REF!</v>
      </c>
    </row>
    <row r="762" spans="2:3">
      <c r="B762">
        <f>SUMIFS(allorders!O:O,allorders!L:L,'数据处理(仓储使用)'!$A762,allorders!$AG:$AG,"&lt;="&amp;日期!#REF!,allorders!$AG:$AG,"&gt;="&amp;日期!#REF!)</f>
        <v>0</v>
      </c>
      <c r="C762" t="e">
        <f>B762/(日期!#REF!-日期!#REF!+1)</f>
        <v>#REF!</v>
      </c>
    </row>
    <row r="763" spans="2:3">
      <c r="B763">
        <f>SUMIFS(allorders!O:O,allorders!L:L,'数据处理(仓储使用)'!$A763,allorders!$AG:$AG,"&lt;="&amp;日期!#REF!,allorders!$AG:$AG,"&gt;="&amp;日期!#REF!)</f>
        <v>0</v>
      </c>
      <c r="C763" t="e">
        <f>B763/(日期!#REF!-日期!#REF!+1)</f>
        <v>#REF!</v>
      </c>
    </row>
    <row r="764" spans="2:3">
      <c r="B764">
        <f>SUMIFS(allorders!O:O,allorders!L:L,'数据处理(仓储使用)'!$A764,allorders!$AG:$AG,"&lt;="&amp;日期!#REF!,allorders!$AG:$AG,"&gt;="&amp;日期!#REF!)</f>
        <v>0</v>
      </c>
      <c r="C764" t="e">
        <f>B764/(日期!#REF!-日期!#REF!+1)</f>
        <v>#REF!</v>
      </c>
    </row>
    <row r="765" spans="2:3">
      <c r="B765">
        <f>SUMIFS(allorders!O:O,allorders!L:L,'数据处理(仓储使用)'!$A765,allorders!$AG:$AG,"&lt;="&amp;日期!#REF!,allorders!$AG:$AG,"&gt;="&amp;日期!#REF!)</f>
        <v>0</v>
      </c>
      <c r="C765" t="e">
        <f>B765/(日期!#REF!-日期!#REF!+1)</f>
        <v>#REF!</v>
      </c>
    </row>
    <row r="766" spans="2:3">
      <c r="B766">
        <f>SUMIFS(allorders!O:O,allorders!L:L,'数据处理(仓储使用)'!$A766,allorders!$AG:$AG,"&lt;="&amp;日期!#REF!,allorders!$AG:$AG,"&gt;="&amp;日期!#REF!)</f>
        <v>0</v>
      </c>
      <c r="C766" t="e">
        <f>B766/(日期!#REF!-日期!#REF!+1)</f>
        <v>#REF!</v>
      </c>
    </row>
    <row r="767" spans="2:3">
      <c r="B767">
        <f>SUMIFS(allorders!O:O,allorders!L:L,'数据处理(仓储使用)'!$A767,allorders!$AG:$AG,"&lt;="&amp;日期!#REF!,allorders!$AG:$AG,"&gt;="&amp;日期!#REF!)</f>
        <v>0</v>
      </c>
      <c r="C767" t="e">
        <f>B767/(日期!#REF!-日期!#REF!+1)</f>
        <v>#REF!</v>
      </c>
    </row>
    <row r="768" spans="2:3">
      <c r="B768">
        <f>SUMIFS(allorders!O:O,allorders!L:L,'数据处理(仓储使用)'!$A768,allorders!$AG:$AG,"&lt;="&amp;日期!#REF!,allorders!$AG:$AG,"&gt;="&amp;日期!#REF!)</f>
        <v>0</v>
      </c>
      <c r="C768" t="e">
        <f>B768/(日期!#REF!-日期!#REF!+1)</f>
        <v>#REF!</v>
      </c>
    </row>
    <row r="769" spans="2:3">
      <c r="B769">
        <f>SUMIFS(allorders!O:O,allorders!L:L,'数据处理(仓储使用)'!$A769,allorders!$AG:$AG,"&lt;="&amp;日期!#REF!,allorders!$AG:$AG,"&gt;="&amp;日期!#REF!)</f>
        <v>0</v>
      </c>
      <c r="C769" t="e">
        <f>B769/(日期!#REF!-日期!#REF!+1)</f>
        <v>#REF!</v>
      </c>
    </row>
    <row r="770" spans="2:3">
      <c r="B770">
        <f>SUMIFS(allorders!O:O,allorders!L:L,'数据处理(仓储使用)'!$A770,allorders!$AG:$AG,"&lt;="&amp;日期!#REF!,allorders!$AG:$AG,"&gt;="&amp;日期!#REF!)</f>
        <v>0</v>
      </c>
      <c r="C770" t="e">
        <f>B770/(日期!#REF!-日期!#REF!+1)</f>
        <v>#REF!</v>
      </c>
    </row>
    <row r="771" spans="2:3">
      <c r="B771">
        <f>SUMIFS(allorders!O:O,allorders!L:L,'数据处理(仓储使用)'!$A771,allorders!$AG:$AG,"&lt;="&amp;日期!#REF!,allorders!$AG:$AG,"&gt;="&amp;日期!#REF!)</f>
        <v>0</v>
      </c>
      <c r="C771" t="e">
        <f>B771/(日期!#REF!-日期!#REF!+1)</f>
        <v>#REF!</v>
      </c>
    </row>
    <row r="772" spans="2:3">
      <c r="B772">
        <f>SUMIFS(allorders!O:O,allorders!L:L,'数据处理(仓储使用)'!$A772,allorders!$AG:$AG,"&lt;="&amp;日期!#REF!,allorders!$AG:$AG,"&gt;="&amp;日期!#REF!)</f>
        <v>0</v>
      </c>
      <c r="C772" t="e">
        <f>B772/(日期!#REF!-日期!#REF!+1)</f>
        <v>#REF!</v>
      </c>
    </row>
    <row r="773" spans="2:3">
      <c r="B773">
        <f>SUMIFS(allorders!O:O,allorders!L:L,'数据处理(仓储使用)'!$A773,allorders!$AG:$AG,"&lt;="&amp;日期!#REF!,allorders!$AG:$AG,"&gt;="&amp;日期!#REF!)</f>
        <v>0</v>
      </c>
      <c r="C773" t="e">
        <f>B773/(日期!#REF!-日期!#REF!+1)</f>
        <v>#REF!</v>
      </c>
    </row>
    <row r="774" spans="2:3">
      <c r="B774">
        <f>SUMIFS(allorders!O:O,allorders!L:L,'数据处理(仓储使用)'!$A774,allorders!$AG:$AG,"&lt;="&amp;日期!#REF!,allorders!$AG:$AG,"&gt;="&amp;日期!#REF!)</f>
        <v>0</v>
      </c>
      <c r="C774" t="e">
        <f>B774/(日期!#REF!-日期!#REF!+1)</f>
        <v>#REF!</v>
      </c>
    </row>
    <row r="775" spans="2:3">
      <c r="B775">
        <f>SUMIFS(allorders!O:O,allorders!L:L,'数据处理(仓储使用)'!$A775,allorders!$AG:$AG,"&lt;="&amp;日期!#REF!,allorders!$AG:$AG,"&gt;="&amp;日期!#REF!)</f>
        <v>0</v>
      </c>
      <c r="C775" t="e">
        <f>B775/(日期!#REF!-日期!#REF!+1)</f>
        <v>#REF!</v>
      </c>
    </row>
    <row r="776" spans="2:3">
      <c r="B776">
        <f>SUMIFS(allorders!O:O,allorders!L:L,'数据处理(仓储使用)'!$A776,allorders!$AG:$AG,"&lt;="&amp;日期!#REF!,allorders!$AG:$AG,"&gt;="&amp;日期!#REF!)</f>
        <v>0</v>
      </c>
      <c r="C776" t="e">
        <f>B776/(日期!#REF!-日期!#REF!+1)</f>
        <v>#REF!</v>
      </c>
    </row>
    <row r="777" spans="2:3">
      <c r="B777">
        <f>SUMIFS(allorders!O:O,allorders!L:L,'数据处理(仓储使用)'!$A777,allorders!$AG:$AG,"&lt;="&amp;日期!#REF!,allorders!$AG:$AG,"&gt;="&amp;日期!#REF!)</f>
        <v>0</v>
      </c>
      <c r="C777" t="e">
        <f>B777/(日期!#REF!-日期!#REF!+1)</f>
        <v>#REF!</v>
      </c>
    </row>
    <row r="778" spans="2:3">
      <c r="B778">
        <f>SUMIFS(allorders!O:O,allorders!L:L,'数据处理(仓储使用)'!$A778,allorders!$AG:$AG,"&lt;="&amp;日期!#REF!,allorders!$AG:$AG,"&gt;="&amp;日期!#REF!)</f>
        <v>0</v>
      </c>
      <c r="C778" t="e">
        <f>B778/(日期!#REF!-日期!#REF!+1)</f>
        <v>#REF!</v>
      </c>
    </row>
    <row r="779" spans="2:3">
      <c r="B779">
        <f>SUMIFS(allorders!O:O,allorders!L:L,'数据处理(仓储使用)'!$A779,allorders!$AG:$AG,"&lt;="&amp;日期!#REF!,allorders!$AG:$AG,"&gt;="&amp;日期!#REF!)</f>
        <v>0</v>
      </c>
      <c r="C779" t="e">
        <f>B779/(日期!#REF!-日期!#REF!+1)</f>
        <v>#REF!</v>
      </c>
    </row>
    <row r="780" spans="2:3">
      <c r="B780">
        <f>SUMIFS(allorders!O:O,allorders!L:L,'数据处理(仓储使用)'!$A780,allorders!$AG:$AG,"&lt;="&amp;日期!#REF!,allorders!$AG:$AG,"&gt;="&amp;日期!#REF!)</f>
        <v>0</v>
      </c>
      <c r="C780" t="e">
        <f>B780/(日期!#REF!-日期!#REF!+1)</f>
        <v>#REF!</v>
      </c>
    </row>
    <row r="781" spans="2:3">
      <c r="B781">
        <f>SUMIFS(allorders!O:O,allorders!L:L,'数据处理(仓储使用)'!$A781,allorders!$AG:$AG,"&lt;="&amp;日期!#REF!,allorders!$AG:$AG,"&gt;="&amp;日期!#REF!)</f>
        <v>0</v>
      </c>
      <c r="C781" t="e">
        <f>B781/(日期!#REF!-日期!#REF!+1)</f>
        <v>#REF!</v>
      </c>
    </row>
    <row r="782" spans="2:3">
      <c r="B782">
        <f>SUMIFS(allorders!O:O,allorders!L:L,'数据处理(仓储使用)'!$A782,allorders!$AG:$AG,"&lt;="&amp;日期!#REF!,allorders!$AG:$AG,"&gt;="&amp;日期!#REF!)</f>
        <v>0</v>
      </c>
      <c r="C782" t="e">
        <f>B782/(日期!#REF!-日期!#REF!+1)</f>
        <v>#REF!</v>
      </c>
    </row>
    <row r="783" spans="2:3">
      <c r="B783">
        <f>SUMIFS(allorders!O:O,allorders!L:L,'数据处理(仓储使用)'!$A783,allorders!$AG:$AG,"&lt;="&amp;日期!#REF!,allorders!$AG:$AG,"&gt;="&amp;日期!#REF!)</f>
        <v>0</v>
      </c>
      <c r="C783" t="e">
        <f>B783/(日期!#REF!-日期!#REF!+1)</f>
        <v>#REF!</v>
      </c>
    </row>
    <row r="784" spans="2:3">
      <c r="B784">
        <f>SUMIFS(allorders!O:O,allorders!L:L,'数据处理(仓储使用)'!$A784,allorders!$AG:$AG,"&lt;="&amp;日期!#REF!,allorders!$AG:$AG,"&gt;="&amp;日期!#REF!)</f>
        <v>0</v>
      </c>
      <c r="C784" t="e">
        <f>B784/(日期!#REF!-日期!#REF!+1)</f>
        <v>#REF!</v>
      </c>
    </row>
    <row r="785" spans="2:3">
      <c r="B785">
        <f>SUMIFS(allorders!O:O,allorders!L:L,'数据处理(仓储使用)'!$A785,allorders!$AG:$AG,"&lt;="&amp;日期!#REF!,allorders!$AG:$AG,"&gt;="&amp;日期!#REF!)</f>
        <v>0</v>
      </c>
      <c r="C785" t="e">
        <f>B785/(日期!#REF!-日期!#REF!+1)</f>
        <v>#REF!</v>
      </c>
    </row>
    <row r="786" spans="2:3">
      <c r="B786">
        <f>SUMIFS(allorders!O:O,allorders!L:L,'数据处理(仓储使用)'!$A786,allorders!$AG:$AG,"&lt;="&amp;日期!#REF!,allorders!$AG:$AG,"&gt;="&amp;日期!#REF!)</f>
        <v>0</v>
      </c>
      <c r="C786" t="e">
        <f>B786/(日期!#REF!-日期!#REF!+1)</f>
        <v>#REF!</v>
      </c>
    </row>
    <row r="787" spans="2:3">
      <c r="B787">
        <f>SUMIFS(allorders!O:O,allorders!L:L,'数据处理(仓储使用)'!$A787,allorders!$AG:$AG,"&lt;="&amp;日期!#REF!,allorders!$AG:$AG,"&gt;="&amp;日期!#REF!)</f>
        <v>0</v>
      </c>
      <c r="C787" t="e">
        <f>B787/(日期!#REF!-日期!#REF!+1)</f>
        <v>#REF!</v>
      </c>
    </row>
    <row r="788" spans="2:3">
      <c r="B788">
        <f>SUMIFS(allorders!O:O,allorders!L:L,'数据处理(仓储使用)'!$A788,allorders!$AG:$AG,"&lt;="&amp;日期!#REF!,allorders!$AG:$AG,"&gt;="&amp;日期!#REF!)</f>
        <v>0</v>
      </c>
      <c r="C788" t="e">
        <f>B788/(日期!#REF!-日期!#REF!+1)</f>
        <v>#REF!</v>
      </c>
    </row>
    <row r="789" spans="2:3">
      <c r="B789">
        <f>SUMIFS(allorders!O:O,allorders!L:L,'数据处理(仓储使用)'!$A789,allorders!$AG:$AG,"&lt;="&amp;日期!#REF!,allorders!$AG:$AG,"&gt;="&amp;日期!#REF!)</f>
        <v>0</v>
      </c>
      <c r="C789" t="e">
        <f>B789/(日期!#REF!-日期!#REF!+1)</f>
        <v>#REF!</v>
      </c>
    </row>
    <row r="790" spans="2:3">
      <c r="B790">
        <f>SUMIFS(allorders!O:O,allorders!L:L,'数据处理(仓储使用)'!$A790,allorders!$AG:$AG,"&lt;="&amp;日期!#REF!,allorders!$AG:$AG,"&gt;="&amp;日期!#REF!)</f>
        <v>0</v>
      </c>
      <c r="C790" t="e">
        <f>B790/(日期!#REF!-日期!#REF!+1)</f>
        <v>#REF!</v>
      </c>
    </row>
    <row r="791" spans="2:3">
      <c r="B791">
        <f>SUMIFS(allorders!O:O,allorders!L:L,'数据处理(仓储使用)'!$A791,allorders!$AG:$AG,"&lt;="&amp;日期!#REF!,allorders!$AG:$AG,"&gt;="&amp;日期!#REF!)</f>
        <v>0</v>
      </c>
      <c r="C791" t="e">
        <f>B791/(日期!#REF!-日期!#REF!+1)</f>
        <v>#REF!</v>
      </c>
    </row>
    <row r="792" spans="2:3">
      <c r="B792">
        <f>SUMIFS(allorders!O:O,allorders!L:L,'数据处理(仓储使用)'!$A792,allorders!$AG:$AG,"&lt;="&amp;日期!#REF!,allorders!$AG:$AG,"&gt;="&amp;日期!#REF!)</f>
        <v>0</v>
      </c>
      <c r="C792" t="e">
        <f>B792/(日期!#REF!-日期!#REF!+1)</f>
        <v>#REF!</v>
      </c>
    </row>
    <row r="793" spans="2:3">
      <c r="B793">
        <f>SUMIFS(allorders!O:O,allorders!L:L,'数据处理(仓储使用)'!$A793,allorders!$AG:$AG,"&lt;="&amp;日期!#REF!,allorders!$AG:$AG,"&gt;="&amp;日期!#REF!)</f>
        <v>0</v>
      </c>
      <c r="C793" t="e">
        <f>B793/(日期!#REF!-日期!#REF!+1)</f>
        <v>#REF!</v>
      </c>
    </row>
    <row r="794" spans="2:3">
      <c r="B794">
        <f>SUMIFS(allorders!O:O,allorders!L:L,'数据处理(仓储使用)'!$A794,allorders!$AG:$AG,"&lt;="&amp;日期!#REF!,allorders!$AG:$AG,"&gt;="&amp;日期!#REF!)</f>
        <v>0</v>
      </c>
      <c r="C794" t="e">
        <f>B794/(日期!#REF!-日期!#REF!+1)</f>
        <v>#REF!</v>
      </c>
    </row>
    <row r="795" spans="2:3">
      <c r="B795">
        <f>SUMIFS(allorders!O:O,allorders!L:L,'数据处理(仓储使用)'!$A795,allorders!$AG:$AG,"&lt;="&amp;日期!#REF!,allorders!$AG:$AG,"&gt;="&amp;日期!#REF!)</f>
        <v>0</v>
      </c>
      <c r="C795" t="e">
        <f>B795/(日期!#REF!-日期!#REF!+1)</f>
        <v>#REF!</v>
      </c>
    </row>
    <row r="796" spans="2:3">
      <c r="B796">
        <f>SUMIFS(allorders!O:O,allorders!L:L,'数据处理(仓储使用)'!$A796,allorders!$AG:$AG,"&lt;="&amp;日期!#REF!,allorders!$AG:$AG,"&gt;="&amp;日期!#REF!)</f>
        <v>0</v>
      </c>
      <c r="C796" t="e">
        <f>B796/(日期!#REF!-日期!#REF!+1)</f>
        <v>#REF!</v>
      </c>
    </row>
    <row r="797" spans="2:3">
      <c r="B797">
        <f>SUMIFS(allorders!O:O,allorders!L:L,'数据处理(仓储使用)'!$A797,allorders!$AG:$AG,"&lt;="&amp;日期!#REF!,allorders!$AG:$AG,"&gt;="&amp;日期!#REF!)</f>
        <v>0</v>
      </c>
      <c r="C797" t="e">
        <f>B797/(日期!#REF!-日期!#REF!+1)</f>
        <v>#REF!</v>
      </c>
    </row>
    <row r="798" spans="2:3">
      <c r="B798">
        <f>SUMIFS(allorders!O:O,allorders!L:L,'数据处理(仓储使用)'!$A798,allorders!$AG:$AG,"&lt;="&amp;日期!#REF!,allorders!$AG:$AG,"&gt;="&amp;日期!#REF!)</f>
        <v>0</v>
      </c>
      <c r="C798" t="e">
        <f>B798/(日期!#REF!-日期!#REF!+1)</f>
        <v>#REF!</v>
      </c>
    </row>
    <row r="799" spans="2:3">
      <c r="B799">
        <f>SUMIFS(allorders!O:O,allorders!L:L,'数据处理(仓储使用)'!$A799,allorders!$AG:$AG,"&lt;="&amp;日期!#REF!,allorders!$AG:$AG,"&gt;="&amp;日期!#REF!)</f>
        <v>0</v>
      </c>
      <c r="C799" t="e">
        <f>B799/(日期!#REF!-日期!#REF!+1)</f>
        <v>#REF!</v>
      </c>
    </row>
    <row r="800" spans="2:3">
      <c r="B800">
        <f>SUMIFS(allorders!O:O,allorders!L:L,'数据处理(仓储使用)'!$A800,allorders!$AG:$AG,"&lt;="&amp;日期!#REF!,allorders!$AG:$AG,"&gt;="&amp;日期!#REF!)</f>
        <v>0</v>
      </c>
      <c r="C800" t="e">
        <f>B800/(日期!#REF!-日期!#REF!+1)</f>
        <v>#REF!</v>
      </c>
    </row>
    <row r="801" spans="2:3">
      <c r="B801">
        <f>SUMIFS(allorders!O:O,allorders!L:L,'数据处理(仓储使用)'!$A801,allorders!$AG:$AG,"&lt;="&amp;日期!#REF!,allorders!$AG:$AG,"&gt;="&amp;日期!#REF!)</f>
        <v>0</v>
      </c>
      <c r="C801" t="e">
        <f>B801/(日期!#REF!-日期!#REF!+1)</f>
        <v>#REF!</v>
      </c>
    </row>
    <row r="802" spans="2:3">
      <c r="B802">
        <f>SUMIFS(allorders!O:O,allorders!L:L,'数据处理(仓储使用)'!$A802,allorders!$AG:$AG,"&lt;="&amp;日期!#REF!,allorders!$AG:$AG,"&gt;="&amp;日期!#REF!)</f>
        <v>0</v>
      </c>
      <c r="C802" t="e">
        <f>B802/(日期!#REF!-日期!#REF!+1)</f>
        <v>#REF!</v>
      </c>
    </row>
    <row r="803" spans="2:3">
      <c r="B803">
        <f>SUMIFS(allorders!O:O,allorders!L:L,'数据处理(仓储使用)'!$A803,allorders!$AG:$AG,"&lt;="&amp;日期!#REF!,allorders!$AG:$AG,"&gt;="&amp;日期!#REF!)</f>
        <v>0</v>
      </c>
      <c r="C803" t="e">
        <f>B803/(日期!#REF!-日期!#REF!+1)</f>
        <v>#REF!</v>
      </c>
    </row>
    <row r="804" spans="2:3">
      <c r="B804">
        <f>SUMIFS(allorders!O:O,allorders!L:L,'数据处理(仓储使用)'!$A804,allorders!$AG:$AG,"&lt;="&amp;日期!#REF!,allorders!$AG:$AG,"&gt;="&amp;日期!#REF!)</f>
        <v>0</v>
      </c>
      <c r="C804" t="e">
        <f>B804/(日期!#REF!-日期!#REF!+1)</f>
        <v>#REF!</v>
      </c>
    </row>
    <row r="805" spans="2:3">
      <c r="B805">
        <f>SUMIFS(allorders!O:O,allorders!L:L,'数据处理(仓储使用)'!$A805,allorders!$AG:$AG,"&lt;="&amp;日期!#REF!,allorders!$AG:$AG,"&gt;="&amp;日期!#REF!)</f>
        <v>0</v>
      </c>
      <c r="C805" t="e">
        <f>B805/(日期!#REF!-日期!#REF!+1)</f>
        <v>#REF!</v>
      </c>
    </row>
    <row r="806" spans="2:3">
      <c r="B806">
        <f>SUMIFS(allorders!O:O,allorders!L:L,'数据处理(仓储使用)'!$A806,allorders!$AG:$AG,"&lt;="&amp;日期!#REF!,allorders!$AG:$AG,"&gt;="&amp;日期!#REF!)</f>
        <v>0</v>
      </c>
      <c r="C806" t="e">
        <f>B806/(日期!#REF!-日期!#REF!+1)</f>
        <v>#REF!</v>
      </c>
    </row>
    <row r="807" spans="2:3">
      <c r="B807">
        <f>SUMIFS(allorders!O:O,allorders!L:L,'数据处理(仓储使用)'!$A807,allorders!$AG:$AG,"&lt;="&amp;日期!#REF!,allorders!$AG:$AG,"&gt;="&amp;日期!#REF!)</f>
        <v>0</v>
      </c>
      <c r="C807" t="e">
        <f>B807/(日期!#REF!-日期!#REF!+1)</f>
        <v>#REF!</v>
      </c>
    </row>
    <row r="808" spans="2:3">
      <c r="B808">
        <f>SUMIFS(allorders!O:O,allorders!L:L,'数据处理(仓储使用)'!$A808,allorders!$AG:$AG,"&lt;="&amp;日期!#REF!,allorders!$AG:$AG,"&gt;="&amp;日期!#REF!)</f>
        <v>0</v>
      </c>
      <c r="C808" t="e">
        <f>B808/(日期!#REF!-日期!#REF!+1)</f>
        <v>#REF!</v>
      </c>
    </row>
    <row r="809" spans="2:3">
      <c r="B809">
        <f>SUMIFS(allorders!O:O,allorders!L:L,'数据处理(仓储使用)'!$A809,allorders!$AG:$AG,"&lt;="&amp;日期!#REF!,allorders!$AG:$AG,"&gt;="&amp;日期!#REF!)</f>
        <v>0</v>
      </c>
      <c r="C809" t="e">
        <f>B809/(日期!#REF!-日期!#REF!+1)</f>
        <v>#REF!</v>
      </c>
    </row>
    <row r="810" spans="2:3">
      <c r="B810">
        <f>SUMIFS(allorders!O:O,allorders!L:L,'数据处理(仓储使用)'!$A810,allorders!$AG:$AG,"&lt;="&amp;日期!#REF!,allorders!$AG:$AG,"&gt;="&amp;日期!#REF!)</f>
        <v>0</v>
      </c>
      <c r="C810" t="e">
        <f>B810/(日期!#REF!-日期!#REF!+1)</f>
        <v>#REF!</v>
      </c>
    </row>
    <row r="811" spans="2:3">
      <c r="B811">
        <f>SUMIFS(allorders!O:O,allorders!L:L,'数据处理(仓储使用)'!$A811,allorders!$AG:$AG,"&lt;="&amp;日期!#REF!,allorders!$AG:$AG,"&gt;="&amp;日期!#REF!)</f>
        <v>0</v>
      </c>
      <c r="C811" t="e">
        <f>B811/(日期!#REF!-日期!#REF!+1)</f>
        <v>#REF!</v>
      </c>
    </row>
    <row r="812" spans="2:3">
      <c r="B812">
        <f>SUMIFS(allorders!O:O,allorders!L:L,'数据处理(仓储使用)'!$A812,allorders!$AG:$AG,"&lt;="&amp;日期!#REF!,allorders!$AG:$AG,"&gt;="&amp;日期!#REF!)</f>
        <v>0</v>
      </c>
      <c r="C812" t="e">
        <f>B812/(日期!#REF!-日期!#REF!+1)</f>
        <v>#REF!</v>
      </c>
    </row>
    <row r="813" spans="2:3">
      <c r="B813">
        <f>SUMIFS(allorders!O:O,allorders!L:L,'数据处理(仓储使用)'!$A813,allorders!$AG:$AG,"&lt;="&amp;日期!#REF!,allorders!$AG:$AG,"&gt;="&amp;日期!#REF!)</f>
        <v>0</v>
      </c>
      <c r="C813" t="e">
        <f>B813/(日期!#REF!-日期!#REF!+1)</f>
        <v>#REF!</v>
      </c>
    </row>
    <row r="814" spans="2:3">
      <c r="B814">
        <f>SUMIFS(allorders!O:O,allorders!L:L,'数据处理(仓储使用)'!$A814,allorders!$AG:$AG,"&lt;="&amp;日期!#REF!,allorders!$AG:$AG,"&gt;="&amp;日期!#REF!)</f>
        <v>0</v>
      </c>
      <c r="C814" t="e">
        <f>B814/(日期!#REF!-日期!#REF!+1)</f>
        <v>#REF!</v>
      </c>
    </row>
    <row r="815" spans="2:3">
      <c r="B815">
        <f>SUMIFS(allorders!O:O,allorders!L:L,'数据处理(仓储使用)'!$A815,allorders!$AG:$AG,"&lt;="&amp;日期!#REF!,allorders!$AG:$AG,"&gt;="&amp;日期!#REF!)</f>
        <v>0</v>
      </c>
      <c r="C815" t="e">
        <f>B815/(日期!#REF!-日期!#REF!+1)</f>
        <v>#REF!</v>
      </c>
    </row>
    <row r="816" spans="2:3">
      <c r="B816">
        <f>SUMIFS(allorders!O:O,allorders!L:L,'数据处理(仓储使用)'!$A816,allorders!$AG:$AG,"&lt;="&amp;日期!#REF!,allorders!$AG:$AG,"&gt;="&amp;日期!#REF!)</f>
        <v>0</v>
      </c>
      <c r="C816" t="e">
        <f>B816/(日期!#REF!-日期!#REF!+1)</f>
        <v>#REF!</v>
      </c>
    </row>
    <row r="817" spans="2:3">
      <c r="B817">
        <f>SUMIFS(allorders!O:O,allorders!L:L,'数据处理(仓储使用)'!$A817,allorders!$AG:$AG,"&lt;="&amp;日期!#REF!,allorders!$AG:$AG,"&gt;="&amp;日期!#REF!)</f>
        <v>0</v>
      </c>
      <c r="C817" t="e">
        <f>B817/(日期!#REF!-日期!#REF!+1)</f>
        <v>#REF!</v>
      </c>
    </row>
    <row r="818" spans="2:3">
      <c r="B818">
        <f>SUMIFS(allorders!O:O,allorders!L:L,'数据处理(仓储使用)'!$A818,allorders!$AG:$AG,"&lt;="&amp;日期!#REF!,allorders!$AG:$AG,"&gt;="&amp;日期!#REF!)</f>
        <v>0</v>
      </c>
      <c r="C818" t="e">
        <f>B818/(日期!#REF!-日期!#REF!+1)</f>
        <v>#REF!</v>
      </c>
    </row>
    <row r="819" spans="2:3">
      <c r="B819">
        <f>SUMIFS(allorders!O:O,allorders!L:L,'数据处理(仓储使用)'!$A819,allorders!$AG:$AG,"&lt;="&amp;日期!#REF!,allorders!$AG:$AG,"&gt;="&amp;日期!#REF!)</f>
        <v>0</v>
      </c>
      <c r="C819" t="e">
        <f>B819/(日期!#REF!-日期!#REF!+1)</f>
        <v>#REF!</v>
      </c>
    </row>
    <row r="820" spans="2:3">
      <c r="B820">
        <f>SUMIFS(allorders!O:O,allorders!L:L,'数据处理(仓储使用)'!$A820,allorders!$AG:$AG,"&lt;="&amp;日期!#REF!,allorders!$AG:$AG,"&gt;="&amp;日期!#REF!)</f>
        <v>0</v>
      </c>
      <c r="C820" t="e">
        <f>B820/(日期!#REF!-日期!#REF!+1)</f>
        <v>#REF!</v>
      </c>
    </row>
    <row r="821" spans="2:3">
      <c r="B821">
        <f>SUMIFS(allorders!O:O,allorders!L:L,'数据处理(仓储使用)'!$A821,allorders!$AG:$AG,"&lt;="&amp;日期!#REF!,allorders!$AG:$AG,"&gt;="&amp;日期!#REF!)</f>
        <v>0</v>
      </c>
      <c r="C821" t="e">
        <f>B821/(日期!#REF!-日期!#REF!+1)</f>
        <v>#REF!</v>
      </c>
    </row>
    <row r="822" spans="2:3">
      <c r="B822">
        <f>SUMIFS(allorders!O:O,allorders!L:L,'数据处理(仓储使用)'!$A822,allorders!$AG:$AG,"&lt;="&amp;日期!#REF!,allorders!$AG:$AG,"&gt;="&amp;日期!#REF!)</f>
        <v>0</v>
      </c>
      <c r="C822" t="e">
        <f>B822/(日期!#REF!-日期!#REF!+1)</f>
        <v>#REF!</v>
      </c>
    </row>
    <row r="823" spans="2:3">
      <c r="B823">
        <f>SUMIFS(allorders!O:O,allorders!L:L,'数据处理(仓储使用)'!$A823,allorders!$AG:$AG,"&lt;="&amp;日期!#REF!,allorders!$AG:$AG,"&gt;="&amp;日期!#REF!)</f>
        <v>0</v>
      </c>
      <c r="C823" t="e">
        <f>B823/(日期!#REF!-日期!#REF!+1)</f>
        <v>#REF!</v>
      </c>
    </row>
    <row r="824" spans="2:3">
      <c r="B824">
        <f>SUMIFS(allorders!O:O,allorders!L:L,'数据处理(仓储使用)'!$A824,allorders!$AG:$AG,"&lt;="&amp;日期!#REF!,allorders!$AG:$AG,"&gt;="&amp;日期!#REF!)</f>
        <v>0</v>
      </c>
      <c r="C824" t="e">
        <f>B824/(日期!#REF!-日期!#REF!+1)</f>
        <v>#REF!</v>
      </c>
    </row>
    <row r="825" spans="2:3">
      <c r="B825">
        <f>SUMIFS(allorders!O:O,allorders!L:L,'数据处理(仓储使用)'!$A825,allorders!$AG:$AG,"&lt;="&amp;日期!#REF!,allorders!$AG:$AG,"&gt;="&amp;日期!#REF!)</f>
        <v>0</v>
      </c>
      <c r="C825" t="e">
        <f>B825/(日期!#REF!-日期!#REF!+1)</f>
        <v>#REF!</v>
      </c>
    </row>
    <row r="826" spans="2:3">
      <c r="B826">
        <f>SUMIFS(allorders!O:O,allorders!L:L,'数据处理(仓储使用)'!$A826,allorders!$AG:$AG,"&lt;="&amp;日期!#REF!,allorders!$AG:$AG,"&gt;="&amp;日期!#REF!)</f>
        <v>0</v>
      </c>
      <c r="C826" t="e">
        <f>B826/(日期!#REF!-日期!#REF!+1)</f>
        <v>#REF!</v>
      </c>
    </row>
    <row r="827" spans="2:3">
      <c r="B827">
        <f>SUMIFS(allorders!O:O,allorders!L:L,'数据处理(仓储使用)'!$A827,allorders!$AG:$AG,"&lt;="&amp;日期!#REF!,allorders!$AG:$AG,"&gt;="&amp;日期!#REF!)</f>
        <v>0</v>
      </c>
      <c r="C827" t="e">
        <f>B827/(日期!#REF!-日期!#REF!+1)</f>
        <v>#REF!</v>
      </c>
    </row>
    <row r="828" spans="2:3">
      <c r="B828">
        <f>SUMIFS(allorders!O:O,allorders!L:L,'数据处理(仓储使用)'!$A828,allorders!$AG:$AG,"&lt;="&amp;日期!#REF!,allorders!$AG:$AG,"&gt;="&amp;日期!#REF!)</f>
        <v>0</v>
      </c>
      <c r="C828" t="e">
        <f>B828/(日期!#REF!-日期!#REF!+1)</f>
        <v>#REF!</v>
      </c>
    </row>
    <row r="829" spans="2:3">
      <c r="B829">
        <f>SUMIFS(allorders!O:O,allorders!L:L,'数据处理(仓储使用)'!$A829,allorders!$AG:$AG,"&lt;="&amp;日期!#REF!,allorders!$AG:$AG,"&gt;="&amp;日期!#REF!)</f>
        <v>0</v>
      </c>
      <c r="C829" t="e">
        <f>B829/(日期!#REF!-日期!#REF!+1)</f>
        <v>#REF!</v>
      </c>
    </row>
    <row r="830" spans="2:3">
      <c r="B830">
        <f>SUMIFS(allorders!O:O,allorders!L:L,'数据处理(仓储使用)'!$A830,allorders!$AG:$AG,"&lt;="&amp;日期!#REF!,allorders!$AG:$AG,"&gt;="&amp;日期!#REF!)</f>
        <v>0</v>
      </c>
      <c r="C830" t="e">
        <f>B830/(日期!#REF!-日期!#REF!+1)</f>
        <v>#REF!</v>
      </c>
    </row>
    <row r="831" spans="2:3">
      <c r="B831">
        <f>SUMIFS(allorders!O:O,allorders!L:L,'数据处理(仓储使用)'!$A831,allorders!$AG:$AG,"&lt;="&amp;日期!#REF!,allorders!$AG:$AG,"&gt;="&amp;日期!#REF!)</f>
        <v>0</v>
      </c>
      <c r="C831" t="e">
        <f>B831/(日期!#REF!-日期!#REF!+1)</f>
        <v>#REF!</v>
      </c>
    </row>
    <row r="832" spans="2:3">
      <c r="B832">
        <f>SUMIFS(allorders!O:O,allorders!L:L,'数据处理(仓储使用)'!$A832,allorders!$AG:$AG,"&lt;="&amp;日期!#REF!,allorders!$AG:$AG,"&gt;="&amp;日期!#REF!)</f>
        <v>0</v>
      </c>
      <c r="C832" t="e">
        <f>B832/(日期!#REF!-日期!#REF!+1)</f>
        <v>#REF!</v>
      </c>
    </row>
    <row r="833" spans="2:3">
      <c r="B833">
        <f>SUMIFS(allorders!O:O,allorders!L:L,'数据处理(仓储使用)'!$A833,allorders!$AG:$AG,"&lt;="&amp;日期!#REF!,allorders!$AG:$AG,"&gt;="&amp;日期!#REF!)</f>
        <v>0</v>
      </c>
      <c r="C833" t="e">
        <f>B833/(日期!#REF!-日期!#REF!+1)</f>
        <v>#REF!</v>
      </c>
    </row>
    <row r="834" spans="2:3">
      <c r="B834">
        <f>SUMIFS(allorders!O:O,allorders!L:L,'数据处理(仓储使用)'!$A834,allorders!$AG:$AG,"&lt;="&amp;日期!#REF!,allorders!$AG:$AG,"&gt;="&amp;日期!#REF!)</f>
        <v>0</v>
      </c>
      <c r="C834" t="e">
        <f>B834/(日期!#REF!-日期!#REF!+1)</f>
        <v>#REF!</v>
      </c>
    </row>
    <row r="835" spans="2:3">
      <c r="B835">
        <f>SUMIFS(allorders!O:O,allorders!L:L,'数据处理(仓储使用)'!$A835,allorders!$AG:$AG,"&lt;="&amp;日期!#REF!,allorders!$AG:$AG,"&gt;="&amp;日期!#REF!)</f>
        <v>0</v>
      </c>
      <c r="C835" t="e">
        <f>B835/(日期!#REF!-日期!#REF!+1)</f>
        <v>#REF!</v>
      </c>
    </row>
    <row r="836" spans="2:3">
      <c r="B836">
        <f>SUMIFS(allorders!O:O,allorders!L:L,'数据处理(仓储使用)'!$A836,allorders!$AG:$AG,"&lt;="&amp;日期!#REF!,allorders!$AG:$AG,"&gt;="&amp;日期!#REF!)</f>
        <v>0</v>
      </c>
      <c r="C836" t="e">
        <f>B836/(日期!#REF!-日期!#REF!+1)</f>
        <v>#REF!</v>
      </c>
    </row>
    <row r="837" spans="2:3">
      <c r="B837">
        <f>SUMIFS(allorders!O:O,allorders!L:L,'数据处理(仓储使用)'!$A837,allorders!$AG:$AG,"&lt;="&amp;日期!#REF!,allorders!$AG:$AG,"&gt;="&amp;日期!#REF!)</f>
        <v>0</v>
      </c>
      <c r="C837" t="e">
        <f>B837/(日期!#REF!-日期!#REF!+1)</f>
        <v>#REF!</v>
      </c>
    </row>
    <row r="838" spans="2:3">
      <c r="B838">
        <f>SUMIFS(allorders!O:O,allorders!L:L,'数据处理(仓储使用)'!$A838,allorders!$AG:$AG,"&lt;="&amp;日期!#REF!,allorders!$AG:$AG,"&gt;="&amp;日期!#REF!)</f>
        <v>0</v>
      </c>
      <c r="C838" t="e">
        <f>B838/(日期!#REF!-日期!#REF!+1)</f>
        <v>#REF!</v>
      </c>
    </row>
    <row r="839" spans="2:3">
      <c r="B839">
        <f>SUMIFS(allorders!O:O,allorders!L:L,'数据处理(仓储使用)'!$A839,allorders!$AG:$AG,"&lt;="&amp;日期!#REF!,allorders!$AG:$AG,"&gt;="&amp;日期!#REF!)</f>
        <v>0</v>
      </c>
      <c r="C839" t="e">
        <f>B839/(日期!#REF!-日期!#REF!+1)</f>
        <v>#REF!</v>
      </c>
    </row>
    <row r="840" spans="2:3">
      <c r="B840">
        <f>SUMIFS(allorders!O:O,allorders!L:L,'数据处理(仓储使用)'!$A840,allorders!$AG:$AG,"&lt;="&amp;日期!#REF!,allorders!$AG:$AG,"&gt;="&amp;日期!#REF!)</f>
        <v>0</v>
      </c>
      <c r="C840" t="e">
        <f>B840/(日期!#REF!-日期!#REF!+1)</f>
        <v>#REF!</v>
      </c>
    </row>
    <row r="841" spans="2:3">
      <c r="B841">
        <f>SUMIFS(allorders!O:O,allorders!L:L,'数据处理(仓储使用)'!$A841,allorders!$AG:$AG,"&lt;="&amp;日期!#REF!,allorders!$AG:$AG,"&gt;="&amp;日期!#REF!)</f>
        <v>0</v>
      </c>
      <c r="C841" t="e">
        <f>B841/(日期!#REF!-日期!#REF!+1)</f>
        <v>#REF!</v>
      </c>
    </row>
    <row r="842" spans="2:3">
      <c r="B842">
        <f>SUMIFS(allorders!O:O,allorders!L:L,'数据处理(仓储使用)'!$A842,allorders!$AG:$AG,"&lt;="&amp;日期!#REF!,allorders!$AG:$AG,"&gt;="&amp;日期!#REF!)</f>
        <v>0</v>
      </c>
      <c r="C842" t="e">
        <f>B842/(日期!#REF!-日期!#REF!+1)</f>
        <v>#REF!</v>
      </c>
    </row>
    <row r="843" spans="2:3">
      <c r="B843">
        <f>SUMIFS(allorders!O:O,allorders!L:L,'数据处理(仓储使用)'!$A843,allorders!$AG:$AG,"&lt;="&amp;日期!#REF!,allorders!$AG:$AG,"&gt;="&amp;日期!#REF!)</f>
        <v>0</v>
      </c>
      <c r="C843" t="e">
        <f>B843/(日期!#REF!-日期!#REF!+1)</f>
        <v>#REF!</v>
      </c>
    </row>
    <row r="844" spans="2:3">
      <c r="B844">
        <f>SUMIFS(allorders!O:O,allorders!L:L,'数据处理(仓储使用)'!$A844,allorders!$AG:$AG,"&lt;="&amp;日期!#REF!,allorders!$AG:$AG,"&gt;="&amp;日期!#REF!)</f>
        <v>0</v>
      </c>
      <c r="C844" t="e">
        <f>B844/(日期!#REF!-日期!#REF!+1)</f>
        <v>#REF!</v>
      </c>
    </row>
    <row r="845" spans="2:3">
      <c r="B845">
        <f>SUMIFS(allorders!O:O,allorders!L:L,'数据处理(仓储使用)'!$A845,allorders!$AG:$AG,"&lt;="&amp;日期!#REF!,allorders!$AG:$AG,"&gt;="&amp;日期!#REF!)</f>
        <v>0</v>
      </c>
      <c r="C845" t="e">
        <f>B845/(日期!#REF!-日期!#REF!+1)</f>
        <v>#REF!</v>
      </c>
    </row>
    <row r="846" spans="2:3">
      <c r="B846">
        <f>SUMIFS(allorders!O:O,allorders!L:L,'数据处理(仓储使用)'!$A846,allorders!$AG:$AG,"&lt;="&amp;日期!#REF!,allorders!$AG:$AG,"&gt;="&amp;日期!#REF!)</f>
        <v>0</v>
      </c>
      <c r="C846" t="e">
        <f>B846/(日期!#REF!-日期!#REF!+1)</f>
        <v>#REF!</v>
      </c>
    </row>
    <row r="847" spans="2:3">
      <c r="B847">
        <f>SUMIFS(allorders!O:O,allorders!L:L,'数据处理(仓储使用)'!$A847,allorders!$AG:$AG,"&lt;="&amp;日期!#REF!,allorders!$AG:$AG,"&gt;="&amp;日期!#REF!)</f>
        <v>0</v>
      </c>
      <c r="C847" t="e">
        <f>B847/(日期!#REF!-日期!#REF!+1)</f>
        <v>#REF!</v>
      </c>
    </row>
    <row r="848" spans="2:3">
      <c r="B848">
        <f>SUMIFS(allorders!O:O,allorders!L:L,'数据处理(仓储使用)'!$A848,allorders!$AG:$AG,"&lt;="&amp;日期!#REF!,allorders!$AG:$AG,"&gt;="&amp;日期!#REF!)</f>
        <v>0</v>
      </c>
      <c r="C848" t="e">
        <f>B848/(日期!#REF!-日期!#REF!+1)</f>
        <v>#REF!</v>
      </c>
    </row>
    <row r="849" spans="2:3">
      <c r="B849">
        <f>SUMIFS(allorders!O:O,allorders!L:L,'数据处理(仓储使用)'!$A849,allorders!$AG:$AG,"&lt;="&amp;日期!#REF!,allorders!$AG:$AG,"&gt;="&amp;日期!#REF!)</f>
        <v>0</v>
      </c>
      <c r="C849" t="e">
        <f>B849/(日期!#REF!-日期!#REF!+1)</f>
        <v>#REF!</v>
      </c>
    </row>
    <row r="850" spans="2:3">
      <c r="B850">
        <f>SUMIFS(allorders!O:O,allorders!L:L,'数据处理(仓储使用)'!$A850,allorders!$AG:$AG,"&lt;="&amp;日期!#REF!,allorders!$AG:$AG,"&gt;="&amp;日期!#REF!)</f>
        <v>0</v>
      </c>
      <c r="C850" t="e">
        <f>B850/(日期!#REF!-日期!#REF!+1)</f>
        <v>#REF!</v>
      </c>
    </row>
    <row r="851" spans="2:3">
      <c r="B851">
        <f>SUMIFS(allorders!O:O,allorders!L:L,'数据处理(仓储使用)'!$A851,allorders!$AG:$AG,"&lt;="&amp;日期!#REF!,allorders!$AG:$AG,"&gt;="&amp;日期!#REF!)</f>
        <v>0</v>
      </c>
      <c r="C851" t="e">
        <f>B851/(日期!#REF!-日期!#REF!+1)</f>
        <v>#REF!</v>
      </c>
    </row>
    <row r="852" spans="2:3">
      <c r="B852">
        <f>SUMIFS(allorders!O:O,allorders!L:L,'数据处理(仓储使用)'!$A852,allorders!$AG:$AG,"&lt;="&amp;日期!#REF!,allorders!$AG:$AG,"&gt;="&amp;日期!#REF!)</f>
        <v>0</v>
      </c>
      <c r="C852" t="e">
        <f>B852/(日期!#REF!-日期!#REF!+1)</f>
        <v>#REF!</v>
      </c>
    </row>
    <row r="853" spans="2:3">
      <c r="B853">
        <f>SUMIFS(allorders!O:O,allorders!L:L,'数据处理(仓储使用)'!$A853,allorders!$AG:$AG,"&lt;="&amp;日期!#REF!,allorders!$AG:$AG,"&gt;="&amp;日期!#REF!)</f>
        <v>0</v>
      </c>
      <c r="C853" t="e">
        <f>B853/(日期!#REF!-日期!#REF!+1)</f>
        <v>#REF!</v>
      </c>
    </row>
    <row r="854" spans="2:3">
      <c r="B854">
        <f>SUMIFS(allorders!O:O,allorders!L:L,'数据处理(仓储使用)'!$A854,allorders!$AG:$AG,"&lt;="&amp;日期!#REF!,allorders!$AG:$AG,"&gt;="&amp;日期!#REF!)</f>
        <v>0</v>
      </c>
      <c r="C854" t="e">
        <f>B854/(日期!#REF!-日期!#REF!+1)</f>
        <v>#REF!</v>
      </c>
    </row>
    <row r="855" spans="2:3">
      <c r="B855">
        <f>SUMIFS(allorders!O:O,allorders!L:L,'数据处理(仓储使用)'!$A855,allorders!$AG:$AG,"&lt;="&amp;日期!#REF!,allorders!$AG:$AG,"&gt;="&amp;日期!#REF!)</f>
        <v>0</v>
      </c>
      <c r="C855" t="e">
        <f>B855/(日期!#REF!-日期!#REF!+1)</f>
        <v>#REF!</v>
      </c>
    </row>
    <row r="856" spans="2:3">
      <c r="B856">
        <f>SUMIFS(allorders!O:O,allorders!L:L,'数据处理(仓储使用)'!$A856,allorders!$AG:$AG,"&lt;="&amp;日期!#REF!,allorders!$AG:$AG,"&gt;="&amp;日期!#REF!)</f>
        <v>0</v>
      </c>
      <c r="C856" t="e">
        <f>B856/(日期!#REF!-日期!#REF!+1)</f>
        <v>#REF!</v>
      </c>
    </row>
    <row r="857" spans="2:3">
      <c r="B857">
        <f>SUMIFS(allorders!O:O,allorders!L:L,'数据处理(仓储使用)'!$A857,allorders!$AG:$AG,"&lt;="&amp;日期!#REF!,allorders!$AG:$AG,"&gt;="&amp;日期!#REF!)</f>
        <v>0</v>
      </c>
      <c r="C857" t="e">
        <f>B857/(日期!#REF!-日期!#REF!+1)</f>
        <v>#REF!</v>
      </c>
    </row>
    <row r="858" spans="2:3">
      <c r="B858">
        <f>SUMIFS(allorders!O:O,allorders!L:L,'数据处理(仓储使用)'!$A858,allorders!$AG:$AG,"&lt;="&amp;日期!#REF!,allorders!$AG:$AG,"&gt;="&amp;日期!#REF!)</f>
        <v>0</v>
      </c>
      <c r="C858" t="e">
        <f>B858/(日期!#REF!-日期!#REF!+1)</f>
        <v>#REF!</v>
      </c>
    </row>
    <row r="859" spans="2:3">
      <c r="B859">
        <f>SUMIFS(allorders!O:O,allorders!L:L,'数据处理(仓储使用)'!$A859,allorders!$AG:$AG,"&lt;="&amp;日期!#REF!,allorders!$AG:$AG,"&gt;="&amp;日期!#REF!)</f>
        <v>0</v>
      </c>
      <c r="C859" t="e">
        <f>B859/(日期!#REF!-日期!#REF!+1)</f>
        <v>#REF!</v>
      </c>
    </row>
    <row r="860" spans="2:3">
      <c r="B860">
        <f>SUMIFS(allorders!O:O,allorders!L:L,'数据处理(仓储使用)'!$A860,allorders!$AG:$AG,"&lt;="&amp;日期!#REF!,allorders!$AG:$AG,"&gt;="&amp;日期!#REF!)</f>
        <v>0</v>
      </c>
      <c r="C860" t="e">
        <f>B860/(日期!#REF!-日期!#REF!+1)</f>
        <v>#REF!</v>
      </c>
    </row>
    <row r="861" spans="2:3">
      <c r="B861">
        <f>SUMIFS(allorders!O:O,allorders!L:L,'数据处理(仓储使用)'!$A861,allorders!$AG:$AG,"&lt;="&amp;日期!#REF!,allorders!$AG:$AG,"&gt;="&amp;日期!#REF!)</f>
        <v>0</v>
      </c>
      <c r="C861" t="e">
        <f>B861/(日期!#REF!-日期!#REF!+1)</f>
        <v>#REF!</v>
      </c>
    </row>
    <row r="862" spans="2:3">
      <c r="B862">
        <f>SUMIFS(allorders!O:O,allorders!L:L,'数据处理(仓储使用)'!$A862,allorders!$AG:$AG,"&lt;="&amp;日期!#REF!,allorders!$AG:$AG,"&gt;="&amp;日期!#REF!)</f>
        <v>0</v>
      </c>
      <c r="C862" t="e">
        <f>B862/(日期!#REF!-日期!#REF!+1)</f>
        <v>#REF!</v>
      </c>
    </row>
    <row r="863" spans="2:3">
      <c r="B863">
        <f>SUMIFS(allorders!O:O,allorders!L:L,'数据处理(仓储使用)'!$A863,allorders!$AG:$AG,"&lt;="&amp;日期!#REF!,allorders!$AG:$AG,"&gt;="&amp;日期!#REF!)</f>
        <v>0</v>
      </c>
      <c r="C863" t="e">
        <f>B863/(日期!#REF!-日期!#REF!+1)</f>
        <v>#REF!</v>
      </c>
    </row>
    <row r="864" spans="2:3">
      <c r="B864">
        <f>SUMIFS(allorders!O:O,allorders!L:L,'数据处理(仓储使用)'!$A864,allorders!$AG:$AG,"&lt;="&amp;日期!#REF!,allorders!$AG:$AG,"&gt;="&amp;日期!#REF!)</f>
        <v>0</v>
      </c>
      <c r="C864" t="e">
        <f>B864/(日期!#REF!-日期!#REF!+1)</f>
        <v>#REF!</v>
      </c>
    </row>
    <row r="865" spans="2:3">
      <c r="B865">
        <f>SUMIFS(allorders!O:O,allorders!L:L,'数据处理(仓储使用)'!$A865,allorders!$AG:$AG,"&lt;="&amp;日期!#REF!,allorders!$AG:$AG,"&gt;="&amp;日期!#REF!)</f>
        <v>0</v>
      </c>
      <c r="C865" t="e">
        <f>B865/(日期!#REF!-日期!#REF!+1)</f>
        <v>#REF!</v>
      </c>
    </row>
    <row r="866" spans="2:3">
      <c r="B866">
        <f>SUMIFS(allorders!O:O,allorders!L:L,'数据处理(仓储使用)'!$A866,allorders!$AG:$AG,"&lt;="&amp;日期!#REF!,allorders!$AG:$AG,"&gt;="&amp;日期!#REF!)</f>
        <v>0</v>
      </c>
      <c r="C866" t="e">
        <f>B866/(日期!#REF!-日期!#REF!+1)</f>
        <v>#REF!</v>
      </c>
    </row>
    <row r="867" spans="2:3">
      <c r="B867">
        <f>SUMIFS(allorders!O:O,allorders!L:L,'数据处理(仓储使用)'!$A867,allorders!$AG:$AG,"&lt;="&amp;日期!#REF!,allorders!$AG:$AG,"&gt;="&amp;日期!#REF!)</f>
        <v>0</v>
      </c>
      <c r="C867" t="e">
        <f>B867/(日期!#REF!-日期!#REF!+1)</f>
        <v>#REF!</v>
      </c>
    </row>
    <row r="868" spans="2:3">
      <c r="B868">
        <f>SUMIFS(allorders!O:O,allorders!L:L,'数据处理(仓储使用)'!$A868,allorders!$AG:$AG,"&lt;="&amp;日期!#REF!,allorders!$AG:$AG,"&gt;="&amp;日期!#REF!)</f>
        <v>0</v>
      </c>
      <c r="C868" t="e">
        <f>B868/(日期!#REF!-日期!#REF!+1)</f>
        <v>#REF!</v>
      </c>
    </row>
    <row r="869" spans="2:3">
      <c r="B869">
        <f>SUMIFS(allorders!O:O,allorders!L:L,'数据处理(仓储使用)'!$A869,allorders!$AG:$AG,"&lt;="&amp;日期!#REF!,allorders!$AG:$AG,"&gt;="&amp;日期!#REF!)</f>
        <v>0</v>
      </c>
      <c r="C869" t="e">
        <f>B869/(日期!#REF!-日期!#REF!+1)</f>
        <v>#REF!</v>
      </c>
    </row>
    <row r="870" spans="2:3">
      <c r="B870">
        <f>SUMIFS(allorders!O:O,allorders!L:L,'数据处理(仓储使用)'!$A870,allorders!$AG:$AG,"&lt;="&amp;日期!#REF!,allorders!$AG:$AG,"&gt;="&amp;日期!#REF!)</f>
        <v>0</v>
      </c>
      <c r="C870" t="e">
        <f>B870/(日期!#REF!-日期!#REF!+1)</f>
        <v>#REF!</v>
      </c>
    </row>
    <row r="871" spans="2:3">
      <c r="B871">
        <f>SUMIFS(allorders!O:O,allorders!L:L,'数据处理(仓储使用)'!$A871,allorders!$AG:$AG,"&lt;="&amp;日期!#REF!,allorders!$AG:$AG,"&gt;="&amp;日期!#REF!)</f>
        <v>0</v>
      </c>
      <c r="C871" t="e">
        <f>B871/(日期!#REF!-日期!#REF!+1)</f>
        <v>#REF!</v>
      </c>
    </row>
    <row r="872" spans="2:3">
      <c r="B872">
        <f>SUMIFS(allorders!O:O,allorders!L:L,'数据处理(仓储使用)'!$A872,allorders!$AG:$AG,"&lt;="&amp;日期!#REF!,allorders!$AG:$AG,"&gt;="&amp;日期!#REF!)</f>
        <v>0</v>
      </c>
      <c r="C872" t="e">
        <f>B872/(日期!#REF!-日期!#REF!+1)</f>
        <v>#REF!</v>
      </c>
    </row>
    <row r="873" spans="2:3">
      <c r="B873">
        <f>SUMIFS(allorders!O:O,allorders!L:L,'数据处理(仓储使用)'!$A873,allorders!$AG:$AG,"&lt;="&amp;日期!#REF!,allorders!$AG:$AG,"&gt;="&amp;日期!#REF!)</f>
        <v>0</v>
      </c>
      <c r="C873" t="e">
        <f>B873/(日期!#REF!-日期!#REF!+1)</f>
        <v>#REF!</v>
      </c>
    </row>
    <row r="874" spans="2:3">
      <c r="B874">
        <f>SUMIFS(allorders!O:O,allorders!L:L,'数据处理(仓储使用)'!$A874,allorders!$AG:$AG,"&lt;="&amp;日期!#REF!,allorders!$AG:$AG,"&gt;="&amp;日期!#REF!)</f>
        <v>0</v>
      </c>
      <c r="C874" t="e">
        <f>B874/(日期!#REF!-日期!#REF!+1)</f>
        <v>#REF!</v>
      </c>
    </row>
    <row r="875" spans="2:3">
      <c r="B875">
        <f>SUMIFS(allorders!O:O,allorders!L:L,'数据处理(仓储使用)'!$A875,allorders!$AG:$AG,"&lt;="&amp;日期!#REF!,allorders!$AG:$AG,"&gt;="&amp;日期!#REF!)</f>
        <v>0</v>
      </c>
      <c r="C875" t="e">
        <f>B875/(日期!#REF!-日期!#REF!+1)</f>
        <v>#REF!</v>
      </c>
    </row>
    <row r="876" spans="2:3">
      <c r="B876">
        <f>SUMIFS(allorders!O:O,allorders!L:L,'数据处理(仓储使用)'!$A876,allorders!$AG:$AG,"&lt;="&amp;日期!#REF!,allorders!$AG:$AG,"&gt;="&amp;日期!#REF!)</f>
        <v>0</v>
      </c>
      <c r="C876" t="e">
        <f>B876/(日期!#REF!-日期!#REF!+1)</f>
        <v>#REF!</v>
      </c>
    </row>
    <row r="877" spans="2:3">
      <c r="B877">
        <f>SUMIFS(allorders!O:O,allorders!L:L,'数据处理(仓储使用)'!$A877,allorders!$AG:$AG,"&lt;="&amp;日期!#REF!,allorders!$AG:$AG,"&gt;="&amp;日期!#REF!)</f>
        <v>0</v>
      </c>
      <c r="C877" t="e">
        <f>B877/(日期!#REF!-日期!#REF!+1)</f>
        <v>#REF!</v>
      </c>
    </row>
    <row r="878" spans="2:3">
      <c r="B878">
        <f>SUMIFS(allorders!O:O,allorders!L:L,'数据处理(仓储使用)'!$A878,allorders!$AG:$AG,"&lt;="&amp;日期!#REF!,allorders!$AG:$AG,"&gt;="&amp;日期!#REF!)</f>
        <v>0</v>
      </c>
      <c r="C878" t="e">
        <f>B878/(日期!#REF!-日期!#REF!+1)</f>
        <v>#REF!</v>
      </c>
    </row>
    <row r="879" spans="2:3">
      <c r="B879">
        <f>SUMIFS(allorders!O:O,allorders!L:L,'数据处理(仓储使用)'!$A879,allorders!$AG:$AG,"&lt;="&amp;日期!#REF!,allorders!$AG:$AG,"&gt;="&amp;日期!#REF!)</f>
        <v>0</v>
      </c>
      <c r="C879" t="e">
        <f>B879/(日期!#REF!-日期!#REF!+1)</f>
        <v>#REF!</v>
      </c>
    </row>
    <row r="880" spans="2:3">
      <c r="B880">
        <f>SUMIFS(allorders!O:O,allorders!L:L,'数据处理(仓储使用)'!$A880,allorders!$AG:$AG,"&lt;="&amp;日期!#REF!,allorders!$AG:$AG,"&gt;="&amp;日期!#REF!)</f>
        <v>0</v>
      </c>
      <c r="C880" t="e">
        <f>B880/(日期!#REF!-日期!#REF!+1)</f>
        <v>#REF!</v>
      </c>
    </row>
    <row r="881" spans="2:3">
      <c r="B881">
        <f>SUMIFS(allorders!O:O,allorders!L:L,'数据处理(仓储使用)'!$A881,allorders!$AG:$AG,"&lt;="&amp;日期!#REF!,allorders!$AG:$AG,"&gt;="&amp;日期!#REF!)</f>
        <v>0</v>
      </c>
      <c r="C881" t="e">
        <f>B881/(日期!#REF!-日期!#REF!+1)</f>
        <v>#REF!</v>
      </c>
    </row>
    <row r="882" spans="2:3">
      <c r="B882">
        <f>SUMIFS(allorders!O:O,allorders!L:L,'数据处理(仓储使用)'!$A882,allorders!$AG:$AG,"&lt;="&amp;日期!#REF!,allorders!$AG:$AG,"&gt;="&amp;日期!#REF!)</f>
        <v>0</v>
      </c>
      <c r="C882" t="e">
        <f>B882/(日期!#REF!-日期!#REF!+1)</f>
        <v>#REF!</v>
      </c>
    </row>
    <row r="883" spans="2:3">
      <c r="B883">
        <f>SUMIFS(allorders!O:O,allorders!L:L,'数据处理(仓储使用)'!$A883,allorders!$AG:$AG,"&lt;="&amp;日期!#REF!,allorders!$AG:$AG,"&gt;="&amp;日期!#REF!)</f>
        <v>0</v>
      </c>
      <c r="C883" t="e">
        <f>B883/(日期!#REF!-日期!#REF!+1)</f>
        <v>#REF!</v>
      </c>
    </row>
    <row r="884" spans="2:3">
      <c r="B884">
        <f>SUMIFS(allorders!O:O,allorders!L:L,'数据处理(仓储使用)'!$A884,allorders!$AG:$AG,"&lt;="&amp;日期!#REF!,allorders!$AG:$AG,"&gt;="&amp;日期!#REF!)</f>
        <v>0</v>
      </c>
      <c r="C884" t="e">
        <f>B884/(日期!#REF!-日期!#REF!+1)</f>
        <v>#REF!</v>
      </c>
    </row>
    <row r="885" spans="2:3">
      <c r="B885">
        <f>SUMIFS(allorders!O:O,allorders!L:L,'数据处理(仓储使用)'!$A885,allorders!$AG:$AG,"&lt;="&amp;日期!#REF!,allorders!$AG:$AG,"&gt;="&amp;日期!#REF!)</f>
        <v>0</v>
      </c>
      <c r="C885" t="e">
        <f>B885/(日期!#REF!-日期!#REF!+1)</f>
        <v>#REF!</v>
      </c>
    </row>
    <row r="886" spans="2:3">
      <c r="B886">
        <f>SUMIFS(allorders!O:O,allorders!L:L,'数据处理(仓储使用)'!$A886,allorders!$AG:$AG,"&lt;="&amp;日期!#REF!,allorders!$AG:$AG,"&gt;="&amp;日期!#REF!)</f>
        <v>0</v>
      </c>
      <c r="C886" t="e">
        <f>B886/(日期!#REF!-日期!#REF!+1)</f>
        <v>#REF!</v>
      </c>
    </row>
    <row r="887" spans="2:3">
      <c r="B887">
        <f>SUMIFS(allorders!O:O,allorders!L:L,'数据处理(仓储使用)'!$A887,allorders!$AG:$AG,"&lt;="&amp;日期!#REF!,allorders!$AG:$AG,"&gt;="&amp;日期!#REF!)</f>
        <v>0</v>
      </c>
      <c r="C887" t="e">
        <f>B887/(日期!#REF!-日期!#REF!+1)</f>
        <v>#REF!</v>
      </c>
    </row>
    <row r="888" spans="2:3">
      <c r="B888">
        <f>SUMIFS(allorders!O:O,allorders!L:L,'数据处理(仓储使用)'!$A888,allorders!$AG:$AG,"&lt;="&amp;日期!#REF!,allorders!$AG:$AG,"&gt;="&amp;日期!#REF!)</f>
        <v>0</v>
      </c>
      <c r="C888" t="e">
        <f>B888/(日期!#REF!-日期!#REF!+1)</f>
        <v>#REF!</v>
      </c>
    </row>
    <row r="889" spans="2:3">
      <c r="B889">
        <f>SUMIFS(allorders!O:O,allorders!L:L,'数据处理(仓储使用)'!$A889,allorders!$AG:$AG,"&lt;="&amp;日期!#REF!,allorders!$AG:$AG,"&gt;="&amp;日期!#REF!)</f>
        <v>0</v>
      </c>
      <c r="C889" t="e">
        <f>B889/(日期!#REF!-日期!#REF!+1)</f>
        <v>#REF!</v>
      </c>
    </row>
    <row r="890" spans="2:3">
      <c r="B890">
        <f>SUMIFS(allorders!O:O,allorders!L:L,'数据处理(仓储使用)'!$A890,allorders!$AG:$AG,"&lt;="&amp;日期!#REF!,allorders!$AG:$AG,"&gt;="&amp;日期!#REF!)</f>
        <v>0</v>
      </c>
      <c r="C890" t="e">
        <f>B890/(日期!#REF!-日期!#REF!+1)</f>
        <v>#REF!</v>
      </c>
    </row>
    <row r="891" spans="2:3">
      <c r="B891">
        <f>SUMIFS(allorders!O:O,allorders!L:L,'数据处理(仓储使用)'!$A891,allorders!$AG:$AG,"&lt;="&amp;日期!#REF!,allorders!$AG:$AG,"&gt;="&amp;日期!#REF!)</f>
        <v>0</v>
      </c>
      <c r="C891" t="e">
        <f>B891/(日期!#REF!-日期!#REF!+1)</f>
        <v>#REF!</v>
      </c>
    </row>
    <row r="892" spans="2:3">
      <c r="B892">
        <f>SUMIFS(allorders!O:O,allorders!L:L,'数据处理(仓储使用)'!$A892,allorders!$AG:$AG,"&lt;="&amp;日期!#REF!,allorders!$AG:$AG,"&gt;="&amp;日期!#REF!)</f>
        <v>0</v>
      </c>
      <c r="C892" t="e">
        <f>B892/(日期!#REF!-日期!#REF!+1)</f>
        <v>#REF!</v>
      </c>
    </row>
    <row r="893" spans="2:3">
      <c r="B893">
        <f>SUMIFS(allorders!O:O,allorders!L:L,'数据处理(仓储使用)'!$A893,allorders!$AG:$AG,"&lt;="&amp;日期!#REF!,allorders!$AG:$AG,"&gt;="&amp;日期!#REF!)</f>
        <v>0</v>
      </c>
      <c r="C893" t="e">
        <f>B893/(日期!#REF!-日期!#REF!+1)</f>
        <v>#REF!</v>
      </c>
    </row>
    <row r="894" spans="2:3">
      <c r="B894">
        <f>SUMIFS(allorders!O:O,allorders!L:L,'数据处理(仓储使用)'!$A894,allorders!$AG:$AG,"&lt;="&amp;日期!#REF!,allorders!$AG:$AG,"&gt;="&amp;日期!#REF!)</f>
        <v>0</v>
      </c>
      <c r="C894" t="e">
        <f>B894/(日期!#REF!-日期!#REF!+1)</f>
        <v>#REF!</v>
      </c>
    </row>
    <row r="895" spans="2:3">
      <c r="B895">
        <f>SUMIFS(allorders!O:O,allorders!L:L,'数据处理(仓储使用)'!$A895,allorders!$AG:$AG,"&lt;="&amp;日期!#REF!,allorders!$AG:$AG,"&gt;="&amp;日期!#REF!)</f>
        <v>0</v>
      </c>
      <c r="C895" t="e">
        <f>B895/(日期!#REF!-日期!#REF!+1)</f>
        <v>#REF!</v>
      </c>
    </row>
    <row r="896" spans="2:3">
      <c r="B896">
        <f>SUMIFS(allorders!O:O,allorders!L:L,'数据处理(仓储使用)'!$A896,allorders!$AG:$AG,"&lt;="&amp;日期!#REF!,allorders!$AG:$AG,"&gt;="&amp;日期!#REF!)</f>
        <v>0</v>
      </c>
      <c r="C896" t="e">
        <f>B896/(日期!#REF!-日期!#REF!+1)</f>
        <v>#REF!</v>
      </c>
    </row>
    <row r="897" spans="2:3">
      <c r="B897">
        <f>SUMIFS(allorders!O:O,allorders!L:L,'数据处理(仓储使用)'!$A897,allorders!$AG:$AG,"&lt;="&amp;日期!#REF!,allorders!$AG:$AG,"&gt;="&amp;日期!#REF!)</f>
        <v>0</v>
      </c>
      <c r="C897" t="e">
        <f>B897/(日期!#REF!-日期!#REF!+1)</f>
        <v>#REF!</v>
      </c>
    </row>
    <row r="898" spans="2:3">
      <c r="B898">
        <f>SUMIFS(allorders!O:O,allorders!L:L,'数据处理(仓储使用)'!$A898,allorders!$AG:$AG,"&lt;="&amp;日期!#REF!,allorders!$AG:$AG,"&gt;="&amp;日期!#REF!)</f>
        <v>0</v>
      </c>
      <c r="C898" t="e">
        <f>B898/(日期!#REF!-日期!#REF!+1)</f>
        <v>#REF!</v>
      </c>
    </row>
    <row r="899" spans="2:3">
      <c r="B899">
        <f>SUMIFS(allorders!O:O,allorders!L:L,'数据处理(仓储使用)'!$A899,allorders!$AG:$AG,"&lt;="&amp;日期!#REF!,allorders!$AG:$AG,"&gt;="&amp;日期!#REF!)</f>
        <v>0</v>
      </c>
      <c r="C899" t="e">
        <f>B899/(日期!#REF!-日期!#REF!+1)</f>
        <v>#REF!</v>
      </c>
    </row>
    <row r="900" spans="2:3">
      <c r="B900">
        <f>SUMIFS(allorders!O:O,allorders!L:L,'数据处理(仓储使用)'!$A900,allorders!$AG:$AG,"&lt;="&amp;日期!#REF!,allorders!$AG:$AG,"&gt;="&amp;日期!#REF!)</f>
        <v>0</v>
      </c>
      <c r="C900" t="e">
        <f>B900/(日期!#REF!-日期!#REF!+1)</f>
        <v>#REF!</v>
      </c>
    </row>
    <row r="901" spans="2:3">
      <c r="B901">
        <f>SUMIFS(allorders!O:O,allorders!L:L,'数据处理(仓储使用)'!$A901,allorders!$AG:$AG,"&lt;="&amp;日期!#REF!,allorders!$AG:$AG,"&gt;="&amp;日期!#REF!)</f>
        <v>0</v>
      </c>
      <c r="C901" t="e">
        <f>B901/(日期!#REF!-日期!#REF!+1)</f>
        <v>#REF!</v>
      </c>
    </row>
    <row r="902" spans="2:3">
      <c r="B902">
        <f>SUMIFS(allorders!O:O,allorders!L:L,'数据处理(仓储使用)'!$A902,allorders!$AG:$AG,"&lt;="&amp;日期!#REF!,allorders!$AG:$AG,"&gt;="&amp;日期!#REF!)</f>
        <v>0</v>
      </c>
      <c r="C902" t="e">
        <f>B902/(日期!#REF!-日期!#REF!+1)</f>
        <v>#REF!</v>
      </c>
    </row>
    <row r="903" spans="2:3">
      <c r="B903">
        <f>SUMIFS(allorders!O:O,allorders!L:L,'数据处理(仓储使用)'!$A903,allorders!$AG:$AG,"&lt;="&amp;日期!#REF!,allorders!$AG:$AG,"&gt;="&amp;日期!#REF!)</f>
        <v>0</v>
      </c>
      <c r="C903" t="e">
        <f>B903/(日期!#REF!-日期!#REF!+1)</f>
        <v>#REF!</v>
      </c>
    </row>
    <row r="904" spans="2:3">
      <c r="B904">
        <f>SUMIFS(allorders!O:O,allorders!L:L,'数据处理(仓储使用)'!$A904,allorders!$AG:$AG,"&lt;="&amp;日期!#REF!,allorders!$AG:$AG,"&gt;="&amp;日期!#REF!)</f>
        <v>0</v>
      </c>
      <c r="C904" t="e">
        <f>B904/(日期!#REF!-日期!#REF!+1)</f>
        <v>#REF!</v>
      </c>
    </row>
    <row r="905" spans="2:3">
      <c r="B905">
        <f>SUMIFS(allorders!O:O,allorders!L:L,'数据处理(仓储使用)'!$A905,allorders!$AG:$AG,"&lt;="&amp;日期!#REF!,allorders!$AG:$AG,"&gt;="&amp;日期!#REF!)</f>
        <v>0</v>
      </c>
      <c r="C905" t="e">
        <f>B905/(日期!#REF!-日期!#REF!+1)</f>
        <v>#REF!</v>
      </c>
    </row>
    <row r="906" spans="2:3">
      <c r="B906">
        <f>SUMIFS(allorders!O:O,allorders!L:L,'数据处理(仓储使用)'!$A906,allorders!$AG:$AG,"&lt;="&amp;日期!#REF!,allorders!$AG:$AG,"&gt;="&amp;日期!#REF!)</f>
        <v>0</v>
      </c>
      <c r="C906" t="e">
        <f>B906/(日期!#REF!-日期!#REF!+1)</f>
        <v>#REF!</v>
      </c>
    </row>
    <row r="907" spans="2:3">
      <c r="B907">
        <f>SUMIFS(allorders!O:O,allorders!L:L,'数据处理(仓储使用)'!$A907,allorders!$AG:$AG,"&lt;="&amp;日期!#REF!,allorders!$AG:$AG,"&gt;="&amp;日期!#REF!)</f>
        <v>0</v>
      </c>
      <c r="C907" t="e">
        <f>B907/(日期!#REF!-日期!#REF!+1)</f>
        <v>#REF!</v>
      </c>
    </row>
    <row r="908" spans="2:3">
      <c r="B908">
        <f>SUMIFS(allorders!O:O,allorders!L:L,'数据处理(仓储使用)'!$A908,allorders!$AG:$AG,"&lt;="&amp;日期!#REF!,allorders!$AG:$AG,"&gt;="&amp;日期!#REF!)</f>
        <v>0</v>
      </c>
      <c r="C908" t="e">
        <f>B908/(日期!#REF!-日期!#REF!+1)</f>
        <v>#REF!</v>
      </c>
    </row>
    <row r="909" spans="2:3">
      <c r="B909">
        <f>SUMIFS(allorders!O:O,allorders!L:L,'数据处理(仓储使用)'!$A909,allorders!$AG:$AG,"&lt;="&amp;日期!#REF!,allorders!$AG:$AG,"&gt;="&amp;日期!#REF!)</f>
        <v>0</v>
      </c>
      <c r="C909" t="e">
        <f>B909/(日期!#REF!-日期!#REF!+1)</f>
        <v>#REF!</v>
      </c>
    </row>
    <row r="910" spans="2:3">
      <c r="B910">
        <f>SUMIFS(allorders!O:O,allorders!L:L,'数据处理(仓储使用)'!$A910,allorders!$AG:$AG,"&lt;="&amp;日期!#REF!,allorders!$AG:$AG,"&gt;="&amp;日期!#REF!)</f>
        <v>0</v>
      </c>
      <c r="C910" t="e">
        <f>B910/(日期!#REF!-日期!#REF!+1)</f>
        <v>#REF!</v>
      </c>
    </row>
    <row r="911" spans="2:3">
      <c r="B911">
        <f>SUMIFS(allorders!O:O,allorders!L:L,'数据处理(仓储使用)'!$A911,allorders!$AG:$AG,"&lt;="&amp;日期!#REF!,allorders!$AG:$AG,"&gt;="&amp;日期!#REF!)</f>
        <v>0</v>
      </c>
      <c r="C911" t="e">
        <f>B911/(日期!#REF!-日期!#REF!+1)</f>
        <v>#REF!</v>
      </c>
    </row>
    <row r="912" spans="2:3">
      <c r="B912">
        <f>SUMIFS(allorders!O:O,allorders!L:L,'数据处理(仓储使用)'!$A912,allorders!$AG:$AG,"&lt;="&amp;日期!#REF!,allorders!$AG:$AG,"&gt;="&amp;日期!#REF!)</f>
        <v>0</v>
      </c>
      <c r="C912" t="e">
        <f>B912/(日期!#REF!-日期!#REF!+1)</f>
        <v>#REF!</v>
      </c>
    </row>
    <row r="913" spans="2:3">
      <c r="B913">
        <f>SUMIFS(allorders!O:O,allorders!L:L,'数据处理(仓储使用)'!$A913,allorders!$AG:$AG,"&lt;="&amp;日期!#REF!,allorders!$AG:$AG,"&gt;="&amp;日期!#REF!)</f>
        <v>0</v>
      </c>
      <c r="C913" t="e">
        <f>B913/(日期!#REF!-日期!#REF!+1)</f>
        <v>#REF!</v>
      </c>
    </row>
    <row r="914" spans="2:3">
      <c r="B914">
        <f>SUMIFS(allorders!O:O,allorders!L:L,'数据处理(仓储使用)'!$A914,allorders!$AG:$AG,"&lt;="&amp;日期!#REF!,allorders!$AG:$AG,"&gt;="&amp;日期!#REF!)</f>
        <v>0</v>
      </c>
      <c r="C914" t="e">
        <f>B914/(日期!#REF!-日期!#REF!+1)</f>
        <v>#REF!</v>
      </c>
    </row>
    <row r="915" spans="2:3">
      <c r="B915">
        <f>SUMIFS(allorders!O:O,allorders!L:L,'数据处理(仓储使用)'!$A915,allorders!$AG:$AG,"&lt;="&amp;日期!#REF!,allorders!$AG:$AG,"&gt;="&amp;日期!#REF!)</f>
        <v>0</v>
      </c>
      <c r="C915" t="e">
        <f>B915/(日期!#REF!-日期!#REF!+1)</f>
        <v>#REF!</v>
      </c>
    </row>
    <row r="916" spans="2:3">
      <c r="B916">
        <f>SUMIFS(allorders!O:O,allorders!L:L,'数据处理(仓储使用)'!$A916,allorders!$AG:$AG,"&lt;="&amp;日期!#REF!,allorders!$AG:$AG,"&gt;="&amp;日期!#REF!)</f>
        <v>0</v>
      </c>
      <c r="C916" t="e">
        <f>B916/(日期!#REF!-日期!#REF!+1)</f>
        <v>#REF!</v>
      </c>
    </row>
    <row r="917" spans="2:3">
      <c r="B917">
        <f>SUMIFS(allorders!O:O,allorders!L:L,'数据处理(仓储使用)'!$A917,allorders!$AG:$AG,"&lt;="&amp;日期!#REF!,allorders!$AG:$AG,"&gt;="&amp;日期!#REF!)</f>
        <v>0</v>
      </c>
      <c r="C917" t="e">
        <f>B917/(日期!#REF!-日期!#REF!+1)</f>
        <v>#REF!</v>
      </c>
    </row>
    <row r="918" spans="2:3">
      <c r="B918">
        <f>SUMIFS(allorders!O:O,allorders!L:L,'数据处理(仓储使用)'!$A918,allorders!$AG:$AG,"&lt;="&amp;日期!#REF!,allorders!$AG:$AG,"&gt;="&amp;日期!#REF!)</f>
        <v>0</v>
      </c>
      <c r="C918" t="e">
        <f>B918/(日期!#REF!-日期!#REF!+1)</f>
        <v>#REF!</v>
      </c>
    </row>
    <row r="919" spans="2:3">
      <c r="B919">
        <f>SUMIFS(allorders!O:O,allorders!L:L,'数据处理(仓储使用)'!$A919,allorders!$AG:$AG,"&lt;="&amp;日期!#REF!,allorders!$AG:$AG,"&gt;="&amp;日期!#REF!)</f>
        <v>0</v>
      </c>
      <c r="C919" t="e">
        <f>B919/(日期!#REF!-日期!#REF!+1)</f>
        <v>#REF!</v>
      </c>
    </row>
    <row r="920" spans="2:3">
      <c r="B920">
        <f>SUMIFS(allorders!O:O,allorders!L:L,'数据处理(仓储使用)'!$A920,allorders!$AG:$AG,"&lt;="&amp;日期!#REF!,allorders!$AG:$AG,"&gt;="&amp;日期!#REF!)</f>
        <v>0</v>
      </c>
      <c r="C920" t="e">
        <f>B920/(日期!#REF!-日期!#REF!+1)</f>
        <v>#REF!</v>
      </c>
    </row>
    <row r="921" spans="2:3">
      <c r="B921">
        <f>SUMIFS(allorders!O:O,allorders!L:L,'数据处理(仓储使用)'!$A921,allorders!$AG:$AG,"&lt;="&amp;日期!#REF!,allorders!$AG:$AG,"&gt;="&amp;日期!#REF!)</f>
        <v>0</v>
      </c>
      <c r="C921" t="e">
        <f>B921/(日期!#REF!-日期!#REF!+1)</f>
        <v>#REF!</v>
      </c>
    </row>
    <row r="922" spans="2:3">
      <c r="B922">
        <f>SUMIFS(allorders!O:O,allorders!L:L,'数据处理(仓储使用)'!$A922,allorders!$AG:$AG,"&lt;="&amp;日期!#REF!,allorders!$AG:$AG,"&gt;="&amp;日期!#REF!)</f>
        <v>0</v>
      </c>
      <c r="C922" t="e">
        <f>B922/(日期!#REF!-日期!#REF!+1)</f>
        <v>#REF!</v>
      </c>
    </row>
    <row r="923" spans="2:3">
      <c r="B923">
        <f>SUMIFS(allorders!O:O,allorders!L:L,'数据处理(仓储使用)'!$A923,allorders!$AG:$AG,"&lt;="&amp;日期!#REF!,allorders!$AG:$AG,"&gt;="&amp;日期!#REF!)</f>
        <v>0</v>
      </c>
      <c r="C923" t="e">
        <f>B923/(日期!#REF!-日期!#REF!+1)</f>
        <v>#REF!</v>
      </c>
    </row>
    <row r="924" spans="2:3">
      <c r="B924">
        <f>SUMIFS(allorders!O:O,allorders!L:L,'数据处理(仓储使用)'!$A924,allorders!$AG:$AG,"&lt;="&amp;日期!#REF!,allorders!$AG:$AG,"&gt;="&amp;日期!#REF!)</f>
        <v>0</v>
      </c>
      <c r="C924" t="e">
        <f>B924/(日期!#REF!-日期!#REF!+1)</f>
        <v>#REF!</v>
      </c>
    </row>
    <row r="925" spans="2:3">
      <c r="B925">
        <f>SUMIFS(allorders!O:O,allorders!L:L,'数据处理(仓储使用)'!$A925,allorders!$AG:$AG,"&lt;="&amp;日期!#REF!,allorders!$AG:$AG,"&gt;="&amp;日期!#REF!)</f>
        <v>0</v>
      </c>
      <c r="C925" t="e">
        <f>B925/(日期!#REF!-日期!#REF!+1)</f>
        <v>#REF!</v>
      </c>
    </row>
    <row r="926" spans="2:3">
      <c r="B926">
        <f>SUMIFS(allorders!O:O,allorders!L:L,'数据处理(仓储使用)'!$A926,allorders!$AG:$AG,"&lt;="&amp;日期!#REF!,allorders!$AG:$AG,"&gt;="&amp;日期!#REF!)</f>
        <v>0</v>
      </c>
      <c r="C926" t="e">
        <f>B926/(日期!#REF!-日期!#REF!+1)</f>
        <v>#REF!</v>
      </c>
    </row>
    <row r="927" spans="2:3">
      <c r="B927">
        <f>SUMIFS(allorders!O:O,allorders!L:L,'数据处理(仓储使用)'!$A927,allorders!$AG:$AG,"&lt;="&amp;日期!#REF!,allorders!$AG:$AG,"&gt;="&amp;日期!#REF!)</f>
        <v>0</v>
      </c>
      <c r="C927" t="e">
        <f>B927/(日期!#REF!-日期!#REF!+1)</f>
        <v>#REF!</v>
      </c>
    </row>
    <row r="928" spans="2:3">
      <c r="B928">
        <f>SUMIFS(allorders!O:O,allorders!L:L,'数据处理(仓储使用)'!$A928,allorders!$AG:$AG,"&lt;="&amp;日期!#REF!,allorders!$AG:$AG,"&gt;="&amp;日期!#REF!)</f>
        <v>0</v>
      </c>
      <c r="C928" t="e">
        <f>B928/(日期!#REF!-日期!#REF!+1)</f>
        <v>#REF!</v>
      </c>
    </row>
    <row r="929" spans="2:3">
      <c r="B929">
        <f>SUMIFS(allorders!O:O,allorders!L:L,'数据处理(仓储使用)'!$A929,allorders!$AG:$AG,"&lt;="&amp;日期!#REF!,allorders!$AG:$AG,"&gt;="&amp;日期!#REF!)</f>
        <v>0</v>
      </c>
      <c r="C929" t="e">
        <f>B929/(日期!#REF!-日期!#REF!+1)</f>
        <v>#REF!</v>
      </c>
    </row>
    <row r="930" spans="2:3">
      <c r="B930">
        <f>SUMIFS(allorders!O:O,allorders!L:L,'数据处理(仓储使用)'!$A930,allorders!$AG:$AG,"&lt;="&amp;日期!#REF!,allorders!$AG:$AG,"&gt;="&amp;日期!#REF!)</f>
        <v>0</v>
      </c>
      <c r="C930" t="e">
        <f>B930/(日期!#REF!-日期!#REF!+1)</f>
        <v>#REF!</v>
      </c>
    </row>
    <row r="931" spans="2:3">
      <c r="B931">
        <f>SUMIFS(allorders!O:O,allorders!L:L,'数据处理(仓储使用)'!$A931,allorders!$AG:$AG,"&lt;="&amp;日期!#REF!,allorders!$AG:$AG,"&gt;="&amp;日期!#REF!)</f>
        <v>0</v>
      </c>
      <c r="C931" t="e">
        <f>B931/(日期!#REF!-日期!#REF!+1)</f>
        <v>#REF!</v>
      </c>
    </row>
    <row r="932" spans="2:3">
      <c r="B932">
        <f>SUMIFS(allorders!O:O,allorders!L:L,'数据处理(仓储使用)'!$A932,allorders!$AG:$AG,"&lt;="&amp;日期!#REF!,allorders!$AG:$AG,"&gt;="&amp;日期!#REF!)</f>
        <v>0</v>
      </c>
      <c r="C932" t="e">
        <f>B932/(日期!#REF!-日期!#REF!+1)</f>
        <v>#REF!</v>
      </c>
    </row>
    <row r="933" spans="2:3">
      <c r="B933">
        <f>SUMIFS(allorders!O:O,allorders!L:L,'数据处理(仓储使用)'!$A933,allorders!$AG:$AG,"&lt;="&amp;日期!#REF!,allorders!$AG:$AG,"&gt;="&amp;日期!#REF!)</f>
        <v>0</v>
      </c>
      <c r="C933" t="e">
        <f>B933/(日期!#REF!-日期!#REF!+1)</f>
        <v>#REF!</v>
      </c>
    </row>
    <row r="934" spans="2:3">
      <c r="B934">
        <f>SUMIFS(allorders!O:O,allorders!L:L,'数据处理(仓储使用)'!$A934,allorders!$AG:$AG,"&lt;="&amp;日期!#REF!,allorders!$AG:$AG,"&gt;="&amp;日期!#REF!)</f>
        <v>0</v>
      </c>
      <c r="C934" t="e">
        <f>B934/(日期!#REF!-日期!#REF!+1)</f>
        <v>#REF!</v>
      </c>
    </row>
    <row r="935" spans="2:3">
      <c r="B935">
        <f>SUMIFS(allorders!O:O,allorders!L:L,'数据处理(仓储使用)'!$A935,allorders!$AG:$AG,"&lt;="&amp;日期!#REF!,allorders!$AG:$AG,"&gt;="&amp;日期!#REF!)</f>
        <v>0</v>
      </c>
      <c r="C935" t="e">
        <f>B935/(日期!#REF!-日期!#REF!+1)</f>
        <v>#REF!</v>
      </c>
    </row>
    <row r="936" spans="2:3">
      <c r="B936">
        <f>SUMIFS(allorders!O:O,allorders!L:L,'数据处理(仓储使用)'!$A936,allorders!$AG:$AG,"&lt;="&amp;日期!#REF!,allorders!$AG:$AG,"&gt;="&amp;日期!#REF!)</f>
        <v>0</v>
      </c>
      <c r="C936" t="e">
        <f>B936/(日期!#REF!-日期!#REF!+1)</f>
        <v>#REF!</v>
      </c>
    </row>
    <row r="937" spans="2:3">
      <c r="B937">
        <f>SUMIFS(allorders!O:O,allorders!L:L,'数据处理(仓储使用)'!$A937,allorders!$AG:$AG,"&lt;="&amp;日期!#REF!,allorders!$AG:$AG,"&gt;="&amp;日期!#REF!)</f>
        <v>0</v>
      </c>
      <c r="C937" t="e">
        <f>B937/(日期!#REF!-日期!#REF!+1)</f>
        <v>#REF!</v>
      </c>
    </row>
    <row r="938" spans="2:3">
      <c r="B938">
        <f>SUMIFS(allorders!O:O,allorders!L:L,'数据处理(仓储使用)'!$A938,allorders!$AG:$AG,"&lt;="&amp;日期!#REF!,allorders!$AG:$AG,"&gt;="&amp;日期!#REF!)</f>
        <v>0</v>
      </c>
      <c r="C938" t="e">
        <f>B938/(日期!#REF!-日期!#REF!+1)</f>
        <v>#REF!</v>
      </c>
    </row>
    <row r="939" spans="2:3">
      <c r="B939">
        <f>SUMIFS(allorders!O:O,allorders!L:L,'数据处理(仓储使用)'!$A939,allorders!$AG:$AG,"&lt;="&amp;日期!#REF!,allorders!$AG:$AG,"&gt;="&amp;日期!#REF!)</f>
        <v>0</v>
      </c>
      <c r="C939" t="e">
        <f>B939/(日期!#REF!-日期!#REF!+1)</f>
        <v>#REF!</v>
      </c>
    </row>
    <row r="940" spans="2:3">
      <c r="B940">
        <f>SUMIFS(allorders!O:O,allorders!L:L,'数据处理(仓储使用)'!$A940,allorders!$AG:$AG,"&lt;="&amp;日期!#REF!,allorders!$AG:$AG,"&gt;="&amp;日期!#REF!)</f>
        <v>0</v>
      </c>
      <c r="C940" t="e">
        <f>B940/(日期!#REF!-日期!#REF!+1)</f>
        <v>#REF!</v>
      </c>
    </row>
    <row r="941" spans="2:3">
      <c r="B941">
        <f>SUMIFS(allorders!O:O,allorders!L:L,'数据处理(仓储使用)'!$A941,allorders!$AG:$AG,"&lt;="&amp;日期!#REF!,allorders!$AG:$AG,"&gt;="&amp;日期!#REF!)</f>
        <v>0</v>
      </c>
      <c r="C941" t="e">
        <f>B941/(日期!#REF!-日期!#REF!+1)</f>
        <v>#REF!</v>
      </c>
    </row>
    <row r="942" spans="2:3">
      <c r="B942">
        <f>SUMIFS(allorders!O:O,allorders!L:L,'数据处理(仓储使用)'!$A942,allorders!$AG:$AG,"&lt;="&amp;日期!#REF!,allorders!$AG:$AG,"&gt;="&amp;日期!#REF!)</f>
        <v>0</v>
      </c>
      <c r="C942" t="e">
        <f>B942/(日期!#REF!-日期!#REF!+1)</f>
        <v>#REF!</v>
      </c>
    </row>
    <row r="943" spans="2:3">
      <c r="B943">
        <f>SUMIFS(allorders!O:O,allorders!L:L,'数据处理(仓储使用)'!$A943,allorders!$AG:$AG,"&lt;="&amp;日期!#REF!,allorders!$AG:$AG,"&gt;="&amp;日期!#REF!)</f>
        <v>0</v>
      </c>
      <c r="C943" t="e">
        <f>B943/(日期!#REF!-日期!#REF!+1)</f>
        <v>#REF!</v>
      </c>
    </row>
    <row r="944" spans="2:3">
      <c r="B944">
        <f>SUMIFS(allorders!O:O,allorders!L:L,'数据处理(仓储使用)'!$A944,allorders!$AG:$AG,"&lt;="&amp;日期!#REF!,allorders!$AG:$AG,"&gt;="&amp;日期!#REF!)</f>
        <v>0</v>
      </c>
      <c r="C944" t="e">
        <f>B944/(日期!#REF!-日期!#REF!+1)</f>
        <v>#REF!</v>
      </c>
    </row>
    <row r="945" spans="2:3">
      <c r="B945">
        <f>SUMIFS(allorders!O:O,allorders!L:L,'数据处理(仓储使用)'!$A945,allorders!$AG:$AG,"&lt;="&amp;日期!#REF!,allorders!$AG:$AG,"&gt;="&amp;日期!#REF!)</f>
        <v>0</v>
      </c>
      <c r="C945" t="e">
        <f>B945/(日期!#REF!-日期!#REF!+1)</f>
        <v>#REF!</v>
      </c>
    </row>
    <row r="946" spans="2:3">
      <c r="B946">
        <f>SUMIFS(allorders!O:O,allorders!L:L,'数据处理(仓储使用)'!$A946,allorders!$AG:$AG,"&lt;="&amp;日期!#REF!,allorders!$AG:$AG,"&gt;="&amp;日期!#REF!)</f>
        <v>0</v>
      </c>
      <c r="C946" t="e">
        <f>B946/(日期!#REF!-日期!#REF!+1)</f>
        <v>#REF!</v>
      </c>
    </row>
    <row r="947" spans="2:3">
      <c r="B947">
        <f>SUMIFS(allorders!O:O,allorders!L:L,'数据处理(仓储使用)'!$A947,allorders!$AG:$AG,"&lt;="&amp;日期!#REF!,allorders!$AG:$AG,"&gt;="&amp;日期!#REF!)</f>
        <v>0</v>
      </c>
      <c r="C947" t="e">
        <f>B947/(日期!#REF!-日期!#REF!+1)</f>
        <v>#REF!</v>
      </c>
    </row>
    <row r="948" spans="2:3">
      <c r="B948">
        <f>SUMIFS(allorders!O:O,allorders!L:L,'数据处理(仓储使用)'!$A948,allorders!$AG:$AG,"&lt;="&amp;日期!#REF!,allorders!$AG:$AG,"&gt;="&amp;日期!#REF!)</f>
        <v>0</v>
      </c>
      <c r="C948" t="e">
        <f>B948/(日期!#REF!-日期!#REF!+1)</f>
        <v>#REF!</v>
      </c>
    </row>
    <row r="949" spans="2:3">
      <c r="B949">
        <f>SUMIFS(allorders!O:O,allorders!L:L,'数据处理(仓储使用)'!$A949,allorders!$AG:$AG,"&lt;="&amp;日期!#REF!,allorders!$AG:$AG,"&gt;="&amp;日期!#REF!)</f>
        <v>0</v>
      </c>
      <c r="C949" t="e">
        <f>B949/(日期!#REF!-日期!#REF!+1)</f>
        <v>#REF!</v>
      </c>
    </row>
    <row r="950" spans="2:3">
      <c r="B950">
        <f>SUMIFS(allorders!O:O,allorders!L:L,'数据处理(仓储使用)'!$A950,allorders!$AG:$AG,"&lt;="&amp;日期!#REF!,allorders!$AG:$AG,"&gt;="&amp;日期!#REF!)</f>
        <v>0</v>
      </c>
      <c r="C950" t="e">
        <f>B950/(日期!#REF!-日期!#REF!+1)</f>
        <v>#REF!</v>
      </c>
    </row>
    <row r="951" spans="2:3">
      <c r="B951">
        <f>SUMIFS(allorders!O:O,allorders!L:L,'数据处理(仓储使用)'!$A951,allorders!$AG:$AG,"&lt;="&amp;日期!#REF!,allorders!$AG:$AG,"&gt;="&amp;日期!#REF!)</f>
        <v>0</v>
      </c>
      <c r="C951" t="e">
        <f>B951/(日期!#REF!-日期!#REF!+1)</f>
        <v>#REF!</v>
      </c>
    </row>
    <row r="952" spans="2:3">
      <c r="B952">
        <f>SUMIFS(allorders!O:O,allorders!L:L,'数据处理(仓储使用)'!$A952,allorders!$AG:$AG,"&lt;="&amp;日期!#REF!,allorders!$AG:$AG,"&gt;="&amp;日期!#REF!)</f>
        <v>0</v>
      </c>
      <c r="C952" t="e">
        <f>B952/(日期!#REF!-日期!#REF!+1)</f>
        <v>#REF!</v>
      </c>
    </row>
    <row r="953" spans="2:3">
      <c r="B953">
        <f>SUMIFS(allorders!O:O,allorders!L:L,'数据处理(仓储使用)'!$A953,allorders!$AG:$AG,"&lt;="&amp;日期!#REF!,allorders!$AG:$AG,"&gt;="&amp;日期!#REF!)</f>
        <v>0</v>
      </c>
      <c r="C953" t="e">
        <f>B953/(日期!#REF!-日期!#REF!+1)</f>
        <v>#REF!</v>
      </c>
    </row>
    <row r="954" spans="2:3">
      <c r="B954">
        <f>SUMIFS(allorders!O:O,allorders!L:L,'数据处理(仓储使用)'!$A954,allorders!$AG:$AG,"&lt;="&amp;日期!#REF!,allorders!$AG:$AG,"&gt;="&amp;日期!#REF!)</f>
        <v>0</v>
      </c>
      <c r="C954" t="e">
        <f>B954/(日期!#REF!-日期!#REF!+1)</f>
        <v>#REF!</v>
      </c>
    </row>
    <row r="955" spans="2:3">
      <c r="B955">
        <f>SUMIFS(allorders!O:O,allorders!L:L,'数据处理(仓储使用)'!$A955,allorders!$AG:$AG,"&lt;="&amp;日期!#REF!,allorders!$AG:$AG,"&gt;="&amp;日期!#REF!)</f>
        <v>0</v>
      </c>
      <c r="C955" t="e">
        <f>B955/(日期!#REF!-日期!#REF!+1)</f>
        <v>#REF!</v>
      </c>
    </row>
    <row r="956" spans="2:3">
      <c r="B956">
        <f>SUMIFS(allorders!O:O,allorders!L:L,'数据处理(仓储使用)'!$A956,allorders!$AG:$AG,"&lt;="&amp;日期!#REF!,allorders!$AG:$AG,"&gt;="&amp;日期!#REF!)</f>
        <v>0</v>
      </c>
      <c r="C956" t="e">
        <f>B956/(日期!#REF!-日期!#REF!+1)</f>
        <v>#REF!</v>
      </c>
    </row>
    <row r="957" spans="2:3">
      <c r="B957">
        <f>SUMIFS(allorders!O:O,allorders!L:L,'数据处理(仓储使用)'!$A957,allorders!$AG:$AG,"&lt;="&amp;日期!#REF!,allorders!$AG:$AG,"&gt;="&amp;日期!#REF!)</f>
        <v>0</v>
      </c>
      <c r="C957" t="e">
        <f>B957/(日期!#REF!-日期!#REF!+1)</f>
        <v>#REF!</v>
      </c>
    </row>
    <row r="958" spans="2:3">
      <c r="B958">
        <f>SUMIFS(allorders!O:O,allorders!L:L,'数据处理(仓储使用)'!$A958,allorders!$AG:$AG,"&lt;="&amp;日期!#REF!,allorders!$AG:$AG,"&gt;="&amp;日期!#REF!)</f>
        <v>0</v>
      </c>
      <c r="C958" t="e">
        <f>B958/(日期!#REF!-日期!#REF!+1)</f>
        <v>#REF!</v>
      </c>
    </row>
    <row r="959" spans="2:3">
      <c r="B959">
        <f>SUMIFS(allorders!O:O,allorders!L:L,'数据处理(仓储使用)'!$A959,allorders!$AG:$AG,"&lt;="&amp;日期!#REF!,allorders!$AG:$AG,"&gt;="&amp;日期!#REF!)</f>
        <v>0</v>
      </c>
      <c r="C959" t="e">
        <f>B959/(日期!#REF!-日期!#REF!+1)</f>
        <v>#REF!</v>
      </c>
    </row>
    <row r="960" spans="2:3">
      <c r="B960">
        <f>SUMIFS(allorders!O:O,allorders!L:L,'数据处理(仓储使用)'!$A960,allorders!$AG:$AG,"&lt;="&amp;日期!#REF!,allorders!$AG:$AG,"&gt;="&amp;日期!#REF!)</f>
        <v>0</v>
      </c>
      <c r="C960" t="e">
        <f>B960/(日期!#REF!-日期!#REF!+1)</f>
        <v>#REF!</v>
      </c>
    </row>
    <row r="961" spans="2:3">
      <c r="B961">
        <f>SUMIFS(allorders!O:O,allorders!L:L,'数据处理(仓储使用)'!$A961,allorders!$AG:$AG,"&lt;="&amp;日期!#REF!,allorders!$AG:$AG,"&gt;="&amp;日期!#REF!)</f>
        <v>0</v>
      </c>
      <c r="C961" t="e">
        <f>B961/(日期!#REF!-日期!#REF!+1)</f>
        <v>#REF!</v>
      </c>
    </row>
    <row r="962" spans="2:3">
      <c r="B962">
        <f>SUMIFS(allorders!O:O,allorders!L:L,'数据处理(仓储使用)'!$A962,allorders!$AG:$AG,"&lt;="&amp;日期!#REF!,allorders!$AG:$AG,"&gt;="&amp;日期!#REF!)</f>
        <v>0</v>
      </c>
      <c r="C962" t="e">
        <f>B962/(日期!#REF!-日期!#REF!+1)</f>
        <v>#REF!</v>
      </c>
    </row>
    <row r="963" spans="2:3">
      <c r="B963">
        <f>SUMIFS(allorders!O:O,allorders!L:L,'数据处理(仓储使用)'!$A963,allorders!$AG:$AG,"&lt;="&amp;日期!#REF!,allorders!$AG:$AG,"&gt;="&amp;日期!#REF!)</f>
        <v>0</v>
      </c>
      <c r="C963" t="e">
        <f>B963/(日期!#REF!-日期!#REF!+1)</f>
        <v>#REF!</v>
      </c>
    </row>
    <row r="964" spans="2:3">
      <c r="B964">
        <f>SUMIFS(allorders!O:O,allorders!L:L,'数据处理(仓储使用)'!$A964,allorders!$AG:$AG,"&lt;="&amp;日期!#REF!,allorders!$AG:$AG,"&gt;="&amp;日期!#REF!)</f>
        <v>0</v>
      </c>
      <c r="C964" t="e">
        <f>B964/(日期!#REF!-日期!#REF!+1)</f>
        <v>#REF!</v>
      </c>
    </row>
    <row r="965" spans="2:3">
      <c r="B965">
        <f>SUMIFS(allorders!O:O,allorders!L:L,'数据处理(仓储使用)'!$A965,allorders!$AG:$AG,"&lt;="&amp;日期!#REF!,allorders!$AG:$AG,"&gt;="&amp;日期!#REF!)</f>
        <v>0</v>
      </c>
      <c r="C965" t="e">
        <f>B965/(日期!#REF!-日期!#REF!+1)</f>
        <v>#REF!</v>
      </c>
    </row>
    <row r="966" spans="2:3">
      <c r="B966">
        <f>SUMIFS(allorders!O:O,allorders!L:L,'数据处理(仓储使用)'!$A966,allorders!$AG:$AG,"&lt;="&amp;日期!#REF!,allorders!$AG:$AG,"&gt;="&amp;日期!#REF!)</f>
        <v>0</v>
      </c>
      <c r="C966" t="e">
        <f>B966/(日期!#REF!-日期!#REF!+1)</f>
        <v>#REF!</v>
      </c>
    </row>
    <row r="967" spans="2:3">
      <c r="B967">
        <f>SUMIFS(allorders!O:O,allorders!L:L,'数据处理(仓储使用)'!$A967,allorders!$AG:$AG,"&lt;="&amp;日期!#REF!,allorders!$AG:$AG,"&gt;="&amp;日期!#REF!)</f>
        <v>0</v>
      </c>
      <c r="C967" t="e">
        <f>B967/(日期!#REF!-日期!#REF!+1)</f>
        <v>#REF!</v>
      </c>
    </row>
    <row r="968" spans="2:3">
      <c r="B968">
        <f>SUMIFS(allorders!O:O,allorders!L:L,'数据处理(仓储使用)'!$A968,allorders!$AG:$AG,"&lt;="&amp;日期!#REF!,allorders!$AG:$AG,"&gt;="&amp;日期!#REF!)</f>
        <v>0</v>
      </c>
      <c r="C968" t="e">
        <f>B968/(日期!#REF!-日期!#REF!+1)</f>
        <v>#REF!</v>
      </c>
    </row>
    <row r="969" spans="2:3">
      <c r="B969">
        <f>SUMIFS(allorders!O:O,allorders!L:L,'数据处理(仓储使用)'!$A969,allorders!$AG:$AG,"&lt;="&amp;日期!#REF!,allorders!$AG:$AG,"&gt;="&amp;日期!#REF!)</f>
        <v>0</v>
      </c>
      <c r="C969" t="e">
        <f>B969/(日期!#REF!-日期!#REF!+1)</f>
        <v>#REF!</v>
      </c>
    </row>
    <row r="970" spans="2:3">
      <c r="B970">
        <f>SUMIFS(allorders!O:O,allorders!L:L,'数据处理(仓储使用)'!$A970,allorders!$AG:$AG,"&lt;="&amp;日期!#REF!,allorders!$AG:$AG,"&gt;="&amp;日期!#REF!)</f>
        <v>0</v>
      </c>
      <c r="C970" t="e">
        <f>B970/(日期!#REF!-日期!#REF!+1)</f>
        <v>#REF!</v>
      </c>
    </row>
    <row r="971" spans="2:3">
      <c r="B971">
        <f>SUMIFS(allorders!O:O,allorders!L:L,'数据处理(仓储使用)'!$A971,allorders!$AG:$AG,"&lt;="&amp;日期!#REF!,allorders!$AG:$AG,"&gt;="&amp;日期!#REF!)</f>
        <v>0</v>
      </c>
      <c r="C971" t="e">
        <f>B971/(日期!#REF!-日期!#REF!+1)</f>
        <v>#REF!</v>
      </c>
    </row>
    <row r="972" spans="2:3">
      <c r="B972">
        <f>SUMIFS(allorders!O:O,allorders!L:L,'数据处理(仓储使用)'!$A972,allorders!$AG:$AG,"&lt;="&amp;日期!#REF!,allorders!$AG:$AG,"&gt;="&amp;日期!#REF!)</f>
        <v>0</v>
      </c>
      <c r="C972" t="e">
        <f>B972/(日期!#REF!-日期!#REF!+1)</f>
        <v>#REF!</v>
      </c>
    </row>
    <row r="973" spans="2:3">
      <c r="B973">
        <f>SUMIFS(allorders!O:O,allorders!L:L,'数据处理(仓储使用)'!$A973,allorders!$AG:$AG,"&lt;="&amp;日期!#REF!,allorders!$AG:$AG,"&gt;="&amp;日期!#REF!)</f>
        <v>0</v>
      </c>
      <c r="C973" t="e">
        <f>B973/(日期!#REF!-日期!#REF!+1)</f>
        <v>#REF!</v>
      </c>
    </row>
    <row r="974" spans="2:3">
      <c r="B974">
        <f>SUMIFS(allorders!O:O,allorders!L:L,'数据处理(仓储使用)'!$A974,allorders!$AG:$AG,"&lt;="&amp;日期!#REF!,allorders!$AG:$AG,"&gt;="&amp;日期!#REF!)</f>
        <v>0</v>
      </c>
      <c r="C974" t="e">
        <f>B974/(日期!#REF!-日期!#REF!+1)</f>
        <v>#REF!</v>
      </c>
    </row>
    <row r="975" spans="2:3">
      <c r="B975">
        <f>SUMIFS(allorders!O:O,allorders!L:L,'数据处理(仓储使用)'!$A975,allorders!$AG:$AG,"&lt;="&amp;日期!#REF!,allorders!$AG:$AG,"&gt;="&amp;日期!#REF!)</f>
        <v>0</v>
      </c>
      <c r="C975" t="e">
        <f>B975/(日期!#REF!-日期!#REF!+1)</f>
        <v>#REF!</v>
      </c>
    </row>
    <row r="976" spans="2:3">
      <c r="B976">
        <f>SUMIFS(allorders!O:O,allorders!L:L,'数据处理(仓储使用)'!$A976,allorders!$AG:$AG,"&lt;="&amp;日期!#REF!,allorders!$AG:$AG,"&gt;="&amp;日期!#REF!)</f>
        <v>0</v>
      </c>
      <c r="C976" t="e">
        <f>B976/(日期!#REF!-日期!#REF!+1)</f>
        <v>#REF!</v>
      </c>
    </row>
    <row r="977" spans="2:3">
      <c r="B977">
        <f>SUMIFS(allorders!O:O,allorders!L:L,'数据处理(仓储使用)'!$A977,allorders!$AG:$AG,"&lt;="&amp;日期!#REF!,allorders!$AG:$AG,"&gt;="&amp;日期!#REF!)</f>
        <v>0</v>
      </c>
      <c r="C977" t="e">
        <f>B977/(日期!#REF!-日期!#REF!+1)</f>
        <v>#REF!</v>
      </c>
    </row>
    <row r="978" spans="2:3">
      <c r="B978">
        <f>SUMIFS(allorders!O:O,allorders!L:L,'数据处理(仓储使用)'!$A978,allorders!$AG:$AG,"&lt;="&amp;日期!#REF!,allorders!$AG:$AG,"&gt;="&amp;日期!#REF!)</f>
        <v>0</v>
      </c>
      <c r="C978" t="e">
        <f>B978/(日期!#REF!-日期!#REF!+1)</f>
        <v>#REF!</v>
      </c>
    </row>
    <row r="979" spans="2:3">
      <c r="B979">
        <f>SUMIFS(allorders!O:O,allorders!L:L,'数据处理(仓储使用)'!$A979,allorders!$AG:$AG,"&lt;="&amp;日期!#REF!,allorders!$AG:$AG,"&gt;="&amp;日期!#REF!)</f>
        <v>0</v>
      </c>
      <c r="C979" t="e">
        <f>B979/(日期!#REF!-日期!#REF!+1)</f>
        <v>#REF!</v>
      </c>
    </row>
    <row r="980" spans="2:3">
      <c r="B980">
        <f>SUMIFS(allorders!O:O,allorders!L:L,'数据处理(仓储使用)'!$A980,allorders!$AG:$AG,"&lt;="&amp;日期!#REF!,allorders!$AG:$AG,"&gt;="&amp;日期!#REF!)</f>
        <v>0</v>
      </c>
      <c r="C980" t="e">
        <f>B980/(日期!#REF!-日期!#REF!+1)</f>
        <v>#REF!</v>
      </c>
    </row>
    <row r="981" spans="2:3">
      <c r="B981">
        <f>SUMIFS(allorders!O:O,allorders!L:L,'数据处理(仓储使用)'!$A981,allorders!$AG:$AG,"&lt;="&amp;日期!#REF!,allorders!$AG:$AG,"&gt;="&amp;日期!#REF!)</f>
        <v>0</v>
      </c>
      <c r="C981" t="e">
        <f>B981/(日期!#REF!-日期!#REF!+1)</f>
        <v>#REF!</v>
      </c>
    </row>
    <row r="982" spans="2:3">
      <c r="B982">
        <f>SUMIFS(allorders!O:O,allorders!L:L,'数据处理(仓储使用)'!$A982,allorders!$AG:$AG,"&lt;="&amp;日期!#REF!,allorders!$AG:$AG,"&gt;="&amp;日期!#REF!)</f>
        <v>0</v>
      </c>
      <c r="C982" t="e">
        <f>B982/(日期!#REF!-日期!#REF!+1)</f>
        <v>#REF!</v>
      </c>
    </row>
    <row r="983" spans="2:3">
      <c r="B983">
        <f>SUMIFS(allorders!O:O,allorders!L:L,'数据处理(仓储使用)'!$A983,allorders!$AG:$AG,"&lt;="&amp;日期!#REF!,allorders!$AG:$AG,"&gt;="&amp;日期!#REF!)</f>
        <v>0</v>
      </c>
      <c r="C983" t="e">
        <f>B983/(日期!#REF!-日期!#REF!+1)</f>
        <v>#REF!</v>
      </c>
    </row>
    <row r="984" spans="2:3">
      <c r="B984">
        <f>SUMIFS(allorders!O:O,allorders!L:L,'数据处理(仓储使用)'!$A984,allorders!$AG:$AG,"&lt;="&amp;日期!#REF!,allorders!$AG:$AG,"&gt;="&amp;日期!#REF!)</f>
        <v>0</v>
      </c>
      <c r="C984" t="e">
        <f>B984/(日期!#REF!-日期!#REF!+1)</f>
        <v>#REF!</v>
      </c>
    </row>
    <row r="985" spans="2:3">
      <c r="B985">
        <f>SUMIFS(allorders!O:O,allorders!L:L,'数据处理(仓储使用)'!$A985,allorders!$AG:$AG,"&lt;="&amp;日期!#REF!,allorders!$AG:$AG,"&gt;="&amp;日期!#REF!)</f>
        <v>0</v>
      </c>
      <c r="C985" t="e">
        <f>B985/(日期!#REF!-日期!#REF!+1)</f>
        <v>#REF!</v>
      </c>
    </row>
    <row r="986" spans="2:3">
      <c r="B986">
        <f>SUMIFS(allorders!O:O,allorders!L:L,'数据处理(仓储使用)'!$A986,allorders!$AG:$AG,"&lt;="&amp;日期!#REF!,allorders!$AG:$AG,"&gt;="&amp;日期!#REF!)</f>
        <v>0</v>
      </c>
      <c r="C986" t="e">
        <f>B986/(日期!#REF!-日期!#REF!+1)</f>
        <v>#REF!</v>
      </c>
    </row>
    <row r="987" spans="2:3">
      <c r="B987">
        <f>SUMIFS(allorders!O:O,allorders!L:L,'数据处理(仓储使用)'!$A987,allorders!$AG:$AG,"&lt;="&amp;日期!#REF!,allorders!$AG:$AG,"&gt;="&amp;日期!#REF!)</f>
        <v>0</v>
      </c>
      <c r="C987" t="e">
        <f>B987/(日期!#REF!-日期!#REF!+1)</f>
        <v>#REF!</v>
      </c>
    </row>
    <row r="988" spans="2:3">
      <c r="B988">
        <f>SUMIFS(allorders!O:O,allorders!L:L,'数据处理(仓储使用)'!$A988,allorders!$AG:$AG,"&lt;="&amp;日期!#REF!,allorders!$AG:$AG,"&gt;="&amp;日期!#REF!)</f>
        <v>0</v>
      </c>
      <c r="C988" t="e">
        <f>B988/(日期!#REF!-日期!#REF!+1)</f>
        <v>#REF!</v>
      </c>
    </row>
    <row r="989" spans="2:3">
      <c r="B989">
        <f>SUMIFS(allorders!O:O,allorders!L:L,'数据处理(仓储使用)'!$A989,allorders!$AG:$AG,"&lt;="&amp;日期!#REF!,allorders!$AG:$AG,"&gt;="&amp;日期!#REF!)</f>
        <v>0</v>
      </c>
      <c r="C989" t="e">
        <f>B989/(日期!#REF!-日期!#REF!+1)</f>
        <v>#REF!</v>
      </c>
    </row>
    <row r="990" spans="2:3">
      <c r="B990">
        <f>SUMIFS(allorders!O:O,allorders!L:L,'数据处理(仓储使用)'!$A990,allorders!$AG:$AG,"&lt;="&amp;日期!#REF!,allorders!$AG:$AG,"&gt;="&amp;日期!#REF!)</f>
        <v>0</v>
      </c>
      <c r="C990" t="e">
        <f>B990/(日期!#REF!-日期!#REF!+1)</f>
        <v>#REF!</v>
      </c>
    </row>
    <row r="991" spans="2:3">
      <c r="B991">
        <f>SUMIFS(allorders!O:O,allorders!L:L,'数据处理(仓储使用)'!$A991,allorders!$AG:$AG,"&lt;="&amp;日期!#REF!,allorders!$AG:$AG,"&gt;="&amp;日期!#REF!)</f>
        <v>0</v>
      </c>
      <c r="C991" t="e">
        <f>B991/(日期!#REF!-日期!#REF!+1)</f>
        <v>#REF!</v>
      </c>
    </row>
    <row r="992" spans="2:3">
      <c r="B992">
        <f>SUMIFS(allorders!O:O,allorders!L:L,'数据处理(仓储使用)'!$A992,allorders!$AG:$AG,"&lt;="&amp;日期!#REF!,allorders!$AG:$AG,"&gt;="&amp;日期!#REF!)</f>
        <v>0</v>
      </c>
      <c r="C992" t="e">
        <f>B992/(日期!#REF!-日期!#REF!+1)</f>
        <v>#REF!</v>
      </c>
    </row>
    <row r="993" spans="2:3">
      <c r="B993">
        <f>SUMIFS(allorders!O:O,allorders!L:L,'数据处理(仓储使用)'!$A993,allorders!$AG:$AG,"&lt;="&amp;日期!#REF!,allorders!$AG:$AG,"&gt;="&amp;日期!#REF!)</f>
        <v>0</v>
      </c>
      <c r="C993" t="e">
        <f>B993/(日期!#REF!-日期!#REF!+1)</f>
        <v>#REF!</v>
      </c>
    </row>
    <row r="994" spans="2:3">
      <c r="B994">
        <f>SUMIFS(allorders!O:O,allorders!L:L,'数据处理(仓储使用)'!$A994,allorders!$AG:$AG,"&lt;="&amp;日期!#REF!,allorders!$AG:$AG,"&gt;="&amp;日期!#REF!)</f>
        <v>0</v>
      </c>
      <c r="C994" t="e">
        <f>B994/(日期!#REF!-日期!#REF!+1)</f>
        <v>#REF!</v>
      </c>
    </row>
    <row r="995" spans="2:3">
      <c r="B995">
        <f>SUMIFS(allorders!O:O,allorders!L:L,'数据处理(仓储使用)'!$A995,allorders!$AG:$AG,"&lt;="&amp;日期!#REF!,allorders!$AG:$AG,"&gt;="&amp;日期!#REF!)</f>
        <v>0</v>
      </c>
      <c r="C995" t="e">
        <f>B995/(日期!#REF!-日期!#REF!+1)</f>
        <v>#REF!</v>
      </c>
    </row>
    <row r="996" spans="2:3">
      <c r="B996">
        <f>SUMIFS(allorders!O:O,allorders!L:L,'数据处理(仓储使用)'!$A996,allorders!$AG:$AG,"&lt;="&amp;日期!#REF!,allorders!$AG:$AG,"&gt;="&amp;日期!#REF!)</f>
        <v>0</v>
      </c>
      <c r="C996" t="e">
        <f>B996/(日期!#REF!-日期!#REF!+1)</f>
        <v>#REF!</v>
      </c>
    </row>
    <row r="997" spans="2:3">
      <c r="B997">
        <f>SUMIFS(allorders!O:O,allorders!L:L,'数据处理(仓储使用)'!$A997,allorders!$AG:$AG,"&lt;="&amp;日期!#REF!,allorders!$AG:$AG,"&gt;="&amp;日期!#REF!)</f>
        <v>0</v>
      </c>
      <c r="C997" t="e">
        <f>B997/(日期!#REF!-日期!#REF!+1)</f>
        <v>#REF!</v>
      </c>
    </row>
    <row r="998" spans="2:3">
      <c r="B998">
        <f>SUMIFS(allorders!O:O,allorders!L:L,'数据处理(仓储使用)'!$A998,allorders!$AG:$AG,"&lt;="&amp;日期!#REF!,allorders!$AG:$AG,"&gt;="&amp;日期!#REF!)</f>
        <v>0</v>
      </c>
      <c r="C998" t="e">
        <f>B998/(日期!#REF!-日期!#REF!+1)</f>
        <v>#REF!</v>
      </c>
    </row>
    <row r="999" spans="2:3">
      <c r="B999">
        <f>SUMIFS(allorders!O:O,allorders!L:L,'数据处理(仓储使用)'!$A999,allorders!$AG:$AG,"&lt;="&amp;日期!#REF!,allorders!$AG:$AG,"&gt;="&amp;日期!#REF!)</f>
        <v>0</v>
      </c>
      <c r="C999" t="e">
        <f>B999/(日期!#REF!-日期!#REF!+1)</f>
        <v>#REF!</v>
      </c>
    </row>
    <row r="1000" spans="2:3">
      <c r="B1000">
        <f>SUMIFS(allorders!O:O,allorders!L:L,'数据处理(仓储使用)'!$A1000,allorders!$AG:$AG,"&lt;="&amp;日期!#REF!,allorders!$AG:$AG,"&gt;="&amp;日期!#REF!)</f>
        <v>0</v>
      </c>
      <c r="C1000" t="e">
        <f>B1000/(日期!#REF!-日期!#REF!+1)</f>
        <v>#REF!</v>
      </c>
    </row>
    <row r="1001" spans="2:3">
      <c r="B1001">
        <f>SUMIFS(allorders!O:O,allorders!L:L,'数据处理(仓储使用)'!$A1001,allorders!$AG:$AG,"&lt;="&amp;日期!#REF!,allorders!$AG:$AG,"&gt;="&amp;日期!#REF!)</f>
        <v>0</v>
      </c>
      <c r="C1001" t="e">
        <f>B1001/(日期!#REF!-日期!#REF!+1)</f>
        <v>#REF!</v>
      </c>
    </row>
    <row r="1002" spans="2:3">
      <c r="B1002">
        <f>SUMIFS(allorders!O:O,allorders!L:L,'数据处理(仓储使用)'!$A1002,allorders!$AG:$AG,"&lt;="&amp;日期!#REF!,allorders!$AG:$AG,"&gt;="&amp;日期!#REF!)</f>
        <v>0</v>
      </c>
      <c r="C1002" t="e">
        <f>B1002/(日期!#REF!-日期!#REF!+1)</f>
        <v>#REF!</v>
      </c>
    </row>
    <row r="1003" spans="2:3">
      <c r="B1003">
        <f>SUMIFS(allorders!O:O,allorders!L:L,'数据处理(仓储使用)'!$A1003,allorders!$AG:$AG,"&lt;="&amp;日期!#REF!,allorders!$AG:$AG,"&gt;="&amp;日期!#REF!)</f>
        <v>0</v>
      </c>
      <c r="C1003" t="e">
        <f>B1003/(日期!#REF!-日期!#REF!+1)</f>
        <v>#REF!</v>
      </c>
    </row>
    <row r="1004" spans="2:3">
      <c r="B1004">
        <f>SUMIFS(allorders!O:O,allorders!L:L,'数据处理(仓储使用)'!$A1004,allorders!$AG:$AG,"&lt;="&amp;日期!#REF!,allorders!$AG:$AG,"&gt;="&amp;日期!#REF!)</f>
        <v>0</v>
      </c>
      <c r="C1004" t="e">
        <f>B1004/(日期!#REF!-日期!#REF!+1)</f>
        <v>#REF!</v>
      </c>
    </row>
    <row r="1005" spans="2:3">
      <c r="B1005">
        <f>SUMIFS(allorders!O:O,allorders!L:L,'数据处理(仓储使用)'!$A1005,allorders!$AG:$AG,"&lt;="&amp;日期!#REF!,allorders!$AG:$AG,"&gt;="&amp;日期!#REF!)</f>
        <v>0</v>
      </c>
      <c r="C1005" t="e">
        <f>B1005/(日期!#REF!-日期!#REF!+1)</f>
        <v>#REF!</v>
      </c>
    </row>
    <row r="1006" spans="2:3">
      <c r="B1006">
        <f>SUMIFS(allorders!O:O,allorders!L:L,'数据处理(仓储使用)'!$A1006,allorders!$AG:$AG,"&lt;="&amp;日期!#REF!,allorders!$AG:$AG,"&gt;="&amp;日期!#REF!)</f>
        <v>0</v>
      </c>
      <c r="C1006" t="e">
        <f>B1006/(日期!#REF!-日期!#REF!+1)</f>
        <v>#REF!</v>
      </c>
    </row>
    <row r="1007" spans="2:3">
      <c r="B1007">
        <f>SUMIFS(allorders!O:O,allorders!L:L,'数据处理(仓储使用)'!$A1007,allorders!$AG:$AG,"&lt;="&amp;日期!#REF!,allorders!$AG:$AG,"&gt;="&amp;日期!#REF!)</f>
        <v>0</v>
      </c>
      <c r="C1007" t="e">
        <f>B1007/(日期!#REF!-日期!#REF!+1)</f>
        <v>#REF!</v>
      </c>
    </row>
    <row r="1008" spans="2:3">
      <c r="B1008">
        <f>SUMIFS(allorders!O:O,allorders!L:L,'数据处理(仓储使用)'!$A1008,allorders!$AG:$AG,"&lt;="&amp;日期!#REF!,allorders!$AG:$AG,"&gt;="&amp;日期!#REF!)</f>
        <v>0</v>
      </c>
      <c r="C1008" t="e">
        <f>B1008/(日期!#REF!-日期!#REF!+1)</f>
        <v>#REF!</v>
      </c>
    </row>
    <row r="1009" spans="2:3">
      <c r="B1009">
        <f>SUMIFS(allorders!O:O,allorders!L:L,'数据处理(仓储使用)'!$A1009,allorders!$AG:$AG,"&lt;="&amp;日期!#REF!,allorders!$AG:$AG,"&gt;="&amp;日期!#REF!)</f>
        <v>0</v>
      </c>
      <c r="C1009" t="e">
        <f>B1009/(日期!#REF!-日期!#REF!+1)</f>
        <v>#REF!</v>
      </c>
    </row>
    <row r="1010" spans="2:3">
      <c r="B1010">
        <f>SUMIFS(allorders!O:O,allorders!L:L,'数据处理(仓储使用)'!$A1010,allorders!$AG:$AG,"&lt;="&amp;日期!#REF!,allorders!$AG:$AG,"&gt;="&amp;日期!#REF!)</f>
        <v>0</v>
      </c>
      <c r="C1010" t="e">
        <f>B1010/(日期!#REF!-日期!#REF!+1)</f>
        <v>#REF!</v>
      </c>
    </row>
    <row r="1011" spans="2:3">
      <c r="B1011">
        <f>SUMIFS(allorders!O:O,allorders!L:L,'数据处理(仓储使用)'!$A1011,allorders!$AG:$AG,"&lt;="&amp;日期!#REF!,allorders!$AG:$AG,"&gt;="&amp;日期!#REF!)</f>
        <v>0</v>
      </c>
      <c r="C1011" t="e">
        <f>B1011/(日期!#REF!-日期!#REF!+1)</f>
        <v>#REF!</v>
      </c>
    </row>
    <row r="1012" spans="2:3">
      <c r="B1012">
        <f>SUMIFS(allorders!O:O,allorders!L:L,'数据处理(仓储使用)'!$A1012,allorders!$AG:$AG,"&lt;="&amp;日期!#REF!,allorders!$AG:$AG,"&gt;="&amp;日期!#REF!)</f>
        <v>0</v>
      </c>
      <c r="C1012" t="e">
        <f>B1012/(日期!#REF!-日期!#REF!+1)</f>
        <v>#REF!</v>
      </c>
    </row>
    <row r="1013" spans="2:3">
      <c r="B1013">
        <f>SUMIFS(allorders!O:O,allorders!L:L,'数据处理(仓储使用)'!$A1013,allorders!$AG:$AG,"&lt;="&amp;日期!#REF!,allorders!$AG:$AG,"&gt;="&amp;日期!#REF!)</f>
        <v>0</v>
      </c>
      <c r="C1013" t="e">
        <f>B1013/(日期!#REF!-日期!#REF!+1)</f>
        <v>#REF!</v>
      </c>
    </row>
    <row r="1014" spans="2:3">
      <c r="B1014">
        <f>SUMIFS(allorders!O:O,allorders!L:L,'数据处理(仓储使用)'!$A1014,allorders!$AG:$AG,"&lt;="&amp;日期!#REF!,allorders!$AG:$AG,"&gt;="&amp;日期!#REF!)</f>
        <v>0</v>
      </c>
      <c r="C1014" t="e">
        <f>B1014/(日期!#REF!-日期!#REF!+1)</f>
        <v>#REF!</v>
      </c>
    </row>
    <row r="1015" spans="2:3">
      <c r="B1015">
        <f>SUMIFS(allorders!O:O,allorders!L:L,'数据处理(仓储使用)'!$A1015,allorders!$AG:$AG,"&lt;="&amp;日期!#REF!,allorders!$AG:$AG,"&gt;="&amp;日期!#REF!)</f>
        <v>0</v>
      </c>
      <c r="C1015" t="e">
        <f>B1015/(日期!#REF!-日期!#REF!+1)</f>
        <v>#REF!</v>
      </c>
    </row>
    <row r="1016" spans="2:3">
      <c r="B1016">
        <f>SUMIFS(allorders!O:O,allorders!L:L,'数据处理(仓储使用)'!$A1016,allorders!$AG:$AG,"&lt;="&amp;日期!#REF!,allorders!$AG:$AG,"&gt;="&amp;日期!#REF!)</f>
        <v>0</v>
      </c>
      <c r="C1016" t="e">
        <f>B1016/(日期!#REF!-日期!#REF!+1)</f>
        <v>#REF!</v>
      </c>
    </row>
    <row r="1017" spans="2:3">
      <c r="B1017">
        <f>SUMIFS(allorders!O:O,allorders!L:L,'数据处理(仓储使用)'!$A1017,allorders!$AG:$AG,"&lt;="&amp;日期!#REF!,allorders!$AG:$AG,"&gt;="&amp;日期!#REF!)</f>
        <v>0</v>
      </c>
      <c r="C1017" t="e">
        <f>B1017/(日期!#REF!-日期!#REF!+1)</f>
        <v>#REF!</v>
      </c>
    </row>
    <row r="1018" spans="2:3">
      <c r="B1018">
        <f>SUMIFS(allorders!O:O,allorders!L:L,'数据处理(仓储使用)'!$A1018,allorders!$AG:$AG,"&lt;="&amp;日期!#REF!,allorders!$AG:$AG,"&gt;="&amp;日期!#REF!)</f>
        <v>0</v>
      </c>
      <c r="C1018" t="e">
        <f>B1018/(日期!#REF!-日期!#REF!+1)</f>
        <v>#REF!</v>
      </c>
    </row>
    <row r="1019" spans="2:3">
      <c r="B1019">
        <f>SUMIFS(allorders!O:O,allorders!L:L,'数据处理(仓储使用)'!$A1019,allorders!$AG:$AG,"&lt;="&amp;日期!#REF!,allorders!$AG:$AG,"&gt;="&amp;日期!#REF!)</f>
        <v>0</v>
      </c>
      <c r="C1019" t="e">
        <f>B1019/(日期!#REF!-日期!#REF!+1)</f>
        <v>#REF!</v>
      </c>
    </row>
    <row r="1020" spans="2:3">
      <c r="B1020">
        <f>SUMIFS(allorders!O:O,allorders!L:L,'数据处理(仓储使用)'!$A1020,allorders!$AG:$AG,"&lt;="&amp;日期!#REF!,allorders!$AG:$AG,"&gt;="&amp;日期!#REF!)</f>
        <v>0</v>
      </c>
      <c r="C1020" t="e">
        <f>B1020/(日期!#REF!-日期!#REF!+1)</f>
        <v>#REF!</v>
      </c>
    </row>
    <row r="1021" spans="2:3">
      <c r="B1021">
        <f>SUMIFS(allorders!O:O,allorders!L:L,'数据处理(仓储使用)'!$A1021,allorders!$AG:$AG,"&lt;="&amp;日期!#REF!,allorders!$AG:$AG,"&gt;="&amp;日期!#REF!)</f>
        <v>0</v>
      </c>
      <c r="C1021" t="e">
        <f>B1021/(日期!#REF!-日期!#REF!+1)</f>
        <v>#REF!</v>
      </c>
    </row>
    <row r="1022" spans="2:3">
      <c r="B1022">
        <f>SUMIFS(allorders!O:O,allorders!L:L,'数据处理(仓储使用)'!$A1022,allorders!$AG:$AG,"&lt;="&amp;日期!#REF!,allorders!$AG:$AG,"&gt;="&amp;日期!#REF!)</f>
        <v>0</v>
      </c>
      <c r="C1022" t="e">
        <f>B1022/(日期!#REF!-日期!#REF!+1)</f>
        <v>#REF!</v>
      </c>
    </row>
    <row r="1023" spans="2:3">
      <c r="B1023">
        <f>SUMIFS(allorders!O:O,allorders!L:L,'数据处理(仓储使用)'!$A1023,allorders!$AG:$AG,"&lt;="&amp;日期!#REF!,allorders!$AG:$AG,"&gt;="&amp;日期!#REF!)</f>
        <v>0</v>
      </c>
      <c r="C1023" t="e">
        <f>B1023/(日期!#REF!-日期!#REF!+1)</f>
        <v>#REF!</v>
      </c>
    </row>
    <row r="1024" spans="2:3">
      <c r="B1024">
        <f>SUMIFS(allorders!O:O,allorders!L:L,'数据处理(仓储使用)'!$A1024,allorders!$AG:$AG,"&lt;="&amp;日期!#REF!,allorders!$AG:$AG,"&gt;="&amp;日期!#REF!)</f>
        <v>0</v>
      </c>
      <c r="C1024" t="e">
        <f>B1024/(日期!#REF!-日期!#REF!+1)</f>
        <v>#REF!</v>
      </c>
    </row>
    <row r="1025" spans="2:3">
      <c r="B1025">
        <f>SUMIFS(allorders!O:O,allorders!L:L,'数据处理(仓储使用)'!$A1025,allorders!$AG:$AG,"&lt;="&amp;日期!#REF!,allorders!$AG:$AG,"&gt;="&amp;日期!#REF!)</f>
        <v>0</v>
      </c>
      <c r="C1025" t="e">
        <f>B1025/(日期!#REF!-日期!#REF!+1)</f>
        <v>#REF!</v>
      </c>
    </row>
    <row r="1026" spans="2:3">
      <c r="B1026">
        <f>SUMIFS(allorders!O:O,allorders!L:L,'数据处理(仓储使用)'!$A1026,allorders!$AG:$AG,"&lt;="&amp;日期!#REF!,allorders!$AG:$AG,"&gt;="&amp;日期!#REF!)</f>
        <v>0</v>
      </c>
      <c r="C1026" t="e">
        <f>B1026/(日期!#REF!-日期!#REF!+1)</f>
        <v>#REF!</v>
      </c>
    </row>
    <row r="1027" spans="2:3">
      <c r="B1027">
        <f>SUMIFS(allorders!O:O,allorders!L:L,'数据处理(仓储使用)'!$A1027,allorders!$AG:$AG,"&lt;="&amp;日期!#REF!,allorders!$AG:$AG,"&gt;="&amp;日期!#REF!)</f>
        <v>0</v>
      </c>
      <c r="C1027" t="e">
        <f>B1027/(日期!#REF!-日期!#REF!+1)</f>
        <v>#REF!</v>
      </c>
    </row>
    <row r="1028" spans="2:3">
      <c r="B1028">
        <f>SUMIFS(allorders!O:O,allorders!L:L,'数据处理(仓储使用)'!$A1028,allorders!$AG:$AG,"&lt;="&amp;日期!#REF!,allorders!$AG:$AG,"&gt;="&amp;日期!#REF!)</f>
        <v>0</v>
      </c>
      <c r="C1028" t="e">
        <f>B1028/(日期!#REF!-日期!#REF!+1)</f>
        <v>#REF!</v>
      </c>
    </row>
    <row r="1029" spans="2:3">
      <c r="B1029">
        <f>SUMIFS(allorders!O:O,allorders!L:L,'数据处理(仓储使用)'!$A1029,allorders!$AG:$AG,"&lt;="&amp;日期!#REF!,allorders!$AG:$AG,"&gt;="&amp;日期!#REF!)</f>
        <v>0</v>
      </c>
      <c r="C1029" t="e">
        <f>B1029/(日期!#REF!-日期!#REF!+1)</f>
        <v>#REF!</v>
      </c>
    </row>
    <row r="1030" spans="2:3">
      <c r="B1030">
        <f>SUMIFS(allorders!O:O,allorders!L:L,'数据处理(仓储使用)'!$A1030,allorders!$AG:$AG,"&lt;="&amp;日期!#REF!,allorders!$AG:$AG,"&gt;="&amp;日期!#REF!)</f>
        <v>0</v>
      </c>
      <c r="C1030" t="e">
        <f>B1030/(日期!#REF!-日期!#REF!+1)</f>
        <v>#REF!</v>
      </c>
    </row>
    <row r="1031" spans="2:3">
      <c r="B1031">
        <f>SUMIFS(allorders!O:O,allorders!L:L,'数据处理(仓储使用)'!$A1031,allorders!$AG:$AG,"&lt;="&amp;日期!#REF!,allorders!$AG:$AG,"&gt;="&amp;日期!#REF!)</f>
        <v>0</v>
      </c>
      <c r="C1031" t="e">
        <f>B1031/(日期!#REF!-日期!#REF!+1)</f>
        <v>#REF!</v>
      </c>
    </row>
    <row r="1032" spans="2:3">
      <c r="B1032">
        <f>SUMIFS(allorders!O:O,allorders!L:L,'数据处理(仓储使用)'!$A1032,allorders!$AG:$AG,"&lt;="&amp;日期!#REF!,allorders!$AG:$AG,"&gt;="&amp;日期!#REF!)</f>
        <v>0</v>
      </c>
      <c r="C1032" t="e">
        <f>B1032/(日期!#REF!-日期!#REF!+1)</f>
        <v>#REF!</v>
      </c>
    </row>
    <row r="1033" spans="2:3">
      <c r="B1033">
        <f>SUMIFS(allorders!O:O,allorders!L:L,'数据处理(仓储使用)'!$A1033,allorders!$AG:$AG,"&lt;="&amp;日期!#REF!,allorders!$AG:$AG,"&gt;="&amp;日期!#REF!)</f>
        <v>0</v>
      </c>
      <c r="C1033" t="e">
        <f>B1033/(日期!#REF!-日期!#REF!+1)</f>
        <v>#REF!</v>
      </c>
    </row>
    <row r="1034" spans="2:3">
      <c r="B1034">
        <f>SUMIFS(allorders!O:O,allorders!L:L,'数据处理(仓储使用)'!$A1034,allorders!$AG:$AG,"&lt;="&amp;日期!#REF!,allorders!$AG:$AG,"&gt;="&amp;日期!#REF!)</f>
        <v>0</v>
      </c>
      <c r="C1034" t="e">
        <f>B1034/(日期!#REF!-日期!#REF!+1)</f>
        <v>#REF!</v>
      </c>
    </row>
    <row r="1035" spans="2:3">
      <c r="B1035">
        <f>SUMIFS(allorders!O:O,allorders!L:L,'数据处理(仓储使用)'!$A1035,allorders!$AG:$AG,"&lt;="&amp;日期!#REF!,allorders!$AG:$AG,"&gt;="&amp;日期!#REF!)</f>
        <v>0</v>
      </c>
      <c r="C1035" t="e">
        <f>B1035/(日期!#REF!-日期!#REF!+1)</f>
        <v>#REF!</v>
      </c>
    </row>
    <row r="1036" spans="2:3">
      <c r="B1036">
        <f>SUMIFS(allorders!O:O,allorders!L:L,'数据处理(仓储使用)'!$A1036,allorders!$AG:$AG,"&lt;="&amp;日期!#REF!,allorders!$AG:$AG,"&gt;="&amp;日期!#REF!)</f>
        <v>0</v>
      </c>
      <c r="C1036" t="e">
        <f>B1036/(日期!#REF!-日期!#REF!+1)</f>
        <v>#REF!</v>
      </c>
    </row>
    <row r="1037" spans="2:3">
      <c r="B1037">
        <f>SUMIFS(allorders!O:O,allorders!L:L,'数据处理(仓储使用)'!$A1037,allorders!$AG:$AG,"&lt;="&amp;日期!#REF!,allorders!$AG:$AG,"&gt;="&amp;日期!#REF!)</f>
        <v>0</v>
      </c>
      <c r="C1037" t="e">
        <f>B1037/(日期!#REF!-日期!#REF!+1)</f>
        <v>#REF!</v>
      </c>
    </row>
    <row r="1038" spans="2:3">
      <c r="B1038">
        <f>SUMIFS(allorders!O:O,allorders!L:L,'数据处理(仓储使用)'!$A1038,allorders!$AG:$AG,"&lt;="&amp;日期!#REF!,allorders!$AG:$AG,"&gt;="&amp;日期!#REF!)</f>
        <v>0</v>
      </c>
      <c r="C1038" t="e">
        <f>B1038/(日期!#REF!-日期!#REF!+1)</f>
        <v>#REF!</v>
      </c>
    </row>
    <row r="1039" spans="2:3">
      <c r="B1039">
        <f>SUMIFS(allorders!O:O,allorders!L:L,'数据处理(仓储使用)'!$A1039,allorders!$AG:$AG,"&lt;="&amp;日期!#REF!,allorders!$AG:$AG,"&gt;="&amp;日期!#REF!)</f>
        <v>0</v>
      </c>
      <c r="C1039" t="e">
        <f>B1039/(日期!#REF!-日期!#REF!+1)</f>
        <v>#REF!</v>
      </c>
    </row>
    <row r="1040" spans="2:3">
      <c r="B1040">
        <f>SUMIFS(allorders!O:O,allorders!L:L,'数据处理(仓储使用)'!$A1040,allorders!$AG:$AG,"&lt;="&amp;日期!#REF!,allorders!$AG:$AG,"&gt;="&amp;日期!#REF!)</f>
        <v>0</v>
      </c>
      <c r="C1040" t="e">
        <f>B1040/(日期!#REF!-日期!#REF!+1)</f>
        <v>#REF!</v>
      </c>
    </row>
    <row r="1041" spans="2:3">
      <c r="B1041">
        <f>SUMIFS(allorders!O:O,allorders!L:L,'数据处理(仓储使用)'!$A1041,allorders!$AG:$AG,"&lt;="&amp;日期!#REF!,allorders!$AG:$AG,"&gt;="&amp;日期!#REF!)</f>
        <v>0</v>
      </c>
      <c r="C1041" t="e">
        <f>B1041/(日期!#REF!-日期!#REF!+1)</f>
        <v>#REF!</v>
      </c>
    </row>
    <row r="1042" spans="2:3">
      <c r="B1042">
        <f>SUMIFS(allorders!O:O,allorders!L:L,'数据处理(仓储使用)'!$A1042,allorders!$AG:$AG,"&lt;="&amp;日期!#REF!,allorders!$AG:$AG,"&gt;="&amp;日期!#REF!)</f>
        <v>0</v>
      </c>
      <c r="C1042" t="e">
        <f>B1042/(日期!#REF!-日期!#REF!+1)</f>
        <v>#REF!</v>
      </c>
    </row>
    <row r="1043" spans="2:3">
      <c r="B1043">
        <f>SUMIFS(allorders!O:O,allorders!L:L,'数据处理(仓储使用)'!$A1043,allorders!$AG:$AG,"&lt;="&amp;日期!#REF!,allorders!$AG:$AG,"&gt;="&amp;日期!#REF!)</f>
        <v>0</v>
      </c>
      <c r="C1043" t="e">
        <f>B1043/(日期!#REF!-日期!#REF!+1)</f>
        <v>#REF!</v>
      </c>
    </row>
    <row r="1044" spans="2:3">
      <c r="B1044">
        <f>SUMIFS(allorders!O:O,allorders!L:L,'数据处理(仓储使用)'!$A1044,allorders!$AG:$AG,"&lt;="&amp;日期!#REF!,allorders!$AG:$AG,"&gt;="&amp;日期!#REF!)</f>
        <v>0</v>
      </c>
      <c r="C1044" t="e">
        <f>B1044/(日期!#REF!-日期!#REF!+1)</f>
        <v>#REF!</v>
      </c>
    </row>
    <row r="1045" spans="2:3">
      <c r="B1045">
        <f>SUMIFS(allorders!O:O,allorders!L:L,'数据处理(仓储使用)'!$A1045,allorders!$AG:$AG,"&lt;="&amp;日期!#REF!,allorders!$AG:$AG,"&gt;="&amp;日期!#REF!)</f>
        <v>0</v>
      </c>
      <c r="C1045" t="e">
        <f>B1045/(日期!#REF!-日期!#REF!+1)</f>
        <v>#REF!</v>
      </c>
    </row>
    <row r="1046" spans="2:3">
      <c r="B1046">
        <f>SUMIFS(allorders!O:O,allorders!L:L,'数据处理(仓储使用)'!$A1046,allorders!$AG:$AG,"&lt;="&amp;日期!#REF!,allorders!$AG:$AG,"&gt;="&amp;日期!#REF!)</f>
        <v>0</v>
      </c>
      <c r="C1046" t="e">
        <f>B1046/(日期!#REF!-日期!#REF!+1)</f>
        <v>#REF!</v>
      </c>
    </row>
    <row r="1047" spans="2:3">
      <c r="B1047">
        <f>SUMIFS(allorders!O:O,allorders!L:L,'数据处理(仓储使用)'!$A1047,allorders!$AG:$AG,"&lt;="&amp;日期!#REF!,allorders!$AG:$AG,"&gt;="&amp;日期!#REF!)</f>
        <v>0</v>
      </c>
      <c r="C1047" t="e">
        <f>B1047/(日期!#REF!-日期!#REF!+1)</f>
        <v>#REF!</v>
      </c>
    </row>
    <row r="1048" spans="2:3">
      <c r="B1048">
        <f>SUMIFS(allorders!O:O,allorders!L:L,'数据处理(仓储使用)'!$A1048,allorders!$AG:$AG,"&lt;="&amp;日期!#REF!,allorders!$AG:$AG,"&gt;="&amp;日期!#REF!)</f>
        <v>0</v>
      </c>
      <c r="C1048" t="e">
        <f>B1048/(日期!#REF!-日期!#REF!+1)</f>
        <v>#REF!</v>
      </c>
    </row>
    <row r="1049" spans="2:3">
      <c r="B1049">
        <f>SUMIFS(allorders!O:O,allorders!L:L,'数据处理(仓储使用)'!$A1049,allorders!$AG:$AG,"&lt;="&amp;日期!#REF!,allorders!$AG:$AG,"&gt;="&amp;日期!#REF!)</f>
        <v>0</v>
      </c>
      <c r="C1049" t="e">
        <f>B1049/(日期!#REF!-日期!#REF!+1)</f>
        <v>#REF!</v>
      </c>
    </row>
    <row r="1050" spans="2:3">
      <c r="B1050">
        <f>SUMIFS(allorders!O:O,allorders!L:L,'数据处理(仓储使用)'!$A1050,allorders!$AG:$AG,"&lt;="&amp;日期!#REF!,allorders!$AG:$AG,"&gt;="&amp;日期!#REF!)</f>
        <v>0</v>
      </c>
      <c r="C1050" t="e">
        <f>B1050/(日期!#REF!-日期!#REF!+1)</f>
        <v>#REF!</v>
      </c>
    </row>
    <row r="1051" spans="2:3">
      <c r="B1051">
        <f>SUMIFS(allorders!O:O,allorders!L:L,'数据处理(仓储使用)'!$A1051,allorders!$AG:$AG,"&lt;="&amp;日期!#REF!,allorders!$AG:$AG,"&gt;="&amp;日期!#REF!)</f>
        <v>0</v>
      </c>
      <c r="C1051" t="e">
        <f>B1051/(日期!#REF!-日期!#REF!+1)</f>
        <v>#REF!</v>
      </c>
    </row>
    <row r="1052" spans="2:3">
      <c r="B1052">
        <f>SUMIFS(allorders!O:O,allorders!L:L,'数据处理(仓储使用)'!$A1052,allorders!$AG:$AG,"&lt;="&amp;日期!#REF!,allorders!$AG:$AG,"&gt;="&amp;日期!#REF!)</f>
        <v>0</v>
      </c>
      <c r="C1052" t="e">
        <f>B1052/(日期!#REF!-日期!#REF!+1)</f>
        <v>#REF!</v>
      </c>
    </row>
    <row r="1053" spans="2:3">
      <c r="B1053">
        <f>SUMIFS(allorders!O:O,allorders!L:L,'数据处理(仓储使用)'!$A1053,allorders!$AG:$AG,"&lt;="&amp;日期!#REF!,allorders!$AG:$AG,"&gt;="&amp;日期!#REF!)</f>
        <v>0</v>
      </c>
      <c r="C1053" t="e">
        <f>B1053/(日期!#REF!-日期!#REF!+1)</f>
        <v>#REF!</v>
      </c>
    </row>
    <row r="1054" spans="2:3">
      <c r="B1054">
        <f>SUMIFS(allorders!O:O,allorders!L:L,'数据处理(仓储使用)'!$A1054,allorders!$AG:$AG,"&lt;="&amp;日期!#REF!,allorders!$AG:$AG,"&gt;="&amp;日期!#REF!)</f>
        <v>0</v>
      </c>
      <c r="C1054" t="e">
        <f>B1054/(日期!#REF!-日期!#REF!+1)</f>
        <v>#REF!</v>
      </c>
    </row>
    <row r="1055" spans="2:3">
      <c r="B1055">
        <f>SUMIFS(allorders!O:O,allorders!L:L,'数据处理(仓储使用)'!$A1055,allorders!$AG:$AG,"&lt;="&amp;日期!#REF!,allorders!$AG:$AG,"&gt;="&amp;日期!#REF!)</f>
        <v>0</v>
      </c>
      <c r="C1055" t="e">
        <f>B1055/(日期!#REF!-日期!#REF!+1)</f>
        <v>#REF!</v>
      </c>
    </row>
    <row r="1056" spans="2:3">
      <c r="B1056">
        <f>SUMIFS(allorders!O:O,allorders!L:L,'数据处理(仓储使用)'!$A1056,allorders!$AG:$AG,"&lt;="&amp;日期!#REF!,allorders!$AG:$AG,"&gt;="&amp;日期!#REF!)</f>
        <v>0</v>
      </c>
      <c r="C1056" t="e">
        <f>B1056/(日期!#REF!-日期!#REF!+1)</f>
        <v>#REF!</v>
      </c>
    </row>
    <row r="1057" spans="2:3">
      <c r="B1057">
        <f>SUMIFS(allorders!O:O,allorders!L:L,'数据处理(仓储使用)'!$A1057,allorders!$AG:$AG,"&lt;="&amp;日期!#REF!,allorders!$AG:$AG,"&gt;="&amp;日期!#REF!)</f>
        <v>0</v>
      </c>
      <c r="C1057" t="e">
        <f>B1057/(日期!#REF!-日期!#REF!+1)</f>
        <v>#REF!</v>
      </c>
    </row>
    <row r="1058" spans="2:3">
      <c r="B1058">
        <f>SUMIFS(allorders!O:O,allorders!L:L,'数据处理(仓储使用)'!$A1058,allorders!$AG:$AG,"&lt;="&amp;日期!#REF!,allorders!$AG:$AG,"&gt;="&amp;日期!#REF!)</f>
        <v>0</v>
      </c>
      <c r="C1058" t="e">
        <f>B1058/(日期!#REF!-日期!#REF!+1)</f>
        <v>#REF!</v>
      </c>
    </row>
    <row r="1059" spans="2:3">
      <c r="B1059">
        <f>SUMIFS(allorders!O:O,allorders!L:L,'数据处理(仓储使用)'!$A1059,allorders!$AG:$AG,"&lt;="&amp;日期!#REF!,allorders!$AG:$AG,"&gt;="&amp;日期!#REF!)</f>
        <v>0</v>
      </c>
      <c r="C1059" t="e">
        <f>B1059/(日期!#REF!-日期!#REF!+1)</f>
        <v>#REF!</v>
      </c>
    </row>
    <row r="1060" spans="2:3">
      <c r="B1060">
        <f>SUMIFS(allorders!O:O,allorders!L:L,'数据处理(仓储使用)'!$A1060,allorders!$AG:$AG,"&lt;="&amp;日期!#REF!,allorders!$AG:$AG,"&gt;="&amp;日期!#REF!)</f>
        <v>0</v>
      </c>
      <c r="C1060" t="e">
        <f>B1060/(日期!#REF!-日期!#REF!+1)</f>
        <v>#REF!</v>
      </c>
    </row>
    <row r="1061" spans="2:3">
      <c r="B1061">
        <f>SUMIFS(allorders!O:O,allorders!L:L,'数据处理(仓储使用)'!$A1061,allorders!$AG:$AG,"&lt;="&amp;日期!#REF!,allorders!$AG:$AG,"&gt;="&amp;日期!#REF!)</f>
        <v>0</v>
      </c>
      <c r="C1061" t="e">
        <f>B1061/(日期!#REF!-日期!#REF!+1)</f>
        <v>#REF!</v>
      </c>
    </row>
    <row r="1062" spans="2:3">
      <c r="B1062">
        <f>SUMIFS(allorders!O:O,allorders!L:L,'数据处理(仓储使用)'!$A1062,allorders!$AG:$AG,"&lt;="&amp;日期!#REF!,allorders!$AG:$AG,"&gt;="&amp;日期!#REF!)</f>
        <v>0</v>
      </c>
      <c r="C1062" t="e">
        <f>B1062/(日期!#REF!-日期!#REF!+1)</f>
        <v>#REF!</v>
      </c>
    </row>
    <row r="1063" spans="2:3">
      <c r="B1063">
        <f>SUMIFS(allorders!O:O,allorders!L:L,'数据处理(仓储使用)'!$A1063,allorders!$AG:$AG,"&lt;="&amp;日期!#REF!,allorders!$AG:$AG,"&gt;="&amp;日期!#REF!)</f>
        <v>0</v>
      </c>
      <c r="C1063" t="e">
        <f>B1063/(日期!#REF!-日期!#REF!+1)</f>
        <v>#REF!</v>
      </c>
    </row>
    <row r="1064" spans="2:3">
      <c r="B1064">
        <f>SUMIFS(allorders!O:O,allorders!L:L,'数据处理(仓储使用)'!$A1064,allorders!$AG:$AG,"&lt;="&amp;日期!#REF!,allorders!$AG:$AG,"&gt;="&amp;日期!#REF!)</f>
        <v>0</v>
      </c>
      <c r="C1064" t="e">
        <f>B1064/(日期!#REF!-日期!#REF!+1)</f>
        <v>#REF!</v>
      </c>
    </row>
    <row r="1065" spans="2:3">
      <c r="B1065">
        <f>SUMIFS(allorders!O:O,allorders!L:L,'数据处理(仓储使用)'!$A1065,allorders!$AG:$AG,"&lt;="&amp;日期!#REF!,allorders!$AG:$AG,"&gt;="&amp;日期!#REF!)</f>
        <v>0</v>
      </c>
      <c r="C1065" t="e">
        <f>B1065/(日期!#REF!-日期!#REF!+1)</f>
        <v>#REF!</v>
      </c>
    </row>
    <row r="1066" spans="2:3">
      <c r="B1066">
        <f>SUMIFS(allorders!O:O,allorders!L:L,'数据处理(仓储使用)'!$A1066,allorders!$AG:$AG,"&lt;="&amp;日期!#REF!,allorders!$AG:$AG,"&gt;="&amp;日期!#REF!)</f>
        <v>0</v>
      </c>
      <c r="C1066" t="e">
        <f>B1066/(日期!#REF!-日期!#REF!+1)</f>
        <v>#REF!</v>
      </c>
    </row>
    <row r="1067" spans="2:3">
      <c r="B1067">
        <f>SUMIFS(allorders!O:O,allorders!L:L,'数据处理(仓储使用)'!$A1067,allorders!$AG:$AG,"&lt;="&amp;日期!#REF!,allorders!$AG:$AG,"&gt;="&amp;日期!#REF!)</f>
        <v>0</v>
      </c>
      <c r="C1067" t="e">
        <f>B1067/(日期!#REF!-日期!#REF!+1)</f>
        <v>#REF!</v>
      </c>
    </row>
    <row r="1068" spans="2:3">
      <c r="B1068">
        <f>SUMIFS(allorders!O:O,allorders!L:L,'数据处理(仓储使用)'!$A1068,allorders!$AG:$AG,"&lt;="&amp;日期!#REF!,allorders!$AG:$AG,"&gt;="&amp;日期!#REF!)</f>
        <v>0</v>
      </c>
      <c r="C1068" t="e">
        <f>B1068/(日期!#REF!-日期!#REF!+1)</f>
        <v>#REF!</v>
      </c>
    </row>
    <row r="1069" spans="2:3">
      <c r="B1069">
        <f>SUMIFS(allorders!O:O,allorders!L:L,'数据处理(仓储使用)'!$A1069,allorders!$AG:$AG,"&lt;="&amp;日期!#REF!,allorders!$AG:$AG,"&gt;="&amp;日期!#REF!)</f>
        <v>0</v>
      </c>
      <c r="C1069" t="e">
        <f>B1069/(日期!#REF!-日期!#REF!+1)</f>
        <v>#REF!</v>
      </c>
    </row>
    <row r="1070" spans="2:3">
      <c r="B1070">
        <f>SUMIFS(allorders!O:O,allorders!L:L,'数据处理(仓储使用)'!$A1070,allorders!$AG:$AG,"&lt;="&amp;日期!#REF!,allorders!$AG:$AG,"&gt;="&amp;日期!#REF!)</f>
        <v>0</v>
      </c>
      <c r="C1070" t="e">
        <f>B1070/(日期!#REF!-日期!#REF!+1)</f>
        <v>#REF!</v>
      </c>
    </row>
    <row r="1071" spans="2:3">
      <c r="B1071">
        <f>SUMIFS(allorders!O:O,allorders!L:L,'数据处理(仓储使用)'!$A1071,allorders!$AG:$AG,"&lt;="&amp;日期!#REF!,allorders!$AG:$AG,"&gt;="&amp;日期!#REF!)</f>
        <v>0</v>
      </c>
      <c r="C1071" t="e">
        <f>B1071/(日期!#REF!-日期!#REF!+1)</f>
        <v>#REF!</v>
      </c>
    </row>
    <row r="1072" spans="2:3">
      <c r="B1072">
        <f>SUMIFS(allorders!O:O,allorders!L:L,'数据处理(仓储使用)'!$A1072,allorders!$AG:$AG,"&lt;="&amp;日期!#REF!,allorders!$AG:$AG,"&gt;="&amp;日期!#REF!)</f>
        <v>0</v>
      </c>
      <c r="C1072" t="e">
        <f>B1072/(日期!#REF!-日期!#REF!+1)</f>
        <v>#REF!</v>
      </c>
    </row>
    <row r="1073" spans="2:3">
      <c r="B1073">
        <f>SUMIFS(allorders!O:O,allorders!L:L,'数据处理(仓储使用)'!$A1073,allorders!$AG:$AG,"&lt;="&amp;日期!#REF!,allorders!$AG:$AG,"&gt;="&amp;日期!#REF!)</f>
        <v>0</v>
      </c>
      <c r="C1073" t="e">
        <f>B1073/(日期!#REF!-日期!#REF!+1)</f>
        <v>#REF!</v>
      </c>
    </row>
    <row r="1074" spans="2:3">
      <c r="B1074">
        <f>SUMIFS(allorders!O:O,allorders!L:L,'数据处理(仓储使用)'!$A1074,allorders!$AG:$AG,"&lt;="&amp;日期!#REF!,allorders!$AG:$AG,"&gt;="&amp;日期!#REF!)</f>
        <v>0</v>
      </c>
      <c r="C1074" t="e">
        <f>B1074/(日期!#REF!-日期!#REF!+1)</f>
        <v>#REF!</v>
      </c>
    </row>
    <row r="1075" spans="2:3">
      <c r="B1075">
        <f>SUMIFS(allorders!O:O,allorders!L:L,'数据处理(仓储使用)'!$A1075,allorders!$AG:$AG,"&lt;="&amp;日期!#REF!,allorders!$AG:$AG,"&gt;="&amp;日期!#REF!)</f>
        <v>0</v>
      </c>
      <c r="C1075" t="e">
        <f>B1075/(日期!#REF!-日期!#REF!+1)</f>
        <v>#REF!</v>
      </c>
    </row>
    <row r="1076" spans="2:3">
      <c r="B1076">
        <f>SUMIFS(allorders!O:O,allorders!L:L,'数据处理(仓储使用)'!$A1076,allorders!$AG:$AG,"&lt;="&amp;日期!#REF!,allorders!$AG:$AG,"&gt;="&amp;日期!#REF!)</f>
        <v>0</v>
      </c>
      <c r="C1076" t="e">
        <f>B1076/(日期!#REF!-日期!#REF!+1)</f>
        <v>#REF!</v>
      </c>
    </row>
    <row r="1077" spans="2:3">
      <c r="B1077">
        <f>SUMIFS(allorders!O:O,allorders!L:L,'数据处理(仓储使用)'!$A1077,allorders!$AG:$AG,"&lt;="&amp;日期!#REF!,allorders!$AG:$AG,"&gt;="&amp;日期!#REF!)</f>
        <v>0</v>
      </c>
      <c r="C1077" t="e">
        <f>B1077/(日期!#REF!-日期!#REF!+1)</f>
        <v>#REF!</v>
      </c>
    </row>
    <row r="1078" spans="2:3">
      <c r="B1078">
        <f>SUMIFS(allorders!O:O,allorders!L:L,'数据处理(仓储使用)'!$A1078,allorders!$AG:$AG,"&lt;="&amp;日期!#REF!,allorders!$AG:$AG,"&gt;="&amp;日期!#REF!)</f>
        <v>0</v>
      </c>
      <c r="C1078" t="e">
        <f>B1078/(日期!#REF!-日期!#REF!+1)</f>
        <v>#REF!</v>
      </c>
    </row>
    <row r="1079" spans="2:3">
      <c r="B1079">
        <f>SUMIFS(allorders!O:O,allorders!L:L,'数据处理(仓储使用)'!$A1079,allorders!$AG:$AG,"&lt;="&amp;日期!#REF!,allorders!$AG:$AG,"&gt;="&amp;日期!#REF!)</f>
        <v>0</v>
      </c>
      <c r="C1079" t="e">
        <f>B1079/(日期!#REF!-日期!#REF!+1)</f>
        <v>#REF!</v>
      </c>
    </row>
    <row r="1080" spans="2:3">
      <c r="B1080">
        <f>SUMIFS(allorders!O:O,allorders!L:L,'数据处理(仓储使用)'!$A1080,allorders!$AG:$AG,"&lt;="&amp;日期!#REF!,allorders!$AG:$AG,"&gt;="&amp;日期!#REF!)</f>
        <v>0</v>
      </c>
      <c r="C1080" t="e">
        <f>B1080/(日期!#REF!-日期!#REF!+1)</f>
        <v>#REF!</v>
      </c>
    </row>
    <row r="1081" spans="2:3">
      <c r="B1081">
        <f>SUMIFS(allorders!O:O,allorders!L:L,'数据处理(仓储使用)'!$A1081,allorders!$AG:$AG,"&lt;="&amp;日期!#REF!,allorders!$AG:$AG,"&gt;="&amp;日期!#REF!)</f>
        <v>0</v>
      </c>
      <c r="C1081" t="e">
        <f>B1081/(日期!#REF!-日期!#REF!+1)</f>
        <v>#REF!</v>
      </c>
    </row>
    <row r="1082" spans="2:3">
      <c r="B1082">
        <f>SUMIFS(allorders!O:O,allorders!L:L,'数据处理(仓储使用)'!$A1082,allorders!$AG:$AG,"&lt;="&amp;日期!#REF!,allorders!$AG:$AG,"&gt;="&amp;日期!#REF!)</f>
        <v>0</v>
      </c>
      <c r="C1082" t="e">
        <f>B1082/(日期!#REF!-日期!#REF!+1)</f>
        <v>#REF!</v>
      </c>
    </row>
    <row r="1083" spans="2:3">
      <c r="B1083">
        <f>SUMIFS(allorders!O:O,allorders!L:L,'数据处理(仓储使用)'!$A1083,allorders!$AG:$AG,"&lt;="&amp;日期!#REF!,allorders!$AG:$AG,"&gt;="&amp;日期!#REF!)</f>
        <v>0</v>
      </c>
      <c r="C1083" t="e">
        <f>B1083/(日期!#REF!-日期!#REF!+1)</f>
        <v>#REF!</v>
      </c>
    </row>
    <row r="1084" spans="2:3">
      <c r="B1084">
        <f>SUMIFS(allorders!O:O,allorders!L:L,'数据处理(仓储使用)'!$A1084,allorders!$AG:$AG,"&lt;="&amp;日期!#REF!,allorders!$AG:$AG,"&gt;="&amp;日期!#REF!)</f>
        <v>0</v>
      </c>
      <c r="C1084" t="e">
        <f>B1084/(日期!#REF!-日期!#REF!+1)</f>
        <v>#REF!</v>
      </c>
    </row>
    <row r="1085" spans="2:3">
      <c r="B1085">
        <f>SUMIFS(allorders!O:O,allorders!L:L,'数据处理(仓储使用)'!$A1085,allorders!$AG:$AG,"&lt;="&amp;日期!#REF!,allorders!$AG:$AG,"&gt;="&amp;日期!#REF!)</f>
        <v>0</v>
      </c>
      <c r="C1085" t="e">
        <f>B1085/(日期!#REF!-日期!#REF!+1)</f>
        <v>#REF!</v>
      </c>
    </row>
    <row r="1086" spans="2:3">
      <c r="B1086">
        <f>SUMIFS(allorders!O:O,allorders!L:L,'数据处理(仓储使用)'!$A1086,allorders!$AG:$AG,"&lt;="&amp;日期!#REF!,allorders!$AG:$AG,"&gt;="&amp;日期!#REF!)</f>
        <v>0</v>
      </c>
      <c r="C1086" t="e">
        <f>B1086/(日期!#REF!-日期!#REF!+1)</f>
        <v>#REF!</v>
      </c>
    </row>
    <row r="1087" spans="2:3">
      <c r="B1087">
        <f>SUMIFS(allorders!O:O,allorders!L:L,'数据处理(仓储使用)'!$A1087,allorders!$AG:$AG,"&lt;="&amp;日期!#REF!,allorders!$AG:$AG,"&gt;="&amp;日期!#REF!)</f>
        <v>0</v>
      </c>
      <c r="C1087" t="e">
        <f>B1087/(日期!#REF!-日期!#REF!+1)</f>
        <v>#REF!</v>
      </c>
    </row>
    <row r="1088" spans="2:3">
      <c r="B1088">
        <f>SUMIFS(allorders!O:O,allorders!L:L,'数据处理(仓储使用)'!$A1088,allorders!$AG:$AG,"&lt;="&amp;日期!#REF!,allorders!$AG:$AG,"&gt;="&amp;日期!#REF!)</f>
        <v>0</v>
      </c>
      <c r="C1088" t="e">
        <f>B1088/(日期!#REF!-日期!#REF!+1)</f>
        <v>#REF!</v>
      </c>
    </row>
    <row r="1089" spans="2:3">
      <c r="B1089">
        <f>SUMIFS(allorders!O:O,allorders!L:L,'数据处理(仓储使用)'!$A1089,allorders!$AG:$AG,"&lt;="&amp;日期!#REF!,allorders!$AG:$AG,"&gt;="&amp;日期!#REF!)</f>
        <v>0</v>
      </c>
      <c r="C1089" t="e">
        <f>B1089/(日期!#REF!-日期!#REF!+1)</f>
        <v>#REF!</v>
      </c>
    </row>
    <row r="1090" spans="2:3">
      <c r="B1090">
        <f>SUMIFS(allorders!O:O,allorders!L:L,'数据处理(仓储使用)'!$A1090,allorders!$AG:$AG,"&lt;="&amp;日期!#REF!,allorders!$AG:$AG,"&gt;="&amp;日期!#REF!)</f>
        <v>0</v>
      </c>
      <c r="C1090" t="e">
        <f>B1090/(日期!#REF!-日期!#REF!+1)</f>
        <v>#REF!</v>
      </c>
    </row>
    <row r="1091" spans="2:3">
      <c r="B1091">
        <f>SUMIFS(allorders!O:O,allorders!L:L,'数据处理(仓储使用)'!$A1091,allorders!$AG:$AG,"&lt;="&amp;日期!#REF!,allorders!$AG:$AG,"&gt;="&amp;日期!#REF!)</f>
        <v>0</v>
      </c>
      <c r="C1091" t="e">
        <f>B1091/(日期!#REF!-日期!#REF!+1)</f>
        <v>#REF!</v>
      </c>
    </row>
    <row r="1092" spans="2:3">
      <c r="B1092">
        <f>SUMIFS(allorders!O:O,allorders!L:L,'数据处理(仓储使用)'!$A1092,allorders!$AG:$AG,"&lt;="&amp;日期!#REF!,allorders!$AG:$AG,"&gt;="&amp;日期!#REF!)</f>
        <v>0</v>
      </c>
      <c r="C1092" t="e">
        <f>B1092/(日期!#REF!-日期!#REF!+1)</f>
        <v>#REF!</v>
      </c>
    </row>
    <row r="1093" spans="2:3">
      <c r="B1093">
        <f>SUMIFS(allorders!O:O,allorders!L:L,'数据处理(仓储使用)'!$A1093,allorders!$AG:$AG,"&lt;="&amp;日期!#REF!,allorders!$AG:$AG,"&gt;="&amp;日期!#REF!)</f>
        <v>0</v>
      </c>
      <c r="C1093" t="e">
        <f>B1093/(日期!#REF!-日期!#REF!+1)</f>
        <v>#REF!</v>
      </c>
    </row>
    <row r="1094" spans="2:3">
      <c r="B1094">
        <f>SUMIFS(allorders!O:O,allorders!L:L,'数据处理(仓储使用)'!$A1094,allorders!$AG:$AG,"&lt;="&amp;日期!#REF!,allorders!$AG:$AG,"&gt;="&amp;日期!#REF!)</f>
        <v>0</v>
      </c>
      <c r="C1094" t="e">
        <f>B1094/(日期!#REF!-日期!#REF!+1)</f>
        <v>#REF!</v>
      </c>
    </row>
    <row r="1095" spans="2:3">
      <c r="B1095">
        <f>SUMIFS(allorders!O:O,allorders!L:L,'数据处理(仓储使用)'!$A1095,allorders!$AG:$AG,"&lt;="&amp;日期!#REF!,allorders!$AG:$AG,"&gt;="&amp;日期!#REF!)</f>
        <v>0</v>
      </c>
      <c r="C1095" t="e">
        <f>B1095/(日期!#REF!-日期!#REF!+1)</f>
        <v>#REF!</v>
      </c>
    </row>
    <row r="1096" spans="2:3">
      <c r="B1096">
        <f>SUMIFS(allorders!O:O,allorders!L:L,'数据处理(仓储使用)'!$A1096,allorders!$AG:$AG,"&lt;="&amp;日期!#REF!,allorders!$AG:$AG,"&gt;="&amp;日期!#REF!)</f>
        <v>0</v>
      </c>
      <c r="C1096" t="e">
        <f>B1096/(日期!#REF!-日期!#REF!+1)</f>
        <v>#REF!</v>
      </c>
    </row>
    <row r="1097" spans="2:3">
      <c r="B1097">
        <f>SUMIFS(allorders!O:O,allorders!L:L,'数据处理(仓储使用)'!$A1097,allorders!$AG:$AG,"&lt;="&amp;日期!#REF!,allorders!$AG:$AG,"&gt;="&amp;日期!#REF!)</f>
        <v>0</v>
      </c>
      <c r="C1097" t="e">
        <f>B1097/(日期!#REF!-日期!#REF!+1)</f>
        <v>#REF!</v>
      </c>
    </row>
    <row r="1098" spans="2:3">
      <c r="B1098">
        <f>SUMIFS(allorders!O:O,allorders!L:L,'数据处理(仓储使用)'!$A1098,allorders!$AG:$AG,"&lt;="&amp;日期!#REF!,allorders!$AG:$AG,"&gt;="&amp;日期!#REF!)</f>
        <v>0</v>
      </c>
      <c r="C1098" t="e">
        <f>B1098/(日期!#REF!-日期!#REF!+1)</f>
        <v>#REF!</v>
      </c>
    </row>
    <row r="1099" spans="2:3">
      <c r="B1099">
        <f>SUMIFS(allorders!O:O,allorders!L:L,'数据处理(仓储使用)'!$A1099,allorders!$AG:$AG,"&lt;="&amp;日期!#REF!,allorders!$AG:$AG,"&gt;="&amp;日期!#REF!)</f>
        <v>0</v>
      </c>
      <c r="C1099" t="e">
        <f>B1099/(日期!#REF!-日期!#REF!+1)</f>
        <v>#REF!</v>
      </c>
    </row>
    <row r="1100" spans="2:3">
      <c r="B1100">
        <f>SUMIFS(allorders!O:O,allorders!L:L,'数据处理(仓储使用)'!$A1100,allorders!$AG:$AG,"&lt;="&amp;日期!#REF!,allorders!$AG:$AG,"&gt;="&amp;日期!#REF!)</f>
        <v>0</v>
      </c>
      <c r="C1100" t="e">
        <f>B1100/(日期!#REF!-日期!#REF!+1)</f>
        <v>#REF!</v>
      </c>
    </row>
    <row r="1101" spans="2:3">
      <c r="B1101">
        <f>SUMIFS(allorders!O:O,allorders!L:L,'数据处理(仓储使用)'!$A1101,allorders!$AG:$AG,"&lt;="&amp;日期!#REF!,allorders!$AG:$AG,"&gt;="&amp;日期!#REF!)</f>
        <v>0</v>
      </c>
      <c r="C1101" t="e">
        <f>B1101/(日期!#REF!-日期!#REF!+1)</f>
        <v>#REF!</v>
      </c>
    </row>
    <row r="1102" spans="2:3">
      <c r="B1102">
        <f>SUMIFS(allorders!O:O,allorders!L:L,'数据处理(仓储使用)'!$A1102,allorders!$AG:$AG,"&lt;="&amp;日期!#REF!,allorders!$AG:$AG,"&gt;="&amp;日期!#REF!)</f>
        <v>0</v>
      </c>
      <c r="C1102" t="e">
        <f>B1102/(日期!#REF!-日期!#REF!+1)</f>
        <v>#REF!</v>
      </c>
    </row>
    <row r="1103" spans="2:3">
      <c r="B1103">
        <f>SUMIFS(allorders!O:O,allorders!L:L,'数据处理(仓储使用)'!$A1103,allorders!$AG:$AG,"&lt;="&amp;日期!#REF!,allorders!$AG:$AG,"&gt;="&amp;日期!#REF!)</f>
        <v>0</v>
      </c>
      <c r="C1103" t="e">
        <f>B1103/(日期!#REF!-日期!#REF!+1)</f>
        <v>#REF!</v>
      </c>
    </row>
    <row r="1104" spans="2:3">
      <c r="B1104">
        <f>SUMIFS(allorders!O:O,allorders!L:L,'数据处理(仓储使用)'!$A1104,allorders!$AG:$AG,"&lt;="&amp;日期!#REF!,allorders!$AG:$AG,"&gt;="&amp;日期!#REF!)</f>
        <v>0</v>
      </c>
      <c r="C1104" t="e">
        <f>B1104/(日期!#REF!-日期!#REF!+1)</f>
        <v>#REF!</v>
      </c>
    </row>
    <row r="1105" spans="2:3">
      <c r="B1105">
        <f>SUMIFS(allorders!O:O,allorders!L:L,'数据处理(仓储使用)'!$A1105,allorders!$AG:$AG,"&lt;="&amp;日期!#REF!,allorders!$AG:$AG,"&gt;="&amp;日期!#REF!)</f>
        <v>0</v>
      </c>
      <c r="C1105" t="e">
        <f>B1105/(日期!#REF!-日期!#REF!+1)</f>
        <v>#REF!</v>
      </c>
    </row>
    <row r="1106" spans="2:3">
      <c r="B1106">
        <f>SUMIFS(allorders!O:O,allorders!L:L,'数据处理(仓储使用)'!$A1106,allorders!$AG:$AG,"&lt;="&amp;日期!#REF!,allorders!$AG:$AG,"&gt;="&amp;日期!#REF!)</f>
        <v>0</v>
      </c>
      <c r="C1106" t="e">
        <f>B1106/(日期!#REF!-日期!#REF!+1)</f>
        <v>#REF!</v>
      </c>
    </row>
    <row r="1107" spans="2:3">
      <c r="B1107">
        <f>SUMIFS(allorders!O:O,allorders!L:L,'数据处理(仓储使用)'!$A1107,allorders!$AG:$AG,"&lt;="&amp;日期!#REF!,allorders!$AG:$AG,"&gt;="&amp;日期!#REF!)</f>
        <v>0</v>
      </c>
      <c r="C1107" t="e">
        <f>B1107/(日期!#REF!-日期!#REF!+1)</f>
        <v>#REF!</v>
      </c>
    </row>
    <row r="1108" spans="2:3">
      <c r="B1108">
        <f>SUMIFS(allorders!O:O,allorders!L:L,'数据处理(仓储使用)'!$A1108,allorders!$AG:$AG,"&lt;="&amp;日期!#REF!,allorders!$AG:$AG,"&gt;="&amp;日期!#REF!)</f>
        <v>0</v>
      </c>
      <c r="C1108" t="e">
        <f>B1108/(日期!#REF!-日期!#REF!+1)</f>
        <v>#REF!</v>
      </c>
    </row>
    <row r="1109" spans="2:3">
      <c r="B1109">
        <f>SUMIFS(allorders!O:O,allorders!L:L,'数据处理(仓储使用)'!$A1109,allorders!$AG:$AG,"&lt;="&amp;日期!#REF!,allorders!$AG:$AG,"&gt;="&amp;日期!#REF!)</f>
        <v>0</v>
      </c>
      <c r="C1109" t="e">
        <f>B1109/(日期!#REF!-日期!#REF!+1)</f>
        <v>#REF!</v>
      </c>
    </row>
    <row r="1110" spans="2:3">
      <c r="B1110">
        <f>SUMIFS(allorders!O:O,allorders!L:L,'数据处理(仓储使用)'!$A1110,allorders!$AG:$AG,"&lt;="&amp;日期!#REF!,allorders!$AG:$AG,"&gt;="&amp;日期!#REF!)</f>
        <v>0</v>
      </c>
      <c r="C1110" t="e">
        <f>B1110/(日期!#REF!-日期!#REF!+1)</f>
        <v>#REF!</v>
      </c>
    </row>
    <row r="1111" spans="2:3">
      <c r="B1111">
        <f>SUMIFS(allorders!O:O,allorders!L:L,'数据处理(仓储使用)'!$A1111,allorders!$AG:$AG,"&lt;="&amp;日期!#REF!,allorders!$AG:$AG,"&gt;="&amp;日期!#REF!)</f>
        <v>0</v>
      </c>
      <c r="C1111" t="e">
        <f>B1111/(日期!#REF!-日期!#REF!+1)</f>
        <v>#REF!</v>
      </c>
    </row>
    <row r="1112" spans="2:3">
      <c r="B1112">
        <f>SUMIFS(allorders!O:O,allorders!L:L,'数据处理(仓储使用)'!$A1112,allorders!$AG:$AG,"&lt;="&amp;日期!#REF!,allorders!$AG:$AG,"&gt;="&amp;日期!#REF!)</f>
        <v>0</v>
      </c>
      <c r="C1112" t="e">
        <f>B1112/(日期!#REF!-日期!#REF!+1)</f>
        <v>#REF!</v>
      </c>
    </row>
    <row r="1113" spans="2:3">
      <c r="B1113">
        <f>SUMIFS(allorders!O:O,allorders!L:L,'数据处理(仓储使用)'!$A1113,allorders!$AG:$AG,"&lt;="&amp;日期!#REF!,allorders!$AG:$AG,"&gt;="&amp;日期!#REF!)</f>
        <v>0</v>
      </c>
      <c r="C1113" t="e">
        <f>B1113/(日期!#REF!-日期!#REF!+1)</f>
        <v>#REF!</v>
      </c>
    </row>
    <row r="1114" spans="2:3">
      <c r="B1114">
        <f>SUMIFS(allorders!O:O,allorders!L:L,'数据处理(仓储使用)'!$A1114,allorders!$AG:$AG,"&lt;="&amp;日期!#REF!,allorders!$AG:$AG,"&gt;="&amp;日期!#REF!)</f>
        <v>0</v>
      </c>
      <c r="C1114" t="e">
        <f>B1114/(日期!#REF!-日期!#REF!+1)</f>
        <v>#REF!</v>
      </c>
    </row>
    <row r="1115" spans="2:3">
      <c r="B1115">
        <f>SUMIFS(allorders!O:O,allorders!L:L,'数据处理(仓储使用)'!$A1115,allorders!$AG:$AG,"&lt;="&amp;日期!#REF!,allorders!$AG:$AG,"&gt;="&amp;日期!#REF!)</f>
        <v>0</v>
      </c>
      <c r="C1115" t="e">
        <f>B1115/(日期!#REF!-日期!#REF!+1)</f>
        <v>#REF!</v>
      </c>
    </row>
    <row r="1116" spans="2:3">
      <c r="B1116">
        <f>SUMIFS(allorders!O:O,allorders!L:L,'数据处理(仓储使用)'!$A1116,allorders!$AG:$AG,"&lt;="&amp;日期!#REF!,allorders!$AG:$AG,"&gt;="&amp;日期!#REF!)</f>
        <v>0</v>
      </c>
      <c r="C1116" t="e">
        <f>B1116/(日期!#REF!-日期!#REF!+1)</f>
        <v>#REF!</v>
      </c>
    </row>
    <row r="1117" spans="2:3">
      <c r="B1117">
        <f>SUMIFS(allorders!O:O,allorders!L:L,'数据处理(仓储使用)'!$A1117,allorders!$AG:$AG,"&lt;="&amp;日期!#REF!,allorders!$AG:$AG,"&gt;="&amp;日期!#REF!)</f>
        <v>0</v>
      </c>
      <c r="C1117" t="e">
        <f>B1117/(日期!#REF!-日期!#REF!+1)</f>
        <v>#REF!</v>
      </c>
    </row>
    <row r="1118" spans="2:3">
      <c r="B1118">
        <f>SUMIFS(allorders!O:O,allorders!L:L,'数据处理(仓储使用)'!$A1118,allorders!$AG:$AG,"&lt;="&amp;日期!#REF!,allorders!$AG:$AG,"&gt;="&amp;日期!#REF!)</f>
        <v>0</v>
      </c>
      <c r="C1118" t="e">
        <f>B1118/(日期!#REF!-日期!#REF!+1)</f>
        <v>#REF!</v>
      </c>
    </row>
    <row r="1119" spans="2:3">
      <c r="B1119">
        <f>SUMIFS(allorders!O:O,allorders!L:L,'数据处理(仓储使用)'!$A1119,allorders!$AG:$AG,"&lt;="&amp;日期!#REF!,allorders!$AG:$AG,"&gt;="&amp;日期!#REF!)</f>
        <v>0</v>
      </c>
      <c r="C1119" t="e">
        <f>B1119/(日期!#REF!-日期!#REF!+1)</f>
        <v>#REF!</v>
      </c>
    </row>
    <row r="1120" spans="2:3">
      <c r="B1120">
        <f>SUMIFS(allorders!O:O,allorders!L:L,'数据处理(仓储使用)'!$A1120,allorders!$AG:$AG,"&lt;="&amp;日期!#REF!,allorders!$AG:$AG,"&gt;="&amp;日期!#REF!)</f>
        <v>0</v>
      </c>
      <c r="C1120" t="e">
        <f>B1120/(日期!#REF!-日期!#REF!+1)</f>
        <v>#REF!</v>
      </c>
    </row>
    <row r="1121" spans="2:3">
      <c r="B1121">
        <f>SUMIFS(allorders!O:O,allorders!L:L,'数据处理(仓储使用)'!$A1121,allorders!$AG:$AG,"&lt;="&amp;日期!#REF!,allorders!$AG:$AG,"&gt;="&amp;日期!#REF!)</f>
        <v>0</v>
      </c>
      <c r="C1121" t="e">
        <f>B1121/(日期!#REF!-日期!#REF!+1)</f>
        <v>#REF!</v>
      </c>
    </row>
    <row r="1122" spans="2:3">
      <c r="B1122">
        <f>SUMIFS(allorders!O:O,allorders!L:L,'数据处理(仓储使用)'!$A1122,allorders!$AG:$AG,"&lt;="&amp;日期!#REF!,allorders!$AG:$AG,"&gt;="&amp;日期!#REF!)</f>
        <v>0</v>
      </c>
      <c r="C1122" t="e">
        <f>B1122/(日期!#REF!-日期!#REF!+1)</f>
        <v>#REF!</v>
      </c>
    </row>
    <row r="1123" spans="2:3">
      <c r="B1123">
        <f>SUMIFS(allorders!O:O,allorders!L:L,'数据处理(仓储使用)'!$A1123,allorders!$AG:$AG,"&lt;="&amp;日期!#REF!,allorders!$AG:$AG,"&gt;="&amp;日期!#REF!)</f>
        <v>0</v>
      </c>
      <c r="C1123" t="e">
        <f>B1123/(日期!#REF!-日期!#REF!+1)</f>
        <v>#REF!</v>
      </c>
    </row>
    <row r="1124" spans="2:3">
      <c r="B1124">
        <f>SUMIFS(allorders!O:O,allorders!L:L,'数据处理(仓储使用)'!$A1124,allorders!$AG:$AG,"&lt;="&amp;日期!#REF!,allorders!$AG:$AG,"&gt;="&amp;日期!#REF!)</f>
        <v>0</v>
      </c>
      <c r="C1124" t="e">
        <f>B1124/(日期!#REF!-日期!#REF!+1)</f>
        <v>#REF!</v>
      </c>
    </row>
    <row r="1125" spans="2:3">
      <c r="B1125">
        <f>SUMIFS(allorders!O:O,allorders!L:L,'数据处理(仓储使用)'!$A1125,allorders!$AG:$AG,"&lt;="&amp;日期!#REF!,allorders!$AG:$AG,"&gt;="&amp;日期!#REF!)</f>
        <v>0</v>
      </c>
      <c r="C1125" t="e">
        <f>B1125/(日期!#REF!-日期!#REF!+1)</f>
        <v>#REF!</v>
      </c>
    </row>
    <row r="1126" spans="2:3">
      <c r="B1126">
        <f>SUMIFS(allorders!O:O,allorders!L:L,'数据处理(仓储使用)'!$A1126,allorders!$AG:$AG,"&lt;="&amp;日期!#REF!,allorders!$AG:$AG,"&gt;="&amp;日期!#REF!)</f>
        <v>0</v>
      </c>
      <c r="C1126" t="e">
        <f>B1126/(日期!#REF!-日期!#REF!+1)</f>
        <v>#REF!</v>
      </c>
    </row>
    <row r="1127" spans="2:3">
      <c r="B1127">
        <f>SUMIFS(allorders!O:O,allorders!L:L,'数据处理(仓储使用)'!$A1127,allorders!$AG:$AG,"&lt;="&amp;日期!#REF!,allorders!$AG:$AG,"&gt;="&amp;日期!#REF!)</f>
        <v>0</v>
      </c>
      <c r="C1127" t="e">
        <f>B1127/(日期!#REF!-日期!#REF!+1)</f>
        <v>#REF!</v>
      </c>
    </row>
    <row r="1128" spans="2:3">
      <c r="B1128">
        <f>SUMIFS(allorders!O:O,allorders!L:L,'数据处理(仓储使用)'!$A1128,allorders!$AG:$AG,"&lt;="&amp;日期!#REF!,allorders!$AG:$AG,"&gt;="&amp;日期!#REF!)</f>
        <v>0</v>
      </c>
      <c r="C1128" t="e">
        <f>B1128/(日期!#REF!-日期!#REF!+1)</f>
        <v>#REF!</v>
      </c>
    </row>
    <row r="1129" spans="2:3">
      <c r="B1129">
        <f>SUMIFS(allorders!O:O,allorders!L:L,'数据处理(仓储使用)'!$A1129,allorders!$AG:$AG,"&lt;="&amp;日期!#REF!,allorders!$AG:$AG,"&gt;="&amp;日期!#REF!)</f>
        <v>0</v>
      </c>
      <c r="C1129" t="e">
        <f>B1129/(日期!#REF!-日期!#REF!+1)</f>
        <v>#REF!</v>
      </c>
    </row>
    <row r="1130" spans="2:3">
      <c r="B1130">
        <f>SUMIFS(allorders!O:O,allorders!L:L,'数据处理(仓储使用)'!$A1130,allorders!$AG:$AG,"&lt;="&amp;日期!#REF!,allorders!$AG:$AG,"&gt;="&amp;日期!#REF!)</f>
        <v>0</v>
      </c>
      <c r="C1130" t="e">
        <f>B1130/(日期!#REF!-日期!#REF!+1)</f>
        <v>#REF!</v>
      </c>
    </row>
    <row r="1131" spans="2:3">
      <c r="B1131">
        <f>SUMIFS(allorders!O:O,allorders!L:L,'数据处理(仓储使用)'!$A1131,allorders!$AG:$AG,"&lt;="&amp;日期!#REF!,allorders!$AG:$AG,"&gt;="&amp;日期!#REF!)</f>
        <v>0</v>
      </c>
      <c r="C1131" t="e">
        <f>B1131/(日期!#REF!-日期!#REF!+1)</f>
        <v>#REF!</v>
      </c>
    </row>
    <row r="1132" spans="2:3">
      <c r="B1132">
        <f>SUMIFS(allorders!O:O,allorders!L:L,'数据处理(仓储使用)'!$A1132,allorders!$AG:$AG,"&lt;="&amp;日期!#REF!,allorders!$AG:$AG,"&gt;="&amp;日期!#REF!)</f>
        <v>0</v>
      </c>
      <c r="C1132" t="e">
        <f>B1132/(日期!#REF!-日期!#REF!+1)</f>
        <v>#REF!</v>
      </c>
    </row>
    <row r="1133" spans="2:3">
      <c r="B1133">
        <f>SUMIFS(allorders!O:O,allorders!L:L,'数据处理(仓储使用)'!$A1133,allorders!$AG:$AG,"&lt;="&amp;日期!#REF!,allorders!$AG:$AG,"&gt;="&amp;日期!#REF!)</f>
        <v>0</v>
      </c>
      <c r="C1133" t="e">
        <f>B1133/(日期!#REF!-日期!#REF!+1)</f>
        <v>#REF!</v>
      </c>
    </row>
    <row r="1134" spans="2:3">
      <c r="B1134">
        <f>SUMIFS(allorders!O:O,allorders!L:L,'数据处理(仓储使用)'!$A1134,allorders!$AG:$AG,"&lt;="&amp;日期!#REF!,allorders!$AG:$AG,"&gt;="&amp;日期!#REF!)</f>
        <v>0</v>
      </c>
      <c r="C1134" t="e">
        <f>B1134/(日期!#REF!-日期!#REF!+1)</f>
        <v>#REF!</v>
      </c>
    </row>
    <row r="1135" spans="2:3">
      <c r="B1135">
        <f>SUMIFS(allorders!O:O,allorders!L:L,'数据处理(仓储使用)'!$A1135,allorders!$AG:$AG,"&lt;="&amp;日期!#REF!,allorders!$AG:$AG,"&gt;="&amp;日期!#REF!)</f>
        <v>0</v>
      </c>
      <c r="C1135" t="e">
        <f>B1135/(日期!#REF!-日期!#REF!+1)</f>
        <v>#REF!</v>
      </c>
    </row>
    <row r="1136" spans="2:3">
      <c r="B1136">
        <f>SUMIFS(allorders!O:O,allorders!L:L,'数据处理(仓储使用)'!$A1136,allorders!$AG:$AG,"&lt;="&amp;日期!#REF!,allorders!$AG:$AG,"&gt;="&amp;日期!#REF!)</f>
        <v>0</v>
      </c>
      <c r="C1136" t="e">
        <f>B1136/(日期!#REF!-日期!#REF!+1)</f>
        <v>#REF!</v>
      </c>
    </row>
    <row r="1137" spans="2:3">
      <c r="B1137">
        <f>SUMIFS(allorders!O:O,allorders!L:L,'数据处理(仓储使用)'!$A1137,allorders!$AG:$AG,"&lt;="&amp;日期!#REF!,allorders!$AG:$AG,"&gt;="&amp;日期!#REF!)</f>
        <v>0</v>
      </c>
      <c r="C1137" t="e">
        <f>B1137/(日期!#REF!-日期!#REF!+1)</f>
        <v>#REF!</v>
      </c>
    </row>
    <row r="1138" spans="2:3">
      <c r="B1138">
        <f>SUMIFS(allorders!O:O,allorders!L:L,'数据处理(仓储使用)'!$A1138,allorders!$AG:$AG,"&lt;="&amp;日期!#REF!,allorders!$AG:$AG,"&gt;="&amp;日期!#REF!)</f>
        <v>0</v>
      </c>
      <c r="C1138" t="e">
        <f>B1138/(日期!#REF!-日期!#REF!+1)</f>
        <v>#REF!</v>
      </c>
    </row>
    <row r="1139" spans="2:3">
      <c r="B1139">
        <f>SUMIFS(allorders!O:O,allorders!L:L,'数据处理(仓储使用)'!$A1139,allorders!$AG:$AG,"&lt;="&amp;日期!#REF!,allorders!$AG:$AG,"&gt;="&amp;日期!#REF!)</f>
        <v>0</v>
      </c>
      <c r="C1139" t="e">
        <f>B1139/(日期!#REF!-日期!#REF!+1)</f>
        <v>#REF!</v>
      </c>
    </row>
    <row r="1140" spans="2:3">
      <c r="B1140">
        <f>SUMIFS(allorders!O:O,allorders!L:L,'数据处理(仓储使用)'!$A1140,allorders!$AG:$AG,"&lt;="&amp;日期!#REF!,allorders!$AG:$AG,"&gt;="&amp;日期!#REF!)</f>
        <v>0</v>
      </c>
      <c r="C1140" t="e">
        <f>B1140/(日期!#REF!-日期!#REF!+1)</f>
        <v>#REF!</v>
      </c>
    </row>
    <row r="1141" spans="2:3">
      <c r="B1141">
        <f>SUMIFS(allorders!O:O,allorders!L:L,'数据处理(仓储使用)'!$A1141,allorders!$AG:$AG,"&lt;="&amp;日期!#REF!,allorders!$AG:$AG,"&gt;="&amp;日期!#REF!)</f>
        <v>0</v>
      </c>
      <c r="C1141" t="e">
        <f>B1141/(日期!#REF!-日期!#REF!+1)</f>
        <v>#REF!</v>
      </c>
    </row>
    <row r="1142" spans="2:3">
      <c r="B1142">
        <f>SUMIFS(allorders!O:O,allorders!L:L,'数据处理(仓储使用)'!$A1142,allorders!$AG:$AG,"&lt;="&amp;日期!#REF!,allorders!$AG:$AG,"&gt;="&amp;日期!#REF!)</f>
        <v>0</v>
      </c>
      <c r="C1142" t="e">
        <f>B1142/(日期!#REF!-日期!#REF!+1)</f>
        <v>#REF!</v>
      </c>
    </row>
    <row r="1143" spans="2:3">
      <c r="B1143">
        <f>SUMIFS(allorders!O:O,allorders!L:L,'数据处理(仓储使用)'!$A1143,allorders!$AG:$AG,"&lt;="&amp;日期!#REF!,allorders!$AG:$AG,"&gt;="&amp;日期!#REF!)</f>
        <v>0</v>
      </c>
      <c r="C1143" t="e">
        <f>B1143/(日期!#REF!-日期!#REF!+1)</f>
        <v>#REF!</v>
      </c>
    </row>
    <row r="1144" spans="2:3">
      <c r="B1144">
        <f>SUMIFS(allorders!O:O,allorders!L:L,'数据处理(仓储使用)'!$A1144,allorders!$AG:$AG,"&lt;="&amp;日期!#REF!,allorders!$AG:$AG,"&gt;="&amp;日期!#REF!)</f>
        <v>0</v>
      </c>
      <c r="C1144" t="e">
        <f>B1144/(日期!#REF!-日期!#REF!+1)</f>
        <v>#REF!</v>
      </c>
    </row>
    <row r="1145" spans="2:3">
      <c r="B1145">
        <f>SUMIFS(allorders!O:O,allorders!L:L,'数据处理(仓储使用)'!$A1145,allorders!$AG:$AG,"&lt;="&amp;日期!#REF!,allorders!$AG:$AG,"&gt;="&amp;日期!#REF!)</f>
        <v>0</v>
      </c>
      <c r="C1145" t="e">
        <f>B1145/(日期!#REF!-日期!#REF!+1)</f>
        <v>#REF!</v>
      </c>
    </row>
    <row r="1146" spans="2:3">
      <c r="B1146">
        <f>SUMIFS(allorders!O:O,allorders!L:L,'数据处理(仓储使用)'!$A1146,allorders!$AG:$AG,"&lt;="&amp;日期!#REF!,allorders!$AG:$AG,"&gt;="&amp;日期!#REF!)</f>
        <v>0</v>
      </c>
      <c r="C1146" t="e">
        <f>B1146/(日期!#REF!-日期!#REF!+1)</f>
        <v>#REF!</v>
      </c>
    </row>
    <row r="1147" spans="2:3">
      <c r="B1147">
        <f>SUMIFS(allorders!O:O,allorders!L:L,'数据处理(仓储使用)'!$A1147,allorders!$AG:$AG,"&lt;="&amp;日期!#REF!,allorders!$AG:$AG,"&gt;="&amp;日期!#REF!)</f>
        <v>0</v>
      </c>
      <c r="C1147" t="e">
        <f>B1147/(日期!#REF!-日期!#REF!+1)</f>
        <v>#REF!</v>
      </c>
    </row>
    <row r="1148" spans="2:3">
      <c r="B1148">
        <f>SUMIFS(allorders!O:O,allorders!L:L,'数据处理(仓储使用)'!$A1148,allorders!$AG:$AG,"&lt;="&amp;日期!#REF!,allorders!$AG:$AG,"&gt;="&amp;日期!#REF!)</f>
        <v>0</v>
      </c>
      <c r="C1148" t="e">
        <f>B1148/(日期!#REF!-日期!#REF!+1)</f>
        <v>#REF!</v>
      </c>
    </row>
    <row r="1149" spans="2:3">
      <c r="B1149">
        <f>SUMIFS(allorders!O:O,allorders!L:L,'数据处理(仓储使用)'!$A1149,allorders!$AG:$AG,"&lt;="&amp;日期!#REF!,allorders!$AG:$AG,"&gt;="&amp;日期!#REF!)</f>
        <v>0</v>
      </c>
      <c r="C1149" t="e">
        <f>B1149/(日期!#REF!-日期!#REF!+1)</f>
        <v>#REF!</v>
      </c>
    </row>
    <row r="1150" spans="2:3">
      <c r="B1150">
        <f>SUMIFS(allorders!O:O,allorders!L:L,'数据处理(仓储使用)'!$A1150,allorders!$AG:$AG,"&lt;="&amp;日期!#REF!,allorders!$AG:$AG,"&gt;="&amp;日期!#REF!)</f>
        <v>0</v>
      </c>
      <c r="C1150" t="e">
        <f>B1150/(日期!#REF!-日期!#REF!+1)</f>
        <v>#REF!</v>
      </c>
    </row>
    <row r="1151" spans="2:3">
      <c r="B1151">
        <f>SUMIFS(allorders!O:O,allorders!L:L,'数据处理(仓储使用)'!$A1151,allorders!$AG:$AG,"&lt;="&amp;日期!#REF!,allorders!$AG:$AG,"&gt;="&amp;日期!#REF!)</f>
        <v>0</v>
      </c>
      <c r="C1151" t="e">
        <f>B1151/(日期!#REF!-日期!#REF!+1)</f>
        <v>#REF!</v>
      </c>
    </row>
    <row r="1152" spans="2:3">
      <c r="B1152">
        <f>SUMIFS(allorders!O:O,allorders!L:L,'数据处理(仓储使用)'!$A1152,allorders!$AG:$AG,"&lt;="&amp;日期!#REF!,allorders!$AG:$AG,"&gt;="&amp;日期!#REF!)</f>
        <v>0</v>
      </c>
      <c r="C1152" t="e">
        <f>B1152/(日期!#REF!-日期!#REF!+1)</f>
        <v>#REF!</v>
      </c>
    </row>
    <row r="1153" spans="2:3">
      <c r="B1153">
        <f>SUMIFS(allorders!O:O,allorders!L:L,'数据处理(仓储使用)'!$A1153,allorders!$AG:$AG,"&lt;="&amp;日期!#REF!,allorders!$AG:$AG,"&gt;="&amp;日期!#REF!)</f>
        <v>0</v>
      </c>
      <c r="C1153" t="e">
        <f>B1153/(日期!#REF!-日期!#REF!+1)</f>
        <v>#REF!</v>
      </c>
    </row>
    <row r="1154" spans="2:3">
      <c r="B1154">
        <f>SUMIFS(allorders!O:O,allorders!L:L,'数据处理(仓储使用)'!$A1154,allorders!$AG:$AG,"&lt;="&amp;日期!#REF!,allorders!$AG:$AG,"&gt;="&amp;日期!#REF!)</f>
        <v>0</v>
      </c>
      <c r="C1154" t="e">
        <f>B1154/(日期!#REF!-日期!#REF!+1)</f>
        <v>#REF!</v>
      </c>
    </row>
    <row r="1155" spans="2:3">
      <c r="B1155">
        <f>SUMIFS(allorders!O:O,allorders!L:L,'数据处理(仓储使用)'!$A1155,allorders!$AG:$AG,"&lt;="&amp;日期!#REF!,allorders!$AG:$AG,"&gt;="&amp;日期!#REF!)</f>
        <v>0</v>
      </c>
      <c r="C1155" t="e">
        <f>B1155/(日期!#REF!-日期!#REF!+1)</f>
        <v>#REF!</v>
      </c>
    </row>
    <row r="1156" spans="2:3">
      <c r="B1156">
        <f>SUMIFS(allorders!O:O,allorders!L:L,'数据处理(仓储使用)'!$A1156,allorders!$AG:$AG,"&lt;="&amp;日期!#REF!,allorders!$AG:$AG,"&gt;="&amp;日期!#REF!)</f>
        <v>0</v>
      </c>
      <c r="C1156" t="e">
        <f>B1156/(日期!#REF!-日期!#REF!+1)</f>
        <v>#REF!</v>
      </c>
    </row>
    <row r="1157" spans="2:3">
      <c r="B1157">
        <f>SUMIFS(allorders!O:O,allorders!L:L,'数据处理(仓储使用)'!$A1157,allorders!$AG:$AG,"&lt;="&amp;日期!#REF!,allorders!$AG:$AG,"&gt;="&amp;日期!#REF!)</f>
        <v>0</v>
      </c>
      <c r="C1157" t="e">
        <f>B1157/(日期!#REF!-日期!#REF!+1)</f>
        <v>#REF!</v>
      </c>
    </row>
    <row r="1158" spans="2:3">
      <c r="B1158">
        <f>SUMIFS(allorders!O:O,allorders!L:L,'数据处理(仓储使用)'!$A1158,allorders!$AG:$AG,"&lt;="&amp;日期!#REF!,allorders!$AG:$AG,"&gt;="&amp;日期!#REF!)</f>
        <v>0</v>
      </c>
      <c r="C1158" t="e">
        <f>B1158/(日期!#REF!-日期!#REF!+1)</f>
        <v>#REF!</v>
      </c>
    </row>
    <row r="1159" spans="2:3">
      <c r="B1159">
        <f>SUMIFS(allorders!O:O,allorders!L:L,'数据处理(仓储使用)'!$A1159,allorders!$AG:$AG,"&lt;="&amp;日期!#REF!,allorders!$AG:$AG,"&gt;="&amp;日期!#REF!)</f>
        <v>0</v>
      </c>
      <c r="C1159" t="e">
        <f>B1159/(日期!#REF!-日期!#REF!+1)</f>
        <v>#REF!</v>
      </c>
    </row>
    <row r="1160" spans="2:3">
      <c r="B1160">
        <f>SUMIFS(allorders!O:O,allorders!L:L,'数据处理(仓储使用)'!$A1160,allorders!$AG:$AG,"&lt;="&amp;日期!#REF!,allorders!$AG:$AG,"&gt;="&amp;日期!#REF!)</f>
        <v>0</v>
      </c>
      <c r="C1160" t="e">
        <f>B1160/(日期!#REF!-日期!#REF!+1)</f>
        <v>#REF!</v>
      </c>
    </row>
    <row r="1161" spans="2:3">
      <c r="B1161">
        <f>SUMIFS(allorders!O:O,allorders!L:L,'数据处理(仓储使用)'!$A1161,allorders!$AG:$AG,"&lt;="&amp;日期!#REF!,allorders!$AG:$AG,"&gt;="&amp;日期!#REF!)</f>
        <v>0</v>
      </c>
      <c r="C1161" t="e">
        <f>B1161/(日期!#REF!-日期!#REF!+1)</f>
        <v>#REF!</v>
      </c>
    </row>
    <row r="1162" spans="2:3">
      <c r="B1162">
        <f>SUMIFS(allorders!O:O,allorders!L:L,'数据处理(仓储使用)'!$A1162,allorders!$AG:$AG,"&lt;="&amp;日期!#REF!,allorders!$AG:$AG,"&gt;="&amp;日期!#REF!)</f>
        <v>0</v>
      </c>
      <c r="C1162" t="e">
        <f>B1162/(日期!#REF!-日期!#REF!+1)</f>
        <v>#REF!</v>
      </c>
    </row>
    <row r="1163" spans="2:3">
      <c r="B1163">
        <f>SUMIFS(allorders!O:O,allorders!L:L,'数据处理(仓储使用)'!$A1163,allorders!$AG:$AG,"&lt;="&amp;日期!#REF!,allorders!$AG:$AG,"&gt;="&amp;日期!#REF!)</f>
        <v>0</v>
      </c>
      <c r="C1163" t="e">
        <f>B1163/(日期!#REF!-日期!#REF!+1)</f>
        <v>#REF!</v>
      </c>
    </row>
    <row r="1164" spans="2:3">
      <c r="B1164">
        <f>SUMIFS(allorders!O:O,allorders!L:L,'数据处理(仓储使用)'!$A1164,allorders!$AG:$AG,"&lt;="&amp;日期!#REF!,allorders!$AG:$AG,"&gt;="&amp;日期!#REF!)</f>
        <v>0</v>
      </c>
      <c r="C1164" t="e">
        <f>B1164/(日期!#REF!-日期!#REF!+1)</f>
        <v>#REF!</v>
      </c>
    </row>
    <row r="1165" spans="2:3">
      <c r="B1165">
        <f>SUMIFS(allorders!O:O,allorders!L:L,'数据处理(仓储使用)'!$A1165,allorders!$AG:$AG,"&lt;="&amp;日期!#REF!,allorders!$AG:$AG,"&gt;="&amp;日期!#REF!)</f>
        <v>0</v>
      </c>
      <c r="C1165" t="e">
        <f>B1165/(日期!#REF!-日期!#REF!+1)</f>
        <v>#REF!</v>
      </c>
    </row>
    <row r="1166" spans="2:3">
      <c r="B1166">
        <f>SUMIFS(allorders!O:O,allorders!L:L,'数据处理(仓储使用)'!$A1166,allorders!$AG:$AG,"&lt;="&amp;日期!#REF!,allorders!$AG:$AG,"&gt;="&amp;日期!#REF!)</f>
        <v>0</v>
      </c>
      <c r="C1166" t="e">
        <f>B1166/(日期!#REF!-日期!#REF!+1)</f>
        <v>#REF!</v>
      </c>
    </row>
    <row r="1167" spans="2:3">
      <c r="B1167">
        <f>SUMIFS(allorders!O:O,allorders!L:L,'数据处理(仓储使用)'!$A1167,allorders!$AG:$AG,"&lt;="&amp;日期!#REF!,allorders!$AG:$AG,"&gt;="&amp;日期!#REF!)</f>
        <v>0</v>
      </c>
      <c r="C1167" t="e">
        <f>B1167/(日期!#REF!-日期!#REF!+1)</f>
        <v>#REF!</v>
      </c>
    </row>
    <row r="1168" spans="2:3">
      <c r="B1168">
        <f>SUMIFS(allorders!O:O,allorders!L:L,'数据处理(仓储使用)'!$A1168,allorders!$AG:$AG,"&lt;="&amp;日期!#REF!,allorders!$AG:$AG,"&gt;="&amp;日期!#REF!)</f>
        <v>0</v>
      </c>
      <c r="C1168" t="e">
        <f>B1168/(日期!#REF!-日期!#REF!+1)</f>
        <v>#REF!</v>
      </c>
    </row>
    <row r="1169" spans="2:3">
      <c r="B1169">
        <f>SUMIFS(allorders!O:O,allorders!L:L,'数据处理(仓储使用)'!$A1169,allorders!$AG:$AG,"&lt;="&amp;日期!#REF!,allorders!$AG:$AG,"&gt;="&amp;日期!#REF!)</f>
        <v>0</v>
      </c>
      <c r="C1169" t="e">
        <f>B1169/(日期!#REF!-日期!#REF!+1)</f>
        <v>#REF!</v>
      </c>
    </row>
    <row r="1170" spans="2:3">
      <c r="B1170">
        <f>SUMIFS(allorders!O:O,allorders!L:L,'数据处理(仓储使用)'!$A1170,allorders!$AG:$AG,"&lt;="&amp;日期!#REF!,allorders!$AG:$AG,"&gt;="&amp;日期!#REF!)</f>
        <v>0</v>
      </c>
      <c r="C1170" t="e">
        <f>B1170/(日期!#REF!-日期!#REF!+1)</f>
        <v>#REF!</v>
      </c>
    </row>
    <row r="1171" spans="2:3">
      <c r="B1171">
        <f>SUMIFS(allorders!O:O,allorders!L:L,'数据处理(仓储使用)'!$A1171,allorders!$AG:$AG,"&lt;="&amp;日期!#REF!,allorders!$AG:$AG,"&gt;="&amp;日期!#REF!)</f>
        <v>0</v>
      </c>
      <c r="C1171" t="e">
        <f>B1171/(日期!#REF!-日期!#REF!+1)</f>
        <v>#REF!</v>
      </c>
    </row>
    <row r="1172" spans="2:3">
      <c r="B1172">
        <f>SUMIFS(allorders!O:O,allorders!L:L,'数据处理(仓储使用)'!$A1172,allorders!$AG:$AG,"&lt;="&amp;日期!#REF!,allorders!$AG:$AG,"&gt;="&amp;日期!#REF!)</f>
        <v>0</v>
      </c>
      <c r="C1172" t="e">
        <f>B1172/(日期!#REF!-日期!#REF!+1)</f>
        <v>#REF!</v>
      </c>
    </row>
    <row r="1173" spans="2:3">
      <c r="B1173">
        <f>SUMIFS(allorders!O:O,allorders!L:L,'数据处理(仓储使用)'!$A1173,allorders!$AG:$AG,"&lt;="&amp;日期!#REF!,allorders!$AG:$AG,"&gt;="&amp;日期!#REF!)</f>
        <v>0</v>
      </c>
      <c r="C1173" t="e">
        <f>B1173/(日期!#REF!-日期!#REF!+1)</f>
        <v>#REF!</v>
      </c>
    </row>
    <row r="1174" spans="2:3">
      <c r="B1174">
        <f>SUMIFS(allorders!O:O,allorders!L:L,'数据处理(仓储使用)'!$A1174,allorders!$AG:$AG,"&lt;="&amp;日期!#REF!,allorders!$AG:$AG,"&gt;="&amp;日期!#REF!)</f>
        <v>0</v>
      </c>
      <c r="C1174" t="e">
        <f>B1174/(日期!#REF!-日期!#REF!+1)</f>
        <v>#REF!</v>
      </c>
    </row>
    <row r="1175" spans="2:3">
      <c r="B1175">
        <f>SUMIFS(allorders!O:O,allorders!L:L,'数据处理(仓储使用)'!$A1175,allorders!$AG:$AG,"&lt;="&amp;日期!#REF!,allorders!$AG:$AG,"&gt;="&amp;日期!#REF!)</f>
        <v>0</v>
      </c>
      <c r="C1175" t="e">
        <f>B1175/(日期!#REF!-日期!#REF!+1)</f>
        <v>#REF!</v>
      </c>
    </row>
    <row r="1176" spans="2:3">
      <c r="B1176">
        <f>SUMIFS(allorders!O:O,allorders!L:L,'数据处理(仓储使用)'!$A1176,allorders!$AG:$AG,"&lt;="&amp;日期!#REF!,allorders!$AG:$AG,"&gt;="&amp;日期!#REF!)</f>
        <v>0</v>
      </c>
      <c r="C1176" t="e">
        <f>B1176/(日期!#REF!-日期!#REF!+1)</f>
        <v>#REF!</v>
      </c>
    </row>
    <row r="1177" spans="2:3">
      <c r="B1177">
        <f>SUMIFS(allorders!O:O,allorders!L:L,'数据处理(仓储使用)'!$A1177,allorders!$AG:$AG,"&lt;="&amp;日期!#REF!,allorders!$AG:$AG,"&gt;="&amp;日期!#REF!)</f>
        <v>0</v>
      </c>
      <c r="C1177" t="e">
        <f>B1177/(日期!#REF!-日期!#REF!+1)</f>
        <v>#REF!</v>
      </c>
    </row>
    <row r="1178" spans="2:3">
      <c r="B1178">
        <f>SUMIFS(allorders!O:O,allorders!L:L,'数据处理(仓储使用)'!$A1178,allorders!$AG:$AG,"&lt;="&amp;日期!#REF!,allorders!$AG:$AG,"&gt;="&amp;日期!#REF!)</f>
        <v>0</v>
      </c>
      <c r="C1178" t="e">
        <f>B1178/(日期!#REF!-日期!#REF!+1)</f>
        <v>#REF!</v>
      </c>
    </row>
    <row r="1179" spans="2:3">
      <c r="B1179">
        <f>SUMIFS(allorders!O:O,allorders!L:L,'数据处理(仓储使用)'!$A1179,allorders!$AG:$AG,"&lt;="&amp;日期!#REF!,allorders!$AG:$AG,"&gt;="&amp;日期!#REF!)</f>
        <v>0</v>
      </c>
      <c r="C1179" t="e">
        <f>B1179/(日期!#REF!-日期!#REF!+1)</f>
        <v>#REF!</v>
      </c>
    </row>
    <row r="1180" spans="2:3">
      <c r="B1180">
        <f>SUMIFS(allorders!O:O,allorders!L:L,'数据处理(仓储使用)'!$A1180,allorders!$AG:$AG,"&lt;="&amp;日期!#REF!,allorders!$AG:$AG,"&gt;="&amp;日期!#REF!)</f>
        <v>0</v>
      </c>
      <c r="C1180" t="e">
        <f>B1180/(日期!#REF!-日期!#REF!+1)</f>
        <v>#REF!</v>
      </c>
    </row>
    <row r="1181" spans="2:3">
      <c r="B1181">
        <f>SUMIFS(allorders!O:O,allorders!L:L,'数据处理(仓储使用)'!$A1181,allorders!$AG:$AG,"&lt;="&amp;日期!#REF!,allorders!$AG:$AG,"&gt;="&amp;日期!#REF!)</f>
        <v>0</v>
      </c>
      <c r="C1181" t="e">
        <f>B1181/(日期!#REF!-日期!#REF!+1)</f>
        <v>#REF!</v>
      </c>
    </row>
    <row r="1182" spans="2:3">
      <c r="B1182">
        <f>SUMIFS(allorders!O:O,allorders!L:L,'数据处理(仓储使用)'!$A1182,allorders!$AG:$AG,"&lt;="&amp;日期!#REF!,allorders!$AG:$AG,"&gt;="&amp;日期!#REF!)</f>
        <v>0</v>
      </c>
      <c r="C1182" t="e">
        <f>B1182/(日期!#REF!-日期!#REF!+1)</f>
        <v>#REF!</v>
      </c>
    </row>
    <row r="1183" spans="2:3">
      <c r="B1183">
        <f>SUMIFS(allorders!O:O,allorders!L:L,'数据处理(仓储使用)'!$A1183,allorders!$AG:$AG,"&lt;="&amp;日期!#REF!,allorders!$AG:$AG,"&gt;="&amp;日期!#REF!)</f>
        <v>0</v>
      </c>
      <c r="C1183" t="e">
        <f>B1183/(日期!#REF!-日期!#REF!+1)</f>
        <v>#REF!</v>
      </c>
    </row>
    <row r="1184" spans="2:3">
      <c r="B1184">
        <f>SUMIFS(allorders!O:O,allorders!L:L,'数据处理(仓储使用)'!$A1184,allorders!$AG:$AG,"&lt;="&amp;日期!#REF!,allorders!$AG:$AG,"&gt;="&amp;日期!#REF!)</f>
        <v>0</v>
      </c>
      <c r="C1184" t="e">
        <f>B1184/(日期!#REF!-日期!#REF!+1)</f>
        <v>#REF!</v>
      </c>
    </row>
    <row r="1185" spans="2:3">
      <c r="B1185">
        <f>SUMIFS(allorders!O:O,allorders!L:L,'数据处理(仓储使用)'!$A1185,allorders!$AG:$AG,"&lt;="&amp;日期!#REF!,allorders!$AG:$AG,"&gt;="&amp;日期!#REF!)</f>
        <v>0</v>
      </c>
      <c r="C1185" t="e">
        <f>B1185/(日期!#REF!-日期!#REF!+1)</f>
        <v>#REF!</v>
      </c>
    </row>
    <row r="1186" spans="2:3">
      <c r="B1186">
        <f>SUMIFS(allorders!O:O,allorders!L:L,'数据处理(仓储使用)'!$A1186,allorders!$AG:$AG,"&lt;="&amp;日期!#REF!,allorders!$AG:$AG,"&gt;="&amp;日期!#REF!)</f>
        <v>0</v>
      </c>
      <c r="C1186" t="e">
        <f>B1186/(日期!#REF!-日期!#REF!+1)</f>
        <v>#REF!</v>
      </c>
    </row>
    <row r="1187" spans="2:3">
      <c r="B1187">
        <f>SUMIFS(allorders!O:O,allorders!L:L,'数据处理(仓储使用)'!$A1187,allorders!$AG:$AG,"&lt;="&amp;日期!#REF!,allorders!$AG:$AG,"&gt;="&amp;日期!#REF!)</f>
        <v>0</v>
      </c>
      <c r="C1187" t="e">
        <f>B1187/(日期!#REF!-日期!#REF!+1)</f>
        <v>#REF!</v>
      </c>
    </row>
    <row r="1188" spans="2:3">
      <c r="B1188">
        <f>SUMIFS(allorders!O:O,allorders!L:L,'数据处理(仓储使用)'!$A1188,allorders!$AG:$AG,"&lt;="&amp;日期!#REF!,allorders!$AG:$AG,"&gt;="&amp;日期!#REF!)</f>
        <v>0</v>
      </c>
      <c r="C1188" t="e">
        <f>B1188/(日期!#REF!-日期!#REF!+1)</f>
        <v>#REF!</v>
      </c>
    </row>
    <row r="1189" spans="2:3">
      <c r="B1189">
        <f>SUMIFS(allorders!O:O,allorders!L:L,'数据处理(仓储使用)'!$A1189,allorders!$AG:$AG,"&lt;="&amp;日期!#REF!,allorders!$AG:$AG,"&gt;="&amp;日期!#REF!)</f>
        <v>0</v>
      </c>
      <c r="C1189" t="e">
        <f>B1189/(日期!#REF!-日期!#REF!+1)</f>
        <v>#REF!</v>
      </c>
    </row>
    <row r="1190" spans="2:3">
      <c r="B1190">
        <f>SUMIFS(allorders!O:O,allorders!L:L,'数据处理(仓储使用)'!$A1190,allorders!$AG:$AG,"&lt;="&amp;日期!#REF!,allorders!$AG:$AG,"&gt;="&amp;日期!#REF!)</f>
        <v>0</v>
      </c>
      <c r="C1190" t="e">
        <f>B1190/(日期!#REF!-日期!#REF!+1)</f>
        <v>#REF!</v>
      </c>
    </row>
    <row r="1191" spans="2:3">
      <c r="B1191">
        <f>SUMIFS(allorders!O:O,allorders!L:L,'数据处理(仓储使用)'!$A1191,allorders!$AG:$AG,"&lt;="&amp;日期!#REF!,allorders!$AG:$AG,"&gt;="&amp;日期!#REF!)</f>
        <v>0</v>
      </c>
      <c r="C1191" t="e">
        <f>B1191/(日期!#REF!-日期!#REF!+1)</f>
        <v>#REF!</v>
      </c>
    </row>
    <row r="1192" spans="2:3">
      <c r="B1192">
        <f>SUMIFS(allorders!O:O,allorders!L:L,'数据处理(仓储使用)'!$A1192,allorders!$AG:$AG,"&lt;="&amp;日期!#REF!,allorders!$AG:$AG,"&gt;="&amp;日期!#REF!)</f>
        <v>0</v>
      </c>
      <c r="C1192" t="e">
        <f>B1192/(日期!#REF!-日期!#REF!+1)</f>
        <v>#REF!</v>
      </c>
    </row>
    <row r="1193" spans="2:3">
      <c r="B1193">
        <f>SUMIFS(allorders!O:O,allorders!L:L,'数据处理(仓储使用)'!$A1193,allorders!$AG:$AG,"&lt;="&amp;日期!#REF!,allorders!$AG:$AG,"&gt;="&amp;日期!#REF!)</f>
        <v>0</v>
      </c>
      <c r="C1193" t="e">
        <f>B1193/(日期!#REF!-日期!#REF!+1)</f>
        <v>#REF!</v>
      </c>
    </row>
    <row r="1194" spans="2:3">
      <c r="B1194">
        <f>SUMIFS(allorders!O:O,allorders!L:L,'数据处理(仓储使用)'!$A1194,allorders!$AG:$AG,"&lt;="&amp;日期!#REF!,allorders!$AG:$AG,"&gt;="&amp;日期!#REF!)</f>
        <v>0</v>
      </c>
      <c r="C1194" t="e">
        <f>B1194/(日期!#REF!-日期!#REF!+1)</f>
        <v>#REF!</v>
      </c>
    </row>
    <row r="1195" spans="2:3">
      <c r="B1195">
        <f>SUMIFS(allorders!O:O,allorders!L:L,'数据处理(仓储使用)'!$A1195,allorders!$AG:$AG,"&lt;="&amp;日期!#REF!,allorders!$AG:$AG,"&gt;="&amp;日期!#REF!)</f>
        <v>0</v>
      </c>
      <c r="C1195" t="e">
        <f>B1195/(日期!#REF!-日期!#REF!+1)</f>
        <v>#REF!</v>
      </c>
    </row>
    <row r="1196" spans="2:3">
      <c r="B1196">
        <f>SUMIFS(allorders!O:O,allorders!L:L,'数据处理(仓储使用)'!$A1196,allorders!$AG:$AG,"&lt;="&amp;日期!#REF!,allorders!$AG:$AG,"&gt;="&amp;日期!#REF!)</f>
        <v>0</v>
      </c>
      <c r="C1196" t="e">
        <f>B1196/(日期!#REF!-日期!#REF!+1)</f>
        <v>#REF!</v>
      </c>
    </row>
    <row r="1197" spans="2:3">
      <c r="B1197">
        <f>SUMIFS(allorders!O:O,allorders!L:L,'数据处理(仓储使用)'!$A1197,allorders!$AG:$AG,"&lt;="&amp;日期!#REF!,allorders!$AG:$AG,"&gt;="&amp;日期!#REF!)</f>
        <v>0</v>
      </c>
      <c r="C1197" t="e">
        <f>B1197/(日期!#REF!-日期!#REF!+1)</f>
        <v>#REF!</v>
      </c>
    </row>
    <row r="1198" spans="2:3">
      <c r="B1198">
        <f>SUMIFS(allorders!O:O,allorders!L:L,'数据处理(仓储使用)'!$A1198,allorders!$AG:$AG,"&lt;="&amp;日期!#REF!,allorders!$AG:$AG,"&gt;="&amp;日期!#REF!)</f>
        <v>0</v>
      </c>
      <c r="C1198" t="e">
        <f>B1198/(日期!#REF!-日期!#REF!+1)</f>
        <v>#REF!</v>
      </c>
    </row>
    <row r="1199" spans="2:3">
      <c r="B1199">
        <f>SUMIFS(allorders!O:O,allorders!L:L,'数据处理(仓储使用)'!$A1199,allorders!$AG:$AG,"&lt;="&amp;日期!#REF!,allorders!$AG:$AG,"&gt;="&amp;日期!#REF!)</f>
        <v>0</v>
      </c>
      <c r="C1199" t="e">
        <f>B1199/(日期!#REF!-日期!#REF!+1)</f>
        <v>#REF!</v>
      </c>
    </row>
    <row r="1200" spans="2:3">
      <c r="B1200">
        <f>SUMIFS(allorders!O:O,allorders!L:L,'数据处理(仓储使用)'!$A1200,allorders!$AG:$AG,"&lt;="&amp;日期!#REF!,allorders!$AG:$AG,"&gt;="&amp;日期!#REF!)</f>
        <v>0</v>
      </c>
      <c r="C1200" t="e">
        <f>B1200/(日期!#REF!-日期!#REF!+1)</f>
        <v>#REF!</v>
      </c>
    </row>
    <row r="1201" spans="2:3">
      <c r="B1201">
        <f>SUMIFS(allorders!O:O,allorders!L:L,'数据处理(仓储使用)'!$A1201,allorders!$AG:$AG,"&lt;="&amp;日期!#REF!,allorders!$AG:$AG,"&gt;="&amp;日期!#REF!)</f>
        <v>0</v>
      </c>
      <c r="C1201" t="e">
        <f>B1201/(日期!#REF!-日期!#REF!+1)</f>
        <v>#REF!</v>
      </c>
    </row>
    <row r="1202" spans="2:3">
      <c r="B1202">
        <f>SUMIFS(allorders!O:O,allorders!L:L,'数据处理(仓储使用)'!$A1202,allorders!$AG:$AG,"&lt;="&amp;日期!#REF!,allorders!$AG:$AG,"&gt;="&amp;日期!#REF!)</f>
        <v>0</v>
      </c>
      <c r="C1202" t="e">
        <f>B1202/(日期!#REF!-日期!#REF!+1)</f>
        <v>#REF!</v>
      </c>
    </row>
    <row r="1203" spans="2:3">
      <c r="B1203">
        <f>SUMIFS(allorders!O:O,allorders!L:L,'数据处理(仓储使用)'!$A1203,allorders!$AG:$AG,"&lt;="&amp;日期!#REF!,allorders!$AG:$AG,"&gt;="&amp;日期!#REF!)</f>
        <v>0</v>
      </c>
      <c r="C1203" t="e">
        <f>B1203/(日期!#REF!-日期!#REF!+1)</f>
        <v>#REF!</v>
      </c>
    </row>
    <row r="1204" spans="2:3">
      <c r="B1204">
        <f>SUMIFS(allorders!O:O,allorders!L:L,'数据处理(仓储使用)'!$A1204,allorders!$AG:$AG,"&lt;="&amp;日期!#REF!,allorders!$AG:$AG,"&gt;="&amp;日期!#REF!)</f>
        <v>0</v>
      </c>
      <c r="C1204" t="e">
        <f>B1204/(日期!#REF!-日期!#REF!+1)</f>
        <v>#REF!</v>
      </c>
    </row>
    <row r="1205" spans="2:3">
      <c r="B1205">
        <f>SUMIFS(allorders!O:O,allorders!L:L,'数据处理(仓储使用)'!$A1205,allorders!$AG:$AG,"&lt;="&amp;日期!#REF!,allorders!$AG:$AG,"&gt;="&amp;日期!#REF!)</f>
        <v>0</v>
      </c>
      <c r="C1205" t="e">
        <f>B1205/(日期!#REF!-日期!#REF!+1)</f>
        <v>#REF!</v>
      </c>
    </row>
    <row r="1206" spans="2:3">
      <c r="B1206">
        <f>SUMIFS(allorders!O:O,allorders!L:L,'数据处理(仓储使用)'!$A1206,allorders!$AG:$AG,"&lt;="&amp;日期!#REF!,allorders!$AG:$AG,"&gt;="&amp;日期!#REF!)</f>
        <v>0</v>
      </c>
      <c r="C1206" t="e">
        <f>B1206/(日期!#REF!-日期!#REF!+1)</f>
        <v>#REF!</v>
      </c>
    </row>
    <row r="1207" spans="2:3">
      <c r="B1207">
        <f>SUMIFS(allorders!O:O,allorders!L:L,'数据处理(仓储使用)'!$A1207,allorders!$AG:$AG,"&lt;="&amp;日期!#REF!,allorders!$AG:$AG,"&gt;="&amp;日期!#REF!)</f>
        <v>0</v>
      </c>
      <c r="C1207" t="e">
        <f>B1207/(日期!#REF!-日期!#REF!+1)</f>
        <v>#REF!</v>
      </c>
    </row>
    <row r="1208" spans="2:3">
      <c r="B1208">
        <f>SUMIFS(allorders!O:O,allorders!L:L,'数据处理(仓储使用)'!$A1208,allorders!$AG:$AG,"&lt;="&amp;日期!#REF!,allorders!$AG:$AG,"&gt;="&amp;日期!#REF!)</f>
        <v>0</v>
      </c>
      <c r="C1208" t="e">
        <f>B1208/(日期!#REF!-日期!#REF!+1)</f>
        <v>#REF!</v>
      </c>
    </row>
    <row r="1209" spans="2:3">
      <c r="B1209">
        <f>SUMIFS(allorders!O:O,allorders!L:L,'数据处理(仓储使用)'!$A1209,allorders!$AG:$AG,"&lt;="&amp;日期!#REF!,allorders!$AG:$AG,"&gt;="&amp;日期!#REF!)</f>
        <v>0</v>
      </c>
      <c r="C1209" t="e">
        <f>B1209/(日期!#REF!-日期!#REF!+1)</f>
        <v>#REF!</v>
      </c>
    </row>
    <row r="1210" spans="2:3">
      <c r="B1210">
        <f>SUMIFS(allorders!O:O,allorders!L:L,'数据处理(仓储使用)'!$A1210,allorders!$AG:$AG,"&lt;="&amp;日期!#REF!,allorders!$AG:$AG,"&gt;="&amp;日期!#REF!)</f>
        <v>0</v>
      </c>
      <c r="C1210" t="e">
        <f>B1210/(日期!#REF!-日期!#REF!+1)</f>
        <v>#REF!</v>
      </c>
    </row>
    <row r="1211" spans="2:3">
      <c r="B1211">
        <f>SUMIFS(allorders!O:O,allorders!L:L,'数据处理(仓储使用)'!$A1211,allorders!$AG:$AG,"&lt;="&amp;日期!#REF!,allorders!$AG:$AG,"&gt;="&amp;日期!#REF!)</f>
        <v>0</v>
      </c>
      <c r="C1211" t="e">
        <f>B1211/(日期!#REF!-日期!#REF!+1)</f>
        <v>#REF!</v>
      </c>
    </row>
    <row r="1212" spans="2:3">
      <c r="B1212">
        <f>SUMIFS(allorders!O:O,allorders!L:L,'数据处理(仓储使用)'!$A1212,allorders!$AG:$AG,"&lt;="&amp;日期!#REF!,allorders!$AG:$AG,"&gt;="&amp;日期!#REF!)</f>
        <v>0</v>
      </c>
      <c r="C1212" t="e">
        <f>B1212/(日期!#REF!-日期!#REF!+1)</f>
        <v>#REF!</v>
      </c>
    </row>
    <row r="1213" spans="2:3">
      <c r="B1213">
        <f>SUMIFS(allorders!O:O,allorders!L:L,'数据处理(仓储使用)'!$A1213,allorders!$AG:$AG,"&lt;="&amp;日期!#REF!,allorders!$AG:$AG,"&gt;="&amp;日期!#REF!)</f>
        <v>0</v>
      </c>
      <c r="C1213" t="e">
        <f>B1213/(日期!#REF!-日期!#REF!+1)</f>
        <v>#REF!</v>
      </c>
    </row>
    <row r="1214" spans="2:3">
      <c r="B1214">
        <f>SUMIFS(allorders!O:O,allorders!L:L,'数据处理(仓储使用)'!$A1214,allorders!$AG:$AG,"&lt;="&amp;日期!#REF!,allorders!$AG:$AG,"&gt;="&amp;日期!#REF!)</f>
        <v>0</v>
      </c>
      <c r="C1214" t="e">
        <f>B1214/(日期!#REF!-日期!#REF!+1)</f>
        <v>#REF!</v>
      </c>
    </row>
    <row r="1215" spans="2:3">
      <c r="B1215">
        <f>SUMIFS(allorders!O:O,allorders!L:L,'数据处理(仓储使用)'!$A1215,allorders!$AG:$AG,"&lt;="&amp;日期!#REF!,allorders!$AG:$AG,"&gt;="&amp;日期!#REF!)</f>
        <v>0</v>
      </c>
      <c r="C1215" t="e">
        <f>B1215/(日期!#REF!-日期!#REF!+1)</f>
        <v>#REF!</v>
      </c>
    </row>
    <row r="1216" spans="2:3">
      <c r="B1216">
        <f>SUMIFS(allorders!O:O,allorders!L:L,'数据处理(仓储使用)'!$A1216,allorders!$AG:$AG,"&lt;="&amp;日期!#REF!,allorders!$AG:$AG,"&gt;="&amp;日期!#REF!)</f>
        <v>0</v>
      </c>
      <c r="C1216" t="e">
        <f>B1216/(日期!#REF!-日期!#REF!+1)</f>
        <v>#REF!</v>
      </c>
    </row>
    <row r="1217" spans="2:3">
      <c r="B1217">
        <f>SUMIFS(allorders!O:O,allorders!L:L,'数据处理(仓储使用)'!$A1217,allorders!$AG:$AG,"&lt;="&amp;日期!#REF!,allorders!$AG:$AG,"&gt;="&amp;日期!#REF!)</f>
        <v>0</v>
      </c>
      <c r="C1217" t="e">
        <f>B1217/(日期!#REF!-日期!#REF!+1)</f>
        <v>#REF!</v>
      </c>
    </row>
    <row r="1218" spans="2:3">
      <c r="B1218">
        <f>SUMIFS(allorders!O:O,allorders!L:L,'数据处理(仓储使用)'!$A1218,allorders!$AG:$AG,"&lt;="&amp;日期!#REF!,allorders!$AG:$AG,"&gt;="&amp;日期!#REF!)</f>
        <v>0</v>
      </c>
      <c r="C1218" t="e">
        <f>B1218/(日期!#REF!-日期!#REF!+1)</f>
        <v>#REF!</v>
      </c>
    </row>
    <row r="1219" spans="2:3">
      <c r="B1219">
        <f>SUMIFS(allorders!O:O,allorders!L:L,'数据处理(仓储使用)'!$A1219,allorders!$AG:$AG,"&lt;="&amp;日期!#REF!,allorders!$AG:$AG,"&gt;="&amp;日期!#REF!)</f>
        <v>0</v>
      </c>
      <c r="C1219" t="e">
        <f>B1219/(日期!#REF!-日期!#REF!+1)</f>
        <v>#REF!</v>
      </c>
    </row>
    <row r="1220" spans="2:3">
      <c r="B1220">
        <f>SUMIFS(allorders!O:O,allorders!L:L,'数据处理(仓储使用)'!$A1220,allorders!$AG:$AG,"&lt;="&amp;日期!#REF!,allorders!$AG:$AG,"&gt;="&amp;日期!#REF!)</f>
        <v>0</v>
      </c>
      <c r="C1220" t="e">
        <f>B1220/(日期!#REF!-日期!#REF!+1)</f>
        <v>#REF!</v>
      </c>
    </row>
    <row r="1221" spans="2:3">
      <c r="B1221">
        <f>SUMIFS(allorders!O:O,allorders!L:L,'数据处理(仓储使用)'!$A1221,allorders!$AG:$AG,"&lt;="&amp;日期!#REF!,allorders!$AG:$AG,"&gt;="&amp;日期!#REF!)</f>
        <v>0</v>
      </c>
      <c r="C1221" t="e">
        <f>B1221/(日期!#REF!-日期!#REF!+1)</f>
        <v>#REF!</v>
      </c>
    </row>
    <row r="1222" spans="2:3">
      <c r="B1222">
        <f>SUMIFS(allorders!O:O,allorders!L:L,'数据处理(仓储使用)'!$A1222,allorders!$AG:$AG,"&lt;="&amp;日期!#REF!,allorders!$AG:$AG,"&gt;="&amp;日期!#REF!)</f>
        <v>0</v>
      </c>
      <c r="C1222" t="e">
        <f>B1222/(日期!#REF!-日期!#REF!+1)</f>
        <v>#REF!</v>
      </c>
    </row>
    <row r="1223" spans="2:3">
      <c r="B1223">
        <f>SUMIFS(allorders!O:O,allorders!L:L,'数据处理(仓储使用)'!$A1223,allorders!$AG:$AG,"&lt;="&amp;日期!#REF!,allorders!$AG:$AG,"&gt;="&amp;日期!#REF!)</f>
        <v>0</v>
      </c>
      <c r="C1223" t="e">
        <f>B1223/(日期!#REF!-日期!#REF!+1)</f>
        <v>#REF!</v>
      </c>
    </row>
    <row r="1224" spans="2:3">
      <c r="B1224">
        <f>SUMIFS(allorders!O:O,allorders!L:L,'数据处理(仓储使用)'!$A1224,allorders!$AG:$AG,"&lt;="&amp;日期!#REF!,allorders!$AG:$AG,"&gt;="&amp;日期!#REF!)</f>
        <v>0</v>
      </c>
      <c r="C1224" t="e">
        <f>B1224/(日期!#REF!-日期!#REF!+1)</f>
        <v>#REF!</v>
      </c>
    </row>
    <row r="1225" spans="2:3">
      <c r="B1225">
        <f>SUMIFS(allorders!O:O,allorders!L:L,'数据处理(仓储使用)'!$A1225,allorders!$AG:$AG,"&lt;="&amp;日期!#REF!,allorders!$AG:$AG,"&gt;="&amp;日期!#REF!)</f>
        <v>0</v>
      </c>
      <c r="C1225" t="e">
        <f>B1225/(日期!#REF!-日期!#REF!+1)</f>
        <v>#REF!</v>
      </c>
    </row>
    <row r="1226" spans="2:3">
      <c r="B1226">
        <f>SUMIFS(allorders!O:O,allorders!L:L,'数据处理(仓储使用)'!$A1226,allorders!$AG:$AG,"&lt;="&amp;日期!#REF!,allorders!$AG:$AG,"&gt;="&amp;日期!#REF!)</f>
        <v>0</v>
      </c>
      <c r="C1226" t="e">
        <f>B1226/(日期!#REF!-日期!#REF!+1)</f>
        <v>#REF!</v>
      </c>
    </row>
    <row r="1227" spans="2:3">
      <c r="B1227">
        <f>SUMIFS(allorders!O:O,allorders!L:L,'数据处理(仓储使用)'!$A1227,allorders!$AG:$AG,"&lt;="&amp;日期!#REF!,allorders!$AG:$AG,"&gt;="&amp;日期!#REF!)</f>
        <v>0</v>
      </c>
      <c r="C1227" t="e">
        <f>B1227/(日期!#REF!-日期!#REF!+1)</f>
        <v>#REF!</v>
      </c>
    </row>
    <row r="1228" spans="2:3">
      <c r="B1228">
        <f>SUMIFS(allorders!O:O,allorders!L:L,'数据处理(仓储使用)'!$A1228,allorders!$AG:$AG,"&lt;="&amp;日期!#REF!,allorders!$AG:$AG,"&gt;="&amp;日期!#REF!)</f>
        <v>0</v>
      </c>
      <c r="C1228" t="e">
        <f>B1228/(日期!#REF!-日期!#REF!+1)</f>
        <v>#REF!</v>
      </c>
    </row>
    <row r="1229" spans="2:3">
      <c r="B1229">
        <f>SUMIFS(allorders!O:O,allorders!L:L,'数据处理(仓储使用)'!$A1229,allorders!$AG:$AG,"&lt;="&amp;日期!#REF!,allorders!$AG:$AG,"&gt;="&amp;日期!#REF!)</f>
        <v>0</v>
      </c>
      <c r="C1229" t="e">
        <f>B1229/(日期!#REF!-日期!#REF!+1)</f>
        <v>#REF!</v>
      </c>
    </row>
    <row r="1230" spans="2:3">
      <c r="B1230">
        <f>SUMIFS(allorders!O:O,allorders!L:L,'数据处理(仓储使用)'!$A1230,allorders!$AG:$AG,"&lt;="&amp;日期!#REF!,allorders!$AG:$AG,"&gt;="&amp;日期!#REF!)</f>
        <v>0</v>
      </c>
      <c r="C1230" t="e">
        <f>B1230/(日期!#REF!-日期!#REF!+1)</f>
        <v>#REF!</v>
      </c>
    </row>
    <row r="1231" spans="2:3">
      <c r="B1231">
        <f>SUMIFS(allorders!O:O,allorders!L:L,'数据处理(仓储使用)'!$A1231,allorders!$AG:$AG,"&lt;="&amp;日期!#REF!,allorders!$AG:$AG,"&gt;="&amp;日期!#REF!)</f>
        <v>0</v>
      </c>
      <c r="C1231" t="e">
        <f>B1231/(日期!#REF!-日期!#REF!+1)</f>
        <v>#REF!</v>
      </c>
    </row>
    <row r="1232" spans="2:3">
      <c r="B1232">
        <f>SUMIFS(allorders!O:O,allorders!L:L,'数据处理(仓储使用)'!$A1232,allorders!$AG:$AG,"&lt;="&amp;日期!#REF!,allorders!$AG:$AG,"&gt;="&amp;日期!#REF!)</f>
        <v>0</v>
      </c>
      <c r="C1232" t="e">
        <f>B1232/(日期!#REF!-日期!#REF!+1)</f>
        <v>#REF!</v>
      </c>
    </row>
    <row r="1233" spans="2:3">
      <c r="B1233">
        <f>SUMIFS(allorders!O:O,allorders!L:L,'数据处理(仓储使用)'!$A1233,allorders!$AG:$AG,"&lt;="&amp;日期!#REF!,allorders!$AG:$AG,"&gt;="&amp;日期!#REF!)</f>
        <v>0</v>
      </c>
      <c r="C1233" t="e">
        <f>B1233/(日期!#REF!-日期!#REF!+1)</f>
        <v>#REF!</v>
      </c>
    </row>
    <row r="1234" spans="2:3">
      <c r="B1234">
        <f>SUMIFS(allorders!O:O,allorders!L:L,'数据处理(仓储使用)'!$A1234,allorders!$AG:$AG,"&lt;="&amp;日期!#REF!,allorders!$AG:$AG,"&gt;="&amp;日期!#REF!)</f>
        <v>0</v>
      </c>
      <c r="C1234" t="e">
        <f>B1234/(日期!#REF!-日期!#REF!+1)</f>
        <v>#REF!</v>
      </c>
    </row>
    <row r="1235" spans="2:3">
      <c r="B1235">
        <f>SUMIFS(allorders!O:O,allorders!L:L,'数据处理(仓储使用)'!$A1235,allorders!$AG:$AG,"&lt;="&amp;日期!#REF!,allorders!$AG:$AG,"&gt;="&amp;日期!#REF!)</f>
        <v>0</v>
      </c>
      <c r="C1235" t="e">
        <f>B1235/(日期!#REF!-日期!#REF!+1)</f>
        <v>#REF!</v>
      </c>
    </row>
    <row r="1236" spans="2:3">
      <c r="B1236">
        <f>SUMIFS(allorders!O:O,allorders!L:L,'数据处理(仓储使用)'!$A1236,allorders!$AG:$AG,"&lt;="&amp;日期!#REF!,allorders!$AG:$AG,"&gt;="&amp;日期!#REF!)</f>
        <v>0</v>
      </c>
      <c r="C1236" t="e">
        <f>B1236/(日期!#REF!-日期!#REF!+1)</f>
        <v>#REF!</v>
      </c>
    </row>
    <row r="1237" spans="2:3">
      <c r="B1237">
        <f>SUMIFS(allorders!O:O,allorders!L:L,'数据处理(仓储使用)'!$A1237,allorders!$AG:$AG,"&lt;="&amp;日期!#REF!,allorders!$AG:$AG,"&gt;="&amp;日期!#REF!)</f>
        <v>0</v>
      </c>
      <c r="C1237" t="e">
        <f>B1237/(日期!#REF!-日期!#REF!+1)</f>
        <v>#REF!</v>
      </c>
    </row>
    <row r="1238" spans="2:3">
      <c r="B1238">
        <f>SUMIFS(allorders!O:O,allorders!L:L,'数据处理(仓储使用)'!$A1238,allorders!$AG:$AG,"&lt;="&amp;日期!#REF!,allorders!$AG:$AG,"&gt;="&amp;日期!#REF!)</f>
        <v>0</v>
      </c>
      <c r="C1238" t="e">
        <f>B1238/(日期!#REF!-日期!#REF!+1)</f>
        <v>#REF!</v>
      </c>
    </row>
    <row r="1239" spans="2:3">
      <c r="B1239">
        <f>SUMIFS(allorders!O:O,allorders!L:L,'数据处理(仓储使用)'!$A1239,allorders!$AG:$AG,"&lt;="&amp;日期!#REF!,allorders!$AG:$AG,"&gt;="&amp;日期!#REF!)</f>
        <v>0</v>
      </c>
      <c r="C1239" t="e">
        <f>B1239/(日期!#REF!-日期!#REF!+1)</f>
        <v>#REF!</v>
      </c>
    </row>
    <row r="1240" spans="2:3">
      <c r="B1240">
        <f>SUMIFS(allorders!O:O,allorders!L:L,'数据处理(仓储使用)'!$A1240,allorders!$AG:$AG,"&lt;="&amp;日期!#REF!,allorders!$AG:$AG,"&gt;="&amp;日期!#REF!)</f>
        <v>0</v>
      </c>
      <c r="C1240" t="e">
        <f>B1240/(日期!#REF!-日期!#REF!+1)</f>
        <v>#REF!</v>
      </c>
    </row>
    <row r="1241" spans="2:3">
      <c r="B1241">
        <f>SUMIFS(allorders!O:O,allorders!L:L,'数据处理(仓储使用)'!$A1241,allorders!$AG:$AG,"&lt;="&amp;日期!#REF!,allorders!$AG:$AG,"&gt;="&amp;日期!#REF!)</f>
        <v>0</v>
      </c>
      <c r="C1241" t="e">
        <f>B1241/(日期!#REF!-日期!#REF!+1)</f>
        <v>#REF!</v>
      </c>
    </row>
    <row r="1242" spans="2:3">
      <c r="B1242">
        <f>SUMIFS(allorders!O:O,allorders!L:L,'数据处理(仓储使用)'!$A1242,allorders!$AG:$AG,"&lt;="&amp;日期!#REF!,allorders!$AG:$AG,"&gt;="&amp;日期!#REF!)</f>
        <v>0</v>
      </c>
      <c r="C1242" t="e">
        <f>B1242/(日期!#REF!-日期!#REF!+1)</f>
        <v>#REF!</v>
      </c>
    </row>
    <row r="1243" spans="2:3">
      <c r="B1243">
        <f>SUMIFS(allorders!O:O,allorders!L:L,'数据处理(仓储使用)'!$A1243,allorders!$AG:$AG,"&lt;="&amp;日期!#REF!,allorders!$AG:$AG,"&gt;="&amp;日期!#REF!)</f>
        <v>0</v>
      </c>
      <c r="C1243" t="e">
        <f>B1243/(日期!#REF!-日期!#REF!+1)</f>
        <v>#REF!</v>
      </c>
    </row>
    <row r="1244" spans="2:3">
      <c r="B1244">
        <f>SUMIFS(allorders!O:O,allorders!L:L,'数据处理(仓储使用)'!$A1244,allorders!$AG:$AG,"&lt;="&amp;日期!#REF!,allorders!$AG:$AG,"&gt;="&amp;日期!#REF!)</f>
        <v>0</v>
      </c>
      <c r="C1244" t="e">
        <f>B1244/(日期!#REF!-日期!#REF!+1)</f>
        <v>#REF!</v>
      </c>
    </row>
    <row r="1245" spans="2:3">
      <c r="B1245">
        <f>SUMIFS(allorders!O:O,allorders!L:L,'数据处理(仓储使用)'!$A1245,allorders!$AG:$AG,"&lt;="&amp;日期!#REF!,allorders!$AG:$AG,"&gt;="&amp;日期!#REF!)</f>
        <v>0</v>
      </c>
      <c r="C1245" t="e">
        <f>B1245/(日期!#REF!-日期!#REF!+1)</f>
        <v>#REF!</v>
      </c>
    </row>
    <row r="1246" spans="2:3">
      <c r="B1246">
        <f>SUMIFS(allorders!O:O,allorders!L:L,'数据处理(仓储使用)'!$A1246,allorders!$AG:$AG,"&lt;="&amp;日期!#REF!,allorders!$AG:$AG,"&gt;="&amp;日期!#REF!)</f>
        <v>0</v>
      </c>
      <c r="C1246" t="e">
        <f>B1246/(日期!#REF!-日期!#REF!+1)</f>
        <v>#REF!</v>
      </c>
    </row>
    <row r="1247" spans="2:3">
      <c r="B1247">
        <f>SUMIFS(allorders!O:O,allorders!L:L,'数据处理(仓储使用)'!$A1247,allorders!$AG:$AG,"&lt;="&amp;日期!#REF!,allorders!$AG:$AG,"&gt;="&amp;日期!#REF!)</f>
        <v>0</v>
      </c>
      <c r="C1247" t="e">
        <f>B1247/(日期!#REF!-日期!#REF!+1)</f>
        <v>#REF!</v>
      </c>
    </row>
    <row r="1248" spans="2:3">
      <c r="B1248">
        <f>SUMIFS(allorders!O:O,allorders!L:L,'数据处理(仓储使用)'!$A1248,allorders!$AG:$AG,"&lt;="&amp;日期!#REF!,allorders!$AG:$AG,"&gt;="&amp;日期!#REF!)</f>
        <v>0</v>
      </c>
      <c r="C1248" t="e">
        <f>B1248/(日期!#REF!-日期!#REF!+1)</f>
        <v>#REF!</v>
      </c>
    </row>
    <row r="1249" spans="2:3">
      <c r="B1249">
        <f>SUMIFS(allorders!O:O,allorders!L:L,'数据处理(仓储使用)'!$A1249,allorders!$AG:$AG,"&lt;="&amp;日期!#REF!,allorders!$AG:$AG,"&gt;="&amp;日期!#REF!)</f>
        <v>0</v>
      </c>
      <c r="C1249" t="e">
        <f>B1249/(日期!#REF!-日期!#REF!+1)</f>
        <v>#REF!</v>
      </c>
    </row>
    <row r="1250" spans="2:3">
      <c r="B1250">
        <f>SUMIFS(allorders!O:O,allorders!L:L,'数据处理(仓储使用)'!$A1250,allorders!$AG:$AG,"&lt;="&amp;日期!#REF!,allorders!$AG:$AG,"&gt;="&amp;日期!#REF!)</f>
        <v>0</v>
      </c>
      <c r="C1250" t="e">
        <f>B1250/(日期!#REF!-日期!#REF!+1)</f>
        <v>#REF!</v>
      </c>
    </row>
    <row r="1251" spans="2:3">
      <c r="B1251">
        <f>SUMIFS(allorders!O:O,allorders!L:L,'数据处理(仓储使用)'!$A1251,allorders!$AG:$AG,"&lt;="&amp;日期!#REF!,allorders!$AG:$AG,"&gt;="&amp;日期!#REF!)</f>
        <v>0</v>
      </c>
      <c r="C1251" t="e">
        <f>B1251/(日期!#REF!-日期!#REF!+1)</f>
        <v>#REF!</v>
      </c>
    </row>
    <row r="1252" spans="2:3">
      <c r="B1252">
        <f>SUMIFS(allorders!O:O,allorders!L:L,'数据处理(仓储使用)'!$A1252,allorders!$AG:$AG,"&lt;="&amp;日期!#REF!,allorders!$AG:$AG,"&gt;="&amp;日期!#REF!)</f>
        <v>0</v>
      </c>
      <c r="C1252" t="e">
        <f>B1252/(日期!#REF!-日期!#REF!+1)</f>
        <v>#REF!</v>
      </c>
    </row>
    <row r="1253" spans="2:3">
      <c r="B1253">
        <f>SUMIFS(allorders!O:O,allorders!L:L,'数据处理(仓储使用)'!$A1253,allorders!$AG:$AG,"&lt;="&amp;日期!#REF!,allorders!$AG:$AG,"&gt;="&amp;日期!#REF!)</f>
        <v>0</v>
      </c>
      <c r="C1253" t="e">
        <f>B1253/(日期!#REF!-日期!#REF!+1)</f>
        <v>#REF!</v>
      </c>
    </row>
    <row r="1254" spans="2:3">
      <c r="B1254">
        <f>SUMIFS(allorders!O:O,allorders!L:L,'数据处理(仓储使用)'!$A1254,allorders!$AG:$AG,"&lt;="&amp;日期!#REF!,allorders!$AG:$AG,"&gt;="&amp;日期!#REF!)</f>
        <v>0</v>
      </c>
      <c r="C1254" t="e">
        <f>B1254/(日期!#REF!-日期!#REF!+1)</f>
        <v>#REF!</v>
      </c>
    </row>
    <row r="1255" spans="2:3">
      <c r="B1255">
        <f>SUMIFS(allorders!O:O,allorders!L:L,'数据处理(仓储使用)'!$A1255,allorders!$AG:$AG,"&lt;="&amp;日期!#REF!,allorders!$AG:$AG,"&gt;="&amp;日期!#REF!)</f>
        <v>0</v>
      </c>
      <c r="C1255" t="e">
        <f>B1255/(日期!#REF!-日期!#REF!+1)</f>
        <v>#REF!</v>
      </c>
    </row>
    <row r="1256" spans="2:3">
      <c r="B1256">
        <f>SUMIFS(allorders!O:O,allorders!L:L,'数据处理(仓储使用)'!$A1256,allorders!$AG:$AG,"&lt;="&amp;日期!#REF!,allorders!$AG:$AG,"&gt;="&amp;日期!#REF!)</f>
        <v>0</v>
      </c>
      <c r="C1256" t="e">
        <f>B1256/(日期!#REF!-日期!#REF!+1)</f>
        <v>#REF!</v>
      </c>
    </row>
    <row r="1257" spans="2:3">
      <c r="B1257">
        <f>SUMIFS(allorders!O:O,allorders!L:L,'数据处理(仓储使用)'!$A1257,allorders!$AG:$AG,"&lt;="&amp;日期!#REF!,allorders!$AG:$AG,"&gt;="&amp;日期!#REF!)</f>
        <v>0</v>
      </c>
      <c r="C1257" t="e">
        <f>B1257/(日期!#REF!-日期!#REF!+1)</f>
        <v>#REF!</v>
      </c>
    </row>
    <row r="1258" spans="2:3">
      <c r="B1258">
        <f>SUMIFS(allorders!O:O,allorders!L:L,'数据处理(仓储使用)'!$A1258,allorders!$AG:$AG,"&lt;="&amp;日期!#REF!,allorders!$AG:$AG,"&gt;="&amp;日期!#REF!)</f>
        <v>0</v>
      </c>
      <c r="C1258" t="e">
        <f>B1258/(日期!#REF!-日期!#REF!+1)</f>
        <v>#REF!</v>
      </c>
    </row>
    <row r="1259" spans="2:3">
      <c r="B1259">
        <f>SUMIFS(allorders!O:O,allorders!L:L,'数据处理(仓储使用)'!$A1259,allorders!$AG:$AG,"&lt;="&amp;日期!#REF!,allorders!$AG:$AG,"&gt;="&amp;日期!#REF!)</f>
        <v>0</v>
      </c>
      <c r="C1259" t="e">
        <f>B1259/(日期!#REF!-日期!#REF!+1)</f>
        <v>#REF!</v>
      </c>
    </row>
    <row r="1260" spans="2:3">
      <c r="B1260">
        <f>SUMIFS(allorders!O:O,allorders!L:L,'数据处理(仓储使用)'!$A1260,allorders!$AG:$AG,"&lt;="&amp;日期!#REF!,allorders!$AG:$AG,"&gt;="&amp;日期!#REF!)</f>
        <v>0</v>
      </c>
      <c r="C1260" t="e">
        <f>B1260/(日期!#REF!-日期!#REF!+1)</f>
        <v>#REF!</v>
      </c>
    </row>
    <row r="1261" spans="2:3">
      <c r="B1261">
        <f>SUMIFS(allorders!O:O,allorders!L:L,'数据处理(仓储使用)'!$A1261,allorders!$AG:$AG,"&lt;="&amp;日期!#REF!,allorders!$AG:$AG,"&gt;="&amp;日期!#REF!)</f>
        <v>0</v>
      </c>
      <c r="C1261" t="e">
        <f>B1261/(日期!#REF!-日期!#REF!+1)</f>
        <v>#REF!</v>
      </c>
    </row>
    <row r="1262" spans="2:3">
      <c r="B1262">
        <f>SUMIFS(allorders!O:O,allorders!L:L,'数据处理(仓储使用)'!$A1262,allorders!$AG:$AG,"&lt;="&amp;日期!#REF!,allorders!$AG:$AG,"&gt;="&amp;日期!#REF!)</f>
        <v>0</v>
      </c>
      <c r="C1262" t="e">
        <f>B1262/(日期!#REF!-日期!#REF!+1)</f>
        <v>#REF!</v>
      </c>
    </row>
    <row r="1263" spans="2:3">
      <c r="B1263">
        <f>SUMIFS(allorders!O:O,allorders!L:L,'数据处理(仓储使用)'!$A1263,allorders!$AG:$AG,"&lt;="&amp;日期!#REF!,allorders!$AG:$AG,"&gt;="&amp;日期!#REF!)</f>
        <v>0</v>
      </c>
      <c r="C1263" t="e">
        <f>B1263/(日期!#REF!-日期!#REF!+1)</f>
        <v>#REF!</v>
      </c>
    </row>
    <row r="1264" spans="2:3">
      <c r="B1264">
        <f>SUMIFS(allorders!O:O,allorders!L:L,'数据处理(仓储使用)'!$A1264,allorders!$AG:$AG,"&lt;="&amp;日期!#REF!,allorders!$AG:$AG,"&gt;="&amp;日期!#REF!)</f>
        <v>0</v>
      </c>
      <c r="C1264" t="e">
        <f>B1264/(日期!#REF!-日期!#REF!+1)</f>
        <v>#REF!</v>
      </c>
    </row>
    <row r="1265" spans="2:3">
      <c r="B1265">
        <f>SUMIFS(allorders!O:O,allorders!L:L,'数据处理(仓储使用)'!$A1265,allorders!$AG:$AG,"&lt;="&amp;日期!#REF!,allorders!$AG:$AG,"&gt;="&amp;日期!#REF!)</f>
        <v>0</v>
      </c>
      <c r="C1265" t="e">
        <f>B1265/(日期!#REF!-日期!#REF!+1)</f>
        <v>#REF!</v>
      </c>
    </row>
    <row r="1266" spans="2:3">
      <c r="B1266">
        <f>SUMIFS(allorders!O:O,allorders!L:L,'数据处理(仓储使用)'!$A1266,allorders!$AG:$AG,"&lt;="&amp;日期!#REF!,allorders!$AG:$AG,"&gt;="&amp;日期!#REF!)</f>
        <v>0</v>
      </c>
      <c r="C1266" t="e">
        <f>B1266/(日期!#REF!-日期!#REF!+1)</f>
        <v>#REF!</v>
      </c>
    </row>
    <row r="1267" spans="2:3">
      <c r="B1267">
        <f>SUMIFS(allorders!O:O,allorders!L:L,'数据处理(仓储使用)'!$A1267,allorders!$AG:$AG,"&lt;="&amp;日期!#REF!,allorders!$AG:$AG,"&gt;="&amp;日期!#REF!)</f>
        <v>0</v>
      </c>
      <c r="C1267" t="e">
        <f>B1267/(日期!#REF!-日期!#REF!+1)</f>
        <v>#REF!</v>
      </c>
    </row>
    <row r="1268" spans="2:3">
      <c r="B1268">
        <f>SUMIFS(allorders!O:O,allorders!L:L,'数据处理(仓储使用)'!$A1268,allorders!$AG:$AG,"&lt;="&amp;日期!#REF!,allorders!$AG:$AG,"&gt;="&amp;日期!#REF!)</f>
        <v>0</v>
      </c>
      <c r="C1268" t="e">
        <f>B1268/(日期!#REF!-日期!#REF!+1)</f>
        <v>#REF!</v>
      </c>
    </row>
    <row r="1269" spans="2:3">
      <c r="B1269">
        <f>SUMIFS(allorders!O:O,allorders!L:L,'数据处理(仓储使用)'!$A1269,allorders!$AG:$AG,"&lt;="&amp;日期!#REF!,allorders!$AG:$AG,"&gt;="&amp;日期!#REF!)</f>
        <v>0</v>
      </c>
      <c r="C1269" t="e">
        <f>B1269/(日期!#REF!-日期!#REF!+1)</f>
        <v>#REF!</v>
      </c>
    </row>
    <row r="1270" spans="2:3">
      <c r="B1270">
        <f>SUMIFS(allorders!O:O,allorders!L:L,'数据处理(仓储使用)'!$A1270,allorders!$AG:$AG,"&lt;="&amp;日期!#REF!,allorders!$AG:$AG,"&gt;="&amp;日期!#REF!)</f>
        <v>0</v>
      </c>
      <c r="C1270" t="e">
        <f>B1270/(日期!#REF!-日期!#REF!+1)</f>
        <v>#REF!</v>
      </c>
    </row>
    <row r="1271" spans="2:3">
      <c r="B1271">
        <f>SUMIFS(allorders!O:O,allorders!L:L,'数据处理(仓储使用)'!$A1271,allorders!$AG:$AG,"&lt;="&amp;日期!#REF!,allorders!$AG:$AG,"&gt;="&amp;日期!#REF!)</f>
        <v>0</v>
      </c>
      <c r="C1271" t="e">
        <f>B1271/(日期!#REF!-日期!#REF!+1)</f>
        <v>#REF!</v>
      </c>
    </row>
    <row r="1272" spans="2:3">
      <c r="B1272">
        <f>SUMIFS(allorders!O:O,allorders!L:L,'数据处理(仓储使用)'!$A1272,allorders!$AG:$AG,"&lt;="&amp;日期!#REF!,allorders!$AG:$AG,"&gt;="&amp;日期!#REF!)</f>
        <v>0</v>
      </c>
      <c r="C1272" t="e">
        <f>B1272/(日期!#REF!-日期!#REF!+1)</f>
        <v>#REF!</v>
      </c>
    </row>
    <row r="1273" spans="2:3">
      <c r="B1273">
        <f>SUMIFS(allorders!O:O,allorders!L:L,'数据处理(仓储使用)'!$A1273,allorders!$AG:$AG,"&lt;="&amp;日期!#REF!,allorders!$AG:$AG,"&gt;="&amp;日期!#REF!)</f>
        <v>0</v>
      </c>
      <c r="C1273" t="e">
        <f>B1273/(日期!#REF!-日期!#REF!+1)</f>
        <v>#REF!</v>
      </c>
    </row>
    <row r="1274" spans="2:3">
      <c r="B1274">
        <f>SUMIFS(allorders!O:O,allorders!L:L,'数据处理(仓储使用)'!$A1274,allorders!$AG:$AG,"&lt;="&amp;日期!#REF!,allorders!$AG:$AG,"&gt;="&amp;日期!#REF!)</f>
        <v>0</v>
      </c>
      <c r="C1274" t="e">
        <f>B1274/(日期!#REF!-日期!#REF!+1)</f>
        <v>#REF!</v>
      </c>
    </row>
    <row r="1275" spans="2:3">
      <c r="B1275">
        <f>SUMIFS(allorders!O:O,allorders!L:L,'数据处理(仓储使用)'!$A1275,allorders!$AG:$AG,"&lt;="&amp;日期!#REF!,allorders!$AG:$AG,"&gt;="&amp;日期!#REF!)</f>
        <v>0</v>
      </c>
      <c r="C1275" t="e">
        <f>B1275/(日期!#REF!-日期!#REF!+1)</f>
        <v>#REF!</v>
      </c>
    </row>
    <row r="1276" spans="2:3">
      <c r="B1276">
        <f>SUMIFS(allorders!O:O,allorders!L:L,'数据处理(仓储使用)'!$A1276,allorders!$AG:$AG,"&lt;="&amp;日期!#REF!,allorders!$AG:$AG,"&gt;="&amp;日期!#REF!)</f>
        <v>0</v>
      </c>
      <c r="C1276" t="e">
        <f>B1276/(日期!#REF!-日期!#REF!+1)</f>
        <v>#REF!</v>
      </c>
    </row>
    <row r="1277" spans="2:3">
      <c r="B1277">
        <f>SUMIFS(allorders!O:O,allorders!L:L,'数据处理(仓储使用)'!$A1277,allorders!$AG:$AG,"&lt;="&amp;日期!#REF!,allorders!$AG:$AG,"&gt;="&amp;日期!#REF!)</f>
        <v>0</v>
      </c>
      <c r="C1277" t="e">
        <f>B1277/(日期!#REF!-日期!#REF!+1)</f>
        <v>#REF!</v>
      </c>
    </row>
    <row r="1278" spans="2:3">
      <c r="B1278">
        <f>SUMIFS(allorders!O:O,allorders!L:L,'数据处理(仓储使用)'!$A1278,allorders!$AG:$AG,"&lt;="&amp;日期!#REF!,allorders!$AG:$AG,"&gt;="&amp;日期!#REF!)</f>
        <v>0</v>
      </c>
      <c r="C1278" t="e">
        <f>B1278/(日期!#REF!-日期!#REF!+1)</f>
        <v>#REF!</v>
      </c>
    </row>
    <row r="1279" spans="2:3">
      <c r="B1279">
        <f>SUMIFS(allorders!O:O,allorders!L:L,'数据处理(仓储使用)'!$A1279,allorders!$AG:$AG,"&lt;="&amp;日期!#REF!,allorders!$AG:$AG,"&gt;="&amp;日期!#REF!)</f>
        <v>0</v>
      </c>
      <c r="C1279" t="e">
        <f>B1279/(日期!#REF!-日期!#REF!+1)</f>
        <v>#REF!</v>
      </c>
    </row>
    <row r="1280" spans="2:3">
      <c r="B1280">
        <f>SUMIFS(allorders!O:O,allorders!L:L,'数据处理(仓储使用)'!$A1280,allorders!$AG:$AG,"&lt;="&amp;日期!#REF!,allorders!$AG:$AG,"&gt;="&amp;日期!#REF!)</f>
        <v>0</v>
      </c>
      <c r="C1280" t="e">
        <f>B1280/(日期!#REF!-日期!#REF!+1)</f>
        <v>#REF!</v>
      </c>
    </row>
    <row r="1281" spans="2:3">
      <c r="B1281">
        <f>SUMIFS(allorders!O:O,allorders!L:L,'数据处理(仓储使用)'!$A1281,allorders!$AG:$AG,"&lt;="&amp;日期!#REF!,allorders!$AG:$AG,"&gt;="&amp;日期!#REF!)</f>
        <v>0</v>
      </c>
      <c r="C1281" t="e">
        <f>B1281/(日期!#REF!-日期!#REF!+1)</f>
        <v>#REF!</v>
      </c>
    </row>
    <row r="1282" spans="2:3">
      <c r="B1282">
        <f>SUMIFS(allorders!O:O,allorders!L:L,'数据处理(仓储使用)'!$A1282,allorders!$AG:$AG,"&lt;="&amp;日期!#REF!,allorders!$AG:$AG,"&gt;="&amp;日期!#REF!)</f>
        <v>0</v>
      </c>
      <c r="C1282" t="e">
        <f>B1282/(日期!#REF!-日期!#REF!+1)</f>
        <v>#REF!</v>
      </c>
    </row>
    <row r="1283" spans="2:3">
      <c r="B1283">
        <f>SUMIFS(allorders!O:O,allorders!L:L,'数据处理(仓储使用)'!$A1283,allorders!$AG:$AG,"&lt;="&amp;日期!#REF!,allorders!$AG:$AG,"&gt;="&amp;日期!#REF!)</f>
        <v>0</v>
      </c>
      <c r="C1283" t="e">
        <f>B1283/(日期!#REF!-日期!#REF!+1)</f>
        <v>#REF!</v>
      </c>
    </row>
    <row r="1284" spans="2:3">
      <c r="B1284">
        <f>SUMIFS(allorders!O:O,allorders!L:L,'数据处理(仓储使用)'!$A1284,allorders!$AG:$AG,"&lt;="&amp;日期!#REF!,allorders!$AG:$AG,"&gt;="&amp;日期!#REF!)</f>
        <v>0</v>
      </c>
      <c r="C1284" t="e">
        <f>B1284/(日期!#REF!-日期!#REF!+1)</f>
        <v>#REF!</v>
      </c>
    </row>
    <row r="1285" spans="2:3">
      <c r="B1285">
        <f>SUMIFS(allorders!O:O,allorders!L:L,'数据处理(仓储使用)'!$A1285,allorders!$AG:$AG,"&lt;="&amp;日期!#REF!,allorders!$AG:$AG,"&gt;="&amp;日期!#REF!)</f>
        <v>0</v>
      </c>
      <c r="C1285" t="e">
        <f>B1285/(日期!#REF!-日期!#REF!+1)</f>
        <v>#REF!</v>
      </c>
    </row>
    <row r="1286" spans="2:3">
      <c r="B1286">
        <f>SUMIFS(allorders!O:O,allorders!L:L,'数据处理(仓储使用)'!$A1286,allorders!$AG:$AG,"&lt;="&amp;日期!#REF!,allorders!$AG:$AG,"&gt;="&amp;日期!#REF!)</f>
        <v>0</v>
      </c>
      <c r="C1286" t="e">
        <f>B1286/(日期!#REF!-日期!#REF!+1)</f>
        <v>#REF!</v>
      </c>
    </row>
    <row r="1287" spans="2:3">
      <c r="B1287">
        <f>SUMIFS(allorders!O:O,allorders!L:L,'数据处理(仓储使用)'!$A1287,allorders!$AG:$AG,"&lt;="&amp;日期!#REF!,allorders!$AG:$AG,"&gt;="&amp;日期!#REF!)</f>
        <v>0</v>
      </c>
      <c r="C1287" t="e">
        <f>B1287/(日期!#REF!-日期!#REF!+1)</f>
        <v>#REF!</v>
      </c>
    </row>
    <row r="1288" spans="2:3">
      <c r="B1288">
        <f>SUMIFS(allorders!O:O,allorders!L:L,'数据处理(仓储使用)'!$A1288,allorders!$AG:$AG,"&lt;="&amp;日期!#REF!,allorders!$AG:$AG,"&gt;="&amp;日期!#REF!)</f>
        <v>0</v>
      </c>
      <c r="C1288" t="e">
        <f>B1288/(日期!#REF!-日期!#REF!+1)</f>
        <v>#REF!</v>
      </c>
    </row>
    <row r="1289" spans="2:3">
      <c r="B1289">
        <f>SUMIFS(allorders!O:O,allorders!L:L,'数据处理(仓储使用)'!$A1289,allorders!$AG:$AG,"&lt;="&amp;日期!#REF!,allorders!$AG:$AG,"&gt;="&amp;日期!#REF!)</f>
        <v>0</v>
      </c>
      <c r="C1289" t="e">
        <f>B1289/(日期!#REF!-日期!#REF!+1)</f>
        <v>#REF!</v>
      </c>
    </row>
    <row r="1290" spans="2:3">
      <c r="B1290">
        <f>SUMIFS(allorders!O:O,allorders!L:L,'数据处理(仓储使用)'!$A1290,allorders!$AG:$AG,"&lt;="&amp;日期!#REF!,allorders!$AG:$AG,"&gt;="&amp;日期!#REF!)</f>
        <v>0</v>
      </c>
      <c r="C1290" t="e">
        <f>B1290/(日期!#REF!-日期!#REF!+1)</f>
        <v>#REF!</v>
      </c>
    </row>
    <row r="1291" spans="2:3">
      <c r="B1291">
        <f>SUMIFS(allorders!O:O,allorders!L:L,'数据处理(仓储使用)'!$A1291,allorders!$AG:$AG,"&lt;="&amp;日期!#REF!,allorders!$AG:$AG,"&gt;="&amp;日期!#REF!)</f>
        <v>0</v>
      </c>
      <c r="C1291" t="e">
        <f>B1291/(日期!#REF!-日期!#REF!+1)</f>
        <v>#REF!</v>
      </c>
    </row>
    <row r="1292" spans="2:3">
      <c r="B1292">
        <f>SUMIFS(allorders!O:O,allorders!L:L,'数据处理(仓储使用)'!$A1292,allorders!$AG:$AG,"&lt;="&amp;日期!#REF!,allorders!$AG:$AG,"&gt;="&amp;日期!#REF!)</f>
        <v>0</v>
      </c>
      <c r="C1292" t="e">
        <f>B1292/(日期!#REF!-日期!#REF!+1)</f>
        <v>#REF!</v>
      </c>
    </row>
    <row r="1293" spans="2:3">
      <c r="B1293">
        <f>SUMIFS(allorders!O:O,allorders!L:L,'数据处理(仓储使用)'!$A1293,allorders!$AG:$AG,"&lt;="&amp;日期!#REF!,allorders!$AG:$AG,"&gt;="&amp;日期!#REF!)</f>
        <v>0</v>
      </c>
      <c r="C1293" t="e">
        <f>B1293/(日期!#REF!-日期!#REF!+1)</f>
        <v>#REF!</v>
      </c>
    </row>
    <row r="1294" spans="2:3">
      <c r="B1294">
        <f>SUMIFS(allorders!O:O,allorders!L:L,'数据处理(仓储使用)'!$A1294,allorders!$AG:$AG,"&lt;="&amp;日期!#REF!,allorders!$AG:$AG,"&gt;="&amp;日期!#REF!)</f>
        <v>0</v>
      </c>
      <c r="C1294" t="e">
        <f>B1294/(日期!#REF!-日期!#REF!+1)</f>
        <v>#REF!</v>
      </c>
    </row>
    <row r="1295" spans="2:3">
      <c r="B1295">
        <f>SUMIFS(allorders!O:O,allorders!L:L,'数据处理(仓储使用)'!$A1295,allorders!$AG:$AG,"&lt;="&amp;日期!#REF!,allorders!$AG:$AG,"&gt;="&amp;日期!#REF!)</f>
        <v>0</v>
      </c>
      <c r="C1295" t="e">
        <f>B1295/(日期!#REF!-日期!#REF!+1)</f>
        <v>#REF!</v>
      </c>
    </row>
    <row r="1296" spans="2:3">
      <c r="B1296">
        <f>SUMIFS(allorders!O:O,allorders!L:L,'数据处理(仓储使用)'!$A1296,allorders!$AG:$AG,"&lt;="&amp;日期!#REF!,allorders!$AG:$AG,"&gt;="&amp;日期!#REF!)</f>
        <v>0</v>
      </c>
      <c r="C1296" t="e">
        <f>B1296/(日期!#REF!-日期!#REF!+1)</f>
        <v>#REF!</v>
      </c>
    </row>
    <row r="1297" spans="2:3">
      <c r="B1297">
        <f>SUMIFS(allorders!O:O,allorders!L:L,'数据处理(仓储使用)'!$A1297,allorders!$AG:$AG,"&lt;="&amp;日期!#REF!,allorders!$AG:$AG,"&gt;="&amp;日期!#REF!)</f>
        <v>0</v>
      </c>
      <c r="C1297" t="e">
        <f>B1297/(日期!#REF!-日期!#REF!+1)</f>
        <v>#REF!</v>
      </c>
    </row>
    <row r="1298" spans="2:3">
      <c r="B1298">
        <f>SUMIFS(allorders!O:O,allorders!L:L,'数据处理(仓储使用)'!$A1298,allorders!$AG:$AG,"&lt;="&amp;日期!#REF!,allorders!$AG:$AG,"&gt;="&amp;日期!#REF!)</f>
        <v>0</v>
      </c>
      <c r="C1298" t="e">
        <f>B1298/(日期!#REF!-日期!#REF!+1)</f>
        <v>#REF!</v>
      </c>
    </row>
    <row r="1299" spans="2:3">
      <c r="B1299">
        <f>SUMIFS(allorders!O:O,allorders!L:L,'数据处理(仓储使用)'!$A1299,allorders!$AG:$AG,"&lt;="&amp;日期!#REF!,allorders!$AG:$AG,"&gt;="&amp;日期!#REF!)</f>
        <v>0</v>
      </c>
      <c r="C1299" t="e">
        <f>B1299/(日期!#REF!-日期!#REF!+1)</f>
        <v>#REF!</v>
      </c>
    </row>
    <row r="1300" spans="2:3">
      <c r="B1300">
        <f>SUMIFS(allorders!O:O,allorders!L:L,'数据处理(仓储使用)'!$A1300,allorders!$AG:$AG,"&lt;="&amp;日期!#REF!,allorders!$AG:$AG,"&gt;="&amp;日期!#REF!)</f>
        <v>0</v>
      </c>
      <c r="C1300" t="e">
        <f>B1300/(日期!#REF!-日期!#REF!+1)</f>
        <v>#REF!</v>
      </c>
    </row>
    <row r="1301" spans="2:3">
      <c r="B1301">
        <f>SUMIFS(allorders!O:O,allorders!L:L,'数据处理(仓储使用)'!$A1301,allorders!$AG:$AG,"&lt;="&amp;日期!#REF!,allorders!$AG:$AG,"&gt;="&amp;日期!#REF!)</f>
        <v>0</v>
      </c>
      <c r="C1301" t="e">
        <f>B1301/(日期!#REF!-日期!#REF!+1)</f>
        <v>#REF!</v>
      </c>
    </row>
    <row r="1302" spans="2:3">
      <c r="B1302">
        <f>SUMIFS(allorders!O:O,allorders!L:L,'数据处理(仓储使用)'!$A1302,allorders!$AG:$AG,"&lt;="&amp;日期!#REF!,allorders!$AG:$AG,"&gt;="&amp;日期!#REF!)</f>
        <v>0</v>
      </c>
      <c r="C1302" t="e">
        <f>B1302/(日期!#REF!-日期!#REF!+1)</f>
        <v>#REF!</v>
      </c>
    </row>
    <row r="1303" spans="2:3">
      <c r="B1303">
        <f>SUMIFS(allorders!O:O,allorders!L:L,'数据处理(仓储使用)'!$A1303,allorders!$AG:$AG,"&lt;="&amp;日期!#REF!,allorders!$AG:$AG,"&gt;="&amp;日期!#REF!)</f>
        <v>0</v>
      </c>
      <c r="C1303" t="e">
        <f>B1303/(日期!#REF!-日期!#REF!+1)</f>
        <v>#REF!</v>
      </c>
    </row>
    <row r="1304" spans="2:3">
      <c r="B1304">
        <f>SUMIFS(allorders!O:O,allorders!L:L,'数据处理(仓储使用)'!$A1304,allorders!$AG:$AG,"&lt;="&amp;日期!#REF!,allorders!$AG:$AG,"&gt;="&amp;日期!#REF!)</f>
        <v>0</v>
      </c>
      <c r="C1304" t="e">
        <f>B1304/(日期!#REF!-日期!#REF!+1)</f>
        <v>#REF!</v>
      </c>
    </row>
    <row r="1305" spans="2:3">
      <c r="B1305">
        <f>SUMIFS(allorders!O:O,allorders!L:L,'数据处理(仓储使用)'!$A1305,allorders!$AG:$AG,"&lt;="&amp;日期!#REF!,allorders!$AG:$AG,"&gt;="&amp;日期!#REF!)</f>
        <v>0</v>
      </c>
      <c r="C1305" t="e">
        <f>B1305/(日期!#REF!-日期!#REF!+1)</f>
        <v>#REF!</v>
      </c>
    </row>
    <row r="1306" spans="2:3">
      <c r="B1306">
        <f>SUMIFS(allorders!O:O,allorders!L:L,'数据处理(仓储使用)'!$A1306,allorders!$AG:$AG,"&lt;="&amp;日期!#REF!,allorders!$AG:$AG,"&gt;="&amp;日期!#REF!)</f>
        <v>0</v>
      </c>
      <c r="C1306" t="e">
        <f>B1306/(日期!#REF!-日期!#REF!+1)</f>
        <v>#REF!</v>
      </c>
    </row>
    <row r="1307" spans="2:3">
      <c r="B1307">
        <f>SUMIFS(allorders!O:O,allorders!L:L,'数据处理(仓储使用)'!$A1307,allorders!$AG:$AG,"&lt;="&amp;日期!#REF!,allorders!$AG:$AG,"&gt;="&amp;日期!#REF!)</f>
        <v>0</v>
      </c>
      <c r="C1307" t="e">
        <f>B1307/(日期!#REF!-日期!#REF!+1)</f>
        <v>#REF!</v>
      </c>
    </row>
    <row r="1308" spans="2:3">
      <c r="B1308">
        <f>SUMIFS(allorders!O:O,allorders!L:L,'数据处理(仓储使用)'!$A1308,allorders!$AG:$AG,"&lt;="&amp;日期!#REF!,allorders!$AG:$AG,"&gt;="&amp;日期!#REF!)</f>
        <v>0</v>
      </c>
      <c r="C1308" t="e">
        <f>B1308/(日期!#REF!-日期!#REF!+1)</f>
        <v>#REF!</v>
      </c>
    </row>
    <row r="1309" spans="2:3">
      <c r="B1309">
        <f>SUMIFS(allorders!O:O,allorders!L:L,'数据处理(仓储使用)'!$A1309,allorders!$AG:$AG,"&lt;="&amp;日期!#REF!,allorders!$AG:$AG,"&gt;="&amp;日期!#REF!)</f>
        <v>0</v>
      </c>
      <c r="C1309" t="e">
        <f>B1309/(日期!#REF!-日期!#REF!+1)</f>
        <v>#REF!</v>
      </c>
    </row>
    <row r="1310" spans="2:3">
      <c r="B1310">
        <f>SUMIFS(allorders!O:O,allorders!L:L,'数据处理(仓储使用)'!$A1310,allorders!$AG:$AG,"&lt;="&amp;日期!#REF!,allorders!$AG:$AG,"&gt;="&amp;日期!#REF!)</f>
        <v>0</v>
      </c>
      <c r="C1310" t="e">
        <f>B1310/(日期!#REF!-日期!#REF!+1)</f>
        <v>#REF!</v>
      </c>
    </row>
    <row r="1311" spans="2:3">
      <c r="B1311">
        <f>SUMIFS(allorders!O:O,allorders!L:L,'数据处理(仓储使用)'!$A1311,allorders!$AG:$AG,"&lt;="&amp;日期!#REF!,allorders!$AG:$AG,"&gt;="&amp;日期!#REF!)</f>
        <v>0</v>
      </c>
      <c r="C1311" t="e">
        <f>B1311/(日期!#REF!-日期!#REF!+1)</f>
        <v>#REF!</v>
      </c>
    </row>
    <row r="1312" spans="2:3">
      <c r="B1312">
        <f>SUMIFS(allorders!O:O,allorders!L:L,'数据处理(仓储使用)'!$A1312,allorders!$AG:$AG,"&lt;="&amp;日期!#REF!,allorders!$AG:$AG,"&gt;="&amp;日期!#REF!)</f>
        <v>0</v>
      </c>
      <c r="C1312" t="e">
        <f>B1312/(日期!#REF!-日期!#REF!+1)</f>
        <v>#REF!</v>
      </c>
    </row>
    <row r="1313" spans="2:3">
      <c r="B1313">
        <f>SUMIFS(allorders!O:O,allorders!L:L,'数据处理(仓储使用)'!$A1313,allorders!$AG:$AG,"&lt;="&amp;日期!#REF!,allorders!$AG:$AG,"&gt;="&amp;日期!#REF!)</f>
        <v>0</v>
      </c>
      <c r="C1313" t="e">
        <f>B1313/(日期!#REF!-日期!#REF!+1)</f>
        <v>#REF!</v>
      </c>
    </row>
    <row r="1314" spans="2:3">
      <c r="B1314">
        <f>SUMIFS(allorders!O:O,allorders!L:L,'数据处理(仓储使用)'!$A1314,allorders!$AG:$AG,"&lt;="&amp;日期!#REF!,allorders!$AG:$AG,"&gt;="&amp;日期!#REF!)</f>
        <v>0</v>
      </c>
      <c r="C1314" t="e">
        <f>B1314/(日期!#REF!-日期!#REF!+1)</f>
        <v>#REF!</v>
      </c>
    </row>
    <row r="1315" spans="2:3">
      <c r="B1315">
        <f>SUMIFS(allorders!O:O,allorders!L:L,'数据处理(仓储使用)'!$A1315,allorders!$AG:$AG,"&lt;="&amp;日期!#REF!,allorders!$AG:$AG,"&gt;="&amp;日期!#REF!)</f>
        <v>0</v>
      </c>
      <c r="C1315" t="e">
        <f>B1315/(日期!#REF!-日期!#REF!+1)</f>
        <v>#REF!</v>
      </c>
    </row>
    <row r="1316" spans="2:3">
      <c r="B1316">
        <f>SUMIFS(allorders!O:O,allorders!L:L,'数据处理(仓储使用)'!$A1316,allorders!$AG:$AG,"&lt;="&amp;日期!#REF!,allorders!$AG:$AG,"&gt;="&amp;日期!#REF!)</f>
        <v>0</v>
      </c>
      <c r="C1316" t="e">
        <f>B1316/(日期!#REF!-日期!#REF!+1)</f>
        <v>#REF!</v>
      </c>
    </row>
    <row r="1317" spans="2:3">
      <c r="B1317">
        <f>SUMIFS(allorders!O:O,allorders!L:L,'数据处理(仓储使用)'!$A1317,allorders!$AG:$AG,"&lt;="&amp;日期!#REF!,allorders!$AG:$AG,"&gt;="&amp;日期!#REF!)</f>
        <v>0</v>
      </c>
      <c r="C1317" t="e">
        <f>B1317/(日期!#REF!-日期!#REF!+1)</f>
        <v>#REF!</v>
      </c>
    </row>
    <row r="1318" spans="2:3">
      <c r="B1318">
        <f>SUMIFS(allorders!O:O,allorders!L:L,'数据处理(仓储使用)'!$A1318,allorders!$AG:$AG,"&lt;="&amp;日期!#REF!,allorders!$AG:$AG,"&gt;="&amp;日期!#REF!)</f>
        <v>0</v>
      </c>
      <c r="C1318" t="e">
        <f>B1318/(日期!#REF!-日期!#REF!+1)</f>
        <v>#REF!</v>
      </c>
    </row>
    <row r="1319" spans="2:3">
      <c r="B1319">
        <f>SUMIFS(allorders!O:O,allorders!L:L,'数据处理(仓储使用)'!$A1319,allorders!$AG:$AG,"&lt;="&amp;日期!#REF!,allorders!$AG:$AG,"&gt;="&amp;日期!#REF!)</f>
        <v>0</v>
      </c>
      <c r="C1319" t="e">
        <f>B1319/(日期!#REF!-日期!#REF!+1)</f>
        <v>#REF!</v>
      </c>
    </row>
    <row r="1320" spans="2:3">
      <c r="B1320">
        <f>SUMIFS(allorders!O:O,allorders!L:L,'数据处理(仓储使用)'!$A1320,allorders!$AG:$AG,"&lt;="&amp;日期!#REF!,allorders!$AG:$AG,"&gt;="&amp;日期!#REF!)</f>
        <v>0</v>
      </c>
      <c r="C1320" t="e">
        <f>B1320/(日期!#REF!-日期!#REF!+1)</f>
        <v>#REF!</v>
      </c>
    </row>
    <row r="1321" spans="2:3">
      <c r="B1321">
        <f>SUMIFS(allorders!O:O,allorders!L:L,'数据处理(仓储使用)'!$A1321,allorders!$AG:$AG,"&lt;="&amp;日期!#REF!,allorders!$AG:$AG,"&gt;="&amp;日期!#REF!)</f>
        <v>0</v>
      </c>
      <c r="C1321" t="e">
        <f>B1321/(日期!#REF!-日期!#REF!+1)</f>
        <v>#REF!</v>
      </c>
    </row>
    <row r="1322" spans="2:3">
      <c r="B1322">
        <f>SUMIFS(allorders!O:O,allorders!L:L,'数据处理(仓储使用)'!$A1322,allorders!$AG:$AG,"&lt;="&amp;日期!#REF!,allorders!$AG:$AG,"&gt;="&amp;日期!#REF!)</f>
        <v>0</v>
      </c>
      <c r="C1322" t="e">
        <f>B1322/(日期!#REF!-日期!#REF!+1)</f>
        <v>#REF!</v>
      </c>
    </row>
    <row r="1323" spans="2:3">
      <c r="B1323">
        <f>SUMIFS(allorders!O:O,allorders!L:L,'数据处理(仓储使用)'!$A1323,allorders!$AG:$AG,"&lt;="&amp;日期!#REF!,allorders!$AG:$AG,"&gt;="&amp;日期!#REF!)</f>
        <v>0</v>
      </c>
      <c r="C1323" t="e">
        <f>B1323/(日期!#REF!-日期!#REF!+1)</f>
        <v>#REF!</v>
      </c>
    </row>
    <row r="1324" spans="2:3">
      <c r="B1324">
        <f>SUMIFS(allorders!O:O,allorders!L:L,'数据处理(仓储使用)'!$A1324,allorders!$AG:$AG,"&lt;="&amp;日期!#REF!,allorders!$AG:$AG,"&gt;="&amp;日期!#REF!)</f>
        <v>0</v>
      </c>
      <c r="C1324" t="e">
        <f>B1324/(日期!#REF!-日期!#REF!+1)</f>
        <v>#REF!</v>
      </c>
    </row>
    <row r="1325" spans="2:3">
      <c r="B1325">
        <f>SUMIFS(allorders!O:O,allorders!L:L,'数据处理(仓储使用)'!$A1325,allorders!$AG:$AG,"&lt;="&amp;日期!#REF!,allorders!$AG:$AG,"&gt;="&amp;日期!#REF!)</f>
        <v>0</v>
      </c>
      <c r="C1325" t="e">
        <f>B1325/(日期!#REF!-日期!#REF!+1)</f>
        <v>#REF!</v>
      </c>
    </row>
    <row r="1326" spans="2:3">
      <c r="B1326">
        <f>SUMIFS(allorders!O:O,allorders!L:L,'数据处理(仓储使用)'!$A1326,allorders!$AG:$AG,"&lt;="&amp;日期!#REF!,allorders!$AG:$AG,"&gt;="&amp;日期!#REF!)</f>
        <v>0</v>
      </c>
      <c r="C1326" t="e">
        <f>B1326/(日期!#REF!-日期!#REF!+1)</f>
        <v>#REF!</v>
      </c>
    </row>
    <row r="1327" spans="2:3">
      <c r="B1327">
        <f>SUMIFS(allorders!O:O,allorders!L:L,'数据处理(仓储使用)'!$A1327,allorders!$AG:$AG,"&lt;="&amp;日期!#REF!,allorders!$AG:$AG,"&gt;="&amp;日期!#REF!)</f>
        <v>0</v>
      </c>
      <c r="C1327" t="e">
        <f>B1327/(日期!#REF!-日期!#REF!+1)</f>
        <v>#REF!</v>
      </c>
    </row>
    <row r="1328" spans="2:3">
      <c r="B1328">
        <f>SUMIFS(allorders!O:O,allorders!L:L,'数据处理(仓储使用)'!$A1328,allorders!$AG:$AG,"&lt;="&amp;日期!#REF!,allorders!$AG:$AG,"&gt;="&amp;日期!#REF!)</f>
        <v>0</v>
      </c>
      <c r="C1328" t="e">
        <f>B1328/(日期!#REF!-日期!#REF!+1)</f>
        <v>#REF!</v>
      </c>
    </row>
    <row r="1329" spans="2:3">
      <c r="B1329">
        <f>SUMIFS(allorders!O:O,allorders!L:L,'数据处理(仓储使用)'!$A1329,allorders!$AG:$AG,"&lt;="&amp;日期!#REF!,allorders!$AG:$AG,"&gt;="&amp;日期!#REF!)</f>
        <v>0</v>
      </c>
      <c r="C1329" t="e">
        <f>B1329/(日期!#REF!-日期!#REF!+1)</f>
        <v>#REF!</v>
      </c>
    </row>
    <row r="1330" spans="2:3">
      <c r="B1330">
        <f>SUMIFS(allorders!O:O,allorders!L:L,'数据处理(仓储使用)'!$A1330,allorders!$AG:$AG,"&lt;="&amp;日期!#REF!,allorders!$AG:$AG,"&gt;="&amp;日期!#REF!)</f>
        <v>0</v>
      </c>
      <c r="C1330" t="e">
        <f>B1330/(日期!#REF!-日期!#REF!+1)</f>
        <v>#REF!</v>
      </c>
    </row>
    <row r="1331" spans="2:3">
      <c r="B1331">
        <f>SUMIFS(allorders!O:O,allorders!L:L,'数据处理(仓储使用)'!$A1331,allorders!$AG:$AG,"&lt;="&amp;日期!#REF!,allorders!$AG:$AG,"&gt;="&amp;日期!#REF!)</f>
        <v>0</v>
      </c>
      <c r="C1331" t="e">
        <f>B1331/(日期!#REF!-日期!#REF!+1)</f>
        <v>#REF!</v>
      </c>
    </row>
    <row r="1332" spans="2:3">
      <c r="B1332">
        <f>SUMIFS(allorders!O:O,allorders!L:L,'数据处理(仓储使用)'!$A1332,allorders!$AG:$AG,"&lt;="&amp;日期!#REF!,allorders!$AG:$AG,"&gt;="&amp;日期!#REF!)</f>
        <v>0</v>
      </c>
      <c r="C1332" t="e">
        <f>B1332/(日期!#REF!-日期!#REF!+1)</f>
        <v>#REF!</v>
      </c>
    </row>
    <row r="1333" spans="2:3">
      <c r="B1333">
        <f>SUMIFS(allorders!O:O,allorders!L:L,'数据处理(仓储使用)'!$A1333,allorders!$AG:$AG,"&lt;="&amp;日期!#REF!,allorders!$AG:$AG,"&gt;="&amp;日期!#REF!)</f>
        <v>0</v>
      </c>
      <c r="C1333" t="e">
        <f>B1333/(日期!#REF!-日期!#REF!+1)</f>
        <v>#REF!</v>
      </c>
    </row>
    <row r="1334" spans="2:3">
      <c r="B1334">
        <f>SUMIFS(allorders!O:O,allorders!L:L,'数据处理(仓储使用)'!$A1334,allorders!$AG:$AG,"&lt;="&amp;日期!#REF!,allorders!$AG:$AG,"&gt;="&amp;日期!#REF!)</f>
        <v>0</v>
      </c>
      <c r="C1334" t="e">
        <f>B1334/(日期!#REF!-日期!#REF!+1)</f>
        <v>#REF!</v>
      </c>
    </row>
    <row r="1335" spans="2:3">
      <c r="B1335">
        <f>SUMIFS(allorders!O:O,allorders!L:L,'数据处理(仓储使用)'!$A1335,allorders!$AG:$AG,"&lt;="&amp;日期!#REF!,allorders!$AG:$AG,"&gt;="&amp;日期!#REF!)</f>
        <v>0</v>
      </c>
      <c r="C1335" t="e">
        <f>B1335/(日期!#REF!-日期!#REF!+1)</f>
        <v>#REF!</v>
      </c>
    </row>
    <row r="1336" spans="2:3">
      <c r="B1336">
        <f>SUMIFS(allorders!O:O,allorders!L:L,'数据处理(仓储使用)'!$A1336,allorders!$AG:$AG,"&lt;="&amp;日期!#REF!,allorders!$AG:$AG,"&gt;="&amp;日期!#REF!)</f>
        <v>0</v>
      </c>
      <c r="C1336" t="e">
        <f>B1336/(日期!#REF!-日期!#REF!+1)</f>
        <v>#REF!</v>
      </c>
    </row>
    <row r="1337" spans="2:3">
      <c r="B1337">
        <f>SUMIFS(allorders!O:O,allorders!L:L,'数据处理(仓储使用)'!$A1337,allorders!$AG:$AG,"&lt;="&amp;日期!#REF!,allorders!$AG:$AG,"&gt;="&amp;日期!#REF!)</f>
        <v>0</v>
      </c>
      <c r="C1337" t="e">
        <f>B1337/(日期!#REF!-日期!#REF!+1)</f>
        <v>#REF!</v>
      </c>
    </row>
    <row r="1338" spans="2:3">
      <c r="B1338">
        <f>SUMIFS(allorders!O:O,allorders!L:L,'数据处理(仓储使用)'!$A1338,allorders!$AG:$AG,"&lt;="&amp;日期!#REF!,allorders!$AG:$AG,"&gt;="&amp;日期!#REF!)</f>
        <v>0</v>
      </c>
      <c r="C1338" t="e">
        <f>B1338/(日期!#REF!-日期!#REF!+1)</f>
        <v>#REF!</v>
      </c>
    </row>
    <row r="1339" spans="2:3">
      <c r="B1339">
        <f>SUMIFS(allorders!O:O,allorders!L:L,'数据处理(仓储使用)'!$A1339,allorders!$AG:$AG,"&lt;="&amp;日期!#REF!,allorders!$AG:$AG,"&gt;="&amp;日期!#REF!)</f>
        <v>0</v>
      </c>
      <c r="C1339" t="e">
        <f>B1339/(日期!#REF!-日期!#REF!+1)</f>
        <v>#REF!</v>
      </c>
    </row>
    <row r="1340" spans="2:3">
      <c r="B1340">
        <f>SUMIFS(allorders!O:O,allorders!L:L,'数据处理(仓储使用)'!$A1340,allorders!$AG:$AG,"&lt;="&amp;日期!#REF!,allorders!$AG:$AG,"&gt;="&amp;日期!#REF!)</f>
        <v>0</v>
      </c>
      <c r="C1340" t="e">
        <f>B1340/(日期!#REF!-日期!#REF!+1)</f>
        <v>#REF!</v>
      </c>
    </row>
    <row r="1341" spans="2:3">
      <c r="B1341">
        <f>SUMIFS(allorders!O:O,allorders!L:L,'数据处理(仓储使用)'!$A1341,allorders!$AG:$AG,"&lt;="&amp;日期!#REF!,allorders!$AG:$AG,"&gt;="&amp;日期!#REF!)</f>
        <v>0</v>
      </c>
      <c r="C1341" t="e">
        <f>B1341/(日期!#REF!-日期!#REF!+1)</f>
        <v>#REF!</v>
      </c>
    </row>
    <row r="1342" spans="2:3">
      <c r="B1342">
        <f>SUMIFS(allorders!O:O,allorders!L:L,'数据处理(仓储使用)'!$A1342,allorders!$AG:$AG,"&lt;="&amp;日期!#REF!,allorders!$AG:$AG,"&gt;="&amp;日期!#REF!)</f>
        <v>0</v>
      </c>
      <c r="C1342" t="e">
        <f>B1342/(日期!#REF!-日期!#REF!+1)</f>
        <v>#REF!</v>
      </c>
    </row>
    <row r="1343" spans="2:3">
      <c r="B1343">
        <f>SUMIFS(allorders!O:O,allorders!L:L,'数据处理(仓储使用)'!$A1343,allorders!$AG:$AG,"&lt;="&amp;日期!#REF!,allorders!$AG:$AG,"&gt;="&amp;日期!#REF!)</f>
        <v>0</v>
      </c>
      <c r="C1343" t="e">
        <f>B1343/(日期!#REF!-日期!#REF!+1)</f>
        <v>#REF!</v>
      </c>
    </row>
    <row r="1344" spans="2:3">
      <c r="B1344">
        <f>SUMIFS(allorders!O:O,allorders!L:L,'数据处理(仓储使用)'!$A1344,allorders!$AG:$AG,"&lt;="&amp;日期!#REF!,allorders!$AG:$AG,"&gt;="&amp;日期!#REF!)</f>
        <v>0</v>
      </c>
      <c r="C1344" t="e">
        <f>B1344/(日期!#REF!-日期!#REF!+1)</f>
        <v>#REF!</v>
      </c>
    </row>
    <row r="1345" spans="2:3">
      <c r="B1345">
        <f>SUMIFS(allorders!O:O,allorders!L:L,'数据处理(仓储使用)'!$A1345,allorders!$AG:$AG,"&lt;="&amp;日期!#REF!,allorders!$AG:$AG,"&gt;="&amp;日期!#REF!)</f>
        <v>0</v>
      </c>
      <c r="C1345" t="e">
        <f>B1345/(日期!#REF!-日期!#REF!+1)</f>
        <v>#REF!</v>
      </c>
    </row>
    <row r="1346" spans="2:3">
      <c r="B1346">
        <f>SUMIFS(allorders!O:O,allorders!L:L,'数据处理(仓储使用)'!$A1346,allorders!$AG:$AG,"&lt;="&amp;日期!#REF!,allorders!$AG:$AG,"&gt;="&amp;日期!#REF!)</f>
        <v>0</v>
      </c>
      <c r="C1346" t="e">
        <f>B1346/(日期!#REF!-日期!#REF!+1)</f>
        <v>#REF!</v>
      </c>
    </row>
    <row r="1347" spans="2:3">
      <c r="B1347">
        <f>SUMIFS(allorders!O:O,allorders!L:L,'数据处理(仓储使用)'!$A1347,allorders!$AG:$AG,"&lt;="&amp;日期!#REF!,allorders!$AG:$AG,"&gt;="&amp;日期!#REF!)</f>
        <v>0</v>
      </c>
      <c r="C1347" t="e">
        <f>B1347/(日期!#REF!-日期!#REF!+1)</f>
        <v>#REF!</v>
      </c>
    </row>
    <row r="1348" spans="2:3">
      <c r="B1348">
        <f>SUMIFS(allorders!O:O,allorders!L:L,'数据处理(仓储使用)'!$A1348,allorders!$AG:$AG,"&lt;="&amp;日期!#REF!,allorders!$AG:$AG,"&gt;="&amp;日期!#REF!)</f>
        <v>0</v>
      </c>
      <c r="C1348" t="e">
        <f>B1348/(日期!#REF!-日期!#REF!+1)</f>
        <v>#REF!</v>
      </c>
    </row>
    <row r="1349" spans="2:3">
      <c r="B1349">
        <f>SUMIFS(allorders!O:O,allorders!L:L,'数据处理(仓储使用)'!$A1349,allorders!$AG:$AG,"&lt;="&amp;日期!#REF!,allorders!$AG:$AG,"&gt;="&amp;日期!#REF!)</f>
        <v>0</v>
      </c>
      <c r="C1349" t="e">
        <f>B1349/(日期!#REF!-日期!#REF!+1)</f>
        <v>#REF!</v>
      </c>
    </row>
    <row r="1350" spans="2:3">
      <c r="B1350">
        <f>SUMIFS(allorders!O:O,allorders!L:L,'数据处理(仓储使用)'!$A1350,allorders!$AG:$AG,"&lt;="&amp;日期!#REF!,allorders!$AG:$AG,"&gt;="&amp;日期!#REF!)</f>
        <v>0</v>
      </c>
      <c r="C1350" t="e">
        <f>B1350/(日期!#REF!-日期!#REF!+1)</f>
        <v>#REF!</v>
      </c>
    </row>
    <row r="1351" spans="2:3">
      <c r="B1351">
        <f>SUMIFS(allorders!O:O,allorders!L:L,'数据处理(仓储使用)'!$A1351,allorders!$AG:$AG,"&lt;="&amp;日期!#REF!,allorders!$AG:$AG,"&gt;="&amp;日期!#REF!)</f>
        <v>0</v>
      </c>
      <c r="C1351" t="e">
        <f>B1351/(日期!#REF!-日期!#REF!+1)</f>
        <v>#REF!</v>
      </c>
    </row>
    <row r="1352" spans="2:3">
      <c r="B1352">
        <f>SUMIFS(allorders!O:O,allorders!L:L,'数据处理(仓储使用)'!$A1352,allorders!$AG:$AG,"&lt;="&amp;日期!#REF!,allorders!$AG:$AG,"&gt;="&amp;日期!#REF!)</f>
        <v>0</v>
      </c>
      <c r="C1352" t="e">
        <f>B1352/(日期!#REF!-日期!#REF!+1)</f>
        <v>#REF!</v>
      </c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I646"/>
  <sheetViews>
    <sheetView workbookViewId="0">
      <selection activeCell="B3" sqref="B3:I103"/>
    </sheetView>
  </sheetViews>
  <sheetFormatPr defaultColWidth="9" defaultRowHeight="14.25"/>
  <cols>
    <col min="1" max="2" width="22.5" customWidth="1"/>
    <col min="7" max="7" width="12.625"/>
    <col min="9" max="9" width="12.625"/>
  </cols>
  <sheetData>
    <row r="1" spans="1:9">
      <c r="A1" t="s">
        <v>11</v>
      </c>
      <c r="B1" t="s">
        <v>3359</v>
      </c>
      <c r="C1" t="s">
        <v>3360</v>
      </c>
      <c r="D1" t="s">
        <v>3361</v>
      </c>
      <c r="E1" t="s">
        <v>3362</v>
      </c>
      <c r="F1" t="s">
        <v>3363</v>
      </c>
      <c r="G1" t="s">
        <v>3364</v>
      </c>
      <c r="H1" t="s">
        <v>3365</v>
      </c>
      <c r="I1" t="s">
        <v>3366</v>
      </c>
    </row>
    <row r="2" s="4" customFormat="1" spans="1:6">
      <c r="A2" s="4" t="s">
        <v>3357</v>
      </c>
      <c r="C2" s="4">
        <f>SUM(C3:C4968)</f>
        <v>155</v>
      </c>
      <c r="D2" s="4">
        <f>SUM(D3:D4968)</f>
        <v>224</v>
      </c>
      <c r="E2" s="4">
        <f>SUM(E3:E4968)</f>
        <v>163</v>
      </c>
      <c r="F2" s="4">
        <f>SUM(F3:F4968)</f>
        <v>156</v>
      </c>
    </row>
    <row r="3" spans="1:9">
      <c r="A3" s="5" t="s">
        <v>40</v>
      </c>
      <c r="B3" t="str">
        <f>VLOOKUP(A3,'[1]子sku-父sku'!$A:$B,2,0)</f>
        <v>YQ-LUHM</v>
      </c>
      <c r="C3">
        <f>SUMIFS(allorders!O:O,allorders!L:L,$A3,allorders!AG:AG,"&lt;="&amp;日期!$B$5,allorders!AG:AG,"&gt;="&amp;日期!$B$6,allorders!Q:Q,"&lt;&gt;"&amp;"",allorders!N:N,"Shipped")</f>
        <v>2</v>
      </c>
      <c r="D3">
        <f>SUMIFS(allorders!$O:$O,allorders!$L:$L,$A3,allorders!$AG:$AG,"&lt;="&amp;日期!$B$7,allorders!$AG:$AG,"&gt;="&amp;日期!$B$8,allorders!Q:Q,"&lt;&gt;"&amp;"",allorders!N:N,"Shipped")</f>
        <v>0</v>
      </c>
      <c r="E3">
        <f>SUMIFS(allorders!$O:$O,allorders!$L:$L,$A3,allorders!$AG:$AG,"&lt;="&amp;日期!$B$9,allorders!$AG:$AG,"&gt;="&amp;日期!$B$10,allorders!Q:Q,"&lt;&gt;"&amp;"",allorders!N:N,"Shipped")</f>
        <v>7</v>
      </c>
      <c r="F3">
        <f>SUMIFS(allorders!$O:$O,allorders!$L:$L,$A3,allorders!$AG:$AG,"&lt;="&amp;日期!$B$11,allorders!$AG:$AG,"&gt;="&amp;日期!$B$12,allorders!Q:Q,"&lt;&gt;"&amp;"",allorders!N:N,"Shipped")</f>
        <v>7</v>
      </c>
      <c r="G3">
        <f>SUMIFS(allorders!Q:Q,allorders!L:L,A3,allorders!AG:AG,"&lt;="&amp;日期!$B$2,allorders!AG:AG,"&gt;="&amp;日期!$B$1,allorders!N:N,"Shipped")/SUM(C3:F3)</f>
        <v>7.9275</v>
      </c>
      <c r="H3">
        <f>SUMIFS(allorders!Q:Q,allorders!L:L,A3,allorders!AG:AG,"&gt;="&amp;日期!$B$1,allorders!AG:AG,"&lt;="&amp;日期!$B$2,allorders!N:N,"Shipped")</f>
        <v>126.84</v>
      </c>
      <c r="I3">
        <f t="shared" ref="I3:I66" si="0">SUM(C3:F3)</f>
        <v>16</v>
      </c>
    </row>
    <row r="4" spans="1:9">
      <c r="A4" s="5" t="s">
        <v>51</v>
      </c>
      <c r="B4" t="str">
        <f>VLOOKUP(A4,'[1]子sku-父sku'!$A:$B,2,0)</f>
        <v>QLQ-LUHM121</v>
      </c>
      <c r="C4">
        <f>SUMIFS(allorders!O:O,allorders!L:L,$A4,allorders!AG:AG,"&lt;="&amp;日期!$B$5,allorders!AG:AG,"&gt;="&amp;日期!$B$6,allorders!Q:Q,"&lt;&gt;"&amp;"",allorders!N:N,"Shipped")</f>
        <v>61</v>
      </c>
      <c r="D4">
        <f>SUMIFS(allorders!$O:$O,allorders!$L:$L,$A4,allorders!$AG:$AG,"&lt;="&amp;日期!$B$7,allorders!$AG:$AG,"&gt;="&amp;日期!$B$8,allorders!Q:Q,"&lt;&gt;"&amp;"",allorders!N:N,"Shipped")</f>
        <v>94</v>
      </c>
      <c r="E4">
        <f>SUMIFS(allorders!$O:$O,allorders!$L:$L,$A4,allorders!$AG:$AG,"&lt;="&amp;日期!$B$9,allorders!$AG:$AG,"&gt;="&amp;日期!$B$10,allorders!Q:Q,"&lt;&gt;"&amp;"",allorders!N:N,"Shipped")</f>
        <v>67</v>
      </c>
      <c r="F4">
        <f>SUMIFS(allorders!$O:$O,allorders!$L:$L,$A4,allorders!$AG:$AG,"&lt;="&amp;日期!$B$11,allorders!$AG:$AG,"&gt;="&amp;日期!$B$12,allorders!Q:Q,"&lt;&gt;"&amp;"",allorders!N:N,"Shipped")</f>
        <v>44</v>
      </c>
      <c r="G4">
        <f>SUMIFS(allorders!Q:Q,allorders!L:L,A4,allorders!AG:AG,"&lt;="&amp;日期!$B$2,allorders!AG:AG,"&gt;="&amp;日期!$B$1,allorders!N:N,"Shipped")/SUM(C4:F4)</f>
        <v>7.47368421052632</v>
      </c>
      <c r="H4">
        <f>SUMIFS(allorders!Q:Q,allorders!L:L,A4,allorders!AG:AG,"&gt;="&amp;日期!$B$1,allorders!AG:AG,"&lt;="&amp;日期!$B$2,allorders!N:N,"Shipped")</f>
        <v>1988</v>
      </c>
      <c r="I4">
        <f t="shared" si="0"/>
        <v>266</v>
      </c>
    </row>
    <row r="5" spans="1:9">
      <c r="A5" s="5" t="s">
        <v>61</v>
      </c>
      <c r="B5" t="str">
        <f>VLOOKUP(A5,'[1]子sku-父sku'!$A:$B,2,0)</f>
        <v>XQ-LUHM089</v>
      </c>
      <c r="C5">
        <f>SUMIFS(allorders!O:O,allorders!L:L,$A5,allorders!AG:AG,"&lt;="&amp;日期!$B$5,allorders!AG:AG,"&gt;="&amp;日期!$B$6,allorders!Q:Q,"&lt;&gt;"&amp;"",allorders!N:N,"Shipped")</f>
        <v>0</v>
      </c>
      <c r="D5">
        <f>SUMIFS(allorders!$O:$O,allorders!$L:$L,$A5,allorders!$AG:$AG,"&lt;="&amp;日期!$B$7,allorders!$AG:$AG,"&gt;="&amp;日期!$B$8,allorders!Q:Q,"&lt;&gt;"&amp;"",allorders!N:N,"Shipped")</f>
        <v>0</v>
      </c>
      <c r="E5">
        <f>SUMIFS(allorders!$O:$O,allorders!$L:$L,$A5,allorders!$AG:$AG,"&lt;="&amp;日期!$B$9,allorders!$AG:$AG,"&gt;="&amp;日期!$B$10,allorders!Q:Q,"&lt;&gt;"&amp;"",allorders!N:N,"Shipped")</f>
        <v>0</v>
      </c>
      <c r="F5">
        <f>SUMIFS(allorders!$O:$O,allorders!$L:$L,$A5,allorders!$AG:$AG,"&lt;="&amp;日期!$B$11,allorders!$AG:$AG,"&gt;="&amp;日期!$B$12,allorders!Q:Q,"&lt;&gt;"&amp;"",allorders!N:N,"Shipped")</f>
        <v>2</v>
      </c>
      <c r="G5">
        <f>SUMIFS(allorders!Q:Q,allorders!L:L,A5,allorders!AG:AG,"&lt;="&amp;日期!$B$2,allorders!AG:AG,"&gt;="&amp;日期!$B$1,allorders!N:N,"Shipped")/SUM(C5:F5)</f>
        <v>9.99</v>
      </c>
      <c r="H5">
        <f>SUMIFS(allorders!Q:Q,allorders!L:L,A5,allorders!AG:AG,"&gt;="&amp;日期!$B$1,allorders!AG:AG,"&lt;="&amp;日期!$B$2,allorders!N:N,"Shipped")</f>
        <v>19.98</v>
      </c>
      <c r="I5">
        <f t="shared" si="0"/>
        <v>2</v>
      </c>
    </row>
    <row r="6" spans="1:9">
      <c r="A6" s="5" t="s">
        <v>70</v>
      </c>
      <c r="B6" t="str">
        <f>VLOOKUP(A6,'[1]子sku-父sku'!$A:$B,2,0)</f>
        <v>SDSZH</v>
      </c>
      <c r="C6">
        <f>SUMIFS(allorders!O:O,allorders!L:L,$A6,allorders!AG:AG,"&lt;="&amp;日期!$B$5,allorders!AG:AG,"&gt;="&amp;日期!$B$6,allorders!Q:Q,"&lt;&gt;"&amp;"",allorders!N:N,"Shipped")</f>
        <v>0</v>
      </c>
      <c r="D6">
        <f>SUMIFS(allorders!$O:$O,allorders!$L:$L,$A6,allorders!$AG:$AG,"&lt;="&amp;日期!$B$7,allorders!$AG:$AG,"&gt;="&amp;日期!$B$8,allorders!Q:Q,"&lt;&gt;"&amp;"",allorders!N:N,"Shipped")</f>
        <v>0</v>
      </c>
      <c r="E6">
        <f>SUMIFS(allorders!$O:$O,allorders!$L:$L,$A6,allorders!$AG:$AG,"&lt;="&amp;日期!$B$9,allorders!$AG:$AG,"&gt;="&amp;日期!$B$10,allorders!Q:Q,"&lt;&gt;"&amp;"",allorders!N:N,"Shipped")</f>
        <v>0</v>
      </c>
      <c r="F6">
        <f>SUMIFS(allorders!$O:$O,allorders!$L:$L,$A6,allorders!$AG:$AG,"&lt;="&amp;日期!$B$11,allorders!$AG:$AG,"&gt;="&amp;日期!$B$12,allorders!Q:Q,"&lt;&gt;"&amp;"",allorders!N:N,"Shipped")</f>
        <v>1</v>
      </c>
      <c r="G6">
        <f>SUMIFS(allorders!Q:Q,allorders!L:L,A6,allorders!AG:AG,"&lt;="&amp;日期!$B$2,allorders!AG:AG,"&gt;="&amp;日期!$B$1,allorders!N:N,"Shipped")/SUM(C6:F6)</f>
        <v>15.92</v>
      </c>
      <c r="H6">
        <f>SUMIFS(allorders!Q:Q,allorders!L:L,A6,allorders!AG:AG,"&gt;="&amp;日期!$B$1,allorders!AG:AG,"&lt;="&amp;日期!$B$2,allorders!N:N,"Shipped")</f>
        <v>15.92</v>
      </c>
      <c r="I6">
        <f t="shared" si="0"/>
        <v>1</v>
      </c>
    </row>
    <row r="7" spans="1:9">
      <c r="A7" s="5" t="s">
        <v>78</v>
      </c>
      <c r="B7" t="str">
        <f>VLOOKUP(A7,'[1]子sku-父sku'!$A:$B,2,0)</f>
        <v>BLT-WF125</v>
      </c>
      <c r="C7">
        <f>SUMIFS(allorders!O:O,allorders!L:L,$A7,allorders!AG:AG,"&lt;="&amp;日期!$B$5,allorders!AG:AG,"&gt;="&amp;日期!$B$6,allorders!Q:Q,"&lt;&gt;"&amp;"",allorders!N:N,"Shipped")</f>
        <v>0</v>
      </c>
      <c r="D7">
        <f>SUMIFS(allorders!$O:$O,allorders!$L:$L,$A7,allorders!$AG:$AG,"&lt;="&amp;日期!$B$7,allorders!$AG:$AG,"&gt;="&amp;日期!$B$8,allorders!Q:Q,"&lt;&gt;"&amp;"",allorders!N:N,"Shipped")</f>
        <v>3</v>
      </c>
      <c r="E7">
        <f>SUMIFS(allorders!$O:$O,allorders!$L:$L,$A7,allorders!$AG:$AG,"&lt;="&amp;日期!$B$9,allorders!$AG:$AG,"&gt;="&amp;日期!$B$10,allorders!Q:Q,"&lt;&gt;"&amp;"",allorders!N:N,"Shipped")</f>
        <v>0</v>
      </c>
      <c r="F7">
        <f>SUMIFS(allorders!$O:$O,allorders!$L:$L,$A7,allorders!$AG:$AG,"&lt;="&amp;日期!$B$11,allorders!$AG:$AG,"&gt;="&amp;日期!$B$12,allorders!Q:Q,"&lt;&gt;"&amp;"",allorders!N:N,"Shipped")</f>
        <v>3</v>
      </c>
      <c r="G7">
        <f>SUMIFS(allorders!Q:Q,allorders!L:L,A7,allorders!AG:AG,"&lt;="&amp;日期!$B$2,allorders!AG:AG,"&gt;="&amp;日期!$B$1,allorders!N:N,"Shipped")/SUM(C7:F7)</f>
        <v>9.49</v>
      </c>
      <c r="H7">
        <f>SUMIFS(allorders!Q:Q,allorders!L:L,A7,allorders!AG:AG,"&gt;="&amp;日期!$B$1,allorders!AG:AG,"&lt;="&amp;日期!$B$2,allorders!N:N,"Shipped")</f>
        <v>56.94</v>
      </c>
      <c r="I7">
        <f t="shared" si="0"/>
        <v>6</v>
      </c>
    </row>
    <row r="8" spans="1:9">
      <c r="A8" s="5" t="s">
        <v>87</v>
      </c>
      <c r="B8" t="str">
        <f>VLOOKUP(A8,'[1]子sku-父sku'!$A:$B,2,0)</f>
        <v>ZYL-FLQ06</v>
      </c>
      <c r="C8">
        <f>SUMIFS(allorders!O:O,allorders!L:L,$A8,allorders!AG:AG,"&lt;="&amp;日期!$B$5,allorders!AG:AG,"&gt;="&amp;日期!$B$6,allorders!Q:Q,"&lt;&gt;"&amp;"",allorders!N:N,"Shipped")</f>
        <v>2</v>
      </c>
      <c r="D8">
        <f>SUMIFS(allorders!$O:$O,allorders!$L:$L,$A8,allorders!$AG:$AG,"&lt;="&amp;日期!$B$7,allorders!$AG:$AG,"&gt;="&amp;日期!$B$8,allorders!Q:Q,"&lt;&gt;"&amp;"",allorders!N:N,"Shipped")</f>
        <v>0</v>
      </c>
      <c r="E8">
        <f>SUMIFS(allorders!$O:$O,allorders!$L:$L,$A8,allorders!$AG:$AG,"&lt;="&amp;日期!$B$9,allorders!$AG:$AG,"&gt;="&amp;日期!$B$10,allorders!Q:Q,"&lt;&gt;"&amp;"",allorders!N:N,"Shipped")</f>
        <v>2</v>
      </c>
      <c r="F8">
        <f>SUMIFS(allorders!$O:$O,allorders!$L:$L,$A8,allorders!$AG:$AG,"&lt;="&amp;日期!$B$11,allorders!$AG:$AG,"&gt;="&amp;日期!$B$12,allorders!Q:Q,"&lt;&gt;"&amp;"",allorders!N:N,"Shipped")</f>
        <v>2</v>
      </c>
      <c r="G8">
        <f>SUMIFS(allorders!Q:Q,allorders!L:L,A8,allorders!AG:AG,"&lt;="&amp;日期!$B$2,allorders!AG:AG,"&gt;="&amp;日期!$B$1,allorders!N:N,"Shipped")/SUM(C8:F8)</f>
        <v>14.99</v>
      </c>
      <c r="H8">
        <f>SUMIFS(allorders!Q:Q,allorders!L:L,A8,allorders!AG:AG,"&gt;="&amp;日期!$B$1,allorders!AG:AG,"&lt;="&amp;日期!$B$2,allorders!N:N,"Shipped")</f>
        <v>89.94</v>
      </c>
      <c r="I8">
        <f t="shared" si="0"/>
        <v>6</v>
      </c>
    </row>
    <row r="9" spans="1:9">
      <c r="A9" s="5" t="s">
        <v>95</v>
      </c>
      <c r="B9" t="str">
        <f>VLOOKUP(A9,'[1]子sku-父sku'!$A:$B,2,0)</f>
        <v>ZYL-FLQ06</v>
      </c>
      <c r="C9">
        <f>SUMIFS(allorders!O:O,allorders!L:L,$A9,allorders!AG:AG,"&lt;="&amp;日期!$B$5,allorders!AG:AG,"&gt;="&amp;日期!$B$6,allorders!Q:Q,"&lt;&gt;"&amp;"",allorders!N:N,"Shipped")</f>
        <v>15</v>
      </c>
      <c r="D9">
        <f>SUMIFS(allorders!$O:$O,allorders!$L:$L,$A9,allorders!$AG:$AG,"&lt;="&amp;日期!$B$7,allorders!$AG:$AG,"&gt;="&amp;日期!$B$8,allorders!Q:Q,"&lt;&gt;"&amp;"",allorders!N:N,"Shipped")</f>
        <v>14</v>
      </c>
      <c r="E9">
        <f>SUMIFS(allorders!$O:$O,allorders!$L:$L,$A9,allorders!$AG:$AG,"&lt;="&amp;日期!$B$9,allorders!$AG:$AG,"&gt;="&amp;日期!$B$10,allorders!Q:Q,"&lt;&gt;"&amp;"",allorders!N:N,"Shipped")</f>
        <v>17</v>
      </c>
      <c r="F9">
        <f>SUMIFS(allorders!$O:$O,allorders!$L:$L,$A9,allorders!$AG:$AG,"&lt;="&amp;日期!$B$11,allorders!$AG:$AG,"&gt;="&amp;日期!$B$12,allorders!Q:Q,"&lt;&gt;"&amp;"",allorders!N:N,"Shipped")</f>
        <v>10</v>
      </c>
      <c r="G9">
        <f>SUMIFS(allorders!Q:Q,allorders!L:L,A9,allorders!AG:AG,"&lt;="&amp;日期!$B$2,allorders!AG:AG,"&gt;="&amp;日期!$B$1,allorders!N:N,"Shipped")/SUM(C9:F9)</f>
        <v>15.2578571428571</v>
      </c>
      <c r="H9">
        <f>SUMIFS(allorders!Q:Q,allorders!L:L,A9,allorders!AG:AG,"&gt;="&amp;日期!$B$1,allorders!AG:AG,"&lt;="&amp;日期!$B$2,allorders!N:N,"Shipped")</f>
        <v>854.44</v>
      </c>
      <c r="I9">
        <f t="shared" si="0"/>
        <v>56</v>
      </c>
    </row>
    <row r="10" spans="1:9">
      <c r="A10" s="5" t="s">
        <v>104</v>
      </c>
      <c r="B10" t="str">
        <f>VLOOKUP(A10,'[1]子sku-父sku'!$A:$B,2,0)</f>
        <v>CQC-WF6346</v>
      </c>
      <c r="C10">
        <f>SUMIFS(allorders!O:O,allorders!L:L,$A10,allorders!AG:AG,"&lt;="&amp;日期!$B$5,allorders!AG:AG,"&gt;="&amp;日期!$B$6,allorders!Q:Q,"&lt;&gt;"&amp;"",allorders!N:N,"Shipped")</f>
        <v>0</v>
      </c>
      <c r="D10">
        <f>SUMIFS(allorders!$O:$O,allorders!$L:$L,$A10,allorders!$AG:$AG,"&lt;="&amp;日期!$B$7,allorders!$AG:$AG,"&gt;="&amp;日期!$B$8,allorders!Q:Q,"&lt;&gt;"&amp;"",allorders!N:N,"Shipped")</f>
        <v>0</v>
      </c>
      <c r="E10">
        <f>SUMIFS(allorders!$O:$O,allorders!$L:$L,$A10,allorders!$AG:$AG,"&lt;="&amp;日期!$B$9,allorders!$AG:$AG,"&gt;="&amp;日期!$B$10,allorders!Q:Q,"&lt;&gt;"&amp;"",allorders!N:N,"Shipped")</f>
        <v>0</v>
      </c>
      <c r="F10">
        <f>SUMIFS(allorders!$O:$O,allorders!$L:$L,$A10,allorders!$AG:$AG,"&lt;="&amp;日期!$B$11,allorders!$AG:$AG,"&gt;="&amp;日期!$B$12,allorders!Q:Q,"&lt;&gt;"&amp;"",allorders!N:N,"Shipped")</f>
        <v>4</v>
      </c>
      <c r="G10">
        <f>SUMIFS(allorders!Q:Q,allorders!L:L,A10,allorders!AG:AG,"&lt;="&amp;日期!$B$2,allorders!AG:AG,"&gt;="&amp;日期!$B$1,allorders!N:N,"Shipped")/SUM(C10:F10)</f>
        <v>12.99</v>
      </c>
      <c r="H10">
        <f>SUMIFS(allorders!Q:Q,allorders!L:L,A10,allorders!AG:AG,"&gt;="&amp;日期!$B$1,allorders!AG:AG,"&lt;="&amp;日期!$B$2,allorders!N:N,"Shipped")</f>
        <v>51.96</v>
      </c>
      <c r="I10">
        <f t="shared" si="0"/>
        <v>4</v>
      </c>
    </row>
    <row r="11" spans="1:9">
      <c r="A11" s="5" t="s">
        <v>109</v>
      </c>
      <c r="B11" t="str">
        <f>VLOOKUP(A11,'[1]子sku-父sku'!$A:$B,2,0)</f>
        <v>CQC-WF6346</v>
      </c>
      <c r="C11">
        <f>SUMIFS(allorders!O:O,allorders!L:L,$A11,allorders!AG:AG,"&lt;="&amp;日期!$B$5,allorders!AG:AG,"&gt;="&amp;日期!$B$6,allorders!Q:Q,"&lt;&gt;"&amp;"",allorders!N:N,"Shipped")</f>
        <v>0</v>
      </c>
      <c r="D11">
        <f>SUMIFS(allorders!$O:$O,allorders!$L:$L,$A11,allorders!$AG:$AG,"&lt;="&amp;日期!$B$7,allorders!$AG:$AG,"&gt;="&amp;日期!$B$8,allorders!Q:Q,"&lt;&gt;"&amp;"",allorders!N:N,"Shipped")</f>
        <v>0</v>
      </c>
      <c r="E11">
        <f>SUMIFS(allorders!$O:$O,allorders!$L:$L,$A11,allorders!$AG:$AG,"&lt;="&amp;日期!$B$9,allorders!$AG:$AG,"&gt;="&amp;日期!$B$10,allorders!Q:Q,"&lt;&gt;"&amp;"",allorders!N:N,"Shipped")</f>
        <v>0</v>
      </c>
      <c r="F11">
        <f>SUMIFS(allorders!$O:$O,allorders!$L:$L,$A11,allorders!$AG:$AG,"&lt;="&amp;日期!$B$11,allorders!$AG:$AG,"&gt;="&amp;日期!$B$12,allorders!Q:Q,"&lt;&gt;"&amp;"",allorders!N:N,"Shipped")</f>
        <v>1</v>
      </c>
      <c r="G11">
        <f>SUMIFS(allorders!Q:Q,allorders!L:L,A11,allorders!AG:AG,"&lt;="&amp;日期!$B$2,allorders!AG:AG,"&gt;="&amp;日期!$B$1,allorders!N:N,"Shipped")/SUM(C11:F11)</f>
        <v>12.99</v>
      </c>
      <c r="H11">
        <f>SUMIFS(allorders!Q:Q,allorders!L:L,A11,allorders!AG:AG,"&gt;="&amp;日期!$B$1,allorders!AG:AG,"&lt;="&amp;日期!$B$2,allorders!N:N,"Shipped")</f>
        <v>12.99</v>
      </c>
      <c r="I11">
        <f t="shared" si="0"/>
        <v>1</v>
      </c>
    </row>
    <row r="12" spans="1:9">
      <c r="A12" s="5" t="s">
        <v>115</v>
      </c>
      <c r="B12" t="str">
        <f>VLOOKUP(A12,'[1]子sku-父sku'!$A:$B,2,0)</f>
        <v>XK-YIWUJS2</v>
      </c>
      <c r="C12">
        <f>SUMIFS(allorders!O:O,allorders!L:L,$A12,allorders!AG:AG,"&lt;="&amp;日期!$B$5,allorders!AG:AG,"&gt;="&amp;日期!$B$6,allorders!Q:Q,"&lt;&gt;"&amp;"",allorders!N:N,"Shipped")</f>
        <v>4</v>
      </c>
      <c r="D12">
        <f>SUMIFS(allorders!$O:$O,allorders!$L:$L,$A12,allorders!$AG:$AG,"&lt;="&amp;日期!$B$7,allorders!$AG:$AG,"&gt;="&amp;日期!$B$8,allorders!Q:Q,"&lt;&gt;"&amp;"",allorders!N:N,"Shipped")</f>
        <v>5</v>
      </c>
      <c r="E12">
        <f>SUMIFS(allorders!$O:$O,allorders!$L:$L,$A12,allorders!$AG:$AG,"&lt;="&amp;日期!$B$9,allorders!$AG:$AG,"&gt;="&amp;日期!$B$10,allorders!Q:Q,"&lt;&gt;"&amp;"",allorders!N:N,"Shipped")</f>
        <v>1</v>
      </c>
      <c r="F12">
        <f>SUMIFS(allorders!$O:$O,allorders!$L:$L,$A12,allorders!$AG:$AG,"&lt;="&amp;日期!$B$11,allorders!$AG:$AG,"&gt;="&amp;日期!$B$12,allorders!Q:Q,"&lt;&gt;"&amp;"",allorders!N:N,"Shipped")</f>
        <v>9</v>
      </c>
      <c r="G12">
        <f>SUMIFS(allorders!Q:Q,allorders!L:L,A12,allorders!AG:AG,"&lt;="&amp;日期!$B$2,allorders!AG:AG,"&gt;="&amp;日期!$B$1,allorders!N:N,"Shipped")/SUM(C12:F12)</f>
        <v>13.99</v>
      </c>
      <c r="H12">
        <f>SUMIFS(allorders!Q:Q,allorders!L:L,A12,allorders!AG:AG,"&gt;="&amp;日期!$B$1,allorders!AG:AG,"&lt;="&amp;日期!$B$2,allorders!N:N,"Shipped")</f>
        <v>265.81</v>
      </c>
      <c r="I12">
        <f t="shared" si="0"/>
        <v>19</v>
      </c>
    </row>
    <row r="13" spans="1:9">
      <c r="A13" s="5" t="s">
        <v>124</v>
      </c>
      <c r="B13" t="str">
        <f>VLOOKUP(A13,'[1]子sku-父sku'!$A:$B,2,0)</f>
        <v>BD-LUHM001</v>
      </c>
      <c r="C13">
        <f>SUMIFS(allorders!O:O,allorders!L:L,$A13,allorders!AG:AG,"&lt;="&amp;日期!$B$5,allorders!AG:AG,"&gt;="&amp;日期!$B$6,allorders!Q:Q,"&lt;&gt;"&amp;"",allorders!N:N,"Shipped")</f>
        <v>0</v>
      </c>
      <c r="D13">
        <f>SUMIFS(allorders!$O:$O,allorders!$L:$L,$A13,allorders!$AG:$AG,"&lt;="&amp;日期!$B$7,allorders!$AG:$AG,"&gt;="&amp;日期!$B$8,allorders!Q:Q,"&lt;&gt;"&amp;"",allorders!N:N,"Shipped")</f>
        <v>0</v>
      </c>
      <c r="E13">
        <f>SUMIFS(allorders!$O:$O,allorders!$L:$L,$A13,allorders!$AG:$AG,"&lt;="&amp;日期!$B$9,allorders!$AG:$AG,"&gt;="&amp;日期!$B$10,allorders!Q:Q,"&lt;&gt;"&amp;"",allorders!N:N,"Shipped")</f>
        <v>0</v>
      </c>
      <c r="F13">
        <f>SUMIFS(allorders!$O:$O,allorders!$L:$L,$A13,allorders!$AG:$AG,"&lt;="&amp;日期!$B$11,allorders!$AG:$AG,"&gt;="&amp;日期!$B$12,allorders!Q:Q,"&lt;&gt;"&amp;"",allorders!N:N,"Shipped")</f>
        <v>4</v>
      </c>
      <c r="G13">
        <f>SUMIFS(allorders!Q:Q,allorders!L:L,A13,allorders!AG:AG,"&lt;="&amp;日期!$B$2,allorders!AG:AG,"&gt;="&amp;日期!$B$1,allorders!N:N,"Shipped")/SUM(C13:F13)</f>
        <v>9.99</v>
      </c>
      <c r="H13">
        <f>SUMIFS(allorders!Q:Q,allorders!L:L,A13,allorders!AG:AG,"&gt;="&amp;日期!$B$1,allorders!AG:AG,"&lt;="&amp;日期!$B$2,allorders!N:N,"Shipped")</f>
        <v>39.96</v>
      </c>
      <c r="I13">
        <f t="shared" si="0"/>
        <v>4</v>
      </c>
    </row>
    <row r="14" spans="1:9">
      <c r="A14" s="5" t="s">
        <v>145</v>
      </c>
      <c r="B14" t="str">
        <f>VLOOKUP(A14,'[1]子sku-父sku'!$A:$B,2,0)</f>
        <v>BLT-WF125</v>
      </c>
      <c r="C14">
        <f>SUMIFS(allorders!O:O,allorders!L:L,$A14,allorders!AG:AG,"&lt;="&amp;日期!$B$5,allorders!AG:AG,"&gt;="&amp;日期!$B$6,allorders!Q:Q,"&lt;&gt;"&amp;"",allorders!N:N,"Shipped")</f>
        <v>1</v>
      </c>
      <c r="D14">
        <f>SUMIFS(allorders!$O:$O,allorders!$L:$L,$A14,allorders!$AG:$AG,"&lt;="&amp;日期!$B$7,allorders!$AG:$AG,"&gt;="&amp;日期!$B$8,allorders!Q:Q,"&lt;&gt;"&amp;"",allorders!N:N,"Shipped")</f>
        <v>0</v>
      </c>
      <c r="E14">
        <f>SUMIFS(allorders!$O:$O,allorders!$L:$L,$A14,allorders!$AG:$AG,"&lt;="&amp;日期!$B$9,allorders!$AG:$AG,"&gt;="&amp;日期!$B$10,allorders!Q:Q,"&lt;&gt;"&amp;"",allorders!N:N,"Shipped")</f>
        <v>0</v>
      </c>
      <c r="F14">
        <f>SUMIFS(allorders!$O:$O,allorders!$L:$L,$A14,allorders!$AG:$AG,"&lt;="&amp;日期!$B$11,allorders!$AG:$AG,"&gt;="&amp;日期!$B$12,allorders!Q:Q,"&lt;&gt;"&amp;"",allorders!N:N,"Shipped")</f>
        <v>1</v>
      </c>
      <c r="G14">
        <f>SUMIFS(allorders!Q:Q,allorders!L:L,A14,allorders!AG:AG,"&lt;="&amp;日期!$B$2,allorders!AG:AG,"&gt;="&amp;日期!$B$1,allorders!N:N,"Shipped")/SUM(C14:F14)</f>
        <v>8.99</v>
      </c>
      <c r="H14">
        <f>SUMIFS(allorders!Q:Q,allorders!L:L,A14,allorders!AG:AG,"&gt;="&amp;日期!$B$1,allorders!AG:AG,"&lt;="&amp;日期!$B$2,allorders!N:N,"Shipped")</f>
        <v>17.98</v>
      </c>
      <c r="I14">
        <f t="shared" si="0"/>
        <v>2</v>
      </c>
    </row>
    <row r="15" spans="1:9">
      <c r="A15" s="5" t="s">
        <v>159</v>
      </c>
      <c r="B15" t="str">
        <f>VLOOKUP(A15,'[1]子sku-父sku'!$A:$B,2,0)</f>
        <v>GT-WFTFGT200</v>
      </c>
      <c r="C15">
        <f>SUMIFS(allorders!O:O,allorders!L:L,$A15,allorders!AG:AG,"&lt;="&amp;日期!$B$5,allorders!AG:AG,"&gt;="&amp;日期!$B$6,allorders!Q:Q,"&lt;&gt;"&amp;"",allorders!N:N,"Shipped")</f>
        <v>0</v>
      </c>
      <c r="D15">
        <f>SUMIFS(allorders!$O:$O,allorders!$L:$L,$A15,allorders!$AG:$AG,"&lt;="&amp;日期!$B$7,allorders!$AG:$AG,"&gt;="&amp;日期!$B$8,allorders!Q:Q,"&lt;&gt;"&amp;"",allorders!N:N,"Shipped")</f>
        <v>0</v>
      </c>
      <c r="E15">
        <f>SUMIFS(allorders!$O:$O,allorders!$L:$L,$A15,allorders!$AG:$AG,"&lt;="&amp;日期!$B$9,allorders!$AG:$AG,"&gt;="&amp;日期!$B$10,allorders!Q:Q,"&lt;&gt;"&amp;"",allorders!N:N,"Shipped")</f>
        <v>0</v>
      </c>
      <c r="F15">
        <f>SUMIFS(allorders!$O:$O,allorders!$L:$L,$A15,allorders!$AG:$AG,"&lt;="&amp;日期!$B$11,allorders!$AG:$AG,"&gt;="&amp;日期!$B$12,allorders!Q:Q,"&lt;&gt;"&amp;"",allorders!N:N,"Shipped")</f>
        <v>1</v>
      </c>
      <c r="G15">
        <f>SUMIFS(allorders!Q:Q,allorders!L:L,A15,allorders!AG:AG,"&lt;="&amp;日期!$B$2,allorders!AG:AG,"&gt;="&amp;日期!$B$1,allorders!N:N,"Shipped")/SUM(C15:F15)</f>
        <v>13.99</v>
      </c>
      <c r="H15">
        <f>SUMIFS(allorders!Q:Q,allorders!L:L,A15,allorders!AG:AG,"&gt;="&amp;日期!$B$1,allorders!AG:AG,"&lt;="&amp;日期!$B$2,allorders!N:N,"Shipped")</f>
        <v>13.99</v>
      </c>
      <c r="I15">
        <f t="shared" si="0"/>
        <v>1</v>
      </c>
    </row>
    <row r="16" spans="1:9">
      <c r="A16" s="5" t="s">
        <v>168</v>
      </c>
      <c r="B16" t="str">
        <f>VLOOKUP(A16,'[1]子sku-父sku'!$A:$B,2,0)</f>
        <v>ZDD-FLQ08</v>
      </c>
      <c r="C16">
        <f>SUMIFS(allorders!O:O,allorders!L:L,$A16,allorders!AG:AG,"&lt;="&amp;日期!$B$5,allorders!AG:AG,"&gt;="&amp;日期!$B$6,allorders!Q:Q,"&lt;&gt;"&amp;"",allorders!N:N,"Shipped")</f>
        <v>2</v>
      </c>
      <c r="D16">
        <f>SUMIFS(allorders!$O:$O,allorders!$L:$L,$A16,allorders!$AG:$AG,"&lt;="&amp;日期!$B$7,allorders!$AG:$AG,"&gt;="&amp;日期!$B$8,allorders!Q:Q,"&lt;&gt;"&amp;"",allorders!N:N,"Shipped")</f>
        <v>0</v>
      </c>
      <c r="E16">
        <f>SUMIFS(allorders!$O:$O,allorders!$L:$L,$A16,allorders!$AG:$AG,"&lt;="&amp;日期!$B$9,allorders!$AG:$AG,"&gt;="&amp;日期!$B$10,allorders!Q:Q,"&lt;&gt;"&amp;"",allorders!N:N,"Shipped")</f>
        <v>0</v>
      </c>
      <c r="F16">
        <f>SUMIFS(allorders!$O:$O,allorders!$L:$L,$A16,allorders!$AG:$AG,"&lt;="&amp;日期!$B$11,allorders!$AG:$AG,"&gt;="&amp;日期!$B$12,allorders!Q:Q,"&lt;&gt;"&amp;"",allorders!N:N,"Shipped")</f>
        <v>2</v>
      </c>
      <c r="G16">
        <f>SUMIFS(allorders!Q:Q,allorders!L:L,A16,allorders!AG:AG,"&lt;="&amp;日期!$B$2,allorders!AG:AG,"&gt;="&amp;日期!$B$1,allorders!N:N,"Shipped")/SUM(C16:F16)</f>
        <v>15.99</v>
      </c>
      <c r="H16">
        <f>SUMIFS(allorders!Q:Q,allorders!L:L,A16,allorders!AG:AG,"&gt;="&amp;日期!$B$1,allorders!AG:AG,"&lt;="&amp;日期!$B$2,allorders!N:N,"Shipped")</f>
        <v>63.96</v>
      </c>
      <c r="I16">
        <f t="shared" si="0"/>
        <v>4</v>
      </c>
    </row>
    <row r="17" spans="1:9">
      <c r="A17" s="5" t="s">
        <v>188</v>
      </c>
      <c r="B17" t="str">
        <f>VLOOKUP(A17,'[1]子sku-父sku'!$A:$B,2,0)</f>
        <v>BDB-WF212</v>
      </c>
      <c r="C17">
        <f>SUMIFS(allorders!O:O,allorders!L:L,$A17,allorders!AG:AG,"&lt;="&amp;日期!$B$5,allorders!AG:AG,"&gt;="&amp;日期!$B$6,allorders!Q:Q,"&lt;&gt;"&amp;"",allorders!N:N,"Shipped")</f>
        <v>0</v>
      </c>
      <c r="D17">
        <f>SUMIFS(allorders!$O:$O,allorders!$L:$L,$A17,allorders!$AG:$AG,"&lt;="&amp;日期!$B$7,allorders!$AG:$AG,"&gt;="&amp;日期!$B$8,allorders!Q:Q,"&lt;&gt;"&amp;"",allorders!N:N,"Shipped")</f>
        <v>0</v>
      </c>
      <c r="E17">
        <f>SUMIFS(allorders!$O:$O,allorders!$L:$L,$A17,allorders!$AG:$AG,"&lt;="&amp;日期!$B$9,allorders!$AG:$AG,"&gt;="&amp;日期!$B$10,allorders!Q:Q,"&lt;&gt;"&amp;"",allorders!N:N,"Shipped")</f>
        <v>0</v>
      </c>
      <c r="F17">
        <f>SUMIFS(allorders!$O:$O,allorders!$L:$L,$A17,allorders!$AG:$AG,"&lt;="&amp;日期!$B$11,allorders!$AG:$AG,"&gt;="&amp;日期!$B$12,allorders!Q:Q,"&lt;&gt;"&amp;"",allorders!N:N,"Shipped")</f>
        <v>4</v>
      </c>
      <c r="G17">
        <f>SUMIFS(allorders!Q:Q,allorders!L:L,A17,allorders!AG:AG,"&lt;="&amp;日期!$B$2,allorders!AG:AG,"&gt;="&amp;日期!$B$1,allorders!N:N,"Shipped")/SUM(C17:F17)</f>
        <v>9.24</v>
      </c>
      <c r="H17">
        <f>SUMIFS(allorders!Q:Q,allorders!L:L,A17,allorders!AG:AG,"&gt;="&amp;日期!$B$1,allorders!AG:AG,"&lt;="&amp;日期!$B$2,allorders!N:N,"Shipped")</f>
        <v>36.96</v>
      </c>
      <c r="I17">
        <f t="shared" si="0"/>
        <v>4</v>
      </c>
    </row>
    <row r="18" spans="1:9">
      <c r="A18" s="5" t="s">
        <v>208</v>
      </c>
      <c r="B18" t="str">
        <f>VLOOKUP(A18,'[1]子sku-父sku'!$A:$B,2,0)</f>
        <v>WY-WF1225</v>
      </c>
      <c r="C18">
        <f>SUMIFS(allorders!O:O,allorders!L:L,$A18,allorders!AG:AG,"&lt;="&amp;日期!$B$5,allorders!AG:AG,"&gt;="&amp;日期!$B$6,allorders!Q:Q,"&lt;&gt;"&amp;"",allorders!N:N,"Shipped")</f>
        <v>0</v>
      </c>
      <c r="D18">
        <f>SUMIFS(allorders!$O:$O,allorders!$L:$L,$A18,allorders!$AG:$AG,"&lt;="&amp;日期!$B$7,allorders!$AG:$AG,"&gt;="&amp;日期!$B$8,allorders!Q:Q,"&lt;&gt;"&amp;"",allorders!N:N,"Shipped")</f>
        <v>0</v>
      </c>
      <c r="E18">
        <f>SUMIFS(allorders!$O:$O,allorders!$L:$L,$A18,allorders!$AG:$AG,"&lt;="&amp;日期!$B$9,allorders!$AG:$AG,"&gt;="&amp;日期!$B$10,allorders!Q:Q,"&lt;&gt;"&amp;"",allorders!N:N,"Shipped")</f>
        <v>0</v>
      </c>
      <c r="F18">
        <f>SUMIFS(allorders!$O:$O,allorders!$L:$L,$A18,allorders!$AG:$AG,"&lt;="&amp;日期!$B$11,allorders!$AG:$AG,"&gt;="&amp;日期!$B$12,allorders!Q:Q,"&lt;&gt;"&amp;"",allorders!N:N,"Shipped")</f>
        <v>1</v>
      </c>
      <c r="G18">
        <f>SUMIFS(allorders!Q:Q,allorders!L:L,A18,allorders!AG:AG,"&lt;="&amp;日期!$B$2,allorders!AG:AG,"&gt;="&amp;日期!$B$1,allorders!N:N,"Shipped")/SUM(C18:F18)</f>
        <v>21.98</v>
      </c>
      <c r="H18">
        <f>SUMIFS(allorders!Q:Q,allorders!L:L,A18,allorders!AG:AG,"&gt;="&amp;日期!$B$1,allorders!AG:AG,"&lt;="&amp;日期!$B$2,allorders!N:N,"Shipped")</f>
        <v>21.98</v>
      </c>
      <c r="I18">
        <f t="shared" si="0"/>
        <v>1</v>
      </c>
    </row>
    <row r="19" spans="1:9">
      <c r="A19" s="5" t="s">
        <v>222</v>
      </c>
      <c r="B19" t="str">
        <f>VLOOKUP(A19,'[1]子sku-父sku'!$A:$B,2,0)</f>
        <v>XK-YIWUJS2</v>
      </c>
      <c r="C19">
        <f>SUMIFS(allorders!O:O,allorders!L:L,$A19,allorders!AG:AG,"&lt;="&amp;日期!$B$5,allorders!AG:AG,"&gt;="&amp;日期!$B$6,allorders!Q:Q,"&lt;&gt;"&amp;"",allorders!N:N,"Shipped")</f>
        <v>0</v>
      </c>
      <c r="D19">
        <f>SUMIFS(allorders!$O:$O,allorders!$L:$L,$A19,allorders!$AG:$AG,"&lt;="&amp;日期!$B$7,allorders!$AG:$AG,"&gt;="&amp;日期!$B$8,allorders!Q:Q,"&lt;&gt;"&amp;"",allorders!N:N,"Shipped")</f>
        <v>0</v>
      </c>
      <c r="E19">
        <f>SUMIFS(allorders!$O:$O,allorders!$L:$L,$A19,allorders!$AG:$AG,"&lt;="&amp;日期!$B$9,allorders!$AG:$AG,"&gt;="&amp;日期!$B$10,allorders!Q:Q,"&lt;&gt;"&amp;"",allorders!N:N,"Shipped")</f>
        <v>0</v>
      </c>
      <c r="F19">
        <f>SUMIFS(allorders!$O:$O,allorders!$L:$L,$A19,allorders!$AG:$AG,"&lt;="&amp;日期!$B$11,allorders!$AG:$AG,"&gt;="&amp;日期!$B$12,allorders!Q:Q,"&lt;&gt;"&amp;"",allorders!N:N,"Shipped")</f>
        <v>1</v>
      </c>
      <c r="G19">
        <f>SUMIFS(allorders!Q:Q,allorders!L:L,A19,allorders!AG:AG,"&lt;="&amp;日期!$B$2,allorders!AG:AG,"&gt;="&amp;日期!$B$1,allorders!N:N,"Shipped")/SUM(C19:F19)</f>
        <v>13.99</v>
      </c>
      <c r="H19">
        <f>SUMIFS(allorders!Q:Q,allorders!L:L,A19,allorders!AG:AG,"&gt;="&amp;日期!$B$1,allorders!AG:AG,"&lt;="&amp;日期!$B$2,allorders!N:N,"Shipped")</f>
        <v>13.99</v>
      </c>
      <c r="I19">
        <f t="shared" si="0"/>
        <v>1</v>
      </c>
    </row>
    <row r="20" spans="1:9">
      <c r="A20" s="5" t="s">
        <v>241</v>
      </c>
      <c r="B20" t="str">
        <f>VLOOKUP(A20,'[1]子sku-父sku'!$A:$B,2,0)</f>
        <v>CD-WF001</v>
      </c>
      <c r="C20">
        <f>SUMIFS(allorders!O:O,allorders!L:L,$A20,allorders!AG:AG,"&lt;="&amp;日期!$B$5,allorders!AG:AG,"&gt;="&amp;日期!$B$6,allorders!Q:Q,"&lt;&gt;"&amp;"",allorders!N:N,"Shipped")</f>
        <v>0</v>
      </c>
      <c r="D20">
        <f>SUMIFS(allorders!$O:$O,allorders!$L:$L,$A20,allorders!$AG:$AG,"&lt;="&amp;日期!$B$7,allorders!$AG:$AG,"&gt;="&amp;日期!$B$8,allorders!Q:Q,"&lt;&gt;"&amp;"",allorders!N:N,"Shipped")</f>
        <v>0</v>
      </c>
      <c r="E20">
        <f>SUMIFS(allorders!$O:$O,allorders!$L:$L,$A20,allorders!$AG:$AG,"&lt;="&amp;日期!$B$9,allorders!$AG:$AG,"&gt;="&amp;日期!$B$10,allorders!Q:Q,"&lt;&gt;"&amp;"",allorders!N:N,"Shipped")</f>
        <v>0</v>
      </c>
      <c r="F20">
        <f>SUMIFS(allorders!$O:$O,allorders!$L:$L,$A20,allorders!$AG:$AG,"&lt;="&amp;日期!$B$11,allorders!$AG:$AG,"&gt;="&amp;日期!$B$12,allorders!Q:Q,"&lt;&gt;"&amp;"",allorders!N:N,"Shipped")</f>
        <v>1</v>
      </c>
      <c r="G20">
        <f>SUMIFS(allorders!Q:Q,allorders!L:L,A20,allorders!AG:AG,"&lt;="&amp;日期!$B$2,allorders!AG:AG,"&gt;="&amp;日期!$B$1,allorders!N:N,"Shipped")/SUM(C20:F20)</f>
        <v>11.33</v>
      </c>
      <c r="H20">
        <f>SUMIFS(allorders!Q:Q,allorders!L:L,A20,allorders!AG:AG,"&gt;="&amp;日期!$B$1,allorders!AG:AG,"&lt;="&amp;日期!$B$2,allorders!N:N,"Shipped")</f>
        <v>11.33</v>
      </c>
      <c r="I20">
        <f t="shared" si="0"/>
        <v>1</v>
      </c>
    </row>
    <row r="21" spans="1:9">
      <c r="A21" s="5" t="s">
        <v>250</v>
      </c>
      <c r="B21" t="str">
        <f>VLOOKUP(A21,'[1]子sku-父sku'!$A:$B,2,0)</f>
        <v>SL-LULW812</v>
      </c>
      <c r="C21">
        <f>SUMIFS(allorders!O:O,allorders!L:L,$A21,allorders!AG:AG,"&lt;="&amp;日期!$B$5,allorders!AG:AG,"&gt;="&amp;日期!$B$6,allorders!Q:Q,"&lt;&gt;"&amp;"",allorders!N:N,"Shipped")</f>
        <v>0</v>
      </c>
      <c r="D21">
        <f>SUMIFS(allorders!$O:$O,allorders!$L:$L,$A21,allorders!$AG:$AG,"&lt;="&amp;日期!$B$7,allorders!$AG:$AG,"&gt;="&amp;日期!$B$8,allorders!Q:Q,"&lt;&gt;"&amp;"",allorders!N:N,"Shipped")</f>
        <v>0</v>
      </c>
      <c r="E21">
        <f>SUMIFS(allorders!$O:$O,allorders!$L:$L,$A21,allorders!$AG:$AG,"&lt;="&amp;日期!$B$9,allorders!$AG:$AG,"&gt;="&amp;日期!$B$10,allorders!Q:Q,"&lt;&gt;"&amp;"",allorders!N:N,"Shipped")</f>
        <v>0</v>
      </c>
      <c r="F21">
        <f>SUMIFS(allorders!$O:$O,allorders!$L:$L,$A21,allorders!$AG:$AG,"&lt;="&amp;日期!$B$11,allorders!$AG:$AG,"&gt;="&amp;日期!$B$12,allorders!Q:Q,"&lt;&gt;"&amp;"",allorders!N:N,"Shipped")</f>
        <v>1</v>
      </c>
      <c r="G21">
        <f>SUMIFS(allorders!Q:Q,allorders!L:L,A21,allorders!AG:AG,"&lt;="&amp;日期!$B$2,allorders!AG:AG,"&gt;="&amp;日期!$B$1,allorders!N:N,"Shipped")/SUM(C21:F21)</f>
        <v>15</v>
      </c>
      <c r="H21">
        <f>SUMIFS(allorders!Q:Q,allorders!L:L,A21,allorders!AG:AG,"&gt;="&amp;日期!$B$1,allorders!AG:AG,"&lt;="&amp;日期!$B$2,allorders!N:N,"Shipped")</f>
        <v>15</v>
      </c>
      <c r="I21">
        <f t="shared" si="0"/>
        <v>1</v>
      </c>
    </row>
    <row r="22" spans="1:9">
      <c r="A22" s="5" t="s">
        <v>258</v>
      </c>
      <c r="B22" t="str">
        <f>VLOOKUP(A22,'[1]子sku-父sku'!$A:$B,2,0)</f>
        <v>BLT-WF125</v>
      </c>
      <c r="C22">
        <f>SUMIFS(allorders!O:O,allorders!L:L,$A22,allorders!AG:AG,"&lt;="&amp;日期!$B$5,allorders!AG:AG,"&gt;="&amp;日期!$B$6,allorders!Q:Q,"&lt;&gt;"&amp;"",allorders!N:N,"Shipped")</f>
        <v>1</v>
      </c>
      <c r="D22">
        <f>SUMIFS(allorders!$O:$O,allorders!$L:$L,$A22,allorders!$AG:$AG,"&lt;="&amp;日期!$B$7,allorders!$AG:$AG,"&gt;="&amp;日期!$B$8,allorders!Q:Q,"&lt;&gt;"&amp;"",allorders!N:N,"Shipped")</f>
        <v>0</v>
      </c>
      <c r="E22">
        <f>SUMIFS(allorders!$O:$O,allorders!$L:$L,$A22,allorders!$AG:$AG,"&lt;="&amp;日期!$B$9,allorders!$AG:$AG,"&gt;="&amp;日期!$B$10,allorders!Q:Q,"&lt;&gt;"&amp;"",allorders!N:N,"Shipped")</f>
        <v>0</v>
      </c>
      <c r="F22">
        <f>SUMIFS(allorders!$O:$O,allorders!$L:$L,$A22,allorders!$AG:$AG,"&lt;="&amp;日期!$B$11,allorders!$AG:$AG,"&gt;="&amp;日期!$B$12,allorders!Q:Q,"&lt;&gt;"&amp;"",allorders!N:N,"Shipped")</f>
        <v>1</v>
      </c>
      <c r="G22">
        <f>SUMIFS(allorders!Q:Q,allorders!L:L,A22,allorders!AG:AG,"&lt;="&amp;日期!$B$2,allorders!AG:AG,"&gt;="&amp;日期!$B$1,allorders!N:N,"Shipped")/SUM(C22:F22)</f>
        <v>8.99</v>
      </c>
      <c r="H22">
        <f>SUMIFS(allorders!Q:Q,allorders!L:L,A22,allorders!AG:AG,"&gt;="&amp;日期!$B$1,allorders!AG:AG,"&lt;="&amp;日期!$B$2,allorders!N:N,"Shipped")</f>
        <v>17.98</v>
      </c>
      <c r="I22">
        <f t="shared" si="0"/>
        <v>2</v>
      </c>
    </row>
    <row r="23" spans="1:9">
      <c r="A23" s="5" t="s">
        <v>266</v>
      </c>
      <c r="B23" t="str">
        <f>VLOOKUP(A23,'[1]子sku-父sku'!$A:$B,2,0)</f>
        <v>ZDD-FLQ08</v>
      </c>
      <c r="C23">
        <f>SUMIFS(allorders!O:O,allorders!L:L,$A23,allorders!AG:AG,"&lt;="&amp;日期!$B$5,allorders!AG:AG,"&gt;="&amp;日期!$B$6,allorders!Q:Q,"&lt;&gt;"&amp;"",allorders!N:N,"Shipped")</f>
        <v>0</v>
      </c>
      <c r="D23">
        <f>SUMIFS(allorders!$O:$O,allorders!$L:$L,$A23,allorders!$AG:$AG,"&lt;="&amp;日期!$B$7,allorders!$AG:$AG,"&gt;="&amp;日期!$B$8,allorders!Q:Q,"&lt;&gt;"&amp;"",allorders!N:N,"Shipped")</f>
        <v>0</v>
      </c>
      <c r="E23">
        <f>SUMIFS(allorders!$O:$O,allorders!$L:$L,$A23,allorders!$AG:$AG,"&lt;="&amp;日期!$B$9,allorders!$AG:$AG,"&gt;="&amp;日期!$B$10,allorders!Q:Q,"&lt;&gt;"&amp;"",allorders!N:N,"Shipped")</f>
        <v>0</v>
      </c>
      <c r="F23">
        <f>SUMIFS(allorders!$O:$O,allorders!$L:$L,$A23,allorders!$AG:$AG,"&lt;="&amp;日期!$B$11,allorders!$AG:$AG,"&gt;="&amp;日期!$B$12,allorders!Q:Q,"&lt;&gt;"&amp;"",allorders!N:N,"Shipped")</f>
        <v>1</v>
      </c>
      <c r="G23">
        <f>SUMIFS(allorders!Q:Q,allorders!L:L,A23,allorders!AG:AG,"&lt;="&amp;日期!$B$2,allorders!AG:AG,"&gt;="&amp;日期!$B$1,allorders!N:N,"Shipped")/SUM(C23:F23)</f>
        <v>15.99</v>
      </c>
      <c r="H23">
        <f>SUMIFS(allorders!Q:Q,allorders!L:L,A23,allorders!AG:AG,"&gt;="&amp;日期!$B$1,allorders!AG:AG,"&lt;="&amp;日期!$B$2,allorders!N:N,"Shipped")</f>
        <v>15.99</v>
      </c>
      <c r="I23">
        <f t="shared" si="0"/>
        <v>1</v>
      </c>
    </row>
    <row r="24" spans="1:9">
      <c r="A24" s="5" t="s">
        <v>282</v>
      </c>
      <c r="B24" t="str">
        <f>VLOOKUP(A24,'[1]子sku-父sku'!$A:$B,2,0)</f>
        <v>ND-LUHM027</v>
      </c>
      <c r="C24">
        <f>SUMIFS(allorders!O:O,allorders!L:L,$A24,allorders!AG:AG,"&lt;="&amp;日期!$B$5,allorders!AG:AG,"&gt;="&amp;日期!$B$6,allorders!Q:Q,"&lt;&gt;"&amp;"",allorders!N:N,"Shipped")</f>
        <v>0</v>
      </c>
      <c r="D24">
        <f>SUMIFS(allorders!$O:$O,allorders!$L:$L,$A24,allorders!$AG:$AG,"&lt;="&amp;日期!$B$7,allorders!$AG:$AG,"&gt;="&amp;日期!$B$8,allorders!Q:Q,"&lt;&gt;"&amp;"",allorders!N:N,"Shipped")</f>
        <v>0</v>
      </c>
      <c r="E24">
        <f>SUMIFS(allorders!$O:$O,allorders!$L:$L,$A24,allorders!$AG:$AG,"&lt;="&amp;日期!$B$9,allorders!$AG:$AG,"&gt;="&amp;日期!$B$10,allorders!Q:Q,"&lt;&gt;"&amp;"",allorders!N:N,"Shipped")</f>
        <v>1</v>
      </c>
      <c r="F24">
        <f>SUMIFS(allorders!$O:$O,allorders!$L:$L,$A24,allorders!$AG:$AG,"&lt;="&amp;日期!$B$11,allorders!$AG:$AG,"&gt;="&amp;日期!$B$12,allorders!Q:Q,"&lt;&gt;"&amp;"",allorders!N:N,"Shipped")</f>
        <v>3</v>
      </c>
      <c r="G24">
        <f>SUMIFS(allorders!Q:Q,allorders!L:L,A24,allorders!AG:AG,"&lt;="&amp;日期!$B$2,allorders!AG:AG,"&gt;="&amp;日期!$B$1,allorders!N:N,"Shipped")/SUM(C24:F24)</f>
        <v>9.99</v>
      </c>
      <c r="H24">
        <f>SUMIFS(allorders!Q:Q,allorders!L:L,A24,allorders!AG:AG,"&gt;="&amp;日期!$B$1,allorders!AG:AG,"&lt;="&amp;日期!$B$2,allorders!N:N,"Shipped")</f>
        <v>39.96</v>
      </c>
      <c r="I24">
        <f t="shared" si="0"/>
        <v>4</v>
      </c>
    </row>
    <row r="25" spans="1:9">
      <c r="A25" s="5" t="s">
        <v>310</v>
      </c>
      <c r="B25" t="str">
        <f>VLOOKUP(A25,'[1]子sku-父sku'!$A:$B,2,0)</f>
        <v>GT-WFTFGT200</v>
      </c>
      <c r="C25">
        <f>SUMIFS(allorders!O:O,allorders!L:L,$A25,allorders!AG:AG,"&lt;="&amp;日期!$B$5,allorders!AG:AG,"&gt;="&amp;日期!$B$6,allorders!Q:Q,"&lt;&gt;"&amp;"",allorders!N:N,"Shipped")</f>
        <v>1</v>
      </c>
      <c r="D25">
        <f>SUMIFS(allorders!$O:$O,allorders!$L:$L,$A25,allorders!$AG:$AG,"&lt;="&amp;日期!$B$7,allorders!$AG:$AG,"&gt;="&amp;日期!$B$8,allorders!Q:Q,"&lt;&gt;"&amp;"",allorders!N:N,"Shipped")</f>
        <v>0</v>
      </c>
      <c r="E25">
        <f>SUMIFS(allorders!$O:$O,allorders!$L:$L,$A25,allorders!$AG:$AG,"&lt;="&amp;日期!$B$9,allorders!$AG:$AG,"&gt;="&amp;日期!$B$10,allorders!Q:Q,"&lt;&gt;"&amp;"",allorders!N:N,"Shipped")</f>
        <v>1</v>
      </c>
      <c r="F25">
        <f>SUMIFS(allorders!$O:$O,allorders!$L:$L,$A25,allorders!$AG:$AG,"&lt;="&amp;日期!$B$11,allorders!$AG:$AG,"&gt;="&amp;日期!$B$12,allorders!Q:Q,"&lt;&gt;"&amp;"",allorders!N:N,"Shipped")</f>
        <v>2</v>
      </c>
      <c r="G25">
        <f>SUMIFS(allorders!Q:Q,allorders!L:L,A25,allorders!AG:AG,"&lt;="&amp;日期!$B$2,allorders!AG:AG,"&gt;="&amp;日期!$B$1,allorders!N:N,"Shipped")/SUM(C25:F25)</f>
        <v>13.99</v>
      </c>
      <c r="H25">
        <f>SUMIFS(allorders!Q:Q,allorders!L:L,A25,allorders!AG:AG,"&gt;="&amp;日期!$B$1,allorders!AG:AG,"&lt;="&amp;日期!$B$2,allorders!N:N,"Shipped")</f>
        <v>55.96</v>
      </c>
      <c r="I25">
        <f t="shared" si="0"/>
        <v>4</v>
      </c>
    </row>
    <row r="26" spans="1:9">
      <c r="A26" s="5" t="s">
        <v>333</v>
      </c>
      <c r="B26" t="str">
        <f>VLOOKUP(A26,'[1]子sku-父sku'!$A:$B,2,0)</f>
        <v>ZYL-FLQ59</v>
      </c>
      <c r="C26">
        <f>SUMIFS(allorders!O:O,allorders!L:L,$A26,allorders!AG:AG,"&lt;="&amp;日期!$B$5,allorders!AG:AG,"&gt;="&amp;日期!$B$6,allorders!Q:Q,"&lt;&gt;"&amp;"",allorders!N:N,"Shipped")</f>
        <v>0</v>
      </c>
      <c r="D26">
        <f>SUMIFS(allorders!$O:$O,allorders!$L:$L,$A26,allorders!$AG:$AG,"&lt;="&amp;日期!$B$7,allorders!$AG:$AG,"&gt;="&amp;日期!$B$8,allorders!Q:Q,"&lt;&gt;"&amp;"",allorders!N:N,"Shipped")</f>
        <v>2</v>
      </c>
      <c r="E26">
        <f>SUMIFS(allorders!$O:$O,allorders!$L:$L,$A26,allorders!$AG:$AG,"&lt;="&amp;日期!$B$9,allorders!$AG:$AG,"&gt;="&amp;日期!$B$10,allorders!Q:Q,"&lt;&gt;"&amp;"",allorders!N:N,"Shipped")</f>
        <v>2</v>
      </c>
      <c r="F26">
        <f>SUMIFS(allorders!$O:$O,allorders!$L:$L,$A26,allorders!$AG:$AG,"&lt;="&amp;日期!$B$11,allorders!$AG:$AG,"&gt;="&amp;日期!$B$12,allorders!Q:Q,"&lt;&gt;"&amp;"",allorders!N:N,"Shipped")</f>
        <v>3</v>
      </c>
      <c r="G26">
        <f>SUMIFS(allorders!Q:Q,allorders!L:L,A26,allorders!AG:AG,"&lt;="&amp;日期!$B$2,allorders!AG:AG,"&gt;="&amp;日期!$B$1,allorders!N:N,"Shipped")/SUM(C26:F26)</f>
        <v>13.23</v>
      </c>
      <c r="H26">
        <f>SUMIFS(allorders!Q:Q,allorders!L:L,A26,allorders!AG:AG,"&gt;="&amp;日期!$B$1,allorders!AG:AG,"&lt;="&amp;日期!$B$2,allorders!N:N,"Shipped")</f>
        <v>92.61</v>
      </c>
      <c r="I26">
        <f t="shared" si="0"/>
        <v>7</v>
      </c>
    </row>
    <row r="27" spans="1:9">
      <c r="A27" s="5" t="s">
        <v>347</v>
      </c>
      <c r="B27" t="str">
        <f>VLOOKUP(A27,'[1]子sku-父sku'!$A:$B,2,0)</f>
        <v>XK-YIWUJS2</v>
      </c>
      <c r="C27">
        <f>SUMIFS(allorders!O:O,allorders!L:L,$A27,allorders!AG:AG,"&lt;="&amp;日期!$B$5,allorders!AG:AG,"&gt;="&amp;日期!$B$6,allorders!Q:Q,"&lt;&gt;"&amp;"",allorders!N:N,"Shipped")</f>
        <v>4</v>
      </c>
      <c r="D27">
        <f>SUMIFS(allorders!$O:$O,allorders!$L:$L,$A27,allorders!$AG:$AG,"&lt;="&amp;日期!$B$7,allorders!$AG:$AG,"&gt;="&amp;日期!$B$8,allorders!Q:Q,"&lt;&gt;"&amp;"",allorders!N:N,"Shipped")</f>
        <v>0</v>
      </c>
      <c r="E27">
        <f>SUMIFS(allorders!$O:$O,allorders!$L:$L,$A27,allorders!$AG:$AG,"&lt;="&amp;日期!$B$9,allorders!$AG:$AG,"&gt;="&amp;日期!$B$10,allorders!Q:Q,"&lt;&gt;"&amp;"",allorders!N:N,"Shipped")</f>
        <v>0</v>
      </c>
      <c r="F27">
        <f>SUMIFS(allorders!$O:$O,allorders!$L:$L,$A27,allorders!$AG:$AG,"&lt;="&amp;日期!$B$11,allorders!$AG:$AG,"&gt;="&amp;日期!$B$12,allorders!Q:Q,"&lt;&gt;"&amp;"",allorders!N:N,"Shipped")</f>
        <v>1</v>
      </c>
      <c r="G27">
        <f>SUMIFS(allorders!Q:Q,allorders!L:L,A27,allorders!AG:AG,"&lt;="&amp;日期!$B$2,allorders!AG:AG,"&gt;="&amp;日期!$B$1,allorders!N:N,"Shipped")/SUM(C27:F27)</f>
        <v>12.99</v>
      </c>
      <c r="H27">
        <f>SUMIFS(allorders!Q:Q,allorders!L:L,A27,allorders!AG:AG,"&gt;="&amp;日期!$B$1,allorders!AG:AG,"&lt;="&amp;日期!$B$2,allorders!N:N,"Shipped")</f>
        <v>64.95</v>
      </c>
      <c r="I27">
        <f t="shared" si="0"/>
        <v>5</v>
      </c>
    </row>
    <row r="28" spans="1:9">
      <c r="A28" s="5" t="s">
        <v>365</v>
      </c>
      <c r="B28" t="str">
        <f>VLOOKUP(A28,'[1]子sku-父sku'!$A:$B,2,0)</f>
        <v>SD-LUHM202</v>
      </c>
      <c r="C28">
        <f>SUMIFS(allorders!O:O,allorders!L:L,$A28,allorders!AG:AG,"&lt;="&amp;日期!$B$5,allorders!AG:AG,"&gt;="&amp;日期!$B$6,allorders!Q:Q,"&lt;&gt;"&amp;"",allorders!N:N,"Shipped")</f>
        <v>0</v>
      </c>
      <c r="D28">
        <f>SUMIFS(allorders!$O:$O,allorders!$L:$L,$A28,allorders!$AG:$AG,"&lt;="&amp;日期!$B$7,allorders!$AG:$AG,"&gt;="&amp;日期!$B$8,allorders!Q:Q,"&lt;&gt;"&amp;"",allorders!N:N,"Shipped")</f>
        <v>0</v>
      </c>
      <c r="E28">
        <f>SUMIFS(allorders!$O:$O,allorders!$L:$L,$A28,allorders!$AG:$AG,"&lt;="&amp;日期!$B$9,allorders!$AG:$AG,"&gt;="&amp;日期!$B$10,allorders!Q:Q,"&lt;&gt;"&amp;"",allorders!N:N,"Shipped")</f>
        <v>0</v>
      </c>
      <c r="F28">
        <f>SUMIFS(allorders!$O:$O,allorders!$L:$L,$A28,allorders!$AG:$AG,"&lt;="&amp;日期!$B$11,allorders!$AG:$AG,"&gt;="&amp;日期!$B$12,allorders!Q:Q,"&lt;&gt;"&amp;"",allorders!N:N,"Shipped")</f>
        <v>1</v>
      </c>
      <c r="G28">
        <f>SUMIFS(allorders!Q:Q,allorders!L:L,A28,allorders!AG:AG,"&lt;="&amp;日期!$B$2,allorders!AG:AG,"&gt;="&amp;日期!$B$1,allorders!N:N,"Shipped")/SUM(C28:F28)</f>
        <v>7.99</v>
      </c>
      <c r="H28">
        <f>SUMIFS(allorders!Q:Q,allorders!L:L,A28,allorders!AG:AG,"&gt;="&amp;日期!$B$1,allorders!AG:AG,"&lt;="&amp;日期!$B$2,allorders!N:N,"Shipped")</f>
        <v>7.99</v>
      </c>
      <c r="I28">
        <f t="shared" si="0"/>
        <v>1</v>
      </c>
    </row>
    <row r="29" spans="1:9">
      <c r="A29" s="5" t="s">
        <v>379</v>
      </c>
      <c r="B29" t="str">
        <f>VLOOKUP(A29,'[1]子sku-父sku'!$A:$B,2,0)</f>
        <v>SD-LUHM202</v>
      </c>
      <c r="C29">
        <f>SUMIFS(allorders!O:O,allorders!L:L,$A29,allorders!AG:AG,"&lt;="&amp;日期!$B$5,allorders!AG:AG,"&gt;="&amp;日期!$B$6,allorders!Q:Q,"&lt;&gt;"&amp;"",allorders!N:N,"Shipped")</f>
        <v>0</v>
      </c>
      <c r="D29">
        <f>SUMIFS(allorders!$O:$O,allorders!$L:$L,$A29,allorders!$AG:$AG,"&lt;="&amp;日期!$B$7,allorders!$AG:$AG,"&gt;="&amp;日期!$B$8,allorders!Q:Q,"&lt;&gt;"&amp;"",allorders!N:N,"Shipped")</f>
        <v>0</v>
      </c>
      <c r="E29">
        <f>SUMIFS(allorders!$O:$O,allorders!$L:$L,$A29,allorders!$AG:$AG,"&lt;="&amp;日期!$B$9,allorders!$AG:$AG,"&gt;="&amp;日期!$B$10,allorders!Q:Q,"&lt;&gt;"&amp;"",allorders!N:N,"Shipped")</f>
        <v>0</v>
      </c>
      <c r="F29">
        <f>SUMIFS(allorders!$O:$O,allorders!$L:$L,$A29,allorders!$AG:$AG,"&lt;="&amp;日期!$B$11,allorders!$AG:$AG,"&gt;="&amp;日期!$B$12,allorders!Q:Q,"&lt;&gt;"&amp;"",allorders!N:N,"Shipped")</f>
        <v>1</v>
      </c>
      <c r="G29">
        <f>SUMIFS(allorders!Q:Q,allorders!L:L,A29,allorders!AG:AG,"&lt;="&amp;日期!$B$2,allorders!AG:AG,"&gt;="&amp;日期!$B$1,allorders!N:N,"Shipped")/SUM(C29:F29)</f>
        <v>7.99</v>
      </c>
      <c r="H29">
        <f>SUMIFS(allorders!Q:Q,allorders!L:L,A29,allorders!AG:AG,"&gt;="&amp;日期!$B$1,allorders!AG:AG,"&lt;="&amp;日期!$B$2,allorders!N:N,"Shipped")</f>
        <v>7.99</v>
      </c>
      <c r="I29">
        <f t="shared" si="0"/>
        <v>1</v>
      </c>
    </row>
    <row r="30" spans="1:9">
      <c r="A30" s="5" t="s">
        <v>397</v>
      </c>
      <c r="B30" t="str">
        <f>VLOOKUP(A30,'[1]子sku-父sku'!$A:$B,2,0)</f>
        <v>SL-LULW812</v>
      </c>
      <c r="C30">
        <f>SUMIFS(allorders!O:O,allorders!L:L,$A30,allorders!AG:AG,"&lt;="&amp;日期!$B$5,allorders!AG:AG,"&gt;="&amp;日期!$B$6,allorders!Q:Q,"&lt;&gt;"&amp;"",allorders!N:N,"Shipped")</f>
        <v>0</v>
      </c>
      <c r="D30">
        <f>SUMIFS(allorders!$O:$O,allorders!$L:$L,$A30,allorders!$AG:$AG,"&lt;="&amp;日期!$B$7,allorders!$AG:$AG,"&gt;="&amp;日期!$B$8,allorders!Q:Q,"&lt;&gt;"&amp;"",allorders!N:N,"Shipped")</f>
        <v>0</v>
      </c>
      <c r="E30">
        <f>SUMIFS(allorders!$O:$O,allorders!$L:$L,$A30,allorders!$AG:$AG,"&lt;="&amp;日期!$B$9,allorders!$AG:$AG,"&gt;="&amp;日期!$B$10,allorders!Q:Q,"&lt;&gt;"&amp;"",allorders!N:N,"Shipped")</f>
        <v>1</v>
      </c>
      <c r="F30">
        <f>SUMIFS(allorders!$O:$O,allorders!$L:$L,$A30,allorders!$AG:$AG,"&lt;="&amp;日期!$B$11,allorders!$AG:$AG,"&gt;="&amp;日期!$B$12,allorders!Q:Q,"&lt;&gt;"&amp;"",allorders!N:N,"Shipped")</f>
        <v>1</v>
      </c>
      <c r="G30">
        <f>SUMIFS(allorders!Q:Q,allorders!L:L,A30,allorders!AG:AG,"&lt;="&amp;日期!$B$2,allorders!AG:AG,"&gt;="&amp;日期!$B$1,allorders!N:N,"Shipped")/SUM(C30:F30)</f>
        <v>15.99</v>
      </c>
      <c r="H30">
        <f>SUMIFS(allorders!Q:Q,allorders!L:L,A30,allorders!AG:AG,"&gt;="&amp;日期!$B$1,allorders!AG:AG,"&lt;="&amp;日期!$B$2,allorders!N:N,"Shipped")</f>
        <v>31.98</v>
      </c>
      <c r="I30">
        <f t="shared" si="0"/>
        <v>2</v>
      </c>
    </row>
    <row r="31" spans="1:9">
      <c r="A31" s="5" t="s">
        <v>415</v>
      </c>
      <c r="B31" t="str">
        <f>VLOOKUP(A31,'[1]子sku-父sku'!$A:$B,2,0)</f>
        <v>BA-FLQ02</v>
      </c>
      <c r="C31">
        <f>SUMIFS(allorders!O:O,allorders!L:L,$A31,allorders!AG:AG,"&lt;="&amp;日期!$B$5,allorders!AG:AG,"&gt;="&amp;日期!$B$6,allorders!Q:Q,"&lt;&gt;"&amp;"",allorders!N:N,"Shipped")</f>
        <v>0</v>
      </c>
      <c r="D31">
        <f>SUMIFS(allorders!$O:$O,allorders!$L:$L,$A31,allorders!$AG:$AG,"&lt;="&amp;日期!$B$7,allorders!$AG:$AG,"&gt;="&amp;日期!$B$8,allorders!Q:Q,"&lt;&gt;"&amp;"",allorders!N:N,"Shipped")</f>
        <v>0</v>
      </c>
      <c r="E31">
        <f>SUMIFS(allorders!$O:$O,allorders!$L:$L,$A31,allorders!$AG:$AG,"&lt;="&amp;日期!$B$9,allorders!$AG:$AG,"&gt;="&amp;日期!$B$10,allorders!Q:Q,"&lt;&gt;"&amp;"",allorders!N:N,"Shipped")</f>
        <v>1</v>
      </c>
      <c r="F31">
        <f>SUMIFS(allorders!$O:$O,allorders!$L:$L,$A31,allorders!$AG:$AG,"&lt;="&amp;日期!$B$11,allorders!$AG:$AG,"&gt;="&amp;日期!$B$12,allorders!Q:Q,"&lt;&gt;"&amp;"",allorders!N:N,"Shipped")</f>
        <v>3</v>
      </c>
      <c r="G31">
        <f>SUMIFS(allorders!Q:Q,allorders!L:L,A31,allorders!AG:AG,"&lt;="&amp;日期!$B$2,allorders!AG:AG,"&gt;="&amp;日期!$B$1,allorders!N:N,"Shipped")/SUM(C31:F31)</f>
        <v>12.99</v>
      </c>
      <c r="H31">
        <f>SUMIFS(allorders!Q:Q,allorders!L:L,A31,allorders!AG:AG,"&gt;="&amp;日期!$B$1,allorders!AG:AG,"&lt;="&amp;日期!$B$2,allorders!N:N,"Shipped")</f>
        <v>51.96</v>
      </c>
      <c r="I31">
        <f t="shared" si="0"/>
        <v>4</v>
      </c>
    </row>
    <row r="32" spans="1:9">
      <c r="A32" s="5" t="s">
        <v>423</v>
      </c>
      <c r="B32" t="str">
        <f>VLOOKUP(A32,'[1]子sku-父sku'!$A:$B,2,0)</f>
        <v>WY-WF1225</v>
      </c>
      <c r="C32">
        <f>SUMIFS(allorders!O:O,allorders!L:L,$A32,allorders!AG:AG,"&lt;="&amp;日期!$B$5,allorders!AG:AG,"&gt;="&amp;日期!$B$6,allorders!Q:Q,"&lt;&gt;"&amp;"",allorders!N:N,"Shipped")</f>
        <v>0</v>
      </c>
      <c r="D32">
        <f>SUMIFS(allorders!$O:$O,allorders!$L:$L,$A32,allorders!$AG:$AG,"&lt;="&amp;日期!$B$7,allorders!$AG:$AG,"&gt;="&amp;日期!$B$8,allorders!Q:Q,"&lt;&gt;"&amp;"",allorders!N:N,"Shipped")</f>
        <v>0</v>
      </c>
      <c r="E32">
        <f>SUMIFS(allorders!$O:$O,allorders!$L:$L,$A32,allorders!$AG:$AG,"&lt;="&amp;日期!$B$9,allorders!$AG:$AG,"&gt;="&amp;日期!$B$10,allorders!Q:Q,"&lt;&gt;"&amp;"",allorders!N:N,"Shipped")</f>
        <v>0</v>
      </c>
      <c r="F32">
        <f>SUMIFS(allorders!$O:$O,allorders!$L:$L,$A32,allorders!$AG:$AG,"&lt;="&amp;日期!$B$11,allorders!$AG:$AG,"&gt;="&amp;日期!$B$12,allorders!Q:Q,"&lt;&gt;"&amp;"",allorders!N:N,"Shipped")</f>
        <v>2</v>
      </c>
      <c r="G32">
        <f>SUMIFS(allorders!Q:Q,allorders!L:L,A32,allorders!AG:AG,"&lt;="&amp;日期!$B$2,allorders!AG:AG,"&gt;="&amp;日期!$B$1,allorders!N:N,"Shipped")/SUM(C32:F32)</f>
        <v>21.98</v>
      </c>
      <c r="H32">
        <f>SUMIFS(allorders!Q:Q,allorders!L:L,A32,allorders!AG:AG,"&gt;="&amp;日期!$B$1,allorders!AG:AG,"&lt;="&amp;日期!$B$2,allorders!N:N,"Shipped")</f>
        <v>43.96</v>
      </c>
      <c r="I32">
        <f t="shared" si="0"/>
        <v>2</v>
      </c>
    </row>
    <row r="33" spans="1:9">
      <c r="A33" s="5" t="s">
        <v>446</v>
      </c>
      <c r="B33" t="str">
        <f>VLOOKUP(A33,'[1]子sku-父sku'!$A:$B,2,0)</f>
        <v>GT-WFY1</v>
      </c>
      <c r="C33">
        <f>SUMIFS(allorders!O:O,allorders!L:L,$A33,allorders!AG:AG,"&lt;="&amp;日期!$B$5,allorders!AG:AG,"&gt;="&amp;日期!$B$6,allorders!Q:Q,"&lt;&gt;"&amp;"",allorders!N:N,"Shipped")</f>
        <v>0</v>
      </c>
      <c r="D33">
        <f>SUMIFS(allorders!$O:$O,allorders!$L:$L,$A33,allorders!$AG:$AG,"&lt;="&amp;日期!$B$7,allorders!$AG:$AG,"&gt;="&amp;日期!$B$8,allorders!Q:Q,"&lt;&gt;"&amp;"",allorders!N:N,"Shipped")</f>
        <v>0</v>
      </c>
      <c r="E33">
        <f>SUMIFS(allorders!$O:$O,allorders!$L:$L,$A33,allorders!$AG:$AG,"&lt;="&amp;日期!$B$9,allorders!$AG:$AG,"&gt;="&amp;日期!$B$10,allorders!Q:Q,"&lt;&gt;"&amp;"",allorders!N:N,"Shipped")</f>
        <v>0</v>
      </c>
      <c r="F33">
        <f>SUMIFS(allorders!$O:$O,allorders!$L:$L,$A33,allorders!$AG:$AG,"&lt;="&amp;日期!$B$11,allorders!$AG:$AG,"&gt;="&amp;日期!$B$12,allorders!Q:Q,"&lt;&gt;"&amp;"",allorders!N:N,"Shipped")</f>
        <v>1</v>
      </c>
      <c r="G33">
        <f>SUMIFS(allorders!Q:Q,allorders!L:L,A33,allorders!AG:AG,"&lt;="&amp;日期!$B$2,allorders!AG:AG,"&gt;="&amp;日期!$B$1,allorders!N:N,"Shipped")/SUM(C33:F33)</f>
        <v>13.99</v>
      </c>
      <c r="H33">
        <f>SUMIFS(allorders!Q:Q,allorders!L:L,A33,allorders!AG:AG,"&gt;="&amp;日期!$B$1,allorders!AG:AG,"&lt;="&amp;日期!$B$2,allorders!N:N,"Shipped")</f>
        <v>13.99</v>
      </c>
      <c r="I33">
        <f t="shared" si="0"/>
        <v>1</v>
      </c>
    </row>
    <row r="34" spans="1:9">
      <c r="A34" s="5" t="s">
        <v>494</v>
      </c>
      <c r="B34" t="str">
        <f>VLOOKUP(A34,'[1]子sku-父sku'!$A:$B,2,0)</f>
        <v>ZQ-WF002</v>
      </c>
      <c r="C34">
        <f>SUMIFS(allorders!O:O,allorders!L:L,$A34,allorders!AG:AG,"&lt;="&amp;日期!$B$5,allorders!AG:AG,"&gt;="&amp;日期!$B$6,allorders!Q:Q,"&lt;&gt;"&amp;"",allorders!N:N,"Shipped")</f>
        <v>0</v>
      </c>
      <c r="D34">
        <f>SUMIFS(allorders!$O:$O,allorders!$L:$L,$A34,allorders!$AG:$AG,"&lt;="&amp;日期!$B$7,allorders!$AG:$AG,"&gt;="&amp;日期!$B$8,allorders!Q:Q,"&lt;&gt;"&amp;"",allorders!N:N,"Shipped")</f>
        <v>0</v>
      </c>
      <c r="E34">
        <f>SUMIFS(allorders!$O:$O,allorders!$L:$L,$A34,allorders!$AG:$AG,"&lt;="&amp;日期!$B$9,allorders!$AG:$AG,"&gt;="&amp;日期!$B$10,allorders!Q:Q,"&lt;&gt;"&amp;"",allorders!N:N,"Shipped")</f>
        <v>0</v>
      </c>
      <c r="F34">
        <f>SUMIFS(allorders!$O:$O,allorders!$L:$L,$A34,allorders!$AG:$AG,"&lt;="&amp;日期!$B$11,allorders!$AG:$AG,"&gt;="&amp;日期!$B$12,allorders!Q:Q,"&lt;&gt;"&amp;"",allorders!N:N,"Shipped")</f>
        <v>1</v>
      </c>
      <c r="G34">
        <f>SUMIFS(allorders!Q:Q,allorders!L:L,A34,allorders!AG:AG,"&lt;="&amp;日期!$B$2,allorders!AG:AG,"&gt;="&amp;日期!$B$1,allorders!N:N,"Shipped")/SUM(C34:F34)</f>
        <v>18.99</v>
      </c>
      <c r="H34">
        <f>SUMIFS(allorders!Q:Q,allorders!L:L,A34,allorders!AG:AG,"&gt;="&amp;日期!$B$1,allorders!AG:AG,"&lt;="&amp;日期!$B$2,allorders!N:N,"Shipped")</f>
        <v>18.99</v>
      </c>
      <c r="I34">
        <f t="shared" si="0"/>
        <v>1</v>
      </c>
    </row>
    <row r="35" spans="1:9">
      <c r="A35" s="5" t="s">
        <v>512</v>
      </c>
      <c r="B35" t="str">
        <f>VLOOKUP(A35,'[1]子sku-父sku'!$A:$B,2,0)</f>
        <v>CWB-FLQ1703</v>
      </c>
      <c r="C35">
        <f>SUMIFS(allorders!O:O,allorders!L:L,$A35,allorders!AG:AG,"&lt;="&amp;日期!$B$5,allorders!AG:AG,"&gt;="&amp;日期!$B$6,allorders!Q:Q,"&lt;&gt;"&amp;"",allorders!N:N,"Shipped")</f>
        <v>0</v>
      </c>
      <c r="D35">
        <f>SUMIFS(allorders!$O:$O,allorders!$L:$L,$A35,allorders!$AG:$AG,"&lt;="&amp;日期!$B$7,allorders!$AG:$AG,"&gt;="&amp;日期!$B$8,allorders!Q:Q,"&lt;&gt;"&amp;"",allorders!N:N,"Shipped")</f>
        <v>0</v>
      </c>
      <c r="E35">
        <f>SUMIFS(allorders!$O:$O,allorders!$L:$L,$A35,allorders!$AG:$AG,"&lt;="&amp;日期!$B$9,allorders!$AG:$AG,"&gt;="&amp;日期!$B$10,allorders!Q:Q,"&lt;&gt;"&amp;"",allorders!N:N,"Shipped")</f>
        <v>0</v>
      </c>
      <c r="F35">
        <f>SUMIFS(allorders!$O:$O,allorders!$L:$L,$A35,allorders!$AG:$AG,"&lt;="&amp;日期!$B$11,allorders!$AG:$AG,"&gt;="&amp;日期!$B$12,allorders!Q:Q,"&lt;&gt;"&amp;"",allorders!N:N,"Shipped")</f>
        <v>5</v>
      </c>
      <c r="G35">
        <f>SUMIFS(allorders!Q:Q,allorders!L:L,A35,allorders!AG:AG,"&lt;="&amp;日期!$B$2,allorders!AG:AG,"&gt;="&amp;日期!$B$1,allorders!N:N,"Shipped")/SUM(C35:F35)</f>
        <v>20</v>
      </c>
      <c r="H35">
        <f>SUMIFS(allorders!Q:Q,allorders!L:L,A35,allorders!AG:AG,"&gt;="&amp;日期!$B$1,allorders!AG:AG,"&lt;="&amp;日期!$B$2,allorders!N:N,"Shipped")</f>
        <v>100</v>
      </c>
      <c r="I35">
        <f t="shared" si="0"/>
        <v>5</v>
      </c>
    </row>
    <row r="36" spans="1:9">
      <c r="A36" s="5" t="s">
        <v>526</v>
      </c>
      <c r="B36" t="str">
        <f>VLOOKUP(A36,'[1]子sku-父sku'!$A:$B,2,0)</f>
        <v>CD-WF</v>
      </c>
      <c r="C36">
        <f>SUMIFS(allorders!O:O,allorders!L:L,$A36,allorders!AG:AG,"&lt;="&amp;日期!$B$5,allorders!AG:AG,"&gt;="&amp;日期!$B$6,allorders!Q:Q,"&lt;&gt;"&amp;"",allorders!N:N,"Shipped")</f>
        <v>0</v>
      </c>
      <c r="D36">
        <f>SUMIFS(allorders!$O:$O,allorders!$L:$L,$A36,allorders!$AG:$AG,"&lt;="&amp;日期!$B$7,allorders!$AG:$AG,"&gt;="&amp;日期!$B$8,allorders!Q:Q,"&lt;&gt;"&amp;"",allorders!N:N,"Shipped")</f>
        <v>3</v>
      </c>
      <c r="E36">
        <f>SUMIFS(allorders!$O:$O,allorders!$L:$L,$A36,allorders!$AG:$AG,"&lt;="&amp;日期!$B$9,allorders!$AG:$AG,"&gt;="&amp;日期!$B$10,allorders!Q:Q,"&lt;&gt;"&amp;"",allorders!N:N,"Shipped")</f>
        <v>0</v>
      </c>
      <c r="F36">
        <f>SUMIFS(allorders!$O:$O,allorders!$L:$L,$A36,allorders!$AG:$AG,"&lt;="&amp;日期!$B$11,allorders!$AG:$AG,"&gt;="&amp;日期!$B$12,allorders!Q:Q,"&lt;&gt;"&amp;"",allorders!N:N,"Shipped")</f>
        <v>1</v>
      </c>
      <c r="G36">
        <f>SUMIFS(allorders!Q:Q,allorders!L:L,A36,allorders!AG:AG,"&lt;="&amp;日期!$B$2,allorders!AG:AG,"&gt;="&amp;日期!$B$1,allorders!N:N,"Shipped")/SUM(C36:F36)</f>
        <v>11.99</v>
      </c>
      <c r="H36">
        <f>SUMIFS(allorders!Q:Q,allorders!L:L,A36,allorders!AG:AG,"&gt;="&amp;日期!$B$1,allorders!AG:AG,"&lt;="&amp;日期!$B$2,allorders!N:N,"Shipped")</f>
        <v>47.96</v>
      </c>
      <c r="I36">
        <f t="shared" si="0"/>
        <v>4</v>
      </c>
    </row>
    <row r="37" spans="1:9">
      <c r="A37" s="5" t="s">
        <v>540</v>
      </c>
      <c r="B37" t="str">
        <f>VLOOKUP(A37,'[1]子sku-父sku'!$A:$B,2,0)</f>
        <v>SQ-LUHM</v>
      </c>
      <c r="C37">
        <f>SUMIFS(allorders!O:O,allorders!L:L,$A37,allorders!AG:AG,"&lt;="&amp;日期!$B$5,allorders!AG:AG,"&gt;="&amp;日期!$B$6,allorders!Q:Q,"&lt;&gt;"&amp;"",allorders!N:N,"Shipped")</f>
        <v>0</v>
      </c>
      <c r="D37">
        <f>SUMIFS(allorders!$O:$O,allorders!$L:$L,$A37,allorders!$AG:$AG,"&lt;="&amp;日期!$B$7,allorders!$AG:$AG,"&gt;="&amp;日期!$B$8,allorders!Q:Q,"&lt;&gt;"&amp;"",allorders!N:N,"Shipped")</f>
        <v>17</v>
      </c>
      <c r="E37">
        <f>SUMIFS(allorders!$O:$O,allorders!$L:$L,$A37,allorders!$AG:$AG,"&lt;="&amp;日期!$B$9,allorders!$AG:$AG,"&gt;="&amp;日期!$B$10,allorders!Q:Q,"&lt;&gt;"&amp;"",allorders!N:N,"Shipped")</f>
        <v>5</v>
      </c>
      <c r="F37">
        <f>SUMIFS(allorders!$O:$O,allorders!$L:$L,$A37,allorders!$AG:$AG,"&lt;="&amp;日期!$B$11,allorders!$AG:$AG,"&gt;="&amp;日期!$B$12,allorders!Q:Q,"&lt;&gt;"&amp;"",allorders!N:N,"Shipped")</f>
        <v>4</v>
      </c>
      <c r="G37">
        <f>SUMIFS(allorders!Q:Q,allorders!L:L,A37,allorders!AG:AG,"&lt;="&amp;日期!$B$2,allorders!AG:AG,"&gt;="&amp;日期!$B$1,allorders!N:N,"Shipped")/SUM(C37:F37)</f>
        <v>18.9130769230769</v>
      </c>
      <c r="H37">
        <f>SUMIFS(allorders!Q:Q,allorders!L:L,A37,allorders!AG:AG,"&gt;="&amp;日期!$B$1,allorders!AG:AG,"&lt;="&amp;日期!$B$2,allorders!N:N,"Shipped")</f>
        <v>491.74</v>
      </c>
      <c r="I37">
        <f t="shared" si="0"/>
        <v>26</v>
      </c>
    </row>
    <row r="38" spans="1:9">
      <c r="A38" s="5" t="s">
        <v>553</v>
      </c>
      <c r="B38" t="str">
        <f>VLOOKUP(A38,'[1]子sku-父sku'!$A:$B,2,0)</f>
        <v>ZYL-FLQ06</v>
      </c>
      <c r="C38">
        <f>SUMIFS(allorders!O:O,allorders!L:L,$A38,allorders!AG:AG,"&lt;="&amp;日期!$B$5,allorders!AG:AG,"&gt;="&amp;日期!$B$6,allorders!Q:Q,"&lt;&gt;"&amp;"",allorders!N:N,"Shipped")</f>
        <v>4</v>
      </c>
      <c r="D38">
        <f>SUMIFS(allorders!$O:$O,allorders!$L:$L,$A38,allorders!$AG:$AG,"&lt;="&amp;日期!$B$7,allorders!$AG:$AG,"&gt;="&amp;日期!$B$8,allorders!Q:Q,"&lt;&gt;"&amp;"",allorders!N:N,"Shipped")</f>
        <v>3</v>
      </c>
      <c r="E38">
        <f>SUMIFS(allorders!$O:$O,allorders!$L:$L,$A38,allorders!$AG:$AG,"&lt;="&amp;日期!$B$9,allorders!$AG:$AG,"&gt;="&amp;日期!$B$10,allorders!Q:Q,"&lt;&gt;"&amp;"",allorders!N:N,"Shipped")</f>
        <v>7</v>
      </c>
      <c r="F38">
        <f>SUMIFS(allorders!$O:$O,allorders!$L:$L,$A38,allorders!$AG:$AG,"&lt;="&amp;日期!$B$11,allorders!$AG:$AG,"&gt;="&amp;日期!$B$12,allorders!Q:Q,"&lt;&gt;"&amp;"",allorders!N:N,"Shipped")</f>
        <v>2</v>
      </c>
      <c r="G38">
        <f>SUMIFS(allorders!Q:Q,allorders!L:L,A38,allorders!AG:AG,"&lt;="&amp;日期!$B$2,allorders!AG:AG,"&gt;="&amp;日期!$B$1,allorders!N:N,"Shipped")/SUM(C38:F38)</f>
        <v>16.74</v>
      </c>
      <c r="H38">
        <f>SUMIFS(allorders!Q:Q,allorders!L:L,A38,allorders!AG:AG,"&gt;="&amp;日期!$B$1,allorders!AG:AG,"&lt;="&amp;日期!$B$2,allorders!N:N,"Shipped")</f>
        <v>267.84</v>
      </c>
      <c r="I38">
        <f t="shared" si="0"/>
        <v>16</v>
      </c>
    </row>
    <row r="39" spans="1:9">
      <c r="A39" s="5" t="s">
        <v>573</v>
      </c>
      <c r="B39" t="str">
        <f>VLOOKUP(A39,'[1]子sku-父sku'!$A:$B,2,0)</f>
        <v>ZYL-FLQ06</v>
      </c>
      <c r="C39">
        <f>SUMIFS(allorders!O:O,allorders!L:L,$A39,allorders!AG:AG,"&lt;="&amp;日期!$B$5,allorders!AG:AG,"&gt;="&amp;日期!$B$6,allorders!Q:Q,"&lt;&gt;"&amp;"",allorders!N:N,"Shipped")</f>
        <v>4</v>
      </c>
      <c r="D39">
        <f>SUMIFS(allorders!$O:$O,allorders!$L:$L,$A39,allorders!$AG:$AG,"&lt;="&amp;日期!$B$7,allorders!$AG:$AG,"&gt;="&amp;日期!$B$8,allorders!Q:Q,"&lt;&gt;"&amp;"",allorders!N:N,"Shipped")</f>
        <v>3</v>
      </c>
      <c r="E39">
        <f>SUMIFS(allorders!$O:$O,allorders!$L:$L,$A39,allorders!$AG:$AG,"&lt;="&amp;日期!$B$9,allorders!$AG:$AG,"&gt;="&amp;日期!$B$10,allorders!Q:Q,"&lt;&gt;"&amp;"",allorders!N:N,"Shipped")</f>
        <v>5</v>
      </c>
      <c r="F39">
        <f>SUMIFS(allorders!$O:$O,allorders!$L:$L,$A39,allorders!$AG:$AG,"&lt;="&amp;日期!$B$11,allorders!$AG:$AG,"&gt;="&amp;日期!$B$12,allorders!Q:Q,"&lt;&gt;"&amp;"",allorders!N:N,"Shipped")</f>
        <v>2</v>
      </c>
      <c r="G39">
        <f>SUMIFS(allorders!Q:Q,allorders!L:L,A39,allorders!AG:AG,"&lt;="&amp;日期!$B$2,allorders!AG:AG,"&gt;="&amp;日期!$B$1,allorders!N:N,"Shipped")/SUM(C39:F39)</f>
        <v>16.99</v>
      </c>
      <c r="H39">
        <f>SUMIFS(allorders!Q:Q,allorders!L:L,A39,allorders!AG:AG,"&gt;="&amp;日期!$B$1,allorders!AG:AG,"&lt;="&amp;日期!$B$2,allorders!N:N,"Shipped")</f>
        <v>237.86</v>
      </c>
      <c r="I39">
        <f t="shared" si="0"/>
        <v>14</v>
      </c>
    </row>
    <row r="40" spans="1:9">
      <c r="A40" s="5" t="s">
        <v>624</v>
      </c>
      <c r="B40" t="str">
        <f>VLOOKUP(A40,'[1]子sku-父sku'!$A:$B,2,0)</f>
        <v>BLT-LUHM000</v>
      </c>
      <c r="C40">
        <f>SUMIFS(allorders!O:O,allorders!L:L,$A40,allorders!AG:AG,"&lt;="&amp;日期!$B$5,allorders!AG:AG,"&gt;="&amp;日期!$B$6,allorders!Q:Q,"&lt;&gt;"&amp;"",allorders!N:N,"Shipped")</f>
        <v>0</v>
      </c>
      <c r="D40">
        <f>SUMIFS(allorders!$O:$O,allorders!$L:$L,$A40,allorders!$AG:$AG,"&lt;="&amp;日期!$B$7,allorders!$AG:$AG,"&gt;="&amp;日期!$B$8,allorders!Q:Q,"&lt;&gt;"&amp;"",allorders!N:N,"Shipped")</f>
        <v>0</v>
      </c>
      <c r="E40">
        <f>SUMIFS(allorders!$O:$O,allorders!$L:$L,$A40,allorders!$AG:$AG,"&lt;="&amp;日期!$B$9,allorders!$AG:$AG,"&gt;="&amp;日期!$B$10,allorders!Q:Q,"&lt;&gt;"&amp;"",allorders!N:N,"Shipped")</f>
        <v>0</v>
      </c>
      <c r="F40">
        <f>SUMIFS(allorders!$O:$O,allorders!$L:$L,$A40,allorders!$AG:$AG,"&lt;="&amp;日期!$B$11,allorders!$AG:$AG,"&gt;="&amp;日期!$B$12,allorders!Q:Q,"&lt;&gt;"&amp;"",allorders!N:N,"Shipped")</f>
        <v>2</v>
      </c>
      <c r="G40">
        <f>SUMIFS(allorders!Q:Q,allorders!L:L,A40,allorders!AG:AG,"&lt;="&amp;日期!$B$2,allorders!AG:AG,"&gt;="&amp;日期!$B$1,allorders!N:N,"Shipped")/SUM(C40:F40)</f>
        <v>9.99</v>
      </c>
      <c r="H40">
        <f>SUMIFS(allorders!Q:Q,allorders!L:L,A40,allorders!AG:AG,"&gt;="&amp;日期!$B$1,allorders!AG:AG,"&lt;="&amp;日期!$B$2,allorders!N:N,"Shipped")</f>
        <v>19.98</v>
      </c>
      <c r="I40">
        <f t="shared" si="0"/>
        <v>2</v>
      </c>
    </row>
    <row r="41" spans="1:9">
      <c r="A41" s="5" t="s">
        <v>656</v>
      </c>
      <c r="B41" t="str">
        <f>VLOOKUP(A41,'[1]子sku-父sku'!$A:$B,2,0)</f>
        <v>SQ-LUHM</v>
      </c>
      <c r="C41">
        <f>SUMIFS(allorders!O:O,allorders!L:L,$A41,allorders!AG:AG,"&lt;="&amp;日期!$B$5,allorders!AG:AG,"&gt;="&amp;日期!$B$6,allorders!Q:Q,"&lt;&gt;"&amp;"",allorders!N:N,"Shipped")</f>
        <v>3</v>
      </c>
      <c r="D41">
        <f>SUMIFS(allorders!$O:$O,allorders!$L:$L,$A41,allorders!$AG:$AG,"&lt;="&amp;日期!$B$7,allorders!$AG:$AG,"&gt;="&amp;日期!$B$8,allorders!Q:Q,"&lt;&gt;"&amp;"",allorders!N:N,"Shipped")</f>
        <v>12</v>
      </c>
      <c r="E41">
        <f>SUMIFS(allorders!$O:$O,allorders!$L:$L,$A41,allorders!$AG:$AG,"&lt;="&amp;日期!$B$9,allorders!$AG:$AG,"&gt;="&amp;日期!$B$10,allorders!Q:Q,"&lt;&gt;"&amp;"",allorders!N:N,"Shipped")</f>
        <v>3</v>
      </c>
      <c r="F41">
        <f>SUMIFS(allorders!$O:$O,allorders!$L:$L,$A41,allorders!$AG:$AG,"&lt;="&amp;日期!$B$11,allorders!$AG:$AG,"&gt;="&amp;日期!$B$12,allorders!Q:Q,"&lt;&gt;"&amp;"",allorders!N:N,"Shipped")</f>
        <v>2</v>
      </c>
      <c r="G41">
        <f>SUMIFS(allorders!Q:Q,allorders!L:L,A41,allorders!AG:AG,"&lt;="&amp;日期!$B$2,allorders!AG:AG,"&gt;="&amp;日期!$B$1,allorders!N:N,"Shipped")/SUM(C41:F41)</f>
        <v>18.39</v>
      </c>
      <c r="H41">
        <f>SUMIFS(allorders!Q:Q,allorders!L:L,A41,allorders!AG:AG,"&gt;="&amp;日期!$B$1,allorders!AG:AG,"&lt;="&amp;日期!$B$2,allorders!N:N,"Shipped")</f>
        <v>367.8</v>
      </c>
      <c r="I41">
        <f t="shared" si="0"/>
        <v>20</v>
      </c>
    </row>
    <row r="42" spans="1:9">
      <c r="A42" s="5" t="s">
        <v>663</v>
      </c>
      <c r="B42" t="str">
        <f>VLOOKUP(A42,'[1]子sku-父sku'!$A:$B,2,0)</f>
        <v>SND-FLQ18</v>
      </c>
      <c r="C42">
        <f>SUMIFS(allorders!O:O,allorders!L:L,$A42,allorders!AG:AG,"&lt;="&amp;日期!$B$5,allorders!AG:AG,"&gt;="&amp;日期!$B$6,allorders!Q:Q,"&lt;&gt;"&amp;"",allorders!N:N,"Shipped")</f>
        <v>0</v>
      </c>
      <c r="D42">
        <f>SUMIFS(allorders!$O:$O,allorders!$L:$L,$A42,allorders!$AG:$AG,"&lt;="&amp;日期!$B$7,allorders!$AG:$AG,"&gt;="&amp;日期!$B$8,allorders!Q:Q,"&lt;&gt;"&amp;"",allorders!N:N,"Shipped")</f>
        <v>0</v>
      </c>
      <c r="E42">
        <f>SUMIFS(allorders!$O:$O,allorders!$L:$L,$A42,allorders!$AG:$AG,"&lt;="&amp;日期!$B$9,allorders!$AG:$AG,"&gt;="&amp;日期!$B$10,allorders!Q:Q,"&lt;&gt;"&amp;"",allorders!N:N,"Shipped")</f>
        <v>0</v>
      </c>
      <c r="F42">
        <f>SUMIFS(allorders!$O:$O,allorders!$L:$L,$A42,allorders!$AG:$AG,"&lt;="&amp;日期!$B$11,allorders!$AG:$AG,"&gt;="&amp;日期!$B$12,allorders!Q:Q,"&lt;&gt;"&amp;"",allorders!N:N,"Shipped")</f>
        <v>1</v>
      </c>
      <c r="G42">
        <f>SUMIFS(allorders!Q:Q,allorders!L:L,A42,allorders!AG:AG,"&lt;="&amp;日期!$B$2,allorders!AG:AG,"&gt;="&amp;日期!$B$1,allorders!N:N,"Shipped")/SUM(C42:F42)</f>
        <v>10</v>
      </c>
      <c r="H42">
        <f>SUMIFS(allorders!Q:Q,allorders!L:L,A42,allorders!AG:AG,"&gt;="&amp;日期!$B$1,allorders!AG:AG,"&lt;="&amp;日期!$B$2,allorders!N:N,"Shipped")</f>
        <v>10</v>
      </c>
      <c r="I42">
        <f t="shared" si="0"/>
        <v>1</v>
      </c>
    </row>
    <row r="43" spans="1:9">
      <c r="A43" s="5" t="s">
        <v>676</v>
      </c>
      <c r="B43" t="str">
        <f>VLOOKUP(A43,'[1]子sku-父sku'!$A:$B,2,0)</f>
        <v>ZYL-FLQ59</v>
      </c>
      <c r="C43">
        <f>SUMIFS(allorders!O:O,allorders!L:L,$A43,allorders!AG:AG,"&lt;="&amp;日期!$B$5,allorders!AG:AG,"&gt;="&amp;日期!$B$6,allorders!Q:Q,"&lt;&gt;"&amp;"",allorders!N:N,"Shipped")</f>
        <v>4</v>
      </c>
      <c r="D43">
        <f>SUMIFS(allorders!$O:$O,allorders!$L:$L,$A43,allorders!$AG:$AG,"&lt;="&amp;日期!$B$7,allorders!$AG:$AG,"&gt;="&amp;日期!$B$8,allorders!Q:Q,"&lt;&gt;"&amp;"",allorders!N:N,"Shipped")</f>
        <v>5</v>
      </c>
      <c r="E43">
        <f>SUMIFS(allorders!$O:$O,allorders!$L:$L,$A43,allorders!$AG:$AG,"&lt;="&amp;日期!$B$9,allorders!$AG:$AG,"&gt;="&amp;日期!$B$10,allorders!Q:Q,"&lt;&gt;"&amp;"",allorders!N:N,"Shipped")</f>
        <v>2</v>
      </c>
      <c r="F43">
        <f>SUMIFS(allorders!$O:$O,allorders!$L:$L,$A43,allorders!$AG:$AG,"&lt;="&amp;日期!$B$11,allorders!$AG:$AG,"&gt;="&amp;日期!$B$12,allorders!Q:Q,"&lt;&gt;"&amp;"",allorders!N:N,"Shipped")</f>
        <v>2</v>
      </c>
      <c r="G43">
        <f>SUMIFS(allorders!Q:Q,allorders!L:L,A43,allorders!AG:AG,"&lt;="&amp;日期!$B$2,allorders!AG:AG,"&gt;="&amp;日期!$B$1,allorders!N:N,"Shipped")/SUM(C43:F43)</f>
        <v>14.99</v>
      </c>
      <c r="H43">
        <f>SUMIFS(allorders!Q:Q,allorders!L:L,A43,allorders!AG:AG,"&gt;="&amp;日期!$B$1,allorders!AG:AG,"&lt;="&amp;日期!$B$2,allorders!N:N,"Shipped")</f>
        <v>194.87</v>
      </c>
      <c r="I43">
        <f t="shared" si="0"/>
        <v>13</v>
      </c>
    </row>
    <row r="44" spans="1:9">
      <c r="A44" s="5" t="s">
        <v>689</v>
      </c>
      <c r="B44" t="str">
        <f>VLOOKUP(A44,'[1]子sku-父sku'!$A:$B,2,0)</f>
        <v>BLT-LUHM819</v>
      </c>
      <c r="C44">
        <f>SUMIFS(allorders!O:O,allorders!L:L,$A44,allorders!AG:AG,"&lt;="&amp;日期!$B$5,allorders!AG:AG,"&gt;="&amp;日期!$B$6,allorders!Q:Q,"&lt;&gt;"&amp;"",allorders!N:N,"Shipped")</f>
        <v>0</v>
      </c>
      <c r="D44">
        <f>SUMIFS(allorders!$O:$O,allorders!$L:$L,$A44,allorders!$AG:$AG,"&lt;="&amp;日期!$B$7,allorders!$AG:$AG,"&gt;="&amp;日期!$B$8,allorders!Q:Q,"&lt;&gt;"&amp;"",allorders!N:N,"Shipped")</f>
        <v>1</v>
      </c>
      <c r="E44">
        <f>SUMIFS(allorders!$O:$O,allorders!$L:$L,$A44,allorders!$AG:$AG,"&lt;="&amp;日期!$B$9,allorders!$AG:$AG,"&gt;="&amp;日期!$B$10,allorders!Q:Q,"&lt;&gt;"&amp;"",allorders!N:N,"Shipped")</f>
        <v>2</v>
      </c>
      <c r="F44">
        <f>SUMIFS(allorders!$O:$O,allorders!$L:$L,$A44,allorders!$AG:$AG,"&lt;="&amp;日期!$B$11,allorders!$AG:$AG,"&gt;="&amp;日期!$B$12,allorders!Q:Q,"&lt;&gt;"&amp;"",allorders!N:N,"Shipped")</f>
        <v>2</v>
      </c>
      <c r="G44">
        <f>SUMIFS(allorders!Q:Q,allorders!L:L,A44,allorders!AG:AG,"&lt;="&amp;日期!$B$2,allorders!AG:AG,"&gt;="&amp;日期!$B$1,allorders!N:N,"Shipped")/SUM(C44:F44)</f>
        <v>8.99</v>
      </c>
      <c r="H44">
        <f>SUMIFS(allorders!Q:Q,allorders!L:L,A44,allorders!AG:AG,"&gt;="&amp;日期!$B$1,allorders!AG:AG,"&lt;="&amp;日期!$B$2,allorders!N:N,"Shipped")</f>
        <v>44.95</v>
      </c>
      <c r="I44">
        <f t="shared" si="0"/>
        <v>5</v>
      </c>
    </row>
    <row r="45" spans="1:9">
      <c r="A45" s="5" t="s">
        <v>698</v>
      </c>
      <c r="B45" t="str">
        <f>VLOOKUP(A45,'[1]子sku-父sku'!$A:$B,2,0)</f>
        <v>BLT-LUHM000</v>
      </c>
      <c r="C45">
        <f>SUMIFS(allorders!O:O,allorders!L:L,$A45,allorders!AG:AG,"&lt;="&amp;日期!$B$5,allorders!AG:AG,"&gt;="&amp;日期!$B$6,allorders!Q:Q,"&lt;&gt;"&amp;"",allorders!N:N,"Shipped")</f>
        <v>0</v>
      </c>
      <c r="D45">
        <f>SUMIFS(allorders!$O:$O,allorders!$L:$L,$A45,allorders!$AG:$AG,"&lt;="&amp;日期!$B$7,allorders!$AG:$AG,"&gt;="&amp;日期!$B$8,allorders!Q:Q,"&lt;&gt;"&amp;"",allorders!N:N,"Shipped")</f>
        <v>0</v>
      </c>
      <c r="E45">
        <f>SUMIFS(allorders!$O:$O,allorders!$L:$L,$A45,allorders!$AG:$AG,"&lt;="&amp;日期!$B$9,allorders!$AG:$AG,"&gt;="&amp;日期!$B$10,allorders!Q:Q,"&lt;&gt;"&amp;"",allorders!N:N,"Shipped")</f>
        <v>2</v>
      </c>
      <c r="F45">
        <f>SUMIFS(allorders!$O:$O,allorders!$L:$L,$A45,allorders!$AG:$AG,"&lt;="&amp;日期!$B$11,allorders!$AG:$AG,"&gt;="&amp;日期!$B$12,allorders!Q:Q,"&lt;&gt;"&amp;"",allorders!N:N,"Shipped")</f>
        <v>1</v>
      </c>
      <c r="G45">
        <f>SUMIFS(allorders!Q:Q,allorders!L:L,A45,allorders!AG:AG,"&lt;="&amp;日期!$B$2,allorders!AG:AG,"&gt;="&amp;日期!$B$1,allorders!N:N,"Shipped")/SUM(C45:F45)</f>
        <v>9.99</v>
      </c>
      <c r="H45">
        <f>SUMIFS(allorders!Q:Q,allorders!L:L,A45,allorders!AG:AG,"&gt;="&amp;日期!$B$1,allorders!AG:AG,"&lt;="&amp;日期!$B$2,allorders!N:N,"Shipped")</f>
        <v>29.97</v>
      </c>
      <c r="I45">
        <f t="shared" si="0"/>
        <v>3</v>
      </c>
    </row>
    <row r="46" spans="1:9">
      <c r="A46" s="5" t="s">
        <v>715</v>
      </c>
      <c r="B46" t="str">
        <f>VLOOKUP(A46,'[1]子sku-父sku'!$A:$B,2,0)</f>
        <v>BLT-WF125</v>
      </c>
      <c r="C46">
        <f>SUMIFS(allorders!O:O,allorders!L:L,$A46,allorders!AG:AG,"&lt;="&amp;日期!$B$5,allorders!AG:AG,"&gt;="&amp;日期!$B$6,allorders!Q:Q,"&lt;&gt;"&amp;"",allorders!N:N,"Shipped")</f>
        <v>0</v>
      </c>
      <c r="D46">
        <f>SUMIFS(allorders!$O:$O,allorders!$L:$L,$A46,allorders!$AG:$AG,"&lt;="&amp;日期!$B$7,allorders!$AG:$AG,"&gt;="&amp;日期!$B$8,allorders!Q:Q,"&lt;&gt;"&amp;"",allorders!N:N,"Shipped")</f>
        <v>0</v>
      </c>
      <c r="E46">
        <f>SUMIFS(allorders!$O:$O,allorders!$L:$L,$A46,allorders!$AG:$AG,"&lt;="&amp;日期!$B$9,allorders!$AG:$AG,"&gt;="&amp;日期!$B$10,allorders!Q:Q,"&lt;&gt;"&amp;"",allorders!N:N,"Shipped")</f>
        <v>0</v>
      </c>
      <c r="F46">
        <f>SUMIFS(allorders!$O:$O,allorders!$L:$L,$A46,allorders!$AG:$AG,"&lt;="&amp;日期!$B$11,allorders!$AG:$AG,"&gt;="&amp;日期!$B$12,allorders!Q:Q,"&lt;&gt;"&amp;"",allorders!N:N,"Shipped")</f>
        <v>2</v>
      </c>
      <c r="G46">
        <f>SUMIFS(allorders!Q:Q,allorders!L:L,A46,allorders!AG:AG,"&lt;="&amp;日期!$B$2,allorders!AG:AG,"&gt;="&amp;日期!$B$1,allorders!N:N,"Shipped")/SUM(C46:F46)</f>
        <v>8.99</v>
      </c>
      <c r="H46">
        <f>SUMIFS(allorders!Q:Q,allorders!L:L,A46,allorders!AG:AG,"&gt;="&amp;日期!$B$1,allorders!AG:AG,"&lt;="&amp;日期!$B$2,allorders!N:N,"Shipped")</f>
        <v>17.98</v>
      </c>
      <c r="I46">
        <f t="shared" si="0"/>
        <v>2</v>
      </c>
    </row>
    <row r="47" spans="1:9">
      <c r="A47" s="5" t="s">
        <v>735</v>
      </c>
      <c r="B47" t="str">
        <f>VLOOKUP(A47,'[1]子sku-父sku'!$A:$B,2,0)</f>
        <v>CWB-WF021</v>
      </c>
      <c r="C47">
        <f>SUMIFS(allorders!O:O,allorders!L:L,$A47,allorders!AG:AG,"&lt;="&amp;日期!$B$5,allorders!AG:AG,"&gt;="&amp;日期!$B$6,allorders!Q:Q,"&lt;&gt;"&amp;"",allorders!N:N,"Shipped")</f>
        <v>0</v>
      </c>
      <c r="D47">
        <f>SUMIFS(allorders!$O:$O,allorders!$L:$L,$A47,allorders!$AG:$AG,"&lt;="&amp;日期!$B$7,allorders!$AG:$AG,"&gt;="&amp;日期!$B$8,allorders!Q:Q,"&lt;&gt;"&amp;"",allorders!N:N,"Shipped")</f>
        <v>0</v>
      </c>
      <c r="E47">
        <f>SUMIFS(allorders!$O:$O,allorders!$L:$L,$A47,allorders!$AG:$AG,"&lt;="&amp;日期!$B$9,allorders!$AG:$AG,"&gt;="&amp;日期!$B$10,allorders!Q:Q,"&lt;&gt;"&amp;"",allorders!N:N,"Shipped")</f>
        <v>0</v>
      </c>
      <c r="F47">
        <f>SUMIFS(allorders!$O:$O,allorders!$L:$L,$A47,allorders!$AG:$AG,"&lt;="&amp;日期!$B$11,allorders!$AG:$AG,"&gt;="&amp;日期!$B$12,allorders!Q:Q,"&lt;&gt;"&amp;"",allorders!N:N,"Shipped")</f>
        <v>1</v>
      </c>
      <c r="G47">
        <f>SUMIFS(allorders!Q:Q,allorders!L:L,A47,allorders!AG:AG,"&lt;="&amp;日期!$B$2,allorders!AG:AG,"&gt;="&amp;日期!$B$1,allorders!N:N,"Shipped")/SUM(C47:F47)</f>
        <v>14.4</v>
      </c>
      <c r="H47">
        <f>SUMIFS(allorders!Q:Q,allorders!L:L,A47,allorders!AG:AG,"&gt;="&amp;日期!$B$1,allorders!AG:AG,"&lt;="&amp;日期!$B$2,allorders!N:N,"Shipped")</f>
        <v>14.4</v>
      </c>
      <c r="I47">
        <f t="shared" si="0"/>
        <v>1</v>
      </c>
    </row>
    <row r="48" spans="1:9">
      <c r="A48" s="5" t="s">
        <v>763</v>
      </c>
      <c r="B48" t="str">
        <f>VLOOKUP(A48,'[1]子sku-父sku'!$A:$B,2,0)</f>
        <v>WY-WF1225</v>
      </c>
      <c r="C48">
        <f>SUMIFS(allorders!O:O,allorders!L:L,$A48,allorders!AG:AG,"&lt;="&amp;日期!$B$5,allorders!AG:AG,"&gt;="&amp;日期!$B$6,allorders!Q:Q,"&lt;&gt;"&amp;"",allorders!N:N,"Shipped")</f>
        <v>0</v>
      </c>
      <c r="D48">
        <f>SUMIFS(allorders!$O:$O,allorders!$L:$L,$A48,allorders!$AG:$AG,"&lt;="&amp;日期!$B$7,allorders!$AG:$AG,"&gt;="&amp;日期!$B$8,allorders!Q:Q,"&lt;&gt;"&amp;"",allorders!N:N,"Shipped")</f>
        <v>0</v>
      </c>
      <c r="E48">
        <f>SUMIFS(allorders!$O:$O,allorders!$L:$L,$A48,allorders!$AG:$AG,"&lt;="&amp;日期!$B$9,allorders!$AG:$AG,"&gt;="&amp;日期!$B$10,allorders!Q:Q,"&lt;&gt;"&amp;"",allorders!N:N,"Shipped")</f>
        <v>0</v>
      </c>
      <c r="F48">
        <f>SUMIFS(allorders!$O:$O,allorders!$L:$L,$A48,allorders!$AG:$AG,"&lt;="&amp;日期!$B$11,allorders!$AG:$AG,"&gt;="&amp;日期!$B$12,allorders!Q:Q,"&lt;&gt;"&amp;"",allorders!N:N,"Shipped")</f>
        <v>1</v>
      </c>
      <c r="G48">
        <f>SUMIFS(allorders!Q:Q,allorders!L:L,A48,allorders!AG:AG,"&lt;="&amp;日期!$B$2,allorders!AG:AG,"&gt;="&amp;日期!$B$1,allorders!N:N,"Shipped")/SUM(C48:F48)</f>
        <v>21.98</v>
      </c>
      <c r="H48">
        <f>SUMIFS(allorders!Q:Q,allorders!L:L,A48,allorders!AG:AG,"&gt;="&amp;日期!$B$1,allorders!AG:AG,"&lt;="&amp;日期!$B$2,allorders!N:N,"Shipped")</f>
        <v>21.98</v>
      </c>
      <c r="I48">
        <f t="shared" si="0"/>
        <v>1</v>
      </c>
    </row>
    <row r="49" spans="1:9">
      <c r="A49" s="5" t="s">
        <v>795</v>
      </c>
      <c r="B49" t="str">
        <f>VLOOKUP(A49,'[1]子sku-父sku'!$A:$B,2,0)</f>
        <v>XQ-LUHM034</v>
      </c>
      <c r="C49">
        <f>SUMIFS(allorders!O:O,allorders!L:L,$A49,allorders!AG:AG,"&lt;="&amp;日期!$B$5,allorders!AG:AG,"&gt;="&amp;日期!$B$6,allorders!Q:Q,"&lt;&gt;"&amp;"",allorders!N:N,"Shipped")</f>
        <v>0</v>
      </c>
      <c r="D49">
        <f>SUMIFS(allorders!$O:$O,allorders!$L:$L,$A49,allorders!$AG:$AG,"&lt;="&amp;日期!$B$7,allorders!$AG:$AG,"&gt;="&amp;日期!$B$8,allorders!Q:Q,"&lt;&gt;"&amp;"",allorders!N:N,"Shipped")</f>
        <v>0</v>
      </c>
      <c r="E49">
        <f>SUMIFS(allorders!$O:$O,allorders!$L:$L,$A49,allorders!$AG:$AG,"&lt;="&amp;日期!$B$9,allorders!$AG:$AG,"&gt;="&amp;日期!$B$10,allorders!Q:Q,"&lt;&gt;"&amp;"",allorders!N:N,"Shipped")</f>
        <v>0</v>
      </c>
      <c r="F49">
        <f>SUMIFS(allorders!$O:$O,allorders!$L:$L,$A49,allorders!$AG:$AG,"&lt;="&amp;日期!$B$11,allorders!$AG:$AG,"&gt;="&amp;日期!$B$12,allorders!Q:Q,"&lt;&gt;"&amp;"",allorders!N:N,"Shipped")</f>
        <v>1</v>
      </c>
      <c r="G49">
        <f>SUMIFS(allorders!Q:Q,allorders!L:L,A49,allorders!AG:AG,"&lt;="&amp;日期!$B$2,allorders!AG:AG,"&gt;="&amp;日期!$B$1,allorders!N:N,"Shipped")/SUM(C49:F49)</f>
        <v>9.99</v>
      </c>
      <c r="H49">
        <f>SUMIFS(allorders!Q:Q,allorders!L:L,A49,allorders!AG:AG,"&gt;="&amp;日期!$B$1,allorders!AG:AG,"&lt;="&amp;日期!$B$2,allorders!N:N,"Shipped")</f>
        <v>9.99</v>
      </c>
      <c r="I49">
        <f t="shared" si="0"/>
        <v>1</v>
      </c>
    </row>
    <row r="50" spans="1:9">
      <c r="A50" s="5" t="s">
        <v>832</v>
      </c>
      <c r="B50" t="str">
        <f>VLOOKUP(A50,'[1]子sku-父sku'!$A:$B,2,0)</f>
        <v>SQ-LUHM</v>
      </c>
      <c r="C50">
        <f>SUMIFS(allorders!O:O,allorders!L:L,$A50,allorders!AG:AG,"&lt;="&amp;日期!$B$5,allorders!AG:AG,"&gt;="&amp;日期!$B$6,allorders!Q:Q,"&lt;&gt;"&amp;"",allorders!N:N,"Shipped")</f>
        <v>6</v>
      </c>
      <c r="D50">
        <f>SUMIFS(allorders!$O:$O,allorders!$L:$L,$A50,allorders!$AG:$AG,"&lt;="&amp;日期!$B$7,allorders!$AG:$AG,"&gt;="&amp;日期!$B$8,allorders!Q:Q,"&lt;&gt;"&amp;"",allorders!N:N,"Shipped")</f>
        <v>2</v>
      </c>
      <c r="E50">
        <f>SUMIFS(allorders!$O:$O,allorders!$L:$L,$A50,allorders!$AG:$AG,"&lt;="&amp;日期!$B$9,allorders!$AG:$AG,"&gt;="&amp;日期!$B$10,allorders!Q:Q,"&lt;&gt;"&amp;"",allorders!N:N,"Shipped")</f>
        <v>6</v>
      </c>
      <c r="F50">
        <f>SUMIFS(allorders!$O:$O,allorders!$L:$L,$A50,allorders!$AG:$AG,"&lt;="&amp;日期!$B$11,allorders!$AG:$AG,"&gt;="&amp;日期!$B$12,allorders!Q:Q,"&lt;&gt;"&amp;"",allorders!N:N,"Shipped")</f>
        <v>1</v>
      </c>
      <c r="G50">
        <f>SUMIFS(allorders!Q:Q,allorders!L:L,A50,allorders!AG:AG,"&lt;="&amp;日期!$B$2,allorders!AG:AG,"&gt;="&amp;日期!$B$1,allorders!N:N,"Shipped")/SUM(C50:F50)</f>
        <v>15.79</v>
      </c>
      <c r="H50">
        <f>SUMIFS(allorders!Q:Q,allorders!L:L,A50,allorders!AG:AG,"&gt;="&amp;日期!$B$1,allorders!AG:AG,"&lt;="&amp;日期!$B$2,allorders!N:N,"Shipped")</f>
        <v>236.85</v>
      </c>
      <c r="I50">
        <f t="shared" si="0"/>
        <v>15</v>
      </c>
    </row>
    <row r="51" spans="1:9">
      <c r="A51" s="5" t="s">
        <v>854</v>
      </c>
      <c r="B51" t="str">
        <f>VLOOKUP(A51,'[1]子sku-父sku'!$A:$B,2,0)</f>
        <v>ZYL-FLQ2013</v>
      </c>
      <c r="C51">
        <f>SUMIFS(allorders!O:O,allorders!L:L,$A51,allorders!AG:AG,"&lt;="&amp;日期!$B$5,allorders!AG:AG,"&gt;="&amp;日期!$B$6,allorders!Q:Q,"&lt;&gt;"&amp;"",allorders!N:N,"Shipped")</f>
        <v>0</v>
      </c>
      <c r="D51">
        <f>SUMIFS(allorders!$O:$O,allorders!$L:$L,$A51,allorders!$AG:$AG,"&lt;="&amp;日期!$B$7,allorders!$AG:$AG,"&gt;="&amp;日期!$B$8,allorders!Q:Q,"&lt;&gt;"&amp;"",allorders!N:N,"Shipped")</f>
        <v>0</v>
      </c>
      <c r="E51">
        <f>SUMIFS(allorders!$O:$O,allorders!$L:$L,$A51,allorders!$AG:$AG,"&lt;="&amp;日期!$B$9,allorders!$AG:$AG,"&gt;="&amp;日期!$B$10,allorders!Q:Q,"&lt;&gt;"&amp;"",allorders!N:N,"Shipped")</f>
        <v>0</v>
      </c>
      <c r="F51">
        <f>SUMIFS(allorders!$O:$O,allorders!$L:$L,$A51,allorders!$AG:$AG,"&lt;="&amp;日期!$B$11,allorders!$AG:$AG,"&gt;="&amp;日期!$B$12,allorders!Q:Q,"&lt;&gt;"&amp;"",allorders!N:N,"Shipped")</f>
        <v>1</v>
      </c>
      <c r="G51">
        <f>SUMIFS(allorders!Q:Q,allorders!L:L,A51,allorders!AG:AG,"&lt;="&amp;日期!$B$2,allorders!AG:AG,"&gt;="&amp;日期!$B$1,allorders!N:N,"Shipped")/SUM(C51:F51)</f>
        <v>14.99</v>
      </c>
      <c r="H51">
        <f>SUMIFS(allorders!Q:Q,allorders!L:L,A51,allorders!AG:AG,"&gt;="&amp;日期!$B$1,allorders!AG:AG,"&lt;="&amp;日期!$B$2,allorders!N:N,"Shipped")</f>
        <v>14.99</v>
      </c>
      <c r="I51">
        <f t="shared" si="0"/>
        <v>1</v>
      </c>
    </row>
    <row r="52" spans="1:9">
      <c r="A52" s="5" t="s">
        <v>876</v>
      </c>
      <c r="B52" t="str">
        <f>VLOOKUP(A52,'[1]子sku-父sku'!$A:$B,2,0)</f>
        <v>SQ-LUHM</v>
      </c>
      <c r="C52">
        <f>SUMIFS(allorders!O:O,allorders!L:L,$A52,allorders!AG:AG,"&lt;="&amp;日期!$B$5,allorders!AG:AG,"&gt;="&amp;日期!$B$6,allorders!Q:Q,"&lt;&gt;"&amp;"",allorders!N:N,"Shipped")</f>
        <v>4</v>
      </c>
      <c r="D52">
        <f>SUMIFS(allorders!$O:$O,allorders!$L:$L,$A52,allorders!$AG:$AG,"&lt;="&amp;日期!$B$7,allorders!$AG:$AG,"&gt;="&amp;日期!$B$8,allorders!Q:Q,"&lt;&gt;"&amp;"",allorders!N:N,"Shipped")</f>
        <v>20</v>
      </c>
      <c r="E52">
        <f>SUMIFS(allorders!$O:$O,allorders!$L:$L,$A52,allorders!$AG:$AG,"&lt;="&amp;日期!$B$9,allorders!$AG:$AG,"&gt;="&amp;日期!$B$10,allorders!Q:Q,"&lt;&gt;"&amp;"",allorders!N:N,"Shipped")</f>
        <v>5</v>
      </c>
      <c r="F52">
        <f>SUMIFS(allorders!$O:$O,allorders!$L:$L,$A52,allorders!$AG:$AG,"&lt;="&amp;日期!$B$11,allorders!$AG:$AG,"&gt;="&amp;日期!$B$12,allorders!Q:Q,"&lt;&gt;"&amp;"",allorders!N:N,"Shipped")</f>
        <v>2</v>
      </c>
      <c r="G52">
        <f>SUMIFS(allorders!Q:Q,allorders!L:L,A52,allorders!AG:AG,"&lt;="&amp;日期!$B$2,allorders!AG:AG,"&gt;="&amp;日期!$B$1,allorders!N:N,"Shipped")/SUM(C52:F52)</f>
        <v>21.5061290322581</v>
      </c>
      <c r="H52">
        <f>SUMIFS(allorders!Q:Q,allorders!L:L,A52,allorders!AG:AG,"&gt;="&amp;日期!$B$1,allorders!AG:AG,"&lt;="&amp;日期!$B$2,allorders!N:N,"Shipped")</f>
        <v>666.69</v>
      </c>
      <c r="I52">
        <f t="shared" si="0"/>
        <v>31</v>
      </c>
    </row>
    <row r="53" spans="1:9">
      <c r="A53" s="5" t="s">
        <v>901</v>
      </c>
      <c r="B53" t="str">
        <f>VLOOKUP(A53,'[1]子sku-父sku'!$A:$B,2,0)</f>
        <v>SDSZH</v>
      </c>
      <c r="C53">
        <f>SUMIFS(allorders!O:O,allorders!L:L,$A53,allorders!AG:AG,"&lt;="&amp;日期!$B$5,allorders!AG:AG,"&gt;="&amp;日期!$B$6,allorders!Q:Q,"&lt;&gt;"&amp;"",allorders!N:N,"Shipped")</f>
        <v>0</v>
      </c>
      <c r="D53">
        <f>SUMIFS(allorders!$O:$O,allorders!$L:$L,$A53,allorders!$AG:$AG,"&lt;="&amp;日期!$B$7,allorders!$AG:$AG,"&gt;="&amp;日期!$B$8,allorders!Q:Q,"&lt;&gt;"&amp;"",allorders!N:N,"Shipped")</f>
        <v>0</v>
      </c>
      <c r="E53">
        <f>SUMIFS(allorders!$O:$O,allorders!$L:$L,$A53,allorders!$AG:$AG,"&lt;="&amp;日期!$B$9,allorders!$AG:$AG,"&gt;="&amp;日期!$B$10,allorders!Q:Q,"&lt;&gt;"&amp;"",allorders!N:N,"Shipped")</f>
        <v>0</v>
      </c>
      <c r="F53">
        <f>SUMIFS(allorders!$O:$O,allorders!$L:$L,$A53,allorders!$AG:$AG,"&lt;="&amp;日期!$B$11,allorders!$AG:$AG,"&gt;="&amp;日期!$B$12,allorders!Q:Q,"&lt;&gt;"&amp;"",allorders!N:N,"Shipped")</f>
        <v>1</v>
      </c>
      <c r="G53">
        <f>SUMIFS(allorders!Q:Q,allorders!L:L,A53,allorders!AG:AG,"&lt;="&amp;日期!$B$2,allorders!AG:AG,"&gt;="&amp;日期!$B$1,allorders!N:N,"Shipped")/SUM(C53:F53)</f>
        <v>19.9</v>
      </c>
      <c r="H53">
        <f>SUMIFS(allorders!Q:Q,allorders!L:L,A53,allorders!AG:AG,"&gt;="&amp;日期!$B$1,allorders!AG:AG,"&lt;="&amp;日期!$B$2,allorders!N:N,"Shipped")</f>
        <v>19.9</v>
      </c>
      <c r="I53">
        <f t="shared" si="0"/>
        <v>1</v>
      </c>
    </row>
    <row r="54" spans="1:9">
      <c r="A54" s="5" t="s">
        <v>919</v>
      </c>
      <c r="B54" t="str">
        <f>VLOOKUP(A54,'[1]子sku-父sku'!$A:$B,2,0)</f>
        <v>SD-LUHM202</v>
      </c>
      <c r="C54">
        <f>SUMIFS(allorders!O:O,allorders!L:L,$A54,allorders!AG:AG,"&lt;="&amp;日期!$B$5,allorders!AG:AG,"&gt;="&amp;日期!$B$6,allorders!Q:Q,"&lt;&gt;"&amp;"",allorders!N:N,"Shipped")</f>
        <v>0</v>
      </c>
      <c r="D54">
        <f>SUMIFS(allorders!$O:$O,allorders!$L:$L,$A54,allorders!$AG:$AG,"&lt;="&amp;日期!$B$7,allorders!$AG:$AG,"&gt;="&amp;日期!$B$8,allorders!Q:Q,"&lt;&gt;"&amp;"",allorders!N:N,"Shipped")</f>
        <v>0</v>
      </c>
      <c r="E54">
        <f>SUMIFS(allorders!$O:$O,allorders!$L:$L,$A54,allorders!$AG:$AG,"&lt;="&amp;日期!$B$9,allorders!$AG:$AG,"&gt;="&amp;日期!$B$10,allorders!Q:Q,"&lt;&gt;"&amp;"",allorders!N:N,"Shipped")</f>
        <v>0</v>
      </c>
      <c r="F54">
        <f>SUMIFS(allorders!$O:$O,allorders!$L:$L,$A54,allorders!$AG:$AG,"&lt;="&amp;日期!$B$11,allorders!$AG:$AG,"&gt;="&amp;日期!$B$12,allorders!Q:Q,"&lt;&gt;"&amp;"",allorders!N:N,"Shipped")</f>
        <v>1</v>
      </c>
      <c r="G54">
        <f>SUMIFS(allorders!Q:Q,allorders!L:L,A54,allorders!AG:AG,"&lt;="&amp;日期!$B$2,allorders!AG:AG,"&gt;="&amp;日期!$B$1,allorders!N:N,"Shipped")/SUM(C54:F54)</f>
        <v>12.99</v>
      </c>
      <c r="H54">
        <f>SUMIFS(allorders!Q:Q,allorders!L:L,A54,allorders!AG:AG,"&gt;="&amp;日期!$B$1,allorders!AG:AG,"&lt;="&amp;日期!$B$2,allorders!N:N,"Shipped")</f>
        <v>12.99</v>
      </c>
      <c r="I54">
        <f t="shared" si="0"/>
        <v>1</v>
      </c>
    </row>
    <row r="55" spans="1:9">
      <c r="A55" s="5" t="s">
        <v>927</v>
      </c>
      <c r="B55" t="str">
        <f>VLOOKUP(A55,'[1]子sku-父sku'!$A:$B,2,0)</f>
        <v>ZYL-FLQ2013</v>
      </c>
      <c r="C55">
        <f>SUMIFS(allorders!O:O,allorders!L:L,$A55,allorders!AG:AG,"&lt;="&amp;日期!$B$5,allorders!AG:AG,"&gt;="&amp;日期!$B$6,allorders!Q:Q,"&lt;&gt;"&amp;"",allorders!N:N,"Shipped")</f>
        <v>0</v>
      </c>
      <c r="D55">
        <f>SUMIFS(allorders!$O:$O,allorders!$L:$L,$A55,allorders!$AG:$AG,"&lt;="&amp;日期!$B$7,allorders!$AG:$AG,"&gt;="&amp;日期!$B$8,allorders!Q:Q,"&lt;&gt;"&amp;"",allorders!N:N,"Shipped")</f>
        <v>1</v>
      </c>
      <c r="E55">
        <f>SUMIFS(allorders!$O:$O,allorders!$L:$L,$A55,allorders!$AG:$AG,"&lt;="&amp;日期!$B$9,allorders!$AG:$AG,"&gt;="&amp;日期!$B$10,allorders!Q:Q,"&lt;&gt;"&amp;"",allorders!N:N,"Shipped")</f>
        <v>1</v>
      </c>
      <c r="F55">
        <f>SUMIFS(allorders!$O:$O,allorders!$L:$L,$A55,allorders!$AG:$AG,"&lt;="&amp;日期!$B$11,allorders!$AG:$AG,"&gt;="&amp;日期!$B$12,allorders!Q:Q,"&lt;&gt;"&amp;"",allorders!N:N,"Shipped")</f>
        <v>1</v>
      </c>
      <c r="G55">
        <f>SUMIFS(allorders!Q:Q,allorders!L:L,A55,allorders!AG:AG,"&lt;="&amp;日期!$B$2,allorders!AG:AG,"&gt;="&amp;日期!$B$1,allorders!N:N,"Shipped")/SUM(C55:F55)</f>
        <v>14.99</v>
      </c>
      <c r="H55">
        <f>SUMIFS(allorders!Q:Q,allorders!L:L,A55,allorders!AG:AG,"&gt;="&amp;日期!$B$1,allorders!AG:AG,"&lt;="&amp;日期!$B$2,allorders!N:N,"Shipped")</f>
        <v>44.97</v>
      </c>
      <c r="I55">
        <f t="shared" si="0"/>
        <v>3</v>
      </c>
    </row>
    <row r="56" spans="1:9">
      <c r="A56" s="5" t="s">
        <v>980</v>
      </c>
      <c r="B56" t="str">
        <f>VLOOKUP(A56,'[1]子sku-父sku'!$A:$B,2,0)</f>
        <v>ZQ-WF002</v>
      </c>
      <c r="C56">
        <f>SUMIFS(allorders!O:O,allorders!L:L,$A56,allorders!AG:AG,"&lt;="&amp;日期!$B$5,allorders!AG:AG,"&gt;="&amp;日期!$B$6,allorders!Q:Q,"&lt;&gt;"&amp;"",allorders!N:N,"Shipped")</f>
        <v>0</v>
      </c>
      <c r="D56">
        <f>SUMIFS(allorders!$O:$O,allorders!$L:$L,$A56,allorders!$AG:$AG,"&lt;="&amp;日期!$B$7,allorders!$AG:$AG,"&gt;="&amp;日期!$B$8,allorders!Q:Q,"&lt;&gt;"&amp;"",allorders!N:N,"Shipped")</f>
        <v>0</v>
      </c>
      <c r="E56">
        <f>SUMIFS(allorders!$O:$O,allorders!$L:$L,$A56,allorders!$AG:$AG,"&lt;="&amp;日期!$B$9,allorders!$AG:$AG,"&gt;="&amp;日期!$B$10,allorders!Q:Q,"&lt;&gt;"&amp;"",allorders!N:N,"Shipped")</f>
        <v>1</v>
      </c>
      <c r="F56">
        <f>SUMIFS(allorders!$O:$O,allorders!$L:$L,$A56,allorders!$AG:$AG,"&lt;="&amp;日期!$B$11,allorders!$AG:$AG,"&gt;="&amp;日期!$B$12,allorders!Q:Q,"&lt;&gt;"&amp;"",allorders!N:N,"Shipped")</f>
        <v>0</v>
      </c>
      <c r="G56">
        <f>SUMIFS(allorders!Q:Q,allorders!L:L,A56,allorders!AG:AG,"&lt;="&amp;日期!$B$2,allorders!AG:AG,"&gt;="&amp;日期!$B$1,allorders!N:N,"Shipped")/SUM(C56:F56)</f>
        <v>18.99</v>
      </c>
      <c r="H56">
        <f>SUMIFS(allorders!Q:Q,allorders!L:L,A56,allorders!AG:AG,"&gt;="&amp;日期!$B$1,allorders!AG:AG,"&lt;="&amp;日期!$B$2,allorders!N:N,"Shipped")</f>
        <v>18.99</v>
      </c>
      <c r="I56">
        <f t="shared" si="0"/>
        <v>1</v>
      </c>
    </row>
    <row r="57" spans="1:9">
      <c r="A57" s="5" t="s">
        <v>1001</v>
      </c>
      <c r="B57" t="str">
        <f>VLOOKUP(A57,'[1]子sku-父sku'!$A:$B,2,0)</f>
        <v>GT-WFTFGT200</v>
      </c>
      <c r="C57">
        <f>SUMIFS(allorders!O:O,allorders!L:L,$A57,allorders!AG:AG,"&lt;="&amp;日期!$B$5,allorders!AG:AG,"&gt;="&amp;日期!$B$6,allorders!Q:Q,"&lt;&gt;"&amp;"",allorders!N:N,"Shipped")</f>
        <v>0</v>
      </c>
      <c r="D57">
        <f>SUMIFS(allorders!$O:$O,allorders!$L:$L,$A57,allorders!$AG:$AG,"&lt;="&amp;日期!$B$7,allorders!$AG:$AG,"&gt;="&amp;日期!$B$8,allorders!Q:Q,"&lt;&gt;"&amp;"",allorders!N:N,"Shipped")</f>
        <v>0</v>
      </c>
      <c r="E57">
        <f>SUMIFS(allorders!$O:$O,allorders!$L:$L,$A57,allorders!$AG:$AG,"&lt;="&amp;日期!$B$9,allorders!$AG:$AG,"&gt;="&amp;日期!$B$10,allorders!Q:Q,"&lt;&gt;"&amp;"",allorders!N:N,"Shipped")</f>
        <v>1</v>
      </c>
      <c r="F57">
        <f>SUMIFS(allorders!$O:$O,allorders!$L:$L,$A57,allorders!$AG:$AG,"&lt;="&amp;日期!$B$11,allorders!$AG:$AG,"&gt;="&amp;日期!$B$12,allorders!Q:Q,"&lt;&gt;"&amp;"",allorders!N:N,"Shipped")</f>
        <v>0</v>
      </c>
      <c r="G57">
        <f>SUMIFS(allorders!Q:Q,allorders!L:L,A57,allorders!AG:AG,"&lt;="&amp;日期!$B$2,allorders!AG:AG,"&gt;="&amp;日期!$B$1,allorders!N:N,"Shipped")/SUM(C57:F57)</f>
        <v>10.27</v>
      </c>
      <c r="H57">
        <f>SUMIFS(allorders!Q:Q,allorders!L:L,A57,allorders!AG:AG,"&gt;="&amp;日期!$B$1,allorders!AG:AG,"&lt;="&amp;日期!$B$2,allorders!N:N,"Shipped")</f>
        <v>10.27</v>
      </c>
      <c r="I57">
        <f t="shared" si="0"/>
        <v>1</v>
      </c>
    </row>
    <row r="58" spans="1:9">
      <c r="A58" s="5" t="s">
        <v>1060</v>
      </c>
      <c r="B58" t="str">
        <f>VLOOKUP(A58,'[1]子sku-父sku'!$A:$B,2,0)</f>
        <v>CWB-WF021</v>
      </c>
      <c r="C58">
        <f>SUMIFS(allorders!O:O,allorders!L:L,$A58,allorders!AG:AG,"&lt;="&amp;日期!$B$5,allorders!AG:AG,"&gt;="&amp;日期!$B$6,allorders!Q:Q,"&lt;&gt;"&amp;"",allorders!N:N,"Shipped")</f>
        <v>0</v>
      </c>
      <c r="D58">
        <f>SUMIFS(allorders!$O:$O,allorders!$L:$L,$A58,allorders!$AG:$AG,"&lt;="&amp;日期!$B$7,allorders!$AG:$AG,"&gt;="&amp;日期!$B$8,allorders!Q:Q,"&lt;&gt;"&amp;"",allorders!N:N,"Shipped")</f>
        <v>0</v>
      </c>
      <c r="E58">
        <f>SUMIFS(allorders!$O:$O,allorders!$L:$L,$A58,allorders!$AG:$AG,"&lt;="&amp;日期!$B$9,allorders!$AG:$AG,"&gt;="&amp;日期!$B$10,allorders!Q:Q,"&lt;&gt;"&amp;"",allorders!N:N,"Shipped")</f>
        <v>1</v>
      </c>
      <c r="F58">
        <f>SUMIFS(allorders!$O:$O,allorders!$L:$L,$A58,allorders!$AG:$AG,"&lt;="&amp;日期!$B$11,allorders!$AG:$AG,"&gt;="&amp;日期!$B$12,allorders!Q:Q,"&lt;&gt;"&amp;"",allorders!N:N,"Shipped")</f>
        <v>0</v>
      </c>
      <c r="G58">
        <f>SUMIFS(allorders!Q:Q,allorders!L:L,A58,allorders!AG:AG,"&lt;="&amp;日期!$B$2,allorders!AG:AG,"&gt;="&amp;日期!$B$1,allorders!N:N,"Shipped")/SUM(C58:F58)</f>
        <v>12.79</v>
      </c>
      <c r="H58">
        <f>SUMIFS(allorders!Q:Q,allorders!L:L,A58,allorders!AG:AG,"&gt;="&amp;日期!$B$1,allorders!AG:AG,"&lt;="&amp;日期!$B$2,allorders!N:N,"Shipped")</f>
        <v>12.79</v>
      </c>
      <c r="I58">
        <f t="shared" si="0"/>
        <v>1</v>
      </c>
    </row>
    <row r="59" spans="1:9">
      <c r="A59" s="5" t="s">
        <v>1103</v>
      </c>
      <c r="B59" t="str">
        <f>VLOOKUP(A59,'[1]子sku-父sku'!$A:$B,2,0)</f>
        <v>SQ-LUHM</v>
      </c>
      <c r="C59">
        <f>SUMIFS(allorders!O:O,allorders!L:L,$A59,allorders!AG:AG,"&lt;="&amp;日期!$B$5,allorders!AG:AG,"&gt;="&amp;日期!$B$6,allorders!Q:Q,"&lt;&gt;"&amp;"",allorders!N:N,"Shipped")</f>
        <v>3</v>
      </c>
      <c r="D59">
        <f>SUMIFS(allorders!$O:$O,allorders!$L:$L,$A59,allorders!$AG:$AG,"&lt;="&amp;日期!$B$7,allorders!$AG:$AG,"&gt;="&amp;日期!$B$8,allorders!Q:Q,"&lt;&gt;"&amp;"",allorders!N:N,"Shipped")</f>
        <v>3</v>
      </c>
      <c r="E59">
        <f>SUMIFS(allorders!$O:$O,allorders!$L:$L,$A59,allorders!$AG:$AG,"&lt;="&amp;日期!$B$9,allorders!$AG:$AG,"&gt;="&amp;日期!$B$10,allorders!Q:Q,"&lt;&gt;"&amp;"",allorders!N:N,"Shipped")</f>
        <v>4</v>
      </c>
      <c r="F59">
        <f>SUMIFS(allorders!$O:$O,allorders!$L:$L,$A59,allorders!$AG:$AG,"&lt;="&amp;日期!$B$11,allorders!$AG:$AG,"&gt;="&amp;日期!$B$12,allorders!Q:Q,"&lt;&gt;"&amp;"",allorders!N:N,"Shipped")</f>
        <v>0</v>
      </c>
      <c r="G59">
        <f>SUMIFS(allorders!Q:Q,allorders!L:L,A59,allorders!AG:AG,"&lt;="&amp;日期!$B$2,allorders!AG:AG,"&gt;="&amp;日期!$B$1,allorders!N:N,"Shipped")/SUM(C59:F59)</f>
        <v>17.99</v>
      </c>
      <c r="H59">
        <f>SUMIFS(allorders!Q:Q,allorders!L:L,A59,allorders!AG:AG,"&gt;="&amp;日期!$B$1,allorders!AG:AG,"&lt;="&amp;日期!$B$2,allorders!N:N,"Shipped")</f>
        <v>179.9</v>
      </c>
      <c r="I59">
        <f t="shared" si="0"/>
        <v>10</v>
      </c>
    </row>
    <row r="60" spans="1:9">
      <c r="A60" s="5" t="s">
        <v>1132</v>
      </c>
      <c r="B60" t="str">
        <f>VLOOKUP(A60,'[1]子sku-父sku'!$A:$B,2,0)</f>
        <v>BDB-WF212</v>
      </c>
      <c r="C60">
        <f>SUMIFS(allorders!O:O,allorders!L:L,$A60,allorders!AG:AG,"&lt;="&amp;日期!$B$5,allorders!AG:AG,"&gt;="&amp;日期!$B$6,allorders!Q:Q,"&lt;&gt;"&amp;"",allorders!N:N,"Shipped")</f>
        <v>0</v>
      </c>
      <c r="D60">
        <f>SUMIFS(allorders!$O:$O,allorders!$L:$L,$A60,allorders!$AG:$AG,"&lt;="&amp;日期!$B$7,allorders!$AG:$AG,"&gt;="&amp;日期!$B$8,allorders!Q:Q,"&lt;&gt;"&amp;"",allorders!N:N,"Shipped")</f>
        <v>1</v>
      </c>
      <c r="E60">
        <f>SUMIFS(allorders!$O:$O,allorders!$L:$L,$A60,allorders!$AG:$AG,"&lt;="&amp;日期!$B$9,allorders!$AG:$AG,"&gt;="&amp;日期!$B$10,allorders!Q:Q,"&lt;&gt;"&amp;"",allorders!N:N,"Shipped")</f>
        <v>1</v>
      </c>
      <c r="F60">
        <f>SUMIFS(allorders!$O:$O,allorders!$L:$L,$A60,allorders!$AG:$AG,"&lt;="&amp;日期!$B$11,allorders!$AG:$AG,"&gt;="&amp;日期!$B$12,allorders!Q:Q,"&lt;&gt;"&amp;"",allorders!N:N,"Shipped")</f>
        <v>0</v>
      </c>
      <c r="G60">
        <f>SUMIFS(allorders!Q:Q,allorders!L:L,A60,allorders!AG:AG,"&lt;="&amp;日期!$B$2,allorders!AG:AG,"&gt;="&amp;日期!$B$1,allorders!N:N,"Shipped")/SUM(C60:F60)</f>
        <v>9.99</v>
      </c>
      <c r="H60">
        <f>SUMIFS(allorders!Q:Q,allorders!L:L,A60,allorders!AG:AG,"&gt;="&amp;日期!$B$1,allorders!AG:AG,"&lt;="&amp;日期!$B$2,allorders!N:N,"Shipped")</f>
        <v>19.98</v>
      </c>
      <c r="I60">
        <f t="shared" si="0"/>
        <v>2</v>
      </c>
    </row>
    <row r="61" spans="1:9">
      <c r="A61" s="5" t="s">
        <v>1191</v>
      </c>
      <c r="B61" t="str">
        <f>VLOOKUP(A61,'[1]子sku-父sku'!$A:$B,2,0)</f>
        <v>CD-WF</v>
      </c>
      <c r="C61">
        <f>SUMIFS(allorders!O:O,allorders!L:L,$A61,allorders!AG:AG,"&lt;="&amp;日期!$B$5,allorders!AG:AG,"&gt;="&amp;日期!$B$6,allorders!Q:Q,"&lt;&gt;"&amp;"",allorders!N:N,"Shipped")</f>
        <v>0</v>
      </c>
      <c r="D61">
        <f>SUMIFS(allorders!$O:$O,allorders!$L:$L,$A61,allorders!$AG:$AG,"&lt;="&amp;日期!$B$7,allorders!$AG:$AG,"&gt;="&amp;日期!$B$8,allorders!Q:Q,"&lt;&gt;"&amp;"",allorders!N:N,"Shipped")</f>
        <v>0</v>
      </c>
      <c r="E61">
        <f>SUMIFS(allorders!$O:$O,allorders!$L:$L,$A61,allorders!$AG:$AG,"&lt;="&amp;日期!$B$9,allorders!$AG:$AG,"&gt;="&amp;日期!$B$10,allorders!Q:Q,"&lt;&gt;"&amp;"",allorders!N:N,"Shipped")</f>
        <v>1</v>
      </c>
      <c r="F61">
        <f>SUMIFS(allorders!$O:$O,allorders!$L:$L,$A61,allorders!$AG:$AG,"&lt;="&amp;日期!$B$11,allorders!$AG:$AG,"&gt;="&amp;日期!$B$12,allorders!Q:Q,"&lt;&gt;"&amp;"",allorders!N:N,"Shipped")</f>
        <v>0</v>
      </c>
      <c r="G61">
        <f>SUMIFS(allorders!Q:Q,allorders!L:L,A61,allorders!AG:AG,"&lt;="&amp;日期!$B$2,allorders!AG:AG,"&gt;="&amp;日期!$B$1,allorders!N:N,"Shipped")/SUM(C61:F61)</f>
        <v>10.84</v>
      </c>
      <c r="H61">
        <f>SUMIFS(allorders!Q:Q,allorders!L:L,A61,allorders!AG:AG,"&gt;="&amp;日期!$B$1,allorders!AG:AG,"&lt;="&amp;日期!$B$2,allorders!N:N,"Shipped")</f>
        <v>10.84</v>
      </c>
      <c r="I61">
        <f t="shared" si="0"/>
        <v>1</v>
      </c>
    </row>
    <row r="62" spans="1:9">
      <c r="A62" s="5" t="s">
        <v>1204</v>
      </c>
      <c r="B62" t="str">
        <f>VLOOKUP(A62,'[1]子sku-父sku'!$A:$B,2,0)</f>
        <v>ZYL-FLQ59</v>
      </c>
      <c r="C62">
        <f>SUMIFS(allorders!O:O,allorders!L:L,$A62,allorders!AG:AG,"&lt;="&amp;日期!$B$5,allorders!AG:AG,"&gt;="&amp;日期!$B$6,allorders!Q:Q,"&lt;&gt;"&amp;"",allorders!N:N,"Shipped")</f>
        <v>0</v>
      </c>
      <c r="D62">
        <f>SUMIFS(allorders!$O:$O,allorders!$L:$L,$A62,allorders!$AG:$AG,"&lt;="&amp;日期!$B$7,allorders!$AG:$AG,"&gt;="&amp;日期!$B$8,allorders!Q:Q,"&lt;&gt;"&amp;"",allorders!N:N,"Shipped")</f>
        <v>1</v>
      </c>
      <c r="E62">
        <f>SUMIFS(allorders!$O:$O,allorders!$L:$L,$A62,allorders!$AG:$AG,"&lt;="&amp;日期!$B$9,allorders!$AG:$AG,"&gt;="&amp;日期!$B$10,allorders!Q:Q,"&lt;&gt;"&amp;"",allorders!N:N,"Shipped")</f>
        <v>1</v>
      </c>
      <c r="F62">
        <f>SUMIFS(allorders!$O:$O,allorders!$L:$L,$A62,allorders!$AG:$AG,"&lt;="&amp;日期!$B$11,allorders!$AG:$AG,"&gt;="&amp;日期!$B$12,allorders!Q:Q,"&lt;&gt;"&amp;"",allorders!N:N,"Shipped")</f>
        <v>0</v>
      </c>
      <c r="G62">
        <f>SUMIFS(allorders!Q:Q,allorders!L:L,A62,allorders!AG:AG,"&lt;="&amp;日期!$B$2,allorders!AG:AG,"&gt;="&amp;日期!$B$1,allorders!N:N,"Shipped")/SUM(C62:F62)</f>
        <v>9.5</v>
      </c>
      <c r="H62">
        <f>SUMIFS(allorders!Q:Q,allorders!L:L,A62,allorders!AG:AG,"&gt;="&amp;日期!$B$1,allorders!AG:AG,"&lt;="&amp;日期!$B$2,allorders!N:N,"Shipped")</f>
        <v>19</v>
      </c>
      <c r="I62">
        <f t="shared" si="0"/>
        <v>2</v>
      </c>
    </row>
    <row r="63" spans="1:9">
      <c r="A63" s="5" t="s">
        <v>1219</v>
      </c>
      <c r="B63" t="str">
        <f>VLOOKUP(A63,'[1]子sku-父sku'!$A:$B,2,0)</f>
        <v>HYD-WF7995</v>
      </c>
      <c r="C63">
        <f>SUMIFS(allorders!O:O,allorders!L:L,$A63,allorders!AG:AG,"&lt;="&amp;日期!$B$5,allorders!AG:AG,"&gt;="&amp;日期!$B$6,allorders!Q:Q,"&lt;&gt;"&amp;"",allorders!N:N,"Shipped")</f>
        <v>0</v>
      </c>
      <c r="D63">
        <f>SUMIFS(allorders!$O:$O,allorders!$L:$L,$A63,allorders!$AG:$AG,"&lt;="&amp;日期!$B$7,allorders!$AG:$AG,"&gt;="&amp;日期!$B$8,allorders!Q:Q,"&lt;&gt;"&amp;"",allorders!N:N,"Shipped")</f>
        <v>0</v>
      </c>
      <c r="E63">
        <f>SUMIFS(allorders!$O:$O,allorders!$L:$L,$A63,allorders!$AG:$AG,"&lt;="&amp;日期!$B$9,allorders!$AG:$AG,"&gt;="&amp;日期!$B$10,allorders!Q:Q,"&lt;&gt;"&amp;"",allorders!N:N,"Shipped")</f>
        <v>1</v>
      </c>
      <c r="F63">
        <f>SUMIFS(allorders!$O:$O,allorders!$L:$L,$A63,allorders!$AG:$AG,"&lt;="&amp;日期!$B$11,allorders!$AG:$AG,"&gt;="&amp;日期!$B$12,allorders!Q:Q,"&lt;&gt;"&amp;"",allorders!N:N,"Shipped")</f>
        <v>0</v>
      </c>
      <c r="G63">
        <f>SUMIFS(allorders!Q:Q,allorders!L:L,A63,allorders!AG:AG,"&lt;="&amp;日期!$B$2,allorders!AG:AG,"&gt;="&amp;日期!$B$1,allorders!N:N,"Shipped")/SUM(C63:F63)</f>
        <v>10</v>
      </c>
      <c r="H63">
        <f>SUMIFS(allorders!Q:Q,allorders!L:L,A63,allorders!AG:AG,"&gt;="&amp;日期!$B$1,allorders!AG:AG,"&lt;="&amp;日期!$B$2,allorders!N:N,"Shipped")</f>
        <v>10</v>
      </c>
      <c r="I63">
        <f t="shared" si="0"/>
        <v>1</v>
      </c>
    </row>
    <row r="64" spans="1:9">
      <c r="A64" s="5" t="s">
        <v>1231</v>
      </c>
      <c r="B64" t="str">
        <f>VLOOKUP(A64,'[1]子sku-父sku'!$A:$B,2,0)</f>
        <v>CD-WF001</v>
      </c>
      <c r="C64">
        <f>SUMIFS(allorders!O:O,allorders!L:L,$A64,allorders!AG:AG,"&lt;="&amp;日期!$B$5,allorders!AG:AG,"&gt;="&amp;日期!$B$6,allorders!Q:Q,"&lt;&gt;"&amp;"",allorders!N:N,"Shipped")</f>
        <v>1</v>
      </c>
      <c r="D64">
        <f>SUMIFS(allorders!$O:$O,allorders!$L:$L,$A64,allorders!$AG:$AG,"&lt;="&amp;日期!$B$7,allorders!$AG:$AG,"&gt;="&amp;日期!$B$8,allorders!Q:Q,"&lt;&gt;"&amp;"",allorders!N:N,"Shipped")</f>
        <v>0</v>
      </c>
      <c r="E64">
        <f>SUMIFS(allorders!$O:$O,allorders!$L:$L,$A64,allorders!$AG:$AG,"&lt;="&amp;日期!$B$9,allorders!$AG:$AG,"&gt;="&amp;日期!$B$10,allorders!Q:Q,"&lt;&gt;"&amp;"",allorders!N:N,"Shipped")</f>
        <v>1</v>
      </c>
      <c r="F64">
        <f>SUMIFS(allorders!$O:$O,allorders!$L:$L,$A64,allorders!$AG:$AG,"&lt;="&amp;日期!$B$11,allorders!$AG:$AG,"&gt;="&amp;日期!$B$12,allorders!Q:Q,"&lt;&gt;"&amp;"",allorders!N:N,"Shipped")</f>
        <v>0</v>
      </c>
      <c r="G64">
        <f>SUMIFS(allorders!Q:Q,allorders!L:L,A64,allorders!AG:AG,"&lt;="&amp;日期!$B$2,allorders!AG:AG,"&gt;="&amp;日期!$B$1,allorders!N:N,"Shipped")/SUM(C64:F64)</f>
        <v>12.99</v>
      </c>
      <c r="H64">
        <f>SUMIFS(allorders!Q:Q,allorders!L:L,A64,allorders!AG:AG,"&gt;="&amp;日期!$B$1,allorders!AG:AG,"&lt;="&amp;日期!$B$2,allorders!N:N,"Shipped")</f>
        <v>25.98</v>
      </c>
      <c r="I64">
        <f t="shared" si="0"/>
        <v>2</v>
      </c>
    </row>
    <row r="65" spans="1:9">
      <c r="A65" s="5" t="s">
        <v>1252</v>
      </c>
      <c r="B65" t="str">
        <f>VLOOKUP(A65,'[1]子sku-父sku'!$A:$B,2,0)</f>
        <v>YQ-LUHM</v>
      </c>
      <c r="C65">
        <f>SUMIFS(allorders!O:O,allorders!L:L,$A65,allorders!AG:AG,"&lt;="&amp;日期!$B$5,allorders!AG:AG,"&gt;="&amp;日期!$B$6,allorders!Q:Q,"&lt;&gt;"&amp;"",allorders!N:N,"Shipped")</f>
        <v>0</v>
      </c>
      <c r="D65">
        <f>SUMIFS(allorders!$O:$O,allorders!$L:$L,$A65,allorders!$AG:$AG,"&lt;="&amp;日期!$B$7,allorders!$AG:$AG,"&gt;="&amp;日期!$B$8,allorders!Q:Q,"&lt;&gt;"&amp;"",allorders!N:N,"Shipped")</f>
        <v>1</v>
      </c>
      <c r="E65">
        <f>SUMIFS(allorders!$O:$O,allorders!$L:$L,$A65,allorders!$AG:$AG,"&lt;="&amp;日期!$B$9,allorders!$AG:$AG,"&gt;="&amp;日期!$B$10,allorders!Q:Q,"&lt;&gt;"&amp;"",allorders!N:N,"Shipped")</f>
        <v>2</v>
      </c>
      <c r="F65">
        <f>SUMIFS(allorders!$O:$O,allorders!$L:$L,$A65,allorders!$AG:$AG,"&lt;="&amp;日期!$B$11,allorders!$AG:$AG,"&gt;="&amp;日期!$B$12,allorders!Q:Q,"&lt;&gt;"&amp;"",allorders!N:N,"Shipped")</f>
        <v>0</v>
      </c>
      <c r="G65">
        <f>SUMIFS(allorders!Q:Q,allorders!L:L,A65,allorders!AG:AG,"&lt;="&amp;日期!$B$2,allorders!AG:AG,"&gt;="&amp;日期!$B$1,allorders!N:N,"Shipped")/SUM(C65:F65)</f>
        <v>15.99</v>
      </c>
      <c r="H65">
        <f>SUMIFS(allorders!Q:Q,allorders!L:L,A65,allorders!AG:AG,"&gt;="&amp;日期!$B$1,allorders!AG:AG,"&lt;="&amp;日期!$B$2,allorders!N:N,"Shipped")</f>
        <v>47.97</v>
      </c>
      <c r="I65">
        <f t="shared" si="0"/>
        <v>3</v>
      </c>
    </row>
    <row r="66" spans="1:9">
      <c r="A66" s="5" t="s">
        <v>1270</v>
      </c>
      <c r="B66" t="str">
        <f>VLOOKUP(A66,'[1]子sku-父sku'!$A:$B,2,0)</f>
        <v>CD-WF117</v>
      </c>
      <c r="C66">
        <f>SUMIFS(allorders!O:O,allorders!L:L,$A66,allorders!AG:AG,"&lt;="&amp;日期!$B$5,allorders!AG:AG,"&gt;="&amp;日期!$B$6,allorders!Q:Q,"&lt;&gt;"&amp;"",allorders!N:N,"Shipped")</f>
        <v>0</v>
      </c>
      <c r="D66">
        <f>SUMIFS(allorders!$O:$O,allorders!$L:$L,$A66,allorders!$AG:$AG,"&lt;="&amp;日期!$B$7,allorders!$AG:$AG,"&gt;="&amp;日期!$B$8,allorders!Q:Q,"&lt;&gt;"&amp;"",allorders!N:N,"Shipped")</f>
        <v>0</v>
      </c>
      <c r="E66">
        <f>SUMIFS(allorders!$O:$O,allorders!$L:$L,$A66,allorders!$AG:$AG,"&lt;="&amp;日期!$B$9,allorders!$AG:$AG,"&gt;="&amp;日期!$B$10,allorders!Q:Q,"&lt;&gt;"&amp;"",allorders!N:N,"Shipped")</f>
        <v>2</v>
      </c>
      <c r="F66">
        <f>SUMIFS(allorders!$O:$O,allorders!$L:$L,$A66,allorders!$AG:$AG,"&lt;="&amp;日期!$B$11,allorders!$AG:$AG,"&gt;="&amp;日期!$B$12,allorders!Q:Q,"&lt;&gt;"&amp;"",allorders!N:N,"Shipped")</f>
        <v>0</v>
      </c>
      <c r="G66">
        <f>SUMIFS(allorders!Q:Q,allorders!L:L,A66,allorders!AG:AG,"&lt;="&amp;日期!$B$2,allorders!AG:AG,"&gt;="&amp;日期!$B$1,allorders!N:N,"Shipped")/SUM(C66:F66)</f>
        <v>15.99</v>
      </c>
      <c r="H66">
        <f>SUMIFS(allorders!Q:Q,allorders!L:L,A66,allorders!AG:AG,"&gt;="&amp;日期!$B$1,allorders!AG:AG,"&lt;="&amp;日期!$B$2,allorders!N:N,"Shipped")</f>
        <v>31.98</v>
      </c>
      <c r="I66">
        <f t="shared" si="0"/>
        <v>2</v>
      </c>
    </row>
    <row r="67" spans="1:9">
      <c r="A67" s="5" t="s">
        <v>1351</v>
      </c>
      <c r="B67" t="str">
        <f>VLOOKUP(A67,'[1]子sku-父sku'!$A:$B,2,0)</f>
        <v>ZDD-FLQ08</v>
      </c>
      <c r="C67">
        <f>SUMIFS(allorders!O:O,allorders!L:L,$A67,allorders!AG:AG,"&lt;="&amp;日期!$B$5,allorders!AG:AG,"&gt;="&amp;日期!$B$6,allorders!Q:Q,"&lt;&gt;"&amp;"",allorders!N:N,"Shipped")</f>
        <v>1</v>
      </c>
      <c r="D67">
        <f>SUMIFS(allorders!$O:$O,allorders!$L:$L,$A67,allorders!$AG:$AG,"&lt;="&amp;日期!$B$7,allorders!$AG:$AG,"&gt;="&amp;日期!$B$8,allorders!Q:Q,"&lt;&gt;"&amp;"",allorders!N:N,"Shipped")</f>
        <v>1</v>
      </c>
      <c r="E67">
        <f>SUMIFS(allorders!$O:$O,allorders!$L:$L,$A67,allorders!$AG:$AG,"&lt;="&amp;日期!$B$9,allorders!$AG:$AG,"&gt;="&amp;日期!$B$10,allorders!Q:Q,"&lt;&gt;"&amp;"",allorders!N:N,"Shipped")</f>
        <v>1</v>
      </c>
      <c r="F67">
        <f>SUMIFS(allorders!$O:$O,allorders!$L:$L,$A67,allorders!$AG:$AG,"&lt;="&amp;日期!$B$11,allorders!$AG:$AG,"&gt;="&amp;日期!$B$12,allorders!Q:Q,"&lt;&gt;"&amp;"",allorders!N:N,"Shipped")</f>
        <v>0</v>
      </c>
      <c r="G67">
        <f>SUMIFS(allorders!Q:Q,allorders!L:L,A67,allorders!AG:AG,"&lt;="&amp;日期!$B$2,allorders!AG:AG,"&gt;="&amp;日期!$B$1,allorders!N:N,"Shipped")/SUM(C67:F67)</f>
        <v>15.99</v>
      </c>
      <c r="H67">
        <f>SUMIFS(allorders!Q:Q,allorders!L:L,A67,allorders!AG:AG,"&gt;="&amp;日期!$B$1,allorders!AG:AG,"&lt;="&amp;日期!$B$2,allorders!N:N,"Shipped")</f>
        <v>47.97</v>
      </c>
      <c r="I67">
        <f t="shared" ref="I67:I103" si="1">SUM(C67:F67)</f>
        <v>3</v>
      </c>
    </row>
    <row r="68" spans="1:9">
      <c r="A68" s="5" t="s">
        <v>1389</v>
      </c>
      <c r="B68" t="str">
        <f>VLOOKUP(A68,'[1]子sku-父sku'!$A:$B,2,0)</f>
        <v>BA-FLQ02</v>
      </c>
      <c r="C68">
        <f>SUMIFS(allorders!O:O,allorders!L:L,$A68,allorders!AG:AG,"&lt;="&amp;日期!$B$5,allorders!AG:AG,"&gt;="&amp;日期!$B$6,allorders!Q:Q,"&lt;&gt;"&amp;"",allorders!N:N,"Shipped")</f>
        <v>0</v>
      </c>
      <c r="D68">
        <f>SUMIFS(allorders!$O:$O,allorders!$L:$L,$A68,allorders!$AG:$AG,"&lt;="&amp;日期!$B$7,allorders!$AG:$AG,"&gt;="&amp;日期!$B$8,allorders!Q:Q,"&lt;&gt;"&amp;"",allorders!N:N,"Shipped")</f>
        <v>0</v>
      </c>
      <c r="E68">
        <f>SUMIFS(allorders!$O:$O,allorders!$L:$L,$A68,allorders!$AG:$AG,"&lt;="&amp;日期!$B$9,allorders!$AG:$AG,"&gt;="&amp;日期!$B$10,allorders!Q:Q,"&lt;&gt;"&amp;"",allorders!N:N,"Shipped")</f>
        <v>1</v>
      </c>
      <c r="F68">
        <f>SUMIFS(allorders!$O:$O,allorders!$L:$L,$A68,allorders!$AG:$AG,"&lt;="&amp;日期!$B$11,allorders!$AG:$AG,"&gt;="&amp;日期!$B$12,allorders!Q:Q,"&lt;&gt;"&amp;"",allorders!N:N,"Shipped")</f>
        <v>0</v>
      </c>
      <c r="G68">
        <f>SUMIFS(allorders!Q:Q,allorders!L:L,A68,allorders!AG:AG,"&lt;="&amp;日期!$B$2,allorders!AG:AG,"&gt;="&amp;日期!$B$1,allorders!N:N,"Shipped")/SUM(C68:F68)</f>
        <v>8.99</v>
      </c>
      <c r="H68">
        <f>SUMIFS(allorders!Q:Q,allorders!L:L,A68,allorders!AG:AG,"&gt;="&amp;日期!$B$1,allorders!AG:AG,"&lt;="&amp;日期!$B$2,allorders!N:N,"Shipped")</f>
        <v>8.99</v>
      </c>
      <c r="I68">
        <f t="shared" si="1"/>
        <v>1</v>
      </c>
    </row>
    <row r="69" spans="1:9">
      <c r="A69" s="5" t="s">
        <v>1402</v>
      </c>
      <c r="B69" t="str">
        <f>VLOOKUP(A69,'[1]子sku-父sku'!$A:$B,2,0)</f>
        <v>XK-YIWUJS2</v>
      </c>
      <c r="C69">
        <f>SUMIFS(allorders!O:O,allorders!L:L,$A69,allorders!AG:AG,"&lt;="&amp;日期!$B$5,allorders!AG:AG,"&gt;="&amp;日期!$B$6,allorders!Q:Q,"&lt;&gt;"&amp;"",allorders!N:N,"Shipped")</f>
        <v>0</v>
      </c>
      <c r="D69">
        <f>SUMIFS(allorders!$O:$O,allorders!$L:$L,$A69,allorders!$AG:$AG,"&lt;="&amp;日期!$B$7,allorders!$AG:$AG,"&gt;="&amp;日期!$B$8,allorders!Q:Q,"&lt;&gt;"&amp;"",allorders!N:N,"Shipped")</f>
        <v>0</v>
      </c>
      <c r="E69">
        <f>SUMIFS(allorders!$O:$O,allorders!$L:$L,$A69,allorders!$AG:$AG,"&lt;="&amp;日期!$B$9,allorders!$AG:$AG,"&gt;="&amp;日期!$B$10,allorders!Q:Q,"&lt;&gt;"&amp;"",allorders!N:N,"Shipped")</f>
        <v>1</v>
      </c>
      <c r="F69">
        <f>SUMIFS(allorders!$O:$O,allorders!$L:$L,$A69,allorders!$AG:$AG,"&lt;="&amp;日期!$B$11,allorders!$AG:$AG,"&gt;="&amp;日期!$B$12,allorders!Q:Q,"&lt;&gt;"&amp;"",allorders!N:N,"Shipped")</f>
        <v>0</v>
      </c>
      <c r="G69">
        <f>SUMIFS(allorders!Q:Q,allorders!L:L,A69,allorders!AG:AG,"&lt;="&amp;日期!$B$2,allorders!AG:AG,"&gt;="&amp;日期!$B$1,allorders!N:N,"Shipped")/SUM(C69:F69)</f>
        <v>12.99</v>
      </c>
      <c r="H69">
        <f>SUMIFS(allorders!Q:Q,allorders!L:L,A69,allorders!AG:AG,"&gt;="&amp;日期!$B$1,allorders!AG:AG,"&lt;="&amp;日期!$B$2,allorders!N:N,"Shipped")</f>
        <v>12.99</v>
      </c>
      <c r="I69">
        <f t="shared" si="1"/>
        <v>1</v>
      </c>
    </row>
    <row r="70" spans="1:9">
      <c r="A70" s="5" t="s">
        <v>1426</v>
      </c>
      <c r="B70" t="str">
        <f>VLOOKUP(A70,'[1]子sku-父sku'!$A:$B,2,0)</f>
        <v>QQ-LUHM-801-B0</v>
      </c>
      <c r="C70">
        <f>SUMIFS(allorders!O:O,allorders!L:L,$A70,allorders!AG:AG,"&lt;="&amp;日期!$B$5,allorders!AG:AG,"&gt;="&amp;日期!$B$6,allorders!Q:Q,"&lt;&gt;"&amp;"",allorders!N:N,"Shipped")</f>
        <v>0</v>
      </c>
      <c r="D70">
        <f>SUMIFS(allorders!$O:$O,allorders!$L:$L,$A70,allorders!$AG:$AG,"&lt;="&amp;日期!$B$7,allorders!$AG:$AG,"&gt;="&amp;日期!$B$8,allorders!Q:Q,"&lt;&gt;"&amp;"",allorders!N:N,"Shipped")</f>
        <v>1</v>
      </c>
      <c r="E70">
        <f>SUMIFS(allorders!$O:$O,allorders!$L:$L,$A70,allorders!$AG:$AG,"&lt;="&amp;日期!$B$9,allorders!$AG:$AG,"&gt;="&amp;日期!$B$10,allorders!Q:Q,"&lt;&gt;"&amp;"",allorders!N:N,"Shipped")</f>
        <v>1</v>
      </c>
      <c r="F70">
        <f>SUMIFS(allorders!$O:$O,allorders!$L:$L,$A70,allorders!$AG:$AG,"&lt;="&amp;日期!$B$11,allorders!$AG:$AG,"&gt;="&amp;日期!$B$12,allorders!Q:Q,"&lt;&gt;"&amp;"",allorders!N:N,"Shipped")</f>
        <v>0</v>
      </c>
      <c r="G70">
        <f>SUMIFS(allorders!Q:Q,allorders!L:L,A70,allorders!AG:AG,"&lt;="&amp;日期!$B$2,allorders!AG:AG,"&gt;="&amp;日期!$B$1,allorders!N:N,"Shipped")/SUM(C70:F70)</f>
        <v>9.99</v>
      </c>
      <c r="H70">
        <f>SUMIFS(allorders!Q:Q,allorders!L:L,A70,allorders!AG:AG,"&gt;="&amp;日期!$B$1,allorders!AG:AG,"&lt;="&amp;日期!$B$2,allorders!N:N,"Shipped")</f>
        <v>19.98</v>
      </c>
      <c r="I70">
        <f t="shared" si="1"/>
        <v>2</v>
      </c>
    </row>
    <row r="71" spans="1:9">
      <c r="A71" s="5" t="s">
        <v>1500</v>
      </c>
      <c r="B71" t="str">
        <f>VLOOKUP(A71,'[1]子sku-父sku'!$A:$B,2,0)</f>
        <v>BA-FLQ02</v>
      </c>
      <c r="C71">
        <f>SUMIFS(allorders!O:O,allorders!L:L,$A71,allorders!AG:AG,"&lt;="&amp;日期!$B$5,allorders!AG:AG,"&gt;="&amp;日期!$B$6,allorders!Q:Q,"&lt;&gt;"&amp;"",allorders!N:N,"Shipped")</f>
        <v>1</v>
      </c>
      <c r="D71">
        <f>SUMIFS(allorders!$O:$O,allorders!$L:$L,$A71,allorders!$AG:$AG,"&lt;="&amp;日期!$B$7,allorders!$AG:$AG,"&gt;="&amp;日期!$B$8,allorders!Q:Q,"&lt;&gt;"&amp;"",allorders!N:N,"Shipped")</f>
        <v>2</v>
      </c>
      <c r="E71">
        <f>SUMIFS(allorders!$O:$O,allorders!$L:$L,$A71,allorders!$AG:$AG,"&lt;="&amp;日期!$B$9,allorders!$AG:$AG,"&gt;="&amp;日期!$B$10,allorders!Q:Q,"&lt;&gt;"&amp;"",allorders!N:N,"Shipped")</f>
        <v>2</v>
      </c>
      <c r="F71">
        <f>SUMIFS(allorders!$O:$O,allorders!$L:$L,$A71,allorders!$AG:$AG,"&lt;="&amp;日期!$B$11,allorders!$AG:$AG,"&gt;="&amp;日期!$B$12,allorders!Q:Q,"&lt;&gt;"&amp;"",allorders!N:N,"Shipped")</f>
        <v>0</v>
      </c>
      <c r="G71">
        <f>SUMIFS(allorders!Q:Q,allorders!L:L,A71,allorders!AG:AG,"&lt;="&amp;日期!$B$2,allorders!AG:AG,"&gt;="&amp;日期!$B$1,allorders!N:N,"Shipped")/SUM(C71:F71)</f>
        <v>15.99</v>
      </c>
      <c r="H71">
        <f>SUMIFS(allorders!Q:Q,allorders!L:L,A71,allorders!AG:AG,"&gt;="&amp;日期!$B$1,allorders!AG:AG,"&lt;="&amp;日期!$B$2,allorders!N:N,"Shipped")</f>
        <v>79.95</v>
      </c>
      <c r="I71">
        <f t="shared" si="1"/>
        <v>5</v>
      </c>
    </row>
    <row r="72" spans="1:9">
      <c r="A72" s="5" t="s">
        <v>1562</v>
      </c>
      <c r="B72" t="str">
        <f>VLOOKUP(A72,'[1]子sku-父sku'!$A:$B,2,0)</f>
        <v>CWB-WF021</v>
      </c>
      <c r="C72">
        <f>SUMIFS(allorders!O:O,allorders!L:L,$A72,allorders!AG:AG,"&lt;="&amp;日期!$B$5,allorders!AG:AG,"&gt;="&amp;日期!$B$6,allorders!Q:Q,"&lt;&gt;"&amp;"",allorders!N:N,"Shipped")</f>
        <v>0</v>
      </c>
      <c r="D72">
        <f>SUMIFS(allorders!$O:$O,allorders!$L:$L,$A72,allorders!$AG:$AG,"&lt;="&amp;日期!$B$7,allorders!$AG:$AG,"&gt;="&amp;日期!$B$8,allorders!Q:Q,"&lt;&gt;"&amp;"",allorders!N:N,"Shipped")</f>
        <v>0</v>
      </c>
      <c r="E72">
        <f>SUMIFS(allorders!$O:$O,allorders!$L:$L,$A72,allorders!$AG:$AG,"&lt;="&amp;日期!$B$9,allorders!$AG:$AG,"&gt;="&amp;日期!$B$10,allorders!Q:Q,"&lt;&gt;"&amp;"",allorders!N:N,"Shipped")</f>
        <v>1</v>
      </c>
      <c r="F72">
        <f>SUMIFS(allorders!$O:$O,allorders!$L:$L,$A72,allorders!$AG:$AG,"&lt;="&amp;日期!$B$11,allorders!$AG:$AG,"&gt;="&amp;日期!$B$12,allorders!Q:Q,"&lt;&gt;"&amp;"",allorders!N:N,"Shipped")</f>
        <v>0</v>
      </c>
      <c r="G72">
        <f>SUMIFS(allorders!Q:Q,allorders!L:L,A72,allorders!AG:AG,"&lt;="&amp;日期!$B$2,allorders!AG:AG,"&gt;="&amp;日期!$B$1,allorders!N:N,"Shipped")/SUM(C72:F72)</f>
        <v>16.99</v>
      </c>
      <c r="H72">
        <f>SUMIFS(allorders!Q:Q,allorders!L:L,A72,allorders!AG:AG,"&gt;="&amp;日期!$B$1,allorders!AG:AG,"&lt;="&amp;日期!$B$2,allorders!N:N,"Shipped")</f>
        <v>16.99</v>
      </c>
      <c r="I72">
        <f t="shared" si="1"/>
        <v>1</v>
      </c>
    </row>
    <row r="73" spans="1:9">
      <c r="A73" s="5" t="s">
        <v>1604</v>
      </c>
      <c r="B73" t="str">
        <f>VLOOKUP(A73,'[1]子sku-父sku'!$A:$B,2,0)</f>
        <v>CWB-WF021</v>
      </c>
      <c r="C73">
        <f>SUMIFS(allorders!O:O,allorders!L:L,$A73,allorders!AG:AG,"&lt;="&amp;日期!$B$5,allorders!AG:AG,"&gt;="&amp;日期!$B$6,allorders!Q:Q,"&lt;&gt;"&amp;"",allorders!N:N,"Shipped")</f>
        <v>0</v>
      </c>
      <c r="D73">
        <f>SUMIFS(allorders!$O:$O,allorders!$L:$L,$A73,allorders!$AG:$AG,"&lt;="&amp;日期!$B$7,allorders!$AG:$AG,"&gt;="&amp;日期!$B$8,allorders!Q:Q,"&lt;&gt;"&amp;"",allorders!N:N,"Shipped")</f>
        <v>0</v>
      </c>
      <c r="E73">
        <f>SUMIFS(allorders!$O:$O,allorders!$L:$L,$A73,allorders!$AG:$AG,"&lt;="&amp;日期!$B$9,allorders!$AG:$AG,"&gt;="&amp;日期!$B$10,allorders!Q:Q,"&lt;&gt;"&amp;"",allorders!N:N,"Shipped")</f>
        <v>1</v>
      </c>
      <c r="F73">
        <f>SUMIFS(allorders!$O:$O,allorders!$L:$L,$A73,allorders!$AG:$AG,"&lt;="&amp;日期!$B$11,allorders!$AG:$AG,"&gt;="&amp;日期!$B$12,allorders!Q:Q,"&lt;&gt;"&amp;"",allorders!N:N,"Shipped")</f>
        <v>0</v>
      </c>
      <c r="G73">
        <f>SUMIFS(allorders!Q:Q,allorders!L:L,A73,allorders!AG:AG,"&lt;="&amp;日期!$B$2,allorders!AG:AG,"&gt;="&amp;日期!$B$1,allorders!N:N,"Shipped")/SUM(C73:F73)</f>
        <v>11.99</v>
      </c>
      <c r="H73">
        <f>SUMIFS(allorders!Q:Q,allorders!L:L,A73,allorders!AG:AG,"&gt;="&amp;日期!$B$1,allorders!AG:AG,"&lt;="&amp;日期!$B$2,allorders!N:N,"Shipped")</f>
        <v>11.99</v>
      </c>
      <c r="I73">
        <f t="shared" si="1"/>
        <v>1</v>
      </c>
    </row>
    <row r="74" spans="1:9">
      <c r="A74" s="5" t="s">
        <v>1646</v>
      </c>
      <c r="B74" t="str">
        <f>VLOOKUP(A74,'[1]子sku-父sku'!$A:$B,2,0)</f>
        <v>CD-WF001</v>
      </c>
      <c r="C74">
        <f>SUMIFS(allorders!O:O,allorders!L:L,$A74,allorders!AG:AG,"&lt;="&amp;日期!$B$5,allorders!AG:AG,"&gt;="&amp;日期!$B$6,allorders!Q:Q,"&lt;&gt;"&amp;"",allorders!N:N,"Shipped")</f>
        <v>0</v>
      </c>
      <c r="D74">
        <f>SUMIFS(allorders!$O:$O,allorders!$L:$L,$A74,allorders!$AG:$AG,"&lt;="&amp;日期!$B$7,allorders!$AG:$AG,"&gt;="&amp;日期!$B$8,allorders!Q:Q,"&lt;&gt;"&amp;"",allorders!N:N,"Shipped")</f>
        <v>0</v>
      </c>
      <c r="E74">
        <f>SUMIFS(allorders!$O:$O,allorders!$L:$L,$A74,allorders!$AG:$AG,"&lt;="&amp;日期!$B$9,allorders!$AG:$AG,"&gt;="&amp;日期!$B$10,allorders!Q:Q,"&lt;&gt;"&amp;"",allorders!N:N,"Shipped")</f>
        <v>1</v>
      </c>
      <c r="F74">
        <f>SUMIFS(allorders!$O:$O,allorders!$L:$L,$A74,allorders!$AG:$AG,"&lt;="&amp;日期!$B$11,allorders!$AG:$AG,"&gt;="&amp;日期!$B$12,allorders!Q:Q,"&lt;&gt;"&amp;"",allorders!N:N,"Shipped")</f>
        <v>0</v>
      </c>
      <c r="G74">
        <f>SUMIFS(allorders!Q:Q,allorders!L:L,A74,allorders!AG:AG,"&lt;="&amp;日期!$B$2,allorders!AG:AG,"&gt;="&amp;日期!$B$1,allorders!N:N,"Shipped")/SUM(C74:F74)</f>
        <v>9.99</v>
      </c>
      <c r="H74">
        <f>SUMIFS(allorders!Q:Q,allorders!L:L,A74,allorders!AG:AG,"&gt;="&amp;日期!$B$1,allorders!AG:AG,"&lt;="&amp;日期!$B$2,allorders!N:N,"Shipped")</f>
        <v>9.99</v>
      </c>
      <c r="I74">
        <f t="shared" si="1"/>
        <v>1</v>
      </c>
    </row>
    <row r="75" spans="1:9">
      <c r="A75" s="5" t="s">
        <v>1659</v>
      </c>
      <c r="B75" t="str">
        <f>VLOOKUP(A75,'[1]子sku-父sku'!$A:$B,2,0)</f>
        <v>CWB-WF021</v>
      </c>
      <c r="C75">
        <f>SUMIFS(allorders!O:O,allorders!L:L,$A75,allorders!AG:AG,"&lt;="&amp;日期!$B$5,allorders!AG:AG,"&gt;="&amp;日期!$B$6,allorders!Q:Q,"&lt;&gt;"&amp;"",allorders!N:N,"Shipped")</f>
        <v>0</v>
      </c>
      <c r="D75">
        <f>SUMIFS(allorders!$O:$O,allorders!$L:$L,$A75,allorders!$AG:$AG,"&lt;="&amp;日期!$B$7,allorders!$AG:$AG,"&gt;="&amp;日期!$B$8,allorders!Q:Q,"&lt;&gt;"&amp;"",allorders!N:N,"Shipped")</f>
        <v>2</v>
      </c>
      <c r="E75">
        <f>SUMIFS(allorders!$O:$O,allorders!$L:$L,$A75,allorders!$AG:$AG,"&lt;="&amp;日期!$B$9,allorders!$AG:$AG,"&gt;="&amp;日期!$B$10,allorders!Q:Q,"&lt;&gt;"&amp;"",allorders!N:N,"Shipped")</f>
        <v>0</v>
      </c>
      <c r="F75">
        <f>SUMIFS(allorders!$O:$O,allorders!$L:$L,$A75,allorders!$AG:$AG,"&lt;="&amp;日期!$B$11,allorders!$AG:$AG,"&gt;="&amp;日期!$B$12,allorders!Q:Q,"&lt;&gt;"&amp;"",allorders!N:N,"Shipped")</f>
        <v>0</v>
      </c>
      <c r="G75">
        <f>SUMIFS(allorders!Q:Q,allorders!L:L,A75,allorders!AG:AG,"&lt;="&amp;日期!$B$2,allorders!AG:AG,"&gt;="&amp;日期!$B$1,allorders!N:N,"Shipped")/SUM(C75:F75)</f>
        <v>15.35</v>
      </c>
      <c r="H75">
        <f>SUMIFS(allorders!Q:Q,allorders!L:L,A75,allorders!AG:AG,"&gt;="&amp;日期!$B$1,allorders!AG:AG,"&lt;="&amp;日期!$B$2,allorders!N:N,"Shipped")</f>
        <v>30.7</v>
      </c>
      <c r="I75">
        <f t="shared" si="1"/>
        <v>2</v>
      </c>
    </row>
    <row r="76" spans="1:9">
      <c r="A76" s="5" t="s">
        <v>1687</v>
      </c>
      <c r="B76" t="str">
        <f>VLOOKUP(A76,'[1]子sku-父sku'!$A:$B,2,0)</f>
        <v>GT-WFY1</v>
      </c>
      <c r="C76">
        <f>SUMIFS(allorders!O:O,allorders!L:L,$A76,allorders!AG:AG,"&lt;="&amp;日期!$B$5,allorders!AG:AG,"&gt;="&amp;日期!$B$6,allorders!Q:Q,"&lt;&gt;"&amp;"",allorders!N:N,"Shipped")</f>
        <v>0</v>
      </c>
      <c r="D76">
        <f>SUMIFS(allorders!$O:$O,allorders!$L:$L,$A76,allorders!$AG:$AG,"&lt;="&amp;日期!$B$7,allorders!$AG:$AG,"&gt;="&amp;日期!$B$8,allorders!Q:Q,"&lt;&gt;"&amp;"",allorders!N:N,"Shipped")</f>
        <v>1</v>
      </c>
      <c r="E76">
        <f>SUMIFS(allorders!$O:$O,allorders!$L:$L,$A76,allorders!$AG:$AG,"&lt;="&amp;日期!$B$9,allorders!$AG:$AG,"&gt;="&amp;日期!$B$10,allorders!Q:Q,"&lt;&gt;"&amp;"",allorders!N:N,"Shipped")</f>
        <v>0</v>
      </c>
      <c r="F76">
        <f>SUMIFS(allorders!$O:$O,allorders!$L:$L,$A76,allorders!$AG:$AG,"&lt;="&amp;日期!$B$11,allorders!$AG:$AG,"&gt;="&amp;日期!$B$12,allorders!Q:Q,"&lt;&gt;"&amp;"",allorders!N:N,"Shipped")</f>
        <v>0</v>
      </c>
      <c r="G76">
        <f>SUMIFS(allorders!Q:Q,allorders!L:L,A76,allorders!AG:AG,"&lt;="&amp;日期!$B$2,allorders!AG:AG,"&gt;="&amp;日期!$B$1,allorders!N:N,"Shipped")/SUM(C76:F76)</f>
        <v>13.99</v>
      </c>
      <c r="H76">
        <f>SUMIFS(allorders!Q:Q,allorders!L:L,A76,allorders!AG:AG,"&gt;="&amp;日期!$B$1,allorders!AG:AG,"&lt;="&amp;日期!$B$2,allorders!N:N,"Shipped")</f>
        <v>13.99</v>
      </c>
      <c r="I76">
        <f t="shared" si="1"/>
        <v>1</v>
      </c>
    </row>
    <row r="77" spans="1:9">
      <c r="A77" s="5" t="s">
        <v>1755</v>
      </c>
      <c r="B77" t="str">
        <f>VLOOKUP(A77,'[1]子sku-父sku'!$A:$B,2,0)</f>
        <v>BLT-LUHM000</v>
      </c>
      <c r="C77">
        <f>SUMIFS(allorders!O:O,allorders!L:L,$A77,allorders!AG:AG,"&lt;="&amp;日期!$B$5,allorders!AG:AG,"&gt;="&amp;日期!$B$6,allorders!Q:Q,"&lt;&gt;"&amp;"",allorders!N:N,"Shipped")</f>
        <v>0</v>
      </c>
      <c r="D77">
        <f>SUMIFS(allorders!$O:$O,allorders!$L:$L,$A77,allorders!$AG:$AG,"&lt;="&amp;日期!$B$7,allorders!$AG:$AG,"&gt;="&amp;日期!$B$8,allorders!Q:Q,"&lt;&gt;"&amp;"",allorders!N:N,"Shipped")</f>
        <v>3</v>
      </c>
      <c r="E77">
        <f>SUMIFS(allorders!$O:$O,allorders!$L:$L,$A77,allorders!$AG:$AG,"&lt;="&amp;日期!$B$9,allorders!$AG:$AG,"&gt;="&amp;日期!$B$10,allorders!Q:Q,"&lt;&gt;"&amp;"",allorders!N:N,"Shipped")</f>
        <v>0</v>
      </c>
      <c r="F77">
        <f>SUMIFS(allorders!$O:$O,allorders!$L:$L,$A77,allorders!$AG:$AG,"&lt;="&amp;日期!$B$11,allorders!$AG:$AG,"&gt;="&amp;日期!$B$12,allorders!Q:Q,"&lt;&gt;"&amp;"",allorders!N:N,"Shipped")</f>
        <v>0</v>
      </c>
      <c r="G77">
        <f>SUMIFS(allorders!Q:Q,allorders!L:L,A77,allorders!AG:AG,"&lt;="&amp;日期!$B$2,allorders!AG:AG,"&gt;="&amp;日期!$B$1,allorders!N:N,"Shipped")/SUM(C77:F77)</f>
        <v>9.99</v>
      </c>
      <c r="H77">
        <f>SUMIFS(allorders!Q:Q,allorders!L:L,A77,allorders!AG:AG,"&gt;="&amp;日期!$B$1,allorders!AG:AG,"&lt;="&amp;日期!$B$2,allorders!N:N,"Shipped")</f>
        <v>29.97</v>
      </c>
      <c r="I77">
        <f t="shared" si="1"/>
        <v>3</v>
      </c>
    </row>
    <row r="78" spans="1:9">
      <c r="A78" s="5" t="s">
        <v>1781</v>
      </c>
      <c r="B78" t="str">
        <f>VLOOKUP(A78,'[1]子sku-父sku'!$A:$B,2,0)</f>
        <v>BDB-WF212</v>
      </c>
      <c r="C78">
        <f>SUMIFS(allorders!O:O,allorders!L:L,$A78,allorders!AG:AG,"&lt;="&amp;日期!$B$5,allorders!AG:AG,"&gt;="&amp;日期!$B$6,allorders!Q:Q,"&lt;&gt;"&amp;"",allorders!N:N,"Shipped")</f>
        <v>0</v>
      </c>
      <c r="D78">
        <f>SUMIFS(allorders!$O:$O,allorders!$L:$L,$A78,allorders!$AG:$AG,"&lt;="&amp;日期!$B$7,allorders!$AG:$AG,"&gt;="&amp;日期!$B$8,allorders!Q:Q,"&lt;&gt;"&amp;"",allorders!N:N,"Shipped")</f>
        <v>1</v>
      </c>
      <c r="E78">
        <f>SUMIFS(allorders!$O:$O,allorders!$L:$L,$A78,allorders!$AG:$AG,"&lt;="&amp;日期!$B$9,allorders!$AG:$AG,"&gt;="&amp;日期!$B$10,allorders!Q:Q,"&lt;&gt;"&amp;"",allorders!N:N,"Shipped")</f>
        <v>0</v>
      </c>
      <c r="F78">
        <f>SUMIFS(allorders!$O:$O,allorders!$L:$L,$A78,allorders!$AG:$AG,"&lt;="&amp;日期!$B$11,allorders!$AG:$AG,"&gt;="&amp;日期!$B$12,allorders!Q:Q,"&lt;&gt;"&amp;"",allorders!N:N,"Shipped")</f>
        <v>0</v>
      </c>
      <c r="G78">
        <f>SUMIFS(allorders!Q:Q,allorders!L:L,A78,allorders!AG:AG,"&lt;="&amp;日期!$B$2,allorders!AG:AG,"&gt;="&amp;日期!$B$1,allorders!N:N,"Shipped")/SUM(C78:F78)</f>
        <v>9.77</v>
      </c>
      <c r="H78">
        <f>SUMIFS(allorders!Q:Q,allorders!L:L,A78,allorders!AG:AG,"&gt;="&amp;日期!$B$1,allorders!AG:AG,"&lt;="&amp;日期!$B$2,allorders!N:N,"Shipped")</f>
        <v>9.77</v>
      </c>
      <c r="I78">
        <f t="shared" si="1"/>
        <v>1</v>
      </c>
    </row>
    <row r="79" spans="1:9">
      <c r="A79" s="5" t="s">
        <v>1838</v>
      </c>
      <c r="B79" t="str">
        <f>VLOOKUP(A79,'[1]子sku-父sku'!$A:$B,2,0)</f>
        <v>CWB-WF021</v>
      </c>
      <c r="C79">
        <f>SUMIFS(allorders!O:O,allorders!L:L,$A79,allorders!AG:AG,"&lt;="&amp;日期!$B$5,allorders!AG:AG,"&gt;="&amp;日期!$B$6,allorders!Q:Q,"&lt;&gt;"&amp;"",allorders!N:N,"Shipped")</f>
        <v>0</v>
      </c>
      <c r="D79">
        <f>SUMIFS(allorders!$O:$O,allorders!$L:$L,$A79,allorders!$AG:$AG,"&lt;="&amp;日期!$B$7,allorders!$AG:$AG,"&gt;="&amp;日期!$B$8,allorders!Q:Q,"&lt;&gt;"&amp;"",allorders!N:N,"Shipped")</f>
        <v>2</v>
      </c>
      <c r="E79">
        <f>SUMIFS(allorders!$O:$O,allorders!$L:$L,$A79,allorders!$AG:$AG,"&lt;="&amp;日期!$B$9,allorders!$AG:$AG,"&gt;="&amp;日期!$B$10,allorders!Q:Q,"&lt;&gt;"&amp;"",allorders!N:N,"Shipped")</f>
        <v>0</v>
      </c>
      <c r="F79">
        <f>SUMIFS(allorders!$O:$O,allorders!$L:$L,$A79,allorders!$AG:$AG,"&lt;="&amp;日期!$B$11,allorders!$AG:$AG,"&gt;="&amp;日期!$B$12,allorders!Q:Q,"&lt;&gt;"&amp;"",allorders!N:N,"Shipped")</f>
        <v>0</v>
      </c>
      <c r="G79">
        <f>SUMIFS(allorders!Q:Q,allorders!L:L,A79,allorders!AG:AG,"&lt;="&amp;日期!$B$2,allorders!AG:AG,"&gt;="&amp;日期!$B$1,allorders!N:N,"Shipped")/SUM(C79:F79)</f>
        <v>11.99</v>
      </c>
      <c r="H79">
        <f>SUMIFS(allorders!Q:Q,allorders!L:L,A79,allorders!AG:AG,"&gt;="&amp;日期!$B$1,allorders!AG:AG,"&lt;="&amp;日期!$B$2,allorders!N:N,"Shipped")</f>
        <v>23.98</v>
      </c>
      <c r="I79">
        <f t="shared" si="1"/>
        <v>2</v>
      </c>
    </row>
    <row r="80" spans="1:9">
      <c r="A80" s="5" t="s">
        <v>1903</v>
      </c>
      <c r="B80" t="str">
        <f>VLOOKUP(A80,'[1]子sku-父sku'!$A:$B,2,0)</f>
        <v>SNH-LUHM001</v>
      </c>
      <c r="C80">
        <f>SUMIFS(allorders!O:O,allorders!L:L,$A80,allorders!AG:AG,"&lt;="&amp;日期!$B$5,allorders!AG:AG,"&gt;="&amp;日期!$B$6,allorders!Q:Q,"&lt;&gt;"&amp;"",allorders!N:N,"Shipped")</f>
        <v>2</v>
      </c>
      <c r="D80">
        <f>SUMIFS(allorders!$O:$O,allorders!$L:$L,$A80,allorders!$AG:$AG,"&lt;="&amp;日期!$B$7,allorders!$AG:$AG,"&gt;="&amp;日期!$B$8,allorders!Q:Q,"&lt;&gt;"&amp;"",allorders!N:N,"Shipped")</f>
        <v>2</v>
      </c>
      <c r="E80">
        <f>SUMIFS(allorders!$O:$O,allorders!$L:$L,$A80,allorders!$AG:$AG,"&lt;="&amp;日期!$B$9,allorders!$AG:$AG,"&gt;="&amp;日期!$B$10,allorders!Q:Q,"&lt;&gt;"&amp;"",allorders!N:N,"Shipped")</f>
        <v>0</v>
      </c>
      <c r="F80">
        <f>SUMIFS(allorders!$O:$O,allorders!$L:$L,$A80,allorders!$AG:$AG,"&lt;="&amp;日期!$B$11,allorders!$AG:$AG,"&gt;="&amp;日期!$B$12,allorders!Q:Q,"&lt;&gt;"&amp;"",allorders!N:N,"Shipped")</f>
        <v>0</v>
      </c>
      <c r="G80">
        <f>SUMIFS(allorders!Q:Q,allorders!L:L,A80,allorders!AG:AG,"&lt;="&amp;日期!$B$2,allorders!AG:AG,"&gt;="&amp;日期!$B$1,allorders!N:N,"Shipped")/SUM(C80:F80)</f>
        <v>7.99</v>
      </c>
      <c r="H80">
        <f>SUMIFS(allorders!Q:Q,allorders!L:L,A80,allorders!AG:AG,"&gt;="&amp;日期!$B$1,allorders!AG:AG,"&lt;="&amp;日期!$B$2,allorders!N:N,"Shipped")</f>
        <v>31.96</v>
      </c>
      <c r="I80">
        <f t="shared" si="1"/>
        <v>4</v>
      </c>
    </row>
    <row r="81" spans="1:9">
      <c r="A81" s="5" t="s">
        <v>1917</v>
      </c>
      <c r="B81" t="str">
        <f>VLOOKUP(A81,'[1]子sku-父sku'!$A:$B,2,0)</f>
        <v>BDB-WF212</v>
      </c>
      <c r="C81">
        <f>SUMIFS(allorders!O:O,allorders!L:L,$A81,allorders!AG:AG,"&lt;="&amp;日期!$B$5,allorders!AG:AG,"&gt;="&amp;日期!$B$6,allorders!Q:Q,"&lt;&gt;"&amp;"",allorders!N:N,"Shipped")</f>
        <v>0</v>
      </c>
      <c r="D81">
        <f>SUMIFS(allorders!$O:$O,allorders!$L:$L,$A81,allorders!$AG:$AG,"&lt;="&amp;日期!$B$7,allorders!$AG:$AG,"&gt;="&amp;日期!$B$8,allorders!Q:Q,"&lt;&gt;"&amp;"",allorders!N:N,"Shipped")</f>
        <v>1</v>
      </c>
      <c r="E81">
        <f>SUMIFS(allorders!$O:$O,allorders!$L:$L,$A81,allorders!$AG:$AG,"&lt;="&amp;日期!$B$9,allorders!$AG:$AG,"&gt;="&amp;日期!$B$10,allorders!Q:Q,"&lt;&gt;"&amp;"",allorders!N:N,"Shipped")</f>
        <v>0</v>
      </c>
      <c r="F81">
        <f>SUMIFS(allorders!$O:$O,allorders!$L:$L,$A81,allorders!$AG:$AG,"&lt;="&amp;日期!$B$11,allorders!$AG:$AG,"&gt;="&amp;日期!$B$12,allorders!Q:Q,"&lt;&gt;"&amp;"",allorders!N:N,"Shipped")</f>
        <v>0</v>
      </c>
      <c r="G81">
        <f>SUMIFS(allorders!Q:Q,allorders!L:L,A81,allorders!AG:AG,"&lt;="&amp;日期!$B$2,allorders!AG:AG,"&gt;="&amp;日期!$B$1,allorders!N:N,"Shipped")/SUM(C81:F81)</f>
        <v>9.99</v>
      </c>
      <c r="H81">
        <f>SUMIFS(allorders!Q:Q,allorders!L:L,A81,allorders!AG:AG,"&gt;="&amp;日期!$B$1,allorders!AG:AG,"&lt;="&amp;日期!$B$2,allorders!N:N,"Shipped")</f>
        <v>9.99</v>
      </c>
      <c r="I81">
        <f t="shared" si="1"/>
        <v>1</v>
      </c>
    </row>
    <row r="82" spans="1:9">
      <c r="A82" s="5" t="s">
        <v>1937</v>
      </c>
      <c r="B82" t="str">
        <f>VLOOKUP(A82,'[1]子sku-父sku'!$A:$B,2,0)</f>
        <v>ZDD-FLQ07</v>
      </c>
      <c r="C82">
        <f>SUMIFS(allorders!O:O,allorders!L:L,$A82,allorders!AG:AG,"&lt;="&amp;日期!$B$5,allorders!AG:AG,"&gt;="&amp;日期!$B$6,allorders!Q:Q,"&lt;&gt;"&amp;"",allorders!N:N,"Shipped")</f>
        <v>0</v>
      </c>
      <c r="D82">
        <f>SUMIFS(allorders!$O:$O,allorders!$L:$L,$A82,allorders!$AG:$AG,"&lt;="&amp;日期!$B$7,allorders!$AG:$AG,"&gt;="&amp;日期!$B$8,allorders!Q:Q,"&lt;&gt;"&amp;"",allorders!N:N,"Shipped")</f>
        <v>2</v>
      </c>
      <c r="E82">
        <f>SUMIFS(allorders!$O:$O,allorders!$L:$L,$A82,allorders!$AG:$AG,"&lt;="&amp;日期!$B$9,allorders!$AG:$AG,"&gt;="&amp;日期!$B$10,allorders!Q:Q,"&lt;&gt;"&amp;"",allorders!N:N,"Shipped")</f>
        <v>0</v>
      </c>
      <c r="F82">
        <f>SUMIFS(allorders!$O:$O,allorders!$L:$L,$A82,allorders!$AG:$AG,"&lt;="&amp;日期!$B$11,allorders!$AG:$AG,"&gt;="&amp;日期!$B$12,allorders!Q:Q,"&lt;&gt;"&amp;"",allorders!N:N,"Shipped")</f>
        <v>0</v>
      </c>
      <c r="G82">
        <f>SUMIFS(allorders!Q:Q,allorders!L:L,A82,allorders!AG:AG,"&lt;="&amp;日期!$B$2,allorders!AG:AG,"&gt;="&amp;日期!$B$1,allorders!N:N,"Shipped")/SUM(C82:F82)</f>
        <v>15.99</v>
      </c>
      <c r="H82">
        <f>SUMIFS(allorders!Q:Q,allorders!L:L,A82,allorders!AG:AG,"&gt;="&amp;日期!$B$1,allorders!AG:AG,"&lt;="&amp;日期!$B$2,allorders!N:N,"Shipped")</f>
        <v>31.98</v>
      </c>
      <c r="I82">
        <f t="shared" si="1"/>
        <v>2</v>
      </c>
    </row>
    <row r="83" spans="1:9">
      <c r="A83" s="5" t="s">
        <v>2011</v>
      </c>
      <c r="B83" t="str">
        <f>VLOOKUP(A83,'[1]子sku-父sku'!$A:$B,2,0)</f>
        <v>CWB-WF021</v>
      </c>
      <c r="C83">
        <f>SUMIFS(allorders!O:O,allorders!L:L,$A83,allorders!AG:AG,"&lt;="&amp;日期!$B$5,allorders!AG:AG,"&gt;="&amp;日期!$B$6,allorders!Q:Q,"&lt;&gt;"&amp;"",allorders!N:N,"Shipped")</f>
        <v>0</v>
      </c>
      <c r="D83">
        <f>SUMIFS(allorders!$O:$O,allorders!$L:$L,$A83,allorders!$AG:$AG,"&lt;="&amp;日期!$B$7,allorders!$AG:$AG,"&gt;="&amp;日期!$B$8,allorders!Q:Q,"&lt;&gt;"&amp;"",allorders!N:N,"Shipped")</f>
        <v>1</v>
      </c>
      <c r="E83">
        <f>SUMIFS(allorders!$O:$O,allorders!$L:$L,$A83,allorders!$AG:$AG,"&lt;="&amp;日期!$B$9,allorders!$AG:$AG,"&gt;="&amp;日期!$B$10,allorders!Q:Q,"&lt;&gt;"&amp;"",allorders!N:N,"Shipped")</f>
        <v>0</v>
      </c>
      <c r="F83">
        <f>SUMIFS(allorders!$O:$O,allorders!$L:$L,$A83,allorders!$AG:$AG,"&lt;="&amp;日期!$B$11,allorders!$AG:$AG,"&gt;="&amp;日期!$B$12,allorders!Q:Q,"&lt;&gt;"&amp;"",allorders!N:N,"Shipped")</f>
        <v>0</v>
      </c>
      <c r="G83">
        <f>SUMIFS(allorders!Q:Q,allorders!L:L,A83,allorders!AG:AG,"&lt;="&amp;日期!$B$2,allorders!AG:AG,"&gt;="&amp;日期!$B$1,allorders!N:N,"Shipped")/SUM(C83:F83)</f>
        <v>13.59</v>
      </c>
      <c r="H83">
        <f>SUMIFS(allorders!Q:Q,allorders!L:L,A83,allorders!AG:AG,"&gt;="&amp;日期!$B$1,allorders!AG:AG,"&lt;="&amp;日期!$B$2,allorders!N:N,"Shipped")</f>
        <v>13.59</v>
      </c>
      <c r="I83">
        <f t="shared" si="1"/>
        <v>1</v>
      </c>
    </row>
    <row r="84" spans="1:9">
      <c r="A84" s="5" t="s">
        <v>2054</v>
      </c>
      <c r="B84" t="str">
        <f>VLOOKUP(A84,'[1]子sku-父sku'!$A:$B,2,0)</f>
        <v>SNH-LUHM001</v>
      </c>
      <c r="C84">
        <f>SUMIFS(allorders!O:O,allorders!L:L,$A84,allorders!AG:AG,"&lt;="&amp;日期!$B$5,allorders!AG:AG,"&gt;="&amp;日期!$B$6,allorders!Q:Q,"&lt;&gt;"&amp;"",allorders!N:N,"Shipped")</f>
        <v>1</v>
      </c>
      <c r="D84">
        <f>SUMIFS(allorders!$O:$O,allorders!$L:$L,$A84,allorders!$AG:$AG,"&lt;="&amp;日期!$B$7,allorders!$AG:$AG,"&gt;="&amp;日期!$B$8,allorders!Q:Q,"&lt;&gt;"&amp;"",allorders!N:N,"Shipped")</f>
        <v>4</v>
      </c>
      <c r="E84">
        <f>SUMIFS(allorders!$O:$O,allorders!$L:$L,$A84,allorders!$AG:$AG,"&lt;="&amp;日期!$B$9,allorders!$AG:$AG,"&gt;="&amp;日期!$B$10,allorders!Q:Q,"&lt;&gt;"&amp;"",allorders!N:N,"Shipped")</f>
        <v>0</v>
      </c>
      <c r="F84">
        <f>SUMIFS(allorders!$O:$O,allorders!$L:$L,$A84,allorders!$AG:$AG,"&lt;="&amp;日期!$B$11,allorders!$AG:$AG,"&gt;="&amp;日期!$B$12,allorders!Q:Q,"&lt;&gt;"&amp;"",allorders!N:N,"Shipped")</f>
        <v>0</v>
      </c>
      <c r="G84">
        <f>SUMIFS(allorders!Q:Q,allorders!L:L,A84,allorders!AG:AG,"&lt;="&amp;日期!$B$2,allorders!AG:AG,"&gt;="&amp;日期!$B$1,allorders!N:N,"Shipped")/SUM(C84:F84)</f>
        <v>14.99</v>
      </c>
      <c r="H84">
        <f>SUMIFS(allorders!Q:Q,allorders!L:L,A84,allorders!AG:AG,"&gt;="&amp;日期!$B$1,allorders!AG:AG,"&lt;="&amp;日期!$B$2,allorders!N:N,"Shipped")</f>
        <v>74.95</v>
      </c>
      <c r="I84">
        <f t="shared" si="1"/>
        <v>5</v>
      </c>
    </row>
    <row r="85" spans="1:9">
      <c r="A85" s="5" t="s">
        <v>2198</v>
      </c>
      <c r="B85" t="str">
        <f>VLOOKUP(A85,'[1]子sku-父sku'!$A:$B,2,0)</f>
        <v>WY-WF1217</v>
      </c>
      <c r="C85">
        <f>SUMIFS(allorders!O:O,allorders!L:L,$A85,allorders!AG:AG,"&lt;="&amp;日期!$B$5,allorders!AG:AG,"&gt;="&amp;日期!$B$6,allorders!Q:Q,"&lt;&gt;"&amp;"",allorders!N:N,"Shipped")</f>
        <v>0</v>
      </c>
      <c r="D85">
        <f>SUMIFS(allorders!$O:$O,allorders!$L:$L,$A85,allorders!$AG:$AG,"&lt;="&amp;日期!$B$7,allorders!$AG:$AG,"&gt;="&amp;日期!$B$8,allorders!Q:Q,"&lt;&gt;"&amp;"",allorders!N:N,"Shipped")</f>
        <v>1</v>
      </c>
      <c r="E85">
        <f>SUMIFS(allorders!$O:$O,allorders!$L:$L,$A85,allorders!$AG:$AG,"&lt;="&amp;日期!$B$9,allorders!$AG:$AG,"&gt;="&amp;日期!$B$10,allorders!Q:Q,"&lt;&gt;"&amp;"",allorders!N:N,"Shipped")</f>
        <v>0</v>
      </c>
      <c r="F85">
        <f>SUMIFS(allorders!$O:$O,allorders!$L:$L,$A85,allorders!$AG:$AG,"&lt;="&amp;日期!$B$11,allorders!$AG:$AG,"&gt;="&amp;日期!$B$12,allorders!Q:Q,"&lt;&gt;"&amp;"",allorders!N:N,"Shipped")</f>
        <v>0</v>
      </c>
      <c r="G85">
        <f>SUMIFS(allorders!Q:Q,allorders!L:L,A85,allorders!AG:AG,"&lt;="&amp;日期!$B$2,allorders!AG:AG,"&gt;="&amp;日期!$B$1,allorders!N:N,"Shipped")/SUM(C85:F85)</f>
        <v>21.98</v>
      </c>
      <c r="H85">
        <f>SUMIFS(allorders!Q:Q,allorders!L:L,A85,allorders!AG:AG,"&gt;="&amp;日期!$B$1,allorders!AG:AG,"&lt;="&amp;日期!$B$2,allorders!N:N,"Shipped")</f>
        <v>21.98</v>
      </c>
      <c r="I85">
        <f t="shared" si="1"/>
        <v>1</v>
      </c>
    </row>
    <row r="86" spans="1:9">
      <c r="A86" s="5" t="s">
        <v>2249</v>
      </c>
      <c r="B86" t="str">
        <f>VLOOKUP(A86,'[1]子sku-父sku'!$A:$B,2,0)</f>
        <v>SB-LUHM100</v>
      </c>
      <c r="C86">
        <f>SUMIFS(allorders!O:O,allorders!L:L,$A86,allorders!AG:AG,"&lt;="&amp;日期!$B$5,allorders!AG:AG,"&gt;="&amp;日期!$B$6,allorders!Q:Q,"&lt;&gt;"&amp;"",allorders!N:N,"Shipped")</f>
        <v>0</v>
      </c>
      <c r="D86">
        <f>SUMIFS(allorders!$O:$O,allorders!$L:$L,$A86,allorders!$AG:$AG,"&lt;="&amp;日期!$B$7,allorders!$AG:$AG,"&gt;="&amp;日期!$B$8,allorders!Q:Q,"&lt;&gt;"&amp;"",allorders!N:N,"Shipped")</f>
        <v>2</v>
      </c>
      <c r="E86">
        <f>SUMIFS(allorders!$O:$O,allorders!$L:$L,$A86,allorders!$AG:$AG,"&lt;="&amp;日期!$B$9,allorders!$AG:$AG,"&gt;="&amp;日期!$B$10,allorders!Q:Q,"&lt;&gt;"&amp;"",allorders!N:N,"Shipped")</f>
        <v>0</v>
      </c>
      <c r="F86">
        <f>SUMIFS(allorders!$O:$O,allorders!$L:$L,$A86,allorders!$AG:$AG,"&lt;="&amp;日期!$B$11,allorders!$AG:$AG,"&gt;="&amp;日期!$B$12,allorders!Q:Q,"&lt;&gt;"&amp;"",allorders!N:N,"Shipped")</f>
        <v>0</v>
      </c>
      <c r="G86">
        <f>SUMIFS(allorders!Q:Q,allorders!L:L,A86,allorders!AG:AG,"&lt;="&amp;日期!$B$2,allorders!AG:AG,"&gt;="&amp;日期!$B$1,allorders!N:N,"Shipped")/SUM(C86:F86)</f>
        <v>11.99</v>
      </c>
      <c r="H86">
        <f>SUMIFS(allorders!Q:Q,allorders!L:L,A86,allorders!AG:AG,"&gt;="&amp;日期!$B$1,allorders!AG:AG,"&lt;="&amp;日期!$B$2,allorders!N:N,"Shipped")</f>
        <v>23.98</v>
      </c>
      <c r="I86">
        <f t="shared" si="1"/>
        <v>2</v>
      </c>
    </row>
    <row r="87" spans="1:9">
      <c r="A87" s="5" t="s">
        <v>2272</v>
      </c>
      <c r="B87" t="str">
        <f>VLOOKUP(A87,'[1]子sku-父sku'!$A:$B,2,0)</f>
        <v>SJZP-FLQ19</v>
      </c>
      <c r="C87">
        <f>SUMIFS(allorders!O:O,allorders!L:L,$A87,allorders!AG:AG,"&lt;="&amp;日期!$B$5,allorders!AG:AG,"&gt;="&amp;日期!$B$6,allorders!Q:Q,"&lt;&gt;"&amp;"",allorders!N:N,"Shipped")</f>
        <v>0</v>
      </c>
      <c r="D87">
        <f>SUMIFS(allorders!$O:$O,allorders!$L:$L,$A87,allorders!$AG:$AG,"&lt;="&amp;日期!$B$7,allorders!$AG:$AG,"&gt;="&amp;日期!$B$8,allorders!Q:Q,"&lt;&gt;"&amp;"",allorders!N:N,"Shipped")</f>
        <v>0</v>
      </c>
      <c r="E87">
        <f>SUMIFS(allorders!$O:$O,allorders!$L:$L,$A87,allorders!$AG:$AG,"&lt;="&amp;日期!$B$9,allorders!$AG:$AG,"&gt;="&amp;日期!$B$10,allorders!Q:Q,"&lt;&gt;"&amp;"",allorders!N:N,"Shipped")</f>
        <v>0</v>
      </c>
      <c r="F87">
        <f>SUMIFS(allorders!$O:$O,allorders!$L:$L,$A87,allorders!$AG:$AG,"&lt;="&amp;日期!$B$11,allorders!$AG:$AG,"&gt;="&amp;日期!$B$12,allorders!Q:Q,"&lt;&gt;"&amp;"",allorders!N:N,"Shipped")</f>
        <v>0</v>
      </c>
      <c r="G87" t="e">
        <f>SUMIFS(allorders!Q:Q,allorders!L:L,A87,allorders!AG:AG,"&lt;="&amp;日期!$B$2,allorders!AG:AG,"&gt;="&amp;日期!$B$1,allorders!N:N,"Shipped")/SUM(C87:F87)</f>
        <v>#DIV/0!</v>
      </c>
      <c r="H87">
        <f>SUMIFS(allorders!Q:Q,allorders!L:L,A87,allorders!AG:AG,"&gt;="&amp;日期!$B$1,allorders!AG:AG,"&lt;="&amp;日期!$B$2,allorders!N:N,"Shipped")</f>
        <v>0</v>
      </c>
      <c r="I87">
        <f t="shared" si="1"/>
        <v>0</v>
      </c>
    </row>
    <row r="88" spans="1:9">
      <c r="A88" s="5" t="s">
        <v>2329</v>
      </c>
      <c r="B88" t="str">
        <f>VLOOKUP(A88,'[1]子sku-父sku'!$A:$B,2,0)</f>
        <v>ZDD-FLQ08</v>
      </c>
      <c r="C88">
        <f>SUMIFS(allorders!O:O,allorders!L:L,$A88,allorders!AG:AG,"&lt;="&amp;日期!$B$5,allorders!AG:AG,"&gt;="&amp;日期!$B$6,allorders!Q:Q,"&lt;&gt;"&amp;"",allorders!N:N,"Shipped")</f>
        <v>1</v>
      </c>
      <c r="D88">
        <f>SUMIFS(allorders!$O:$O,allorders!$L:$L,$A88,allorders!$AG:$AG,"&lt;="&amp;日期!$B$7,allorders!$AG:$AG,"&gt;="&amp;日期!$B$8,allorders!Q:Q,"&lt;&gt;"&amp;"",allorders!N:N,"Shipped")</f>
        <v>1</v>
      </c>
      <c r="E88">
        <f>SUMIFS(allorders!$O:$O,allorders!$L:$L,$A88,allorders!$AG:$AG,"&lt;="&amp;日期!$B$9,allorders!$AG:$AG,"&gt;="&amp;日期!$B$10,allorders!Q:Q,"&lt;&gt;"&amp;"",allorders!N:N,"Shipped")</f>
        <v>0</v>
      </c>
      <c r="F88">
        <f>SUMIFS(allorders!$O:$O,allorders!$L:$L,$A88,allorders!$AG:$AG,"&lt;="&amp;日期!$B$11,allorders!$AG:$AG,"&gt;="&amp;日期!$B$12,allorders!Q:Q,"&lt;&gt;"&amp;"",allorders!N:N,"Shipped")</f>
        <v>0</v>
      </c>
      <c r="G88">
        <f>SUMIFS(allorders!Q:Q,allorders!L:L,A88,allorders!AG:AG,"&lt;="&amp;日期!$B$2,allorders!AG:AG,"&gt;="&amp;日期!$B$1,allorders!N:N,"Shipped")/SUM(C88:F88)</f>
        <v>15.99</v>
      </c>
      <c r="H88">
        <f>SUMIFS(allorders!Q:Q,allorders!L:L,A88,allorders!AG:AG,"&gt;="&amp;日期!$B$1,allorders!AG:AG,"&lt;="&amp;日期!$B$2,allorders!N:N,"Shipped")</f>
        <v>31.98</v>
      </c>
      <c r="I88">
        <f t="shared" si="1"/>
        <v>2</v>
      </c>
    </row>
    <row r="89" spans="1:9">
      <c r="A89" s="5" t="s">
        <v>2363</v>
      </c>
      <c r="B89" t="str">
        <f>VLOOKUP(A89,'[1]子sku-父sku'!$A:$B,2,0)</f>
        <v>XK-YIWUJS</v>
      </c>
      <c r="C89">
        <f>SUMIFS(allorders!O:O,allorders!L:L,$A89,allorders!AG:AG,"&lt;="&amp;日期!$B$5,allorders!AG:AG,"&gt;="&amp;日期!$B$6,allorders!Q:Q,"&lt;&gt;"&amp;"",allorders!N:N,"Shipped")</f>
        <v>0</v>
      </c>
      <c r="D89">
        <f>SUMIFS(allorders!$O:$O,allorders!$L:$L,$A89,allorders!$AG:$AG,"&lt;="&amp;日期!$B$7,allorders!$AG:$AG,"&gt;="&amp;日期!$B$8,allorders!Q:Q,"&lt;&gt;"&amp;"",allorders!N:N,"Shipped")</f>
        <v>2</v>
      </c>
      <c r="E89">
        <f>SUMIFS(allorders!$O:$O,allorders!$L:$L,$A89,allorders!$AG:$AG,"&lt;="&amp;日期!$B$9,allorders!$AG:$AG,"&gt;="&amp;日期!$B$10,allorders!Q:Q,"&lt;&gt;"&amp;"",allorders!N:N,"Shipped")</f>
        <v>0</v>
      </c>
      <c r="F89">
        <f>SUMIFS(allorders!$O:$O,allorders!$L:$L,$A89,allorders!$AG:$AG,"&lt;="&amp;日期!$B$11,allorders!$AG:$AG,"&gt;="&amp;日期!$B$12,allorders!Q:Q,"&lt;&gt;"&amp;"",allorders!N:N,"Shipped")</f>
        <v>0</v>
      </c>
      <c r="G89">
        <f>SUMIFS(allorders!Q:Q,allorders!L:L,A89,allorders!AG:AG,"&lt;="&amp;日期!$B$2,allorders!AG:AG,"&gt;="&amp;日期!$B$1,allorders!N:N,"Shipped")/SUM(C89:F89)</f>
        <v>8.99</v>
      </c>
      <c r="H89">
        <f>SUMIFS(allorders!Q:Q,allorders!L:L,A89,allorders!AG:AG,"&gt;="&amp;日期!$B$1,allorders!AG:AG,"&lt;="&amp;日期!$B$2,allorders!N:N,"Shipped")</f>
        <v>17.98</v>
      </c>
      <c r="I89">
        <f t="shared" si="1"/>
        <v>2</v>
      </c>
    </row>
    <row r="90" spans="1:9">
      <c r="A90" s="5" t="s">
        <v>2396</v>
      </c>
      <c r="B90" t="str">
        <f>VLOOKUP(A90,'[1]子sku-父sku'!$A:$B,2,0)</f>
        <v>CD-WF117</v>
      </c>
      <c r="C90">
        <f>SUMIFS(allorders!O:O,allorders!L:L,$A90,allorders!AG:AG,"&lt;="&amp;日期!$B$5,allorders!AG:AG,"&gt;="&amp;日期!$B$6,allorders!Q:Q,"&lt;&gt;"&amp;"",allorders!N:N,"Shipped")</f>
        <v>0</v>
      </c>
      <c r="D90">
        <f>SUMIFS(allorders!$O:$O,allorders!$L:$L,$A90,allorders!$AG:$AG,"&lt;="&amp;日期!$B$7,allorders!$AG:$AG,"&gt;="&amp;日期!$B$8,allorders!Q:Q,"&lt;&gt;"&amp;"",allorders!N:N,"Shipped")</f>
        <v>1</v>
      </c>
      <c r="E90">
        <f>SUMIFS(allorders!$O:$O,allorders!$L:$L,$A90,allorders!$AG:$AG,"&lt;="&amp;日期!$B$9,allorders!$AG:$AG,"&gt;="&amp;日期!$B$10,allorders!Q:Q,"&lt;&gt;"&amp;"",allorders!N:N,"Shipped")</f>
        <v>0</v>
      </c>
      <c r="F90">
        <f>SUMIFS(allorders!$O:$O,allorders!$L:$L,$A90,allorders!$AG:$AG,"&lt;="&amp;日期!$B$11,allorders!$AG:$AG,"&gt;="&amp;日期!$B$12,allorders!Q:Q,"&lt;&gt;"&amp;"",allorders!N:N,"Shipped")</f>
        <v>0</v>
      </c>
      <c r="G90">
        <f>SUMIFS(allorders!Q:Q,allorders!L:L,A90,allorders!AG:AG,"&lt;="&amp;日期!$B$2,allorders!AG:AG,"&gt;="&amp;日期!$B$1,allorders!N:N,"Shipped")/SUM(C90:F90)</f>
        <v>15.99</v>
      </c>
      <c r="H90">
        <f>SUMIFS(allorders!Q:Q,allorders!L:L,A90,allorders!AG:AG,"&gt;="&amp;日期!$B$1,allorders!AG:AG,"&lt;="&amp;日期!$B$2,allorders!N:N,"Shipped")</f>
        <v>15.99</v>
      </c>
      <c r="I90">
        <f t="shared" si="1"/>
        <v>1</v>
      </c>
    </row>
    <row r="91" spans="1:9">
      <c r="A91" s="5" t="s">
        <v>2423</v>
      </c>
      <c r="B91" t="str">
        <f>VLOOKUP(A91,'[1]子sku-父sku'!$A:$B,2,0)</f>
        <v>SNH-LUHM001</v>
      </c>
      <c r="C91">
        <f>SUMIFS(allorders!O:O,allorders!L:L,$A91,allorders!AG:AG,"&lt;="&amp;日期!$B$5,allorders!AG:AG,"&gt;="&amp;日期!$B$6,allorders!Q:Q,"&lt;&gt;"&amp;"",allorders!N:N,"Shipped")</f>
        <v>0</v>
      </c>
      <c r="D91">
        <f>SUMIFS(allorders!$O:$O,allorders!$L:$L,$A91,allorders!$AG:$AG,"&lt;="&amp;日期!$B$7,allorders!$AG:$AG,"&gt;="&amp;日期!$B$8,allorders!Q:Q,"&lt;&gt;"&amp;"",allorders!N:N,"Shipped")</f>
        <v>1</v>
      </c>
      <c r="E91">
        <f>SUMIFS(allorders!$O:$O,allorders!$L:$L,$A91,allorders!$AG:$AG,"&lt;="&amp;日期!$B$9,allorders!$AG:$AG,"&gt;="&amp;日期!$B$10,allorders!Q:Q,"&lt;&gt;"&amp;"",allorders!N:N,"Shipped")</f>
        <v>0</v>
      </c>
      <c r="F91">
        <f>SUMIFS(allorders!$O:$O,allorders!$L:$L,$A91,allorders!$AG:$AG,"&lt;="&amp;日期!$B$11,allorders!$AG:$AG,"&gt;="&amp;日期!$B$12,allorders!Q:Q,"&lt;&gt;"&amp;"",allorders!N:N,"Shipped")</f>
        <v>0</v>
      </c>
      <c r="G91">
        <f>SUMIFS(allorders!Q:Q,allorders!L:L,A91,allorders!AG:AG,"&lt;="&amp;日期!$B$2,allorders!AG:AG,"&gt;="&amp;日期!$B$1,allorders!N:N,"Shipped")/SUM(C91:F91)</f>
        <v>14.99</v>
      </c>
      <c r="H91">
        <f>SUMIFS(allorders!Q:Q,allorders!L:L,A91,allorders!AG:AG,"&gt;="&amp;日期!$B$1,allorders!AG:AG,"&lt;="&amp;日期!$B$2,allorders!N:N,"Shipped")</f>
        <v>14.99</v>
      </c>
      <c r="I91">
        <f t="shared" si="1"/>
        <v>1</v>
      </c>
    </row>
    <row r="92" spans="1:9">
      <c r="A92" s="5" t="s">
        <v>2500</v>
      </c>
      <c r="B92" t="str">
        <f>VLOOKUP(A92,'[1]子sku-父sku'!$A:$B,2,0)</f>
        <v>SNH-LUHM001</v>
      </c>
      <c r="C92">
        <f>SUMIFS(allorders!O:O,allorders!L:L,$A92,allorders!AG:AG,"&lt;="&amp;日期!$B$5,allorders!AG:AG,"&gt;="&amp;日期!$B$6,allorders!Q:Q,"&lt;&gt;"&amp;"",allorders!N:N,"Shipped")</f>
        <v>0</v>
      </c>
      <c r="D92">
        <f>SUMIFS(allorders!$O:$O,allorders!$L:$L,$A92,allorders!$AG:$AG,"&lt;="&amp;日期!$B$7,allorders!$AG:$AG,"&gt;="&amp;日期!$B$8,allorders!Q:Q,"&lt;&gt;"&amp;"",allorders!N:N,"Shipped")</f>
        <v>1</v>
      </c>
      <c r="E92">
        <f>SUMIFS(allorders!$O:$O,allorders!$L:$L,$A92,allorders!$AG:$AG,"&lt;="&amp;日期!$B$9,allorders!$AG:$AG,"&gt;="&amp;日期!$B$10,allorders!Q:Q,"&lt;&gt;"&amp;"",allorders!N:N,"Shipped")</f>
        <v>0</v>
      </c>
      <c r="F92">
        <f>SUMIFS(allorders!$O:$O,allorders!$L:$L,$A92,allorders!$AG:$AG,"&lt;="&amp;日期!$B$11,allorders!$AG:$AG,"&gt;="&amp;日期!$B$12,allorders!Q:Q,"&lt;&gt;"&amp;"",allorders!N:N,"Shipped")</f>
        <v>0</v>
      </c>
      <c r="G92">
        <f>SUMIFS(allorders!Q:Q,allorders!L:L,A92,allorders!AG:AG,"&lt;="&amp;日期!$B$2,allorders!AG:AG,"&gt;="&amp;日期!$B$1,allorders!N:N,"Shipped")/SUM(C92:F92)</f>
        <v>7.99</v>
      </c>
      <c r="H92">
        <f>SUMIFS(allorders!Q:Q,allorders!L:L,A92,allorders!AG:AG,"&gt;="&amp;日期!$B$1,allorders!AG:AG,"&lt;="&amp;日期!$B$2,allorders!N:N,"Shipped")</f>
        <v>7.99</v>
      </c>
      <c r="I92">
        <f t="shared" si="1"/>
        <v>1</v>
      </c>
    </row>
    <row r="93" spans="1:9">
      <c r="A93" s="5" t="s">
        <v>2543</v>
      </c>
      <c r="B93" t="str">
        <f>VLOOKUP(A93,'[1]子sku-父sku'!$A:$B,2,0)</f>
        <v>SNH-LUHM001</v>
      </c>
      <c r="C93">
        <f>SUMIFS(allorders!O:O,allorders!L:L,$A93,allorders!AG:AG,"&lt;="&amp;日期!$B$5,allorders!AG:AG,"&gt;="&amp;日期!$B$6,allorders!Q:Q,"&lt;&gt;"&amp;"",allorders!N:N,"Shipped")</f>
        <v>1</v>
      </c>
      <c r="D93">
        <f>SUMIFS(allorders!$O:$O,allorders!$L:$L,$A93,allorders!$AG:$AG,"&lt;="&amp;日期!$B$7,allorders!$AG:$AG,"&gt;="&amp;日期!$B$8,allorders!Q:Q,"&lt;&gt;"&amp;"",allorders!N:N,"Shipped")</f>
        <v>1</v>
      </c>
      <c r="E93">
        <f>SUMIFS(allorders!$O:$O,allorders!$L:$L,$A93,allorders!$AG:$AG,"&lt;="&amp;日期!$B$9,allorders!$AG:$AG,"&gt;="&amp;日期!$B$10,allorders!Q:Q,"&lt;&gt;"&amp;"",allorders!N:N,"Shipped")</f>
        <v>0</v>
      </c>
      <c r="F93">
        <f>SUMIFS(allorders!$O:$O,allorders!$L:$L,$A93,allorders!$AG:$AG,"&lt;="&amp;日期!$B$11,allorders!$AG:$AG,"&gt;="&amp;日期!$B$12,allorders!Q:Q,"&lt;&gt;"&amp;"",allorders!N:N,"Shipped")</f>
        <v>0</v>
      </c>
      <c r="G93">
        <f>SUMIFS(allorders!Q:Q,allorders!L:L,A93,allorders!AG:AG,"&lt;="&amp;日期!$B$2,allorders!AG:AG,"&gt;="&amp;日期!$B$1,allorders!N:N,"Shipped")/SUM(C93:F93)</f>
        <v>14.99</v>
      </c>
      <c r="H93">
        <f>SUMIFS(allorders!Q:Q,allorders!L:L,A93,allorders!AG:AG,"&gt;="&amp;日期!$B$1,allorders!AG:AG,"&lt;="&amp;日期!$B$2,allorders!N:N,"Shipped")</f>
        <v>29.98</v>
      </c>
      <c r="I93">
        <f t="shared" si="1"/>
        <v>2</v>
      </c>
    </row>
    <row r="94" spans="1:9">
      <c r="A94" s="5" t="s">
        <v>2629</v>
      </c>
      <c r="B94" t="str">
        <f>VLOOKUP(A94,'[1]子sku-父sku'!$A:$B,2,0)</f>
        <v>SNH-LUHM001</v>
      </c>
      <c r="C94">
        <f>SUMIFS(allorders!O:O,allorders!L:L,$A94,allorders!AG:AG,"&lt;="&amp;日期!$B$5,allorders!AG:AG,"&gt;="&amp;日期!$B$6,allorders!Q:Q,"&lt;&gt;"&amp;"",allorders!N:N,"Shipped")</f>
        <v>5</v>
      </c>
      <c r="D94">
        <f>SUMIFS(allorders!$O:$O,allorders!$L:$L,$A94,allorders!$AG:$AG,"&lt;="&amp;日期!$B$7,allorders!$AG:$AG,"&gt;="&amp;日期!$B$8,allorders!Q:Q,"&lt;&gt;"&amp;"",allorders!N:N,"Shipped")</f>
        <v>0</v>
      </c>
      <c r="E94">
        <f>SUMIFS(allorders!$O:$O,allorders!$L:$L,$A94,allorders!$AG:$AG,"&lt;="&amp;日期!$B$9,allorders!$AG:$AG,"&gt;="&amp;日期!$B$10,allorders!Q:Q,"&lt;&gt;"&amp;"",allorders!N:N,"Shipped")</f>
        <v>0</v>
      </c>
      <c r="F94">
        <f>SUMIFS(allorders!$O:$O,allorders!$L:$L,$A94,allorders!$AG:$AG,"&lt;="&amp;日期!$B$11,allorders!$AG:$AG,"&gt;="&amp;日期!$B$12,allorders!Q:Q,"&lt;&gt;"&amp;"",allorders!N:N,"Shipped")</f>
        <v>0</v>
      </c>
      <c r="G94">
        <f>SUMIFS(allorders!Q:Q,allorders!L:L,A94,allorders!AG:AG,"&lt;="&amp;日期!$B$2,allorders!AG:AG,"&gt;="&amp;日期!$B$1,allorders!N:N,"Shipped")/SUM(C94:F94)</f>
        <v>7.99</v>
      </c>
      <c r="H94">
        <f>SUMIFS(allorders!Q:Q,allorders!L:L,A94,allorders!AG:AG,"&gt;="&amp;日期!$B$1,allorders!AG:AG,"&lt;="&amp;日期!$B$2,allorders!N:N,"Shipped")</f>
        <v>39.95</v>
      </c>
      <c r="I94">
        <f t="shared" si="1"/>
        <v>5</v>
      </c>
    </row>
    <row r="95" spans="1:9">
      <c r="A95" s="5" t="s">
        <v>2637</v>
      </c>
      <c r="B95" t="str">
        <f>VLOOKUP(A95,'[1]子sku-父sku'!$A:$B,2,0)</f>
        <v>CWB-WF021</v>
      </c>
      <c r="C95">
        <f>SUMIFS(allorders!O:O,allorders!L:L,$A95,allorders!AG:AG,"&lt;="&amp;日期!$B$5,allorders!AG:AG,"&gt;="&amp;日期!$B$6,allorders!Q:Q,"&lt;&gt;"&amp;"",allorders!N:N,"Shipped")</f>
        <v>1</v>
      </c>
      <c r="D95">
        <f>SUMIFS(allorders!$O:$O,allorders!$L:$L,$A95,allorders!$AG:$AG,"&lt;="&amp;日期!$B$7,allorders!$AG:$AG,"&gt;="&amp;日期!$B$8,allorders!Q:Q,"&lt;&gt;"&amp;"",allorders!N:N,"Shipped")</f>
        <v>0</v>
      </c>
      <c r="E95">
        <f>SUMIFS(allorders!$O:$O,allorders!$L:$L,$A95,allorders!$AG:$AG,"&lt;="&amp;日期!$B$9,allorders!$AG:$AG,"&gt;="&amp;日期!$B$10,allorders!Q:Q,"&lt;&gt;"&amp;"",allorders!N:N,"Shipped")</f>
        <v>0</v>
      </c>
      <c r="F95">
        <f>SUMIFS(allorders!$O:$O,allorders!$L:$L,$A95,allorders!$AG:$AG,"&lt;="&amp;日期!$B$11,allorders!$AG:$AG,"&gt;="&amp;日期!$B$12,allorders!Q:Q,"&lt;&gt;"&amp;"",allorders!N:N,"Shipped")</f>
        <v>0</v>
      </c>
      <c r="G95">
        <f>SUMIFS(allorders!Q:Q,allorders!L:L,A95,allorders!AG:AG,"&lt;="&amp;日期!$B$2,allorders!AG:AG,"&gt;="&amp;日期!$B$1,allorders!N:N,"Shipped")/SUM(C95:F95)</f>
        <v>12.79</v>
      </c>
      <c r="H95">
        <f>SUMIFS(allorders!Q:Q,allorders!L:L,A95,allorders!AG:AG,"&gt;="&amp;日期!$B$1,allorders!AG:AG,"&lt;="&amp;日期!$B$2,allorders!N:N,"Shipped")</f>
        <v>12.79</v>
      </c>
      <c r="I95">
        <f t="shared" si="1"/>
        <v>1</v>
      </c>
    </row>
    <row r="96" spans="1:9">
      <c r="A96" s="5" t="s">
        <v>2676</v>
      </c>
      <c r="B96" t="str">
        <f>VLOOKUP(A96,'[1]子sku-父sku'!$A:$B,2,0)</f>
        <v>SB-LUHM100</v>
      </c>
      <c r="C96">
        <f>SUMIFS(allorders!O:O,allorders!L:L,$A96,allorders!AG:AG,"&lt;="&amp;日期!$B$5,allorders!AG:AG,"&gt;="&amp;日期!$B$6,allorders!Q:Q,"&lt;&gt;"&amp;"",allorders!N:N,"Shipped")</f>
        <v>3</v>
      </c>
      <c r="D96">
        <f>SUMIFS(allorders!$O:$O,allorders!$L:$L,$A96,allorders!$AG:$AG,"&lt;="&amp;日期!$B$7,allorders!$AG:$AG,"&gt;="&amp;日期!$B$8,allorders!Q:Q,"&lt;&gt;"&amp;"",allorders!N:N,"Shipped")</f>
        <v>0</v>
      </c>
      <c r="E96">
        <f>SUMIFS(allorders!$O:$O,allorders!$L:$L,$A96,allorders!$AG:$AG,"&lt;="&amp;日期!$B$9,allorders!$AG:$AG,"&gt;="&amp;日期!$B$10,allorders!Q:Q,"&lt;&gt;"&amp;"",allorders!N:N,"Shipped")</f>
        <v>0</v>
      </c>
      <c r="F96">
        <f>SUMIFS(allorders!$O:$O,allorders!$L:$L,$A96,allorders!$AG:$AG,"&lt;="&amp;日期!$B$11,allorders!$AG:$AG,"&gt;="&amp;日期!$B$12,allorders!Q:Q,"&lt;&gt;"&amp;"",allorders!N:N,"Shipped")</f>
        <v>0</v>
      </c>
      <c r="G96">
        <f>SUMIFS(allorders!Q:Q,allorders!L:L,A96,allorders!AG:AG,"&lt;="&amp;日期!$B$2,allorders!AG:AG,"&gt;="&amp;日期!$B$1,allorders!N:N,"Shipped")/SUM(C96:F96)</f>
        <v>11.99</v>
      </c>
      <c r="H96">
        <f>SUMIFS(allorders!Q:Q,allorders!L:L,A96,allorders!AG:AG,"&gt;="&amp;日期!$B$1,allorders!AG:AG,"&lt;="&amp;日期!$B$2,allorders!N:N,"Shipped")</f>
        <v>35.97</v>
      </c>
      <c r="I96">
        <f t="shared" si="1"/>
        <v>3</v>
      </c>
    </row>
    <row r="97" spans="1:9">
      <c r="A97" s="5" t="s">
        <v>2712</v>
      </c>
      <c r="B97" t="str">
        <f>VLOOKUP(A97,'[1]子sku-父sku'!$A:$B,2,0)</f>
        <v>GT-WFY1</v>
      </c>
      <c r="C97">
        <f>SUMIFS(allorders!O:O,allorders!L:L,$A97,allorders!AG:AG,"&lt;="&amp;日期!$B$5,allorders!AG:AG,"&gt;="&amp;日期!$B$6,allorders!Q:Q,"&lt;&gt;"&amp;"",allorders!N:N,"Shipped")</f>
        <v>1</v>
      </c>
      <c r="D97">
        <f>SUMIFS(allorders!$O:$O,allorders!$L:$L,$A97,allorders!$AG:$AG,"&lt;="&amp;日期!$B$7,allorders!$AG:$AG,"&gt;="&amp;日期!$B$8,allorders!Q:Q,"&lt;&gt;"&amp;"",allorders!N:N,"Shipped")</f>
        <v>0</v>
      </c>
      <c r="E97">
        <f>SUMIFS(allorders!$O:$O,allorders!$L:$L,$A97,allorders!$AG:$AG,"&lt;="&amp;日期!$B$9,allorders!$AG:$AG,"&gt;="&amp;日期!$B$10,allorders!Q:Q,"&lt;&gt;"&amp;"",allorders!N:N,"Shipped")</f>
        <v>0</v>
      </c>
      <c r="F97">
        <f>SUMIFS(allorders!$O:$O,allorders!$L:$L,$A97,allorders!$AG:$AG,"&lt;="&amp;日期!$B$11,allorders!$AG:$AG,"&gt;="&amp;日期!$B$12,allorders!Q:Q,"&lt;&gt;"&amp;"",allorders!N:N,"Shipped")</f>
        <v>0</v>
      </c>
      <c r="G97">
        <f>SUMIFS(allorders!Q:Q,allorders!L:L,A97,allorders!AG:AG,"&lt;="&amp;日期!$B$2,allorders!AG:AG,"&gt;="&amp;日期!$B$1,allorders!N:N,"Shipped")/SUM(C97:F97)</f>
        <v>13.99</v>
      </c>
      <c r="H97">
        <f>SUMIFS(allorders!Q:Q,allorders!L:L,A97,allorders!AG:AG,"&gt;="&amp;日期!$B$1,allorders!AG:AG,"&lt;="&amp;日期!$B$2,allorders!N:N,"Shipped")</f>
        <v>13.99</v>
      </c>
      <c r="I97">
        <f t="shared" si="1"/>
        <v>1</v>
      </c>
    </row>
    <row r="98" spans="1:9">
      <c r="A98" s="5" t="s">
        <v>2850</v>
      </c>
      <c r="B98" t="str">
        <f>VLOOKUP(A98,'[1]子sku-父sku'!$A:$B,2,0)</f>
        <v>SNH-LUHM001</v>
      </c>
      <c r="C98">
        <f>SUMIFS(allorders!O:O,allorders!L:L,$A98,allorders!AG:AG,"&lt;="&amp;日期!$B$5,allorders!AG:AG,"&gt;="&amp;日期!$B$6,allorders!Q:Q,"&lt;&gt;"&amp;"",allorders!N:N,"Shipped")</f>
        <v>2</v>
      </c>
      <c r="D98">
        <f>SUMIFS(allorders!$O:$O,allorders!$L:$L,$A98,allorders!$AG:$AG,"&lt;="&amp;日期!$B$7,allorders!$AG:$AG,"&gt;="&amp;日期!$B$8,allorders!Q:Q,"&lt;&gt;"&amp;"",allorders!N:N,"Shipped")</f>
        <v>0</v>
      </c>
      <c r="E98">
        <f>SUMIFS(allorders!$O:$O,allorders!$L:$L,$A98,allorders!$AG:$AG,"&lt;="&amp;日期!$B$9,allorders!$AG:$AG,"&gt;="&amp;日期!$B$10,allorders!Q:Q,"&lt;&gt;"&amp;"",allorders!N:N,"Shipped")</f>
        <v>0</v>
      </c>
      <c r="F98">
        <f>SUMIFS(allorders!$O:$O,allorders!$L:$L,$A98,allorders!$AG:$AG,"&lt;="&amp;日期!$B$11,allorders!$AG:$AG,"&gt;="&amp;日期!$B$12,allorders!Q:Q,"&lt;&gt;"&amp;"",allorders!N:N,"Shipped")</f>
        <v>0</v>
      </c>
      <c r="G98">
        <f>SUMIFS(allorders!Q:Q,allorders!L:L,A98,allorders!AG:AG,"&lt;="&amp;日期!$B$2,allorders!AG:AG,"&gt;="&amp;日期!$B$1,allorders!N:N,"Shipped")/SUM(C98:F98)</f>
        <v>7.99</v>
      </c>
      <c r="H98">
        <f>SUMIFS(allorders!Q:Q,allorders!L:L,A98,allorders!AG:AG,"&gt;="&amp;日期!$B$1,allorders!AG:AG,"&lt;="&amp;日期!$B$2,allorders!N:N,"Shipped")</f>
        <v>15.98</v>
      </c>
      <c r="I98">
        <f t="shared" si="1"/>
        <v>2</v>
      </c>
    </row>
    <row r="99" spans="1:9">
      <c r="A99" s="5" t="s">
        <v>2937</v>
      </c>
      <c r="B99" t="str">
        <f>VLOOKUP(A99,'[1]子sku-父sku'!$A:$B,2,0)</f>
        <v>ST-LAHM</v>
      </c>
      <c r="C99">
        <f>SUMIFS(allorders!O:O,allorders!L:L,$A99,allorders!AG:AG,"&lt;="&amp;日期!$B$5,allorders!AG:AG,"&gt;="&amp;日期!$B$6,allorders!Q:Q,"&lt;&gt;"&amp;"",allorders!N:N,"Shipped")</f>
        <v>3</v>
      </c>
      <c r="D99">
        <f>SUMIFS(allorders!$O:$O,allorders!$L:$L,$A99,allorders!$AG:$AG,"&lt;="&amp;日期!$B$7,allorders!$AG:$AG,"&gt;="&amp;日期!$B$8,allorders!Q:Q,"&lt;&gt;"&amp;"",allorders!N:N,"Shipped")</f>
        <v>0</v>
      </c>
      <c r="E99">
        <f>SUMIFS(allorders!$O:$O,allorders!$L:$L,$A99,allorders!$AG:$AG,"&lt;="&amp;日期!$B$9,allorders!$AG:$AG,"&gt;="&amp;日期!$B$10,allorders!Q:Q,"&lt;&gt;"&amp;"",allorders!N:N,"Shipped")</f>
        <v>0</v>
      </c>
      <c r="F99">
        <f>SUMIFS(allorders!$O:$O,allorders!$L:$L,$A99,allorders!$AG:$AG,"&lt;="&amp;日期!$B$11,allorders!$AG:$AG,"&gt;="&amp;日期!$B$12,allorders!Q:Q,"&lt;&gt;"&amp;"",allorders!N:N,"Shipped")</f>
        <v>0</v>
      </c>
      <c r="G99">
        <f>SUMIFS(allorders!Q:Q,allorders!L:L,A99,allorders!AG:AG,"&lt;="&amp;日期!$B$2,allorders!AG:AG,"&gt;="&amp;日期!$B$1,allorders!N:N,"Shipped")/SUM(C99:F99)</f>
        <v>10.99</v>
      </c>
      <c r="H99">
        <f>SUMIFS(allorders!Q:Q,allorders!L:L,A99,allorders!AG:AG,"&gt;="&amp;日期!$B$1,allorders!AG:AG,"&lt;="&amp;日期!$B$2,allorders!N:N,"Shipped")</f>
        <v>32.97</v>
      </c>
      <c r="I99">
        <f t="shared" si="1"/>
        <v>3</v>
      </c>
    </row>
    <row r="100" spans="1:9">
      <c r="A100" s="5" t="s">
        <v>3007</v>
      </c>
      <c r="B100" t="str">
        <f>VLOOKUP(A100,'[1]子sku-父sku'!$A:$B,2,0)</f>
        <v>CLP-FLQ43</v>
      </c>
      <c r="C100">
        <f>SUMIFS(allorders!O:O,allorders!L:L,$A100,allorders!AG:AG,"&lt;="&amp;日期!$B$5,allorders!AG:AG,"&gt;="&amp;日期!$B$6,allorders!Q:Q,"&lt;&gt;"&amp;"",allorders!N:N,"Shipped")</f>
        <v>5</v>
      </c>
      <c r="D100">
        <f>SUMIFS(allorders!$O:$O,allorders!$L:$L,$A100,allorders!$AG:$AG,"&lt;="&amp;日期!$B$7,allorders!$AG:$AG,"&gt;="&amp;日期!$B$8,allorders!Q:Q,"&lt;&gt;"&amp;"",allorders!N:N,"Shipped")</f>
        <v>0</v>
      </c>
      <c r="E100">
        <f>SUMIFS(allorders!$O:$O,allorders!$L:$L,$A100,allorders!$AG:$AG,"&lt;="&amp;日期!$B$9,allorders!$AG:$AG,"&gt;="&amp;日期!$B$10,allorders!Q:Q,"&lt;&gt;"&amp;"",allorders!N:N,"Shipped")</f>
        <v>0</v>
      </c>
      <c r="F100">
        <f>SUMIFS(allorders!$O:$O,allorders!$L:$L,$A100,allorders!$AG:$AG,"&lt;="&amp;日期!$B$11,allorders!$AG:$AG,"&gt;="&amp;日期!$B$12,allorders!Q:Q,"&lt;&gt;"&amp;"",allorders!N:N,"Shipped")</f>
        <v>0</v>
      </c>
      <c r="G100">
        <f>SUMIFS(allorders!Q:Q,allorders!L:L,A100,allorders!AG:AG,"&lt;="&amp;日期!$B$2,allorders!AG:AG,"&gt;="&amp;日期!$B$1,allorders!N:N,"Shipped")/SUM(C100:F100)</f>
        <v>65.99</v>
      </c>
      <c r="H100">
        <f>SUMIFS(allorders!Q:Q,allorders!L:L,A100,allorders!AG:AG,"&gt;="&amp;日期!$B$1,allorders!AG:AG,"&lt;="&amp;日期!$B$2,allorders!N:N,"Shipped")</f>
        <v>329.95</v>
      </c>
      <c r="I100">
        <f t="shared" si="1"/>
        <v>5</v>
      </c>
    </row>
    <row r="101" spans="1:9">
      <c r="A101" s="5" t="s">
        <v>3047</v>
      </c>
      <c r="B101" t="str">
        <f>VLOOKUP(A101,'[1]子sku-父sku'!$A:$B,2,0)</f>
        <v>BLT-LUHM000</v>
      </c>
      <c r="C101">
        <f>SUMIFS(allorders!O:O,allorders!L:L,$A101,allorders!AG:AG,"&lt;="&amp;日期!$B$5,allorders!AG:AG,"&gt;="&amp;日期!$B$6,allorders!Q:Q,"&lt;&gt;"&amp;"",allorders!N:N,"Shipped")</f>
        <v>1</v>
      </c>
      <c r="D101">
        <f>SUMIFS(allorders!$O:$O,allorders!$L:$L,$A101,allorders!$AG:$AG,"&lt;="&amp;日期!$B$7,allorders!$AG:$AG,"&gt;="&amp;日期!$B$8,allorders!Q:Q,"&lt;&gt;"&amp;"",allorders!N:N,"Shipped")</f>
        <v>0</v>
      </c>
      <c r="E101">
        <f>SUMIFS(allorders!$O:$O,allorders!$L:$L,$A101,allorders!$AG:$AG,"&lt;="&amp;日期!$B$9,allorders!$AG:$AG,"&gt;="&amp;日期!$B$10,allorders!Q:Q,"&lt;&gt;"&amp;"",allorders!N:N,"Shipped")</f>
        <v>0</v>
      </c>
      <c r="F101">
        <f>SUMIFS(allorders!$O:$O,allorders!$L:$L,$A101,allorders!$AG:$AG,"&lt;="&amp;日期!$B$11,allorders!$AG:$AG,"&gt;="&amp;日期!$B$12,allorders!Q:Q,"&lt;&gt;"&amp;"",allorders!N:N,"Shipped")</f>
        <v>0</v>
      </c>
      <c r="G101">
        <f>SUMIFS(allorders!Q:Q,allorders!L:L,A101,allorders!AG:AG,"&lt;="&amp;日期!$B$2,allorders!AG:AG,"&gt;="&amp;日期!$B$1,allorders!N:N,"Shipped")/SUM(C101:F101)</f>
        <v>8.99</v>
      </c>
      <c r="H101">
        <f>SUMIFS(allorders!Q:Q,allorders!L:L,A101,allorders!AG:AG,"&gt;="&amp;日期!$B$1,allorders!AG:AG,"&lt;="&amp;日期!$B$2,allorders!N:N,"Shipped")</f>
        <v>8.99</v>
      </c>
      <c r="I101">
        <f t="shared" si="1"/>
        <v>1</v>
      </c>
    </row>
    <row r="102" spans="1:9">
      <c r="A102" s="5" t="s">
        <v>3215</v>
      </c>
      <c r="B102" t="str">
        <f>VLOOKUP(A102,'[1]子sku-父sku'!$A:$B,2,0)</f>
        <v>QLQ-LUHM121</v>
      </c>
      <c r="C102">
        <f>SUMIFS(allorders!O:O,allorders!L:L,$A102,allorders!AG:AG,"&lt;="&amp;日期!$B$5,allorders!AG:AG,"&gt;="&amp;日期!$B$6,allorders!Q:Q,"&lt;&gt;"&amp;"",allorders!N:N,"Shipped")</f>
        <v>4</v>
      </c>
      <c r="D102">
        <f>SUMIFS(allorders!$O:$O,allorders!$L:$L,$A102,allorders!$AG:$AG,"&lt;="&amp;日期!$B$7,allorders!$AG:$AG,"&gt;="&amp;日期!$B$8,allorders!Q:Q,"&lt;&gt;"&amp;"",allorders!N:N,"Shipped")</f>
        <v>0</v>
      </c>
      <c r="E102">
        <f>SUMIFS(allorders!$O:$O,allorders!$L:$L,$A102,allorders!$AG:$AG,"&lt;="&amp;日期!$B$9,allorders!$AG:$AG,"&gt;="&amp;日期!$B$10,allorders!Q:Q,"&lt;&gt;"&amp;"",allorders!N:N,"Shipped")</f>
        <v>0</v>
      </c>
      <c r="F102">
        <f>SUMIFS(allorders!$O:$O,allorders!$L:$L,$A102,allorders!$AG:$AG,"&lt;="&amp;日期!$B$11,allorders!$AG:$AG,"&gt;="&amp;日期!$B$12,allorders!Q:Q,"&lt;&gt;"&amp;"",allorders!N:N,"Shipped")</f>
        <v>0</v>
      </c>
      <c r="G102">
        <f>SUMIFS(allorders!Q:Q,allorders!L:L,A102,allorders!AG:AG,"&lt;="&amp;日期!$B$2,allorders!AG:AG,"&gt;="&amp;日期!$B$1,allorders!N:N,"Shipped")/SUM(C102:F102)</f>
        <v>9</v>
      </c>
      <c r="H102">
        <f>SUMIFS(allorders!Q:Q,allorders!L:L,A102,allorders!AG:AG,"&gt;="&amp;日期!$B$1,allorders!AG:AG,"&lt;="&amp;日期!$B$2,allorders!N:N,"Shipped")</f>
        <v>36</v>
      </c>
      <c r="I102">
        <f t="shared" si="1"/>
        <v>4</v>
      </c>
    </row>
    <row r="103" spans="1:9">
      <c r="A103" s="5" t="s">
        <v>3346</v>
      </c>
      <c r="B103" t="str">
        <f>VLOOKUP(A103,'[1]子sku-父sku'!$A:$B,2,0)</f>
        <v>SNH-LUHM001</v>
      </c>
      <c r="C103">
        <f>SUMIFS(allorders!O:O,allorders!L:L,$A103,allorders!AG:AG,"&lt;="&amp;日期!$B$5,allorders!AG:AG,"&gt;="&amp;日期!$B$6,allorders!Q:Q,"&lt;&gt;"&amp;"",allorders!N:N,"Shipped")</f>
        <v>1</v>
      </c>
      <c r="D103">
        <f>SUMIFS(allorders!$O:$O,allorders!$L:$L,$A103,allorders!$AG:$AG,"&lt;="&amp;日期!$B$7,allorders!$AG:$AG,"&gt;="&amp;日期!$B$8,allorders!Q:Q,"&lt;&gt;"&amp;"",allorders!N:N,"Shipped")</f>
        <v>0</v>
      </c>
      <c r="E103">
        <f>SUMIFS(allorders!$O:$O,allorders!$L:$L,$A103,allorders!$AG:$AG,"&lt;="&amp;日期!$B$9,allorders!$AG:$AG,"&gt;="&amp;日期!$B$10,allorders!Q:Q,"&lt;&gt;"&amp;"",allorders!N:N,"Shipped")</f>
        <v>0</v>
      </c>
      <c r="F103">
        <f>SUMIFS(allorders!$O:$O,allorders!$L:$L,$A103,allorders!$AG:$AG,"&lt;="&amp;日期!$B$11,allorders!$AG:$AG,"&gt;="&amp;日期!$B$12,allorders!Q:Q,"&lt;&gt;"&amp;"",allorders!N:N,"Shipped")</f>
        <v>0</v>
      </c>
      <c r="G103">
        <f>SUMIFS(allorders!Q:Q,allorders!L:L,A103,allorders!AG:AG,"&lt;="&amp;日期!$B$2,allorders!AG:AG,"&gt;="&amp;日期!$B$1,allorders!N:N,"Shipped")/SUM(C103:F103)</f>
        <v>7.99</v>
      </c>
      <c r="H103">
        <f>SUMIFS(allorders!Q:Q,allorders!L:L,A103,allorders!AG:AG,"&gt;="&amp;日期!$B$1,allorders!AG:AG,"&lt;="&amp;日期!$B$2,allorders!N:N,"Shipped")</f>
        <v>7.99</v>
      </c>
      <c r="I103">
        <f t="shared" si="1"/>
        <v>1</v>
      </c>
    </row>
    <row r="646" spans="1:1">
      <c r="A646" s="5" t="s">
        <v>2850</v>
      </c>
    </row>
  </sheetData>
  <pageMargins left="0.699305555555556" right="0.699305555555556" top="0.75" bottom="0.75" header="0.3" footer="0.3"/>
  <pageSetup paperSize="9" orientation="portrait" horizontalDpi="360" verticalDpi="360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C12"/>
  <sheetViews>
    <sheetView workbookViewId="0">
      <selection activeCell="B3" sqref="B3"/>
    </sheetView>
  </sheetViews>
  <sheetFormatPr defaultColWidth="9" defaultRowHeight="14.25" outlineLevelCol="2"/>
  <cols>
    <col min="1" max="1" width="19" customWidth="1"/>
    <col min="2" max="2" width="17.75" customWidth="1"/>
  </cols>
  <sheetData>
    <row r="1" spans="1:3">
      <c r="A1" t="s">
        <v>3367</v>
      </c>
      <c r="B1" s="1">
        <f>B12</f>
        <v>43262</v>
      </c>
      <c r="C1" s="2"/>
    </row>
    <row r="2" spans="1:3">
      <c r="A2" t="s">
        <v>3368</v>
      </c>
      <c r="B2" s="1">
        <v>43289</v>
      </c>
      <c r="C2" s="2"/>
    </row>
    <row r="4" spans="1:1">
      <c r="A4" t="s">
        <v>3369</v>
      </c>
    </row>
    <row r="5" spans="1:2">
      <c r="A5" t="s">
        <v>3370</v>
      </c>
      <c r="B5" s="3">
        <f>B2</f>
        <v>43289</v>
      </c>
    </row>
    <row r="6" spans="1:2">
      <c r="A6" t="s">
        <v>3371</v>
      </c>
      <c r="B6" s="2">
        <f>B5-6</f>
        <v>43283</v>
      </c>
    </row>
    <row r="7" spans="1:2">
      <c r="A7" t="s">
        <v>3372</v>
      </c>
      <c r="B7" s="2">
        <f>B5-7</f>
        <v>43282</v>
      </c>
    </row>
    <row r="8" spans="1:2">
      <c r="A8" t="s">
        <v>3373</v>
      </c>
      <c r="B8" s="2">
        <f>B5-13</f>
        <v>43276</v>
      </c>
    </row>
    <row r="9" spans="1:2">
      <c r="A9" t="s">
        <v>3374</v>
      </c>
      <c r="B9" s="2">
        <f>B5-14</f>
        <v>43275</v>
      </c>
    </row>
    <row r="10" spans="1:2">
      <c r="A10" t="s">
        <v>3375</v>
      </c>
      <c r="B10" s="2">
        <f>B5-20</f>
        <v>43269</v>
      </c>
    </row>
    <row r="11" spans="1:2">
      <c r="A11" t="s">
        <v>3376</v>
      </c>
      <c r="B11" s="2">
        <f>B5-21</f>
        <v>43268</v>
      </c>
    </row>
    <row r="12" spans="1:2">
      <c r="A12" t="s">
        <v>3377</v>
      </c>
      <c r="B12" s="2">
        <f>B5-27</f>
        <v>43262</v>
      </c>
    </row>
  </sheetData>
  <pageMargins left="0.699305555555556" right="0.699305555555556" top="0.75" bottom="0.75" header="0.3" footer="0.3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38100</xdr:colOff>
                <xdr:row>0</xdr:row>
                <xdr:rowOff>635</xdr:rowOff>
              </from>
              <to>
                <xdr:col>4</xdr:col>
                <xdr:colOff>28575</xdr:colOff>
                <xdr:row>2</xdr:row>
                <xdr:rowOff>19685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B42"/>
  <sheetViews>
    <sheetView workbookViewId="0">
      <selection activeCell="B2" sqref="B2:B102"/>
    </sheetView>
  </sheetViews>
  <sheetFormatPr defaultColWidth="9" defaultRowHeight="14.25" outlineLevelCol="1"/>
  <cols>
    <col min="1" max="1" width="19.5" customWidth="1"/>
    <col min="2" max="2" width="12.625"/>
  </cols>
  <sheetData>
    <row r="1" spans="1:2">
      <c r="A1" t="s">
        <v>3359</v>
      </c>
      <c r="B1" t="s">
        <v>3378</v>
      </c>
    </row>
    <row r="2" spans="1:2">
      <c r="A2" t="s">
        <v>3379</v>
      </c>
      <c r="B2">
        <f>SUMIF(库存报告使用数据处理!B:B,A2,库存报告使用数据处理!H:H)/SUMIF(库存报告使用数据处理!B:B,A2,库存报告使用数据处理!I:I)</f>
        <v>9.20052631578947</v>
      </c>
    </row>
    <row r="3" spans="1:2">
      <c r="A3" t="s">
        <v>3380</v>
      </c>
      <c r="B3">
        <f>SUMIF(库存报告使用数据处理!B:B,A3,库存报告使用数据处理!H:H)/SUMIF(库存报告使用数据处理!B:B,A3,库存报告使用数据处理!I:I)</f>
        <v>7.4962962962963</v>
      </c>
    </row>
    <row r="4" spans="1:2">
      <c r="A4" t="s">
        <v>3381</v>
      </c>
      <c r="B4">
        <f>SUMIF(库存报告使用数据处理!B:B,A4,库存报告使用数据处理!H:H)/SUMIF(库存报告使用数据处理!B:B,A4,库存报告使用数据处理!I:I)</f>
        <v>9.99</v>
      </c>
    </row>
    <row r="5" spans="1:2">
      <c r="A5" t="s">
        <v>3382</v>
      </c>
      <c r="B5">
        <f>SUMIF(库存报告使用数据处理!B:B,A5,库存报告使用数据处理!H:H)/SUMIF(库存报告使用数据处理!B:B,A5,库存报告使用数据处理!I:I)</f>
        <v>17.91</v>
      </c>
    </row>
    <row r="6" spans="1:2">
      <c r="A6" t="s">
        <v>3383</v>
      </c>
      <c r="B6">
        <f>SUMIF(库存报告使用数据处理!B:B,A6,库存报告使用数据处理!H:H)/SUMIF(库存报告使用数据处理!B:B,A6,库存报告使用数据处理!I:I)</f>
        <v>9.24</v>
      </c>
    </row>
    <row r="7" spans="1:2">
      <c r="A7" t="s">
        <v>3384</v>
      </c>
      <c r="B7">
        <f>SUMIF(库存报告使用数据处理!B:B,A7,库存报告使用数据处理!H:H)/SUMIF(库存报告使用数据处理!B:B,A7,库存报告使用数据处理!I:I)</f>
        <v>15.7617391304348</v>
      </c>
    </row>
    <row r="8" spans="1:2">
      <c r="A8" t="s">
        <v>3385</v>
      </c>
      <c r="B8">
        <f>SUMIF(库存报告使用数据处理!B:B,A8,库存报告使用数据处理!H:H)/SUMIF(库存报告使用数据处理!B:B,A8,库存报告使用数据处理!I:I)</f>
        <v>12.99</v>
      </c>
    </row>
    <row r="9" spans="1:2">
      <c r="A9" t="s">
        <v>3386</v>
      </c>
      <c r="B9">
        <f>SUMIF(库存报告使用数据处理!B:B,A9,库存报告使用数据处理!H:H)/SUMIF(库存报告使用数据处理!B:B,A9,库存报告使用数据处理!I:I)</f>
        <v>13.7592307692308</v>
      </c>
    </row>
    <row r="10" spans="1:2">
      <c r="A10" t="s">
        <v>3387</v>
      </c>
      <c r="B10">
        <f>SUMIF(库存报告使用数据处理!B:B,A10,库存报告使用数据处理!H:H)/SUMIF(库存报告使用数据处理!B:B,A10,库存报告使用数据处理!I:I)</f>
        <v>9.99</v>
      </c>
    </row>
    <row r="11" spans="1:2">
      <c r="A11" t="s">
        <v>3388</v>
      </c>
      <c r="B11">
        <f>SUMIF(库存报告使用数据处理!B:B,A11,库存报告使用数据处理!H:H)/SUMIF(库存报告使用数据处理!B:B,A11,库存报告使用数据处理!I:I)</f>
        <v>13.37</v>
      </c>
    </row>
    <row r="12" spans="1:2">
      <c r="A12" t="s">
        <v>3389</v>
      </c>
      <c r="B12">
        <f>SUMIF(库存报告使用数据处理!B:B,A12,库存报告使用数据处理!H:H)/SUMIF(库存报告使用数据处理!B:B,A12,库存报告使用数据处理!I:I)</f>
        <v>15.99</v>
      </c>
    </row>
    <row r="13" spans="1:2">
      <c r="A13" t="s">
        <v>3390</v>
      </c>
      <c r="B13">
        <f>SUMIF(库存报告使用数据处理!B:B,A13,库存报告使用数据处理!H:H)/SUMIF(库存报告使用数据处理!B:B,A13,库存报告使用数据处理!I:I)</f>
        <v>9.5875</v>
      </c>
    </row>
    <row r="14" spans="1:2">
      <c r="A14" t="s">
        <v>3391</v>
      </c>
      <c r="B14">
        <f>SUMIF(库存报告使用数据处理!B:B,A14,库存报告使用数据处理!H:H)/SUMIF(库存报告使用数据处理!B:B,A14,库存报告使用数据处理!I:I)</f>
        <v>21.98</v>
      </c>
    </row>
    <row r="15" spans="1:2">
      <c r="A15" t="s">
        <v>3392</v>
      </c>
      <c r="B15">
        <f>SUMIF(库存报告使用数据处理!B:B,A15,库存报告使用数据处理!H:H)/SUMIF(库存报告使用数据处理!B:B,A15,库存报告使用数据处理!I:I)</f>
        <v>11.825</v>
      </c>
    </row>
    <row r="16" spans="1:2">
      <c r="A16" t="s">
        <v>3393</v>
      </c>
      <c r="B16">
        <f>SUMIF(库存报告使用数据处理!B:B,A16,库存报告使用数据处理!H:H)/SUMIF(库存报告使用数据处理!B:B,A16,库存报告使用数据处理!I:I)</f>
        <v>15.66</v>
      </c>
    </row>
    <row r="17" spans="1:2">
      <c r="A17" t="s">
        <v>3394</v>
      </c>
      <c r="B17">
        <f>SUMIF(库存报告使用数据处理!B:B,A17,库存报告使用数据处理!H:H)/SUMIF(库存报告使用数据处理!B:B,A17,库存报告使用数据处理!I:I)</f>
        <v>9.99</v>
      </c>
    </row>
    <row r="18" spans="1:2">
      <c r="A18" t="s">
        <v>3395</v>
      </c>
      <c r="B18">
        <f>SUMIF(库存报告使用数据处理!B:B,A18,库存报告使用数据处理!H:H)/SUMIF(库存报告使用数据处理!B:B,A18,库存报告使用数据处理!I:I)</f>
        <v>13.9309090909091</v>
      </c>
    </row>
    <row r="19" spans="1:2">
      <c r="A19" t="s">
        <v>3396</v>
      </c>
      <c r="B19">
        <f>SUMIF(库存报告使用数据处理!B:B,A19,库存报告使用数据处理!H:H)/SUMIF(库存报告使用数据处理!B:B,A19,库存报告使用数据处理!I:I)</f>
        <v>9.65666666666667</v>
      </c>
    </row>
    <row r="20" spans="1:2">
      <c r="A20" t="s">
        <v>3397</v>
      </c>
      <c r="B20">
        <f>SUMIF(库存报告使用数据处理!B:B,A20,库存报告使用数据处理!H:H)/SUMIF(库存报告使用数据处理!B:B,A20,库存报告使用数据处理!I:I)</f>
        <v>14.09</v>
      </c>
    </row>
    <row r="21" spans="1:2">
      <c r="A21" t="s">
        <v>3398</v>
      </c>
      <c r="B21">
        <f>SUMIF(库存报告使用数据处理!B:B,A21,库存报告使用数据处理!H:H)/SUMIF(库存报告使用数据处理!B:B,A21,库存报告使用数据处理!I:I)</f>
        <v>13.99</v>
      </c>
    </row>
    <row r="22" spans="1:2">
      <c r="A22" t="s">
        <v>3399</v>
      </c>
      <c r="B22">
        <f>SUMIF(库存报告使用数据处理!B:B,A22,库存报告使用数据处理!H:H)/SUMIF(库存报告使用数据处理!B:B,A22,库存报告使用数据处理!I:I)</f>
        <v>18.99</v>
      </c>
    </row>
    <row r="23" spans="1:2">
      <c r="A23" t="s">
        <v>3400</v>
      </c>
      <c r="B23">
        <f>SUMIF(库存报告使用数据处理!B:B,A23,库存报告使用数据处理!H:H)/SUMIF(库存报告使用数据处理!B:B,A23,库存报告使用数据处理!I:I)</f>
        <v>20</v>
      </c>
    </row>
    <row r="24" spans="1:2">
      <c r="A24" t="s">
        <v>3401</v>
      </c>
      <c r="B24">
        <f>SUMIF(库存报告使用数据处理!B:B,A24,库存报告使用数据处理!H:H)/SUMIF(库存报告使用数据处理!B:B,A24,库存报告使用数据处理!I:I)</f>
        <v>11.76</v>
      </c>
    </row>
    <row r="25" spans="1:2">
      <c r="A25" t="s">
        <v>3402</v>
      </c>
      <c r="B25">
        <f>SUMIF(库存报告使用数据处理!B:B,A25,库存报告使用数据处理!H:H)/SUMIF(库存报告使用数据处理!B:B,A25,库存报告使用数据处理!I:I)</f>
        <v>19.0488235294118</v>
      </c>
    </row>
    <row r="26" spans="1:2">
      <c r="A26" t="s">
        <v>3403</v>
      </c>
      <c r="B26">
        <f>SUMIF(库存报告使用数据处理!B:B,A26,库存报告使用数据处理!H:H)/SUMIF(库存报告使用数据处理!B:B,A26,库存报告使用数据处理!I:I)</f>
        <v>9.87888888888889</v>
      </c>
    </row>
    <row r="27" spans="1:2">
      <c r="A27" t="s">
        <v>3404</v>
      </c>
      <c r="B27">
        <f>SUMIF(库存报告使用数据处理!B:B,A27,库存报告使用数据处理!H:H)/SUMIF(库存报告使用数据处理!B:B,A27,库存报告使用数据处理!I:I)</f>
        <v>10</v>
      </c>
    </row>
    <row r="28" spans="1:2">
      <c r="A28" t="s">
        <v>3405</v>
      </c>
      <c r="B28">
        <f>SUMIF(库存报告使用数据处理!B:B,A28,库存报告使用数据处理!H:H)/SUMIF(库存报告使用数据处理!B:B,A28,库存报告使用数据处理!I:I)</f>
        <v>8.99</v>
      </c>
    </row>
    <row r="29" spans="1:2">
      <c r="A29" t="s">
        <v>3406</v>
      </c>
      <c r="B29">
        <f>SUMIF(库存报告使用数据处理!B:B,A29,库存报告使用数据处理!H:H)/SUMIF(库存报告使用数据处理!B:B,A29,库存报告使用数据处理!I:I)</f>
        <v>13.723</v>
      </c>
    </row>
    <row r="30" spans="1:2">
      <c r="A30" t="s">
        <v>3407</v>
      </c>
      <c r="B30">
        <f>SUMIF(库存报告使用数据处理!B:B,A30,库存报告使用数据处理!H:H)/SUMIF(库存报告使用数据处理!B:B,A30,库存报告使用数据处理!I:I)</f>
        <v>9.99</v>
      </c>
    </row>
    <row r="31" spans="1:2">
      <c r="A31" t="s">
        <v>3408</v>
      </c>
      <c r="B31">
        <f>SUMIF(库存报告使用数据处理!B:B,A31,库存报告使用数据处理!H:H)/SUMIF(库存报告使用数据处理!B:B,A31,库存报告使用数据处理!I:I)</f>
        <v>14.99</v>
      </c>
    </row>
    <row r="32" spans="1:2">
      <c r="A32" t="s">
        <v>3409</v>
      </c>
      <c r="B32">
        <f>SUMIF(库存报告使用数据处理!B:B,A32,库存报告使用数据处理!H:H)/SUMIF(库存报告使用数据处理!B:B,A32,库存报告使用数据处理!I:I)</f>
        <v>10</v>
      </c>
    </row>
    <row r="33" spans="1:2">
      <c r="A33" t="s">
        <v>3410</v>
      </c>
      <c r="B33">
        <f>SUMIF(库存报告使用数据处理!B:B,A33,库存报告使用数据处理!H:H)/SUMIF(库存报告使用数据处理!B:B,A33,库存报告使用数据处理!I:I)</f>
        <v>15.99</v>
      </c>
    </row>
    <row r="34" spans="1:2">
      <c r="A34" t="s">
        <v>1426</v>
      </c>
      <c r="B34">
        <f>SUMIF(库存报告使用数据处理!B:B,A34,库存报告使用数据处理!H:H)/SUMIF(库存报告使用数据处理!B:B,A34,库存报告使用数据处理!I:I)</f>
        <v>9.99</v>
      </c>
    </row>
    <row r="35" spans="1:2">
      <c r="A35" t="s">
        <v>3411</v>
      </c>
      <c r="B35">
        <f>SUMIF(库存报告使用数据处理!B:B,A35,库存报告使用数据处理!H:H)/SUMIF(库存报告使用数据处理!B:B,A35,库存报告使用数据处理!I:I)</f>
        <v>10.6566666666667</v>
      </c>
    </row>
    <row r="36" spans="1:2">
      <c r="A36" t="s">
        <v>3412</v>
      </c>
      <c r="B36">
        <f>SUMIF(库存报告使用数据处理!B:B,A36,库存报告使用数据处理!H:H)/SUMIF(库存报告使用数据处理!B:B,A36,库存报告使用数据处理!I:I)</f>
        <v>15.99</v>
      </c>
    </row>
    <row r="37" spans="1:2">
      <c r="A37" t="s">
        <v>3413</v>
      </c>
      <c r="B37">
        <f>SUMIF(库存报告使用数据处理!B:B,A37,库存报告使用数据处理!H:H)/SUMIF(库存报告使用数据处理!B:B,A37,库存报告使用数据处理!I:I)</f>
        <v>21.98</v>
      </c>
    </row>
    <row r="38" spans="1:2">
      <c r="A38" t="s">
        <v>3414</v>
      </c>
      <c r="B38">
        <f>SUMIF(库存报告使用数据处理!B:B,A38,库存报告使用数据处理!H:H)/SUMIF(库存报告使用数据处理!B:B,A38,库存报告使用数据处理!I:I)</f>
        <v>11.99</v>
      </c>
    </row>
    <row r="39" spans="1:2">
      <c r="A39" t="s">
        <v>3415</v>
      </c>
      <c r="B39" t="e">
        <f>SUMIF(库存报告使用数据处理!B:B,A39,库存报告使用数据处理!H:H)/SUMIF(库存报告使用数据处理!B:B,A39,库存报告使用数据处理!I:I)</f>
        <v>#DIV/0!</v>
      </c>
    </row>
    <row r="40" spans="1:2">
      <c r="A40" t="s">
        <v>3416</v>
      </c>
      <c r="B40">
        <f>SUMIF(库存报告使用数据处理!B:B,A40,库存报告使用数据处理!H:H)/SUMIF(库存报告使用数据处理!B:B,A40,库存报告使用数据处理!I:I)</f>
        <v>8.99</v>
      </c>
    </row>
    <row r="41" spans="1:2">
      <c r="A41" t="s">
        <v>3417</v>
      </c>
      <c r="B41">
        <f>SUMIF(库存报告使用数据处理!B:B,A41,库存报告使用数据处理!H:H)/SUMIF(库存报告使用数据处理!B:B,A41,库存报告使用数据处理!I:I)</f>
        <v>10.99</v>
      </c>
    </row>
    <row r="42" spans="1:2">
      <c r="A42" t="s">
        <v>3418</v>
      </c>
      <c r="B42">
        <f>SUMIF(库存报告使用数据处理!B:B,A42,库存报告使用数据处理!H:H)/SUMIF(库存报告使用数据处理!B:B,A42,库存报告使用数据处理!I:I)</f>
        <v>65.99</v>
      </c>
    </row>
  </sheetData>
  <autoFilter ref="A1:B58">
    <extLst/>
  </autoFilter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3</xdr:col>
                <xdr:colOff>9525</xdr:colOff>
                <xdr:row>1</xdr:row>
                <xdr:rowOff>0</xdr:rowOff>
              </from>
              <to>
                <xdr:col>4</xdr:col>
                <xdr:colOff>676275</xdr:colOff>
                <xdr:row>3</xdr:row>
                <xdr:rowOff>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allorders</vt:lpstr>
      <vt:lpstr>数据处理(仓储使用)</vt:lpstr>
      <vt:lpstr>库存报告使用数据处理</vt:lpstr>
      <vt:lpstr>日期</vt:lpstr>
      <vt:lpstr>父sku-单价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2017-11-30T08:51:00Z</dcterms:created>
  <dcterms:modified xsi:type="dcterms:W3CDTF">2018-07-10T02:59:09Z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