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'库存（子SKU）'!$C$6:$C$287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<sst xmlns="http://schemas.openxmlformats.org/spreadsheetml/2006/main" count="801">
  <si>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</si>
  <si>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</si>
  <si>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</si>
  <si>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</si>
  <si>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</si>
  <si>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</si>
  <si>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</si>
  <si>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</si>
  <si>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</si>
  <si>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</si>
  <si>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</si>
  <si>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</si>
  <si>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</si>
  <si>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</si>
  <si>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</si>
  <si>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</si>
  <si>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</si>
  <si>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</si>
  <si>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</si>
  <si>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</si>
  <si>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</si>
  <si>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</si>
  <si>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</si>
  <si>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</si>
  <si>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</si>
  <si>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</si>
  <si>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</si>
  <si>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</si>
  <si>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</si>
  <si>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</si>
  <si>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</si>
  <si>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</si>
  <si>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</si>
  <si>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</si>
  <si>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</si>
  <si>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</si>
  <si>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</si>
  <si>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</si>
  <si>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</si>
  <si>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</si>
  <si>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</si>
  <si>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</si>
  <si>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</si>
  <si>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</si>
  <si>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</si>
  <si>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</si>
  <si>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</si>
  <si>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</si>
  <si>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</si>
  <si>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</si>
  <si>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BA-FLQ02-BO-4</t>
  </si>
  <si>
    <t>B075N2WCVQ</t>
  </si>
  <si>
    <t>BA-FLQ02</t>
  </si>
  <si>
    <t/>
  </si>
  <si>
    <t>BA-FLQ02-BO-6</t>
  </si>
  <si>
    <t>B075N3N55V</t>
  </si>
  <si>
    <t>无销量广告费为5.61</t>
  </si>
  <si>
    <t>BA-FLQ02-GD-4</t>
  </si>
  <si>
    <t>B075N2WFMS</t>
  </si>
  <si>
    <t>无销量广告费为6.57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</si>
  <si>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</si>
  <si>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</si>
  <si>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</si>
  <si>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</si>
  <si>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</si>
  <si>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</si>
  <si>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</si>
  <si>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</si>
  <si>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无销量广告费为4.27</t>
  </si>
  <si>
    <t>无销量广告费为4.28</t>
  </si>
  <si>
    <t>无销量广告费为0.34</t>
  </si>
  <si>
    <t>BA-FLQ02-SI-6</t>
  </si>
  <si>
    <t>B075N1KNHS</t>
  </si>
  <si>
    <t>无销量广告费为4.13</t>
  </si>
  <si>
    <t>BD-LUHM001-X0</t>
  </si>
  <si>
    <t>B07CVDNT4J</t>
  </si>
  <si>
    <t>BD-LUHM001</t>
  </si>
  <si>
    <t>无销量广告费为4.68</t>
  </si>
  <si>
    <t>无销量广告费为8.86</t>
  </si>
  <si>
    <t>无销量广告费为10.82</t>
  </si>
  <si>
    <t>BDB-LUHM001-B0</t>
  </si>
  <si>
    <t>B07DQS5YP2</t>
  </si>
  <si>
    <t>BDB-LUHM001</t>
  </si>
  <si>
    <t>BDB-LUHM001-G0</t>
  </si>
  <si>
    <t>B07DQLVNSH</t>
  </si>
  <si>
    <t>BDB-LUHM001-K0</t>
  </si>
  <si>
    <t>B07DQL77MR</t>
  </si>
  <si>
    <t>BDB-LUHM001-R0</t>
  </si>
  <si>
    <t>B07DQMJRJG</t>
  </si>
  <si>
    <t>BDB-LUHM001-Y0</t>
  </si>
  <si>
    <t>B07DQPGWNM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</si>
  <si>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</si>
  <si>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</si>
  <si>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</si>
  <si>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</si>
  <si>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</si>
  <si>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</si>
  <si>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</si>
  <si>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</si>
  <si>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</si>
  <si>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</si>
  <si>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</si>
  <si>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</si>
  <si>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</si>
  <si>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</si>
  <si>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</si>
  <si>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</si>
  <si>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</si>
  <si>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</si>
  <si>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无销量广告费为2.62</t>
  </si>
  <si>
    <t>BLT-LUHM000-GL</t>
  </si>
  <si>
    <t>B07BVMP1DH</t>
  </si>
  <si>
    <t>BLT-LUHM000-GR</t>
  </si>
  <si>
    <t>B07BVL6R55</t>
  </si>
  <si>
    <t>BLT-LUHM000-LB</t>
  </si>
  <si>
    <t>B07BVLBRWM</t>
  </si>
  <si>
    <t>无销量广告费为1.5</t>
  </si>
  <si>
    <t>BLT-LUHM000-RB</t>
  </si>
  <si>
    <t>B07BVMRJRX</t>
  </si>
  <si>
    <t>无销量广告费为2.83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</si>
  <si>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</si>
  <si>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</si>
  <si>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</si>
  <si>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</si>
  <si>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</si>
  <si>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</si>
  <si>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</si>
  <si>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</si>
  <si>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</si>
  <si>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</si>
  <si>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</si>
  <si>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</si>
  <si>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</si>
  <si>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无销量广告费为3.53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</si>
  <si>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</si>
  <si>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</si>
  <si>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</si>
  <si>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</si>
  <si>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</si>
  <si>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</si>
  <si>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</si>
  <si>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无销量广告费为1.84</t>
  </si>
  <si>
    <t>BZ-WF211-BO-3M</t>
  </si>
  <si>
    <t>B079HQ282S</t>
  </si>
  <si>
    <t>BZ-WF211-GR</t>
  </si>
  <si>
    <t>B0784Q7224</t>
  </si>
  <si>
    <t>BZ-WF211-PI</t>
  </si>
  <si>
    <t>B077SBJ4HV</t>
  </si>
  <si>
    <t>BZ-WF211-WO</t>
  </si>
  <si>
    <t>B077SB58DX</t>
  </si>
  <si>
    <t>BZ-WF211-WO-3M</t>
  </si>
  <si>
    <t>B079HR1PH6</t>
  </si>
  <si>
    <t>CD-WF-CF</t>
  </si>
  <si>
    <t>B076J9MFHW</t>
  </si>
  <si>
    <t>CD-WF</t>
  </si>
  <si>
    <t>CD-WF-GD</t>
  </si>
  <si>
    <t>B076J8X97G</t>
  </si>
  <si>
    <t>CD-WF-KK</t>
  </si>
  <si>
    <t>B076J6VD3L</t>
  </si>
  <si>
    <t>无销量广告费为0.38</t>
  </si>
  <si>
    <t>CD-WF-SG</t>
  </si>
  <si>
    <t>B076J988J5</t>
  </si>
  <si>
    <t>无销量广告费为0.8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</si>
  <si>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</si>
  <si>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</si>
  <si>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</si>
  <si>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</si>
  <si>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</si>
  <si>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</si>
  <si>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</si>
  <si>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</si>
  <si>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</si>
  <si>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</si>
  <si>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</si>
  <si>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</si>
  <si>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</si>
  <si>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</si>
  <si>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</si>
  <si>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</si>
  <si>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</si>
  <si>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</si>
  <si>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</si>
  <si>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无销量广告费为13.2</t>
  </si>
  <si>
    <t>CD-WF482-BO</t>
  </si>
  <si>
    <t>B077D32DC6</t>
  </si>
  <si>
    <t>CD-WF482</t>
  </si>
  <si>
    <t>CD-WF482-BO-1</t>
  </si>
  <si>
    <t>无销量广告费为0.36</t>
  </si>
  <si>
    <t>CD-WF482-CB</t>
  </si>
  <si>
    <t>B077D4N51C</t>
  </si>
  <si>
    <t>CD-WF482-CB-1</t>
  </si>
  <si>
    <t>无销量广告费为0.54</t>
  </si>
  <si>
    <t>CD-WF482-RO</t>
  </si>
  <si>
    <t>B077D67N2B</t>
  </si>
  <si>
    <t>CD-WF482-RO-1</t>
  </si>
  <si>
    <t>CLP-FLQ43-CS100-100</t>
  </si>
  <si>
    <t>B0776NWKMG</t>
  </si>
  <si>
    <t>CLP-FLQ43</t>
  </si>
  <si>
    <t>无销量广告费为1.7</t>
  </si>
  <si>
    <t>无销量广告费为8.11</t>
  </si>
  <si>
    <t>CLP-FLQ43-CS60-60</t>
  </si>
  <si>
    <t>B0776Q1PQP</t>
  </si>
  <si>
    <t>无销量广告费为1.35</t>
  </si>
  <si>
    <t>CQC-WF6346-BO</t>
  </si>
  <si>
    <t>B077GN6JWN</t>
  </si>
  <si>
    <t>CQC-WF6346</t>
  </si>
  <si>
    <t>无销量广告费为6.39</t>
  </si>
  <si>
    <t>CQC-WF6346-GO</t>
  </si>
  <si>
    <t>B077GN3FGY</t>
  </si>
  <si>
    <t>无销量广告费为0.28</t>
  </si>
  <si>
    <t>CQC-WF6346-PO</t>
  </si>
  <si>
    <t>B077GLWQYT</t>
  </si>
  <si>
    <t>CWB-FLQ1703-GR-47</t>
  </si>
  <si>
    <t>B078GKCYT6</t>
  </si>
  <si>
    <t>CWB-FLQ1703</t>
  </si>
  <si>
    <t>无销量广告费为1.66</t>
  </si>
  <si>
    <t>CWB-FLQ1703-PI-47</t>
  </si>
  <si>
    <t>B077HTZS29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</si>
  <si>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</si>
  <si>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</si>
  <si>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</si>
  <si>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</si>
  <si>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</si>
  <si>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</si>
  <si>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</si>
  <si>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</si>
  <si>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</si>
  <si>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</si>
  <si>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</si>
  <si>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</si>
  <si>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</si>
  <si>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</si>
  <si>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</si>
  <si>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</si>
  <si>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</si>
  <si>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</si>
  <si>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</si>
  <si>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</si>
  <si>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</si>
  <si>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</si>
  <si>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</si>
  <si>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</si>
  <si>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</si>
  <si>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</si>
  <si>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</si>
  <si>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</si>
  <si>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GB-LUHM035-BE</t>
  </si>
  <si>
    <t>B07F64BTCD</t>
  </si>
  <si>
    <t>GB-LUHM035-P0</t>
  </si>
  <si>
    <t>B07F68CBMK</t>
  </si>
  <si>
    <t>GSQPQ-WF2012-GO</t>
  </si>
  <si>
    <t>B077264LR6</t>
  </si>
  <si>
    <t>GSQPQ-WF2012</t>
  </si>
  <si>
    <t>GT-WFTFGT200-209</t>
  </si>
  <si>
    <t>B076J6K8RL</t>
  </si>
  <si>
    <t>GT-WFTFGT200</t>
  </si>
  <si>
    <t>无销量广告费为2.25</t>
  </si>
  <si>
    <t>无销量广告费为0.75</t>
  </si>
  <si>
    <t>无销量广告费为2.55</t>
  </si>
  <si>
    <t>GT-WFTFGT200-211</t>
  </si>
  <si>
    <t>B076J8YTXJ</t>
  </si>
  <si>
    <t>GT-WFTFGT200-213</t>
  </si>
  <si>
    <t>B0787XKBRG</t>
  </si>
  <si>
    <t>无销量广告费为0.16</t>
  </si>
  <si>
    <t>GT-WFTFGT200-214</t>
  </si>
  <si>
    <t>B076JBP5ZS</t>
  </si>
  <si>
    <t>GT-WFTFGT200-216</t>
  </si>
  <si>
    <t>B076J67W43</t>
  </si>
  <si>
    <t>无销量广告费为0.45</t>
  </si>
  <si>
    <t>无销量广告费为0.04</t>
  </si>
  <si>
    <t>无销量广告费为1.23</t>
  </si>
  <si>
    <t>GT-WFTFGT200-220</t>
  </si>
  <si>
    <t>B076J6VFSP</t>
  </si>
  <si>
    <t>无销量广告费为4.7</t>
  </si>
  <si>
    <t>GT-WFTFGT200-221</t>
  </si>
  <si>
    <t>B076J2DG1R</t>
  </si>
  <si>
    <t>GT-WFTFGT200-223</t>
  </si>
  <si>
    <t>B076J61QFW</t>
  </si>
  <si>
    <t>无销量广告费为0.22</t>
  </si>
  <si>
    <t>无销量广告费为0.23</t>
  </si>
  <si>
    <t>GT-WFTFGT200-224</t>
  </si>
  <si>
    <t>B076J5DWFM</t>
  </si>
  <si>
    <t>无销量广告费为1.26</t>
  </si>
  <si>
    <t>无销量广告费为2.58</t>
  </si>
  <si>
    <t>无销量广告费为1</t>
  </si>
  <si>
    <t>GT-WFY1-E1</t>
  </si>
  <si>
    <t>B077NVWPQW</t>
  </si>
  <si>
    <t>GT-WFY1</t>
  </si>
  <si>
    <t>无销量广告费为0.69</t>
  </si>
  <si>
    <t>GT-WFY1-E2</t>
  </si>
  <si>
    <t>B07842F5P9</t>
  </si>
  <si>
    <t>无销量广告费为1.15</t>
  </si>
  <si>
    <t>GT-WFY1-E3</t>
  </si>
  <si>
    <t>B077NZLTQX</t>
  </si>
  <si>
    <t>无销量广告费为2.71</t>
  </si>
  <si>
    <t>无销量广告费为0.5</t>
  </si>
  <si>
    <t>无销量广告费为0.62</t>
  </si>
  <si>
    <t>无销量广告费为1.64</t>
  </si>
  <si>
    <t>GT-WFY1-E4</t>
  </si>
  <si>
    <t>B077NVQNC9</t>
  </si>
  <si>
    <t>无销量广告费为0.2</t>
  </si>
  <si>
    <t>无销量广告费为1.86</t>
  </si>
  <si>
    <t>HYD-WF7995-BO-XL</t>
  </si>
  <si>
    <t>B077STZV9Y</t>
  </si>
  <si>
    <t>HYD-WF7995</t>
  </si>
  <si>
    <t>无销量广告费为2.07</t>
  </si>
  <si>
    <t>HYD-WF7995-RO-XL</t>
  </si>
  <si>
    <t>B077SZ4KTN</t>
  </si>
  <si>
    <t>JPTZH-FLQ14ML-RO-18</t>
  </si>
  <si>
    <t>B075XLNQ1Z</t>
  </si>
  <si>
    <t>JPTZH-FLQ14ML</t>
  </si>
  <si>
    <t>KZ-LUHM000-E0-L</t>
  </si>
  <si>
    <t>B073XLK4G5</t>
  </si>
  <si>
    <t>KZ-LUHM000</t>
  </si>
  <si>
    <t>KZ-LUHM000-E0-M</t>
  </si>
  <si>
    <t>B071VFYY2V</t>
  </si>
  <si>
    <t>KZ-LUHM000-E0-XL</t>
  </si>
  <si>
    <t>B07CZZ8CQJ</t>
  </si>
  <si>
    <t>KZ-LUHM000-K0-L</t>
  </si>
  <si>
    <t>B073XM44QG</t>
  </si>
  <si>
    <t>KZ-LUHM000-K0-M</t>
  </si>
  <si>
    <t>B0725CDCCN</t>
  </si>
  <si>
    <t>KZ-LUHM000-K0-XL</t>
  </si>
  <si>
    <t>B07CZYS94Z</t>
  </si>
  <si>
    <t>KZ-LUHM000-R0-L</t>
  </si>
  <si>
    <t>B07CZYPB94</t>
  </si>
  <si>
    <t>KZ-LUHM000-R0-M</t>
  </si>
  <si>
    <t>B071NP2X5N</t>
  </si>
  <si>
    <t>KZ-LUHM000-R0-XL</t>
  </si>
  <si>
    <t>B07CZZB1RQ</t>
  </si>
  <si>
    <t>KZ-LUHM000-W0-L</t>
  </si>
  <si>
    <t>B073XMFYWX</t>
  </si>
  <si>
    <t>KZ-LUHM000-W0-M</t>
  </si>
  <si>
    <t>B0716LH9B7</t>
  </si>
  <si>
    <t>KZ-LUHM000-W0-XL</t>
  </si>
  <si>
    <t>B07CZY6SXP</t>
  </si>
  <si>
    <t>KZ-LUHM000-Y0-L</t>
  </si>
  <si>
    <t>B07CZYVPK8</t>
  </si>
  <si>
    <t>KZ-LUHM000-Y0-M</t>
  </si>
  <si>
    <t>B071HHSJ1R</t>
  </si>
  <si>
    <t>KZ-LUHM000-Y0-XL</t>
  </si>
  <si>
    <t>B07CZZDBPG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</si>
  <si>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</si>
  <si>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</si>
  <si>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</si>
  <si>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</si>
  <si>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</si>
  <si>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</si>
  <si>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</si>
  <si>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</si>
  <si>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无销量广告费为0.52</t>
  </si>
  <si>
    <t>LYQ-WF1010-BO-M</t>
  </si>
  <si>
    <t>B077XSWR8G</t>
  </si>
  <si>
    <t>无销量广告费为2.79</t>
  </si>
  <si>
    <t>LYQ-WF1010-BO-S</t>
  </si>
  <si>
    <t>B077XRSRNP</t>
  </si>
  <si>
    <t>无销量广告费为0.43</t>
  </si>
  <si>
    <t>LYQ-WF1010-BO-XL</t>
  </si>
  <si>
    <t>B077XQ8ZN5</t>
  </si>
  <si>
    <t>无销量广告费为1.06</t>
  </si>
  <si>
    <t>LYQ-WF1010-K0-2L</t>
  </si>
  <si>
    <t>B077XQ78NB</t>
  </si>
  <si>
    <t>无销量广告费为2.85</t>
  </si>
  <si>
    <t>LYQ-WF1010-KO-L</t>
  </si>
  <si>
    <t>B077XNFWVP</t>
  </si>
  <si>
    <t>无销量广告费为3.03</t>
  </si>
  <si>
    <t>LYQ-WF1010-KO-M</t>
  </si>
  <si>
    <t>B077XQ5D11</t>
  </si>
  <si>
    <t>无销量广告费为2.12</t>
  </si>
  <si>
    <t>LYQ-WF1010-KO-S</t>
  </si>
  <si>
    <t>B077XV7J5K</t>
  </si>
  <si>
    <t>无销量广告费为1.04</t>
  </si>
  <si>
    <t>LYQ-WF1010-KO-XL</t>
  </si>
  <si>
    <t>B0785H4FV1</t>
  </si>
  <si>
    <t>LYQ-WF1010-NO-2L</t>
  </si>
  <si>
    <t>B077XQ2P1L</t>
  </si>
  <si>
    <t>无销量广告费为0.4</t>
  </si>
  <si>
    <t>LYQ-WF1010-NO-L</t>
  </si>
  <si>
    <t>B077XV7BG7</t>
  </si>
  <si>
    <t>无销量广告费为2.52</t>
  </si>
  <si>
    <t>LYQ-WF1010-NO-S</t>
  </si>
  <si>
    <t>B077XRVLTN</t>
  </si>
  <si>
    <t>无销量广告费为1.07</t>
  </si>
  <si>
    <t>LYQ-WF1010-NO-XL</t>
  </si>
  <si>
    <t>B077XSTXHJ</t>
  </si>
  <si>
    <t>无销量广告费为0.97</t>
  </si>
  <si>
    <t>LYQ-WF1010-NO-XS</t>
  </si>
  <si>
    <t>B077XRZGV1</t>
  </si>
  <si>
    <t>LYQ-WF1010-PO-2L</t>
  </si>
  <si>
    <t>B077XNK3T5</t>
  </si>
  <si>
    <t>无销量广告费为1.93</t>
  </si>
  <si>
    <t>LYQ-WF1010-PO-L</t>
  </si>
  <si>
    <t>B077XSLVZ5</t>
  </si>
  <si>
    <t>LYQ-WF1010-PO-M</t>
  </si>
  <si>
    <t>B077XV49XF</t>
  </si>
  <si>
    <t>LYQ-WF1010-PO-S</t>
  </si>
  <si>
    <t>B077XVBFB9</t>
  </si>
  <si>
    <t>无销量广告费为1.69</t>
  </si>
  <si>
    <t>LYQ-WF1010-PO-XL</t>
  </si>
  <si>
    <t>B077XSTXHF</t>
  </si>
  <si>
    <t>无销量广告费为1.63</t>
  </si>
  <si>
    <t>LYQ-WF1010-WO-2L</t>
  </si>
  <si>
    <t>B0785HJVGH</t>
  </si>
  <si>
    <t>无销量广告费为12.79</t>
  </si>
  <si>
    <t>LYQ-WF1010-WO-M</t>
  </si>
  <si>
    <t>B0785HJVGG</t>
  </si>
  <si>
    <t>无销量广告费为13.95</t>
  </si>
  <si>
    <t>LYQ-WF1010-WO-XL</t>
  </si>
  <si>
    <t>B077XSZ4FT</t>
  </si>
  <si>
    <t>无销量广告费为0.32</t>
  </si>
  <si>
    <t>无销量广告费为33.57</t>
  </si>
  <si>
    <t>ND-LUHM027-PI</t>
  </si>
  <si>
    <t>B07C73R2XN</t>
  </si>
  <si>
    <t>ND-LUHM027</t>
  </si>
  <si>
    <t>无销量广告费为0.73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</si>
  <si>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</si>
  <si>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</si>
  <si>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</si>
  <si>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</si>
  <si>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</si>
  <si>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</si>
  <si>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</si>
  <si>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</si>
  <si>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QQ-LUHM-801-B0</t>
  </si>
  <si>
    <t>B07CPW1TRS</t>
  </si>
  <si>
    <t>无销量广告费为2.8</t>
  </si>
  <si>
    <t>RYMT-WF712-GO-L</t>
  </si>
  <si>
    <t>B0785GYYL8</t>
  </si>
  <si>
    <t>RYMT-WF712</t>
  </si>
  <si>
    <t>RYMT-WF712-PI-L</t>
  </si>
  <si>
    <t>B077X8RLVJ</t>
  </si>
  <si>
    <t>RYMT-WF712-PO-L</t>
  </si>
  <si>
    <t>B077XB44XX</t>
  </si>
  <si>
    <t>SB-LUHM100-B0</t>
  </si>
  <si>
    <t>B07DVH33X4</t>
  </si>
  <si>
    <t>SB-LUHM100</t>
  </si>
  <si>
    <t>SB-LUHM100-G0</t>
  </si>
  <si>
    <t>B07DVLM761</t>
  </si>
  <si>
    <t>SB-LUHM100-K0</t>
  </si>
  <si>
    <t>B07DVBN2KT</t>
  </si>
  <si>
    <t>SB-LUHM100-R0</t>
  </si>
  <si>
    <t>B07DVK4HKX</t>
  </si>
  <si>
    <t>SD-LUHM202-B0</t>
  </si>
  <si>
    <t>B07CVDZCBW</t>
  </si>
  <si>
    <t>SD-LUHM202</t>
  </si>
  <si>
    <t>无销量广告费为0.41</t>
  </si>
  <si>
    <t>无销量广告费为2.06</t>
  </si>
  <si>
    <t>无销量广告费为1.43</t>
  </si>
  <si>
    <t>无销量广告费为0.99</t>
  </si>
  <si>
    <t>SD-LUHM202-G0</t>
  </si>
  <si>
    <t>B07CVCKXW8</t>
  </si>
  <si>
    <t>SD-LUHM202-G0-X</t>
  </si>
  <si>
    <t>B07BRL2Y1L</t>
  </si>
  <si>
    <t>SD-LUHM202-PI</t>
  </si>
  <si>
    <t>B07CVDVW47</t>
  </si>
  <si>
    <t>SD-LUHM202-X0</t>
  </si>
  <si>
    <t>B07CVDJ9S8</t>
  </si>
  <si>
    <t>无销量广告费为1.27</t>
  </si>
  <si>
    <t>无销量广告费为2.1</t>
  </si>
  <si>
    <t>SD-LUHM202-Y0</t>
  </si>
  <si>
    <t>B07CVGZCHZ</t>
  </si>
  <si>
    <t>无销量广告费为1.97</t>
  </si>
  <si>
    <t>SDSZH-BS</t>
  </si>
  <si>
    <t>B076P8MNVV</t>
  </si>
  <si>
    <t>SDSZH</t>
  </si>
  <si>
    <t>无销量广告费为1.44</t>
  </si>
  <si>
    <t>无销量广告费为4.57</t>
  </si>
  <si>
    <t>无销量广告费为2.9</t>
  </si>
  <si>
    <t>SDSZH-RG</t>
  </si>
  <si>
    <t>B076PCPP68</t>
  </si>
  <si>
    <t>无销量广告费为0.37</t>
  </si>
  <si>
    <t>SDSZH-TS-1</t>
  </si>
  <si>
    <t>B076P7RC2W</t>
  </si>
  <si>
    <t>SDSZH-TS-2</t>
  </si>
  <si>
    <t>B076P7DYB9</t>
  </si>
  <si>
    <t>无销量广告费为0.56</t>
  </si>
  <si>
    <t>SDSZH-TS-3</t>
  </si>
  <si>
    <t>B076P7PQ6Z</t>
  </si>
  <si>
    <t>SDSZH-TS-5</t>
  </si>
  <si>
    <t>B076P6BLCX</t>
  </si>
  <si>
    <t>SG-LUHM050-K0</t>
  </si>
  <si>
    <t>B07F63TBYG</t>
  </si>
  <si>
    <t>SG-LUHM050</t>
  </si>
  <si>
    <t>SG-LUHM100-K0</t>
  </si>
  <si>
    <t>B07F634TZ1</t>
  </si>
  <si>
    <t>SG-LUHM100</t>
  </si>
  <si>
    <t>SL-LULW812-PI-M</t>
  </si>
  <si>
    <t>B078RNFX6F</t>
  </si>
  <si>
    <t>SL-LULW812</t>
  </si>
  <si>
    <t>SL-LULW818-BO-L</t>
  </si>
  <si>
    <t>B078RNM8V8</t>
  </si>
  <si>
    <t>无销量广告费为13.45</t>
  </si>
  <si>
    <t>SL-LULW818-PI-L</t>
  </si>
  <si>
    <t>B078RN1CC8</t>
  </si>
  <si>
    <t>SL-LULW818-PI-M</t>
  </si>
  <si>
    <t>SL-LULW818-RO-L</t>
  </si>
  <si>
    <t>B078RMPL65</t>
  </si>
  <si>
    <t>SND-FLQ17-NO-108</t>
  </si>
  <si>
    <t>B075ZV778Y</t>
  </si>
  <si>
    <t>SND-FLQ17</t>
  </si>
  <si>
    <t>SND-FLQ18-SJ-74</t>
  </si>
  <si>
    <t>B0761KKJCB</t>
  </si>
  <si>
    <t>SND-FLQ18</t>
  </si>
  <si>
    <t>无销量广告费为2.45</t>
  </si>
  <si>
    <t>无销量广告费为2.93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</si>
  <si>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</si>
  <si>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</si>
  <si>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</si>
  <si>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</si>
  <si>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</si>
  <si>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</si>
  <si>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</si>
  <si>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</si>
  <si>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</si>
  <si>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</si>
  <si>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SNH-LUHM001-G0</t>
  </si>
  <si>
    <t>B07DQMT2TL</t>
  </si>
  <si>
    <t>SNH-LUHM001-K0</t>
  </si>
  <si>
    <t>B07DQLZ5KK</t>
  </si>
  <si>
    <t>SNH-LUHM001-W0</t>
  </si>
  <si>
    <t>B07DQLKY6N</t>
  </si>
  <si>
    <t>SNH-LUHM001-Y0</t>
  </si>
  <si>
    <t>B07DQL4VVL</t>
  </si>
  <si>
    <t>SNT-LUHM001-BS</t>
  </si>
  <si>
    <t>B07DQN9ZJT</t>
  </si>
  <si>
    <t>SNT-LUHM001-DX</t>
  </si>
  <si>
    <t>B07DQPRJPR</t>
  </si>
  <si>
    <t>SNT-LUHM001-GQ</t>
  </si>
  <si>
    <t>B07DQL4VVH</t>
  </si>
  <si>
    <t>SNT-LUHM001-HW</t>
  </si>
  <si>
    <t>B07DQP8MPM</t>
  </si>
  <si>
    <t>SNT-LUHM001-HY</t>
  </si>
  <si>
    <t>B07DQMV7N9</t>
  </si>
  <si>
    <t>SNT-LUHM001-KT</t>
  </si>
  <si>
    <t>B07DQN92XD</t>
  </si>
  <si>
    <t>SNT-LUHM001-WX</t>
  </si>
  <si>
    <t>B07DQLKY6T</t>
  </si>
  <si>
    <t>SNT-LUHM001-ZX</t>
  </si>
  <si>
    <t>B07DQVJFGS</t>
  </si>
  <si>
    <t>SQ-LUHM204</t>
  </si>
  <si>
    <t>B07DKXSV9P</t>
  </si>
  <si>
    <t>SQ-LUHM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</si>
  <si>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</si>
  <si>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</si>
  <si>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</si>
  <si>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</si>
  <si>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</si>
  <si>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</si>
  <si>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</si>
  <si>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</si>
  <si>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</si>
  <si>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</si>
  <si>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</si>
  <si>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</si>
  <si>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</si>
  <si>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</si>
  <si>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</si>
  <si>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</si>
  <si>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</si>
  <si>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</si>
  <si>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</si>
  <si>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</si>
  <si>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</si>
  <si>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</si>
  <si>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</si>
  <si>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</si>
  <si>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TEST-BR-6IN</t>
  </si>
  <si>
    <t>B07D6GDQ2G</t>
  </si>
  <si>
    <t>TEST-Y0-7IN</t>
  </si>
  <si>
    <t>B07D6GHKF6</t>
  </si>
  <si>
    <t>TESTY0-6IN</t>
  </si>
  <si>
    <t>B07D6FCMJS</t>
  </si>
  <si>
    <t>WB-LUHM002-B0</t>
  </si>
  <si>
    <t>B07DVLSHLK</t>
  </si>
  <si>
    <t>WB-LUHM002</t>
  </si>
  <si>
    <t>WB-LUHM002-E0</t>
  </si>
  <si>
    <t>B07DVHDT1N</t>
  </si>
  <si>
    <t>WB-LUHM002-G0</t>
  </si>
  <si>
    <t>B07DVGSHDP</t>
  </si>
  <si>
    <t>WB-LUHM002-R0</t>
  </si>
  <si>
    <t>B07DVK765T</t>
  </si>
  <si>
    <t>WR-FLQ01-HZ-60</t>
  </si>
  <si>
    <t>B075MDD1B1</t>
  </si>
  <si>
    <t>WR-FLQ01</t>
  </si>
  <si>
    <t>WY-WF1217-GR-L</t>
  </si>
  <si>
    <t>B078MRF99V</t>
  </si>
  <si>
    <t>WY-WF1217</t>
  </si>
  <si>
    <t>无销量广告费为0.31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</si>
  <si>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</si>
  <si>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</si>
  <si>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</si>
  <si>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</si>
  <si>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</si>
  <si>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</si>
  <si>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</si>
  <si>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</si>
  <si>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</si>
  <si>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</si>
  <si>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</si>
  <si>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</si>
  <si>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</si>
  <si>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</si>
  <si>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</si>
  <si>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</si>
  <si>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</si>
  <si>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</si>
  <si>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</si>
  <si>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</si>
  <si>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</si>
  <si>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</si>
  <si>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</si>
  <si>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</si>
  <si>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无销量广告费为0.19</t>
  </si>
  <si>
    <t>WY-WF1217-YO-M</t>
  </si>
  <si>
    <t>B078MQZ7XF</t>
  </si>
  <si>
    <t>无销量广告费为0.33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</si>
  <si>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</si>
  <si>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</si>
  <si>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</si>
  <si>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</si>
  <si>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</si>
  <si>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</si>
  <si>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</si>
  <si>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</si>
  <si>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</si>
  <si>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</si>
  <si>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</si>
  <si>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无销量广告费为10.96</t>
  </si>
  <si>
    <t>无销量广告费为18.64</t>
  </si>
  <si>
    <t>无销量广告费为2.42</t>
  </si>
  <si>
    <t>WY-WF1225-BO-XL</t>
  </si>
  <si>
    <t>B078MPBBKH</t>
  </si>
  <si>
    <t>无销量广告费为1.75</t>
  </si>
  <si>
    <t>WY-WF1225-GR-L</t>
  </si>
  <si>
    <t>B078MMXYGL</t>
  </si>
  <si>
    <t>WY-WF1225-GR-M</t>
  </si>
  <si>
    <t>B078MFPDLS</t>
  </si>
  <si>
    <t>WY-WF1225-GR-S</t>
  </si>
  <si>
    <t>B078MNGZXT</t>
  </si>
  <si>
    <t>无销量广告费为1.47</t>
  </si>
  <si>
    <t>WY-WF1225-GR-XL</t>
  </si>
  <si>
    <t>B078ML71RF</t>
  </si>
  <si>
    <t>无销量广告费为1.24</t>
  </si>
  <si>
    <t>XK-YIWUJS-GY-6IN</t>
  </si>
  <si>
    <t>B07D4GQKTL</t>
  </si>
  <si>
    <t>XK-YIWUJS</t>
  </si>
  <si>
    <t>XK-YIWUJS-GY-7IN</t>
  </si>
  <si>
    <t>B07D4FV711</t>
  </si>
  <si>
    <t>XK-YIWUJS-Y0-6IN</t>
  </si>
  <si>
    <t>B07D4GBBQB</t>
  </si>
  <si>
    <t>XK-YIWUJS-Y0-7IN</t>
  </si>
  <si>
    <t>B07D4FQCYC</t>
  </si>
  <si>
    <t>XK-YIWUJS2-BR-6IN</t>
  </si>
  <si>
    <t>B07D4FWK6H</t>
  </si>
  <si>
    <t>XK-YIWUJS2</t>
  </si>
  <si>
    <t>XK-YIWUJS2-BR-7IN</t>
  </si>
  <si>
    <t>B07D4GDZTQ</t>
  </si>
  <si>
    <t>XK-YIWUJS2-Y0-6IN</t>
  </si>
  <si>
    <t>B07D4GSD2Q</t>
  </si>
  <si>
    <t>XK-YIWUJS2-Y0-7IN</t>
  </si>
  <si>
    <t>B07D4GT945</t>
  </si>
  <si>
    <t>无销量广告费为3.74</t>
  </si>
  <si>
    <t>XM-LUHM111-X0</t>
  </si>
  <si>
    <t>B07C76QF92</t>
  </si>
  <si>
    <t>XM-LUHM111</t>
  </si>
  <si>
    <t>无销量广告费为1.11</t>
  </si>
  <si>
    <t>XQ-LUHM034-X0</t>
  </si>
  <si>
    <t>B07C76QGLV</t>
  </si>
  <si>
    <t>XQ-LUHM034</t>
  </si>
  <si>
    <t>无销量广告费为0.1</t>
  </si>
  <si>
    <t>XQ-LUHM089-PI</t>
  </si>
  <si>
    <t>B07CG51FRQ</t>
  </si>
  <si>
    <t>XQ-LUHM089</t>
  </si>
  <si>
    <t>无销量广告费为0.87</t>
  </si>
  <si>
    <t>XYD-F02-3C-3S</t>
  </si>
  <si>
    <t>B077277SF1</t>
  </si>
  <si>
    <t>XYD-F02</t>
  </si>
  <si>
    <t>YQ-LUHM-F111</t>
  </si>
  <si>
    <t>B07CQJ8G3M</t>
  </si>
  <si>
    <t>YQ-LUHM</t>
  </si>
  <si>
    <t>无销量广告费为19.39</t>
  </si>
  <si>
    <t>YQ-LUHM-F112</t>
  </si>
  <si>
    <t>B07DLX7V45</t>
  </si>
  <si>
    <t>无销量广告费为2.39</t>
  </si>
  <si>
    <t>YQ-LUHM-F114</t>
  </si>
  <si>
    <t>B07DLTWN39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</si>
  <si>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</si>
  <si>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</si>
  <si>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</si>
  <si>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</si>
  <si>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</si>
  <si>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</si>
  <si>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</si>
  <si>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</si>
  <si>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</si>
  <si>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</si>
  <si>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</si>
  <si>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</si>
  <si>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</si>
  <si>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</si>
  <si>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</si>
  <si>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</si>
  <si>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</si>
  <si>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</si>
  <si>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</si>
  <si>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</si>
  <si>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</si>
  <si>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</si>
  <si>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</si>
  <si>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</si>
  <si>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无销量广告费为7.78</t>
  </si>
  <si>
    <t>无销量广告费为10.79</t>
  </si>
  <si>
    <t>无销量广告费为3.14</t>
  </si>
  <si>
    <t>ZQ-WF002-PI-M</t>
  </si>
  <si>
    <t>B078H85Y7H</t>
  </si>
  <si>
    <t>无销量广告费为0.65</t>
  </si>
  <si>
    <t>ZYL-FLQ06-BF-40</t>
  </si>
  <si>
    <t>B076P8S1LC</t>
  </si>
  <si>
    <t>ZYL-FLQ06</t>
  </si>
  <si>
    <t>ZYL-FLQ06-BG-40</t>
  </si>
  <si>
    <t>B075RCQD9P</t>
  </si>
  <si>
    <t>无销量广告费为24.4</t>
  </si>
  <si>
    <t>ZYL-FLQ06-HG-40</t>
  </si>
  <si>
    <t>B075R4XJZV</t>
  </si>
  <si>
    <t>ZYL-FLQ06-TZ-40</t>
  </si>
  <si>
    <t>B075R4RWDL</t>
  </si>
  <si>
    <t>无销量广告费为11.35</t>
  </si>
  <si>
    <t>ZYL-FLQ2013-DX-36</t>
  </si>
  <si>
    <t>B078JK429P</t>
  </si>
  <si>
    <t>ZYL-FLQ2013</t>
  </si>
  <si>
    <t>无销量广告费为0.85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</si>
  <si>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</si>
  <si>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</si>
  <si>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</si>
  <si>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</si>
  <si>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</si>
  <si>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</si>
  <si>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</si>
  <si>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ZYL-FLQ59-BY-32</t>
  </si>
  <si>
    <t>B078JNY8M1</t>
  </si>
  <si>
    <t>ZYL-FLQ59-TW-32</t>
  </si>
  <si>
    <t>B078JJ7KDP</t>
  </si>
  <si>
    <t>无销量广告费为4.38</t>
  </si>
  <si>
    <t>ZYL-FLQ59-TZ-32</t>
  </si>
  <si>
    <t>B078JQXPDD</t>
  </si>
  <si>
    <t>ZYL-FLQ59-YD-32</t>
  </si>
  <si>
    <t>B078JHC2WQ</t>
  </si>
  <si>
    <t>无销量广告费为0.53</t>
  </si>
  <si>
    <t>SJZP-FLQ19-SJV40-100</t>
  </si>
  <si>
    <t>B076VDS945</t>
  </si>
  <si>
    <t>SJZP-FLQ19</t>
  </si>
  <si>
    <t>无销量广告费为0.72</t>
  </si>
  <si>
    <t>SJZP-FLQ19-SJV30-100</t>
  </si>
  <si>
    <t>B076VMW2WD</t>
  </si>
  <si>
    <t>无销量广告费为2.2</t>
  </si>
  <si>
    <t>SJZP-FLQ19-CYH30-100</t>
  </si>
  <si>
    <t>B077TRSMNJ</t>
  </si>
  <si>
    <t>SJZP-FLQ19-CYV30-100</t>
  </si>
  <si>
    <t>B077TLK2KD</t>
  </si>
  <si>
    <t>SJZP-FLQ19-CYXL-50*30</t>
  </si>
  <si>
    <t>B077TT1KPV</t>
  </si>
  <si>
    <t>SJZP-FLQ19-SJ-100</t>
  </si>
  <si>
    <t>B076WN8XVK</t>
  </si>
  <si>
    <t>无销量广告费为10.44</t>
  </si>
  <si>
    <t>无销量广告费为4.05</t>
  </si>
  <si>
    <t>无销量广告费为3.94</t>
  </si>
  <si>
    <t>SJZP-FLQ19-SJH30-100</t>
  </si>
  <si>
    <t>B076VL2YKB</t>
  </si>
  <si>
    <t>无销量广告费为2.22</t>
  </si>
  <si>
    <t>无销量广告费为0.26</t>
  </si>
  <si>
    <t>无销量广告费为0.89</t>
  </si>
  <si>
    <t>SJZP-FLQ19-SJXL-50*30</t>
  </si>
  <si>
    <t>B077TTZWSL</t>
  </si>
  <si>
    <t>无销量广告费为2.15</t>
  </si>
  <si>
    <t>SJZP-FLQ19-SJYX-140</t>
  </si>
  <si>
    <t>B076VCM38W</t>
  </si>
  <si>
    <t>无销量广告费为0.48</t>
  </si>
  <si>
    <t>SJZP-FLQ19-YXCY-140</t>
  </si>
  <si>
    <t>B077PTSNWW</t>
  </si>
  <si>
    <t>无销量广告费为0.39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</si>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</sst>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5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3" borderId="3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24" fillId="19" borderId="7" applyNumberFormat="0" applyAlignment="0" applyProtection="0">
      <alignment vertical="center"/>
    </xf>
    <xf numFmtId="0" fontId="22" fillId="19" borderId="2" applyNumberFormat="0" applyAlignment="0" applyProtection="0">
      <alignment vertical="center"/>
    </xf>
    <xf numFmtId="0" fontId="25" fillId="25" borderId="8" applyNumberFormat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KZ-LUHM000-E0-L</v>
          </cell>
          <cell r="B239" t="str">
            <v>KZ-LUHM000</v>
          </cell>
        </row>
        <row r="240">
          <cell r="A240" t="str">
            <v>KZ-LUHM000-E0-M</v>
          </cell>
          <cell r="B240" t="str">
            <v>KZ-LUHM000</v>
          </cell>
        </row>
        <row r="241">
          <cell r="A241" t="str">
            <v>KZ-LUHM000-E0-XL</v>
          </cell>
          <cell r="B241" t="str">
            <v>KZ-LUHM000</v>
          </cell>
        </row>
        <row r="242">
          <cell r="A242" t="str">
            <v>KZ-LUHM000-K0-L</v>
          </cell>
          <cell r="B242" t="str">
            <v>KZ-LUHM000</v>
          </cell>
        </row>
        <row r="243">
          <cell r="A243" t="str">
            <v>KZ-LUHM000-K0-M</v>
          </cell>
          <cell r="B243" t="str">
            <v>KZ-LUHM000</v>
          </cell>
        </row>
        <row r="244">
          <cell r="A244" t="str">
            <v>KZ-LUHM000-K0-XL</v>
          </cell>
          <cell r="B244" t="str">
            <v>KZ-LUHM000</v>
          </cell>
        </row>
        <row r="245">
          <cell r="A245" t="str">
            <v>KZ-LUHM000-R0-L</v>
          </cell>
          <cell r="B245" t="str">
            <v>KZ-LUHM000</v>
          </cell>
        </row>
        <row r="246">
          <cell r="A246" t="str">
            <v>KZ-LUHM000-R0-M</v>
          </cell>
          <cell r="B246" t="str">
            <v>KZ-LUHM000</v>
          </cell>
        </row>
        <row r="247">
          <cell r="A247" t="str">
            <v>KZ-LUHM000-R0-XL</v>
          </cell>
          <cell r="B247" t="str">
            <v>KZ-LUHM000</v>
          </cell>
        </row>
        <row r="248">
          <cell r="A248" t="str">
            <v>KZ-LUHM000-W0-L</v>
          </cell>
          <cell r="B248" t="str">
            <v>KZ-LUHM000</v>
          </cell>
        </row>
        <row r="249">
          <cell r="A249" t="str">
            <v>KZ-LUHM000-W0-M</v>
          </cell>
          <cell r="B249" t="str">
            <v>KZ-LUHM000</v>
          </cell>
        </row>
        <row r="250">
          <cell r="A250" t="str">
            <v>KZ-LUHM000-W0-XL</v>
          </cell>
          <cell r="B250" t="str">
            <v>KZ-LUHM000</v>
          </cell>
        </row>
        <row r="251">
          <cell r="A251" t="str">
            <v>KZ-LUHM000-Y0-L</v>
          </cell>
          <cell r="B251" t="str">
            <v>KZ-LUHM000</v>
          </cell>
        </row>
        <row r="252">
          <cell r="A252" t="str">
            <v>KZ-LUHM000-Y0-M</v>
          </cell>
          <cell r="B252" t="str">
            <v>KZ-LUHM000</v>
          </cell>
        </row>
        <row r="253">
          <cell r="A253" t="str">
            <v>KZ-LUHM000-Y0-XL</v>
          </cell>
          <cell r="B253" t="str">
            <v>KZ-LUHM000</v>
          </cell>
        </row>
        <row r="254">
          <cell r="A254" t="str">
            <v>KZ-LY021-BK-32</v>
          </cell>
          <cell r="B254" t="str">
            <v>KZ-LY021</v>
          </cell>
        </row>
        <row r="255">
          <cell r="A255" t="str">
            <v>KZ-LY021-BK-34</v>
          </cell>
          <cell r="B255" t="str">
            <v>KZ-LY021</v>
          </cell>
        </row>
        <row r="256">
          <cell r="A256" t="str">
            <v>KZ-LY021-BK-36</v>
          </cell>
          <cell r="B256" t="str">
            <v>KZ-LY021</v>
          </cell>
        </row>
        <row r="257">
          <cell r="A257" t="str">
            <v>KZ-LY021-BK-38</v>
          </cell>
          <cell r="B257" t="str">
            <v>KZ-LY021</v>
          </cell>
        </row>
        <row r="258">
          <cell r="A258" t="str">
            <v>KZ-LY021-BK-40</v>
          </cell>
          <cell r="B258" t="str">
            <v>KZ-LY021</v>
          </cell>
        </row>
        <row r="259">
          <cell r="A259" t="str">
            <v>KZ-LY021-BL-32</v>
          </cell>
          <cell r="B259" t="str">
            <v>KZ-LY021</v>
          </cell>
        </row>
        <row r="260">
          <cell r="A260" t="str">
            <v>KZ-LY021-BL-34</v>
          </cell>
          <cell r="B260" t="str">
            <v>KZ-LY021</v>
          </cell>
        </row>
        <row r="261">
          <cell r="A261" t="str">
            <v>KZ-LY021-BL-36</v>
          </cell>
          <cell r="B261" t="str">
            <v>KZ-LY021</v>
          </cell>
        </row>
        <row r="262">
          <cell r="A262" t="str">
            <v>KZ-LY021-BL-38</v>
          </cell>
          <cell r="B262" t="str">
            <v>KZ-LY021</v>
          </cell>
        </row>
        <row r="263">
          <cell r="A263" t="str">
            <v>KZ-LY021-BL-40</v>
          </cell>
          <cell r="B263" t="str">
            <v>KZ-LY021</v>
          </cell>
        </row>
        <row r="264">
          <cell r="A264" t="str">
            <v>KZ-LY021-GY-32</v>
          </cell>
          <cell r="B264" t="str">
            <v>KZ-LY021</v>
          </cell>
        </row>
        <row r="265">
          <cell r="A265" t="str">
            <v>KZ-LY021-GY-34</v>
          </cell>
          <cell r="B265" t="str">
            <v>KZ-LY021</v>
          </cell>
        </row>
        <row r="266">
          <cell r="A266" t="str">
            <v>KZ-LY021-GY-36</v>
          </cell>
          <cell r="B266" t="str">
            <v>KZ-LY021</v>
          </cell>
        </row>
        <row r="267">
          <cell r="A267" t="str">
            <v>KZ-LY021-GY-38</v>
          </cell>
          <cell r="B267" t="str">
            <v>KZ-LY021</v>
          </cell>
        </row>
        <row r="268">
          <cell r="A268" t="str">
            <v>KZ-LY021-GY-40</v>
          </cell>
          <cell r="B268" t="str">
            <v>KZ-LY021</v>
          </cell>
        </row>
        <row r="269">
          <cell r="A269" t="str">
            <v>KZ-LY021-KK-32</v>
          </cell>
          <cell r="B269" t="str">
            <v>KZ-LY021</v>
          </cell>
        </row>
        <row r="270">
          <cell r="A270" t="str">
            <v>KZ-LY021-KK-34</v>
          </cell>
          <cell r="B270" t="str">
            <v>KZ-LY021</v>
          </cell>
        </row>
        <row r="271">
          <cell r="A271" t="str">
            <v>KZ-LY021-KK-38</v>
          </cell>
          <cell r="B271" t="str">
            <v>KZ-LY021</v>
          </cell>
        </row>
        <row r="272">
          <cell r="A272" t="str">
            <v>KZ-LY021-KK-40</v>
          </cell>
          <cell r="B272" t="str">
            <v>KZ-LY021</v>
          </cell>
        </row>
        <row r="273">
          <cell r="A273" t="str">
            <v>KZ-LY021-NY-32</v>
          </cell>
          <cell r="B273" t="str">
            <v>KZ-LY021</v>
          </cell>
        </row>
        <row r="274">
          <cell r="A274" t="str">
            <v>KZ-LY021-NY-34</v>
          </cell>
          <cell r="B274" t="str">
            <v>KZ-LY021</v>
          </cell>
        </row>
        <row r="275">
          <cell r="A275" t="str">
            <v>KZ-LY021-NY-36</v>
          </cell>
          <cell r="B275" t="str">
            <v>KZ-LY021</v>
          </cell>
        </row>
        <row r="276">
          <cell r="A276" t="str">
            <v>KZ-LY021-NY-38</v>
          </cell>
          <cell r="B276" t="str">
            <v>KZ-LY021</v>
          </cell>
        </row>
        <row r="277">
          <cell r="A277" t="str">
            <v>KZ-LY021-NY-40</v>
          </cell>
          <cell r="B277" t="str">
            <v>KZ-LY021</v>
          </cell>
        </row>
        <row r="278">
          <cell r="A278" t="str">
            <v>KZ-LY021-WR-32</v>
          </cell>
          <cell r="B278" t="str">
            <v>KZ-LY021</v>
          </cell>
        </row>
        <row r="279">
          <cell r="A279" t="str">
            <v>KZ-LY021-WR-34</v>
          </cell>
          <cell r="B279" t="str">
            <v>KZ-LY021</v>
          </cell>
        </row>
        <row r="280">
          <cell r="A280" t="str">
            <v>KZ-LY021-WR-36</v>
          </cell>
          <cell r="B280" t="str">
            <v>KZ-LY021</v>
          </cell>
        </row>
        <row r="281">
          <cell r="A281" t="str">
            <v>KZ-LY021-WR-38</v>
          </cell>
          <cell r="B281" t="str">
            <v>KZ-LY021</v>
          </cell>
        </row>
        <row r="282">
          <cell r="A282" t="str">
            <v>KZ-LY021-WR-40</v>
          </cell>
          <cell r="B282" t="str">
            <v>KZ-LY021</v>
          </cell>
        </row>
        <row r="283">
          <cell r="A283" t="str">
            <v>LGQ-IUYL100-BL</v>
          </cell>
          <cell r="B283" t="str">
            <v>LGQ-IUYL100</v>
          </cell>
        </row>
        <row r="284">
          <cell r="A284" t="str">
            <v>LGQ-IUYL100-GN</v>
          </cell>
          <cell r="B284" t="str">
            <v>LGQ-IUYL100</v>
          </cell>
        </row>
        <row r="285">
          <cell r="A285" t="str">
            <v>LGQ-IUYL100-PK</v>
          </cell>
          <cell r="B285" t="str">
            <v>LGQ-IUYL100</v>
          </cell>
        </row>
        <row r="286">
          <cell r="A286" t="str">
            <v>LGQ-IUYL100-RD</v>
          </cell>
          <cell r="B286" t="str">
            <v>LGQ-IUYL100</v>
          </cell>
        </row>
        <row r="287">
          <cell r="A287" t="str">
            <v>LGQ-IUYL100-WT</v>
          </cell>
          <cell r="B287" t="str">
            <v>LGQ-IUYL100</v>
          </cell>
        </row>
        <row r="288">
          <cell r="A288" t="str">
            <v>LGQ-IUYL100-YL</v>
          </cell>
          <cell r="B288" t="str">
            <v>LGQ-IUYL100</v>
          </cell>
        </row>
        <row r="289">
          <cell r="A289" t="str">
            <v>LYQ-NWF10-KO-S</v>
          </cell>
          <cell r="B289" t="str">
            <v>LYQ-NWF10</v>
          </cell>
        </row>
        <row r="290">
          <cell r="A290" t="str">
            <v>LYQ-WF1010-BO-2X</v>
          </cell>
          <cell r="B290" t="str">
            <v>LYQ-WF1010</v>
          </cell>
        </row>
        <row r="291">
          <cell r="A291" t="str">
            <v>LYQ-WF1010-BO-L</v>
          </cell>
          <cell r="B291" t="str">
            <v>LYQ-WF1010</v>
          </cell>
        </row>
        <row r="292">
          <cell r="A292" t="str">
            <v>LYQ-WF1010-BO-M</v>
          </cell>
          <cell r="B292" t="str">
            <v>LYQ-WF1010</v>
          </cell>
        </row>
        <row r="293">
          <cell r="A293" t="str">
            <v>LYQ-WF1010-BO-S</v>
          </cell>
          <cell r="B293" t="str">
            <v>LYQ-WF1010</v>
          </cell>
        </row>
        <row r="294">
          <cell r="A294" t="str">
            <v>LYQ-WF1010-BO-XL</v>
          </cell>
          <cell r="B294" t="str">
            <v>LYQ-WF1010</v>
          </cell>
        </row>
        <row r="295">
          <cell r="A295" t="str">
            <v>LYQ-WF1010-K0-2L</v>
          </cell>
          <cell r="B295" t="str">
            <v>LYQ-WF1010</v>
          </cell>
        </row>
        <row r="296">
          <cell r="A296" t="str">
            <v>LYQ-WF1010-KO-L</v>
          </cell>
          <cell r="B296" t="str">
            <v>LYQ-WF1010</v>
          </cell>
        </row>
        <row r="297">
          <cell r="A297" t="str">
            <v>LYQ-WF1010-KO-M</v>
          </cell>
          <cell r="B297" t="str">
            <v>LYQ-WF1010</v>
          </cell>
        </row>
        <row r="298">
          <cell r="A298" t="str">
            <v>LYQ-WF1010-KO-S</v>
          </cell>
          <cell r="B298" t="str">
            <v>LYQ-WF1010</v>
          </cell>
        </row>
        <row r="299">
          <cell r="A299" t="str">
            <v>LYQ-WF1010-KO-XL</v>
          </cell>
          <cell r="B299" t="str">
            <v>LYQ-WF1010</v>
          </cell>
        </row>
        <row r="300">
          <cell r="A300" t="str">
            <v>LYQ-WF1010-NO-2L</v>
          </cell>
          <cell r="B300" t="str">
            <v>LYQ-WF1010</v>
          </cell>
        </row>
        <row r="301">
          <cell r="A301" t="str">
            <v>LYQ-WF1010-NO-L</v>
          </cell>
          <cell r="B301" t="str">
            <v>LYQ-WF1010</v>
          </cell>
        </row>
        <row r="302">
          <cell r="A302" t="str">
            <v>LYQ-WF1010-NO-S</v>
          </cell>
          <cell r="B302" t="str">
            <v>LYQ-WF1010</v>
          </cell>
        </row>
        <row r="303">
          <cell r="A303" t="str">
            <v>LYQ-WF1010-NO-XL</v>
          </cell>
          <cell r="B303" t="str">
            <v>LYQ-WF1010</v>
          </cell>
        </row>
        <row r="304">
          <cell r="A304" t="str">
            <v>LYQ-WF1010-NO-XS</v>
          </cell>
          <cell r="B304" t="str">
            <v>LYQ-WF1010</v>
          </cell>
        </row>
        <row r="305">
          <cell r="A305" t="str">
            <v>LYQ-WF1010-PO-2L</v>
          </cell>
          <cell r="B305" t="str">
            <v>LYQ-WF1010</v>
          </cell>
        </row>
        <row r="306">
          <cell r="A306" t="str">
            <v>LYQ-WF1010-PO-L</v>
          </cell>
          <cell r="B306" t="str">
            <v>LYQ-WF1010</v>
          </cell>
        </row>
        <row r="307">
          <cell r="A307" t="str">
            <v>LYQ-WF1010-PO-M</v>
          </cell>
          <cell r="B307" t="str">
            <v>LYQ-WF1010</v>
          </cell>
        </row>
        <row r="308">
          <cell r="A308" t="str">
            <v>LYQ-WF1010-PO-S</v>
          </cell>
          <cell r="B308" t="str">
            <v>LYQ-WF1010</v>
          </cell>
        </row>
        <row r="309">
          <cell r="A309" t="str">
            <v>LYQ-WF1010-PO-XL</v>
          </cell>
          <cell r="B309" t="str">
            <v>LYQ-WF1010</v>
          </cell>
        </row>
        <row r="310">
          <cell r="A310" t="str">
            <v>LYQ-WF1010-PO-XS</v>
          </cell>
          <cell r="B310" t="str">
            <v>LYQ-WF1010</v>
          </cell>
        </row>
        <row r="311">
          <cell r="A311" t="str">
            <v>LYQ-WF1010-WO-2L</v>
          </cell>
          <cell r="B311" t="str">
            <v>LYQ-WF1010</v>
          </cell>
        </row>
        <row r="312">
          <cell r="A312" t="str">
            <v>LYQ-WF1010-WO-M</v>
          </cell>
          <cell r="B312" t="str">
            <v>LYQ-WF1010</v>
          </cell>
        </row>
        <row r="313">
          <cell r="A313" t="str">
            <v>LYQ-WF1010-WO-XL</v>
          </cell>
          <cell r="B313" t="str">
            <v>LYQ-WF1010</v>
          </cell>
        </row>
        <row r="314">
          <cell r="A314" t="str">
            <v>LYQ-WF1010-WO-XS</v>
          </cell>
          <cell r="B314" t="str">
            <v>LYQ-WF1010</v>
          </cell>
        </row>
        <row r="315">
          <cell r="A315" t="str">
            <v>LYQ-WF7125-BO-2X</v>
          </cell>
          <cell r="B315" t="str">
            <v>LYQ-WF7125</v>
          </cell>
        </row>
        <row r="316">
          <cell r="A316" t="str">
            <v>LYQ-WF7125-BO-L</v>
          </cell>
          <cell r="B316" t="str">
            <v>LYQ-WF7125</v>
          </cell>
        </row>
        <row r="317">
          <cell r="A317" t="str">
            <v>LYQ-WF7125-BO-M</v>
          </cell>
          <cell r="B317" t="str">
            <v>LYQ-WF7125</v>
          </cell>
        </row>
        <row r="318">
          <cell r="A318" t="str">
            <v>LYQ-WF7125-BO-S</v>
          </cell>
          <cell r="B318" t="str">
            <v>LYQ-WF7125</v>
          </cell>
        </row>
        <row r="319">
          <cell r="A319" t="str">
            <v>LYQ-WF7125-BO-XL</v>
          </cell>
          <cell r="B319" t="str">
            <v>LYQ-WF7125</v>
          </cell>
        </row>
        <row r="320">
          <cell r="A320" t="str">
            <v>LYQ-WF7125-K0-2L</v>
          </cell>
          <cell r="B320" t="str">
            <v>LYQ-WF7125</v>
          </cell>
        </row>
        <row r="321">
          <cell r="A321" t="str">
            <v>LYQ-WF7125-KO-L</v>
          </cell>
          <cell r="B321" t="str">
            <v>LYQ-WF7125</v>
          </cell>
        </row>
        <row r="322">
          <cell r="A322" t="str">
            <v>LYQ-WF7125-KO-M</v>
          </cell>
          <cell r="B322" t="str">
            <v>LYQ-WF7125</v>
          </cell>
        </row>
        <row r="323">
          <cell r="A323" t="str">
            <v>LYQ-WF7125-KO-S</v>
          </cell>
          <cell r="B323" t="str">
            <v>LYQ-WF7125</v>
          </cell>
        </row>
        <row r="324">
          <cell r="A324" t="str">
            <v>LYQ-WF7125-KO-XL</v>
          </cell>
          <cell r="B324" t="str">
            <v>LYQ-WF7125</v>
          </cell>
        </row>
        <row r="325">
          <cell r="A325" t="str">
            <v>LYQ-WF7125-NO-2L</v>
          </cell>
          <cell r="B325" t="str">
            <v>LYQ-WF7125</v>
          </cell>
        </row>
        <row r="326">
          <cell r="A326" t="str">
            <v>LYQ-WF7125-NO-L</v>
          </cell>
          <cell r="B326" t="str">
            <v>LYQ-WF7125</v>
          </cell>
        </row>
        <row r="327">
          <cell r="A327" t="str">
            <v>LYQ-WF7125-NO-S</v>
          </cell>
          <cell r="B327" t="str">
            <v>LYQ-WF7125</v>
          </cell>
        </row>
        <row r="328">
          <cell r="A328" t="str">
            <v>LYQ-WF7125-NO-XL</v>
          </cell>
          <cell r="B328" t="str">
            <v>LYQ-WF7125</v>
          </cell>
        </row>
        <row r="329">
          <cell r="A329" t="str">
            <v>LYQ-WF7125-NO-XS</v>
          </cell>
          <cell r="B329" t="str">
            <v>LYQ-WF7125</v>
          </cell>
        </row>
        <row r="330">
          <cell r="A330" t="str">
            <v>LYQ-WF7125-PO-2L</v>
          </cell>
          <cell r="B330" t="str">
            <v>LYQ-WF7125</v>
          </cell>
        </row>
        <row r="331">
          <cell r="A331" t="str">
            <v>LYQ-WF7125-PO-L</v>
          </cell>
          <cell r="B331" t="str">
            <v>LYQ-WF7125</v>
          </cell>
        </row>
        <row r="332">
          <cell r="A332" t="str">
            <v>LYQ-WF7125-PO-M</v>
          </cell>
          <cell r="B332" t="str">
            <v>LYQ-WF7125</v>
          </cell>
        </row>
        <row r="333">
          <cell r="A333" t="str">
            <v>LYQ-WF7125-PO-S</v>
          </cell>
          <cell r="B333" t="str">
            <v>LYQ-WF7125</v>
          </cell>
        </row>
        <row r="334">
          <cell r="A334" t="str">
            <v>LYQ-WF7125-PO-XL</v>
          </cell>
          <cell r="B334" t="str">
            <v>LYQ-WF7125</v>
          </cell>
        </row>
        <row r="335">
          <cell r="A335" t="str">
            <v>LYQ-WF7125-PO-XS</v>
          </cell>
          <cell r="B335" t="str">
            <v>LYQ-WF7125</v>
          </cell>
        </row>
        <row r="336">
          <cell r="A336" t="str">
            <v>LYQ-WF7125-WO-2L</v>
          </cell>
          <cell r="B336" t="str">
            <v>LYQ-WF7125</v>
          </cell>
        </row>
        <row r="337">
          <cell r="A337" t="str">
            <v>LYQ-WF7125-WO-M</v>
          </cell>
          <cell r="B337" t="str">
            <v>LYQ-WF7125</v>
          </cell>
        </row>
        <row r="338">
          <cell r="A338" t="str">
            <v>LYQ-WF7125-WO-XL</v>
          </cell>
          <cell r="B338" t="str">
            <v>LYQ-WF7125</v>
          </cell>
        </row>
        <row r="339">
          <cell r="A339" t="str">
            <v>LYQ-WF7125-WO-XS</v>
          </cell>
          <cell r="B339" t="str">
            <v>LYQ-WF7125</v>
          </cell>
        </row>
        <row r="340">
          <cell r="A340" t="str">
            <v>MJ-IUYL230-BL-L</v>
          </cell>
          <cell r="B340" t="str">
            <v>MJ-IUYL230</v>
          </cell>
        </row>
        <row r="341">
          <cell r="A341" t="str">
            <v>MJ-IUYL230-BL-S</v>
          </cell>
          <cell r="B341" t="str">
            <v>MJ-IUYL230</v>
          </cell>
        </row>
        <row r="342">
          <cell r="A342" t="str">
            <v>MJ-IUYL230-CF-L</v>
          </cell>
          <cell r="B342" t="str">
            <v>MJ-IUYL230</v>
          </cell>
        </row>
        <row r="343">
          <cell r="A343" t="str">
            <v>MJ-IUYL230-CF-S</v>
          </cell>
          <cell r="B343" t="str">
            <v>MJ-IUYL230</v>
          </cell>
        </row>
        <row r="344">
          <cell r="A344" t="str">
            <v>MJ-IUYL230-PK-L</v>
          </cell>
          <cell r="B344" t="str">
            <v>MJ-IUYL230</v>
          </cell>
        </row>
        <row r="345">
          <cell r="A345" t="str">
            <v>MJ-IUYL230-PK-S</v>
          </cell>
          <cell r="B345" t="str">
            <v>MJ-IUYL230</v>
          </cell>
        </row>
        <row r="346">
          <cell r="A346" t="str">
            <v>MTT-WF04-JL-M</v>
          </cell>
          <cell r="B346" t="str">
            <v>MTT-WF04</v>
          </cell>
        </row>
        <row r="347">
          <cell r="A347" t="str">
            <v>MTT-WF04-LR-M</v>
          </cell>
          <cell r="B347" t="str">
            <v>MTT-WF04</v>
          </cell>
        </row>
        <row r="348">
          <cell r="A348" t="str">
            <v>MTT-WF04-ML-M</v>
          </cell>
          <cell r="B348" t="str">
            <v>MTT-WF04</v>
          </cell>
        </row>
        <row r="349">
          <cell r="A349" t="str">
            <v>MTT-WF04-XR-M</v>
          </cell>
          <cell r="B349" t="str">
            <v>MTT-WF04</v>
          </cell>
        </row>
        <row r="350">
          <cell r="A350" t="str">
            <v>MY-PUHM001-OR-10</v>
          </cell>
          <cell r="B350" t="str">
            <v>MY-PUHM001</v>
          </cell>
        </row>
        <row r="351">
          <cell r="A351" t="str">
            <v>MY-PUHM001-OR-12</v>
          </cell>
          <cell r="B351" t="str">
            <v>MY-PUHM001</v>
          </cell>
        </row>
        <row r="352">
          <cell r="A352" t="str">
            <v>MY-PUHM001-OR-14</v>
          </cell>
          <cell r="B352" t="str">
            <v>MY-PUHM001</v>
          </cell>
        </row>
        <row r="353">
          <cell r="A353" t="str">
            <v>MY-PUHM001-OR-16</v>
          </cell>
          <cell r="B353" t="str">
            <v>MY-PUHM001</v>
          </cell>
        </row>
        <row r="354">
          <cell r="A354" t="str">
            <v>MY-PUHM001-OR-20</v>
          </cell>
          <cell r="B354" t="str">
            <v>MY-PUHM001</v>
          </cell>
        </row>
        <row r="355">
          <cell r="A355" t="str">
            <v>MY-PUHM001-OR-24</v>
          </cell>
          <cell r="B355" t="str">
            <v>MY-PUHM001</v>
          </cell>
        </row>
        <row r="356">
          <cell r="A356" t="str">
            <v>MY-PUHM001-OR-28</v>
          </cell>
          <cell r="B356" t="str">
            <v>MY-PUHM001</v>
          </cell>
        </row>
        <row r="357">
          <cell r="A357" t="str">
            <v>MY-PUHM001-OR-8</v>
          </cell>
          <cell r="B357" t="str">
            <v>MY-PUHM001</v>
          </cell>
        </row>
        <row r="358">
          <cell r="A358" t="str">
            <v>MY-PUHM001-R0-10</v>
          </cell>
          <cell r="B358" t="str">
            <v>MY-PUHM001</v>
          </cell>
        </row>
        <row r="359">
          <cell r="A359" t="str">
            <v>MY-PUHM001-R0-12</v>
          </cell>
          <cell r="B359" t="str">
            <v>MY-PUHM001</v>
          </cell>
        </row>
        <row r="360">
          <cell r="A360" t="str">
            <v>MY-PUHM001-R0-14</v>
          </cell>
          <cell r="B360" t="str">
            <v>MY-PUHM001</v>
          </cell>
        </row>
        <row r="361">
          <cell r="A361" t="str">
            <v>MY-PUHM001-R0-16</v>
          </cell>
          <cell r="B361" t="str">
            <v>MY-PUHM001</v>
          </cell>
        </row>
        <row r="362">
          <cell r="A362" t="str">
            <v>MY-PUHM001-R0-20</v>
          </cell>
          <cell r="B362" t="str">
            <v>MY-PUHM001</v>
          </cell>
        </row>
        <row r="363">
          <cell r="A363" t="str">
            <v>MY-PUHM001-R0-24</v>
          </cell>
          <cell r="B363" t="str">
            <v>MY-PUHM001</v>
          </cell>
        </row>
        <row r="364">
          <cell r="A364" t="str">
            <v>MY-PUHM001-R0-28</v>
          </cell>
          <cell r="B364" t="str">
            <v>MY-PUHM001</v>
          </cell>
        </row>
        <row r="365">
          <cell r="A365" t="str">
            <v>MY-PUHM001-R0-8</v>
          </cell>
          <cell r="B365" t="str">
            <v>MY-PUHM001</v>
          </cell>
        </row>
        <row r="366">
          <cell r="A366" t="str">
            <v>MY-PUHM001-ZL-10</v>
          </cell>
          <cell r="B366" t="str">
            <v>MY-PUHM001</v>
          </cell>
        </row>
        <row r="367">
          <cell r="A367" t="str">
            <v>MY-PUHM001-ZL-12</v>
          </cell>
          <cell r="B367" t="str">
            <v>MY-PUHM001</v>
          </cell>
        </row>
        <row r="368">
          <cell r="A368" t="str">
            <v>MY-PUHM001-ZL-14</v>
          </cell>
          <cell r="B368" t="str">
            <v>MY-PUHM001</v>
          </cell>
        </row>
        <row r="369">
          <cell r="A369" t="str">
            <v>MY-PUHM001-ZL-16</v>
          </cell>
          <cell r="B369" t="str">
            <v>MY-PUHM001</v>
          </cell>
        </row>
        <row r="370">
          <cell r="A370" t="str">
            <v>MY-PUHM001-ZL-20</v>
          </cell>
          <cell r="B370" t="str">
            <v>MY-PUHM001</v>
          </cell>
        </row>
        <row r="371">
          <cell r="A371" t="str">
            <v>MY-PUHM001-ZL-24</v>
          </cell>
          <cell r="B371" t="str">
            <v>MY-PUHM001</v>
          </cell>
        </row>
        <row r="372">
          <cell r="A372" t="str">
            <v>MY-PUHM001-ZL-28</v>
          </cell>
          <cell r="B372" t="str">
            <v>MY-PUHM001</v>
          </cell>
        </row>
        <row r="373">
          <cell r="A373" t="str">
            <v>MY-PUHM001-ZL-8</v>
          </cell>
          <cell r="B373" t="str">
            <v>MY-PUHM001</v>
          </cell>
        </row>
        <row r="374">
          <cell r="A374" t="str">
            <v>MY-PUHM035-R0-L</v>
          </cell>
          <cell r="B374" t="str">
            <v>MY-PUHM035</v>
          </cell>
        </row>
        <row r="375">
          <cell r="A375" t="str">
            <v>MY-PUHM035-R0-M</v>
          </cell>
          <cell r="B375" t="str">
            <v>MY-PUHM035</v>
          </cell>
        </row>
        <row r="376">
          <cell r="A376" t="str">
            <v>MY-PUHM035-R0-S</v>
          </cell>
          <cell r="B376" t="str">
            <v>MY-PUHM035</v>
          </cell>
        </row>
        <row r="377">
          <cell r="A377" t="str">
            <v>MY-PUHM035-R0-XL</v>
          </cell>
          <cell r="B377" t="str">
            <v>MY-PUHM035</v>
          </cell>
        </row>
        <row r="378">
          <cell r="A378" t="str">
            <v>MY-PUHM035-R0-XXL</v>
          </cell>
          <cell r="B378" t="str">
            <v>MY-PUHM035</v>
          </cell>
        </row>
        <row r="379">
          <cell r="A379" t="str">
            <v>MY-PUHM036-B0-L</v>
          </cell>
          <cell r="B379" t="str">
            <v>MY-PUHM036</v>
          </cell>
        </row>
        <row r="380">
          <cell r="A380" t="str">
            <v>MY-PUHM036-B0-M</v>
          </cell>
          <cell r="B380" t="str">
            <v>MY-PUHM036</v>
          </cell>
        </row>
        <row r="381">
          <cell r="A381" t="str">
            <v>MY-PUHM036-B0-S</v>
          </cell>
          <cell r="B381" t="str">
            <v>MY-PUHM036</v>
          </cell>
        </row>
        <row r="382">
          <cell r="A382" t="str">
            <v>MY-PUHM036-B0-XL</v>
          </cell>
          <cell r="B382" t="str">
            <v>MY-PUHM036</v>
          </cell>
        </row>
        <row r="383">
          <cell r="A383" t="str">
            <v>MY-PUHM036-B0-XXL</v>
          </cell>
          <cell r="B383" t="str">
            <v>MY-PUHM036</v>
          </cell>
        </row>
        <row r="384">
          <cell r="A384" t="str">
            <v>MY-PUHM582-B0-L</v>
          </cell>
          <cell r="B384" t="str">
            <v>MY-PUHM582</v>
          </cell>
        </row>
        <row r="385">
          <cell r="A385" t="str">
            <v>MY-PUHM582-B0-M</v>
          </cell>
          <cell r="B385" t="str">
            <v>MY-PUHM582</v>
          </cell>
        </row>
        <row r="386">
          <cell r="A386" t="str">
            <v>MY-PUHM582-B0-S</v>
          </cell>
          <cell r="B386" t="str">
            <v>MY-PUHM582</v>
          </cell>
        </row>
        <row r="387">
          <cell r="A387" t="str">
            <v>MY-PUHM582-B0-XL</v>
          </cell>
          <cell r="B387" t="str">
            <v>MY-PUHM582</v>
          </cell>
        </row>
        <row r="388">
          <cell r="A388" t="str">
            <v>MY-PUHM582-B0-XS</v>
          </cell>
          <cell r="B388" t="str">
            <v>MY-PUHM582</v>
          </cell>
        </row>
        <row r="389">
          <cell r="A389" t="str">
            <v>MY-PUHM582-R0-L</v>
          </cell>
          <cell r="B389" t="str">
            <v>MY-PUHM582</v>
          </cell>
        </row>
        <row r="390">
          <cell r="A390" t="str">
            <v>MY-PUHM582-R0-M</v>
          </cell>
          <cell r="B390" t="str">
            <v>MY-PUHM582</v>
          </cell>
        </row>
        <row r="391">
          <cell r="A391" t="str">
            <v>MY-PUHM582-R0-S</v>
          </cell>
          <cell r="B391" t="str">
            <v>MY-PUHM582</v>
          </cell>
        </row>
        <row r="392">
          <cell r="A392" t="str">
            <v>MY-PUHM582-R0-XL</v>
          </cell>
          <cell r="B392" t="str">
            <v>MY-PUHM582</v>
          </cell>
        </row>
        <row r="393">
          <cell r="A393" t="str">
            <v>MY-PUHM582-R0-XS</v>
          </cell>
          <cell r="B393" t="str">
            <v>MY-PUHM582</v>
          </cell>
        </row>
        <row r="394">
          <cell r="A394" t="str">
            <v>ND-LUHM027-PI</v>
          </cell>
          <cell r="B394" t="str">
            <v>ND-LUHM027</v>
          </cell>
        </row>
        <row r="395">
          <cell r="A395" t="str">
            <v>Pajamas-sb001-GR-L</v>
          </cell>
          <cell r="B395" t="str">
            <v>Pajamas-sb001</v>
          </cell>
        </row>
        <row r="396">
          <cell r="A396" t="str">
            <v>Pajamas-sb001-GR-M</v>
          </cell>
          <cell r="B396" t="str">
            <v>Pajamas-sb001</v>
          </cell>
        </row>
        <row r="397">
          <cell r="A397" t="str">
            <v>Pajamas-sb001-GR-XL</v>
          </cell>
          <cell r="B397" t="str">
            <v>Pajamas-sb001</v>
          </cell>
        </row>
        <row r="398">
          <cell r="A398" t="str">
            <v>Pajamas-sb001-KK-L</v>
          </cell>
          <cell r="B398" t="str">
            <v>Pajamas-sb001</v>
          </cell>
        </row>
        <row r="399">
          <cell r="A399" t="str">
            <v>Pajamas-sb001-KK-M</v>
          </cell>
          <cell r="B399" t="str">
            <v>Pajamas-sb001</v>
          </cell>
        </row>
        <row r="400">
          <cell r="A400" t="str">
            <v>Pajamas-sb001-KK-XL</v>
          </cell>
          <cell r="B400" t="str">
            <v>Pajamas-sb001</v>
          </cell>
        </row>
        <row r="401">
          <cell r="A401" t="str">
            <v>Pajamas-sb001-NY-L</v>
          </cell>
          <cell r="B401" t="str">
            <v>Pajamas-sb001</v>
          </cell>
        </row>
        <row r="402">
          <cell r="A402" t="str">
            <v>Pajamas-sb001-NY-M</v>
          </cell>
          <cell r="B402" t="str">
            <v>Pajamas-sb001</v>
          </cell>
        </row>
        <row r="403">
          <cell r="A403" t="str">
            <v>Pajamas-sb001-NY-XL</v>
          </cell>
          <cell r="B403" t="str">
            <v>Pajamas-sb001</v>
          </cell>
        </row>
        <row r="404">
          <cell r="A404" t="str">
            <v>Pajamas-sb001-WT-M</v>
          </cell>
          <cell r="B404" t="str">
            <v>Pajamas-sb001</v>
          </cell>
        </row>
        <row r="405">
          <cell r="A405" t="str">
            <v>Pajamas-sb001-WT-XL</v>
          </cell>
          <cell r="B405" t="str">
            <v>Pajamas-sb001</v>
          </cell>
        </row>
        <row r="406">
          <cell r="A406" t="str">
            <v>QLQ-LUHM121-G0</v>
          </cell>
          <cell r="B406" t="str">
            <v>QLQ-LUHM121</v>
          </cell>
        </row>
        <row r="407">
          <cell r="A407" t="str">
            <v>QLQ-LUHM121-GM</v>
          </cell>
          <cell r="B407" t="str">
            <v>QLQ-LUHM121</v>
          </cell>
        </row>
        <row r="408">
          <cell r="A408" t="str">
            <v>QLQ-LUHM121-WO</v>
          </cell>
          <cell r="B408" t="str">
            <v>QLQ-LUHM121</v>
          </cell>
        </row>
        <row r="409">
          <cell r="A409" t="str">
            <v>QLQ-LUHM121-WT</v>
          </cell>
          <cell r="B409" t="str">
            <v>QLQ-LUHM121</v>
          </cell>
        </row>
        <row r="410">
          <cell r="A410" t="str">
            <v>QLQ-WF121-WO</v>
          </cell>
          <cell r="B410" t="str">
            <v>QLQ-WF121-WO</v>
          </cell>
        </row>
        <row r="411">
          <cell r="A411" t="str">
            <v>QQ-LUHM-801-B0</v>
          </cell>
          <cell r="B411" t="str">
            <v>QQ-LUHM-801-B0</v>
          </cell>
        </row>
        <row r="412">
          <cell r="A412" t="str">
            <v>RYMT-WF712-GO-L</v>
          </cell>
          <cell r="B412" t="str">
            <v>RYMT-WF712</v>
          </cell>
        </row>
        <row r="413">
          <cell r="A413" t="str">
            <v>RYMT-WF712-PI-L</v>
          </cell>
          <cell r="B413" t="str">
            <v>RYMT-WF712</v>
          </cell>
        </row>
        <row r="414">
          <cell r="A414" t="str">
            <v>RYMT-WF712-PO-L</v>
          </cell>
          <cell r="B414" t="str">
            <v>RYMT-WF712</v>
          </cell>
        </row>
        <row r="415">
          <cell r="A415" t="str">
            <v>RY-PUHM716-B0-L</v>
          </cell>
          <cell r="B415" t="str">
            <v>RY-PUHM716</v>
          </cell>
        </row>
        <row r="416">
          <cell r="A416" t="str">
            <v>RY-PUHM716-B0-M</v>
          </cell>
          <cell r="B416" t="str">
            <v>RY-PUHM716</v>
          </cell>
        </row>
        <row r="417">
          <cell r="A417" t="str">
            <v>RY-PUHM716-B0-S</v>
          </cell>
          <cell r="B417" t="str">
            <v>RY-PUHM716</v>
          </cell>
        </row>
        <row r="418">
          <cell r="A418" t="str">
            <v>RY-PUHM716-B0-XL</v>
          </cell>
          <cell r="B418" t="str">
            <v>RY-PUHM716</v>
          </cell>
        </row>
        <row r="419">
          <cell r="A419" t="str">
            <v>RY-PUHM716-B0-XXL</v>
          </cell>
          <cell r="B419" t="str">
            <v>RY-PUHM716</v>
          </cell>
        </row>
        <row r="420">
          <cell r="A420" t="str">
            <v>RY-PUHM716-KQ-L</v>
          </cell>
          <cell r="B420" t="str">
            <v>RY-PUHM716</v>
          </cell>
        </row>
        <row r="421">
          <cell r="A421" t="str">
            <v>RY-PUHM716-KQ-M</v>
          </cell>
          <cell r="B421" t="str">
            <v>RY-PUHM716</v>
          </cell>
        </row>
        <row r="422">
          <cell r="A422" t="str">
            <v>RY-PUHM716-KQ-S</v>
          </cell>
          <cell r="B422" t="str">
            <v>RY-PUHM716</v>
          </cell>
        </row>
        <row r="423">
          <cell r="A423" t="str">
            <v>RY-PUHM716-KQ-XL</v>
          </cell>
          <cell r="B423" t="str">
            <v>RY-PUHM716</v>
          </cell>
        </row>
        <row r="424">
          <cell r="A424" t="str">
            <v>RY-PUHM716-KQ-XXL</v>
          </cell>
          <cell r="B424" t="str">
            <v>RY-PUHM716</v>
          </cell>
        </row>
        <row r="425">
          <cell r="A425" t="str">
            <v>RY-PUHM716-PI-L</v>
          </cell>
          <cell r="B425" t="str">
            <v>RY-PUHM716</v>
          </cell>
        </row>
        <row r="426">
          <cell r="A426" t="str">
            <v>RY-PUHM716-PI-M</v>
          </cell>
          <cell r="B426" t="str">
            <v>RY-PUHM716</v>
          </cell>
        </row>
        <row r="427">
          <cell r="A427" t="str">
            <v>RY-PUHM716-PI-S</v>
          </cell>
          <cell r="B427" t="str">
            <v>RY-PUHM716</v>
          </cell>
        </row>
        <row r="428">
          <cell r="A428" t="str">
            <v>RY-PUHM716-PI-XL</v>
          </cell>
          <cell r="B428" t="str">
            <v>RY-PUHM716</v>
          </cell>
        </row>
        <row r="429">
          <cell r="A429" t="str">
            <v>RY-PUHM716-PI-XXL</v>
          </cell>
          <cell r="B429" t="str">
            <v>RY-PUHM716</v>
          </cell>
        </row>
        <row r="430">
          <cell r="A430" t="str">
            <v>SB-LUHM100-B0</v>
          </cell>
          <cell r="B430" t="str">
            <v>SB-LUHM100</v>
          </cell>
        </row>
        <row r="431">
          <cell r="A431" t="str">
            <v>SB-LUHM100-G0</v>
          </cell>
          <cell r="B431" t="str">
            <v>SB-LUHM100</v>
          </cell>
        </row>
        <row r="432">
          <cell r="A432" t="str">
            <v>SB-LUHM100-K0</v>
          </cell>
          <cell r="B432" t="str">
            <v>SB-LUHM100</v>
          </cell>
        </row>
        <row r="433">
          <cell r="A433" t="str">
            <v>SB-LUHM100-R0</v>
          </cell>
          <cell r="B433" t="str">
            <v>SB-LUHM100</v>
          </cell>
        </row>
        <row r="434">
          <cell r="A434" t="str">
            <v>scarf-0001-Blue</v>
          </cell>
          <cell r="B434" t="str">
            <v>scarf-0001</v>
          </cell>
        </row>
        <row r="435">
          <cell r="A435" t="str">
            <v>scarf-0001-Peony</v>
          </cell>
          <cell r="B435" t="str">
            <v>scarf-0001</v>
          </cell>
        </row>
        <row r="436">
          <cell r="A436" t="str">
            <v>scarf-0001-Plum</v>
          </cell>
          <cell r="B436" t="str">
            <v>scarf-0001</v>
          </cell>
        </row>
        <row r="437">
          <cell r="A437" t="str">
            <v>scarf-001-blueheart</v>
          </cell>
          <cell r="B437" t="str">
            <v>scarf-00</v>
          </cell>
        </row>
        <row r="438">
          <cell r="A438" t="str">
            <v>SCF010-A01</v>
          </cell>
          <cell r="B438" t="str">
            <v>SCF010</v>
          </cell>
        </row>
        <row r="439">
          <cell r="A439" t="str">
            <v>SCF010-A02</v>
          </cell>
          <cell r="B439" t="str">
            <v>SCF010</v>
          </cell>
        </row>
        <row r="440">
          <cell r="A440" t="str">
            <v>SCF010-A04</v>
          </cell>
          <cell r="B440" t="str">
            <v>SCF010</v>
          </cell>
        </row>
        <row r="441">
          <cell r="A441" t="str">
            <v>SCF010-A05</v>
          </cell>
          <cell r="B441" t="str">
            <v>SCF010</v>
          </cell>
        </row>
        <row r="442">
          <cell r="A442" t="str">
            <v>SCF010-A06</v>
          </cell>
          <cell r="B442" t="str">
            <v>SCF010</v>
          </cell>
        </row>
        <row r="443">
          <cell r="A443" t="str">
            <v>SCF010-A08</v>
          </cell>
          <cell r="B443" t="str">
            <v>SCF010</v>
          </cell>
        </row>
        <row r="444">
          <cell r="A444" t="str">
            <v>SCF010-A09</v>
          </cell>
          <cell r="B444" t="str">
            <v>SCF010</v>
          </cell>
        </row>
        <row r="445">
          <cell r="A445" t="str">
            <v>SCF-A01-007</v>
          </cell>
          <cell r="B445" t="str">
            <v>SCF-A01</v>
          </cell>
        </row>
        <row r="446">
          <cell r="A446" t="str">
            <v>SCF-A01-008</v>
          </cell>
          <cell r="B446" t="str">
            <v>SCF-A01</v>
          </cell>
        </row>
        <row r="447">
          <cell r="A447" t="str">
            <v>SCF-A01-009</v>
          </cell>
          <cell r="B447" t="str">
            <v>SCF-A01</v>
          </cell>
        </row>
        <row r="448">
          <cell r="A448" t="str">
            <v>SCF-A01-010</v>
          </cell>
          <cell r="B448" t="str">
            <v>SCF-A01</v>
          </cell>
        </row>
        <row r="449">
          <cell r="A449" t="str">
            <v>SCF-A01-011</v>
          </cell>
          <cell r="B449" t="str">
            <v>SCF-A01</v>
          </cell>
        </row>
        <row r="450">
          <cell r="A450" t="str">
            <v>SCF-A01-012</v>
          </cell>
          <cell r="B450" t="str">
            <v>SCF-A01</v>
          </cell>
        </row>
        <row r="451">
          <cell r="A451" t="str">
            <v>SCF-A01-013</v>
          </cell>
          <cell r="B451" t="str">
            <v>SCF-A01</v>
          </cell>
        </row>
        <row r="452">
          <cell r="A452" t="str">
            <v>SCF-B01-001</v>
          </cell>
          <cell r="B452" t="str">
            <v>SCF-B01</v>
          </cell>
        </row>
        <row r="453">
          <cell r="A453" t="str">
            <v>SCF-B01-002</v>
          </cell>
          <cell r="B453" t="str">
            <v>SCF-B01</v>
          </cell>
        </row>
        <row r="454">
          <cell r="A454" t="str">
            <v>SCF-B01-003</v>
          </cell>
          <cell r="B454" t="str">
            <v>SCF-B01</v>
          </cell>
        </row>
        <row r="455">
          <cell r="A455" t="str">
            <v>SCF-B01-004</v>
          </cell>
          <cell r="B455" t="str">
            <v>SCF-B01</v>
          </cell>
        </row>
        <row r="456">
          <cell r="A456" t="str">
            <v>SCF-B01-005</v>
          </cell>
          <cell r="B456" t="str">
            <v>SCF-B01</v>
          </cell>
        </row>
        <row r="457">
          <cell r="A457" t="str">
            <v>SCF-B01-006</v>
          </cell>
          <cell r="B457" t="str">
            <v>SCF-B01</v>
          </cell>
        </row>
        <row r="458">
          <cell r="A458" t="str">
            <v>SCF-B01-007</v>
          </cell>
          <cell r="B458" t="str">
            <v>SCF-B01</v>
          </cell>
        </row>
        <row r="459">
          <cell r="A459" t="str">
            <v>SCF-B01-008</v>
          </cell>
          <cell r="B459" t="str">
            <v>SCF-B01</v>
          </cell>
        </row>
        <row r="460">
          <cell r="A460" t="str">
            <v>SCF-B01-009</v>
          </cell>
          <cell r="B460" t="str">
            <v>SCF-B01</v>
          </cell>
        </row>
        <row r="461">
          <cell r="A461" t="str">
            <v>SCF-B01-011</v>
          </cell>
          <cell r="B461" t="str">
            <v>SCF-B01</v>
          </cell>
        </row>
        <row r="462">
          <cell r="A462" t="str">
            <v>SCF-B01-012</v>
          </cell>
          <cell r="B462" t="str">
            <v>SCF-B01</v>
          </cell>
        </row>
        <row r="463">
          <cell r="A463" t="str">
            <v>SCF-B01-013</v>
          </cell>
          <cell r="B463" t="str">
            <v>SCF-B01</v>
          </cell>
        </row>
        <row r="464">
          <cell r="A464" t="str">
            <v>SCF-B01-014</v>
          </cell>
          <cell r="B464" t="str">
            <v>SCF-B01</v>
          </cell>
        </row>
        <row r="465">
          <cell r="A465" t="str">
            <v>SCF-B01-015</v>
          </cell>
          <cell r="B465" t="str">
            <v>SCF-B01</v>
          </cell>
        </row>
        <row r="466">
          <cell r="A466" t="str">
            <v>SCF-B01-016</v>
          </cell>
          <cell r="B466" t="str">
            <v>SCF-B01</v>
          </cell>
        </row>
        <row r="467">
          <cell r="A467" t="str">
            <v>SCF-B01-017</v>
          </cell>
          <cell r="B467" t="str">
            <v>SCF-B01</v>
          </cell>
        </row>
        <row r="468">
          <cell r="A468" t="str">
            <v>SCF-B01-018</v>
          </cell>
          <cell r="B468" t="str">
            <v>SCF-B01</v>
          </cell>
        </row>
        <row r="469">
          <cell r="A469" t="str">
            <v>SCF-B01-019</v>
          </cell>
          <cell r="B469" t="str">
            <v>SCF-B01</v>
          </cell>
        </row>
        <row r="470">
          <cell r="A470" t="str">
            <v>SCF-B01-020</v>
          </cell>
          <cell r="B470" t="str">
            <v>SCF-B01</v>
          </cell>
        </row>
        <row r="471">
          <cell r="A471" t="str">
            <v>SCF-B01-021</v>
          </cell>
          <cell r="B471" t="str">
            <v>SCF-B01</v>
          </cell>
        </row>
        <row r="472">
          <cell r="A472" t="str">
            <v>SCF-B01-022</v>
          </cell>
          <cell r="B472" t="str">
            <v>SCF-B01</v>
          </cell>
        </row>
        <row r="473">
          <cell r="A473" t="str">
            <v>SCF-C01-002</v>
          </cell>
          <cell r="B473" t="str">
            <v>SCF-C01</v>
          </cell>
        </row>
        <row r="474">
          <cell r="A474" t="str">
            <v>SCF-C01-003</v>
          </cell>
          <cell r="B474" t="str">
            <v>SCF-C01</v>
          </cell>
        </row>
        <row r="475">
          <cell r="A475" t="str">
            <v>SCF-C01-005</v>
          </cell>
          <cell r="B475" t="str">
            <v>SCF-C01</v>
          </cell>
        </row>
        <row r="476">
          <cell r="A476" t="str">
            <v>SCF-C01-006</v>
          </cell>
          <cell r="B476" t="str">
            <v>SCF-C01</v>
          </cell>
        </row>
        <row r="477">
          <cell r="A477" t="str">
            <v>SCF-C01-007</v>
          </cell>
          <cell r="B477" t="str">
            <v>SCF-C01</v>
          </cell>
        </row>
        <row r="478">
          <cell r="A478" t="str">
            <v>SCF-C01-008</v>
          </cell>
          <cell r="B478" t="str">
            <v>SCF-C01</v>
          </cell>
        </row>
        <row r="479">
          <cell r="A479" t="str">
            <v>SCF-C01-009</v>
          </cell>
          <cell r="B479" t="str">
            <v>SCF-C01</v>
          </cell>
        </row>
        <row r="480">
          <cell r="A480" t="str">
            <v>SCF-C01-010</v>
          </cell>
          <cell r="B480" t="str">
            <v>SCF-C01</v>
          </cell>
        </row>
        <row r="481">
          <cell r="A481" t="str">
            <v>SCF-C01-011</v>
          </cell>
          <cell r="B481" t="str">
            <v>SCF-C01</v>
          </cell>
        </row>
        <row r="482">
          <cell r="A482" t="str">
            <v>SCF-C01-012</v>
          </cell>
          <cell r="B482" t="str">
            <v>SCF-C01</v>
          </cell>
        </row>
        <row r="483">
          <cell r="A483" t="str">
            <v>SCF-C01-013</v>
          </cell>
          <cell r="B483" t="str">
            <v>SCF-C01</v>
          </cell>
        </row>
        <row r="484">
          <cell r="A484" t="str">
            <v>SCF-C01-014</v>
          </cell>
          <cell r="B484" t="str">
            <v>SCF-C01</v>
          </cell>
        </row>
        <row r="485">
          <cell r="A485" t="str">
            <v>SCF-C01-016</v>
          </cell>
          <cell r="B485" t="str">
            <v>SCF-C01</v>
          </cell>
        </row>
        <row r="486">
          <cell r="A486" t="str">
            <v>SCF-C01-017</v>
          </cell>
          <cell r="B486" t="str">
            <v>SCF-C01</v>
          </cell>
        </row>
        <row r="487">
          <cell r="A487" t="str">
            <v>SCF-C01-018</v>
          </cell>
          <cell r="B487" t="str">
            <v>SCF-C01</v>
          </cell>
        </row>
        <row r="488">
          <cell r="A488" t="str">
            <v>SCF-C01-019</v>
          </cell>
          <cell r="B488" t="str">
            <v>SCF-C01</v>
          </cell>
        </row>
        <row r="489">
          <cell r="A489" t="str">
            <v>SCF-C01-020</v>
          </cell>
          <cell r="B489" t="str">
            <v>SCF-C01</v>
          </cell>
        </row>
        <row r="490">
          <cell r="A490" t="str">
            <v>SCF-D01-004</v>
          </cell>
          <cell r="B490" t="str">
            <v>SCF-D01</v>
          </cell>
        </row>
        <row r="491">
          <cell r="A491" t="str">
            <v>SCF-D01-006</v>
          </cell>
          <cell r="B491" t="str">
            <v>SCF-D01</v>
          </cell>
        </row>
        <row r="492">
          <cell r="A492" t="str">
            <v>SCF-D01-007</v>
          </cell>
          <cell r="B492" t="str">
            <v>SCF-D01</v>
          </cell>
        </row>
        <row r="493">
          <cell r="A493" t="str">
            <v>SCF-D01-009</v>
          </cell>
          <cell r="B493" t="str">
            <v>SCF-D01</v>
          </cell>
        </row>
        <row r="494">
          <cell r="A494" t="str">
            <v>SCF-D01-011</v>
          </cell>
          <cell r="B494" t="str">
            <v>SCF-D01</v>
          </cell>
        </row>
        <row r="495">
          <cell r="A495" t="str">
            <v>SCF-D01-012</v>
          </cell>
          <cell r="B495" t="str">
            <v>SCF-D01</v>
          </cell>
        </row>
        <row r="496">
          <cell r="A496" t="str">
            <v>SCF-D01-015</v>
          </cell>
          <cell r="B496" t="str">
            <v>SCF-D01</v>
          </cell>
        </row>
        <row r="497">
          <cell r="A497" t="str">
            <v>SCF-D01-017</v>
          </cell>
          <cell r="B497" t="str">
            <v>SCF-D01</v>
          </cell>
        </row>
        <row r="498">
          <cell r="A498" t="str">
            <v>SCF-SJ006-Navystar-OS</v>
          </cell>
          <cell r="B498" t="str">
            <v>SCF-SJ006</v>
          </cell>
        </row>
        <row r="499">
          <cell r="A499" t="str">
            <v>SCF-SJ008-KH-OS</v>
          </cell>
          <cell r="B499" t="str">
            <v>SCF-SJ006</v>
          </cell>
        </row>
        <row r="500">
          <cell r="A500" t="str">
            <v>SDCQZH-FLQ12</v>
          </cell>
          <cell r="B500" t="str">
            <v>SDCQZH-FLQ12</v>
          </cell>
        </row>
        <row r="501">
          <cell r="A501" t="str">
            <v>SD-LUHM202-B0</v>
          </cell>
          <cell r="B501" t="str">
            <v>SD-LUHM202</v>
          </cell>
        </row>
        <row r="502">
          <cell r="A502" t="str">
            <v>SD-LUHM202-G0</v>
          </cell>
          <cell r="B502" t="str">
            <v>SD-LUHM202</v>
          </cell>
        </row>
        <row r="503">
          <cell r="A503" t="str">
            <v>SD-LUHM202-G0-X</v>
          </cell>
          <cell r="B503" t="str">
            <v>SD-LUHM202</v>
          </cell>
        </row>
        <row r="504">
          <cell r="A504" t="str">
            <v>SD-LUHM202-PI</v>
          </cell>
          <cell r="B504" t="str">
            <v>SD-LUHM202</v>
          </cell>
        </row>
        <row r="505">
          <cell r="A505" t="str">
            <v>SD-LUHM202-X0</v>
          </cell>
          <cell r="B505" t="str">
            <v>SD-LUHM202</v>
          </cell>
        </row>
        <row r="506">
          <cell r="A506" t="str">
            <v>SD-LUHM202-Y0</v>
          </cell>
          <cell r="B506" t="str">
            <v>SD-LUHM202</v>
          </cell>
        </row>
        <row r="507">
          <cell r="A507" t="str">
            <v>SDMZH-FLQ09WFB-RO-30</v>
          </cell>
          <cell r="B507" t="str">
            <v>SDMZH-FLQ09WFB</v>
          </cell>
        </row>
        <row r="508">
          <cell r="A508" t="str">
            <v>SDMZH-FLQ09WFB-RO-37</v>
          </cell>
          <cell r="B508" t="str">
            <v>SDMZH-FLQ09WFB</v>
          </cell>
        </row>
        <row r="509">
          <cell r="A509" t="str">
            <v>SDMZH-FLQ10RM-RO-30</v>
          </cell>
          <cell r="B509" t="str">
            <v>SDMZH-FLQ10RM</v>
          </cell>
        </row>
        <row r="510">
          <cell r="A510" t="str">
            <v>SDMZH-FLQ10RM-RO-37</v>
          </cell>
          <cell r="B510" t="str">
            <v>SDMZH-FLQ10RM</v>
          </cell>
        </row>
        <row r="511">
          <cell r="A511" t="str">
            <v>SDSZH-BS</v>
          </cell>
          <cell r="B511" t="str">
            <v>SDSZH</v>
          </cell>
        </row>
        <row r="512">
          <cell r="A512" t="str">
            <v>SDSZH-RG</v>
          </cell>
          <cell r="B512" t="str">
            <v>SDSZH</v>
          </cell>
        </row>
        <row r="513">
          <cell r="A513" t="str">
            <v>SDSZH-TS-1</v>
          </cell>
          <cell r="B513" t="str">
            <v>SDSZH</v>
          </cell>
        </row>
        <row r="514">
          <cell r="A514" t="str">
            <v>SDSZH-TS-2</v>
          </cell>
          <cell r="B514" t="str">
            <v>SDSZH</v>
          </cell>
        </row>
        <row r="515">
          <cell r="A515" t="str">
            <v>SDSZH-TS-3</v>
          </cell>
          <cell r="B515" t="str">
            <v>SDSZH</v>
          </cell>
        </row>
        <row r="516">
          <cell r="A516" t="str">
            <v>SDSZH-TS-4</v>
          </cell>
          <cell r="B516" t="str">
            <v>SDSZH</v>
          </cell>
        </row>
        <row r="517">
          <cell r="A517" t="str">
            <v>SDSZH-TS-5</v>
          </cell>
          <cell r="B517" t="str">
            <v>SDSZH</v>
          </cell>
        </row>
        <row r="518">
          <cell r="A518" t="str">
            <v>SDSZH-TS-6</v>
          </cell>
          <cell r="B518" t="str">
            <v>SDSZH</v>
          </cell>
        </row>
        <row r="519">
          <cell r="A519" t="str">
            <v>SDWZH-FLQ15FG-ML-50</v>
          </cell>
          <cell r="B519" t="str">
            <v>SDWZH-FLQ15</v>
          </cell>
        </row>
        <row r="520">
          <cell r="A520" t="str">
            <v>SDWZH-FLQ16-XR-60</v>
          </cell>
          <cell r="B520" t="str">
            <v>SDWZH-FLQ16</v>
          </cell>
        </row>
        <row r="521">
          <cell r="A521" t="str">
            <v>SG-LUHM050-K0</v>
          </cell>
          <cell r="B521" t="str">
            <v>SG-LUHM050</v>
          </cell>
        </row>
        <row r="522">
          <cell r="A522" t="str">
            <v>SG-LUHM100-K0</v>
          </cell>
          <cell r="B522" t="str">
            <v>SG-LUHM100</v>
          </cell>
        </row>
        <row r="523">
          <cell r="A523" t="str">
            <v>SJZP-FLQ19-CYH30-100</v>
          </cell>
          <cell r="B523" t="str">
            <v>SJZP-FLQ19</v>
          </cell>
        </row>
        <row r="524">
          <cell r="A524" t="str">
            <v>SJZP-FLQ19-CYV30-100</v>
          </cell>
          <cell r="B524" t="str">
            <v>SJZP-FLQ19</v>
          </cell>
        </row>
        <row r="525">
          <cell r="A525" t="str">
            <v>SJZP-FLQ19-CYXL-50*30</v>
          </cell>
          <cell r="B525" t="str">
            <v>SJZP-FLQ19</v>
          </cell>
        </row>
        <row r="526">
          <cell r="A526" t="str">
            <v>SJZP-FLQ19-SJ-100</v>
          </cell>
          <cell r="B526" t="str">
            <v>SJZP-FLQ19</v>
          </cell>
        </row>
        <row r="527">
          <cell r="A527" t="str">
            <v>SJZP-FLQ19-SJH30-100</v>
          </cell>
          <cell r="B527" t="str">
            <v>SJZP-FLQ19</v>
          </cell>
        </row>
        <row r="528">
          <cell r="A528" t="str">
            <v>SJZP-FLQ19-SJV30-100</v>
          </cell>
          <cell r="B528" t="str">
            <v>SJZP-FLQ19</v>
          </cell>
        </row>
        <row r="529">
          <cell r="A529" t="str">
            <v>SJZP-FLQ19-SJV40-100</v>
          </cell>
          <cell r="B529" t="str">
            <v>SJZP-FLQ19</v>
          </cell>
        </row>
        <row r="530">
          <cell r="A530" t="str">
            <v>SJZP-FLQ19-SJXL-50*30</v>
          </cell>
          <cell r="B530" t="str">
            <v>SJZP-FLQ19</v>
          </cell>
        </row>
        <row r="531">
          <cell r="A531" t="str">
            <v>SJZP-FLQ19-SJYX-140</v>
          </cell>
          <cell r="B531" t="str">
            <v>SJZP-FLQ19</v>
          </cell>
        </row>
        <row r="532">
          <cell r="A532" t="str">
            <v>SJZP-FLQ19-YXCY-140</v>
          </cell>
          <cell r="B532" t="str">
            <v>SJZP-FLQ19</v>
          </cell>
        </row>
        <row r="533">
          <cell r="A533" t="str">
            <v>SKS-B334</v>
          </cell>
          <cell r="B533" t="str">
            <v>SKS-B334</v>
          </cell>
        </row>
        <row r="534">
          <cell r="A534" t="str">
            <v>SL-LULW812-BO-L</v>
          </cell>
          <cell r="B534" t="str">
            <v>SL-LULW812</v>
          </cell>
        </row>
        <row r="535">
          <cell r="A535" t="str">
            <v>SL-LULW812-BO-M</v>
          </cell>
          <cell r="B535" t="str">
            <v>SL-LULW812</v>
          </cell>
        </row>
        <row r="536">
          <cell r="A536" t="str">
            <v>SL-LULW812-PI-L</v>
          </cell>
          <cell r="B536" t="str">
            <v>SL-LULW812</v>
          </cell>
        </row>
        <row r="537">
          <cell r="A537" t="str">
            <v>SL-LULW812-PI-M</v>
          </cell>
          <cell r="B537" t="str">
            <v>SL-LULW812</v>
          </cell>
        </row>
        <row r="538">
          <cell r="A538" t="str">
            <v>SL-LULW812-RO-L</v>
          </cell>
          <cell r="B538" t="str">
            <v>SL-LULW812</v>
          </cell>
        </row>
        <row r="539">
          <cell r="A539" t="str">
            <v>SL-LULW812-RO-M</v>
          </cell>
          <cell r="B539" t="str">
            <v>SL-LULW812</v>
          </cell>
        </row>
        <row r="540">
          <cell r="A540" t="str">
            <v>SL-LULW818-BO-L</v>
          </cell>
          <cell r="B540" t="str">
            <v>SL-LULW812</v>
          </cell>
        </row>
        <row r="541">
          <cell r="A541" t="str">
            <v>SL-LULW818-BO-M</v>
          </cell>
          <cell r="B541" t="str">
            <v>SL-LULW812</v>
          </cell>
        </row>
        <row r="542">
          <cell r="A542" t="str">
            <v>SL-LULW818-PI-L</v>
          </cell>
          <cell r="B542" t="str">
            <v>SL-LULW812</v>
          </cell>
        </row>
        <row r="543">
          <cell r="A543" t="str">
            <v>SL-LULW818-PI-M</v>
          </cell>
          <cell r="B543" t="str">
            <v>SL-LULW812</v>
          </cell>
        </row>
        <row r="544">
          <cell r="A544" t="str">
            <v>SL-LULW818-RO-L</v>
          </cell>
          <cell r="B544" t="str">
            <v>SL-LULW812</v>
          </cell>
        </row>
        <row r="545">
          <cell r="A545" t="str">
            <v>SL-LULW818-RO-M</v>
          </cell>
          <cell r="B545" t="str">
            <v>SL-LULW812</v>
          </cell>
        </row>
        <row r="546">
          <cell r="A546" t="str">
            <v>SND-FLQ17-GR-108</v>
          </cell>
          <cell r="B546" t="str">
            <v>SND-FLQ17</v>
          </cell>
        </row>
        <row r="547">
          <cell r="A547" t="str">
            <v>SND-FLQ17-NO-108</v>
          </cell>
          <cell r="B547" t="str">
            <v>SND-FLQ17</v>
          </cell>
        </row>
        <row r="548">
          <cell r="A548" t="str">
            <v>SND-FLQ18-SJ-74</v>
          </cell>
          <cell r="B548" t="str">
            <v>SND-FLQ18</v>
          </cell>
        </row>
        <row r="549">
          <cell r="A549" t="str">
            <v>SND-FLQ18-SJ-80</v>
          </cell>
          <cell r="B549" t="str">
            <v>SND-FLQ18</v>
          </cell>
        </row>
        <row r="550">
          <cell r="A550" t="str">
            <v>SND-WF5150-WO</v>
          </cell>
          <cell r="B550" t="str">
            <v>SND-WF5150</v>
          </cell>
        </row>
        <row r="551">
          <cell r="A551" t="str">
            <v>SND-WF5150-WO2</v>
          </cell>
          <cell r="B551" t="str">
            <v>SND-WF5150</v>
          </cell>
        </row>
        <row r="552">
          <cell r="A552" t="str">
            <v>SNH-LUHM001-E0</v>
          </cell>
          <cell r="B552" t="str">
            <v>SNH-LUHM001</v>
          </cell>
        </row>
        <row r="553">
          <cell r="A553" t="str">
            <v>SNH-LUHM001-G0</v>
          </cell>
          <cell r="B553" t="str">
            <v>SNH-LUHM001</v>
          </cell>
        </row>
        <row r="554">
          <cell r="A554" t="str">
            <v>SNH-LUHM001-K0</v>
          </cell>
          <cell r="B554" t="str">
            <v>SNH-LUHM001</v>
          </cell>
        </row>
        <row r="555">
          <cell r="A555" t="str">
            <v>SNH-LUHM001-W0</v>
          </cell>
          <cell r="B555" t="str">
            <v>SNH-LUHM001</v>
          </cell>
        </row>
        <row r="556">
          <cell r="A556" t="str">
            <v>SNH-LUHM001-Y0</v>
          </cell>
          <cell r="B556" t="str">
            <v>SNH-LUHM001</v>
          </cell>
        </row>
        <row r="557">
          <cell r="A557" t="str">
            <v>SNT-LUHM001-BS</v>
          </cell>
          <cell r="B557" t="str">
            <v>SNH-LUHM001</v>
          </cell>
        </row>
        <row r="558">
          <cell r="A558" t="str">
            <v>SNT-LUHM001-DX</v>
          </cell>
          <cell r="B558" t="str">
            <v>SNH-LUHM001</v>
          </cell>
        </row>
        <row r="559">
          <cell r="A559" t="str">
            <v>SNT-LUHM001-GQ</v>
          </cell>
          <cell r="B559" t="str">
            <v>SNH-LUHM001</v>
          </cell>
        </row>
        <row r="560">
          <cell r="A560" t="str">
            <v>SNT-LUHM001-HW</v>
          </cell>
          <cell r="B560" t="str">
            <v>SNH-LUHM001</v>
          </cell>
        </row>
        <row r="561">
          <cell r="A561" t="str">
            <v>SNT-LUHM001-HY</v>
          </cell>
          <cell r="B561" t="str">
            <v>SNH-LUHM001</v>
          </cell>
        </row>
        <row r="562">
          <cell r="A562" t="str">
            <v>SNT-LUHM001-KT</v>
          </cell>
          <cell r="B562" t="str">
            <v>SNH-LUHM001</v>
          </cell>
        </row>
        <row r="563">
          <cell r="A563" t="str">
            <v>SNT-LUHM001-WX</v>
          </cell>
          <cell r="B563" t="str">
            <v>SNH-LUHM001</v>
          </cell>
        </row>
        <row r="564">
          <cell r="A564" t="str">
            <v>SNT-LUHM001-ZX</v>
          </cell>
          <cell r="B564" t="str">
            <v>SNH-LUHM001</v>
          </cell>
        </row>
        <row r="565">
          <cell r="A565" t="str">
            <v>SQ-LUHM204</v>
          </cell>
          <cell r="B565" t="str">
            <v>SQ-LUHM</v>
          </cell>
        </row>
        <row r="566">
          <cell r="A566" t="str">
            <v>SQ-LUHM304</v>
          </cell>
          <cell r="B566" t="str">
            <v>SQ-LUHM</v>
          </cell>
        </row>
        <row r="567">
          <cell r="A567" t="str">
            <v>SQ-LUHM354</v>
          </cell>
          <cell r="B567" t="str">
            <v>SQ-LUHM</v>
          </cell>
        </row>
        <row r="568">
          <cell r="A568" t="str">
            <v>SQ-LUHM404</v>
          </cell>
          <cell r="B568" t="str">
            <v>SQ-LUHM</v>
          </cell>
        </row>
        <row r="569">
          <cell r="A569" t="str">
            <v>SQ-LUHM90A</v>
          </cell>
          <cell r="B569" t="str">
            <v>SQ-LUHM</v>
          </cell>
        </row>
        <row r="570">
          <cell r="A570" t="str">
            <v>ST005-BK-S</v>
          </cell>
          <cell r="B570" t="str">
            <v>ST005-BK</v>
          </cell>
        </row>
        <row r="571">
          <cell r="A571" t="str">
            <v>ST005-BL1-L</v>
          </cell>
          <cell r="B571" t="str">
            <v>ST005-BL1</v>
          </cell>
        </row>
        <row r="572">
          <cell r="A572" t="str">
            <v>ST005-BL2-S</v>
          </cell>
          <cell r="B572" t="str">
            <v>ST005-BL2</v>
          </cell>
        </row>
        <row r="573">
          <cell r="A573" t="str">
            <v>ST005-GN-S</v>
          </cell>
          <cell r="B573" t="str">
            <v>ST005-GN</v>
          </cell>
        </row>
        <row r="574">
          <cell r="A574" t="str">
            <v>ST005-RD1-M</v>
          </cell>
          <cell r="B574" t="str">
            <v>ST005-RD1</v>
          </cell>
        </row>
        <row r="575">
          <cell r="A575" t="str">
            <v>ST005-RD1-S</v>
          </cell>
          <cell r="B575" t="str">
            <v>ST005-RD1</v>
          </cell>
        </row>
        <row r="576">
          <cell r="A576" t="str">
            <v>ST005-RD-S</v>
          </cell>
          <cell r="B576" t="str">
            <v>ST005-RD</v>
          </cell>
        </row>
        <row r="577">
          <cell r="A577" t="str">
            <v>ST006-BK-XL</v>
          </cell>
          <cell r="B577" t="str">
            <v>ST006-BK</v>
          </cell>
        </row>
        <row r="578">
          <cell r="A578" t="str">
            <v>ST006-BL2-S</v>
          </cell>
          <cell r="B578" t="str">
            <v>ST006-BL2</v>
          </cell>
        </row>
        <row r="579">
          <cell r="A579" t="str">
            <v>ST006-BL-S</v>
          </cell>
          <cell r="B579" t="str">
            <v>ST006-BL</v>
          </cell>
        </row>
        <row r="580">
          <cell r="A580" t="str">
            <v>ST006-CF-M</v>
          </cell>
          <cell r="B580" t="str">
            <v>ST006-CF</v>
          </cell>
        </row>
        <row r="581">
          <cell r="A581" t="str">
            <v>ST006-CF-S</v>
          </cell>
          <cell r="B581" t="str">
            <v>ST006-CF</v>
          </cell>
        </row>
        <row r="582">
          <cell r="A582" t="str">
            <v>ST006-GN-M</v>
          </cell>
          <cell r="B582" t="str">
            <v>ST006-GN</v>
          </cell>
        </row>
        <row r="583">
          <cell r="A583" t="str">
            <v>ST006-GN-S</v>
          </cell>
          <cell r="B583" t="str">
            <v>ST006-GN</v>
          </cell>
        </row>
        <row r="584">
          <cell r="A584" t="str">
            <v>ST006-RD1-S</v>
          </cell>
          <cell r="B584" t="str">
            <v>ST006-RD1</v>
          </cell>
        </row>
        <row r="585">
          <cell r="A585" t="str">
            <v>ST006-RD2-XL</v>
          </cell>
          <cell r="B585" t="str">
            <v>ST006-RD2</v>
          </cell>
        </row>
        <row r="586">
          <cell r="A586" t="str">
            <v>ST084-H15-S</v>
          </cell>
          <cell r="B586" t="str">
            <v>ST084-H15</v>
          </cell>
        </row>
        <row r="587">
          <cell r="A587" t="str">
            <v>ST084-H15-XXL</v>
          </cell>
          <cell r="B587" t="str">
            <v>ST084-H15</v>
          </cell>
        </row>
        <row r="588">
          <cell r="A588" t="str">
            <v>ST085-LB916-M</v>
          </cell>
          <cell r="B588" t="str">
            <v>ST085-LB916</v>
          </cell>
        </row>
        <row r="589">
          <cell r="A589" t="str">
            <v>ST085-LB916-S</v>
          </cell>
          <cell r="B589" t="str">
            <v>ST085-LB916</v>
          </cell>
        </row>
        <row r="590">
          <cell r="A590" t="str">
            <v>ST122-N0-2XL</v>
          </cell>
          <cell r="B590" t="str">
            <v>ST122-N0</v>
          </cell>
        </row>
        <row r="591">
          <cell r="A591" t="str">
            <v>ST122-WR-S</v>
          </cell>
          <cell r="B591" t="str">
            <v>ST122-WR</v>
          </cell>
        </row>
        <row r="592">
          <cell r="A592" t="str">
            <v>ST155-AG-30</v>
          </cell>
          <cell r="B592" t="str">
            <v>ST155-AG</v>
          </cell>
        </row>
        <row r="593">
          <cell r="A593" t="str">
            <v>ST155-AG-32</v>
          </cell>
          <cell r="B593" t="str">
            <v>ST155-AG</v>
          </cell>
        </row>
        <row r="594">
          <cell r="A594" t="str">
            <v>ST155-AG-38</v>
          </cell>
          <cell r="B594" t="str">
            <v>ST155-AG</v>
          </cell>
        </row>
        <row r="595">
          <cell r="A595" t="str">
            <v>ST166-B28-4-L</v>
          </cell>
          <cell r="B595" t="str">
            <v>ST166-B28</v>
          </cell>
        </row>
        <row r="596">
          <cell r="A596" t="str">
            <v>ST166-B28-4-S</v>
          </cell>
          <cell r="B596" t="str">
            <v>ST166-B28</v>
          </cell>
        </row>
        <row r="597">
          <cell r="A597" t="str">
            <v>ST166-B28-4-XXL</v>
          </cell>
          <cell r="B597" t="str">
            <v>ST166-B28</v>
          </cell>
        </row>
        <row r="598">
          <cell r="A598" t="str">
            <v>ST166-K33-1-L</v>
          </cell>
          <cell r="B598" t="str">
            <v>ST166-K33</v>
          </cell>
        </row>
        <row r="599">
          <cell r="A599" t="str">
            <v>ST166-K33-1-S</v>
          </cell>
          <cell r="B599" t="str">
            <v>ST166-K33</v>
          </cell>
        </row>
        <row r="600">
          <cell r="A600" t="str">
            <v>ST166-K33-1-XL</v>
          </cell>
          <cell r="B600" t="str">
            <v>ST166-K33</v>
          </cell>
        </row>
        <row r="601">
          <cell r="A601" t="str">
            <v>ST166-K33-1-XXL</v>
          </cell>
          <cell r="B601" t="str">
            <v>ST166-K33</v>
          </cell>
        </row>
        <row r="602">
          <cell r="A602" t="str">
            <v>ST166-K33-4-L</v>
          </cell>
          <cell r="B602" t="str">
            <v>ST166-K33</v>
          </cell>
        </row>
        <row r="603">
          <cell r="A603" t="str">
            <v>ST166-K33-4-M</v>
          </cell>
          <cell r="B603" t="str">
            <v>ST166-K33</v>
          </cell>
        </row>
        <row r="604">
          <cell r="A604" t="str">
            <v>ST166-K33-4-S</v>
          </cell>
          <cell r="B604" t="str">
            <v>ST166-K33</v>
          </cell>
        </row>
        <row r="605">
          <cell r="A605" t="str">
            <v>ST167-BK-XXL</v>
          </cell>
          <cell r="B605" t="str">
            <v>ST167-BK</v>
          </cell>
        </row>
        <row r="606">
          <cell r="A606" t="str">
            <v>ST167-K0-XXL</v>
          </cell>
          <cell r="B606" t="str">
            <v>ST167-K0</v>
          </cell>
        </row>
        <row r="607">
          <cell r="A607" t="str">
            <v>ST168-K77-4-XL</v>
          </cell>
          <cell r="B607" t="str">
            <v>ST168-K77</v>
          </cell>
        </row>
        <row r="608">
          <cell r="A608" t="str">
            <v>ST170-LB-L</v>
          </cell>
          <cell r="B608" t="str">
            <v>ST170-LB</v>
          </cell>
        </row>
        <row r="609">
          <cell r="A609" t="str">
            <v>ST170-LB-M</v>
          </cell>
          <cell r="B609" t="str">
            <v>ST170-LB</v>
          </cell>
        </row>
        <row r="610">
          <cell r="A610" t="str">
            <v>ST170-LB-S</v>
          </cell>
          <cell r="B610" t="str">
            <v>ST170-LB</v>
          </cell>
        </row>
        <row r="611">
          <cell r="A611" t="str">
            <v>ST170-LB-XL</v>
          </cell>
          <cell r="B611" t="str">
            <v>ST170-LB</v>
          </cell>
        </row>
        <row r="612">
          <cell r="A612" t="str">
            <v>ST170-LB-XXL</v>
          </cell>
          <cell r="B612" t="str">
            <v>ST170-LB</v>
          </cell>
        </row>
        <row r="613">
          <cell r="A613" t="str">
            <v>ST170-LG-L</v>
          </cell>
          <cell r="B613" t="str">
            <v>ST170-LG</v>
          </cell>
        </row>
        <row r="614">
          <cell r="A614" t="str">
            <v>ST170-LG-M</v>
          </cell>
          <cell r="B614" t="str">
            <v>ST170-LG</v>
          </cell>
        </row>
        <row r="615">
          <cell r="A615" t="str">
            <v>ST170-LG-S</v>
          </cell>
          <cell r="B615" t="str">
            <v>ST170-LG</v>
          </cell>
        </row>
        <row r="616">
          <cell r="A616" t="str">
            <v>ST170-LG-XXL</v>
          </cell>
          <cell r="B616" t="str">
            <v>ST170-LG</v>
          </cell>
        </row>
        <row r="617">
          <cell r="A617" t="str">
            <v>ST170-PK-M</v>
          </cell>
          <cell r="B617" t="str">
            <v>ST170-PK</v>
          </cell>
        </row>
        <row r="618">
          <cell r="A618" t="str">
            <v>ST170-PK-XL</v>
          </cell>
          <cell r="B618" t="str">
            <v>ST170-PK</v>
          </cell>
        </row>
        <row r="619">
          <cell r="A619" t="str">
            <v>ST170-PK-XXL</v>
          </cell>
          <cell r="B619" t="str">
            <v>ST170-PK</v>
          </cell>
        </row>
        <row r="620">
          <cell r="A620" t="str">
            <v>ST170-SA-M</v>
          </cell>
          <cell r="B620" t="str">
            <v>ST170-SA</v>
          </cell>
        </row>
        <row r="621">
          <cell r="A621" t="str">
            <v>ST170-SA-S</v>
          </cell>
          <cell r="B621" t="str">
            <v>ST170-SA</v>
          </cell>
        </row>
        <row r="622">
          <cell r="A622" t="str">
            <v>ST170-SA-XL</v>
          </cell>
          <cell r="B622" t="str">
            <v>ST170-SA</v>
          </cell>
        </row>
        <row r="623">
          <cell r="A623" t="str">
            <v>ST170-SA-XXL</v>
          </cell>
          <cell r="B623" t="str">
            <v>ST170-SA</v>
          </cell>
        </row>
        <row r="624">
          <cell r="A624" t="str">
            <v>ST170-WR-L</v>
          </cell>
          <cell r="B624" t="str">
            <v>ST170-WR</v>
          </cell>
        </row>
        <row r="625">
          <cell r="A625" t="str">
            <v>ST170-WR-S</v>
          </cell>
          <cell r="B625" t="str">
            <v>ST170-WR</v>
          </cell>
        </row>
        <row r="626">
          <cell r="A626" t="str">
            <v>ST170-WR-XL</v>
          </cell>
          <cell r="B626" t="str">
            <v>ST170-WR</v>
          </cell>
        </row>
        <row r="627">
          <cell r="A627" t="str">
            <v>ST170-WT-M</v>
          </cell>
          <cell r="B627" t="str">
            <v>ST170-WT</v>
          </cell>
        </row>
        <row r="628">
          <cell r="A628" t="str">
            <v>ST170-WT-S</v>
          </cell>
          <cell r="B628" t="str">
            <v>ST170-WT</v>
          </cell>
        </row>
        <row r="629">
          <cell r="A629" t="str">
            <v>ST170-ZL-L</v>
          </cell>
          <cell r="B629" t="str">
            <v>ST170-ZL</v>
          </cell>
        </row>
        <row r="630">
          <cell r="A630" t="str">
            <v>ST170-ZL-M</v>
          </cell>
          <cell r="B630" t="str">
            <v>ST170-ZL</v>
          </cell>
        </row>
        <row r="631">
          <cell r="A631" t="str">
            <v>ST170-ZL-S</v>
          </cell>
          <cell r="B631" t="str">
            <v>ST170-ZL</v>
          </cell>
        </row>
        <row r="632">
          <cell r="A632" t="str">
            <v>ST170-ZL-XL</v>
          </cell>
          <cell r="B632" t="str">
            <v>ST170-ZL</v>
          </cell>
        </row>
        <row r="633">
          <cell r="A633" t="str">
            <v>ST171-LB916-M</v>
          </cell>
          <cell r="B633" t="str">
            <v>ST171-LB916</v>
          </cell>
        </row>
        <row r="634">
          <cell r="A634" t="str">
            <v>ST171-LB916-S</v>
          </cell>
          <cell r="B634" t="str">
            <v>ST171-LB916</v>
          </cell>
        </row>
        <row r="635">
          <cell r="A635" t="str">
            <v>ST171-LB916-XXL</v>
          </cell>
          <cell r="B635" t="str">
            <v>ST171-LB916</v>
          </cell>
        </row>
        <row r="636">
          <cell r="A636" t="str">
            <v>ST171-Sa911-L</v>
          </cell>
          <cell r="B636" t="str">
            <v>ST171-Sa911</v>
          </cell>
        </row>
        <row r="637">
          <cell r="A637" t="str">
            <v>ST171-Sa911-M</v>
          </cell>
          <cell r="B637" t="str">
            <v>ST171-Sa911</v>
          </cell>
        </row>
        <row r="638">
          <cell r="A638" t="str">
            <v>ST171-Sa911-S</v>
          </cell>
          <cell r="B638" t="str">
            <v>ST171-Sa911</v>
          </cell>
        </row>
        <row r="639">
          <cell r="A639" t="str">
            <v>ST171-Sa911-XL</v>
          </cell>
          <cell r="B639" t="str">
            <v>ST171-Sa911</v>
          </cell>
        </row>
        <row r="640">
          <cell r="A640" t="str">
            <v>ST171-W902-M</v>
          </cell>
          <cell r="B640" t="str">
            <v>ST171-W902</v>
          </cell>
        </row>
        <row r="641">
          <cell r="A641" t="str">
            <v>ST171-W902-XL</v>
          </cell>
          <cell r="B641" t="str">
            <v>ST171-W902</v>
          </cell>
        </row>
        <row r="642">
          <cell r="A642" t="str">
            <v>ST172-BK-L</v>
          </cell>
          <cell r="B642" t="str">
            <v>ST172-BK</v>
          </cell>
        </row>
        <row r="643">
          <cell r="A643" t="str">
            <v>ST172-BK-M</v>
          </cell>
          <cell r="B643" t="str">
            <v>ST172-BK</v>
          </cell>
        </row>
        <row r="644">
          <cell r="A644" t="str">
            <v>ST172-BK-S</v>
          </cell>
          <cell r="B644" t="str">
            <v>ST172-BK</v>
          </cell>
        </row>
        <row r="645">
          <cell r="A645" t="str">
            <v>ST172-BK-XL</v>
          </cell>
          <cell r="B645" t="str">
            <v>ST172-BK</v>
          </cell>
        </row>
        <row r="646">
          <cell r="A646" t="str">
            <v>ST172-BL-L</v>
          </cell>
          <cell r="B646" t="str">
            <v>ST172-BL</v>
          </cell>
        </row>
        <row r="647">
          <cell r="A647" t="str">
            <v>ST172-BL-M</v>
          </cell>
          <cell r="B647" t="str">
            <v>ST172-BL</v>
          </cell>
        </row>
        <row r="648">
          <cell r="A648" t="str">
            <v>ST172-BL-S</v>
          </cell>
          <cell r="B648" t="str">
            <v>ST172-BL</v>
          </cell>
        </row>
        <row r="649">
          <cell r="A649" t="str">
            <v>ST172-BL-XL</v>
          </cell>
          <cell r="B649" t="str">
            <v>ST172-BL</v>
          </cell>
        </row>
        <row r="650">
          <cell r="A650" t="str">
            <v>ST172-BL-XXL</v>
          </cell>
          <cell r="B650" t="str">
            <v>ST172-BL</v>
          </cell>
        </row>
        <row r="651">
          <cell r="A651" t="str">
            <v>ST172-GR-L</v>
          </cell>
          <cell r="B651" t="str">
            <v>ST172-GR</v>
          </cell>
        </row>
        <row r="652">
          <cell r="A652" t="str">
            <v>ST172-GR-M</v>
          </cell>
          <cell r="B652" t="str">
            <v>ST172-GR</v>
          </cell>
        </row>
        <row r="653">
          <cell r="A653" t="str">
            <v>ST172-GR-S</v>
          </cell>
          <cell r="B653" t="str">
            <v>ST172-GR</v>
          </cell>
        </row>
        <row r="654">
          <cell r="A654" t="str">
            <v>ST172-GR-XL</v>
          </cell>
          <cell r="B654" t="str">
            <v>ST172-GR</v>
          </cell>
        </row>
        <row r="655">
          <cell r="A655" t="str">
            <v>ST172-GR-XXL</v>
          </cell>
          <cell r="B655" t="str">
            <v>ST172-GR</v>
          </cell>
        </row>
        <row r="656">
          <cell r="A656" t="str">
            <v>ST172-NY-L</v>
          </cell>
          <cell r="B656" t="str">
            <v>ST172-NY</v>
          </cell>
        </row>
        <row r="657">
          <cell r="A657" t="str">
            <v>ST172-NY-M</v>
          </cell>
          <cell r="B657" t="str">
            <v>ST172-NY</v>
          </cell>
        </row>
        <row r="658">
          <cell r="A658" t="str">
            <v>ST172-NY-S</v>
          </cell>
          <cell r="B658" t="str">
            <v>ST172-NY</v>
          </cell>
        </row>
        <row r="659">
          <cell r="A659" t="str">
            <v>ST172-NY-XL</v>
          </cell>
          <cell r="B659" t="str">
            <v>ST172-NY</v>
          </cell>
        </row>
        <row r="660">
          <cell r="A660" t="str">
            <v>ST172-NY-XXL</v>
          </cell>
          <cell r="B660" t="str">
            <v>ST172-NY</v>
          </cell>
        </row>
        <row r="661">
          <cell r="A661" t="str">
            <v>ST172-PK-L</v>
          </cell>
          <cell r="B661" t="str">
            <v>ST172-PK</v>
          </cell>
        </row>
        <row r="662">
          <cell r="A662" t="str">
            <v>ST172-PK-M</v>
          </cell>
          <cell r="B662" t="str">
            <v>ST172-PK</v>
          </cell>
        </row>
        <row r="663">
          <cell r="A663" t="str">
            <v>ST172-PK-S</v>
          </cell>
          <cell r="B663" t="str">
            <v>ST172-PK</v>
          </cell>
        </row>
        <row r="664">
          <cell r="A664" t="str">
            <v>ST172-PK-XL</v>
          </cell>
          <cell r="B664" t="str">
            <v>ST172-PK</v>
          </cell>
        </row>
        <row r="665">
          <cell r="A665" t="str">
            <v>ST172-PK-XXL</v>
          </cell>
          <cell r="B665" t="str">
            <v>ST172-PK</v>
          </cell>
        </row>
        <row r="666">
          <cell r="A666" t="str">
            <v>ST172-PP-L</v>
          </cell>
          <cell r="B666" t="str">
            <v>ST172-PP</v>
          </cell>
        </row>
        <row r="667">
          <cell r="A667" t="str">
            <v>ST172-PP-M</v>
          </cell>
          <cell r="B667" t="str">
            <v>ST172-PP</v>
          </cell>
        </row>
        <row r="668">
          <cell r="A668" t="str">
            <v>ST172-PP-S</v>
          </cell>
          <cell r="B668" t="str">
            <v>ST172-PP</v>
          </cell>
        </row>
        <row r="669">
          <cell r="A669" t="str">
            <v>ST172-PP-XL</v>
          </cell>
          <cell r="B669" t="str">
            <v>ST172-PP</v>
          </cell>
        </row>
        <row r="670">
          <cell r="A670" t="str">
            <v>ST172-WR-L</v>
          </cell>
          <cell r="B670" t="str">
            <v>ST172-WR</v>
          </cell>
        </row>
        <row r="671">
          <cell r="A671" t="str">
            <v>ST172-WR-M</v>
          </cell>
          <cell r="B671" t="str">
            <v>ST172-WR</v>
          </cell>
        </row>
        <row r="672">
          <cell r="A672" t="str">
            <v>ST172-WR-S</v>
          </cell>
          <cell r="B672" t="str">
            <v>ST172-WR</v>
          </cell>
        </row>
        <row r="673">
          <cell r="A673" t="str">
            <v>ST172-WR-XL</v>
          </cell>
          <cell r="B673" t="str">
            <v>ST172-WR</v>
          </cell>
        </row>
        <row r="674">
          <cell r="A674" t="str">
            <v>ST172-WR-XXL</v>
          </cell>
          <cell r="B674" t="str">
            <v>ST172-WR</v>
          </cell>
        </row>
        <row r="675">
          <cell r="A675" t="str">
            <v>ST172-WT1-L</v>
          </cell>
          <cell r="B675" t="str">
            <v>ST172-WT1</v>
          </cell>
        </row>
        <row r="676">
          <cell r="A676" t="str">
            <v>ST172-WT1-M</v>
          </cell>
          <cell r="B676" t="str">
            <v>ST172-WT1</v>
          </cell>
        </row>
        <row r="677">
          <cell r="A677" t="str">
            <v>ST172-WT1-S</v>
          </cell>
          <cell r="B677" t="str">
            <v>ST172-WT1</v>
          </cell>
        </row>
        <row r="678">
          <cell r="A678" t="str">
            <v>ST172-WT1-XL</v>
          </cell>
          <cell r="B678" t="str">
            <v>ST172-WT1</v>
          </cell>
        </row>
        <row r="679">
          <cell r="A679" t="str">
            <v>ST172-WT1-XXL</v>
          </cell>
          <cell r="B679" t="str">
            <v>ST172-WT1</v>
          </cell>
        </row>
        <row r="680">
          <cell r="A680" t="str">
            <v>ST172-WT2-L</v>
          </cell>
          <cell r="B680" t="str">
            <v>ST172-WT2</v>
          </cell>
        </row>
        <row r="681">
          <cell r="A681" t="str">
            <v>ST172-WT2-M</v>
          </cell>
          <cell r="B681" t="str">
            <v>ST172-WT2</v>
          </cell>
        </row>
        <row r="682">
          <cell r="A682" t="str">
            <v>ST172-WT2-S</v>
          </cell>
          <cell r="B682" t="str">
            <v>ST172-WT2</v>
          </cell>
        </row>
        <row r="683">
          <cell r="A683" t="str">
            <v>ST172-WT2-XL</v>
          </cell>
          <cell r="B683" t="str">
            <v>ST172-WT2</v>
          </cell>
        </row>
        <row r="684">
          <cell r="A684" t="str">
            <v>ST172-WT2-XXL</v>
          </cell>
          <cell r="B684" t="str">
            <v>ST172-WT2</v>
          </cell>
        </row>
        <row r="685">
          <cell r="A685" t="str">
            <v>ST173-BK-L</v>
          </cell>
          <cell r="B685" t="str">
            <v>ST173-BK</v>
          </cell>
        </row>
        <row r="686">
          <cell r="A686" t="str">
            <v>ST173-BK-S</v>
          </cell>
          <cell r="B686" t="str">
            <v>ST173-BK</v>
          </cell>
        </row>
        <row r="687">
          <cell r="A687" t="str">
            <v>ST173-BK-XL</v>
          </cell>
          <cell r="B687" t="str">
            <v>ST173-BK</v>
          </cell>
        </row>
        <row r="688">
          <cell r="A688" t="str">
            <v>ST173-BK-XXL</v>
          </cell>
          <cell r="B688" t="str">
            <v>ST173-BK</v>
          </cell>
        </row>
        <row r="689">
          <cell r="A689" t="str">
            <v>ST173-BL-L</v>
          </cell>
          <cell r="B689" t="str">
            <v>ST173-BL</v>
          </cell>
        </row>
        <row r="690">
          <cell r="A690" t="str">
            <v>ST173-BL-M</v>
          </cell>
          <cell r="B690" t="str">
            <v>ST173-BL</v>
          </cell>
        </row>
        <row r="691">
          <cell r="A691" t="str">
            <v>ST173-BL-S</v>
          </cell>
          <cell r="B691" t="str">
            <v>ST173-BL</v>
          </cell>
        </row>
        <row r="692">
          <cell r="A692" t="str">
            <v>ST173-BL-XL</v>
          </cell>
          <cell r="B692" t="str">
            <v>ST173-BL</v>
          </cell>
        </row>
        <row r="693">
          <cell r="A693" t="str">
            <v>ST173-BL-XXL</v>
          </cell>
          <cell r="B693" t="str">
            <v>ST173-BL</v>
          </cell>
        </row>
        <row r="694">
          <cell r="A694" t="str">
            <v>ST173-GR-L</v>
          </cell>
          <cell r="B694" t="str">
            <v>ST173-GR</v>
          </cell>
        </row>
        <row r="695">
          <cell r="A695" t="str">
            <v>ST173-GR-M</v>
          </cell>
          <cell r="B695" t="str">
            <v>ST173-GR</v>
          </cell>
        </row>
        <row r="696">
          <cell r="A696" t="str">
            <v>ST173-GR-S</v>
          </cell>
          <cell r="B696" t="str">
            <v>ST173-GR</v>
          </cell>
        </row>
        <row r="697">
          <cell r="A697" t="str">
            <v>ST173-GR-XL</v>
          </cell>
          <cell r="B697" t="str">
            <v>ST173-GR</v>
          </cell>
        </row>
        <row r="698">
          <cell r="A698" t="str">
            <v>ST173-GR-XXL</v>
          </cell>
          <cell r="B698" t="str">
            <v>ST173-GR</v>
          </cell>
        </row>
        <row r="699">
          <cell r="A699" t="str">
            <v>ST173-NY-L</v>
          </cell>
          <cell r="B699" t="str">
            <v>ST173-NY</v>
          </cell>
        </row>
        <row r="700">
          <cell r="A700" t="str">
            <v>ST173-NY-M</v>
          </cell>
          <cell r="B700" t="str">
            <v>ST173-NY</v>
          </cell>
        </row>
        <row r="701">
          <cell r="A701" t="str">
            <v>ST173-NY-S</v>
          </cell>
          <cell r="B701" t="str">
            <v>ST173-NY</v>
          </cell>
        </row>
        <row r="702">
          <cell r="A702" t="str">
            <v>ST173-NY-XL</v>
          </cell>
          <cell r="B702" t="str">
            <v>ST173-NY</v>
          </cell>
        </row>
        <row r="703">
          <cell r="A703" t="str">
            <v>ST173-NY-XXL</v>
          </cell>
          <cell r="B703" t="str">
            <v>ST173-NY</v>
          </cell>
        </row>
        <row r="704">
          <cell r="A704" t="str">
            <v>ST173-PK-L</v>
          </cell>
          <cell r="B704" t="str">
            <v>ST173-PK</v>
          </cell>
        </row>
        <row r="705">
          <cell r="A705" t="str">
            <v>ST173-PK-M</v>
          </cell>
          <cell r="B705" t="str">
            <v>ST173-PK</v>
          </cell>
        </row>
        <row r="706">
          <cell r="A706" t="str">
            <v>ST173-PK-S</v>
          </cell>
          <cell r="B706" t="str">
            <v>ST173-PK</v>
          </cell>
        </row>
        <row r="707">
          <cell r="A707" t="str">
            <v>ST173-PK-XL</v>
          </cell>
          <cell r="B707" t="str">
            <v>ST173-PK</v>
          </cell>
        </row>
        <row r="708">
          <cell r="A708" t="str">
            <v>ST173-PK-XXL</v>
          </cell>
          <cell r="B708" t="str">
            <v>ST173-PK</v>
          </cell>
        </row>
        <row r="709">
          <cell r="A709" t="str">
            <v>ST173-PP-L</v>
          </cell>
          <cell r="B709" t="str">
            <v>ST173-PP</v>
          </cell>
        </row>
        <row r="710">
          <cell r="A710" t="str">
            <v>ST173-PP-S</v>
          </cell>
          <cell r="B710" t="str">
            <v>ST173-PP</v>
          </cell>
        </row>
        <row r="711">
          <cell r="A711" t="str">
            <v>ST173-WR-L</v>
          </cell>
          <cell r="B711" t="str">
            <v>ST173-WR</v>
          </cell>
        </row>
        <row r="712">
          <cell r="A712" t="str">
            <v>ST173-WR-M</v>
          </cell>
          <cell r="B712" t="str">
            <v>ST173-WR</v>
          </cell>
        </row>
        <row r="713">
          <cell r="A713" t="str">
            <v>ST173-WR-S</v>
          </cell>
          <cell r="B713" t="str">
            <v>ST173-WR</v>
          </cell>
        </row>
        <row r="714">
          <cell r="A714" t="str">
            <v>ST173-WR-XL</v>
          </cell>
          <cell r="B714" t="str">
            <v>ST173-WR</v>
          </cell>
        </row>
        <row r="715">
          <cell r="A715" t="str">
            <v>ST173-WR-XXL</v>
          </cell>
          <cell r="B715" t="str">
            <v>ST173-WR</v>
          </cell>
        </row>
        <row r="716">
          <cell r="A716" t="str">
            <v>ST173-WT1-L</v>
          </cell>
          <cell r="B716" t="str">
            <v>ST173-WT1</v>
          </cell>
        </row>
        <row r="717">
          <cell r="A717" t="str">
            <v>ST173-WT1-M</v>
          </cell>
          <cell r="B717" t="str">
            <v>ST173-WT1</v>
          </cell>
        </row>
        <row r="718">
          <cell r="A718" t="str">
            <v>ST173-WT1-S</v>
          </cell>
          <cell r="B718" t="str">
            <v>ST173-WT1</v>
          </cell>
        </row>
        <row r="719">
          <cell r="A719" t="str">
            <v>ST173-WT1-XXL</v>
          </cell>
          <cell r="B719" t="str">
            <v>ST173-WT1</v>
          </cell>
        </row>
        <row r="720">
          <cell r="A720" t="str">
            <v>ST173-WT2-L</v>
          </cell>
          <cell r="B720" t="str">
            <v>ST173-WT2</v>
          </cell>
        </row>
        <row r="721">
          <cell r="A721" t="str">
            <v>ST173-WT2-S</v>
          </cell>
          <cell r="B721" t="str">
            <v>ST173-WT2</v>
          </cell>
        </row>
        <row r="722">
          <cell r="A722" t="str">
            <v>ST173-WT2-XL</v>
          </cell>
          <cell r="B722" t="str">
            <v>ST173-WT2</v>
          </cell>
        </row>
        <row r="723">
          <cell r="A723" t="str">
            <v>ST-FLQ110-KO-L</v>
          </cell>
          <cell r="B723" t="str">
            <v>ST-FLQ110</v>
          </cell>
        </row>
        <row r="724">
          <cell r="A724" t="str">
            <v>ST-FLQ110-KO-M</v>
          </cell>
          <cell r="B724" t="str">
            <v>ST-FLQ110</v>
          </cell>
        </row>
        <row r="725">
          <cell r="A725" t="str">
            <v>ST-FLQ110-KO-XL</v>
          </cell>
          <cell r="B725" t="str">
            <v>ST-FLQ110</v>
          </cell>
        </row>
        <row r="726">
          <cell r="A726" t="str">
            <v>ST-FLQ110-PI-L</v>
          </cell>
          <cell r="B726" t="str">
            <v>ST-FLQ110</v>
          </cell>
        </row>
        <row r="727">
          <cell r="A727" t="str">
            <v>ST-FLQ110-PI-M</v>
          </cell>
          <cell r="B727" t="str">
            <v>ST-FLQ110</v>
          </cell>
        </row>
        <row r="728">
          <cell r="A728" t="str">
            <v>ST-FLQ110-PI-S</v>
          </cell>
          <cell r="B728" t="str">
            <v>ST-FLQ110</v>
          </cell>
        </row>
        <row r="729">
          <cell r="A729" t="str">
            <v>ST-K157-B0-32</v>
          </cell>
          <cell r="B729" t="str">
            <v>ST-K157</v>
          </cell>
        </row>
        <row r="730">
          <cell r="A730" t="str">
            <v>ST-K157-KQ-32</v>
          </cell>
          <cell r="B730" t="str">
            <v>ST-K157</v>
          </cell>
        </row>
        <row r="731">
          <cell r="A731" t="str">
            <v>ST-K157-KQ-34</v>
          </cell>
          <cell r="B731" t="str">
            <v>ST-K157</v>
          </cell>
        </row>
        <row r="732">
          <cell r="A732" t="str">
            <v>ST-K559-K0-44</v>
          </cell>
          <cell r="B732" t="str">
            <v>ST-K559</v>
          </cell>
        </row>
        <row r="733">
          <cell r="A733" t="str">
            <v>ST-K559-KQ-32</v>
          </cell>
          <cell r="B733" t="str">
            <v>ST-K559</v>
          </cell>
        </row>
        <row r="734">
          <cell r="A734" t="str">
            <v>ST-K559-KQ-34</v>
          </cell>
          <cell r="B734" t="str">
            <v>ST-K559</v>
          </cell>
        </row>
        <row r="735">
          <cell r="A735" t="str">
            <v>ST-K559-KQ-44</v>
          </cell>
          <cell r="B735" t="str">
            <v>ST-K559</v>
          </cell>
        </row>
        <row r="736">
          <cell r="A736" t="str">
            <v>ST-K559-OR-32</v>
          </cell>
          <cell r="B736" t="str">
            <v>ST-K559</v>
          </cell>
        </row>
        <row r="737">
          <cell r="A737" t="str">
            <v>ST-LAHM-LG-001</v>
          </cell>
          <cell r="B737" t="str">
            <v>ST-LAHM</v>
          </cell>
        </row>
        <row r="738">
          <cell r="A738" t="str">
            <v>SZ-IUYL002</v>
          </cell>
          <cell r="B738" t="str">
            <v>SZ-IUYL002</v>
          </cell>
        </row>
        <row r="739">
          <cell r="A739" t="str">
            <v>TEST-BR-6IN</v>
          </cell>
          <cell r="B739" t="str">
            <v>TEST-BR-6IN</v>
          </cell>
        </row>
        <row r="740">
          <cell r="A740" t="str">
            <v>TESTY0-6IN</v>
          </cell>
          <cell r="B740" t="str">
            <v>TESTY0-6IN</v>
          </cell>
        </row>
        <row r="741">
          <cell r="A741" t="str">
            <v>TEST-Y0-7IN</v>
          </cell>
          <cell r="B741" t="str">
            <v>TEST-Y0-7IN</v>
          </cell>
        </row>
        <row r="742">
          <cell r="A742" t="str">
            <v>TZ-IUYL240-BEAR-L</v>
          </cell>
          <cell r="B742" t="str">
            <v>TZ-IUYL240</v>
          </cell>
        </row>
        <row r="743">
          <cell r="A743" t="str">
            <v>TZ-IUYL240-BEAR-M</v>
          </cell>
          <cell r="B743" t="str">
            <v>TZ-IUYL240</v>
          </cell>
        </row>
        <row r="744">
          <cell r="A744" t="str">
            <v>TZ-IUYL240-BEAR-S</v>
          </cell>
          <cell r="B744" t="str">
            <v>TZ-IUYL240</v>
          </cell>
        </row>
        <row r="745">
          <cell r="A745" t="str">
            <v>TZ-IUYL240-BONE-L</v>
          </cell>
          <cell r="B745" t="str">
            <v>TZ-IUYL240</v>
          </cell>
        </row>
        <row r="746">
          <cell r="A746" t="str">
            <v>TZ-IUYL240-BONE-M</v>
          </cell>
          <cell r="B746" t="str">
            <v>TZ-IUYL240</v>
          </cell>
        </row>
        <row r="747">
          <cell r="A747" t="str">
            <v>TZ-IUYL240-BONE-S</v>
          </cell>
          <cell r="B747" t="str">
            <v>TZ-IUYL240</v>
          </cell>
        </row>
        <row r="748">
          <cell r="A748" t="str">
            <v>TZ-IUYL240-DOT2-L</v>
          </cell>
          <cell r="B748" t="str">
            <v>TZ-IUYL240</v>
          </cell>
        </row>
        <row r="749">
          <cell r="A749" t="str">
            <v>TZ-IUYL240-DOT2-M</v>
          </cell>
          <cell r="B749" t="str">
            <v>TZ-IUYL240</v>
          </cell>
        </row>
        <row r="750">
          <cell r="A750" t="str">
            <v>TZ-IUYL240-DOT2-S</v>
          </cell>
          <cell r="B750" t="str">
            <v>TZ-IUYL240</v>
          </cell>
        </row>
        <row r="751">
          <cell r="A751" t="str">
            <v>TZ-IUYL240-DOT-L</v>
          </cell>
          <cell r="B751" t="str">
            <v>TZ-IUYL240</v>
          </cell>
        </row>
        <row r="752">
          <cell r="A752" t="str">
            <v>TZ-IUYL240-DOT-M</v>
          </cell>
          <cell r="B752" t="str">
            <v>TZ-IUYL240</v>
          </cell>
        </row>
        <row r="753">
          <cell r="A753" t="str">
            <v>TZ-IUYL240-DOT-S</v>
          </cell>
          <cell r="B753" t="str">
            <v>TZ-IUYL240</v>
          </cell>
        </row>
        <row r="754">
          <cell r="A754" t="str">
            <v>TZ-IUYL240-ELPH-L</v>
          </cell>
          <cell r="B754" t="str">
            <v>TZ-IUYL240</v>
          </cell>
        </row>
        <row r="755">
          <cell r="A755" t="str">
            <v>TZ-IUYL240-ELPH-M</v>
          </cell>
          <cell r="B755" t="str">
            <v>TZ-IUYL240</v>
          </cell>
        </row>
        <row r="756">
          <cell r="A756" t="str">
            <v>TZ-IUYL240-ELPH-S</v>
          </cell>
          <cell r="B756" t="str">
            <v>TZ-IUYL240</v>
          </cell>
        </row>
        <row r="757">
          <cell r="A757" t="str">
            <v>TZ-IUYL240LHY-BONE-L</v>
          </cell>
          <cell r="B757" t="str">
            <v>TZ-IUYL240LHY</v>
          </cell>
        </row>
        <row r="758">
          <cell r="A758" t="str">
            <v>TZ-IUYL240LHY-BONE-M</v>
          </cell>
          <cell r="B758" t="str">
            <v>TZ-IUYL240LHY</v>
          </cell>
        </row>
        <row r="759">
          <cell r="A759" t="str">
            <v>TZ-IUYL240LHY-BONE-S</v>
          </cell>
          <cell r="B759" t="str">
            <v>TZ-IUYL240LHY</v>
          </cell>
        </row>
        <row r="760">
          <cell r="A760" t="str">
            <v>TZ-IUYL240LHY-DOT-L</v>
          </cell>
          <cell r="B760" t="str">
            <v>TZ-IUYL240LHY</v>
          </cell>
        </row>
        <row r="761">
          <cell r="A761" t="str">
            <v>TZ-IUYL240LHY-DOT-M</v>
          </cell>
          <cell r="B761" t="str">
            <v>TZ-IUYL240LHY</v>
          </cell>
        </row>
        <row r="762">
          <cell r="A762" t="str">
            <v>TZ-IUYL240LHY-DOT-S</v>
          </cell>
          <cell r="B762" t="str">
            <v>TZ-IUYL240LHY</v>
          </cell>
        </row>
        <row r="763">
          <cell r="A763" t="str">
            <v>TZ-IUYL240LHY-ELPH-L</v>
          </cell>
          <cell r="B763" t="str">
            <v>TZ-IUYL240LHY</v>
          </cell>
        </row>
        <row r="764">
          <cell r="A764" t="str">
            <v>TZ-IUYL240LHY-ELPH-M</v>
          </cell>
          <cell r="B764" t="str">
            <v>TZ-IUYL240LHY</v>
          </cell>
        </row>
        <row r="765">
          <cell r="A765" t="str">
            <v>TZ-IUYL240LHY-ELPH-S</v>
          </cell>
          <cell r="B765" t="str">
            <v>TZ-IUYL240LHY</v>
          </cell>
        </row>
        <row r="766">
          <cell r="A766" t="str">
            <v>TZ-IUYL240LHY-PAW-L</v>
          </cell>
          <cell r="B766" t="str">
            <v>TZ-IUYL240LHY</v>
          </cell>
        </row>
        <row r="767">
          <cell r="A767" t="str">
            <v>TZ-IUYL240LHY-PAW-M</v>
          </cell>
          <cell r="B767" t="str">
            <v>TZ-IUYL240LHY</v>
          </cell>
        </row>
        <row r="768">
          <cell r="A768" t="str">
            <v>TZ-IUYL240LHY-PAW-S</v>
          </cell>
          <cell r="B768" t="str">
            <v>TZ-IUYL240LHY</v>
          </cell>
        </row>
        <row r="769">
          <cell r="A769" t="str">
            <v>TZ-IUYL240LHY-STAR-L</v>
          </cell>
          <cell r="B769" t="str">
            <v>TZ-IUYL240LHY</v>
          </cell>
        </row>
        <row r="770">
          <cell r="A770" t="str">
            <v>TZ-IUYL240LHY-STAR-M</v>
          </cell>
          <cell r="B770" t="str">
            <v>TZ-IUYL240LHY</v>
          </cell>
        </row>
        <row r="771">
          <cell r="A771" t="str">
            <v>TZ-IUYL240LHY-STAR-S</v>
          </cell>
          <cell r="B771" t="str">
            <v>TZ-IUYL240LHY</v>
          </cell>
        </row>
        <row r="772">
          <cell r="A772" t="str">
            <v>TZ-IUYL240LHY-STRAWBERRY-L</v>
          </cell>
          <cell r="B772" t="str">
            <v>TZ-IUYL240LHY</v>
          </cell>
        </row>
        <row r="773">
          <cell r="A773" t="str">
            <v>TZ-IUYL240LHY-STRAWBERRY-M</v>
          </cell>
          <cell r="B773" t="str">
            <v>TZ-IUYL240LHY</v>
          </cell>
        </row>
        <row r="774">
          <cell r="A774" t="str">
            <v>TZ-IUYL240LHY-STRAWBERRY-S</v>
          </cell>
          <cell r="B774" t="str">
            <v>TZ-IUYL240LHY</v>
          </cell>
        </row>
        <row r="775">
          <cell r="A775" t="str">
            <v>TZ-IUYL240-LOVE-L</v>
          </cell>
          <cell r="B775" t="str">
            <v>TZ-IUYL240</v>
          </cell>
        </row>
        <row r="776">
          <cell r="A776" t="str">
            <v>TZ-IUYL240-LOVE-M</v>
          </cell>
          <cell r="B776" t="str">
            <v>TZ-IUYL240</v>
          </cell>
        </row>
        <row r="777">
          <cell r="A777" t="str">
            <v>TZ-IUYL240-LOVE-S</v>
          </cell>
          <cell r="B777" t="str">
            <v>TZ-IUYL240</v>
          </cell>
        </row>
        <row r="778">
          <cell r="A778" t="str">
            <v>TZ-IUYL240-PAW-L</v>
          </cell>
          <cell r="B778" t="str">
            <v>TZ-IUYL240</v>
          </cell>
        </row>
        <row r="779">
          <cell r="A779" t="str">
            <v>TZ-IUYL240-PAW-M</v>
          </cell>
          <cell r="B779" t="str">
            <v>TZ-IUYL240</v>
          </cell>
        </row>
        <row r="780">
          <cell r="A780" t="str">
            <v>TZ-IUYL240-PAW-S</v>
          </cell>
          <cell r="B780" t="str">
            <v>TZ-IUYL240</v>
          </cell>
        </row>
        <row r="781">
          <cell r="A781" t="str">
            <v>TZ-IUYL240-RABBIT-L</v>
          </cell>
          <cell r="B781" t="str">
            <v>TZ-IUYL240</v>
          </cell>
        </row>
        <row r="782">
          <cell r="A782" t="str">
            <v>TZ-IUYL240-RABBIT-M</v>
          </cell>
          <cell r="B782" t="str">
            <v>TZ-IUYL240</v>
          </cell>
        </row>
        <row r="783">
          <cell r="A783" t="str">
            <v>TZ-IUYL240-RABBIT-S</v>
          </cell>
          <cell r="B783" t="str">
            <v>TZ-IUYL240</v>
          </cell>
        </row>
        <row r="784">
          <cell r="A784" t="str">
            <v>TZ-IUYL240-STAR-L</v>
          </cell>
          <cell r="B784" t="str">
            <v>TZ-IUYL240</v>
          </cell>
        </row>
        <row r="785">
          <cell r="A785" t="str">
            <v>TZ-IUYL240-STAR-M</v>
          </cell>
          <cell r="B785" t="str">
            <v>TZ-IUYL240</v>
          </cell>
        </row>
        <row r="786">
          <cell r="A786" t="str">
            <v>TZ-IUYL240-STAR-S</v>
          </cell>
          <cell r="B786" t="str">
            <v>TZ-IUYL240</v>
          </cell>
        </row>
        <row r="787">
          <cell r="A787" t="str">
            <v>TZ-IUYL240-STRAWBERRY-L</v>
          </cell>
          <cell r="B787" t="str">
            <v>TZ-IUYL240</v>
          </cell>
        </row>
        <row r="788">
          <cell r="A788" t="str">
            <v>TZ-IUYL240-STRAWBERRY-M</v>
          </cell>
          <cell r="B788" t="str">
            <v>TZ-IUYL240</v>
          </cell>
        </row>
        <row r="789">
          <cell r="A789" t="str">
            <v>TZ-IUYL240-STRAWBERRY-S</v>
          </cell>
          <cell r="B789" t="str">
            <v>TZ-IUYL240</v>
          </cell>
        </row>
        <row r="790">
          <cell r="A790" t="str">
            <v>TZ-SY240-BONE-S</v>
          </cell>
          <cell r="B790" t="str">
            <v>TZ-SY240</v>
          </cell>
        </row>
        <row r="791">
          <cell r="A791" t="str">
            <v>TZ-SY240-ELPH-S</v>
          </cell>
          <cell r="B791" t="str">
            <v>TZ-SY240</v>
          </cell>
        </row>
        <row r="792">
          <cell r="A792" t="str">
            <v>TZ-SY240-STRAWBERRY-S</v>
          </cell>
          <cell r="B792" t="str">
            <v>TZ-SY240</v>
          </cell>
        </row>
        <row r="793">
          <cell r="A793" t="str">
            <v>WB-LUHM002-B0</v>
          </cell>
          <cell r="B793" t="str">
            <v>WB-LUHM002</v>
          </cell>
        </row>
        <row r="794">
          <cell r="A794" t="str">
            <v>WB-LUHM002-E0</v>
          </cell>
          <cell r="B794" t="str">
            <v>WB-LUHM002</v>
          </cell>
        </row>
        <row r="795">
          <cell r="A795" t="str">
            <v>WB-LUHM002-G0</v>
          </cell>
          <cell r="B795" t="str">
            <v>WB-LUHM002</v>
          </cell>
        </row>
        <row r="796">
          <cell r="A796" t="str">
            <v>WB-LUHM002-R0</v>
          </cell>
          <cell r="B796" t="str">
            <v>WB-LUHM002</v>
          </cell>
        </row>
        <row r="797">
          <cell r="A797" t="str">
            <v>WR-FLQ01-HJ-60</v>
          </cell>
          <cell r="B797" t="str">
            <v>WR-FLQ01</v>
          </cell>
        </row>
        <row r="798">
          <cell r="A798" t="str">
            <v>WR-FLQ01-HZ-60</v>
          </cell>
          <cell r="B798" t="str">
            <v>WR-FLQ01</v>
          </cell>
        </row>
        <row r="799">
          <cell r="A799" t="str">
            <v>WR-FLQ01-LD-60</v>
          </cell>
          <cell r="B799" t="str">
            <v>WR-FLQ01</v>
          </cell>
        </row>
        <row r="800">
          <cell r="A800" t="str">
            <v>WR-FLQ01-RO-60</v>
          </cell>
          <cell r="B800" t="str">
            <v>WR-FLQ01</v>
          </cell>
        </row>
        <row r="801">
          <cell r="A801" t="str">
            <v>WR-FLQ01-YO-60</v>
          </cell>
          <cell r="B801" t="str">
            <v>WR-FLQ01</v>
          </cell>
        </row>
        <row r="802">
          <cell r="A802" t="str">
            <v>WY-WF1217-GR-L</v>
          </cell>
          <cell r="B802" t="str">
            <v>WY-WF1217</v>
          </cell>
        </row>
        <row r="803">
          <cell r="A803" t="str">
            <v>WY-WF1217-GR-M</v>
          </cell>
          <cell r="B803" t="str">
            <v>WY-WF1217</v>
          </cell>
        </row>
        <row r="804">
          <cell r="A804" t="str">
            <v>WY-WF1217-GR-S</v>
          </cell>
          <cell r="B804" t="str">
            <v>WY-WF1217</v>
          </cell>
        </row>
        <row r="805">
          <cell r="A805" t="str">
            <v>WY-WF1217-GR-XL</v>
          </cell>
          <cell r="B805" t="str">
            <v>WY-WF1217</v>
          </cell>
        </row>
        <row r="806">
          <cell r="A806" t="str">
            <v>WY-WF1217-KO-L</v>
          </cell>
          <cell r="B806" t="str">
            <v>WY-WF1217</v>
          </cell>
        </row>
        <row r="807">
          <cell r="A807" t="str">
            <v>WY-WF1217-KO-M</v>
          </cell>
          <cell r="B807" t="str">
            <v>WY-WF1217</v>
          </cell>
        </row>
        <row r="808">
          <cell r="A808" t="str">
            <v>WY-WF1217-KO-S</v>
          </cell>
          <cell r="B808" t="str">
            <v>WY-WF1217</v>
          </cell>
        </row>
        <row r="809">
          <cell r="A809" t="str">
            <v>WY-WF1217-KO-XL</v>
          </cell>
          <cell r="B809" t="str">
            <v>WY-WF1217</v>
          </cell>
        </row>
        <row r="810">
          <cell r="A810" t="str">
            <v>WY-WF1217-RO-L</v>
          </cell>
          <cell r="B810" t="str">
            <v>WY-WF1217</v>
          </cell>
        </row>
        <row r="811">
          <cell r="A811" t="str">
            <v>WY-WF1217-RO-M</v>
          </cell>
          <cell r="B811" t="str">
            <v>WY-WF1217</v>
          </cell>
        </row>
        <row r="812">
          <cell r="A812" t="str">
            <v>WY-WF1217-RO-S</v>
          </cell>
          <cell r="B812" t="str">
            <v>WY-WF1217</v>
          </cell>
        </row>
        <row r="813">
          <cell r="A813" t="str">
            <v>WY-WF1217-RO-XL</v>
          </cell>
          <cell r="B813" t="str">
            <v>WY-WF1217</v>
          </cell>
        </row>
        <row r="814">
          <cell r="A814" t="str">
            <v>WY-WF1217-YO-L</v>
          </cell>
          <cell r="B814" t="str">
            <v>WY-WF1217</v>
          </cell>
        </row>
        <row r="815">
          <cell r="A815" t="str">
            <v>WY-WF1217-YO-M</v>
          </cell>
          <cell r="B815" t="str">
            <v>WY-WF1217</v>
          </cell>
        </row>
        <row r="816">
          <cell r="A816" t="str">
            <v>WY-WF1217-YO-S</v>
          </cell>
          <cell r="B816" t="str">
            <v>WY-WF1217</v>
          </cell>
        </row>
        <row r="817">
          <cell r="A817" t="str">
            <v>WY-WF1217-YO-XL</v>
          </cell>
          <cell r="B817" t="str">
            <v>WY-WF1217</v>
          </cell>
        </row>
        <row r="818">
          <cell r="A818" t="str">
            <v>WY-WF1225-BO-L</v>
          </cell>
          <cell r="B818" t="str">
            <v>WY-WF1225</v>
          </cell>
        </row>
        <row r="819">
          <cell r="A819" t="str">
            <v>WY-WF1225-BO-M</v>
          </cell>
          <cell r="B819" t="str">
            <v>WY-WF1225</v>
          </cell>
        </row>
        <row r="820">
          <cell r="A820" t="str">
            <v>WY-WF1225-BO-S</v>
          </cell>
          <cell r="B820" t="str">
            <v>WY-WF1225</v>
          </cell>
        </row>
        <row r="821">
          <cell r="A821" t="str">
            <v>WY-WF1225-BO-XL</v>
          </cell>
          <cell r="B821" t="str">
            <v>WY-WF1225</v>
          </cell>
        </row>
        <row r="822">
          <cell r="A822" t="str">
            <v>WY-WF1225-GR-L</v>
          </cell>
          <cell r="B822" t="str">
            <v>WY-WF1225</v>
          </cell>
        </row>
        <row r="823">
          <cell r="A823" t="str">
            <v>WY-WF1225-GR-M</v>
          </cell>
          <cell r="B823" t="str">
            <v>WY-WF1225</v>
          </cell>
        </row>
        <row r="824">
          <cell r="A824" t="str">
            <v>WY-WF1225-GR-S</v>
          </cell>
          <cell r="B824" t="str">
            <v>WY-WF1225</v>
          </cell>
        </row>
        <row r="825">
          <cell r="A825" t="str">
            <v>WY-WF1225-GR-XL</v>
          </cell>
          <cell r="B825" t="str">
            <v>WY-WF1225</v>
          </cell>
        </row>
        <row r="826">
          <cell r="A826" t="str">
            <v>XK-YIWUJS2-BR-6IN</v>
          </cell>
          <cell r="B826" t="str">
            <v>XK-YIWUJS2</v>
          </cell>
        </row>
        <row r="827">
          <cell r="A827" t="str">
            <v>XK-YIWUJS2-BR-7IN</v>
          </cell>
          <cell r="B827" t="str">
            <v>XK-YIWUJS2</v>
          </cell>
        </row>
        <row r="828">
          <cell r="A828" t="str">
            <v>XK-YIWUJS2-Y0-6IN</v>
          </cell>
          <cell r="B828" t="str">
            <v>XK-YIWUJS2</v>
          </cell>
        </row>
        <row r="829">
          <cell r="A829" t="str">
            <v>XK-YIWUJS2-Y0-7IN</v>
          </cell>
          <cell r="B829" t="str">
            <v>XK-YIWUJS2</v>
          </cell>
        </row>
        <row r="830">
          <cell r="A830" t="str">
            <v>XK-YIWUJS-GY-6IN</v>
          </cell>
          <cell r="B830" t="str">
            <v>XK-YIWUJS</v>
          </cell>
        </row>
        <row r="831">
          <cell r="A831" t="str">
            <v>XK-YIWUJS-GY-7IN</v>
          </cell>
          <cell r="B831" t="str">
            <v>XK-YIWUJS</v>
          </cell>
        </row>
        <row r="832">
          <cell r="A832" t="str">
            <v>XK-YIWUJS-Y0-6IN</v>
          </cell>
          <cell r="B832" t="str">
            <v>XK-YIWUJS</v>
          </cell>
        </row>
        <row r="833">
          <cell r="A833" t="str">
            <v>XK-YIWUJS-Y0-7IN</v>
          </cell>
          <cell r="B833" t="str">
            <v>XK-YIWUJS</v>
          </cell>
        </row>
        <row r="834">
          <cell r="A834" t="str">
            <v>XM-LUHM111-X0</v>
          </cell>
          <cell r="B834" t="str">
            <v>XM-LUHM111</v>
          </cell>
        </row>
        <row r="835">
          <cell r="A835" t="str">
            <v>XQ-IUYL260-BK-M</v>
          </cell>
          <cell r="B835" t="str">
            <v>XQ-IUYL260</v>
          </cell>
        </row>
        <row r="836">
          <cell r="A836" t="str">
            <v>XQ-IUYL260-BK-S</v>
          </cell>
          <cell r="B836" t="str">
            <v>XQ-IUYL260</v>
          </cell>
        </row>
        <row r="837">
          <cell r="A837" t="str">
            <v>XQ-IUYL260-BL1-M</v>
          </cell>
          <cell r="B837" t="str">
            <v>XQ-IUYL260</v>
          </cell>
        </row>
        <row r="838">
          <cell r="A838" t="str">
            <v>XQ-IUYL260-BL1-S</v>
          </cell>
          <cell r="B838" t="str">
            <v>XQ-IUYL260</v>
          </cell>
        </row>
        <row r="839">
          <cell r="A839" t="str">
            <v>XQ-IUYL260-BL2-M</v>
          </cell>
          <cell r="B839" t="str">
            <v>XQ-IUYL260</v>
          </cell>
        </row>
        <row r="840">
          <cell r="A840" t="str">
            <v>XQ-IUYL260-BL2-S</v>
          </cell>
          <cell r="B840" t="str">
            <v>XQ-IUYL260</v>
          </cell>
        </row>
        <row r="841">
          <cell r="A841" t="str">
            <v>XQ-IUYL260-GN-M</v>
          </cell>
          <cell r="B841" t="str">
            <v>XQ-IUYL260</v>
          </cell>
        </row>
        <row r="842">
          <cell r="A842" t="str">
            <v>XQ-IUYL260-GN-S</v>
          </cell>
          <cell r="B842" t="str">
            <v>XQ-IUYL260</v>
          </cell>
        </row>
        <row r="843">
          <cell r="A843" t="str">
            <v>XQ-IUYL260-PK-M</v>
          </cell>
          <cell r="B843" t="str">
            <v>XQ-IUYL260</v>
          </cell>
        </row>
        <row r="844">
          <cell r="A844" t="str">
            <v>XQ-IUYL260-PK-S</v>
          </cell>
          <cell r="B844" t="str">
            <v>XQ-IUYL260</v>
          </cell>
        </row>
        <row r="845">
          <cell r="A845" t="str">
            <v>XQ-IUYL260-PP-M</v>
          </cell>
          <cell r="B845" t="str">
            <v>XQ-IUYL260</v>
          </cell>
        </row>
        <row r="846">
          <cell r="A846" t="str">
            <v>XQ-IUYL260-PP-S</v>
          </cell>
          <cell r="B846" t="str">
            <v>XQ-IUYL260</v>
          </cell>
        </row>
        <row r="847">
          <cell r="A847" t="str">
            <v>XQ-IUYL260-RD-M</v>
          </cell>
          <cell r="B847" t="str">
            <v>XQ-IUYL260</v>
          </cell>
        </row>
        <row r="848">
          <cell r="A848" t="str">
            <v>XQ-IUYL260-RD-S</v>
          </cell>
          <cell r="B848" t="str">
            <v>XQ-IUYL260</v>
          </cell>
        </row>
        <row r="849">
          <cell r="A849" t="str">
            <v>XQ-IUYL260-YL-M</v>
          </cell>
          <cell r="B849" t="str">
            <v>XQ-IUYL260</v>
          </cell>
        </row>
        <row r="850">
          <cell r="A850" t="str">
            <v>XQ-IUYL260-YL-S</v>
          </cell>
          <cell r="B850" t="str">
            <v>XQ-IUYL260</v>
          </cell>
        </row>
        <row r="851">
          <cell r="A851" t="str">
            <v>XQ-IUYL320-BK-L</v>
          </cell>
          <cell r="B851" t="str">
            <v>XQ-IUYL320</v>
          </cell>
        </row>
        <row r="852">
          <cell r="A852" t="str">
            <v>XQ-IUYL320-BK-M</v>
          </cell>
          <cell r="B852" t="str">
            <v>XQ-IUYL320</v>
          </cell>
        </row>
        <row r="853">
          <cell r="A853" t="str">
            <v>XQ-IUYL320-BK-S</v>
          </cell>
          <cell r="B853" t="str">
            <v>XQ-IUYL320</v>
          </cell>
        </row>
        <row r="854">
          <cell r="A854" t="str">
            <v>XQ-IUYL320-BK-XL</v>
          </cell>
          <cell r="B854" t="str">
            <v>XQ-IUYL320</v>
          </cell>
        </row>
        <row r="855">
          <cell r="A855" t="str">
            <v>XQ-IUYL320-BL-L</v>
          </cell>
          <cell r="B855" t="str">
            <v>XQ-IUYL320</v>
          </cell>
        </row>
        <row r="856">
          <cell r="A856" t="str">
            <v>XQ-IUYL320-BL-M</v>
          </cell>
          <cell r="B856" t="str">
            <v>XQ-IUYL320</v>
          </cell>
        </row>
        <row r="857">
          <cell r="A857" t="str">
            <v>XQ-IUYL320-BL-S</v>
          </cell>
          <cell r="B857" t="str">
            <v>XQ-IUYL320</v>
          </cell>
        </row>
        <row r="858">
          <cell r="A858" t="str">
            <v>XQ-IUYL320-BL-XL</v>
          </cell>
          <cell r="B858" t="str">
            <v>XQ-IUYL320</v>
          </cell>
        </row>
        <row r="859">
          <cell r="A859" t="str">
            <v>XQ-IUYL320-CF-L</v>
          </cell>
          <cell r="B859" t="str">
            <v>XQ-IUYL320</v>
          </cell>
        </row>
        <row r="860">
          <cell r="A860" t="str">
            <v>XQ-IUYL320-CF-M</v>
          </cell>
          <cell r="B860" t="str">
            <v>XQ-IUYL320</v>
          </cell>
        </row>
        <row r="861">
          <cell r="A861" t="str">
            <v>XQ-IUYL320-CF-S</v>
          </cell>
          <cell r="B861" t="str">
            <v>XQ-IUYL320</v>
          </cell>
        </row>
        <row r="862">
          <cell r="A862" t="str">
            <v>XQ-IUYL320-CF-XL</v>
          </cell>
          <cell r="B862" t="str">
            <v>XQ-IUYL320</v>
          </cell>
        </row>
        <row r="863">
          <cell r="A863" t="str">
            <v>XQ-IUYL320-DB-L</v>
          </cell>
          <cell r="B863" t="str">
            <v>XQ-IUYL320</v>
          </cell>
        </row>
        <row r="864">
          <cell r="A864" t="str">
            <v>XQ-IUYL320-DB-M</v>
          </cell>
          <cell r="B864" t="str">
            <v>XQ-IUYL320</v>
          </cell>
        </row>
        <row r="865">
          <cell r="A865" t="str">
            <v>XQ-IUYL320-DB-S</v>
          </cell>
          <cell r="B865" t="str">
            <v>XQ-IUYL320</v>
          </cell>
        </row>
        <row r="866">
          <cell r="A866" t="str">
            <v>XQ-IUYL320-DB-XL</v>
          </cell>
          <cell r="B866" t="str">
            <v>XQ-IUYL320</v>
          </cell>
        </row>
        <row r="867">
          <cell r="A867" t="str">
            <v>XQ-IUYL320-GN-L</v>
          </cell>
          <cell r="B867" t="str">
            <v>XQ-IUYL320</v>
          </cell>
        </row>
        <row r="868">
          <cell r="A868" t="str">
            <v>XQ-IUYL320-GN-M</v>
          </cell>
          <cell r="B868" t="str">
            <v>XQ-IUYL320</v>
          </cell>
        </row>
        <row r="869">
          <cell r="A869" t="str">
            <v>XQ-IUYL320-GN-S</v>
          </cell>
          <cell r="B869" t="str">
            <v>XQ-IUYL320</v>
          </cell>
        </row>
        <row r="870">
          <cell r="A870" t="str">
            <v>XQ-IUYL320-GN-XL</v>
          </cell>
          <cell r="B870" t="str">
            <v>XQ-IUYL320</v>
          </cell>
        </row>
        <row r="871">
          <cell r="A871" t="str">
            <v>XQ-IUYL320-PK-L</v>
          </cell>
          <cell r="B871" t="str">
            <v>XQ-IUYL320</v>
          </cell>
        </row>
        <row r="872">
          <cell r="A872" t="str">
            <v>XQ-IUYL320-PK-M</v>
          </cell>
          <cell r="B872" t="str">
            <v>XQ-IUYL320</v>
          </cell>
        </row>
        <row r="873">
          <cell r="A873" t="str">
            <v>XQ-IUYL320-PK-S</v>
          </cell>
          <cell r="B873" t="str">
            <v>XQ-IUYL320</v>
          </cell>
        </row>
        <row r="874">
          <cell r="A874" t="str">
            <v>XQ-IUYL320-PK-XL</v>
          </cell>
          <cell r="B874" t="str">
            <v>XQ-IUYL320</v>
          </cell>
        </row>
        <row r="875">
          <cell r="A875" t="str">
            <v>XQ-IUYL320-PP-L</v>
          </cell>
          <cell r="B875" t="str">
            <v>XQ-IUYL320</v>
          </cell>
        </row>
        <row r="876">
          <cell r="A876" t="str">
            <v>XQ-IUYL320-PP-M</v>
          </cell>
          <cell r="B876" t="str">
            <v>XQ-IUYL320</v>
          </cell>
        </row>
        <row r="877">
          <cell r="A877" t="str">
            <v>XQ-IUYL320-PP-S</v>
          </cell>
          <cell r="B877" t="str">
            <v>XQ-IUYL320</v>
          </cell>
        </row>
        <row r="878">
          <cell r="A878" t="str">
            <v>XQ-IUYL320-PP-XL</v>
          </cell>
          <cell r="B878" t="str">
            <v>XQ-IUYL320</v>
          </cell>
        </row>
        <row r="879">
          <cell r="A879" t="str">
            <v>XQ-IUYL320-RD-L</v>
          </cell>
          <cell r="B879" t="str">
            <v>XQ-IUYL320</v>
          </cell>
        </row>
        <row r="880">
          <cell r="A880" t="str">
            <v>XQ-IUYL320-RD-M</v>
          </cell>
          <cell r="B880" t="str">
            <v>XQ-IUYL320</v>
          </cell>
        </row>
        <row r="881">
          <cell r="A881" t="str">
            <v>XQ-IUYL320-RD-S</v>
          </cell>
          <cell r="B881" t="str">
            <v>XQ-IUYL320</v>
          </cell>
        </row>
        <row r="882">
          <cell r="A882" t="str">
            <v>XQ-IUYL320-RD-XL</v>
          </cell>
          <cell r="B882" t="str">
            <v>XQ-IUYL320</v>
          </cell>
        </row>
        <row r="883">
          <cell r="A883" t="str">
            <v>XQ-IUYL320-YL-L</v>
          </cell>
          <cell r="B883" t="str">
            <v>XQ-IUYL320</v>
          </cell>
        </row>
        <row r="884">
          <cell r="A884" t="str">
            <v>XQ-IUYL320-YL-M</v>
          </cell>
          <cell r="B884" t="str">
            <v>XQ-IUYL320</v>
          </cell>
        </row>
        <row r="885">
          <cell r="A885" t="str">
            <v>XQ-IUYL320-YL-S</v>
          </cell>
          <cell r="B885" t="str">
            <v>XQ-IUYL320</v>
          </cell>
        </row>
        <row r="886">
          <cell r="A886" t="str">
            <v>XQ-IUYL320-YL-XL</v>
          </cell>
          <cell r="B886" t="str">
            <v>XQ-IUYL320</v>
          </cell>
        </row>
        <row r="887">
          <cell r="A887" t="str">
            <v>XQ-LUHM034-X0</v>
          </cell>
          <cell r="B887" t="str">
            <v>XQ-LUHM034</v>
          </cell>
        </row>
        <row r="888">
          <cell r="A888" t="str">
            <v>XQ-LUHM089-PI</v>
          </cell>
          <cell r="B888" t="str">
            <v>XQ-LUHM089</v>
          </cell>
        </row>
        <row r="889">
          <cell r="A889" t="str">
            <v>XYD-F02-3C-3S</v>
          </cell>
          <cell r="B889" t="str">
            <v>XYD-F02</v>
          </cell>
        </row>
        <row r="890">
          <cell r="A890" t="str">
            <v>YQ-LUHM-F111</v>
          </cell>
          <cell r="B890" t="str">
            <v>YQ-LUHM</v>
          </cell>
        </row>
        <row r="891">
          <cell r="A891" t="str">
            <v>YQ-LUHM-F112</v>
          </cell>
          <cell r="B891" t="str">
            <v>YQ-LUHM</v>
          </cell>
        </row>
        <row r="892">
          <cell r="A892" t="str">
            <v>YQ-LUHM-F114</v>
          </cell>
          <cell r="B892" t="str">
            <v>YQ-LUHM</v>
          </cell>
        </row>
        <row r="893">
          <cell r="A893" t="str">
            <v>ZB-WF029-CF-L</v>
          </cell>
          <cell r="B893" t="str">
            <v>ZB-WF029</v>
          </cell>
        </row>
        <row r="894">
          <cell r="A894" t="str">
            <v>ZB-WF029-CF-M</v>
          </cell>
          <cell r="B894" t="str">
            <v>ZB-WF029</v>
          </cell>
        </row>
        <row r="895">
          <cell r="A895" t="str">
            <v>ZB-WF029-WO-L</v>
          </cell>
          <cell r="B895" t="str">
            <v>ZB-WF029</v>
          </cell>
        </row>
        <row r="896">
          <cell r="A896" t="str">
            <v>ZB-WF029-WO-M</v>
          </cell>
          <cell r="B896" t="str">
            <v>ZB-WF029</v>
          </cell>
        </row>
        <row r="897">
          <cell r="A897" t="str">
            <v>ZDD-FLQ07-MC-28</v>
          </cell>
          <cell r="B897" t="str">
            <v>ZDD-FLQ07</v>
          </cell>
        </row>
        <row r="898">
          <cell r="A898" t="str">
            <v>ZDD-FLQ08-BO-28</v>
          </cell>
          <cell r="B898" t="str">
            <v>ZDD-FLQ08</v>
          </cell>
        </row>
        <row r="899">
          <cell r="A899" t="str">
            <v>ZDD-FLQ08-GR-28</v>
          </cell>
          <cell r="B899" t="str">
            <v>ZDD-FLQ08</v>
          </cell>
        </row>
        <row r="900">
          <cell r="A900" t="str">
            <v>ZDD-FLQ08-PO-28</v>
          </cell>
          <cell r="B900" t="str">
            <v>ZDD-FLQ08</v>
          </cell>
        </row>
        <row r="901">
          <cell r="A901" t="str">
            <v>ZDD-FLQ08-R2-28</v>
          </cell>
          <cell r="B901" t="str">
            <v>ZDD-FLQ08</v>
          </cell>
        </row>
        <row r="902">
          <cell r="A902" t="str">
            <v>ZDD-FLQ08-RO-28</v>
          </cell>
          <cell r="B902" t="str">
            <v>ZDD-FLQ08</v>
          </cell>
        </row>
        <row r="903">
          <cell r="A903" t="str">
            <v>ZQ-WF002-BO-M</v>
          </cell>
          <cell r="B903" t="str">
            <v>ZQ-WF002</v>
          </cell>
        </row>
        <row r="904">
          <cell r="A904" t="str">
            <v>ZQ-WF002-PI-M</v>
          </cell>
          <cell r="B904" t="str">
            <v>ZQ-WF002</v>
          </cell>
        </row>
        <row r="905">
          <cell r="A905" t="str">
            <v>ZYL-FLQ06-BF-40</v>
          </cell>
          <cell r="B905" t="str">
            <v>ZYL-FLQ06</v>
          </cell>
        </row>
        <row r="906">
          <cell r="A906" t="str">
            <v>ZYL-FLQ06-BG-40</v>
          </cell>
          <cell r="B906" t="str">
            <v>ZYL-FLQ06</v>
          </cell>
        </row>
        <row r="907">
          <cell r="A907" t="str">
            <v>ZYL-FLQ06-BY-40</v>
          </cell>
          <cell r="B907" t="str">
            <v>ZYL-FLQ06</v>
          </cell>
        </row>
        <row r="908">
          <cell r="A908" t="str">
            <v>ZYL-FLQ06-HG-40</v>
          </cell>
          <cell r="B908" t="str">
            <v>ZYL-FLQ06</v>
          </cell>
        </row>
        <row r="909">
          <cell r="A909" t="str">
            <v>ZYL-FLQ06-TZ-40</v>
          </cell>
          <cell r="B909" t="str">
            <v>ZYL-FLQ06</v>
          </cell>
        </row>
        <row r="910">
          <cell r="A910" t="str">
            <v>ZYL-FLQ06-WZ-40</v>
          </cell>
          <cell r="B910" t="str">
            <v>ZYL-FLQ06</v>
          </cell>
        </row>
        <row r="911">
          <cell r="A911" t="str">
            <v>ZYL-FLQ06-ZM-40</v>
          </cell>
          <cell r="B911" t="str">
            <v>ZYL-FLQ06</v>
          </cell>
        </row>
        <row r="912">
          <cell r="A912" t="str">
            <v>ZYL-FLQ2013-DX-36</v>
          </cell>
          <cell r="B912" t="str">
            <v>ZYL-FLQ2013</v>
          </cell>
        </row>
        <row r="913">
          <cell r="A913" t="str">
            <v>ZYL-FLQ2013-RO-36</v>
          </cell>
          <cell r="B913" t="str">
            <v>ZYL-FLQ2013</v>
          </cell>
        </row>
        <row r="914">
          <cell r="A914" t="str">
            <v>ZYL-FLQ2013-YO-36</v>
          </cell>
          <cell r="B914" t="str">
            <v>ZYL-FLQ2013</v>
          </cell>
        </row>
        <row r="915">
          <cell r="A915" t="str">
            <v>ZYL-FLQ59-BF-32</v>
          </cell>
          <cell r="B915" t="str">
            <v>ZYL-FLQ59</v>
          </cell>
        </row>
        <row r="916">
          <cell r="A916" t="str">
            <v>ZYL-FLQ59-BY-32</v>
          </cell>
          <cell r="B916" t="str">
            <v>ZYL-FLQ59</v>
          </cell>
        </row>
        <row r="917">
          <cell r="A917" t="str">
            <v>ZYL-FLQ59-TW-32</v>
          </cell>
          <cell r="B917" t="str">
            <v>ZYL-FLQ59</v>
          </cell>
        </row>
        <row r="918">
          <cell r="A918" t="str">
            <v>ZYL-FLQ59-TZ-32</v>
          </cell>
          <cell r="B918" t="str">
            <v>ZYL-FLQ59</v>
          </cell>
        </row>
        <row r="919">
          <cell r="A919" t="str">
            <v>ZYL-FLQ59-YD-32</v>
          </cell>
          <cell r="B919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BA-FLQ02-BO-4</v>
          </cell>
          <cell r="B2" t="str">
            <v>B075N2WCVQ</v>
          </cell>
        </row>
        <row r="3">
          <cell r="A3" t="str">
            <v>BA-FLQ02-BO-6</v>
          </cell>
          <cell r="B3" t="str">
            <v>B075N3N55V</v>
          </cell>
        </row>
        <row r="4">
          <cell r="A4" t="str">
            <v>BA-FLQ02-GD-4</v>
          </cell>
          <cell r="B4" t="str">
            <v>B075N2WFMS</v>
          </cell>
        </row>
        <row r="5">
          <cell r="A5" t="str">
            <v>BA-FLQ02-GD-6</v>
          </cell>
          <cell r="B5" t="str">
            <v>B075N3K3P1</v>
          </cell>
        </row>
        <row r="6">
          <cell r="A6" t="str">
            <v>BA-FLQ02-R2-4</v>
          </cell>
          <cell r="B6" t="str">
            <v>B075N7VCYM</v>
          </cell>
        </row>
        <row r="7">
          <cell r="A7" t="str">
            <v>BA-FLQ02-R2-6</v>
          </cell>
          <cell r="B7" t="str">
            <v>B075N2WNCP</v>
          </cell>
        </row>
        <row r="8">
          <cell r="A8" t="str">
            <v>BA-FLQ02-SI-4</v>
          </cell>
          <cell r="B8" t="str">
            <v>B075N4YGPD</v>
          </cell>
        </row>
        <row r="9">
          <cell r="A9" t="str">
            <v>BA-FLQ02-SI-6</v>
          </cell>
          <cell r="B9" t="str">
            <v>B075N1KNHS</v>
          </cell>
        </row>
        <row r="10">
          <cell r="A10" t="str">
            <v>BD-LUHM001-X0</v>
          </cell>
          <cell r="B10" t="str">
            <v>B07CVDNT4J</v>
          </cell>
        </row>
        <row r="11">
          <cell r="A11" t="str">
            <v>BDB-LUHM001-B0</v>
          </cell>
          <cell r="B11" t="str">
            <v>B07DQS5YP2</v>
          </cell>
        </row>
        <row r="12">
          <cell r="A12" t="str">
            <v>BDB-LUHM001-G0</v>
          </cell>
          <cell r="B12" t="str">
            <v>B07DQLVNSH</v>
          </cell>
        </row>
        <row r="13">
          <cell r="A13" t="str">
            <v>BDB-LUHM001-K0</v>
          </cell>
          <cell r="B13" t="str">
            <v>B07DQL77MR</v>
          </cell>
        </row>
        <row r="14">
          <cell r="A14" t="str">
            <v>BDB-LUHM001-R0</v>
          </cell>
          <cell r="B14" t="str">
            <v>B07DQMJRJG</v>
          </cell>
        </row>
        <row r="15">
          <cell r="A15" t="str">
            <v>BDB-LUHM001-Y0</v>
          </cell>
          <cell r="B15" t="str">
            <v>B07DQPGWNM</v>
          </cell>
        </row>
        <row r="16">
          <cell r="A16" t="str">
            <v>BDB-LUHM001-ZL</v>
          </cell>
          <cell r="B16" t="str">
            <v>B07DQT2DCN</v>
          </cell>
        </row>
        <row r="17">
          <cell r="A17" t="str">
            <v>BDB-WF212-BJX-M</v>
          </cell>
          <cell r="B17" t="str">
            <v>B0772TKSHM</v>
          </cell>
        </row>
        <row r="18">
          <cell r="A18" t="str">
            <v>BDB-WF212-CW-M</v>
          </cell>
          <cell r="B18" t="str">
            <v>B0772JDLB6</v>
          </cell>
        </row>
        <row r="19">
          <cell r="A19" t="str">
            <v>BDB-WF212-JY-M</v>
          </cell>
          <cell r="B19" t="str">
            <v>B0772QKV4C</v>
          </cell>
        </row>
        <row r="20">
          <cell r="A20" t="str">
            <v>BDB-WF212-SH-M</v>
          </cell>
          <cell r="B20" t="str">
            <v>B0772934HW</v>
          </cell>
        </row>
        <row r="21">
          <cell r="A21" t="str">
            <v>BDB-WF212-SJS-M</v>
          </cell>
          <cell r="B21" t="str">
            <v>B0772JJ5YH</v>
          </cell>
        </row>
        <row r="22">
          <cell r="A22" t="str">
            <v>BLT-LUHM000-CL</v>
          </cell>
          <cell r="B22" t="str">
            <v>B07BV8R441</v>
          </cell>
        </row>
        <row r="23">
          <cell r="A23" t="str">
            <v>BLT-LUHM000-CR</v>
          </cell>
          <cell r="B23" t="str">
            <v>B07CDD7CHN</v>
          </cell>
        </row>
        <row r="24">
          <cell r="A24" t="str">
            <v>BLT-LUHM000-GL</v>
          </cell>
          <cell r="B24" t="str">
            <v>B07BVMP1DH</v>
          </cell>
        </row>
        <row r="25">
          <cell r="A25" t="str">
            <v>BLT-LUHM000-GR</v>
          </cell>
          <cell r="B25" t="str">
            <v>B07BVL6R55</v>
          </cell>
        </row>
        <row r="26">
          <cell r="A26" t="str">
            <v>BLT-LUHM000-LB</v>
          </cell>
          <cell r="B26" t="str">
            <v>B07BVLBRWM</v>
          </cell>
        </row>
        <row r="27">
          <cell r="A27" t="str">
            <v>BLT-LUHM000-RB</v>
          </cell>
          <cell r="B27" t="str">
            <v>B07BVMRJRX</v>
          </cell>
        </row>
        <row r="28">
          <cell r="A28" t="str">
            <v>BLT-LUHM819-W0</v>
          </cell>
          <cell r="B28" t="str">
            <v>B07BV73Z4Q</v>
          </cell>
        </row>
        <row r="29">
          <cell r="A29" t="str">
            <v>BLT-NWF125-Cat</v>
          </cell>
          <cell r="B29" t="str">
            <v>B07F1QWXYV</v>
          </cell>
        </row>
        <row r="30">
          <cell r="A30" t="str">
            <v>BLT-NWF125-Panda</v>
          </cell>
          <cell r="B30" t="str">
            <v>B07F1RBPYT</v>
          </cell>
        </row>
        <row r="31">
          <cell r="A31" t="str">
            <v>BLT-WF125-CAT</v>
          </cell>
          <cell r="B31" t="str">
            <v>B078955T7Y</v>
          </cell>
        </row>
        <row r="32">
          <cell r="A32" t="str">
            <v>BLT-WF125-COW</v>
          </cell>
          <cell r="B32" t="str">
            <v>B0788KQVVG</v>
          </cell>
        </row>
        <row r="33">
          <cell r="A33" t="str">
            <v>BLT-WF125-LION</v>
          </cell>
          <cell r="B33" t="str">
            <v>B0788M5K8H</v>
          </cell>
        </row>
        <row r="34">
          <cell r="A34" t="str">
            <v>BLT-WF125-PANDA</v>
          </cell>
          <cell r="B34" t="str">
            <v>B0788PS6BD</v>
          </cell>
        </row>
        <row r="35">
          <cell r="A35" t="str">
            <v>BZ-WF211-BO</v>
          </cell>
          <cell r="B35" t="str">
            <v>B077SBYB2D</v>
          </cell>
        </row>
        <row r="36">
          <cell r="A36" t="str">
            <v>BZ-WF211-BO-3M</v>
          </cell>
          <cell r="B36" t="str">
            <v>B079HQ282S</v>
          </cell>
        </row>
        <row r="37">
          <cell r="A37" t="str">
            <v>BZ-WF211-GR</v>
          </cell>
          <cell r="B37" t="str">
            <v>B0784Q7224</v>
          </cell>
        </row>
        <row r="38">
          <cell r="A38" t="str">
            <v>BZ-WF211-PI</v>
          </cell>
          <cell r="B38" t="str">
            <v>B077SBJ4HV</v>
          </cell>
        </row>
        <row r="39">
          <cell r="A39" t="str">
            <v>BZ-WF211-WO</v>
          </cell>
          <cell r="B39" t="str">
            <v>B077SB58DX</v>
          </cell>
        </row>
        <row r="40">
          <cell r="A40" t="str">
            <v>BZ-WF211-WO-3M</v>
          </cell>
          <cell r="B40" t="str">
            <v>B079HR1PH6</v>
          </cell>
        </row>
        <row r="41">
          <cell r="A41" t="str">
            <v>CD-WF-CF</v>
          </cell>
          <cell r="B41" t="str">
            <v>B076J9MFHW</v>
          </cell>
        </row>
        <row r="42">
          <cell r="A42" t="str">
            <v>CD-WF-GD</v>
          </cell>
          <cell r="B42" t="str">
            <v>B076J8X97G</v>
          </cell>
        </row>
        <row r="43">
          <cell r="A43" t="str">
            <v>CD-WF-KK</v>
          </cell>
          <cell r="B43" t="str">
            <v>B076J6VD3L</v>
          </cell>
        </row>
        <row r="44">
          <cell r="A44" t="str">
            <v>CD-WF-SG</v>
          </cell>
          <cell r="B44" t="str">
            <v>B076J988J5</v>
          </cell>
        </row>
        <row r="45">
          <cell r="A45" t="str">
            <v>CD-WF001-CF-1</v>
          </cell>
          <cell r="B45" t="str">
            <v>B077TH83RP</v>
          </cell>
        </row>
        <row r="46">
          <cell r="A46" t="str">
            <v>CD-WF001-GO-1</v>
          </cell>
          <cell r="B46" t="str">
            <v>B077TDZTMC</v>
          </cell>
        </row>
        <row r="47">
          <cell r="A47" t="str">
            <v>CD-WF001-GR-1</v>
          </cell>
          <cell r="B47" t="str">
            <v>B077TGMRGP</v>
          </cell>
        </row>
        <row r="48">
          <cell r="A48" t="str">
            <v>CD-WF001-KK-1</v>
          </cell>
          <cell r="B48" t="str">
            <v>B077TDWD7Z</v>
          </cell>
        </row>
        <row r="49">
          <cell r="A49" t="str">
            <v>CD-WF001-RO-1</v>
          </cell>
          <cell r="B49" t="str">
            <v>B077TSGJTH</v>
          </cell>
        </row>
        <row r="50">
          <cell r="A50" t="str">
            <v>CD-WF0728-4C</v>
          </cell>
          <cell r="B50" t="str">
            <v>B077PZHCFT</v>
          </cell>
        </row>
        <row r="51">
          <cell r="A51" t="str">
            <v>CD-WF117-GR-1</v>
          </cell>
          <cell r="B51" t="str">
            <v>B0784DMK97</v>
          </cell>
        </row>
        <row r="52">
          <cell r="A52" t="str">
            <v>CD-WF117-WM-1</v>
          </cell>
          <cell r="B52" t="str">
            <v>B077QD1DQN</v>
          </cell>
        </row>
        <row r="53">
          <cell r="A53" t="str">
            <v>CD-WF482-BO</v>
          </cell>
          <cell r="B53" t="str">
            <v>B077D32DC6</v>
          </cell>
        </row>
        <row r="54">
          <cell r="A54" t="str">
            <v>CD-WF482-BO-1</v>
          </cell>
          <cell r="B54" t="str">
            <v>B077D32DC6</v>
          </cell>
        </row>
        <row r="55">
          <cell r="A55" t="str">
            <v>CD-WF482-CB</v>
          </cell>
          <cell r="B55" t="str">
            <v>B077D4N51C</v>
          </cell>
        </row>
        <row r="56">
          <cell r="A56" t="str">
            <v>CD-WF482-CB-1</v>
          </cell>
          <cell r="B56" t="str">
            <v>B077D4N51C</v>
          </cell>
        </row>
        <row r="57">
          <cell r="A57" t="str">
            <v>CD-WF482-RO</v>
          </cell>
          <cell r="B57" t="str">
            <v>B077D67N2B</v>
          </cell>
        </row>
        <row r="58">
          <cell r="A58" t="str">
            <v>CD-WF482-RO-1</v>
          </cell>
          <cell r="B58" t="str">
            <v>B077D67N2B</v>
          </cell>
        </row>
        <row r="59">
          <cell r="A59" t="str">
            <v>CLP-FLQ43-CS100-100</v>
          </cell>
          <cell r="B59" t="str">
            <v>B0776NWKMG</v>
          </cell>
        </row>
        <row r="60">
          <cell r="A60" t="str">
            <v>CLP-FLQ43-CS60-60</v>
          </cell>
          <cell r="B60" t="str">
            <v>B0776Q1PQP</v>
          </cell>
        </row>
        <row r="61">
          <cell r="A61" t="str">
            <v>CQC-WF6346-BO</v>
          </cell>
          <cell r="B61" t="str">
            <v>B077GN6JWN</v>
          </cell>
        </row>
        <row r="62">
          <cell r="A62" t="str">
            <v>CQC-WF6346-GO</v>
          </cell>
          <cell r="B62" t="str">
            <v>B077GN3FGY</v>
          </cell>
        </row>
        <row r="63">
          <cell r="A63" t="str">
            <v>CQC-WF6346-PO</v>
          </cell>
          <cell r="B63" t="str">
            <v>B077GLWQYT</v>
          </cell>
        </row>
        <row r="64">
          <cell r="A64" t="str">
            <v>CWB-FLQ1703-GR-47</v>
          </cell>
          <cell r="B64" t="str">
            <v>B078GKCYT6</v>
          </cell>
        </row>
        <row r="65">
          <cell r="A65" t="str">
            <v>CWB-FLQ1703-PI-47</v>
          </cell>
          <cell r="B65" t="str">
            <v>B077HTZS29</v>
          </cell>
        </row>
        <row r="66">
          <cell r="A66" t="str">
            <v>CWB-WF021-CF-L</v>
          </cell>
          <cell r="B66" t="str">
            <v>B0779QX5JV</v>
          </cell>
        </row>
        <row r="67">
          <cell r="A67" t="str">
            <v>CWB-WF021-CF-M</v>
          </cell>
          <cell r="B67" t="str">
            <v>B0779W8MFG</v>
          </cell>
        </row>
        <row r="68">
          <cell r="A68" t="str">
            <v>CWB-WF021-CF-S</v>
          </cell>
          <cell r="B68" t="str">
            <v>B0779W68GS</v>
          </cell>
        </row>
        <row r="69">
          <cell r="A69" t="str">
            <v>CWB-WF021-CF-XL</v>
          </cell>
          <cell r="B69" t="str">
            <v>B0779YRGR1</v>
          </cell>
        </row>
        <row r="70">
          <cell r="A70" t="str">
            <v>CWB-WF021-QB-L</v>
          </cell>
          <cell r="B70" t="str">
            <v>B0779RFXY2</v>
          </cell>
        </row>
        <row r="71">
          <cell r="A71" t="str">
            <v>CWB-WF021-QB-M</v>
          </cell>
          <cell r="B71" t="str">
            <v>B0779RT3RQ</v>
          </cell>
        </row>
        <row r="72">
          <cell r="A72" t="str">
            <v>CWB-WF021-QB-S</v>
          </cell>
          <cell r="B72" t="str">
            <v>B0779V1KQL</v>
          </cell>
        </row>
        <row r="73">
          <cell r="A73" t="str">
            <v>CWB-WF021-QB-XL</v>
          </cell>
          <cell r="B73" t="str">
            <v>B0779RQ56M</v>
          </cell>
        </row>
        <row r="74">
          <cell r="A74" t="str">
            <v>CWB-WF021-RB-L</v>
          </cell>
          <cell r="B74" t="str">
            <v>B077B51CYY</v>
          </cell>
        </row>
        <row r="75">
          <cell r="A75" t="str">
            <v>CWB-WF021-RB-M</v>
          </cell>
          <cell r="B75" t="str">
            <v>B0779ZRTZ3</v>
          </cell>
        </row>
        <row r="76">
          <cell r="A76" t="str">
            <v>CWB-WF021-RB-S</v>
          </cell>
          <cell r="B76" t="str">
            <v>B0779RQHWK</v>
          </cell>
        </row>
        <row r="77">
          <cell r="A77" t="str">
            <v>CWB-WF021-RB-XL</v>
          </cell>
          <cell r="B77" t="str">
            <v>B0779Z2TS6</v>
          </cell>
        </row>
        <row r="78">
          <cell r="A78" t="str">
            <v>GB-LUHM035-B0</v>
          </cell>
          <cell r="B78" t="str">
            <v>B07F6546YQ</v>
          </cell>
        </row>
        <row r="79">
          <cell r="A79" t="str">
            <v>GB-LUHM035-BE</v>
          </cell>
          <cell r="B79" t="str">
            <v>B07F64BTCD</v>
          </cell>
        </row>
        <row r="80">
          <cell r="A80" t="str">
            <v>GB-LUHM035-P0</v>
          </cell>
          <cell r="B80" t="str">
            <v>B07F68CBMK</v>
          </cell>
        </row>
        <row r="81">
          <cell r="A81" t="str">
            <v>GSQPQ-WF2012-GO</v>
          </cell>
          <cell r="B81" t="str">
            <v>B077264LR6</v>
          </cell>
        </row>
        <row r="82">
          <cell r="A82" t="str">
            <v>GT-WFTFGT200-209</v>
          </cell>
          <cell r="B82" t="str">
            <v>B076J6K8RL</v>
          </cell>
        </row>
        <row r="83">
          <cell r="A83" t="str">
            <v>GT-WFTFGT200-211</v>
          </cell>
          <cell r="B83" t="str">
            <v>B076J8YTXJ</v>
          </cell>
        </row>
        <row r="84">
          <cell r="A84" t="str">
            <v>GT-WFTFGT200-213</v>
          </cell>
          <cell r="B84" t="str">
            <v>B0787XKBRG</v>
          </cell>
        </row>
        <row r="85">
          <cell r="A85" t="str">
            <v>GT-WFTFGT200-214</v>
          </cell>
          <cell r="B85" t="str">
            <v>B076JBP5ZS</v>
          </cell>
        </row>
        <row r="86">
          <cell r="A86" t="str">
            <v>GT-WFTFGT200-216</v>
          </cell>
          <cell r="B86" t="str">
            <v>B076J67W43</v>
          </cell>
        </row>
        <row r="87">
          <cell r="A87" t="str">
            <v>GT-WFTFGT200-220</v>
          </cell>
          <cell r="B87" t="str">
            <v>B076J6VFSP</v>
          </cell>
        </row>
        <row r="88">
          <cell r="A88" t="str">
            <v>GT-WFTFGT200-221</v>
          </cell>
          <cell r="B88" t="str">
            <v>B076J2DG1R</v>
          </cell>
        </row>
        <row r="89">
          <cell r="A89" t="str">
            <v>GT-WFTFGT200-223</v>
          </cell>
          <cell r="B89" t="str">
            <v>B076J61QFW</v>
          </cell>
        </row>
        <row r="90">
          <cell r="A90" t="str">
            <v>GT-WFTFGT200-224</v>
          </cell>
          <cell r="B90" t="str">
            <v>B076J5DWFM</v>
          </cell>
        </row>
        <row r="91">
          <cell r="A91" t="str">
            <v>GT-WFY1-E1</v>
          </cell>
          <cell r="B91" t="str">
            <v>B077NVWPQW</v>
          </cell>
        </row>
        <row r="92">
          <cell r="A92" t="str">
            <v>GT-WFY1-E2</v>
          </cell>
          <cell r="B92" t="str">
            <v>B07842F5P9</v>
          </cell>
        </row>
        <row r="93">
          <cell r="A93" t="str">
            <v>GT-WFY1-E3</v>
          </cell>
          <cell r="B93" t="str">
            <v>B077NZLTQX</v>
          </cell>
        </row>
        <row r="94">
          <cell r="A94" t="str">
            <v>GT-WFY1-E4</v>
          </cell>
          <cell r="B94" t="str">
            <v>B077NVQNC9</v>
          </cell>
        </row>
        <row r="95">
          <cell r="A95" t="str">
            <v>HYD-WF7995-BO-XL</v>
          </cell>
          <cell r="B95" t="str">
            <v>B077STZV9Y</v>
          </cell>
        </row>
        <row r="96">
          <cell r="A96" t="str">
            <v>HYD-WF7995-RO-XL</v>
          </cell>
          <cell r="B96" t="str">
            <v>B077SZ4KTN</v>
          </cell>
        </row>
        <row r="97">
          <cell r="A97" t="str">
            <v>JPTZH-FLQ14ML-RO-18</v>
          </cell>
          <cell r="B97" t="str">
            <v>B075XLNQ1Z</v>
          </cell>
        </row>
        <row r="98">
          <cell r="A98" t="str">
            <v>KZ-LUHM000-E0-L</v>
          </cell>
          <cell r="B98" t="str">
            <v>B073XLK4G5</v>
          </cell>
        </row>
        <row r="99">
          <cell r="A99" t="str">
            <v>KZ-LUHM000-E0-M</v>
          </cell>
          <cell r="B99" t="str">
            <v>B071VFYY2V</v>
          </cell>
        </row>
        <row r="100">
          <cell r="A100" t="str">
            <v>KZ-LUHM000-E0-XL</v>
          </cell>
          <cell r="B100" t="str">
            <v>B07CZZ8CQJ</v>
          </cell>
        </row>
        <row r="101">
          <cell r="A101" t="str">
            <v>KZ-LUHM000-K0-L</v>
          </cell>
          <cell r="B101" t="str">
            <v>B073XM44QG</v>
          </cell>
        </row>
        <row r="102">
          <cell r="A102" t="str">
            <v>KZ-LUHM000-K0-M</v>
          </cell>
          <cell r="B102" t="str">
            <v>B0725CDCCN</v>
          </cell>
        </row>
        <row r="103">
          <cell r="A103" t="str">
            <v>KZ-LUHM000-K0-XL</v>
          </cell>
          <cell r="B103" t="str">
            <v>B07CZYS94Z</v>
          </cell>
        </row>
        <row r="104">
          <cell r="A104" t="str">
            <v>KZ-LUHM000-R0-L</v>
          </cell>
          <cell r="B104" t="str">
            <v>B07CZYPB94</v>
          </cell>
        </row>
        <row r="105">
          <cell r="A105" t="str">
            <v>KZ-LUHM000-R0-M</v>
          </cell>
          <cell r="B105" t="str">
            <v>B071NP2X5N</v>
          </cell>
        </row>
        <row r="106">
          <cell r="A106" t="str">
            <v>KZ-LUHM000-R0-XL</v>
          </cell>
          <cell r="B106" t="str">
            <v>B07CZZB1RQ</v>
          </cell>
        </row>
        <row r="107">
          <cell r="A107" t="str">
            <v>KZ-LUHM000-W0-L</v>
          </cell>
          <cell r="B107" t="str">
            <v>B073XMFYWX</v>
          </cell>
        </row>
        <row r="108">
          <cell r="A108" t="str">
            <v>KZ-LUHM000-W0-M</v>
          </cell>
          <cell r="B108" t="str">
            <v>B0716LH9B7</v>
          </cell>
        </row>
        <row r="109">
          <cell r="A109" t="str">
            <v>KZ-LUHM000-W0-XL</v>
          </cell>
          <cell r="B109" t="str">
            <v>B07CZY6SXP</v>
          </cell>
        </row>
        <row r="110">
          <cell r="A110" t="str">
            <v>KZ-LUHM000-Y0-L</v>
          </cell>
          <cell r="B110" t="str">
            <v>B07CZYVPK8</v>
          </cell>
        </row>
        <row r="111">
          <cell r="A111" t="str">
            <v>KZ-LUHM000-Y0-M</v>
          </cell>
          <cell r="B111" t="str">
            <v>B071HHSJ1R</v>
          </cell>
        </row>
        <row r="112">
          <cell r="A112" t="str">
            <v>KZ-LUHM000-Y0-XL</v>
          </cell>
          <cell r="B112" t="str">
            <v>B07CZZDBPG</v>
          </cell>
        </row>
        <row r="113">
          <cell r="A113" t="str">
            <v>LYQ-NWF10-KO-S</v>
          </cell>
          <cell r="B113" t="str">
            <v>B07DXFH8CW</v>
          </cell>
        </row>
        <row r="114">
          <cell r="A114" t="str">
            <v>LYQ-WF1010-BO-2X</v>
          </cell>
          <cell r="B114" t="str">
            <v>B077XNMC3N</v>
          </cell>
        </row>
        <row r="115">
          <cell r="A115" t="str">
            <v>LYQ-WF1010-BO-L</v>
          </cell>
          <cell r="B115" t="str">
            <v>B077XNM9W2</v>
          </cell>
        </row>
        <row r="116">
          <cell r="A116" t="str">
            <v>LYQ-WF1010-BO-M</v>
          </cell>
          <cell r="B116" t="str">
            <v>B077XSWR8G</v>
          </cell>
        </row>
        <row r="117">
          <cell r="A117" t="str">
            <v>LYQ-WF1010-BO-S</v>
          </cell>
          <cell r="B117" t="str">
            <v>B077XRSRNP</v>
          </cell>
        </row>
        <row r="118">
          <cell r="A118" t="str">
            <v>LYQ-WF1010-BO-XL</v>
          </cell>
          <cell r="B118" t="str">
            <v>B077XQ8ZN5</v>
          </cell>
        </row>
        <row r="119">
          <cell r="A119" t="str">
            <v>LYQ-WF1010-K0-2L</v>
          </cell>
          <cell r="B119" t="str">
            <v>B077XQ78NB</v>
          </cell>
        </row>
        <row r="120">
          <cell r="A120" t="str">
            <v>LYQ-WF1010-KO-L</v>
          </cell>
          <cell r="B120" t="str">
            <v>B077XNFWVP</v>
          </cell>
        </row>
        <row r="121">
          <cell r="A121" t="str">
            <v>LYQ-WF1010-KO-M</v>
          </cell>
          <cell r="B121" t="str">
            <v>B077XQ5D11</v>
          </cell>
        </row>
        <row r="122">
          <cell r="A122" t="str">
            <v>LYQ-WF1010-KO-S</v>
          </cell>
          <cell r="B122" t="str">
            <v>B077XV7J5K</v>
          </cell>
        </row>
        <row r="123">
          <cell r="A123" t="str">
            <v>LYQ-WF1010-KO-XL</v>
          </cell>
          <cell r="B123" t="str">
            <v>B0785H4FV1</v>
          </cell>
        </row>
        <row r="124">
          <cell r="A124" t="str">
            <v>LYQ-WF1010-NO-2L</v>
          </cell>
          <cell r="B124" t="str">
            <v>B077XQ2P1L</v>
          </cell>
        </row>
        <row r="125">
          <cell r="A125" t="str">
            <v>LYQ-WF1010-NO-L</v>
          </cell>
          <cell r="B125" t="str">
            <v>B077XV7BG7</v>
          </cell>
        </row>
        <row r="126">
          <cell r="A126" t="str">
            <v>LYQ-WF1010-NO-S</v>
          </cell>
          <cell r="B126" t="str">
            <v>B077XRVLTN</v>
          </cell>
        </row>
        <row r="127">
          <cell r="A127" t="str">
            <v>LYQ-WF1010-NO-XL</v>
          </cell>
          <cell r="B127" t="str">
            <v>B077XSTXHJ</v>
          </cell>
        </row>
        <row r="128">
          <cell r="A128" t="str">
            <v>LYQ-WF1010-NO-XS</v>
          </cell>
          <cell r="B128" t="str">
            <v>B077XRZGV1</v>
          </cell>
        </row>
        <row r="129">
          <cell r="A129" t="str">
            <v>LYQ-WF1010-PO-2L</v>
          </cell>
          <cell r="B129" t="str">
            <v>B077XNK3T5</v>
          </cell>
        </row>
        <row r="130">
          <cell r="A130" t="str">
            <v>LYQ-WF1010-PO-L</v>
          </cell>
          <cell r="B130" t="str">
            <v>B077XSLVZ5</v>
          </cell>
        </row>
        <row r="131">
          <cell r="A131" t="str">
            <v>LYQ-WF1010-PO-M</v>
          </cell>
          <cell r="B131" t="str">
            <v>B077XV49XF</v>
          </cell>
        </row>
        <row r="132">
          <cell r="A132" t="str">
            <v>LYQ-WF1010-PO-S</v>
          </cell>
          <cell r="B132" t="str">
            <v>B077XVBFB9</v>
          </cell>
        </row>
        <row r="133">
          <cell r="A133" t="str">
            <v>LYQ-WF1010-PO-XL</v>
          </cell>
          <cell r="B133" t="str">
            <v>B077XSTXHF</v>
          </cell>
        </row>
        <row r="134">
          <cell r="A134" t="str">
            <v>LYQ-WF1010-WO-2L</v>
          </cell>
          <cell r="B134" t="str">
            <v>B0785HJVGH</v>
          </cell>
        </row>
        <row r="135">
          <cell r="A135" t="str">
            <v>LYQ-WF1010-WO-M</v>
          </cell>
          <cell r="B135" t="str">
            <v>B0785HJVGG</v>
          </cell>
        </row>
        <row r="136">
          <cell r="A136" t="str">
            <v>LYQ-WF1010-WO-XL</v>
          </cell>
          <cell r="B136" t="str">
            <v>B077XSZ4FT</v>
          </cell>
        </row>
        <row r="137">
          <cell r="A137" t="str">
            <v>ND-LUHM027-PI</v>
          </cell>
          <cell r="B137" t="str">
            <v>B07C73R2XN</v>
          </cell>
        </row>
        <row r="138">
          <cell r="A138" t="str">
            <v>QLQ-LUHM121-G0</v>
          </cell>
          <cell r="B138" t="str">
            <v>B07CXM3QD3</v>
          </cell>
        </row>
        <row r="139">
          <cell r="A139" t="str">
            <v>QLQ-LUHM121-GM</v>
          </cell>
          <cell r="B139" t="str">
            <v>B07CXM3QD3</v>
          </cell>
        </row>
        <row r="140">
          <cell r="A140" t="str">
            <v>QLQ-LUHM121-WO</v>
          </cell>
          <cell r="B140" t="str">
            <v>B07CXM3QD3</v>
          </cell>
        </row>
        <row r="141">
          <cell r="A141" t="str">
            <v>QLQ-LUHM121-WT</v>
          </cell>
          <cell r="B141" t="str">
            <v>B07CXM3QD3</v>
          </cell>
        </row>
        <row r="142">
          <cell r="A142" t="str">
            <v>QLQ-WF121-WO</v>
          </cell>
          <cell r="B142" t="str">
            <v>B077YTH6KB</v>
          </cell>
        </row>
        <row r="143">
          <cell r="A143" t="str">
            <v>QQ-LUHM-801-B0</v>
          </cell>
          <cell r="B143" t="str">
            <v>B07CPW1TRS</v>
          </cell>
        </row>
        <row r="144">
          <cell r="A144" t="str">
            <v>RYMT-WF712-GO-L</v>
          </cell>
          <cell r="B144" t="str">
            <v>B0785GYYL8</v>
          </cell>
        </row>
        <row r="145">
          <cell r="A145" t="str">
            <v>RYMT-WF712-PI-L</v>
          </cell>
          <cell r="B145" t="str">
            <v>B077X8RLVJ</v>
          </cell>
        </row>
        <row r="146">
          <cell r="A146" t="str">
            <v>RYMT-WF712-PO-L</v>
          </cell>
          <cell r="B146" t="str">
            <v>B077XB44XX</v>
          </cell>
        </row>
        <row r="147">
          <cell r="A147" t="str">
            <v>SB-LUHM100-B0</v>
          </cell>
          <cell r="B147" t="str">
            <v>B07DVH33X4</v>
          </cell>
        </row>
        <row r="148">
          <cell r="A148" t="str">
            <v>SB-LUHM100-G0</v>
          </cell>
          <cell r="B148" t="str">
            <v>B07DVLM761</v>
          </cell>
        </row>
        <row r="149">
          <cell r="A149" t="str">
            <v>SB-LUHM100-K0</v>
          </cell>
          <cell r="B149" t="str">
            <v>B07DVBN2KT</v>
          </cell>
        </row>
        <row r="150">
          <cell r="A150" t="str">
            <v>SB-LUHM100-R0</v>
          </cell>
          <cell r="B150" t="str">
            <v>B07DVK4HKX</v>
          </cell>
        </row>
        <row r="151">
          <cell r="A151" t="str">
            <v>SD-LUHM202-B0</v>
          </cell>
          <cell r="B151" t="str">
            <v>B07CVDZCBW</v>
          </cell>
        </row>
        <row r="152">
          <cell r="A152" t="str">
            <v>SD-LUHM202-G0</v>
          </cell>
          <cell r="B152" t="str">
            <v>B07CVCKXW8</v>
          </cell>
        </row>
        <row r="153">
          <cell r="A153" t="str">
            <v>SD-LUHM202-G0-X</v>
          </cell>
          <cell r="B153" t="str">
            <v>B07BRL2Y1L</v>
          </cell>
        </row>
        <row r="154">
          <cell r="A154" t="str">
            <v>SD-LUHM202-PI</v>
          </cell>
          <cell r="B154" t="str">
            <v>B07CVDVW47</v>
          </cell>
        </row>
        <row r="155">
          <cell r="A155" t="str">
            <v>SD-LUHM202-X0</v>
          </cell>
          <cell r="B155" t="str">
            <v>B07CVDJ9S8</v>
          </cell>
        </row>
        <row r="156">
          <cell r="A156" t="str">
            <v>SD-LUHM202-Y0</v>
          </cell>
          <cell r="B156" t="str">
            <v>B07CVGZCHZ</v>
          </cell>
        </row>
        <row r="157">
          <cell r="A157" t="str">
            <v>SDSZH-BS</v>
          </cell>
          <cell r="B157" t="str">
            <v>B076P8MNVV</v>
          </cell>
        </row>
        <row r="158">
          <cell r="A158" t="str">
            <v>SDSZH-RG</v>
          </cell>
          <cell r="B158" t="str">
            <v>B076PCPP68</v>
          </cell>
        </row>
        <row r="159">
          <cell r="A159" t="str">
            <v>SDSZH-TS-1</v>
          </cell>
          <cell r="B159" t="str">
            <v>B076P7RC2W</v>
          </cell>
        </row>
        <row r="160">
          <cell r="A160" t="str">
            <v>SDSZH-TS-2</v>
          </cell>
          <cell r="B160" t="str">
            <v>B076P7DYB9</v>
          </cell>
        </row>
        <row r="161">
          <cell r="A161" t="str">
            <v>SDSZH-TS-3</v>
          </cell>
          <cell r="B161" t="str">
            <v>B076P7PQ6Z</v>
          </cell>
        </row>
        <row r="162">
          <cell r="A162" t="str">
            <v>SDSZH-TS-5</v>
          </cell>
          <cell r="B162" t="str">
            <v>B076P6BLCX</v>
          </cell>
        </row>
        <row r="163">
          <cell r="A163" t="str">
            <v>SG-LUHM050-K0</v>
          </cell>
          <cell r="B163" t="str">
            <v>B07F63TBYG</v>
          </cell>
        </row>
        <row r="164">
          <cell r="A164" t="str">
            <v>SG-LUHM100-K0</v>
          </cell>
          <cell r="B164" t="str">
            <v>B07F634TZ1</v>
          </cell>
        </row>
        <row r="165">
          <cell r="A165" t="str">
            <v>SL-LULW812-PI-M</v>
          </cell>
          <cell r="B165" t="str">
            <v>B078RNFX6F</v>
          </cell>
        </row>
        <row r="166">
          <cell r="A166" t="str">
            <v>SL-LULW818-BO-L</v>
          </cell>
          <cell r="B166" t="str">
            <v>B078RNM8V8</v>
          </cell>
        </row>
        <row r="167">
          <cell r="A167" t="str">
            <v>SL-LULW818-PI-L</v>
          </cell>
          <cell r="B167" t="str">
            <v>B078RN1CC8</v>
          </cell>
        </row>
        <row r="168">
          <cell r="A168" t="str">
            <v>SL-LULW818-PI-M</v>
          </cell>
          <cell r="B168" t="str">
            <v>B078RNFX6F</v>
          </cell>
        </row>
        <row r="169">
          <cell r="A169" t="str">
            <v>SL-LULW818-RO-L</v>
          </cell>
          <cell r="B169" t="str">
            <v>B078RMPL65</v>
          </cell>
        </row>
        <row r="170">
          <cell r="A170" t="str">
            <v>SND-FLQ17-NO-108</v>
          </cell>
          <cell r="B170" t="str">
            <v>B075ZV778Y</v>
          </cell>
        </row>
        <row r="171">
          <cell r="A171" t="str">
            <v>SND-FLQ18-SJ-74</v>
          </cell>
          <cell r="B171" t="str">
            <v>B0761KKJCB</v>
          </cell>
        </row>
        <row r="172">
          <cell r="A172" t="str">
            <v>SND-FLQ18-SJ-80</v>
          </cell>
          <cell r="B172" t="str">
            <v>B0761KLYSS</v>
          </cell>
        </row>
        <row r="173">
          <cell r="A173" t="str">
            <v>SND-WF5150-WO</v>
          </cell>
          <cell r="B173" t="str">
            <v>B076ZJHNKM</v>
          </cell>
        </row>
        <row r="174">
          <cell r="A174" t="str">
            <v>SND-WF5150-WO2</v>
          </cell>
          <cell r="B174" t="str">
            <v>B076ZKPLVZ</v>
          </cell>
        </row>
        <row r="175">
          <cell r="A175" t="str">
            <v>SNH-LUHM001-E0</v>
          </cell>
          <cell r="B175" t="str">
            <v>B07DQM6N3W</v>
          </cell>
        </row>
        <row r="176">
          <cell r="A176" t="str">
            <v>SNH-LUHM001-G0</v>
          </cell>
          <cell r="B176" t="str">
            <v>B07DQMT2TL</v>
          </cell>
        </row>
        <row r="177">
          <cell r="A177" t="str">
            <v>SNH-LUHM001-K0</v>
          </cell>
          <cell r="B177" t="str">
            <v>B07DQLZ5KK</v>
          </cell>
        </row>
        <row r="178">
          <cell r="A178" t="str">
            <v>SNH-LUHM001-W0</v>
          </cell>
          <cell r="B178" t="str">
            <v>B07DQLKY6N</v>
          </cell>
        </row>
        <row r="179">
          <cell r="A179" t="str">
            <v>SNH-LUHM001-Y0</v>
          </cell>
          <cell r="B179" t="str">
            <v>B07DQL4VVL</v>
          </cell>
        </row>
        <row r="180">
          <cell r="A180" t="str">
            <v>SNT-LUHM001-BS</v>
          </cell>
          <cell r="B180" t="str">
            <v>B07DQN9ZJT</v>
          </cell>
        </row>
        <row r="181">
          <cell r="A181" t="str">
            <v>SNT-LUHM001-DX</v>
          </cell>
          <cell r="B181" t="str">
            <v>B07DQPRJPR</v>
          </cell>
        </row>
        <row r="182">
          <cell r="A182" t="str">
            <v>SNT-LUHM001-GQ</v>
          </cell>
          <cell r="B182" t="str">
            <v>B07DQL4VVH</v>
          </cell>
        </row>
        <row r="183">
          <cell r="A183" t="str">
            <v>SNT-LUHM001-HW</v>
          </cell>
          <cell r="B183" t="str">
            <v>B07DQP8MPM</v>
          </cell>
        </row>
        <row r="184">
          <cell r="A184" t="str">
            <v>SNT-LUHM001-HY</v>
          </cell>
          <cell r="B184" t="str">
            <v>B07DQMV7N9</v>
          </cell>
        </row>
        <row r="185">
          <cell r="A185" t="str">
            <v>SNT-LUHM001-KT</v>
          </cell>
          <cell r="B185" t="str">
            <v>B07DQN92XD</v>
          </cell>
        </row>
        <row r="186">
          <cell r="A186" t="str">
            <v>SNT-LUHM001-WX</v>
          </cell>
          <cell r="B186" t="str">
            <v>B07DQLKY6T</v>
          </cell>
        </row>
        <row r="187">
          <cell r="A187" t="str">
            <v>SNT-LUHM001-ZX</v>
          </cell>
          <cell r="B187" t="str">
            <v>B07DQVJFGS</v>
          </cell>
        </row>
        <row r="188">
          <cell r="A188" t="str">
            <v>SQ-LUHM204</v>
          </cell>
          <cell r="B188" t="str">
            <v>B07DKXSV9P</v>
          </cell>
        </row>
        <row r="189">
          <cell r="A189" t="str">
            <v>SQ-LUHM304</v>
          </cell>
          <cell r="B189" t="str">
            <v>B07DKWSJ1Z</v>
          </cell>
        </row>
        <row r="190">
          <cell r="A190" t="str">
            <v>SQ-LUHM354</v>
          </cell>
          <cell r="B190" t="str">
            <v>B07DKV16HS</v>
          </cell>
        </row>
        <row r="191">
          <cell r="A191" t="str">
            <v>SQ-LUHM404</v>
          </cell>
          <cell r="B191" t="str">
            <v>B07DKT41YL</v>
          </cell>
        </row>
        <row r="192">
          <cell r="A192" t="str">
            <v>SQ-LUHM90A</v>
          </cell>
          <cell r="B192" t="str">
            <v>B07DKXGT8H</v>
          </cell>
        </row>
        <row r="193">
          <cell r="A193" t="str">
            <v>ST-FLQ110-KO-L</v>
          </cell>
          <cell r="B193" t="str">
            <v>B077N6WYM2</v>
          </cell>
        </row>
        <row r="194">
          <cell r="A194" t="str">
            <v>ST-FLQ110-KO-M</v>
          </cell>
          <cell r="B194" t="str">
            <v>B077N289VS</v>
          </cell>
        </row>
        <row r="195">
          <cell r="A195" t="str">
            <v>ST-FLQ110-KO-XL</v>
          </cell>
          <cell r="B195" t="str">
            <v>B077N9TG25</v>
          </cell>
        </row>
        <row r="196">
          <cell r="A196" t="str">
            <v>ST-FLQ110-PI-L</v>
          </cell>
          <cell r="B196" t="str">
            <v>B077NCHFV2</v>
          </cell>
        </row>
        <row r="197">
          <cell r="A197" t="str">
            <v>ST-FLQ110-PI-M</v>
          </cell>
          <cell r="B197" t="str">
            <v>B077NCS1K2</v>
          </cell>
        </row>
        <row r="198">
          <cell r="A198" t="str">
            <v>ST-FLQ110-PI-S</v>
          </cell>
          <cell r="B198" t="str">
            <v>B077NDNLBD</v>
          </cell>
        </row>
        <row r="199">
          <cell r="A199" t="str">
            <v>ST-LAHM-LG-001</v>
          </cell>
          <cell r="B199" t="str">
            <v>B07DVJW5HD</v>
          </cell>
        </row>
        <row r="200">
          <cell r="A200" t="str">
            <v>TEST-BR-6IN</v>
          </cell>
          <cell r="B200" t="str">
            <v>B07D6GDQ2G</v>
          </cell>
        </row>
        <row r="201">
          <cell r="A201" t="str">
            <v>TEST-Y0-7IN</v>
          </cell>
          <cell r="B201" t="str">
            <v>B07D6GHKF6</v>
          </cell>
        </row>
        <row r="202">
          <cell r="A202" t="str">
            <v>TESTY0-6IN</v>
          </cell>
          <cell r="B202" t="str">
            <v>B07D6FCMJS</v>
          </cell>
        </row>
        <row r="203">
          <cell r="A203" t="str">
            <v>WB-LUHM002-B0</v>
          </cell>
          <cell r="B203" t="str">
            <v>B07DVLSHLK</v>
          </cell>
        </row>
        <row r="204">
          <cell r="A204" t="str">
            <v>WB-LUHM002-E0</v>
          </cell>
          <cell r="B204" t="str">
            <v>B07DVHDT1N</v>
          </cell>
        </row>
        <row r="205">
          <cell r="A205" t="str">
            <v>WB-LUHM002-G0</v>
          </cell>
          <cell r="B205" t="str">
            <v>B07DVGSHDP</v>
          </cell>
        </row>
        <row r="206">
          <cell r="A206" t="str">
            <v>WB-LUHM002-R0</v>
          </cell>
          <cell r="B206" t="str">
            <v>B07DVK765T</v>
          </cell>
        </row>
        <row r="207">
          <cell r="A207" t="str">
            <v>WR-FLQ01-HZ-60</v>
          </cell>
          <cell r="B207" t="str">
            <v>B075MDD1B1</v>
          </cell>
        </row>
        <row r="208">
          <cell r="A208" t="str">
            <v>WY-WF1217-GR-L</v>
          </cell>
          <cell r="B208" t="str">
            <v>B078MRF99V</v>
          </cell>
        </row>
        <row r="209">
          <cell r="A209" t="str">
            <v>WY-WF1217-GR-M</v>
          </cell>
          <cell r="B209" t="str">
            <v>B078MG4VLQ</v>
          </cell>
        </row>
        <row r="210">
          <cell r="A210" t="str">
            <v>WY-WF1217-GR-S</v>
          </cell>
          <cell r="B210" t="str">
            <v>B078MMFTHW</v>
          </cell>
        </row>
        <row r="211">
          <cell r="A211" t="str">
            <v>WY-WF1217-GR-XL</v>
          </cell>
          <cell r="B211" t="str">
            <v>B078MLVDZV</v>
          </cell>
        </row>
        <row r="212">
          <cell r="A212" t="str">
            <v>WY-WF1217-KO-L</v>
          </cell>
          <cell r="B212" t="str">
            <v>B078MJZZZN</v>
          </cell>
        </row>
        <row r="213">
          <cell r="A213" t="str">
            <v>WY-WF1217-KO-M</v>
          </cell>
          <cell r="B213" t="str">
            <v>B078MP2N3B</v>
          </cell>
        </row>
        <row r="214">
          <cell r="A214" t="str">
            <v>WY-WF1217-KO-S</v>
          </cell>
          <cell r="B214" t="str">
            <v>B078MKNJN1</v>
          </cell>
        </row>
        <row r="215">
          <cell r="A215" t="str">
            <v>WY-WF1217-KO-XL</v>
          </cell>
          <cell r="B215" t="str">
            <v>B078MNWK8Y</v>
          </cell>
        </row>
        <row r="216">
          <cell r="A216" t="str">
            <v>WY-WF1217-RO-L</v>
          </cell>
          <cell r="B216" t="str">
            <v>B078MK4N19</v>
          </cell>
        </row>
        <row r="217">
          <cell r="A217" t="str">
            <v>WY-WF1217-RO-M</v>
          </cell>
          <cell r="B217" t="str">
            <v>B078MLCPHX</v>
          </cell>
        </row>
        <row r="218">
          <cell r="A218" t="str">
            <v>WY-WF1217-RO-S</v>
          </cell>
          <cell r="B218" t="str">
            <v>B078MPPY1Z</v>
          </cell>
        </row>
        <row r="219">
          <cell r="A219" t="str">
            <v>WY-WF1217-RO-XL</v>
          </cell>
          <cell r="B219" t="str">
            <v>B078MLS36P</v>
          </cell>
        </row>
        <row r="220">
          <cell r="A220" t="str">
            <v>WY-WF1217-YO-L</v>
          </cell>
          <cell r="B220" t="str">
            <v>B078MLPP7Z</v>
          </cell>
        </row>
        <row r="221">
          <cell r="A221" t="str">
            <v>WY-WF1217-YO-M</v>
          </cell>
          <cell r="B221" t="str">
            <v>B078MQZ7XF</v>
          </cell>
        </row>
        <row r="222">
          <cell r="A222" t="str">
            <v>WY-WF1217-YO-S</v>
          </cell>
          <cell r="B222" t="str">
            <v>B078MLVF8D</v>
          </cell>
        </row>
        <row r="223">
          <cell r="A223" t="str">
            <v>WY-WF1217-YO-XL</v>
          </cell>
          <cell r="B223" t="str">
            <v>B078MLVFZH</v>
          </cell>
        </row>
        <row r="224">
          <cell r="A224" t="str">
            <v>WY-WF1225-BO-L</v>
          </cell>
          <cell r="B224" t="str">
            <v>B078MFHH1V</v>
          </cell>
        </row>
        <row r="225">
          <cell r="A225" t="str">
            <v>WY-WF1225-BO-M</v>
          </cell>
          <cell r="B225" t="str">
            <v>B078MFWG5N</v>
          </cell>
        </row>
        <row r="226">
          <cell r="A226" t="str">
            <v>WY-WF1225-BO-S</v>
          </cell>
          <cell r="B226" t="str">
            <v>B078MNG1TG</v>
          </cell>
        </row>
        <row r="227">
          <cell r="A227" t="str">
            <v>WY-WF1225-BO-XL</v>
          </cell>
          <cell r="B227" t="str">
            <v>B078MPBBKH</v>
          </cell>
        </row>
        <row r="228">
          <cell r="A228" t="str">
            <v>WY-WF1225-GR-L</v>
          </cell>
          <cell r="B228" t="str">
            <v>B078MMXYGL</v>
          </cell>
        </row>
        <row r="229">
          <cell r="A229" t="str">
            <v>WY-WF1225-GR-M</v>
          </cell>
          <cell r="B229" t="str">
            <v>B078MFPDLS</v>
          </cell>
        </row>
        <row r="230">
          <cell r="A230" t="str">
            <v>WY-WF1225-GR-S</v>
          </cell>
          <cell r="B230" t="str">
            <v>B078MNGZXT</v>
          </cell>
        </row>
        <row r="231">
          <cell r="A231" t="str">
            <v>WY-WF1225-GR-XL</v>
          </cell>
          <cell r="B231" t="str">
            <v>B078ML71RF</v>
          </cell>
        </row>
        <row r="232">
          <cell r="A232" t="str">
            <v>XK-YIWUJS-GY-6IN</v>
          </cell>
          <cell r="B232" t="str">
            <v>B07D4GQKTL</v>
          </cell>
        </row>
        <row r="233">
          <cell r="A233" t="str">
            <v>XK-YIWUJS-GY-7IN</v>
          </cell>
          <cell r="B233" t="str">
            <v>B07D4FV711</v>
          </cell>
        </row>
        <row r="234">
          <cell r="A234" t="str">
            <v>XK-YIWUJS-Y0-6IN</v>
          </cell>
          <cell r="B234" t="str">
            <v>B07D4GBBQB</v>
          </cell>
        </row>
        <row r="235">
          <cell r="A235" t="str">
            <v>XK-YIWUJS-Y0-7IN</v>
          </cell>
          <cell r="B235" t="str">
            <v>B07D4FQCYC</v>
          </cell>
        </row>
        <row r="236">
          <cell r="A236" t="str">
            <v>XK-YIWUJS2-BR-6IN</v>
          </cell>
          <cell r="B236" t="str">
            <v>B07D4FWK6H</v>
          </cell>
        </row>
        <row r="237">
          <cell r="A237" t="str">
            <v>XK-YIWUJS2-BR-7IN</v>
          </cell>
          <cell r="B237" t="str">
            <v>B07D4GDZTQ</v>
          </cell>
        </row>
        <row r="238">
          <cell r="A238" t="str">
            <v>XK-YIWUJS2-Y0-6IN</v>
          </cell>
          <cell r="B238" t="str">
            <v>B07D4GSD2Q</v>
          </cell>
        </row>
        <row r="239">
          <cell r="A239" t="str">
            <v>XK-YIWUJS2-Y0-7IN</v>
          </cell>
          <cell r="B239" t="str">
            <v>B07D4GT945</v>
          </cell>
        </row>
        <row r="240">
          <cell r="A240" t="str">
            <v>XM-LUHM111-X0</v>
          </cell>
          <cell r="B240" t="str">
            <v>B07C76QF92</v>
          </cell>
        </row>
        <row r="241">
          <cell r="A241" t="str">
            <v>XQ-LUHM034-X0</v>
          </cell>
          <cell r="B241" t="str">
            <v>B07C76QGLV</v>
          </cell>
        </row>
        <row r="242">
          <cell r="A242" t="str">
            <v>XQ-LUHM089-PI</v>
          </cell>
          <cell r="B242" t="str">
            <v>B07CG51FRQ</v>
          </cell>
        </row>
        <row r="243">
          <cell r="A243" t="str">
            <v>XYD-F02-3C-3S</v>
          </cell>
          <cell r="B243" t="str">
            <v>B077277SF1</v>
          </cell>
        </row>
        <row r="244">
          <cell r="A244" t="str">
            <v>YQ-LUHM-F111</v>
          </cell>
          <cell r="B244" t="str">
            <v>B07CQJ8G3M</v>
          </cell>
        </row>
        <row r="245">
          <cell r="A245" t="str">
            <v>YQ-LUHM-F112</v>
          </cell>
          <cell r="B245" t="str">
            <v>B07DLX7V45</v>
          </cell>
        </row>
        <row r="246">
          <cell r="A246" t="str">
            <v>YQ-LUHM-F114</v>
          </cell>
          <cell r="B246" t="str">
            <v>B07DLTWN39</v>
          </cell>
        </row>
        <row r="247">
          <cell r="A247" t="str">
            <v>ZB-WF029-CF-L</v>
          </cell>
          <cell r="B247" t="str">
            <v>B077SSC1TH</v>
          </cell>
        </row>
        <row r="248">
          <cell r="A248" t="str">
            <v>ZB-WF029-CF-M</v>
          </cell>
          <cell r="B248" t="str">
            <v>B078C7BGZR</v>
          </cell>
        </row>
        <row r="249">
          <cell r="A249" t="str">
            <v>ZB-WF029-WO-L</v>
          </cell>
          <cell r="B249" t="str">
            <v>B0784WBNX9</v>
          </cell>
        </row>
        <row r="250">
          <cell r="A250" t="str">
            <v>ZB-WF029-WO-M</v>
          </cell>
          <cell r="B250" t="str">
            <v>B0784WC6TX</v>
          </cell>
        </row>
        <row r="251">
          <cell r="A251" t="str">
            <v>ZDD-FLQ07-MC-28</v>
          </cell>
          <cell r="B251" t="str">
            <v>B075QF56L3</v>
          </cell>
        </row>
        <row r="252">
          <cell r="A252" t="str">
            <v>ZDD-FLQ08-BO-28</v>
          </cell>
          <cell r="B252" t="str">
            <v>B075QFP51N</v>
          </cell>
        </row>
        <row r="253">
          <cell r="A253" t="str">
            <v>ZDD-FLQ08-GR-28</v>
          </cell>
          <cell r="B253" t="str">
            <v>B075QG33T1</v>
          </cell>
        </row>
        <row r="254">
          <cell r="A254" t="str">
            <v>ZDD-FLQ08-PO-28</v>
          </cell>
          <cell r="B254" t="str">
            <v>B075R92YGF</v>
          </cell>
        </row>
        <row r="255">
          <cell r="A255" t="str">
            <v>ZDD-FLQ08-RO-28</v>
          </cell>
          <cell r="B255" t="str">
            <v>B075QFMG4P</v>
          </cell>
        </row>
        <row r="256">
          <cell r="A256" t="str">
            <v>ZQ-WF002-BO-M</v>
          </cell>
          <cell r="B256" t="str">
            <v>B078HGJSND</v>
          </cell>
        </row>
        <row r="257">
          <cell r="A257" t="str">
            <v>ZQ-WF002-PI-M</v>
          </cell>
          <cell r="B257" t="str">
            <v>B078H85Y7H</v>
          </cell>
        </row>
        <row r="258">
          <cell r="A258" t="str">
            <v>ZYL-FLQ06-BF-40</v>
          </cell>
          <cell r="B258" t="str">
            <v>B076P8S1LC</v>
          </cell>
        </row>
        <row r="259">
          <cell r="A259" t="str">
            <v>ZYL-FLQ06-BG-40</v>
          </cell>
          <cell r="B259" t="str">
            <v>B075RCQD9P</v>
          </cell>
        </row>
        <row r="260">
          <cell r="A260" t="str">
            <v>ZYL-FLQ06-HG-40</v>
          </cell>
          <cell r="B260" t="str">
            <v>B075R4XJZV</v>
          </cell>
        </row>
        <row r="261">
          <cell r="A261" t="str">
            <v>ZYL-FLQ06-TZ-40</v>
          </cell>
          <cell r="B261" t="str">
            <v>B075R4RWDL</v>
          </cell>
        </row>
        <row r="262">
          <cell r="A262" t="str">
            <v>ZYL-FLQ2013-DX-36</v>
          </cell>
          <cell r="B262" t="str">
            <v>B078JK429P</v>
          </cell>
        </row>
        <row r="263">
          <cell r="A263" t="str">
            <v>ZYL-FLQ2013-RO-36</v>
          </cell>
          <cell r="B263" t="str">
            <v>B078JQ7B7M</v>
          </cell>
        </row>
        <row r="264">
          <cell r="A264" t="str">
            <v>ZYL-FLQ2013-YO-36</v>
          </cell>
          <cell r="B264" t="str">
            <v>B078JQVN4Q</v>
          </cell>
        </row>
        <row r="265">
          <cell r="A265" t="str">
            <v>ZYL-FLQ59-BF-32</v>
          </cell>
          <cell r="B265" t="str">
            <v>B078JQ3KLW</v>
          </cell>
        </row>
        <row r="266">
          <cell r="A266" t="str">
            <v>ZYL-FLQ59-BY-32</v>
          </cell>
          <cell r="B266" t="str">
            <v>B078JNY8M1</v>
          </cell>
        </row>
        <row r="267">
          <cell r="A267" t="str">
            <v>ZYL-FLQ59-TW-32</v>
          </cell>
          <cell r="B267" t="str">
            <v>B078JJ7KDP</v>
          </cell>
        </row>
        <row r="268">
          <cell r="A268" t="str">
            <v>ZYL-FLQ59-TZ-32</v>
          </cell>
          <cell r="B268" t="str">
            <v>B078JQXPDD</v>
          </cell>
        </row>
        <row r="269">
          <cell r="A269" t="str">
            <v>ZYL-FLQ59-YD-32</v>
          </cell>
          <cell r="B269" t="str">
            <v>B078JHC2WQ</v>
          </cell>
        </row>
        <row r="270">
          <cell r="A270" t="str">
            <v>SJZP-FLQ19-SJV40-100</v>
          </cell>
          <cell r="B270" t="str">
            <v>B076VDS945</v>
          </cell>
        </row>
        <row r="271">
          <cell r="A271" t="str">
            <v>SJZP-FLQ19-SJV30-100</v>
          </cell>
          <cell r="B271" t="str">
            <v>B076VMW2WD</v>
          </cell>
        </row>
        <row r="272">
          <cell r="A272" t="str">
            <v>SJZP-FLQ19-CYH30-100</v>
          </cell>
          <cell r="B272" t="str">
            <v>B077TRSMNJ</v>
          </cell>
        </row>
        <row r="273">
          <cell r="A273" t="str">
            <v>SJZP-FLQ19-CYV30-100</v>
          </cell>
          <cell r="B273" t="str">
            <v>B077TLK2KD</v>
          </cell>
        </row>
        <row r="274">
          <cell r="A274" t="str">
            <v>SJZP-FLQ19-CYXL-50*30</v>
          </cell>
          <cell r="B274" t="str">
            <v>B077TT1KPV</v>
          </cell>
        </row>
        <row r="275">
          <cell r="A275" t="str">
            <v>SJZP-FLQ19-SJ-100</v>
          </cell>
          <cell r="B275" t="str">
            <v>B076WN8XVK</v>
          </cell>
        </row>
        <row r="276">
          <cell r="A276" t="str">
            <v>SJZP-FLQ19-SJH30-100</v>
          </cell>
          <cell r="B276" t="str">
            <v>B076VL2YKB</v>
          </cell>
        </row>
        <row r="277">
          <cell r="A277" t="str">
            <v>SJZP-FLQ19-SJXL-50*30</v>
          </cell>
          <cell r="B277" t="str">
            <v>B077TTZWSL</v>
          </cell>
        </row>
        <row r="278">
          <cell r="A278" t="str">
            <v>SJZP-FLQ19-SJYX-140</v>
          </cell>
          <cell r="B278" t="str">
            <v>B076VCM38W</v>
          </cell>
        </row>
        <row r="279">
          <cell r="A279" t="str">
            <v>SJZP-FLQ19-YXCY-140</v>
          </cell>
          <cell r="B279" t="str">
            <v>B077PTSNWW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213</v>
          </cell>
          <cell r="D2">
            <v>163</v>
          </cell>
          <cell r="E2">
            <v>165</v>
          </cell>
          <cell r="F2">
            <v>91</v>
          </cell>
        </row>
        <row r="3">
          <cell r="A3" t="str">
            <v>YQ-LUHM-F111</v>
          </cell>
          <cell r="B3" t="str">
            <v>YQ-LUHM-F111</v>
          </cell>
          <cell r="C3">
            <v>0</v>
          </cell>
          <cell r="D3">
            <v>7</v>
          </cell>
          <cell r="E3">
            <v>7</v>
          </cell>
          <cell r="F3">
            <v>7</v>
          </cell>
          <cell r="G3">
            <v>8.32333333333334</v>
          </cell>
        </row>
        <row r="4">
          <cell r="A4" t="str">
            <v>XM-LUHM111-X0</v>
          </cell>
          <cell r="B4" t="str">
            <v>XM-LUHM111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  <cell r="G4">
            <v>9.995</v>
          </cell>
        </row>
        <row r="5">
          <cell r="A5" t="str">
            <v>ZYL-FLQ06-BF-40</v>
          </cell>
          <cell r="B5" t="str">
            <v>ZYL-FLQ06</v>
          </cell>
          <cell r="C5">
            <v>12</v>
          </cell>
          <cell r="D5">
            <v>17</v>
          </cell>
          <cell r="E5">
            <v>10</v>
          </cell>
          <cell r="F5">
            <v>12</v>
          </cell>
          <cell r="G5">
            <v>14.99</v>
          </cell>
        </row>
        <row r="6">
          <cell r="A6" t="str">
            <v>BLT-WF125-CAT</v>
          </cell>
          <cell r="B6" t="str">
            <v>BLT-WF125</v>
          </cell>
          <cell r="C6">
            <v>0</v>
          </cell>
          <cell r="D6">
            <v>0</v>
          </cell>
          <cell r="E6">
            <v>2</v>
          </cell>
          <cell r="F6">
            <v>2</v>
          </cell>
          <cell r="G6">
            <v>9.99</v>
          </cell>
        </row>
        <row r="7">
          <cell r="A7" t="str">
            <v>QLQ-LUHM121-WO</v>
          </cell>
          <cell r="B7" t="str">
            <v>QLQ-LUHM121</v>
          </cell>
          <cell r="C7">
            <v>92</v>
          </cell>
          <cell r="D7">
            <v>67</v>
          </cell>
          <cell r="E7">
            <v>48</v>
          </cell>
          <cell r="F7">
            <v>20</v>
          </cell>
          <cell r="G7">
            <v>7.14092511013216</v>
          </cell>
        </row>
        <row r="8">
          <cell r="A8" t="str">
            <v>BA-FLQ02-SI-6</v>
          </cell>
          <cell r="B8" t="str">
            <v>BA-FLQ02</v>
          </cell>
          <cell r="C8">
            <v>0</v>
          </cell>
          <cell r="D8">
            <v>1</v>
          </cell>
          <cell r="E8">
            <v>3</v>
          </cell>
          <cell r="F8">
            <v>6</v>
          </cell>
          <cell r="G8">
            <v>12.67</v>
          </cell>
        </row>
        <row r="9">
          <cell r="A9" t="str">
            <v>GT-WFY1-E1</v>
          </cell>
          <cell r="B9" t="str">
            <v>GT-WFY1</v>
          </cell>
          <cell r="C9">
            <v>0</v>
          </cell>
          <cell r="D9">
            <v>0</v>
          </cell>
          <cell r="E9">
            <v>0</v>
          </cell>
          <cell r="F9">
            <v>2</v>
          </cell>
          <cell r="G9">
            <v>13.99</v>
          </cell>
        </row>
        <row r="10">
          <cell r="A10" t="str">
            <v>ZYL-FLQ06-HG-40</v>
          </cell>
          <cell r="B10" t="str">
            <v>ZYL-FLQ06</v>
          </cell>
          <cell r="C10">
            <v>3</v>
          </cell>
          <cell r="D10">
            <v>7</v>
          </cell>
          <cell r="E10">
            <v>2</v>
          </cell>
          <cell r="F10">
            <v>3</v>
          </cell>
          <cell r="G10">
            <v>15.79</v>
          </cell>
        </row>
        <row r="11">
          <cell r="A11" t="str">
            <v>QQ-LUHM-801-B0</v>
          </cell>
          <cell r="B11" t="str">
            <v>QQ-LUHM-801-B0</v>
          </cell>
          <cell r="C11">
            <v>1</v>
          </cell>
          <cell r="D11">
            <v>1</v>
          </cell>
          <cell r="E11">
            <v>0</v>
          </cell>
          <cell r="F11">
            <v>1</v>
          </cell>
          <cell r="G11">
            <v>9.99</v>
          </cell>
        </row>
        <row r="12">
          <cell r="A12" t="str">
            <v>CD-WF0728-4C</v>
          </cell>
          <cell r="B12" t="str">
            <v>CD-WF0728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 t="e">
            <v>#DIV/0!</v>
          </cell>
        </row>
        <row r="13">
          <cell r="A13" t="str">
            <v>CD-WF001-GO-1</v>
          </cell>
          <cell r="B13" t="str">
            <v>CD-WF001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  <cell r="G13">
            <v>12.99</v>
          </cell>
        </row>
        <row r="14">
          <cell r="A14" t="str">
            <v>BLT-WF125-PANDA</v>
          </cell>
          <cell r="B14" t="str">
            <v>BLT-WF125</v>
          </cell>
          <cell r="C14">
            <v>3</v>
          </cell>
          <cell r="D14">
            <v>0</v>
          </cell>
          <cell r="E14">
            <v>3</v>
          </cell>
          <cell r="F14">
            <v>3</v>
          </cell>
          <cell r="G14">
            <v>10.4344444444444</v>
          </cell>
        </row>
        <row r="15">
          <cell r="A15" t="str">
            <v>CQC-WF6346-PO</v>
          </cell>
          <cell r="B15" t="str">
            <v>CQC-WF6346</v>
          </cell>
          <cell r="C15">
            <v>0</v>
          </cell>
          <cell r="D15">
            <v>0</v>
          </cell>
          <cell r="E15">
            <v>1</v>
          </cell>
          <cell r="F15">
            <v>2</v>
          </cell>
          <cell r="G15">
            <v>12.99</v>
          </cell>
        </row>
        <row r="16">
          <cell r="A16" t="str">
            <v>ZYL-FLQ59-BF-32</v>
          </cell>
          <cell r="B16" t="str">
            <v>ZYL-FLQ59</v>
          </cell>
          <cell r="C16">
            <v>4</v>
          </cell>
          <cell r="D16">
            <v>2</v>
          </cell>
          <cell r="E16">
            <v>2</v>
          </cell>
          <cell r="F16">
            <v>1</v>
          </cell>
          <cell r="G16">
            <v>14.99</v>
          </cell>
        </row>
        <row r="17">
          <cell r="A17" t="str">
            <v>BZ-WF211-BO</v>
          </cell>
          <cell r="B17" t="str">
            <v>BZ-WF211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30</v>
          </cell>
        </row>
        <row r="18">
          <cell r="A18" t="str">
            <v>CQC-WF6346-BO</v>
          </cell>
          <cell r="B18" t="str">
            <v>CQC-WF6346</v>
          </cell>
          <cell r="C18">
            <v>0</v>
          </cell>
          <cell r="D18">
            <v>0</v>
          </cell>
          <cell r="E18">
            <v>0</v>
          </cell>
          <cell r="F18">
            <v>4</v>
          </cell>
          <cell r="G18">
            <v>12.99</v>
          </cell>
        </row>
        <row r="19">
          <cell r="A19" t="str">
            <v>CD-WF001-RO-1</v>
          </cell>
          <cell r="B19" t="str">
            <v>CD-WF001</v>
          </cell>
          <cell r="C19">
            <v>0</v>
          </cell>
          <cell r="D19">
            <v>0</v>
          </cell>
          <cell r="E19">
            <v>1</v>
          </cell>
          <cell r="F19">
            <v>2</v>
          </cell>
          <cell r="G19">
            <v>12.4366666666667</v>
          </cell>
        </row>
        <row r="20">
          <cell r="A20" t="str">
            <v>BLT-LUHM000-CL</v>
          </cell>
          <cell r="B20" t="str">
            <v>BLT-LUHM000</v>
          </cell>
          <cell r="C20">
            <v>0</v>
          </cell>
          <cell r="D20">
            <v>0</v>
          </cell>
          <cell r="E20">
            <v>0</v>
          </cell>
          <cell r="F20">
            <v>2</v>
          </cell>
          <cell r="G20">
            <v>9.99</v>
          </cell>
        </row>
        <row r="21">
          <cell r="A21" t="str">
            <v>CD-WF001-GR-1</v>
          </cell>
          <cell r="B21" t="str">
            <v>CD-WF001</v>
          </cell>
          <cell r="C21">
            <v>0</v>
          </cell>
          <cell r="D21">
            <v>1</v>
          </cell>
          <cell r="E21">
            <v>0</v>
          </cell>
          <cell r="F21">
            <v>1</v>
          </cell>
          <cell r="G21">
            <v>12.99</v>
          </cell>
        </row>
        <row r="22">
          <cell r="A22" t="str">
            <v>GT-WFTFGT200-220</v>
          </cell>
          <cell r="B22" t="str">
            <v>GT-WFTFGT200</v>
          </cell>
          <cell r="C22">
            <v>0</v>
          </cell>
          <cell r="D22">
            <v>1</v>
          </cell>
          <cell r="E22">
            <v>2</v>
          </cell>
          <cell r="F22">
            <v>1</v>
          </cell>
          <cell r="G22">
            <v>13.99</v>
          </cell>
        </row>
        <row r="23">
          <cell r="A23" t="str">
            <v>BA-FLQ02-BO-6</v>
          </cell>
          <cell r="B23" t="str">
            <v>BA-FLQ02</v>
          </cell>
          <cell r="C23">
            <v>2</v>
          </cell>
          <cell r="D23">
            <v>2</v>
          </cell>
          <cell r="E23">
            <v>0</v>
          </cell>
          <cell r="F23">
            <v>1</v>
          </cell>
          <cell r="G23">
            <v>15.99</v>
          </cell>
        </row>
        <row r="24">
          <cell r="A24" t="str">
            <v>CLP-FLQ43-CS60-60</v>
          </cell>
          <cell r="B24" t="str">
            <v>CLP-FLQ43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35.94</v>
          </cell>
        </row>
        <row r="25">
          <cell r="A25" t="str">
            <v>SND-FLQ17-NO-108</v>
          </cell>
          <cell r="B25" t="str">
            <v>SND-FLQ17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10</v>
          </cell>
        </row>
        <row r="26">
          <cell r="A26" t="str">
            <v>SL-LULW818-BO-L</v>
          </cell>
          <cell r="B26" t="str">
            <v>SL-LULW812</v>
          </cell>
          <cell r="C26">
            <v>0</v>
          </cell>
          <cell r="D26">
            <v>1</v>
          </cell>
          <cell r="E26">
            <v>1</v>
          </cell>
          <cell r="F26">
            <v>1</v>
          </cell>
          <cell r="G26">
            <v>15.99</v>
          </cell>
        </row>
        <row r="27">
          <cell r="A27" t="str">
            <v>GT-WFTFGT200-224</v>
          </cell>
          <cell r="B27" t="str">
            <v>GT-WFTFGT200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13.99</v>
          </cell>
        </row>
        <row r="28">
          <cell r="A28" t="str">
            <v>ZDD-FLQ08-PO-28</v>
          </cell>
          <cell r="B28" t="str">
            <v>ZDD-FLQ08</v>
          </cell>
          <cell r="C28">
            <v>0</v>
          </cell>
          <cell r="D28">
            <v>0</v>
          </cell>
          <cell r="E28">
            <v>2</v>
          </cell>
          <cell r="F28">
            <v>1</v>
          </cell>
          <cell r="G28">
            <v>15.99</v>
          </cell>
        </row>
        <row r="29">
          <cell r="A29" t="str">
            <v>CQC-WF6346-GO</v>
          </cell>
          <cell r="B29" t="str">
            <v>CQC-WF6346</v>
          </cell>
          <cell r="C29">
            <v>0</v>
          </cell>
          <cell r="D29">
            <v>0</v>
          </cell>
          <cell r="E29">
            <v>4</v>
          </cell>
          <cell r="F29">
            <v>1</v>
          </cell>
          <cell r="G29">
            <v>12.99</v>
          </cell>
        </row>
        <row r="30">
          <cell r="A30" t="str">
            <v>CD-WF-CF</v>
          </cell>
          <cell r="B30" t="str">
            <v>CD-WF</v>
          </cell>
          <cell r="C30">
            <v>3</v>
          </cell>
          <cell r="D30">
            <v>0</v>
          </cell>
          <cell r="E30">
            <v>1</v>
          </cell>
          <cell r="F30">
            <v>1</v>
          </cell>
          <cell r="G30">
            <v>11.99</v>
          </cell>
        </row>
        <row r="31">
          <cell r="A31" t="str">
            <v>BLT-WF125-LION</v>
          </cell>
          <cell r="B31" t="str">
            <v>BLT-WF125</v>
          </cell>
          <cell r="C31">
            <v>0</v>
          </cell>
          <cell r="D31">
            <v>0</v>
          </cell>
          <cell r="E31">
            <v>1</v>
          </cell>
          <cell r="F31">
            <v>1</v>
          </cell>
          <cell r="G31">
            <v>9.99</v>
          </cell>
        </row>
        <row r="32">
          <cell r="A32" t="str">
            <v>BLT-LUHM000-GL</v>
          </cell>
          <cell r="B32" t="str">
            <v>BLT-LUHM000</v>
          </cell>
          <cell r="C32">
            <v>0</v>
          </cell>
          <cell r="D32">
            <v>2</v>
          </cell>
          <cell r="E32">
            <v>1</v>
          </cell>
          <cell r="F32">
            <v>1</v>
          </cell>
          <cell r="G32">
            <v>9.99</v>
          </cell>
        </row>
        <row r="33">
          <cell r="A33" t="str">
            <v>WY-WF1225-BO-S</v>
          </cell>
          <cell r="B33" t="str">
            <v>WY-WF1225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21.98</v>
          </cell>
        </row>
        <row r="34">
          <cell r="A34" t="str">
            <v>XK-YIWUJS2-Y0-6IN</v>
          </cell>
          <cell r="B34" t="str">
            <v>XK-YIWUJS6</v>
          </cell>
          <cell r="C34">
            <v>0</v>
          </cell>
          <cell r="D34">
            <v>1</v>
          </cell>
          <cell r="E34">
            <v>0</v>
          </cell>
          <cell r="F34">
            <v>1</v>
          </cell>
          <cell r="G34">
            <v>12.99</v>
          </cell>
        </row>
        <row r="35">
          <cell r="A35" t="str">
            <v>SD-LUHM202-PI</v>
          </cell>
          <cell r="B35" t="str">
            <v>SD-LUHM202</v>
          </cell>
          <cell r="C35">
            <v>0</v>
          </cell>
          <cell r="D35">
            <v>0</v>
          </cell>
          <cell r="E35">
            <v>1</v>
          </cell>
          <cell r="F35">
            <v>1</v>
          </cell>
          <cell r="G35">
            <v>7.99</v>
          </cell>
        </row>
        <row r="36">
          <cell r="A36" t="str">
            <v>BA-FLQ02-R2-4</v>
          </cell>
          <cell r="B36" t="str">
            <v>BA-FLQ02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  <cell r="G36">
            <v>8.99</v>
          </cell>
        </row>
        <row r="37">
          <cell r="A37" t="str">
            <v>BA-FLQ02-SI-4</v>
          </cell>
          <cell r="B37" t="str">
            <v>BA-FLQ02</v>
          </cell>
          <cell r="C37">
            <v>0</v>
          </cell>
          <cell r="D37">
            <v>1</v>
          </cell>
          <cell r="E37">
            <v>0</v>
          </cell>
          <cell r="F37">
            <v>0</v>
          </cell>
          <cell r="G37">
            <v>8.99</v>
          </cell>
        </row>
        <row r="38">
          <cell r="A38" t="str">
            <v>ZYL-FLQ06-TZ-40</v>
          </cell>
          <cell r="B38" t="str">
            <v>ZYL-FLQ06</v>
          </cell>
          <cell r="C38">
            <v>0</v>
          </cell>
          <cell r="D38">
            <v>2</v>
          </cell>
          <cell r="E38">
            <v>2</v>
          </cell>
          <cell r="F38">
            <v>1</v>
          </cell>
          <cell r="G38">
            <v>14.99</v>
          </cell>
        </row>
        <row r="39">
          <cell r="A39" t="str">
            <v>XK-YIWUJS2-BR-6IN</v>
          </cell>
          <cell r="B39" t="str">
            <v>XK-YIWUJS2</v>
          </cell>
          <cell r="C39">
            <v>0</v>
          </cell>
          <cell r="D39">
            <v>0</v>
          </cell>
          <cell r="E39">
            <v>1</v>
          </cell>
          <cell r="F39">
            <v>1</v>
          </cell>
          <cell r="G39">
            <v>12.99</v>
          </cell>
        </row>
        <row r="40">
          <cell r="A40" t="str">
            <v>WY-WF1225-BO-XL</v>
          </cell>
          <cell r="B40" t="str">
            <v>WY-WF1225</v>
          </cell>
          <cell r="C40">
            <v>0</v>
          </cell>
          <cell r="D40">
            <v>0</v>
          </cell>
          <cell r="E40">
            <v>1</v>
          </cell>
          <cell r="F40">
            <v>1</v>
          </cell>
          <cell r="G40">
            <v>21.98</v>
          </cell>
        </row>
        <row r="41">
          <cell r="A41" t="str">
            <v>SJZP-FLQ19-SJV40-100</v>
          </cell>
          <cell r="B41" t="str">
            <v>SJZP-FLQ19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81.99</v>
          </cell>
        </row>
        <row r="42">
          <cell r="A42" t="str">
            <v>XQ-LUHM089-PI</v>
          </cell>
          <cell r="B42" t="str">
            <v>XQ-LUHM089</v>
          </cell>
          <cell r="C42">
            <v>0</v>
          </cell>
          <cell r="D42">
            <v>0</v>
          </cell>
          <cell r="E42">
            <v>2</v>
          </cell>
          <cell r="F42">
            <v>0</v>
          </cell>
          <cell r="G42">
            <v>9.99</v>
          </cell>
        </row>
        <row r="43">
          <cell r="A43" t="str">
            <v>SDSZH-RG</v>
          </cell>
          <cell r="B43" t="str">
            <v>SDSZH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15.92</v>
          </cell>
        </row>
        <row r="44">
          <cell r="A44" t="str">
            <v>XK-YIWUJS2-BR-7IN</v>
          </cell>
          <cell r="B44" t="str">
            <v>XK-YIWUJS4</v>
          </cell>
          <cell r="C44">
            <v>5</v>
          </cell>
          <cell r="D44">
            <v>1</v>
          </cell>
          <cell r="E44">
            <v>10</v>
          </cell>
          <cell r="F44">
            <v>0</v>
          </cell>
          <cell r="G44">
            <v>13.99</v>
          </cell>
        </row>
        <row r="45">
          <cell r="A45" t="str">
            <v>BD-LUHM001-X0</v>
          </cell>
          <cell r="B45" t="str">
            <v>BD-LUHM001</v>
          </cell>
          <cell r="C45">
            <v>0</v>
          </cell>
          <cell r="D45">
            <v>0</v>
          </cell>
          <cell r="E45">
            <v>4</v>
          </cell>
          <cell r="F45">
            <v>0</v>
          </cell>
          <cell r="G45">
            <v>9.99</v>
          </cell>
        </row>
        <row r="46">
          <cell r="A46" t="str">
            <v>GT-WFTFGT200-213</v>
          </cell>
          <cell r="B46" t="str">
            <v>GT-WFTFGT200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13.99</v>
          </cell>
        </row>
        <row r="47">
          <cell r="A47" t="str">
            <v>SD-LUHM202-X0</v>
          </cell>
          <cell r="B47" t="str">
            <v>SD-LUHM202</v>
          </cell>
          <cell r="C47">
            <v>0</v>
          </cell>
          <cell r="D47">
            <v>0</v>
          </cell>
          <cell r="E47">
            <v>2</v>
          </cell>
          <cell r="F47">
            <v>0</v>
          </cell>
          <cell r="G47">
            <v>12.99</v>
          </cell>
        </row>
        <row r="48">
          <cell r="A48" t="str">
            <v>BA-FLQ02-GD-4</v>
          </cell>
          <cell r="B48" t="str">
            <v>BA-FLQ02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11.99</v>
          </cell>
        </row>
        <row r="49">
          <cell r="A49" t="str">
            <v>CD-WF001-KK-1</v>
          </cell>
          <cell r="B49" t="str">
            <v>CD-WF001</v>
          </cell>
          <cell r="C49">
            <v>0</v>
          </cell>
          <cell r="D49">
            <v>0</v>
          </cell>
          <cell r="E49">
            <v>2</v>
          </cell>
          <cell r="F49">
            <v>0</v>
          </cell>
          <cell r="G49">
            <v>12.99</v>
          </cell>
        </row>
        <row r="50">
          <cell r="A50" t="str">
            <v>BDB-WF212-CW-M</v>
          </cell>
          <cell r="B50" t="str">
            <v>BDB-WF212</v>
          </cell>
          <cell r="C50">
            <v>0</v>
          </cell>
          <cell r="D50">
            <v>0</v>
          </cell>
          <cell r="E50">
            <v>4</v>
          </cell>
          <cell r="F50">
            <v>0</v>
          </cell>
          <cell r="G50">
            <v>9.24</v>
          </cell>
        </row>
        <row r="51">
          <cell r="A51" t="str">
            <v>WY-WF1225-GR-M</v>
          </cell>
          <cell r="B51" t="str">
            <v>WY-WF1225</v>
          </cell>
          <cell r="C51">
            <v>0</v>
          </cell>
          <cell r="D51">
            <v>0</v>
          </cell>
          <cell r="E51">
            <v>1</v>
          </cell>
          <cell r="F51">
            <v>0</v>
          </cell>
          <cell r="G51">
            <v>21.98</v>
          </cell>
        </row>
        <row r="52">
          <cell r="A52" t="str">
            <v>XK-YIWUJS2-Y0-7IN</v>
          </cell>
          <cell r="B52" t="str">
            <v>XK-YIWUJS8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13.99</v>
          </cell>
        </row>
        <row r="53">
          <cell r="A53" t="str">
            <v>SL-LULW812-PI-M</v>
          </cell>
          <cell r="B53" t="str">
            <v>SL-LULW812</v>
          </cell>
          <cell r="C53">
            <v>0</v>
          </cell>
          <cell r="D53">
            <v>0</v>
          </cell>
          <cell r="E53">
            <v>1</v>
          </cell>
          <cell r="F53">
            <v>0</v>
          </cell>
          <cell r="G53">
            <v>15</v>
          </cell>
        </row>
        <row r="54">
          <cell r="A54" t="str">
            <v>BLT-WF125-COW</v>
          </cell>
          <cell r="B54" t="str">
            <v>BLT-WF125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8.99</v>
          </cell>
        </row>
        <row r="55">
          <cell r="A55" t="str">
            <v>ZDD-FLQ08-GR-28</v>
          </cell>
          <cell r="B55" t="str">
            <v>ZDD-FLQ08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15.99</v>
          </cell>
        </row>
        <row r="56">
          <cell r="A56" t="str">
            <v>ND-LUHM027-PI</v>
          </cell>
          <cell r="B56" t="str">
            <v>ND-LUHM027</v>
          </cell>
          <cell r="C56">
            <v>0</v>
          </cell>
          <cell r="D56">
            <v>1</v>
          </cell>
          <cell r="E56">
            <v>3</v>
          </cell>
          <cell r="F56">
            <v>0</v>
          </cell>
          <cell r="G56">
            <v>9.99</v>
          </cell>
        </row>
        <row r="57">
          <cell r="A57" t="str">
            <v>ZYL-FLQ59-TW-32</v>
          </cell>
          <cell r="B57" t="str">
            <v>ZYL-FLQ59</v>
          </cell>
          <cell r="C57">
            <v>2</v>
          </cell>
          <cell r="D57">
            <v>2</v>
          </cell>
          <cell r="E57">
            <v>3</v>
          </cell>
          <cell r="F57">
            <v>0</v>
          </cell>
          <cell r="G57">
            <v>13.23</v>
          </cell>
        </row>
        <row r="58">
          <cell r="A58" t="str">
            <v>SD-LUHM202-G0-X</v>
          </cell>
          <cell r="B58" t="str">
            <v>SD-LUHM202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7.99</v>
          </cell>
        </row>
        <row r="59">
          <cell r="A59" t="str">
            <v>WY-WF1225-BO-M</v>
          </cell>
          <cell r="B59" t="str">
            <v>WY-WF1225</v>
          </cell>
          <cell r="C59">
            <v>0</v>
          </cell>
          <cell r="D59">
            <v>0</v>
          </cell>
          <cell r="E59">
            <v>2</v>
          </cell>
          <cell r="F59">
            <v>0</v>
          </cell>
          <cell r="G59">
            <v>21.98</v>
          </cell>
        </row>
        <row r="60">
          <cell r="A60" t="str">
            <v>GT-WFY1-E4</v>
          </cell>
          <cell r="B60" t="str">
            <v>GT-WFY1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13.99</v>
          </cell>
        </row>
        <row r="61">
          <cell r="A61" t="str">
            <v>ZQ-WF002-PI-M</v>
          </cell>
          <cell r="B61" t="str">
            <v>ZQ-WF002</v>
          </cell>
          <cell r="C61">
            <v>0</v>
          </cell>
          <cell r="D61">
            <v>0</v>
          </cell>
          <cell r="E61">
            <v>1</v>
          </cell>
          <cell r="F61">
            <v>0</v>
          </cell>
          <cell r="G61">
            <v>18.99</v>
          </cell>
        </row>
        <row r="62">
          <cell r="A62" t="str">
            <v>CWB-FLQ1703-GR-47</v>
          </cell>
          <cell r="B62" t="str">
            <v>CWB-FLQ1703</v>
          </cell>
          <cell r="C62">
            <v>0</v>
          </cell>
          <cell r="D62">
            <v>0</v>
          </cell>
          <cell r="E62">
            <v>5</v>
          </cell>
          <cell r="F62">
            <v>0</v>
          </cell>
          <cell r="G62">
            <v>20</v>
          </cell>
        </row>
        <row r="63">
          <cell r="A63" t="str">
            <v>SQ-LUHM354</v>
          </cell>
          <cell r="B63" t="str">
            <v>SQ-LUHM</v>
          </cell>
          <cell r="C63">
            <v>17</v>
          </cell>
          <cell r="D63">
            <v>5</v>
          </cell>
          <cell r="E63">
            <v>4</v>
          </cell>
          <cell r="F63">
            <v>0</v>
          </cell>
          <cell r="G63">
            <v>18.9130769230769</v>
          </cell>
        </row>
        <row r="64">
          <cell r="A64" t="str">
            <v>ZYL-FLQ06-BG-40</v>
          </cell>
          <cell r="B64" t="str">
            <v>ZYL-FLQ06</v>
          </cell>
          <cell r="C64">
            <v>3</v>
          </cell>
          <cell r="D64">
            <v>5</v>
          </cell>
          <cell r="E64">
            <v>2</v>
          </cell>
          <cell r="F64">
            <v>0</v>
          </cell>
          <cell r="G64">
            <v>16.19</v>
          </cell>
        </row>
        <row r="65">
          <cell r="A65" t="str">
            <v>BLT-LUHM000-GR</v>
          </cell>
          <cell r="B65" t="str">
            <v>BLT-LUHM000</v>
          </cell>
          <cell r="C65">
            <v>0</v>
          </cell>
          <cell r="D65">
            <v>0</v>
          </cell>
          <cell r="E65">
            <v>2</v>
          </cell>
          <cell r="F65">
            <v>0</v>
          </cell>
          <cell r="G65">
            <v>9.99</v>
          </cell>
        </row>
        <row r="66">
          <cell r="A66" t="str">
            <v>SQ-LUHM304</v>
          </cell>
          <cell r="B66" t="str">
            <v>SQ-LUHM</v>
          </cell>
          <cell r="C66">
            <v>11</v>
          </cell>
          <cell r="D66">
            <v>3</v>
          </cell>
          <cell r="E66">
            <v>2</v>
          </cell>
          <cell r="F66">
            <v>0</v>
          </cell>
          <cell r="G66">
            <v>18.24</v>
          </cell>
        </row>
        <row r="67">
          <cell r="A67" t="str">
            <v>SND-FLQ18-SJ-80</v>
          </cell>
          <cell r="B67" t="str">
            <v>SND-FLQ18</v>
          </cell>
          <cell r="C67">
            <v>0</v>
          </cell>
          <cell r="D67">
            <v>0</v>
          </cell>
          <cell r="E67">
            <v>1</v>
          </cell>
          <cell r="F67">
            <v>0</v>
          </cell>
          <cell r="G67">
            <v>10</v>
          </cell>
        </row>
        <row r="68">
          <cell r="A68" t="str">
            <v>BLT-LUHM819-W0</v>
          </cell>
          <cell r="B68" t="str">
            <v>BLT-LUHM819</v>
          </cell>
          <cell r="C68">
            <v>1</v>
          </cell>
          <cell r="D68">
            <v>2</v>
          </cell>
          <cell r="E68">
            <v>2</v>
          </cell>
          <cell r="F68">
            <v>0</v>
          </cell>
          <cell r="G68">
            <v>8.99</v>
          </cell>
        </row>
        <row r="69">
          <cell r="A69" t="str">
            <v>CWB-WF021-RB-XL</v>
          </cell>
          <cell r="B69" t="str">
            <v>CWB-WF021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14.4</v>
          </cell>
        </row>
        <row r="70">
          <cell r="A70" t="str">
            <v>XQ-LUHM034-X0</v>
          </cell>
          <cell r="B70" t="str">
            <v>XQ-LUHM034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  <cell r="G70">
            <v>9.99</v>
          </cell>
        </row>
        <row r="71">
          <cell r="A71" t="str">
            <v>SQ-LUHM204</v>
          </cell>
          <cell r="B71" t="str">
            <v>SQ-LUHM</v>
          </cell>
          <cell r="C71">
            <v>1</v>
          </cell>
          <cell r="D71">
            <v>6</v>
          </cell>
          <cell r="E71">
            <v>1</v>
          </cell>
          <cell r="F71">
            <v>0</v>
          </cell>
          <cell r="G71">
            <v>15.615</v>
          </cell>
        </row>
        <row r="72">
          <cell r="A72" t="str">
            <v>ZYL-FLQ2013-YO-36</v>
          </cell>
          <cell r="B72" t="str">
            <v>ZYL-FLQ2013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14.99</v>
          </cell>
        </row>
        <row r="73">
          <cell r="A73" t="str">
            <v>SQ-LUHM404</v>
          </cell>
          <cell r="B73" t="str">
            <v>SQ-LUHM</v>
          </cell>
          <cell r="C73">
            <v>20</v>
          </cell>
          <cell r="D73">
            <v>5</v>
          </cell>
          <cell r="E73">
            <v>2</v>
          </cell>
          <cell r="F73">
            <v>0</v>
          </cell>
          <cell r="G73">
            <v>21.4344444444444</v>
          </cell>
        </row>
        <row r="74">
          <cell r="A74" t="str">
            <v>SDSZH-BS</v>
          </cell>
          <cell r="B74" t="str">
            <v>SDSZH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19.9</v>
          </cell>
        </row>
        <row r="75">
          <cell r="A75" t="str">
            <v>ZYL-FLQ2013-DX-36</v>
          </cell>
          <cell r="B75" t="str">
            <v>ZYL-FLQ2013</v>
          </cell>
          <cell r="C75">
            <v>1</v>
          </cell>
          <cell r="D75">
            <v>1</v>
          </cell>
          <cell r="E75">
            <v>1</v>
          </cell>
          <cell r="F75">
            <v>0</v>
          </cell>
          <cell r="G75">
            <v>14.99</v>
          </cell>
        </row>
        <row r="76">
          <cell r="A76" t="str">
            <v>ZQ-WF002-BO-M</v>
          </cell>
          <cell r="B76" t="str">
            <v>ZQ-WF002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18.99</v>
          </cell>
        </row>
        <row r="77">
          <cell r="A77" t="str">
            <v>GT-WFTFGT200-209</v>
          </cell>
          <cell r="B77" t="str">
            <v>GT-WFTFGT200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10.27</v>
          </cell>
        </row>
        <row r="78">
          <cell r="A78" t="str">
            <v>CWB-WF021-QB-M</v>
          </cell>
          <cell r="B78" t="str">
            <v>CWB-WF021</v>
          </cell>
          <cell r="C78">
            <v>0</v>
          </cell>
          <cell r="D78">
            <v>1</v>
          </cell>
          <cell r="E78">
            <v>0</v>
          </cell>
          <cell r="F78">
            <v>0</v>
          </cell>
          <cell r="G78">
            <v>12.79</v>
          </cell>
        </row>
        <row r="79">
          <cell r="A79" t="str">
            <v>SQ-LUHM90A</v>
          </cell>
          <cell r="B79" t="str">
            <v>SQ-LUHM</v>
          </cell>
          <cell r="C79">
            <v>3</v>
          </cell>
          <cell r="D79">
            <v>4</v>
          </cell>
          <cell r="E79">
            <v>0</v>
          </cell>
          <cell r="F79">
            <v>0</v>
          </cell>
          <cell r="G79">
            <v>17.99</v>
          </cell>
        </row>
        <row r="80">
          <cell r="A80" t="str">
            <v>BDB-WF212-JY-M</v>
          </cell>
          <cell r="B80" t="str">
            <v>BDB-WF212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9.99</v>
          </cell>
        </row>
        <row r="81">
          <cell r="A81" t="str">
            <v>CD-WF-KK</v>
          </cell>
          <cell r="B81" t="str">
            <v>CD-WF</v>
          </cell>
          <cell r="C81">
            <v>0</v>
          </cell>
          <cell r="D81">
            <v>1</v>
          </cell>
          <cell r="E81">
            <v>0</v>
          </cell>
          <cell r="F81">
            <v>0</v>
          </cell>
          <cell r="G81">
            <v>10.84</v>
          </cell>
        </row>
        <row r="82">
          <cell r="A82" t="str">
            <v>ZYL-FLQ59-BY-32</v>
          </cell>
          <cell r="B82" t="str">
            <v>ZYL-FLQ59</v>
          </cell>
          <cell r="C82">
            <v>1</v>
          </cell>
          <cell r="D82">
            <v>1</v>
          </cell>
          <cell r="E82">
            <v>0</v>
          </cell>
          <cell r="F82">
            <v>0</v>
          </cell>
          <cell r="G82">
            <v>9.5</v>
          </cell>
        </row>
        <row r="83">
          <cell r="A83" t="str">
            <v>HYD-WF7995-BO-XL</v>
          </cell>
          <cell r="B83" t="str">
            <v>HYD-WF7995</v>
          </cell>
          <cell r="C83">
            <v>0</v>
          </cell>
          <cell r="D83">
            <v>1</v>
          </cell>
          <cell r="E83">
            <v>0</v>
          </cell>
          <cell r="F83">
            <v>0</v>
          </cell>
          <cell r="G83">
            <v>10</v>
          </cell>
        </row>
        <row r="84">
          <cell r="A84" t="str">
            <v>YQ-LUHM-F114</v>
          </cell>
          <cell r="B84" t="str">
            <v>YQ-LUHM-F114</v>
          </cell>
          <cell r="C84">
            <v>1</v>
          </cell>
          <cell r="D84">
            <v>2</v>
          </cell>
          <cell r="E84">
            <v>0</v>
          </cell>
          <cell r="F84">
            <v>0</v>
          </cell>
          <cell r="G84">
            <v>15.99</v>
          </cell>
        </row>
        <row r="85">
          <cell r="A85" t="str">
            <v>CD-WF117-WM-1</v>
          </cell>
          <cell r="B85" t="str">
            <v>CD-WF117</v>
          </cell>
          <cell r="C85">
            <v>0</v>
          </cell>
          <cell r="D85">
            <v>2</v>
          </cell>
          <cell r="E85">
            <v>0</v>
          </cell>
          <cell r="F85">
            <v>0</v>
          </cell>
          <cell r="G85">
            <v>15.99</v>
          </cell>
        </row>
        <row r="86">
          <cell r="A86" t="str">
            <v>ZDD-FLQ08-BO-28</v>
          </cell>
          <cell r="B86" t="str">
            <v>ZDD-FLQ08</v>
          </cell>
          <cell r="C86">
            <v>1</v>
          </cell>
          <cell r="D86">
            <v>1</v>
          </cell>
          <cell r="E86">
            <v>0</v>
          </cell>
          <cell r="F86">
            <v>0</v>
          </cell>
          <cell r="G86">
            <v>15.99</v>
          </cell>
        </row>
        <row r="87">
          <cell r="A87" t="str">
            <v>CWB-WF021-RB-L</v>
          </cell>
          <cell r="B87" t="str">
            <v>CWB-WF021</v>
          </cell>
          <cell r="C87">
            <v>0</v>
          </cell>
          <cell r="D87">
            <v>1</v>
          </cell>
          <cell r="E87">
            <v>0</v>
          </cell>
          <cell r="F87">
            <v>0</v>
          </cell>
          <cell r="G87">
            <v>16.99</v>
          </cell>
        </row>
        <row r="88">
          <cell r="A88" t="str">
            <v>CWB-WF021-CF-S</v>
          </cell>
          <cell r="B88" t="str">
            <v>CWB-WF021</v>
          </cell>
          <cell r="C88">
            <v>0</v>
          </cell>
          <cell r="D88">
            <v>1</v>
          </cell>
          <cell r="E88">
            <v>0</v>
          </cell>
          <cell r="F88">
            <v>0</v>
          </cell>
          <cell r="G88">
            <v>11.99</v>
          </cell>
        </row>
        <row r="89">
          <cell r="A89" t="str">
            <v>CD-WF001-CF-1</v>
          </cell>
          <cell r="B89" t="str">
            <v>CD-WF001</v>
          </cell>
          <cell r="C89">
            <v>0</v>
          </cell>
          <cell r="D89">
            <v>1</v>
          </cell>
          <cell r="E89">
            <v>0</v>
          </cell>
          <cell r="F89">
            <v>0</v>
          </cell>
          <cell r="G89">
            <v>9.99</v>
          </cell>
        </row>
        <row r="90">
          <cell r="A90" t="str">
            <v>CWB-WF021-QB-XL</v>
          </cell>
          <cell r="B90" t="str">
            <v>CWB-WF021</v>
          </cell>
          <cell r="C90">
            <v>2</v>
          </cell>
          <cell r="D90">
            <v>0</v>
          </cell>
          <cell r="E90">
            <v>0</v>
          </cell>
          <cell r="F90">
            <v>0</v>
          </cell>
          <cell r="G90">
            <v>15.35</v>
          </cell>
        </row>
        <row r="91">
          <cell r="A91" t="str">
            <v>GT-WFY1-E2</v>
          </cell>
          <cell r="B91" t="str">
            <v>GT-WFY1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13.99</v>
          </cell>
        </row>
        <row r="92">
          <cell r="A92" t="str">
            <v>BLT-LUHM000-CR</v>
          </cell>
          <cell r="B92" t="str">
            <v>BLT-LUHM000</v>
          </cell>
          <cell r="C92">
            <v>3</v>
          </cell>
          <cell r="D92">
            <v>0</v>
          </cell>
          <cell r="E92">
            <v>0</v>
          </cell>
          <cell r="F92">
            <v>0</v>
          </cell>
          <cell r="G92">
            <v>9.99</v>
          </cell>
        </row>
        <row r="93">
          <cell r="A93" t="str">
            <v>BDB-WF212-SJS-M</v>
          </cell>
          <cell r="B93" t="str">
            <v>BDB-WF212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9.77</v>
          </cell>
        </row>
        <row r="94">
          <cell r="A94" t="str">
            <v>CWB-WF021-QB-S</v>
          </cell>
          <cell r="B94" t="str">
            <v>CWB-WF021</v>
          </cell>
          <cell r="C94">
            <v>2</v>
          </cell>
          <cell r="D94">
            <v>0</v>
          </cell>
          <cell r="E94">
            <v>0</v>
          </cell>
          <cell r="F94">
            <v>0</v>
          </cell>
          <cell r="G94">
            <v>11.99</v>
          </cell>
        </row>
        <row r="95">
          <cell r="A95" t="str">
            <v>SNH-LUHM001-W0</v>
          </cell>
          <cell r="B95" t="str">
            <v>SNH-LUHM001</v>
          </cell>
          <cell r="C95">
            <v>2</v>
          </cell>
          <cell r="D95">
            <v>0</v>
          </cell>
          <cell r="E95">
            <v>0</v>
          </cell>
          <cell r="F95">
            <v>0</v>
          </cell>
          <cell r="G95">
            <v>7.99</v>
          </cell>
        </row>
        <row r="96">
          <cell r="A96" t="str">
            <v>BDB-WF212-BJX-M</v>
          </cell>
          <cell r="B96" t="str">
            <v>BDB-WF212</v>
          </cell>
          <cell r="C96">
            <v>1</v>
          </cell>
          <cell r="D96">
            <v>0</v>
          </cell>
          <cell r="E96">
            <v>0</v>
          </cell>
          <cell r="F96">
            <v>0</v>
          </cell>
          <cell r="G96">
            <v>9.99</v>
          </cell>
        </row>
        <row r="97">
          <cell r="A97" t="str">
            <v>ZDD-FLQ07-MC-28</v>
          </cell>
          <cell r="B97" t="str">
            <v>ZDD-FLQ07</v>
          </cell>
          <cell r="C97">
            <v>2</v>
          </cell>
          <cell r="D97">
            <v>0</v>
          </cell>
          <cell r="E97">
            <v>0</v>
          </cell>
          <cell r="F97">
            <v>0</v>
          </cell>
          <cell r="G97">
            <v>15.99</v>
          </cell>
        </row>
        <row r="98">
          <cell r="A98" t="str">
            <v>CWB-WF021-QB-L</v>
          </cell>
          <cell r="B98" t="str">
            <v>CWB-WF021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13.59</v>
          </cell>
        </row>
        <row r="99">
          <cell r="A99" t="str">
            <v>SNT-LUHM001-DX</v>
          </cell>
          <cell r="B99" t="str">
            <v>SNH-LUHM001</v>
          </cell>
          <cell r="C99">
            <v>3</v>
          </cell>
          <cell r="D99">
            <v>0</v>
          </cell>
          <cell r="E99">
            <v>0</v>
          </cell>
          <cell r="F99">
            <v>0</v>
          </cell>
          <cell r="G99">
            <v>14.99</v>
          </cell>
        </row>
        <row r="100">
          <cell r="A100" t="str">
            <v>WY-WF1217-KO-L</v>
          </cell>
          <cell r="B100" t="str">
            <v>WY-WF1217</v>
          </cell>
          <cell r="C100">
            <v>1</v>
          </cell>
          <cell r="D100">
            <v>0</v>
          </cell>
          <cell r="E100">
            <v>0</v>
          </cell>
          <cell r="F100">
            <v>0</v>
          </cell>
          <cell r="G100">
            <v>21.98</v>
          </cell>
        </row>
        <row r="101">
          <cell r="A101" t="str">
            <v>SB-LUHM100-B0</v>
          </cell>
          <cell r="B101" t="str">
            <v>SB-LUHM100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11.99</v>
          </cell>
        </row>
        <row r="102">
          <cell r="A102" t="str">
            <v>SJZP-FLQ19-SJV30-100</v>
          </cell>
          <cell r="B102" t="str">
            <v>SJZP-FLQ19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e">
            <v>#DIV/0!</v>
          </cell>
        </row>
        <row r="103">
          <cell r="A103" t="str">
            <v>ZDD-FLQ08-RO-28</v>
          </cell>
          <cell r="B103" t="str">
            <v>ZDD-FLQ08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15.99</v>
          </cell>
        </row>
        <row r="104">
          <cell r="A104" t="str">
            <v>XK-YIWUJS-GY-6IN</v>
          </cell>
          <cell r="B104" t="str">
            <v>XK-YIWUJS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 t="e">
            <v>#DIV/0!</v>
          </cell>
        </row>
        <row r="105">
          <cell r="A105" t="str">
            <v>CD-WF117-GR-1</v>
          </cell>
          <cell r="B105" t="str">
            <v>CD-WF117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  <cell r="G105">
            <v>15.99</v>
          </cell>
        </row>
        <row r="106">
          <cell r="A106" t="str">
            <v>SNT-LUHM001-HW</v>
          </cell>
          <cell r="B106" t="str">
            <v>SNH-LUHM001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14.99</v>
          </cell>
        </row>
        <row r="107">
          <cell r="A107" t="str">
            <v>SNH-LUHM001-K0</v>
          </cell>
          <cell r="B107" t="str">
            <v>SNH-LUHM001</v>
          </cell>
          <cell r="C107">
            <v>1</v>
          </cell>
          <cell r="D107">
            <v>0</v>
          </cell>
          <cell r="E107">
            <v>0</v>
          </cell>
          <cell r="F107">
            <v>0</v>
          </cell>
          <cell r="G107">
            <v>7.99</v>
          </cell>
        </row>
        <row r="108">
          <cell r="A108" t="str">
            <v>SNT-LUHM001-GQ</v>
          </cell>
          <cell r="B108" t="str">
            <v>SNH-LUHM001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14.99</v>
          </cell>
        </row>
        <row r="588">
          <cell r="A588" t="str">
            <v>QLQ-LUHM121-WO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YQ-LUHM-F111</v>
          </cell>
          <cell r="B2">
            <v>8.32333333333333</v>
          </cell>
        </row>
        <row r="3">
          <cell r="A3" t="str">
            <v>XM-LUHM111</v>
          </cell>
          <cell r="B3">
            <v>9.995</v>
          </cell>
        </row>
        <row r="4">
          <cell r="A4" t="str">
            <v>ZYL-FLQ06</v>
          </cell>
          <cell r="B4">
            <v>15.2862962962963</v>
          </cell>
        </row>
        <row r="5">
          <cell r="A5" t="str">
            <v>BLT-WF125</v>
          </cell>
          <cell r="B5">
            <v>10.1775</v>
          </cell>
        </row>
        <row r="6">
          <cell r="A6" t="str">
            <v>QLQ-LUHM121</v>
          </cell>
          <cell r="B6">
            <v>7.14092511013216</v>
          </cell>
        </row>
        <row r="7">
          <cell r="A7" t="str">
            <v>BA-FLQ02</v>
          </cell>
          <cell r="B7">
            <v>13.1455555555556</v>
          </cell>
        </row>
        <row r="8">
          <cell r="A8" t="str">
            <v>GT-WFY1</v>
          </cell>
          <cell r="B8">
            <v>13.99</v>
          </cell>
        </row>
        <row r="9">
          <cell r="A9" t="str">
            <v>QQ-LUHM-801-B0</v>
          </cell>
          <cell r="B9">
            <v>9.99</v>
          </cell>
        </row>
        <row r="10">
          <cell r="A10" t="str">
            <v>CD-WF0728</v>
          </cell>
          <cell r="B10" t="e">
            <v>#DIV/0!</v>
          </cell>
        </row>
        <row r="11">
          <cell r="A11" t="str">
            <v>CD-WF001</v>
          </cell>
          <cell r="B11">
            <v>12.4722222222222</v>
          </cell>
        </row>
        <row r="12">
          <cell r="A12" t="str">
            <v>CQC-WF6346</v>
          </cell>
          <cell r="B12">
            <v>12.99</v>
          </cell>
        </row>
        <row r="13">
          <cell r="A13" t="str">
            <v>ZYL-FLQ59</v>
          </cell>
          <cell r="B13">
            <v>13.6955555555556</v>
          </cell>
        </row>
        <row r="14">
          <cell r="A14" t="str">
            <v>BZ-WF211</v>
          </cell>
          <cell r="B14">
            <v>30</v>
          </cell>
        </row>
        <row r="15">
          <cell r="A15" t="str">
            <v>BLT-LUHM000</v>
          </cell>
          <cell r="B15">
            <v>9.99</v>
          </cell>
        </row>
        <row r="16">
          <cell r="A16" t="str">
            <v>GT-WFTFGT200</v>
          </cell>
          <cell r="B16">
            <v>13.4585714285714</v>
          </cell>
        </row>
        <row r="17">
          <cell r="A17" t="str">
            <v>CLP-FLQ43</v>
          </cell>
          <cell r="B17">
            <v>35.94</v>
          </cell>
        </row>
        <row r="18">
          <cell r="A18" t="str">
            <v>SND-FLQ17</v>
          </cell>
          <cell r="B18">
            <v>10</v>
          </cell>
        </row>
        <row r="19">
          <cell r="A19" t="str">
            <v>SL-LULW812</v>
          </cell>
          <cell r="B19">
            <v>15.7425</v>
          </cell>
        </row>
        <row r="20">
          <cell r="A20" t="str">
            <v>ZDD-FLQ08</v>
          </cell>
          <cell r="B20">
            <v>15.99</v>
          </cell>
        </row>
        <row r="21">
          <cell r="A21" t="str">
            <v>CD-WF</v>
          </cell>
          <cell r="B21">
            <v>11.7983333333333</v>
          </cell>
        </row>
        <row r="22">
          <cell r="A22" t="str">
            <v>WY-WF1225</v>
          </cell>
          <cell r="B22">
            <v>21.98</v>
          </cell>
        </row>
        <row r="23">
          <cell r="A23" t="str">
            <v>XK-YIWUJS6</v>
          </cell>
          <cell r="B23">
            <v>12.99</v>
          </cell>
        </row>
        <row r="24">
          <cell r="A24" t="str">
            <v>SD-LUHM202</v>
          </cell>
          <cell r="B24">
            <v>9.99</v>
          </cell>
        </row>
        <row r="25">
          <cell r="A25" t="str">
            <v>XK-YIWUJS2</v>
          </cell>
          <cell r="B25">
            <v>12.99</v>
          </cell>
        </row>
        <row r="26">
          <cell r="A26" t="str">
            <v>SJZP-FLQ19</v>
          </cell>
          <cell r="B26">
            <v>81.99</v>
          </cell>
        </row>
        <row r="27">
          <cell r="A27" t="str">
            <v>XQ-LUHM089</v>
          </cell>
          <cell r="B27">
            <v>9.99</v>
          </cell>
        </row>
        <row r="28">
          <cell r="A28" t="str">
            <v>SDSZH</v>
          </cell>
          <cell r="B28">
            <v>17.91</v>
          </cell>
        </row>
        <row r="29">
          <cell r="A29" t="str">
            <v>XK-YIWUJS4</v>
          </cell>
          <cell r="B29">
            <v>13.99</v>
          </cell>
        </row>
        <row r="30">
          <cell r="A30" t="str">
            <v>BD-LUHM001</v>
          </cell>
          <cell r="B30">
            <v>9.99</v>
          </cell>
        </row>
        <row r="31">
          <cell r="A31" t="str">
            <v>BDB-WF212</v>
          </cell>
          <cell r="B31">
            <v>9.5875</v>
          </cell>
        </row>
        <row r="32">
          <cell r="A32" t="str">
            <v>XK-YIWUJS8</v>
          </cell>
          <cell r="B32">
            <v>13.99</v>
          </cell>
        </row>
        <row r="33">
          <cell r="A33" t="str">
            <v>ND-LUHM027</v>
          </cell>
          <cell r="B33">
            <v>9.99</v>
          </cell>
        </row>
        <row r="34">
          <cell r="A34" t="str">
            <v>ZQ-WF002</v>
          </cell>
          <cell r="B34">
            <v>18.99</v>
          </cell>
        </row>
        <row r="35">
          <cell r="A35" t="str">
            <v>CWB-FLQ1703</v>
          </cell>
          <cell r="B35">
            <v>20</v>
          </cell>
        </row>
        <row r="36">
          <cell r="A36" t="str">
            <v>SQ-LUHM</v>
          </cell>
          <cell r="B36">
            <v>19.2042857142857</v>
          </cell>
        </row>
        <row r="37">
          <cell r="A37" t="str">
            <v>SND-FLQ18</v>
          </cell>
          <cell r="B37">
            <v>10</v>
          </cell>
        </row>
        <row r="38">
          <cell r="A38" t="str">
            <v>BLT-LUHM819</v>
          </cell>
          <cell r="B38">
            <v>8.99</v>
          </cell>
        </row>
        <row r="39">
          <cell r="A39" t="str">
            <v>CWB-WF021</v>
          </cell>
          <cell r="B39">
            <v>13.8266666666667</v>
          </cell>
        </row>
        <row r="40">
          <cell r="A40" t="str">
            <v>XQ-LUHM034</v>
          </cell>
          <cell r="B40">
            <v>9.99</v>
          </cell>
        </row>
        <row r="41">
          <cell r="A41" t="str">
            <v>ZYL-FLQ2013</v>
          </cell>
          <cell r="B41">
            <v>14.99</v>
          </cell>
        </row>
        <row r="42">
          <cell r="A42" t="str">
            <v>HYD-WF7995</v>
          </cell>
          <cell r="B42">
            <v>10</v>
          </cell>
        </row>
        <row r="43">
          <cell r="A43" t="str">
            <v>YQ-LUHM-F114</v>
          </cell>
          <cell r="B43">
            <v>15.99</v>
          </cell>
        </row>
        <row r="44">
          <cell r="A44" t="str">
            <v>CD-WF117</v>
          </cell>
          <cell r="B44">
            <v>15.99</v>
          </cell>
        </row>
        <row r="45">
          <cell r="A45" t="str">
            <v>SNH-LUHM001</v>
          </cell>
          <cell r="B45">
            <v>12.365</v>
          </cell>
        </row>
        <row r="46">
          <cell r="A46" t="str">
            <v>ZDD-FLQ07</v>
          </cell>
          <cell r="B46">
            <v>15.99</v>
          </cell>
        </row>
        <row r="47">
          <cell r="A47" t="str">
            <v>WY-WF1217</v>
          </cell>
          <cell r="B47">
            <v>21.98</v>
          </cell>
        </row>
        <row r="48">
          <cell r="A48" t="str">
            <v>SB-LUHM100</v>
          </cell>
          <cell r="B48">
            <v>11.99</v>
          </cell>
        </row>
        <row r="49">
          <cell r="A49" t="str">
            <v>XK-YIWUJS</v>
          </cell>
          <cell r="B49" t="e">
            <v>#DIV/0!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201</v>
          </cell>
          <cell r="C2">
            <v>178</v>
          </cell>
          <cell r="D2">
            <v>74</v>
          </cell>
          <cell r="E2">
            <v>53</v>
          </cell>
        </row>
        <row r="3">
          <cell r="A3" t="str">
            <v>B076P8S1LC</v>
          </cell>
          <cell r="B3">
            <v>33</v>
          </cell>
          <cell r="C3">
            <v>67</v>
          </cell>
          <cell r="D3">
            <v>19</v>
          </cell>
          <cell r="E3">
            <v>31</v>
          </cell>
        </row>
        <row r="4">
          <cell r="A4" t="str">
            <v>B07CQJ8G3M</v>
          </cell>
          <cell r="B4">
            <v>34</v>
          </cell>
          <cell r="C4">
            <v>62</v>
          </cell>
          <cell r="D4">
            <v>21</v>
          </cell>
          <cell r="E4">
            <v>10</v>
          </cell>
        </row>
        <row r="5">
          <cell r="A5" t="str">
            <v>B075N1KNHS</v>
          </cell>
          <cell r="B5">
            <v>12</v>
          </cell>
          <cell r="C5">
            <v>15</v>
          </cell>
          <cell r="D5">
            <v>17</v>
          </cell>
          <cell r="E5">
            <v>15</v>
          </cell>
        </row>
        <row r="6">
          <cell r="A6" t="str">
            <v>B075R4XJZV</v>
          </cell>
          <cell r="B6">
            <v>4</v>
          </cell>
          <cell r="C6">
            <v>38</v>
          </cell>
          <cell r="D6">
            <v>14</v>
          </cell>
          <cell r="E6">
            <v>16</v>
          </cell>
        </row>
        <row r="7">
          <cell r="A7" t="str">
            <v>B077GN6JWN</v>
          </cell>
          <cell r="B7">
            <v>0</v>
          </cell>
          <cell r="C7">
            <v>0</v>
          </cell>
          <cell r="D7">
            <v>10</v>
          </cell>
          <cell r="E7">
            <v>11</v>
          </cell>
        </row>
        <row r="8">
          <cell r="A8" t="str">
            <v>B0788PS6BD</v>
          </cell>
          <cell r="B8">
            <v>13</v>
          </cell>
          <cell r="C8">
            <v>44</v>
          </cell>
          <cell r="D8">
            <v>36</v>
          </cell>
          <cell r="E8">
            <v>54</v>
          </cell>
        </row>
        <row r="9">
          <cell r="A9" t="str">
            <v>B077GLWQYT</v>
          </cell>
          <cell r="B9">
            <v>0</v>
          </cell>
          <cell r="C9">
            <v>0</v>
          </cell>
          <cell r="D9">
            <v>2</v>
          </cell>
          <cell r="E9">
            <v>6</v>
          </cell>
        </row>
        <row r="10">
          <cell r="A10" t="str">
            <v>B077GN3FGY</v>
          </cell>
          <cell r="B10">
            <v>0</v>
          </cell>
          <cell r="C10">
            <v>0</v>
          </cell>
          <cell r="D10">
            <v>13</v>
          </cell>
          <cell r="E10">
            <v>3</v>
          </cell>
        </row>
        <row r="11">
          <cell r="A11" t="str">
            <v>B077NVWPQW</v>
          </cell>
          <cell r="B11">
            <v>4</v>
          </cell>
          <cell r="C11">
            <v>7</v>
          </cell>
          <cell r="D11">
            <v>0</v>
          </cell>
          <cell r="E11">
            <v>1</v>
          </cell>
        </row>
        <row r="12">
          <cell r="A12" t="str">
            <v>B077TSGJTH</v>
          </cell>
          <cell r="B12">
            <v>7</v>
          </cell>
          <cell r="C12">
            <v>13</v>
          </cell>
          <cell r="D12">
            <v>7</v>
          </cell>
          <cell r="E12">
            <v>6</v>
          </cell>
        </row>
        <row r="13">
          <cell r="A13" t="str">
            <v>B078955T7Y</v>
          </cell>
          <cell r="B13">
            <v>1</v>
          </cell>
          <cell r="C13">
            <v>4</v>
          </cell>
          <cell r="D13">
            <v>7</v>
          </cell>
          <cell r="E13">
            <v>12</v>
          </cell>
        </row>
        <row r="14">
          <cell r="A14" t="str">
            <v>B07BV8R441</v>
          </cell>
          <cell r="B14">
            <v>10</v>
          </cell>
          <cell r="C14">
            <v>20</v>
          </cell>
          <cell r="D14">
            <v>11</v>
          </cell>
          <cell r="E14">
            <v>22</v>
          </cell>
        </row>
        <row r="15">
          <cell r="A15" t="str">
            <v>B07C76QF92</v>
          </cell>
          <cell r="B15">
            <v>0</v>
          </cell>
          <cell r="C15">
            <v>3</v>
          </cell>
          <cell r="D15">
            <v>2</v>
          </cell>
          <cell r="E15">
            <v>4</v>
          </cell>
        </row>
        <row r="16">
          <cell r="A16" t="str">
            <v>B075N2WFMS</v>
          </cell>
          <cell r="B16">
            <v>0</v>
          </cell>
          <cell r="C16">
            <v>0</v>
          </cell>
          <cell r="D16">
            <v>0</v>
          </cell>
          <cell r="E16">
            <v>11</v>
          </cell>
        </row>
        <row r="17">
          <cell r="A17" t="str">
            <v>B075N3N55V</v>
          </cell>
          <cell r="B17">
            <v>28</v>
          </cell>
          <cell r="C17">
            <v>34</v>
          </cell>
          <cell r="D17">
            <v>17</v>
          </cell>
          <cell r="E17">
            <v>34</v>
          </cell>
        </row>
        <row r="18">
          <cell r="A18" t="str">
            <v>B075N4YGPD</v>
          </cell>
          <cell r="B18">
            <v>0</v>
          </cell>
          <cell r="C18">
            <v>4</v>
          </cell>
          <cell r="D18">
            <v>0</v>
          </cell>
          <cell r="E18">
            <v>11</v>
          </cell>
        </row>
        <row r="19">
          <cell r="A19" t="str">
            <v>B075N7VCYM</v>
          </cell>
          <cell r="B19">
            <v>0</v>
          </cell>
          <cell r="C19">
            <v>0</v>
          </cell>
          <cell r="D19">
            <v>0</v>
          </cell>
          <cell r="E19">
            <v>5</v>
          </cell>
        </row>
        <row r="20">
          <cell r="A20" t="str">
            <v>B075R4RWDL</v>
          </cell>
          <cell r="B20">
            <v>15</v>
          </cell>
          <cell r="C20">
            <v>436</v>
          </cell>
          <cell r="D20">
            <v>26</v>
          </cell>
          <cell r="E20">
            <v>25</v>
          </cell>
        </row>
        <row r="21">
          <cell r="A21" t="str">
            <v>B075R92YGF</v>
          </cell>
          <cell r="B21">
            <v>6</v>
          </cell>
          <cell r="C21">
            <v>17</v>
          </cell>
          <cell r="D21">
            <v>4</v>
          </cell>
          <cell r="E21">
            <v>1</v>
          </cell>
        </row>
        <row r="22">
          <cell r="A22" t="str">
            <v>B075ZV778Y</v>
          </cell>
          <cell r="B22">
            <v>0</v>
          </cell>
          <cell r="C22">
            <v>0</v>
          </cell>
          <cell r="D22">
            <v>0</v>
          </cell>
          <cell r="E22">
            <v>3</v>
          </cell>
        </row>
        <row r="23">
          <cell r="A23" t="str">
            <v>B076J5DWFM</v>
          </cell>
          <cell r="B23">
            <v>5</v>
          </cell>
          <cell r="C23">
            <v>13</v>
          </cell>
          <cell r="D23">
            <v>8</v>
          </cell>
          <cell r="E23">
            <v>2</v>
          </cell>
        </row>
        <row r="24">
          <cell r="A24" t="str">
            <v>B076J6VFSP</v>
          </cell>
          <cell r="B24">
            <v>12</v>
          </cell>
          <cell r="C24">
            <v>27</v>
          </cell>
          <cell r="D24">
            <v>29</v>
          </cell>
          <cell r="E24">
            <v>21</v>
          </cell>
        </row>
        <row r="25">
          <cell r="A25" t="str">
            <v>B076J9MFHW</v>
          </cell>
          <cell r="B25">
            <v>9</v>
          </cell>
          <cell r="C25">
            <v>5</v>
          </cell>
          <cell r="D25">
            <v>11</v>
          </cell>
          <cell r="E25">
            <v>6</v>
          </cell>
        </row>
        <row r="26">
          <cell r="A26" t="str">
            <v>B076VDS945</v>
          </cell>
          <cell r="B26">
            <v>14</v>
          </cell>
          <cell r="C26">
            <v>13</v>
          </cell>
          <cell r="D26">
            <v>9</v>
          </cell>
          <cell r="E26">
            <v>10</v>
          </cell>
        </row>
        <row r="27">
          <cell r="A27" t="str">
            <v>B0776Q1PQP</v>
          </cell>
          <cell r="B27">
            <v>0</v>
          </cell>
          <cell r="C27">
            <v>4</v>
          </cell>
          <cell r="D27">
            <v>4</v>
          </cell>
          <cell r="E27">
            <v>6</v>
          </cell>
        </row>
        <row r="28">
          <cell r="A28" t="str">
            <v>B077SBYB2D</v>
          </cell>
          <cell r="B28">
            <v>0</v>
          </cell>
          <cell r="C28">
            <v>0</v>
          </cell>
          <cell r="D28">
            <v>0</v>
          </cell>
          <cell r="E28">
            <v>27</v>
          </cell>
        </row>
        <row r="29">
          <cell r="A29" t="str">
            <v>B077TDWD7Z</v>
          </cell>
          <cell r="B29">
            <v>0</v>
          </cell>
          <cell r="C29">
            <v>0</v>
          </cell>
          <cell r="D29">
            <v>0</v>
          </cell>
          <cell r="E29">
            <v>6</v>
          </cell>
        </row>
        <row r="30">
          <cell r="A30" t="str">
            <v>B077TDZTMC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</row>
        <row r="31">
          <cell r="A31" t="str">
            <v>B077TGMRGP</v>
          </cell>
          <cell r="B31">
            <v>6</v>
          </cell>
          <cell r="C31">
            <v>5</v>
          </cell>
          <cell r="D31">
            <v>11</v>
          </cell>
          <cell r="E31">
            <v>4</v>
          </cell>
        </row>
        <row r="32">
          <cell r="A32" t="str">
            <v>B0788M5K8H</v>
          </cell>
          <cell r="B32">
            <v>12</v>
          </cell>
          <cell r="C32">
            <v>7</v>
          </cell>
          <cell r="D32">
            <v>5</v>
          </cell>
          <cell r="E32">
            <v>10</v>
          </cell>
        </row>
        <row r="33">
          <cell r="A33" t="str">
            <v>B078JQ3KLW</v>
          </cell>
          <cell r="B33">
            <v>4</v>
          </cell>
          <cell r="C33">
            <v>26</v>
          </cell>
          <cell r="D33">
            <v>15</v>
          </cell>
          <cell r="E33">
            <v>5</v>
          </cell>
        </row>
        <row r="34">
          <cell r="A34" t="str">
            <v>B078MNG1TG</v>
          </cell>
          <cell r="B34">
            <v>2</v>
          </cell>
          <cell r="C34">
            <v>9</v>
          </cell>
          <cell r="D34">
            <v>21</v>
          </cell>
          <cell r="E34">
            <v>8</v>
          </cell>
        </row>
        <row r="35">
          <cell r="A35" t="str">
            <v>B078MPBBKH</v>
          </cell>
          <cell r="B35">
            <v>4</v>
          </cell>
          <cell r="C35">
            <v>5</v>
          </cell>
          <cell r="D35">
            <v>6</v>
          </cell>
          <cell r="E35">
            <v>3</v>
          </cell>
        </row>
        <row r="36">
          <cell r="A36" t="str">
            <v>B078RNM8V8</v>
          </cell>
          <cell r="B36">
            <v>10</v>
          </cell>
          <cell r="C36">
            <v>32</v>
          </cell>
          <cell r="D36">
            <v>8</v>
          </cell>
          <cell r="E36">
            <v>12</v>
          </cell>
        </row>
        <row r="37">
          <cell r="A37" t="str">
            <v>B07BVMP1DH</v>
          </cell>
          <cell r="B37">
            <v>3</v>
          </cell>
          <cell r="C37">
            <v>2</v>
          </cell>
          <cell r="D37">
            <v>3</v>
          </cell>
          <cell r="E37">
            <v>14</v>
          </cell>
        </row>
        <row r="38">
          <cell r="A38" t="str">
            <v>B07CPW1TRS</v>
          </cell>
          <cell r="B38">
            <v>53</v>
          </cell>
          <cell r="C38">
            <v>27</v>
          </cell>
          <cell r="D38">
            <v>21</v>
          </cell>
          <cell r="E38">
            <v>2</v>
          </cell>
        </row>
        <row r="39">
          <cell r="A39" t="str">
            <v>B07CVDJ9S8</v>
          </cell>
          <cell r="B39">
            <v>2</v>
          </cell>
          <cell r="C39">
            <v>4</v>
          </cell>
          <cell r="D39">
            <v>1</v>
          </cell>
          <cell r="E39">
            <v>1</v>
          </cell>
        </row>
        <row r="40">
          <cell r="A40" t="str">
            <v>B07CVDVW47</v>
          </cell>
          <cell r="B40">
            <v>0</v>
          </cell>
          <cell r="C40">
            <v>3</v>
          </cell>
          <cell r="D40">
            <v>4</v>
          </cell>
          <cell r="E40">
            <v>3</v>
          </cell>
        </row>
        <row r="41">
          <cell r="A41" t="str">
            <v>B07D4FWK6H</v>
          </cell>
          <cell r="B41">
            <v>11</v>
          </cell>
          <cell r="C41">
            <v>17</v>
          </cell>
          <cell r="D41">
            <v>10</v>
          </cell>
          <cell r="E41">
            <v>17</v>
          </cell>
        </row>
        <row r="42">
          <cell r="A42" t="str">
            <v>B07D4GDZTQ</v>
          </cell>
          <cell r="B42">
            <v>16</v>
          </cell>
          <cell r="C42">
            <v>0</v>
          </cell>
          <cell r="D42">
            <v>23</v>
          </cell>
          <cell r="E42">
            <v>15</v>
          </cell>
        </row>
        <row r="43">
          <cell r="A43" t="str">
            <v>B07D4GSD2Q</v>
          </cell>
          <cell r="B43">
            <v>5</v>
          </cell>
          <cell r="C43">
            <v>21</v>
          </cell>
          <cell r="D43">
            <v>3</v>
          </cell>
          <cell r="E43">
            <v>13</v>
          </cell>
        </row>
        <row r="44">
          <cell r="A44" t="str">
            <v>B075QF56L3</v>
          </cell>
          <cell r="B44">
            <v>14</v>
          </cell>
          <cell r="C44">
            <v>8</v>
          </cell>
          <cell r="D44">
            <v>8</v>
          </cell>
          <cell r="E44">
            <v>5</v>
          </cell>
        </row>
        <row r="45">
          <cell r="A45" t="str">
            <v>B075QFMG4P</v>
          </cell>
          <cell r="B45">
            <v>6</v>
          </cell>
          <cell r="C45">
            <v>1</v>
          </cell>
          <cell r="D45">
            <v>1</v>
          </cell>
          <cell r="E45">
            <v>4</v>
          </cell>
        </row>
        <row r="46">
          <cell r="A46" t="str">
            <v>B075QFP51N</v>
          </cell>
          <cell r="B46">
            <v>10</v>
          </cell>
          <cell r="C46">
            <v>10</v>
          </cell>
          <cell r="D46">
            <v>3</v>
          </cell>
          <cell r="E46">
            <v>5</v>
          </cell>
        </row>
        <row r="47">
          <cell r="A47" t="str">
            <v>B075QG33T1</v>
          </cell>
          <cell r="B47">
            <v>2</v>
          </cell>
          <cell r="C47">
            <v>5</v>
          </cell>
          <cell r="D47">
            <v>5</v>
          </cell>
          <cell r="E47">
            <v>13</v>
          </cell>
        </row>
        <row r="48">
          <cell r="A48" t="str">
            <v>B075RCQD9P</v>
          </cell>
          <cell r="B48">
            <v>7</v>
          </cell>
          <cell r="C48">
            <v>50</v>
          </cell>
          <cell r="D48">
            <v>20</v>
          </cell>
          <cell r="E48">
            <v>22</v>
          </cell>
        </row>
        <row r="49">
          <cell r="A49" t="str">
            <v>B0761KKJCB</v>
          </cell>
          <cell r="B49">
            <v>1</v>
          </cell>
          <cell r="C49">
            <v>4</v>
          </cell>
          <cell r="D49">
            <v>5</v>
          </cell>
          <cell r="E49">
            <v>3</v>
          </cell>
        </row>
        <row r="50">
          <cell r="A50" t="str">
            <v>B076J2DG1R</v>
          </cell>
          <cell r="B50">
            <v>3</v>
          </cell>
          <cell r="C50">
            <v>2</v>
          </cell>
          <cell r="D50">
            <v>1</v>
          </cell>
          <cell r="E50">
            <v>3</v>
          </cell>
        </row>
        <row r="51">
          <cell r="A51" t="str">
            <v>B076J61QFW</v>
          </cell>
          <cell r="B51">
            <v>2</v>
          </cell>
          <cell r="C51">
            <v>5</v>
          </cell>
          <cell r="D51">
            <v>1</v>
          </cell>
          <cell r="E51">
            <v>1</v>
          </cell>
        </row>
        <row r="52">
          <cell r="A52" t="str">
            <v>B076J67W43</v>
          </cell>
          <cell r="B52">
            <v>1</v>
          </cell>
          <cell r="C52">
            <v>6</v>
          </cell>
          <cell r="D52">
            <v>4</v>
          </cell>
          <cell r="E52">
            <v>3</v>
          </cell>
        </row>
        <row r="53">
          <cell r="A53" t="str">
            <v>B076J6K8RL</v>
          </cell>
          <cell r="B53">
            <v>9</v>
          </cell>
          <cell r="C53">
            <v>11</v>
          </cell>
          <cell r="D53">
            <v>7</v>
          </cell>
          <cell r="E53">
            <v>14</v>
          </cell>
        </row>
        <row r="54">
          <cell r="A54" t="str">
            <v>B076J6VD3L</v>
          </cell>
          <cell r="B54">
            <v>3</v>
          </cell>
          <cell r="C54">
            <v>3</v>
          </cell>
          <cell r="D54">
            <v>1</v>
          </cell>
          <cell r="E54">
            <v>1</v>
          </cell>
        </row>
        <row r="55">
          <cell r="A55" t="str">
            <v>B076J988J5</v>
          </cell>
          <cell r="B55">
            <v>4</v>
          </cell>
          <cell r="C55">
            <v>3</v>
          </cell>
          <cell r="D55">
            <v>4</v>
          </cell>
          <cell r="E55">
            <v>1</v>
          </cell>
        </row>
        <row r="56">
          <cell r="A56" t="str">
            <v>B076P8MNVV</v>
          </cell>
          <cell r="B56">
            <v>7</v>
          </cell>
          <cell r="C56">
            <v>9</v>
          </cell>
          <cell r="D56">
            <v>9</v>
          </cell>
          <cell r="E56">
            <v>9</v>
          </cell>
        </row>
        <row r="57">
          <cell r="A57" t="str">
            <v>B076PCPP68</v>
          </cell>
          <cell r="B57">
            <v>10</v>
          </cell>
          <cell r="C57">
            <v>5</v>
          </cell>
          <cell r="D57">
            <v>3</v>
          </cell>
          <cell r="E57">
            <v>4</v>
          </cell>
        </row>
        <row r="58">
          <cell r="A58" t="str">
            <v>B076VCM38W</v>
          </cell>
          <cell r="B58">
            <v>1</v>
          </cell>
          <cell r="C58">
            <v>3</v>
          </cell>
          <cell r="D58">
            <v>2</v>
          </cell>
          <cell r="E58">
            <v>9</v>
          </cell>
        </row>
        <row r="59">
          <cell r="A59" t="str">
            <v>B076VL2YKB</v>
          </cell>
          <cell r="B59">
            <v>7</v>
          </cell>
          <cell r="C59">
            <v>6</v>
          </cell>
          <cell r="D59">
            <v>3</v>
          </cell>
          <cell r="E59">
            <v>6</v>
          </cell>
        </row>
        <row r="60">
          <cell r="A60" t="str">
            <v>B076VMW2WD</v>
          </cell>
          <cell r="B60">
            <v>10</v>
          </cell>
          <cell r="C60">
            <v>11</v>
          </cell>
          <cell r="D60">
            <v>4</v>
          </cell>
          <cell r="E60">
            <v>8</v>
          </cell>
        </row>
        <row r="61">
          <cell r="A61" t="str">
            <v>B076WN8XVK</v>
          </cell>
          <cell r="B61">
            <v>32</v>
          </cell>
          <cell r="C61">
            <v>43</v>
          </cell>
          <cell r="D61">
            <v>35</v>
          </cell>
          <cell r="E61">
            <v>47</v>
          </cell>
        </row>
        <row r="62">
          <cell r="A62" t="str">
            <v>B076ZJHNKM</v>
          </cell>
          <cell r="B62">
            <v>1</v>
          </cell>
          <cell r="C62">
            <v>1</v>
          </cell>
          <cell r="D62">
            <v>1</v>
          </cell>
          <cell r="E62">
            <v>2</v>
          </cell>
        </row>
        <row r="63">
          <cell r="A63" t="str">
            <v>B076ZKPLVZ</v>
          </cell>
          <cell r="B63">
            <v>0</v>
          </cell>
          <cell r="C63">
            <v>3</v>
          </cell>
          <cell r="D63">
            <v>0</v>
          </cell>
          <cell r="E63">
            <v>1</v>
          </cell>
        </row>
        <row r="64">
          <cell r="A64" t="str">
            <v>B077264LR6</v>
          </cell>
          <cell r="B64">
            <v>4</v>
          </cell>
          <cell r="C64">
            <v>2</v>
          </cell>
          <cell r="D64">
            <v>7</v>
          </cell>
          <cell r="E64">
            <v>7</v>
          </cell>
        </row>
        <row r="65">
          <cell r="A65" t="str">
            <v>B077277SF1</v>
          </cell>
          <cell r="B65">
            <v>4</v>
          </cell>
          <cell r="C65">
            <v>0</v>
          </cell>
          <cell r="D65">
            <v>0</v>
          </cell>
          <cell r="E65">
            <v>2</v>
          </cell>
        </row>
        <row r="66">
          <cell r="A66" t="str">
            <v>B0772934HW</v>
          </cell>
          <cell r="B66">
            <v>2</v>
          </cell>
          <cell r="C66">
            <v>2</v>
          </cell>
          <cell r="D66">
            <v>1</v>
          </cell>
          <cell r="E66">
            <v>3</v>
          </cell>
        </row>
        <row r="67">
          <cell r="A67" t="str">
            <v>B0772JDLB6</v>
          </cell>
          <cell r="B67">
            <v>2</v>
          </cell>
          <cell r="C67">
            <v>4</v>
          </cell>
          <cell r="D67">
            <v>2</v>
          </cell>
          <cell r="E67">
            <v>1</v>
          </cell>
        </row>
        <row r="68">
          <cell r="A68" t="str">
            <v>B0772JJ5YH</v>
          </cell>
          <cell r="B68">
            <v>2</v>
          </cell>
          <cell r="C68">
            <v>2</v>
          </cell>
          <cell r="D68">
            <v>0</v>
          </cell>
          <cell r="E68">
            <v>1</v>
          </cell>
        </row>
        <row r="69">
          <cell r="A69" t="str">
            <v>B0772TKSHM</v>
          </cell>
          <cell r="B69">
            <v>3</v>
          </cell>
          <cell r="C69">
            <v>4</v>
          </cell>
          <cell r="D69">
            <v>4</v>
          </cell>
          <cell r="E69">
            <v>6</v>
          </cell>
        </row>
        <row r="70">
          <cell r="A70" t="str">
            <v>B0776NWKMG</v>
          </cell>
          <cell r="B70">
            <v>3</v>
          </cell>
          <cell r="C70">
            <v>4</v>
          </cell>
          <cell r="D70">
            <v>4</v>
          </cell>
          <cell r="E70">
            <v>2</v>
          </cell>
        </row>
        <row r="71">
          <cell r="A71" t="str">
            <v>B0779QX5JV</v>
          </cell>
          <cell r="B71">
            <v>6</v>
          </cell>
          <cell r="C71">
            <v>4</v>
          </cell>
          <cell r="D71">
            <v>0</v>
          </cell>
          <cell r="E71">
            <v>2</v>
          </cell>
        </row>
        <row r="72">
          <cell r="A72" t="str">
            <v>B0779RFXY2</v>
          </cell>
          <cell r="B72">
            <v>11</v>
          </cell>
          <cell r="C72">
            <v>12</v>
          </cell>
          <cell r="D72">
            <v>2</v>
          </cell>
          <cell r="E72">
            <v>1</v>
          </cell>
        </row>
        <row r="73">
          <cell r="A73" t="str">
            <v>B0779RQ56M</v>
          </cell>
          <cell r="B73">
            <v>16</v>
          </cell>
          <cell r="C73">
            <v>32</v>
          </cell>
          <cell r="D73">
            <v>8</v>
          </cell>
          <cell r="E73">
            <v>17</v>
          </cell>
        </row>
        <row r="74">
          <cell r="A74" t="str">
            <v>B0779RQHWK</v>
          </cell>
          <cell r="B74">
            <v>7</v>
          </cell>
          <cell r="C74">
            <v>4</v>
          </cell>
          <cell r="D74">
            <v>2</v>
          </cell>
          <cell r="E74">
            <v>2</v>
          </cell>
        </row>
        <row r="75">
          <cell r="A75" t="str">
            <v>B0779RT3RQ</v>
          </cell>
          <cell r="B75">
            <v>0</v>
          </cell>
          <cell r="C75">
            <v>1</v>
          </cell>
          <cell r="D75">
            <v>2</v>
          </cell>
          <cell r="E75">
            <v>3</v>
          </cell>
        </row>
        <row r="76">
          <cell r="A76" t="str">
            <v>B0779V1KQL</v>
          </cell>
          <cell r="B76">
            <v>8</v>
          </cell>
          <cell r="C76">
            <v>9</v>
          </cell>
          <cell r="D76">
            <v>5</v>
          </cell>
          <cell r="E76">
            <v>3</v>
          </cell>
        </row>
        <row r="77">
          <cell r="A77" t="str">
            <v>B0779W68GS</v>
          </cell>
          <cell r="B77">
            <v>4</v>
          </cell>
          <cell r="C77">
            <v>5</v>
          </cell>
          <cell r="D77">
            <v>4</v>
          </cell>
          <cell r="E77">
            <v>4</v>
          </cell>
        </row>
        <row r="78">
          <cell r="A78" t="str">
            <v>B0779W8MFG</v>
          </cell>
          <cell r="B78">
            <v>7</v>
          </cell>
          <cell r="C78">
            <v>10</v>
          </cell>
          <cell r="D78">
            <v>2</v>
          </cell>
          <cell r="E78">
            <v>3</v>
          </cell>
        </row>
        <row r="79">
          <cell r="A79" t="str">
            <v>B0779YRGR1</v>
          </cell>
          <cell r="B79">
            <v>1</v>
          </cell>
          <cell r="C79">
            <v>4</v>
          </cell>
          <cell r="D79">
            <v>3</v>
          </cell>
          <cell r="E79">
            <v>3</v>
          </cell>
        </row>
        <row r="80">
          <cell r="A80" t="str">
            <v>B0779Z2TS6</v>
          </cell>
          <cell r="B80">
            <v>20</v>
          </cell>
          <cell r="C80">
            <v>22</v>
          </cell>
          <cell r="D80">
            <v>7</v>
          </cell>
          <cell r="E80">
            <v>6</v>
          </cell>
        </row>
        <row r="81">
          <cell r="A81" t="str">
            <v>B077B51CYY</v>
          </cell>
          <cell r="B81">
            <v>0</v>
          </cell>
          <cell r="C81">
            <v>3</v>
          </cell>
          <cell r="D81">
            <v>5</v>
          </cell>
          <cell r="E81">
            <v>7</v>
          </cell>
        </row>
        <row r="82">
          <cell r="A82" t="str">
            <v>B077D32DC6</v>
          </cell>
          <cell r="B82">
            <v>3</v>
          </cell>
          <cell r="C82">
            <v>2</v>
          </cell>
          <cell r="D82">
            <v>2</v>
          </cell>
          <cell r="E82">
            <v>2</v>
          </cell>
        </row>
        <row r="83">
          <cell r="A83" t="str">
            <v>B077D4N51C</v>
          </cell>
          <cell r="B83">
            <v>5</v>
          </cell>
          <cell r="C83">
            <v>5</v>
          </cell>
          <cell r="D83">
            <v>2</v>
          </cell>
          <cell r="E83">
            <v>3</v>
          </cell>
        </row>
        <row r="84">
          <cell r="A84" t="str">
            <v>B077N9TG25</v>
          </cell>
          <cell r="B84">
            <v>5</v>
          </cell>
          <cell r="C84">
            <v>1</v>
          </cell>
          <cell r="D84">
            <v>1</v>
          </cell>
          <cell r="E84">
            <v>1</v>
          </cell>
        </row>
        <row r="85">
          <cell r="A85" t="str">
            <v>B077NC4276</v>
          </cell>
          <cell r="B85">
            <v>0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B077NCHFV2</v>
          </cell>
          <cell r="B86">
            <v>5</v>
          </cell>
          <cell r="C86">
            <v>2</v>
          </cell>
          <cell r="D86">
            <v>0</v>
          </cell>
          <cell r="E86">
            <v>1</v>
          </cell>
        </row>
        <row r="87">
          <cell r="A87" t="str">
            <v>B077NCS1K2</v>
          </cell>
          <cell r="B87">
            <v>0</v>
          </cell>
          <cell r="C87">
            <v>2</v>
          </cell>
          <cell r="D87">
            <v>1</v>
          </cell>
          <cell r="E87">
            <v>1</v>
          </cell>
        </row>
        <row r="88">
          <cell r="A88" t="str">
            <v>B077NVQNC9</v>
          </cell>
          <cell r="B88">
            <v>1</v>
          </cell>
          <cell r="C88">
            <v>4</v>
          </cell>
          <cell r="D88">
            <v>1</v>
          </cell>
          <cell r="E88">
            <v>8</v>
          </cell>
        </row>
        <row r="89">
          <cell r="A89" t="str">
            <v>B077NZLTQX</v>
          </cell>
          <cell r="B89">
            <v>7</v>
          </cell>
          <cell r="C89">
            <v>5</v>
          </cell>
          <cell r="D89">
            <v>3</v>
          </cell>
          <cell r="E89">
            <v>4</v>
          </cell>
        </row>
        <row r="90">
          <cell r="A90" t="str">
            <v>B077PTSNWW</v>
          </cell>
          <cell r="B90">
            <v>1</v>
          </cell>
          <cell r="C90">
            <v>2</v>
          </cell>
          <cell r="D90">
            <v>2</v>
          </cell>
          <cell r="E90">
            <v>3</v>
          </cell>
        </row>
        <row r="91">
          <cell r="A91" t="str">
            <v>B077QD1DQN</v>
          </cell>
          <cell r="B91">
            <v>13</v>
          </cell>
          <cell r="C91">
            <v>10</v>
          </cell>
          <cell r="D91">
            <v>6</v>
          </cell>
          <cell r="E91">
            <v>13</v>
          </cell>
        </row>
        <row r="92">
          <cell r="A92" t="str">
            <v>B077STZV9Y</v>
          </cell>
          <cell r="B92">
            <v>14</v>
          </cell>
          <cell r="C92">
            <v>8</v>
          </cell>
          <cell r="D92">
            <v>1</v>
          </cell>
          <cell r="E92">
            <v>5</v>
          </cell>
        </row>
        <row r="93">
          <cell r="A93" t="str">
            <v>B077SZ4KTN</v>
          </cell>
          <cell r="B93">
            <v>3</v>
          </cell>
          <cell r="C93">
            <v>4</v>
          </cell>
          <cell r="D93">
            <v>5</v>
          </cell>
          <cell r="E93">
            <v>2</v>
          </cell>
        </row>
        <row r="94">
          <cell r="A94" t="str">
            <v>B077TH83RP</v>
          </cell>
          <cell r="B94">
            <v>9</v>
          </cell>
          <cell r="C94">
            <v>2</v>
          </cell>
          <cell r="D94">
            <v>1</v>
          </cell>
          <cell r="E94">
            <v>2</v>
          </cell>
        </row>
        <row r="95">
          <cell r="A95" t="str">
            <v>B077TLK2KD</v>
          </cell>
          <cell r="B95">
            <v>2</v>
          </cell>
          <cell r="C95">
            <v>5</v>
          </cell>
          <cell r="D95">
            <v>1</v>
          </cell>
          <cell r="E95">
            <v>4</v>
          </cell>
        </row>
        <row r="96">
          <cell r="A96" t="str">
            <v>B077TRSMNJ</v>
          </cell>
          <cell r="B96">
            <v>6</v>
          </cell>
          <cell r="C96">
            <v>4</v>
          </cell>
          <cell r="D96">
            <v>0</v>
          </cell>
          <cell r="E96">
            <v>3</v>
          </cell>
        </row>
        <row r="97">
          <cell r="A97" t="str">
            <v>B077TT1KPV</v>
          </cell>
          <cell r="B97">
            <v>1</v>
          </cell>
          <cell r="C97">
            <v>2</v>
          </cell>
          <cell r="D97">
            <v>0</v>
          </cell>
          <cell r="E97">
            <v>2</v>
          </cell>
        </row>
        <row r="98">
          <cell r="A98" t="str">
            <v>B077TTZWSL</v>
          </cell>
          <cell r="B98">
            <v>1</v>
          </cell>
          <cell r="C98">
            <v>7</v>
          </cell>
          <cell r="D98">
            <v>5</v>
          </cell>
          <cell r="E98">
            <v>4</v>
          </cell>
        </row>
        <row r="99">
          <cell r="A99" t="str">
            <v>B077X8RLVJ</v>
          </cell>
          <cell r="B99">
            <v>1</v>
          </cell>
          <cell r="C99">
            <v>0</v>
          </cell>
          <cell r="D99">
            <v>0</v>
          </cell>
          <cell r="E99">
            <v>1</v>
          </cell>
        </row>
        <row r="100">
          <cell r="A100" t="str">
            <v>B077XB44XX</v>
          </cell>
          <cell r="B100">
            <v>3</v>
          </cell>
          <cell r="C100">
            <v>0</v>
          </cell>
          <cell r="D100">
            <v>0</v>
          </cell>
          <cell r="E100">
            <v>1</v>
          </cell>
        </row>
        <row r="101">
          <cell r="A101" t="str">
            <v>B077XNK3T5</v>
          </cell>
          <cell r="B101">
            <v>2</v>
          </cell>
          <cell r="C101">
            <v>1</v>
          </cell>
          <cell r="D101">
            <v>0</v>
          </cell>
          <cell r="E101">
            <v>1</v>
          </cell>
        </row>
        <row r="102">
          <cell r="A102" t="str">
            <v>B077XNMC3N</v>
          </cell>
          <cell r="B102">
            <v>2</v>
          </cell>
          <cell r="C102">
            <v>2</v>
          </cell>
          <cell r="D102">
            <v>0</v>
          </cell>
          <cell r="E102">
            <v>1</v>
          </cell>
        </row>
        <row r="103">
          <cell r="A103" t="str">
            <v>B077XQ5D11</v>
          </cell>
          <cell r="B103">
            <v>4</v>
          </cell>
          <cell r="C103">
            <v>0</v>
          </cell>
          <cell r="D103">
            <v>2</v>
          </cell>
          <cell r="E103">
            <v>6</v>
          </cell>
        </row>
        <row r="104">
          <cell r="A104" t="str">
            <v>B077XQ78NB</v>
          </cell>
          <cell r="B104">
            <v>4</v>
          </cell>
          <cell r="C104">
            <v>1</v>
          </cell>
          <cell r="D104">
            <v>1</v>
          </cell>
          <cell r="E104">
            <v>1</v>
          </cell>
        </row>
        <row r="105">
          <cell r="A105" t="str">
            <v>B077XQ8ZN5</v>
          </cell>
          <cell r="B105">
            <v>2</v>
          </cell>
          <cell r="C105">
            <v>1</v>
          </cell>
          <cell r="D105">
            <v>0</v>
          </cell>
          <cell r="E105">
            <v>3</v>
          </cell>
        </row>
        <row r="106">
          <cell r="A106" t="str">
            <v>B077XRZGV1</v>
          </cell>
          <cell r="B106">
            <v>3</v>
          </cell>
          <cell r="C106">
            <v>0</v>
          </cell>
          <cell r="D106">
            <v>0</v>
          </cell>
          <cell r="E106">
            <v>1</v>
          </cell>
        </row>
        <row r="107">
          <cell r="A107" t="str">
            <v>B077XSLDHX</v>
          </cell>
          <cell r="B107">
            <v>0</v>
          </cell>
          <cell r="C107">
            <v>1</v>
          </cell>
          <cell r="D107">
            <v>1</v>
          </cell>
          <cell r="E107">
            <v>3</v>
          </cell>
        </row>
        <row r="108">
          <cell r="A108" t="str">
            <v>B077XSLVZ5</v>
          </cell>
          <cell r="B108">
            <v>2</v>
          </cell>
          <cell r="C108">
            <v>1</v>
          </cell>
          <cell r="D108">
            <v>0</v>
          </cell>
          <cell r="E108">
            <v>1</v>
          </cell>
        </row>
        <row r="109">
          <cell r="A109" t="str">
            <v>B077XSTXHF</v>
          </cell>
          <cell r="B109">
            <v>3</v>
          </cell>
          <cell r="C109">
            <v>1</v>
          </cell>
          <cell r="D109">
            <v>0</v>
          </cell>
          <cell r="E109">
            <v>1</v>
          </cell>
        </row>
        <row r="110">
          <cell r="A110" t="str">
            <v>B077XSTXHJ</v>
          </cell>
          <cell r="B110">
            <v>3</v>
          </cell>
          <cell r="C110">
            <v>0</v>
          </cell>
          <cell r="D110">
            <v>1</v>
          </cell>
          <cell r="E110">
            <v>2</v>
          </cell>
        </row>
        <row r="111">
          <cell r="A111" t="str">
            <v>B077XSZ4FT</v>
          </cell>
          <cell r="B111">
            <v>5</v>
          </cell>
          <cell r="C111">
            <v>2</v>
          </cell>
          <cell r="D111">
            <v>2</v>
          </cell>
          <cell r="E111">
            <v>19</v>
          </cell>
        </row>
        <row r="112">
          <cell r="A112" t="str">
            <v>B077XV49XF</v>
          </cell>
          <cell r="B112">
            <v>3</v>
          </cell>
          <cell r="C112">
            <v>2</v>
          </cell>
          <cell r="D112">
            <v>1</v>
          </cell>
          <cell r="E112">
            <v>1</v>
          </cell>
        </row>
        <row r="113">
          <cell r="A113" t="str">
            <v>B077XV7BG7</v>
          </cell>
          <cell r="B113">
            <v>3</v>
          </cell>
          <cell r="C113">
            <v>1</v>
          </cell>
          <cell r="D113">
            <v>2</v>
          </cell>
          <cell r="E113">
            <v>3</v>
          </cell>
        </row>
        <row r="114">
          <cell r="A114" t="str">
            <v>B077XV7J5K</v>
          </cell>
          <cell r="B114">
            <v>0</v>
          </cell>
          <cell r="C114">
            <v>1</v>
          </cell>
          <cell r="D114">
            <v>0</v>
          </cell>
          <cell r="E114">
            <v>1</v>
          </cell>
        </row>
        <row r="115">
          <cell r="A115" t="str">
            <v>B077XVBFB9</v>
          </cell>
          <cell r="B115">
            <v>3</v>
          </cell>
          <cell r="C115">
            <v>0</v>
          </cell>
          <cell r="D115">
            <v>1</v>
          </cell>
          <cell r="E115">
            <v>1</v>
          </cell>
        </row>
        <row r="116">
          <cell r="A116" t="str">
            <v>B07842F5P9</v>
          </cell>
          <cell r="B116">
            <v>7</v>
          </cell>
          <cell r="C116">
            <v>9</v>
          </cell>
          <cell r="D116">
            <v>2</v>
          </cell>
          <cell r="E116">
            <v>7</v>
          </cell>
        </row>
        <row r="117">
          <cell r="A117" t="str">
            <v>B0784DMK97</v>
          </cell>
          <cell r="B117">
            <v>10</v>
          </cell>
          <cell r="C117">
            <v>9</v>
          </cell>
          <cell r="D117">
            <v>1</v>
          </cell>
          <cell r="E117">
            <v>1</v>
          </cell>
        </row>
        <row r="118">
          <cell r="A118" t="str">
            <v>B0785H4FV1</v>
          </cell>
          <cell r="B118">
            <v>1</v>
          </cell>
          <cell r="C118">
            <v>2</v>
          </cell>
          <cell r="D118">
            <v>1</v>
          </cell>
          <cell r="E118">
            <v>1</v>
          </cell>
        </row>
        <row r="119">
          <cell r="A119" t="str">
            <v>B0785HJVGG</v>
          </cell>
          <cell r="B119">
            <v>1</v>
          </cell>
          <cell r="C119">
            <v>1</v>
          </cell>
          <cell r="D119">
            <v>0</v>
          </cell>
          <cell r="E119">
            <v>6</v>
          </cell>
        </row>
        <row r="120">
          <cell r="A120" t="str">
            <v>B0785HJVGH</v>
          </cell>
          <cell r="B120">
            <v>0</v>
          </cell>
          <cell r="C120">
            <v>1</v>
          </cell>
          <cell r="D120">
            <v>1</v>
          </cell>
          <cell r="E120">
            <v>6</v>
          </cell>
        </row>
        <row r="121">
          <cell r="A121" t="str">
            <v>B0787XKBRG</v>
          </cell>
          <cell r="B121">
            <v>4</v>
          </cell>
          <cell r="C121">
            <v>9</v>
          </cell>
          <cell r="D121">
            <v>10</v>
          </cell>
          <cell r="E121">
            <v>3</v>
          </cell>
        </row>
        <row r="122">
          <cell r="A122" t="str">
            <v>B0788KQVVG</v>
          </cell>
          <cell r="B122">
            <v>5</v>
          </cell>
          <cell r="C122">
            <v>3</v>
          </cell>
          <cell r="D122">
            <v>11</v>
          </cell>
          <cell r="E122">
            <v>15</v>
          </cell>
        </row>
        <row r="123">
          <cell r="A123" t="str">
            <v>B078C7BGZR</v>
          </cell>
          <cell r="B123">
            <v>0</v>
          </cell>
          <cell r="C123">
            <v>1</v>
          </cell>
          <cell r="D123">
            <v>6</v>
          </cell>
          <cell r="E123">
            <v>1</v>
          </cell>
        </row>
        <row r="124">
          <cell r="A124" t="str">
            <v>B078GKCYT6</v>
          </cell>
          <cell r="B124">
            <v>0</v>
          </cell>
          <cell r="C124">
            <v>0</v>
          </cell>
          <cell r="D124">
            <v>11</v>
          </cell>
          <cell r="E124">
            <v>9</v>
          </cell>
        </row>
        <row r="125">
          <cell r="A125" t="str">
            <v>B078H85Y7H</v>
          </cell>
          <cell r="B125">
            <v>3</v>
          </cell>
          <cell r="C125">
            <v>8</v>
          </cell>
          <cell r="D125">
            <v>4</v>
          </cell>
          <cell r="E125">
            <v>3</v>
          </cell>
        </row>
        <row r="126">
          <cell r="A126" t="str">
            <v>B078HGJSND</v>
          </cell>
          <cell r="B126">
            <v>5</v>
          </cell>
          <cell r="C126">
            <v>10</v>
          </cell>
          <cell r="D126">
            <v>19</v>
          </cell>
          <cell r="E126">
            <v>6</v>
          </cell>
        </row>
        <row r="127">
          <cell r="A127" t="str">
            <v>B078JHC2WQ</v>
          </cell>
          <cell r="B127">
            <v>1</v>
          </cell>
          <cell r="C127">
            <v>23</v>
          </cell>
          <cell r="D127">
            <v>8</v>
          </cell>
          <cell r="E127">
            <v>6</v>
          </cell>
        </row>
        <row r="128">
          <cell r="A128" t="str">
            <v>B078JJ7KDP</v>
          </cell>
          <cell r="B128">
            <v>5</v>
          </cell>
          <cell r="C128">
            <v>37</v>
          </cell>
          <cell r="D128">
            <v>6</v>
          </cell>
          <cell r="E128">
            <v>5</v>
          </cell>
        </row>
        <row r="129">
          <cell r="A129" t="str">
            <v>B078JK429P</v>
          </cell>
          <cell r="B129">
            <v>2</v>
          </cell>
          <cell r="C129">
            <v>58</v>
          </cell>
          <cell r="D129">
            <v>10</v>
          </cell>
          <cell r="E129">
            <v>11</v>
          </cell>
        </row>
        <row r="130">
          <cell r="A130" t="str">
            <v>B078JNY8M1</v>
          </cell>
          <cell r="B130">
            <v>1</v>
          </cell>
          <cell r="C130">
            <v>17</v>
          </cell>
          <cell r="D130">
            <v>6</v>
          </cell>
          <cell r="E130">
            <v>10</v>
          </cell>
        </row>
        <row r="131">
          <cell r="A131" t="str">
            <v>B078JQ7B7M</v>
          </cell>
          <cell r="B131">
            <v>5</v>
          </cell>
          <cell r="C131">
            <v>14</v>
          </cell>
          <cell r="D131">
            <v>9</v>
          </cell>
          <cell r="E131">
            <v>5</v>
          </cell>
        </row>
        <row r="132">
          <cell r="A132" t="str">
            <v>B078JQVN4Q</v>
          </cell>
          <cell r="B132">
            <v>1</v>
          </cell>
          <cell r="C132">
            <v>12</v>
          </cell>
          <cell r="D132">
            <v>5</v>
          </cell>
          <cell r="E132">
            <v>4</v>
          </cell>
        </row>
        <row r="133">
          <cell r="A133" t="str">
            <v>B078JQXPDD</v>
          </cell>
          <cell r="B133">
            <v>1</v>
          </cell>
          <cell r="C133">
            <v>48</v>
          </cell>
          <cell r="D133">
            <v>3</v>
          </cell>
          <cell r="E133">
            <v>7</v>
          </cell>
        </row>
        <row r="134">
          <cell r="A134" t="str">
            <v>B078MFHH1V</v>
          </cell>
          <cell r="B134">
            <v>2</v>
          </cell>
          <cell r="C134">
            <v>3</v>
          </cell>
          <cell r="D134">
            <v>0</v>
          </cell>
          <cell r="E134">
            <v>3</v>
          </cell>
        </row>
        <row r="135">
          <cell r="A135" t="str">
            <v>B078MFPDLS</v>
          </cell>
          <cell r="B135">
            <v>3</v>
          </cell>
          <cell r="C135">
            <v>1</v>
          </cell>
          <cell r="D135">
            <v>1</v>
          </cell>
          <cell r="E135">
            <v>5</v>
          </cell>
        </row>
        <row r="136">
          <cell r="A136" t="str">
            <v>B078MFWG5N</v>
          </cell>
          <cell r="B136">
            <v>3</v>
          </cell>
          <cell r="C136">
            <v>3</v>
          </cell>
          <cell r="D136">
            <v>3</v>
          </cell>
          <cell r="E136">
            <v>1</v>
          </cell>
        </row>
        <row r="137">
          <cell r="A137" t="str">
            <v>B078MJZZZN</v>
          </cell>
          <cell r="B137">
            <v>5</v>
          </cell>
          <cell r="C137">
            <v>3</v>
          </cell>
          <cell r="D137">
            <v>0</v>
          </cell>
          <cell r="E137">
            <v>1</v>
          </cell>
        </row>
        <row r="138">
          <cell r="A138" t="str">
            <v>B078ML71RF</v>
          </cell>
          <cell r="B138">
            <v>3</v>
          </cell>
          <cell r="C138">
            <v>3</v>
          </cell>
          <cell r="D138">
            <v>2</v>
          </cell>
          <cell r="E138">
            <v>1</v>
          </cell>
        </row>
        <row r="139">
          <cell r="A139" t="str">
            <v>B078MLCPHX</v>
          </cell>
          <cell r="B139">
            <v>2</v>
          </cell>
          <cell r="C139">
            <v>2</v>
          </cell>
          <cell r="D139">
            <v>1</v>
          </cell>
          <cell r="E139">
            <v>1</v>
          </cell>
        </row>
        <row r="140">
          <cell r="A140" t="str">
            <v>B078MLPP7Z</v>
          </cell>
          <cell r="B140">
            <v>0</v>
          </cell>
          <cell r="C140">
            <v>2</v>
          </cell>
          <cell r="D140">
            <v>0</v>
          </cell>
          <cell r="E140">
            <v>1</v>
          </cell>
        </row>
        <row r="141">
          <cell r="A141" t="str">
            <v>B078MLVDZV</v>
          </cell>
          <cell r="B141">
            <v>1</v>
          </cell>
          <cell r="C141">
            <v>0</v>
          </cell>
          <cell r="D141">
            <v>0</v>
          </cell>
          <cell r="E141">
            <v>2</v>
          </cell>
        </row>
        <row r="142">
          <cell r="A142" t="str">
            <v>B078MLVF8D</v>
          </cell>
          <cell r="B142">
            <v>3</v>
          </cell>
          <cell r="C142">
            <v>1</v>
          </cell>
          <cell r="D142">
            <v>1</v>
          </cell>
          <cell r="E142">
            <v>1</v>
          </cell>
        </row>
        <row r="143">
          <cell r="A143" t="str">
            <v>B078MLVFZH</v>
          </cell>
          <cell r="B143">
            <v>1</v>
          </cell>
          <cell r="C143">
            <v>0</v>
          </cell>
          <cell r="D143">
            <v>2</v>
          </cell>
          <cell r="E143">
            <v>1</v>
          </cell>
        </row>
        <row r="144">
          <cell r="A144" t="str">
            <v>B078MMFTHW</v>
          </cell>
          <cell r="B144">
            <v>1</v>
          </cell>
          <cell r="C144">
            <v>0</v>
          </cell>
          <cell r="D144">
            <v>0</v>
          </cell>
          <cell r="E144">
            <v>1</v>
          </cell>
        </row>
        <row r="145">
          <cell r="A145" t="str">
            <v>B078MMXYGL</v>
          </cell>
          <cell r="B145">
            <v>2</v>
          </cell>
          <cell r="C145">
            <v>0</v>
          </cell>
          <cell r="D145">
            <v>1</v>
          </cell>
          <cell r="E145">
            <v>3</v>
          </cell>
        </row>
        <row r="146">
          <cell r="A146" t="str">
            <v>B078MNGZXT</v>
          </cell>
          <cell r="B146">
            <v>3</v>
          </cell>
          <cell r="C146">
            <v>1</v>
          </cell>
          <cell r="D146">
            <v>8</v>
          </cell>
          <cell r="E146">
            <v>6</v>
          </cell>
        </row>
        <row r="147">
          <cell r="A147" t="str">
            <v>B078MNWK8Y</v>
          </cell>
          <cell r="B147">
            <v>2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B078RMPL65</v>
          </cell>
          <cell r="B148">
            <v>9</v>
          </cell>
          <cell r="C148">
            <v>7</v>
          </cell>
          <cell r="D148">
            <v>2</v>
          </cell>
          <cell r="E148">
            <v>1</v>
          </cell>
        </row>
        <row r="149">
          <cell r="A149" t="str">
            <v>B078RN1CC8</v>
          </cell>
          <cell r="B149">
            <v>10</v>
          </cell>
          <cell r="C149">
            <v>5</v>
          </cell>
          <cell r="D149">
            <v>2</v>
          </cell>
          <cell r="E149">
            <v>4</v>
          </cell>
        </row>
        <row r="150">
          <cell r="A150" t="str">
            <v>B078RNFX6F</v>
          </cell>
          <cell r="B150">
            <v>0</v>
          </cell>
          <cell r="C150">
            <v>0</v>
          </cell>
          <cell r="D150">
            <v>0</v>
          </cell>
          <cell r="E150">
            <v>7</v>
          </cell>
        </row>
        <row r="151">
          <cell r="A151" t="str">
            <v>B07BRL2Y1L</v>
          </cell>
          <cell r="B151">
            <v>3</v>
          </cell>
          <cell r="C151">
            <v>1</v>
          </cell>
          <cell r="D151">
            <v>4</v>
          </cell>
          <cell r="E151">
            <v>1</v>
          </cell>
        </row>
        <row r="152">
          <cell r="A152" t="str">
            <v>B07BV73Z4Q</v>
          </cell>
          <cell r="B152">
            <v>14</v>
          </cell>
          <cell r="C152">
            <v>12</v>
          </cell>
          <cell r="D152">
            <v>4</v>
          </cell>
          <cell r="E152">
            <v>6</v>
          </cell>
        </row>
        <row r="153">
          <cell r="A153" t="str">
            <v>B07BVL6R55</v>
          </cell>
          <cell r="B153">
            <v>6</v>
          </cell>
          <cell r="C153">
            <v>15</v>
          </cell>
          <cell r="D153">
            <v>11</v>
          </cell>
          <cell r="E153">
            <v>8</v>
          </cell>
        </row>
        <row r="154">
          <cell r="A154" t="str">
            <v>B07BVLBRWM</v>
          </cell>
          <cell r="B154">
            <v>6</v>
          </cell>
          <cell r="C154">
            <v>6</v>
          </cell>
          <cell r="D154">
            <v>3</v>
          </cell>
          <cell r="E154">
            <v>7</v>
          </cell>
        </row>
        <row r="155">
          <cell r="A155" t="str">
            <v>B07BVMRJRX</v>
          </cell>
          <cell r="B155">
            <v>6</v>
          </cell>
          <cell r="C155">
            <v>2</v>
          </cell>
          <cell r="D155">
            <v>1</v>
          </cell>
          <cell r="E155">
            <v>6</v>
          </cell>
        </row>
        <row r="156">
          <cell r="A156" t="str">
            <v>B07C73R2XN</v>
          </cell>
          <cell r="B156">
            <v>0</v>
          </cell>
          <cell r="C156">
            <v>0</v>
          </cell>
          <cell r="D156">
            <v>5</v>
          </cell>
          <cell r="E156">
            <v>14</v>
          </cell>
        </row>
        <row r="157">
          <cell r="A157" t="str">
            <v>B07CG51FRQ</v>
          </cell>
          <cell r="B157">
            <v>3</v>
          </cell>
          <cell r="C157">
            <v>5</v>
          </cell>
          <cell r="D157">
            <v>4</v>
          </cell>
          <cell r="E157">
            <v>1</v>
          </cell>
        </row>
        <row r="158">
          <cell r="A158" t="str">
            <v>B07CVDNT4J</v>
          </cell>
          <cell r="B158">
            <v>5</v>
          </cell>
          <cell r="C158">
            <v>14</v>
          </cell>
          <cell r="D158">
            <v>14</v>
          </cell>
          <cell r="E158">
            <v>4</v>
          </cell>
        </row>
        <row r="159">
          <cell r="A159" t="str">
            <v>B07CVGZCHZ</v>
          </cell>
          <cell r="B159">
            <v>2</v>
          </cell>
          <cell r="C159">
            <v>0</v>
          </cell>
          <cell r="D159">
            <v>1</v>
          </cell>
          <cell r="E159">
            <v>1</v>
          </cell>
        </row>
        <row r="160">
          <cell r="A160" t="str">
            <v>B07CXR59ZM</v>
          </cell>
          <cell r="B160">
            <v>4</v>
          </cell>
          <cell r="C160">
            <v>6</v>
          </cell>
          <cell r="D160">
            <v>2</v>
          </cell>
          <cell r="E160">
            <v>1</v>
          </cell>
        </row>
        <row r="161">
          <cell r="A161" t="str">
            <v>B07D4FQCYC</v>
          </cell>
          <cell r="B161">
            <v>2</v>
          </cell>
          <cell r="C161">
            <v>2</v>
          </cell>
          <cell r="D161">
            <v>1</v>
          </cell>
          <cell r="E161">
            <v>2</v>
          </cell>
        </row>
        <row r="162">
          <cell r="A162" t="str">
            <v>B07D4GQKTL</v>
          </cell>
          <cell r="B162">
            <v>2</v>
          </cell>
          <cell r="C162">
            <v>3</v>
          </cell>
          <cell r="D162">
            <v>0</v>
          </cell>
          <cell r="E162">
            <v>1</v>
          </cell>
        </row>
        <row r="163">
          <cell r="A163" t="str">
            <v>B07D4GT945</v>
          </cell>
          <cell r="B163">
            <v>25</v>
          </cell>
          <cell r="C163">
            <v>16</v>
          </cell>
          <cell r="D163">
            <v>14</v>
          </cell>
          <cell r="E163">
            <v>7</v>
          </cell>
        </row>
        <row r="164">
          <cell r="A164" t="str">
            <v>B07DK58WLF</v>
          </cell>
          <cell r="B164">
            <v>1</v>
          </cell>
          <cell r="C164">
            <v>7</v>
          </cell>
          <cell r="D164">
            <v>1</v>
          </cell>
          <cell r="E164">
            <v>7</v>
          </cell>
        </row>
        <row r="165">
          <cell r="A165" t="str">
            <v>B07DK8XH42</v>
          </cell>
          <cell r="B165">
            <v>0</v>
          </cell>
          <cell r="C165">
            <v>0</v>
          </cell>
          <cell r="D165">
            <v>4</v>
          </cell>
          <cell r="E165">
            <v>6</v>
          </cell>
        </row>
        <row r="166">
          <cell r="A166" t="str">
            <v>B07DKV16HS</v>
          </cell>
          <cell r="B166">
            <v>40</v>
          </cell>
          <cell r="C166">
            <v>14</v>
          </cell>
          <cell r="D166">
            <v>18</v>
          </cell>
          <cell r="E166">
            <v>0</v>
          </cell>
        </row>
        <row r="167">
          <cell r="A167" t="str">
            <v>B07DKWSJ1Z</v>
          </cell>
          <cell r="B167">
            <v>22</v>
          </cell>
          <cell r="C167">
            <v>25</v>
          </cell>
          <cell r="D167">
            <v>11</v>
          </cell>
          <cell r="E167">
            <v>0</v>
          </cell>
        </row>
        <row r="168">
          <cell r="A168" t="str">
            <v>B0761KLYSS</v>
          </cell>
          <cell r="B168">
            <v>0</v>
          </cell>
          <cell r="C168">
            <v>0</v>
          </cell>
          <cell r="D168">
            <v>2</v>
          </cell>
          <cell r="E168">
            <v>0</v>
          </cell>
        </row>
        <row r="169">
          <cell r="A169" t="str">
            <v>B07C76QGLV</v>
          </cell>
          <cell r="B169">
            <v>2</v>
          </cell>
          <cell r="C169">
            <v>2</v>
          </cell>
          <cell r="D169">
            <v>5</v>
          </cell>
          <cell r="E169">
            <v>0</v>
          </cell>
        </row>
        <row r="170">
          <cell r="A170" t="str">
            <v>B07DKT41YL</v>
          </cell>
          <cell r="B170">
            <v>16</v>
          </cell>
          <cell r="C170">
            <v>34</v>
          </cell>
          <cell r="D170">
            <v>27</v>
          </cell>
          <cell r="E170">
            <v>0</v>
          </cell>
        </row>
        <row r="171">
          <cell r="A171" t="str">
            <v>B07DKXSV9P</v>
          </cell>
          <cell r="B171">
            <v>30</v>
          </cell>
          <cell r="C171">
            <v>22</v>
          </cell>
          <cell r="D171">
            <v>17</v>
          </cell>
          <cell r="E171">
            <v>0</v>
          </cell>
        </row>
        <row r="172">
          <cell r="A172" t="str">
            <v>B076J8X97G</v>
          </cell>
          <cell r="B172">
            <v>4</v>
          </cell>
          <cell r="C172">
            <v>2</v>
          </cell>
          <cell r="D172">
            <v>1</v>
          </cell>
          <cell r="E172">
            <v>0</v>
          </cell>
        </row>
        <row r="173">
          <cell r="A173" t="str">
            <v>B076P7DYB9</v>
          </cell>
          <cell r="B173">
            <v>4</v>
          </cell>
          <cell r="C173">
            <v>2</v>
          </cell>
          <cell r="D173">
            <v>2</v>
          </cell>
          <cell r="E173">
            <v>0</v>
          </cell>
        </row>
        <row r="174">
          <cell r="A174" t="str">
            <v>B077N289VS</v>
          </cell>
          <cell r="B174">
            <v>2</v>
          </cell>
          <cell r="C174">
            <v>0</v>
          </cell>
          <cell r="D174">
            <v>2</v>
          </cell>
          <cell r="E174">
            <v>0</v>
          </cell>
        </row>
        <row r="175">
          <cell r="A175" t="str">
            <v>B077N6WYM2</v>
          </cell>
          <cell r="B175">
            <v>4</v>
          </cell>
          <cell r="C175">
            <v>0</v>
          </cell>
          <cell r="D175">
            <v>2</v>
          </cell>
          <cell r="E175">
            <v>0</v>
          </cell>
        </row>
        <row r="176">
          <cell r="A176" t="str">
            <v>B077XQ2P1L</v>
          </cell>
          <cell r="B176">
            <v>4</v>
          </cell>
          <cell r="C176">
            <v>0</v>
          </cell>
          <cell r="D176">
            <v>1</v>
          </cell>
          <cell r="E176">
            <v>0</v>
          </cell>
        </row>
        <row r="177">
          <cell r="A177" t="str">
            <v>B077XSWR8G</v>
          </cell>
          <cell r="B177">
            <v>2</v>
          </cell>
          <cell r="C177">
            <v>1</v>
          </cell>
          <cell r="D177">
            <v>1</v>
          </cell>
          <cell r="E177">
            <v>0</v>
          </cell>
        </row>
        <row r="178">
          <cell r="A178" t="str">
            <v>B0784WBNX9</v>
          </cell>
          <cell r="B178">
            <v>1</v>
          </cell>
          <cell r="C178">
            <v>0</v>
          </cell>
          <cell r="D178">
            <v>1</v>
          </cell>
          <cell r="E178">
            <v>0</v>
          </cell>
        </row>
        <row r="179">
          <cell r="A179" t="str">
            <v>B0784WC6TX</v>
          </cell>
          <cell r="B179">
            <v>0</v>
          </cell>
          <cell r="C179">
            <v>0</v>
          </cell>
          <cell r="D179">
            <v>2</v>
          </cell>
          <cell r="E179">
            <v>0</v>
          </cell>
        </row>
        <row r="180">
          <cell r="A180" t="str">
            <v>B078MQZ7XF</v>
          </cell>
          <cell r="B180">
            <v>4</v>
          </cell>
          <cell r="C180">
            <v>0</v>
          </cell>
          <cell r="D180">
            <v>2</v>
          </cell>
          <cell r="E180">
            <v>0</v>
          </cell>
        </row>
        <row r="181">
          <cell r="A181" t="str">
            <v>B07CVDZCBW</v>
          </cell>
          <cell r="B181">
            <v>2</v>
          </cell>
          <cell r="C181">
            <v>0</v>
          </cell>
          <cell r="D181">
            <v>1</v>
          </cell>
          <cell r="E181">
            <v>0</v>
          </cell>
        </row>
        <row r="182">
          <cell r="A182" t="str">
            <v>B07D4GBBQB</v>
          </cell>
          <cell r="B182">
            <v>4</v>
          </cell>
          <cell r="C182">
            <v>1</v>
          </cell>
          <cell r="D182">
            <v>1</v>
          </cell>
          <cell r="E182">
            <v>0</v>
          </cell>
        </row>
        <row r="183">
          <cell r="A183" t="str">
            <v>B07DKXGT8H</v>
          </cell>
          <cell r="B183">
            <v>11</v>
          </cell>
          <cell r="C183">
            <v>15</v>
          </cell>
          <cell r="D183">
            <v>9</v>
          </cell>
          <cell r="E183">
            <v>0</v>
          </cell>
        </row>
        <row r="184">
          <cell r="A184" t="str">
            <v>B07DLTWN39</v>
          </cell>
          <cell r="B184">
            <v>25</v>
          </cell>
          <cell r="C184">
            <v>24</v>
          </cell>
          <cell r="D184">
            <v>0</v>
          </cell>
          <cell r="E184">
            <v>0</v>
          </cell>
        </row>
        <row r="185">
          <cell r="A185" t="str">
            <v>B0772QKV4C</v>
          </cell>
          <cell r="B185">
            <v>2</v>
          </cell>
          <cell r="C185">
            <v>6</v>
          </cell>
          <cell r="D185">
            <v>0</v>
          </cell>
          <cell r="E185">
            <v>0</v>
          </cell>
        </row>
        <row r="186">
          <cell r="A186" t="str">
            <v>B07CDD7CHN</v>
          </cell>
          <cell r="B186">
            <v>9</v>
          </cell>
          <cell r="C186">
            <v>5</v>
          </cell>
          <cell r="D186">
            <v>0</v>
          </cell>
          <cell r="E186">
            <v>0</v>
          </cell>
        </row>
        <row r="187">
          <cell r="A187" t="str">
            <v>B077SSC1TH</v>
          </cell>
          <cell r="B187">
            <v>2</v>
          </cell>
          <cell r="C187">
            <v>1</v>
          </cell>
          <cell r="D187">
            <v>0</v>
          </cell>
          <cell r="E187">
            <v>0</v>
          </cell>
        </row>
        <row r="188">
          <cell r="A188" t="str">
            <v>B077XNFWVP</v>
          </cell>
          <cell r="B188">
            <v>4</v>
          </cell>
          <cell r="C188">
            <v>1</v>
          </cell>
          <cell r="D188">
            <v>0</v>
          </cell>
          <cell r="E188">
            <v>0</v>
          </cell>
        </row>
        <row r="189">
          <cell r="A189" t="str">
            <v>B077XNM9W2</v>
          </cell>
          <cell r="B189">
            <v>2</v>
          </cell>
          <cell r="C189">
            <v>1</v>
          </cell>
          <cell r="D189">
            <v>0</v>
          </cell>
          <cell r="E189">
            <v>0</v>
          </cell>
        </row>
        <row r="190">
          <cell r="A190" t="str">
            <v>B077XRSRNP</v>
          </cell>
          <cell r="B190">
            <v>2</v>
          </cell>
          <cell r="C190">
            <v>1</v>
          </cell>
          <cell r="D190">
            <v>0</v>
          </cell>
          <cell r="E190">
            <v>0</v>
          </cell>
        </row>
        <row r="191">
          <cell r="A191" t="str">
            <v>B077XRVLTN</v>
          </cell>
          <cell r="B191">
            <v>2</v>
          </cell>
          <cell r="C191">
            <v>1</v>
          </cell>
          <cell r="D191">
            <v>0</v>
          </cell>
          <cell r="E191">
            <v>0</v>
          </cell>
        </row>
        <row r="192">
          <cell r="A192" t="str">
            <v>B078MG4VLQ</v>
          </cell>
          <cell r="B192">
            <v>2</v>
          </cell>
          <cell r="C192">
            <v>1</v>
          </cell>
          <cell r="D192">
            <v>0</v>
          </cell>
          <cell r="E192">
            <v>0</v>
          </cell>
        </row>
        <row r="193">
          <cell r="A193" t="str">
            <v>B078MK4N19</v>
          </cell>
          <cell r="B193">
            <v>3</v>
          </cell>
          <cell r="C193">
            <v>1</v>
          </cell>
          <cell r="D193">
            <v>0</v>
          </cell>
          <cell r="E193">
            <v>0</v>
          </cell>
        </row>
        <row r="194">
          <cell r="A194" t="str">
            <v>B078MKNJN1</v>
          </cell>
          <cell r="B194">
            <v>2</v>
          </cell>
          <cell r="C194">
            <v>1</v>
          </cell>
          <cell r="D194">
            <v>0</v>
          </cell>
          <cell r="E194">
            <v>0</v>
          </cell>
        </row>
        <row r="195">
          <cell r="A195" t="str">
            <v>B078MLS36P</v>
          </cell>
          <cell r="B195">
            <v>2</v>
          </cell>
          <cell r="C195">
            <v>1</v>
          </cell>
          <cell r="D195">
            <v>0</v>
          </cell>
          <cell r="E195">
            <v>0</v>
          </cell>
        </row>
        <row r="196">
          <cell r="A196" t="str">
            <v>B078MP2N3B</v>
          </cell>
          <cell r="B196">
            <v>3</v>
          </cell>
          <cell r="C196">
            <v>1</v>
          </cell>
          <cell r="D196">
            <v>0</v>
          </cell>
          <cell r="E196">
            <v>0</v>
          </cell>
        </row>
        <row r="197">
          <cell r="A197" t="str">
            <v>B078MPPY1Z</v>
          </cell>
          <cell r="B197">
            <v>4</v>
          </cell>
          <cell r="C197">
            <v>2</v>
          </cell>
          <cell r="D197">
            <v>0</v>
          </cell>
          <cell r="E197">
            <v>0</v>
          </cell>
        </row>
        <row r="198">
          <cell r="A198" t="str">
            <v>B078MRF99V</v>
          </cell>
          <cell r="B198">
            <v>4</v>
          </cell>
          <cell r="C198">
            <v>1</v>
          </cell>
          <cell r="D198">
            <v>0</v>
          </cell>
          <cell r="E198">
            <v>0</v>
          </cell>
        </row>
        <row r="199">
          <cell r="A199" t="str">
            <v>B07D4FV711</v>
          </cell>
          <cell r="B199">
            <v>2</v>
          </cell>
          <cell r="C199">
            <v>3</v>
          </cell>
          <cell r="D199">
            <v>0</v>
          </cell>
          <cell r="E199">
            <v>0</v>
          </cell>
        </row>
        <row r="200">
          <cell r="A200" t="str">
            <v>B07DLX7V45</v>
          </cell>
          <cell r="B200">
            <v>15</v>
          </cell>
          <cell r="C200">
            <v>33</v>
          </cell>
          <cell r="D200">
            <v>0</v>
          </cell>
          <cell r="E200">
            <v>0</v>
          </cell>
        </row>
        <row r="201">
          <cell r="A201" t="str">
            <v>B079HPCGB9</v>
          </cell>
          <cell r="B201">
            <v>0</v>
          </cell>
          <cell r="C201">
            <v>72</v>
          </cell>
          <cell r="D201">
            <v>0</v>
          </cell>
          <cell r="E201">
            <v>0</v>
          </cell>
        </row>
        <row r="202">
          <cell r="A202" t="str">
            <v>B019V6P53K</v>
          </cell>
          <cell r="B202">
            <v>0</v>
          </cell>
          <cell r="C202">
            <v>14</v>
          </cell>
          <cell r="D202">
            <v>0</v>
          </cell>
          <cell r="E202">
            <v>0</v>
          </cell>
        </row>
        <row r="203">
          <cell r="A203" t="str">
            <v>B019V6RKPQ</v>
          </cell>
          <cell r="B203">
            <v>0</v>
          </cell>
          <cell r="C203">
            <v>3</v>
          </cell>
          <cell r="D203">
            <v>0</v>
          </cell>
          <cell r="E203">
            <v>0</v>
          </cell>
        </row>
        <row r="204">
          <cell r="A204" t="str">
            <v>B01M3R3CVA</v>
          </cell>
          <cell r="B204">
            <v>0</v>
          </cell>
          <cell r="C204">
            <v>5</v>
          </cell>
          <cell r="D204">
            <v>0</v>
          </cell>
          <cell r="E204">
            <v>0</v>
          </cell>
        </row>
        <row r="205">
          <cell r="A205" t="str">
            <v>B06XYZF3QP</v>
          </cell>
          <cell r="B205">
            <v>0</v>
          </cell>
          <cell r="C205">
            <v>14</v>
          </cell>
          <cell r="D205">
            <v>0</v>
          </cell>
          <cell r="E205">
            <v>0</v>
          </cell>
        </row>
        <row r="206">
          <cell r="A206" t="str">
            <v>B07173Q2FN</v>
          </cell>
          <cell r="B206">
            <v>0</v>
          </cell>
          <cell r="C206">
            <v>3</v>
          </cell>
          <cell r="D206">
            <v>0</v>
          </cell>
          <cell r="E206">
            <v>0</v>
          </cell>
        </row>
        <row r="207">
          <cell r="A207" t="str">
            <v>B071JY11V7</v>
          </cell>
          <cell r="B207">
            <v>0</v>
          </cell>
          <cell r="C207">
            <v>5</v>
          </cell>
          <cell r="D207">
            <v>0</v>
          </cell>
          <cell r="E207">
            <v>0</v>
          </cell>
        </row>
        <row r="208">
          <cell r="A208" t="str">
            <v>B073GX87XH</v>
          </cell>
          <cell r="B208">
            <v>0</v>
          </cell>
          <cell r="C208">
            <v>1</v>
          </cell>
          <cell r="D208">
            <v>0</v>
          </cell>
          <cell r="E208">
            <v>0</v>
          </cell>
        </row>
        <row r="209">
          <cell r="A209" t="str">
            <v>B073GXT1YF</v>
          </cell>
          <cell r="B209">
            <v>0</v>
          </cell>
          <cell r="C209">
            <v>3</v>
          </cell>
          <cell r="D209">
            <v>0</v>
          </cell>
          <cell r="E209">
            <v>0</v>
          </cell>
        </row>
        <row r="210">
          <cell r="A210" t="str">
            <v>B073GY4FL6</v>
          </cell>
          <cell r="B210">
            <v>0</v>
          </cell>
          <cell r="C210">
            <v>1</v>
          </cell>
          <cell r="D210">
            <v>0</v>
          </cell>
          <cell r="E210">
            <v>0</v>
          </cell>
        </row>
        <row r="211">
          <cell r="A211" t="str">
            <v>B073PPFLNM</v>
          </cell>
          <cell r="B211">
            <v>0</v>
          </cell>
          <cell r="C211">
            <v>10</v>
          </cell>
          <cell r="D211">
            <v>0</v>
          </cell>
          <cell r="E211">
            <v>0</v>
          </cell>
        </row>
        <row r="212">
          <cell r="A212" t="str">
            <v>B073PPS7FM</v>
          </cell>
          <cell r="B212">
            <v>0</v>
          </cell>
          <cell r="C212">
            <v>62</v>
          </cell>
          <cell r="D212">
            <v>0</v>
          </cell>
          <cell r="E212">
            <v>0</v>
          </cell>
        </row>
        <row r="213">
          <cell r="A213" t="str">
            <v>B073PPSG6W</v>
          </cell>
          <cell r="B213">
            <v>0</v>
          </cell>
          <cell r="C213">
            <v>28</v>
          </cell>
          <cell r="D213">
            <v>0</v>
          </cell>
          <cell r="E213">
            <v>0</v>
          </cell>
        </row>
        <row r="214">
          <cell r="A214" t="str">
            <v>B073PQ6BZ4</v>
          </cell>
          <cell r="B214">
            <v>0</v>
          </cell>
          <cell r="C214">
            <v>13</v>
          </cell>
          <cell r="D214">
            <v>0</v>
          </cell>
          <cell r="E214">
            <v>0</v>
          </cell>
        </row>
        <row r="215">
          <cell r="A215" t="str">
            <v>B073PQXDQX</v>
          </cell>
          <cell r="B215">
            <v>0</v>
          </cell>
          <cell r="C215">
            <v>9</v>
          </cell>
          <cell r="D215">
            <v>0</v>
          </cell>
          <cell r="E215">
            <v>0</v>
          </cell>
        </row>
        <row r="216">
          <cell r="A216" t="str">
            <v>B073PZDYM9</v>
          </cell>
          <cell r="B216">
            <v>0</v>
          </cell>
          <cell r="C216">
            <v>2</v>
          </cell>
          <cell r="D216">
            <v>0</v>
          </cell>
          <cell r="E216">
            <v>0</v>
          </cell>
        </row>
        <row r="217">
          <cell r="A217" t="str">
            <v>B073QH2KWY</v>
          </cell>
          <cell r="B217">
            <v>0</v>
          </cell>
          <cell r="C217">
            <v>3</v>
          </cell>
          <cell r="D217">
            <v>0</v>
          </cell>
          <cell r="E217">
            <v>0</v>
          </cell>
        </row>
        <row r="218">
          <cell r="A218" t="str">
            <v>B073ZYMTGH</v>
          </cell>
          <cell r="B218">
            <v>0</v>
          </cell>
          <cell r="C218">
            <v>5</v>
          </cell>
          <cell r="D218">
            <v>0</v>
          </cell>
          <cell r="E218">
            <v>0</v>
          </cell>
        </row>
        <row r="219">
          <cell r="A219" t="str">
            <v>B0747L9WY7</v>
          </cell>
          <cell r="B219">
            <v>0</v>
          </cell>
          <cell r="C219">
            <v>55</v>
          </cell>
          <cell r="D219">
            <v>0</v>
          </cell>
          <cell r="E219">
            <v>0</v>
          </cell>
        </row>
        <row r="220">
          <cell r="A220" t="str">
            <v>B074NQZMVQ</v>
          </cell>
          <cell r="B220">
            <v>0</v>
          </cell>
          <cell r="C220">
            <v>3</v>
          </cell>
          <cell r="D220">
            <v>0</v>
          </cell>
          <cell r="E220">
            <v>0</v>
          </cell>
        </row>
        <row r="221">
          <cell r="A221" t="str">
            <v>B074NVH8G2</v>
          </cell>
          <cell r="B221">
            <v>0</v>
          </cell>
          <cell r="C221">
            <v>7</v>
          </cell>
          <cell r="D221">
            <v>0</v>
          </cell>
          <cell r="E221">
            <v>0</v>
          </cell>
        </row>
        <row r="222">
          <cell r="A222" t="str">
            <v>B074P1LKV2</v>
          </cell>
          <cell r="B222">
            <v>0</v>
          </cell>
          <cell r="C222">
            <v>7</v>
          </cell>
          <cell r="D222">
            <v>0</v>
          </cell>
          <cell r="E222">
            <v>0</v>
          </cell>
        </row>
        <row r="223">
          <cell r="A223" t="str">
            <v>B074P2B6M8</v>
          </cell>
          <cell r="B223">
            <v>0</v>
          </cell>
          <cell r="C223">
            <v>4</v>
          </cell>
          <cell r="D223">
            <v>0</v>
          </cell>
          <cell r="E223">
            <v>0</v>
          </cell>
        </row>
        <row r="224">
          <cell r="A224" t="str">
            <v>B074P3WK1B</v>
          </cell>
          <cell r="B224">
            <v>0</v>
          </cell>
          <cell r="C224">
            <v>7</v>
          </cell>
          <cell r="D224">
            <v>0</v>
          </cell>
          <cell r="E224">
            <v>0</v>
          </cell>
        </row>
        <row r="225">
          <cell r="A225" t="str">
            <v>B074P5N47H</v>
          </cell>
          <cell r="B225">
            <v>0</v>
          </cell>
          <cell r="C225">
            <v>3</v>
          </cell>
          <cell r="D225">
            <v>0</v>
          </cell>
          <cell r="E225">
            <v>0</v>
          </cell>
        </row>
        <row r="226">
          <cell r="A226" t="str">
            <v>B074SK47ZJ</v>
          </cell>
          <cell r="B226">
            <v>0</v>
          </cell>
          <cell r="C226">
            <v>4</v>
          </cell>
          <cell r="D226">
            <v>0</v>
          </cell>
          <cell r="E226">
            <v>0</v>
          </cell>
        </row>
        <row r="227">
          <cell r="A227" t="str">
            <v>B074SKGH3S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</row>
        <row r="228">
          <cell r="A228" t="str">
            <v>B074SKGP6T</v>
          </cell>
          <cell r="B228">
            <v>0</v>
          </cell>
          <cell r="C228">
            <v>1</v>
          </cell>
          <cell r="D228">
            <v>0</v>
          </cell>
          <cell r="E228">
            <v>0</v>
          </cell>
        </row>
        <row r="229">
          <cell r="A229" t="str">
            <v>B074SKM7WZ</v>
          </cell>
          <cell r="B229">
            <v>0</v>
          </cell>
          <cell r="C229">
            <v>1</v>
          </cell>
          <cell r="D229">
            <v>0</v>
          </cell>
          <cell r="E229">
            <v>0</v>
          </cell>
        </row>
        <row r="230">
          <cell r="A230" t="str">
            <v>B074SL7P58</v>
          </cell>
          <cell r="B230">
            <v>0</v>
          </cell>
          <cell r="C230">
            <v>1</v>
          </cell>
          <cell r="D230">
            <v>0</v>
          </cell>
          <cell r="E230">
            <v>0</v>
          </cell>
        </row>
        <row r="231">
          <cell r="A231" t="str">
            <v>B074SL9T1Y</v>
          </cell>
          <cell r="B231">
            <v>0</v>
          </cell>
          <cell r="C231">
            <v>3</v>
          </cell>
          <cell r="D231">
            <v>0</v>
          </cell>
          <cell r="E231">
            <v>0</v>
          </cell>
        </row>
        <row r="232">
          <cell r="A232" t="str">
            <v>B074SL9Y3C</v>
          </cell>
          <cell r="B232">
            <v>0</v>
          </cell>
          <cell r="C232">
            <v>7</v>
          </cell>
          <cell r="D232">
            <v>0</v>
          </cell>
          <cell r="E232">
            <v>0</v>
          </cell>
        </row>
        <row r="233">
          <cell r="A233" t="str">
            <v>B074SLMBT9</v>
          </cell>
          <cell r="B233">
            <v>0</v>
          </cell>
          <cell r="C233">
            <v>2</v>
          </cell>
          <cell r="D233">
            <v>0</v>
          </cell>
          <cell r="E233">
            <v>0</v>
          </cell>
        </row>
        <row r="234">
          <cell r="A234" t="str">
            <v>B074SLPFD9</v>
          </cell>
          <cell r="B234">
            <v>0</v>
          </cell>
          <cell r="C234">
            <v>1</v>
          </cell>
          <cell r="D234">
            <v>0</v>
          </cell>
          <cell r="E234">
            <v>0</v>
          </cell>
        </row>
        <row r="235">
          <cell r="A235" t="str">
            <v>B074SLTLS9</v>
          </cell>
          <cell r="B235">
            <v>0</v>
          </cell>
          <cell r="C235">
            <v>2</v>
          </cell>
          <cell r="D235">
            <v>0</v>
          </cell>
          <cell r="E235">
            <v>0</v>
          </cell>
        </row>
        <row r="236">
          <cell r="A236" t="str">
            <v>B074SM144J</v>
          </cell>
          <cell r="B236">
            <v>0</v>
          </cell>
          <cell r="C236">
            <v>2</v>
          </cell>
          <cell r="D236">
            <v>0</v>
          </cell>
          <cell r="E236">
            <v>0</v>
          </cell>
        </row>
        <row r="237">
          <cell r="A237" t="str">
            <v>B074SM3B1W</v>
          </cell>
          <cell r="B237">
            <v>0</v>
          </cell>
          <cell r="C237">
            <v>2</v>
          </cell>
          <cell r="D237">
            <v>0</v>
          </cell>
          <cell r="E237">
            <v>0</v>
          </cell>
        </row>
        <row r="238">
          <cell r="A238" t="str">
            <v>B074SM5RZS</v>
          </cell>
          <cell r="B238">
            <v>0</v>
          </cell>
          <cell r="C238">
            <v>4</v>
          </cell>
          <cell r="D238">
            <v>0</v>
          </cell>
          <cell r="E238">
            <v>0</v>
          </cell>
        </row>
        <row r="239">
          <cell r="A239" t="str">
            <v>B074SMGT88</v>
          </cell>
          <cell r="B239">
            <v>0</v>
          </cell>
          <cell r="C239">
            <v>2</v>
          </cell>
          <cell r="D239">
            <v>0</v>
          </cell>
          <cell r="E239">
            <v>0</v>
          </cell>
        </row>
        <row r="240">
          <cell r="A240" t="str">
            <v>B074SMS5NT</v>
          </cell>
          <cell r="B240">
            <v>0</v>
          </cell>
          <cell r="C240">
            <v>4</v>
          </cell>
          <cell r="D240">
            <v>0</v>
          </cell>
          <cell r="E240">
            <v>0</v>
          </cell>
        </row>
        <row r="241">
          <cell r="A241" t="str">
            <v>B074SMT9CV</v>
          </cell>
          <cell r="B241">
            <v>0</v>
          </cell>
          <cell r="C241">
            <v>3</v>
          </cell>
          <cell r="D241">
            <v>0</v>
          </cell>
          <cell r="E241">
            <v>0</v>
          </cell>
        </row>
        <row r="242">
          <cell r="A242" t="str">
            <v>B074SN3YQP</v>
          </cell>
          <cell r="B242">
            <v>0</v>
          </cell>
          <cell r="C242">
            <v>2</v>
          </cell>
          <cell r="D242">
            <v>0</v>
          </cell>
          <cell r="E242">
            <v>0</v>
          </cell>
        </row>
        <row r="243">
          <cell r="A243" t="str">
            <v>B074SN3YQT</v>
          </cell>
          <cell r="B243">
            <v>0</v>
          </cell>
          <cell r="C243">
            <v>3</v>
          </cell>
          <cell r="D243">
            <v>0</v>
          </cell>
          <cell r="E243">
            <v>0</v>
          </cell>
        </row>
        <row r="244">
          <cell r="A244" t="str">
            <v>B074SN4V6M</v>
          </cell>
          <cell r="B244">
            <v>0</v>
          </cell>
          <cell r="C244">
            <v>1</v>
          </cell>
          <cell r="D244">
            <v>0</v>
          </cell>
          <cell r="E244">
            <v>0</v>
          </cell>
        </row>
        <row r="245">
          <cell r="A245" t="str">
            <v>B074SNF6PC</v>
          </cell>
          <cell r="B245">
            <v>0</v>
          </cell>
          <cell r="C245">
            <v>13</v>
          </cell>
          <cell r="D245">
            <v>0</v>
          </cell>
          <cell r="E245">
            <v>0</v>
          </cell>
        </row>
        <row r="246">
          <cell r="A246" t="str">
            <v>B074SNMHQJ</v>
          </cell>
          <cell r="B246">
            <v>0</v>
          </cell>
          <cell r="C246">
            <v>2</v>
          </cell>
          <cell r="D246">
            <v>0</v>
          </cell>
          <cell r="E246">
            <v>0</v>
          </cell>
        </row>
        <row r="247">
          <cell r="A247" t="str">
            <v>B074SNMJJ9</v>
          </cell>
          <cell r="B247">
            <v>0</v>
          </cell>
          <cell r="C247">
            <v>2</v>
          </cell>
          <cell r="D247">
            <v>0</v>
          </cell>
          <cell r="E247">
            <v>0</v>
          </cell>
        </row>
        <row r="248">
          <cell r="A248" t="str">
            <v>B074SNP44C</v>
          </cell>
          <cell r="B248">
            <v>0</v>
          </cell>
          <cell r="C248">
            <v>2</v>
          </cell>
          <cell r="D248">
            <v>0</v>
          </cell>
          <cell r="E248">
            <v>0</v>
          </cell>
        </row>
        <row r="249">
          <cell r="A249" t="str">
            <v>B074SNVWHH</v>
          </cell>
          <cell r="B249">
            <v>0</v>
          </cell>
          <cell r="C249">
            <v>3</v>
          </cell>
          <cell r="D249">
            <v>0</v>
          </cell>
          <cell r="E249">
            <v>0</v>
          </cell>
        </row>
        <row r="250">
          <cell r="A250" t="str">
            <v>B074SPF7P1</v>
          </cell>
          <cell r="B250">
            <v>0</v>
          </cell>
          <cell r="C250">
            <v>6</v>
          </cell>
          <cell r="D250">
            <v>0</v>
          </cell>
          <cell r="E250">
            <v>0</v>
          </cell>
        </row>
        <row r="251">
          <cell r="A251" t="str">
            <v>B074SPWGPS</v>
          </cell>
          <cell r="B251">
            <v>0</v>
          </cell>
          <cell r="C251">
            <v>1</v>
          </cell>
          <cell r="D251">
            <v>0</v>
          </cell>
          <cell r="E251">
            <v>0</v>
          </cell>
        </row>
        <row r="252">
          <cell r="A252" t="str">
            <v>B074SQ1FJK</v>
          </cell>
          <cell r="B252">
            <v>0</v>
          </cell>
          <cell r="C252">
            <v>3</v>
          </cell>
          <cell r="D252">
            <v>0</v>
          </cell>
          <cell r="E252">
            <v>0</v>
          </cell>
        </row>
        <row r="253">
          <cell r="A253" t="str">
            <v>B074SQ5PJS</v>
          </cell>
          <cell r="B253">
            <v>0</v>
          </cell>
          <cell r="C253">
            <v>1</v>
          </cell>
          <cell r="D253">
            <v>0</v>
          </cell>
          <cell r="E253">
            <v>0</v>
          </cell>
        </row>
        <row r="254">
          <cell r="A254" t="str">
            <v>B074SQ5R3F</v>
          </cell>
          <cell r="B254">
            <v>0</v>
          </cell>
          <cell r="C254">
            <v>6</v>
          </cell>
          <cell r="D254">
            <v>0</v>
          </cell>
          <cell r="E254">
            <v>0</v>
          </cell>
        </row>
        <row r="255">
          <cell r="A255" t="str">
            <v>B074ST3T2H</v>
          </cell>
          <cell r="B255">
            <v>0</v>
          </cell>
          <cell r="C255">
            <v>7</v>
          </cell>
          <cell r="D255">
            <v>0</v>
          </cell>
          <cell r="E255">
            <v>0</v>
          </cell>
        </row>
        <row r="256">
          <cell r="A256" t="str">
            <v>B074SVP22M</v>
          </cell>
          <cell r="B256">
            <v>0</v>
          </cell>
          <cell r="C256">
            <v>8</v>
          </cell>
          <cell r="D256">
            <v>0</v>
          </cell>
          <cell r="E256">
            <v>0</v>
          </cell>
        </row>
        <row r="257">
          <cell r="A257" t="str">
            <v>B074SVYFJC</v>
          </cell>
          <cell r="B257">
            <v>0</v>
          </cell>
          <cell r="C257">
            <v>3</v>
          </cell>
          <cell r="D257">
            <v>0</v>
          </cell>
          <cell r="E257">
            <v>0</v>
          </cell>
        </row>
        <row r="258">
          <cell r="A258" t="str">
            <v>B074SWFPBG</v>
          </cell>
          <cell r="B258">
            <v>0</v>
          </cell>
          <cell r="C258">
            <v>19</v>
          </cell>
          <cell r="D258">
            <v>0</v>
          </cell>
          <cell r="E258">
            <v>0</v>
          </cell>
        </row>
        <row r="259">
          <cell r="A259" t="str">
            <v>B074SWPTKB</v>
          </cell>
          <cell r="B259">
            <v>0</v>
          </cell>
          <cell r="C259">
            <v>5</v>
          </cell>
          <cell r="D259">
            <v>0</v>
          </cell>
          <cell r="E259">
            <v>0</v>
          </cell>
        </row>
        <row r="260">
          <cell r="A260" t="str">
            <v>B074SWQY9F</v>
          </cell>
          <cell r="B260">
            <v>0</v>
          </cell>
          <cell r="C260">
            <v>4</v>
          </cell>
          <cell r="D260">
            <v>0</v>
          </cell>
          <cell r="E260">
            <v>0</v>
          </cell>
        </row>
        <row r="261">
          <cell r="A261" t="str">
            <v>B074SXQ5MY</v>
          </cell>
          <cell r="B261">
            <v>0</v>
          </cell>
          <cell r="C261">
            <v>2</v>
          </cell>
          <cell r="D261">
            <v>0</v>
          </cell>
          <cell r="E261">
            <v>0</v>
          </cell>
        </row>
        <row r="262">
          <cell r="A262" t="str">
            <v>B074SXQT5Z</v>
          </cell>
          <cell r="B262">
            <v>0</v>
          </cell>
          <cell r="C262">
            <v>1</v>
          </cell>
          <cell r="D262">
            <v>0</v>
          </cell>
          <cell r="E262">
            <v>0</v>
          </cell>
        </row>
        <row r="263">
          <cell r="A263" t="str">
            <v>B074SXT27T</v>
          </cell>
          <cell r="B263">
            <v>0</v>
          </cell>
          <cell r="C263">
            <v>3</v>
          </cell>
          <cell r="D263">
            <v>0</v>
          </cell>
          <cell r="E263">
            <v>0</v>
          </cell>
        </row>
        <row r="264">
          <cell r="A264" t="str">
            <v>B074SXT853</v>
          </cell>
          <cell r="B264">
            <v>0</v>
          </cell>
          <cell r="C264">
            <v>7</v>
          </cell>
          <cell r="D264">
            <v>0</v>
          </cell>
          <cell r="E264">
            <v>0</v>
          </cell>
        </row>
        <row r="265">
          <cell r="A265" t="str">
            <v>B074SXT999</v>
          </cell>
          <cell r="B265">
            <v>0</v>
          </cell>
          <cell r="C265">
            <v>1</v>
          </cell>
          <cell r="D265">
            <v>0</v>
          </cell>
          <cell r="E265">
            <v>0</v>
          </cell>
        </row>
        <row r="266">
          <cell r="A266" t="str">
            <v>B074SY2NWC</v>
          </cell>
          <cell r="B266">
            <v>0</v>
          </cell>
          <cell r="C266">
            <v>1</v>
          </cell>
          <cell r="D266">
            <v>0</v>
          </cell>
          <cell r="E266">
            <v>0</v>
          </cell>
        </row>
        <row r="267">
          <cell r="A267" t="str">
            <v>B074SYX9RW</v>
          </cell>
          <cell r="B267">
            <v>0</v>
          </cell>
          <cell r="C267">
            <v>2</v>
          </cell>
          <cell r="D267">
            <v>0</v>
          </cell>
          <cell r="E267">
            <v>0</v>
          </cell>
        </row>
        <row r="268">
          <cell r="A268" t="str">
            <v>B074SYXBT8</v>
          </cell>
          <cell r="B268">
            <v>0</v>
          </cell>
          <cell r="C268">
            <v>1</v>
          </cell>
          <cell r="D268">
            <v>0</v>
          </cell>
          <cell r="E268">
            <v>0</v>
          </cell>
        </row>
        <row r="269">
          <cell r="A269" t="str">
            <v>B074SYY7Q7</v>
          </cell>
          <cell r="B269">
            <v>0</v>
          </cell>
          <cell r="C269">
            <v>1</v>
          </cell>
          <cell r="D269">
            <v>0</v>
          </cell>
          <cell r="E269">
            <v>0</v>
          </cell>
        </row>
        <row r="270">
          <cell r="A270" t="str">
            <v>B074SZ4SDW</v>
          </cell>
          <cell r="B270">
            <v>0</v>
          </cell>
          <cell r="C270">
            <v>2</v>
          </cell>
          <cell r="D270">
            <v>0</v>
          </cell>
          <cell r="E270">
            <v>0</v>
          </cell>
        </row>
        <row r="271">
          <cell r="A271" t="str">
            <v>B074SZ6CL6</v>
          </cell>
          <cell r="B271">
            <v>0</v>
          </cell>
          <cell r="C271">
            <v>2</v>
          </cell>
          <cell r="D271">
            <v>0</v>
          </cell>
          <cell r="E271">
            <v>0</v>
          </cell>
        </row>
        <row r="272">
          <cell r="A272" t="str">
            <v>B074SZD1GM</v>
          </cell>
          <cell r="B272">
            <v>0</v>
          </cell>
          <cell r="C272">
            <v>6</v>
          </cell>
          <cell r="D272">
            <v>0</v>
          </cell>
          <cell r="E272">
            <v>0</v>
          </cell>
        </row>
        <row r="273">
          <cell r="A273" t="str">
            <v>B074SZJPSD</v>
          </cell>
          <cell r="B273">
            <v>0</v>
          </cell>
          <cell r="C273">
            <v>1</v>
          </cell>
          <cell r="D273">
            <v>0</v>
          </cell>
          <cell r="E273">
            <v>0</v>
          </cell>
        </row>
        <row r="274">
          <cell r="A274" t="str">
            <v>B074SZJYJJ</v>
          </cell>
          <cell r="B274">
            <v>0</v>
          </cell>
          <cell r="C274">
            <v>4</v>
          </cell>
          <cell r="D274">
            <v>0</v>
          </cell>
          <cell r="E274">
            <v>0</v>
          </cell>
        </row>
        <row r="275">
          <cell r="A275" t="str">
            <v>B074SZKQMT</v>
          </cell>
          <cell r="B275">
            <v>0</v>
          </cell>
          <cell r="C275">
            <v>1</v>
          </cell>
          <cell r="D275">
            <v>0</v>
          </cell>
          <cell r="E275">
            <v>0</v>
          </cell>
        </row>
        <row r="276">
          <cell r="A276" t="str">
            <v>B074SZQ1LP</v>
          </cell>
          <cell r="B276">
            <v>0</v>
          </cell>
          <cell r="C276">
            <v>1</v>
          </cell>
          <cell r="D276">
            <v>0</v>
          </cell>
          <cell r="E276">
            <v>0</v>
          </cell>
        </row>
        <row r="277">
          <cell r="A277" t="str">
            <v>B074SZQ3FG</v>
          </cell>
          <cell r="B277">
            <v>0</v>
          </cell>
          <cell r="C277">
            <v>3</v>
          </cell>
          <cell r="D277">
            <v>0</v>
          </cell>
          <cell r="E277">
            <v>0</v>
          </cell>
        </row>
        <row r="278">
          <cell r="A278" t="str">
            <v>B074SZQ5DF</v>
          </cell>
          <cell r="B278">
            <v>0</v>
          </cell>
          <cell r="C278">
            <v>2</v>
          </cell>
          <cell r="D278">
            <v>0</v>
          </cell>
          <cell r="E278">
            <v>0</v>
          </cell>
        </row>
        <row r="279">
          <cell r="A279" t="str">
            <v>B074T25JWG</v>
          </cell>
          <cell r="B279">
            <v>0</v>
          </cell>
          <cell r="C279">
            <v>2</v>
          </cell>
          <cell r="D279">
            <v>0</v>
          </cell>
          <cell r="E279">
            <v>0</v>
          </cell>
        </row>
        <row r="280">
          <cell r="A280" t="str">
            <v>B074T74SF7</v>
          </cell>
          <cell r="B280">
            <v>0</v>
          </cell>
          <cell r="C280">
            <v>9</v>
          </cell>
          <cell r="D280">
            <v>0</v>
          </cell>
          <cell r="E280">
            <v>0</v>
          </cell>
        </row>
        <row r="281">
          <cell r="A281" t="str">
            <v>B075WNZJSF</v>
          </cell>
          <cell r="B281">
            <v>0</v>
          </cell>
          <cell r="C281">
            <v>1</v>
          </cell>
          <cell r="D281">
            <v>0</v>
          </cell>
          <cell r="E281">
            <v>0</v>
          </cell>
        </row>
        <row r="282">
          <cell r="A282" t="str">
            <v>B075WPHHKW</v>
          </cell>
          <cell r="B282">
            <v>0</v>
          </cell>
          <cell r="C282">
            <v>3</v>
          </cell>
          <cell r="D282">
            <v>0</v>
          </cell>
          <cell r="E282">
            <v>0</v>
          </cell>
        </row>
        <row r="283">
          <cell r="A283" t="str">
            <v>B075WQNT6B</v>
          </cell>
          <cell r="B283">
            <v>0</v>
          </cell>
          <cell r="C283">
            <v>2</v>
          </cell>
          <cell r="D283">
            <v>0</v>
          </cell>
          <cell r="E283">
            <v>0</v>
          </cell>
        </row>
        <row r="284">
          <cell r="A284" t="str">
            <v>B075WQQC8L</v>
          </cell>
          <cell r="B284">
            <v>0</v>
          </cell>
          <cell r="C284">
            <v>1</v>
          </cell>
          <cell r="D284">
            <v>0</v>
          </cell>
          <cell r="E284">
            <v>0</v>
          </cell>
        </row>
        <row r="285">
          <cell r="A285" t="str">
            <v>B075WRD5KM</v>
          </cell>
          <cell r="B285">
            <v>0</v>
          </cell>
          <cell r="C285">
            <v>1</v>
          </cell>
          <cell r="D285">
            <v>0</v>
          </cell>
          <cell r="E285">
            <v>0</v>
          </cell>
        </row>
        <row r="286">
          <cell r="A286" t="str">
            <v>B075WRWK44</v>
          </cell>
          <cell r="B286">
            <v>0</v>
          </cell>
          <cell r="C286">
            <v>1</v>
          </cell>
          <cell r="D286">
            <v>0</v>
          </cell>
          <cell r="E286">
            <v>0</v>
          </cell>
        </row>
        <row r="287">
          <cell r="A287" t="str">
            <v>B075WSD44L</v>
          </cell>
          <cell r="B287">
            <v>0</v>
          </cell>
          <cell r="C287">
            <v>1</v>
          </cell>
          <cell r="D287">
            <v>0</v>
          </cell>
          <cell r="E287">
            <v>0</v>
          </cell>
        </row>
        <row r="288">
          <cell r="A288" t="str">
            <v>B075WSXH1N</v>
          </cell>
          <cell r="B288">
            <v>0</v>
          </cell>
          <cell r="C288">
            <v>1</v>
          </cell>
          <cell r="D288">
            <v>0</v>
          </cell>
          <cell r="E288">
            <v>0</v>
          </cell>
        </row>
        <row r="289">
          <cell r="A289" t="str">
            <v>B075WT1YR6</v>
          </cell>
          <cell r="B289">
            <v>0</v>
          </cell>
          <cell r="C289">
            <v>1</v>
          </cell>
          <cell r="D289">
            <v>0</v>
          </cell>
          <cell r="E289">
            <v>0</v>
          </cell>
        </row>
        <row r="290">
          <cell r="A290" t="str">
            <v>B075WT1YRZ</v>
          </cell>
          <cell r="B290">
            <v>0</v>
          </cell>
          <cell r="C290">
            <v>1</v>
          </cell>
          <cell r="D290">
            <v>0</v>
          </cell>
          <cell r="E290">
            <v>0</v>
          </cell>
        </row>
        <row r="291">
          <cell r="A291" t="str">
            <v>B075WT9XBG</v>
          </cell>
          <cell r="B291">
            <v>0</v>
          </cell>
          <cell r="C291">
            <v>1</v>
          </cell>
          <cell r="D291">
            <v>0</v>
          </cell>
          <cell r="E291">
            <v>0</v>
          </cell>
        </row>
        <row r="292">
          <cell r="A292" t="str">
            <v>B075WTH7BJ</v>
          </cell>
          <cell r="B292">
            <v>0</v>
          </cell>
          <cell r="C292">
            <v>1</v>
          </cell>
          <cell r="D292">
            <v>0</v>
          </cell>
          <cell r="E292">
            <v>0</v>
          </cell>
        </row>
        <row r="293">
          <cell r="A293" t="str">
            <v>B075WTKCN3</v>
          </cell>
          <cell r="B293">
            <v>0</v>
          </cell>
          <cell r="C293">
            <v>1</v>
          </cell>
          <cell r="D293">
            <v>0</v>
          </cell>
          <cell r="E293">
            <v>0</v>
          </cell>
        </row>
        <row r="294">
          <cell r="A294" t="str">
            <v>B075X9JZX3</v>
          </cell>
          <cell r="B294">
            <v>0</v>
          </cell>
          <cell r="C294">
            <v>2</v>
          </cell>
          <cell r="D294">
            <v>0</v>
          </cell>
          <cell r="E294">
            <v>0</v>
          </cell>
        </row>
        <row r="295">
          <cell r="A295" t="str">
            <v>B075XBDWFK</v>
          </cell>
          <cell r="B295">
            <v>0</v>
          </cell>
          <cell r="C295">
            <v>3</v>
          </cell>
          <cell r="D295">
            <v>0</v>
          </cell>
          <cell r="E295">
            <v>0</v>
          </cell>
        </row>
        <row r="296">
          <cell r="A296" t="str">
            <v>B075XCBHHN</v>
          </cell>
          <cell r="B296">
            <v>0</v>
          </cell>
          <cell r="C296">
            <v>9</v>
          </cell>
          <cell r="D296">
            <v>0</v>
          </cell>
          <cell r="E296">
            <v>0</v>
          </cell>
        </row>
        <row r="297">
          <cell r="A297" t="str">
            <v>B075XCJ63F</v>
          </cell>
          <cell r="B297">
            <v>0</v>
          </cell>
          <cell r="C297">
            <v>4</v>
          </cell>
          <cell r="D297">
            <v>0</v>
          </cell>
          <cell r="E297">
            <v>0</v>
          </cell>
        </row>
        <row r="298">
          <cell r="A298" t="str">
            <v>B075XCS3QN</v>
          </cell>
          <cell r="B298">
            <v>0</v>
          </cell>
          <cell r="C298">
            <v>2</v>
          </cell>
          <cell r="D298">
            <v>0</v>
          </cell>
          <cell r="E298">
            <v>0</v>
          </cell>
        </row>
        <row r="299">
          <cell r="A299" t="str">
            <v>B075XD8MYM</v>
          </cell>
          <cell r="B299">
            <v>0</v>
          </cell>
          <cell r="C299">
            <v>4</v>
          </cell>
          <cell r="D299">
            <v>0</v>
          </cell>
          <cell r="E299">
            <v>0</v>
          </cell>
        </row>
        <row r="300">
          <cell r="A300" t="str">
            <v>B075XDTMSM</v>
          </cell>
          <cell r="B300">
            <v>0</v>
          </cell>
          <cell r="C300">
            <v>7</v>
          </cell>
          <cell r="D300">
            <v>0</v>
          </cell>
          <cell r="E300">
            <v>0</v>
          </cell>
        </row>
        <row r="301">
          <cell r="A301" t="str">
            <v>B075XDV8DB</v>
          </cell>
          <cell r="B301">
            <v>0</v>
          </cell>
          <cell r="C301">
            <v>3</v>
          </cell>
          <cell r="D301">
            <v>0</v>
          </cell>
          <cell r="E301">
            <v>0</v>
          </cell>
        </row>
        <row r="302">
          <cell r="A302" t="str">
            <v>B075XF6KDQ</v>
          </cell>
          <cell r="B302">
            <v>0</v>
          </cell>
          <cell r="C302">
            <v>2</v>
          </cell>
          <cell r="D302">
            <v>0</v>
          </cell>
          <cell r="E302">
            <v>0</v>
          </cell>
        </row>
        <row r="303">
          <cell r="A303" t="str">
            <v>B075XF75YS</v>
          </cell>
          <cell r="B303">
            <v>0</v>
          </cell>
          <cell r="C303">
            <v>1</v>
          </cell>
          <cell r="D303">
            <v>0</v>
          </cell>
          <cell r="E303">
            <v>0</v>
          </cell>
        </row>
        <row r="304">
          <cell r="A304" t="str">
            <v>B075XF8TFV</v>
          </cell>
          <cell r="B304">
            <v>0</v>
          </cell>
          <cell r="C304">
            <v>2</v>
          </cell>
          <cell r="D304">
            <v>0</v>
          </cell>
          <cell r="E304">
            <v>0</v>
          </cell>
        </row>
        <row r="305">
          <cell r="A305" t="str">
            <v>B075XFH141</v>
          </cell>
          <cell r="B305">
            <v>0</v>
          </cell>
          <cell r="C305">
            <v>1</v>
          </cell>
          <cell r="D305">
            <v>0</v>
          </cell>
          <cell r="E305">
            <v>0</v>
          </cell>
        </row>
        <row r="306">
          <cell r="A306" t="str">
            <v>B075XFQC8B</v>
          </cell>
          <cell r="B306">
            <v>0</v>
          </cell>
          <cell r="C306">
            <v>6</v>
          </cell>
          <cell r="D306">
            <v>0</v>
          </cell>
          <cell r="E306">
            <v>0</v>
          </cell>
        </row>
        <row r="307">
          <cell r="A307" t="str">
            <v>B075XG5JVY</v>
          </cell>
          <cell r="B307">
            <v>0</v>
          </cell>
          <cell r="C307">
            <v>40</v>
          </cell>
          <cell r="D307">
            <v>0</v>
          </cell>
          <cell r="E307">
            <v>0</v>
          </cell>
        </row>
        <row r="308">
          <cell r="A308" t="str">
            <v>B075XG6Z6C</v>
          </cell>
          <cell r="B308">
            <v>0</v>
          </cell>
          <cell r="C308">
            <v>2</v>
          </cell>
          <cell r="D308">
            <v>0</v>
          </cell>
          <cell r="E308">
            <v>0</v>
          </cell>
        </row>
        <row r="309">
          <cell r="A309" t="str">
            <v>B075XGCNH2</v>
          </cell>
          <cell r="B309">
            <v>0</v>
          </cell>
          <cell r="C309">
            <v>21</v>
          </cell>
          <cell r="D309">
            <v>0</v>
          </cell>
          <cell r="E309">
            <v>0</v>
          </cell>
        </row>
        <row r="310">
          <cell r="A310" t="str">
            <v>B075XH1TBD</v>
          </cell>
          <cell r="B310">
            <v>0</v>
          </cell>
          <cell r="C310">
            <v>1</v>
          </cell>
          <cell r="D310">
            <v>0</v>
          </cell>
          <cell r="E310">
            <v>0</v>
          </cell>
        </row>
        <row r="311">
          <cell r="A311" t="str">
            <v>B075XH35SF</v>
          </cell>
          <cell r="B311">
            <v>0</v>
          </cell>
          <cell r="C311">
            <v>2</v>
          </cell>
          <cell r="D311">
            <v>0</v>
          </cell>
          <cell r="E311">
            <v>0</v>
          </cell>
        </row>
        <row r="312">
          <cell r="A312" t="str">
            <v>B075XHCCFQ</v>
          </cell>
          <cell r="B312">
            <v>0</v>
          </cell>
          <cell r="C312">
            <v>1</v>
          </cell>
          <cell r="D312">
            <v>0</v>
          </cell>
          <cell r="E312">
            <v>0</v>
          </cell>
        </row>
        <row r="313">
          <cell r="A313" t="str">
            <v>B075XHVZNY</v>
          </cell>
          <cell r="B313">
            <v>0</v>
          </cell>
          <cell r="C313">
            <v>5</v>
          </cell>
          <cell r="D313">
            <v>0</v>
          </cell>
          <cell r="E313">
            <v>0</v>
          </cell>
        </row>
        <row r="314">
          <cell r="A314" t="str">
            <v>B075XJBNCS</v>
          </cell>
          <cell r="B314">
            <v>0</v>
          </cell>
          <cell r="C314">
            <v>7</v>
          </cell>
          <cell r="D314">
            <v>0</v>
          </cell>
          <cell r="E314">
            <v>0</v>
          </cell>
        </row>
        <row r="315">
          <cell r="A315" t="str">
            <v>B075XJLDVB</v>
          </cell>
          <cell r="B315">
            <v>0</v>
          </cell>
          <cell r="C315">
            <v>1</v>
          </cell>
          <cell r="D315">
            <v>0</v>
          </cell>
          <cell r="E315">
            <v>0</v>
          </cell>
        </row>
        <row r="316">
          <cell r="A316" t="str">
            <v>B077XQBVHJ</v>
          </cell>
          <cell r="B316">
            <v>0</v>
          </cell>
          <cell r="C316">
            <v>1</v>
          </cell>
          <cell r="D316">
            <v>0</v>
          </cell>
          <cell r="E316">
            <v>0</v>
          </cell>
        </row>
        <row r="317">
          <cell r="A317" t="str">
            <v>B077XQDLK1</v>
          </cell>
          <cell r="B317">
            <v>0</v>
          </cell>
          <cell r="C317">
            <v>4</v>
          </cell>
          <cell r="D317">
            <v>0</v>
          </cell>
          <cell r="E317">
            <v>0</v>
          </cell>
        </row>
        <row r="318">
          <cell r="A318" t="str">
            <v>B077XRZ4P9</v>
          </cell>
          <cell r="B318">
            <v>0</v>
          </cell>
          <cell r="C318">
            <v>2</v>
          </cell>
          <cell r="D318">
            <v>0</v>
          </cell>
          <cell r="E318">
            <v>0</v>
          </cell>
        </row>
        <row r="319">
          <cell r="A319" t="str">
            <v>B077XRZBGV</v>
          </cell>
          <cell r="B319">
            <v>0</v>
          </cell>
          <cell r="C319">
            <v>2</v>
          </cell>
          <cell r="D319">
            <v>0</v>
          </cell>
          <cell r="E319">
            <v>0</v>
          </cell>
        </row>
        <row r="320">
          <cell r="A320" t="str">
            <v>B077XTXG7X</v>
          </cell>
          <cell r="B320">
            <v>0</v>
          </cell>
          <cell r="C320">
            <v>1</v>
          </cell>
          <cell r="D320">
            <v>0</v>
          </cell>
          <cell r="E320">
            <v>0</v>
          </cell>
        </row>
        <row r="321">
          <cell r="A321" t="str">
            <v>B077XTXJ7Q</v>
          </cell>
          <cell r="B321">
            <v>0</v>
          </cell>
          <cell r="C321">
            <v>1</v>
          </cell>
          <cell r="D321">
            <v>0</v>
          </cell>
          <cell r="E321">
            <v>0</v>
          </cell>
        </row>
        <row r="322">
          <cell r="A322" t="str">
            <v>B077XV3LFS</v>
          </cell>
          <cell r="B322">
            <v>0</v>
          </cell>
          <cell r="C322">
            <v>1</v>
          </cell>
          <cell r="D322">
            <v>0</v>
          </cell>
          <cell r="E322">
            <v>0</v>
          </cell>
        </row>
        <row r="323">
          <cell r="A323" t="str">
            <v>B077XVD9Y3</v>
          </cell>
          <cell r="B323">
            <v>0</v>
          </cell>
          <cell r="C323">
            <v>9</v>
          </cell>
          <cell r="D323">
            <v>0</v>
          </cell>
          <cell r="E323">
            <v>0</v>
          </cell>
        </row>
        <row r="324">
          <cell r="A324" t="str">
            <v>B077XVSQHX</v>
          </cell>
          <cell r="B324">
            <v>0</v>
          </cell>
          <cell r="C324">
            <v>2</v>
          </cell>
          <cell r="D324">
            <v>0</v>
          </cell>
          <cell r="E324">
            <v>0</v>
          </cell>
        </row>
        <row r="325">
          <cell r="A325" t="str">
            <v>B077XVSW32</v>
          </cell>
          <cell r="B325">
            <v>0</v>
          </cell>
          <cell r="C325">
            <v>2</v>
          </cell>
          <cell r="D325">
            <v>0</v>
          </cell>
          <cell r="E325">
            <v>0</v>
          </cell>
        </row>
        <row r="326">
          <cell r="A326" t="str">
            <v>B077XX3FN9</v>
          </cell>
          <cell r="B326">
            <v>0</v>
          </cell>
          <cell r="C326">
            <v>1</v>
          </cell>
          <cell r="D326">
            <v>0</v>
          </cell>
          <cell r="E326">
            <v>0</v>
          </cell>
        </row>
        <row r="327">
          <cell r="A327" t="str">
            <v>B077XX5QDF</v>
          </cell>
          <cell r="B327">
            <v>0</v>
          </cell>
          <cell r="C327">
            <v>1</v>
          </cell>
          <cell r="D327">
            <v>0</v>
          </cell>
          <cell r="E327">
            <v>0</v>
          </cell>
        </row>
        <row r="328">
          <cell r="A328" t="str">
            <v>B077XX612Q</v>
          </cell>
          <cell r="B328">
            <v>0</v>
          </cell>
          <cell r="C328">
            <v>1</v>
          </cell>
          <cell r="D328">
            <v>0</v>
          </cell>
          <cell r="E328">
            <v>0</v>
          </cell>
        </row>
        <row r="329">
          <cell r="A329" t="str">
            <v>B077YWGR1B</v>
          </cell>
          <cell r="B329">
            <v>0</v>
          </cell>
          <cell r="C329">
            <v>1</v>
          </cell>
          <cell r="D329">
            <v>0</v>
          </cell>
          <cell r="E329">
            <v>0</v>
          </cell>
        </row>
        <row r="330">
          <cell r="A330" t="str">
            <v>B077YWGW7H</v>
          </cell>
          <cell r="B330">
            <v>0</v>
          </cell>
          <cell r="C330">
            <v>1</v>
          </cell>
          <cell r="D330">
            <v>0</v>
          </cell>
          <cell r="E330">
            <v>0</v>
          </cell>
        </row>
        <row r="331">
          <cell r="A331" t="str">
            <v>B077YWGXBQ</v>
          </cell>
          <cell r="B331">
            <v>0</v>
          </cell>
          <cell r="C331">
            <v>1</v>
          </cell>
          <cell r="D331">
            <v>0</v>
          </cell>
          <cell r="E331">
            <v>0</v>
          </cell>
        </row>
        <row r="332">
          <cell r="A332" t="str">
            <v>B077Z1SBLC</v>
          </cell>
          <cell r="B332">
            <v>0</v>
          </cell>
          <cell r="C332">
            <v>1</v>
          </cell>
          <cell r="D332">
            <v>0</v>
          </cell>
          <cell r="E332">
            <v>0</v>
          </cell>
        </row>
        <row r="333">
          <cell r="A333" t="str">
            <v>B077Z1TXX5</v>
          </cell>
          <cell r="B333">
            <v>0</v>
          </cell>
          <cell r="C333">
            <v>1</v>
          </cell>
          <cell r="D333">
            <v>0</v>
          </cell>
          <cell r="E333">
            <v>0</v>
          </cell>
        </row>
        <row r="334">
          <cell r="A334" t="str">
            <v>B077Z3FG6P</v>
          </cell>
          <cell r="B334">
            <v>0</v>
          </cell>
          <cell r="C334">
            <v>2</v>
          </cell>
          <cell r="D334">
            <v>0</v>
          </cell>
          <cell r="E334">
            <v>0</v>
          </cell>
        </row>
        <row r="335">
          <cell r="A335" t="str">
            <v>B077Z3FG6V</v>
          </cell>
          <cell r="B335">
            <v>0</v>
          </cell>
          <cell r="C335">
            <v>3</v>
          </cell>
          <cell r="D335">
            <v>0</v>
          </cell>
          <cell r="E335">
            <v>0</v>
          </cell>
        </row>
        <row r="336">
          <cell r="A336" t="str">
            <v>B077Z617BX</v>
          </cell>
          <cell r="B336">
            <v>0</v>
          </cell>
          <cell r="C336">
            <v>1</v>
          </cell>
          <cell r="D336">
            <v>0</v>
          </cell>
          <cell r="E336">
            <v>0</v>
          </cell>
        </row>
        <row r="337">
          <cell r="A337" t="str">
            <v>B0785JC4N5</v>
          </cell>
          <cell r="B337">
            <v>0</v>
          </cell>
          <cell r="C337">
            <v>2</v>
          </cell>
          <cell r="D337">
            <v>0</v>
          </cell>
          <cell r="E337">
            <v>0</v>
          </cell>
        </row>
        <row r="338">
          <cell r="A338" t="str">
            <v>B0785K545N</v>
          </cell>
          <cell r="B338">
            <v>0</v>
          </cell>
          <cell r="C338">
            <v>1</v>
          </cell>
          <cell r="D338">
            <v>0</v>
          </cell>
          <cell r="E338">
            <v>0</v>
          </cell>
        </row>
        <row r="339">
          <cell r="A339" t="str">
            <v>B0785L1H91</v>
          </cell>
          <cell r="B339">
            <v>0</v>
          </cell>
          <cell r="C339">
            <v>2</v>
          </cell>
          <cell r="D339">
            <v>0</v>
          </cell>
          <cell r="E339">
            <v>0</v>
          </cell>
        </row>
        <row r="340">
          <cell r="A340" t="str">
            <v>B0785L1RRG</v>
          </cell>
          <cell r="B340">
            <v>0</v>
          </cell>
          <cell r="C340">
            <v>1</v>
          </cell>
          <cell r="D340">
            <v>0</v>
          </cell>
          <cell r="E340">
            <v>0</v>
          </cell>
        </row>
        <row r="341">
          <cell r="A341" t="str">
            <v>B0785PHFJC</v>
          </cell>
          <cell r="B341">
            <v>0</v>
          </cell>
          <cell r="C341">
            <v>1</v>
          </cell>
          <cell r="D341">
            <v>0</v>
          </cell>
          <cell r="E341">
            <v>0</v>
          </cell>
        </row>
        <row r="342">
          <cell r="A342" t="str">
            <v>B0785PS8WV</v>
          </cell>
          <cell r="B342">
            <v>0</v>
          </cell>
          <cell r="C342">
            <v>2</v>
          </cell>
          <cell r="D342">
            <v>0</v>
          </cell>
          <cell r="E342">
            <v>0</v>
          </cell>
        </row>
        <row r="343">
          <cell r="A343" t="str">
            <v>B0785PV9GH</v>
          </cell>
          <cell r="B343">
            <v>0</v>
          </cell>
          <cell r="C343">
            <v>2</v>
          </cell>
          <cell r="D343">
            <v>0</v>
          </cell>
          <cell r="E343">
            <v>0</v>
          </cell>
        </row>
        <row r="344">
          <cell r="A344" t="str">
            <v>B078H79DCY</v>
          </cell>
          <cell r="B344">
            <v>0</v>
          </cell>
          <cell r="C344">
            <v>3</v>
          </cell>
          <cell r="D344">
            <v>0</v>
          </cell>
          <cell r="E344">
            <v>0</v>
          </cell>
        </row>
        <row r="345">
          <cell r="A345" t="str">
            <v>B078HD4M37</v>
          </cell>
          <cell r="B345">
            <v>0</v>
          </cell>
          <cell r="C345">
            <v>5</v>
          </cell>
          <cell r="D345">
            <v>0</v>
          </cell>
          <cell r="E345">
            <v>0</v>
          </cell>
        </row>
        <row r="346">
          <cell r="A346" t="str">
            <v>B078HNLGWS</v>
          </cell>
          <cell r="B346">
            <v>0</v>
          </cell>
          <cell r="C346">
            <v>2</v>
          </cell>
          <cell r="D346">
            <v>0</v>
          </cell>
          <cell r="E346">
            <v>0</v>
          </cell>
        </row>
        <row r="347">
          <cell r="A347" t="str">
            <v>B0798NZCMN</v>
          </cell>
          <cell r="B347">
            <v>0</v>
          </cell>
          <cell r="C347">
            <v>2</v>
          </cell>
          <cell r="D347">
            <v>0</v>
          </cell>
          <cell r="E347">
            <v>0</v>
          </cell>
        </row>
        <row r="348">
          <cell r="A348" t="str">
            <v>B0798NZTJD</v>
          </cell>
          <cell r="B348">
            <v>0</v>
          </cell>
          <cell r="C348">
            <v>2</v>
          </cell>
          <cell r="D348">
            <v>0</v>
          </cell>
          <cell r="E348">
            <v>0</v>
          </cell>
        </row>
        <row r="349">
          <cell r="A349" t="str">
            <v>B0798P1DCX</v>
          </cell>
          <cell r="B349">
            <v>0</v>
          </cell>
          <cell r="C349">
            <v>3</v>
          </cell>
          <cell r="D349">
            <v>0</v>
          </cell>
          <cell r="E349">
            <v>0</v>
          </cell>
        </row>
        <row r="350">
          <cell r="A350" t="str">
            <v>B0798PCSXB</v>
          </cell>
          <cell r="B350">
            <v>0</v>
          </cell>
          <cell r="C350">
            <v>7</v>
          </cell>
          <cell r="D350">
            <v>0</v>
          </cell>
          <cell r="E350">
            <v>0</v>
          </cell>
        </row>
        <row r="351">
          <cell r="A351" t="str">
            <v>B079GLZ6K8</v>
          </cell>
          <cell r="B351">
            <v>0</v>
          </cell>
          <cell r="C351">
            <v>4</v>
          </cell>
          <cell r="D351">
            <v>0</v>
          </cell>
          <cell r="E351">
            <v>0</v>
          </cell>
        </row>
        <row r="352">
          <cell r="A352" t="str">
            <v>B079GM3BXL</v>
          </cell>
          <cell r="B352">
            <v>0</v>
          </cell>
          <cell r="C352">
            <v>5</v>
          </cell>
          <cell r="D352">
            <v>0</v>
          </cell>
          <cell r="E352">
            <v>0</v>
          </cell>
        </row>
        <row r="353">
          <cell r="A353" t="str">
            <v>B079GML28B</v>
          </cell>
          <cell r="B353">
            <v>0</v>
          </cell>
          <cell r="C353">
            <v>1</v>
          </cell>
          <cell r="D353">
            <v>0</v>
          </cell>
          <cell r="E353">
            <v>0</v>
          </cell>
        </row>
        <row r="354">
          <cell r="A354" t="str">
            <v>B079GMMWG2</v>
          </cell>
          <cell r="B354">
            <v>0</v>
          </cell>
          <cell r="C354">
            <v>4</v>
          </cell>
          <cell r="D354">
            <v>0</v>
          </cell>
          <cell r="E354">
            <v>0</v>
          </cell>
        </row>
        <row r="355">
          <cell r="A355" t="str">
            <v>B079GNL7BD</v>
          </cell>
          <cell r="B355">
            <v>0</v>
          </cell>
          <cell r="C355">
            <v>9</v>
          </cell>
          <cell r="D355">
            <v>0</v>
          </cell>
          <cell r="E355">
            <v>0</v>
          </cell>
        </row>
        <row r="356">
          <cell r="A356" t="str">
            <v>B079GPRVHY</v>
          </cell>
          <cell r="B356">
            <v>0</v>
          </cell>
          <cell r="C356">
            <v>2</v>
          </cell>
          <cell r="D356">
            <v>0</v>
          </cell>
          <cell r="E356">
            <v>0</v>
          </cell>
        </row>
        <row r="357">
          <cell r="A357" t="str">
            <v>B079GQ2C5K</v>
          </cell>
          <cell r="B357">
            <v>0</v>
          </cell>
          <cell r="C357">
            <v>1</v>
          </cell>
          <cell r="D357">
            <v>0</v>
          </cell>
          <cell r="E357">
            <v>0</v>
          </cell>
        </row>
        <row r="358">
          <cell r="A358" t="str">
            <v>B079GQ697Z</v>
          </cell>
          <cell r="B358">
            <v>0</v>
          </cell>
          <cell r="C358">
            <v>1</v>
          </cell>
          <cell r="D358">
            <v>0</v>
          </cell>
          <cell r="E358">
            <v>0</v>
          </cell>
        </row>
        <row r="359">
          <cell r="A359" t="str">
            <v>B079GQ7X19</v>
          </cell>
          <cell r="B359">
            <v>0</v>
          </cell>
          <cell r="C359">
            <v>1</v>
          </cell>
          <cell r="D359">
            <v>0</v>
          </cell>
          <cell r="E359">
            <v>0</v>
          </cell>
        </row>
        <row r="360">
          <cell r="A360" t="str">
            <v>B079GQ99MR</v>
          </cell>
          <cell r="B360">
            <v>0</v>
          </cell>
          <cell r="C360">
            <v>4</v>
          </cell>
          <cell r="D360">
            <v>0</v>
          </cell>
          <cell r="E360">
            <v>0</v>
          </cell>
        </row>
        <row r="361">
          <cell r="A361" t="str">
            <v>B079GQWL9S</v>
          </cell>
          <cell r="B361">
            <v>0</v>
          </cell>
          <cell r="C361">
            <v>2</v>
          </cell>
          <cell r="D361">
            <v>0</v>
          </cell>
          <cell r="E361">
            <v>0</v>
          </cell>
        </row>
        <row r="362">
          <cell r="A362" t="str">
            <v>B079GQYYYF</v>
          </cell>
          <cell r="B362">
            <v>0</v>
          </cell>
          <cell r="C362">
            <v>5</v>
          </cell>
          <cell r="D362">
            <v>0</v>
          </cell>
          <cell r="E362">
            <v>0</v>
          </cell>
        </row>
        <row r="363">
          <cell r="A363" t="str">
            <v>B079GQZMQ2</v>
          </cell>
          <cell r="B363">
            <v>0</v>
          </cell>
          <cell r="C363">
            <v>4</v>
          </cell>
          <cell r="D363">
            <v>0</v>
          </cell>
          <cell r="E363">
            <v>0</v>
          </cell>
        </row>
        <row r="364">
          <cell r="A364" t="str">
            <v>B079GR91JK</v>
          </cell>
          <cell r="B364">
            <v>0</v>
          </cell>
          <cell r="C364">
            <v>1</v>
          </cell>
          <cell r="D364">
            <v>0</v>
          </cell>
          <cell r="E364">
            <v>0</v>
          </cell>
        </row>
        <row r="365">
          <cell r="A365" t="str">
            <v>B079GRXYH8</v>
          </cell>
          <cell r="B365">
            <v>0</v>
          </cell>
          <cell r="C365">
            <v>5</v>
          </cell>
          <cell r="D365">
            <v>0</v>
          </cell>
          <cell r="E365">
            <v>0</v>
          </cell>
        </row>
        <row r="366">
          <cell r="A366" t="str">
            <v>B079GS1ZJR</v>
          </cell>
          <cell r="B366">
            <v>0</v>
          </cell>
          <cell r="C366">
            <v>2</v>
          </cell>
          <cell r="D366">
            <v>0</v>
          </cell>
          <cell r="E366">
            <v>0</v>
          </cell>
        </row>
        <row r="367">
          <cell r="A367" t="str">
            <v>B079GS81P9</v>
          </cell>
          <cell r="B367">
            <v>0</v>
          </cell>
          <cell r="C367">
            <v>4</v>
          </cell>
          <cell r="D367">
            <v>0</v>
          </cell>
          <cell r="E367">
            <v>0</v>
          </cell>
        </row>
        <row r="368">
          <cell r="A368" t="str">
            <v>B079HP2RFZ</v>
          </cell>
          <cell r="B368">
            <v>0</v>
          </cell>
          <cell r="C368">
            <v>55</v>
          </cell>
          <cell r="D368">
            <v>0</v>
          </cell>
          <cell r="E368">
            <v>0</v>
          </cell>
        </row>
        <row r="369">
          <cell r="A369" t="str">
            <v>B079HPLTVC</v>
          </cell>
          <cell r="B369">
            <v>0</v>
          </cell>
          <cell r="C369">
            <v>84</v>
          </cell>
          <cell r="D369">
            <v>0</v>
          </cell>
          <cell r="E369">
            <v>0</v>
          </cell>
        </row>
        <row r="370">
          <cell r="A370" t="str">
            <v>B079HQGKS9</v>
          </cell>
          <cell r="B370">
            <v>0</v>
          </cell>
          <cell r="C370">
            <v>38</v>
          </cell>
          <cell r="D370">
            <v>0</v>
          </cell>
          <cell r="E370">
            <v>0</v>
          </cell>
        </row>
        <row r="371">
          <cell r="A371" t="str">
            <v>B079HQPJP2</v>
          </cell>
          <cell r="B371">
            <v>0</v>
          </cell>
          <cell r="C371">
            <v>114</v>
          </cell>
          <cell r="D371">
            <v>0</v>
          </cell>
          <cell r="E371">
            <v>0</v>
          </cell>
        </row>
        <row r="372">
          <cell r="A372" t="str">
            <v>B079HQW62H</v>
          </cell>
          <cell r="B372">
            <v>0</v>
          </cell>
          <cell r="C372">
            <v>47</v>
          </cell>
          <cell r="D372">
            <v>0</v>
          </cell>
          <cell r="E372">
            <v>0</v>
          </cell>
        </row>
        <row r="373">
          <cell r="A373" t="str">
            <v>B079HRST93</v>
          </cell>
          <cell r="B373">
            <v>0</v>
          </cell>
          <cell r="C373">
            <v>40</v>
          </cell>
          <cell r="D373">
            <v>0</v>
          </cell>
          <cell r="E373">
            <v>0</v>
          </cell>
        </row>
        <row r="374">
          <cell r="A374" t="str">
            <v>B079HRYZ8F</v>
          </cell>
          <cell r="B374">
            <v>0</v>
          </cell>
          <cell r="C374">
            <v>29</v>
          </cell>
          <cell r="D374">
            <v>0</v>
          </cell>
          <cell r="E374">
            <v>0</v>
          </cell>
        </row>
        <row r="375">
          <cell r="A375" t="str">
            <v>B079HS8H93</v>
          </cell>
          <cell r="B375">
            <v>0</v>
          </cell>
          <cell r="C375">
            <v>40</v>
          </cell>
          <cell r="D375">
            <v>0</v>
          </cell>
          <cell r="E375">
            <v>0</v>
          </cell>
        </row>
        <row r="376">
          <cell r="A376" t="str">
            <v>B079J99WVX</v>
          </cell>
          <cell r="B376">
            <v>0</v>
          </cell>
          <cell r="C376">
            <v>6</v>
          </cell>
          <cell r="D376">
            <v>0</v>
          </cell>
          <cell r="E376">
            <v>0</v>
          </cell>
        </row>
        <row r="377">
          <cell r="A377" t="str">
            <v>B079JD7ZJ2</v>
          </cell>
          <cell r="B377">
            <v>0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B079JGMFTB</v>
          </cell>
          <cell r="B378">
            <v>0</v>
          </cell>
          <cell r="C378">
            <v>3</v>
          </cell>
          <cell r="D378">
            <v>0</v>
          </cell>
          <cell r="E378">
            <v>0</v>
          </cell>
        </row>
        <row r="379">
          <cell r="A379" t="str">
            <v>B079JLS34D</v>
          </cell>
          <cell r="B379">
            <v>0</v>
          </cell>
          <cell r="C379">
            <v>1</v>
          </cell>
          <cell r="D379">
            <v>0</v>
          </cell>
          <cell r="E379">
            <v>0</v>
          </cell>
        </row>
        <row r="380">
          <cell r="A380" t="str">
            <v>B079JNPCJ1</v>
          </cell>
          <cell r="B380">
            <v>0</v>
          </cell>
          <cell r="C380">
            <v>5</v>
          </cell>
          <cell r="D380">
            <v>0</v>
          </cell>
          <cell r="E380">
            <v>0</v>
          </cell>
        </row>
        <row r="381">
          <cell r="A381" t="str">
            <v>B07B9WYZG3</v>
          </cell>
          <cell r="B381">
            <v>0</v>
          </cell>
          <cell r="C381">
            <v>12</v>
          </cell>
          <cell r="D381">
            <v>0</v>
          </cell>
          <cell r="E381">
            <v>0</v>
          </cell>
        </row>
        <row r="382">
          <cell r="A382" t="str">
            <v>B07BGSSQLV</v>
          </cell>
          <cell r="B382">
            <v>0</v>
          </cell>
          <cell r="C382">
            <v>159</v>
          </cell>
          <cell r="D382">
            <v>0</v>
          </cell>
          <cell r="E382">
            <v>0</v>
          </cell>
        </row>
        <row r="383">
          <cell r="A383" t="str">
            <v>B07BGW4LWX</v>
          </cell>
          <cell r="B383">
            <v>0</v>
          </cell>
          <cell r="C383">
            <v>84</v>
          </cell>
          <cell r="D383">
            <v>0</v>
          </cell>
          <cell r="E383">
            <v>0</v>
          </cell>
        </row>
        <row r="384">
          <cell r="A384" t="str">
            <v>B07BGWTSX6</v>
          </cell>
          <cell r="B384">
            <v>0</v>
          </cell>
          <cell r="C384">
            <v>284</v>
          </cell>
          <cell r="D384">
            <v>0</v>
          </cell>
          <cell r="E384">
            <v>0</v>
          </cell>
        </row>
        <row r="385">
          <cell r="A385" t="str">
            <v>B07BLQ5R6S</v>
          </cell>
          <cell r="B385">
            <v>0</v>
          </cell>
          <cell r="C385">
            <v>2</v>
          </cell>
          <cell r="D385">
            <v>0</v>
          </cell>
          <cell r="E385">
            <v>0</v>
          </cell>
        </row>
        <row r="386">
          <cell r="A386" t="str">
            <v>B07BLQFM2G</v>
          </cell>
          <cell r="B386">
            <v>0</v>
          </cell>
          <cell r="C386">
            <v>1</v>
          </cell>
          <cell r="D386">
            <v>0</v>
          </cell>
          <cell r="E386">
            <v>0</v>
          </cell>
        </row>
        <row r="387">
          <cell r="A387" t="str">
            <v>B07BLQJYGS</v>
          </cell>
          <cell r="B387">
            <v>0</v>
          </cell>
          <cell r="C387">
            <v>1</v>
          </cell>
          <cell r="D387">
            <v>0</v>
          </cell>
          <cell r="E387">
            <v>0</v>
          </cell>
        </row>
        <row r="388">
          <cell r="A388" t="str">
            <v>B07BLQJYGV</v>
          </cell>
          <cell r="B388">
            <v>0</v>
          </cell>
          <cell r="C388">
            <v>1</v>
          </cell>
          <cell r="D388">
            <v>0</v>
          </cell>
          <cell r="E388">
            <v>0</v>
          </cell>
        </row>
        <row r="389">
          <cell r="A389" t="str">
            <v>B07BLRLRW6</v>
          </cell>
          <cell r="B389">
            <v>0</v>
          </cell>
          <cell r="C389">
            <v>2</v>
          </cell>
          <cell r="D389">
            <v>0</v>
          </cell>
          <cell r="E389">
            <v>0</v>
          </cell>
        </row>
        <row r="390">
          <cell r="A390" t="str">
            <v>B07BLRNMV5</v>
          </cell>
          <cell r="B390">
            <v>0</v>
          </cell>
          <cell r="C390">
            <v>1</v>
          </cell>
          <cell r="D390">
            <v>0</v>
          </cell>
          <cell r="E390">
            <v>0</v>
          </cell>
        </row>
        <row r="391">
          <cell r="A391" t="str">
            <v>B07BLRTLGM</v>
          </cell>
          <cell r="B391">
            <v>0</v>
          </cell>
          <cell r="C391">
            <v>1</v>
          </cell>
          <cell r="D391">
            <v>0</v>
          </cell>
          <cell r="E391">
            <v>0</v>
          </cell>
        </row>
        <row r="392">
          <cell r="A392" t="str">
            <v>B07BLRYV4K</v>
          </cell>
          <cell r="B392">
            <v>0</v>
          </cell>
          <cell r="C392">
            <v>1</v>
          </cell>
          <cell r="D392">
            <v>0</v>
          </cell>
          <cell r="E392">
            <v>0</v>
          </cell>
        </row>
        <row r="393">
          <cell r="A393" t="str">
            <v>B07BLS3RH4</v>
          </cell>
          <cell r="B393">
            <v>0</v>
          </cell>
          <cell r="C393">
            <v>1</v>
          </cell>
          <cell r="D393">
            <v>0</v>
          </cell>
          <cell r="E393">
            <v>0</v>
          </cell>
        </row>
        <row r="394">
          <cell r="A394" t="str">
            <v>B07BLSLVNQ</v>
          </cell>
          <cell r="B394">
            <v>0</v>
          </cell>
          <cell r="C394">
            <v>3</v>
          </cell>
          <cell r="D394">
            <v>0</v>
          </cell>
          <cell r="E394">
            <v>0</v>
          </cell>
        </row>
        <row r="395">
          <cell r="A395" t="str">
            <v>B07BLSR168</v>
          </cell>
          <cell r="B395">
            <v>0</v>
          </cell>
          <cell r="C395">
            <v>1</v>
          </cell>
          <cell r="D395">
            <v>0</v>
          </cell>
          <cell r="E395">
            <v>0</v>
          </cell>
        </row>
        <row r="396">
          <cell r="A396" t="str">
            <v>B07BLT6QLH</v>
          </cell>
          <cell r="B396">
            <v>0</v>
          </cell>
          <cell r="C396">
            <v>1</v>
          </cell>
          <cell r="D396">
            <v>0</v>
          </cell>
          <cell r="E396">
            <v>0</v>
          </cell>
        </row>
        <row r="397">
          <cell r="A397" t="str">
            <v>B07BLT8K4B</v>
          </cell>
          <cell r="B397">
            <v>0</v>
          </cell>
          <cell r="C397">
            <v>1</v>
          </cell>
          <cell r="D397">
            <v>0</v>
          </cell>
          <cell r="E397">
            <v>0</v>
          </cell>
        </row>
        <row r="398">
          <cell r="A398" t="str">
            <v>B07BLTCKF4</v>
          </cell>
          <cell r="B398">
            <v>0</v>
          </cell>
          <cell r="C398">
            <v>1</v>
          </cell>
          <cell r="D398">
            <v>0</v>
          </cell>
          <cell r="E398">
            <v>0</v>
          </cell>
        </row>
        <row r="399">
          <cell r="A399" t="str">
            <v>B07BLTGHH9</v>
          </cell>
          <cell r="B399">
            <v>0</v>
          </cell>
          <cell r="C399">
            <v>2</v>
          </cell>
          <cell r="D399">
            <v>0</v>
          </cell>
          <cell r="E399">
            <v>0</v>
          </cell>
        </row>
        <row r="400">
          <cell r="A400" t="str">
            <v>B07BLV93M3</v>
          </cell>
          <cell r="B400">
            <v>0</v>
          </cell>
          <cell r="C400">
            <v>2</v>
          </cell>
          <cell r="D400">
            <v>0</v>
          </cell>
          <cell r="E400">
            <v>0</v>
          </cell>
        </row>
        <row r="401">
          <cell r="A401" t="str">
            <v>B07BLV93M6</v>
          </cell>
          <cell r="B401">
            <v>0</v>
          </cell>
          <cell r="C401">
            <v>1</v>
          </cell>
          <cell r="D401">
            <v>0</v>
          </cell>
          <cell r="E401">
            <v>0</v>
          </cell>
        </row>
        <row r="402">
          <cell r="A402" t="str">
            <v>B07BLVSWRJ</v>
          </cell>
          <cell r="B402">
            <v>0</v>
          </cell>
          <cell r="C402">
            <v>1</v>
          </cell>
          <cell r="D402">
            <v>0</v>
          </cell>
          <cell r="E402">
            <v>0</v>
          </cell>
        </row>
        <row r="403">
          <cell r="A403" t="str">
            <v>B07BLWPJFH</v>
          </cell>
          <cell r="B403">
            <v>0</v>
          </cell>
          <cell r="C403">
            <v>2</v>
          </cell>
          <cell r="D403">
            <v>0</v>
          </cell>
          <cell r="E403">
            <v>0</v>
          </cell>
        </row>
        <row r="404">
          <cell r="A404" t="str">
            <v>B07BLX8JTR</v>
          </cell>
          <cell r="B404">
            <v>0</v>
          </cell>
          <cell r="C404">
            <v>1</v>
          </cell>
          <cell r="D404">
            <v>0</v>
          </cell>
          <cell r="E404">
            <v>0</v>
          </cell>
        </row>
        <row r="405">
          <cell r="A405" t="str">
            <v>B07BLX976V</v>
          </cell>
          <cell r="B405">
            <v>0</v>
          </cell>
          <cell r="C405">
            <v>1</v>
          </cell>
          <cell r="D405">
            <v>0</v>
          </cell>
          <cell r="E405">
            <v>0</v>
          </cell>
        </row>
        <row r="406">
          <cell r="A406" t="str">
            <v>B07BLXLBHX</v>
          </cell>
          <cell r="B406">
            <v>0</v>
          </cell>
          <cell r="C406">
            <v>3</v>
          </cell>
          <cell r="D406">
            <v>0</v>
          </cell>
          <cell r="E406">
            <v>0</v>
          </cell>
        </row>
        <row r="407">
          <cell r="A407" t="str">
            <v>B07BM3PGBP</v>
          </cell>
          <cell r="B407">
            <v>0</v>
          </cell>
          <cell r="C407">
            <v>2</v>
          </cell>
          <cell r="D407">
            <v>0</v>
          </cell>
          <cell r="E407">
            <v>0</v>
          </cell>
        </row>
        <row r="408">
          <cell r="A408" t="str">
            <v>B07BXDRZR3</v>
          </cell>
          <cell r="B408">
            <v>0</v>
          </cell>
          <cell r="C408">
            <v>2027</v>
          </cell>
          <cell r="D408">
            <v>0</v>
          </cell>
          <cell r="E408">
            <v>0</v>
          </cell>
        </row>
        <row r="409">
          <cell r="A409" t="str">
            <v>B07C16NFVZ</v>
          </cell>
          <cell r="B409">
            <v>0</v>
          </cell>
          <cell r="C409">
            <v>50</v>
          </cell>
          <cell r="D409">
            <v>0</v>
          </cell>
          <cell r="E409">
            <v>0</v>
          </cell>
        </row>
        <row r="410">
          <cell r="A410" t="str">
            <v>B07C178LY1</v>
          </cell>
          <cell r="B410">
            <v>0</v>
          </cell>
          <cell r="C410">
            <v>8</v>
          </cell>
          <cell r="D410">
            <v>0</v>
          </cell>
          <cell r="E410">
            <v>0</v>
          </cell>
        </row>
        <row r="411">
          <cell r="A411" t="str">
            <v>B07C178M2R</v>
          </cell>
          <cell r="B411">
            <v>0</v>
          </cell>
          <cell r="C411">
            <v>19</v>
          </cell>
          <cell r="D411">
            <v>0</v>
          </cell>
          <cell r="E411">
            <v>0</v>
          </cell>
        </row>
        <row r="412">
          <cell r="A412" t="str">
            <v>B07C1KX15Z</v>
          </cell>
          <cell r="B412">
            <v>0</v>
          </cell>
          <cell r="C412">
            <v>6</v>
          </cell>
          <cell r="D412">
            <v>0</v>
          </cell>
          <cell r="E412">
            <v>0</v>
          </cell>
        </row>
        <row r="413">
          <cell r="A413" t="str">
            <v>B07C1LYHW7</v>
          </cell>
          <cell r="B413">
            <v>0</v>
          </cell>
          <cell r="C413">
            <v>7</v>
          </cell>
          <cell r="D413">
            <v>0</v>
          </cell>
          <cell r="E413">
            <v>0</v>
          </cell>
        </row>
        <row r="414">
          <cell r="A414" t="str">
            <v>B07C1P3Z1B</v>
          </cell>
          <cell r="B414">
            <v>0</v>
          </cell>
          <cell r="C414">
            <v>28</v>
          </cell>
          <cell r="D414">
            <v>0</v>
          </cell>
          <cell r="E414">
            <v>0</v>
          </cell>
        </row>
        <row r="415">
          <cell r="A415" t="str">
            <v>B07C5SXQ14</v>
          </cell>
          <cell r="B415">
            <v>0</v>
          </cell>
          <cell r="C415">
            <v>513</v>
          </cell>
          <cell r="D415">
            <v>0</v>
          </cell>
          <cell r="E415">
            <v>0</v>
          </cell>
        </row>
        <row r="416">
          <cell r="A416" t="str">
            <v>B07C6X3XM7</v>
          </cell>
          <cell r="B416">
            <v>0</v>
          </cell>
          <cell r="C416">
            <v>57</v>
          </cell>
          <cell r="D416">
            <v>0</v>
          </cell>
          <cell r="E416">
            <v>0</v>
          </cell>
        </row>
        <row r="417">
          <cell r="A417" t="str">
            <v>B07C75PL9W</v>
          </cell>
          <cell r="B417">
            <v>0</v>
          </cell>
          <cell r="C417">
            <v>278</v>
          </cell>
          <cell r="D417">
            <v>0</v>
          </cell>
          <cell r="E417">
            <v>0</v>
          </cell>
        </row>
        <row r="418">
          <cell r="A418" t="str">
            <v>B07C8GHD9F</v>
          </cell>
          <cell r="B418">
            <v>0</v>
          </cell>
          <cell r="C418">
            <v>2</v>
          </cell>
          <cell r="D418">
            <v>0</v>
          </cell>
          <cell r="E418">
            <v>0</v>
          </cell>
        </row>
        <row r="419">
          <cell r="A419" t="str">
            <v>B07C8GM23V</v>
          </cell>
          <cell r="B419">
            <v>0</v>
          </cell>
          <cell r="C419">
            <v>1</v>
          </cell>
          <cell r="D419">
            <v>0</v>
          </cell>
          <cell r="E419">
            <v>0</v>
          </cell>
        </row>
        <row r="420">
          <cell r="A420" t="str">
            <v>B07CBPJCK5</v>
          </cell>
          <cell r="B420">
            <v>0</v>
          </cell>
          <cell r="C420">
            <v>89</v>
          </cell>
          <cell r="D420">
            <v>0</v>
          </cell>
          <cell r="E420">
            <v>0</v>
          </cell>
        </row>
        <row r="421">
          <cell r="A421" t="str">
            <v>B07CBPP52D</v>
          </cell>
          <cell r="B421">
            <v>0</v>
          </cell>
          <cell r="C421">
            <v>46</v>
          </cell>
          <cell r="D421">
            <v>0</v>
          </cell>
          <cell r="E421">
            <v>0</v>
          </cell>
        </row>
        <row r="422">
          <cell r="A422" t="str">
            <v>B07CBPWQZT</v>
          </cell>
          <cell r="B422">
            <v>0</v>
          </cell>
          <cell r="C422">
            <v>122</v>
          </cell>
          <cell r="D422">
            <v>0</v>
          </cell>
          <cell r="E422">
            <v>0</v>
          </cell>
        </row>
        <row r="423">
          <cell r="A423" t="str">
            <v>B07CBPY63R</v>
          </cell>
          <cell r="B423">
            <v>0</v>
          </cell>
          <cell r="C423">
            <v>37</v>
          </cell>
          <cell r="D423">
            <v>0</v>
          </cell>
          <cell r="E423">
            <v>0</v>
          </cell>
        </row>
        <row r="424">
          <cell r="A424" t="str">
            <v>B07CBR7LCS</v>
          </cell>
          <cell r="B424">
            <v>0</v>
          </cell>
          <cell r="C424">
            <v>53</v>
          </cell>
          <cell r="D424">
            <v>0</v>
          </cell>
          <cell r="E424">
            <v>0</v>
          </cell>
        </row>
        <row r="425">
          <cell r="A425" t="str">
            <v>B07CGJVWW6</v>
          </cell>
          <cell r="B425">
            <v>0</v>
          </cell>
          <cell r="C425">
            <v>17</v>
          </cell>
          <cell r="D425">
            <v>0</v>
          </cell>
          <cell r="E425">
            <v>0</v>
          </cell>
        </row>
        <row r="426">
          <cell r="A426" t="str">
            <v>B07CNVG6NZ</v>
          </cell>
          <cell r="B426">
            <v>0</v>
          </cell>
          <cell r="C426">
            <v>91</v>
          </cell>
          <cell r="D426">
            <v>0</v>
          </cell>
          <cell r="E426">
            <v>0</v>
          </cell>
        </row>
        <row r="427">
          <cell r="A427" t="str">
            <v>B07CQJNLWX</v>
          </cell>
          <cell r="B427">
            <v>0</v>
          </cell>
          <cell r="C427">
            <v>36</v>
          </cell>
          <cell r="D427">
            <v>0</v>
          </cell>
          <cell r="E427">
            <v>0</v>
          </cell>
        </row>
        <row r="428">
          <cell r="A428" t="str">
            <v>B07CRZGRK6</v>
          </cell>
          <cell r="B428">
            <v>0</v>
          </cell>
          <cell r="C428">
            <v>29</v>
          </cell>
          <cell r="D428">
            <v>0</v>
          </cell>
          <cell r="E428">
            <v>0</v>
          </cell>
        </row>
        <row r="429">
          <cell r="A429" t="str">
            <v>B07D8S8R3B</v>
          </cell>
          <cell r="B429">
            <v>0</v>
          </cell>
          <cell r="C429">
            <v>5</v>
          </cell>
          <cell r="D429">
            <v>0</v>
          </cell>
          <cell r="E429">
            <v>0</v>
          </cell>
        </row>
        <row r="430">
          <cell r="A430" t="str">
            <v>B07DF68CCD</v>
          </cell>
          <cell r="B430">
            <v>0</v>
          </cell>
          <cell r="C430">
            <v>1</v>
          </cell>
          <cell r="D430">
            <v>0</v>
          </cell>
          <cell r="E430">
            <v>0</v>
          </cell>
        </row>
        <row r="431">
          <cell r="A431" t="str">
            <v>B07DF6DDNM</v>
          </cell>
          <cell r="B431">
            <v>0</v>
          </cell>
          <cell r="C431">
            <v>70</v>
          </cell>
          <cell r="D431">
            <v>0</v>
          </cell>
          <cell r="E431">
            <v>0</v>
          </cell>
        </row>
        <row r="432">
          <cell r="A432" t="str">
            <v>B07DF6XZQC</v>
          </cell>
          <cell r="B432">
            <v>0</v>
          </cell>
          <cell r="C432">
            <v>14</v>
          </cell>
          <cell r="D432">
            <v>0</v>
          </cell>
          <cell r="E432">
            <v>0</v>
          </cell>
        </row>
        <row r="433">
          <cell r="A433" t="str">
            <v>B07DF81JBH</v>
          </cell>
          <cell r="B433">
            <v>0</v>
          </cell>
          <cell r="C433">
            <v>16</v>
          </cell>
          <cell r="D433">
            <v>0</v>
          </cell>
          <cell r="E433">
            <v>0</v>
          </cell>
        </row>
        <row r="434">
          <cell r="A434" t="str">
            <v>B07DF9YBBV</v>
          </cell>
          <cell r="B434">
            <v>0</v>
          </cell>
          <cell r="C434">
            <v>77</v>
          </cell>
          <cell r="D434">
            <v>0</v>
          </cell>
          <cell r="E434">
            <v>0</v>
          </cell>
        </row>
        <row r="435">
          <cell r="A435" t="str">
            <v>B07DFBHNBF</v>
          </cell>
          <cell r="B435">
            <v>0</v>
          </cell>
          <cell r="C435">
            <v>21</v>
          </cell>
          <cell r="D435">
            <v>0</v>
          </cell>
          <cell r="E435">
            <v>0</v>
          </cell>
        </row>
        <row r="436">
          <cell r="A436" t="str">
            <v>B07DFBKQ2D</v>
          </cell>
          <cell r="B436">
            <v>0</v>
          </cell>
          <cell r="C436">
            <v>24</v>
          </cell>
          <cell r="D436">
            <v>0</v>
          </cell>
          <cell r="E436">
            <v>0</v>
          </cell>
        </row>
        <row r="437">
          <cell r="A437" t="str">
            <v>B07DFBM9N3</v>
          </cell>
          <cell r="B437">
            <v>0</v>
          </cell>
          <cell r="C437">
            <v>15</v>
          </cell>
          <cell r="D437">
            <v>0</v>
          </cell>
          <cell r="E437">
            <v>0</v>
          </cell>
        </row>
        <row r="438">
          <cell r="A438" t="str">
            <v>B07DFC3CFS</v>
          </cell>
          <cell r="B438">
            <v>0</v>
          </cell>
          <cell r="C438">
            <v>20</v>
          </cell>
          <cell r="D438">
            <v>0</v>
          </cell>
          <cell r="E438">
            <v>0</v>
          </cell>
        </row>
        <row r="439">
          <cell r="A439" t="str">
            <v>B07DFCKR8T</v>
          </cell>
          <cell r="B439">
            <v>0</v>
          </cell>
          <cell r="C439">
            <v>14</v>
          </cell>
          <cell r="D439">
            <v>0</v>
          </cell>
          <cell r="E439">
            <v>0</v>
          </cell>
        </row>
        <row r="440">
          <cell r="A440" t="str">
            <v>B07DJ8MH2Q</v>
          </cell>
          <cell r="B440">
            <v>0</v>
          </cell>
          <cell r="C440">
            <v>3</v>
          </cell>
          <cell r="D440">
            <v>0</v>
          </cell>
          <cell r="E440">
            <v>0</v>
          </cell>
        </row>
        <row r="441">
          <cell r="A441" t="str">
            <v>B07DL53SBF</v>
          </cell>
          <cell r="B441">
            <v>0</v>
          </cell>
          <cell r="C441">
            <v>8</v>
          </cell>
          <cell r="D441">
            <v>0</v>
          </cell>
          <cell r="E441">
            <v>0</v>
          </cell>
        </row>
        <row r="442">
          <cell r="A442" t="str">
            <v>B07DL5G8KV</v>
          </cell>
          <cell r="B442">
            <v>0</v>
          </cell>
          <cell r="C442">
            <v>28</v>
          </cell>
          <cell r="D442">
            <v>0</v>
          </cell>
          <cell r="E442">
            <v>0</v>
          </cell>
        </row>
        <row r="443">
          <cell r="A443" t="str">
            <v>B07DL5W2R6</v>
          </cell>
          <cell r="B443">
            <v>0</v>
          </cell>
          <cell r="C443">
            <v>10</v>
          </cell>
          <cell r="D443">
            <v>0</v>
          </cell>
          <cell r="E443">
            <v>0</v>
          </cell>
        </row>
        <row r="444">
          <cell r="A444" t="str">
            <v>B07DQPRJPR</v>
          </cell>
          <cell r="B444">
            <v>22</v>
          </cell>
          <cell r="C444">
            <v>0</v>
          </cell>
          <cell r="D444">
            <v>0</v>
          </cell>
          <cell r="E444">
            <v>0</v>
          </cell>
        </row>
        <row r="445">
          <cell r="A445" t="str">
            <v>B07DVH33X4</v>
          </cell>
          <cell r="B445">
            <v>4</v>
          </cell>
          <cell r="C445">
            <v>0</v>
          </cell>
          <cell r="D445">
            <v>0</v>
          </cell>
          <cell r="E445">
            <v>0</v>
          </cell>
        </row>
        <row r="446">
          <cell r="A446" t="str">
            <v>B07DQL4VVH</v>
          </cell>
          <cell r="B446">
            <v>7</v>
          </cell>
          <cell r="C446">
            <v>0</v>
          </cell>
          <cell r="D446">
            <v>0</v>
          </cell>
          <cell r="E446">
            <v>0</v>
          </cell>
        </row>
        <row r="447">
          <cell r="A447" t="str">
            <v>B07DQLKY6N</v>
          </cell>
          <cell r="B447">
            <v>10</v>
          </cell>
          <cell r="C447">
            <v>0</v>
          </cell>
          <cell r="D447">
            <v>0</v>
          </cell>
          <cell r="E447">
            <v>0</v>
          </cell>
        </row>
        <row r="448">
          <cell r="A448" t="str">
            <v>B07DQLZ5KK</v>
          </cell>
          <cell r="B448">
            <v>3</v>
          </cell>
          <cell r="C448">
            <v>0</v>
          </cell>
          <cell r="D448">
            <v>0</v>
          </cell>
          <cell r="E448">
            <v>0</v>
          </cell>
        </row>
        <row r="449">
          <cell r="A449" t="str">
            <v>B07DQP8MPM</v>
          </cell>
          <cell r="B449">
            <v>17</v>
          </cell>
          <cell r="C449">
            <v>0</v>
          </cell>
          <cell r="D449">
            <v>0</v>
          </cell>
          <cell r="E449">
            <v>0</v>
          </cell>
        </row>
        <row r="450">
          <cell r="A450" t="str">
            <v>B076JBP5ZS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</row>
        <row r="451">
          <cell r="A451" t="str">
            <v>B077NDNLBD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</row>
        <row r="452">
          <cell r="A452" t="str">
            <v>B0785GYYL8</v>
          </cell>
          <cell r="B452">
            <v>3</v>
          </cell>
          <cell r="C452">
            <v>0</v>
          </cell>
          <cell r="D452">
            <v>0</v>
          </cell>
          <cell r="E452">
            <v>0</v>
          </cell>
        </row>
        <row r="453">
          <cell r="A453" t="str">
            <v>B07DQL4VVL</v>
          </cell>
          <cell r="B453">
            <v>14</v>
          </cell>
          <cell r="C453">
            <v>0</v>
          </cell>
          <cell r="D453">
            <v>0</v>
          </cell>
          <cell r="E453">
            <v>0</v>
          </cell>
        </row>
        <row r="454">
          <cell r="A454" t="str">
            <v>B07DQL77MR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</row>
        <row r="455">
          <cell r="A455" t="str">
            <v>B07DQLKY6T</v>
          </cell>
          <cell r="B455">
            <v>15</v>
          </cell>
          <cell r="C455">
            <v>0</v>
          </cell>
          <cell r="D455">
            <v>0</v>
          </cell>
          <cell r="E455">
            <v>0</v>
          </cell>
        </row>
        <row r="456">
          <cell r="A456" t="str">
            <v>B07DQLVNSH</v>
          </cell>
          <cell r="B456">
            <v>6</v>
          </cell>
          <cell r="C456">
            <v>0</v>
          </cell>
          <cell r="D456">
            <v>0</v>
          </cell>
          <cell r="E456">
            <v>0</v>
          </cell>
        </row>
        <row r="457">
          <cell r="A457" t="str">
            <v>B07DQM6N3W</v>
          </cell>
          <cell r="B457">
            <v>4</v>
          </cell>
          <cell r="C457">
            <v>0</v>
          </cell>
          <cell r="D457">
            <v>0</v>
          </cell>
          <cell r="E457">
            <v>0</v>
          </cell>
        </row>
        <row r="458">
          <cell r="A458" t="str">
            <v>B07DQMJRJG</v>
          </cell>
          <cell r="B458">
            <v>1</v>
          </cell>
          <cell r="C458">
            <v>0</v>
          </cell>
          <cell r="D458">
            <v>0</v>
          </cell>
          <cell r="E458">
            <v>0</v>
          </cell>
        </row>
        <row r="459">
          <cell r="A459" t="str">
            <v>B07DQMT2TL</v>
          </cell>
          <cell r="B459">
            <v>5</v>
          </cell>
          <cell r="C459">
            <v>0</v>
          </cell>
          <cell r="D459">
            <v>0</v>
          </cell>
          <cell r="E459">
            <v>0</v>
          </cell>
        </row>
        <row r="460">
          <cell r="A460" t="str">
            <v>B07DQN9ZJT</v>
          </cell>
          <cell r="B460">
            <v>12</v>
          </cell>
          <cell r="C460">
            <v>0</v>
          </cell>
          <cell r="D460">
            <v>0</v>
          </cell>
          <cell r="E460">
            <v>0</v>
          </cell>
        </row>
        <row r="461">
          <cell r="A461" t="str">
            <v>B07DQPGWNM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</row>
        <row r="462">
          <cell r="A462" t="str">
            <v>B07DQS5YP2</v>
          </cell>
          <cell r="B462">
            <v>4</v>
          </cell>
          <cell r="C462">
            <v>0</v>
          </cell>
          <cell r="D462">
            <v>0</v>
          </cell>
          <cell r="E462">
            <v>0</v>
          </cell>
        </row>
        <row r="463">
          <cell r="A463" t="str">
            <v>B07DVBN2KT</v>
          </cell>
          <cell r="B463">
            <v>5</v>
          </cell>
          <cell r="C463">
            <v>0</v>
          </cell>
          <cell r="D463">
            <v>0</v>
          </cell>
          <cell r="E463">
            <v>0</v>
          </cell>
        </row>
        <row r="464">
          <cell r="A464" t="str">
            <v>B07DVGSHDP</v>
          </cell>
          <cell r="B464">
            <v>4</v>
          </cell>
          <cell r="C464">
            <v>0</v>
          </cell>
          <cell r="D464">
            <v>0</v>
          </cell>
          <cell r="E464">
            <v>0</v>
          </cell>
        </row>
        <row r="465">
          <cell r="A465" t="str">
            <v>B07DVHDT1N</v>
          </cell>
          <cell r="B465">
            <v>4</v>
          </cell>
          <cell r="C465">
            <v>0</v>
          </cell>
          <cell r="D465">
            <v>0</v>
          </cell>
          <cell r="E465">
            <v>0</v>
          </cell>
        </row>
        <row r="466">
          <cell r="A466" t="str">
            <v>B07DVJW5HD</v>
          </cell>
          <cell r="B466">
            <v>11</v>
          </cell>
          <cell r="C466">
            <v>0</v>
          </cell>
          <cell r="D466">
            <v>0</v>
          </cell>
          <cell r="E466">
            <v>0</v>
          </cell>
        </row>
        <row r="467">
          <cell r="A467" t="str">
            <v>B07DVK4HKX</v>
          </cell>
          <cell r="B467">
            <v>5</v>
          </cell>
          <cell r="C467">
            <v>0</v>
          </cell>
          <cell r="D467">
            <v>0</v>
          </cell>
          <cell r="E467">
            <v>0</v>
          </cell>
        </row>
        <row r="468">
          <cell r="A468" t="str">
            <v>B07DVK765T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</row>
        <row r="469">
          <cell r="A469" t="str">
            <v>B07DVLM761</v>
          </cell>
          <cell r="B469">
            <v>8</v>
          </cell>
          <cell r="C469">
            <v>0</v>
          </cell>
          <cell r="D469">
            <v>0</v>
          </cell>
          <cell r="E469">
            <v>0</v>
          </cell>
        </row>
        <row r="470">
          <cell r="A470" t="str">
            <v>B07DVLSHLK</v>
          </cell>
          <cell r="B470">
            <v>10</v>
          </cell>
          <cell r="C470">
            <v>0</v>
          </cell>
          <cell r="D470">
            <v>0</v>
          </cell>
          <cell r="E470">
            <v>0</v>
          </cell>
        </row>
        <row r="471">
          <cell r="A471" t="str">
            <v>B07DXFH8CW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1854</v>
          </cell>
          <cell r="C2">
            <v>9</v>
          </cell>
          <cell r="D2">
            <v>170</v>
          </cell>
          <cell r="E2">
            <v>1</v>
          </cell>
          <cell r="F2">
            <v>171</v>
          </cell>
          <cell r="G2">
            <v>36</v>
          </cell>
          <cell r="H2">
            <v>25</v>
          </cell>
          <cell r="I2">
            <v>15</v>
          </cell>
          <cell r="J2">
            <v>502</v>
          </cell>
          <cell r="K2">
            <v>512</v>
          </cell>
          <cell r="L2">
            <v>0</v>
          </cell>
          <cell r="M2">
            <v>0</v>
          </cell>
        </row>
        <row r="3">
          <cell r="A3" t="str">
            <v>BA-FLQ02-BO-6</v>
          </cell>
          <cell r="B3">
            <v>50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2</v>
          </cell>
          <cell r="K3">
            <v>27</v>
          </cell>
          <cell r="L3">
            <v>0</v>
          </cell>
          <cell r="M3">
            <v>0</v>
          </cell>
        </row>
        <row r="4">
          <cell r="A4" t="str">
            <v>BA-FLQ02-SI-6</v>
          </cell>
          <cell r="B4">
            <v>92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6</v>
          </cell>
          <cell r="I4">
            <v>0</v>
          </cell>
          <cell r="J4">
            <v>0</v>
          </cell>
          <cell r="K4">
            <v>92</v>
          </cell>
          <cell r="L4">
            <v>0</v>
          </cell>
          <cell r="M4">
            <v>0</v>
          </cell>
        </row>
        <row r="5">
          <cell r="A5" t="str">
            <v>CWB-WF021-CF-M</v>
          </cell>
          <cell r="B5">
            <v>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2</v>
          </cell>
          <cell r="L5">
            <v>0</v>
          </cell>
          <cell r="M5">
            <v>0</v>
          </cell>
        </row>
        <row r="6">
          <cell r="A6" t="str">
            <v>GT-WFTFGT200-214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4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QLQ-LUHM121-WO</v>
          </cell>
          <cell r="B7">
            <v>51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7</v>
          </cell>
          <cell r="I7">
            <v>2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SB-LUHM100-B0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SB-LUHM100-K0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SQ-LUHM304</v>
          </cell>
          <cell r="B10">
            <v>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XK-YIWUJS-GY-6IN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2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ZYL-FLQ06-BF-40</v>
          </cell>
          <cell r="B12">
            <v>11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4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ST-LAHM-LG-001</v>
          </cell>
          <cell r="B13">
            <v>10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17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YQ-LUHM-F111</v>
          </cell>
          <cell r="B14">
            <v>4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SNT-LUHM001-DX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SNH-LUHM001-Y0</v>
          </cell>
          <cell r="B16">
            <v>4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SQ-LUHM204</v>
          </cell>
          <cell r="B17">
            <v>13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3</v>
          </cell>
          <cell r="H17">
            <v>0</v>
          </cell>
          <cell r="I17">
            <v>2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ZDD-FLQ08-PO-28</v>
          </cell>
          <cell r="B18">
            <v>8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4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ZYL-FLQ2013-YO-36</v>
          </cell>
          <cell r="B19">
            <v>21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3</v>
          </cell>
          <cell r="H19">
            <v>0</v>
          </cell>
          <cell r="I19">
            <v>0</v>
          </cell>
          <cell r="J19">
            <v>14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ZYL-FLQ06-BG-40</v>
          </cell>
          <cell r="B20">
            <v>22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ZYL-FLQ06-TZ-40</v>
          </cell>
          <cell r="B21">
            <v>51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1</v>
          </cell>
          <cell r="J21">
            <v>22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ZYL-FLQ2013-RO-36</v>
          </cell>
          <cell r="B22">
            <v>18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14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ZYL-FLQ59-BF-32</v>
          </cell>
          <cell r="B23">
            <v>41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CWB-WF021-QB-XL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A25" t="str">
            <v>LYQ-WF1010-PO-L</v>
          </cell>
          <cell r="B25">
            <v>3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3</v>
          </cell>
          <cell r="L25">
            <v>0</v>
          </cell>
          <cell r="M25">
            <v>0</v>
          </cell>
        </row>
        <row r="26">
          <cell r="A26" t="str">
            <v>BDB-LUHM001-K0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ZDD-FLQ07-MC-28</v>
          </cell>
          <cell r="B27">
            <v>6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WB-LUHM002-G0</v>
          </cell>
          <cell r="B28">
            <v>5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XK-YIWUJS2-BR-6IN</v>
          </cell>
          <cell r="B29">
            <v>19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WY-WF1217-GR-M</v>
          </cell>
          <cell r="B30">
            <v>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4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WY-WF1217-YO-M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BDB-LUHM001-G0</v>
          </cell>
          <cell r="B32">
            <v>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SL-LULW818-RO-L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CD-WF001-GR-1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XK-YIWUJS-GY-7IN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RYMT-WF712-PO-L</v>
          </cell>
          <cell r="B36">
            <v>6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6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WY-WF1225-BO-M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1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GT-WFY1-E2</v>
          </cell>
          <cell r="B38">
            <v>7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</v>
          </cell>
          <cell r="L38">
            <v>0</v>
          </cell>
          <cell r="M38">
            <v>0</v>
          </cell>
        </row>
        <row r="39">
          <cell r="A39" t="str">
            <v>SDSZH-TS-2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CWB-WF021-RB-S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</v>
          </cell>
          <cell r="L40">
            <v>0</v>
          </cell>
          <cell r="M40">
            <v>0</v>
          </cell>
        </row>
        <row r="41">
          <cell r="A41" t="str">
            <v>BDB-WF212-BJX-M</v>
          </cell>
          <cell r="B41">
            <v>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SNT-LUHM001-BS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CWB-WF021-QB-S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</v>
          </cell>
          <cell r="L43">
            <v>0</v>
          </cell>
          <cell r="M43">
            <v>0</v>
          </cell>
        </row>
        <row r="44">
          <cell r="A44" t="str">
            <v>YQ-LUHM-F112</v>
          </cell>
          <cell r="B44">
            <v>15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GT-WFTFGT200-224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BLT-WF125-COW</v>
          </cell>
          <cell r="B46">
            <v>24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WB-LUHM002-B0</v>
          </cell>
          <cell r="B47">
            <v>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SNH-LUHM001-E0</v>
          </cell>
          <cell r="B48">
            <v>5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BD-LUHM001-X0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SNH-LUHM001-K0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ST-FLQ110-KO-XL</v>
          </cell>
          <cell r="B51">
            <v>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5</v>
          </cell>
          <cell r="L51">
            <v>0</v>
          </cell>
          <cell r="M51">
            <v>0</v>
          </cell>
        </row>
        <row r="52">
          <cell r="A52" t="str">
            <v>LYQ-WF1010-BO-2X</v>
          </cell>
          <cell r="B52">
            <v>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5</v>
          </cell>
          <cell r="L52">
            <v>0</v>
          </cell>
          <cell r="M52">
            <v>0</v>
          </cell>
        </row>
        <row r="53">
          <cell r="A53" t="str">
            <v>BLT-LUHM819-W0</v>
          </cell>
          <cell r="B53">
            <v>11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RYMT-WF712-PI-L</v>
          </cell>
          <cell r="B54">
            <v>8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SD-LUHM202-Y0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GT-WFTFGT200-220</v>
          </cell>
          <cell r="B56">
            <v>14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BLT-LUHM000-RB</v>
          </cell>
          <cell r="B57">
            <v>16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BLT-LUHM000-CR</v>
          </cell>
          <cell r="B58">
            <v>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XK-YIWUJS2-BR-7IN</v>
          </cell>
          <cell r="B59">
            <v>15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LYQ-WF1010-K0-2L</v>
          </cell>
          <cell r="B60">
            <v>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4</v>
          </cell>
          <cell r="L60">
            <v>0</v>
          </cell>
          <cell r="M60">
            <v>0</v>
          </cell>
        </row>
        <row r="61">
          <cell r="A61" t="str">
            <v>WY-WF1225-BO-S</v>
          </cell>
          <cell r="B61">
            <v>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3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BLT-LUHM000-GR</v>
          </cell>
          <cell r="B62">
            <v>13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LYQ-WF1010-PO-2L</v>
          </cell>
          <cell r="B63">
            <v>5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</row>
        <row r="64">
          <cell r="A64" t="str">
            <v>LYQ-WF1010-PO-S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1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WY-WF1217-KO-S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4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XK-YIWUJS2-Y0-6IN</v>
          </cell>
          <cell r="B66">
            <v>11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ZB-WF029-WO-M</v>
          </cell>
          <cell r="B67">
            <v>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</v>
          </cell>
          <cell r="L67">
            <v>0</v>
          </cell>
          <cell r="M67">
            <v>0</v>
          </cell>
        </row>
        <row r="68">
          <cell r="A68" t="str">
            <v>CWB-WF021-CF-L</v>
          </cell>
          <cell r="B68">
            <v>2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2</v>
          </cell>
          <cell r="L68">
            <v>0</v>
          </cell>
          <cell r="M68">
            <v>0</v>
          </cell>
        </row>
        <row r="69">
          <cell r="A69" t="str">
            <v>ZB-WF029-WO-L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4</v>
          </cell>
          <cell r="L69">
            <v>0</v>
          </cell>
          <cell r="M69">
            <v>0</v>
          </cell>
        </row>
        <row r="70">
          <cell r="A70" t="str">
            <v>ZYL-FLQ59-YD-32</v>
          </cell>
          <cell r="B70">
            <v>42</v>
          </cell>
          <cell r="C70">
            <v>3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42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CD-WF117-WM-1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BLT-LUHM000-LB</v>
          </cell>
          <cell r="B72">
            <v>19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ZYL-FLQ59-BY-32</v>
          </cell>
          <cell r="B73">
            <v>37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38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SND-WF5150-WO</v>
          </cell>
          <cell r="B74">
            <v>9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ZB-WF029-CF-M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4</v>
          </cell>
          <cell r="L75">
            <v>0</v>
          </cell>
          <cell r="M75">
            <v>0</v>
          </cell>
        </row>
        <row r="76">
          <cell r="A76" t="str">
            <v>CD-WF-GD</v>
          </cell>
          <cell r="B76">
            <v>12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2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ZYL-FLQ59-TZ-32</v>
          </cell>
          <cell r="B77">
            <v>45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45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BDB-LUHM001-R0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ZDD-FLQ08-RO-28</v>
          </cell>
          <cell r="B79">
            <v>23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17</v>
          </cell>
          <cell r="K79">
            <v>7</v>
          </cell>
          <cell r="L79">
            <v>0</v>
          </cell>
          <cell r="M79">
            <v>0</v>
          </cell>
        </row>
        <row r="80">
          <cell r="A80" t="str">
            <v>CLP-FLQ43-CS60-60</v>
          </cell>
          <cell r="B80">
            <v>13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13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ST-FLQ110-PI-M</v>
          </cell>
          <cell r="B81">
            <v>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2</v>
          </cell>
          <cell r="L81">
            <v>0</v>
          </cell>
          <cell r="M81">
            <v>0</v>
          </cell>
        </row>
        <row r="82">
          <cell r="A82" t="str">
            <v>SQ-LUHM404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WY-WF1217-YO-L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4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GT-WFTFGT200-209</v>
          </cell>
          <cell r="B84">
            <v>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6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ST-FLQ110-KO-L</v>
          </cell>
          <cell r="B85">
            <v>5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5</v>
          </cell>
          <cell r="L85">
            <v>0</v>
          </cell>
          <cell r="M85">
            <v>0</v>
          </cell>
        </row>
        <row r="86">
          <cell r="A86" t="str">
            <v>LYQ-WF1010-PO-M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</v>
          </cell>
          <cell r="L86">
            <v>0</v>
          </cell>
          <cell r="M86">
            <v>0</v>
          </cell>
        </row>
        <row r="87">
          <cell r="A87" t="str">
            <v>XK-YIWUJS2-Y0-7IN</v>
          </cell>
          <cell r="B87">
            <v>20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BLT-LUHM000-CL</v>
          </cell>
          <cell r="B88">
            <v>15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SNH-LUHM001-W0</v>
          </cell>
          <cell r="B89">
            <v>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HYD-WF7995-RO-XL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3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XQ-LUHM034-X0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BDB-WF212-JY-M</v>
          </cell>
          <cell r="B92">
            <v>8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SDSZH-RG</v>
          </cell>
          <cell r="B93">
            <v>233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219</v>
          </cell>
          <cell r="L93">
            <v>0</v>
          </cell>
          <cell r="M93">
            <v>0</v>
          </cell>
        </row>
        <row r="94">
          <cell r="A94" t="str">
            <v>LYQ-WF1010-WO-2L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</v>
          </cell>
          <cell r="L94">
            <v>0</v>
          </cell>
          <cell r="M94">
            <v>0</v>
          </cell>
        </row>
        <row r="95">
          <cell r="A95" t="str">
            <v>WY-WF1225-GR-XL</v>
          </cell>
          <cell r="B95">
            <v>4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4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RYMT-WF712-GO-L</v>
          </cell>
          <cell r="B96">
            <v>13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13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SND-WF5150-WO2</v>
          </cell>
          <cell r="B97">
            <v>5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3</v>
          </cell>
          <cell r="L97">
            <v>0</v>
          </cell>
          <cell r="M97">
            <v>0</v>
          </cell>
        </row>
        <row r="98">
          <cell r="A98" t="str">
            <v>SNT-LUHM001-GQ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BLT-WF125-CAT</v>
          </cell>
          <cell r="B99">
            <v>21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XM-LUHM111-X0</v>
          </cell>
          <cell r="B100">
            <v>3</v>
          </cell>
          <cell r="C100">
            <v>0</v>
          </cell>
          <cell r="D100">
            <v>0</v>
          </cell>
          <cell r="E100">
            <v>1</v>
          </cell>
          <cell r="F100">
            <v>1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SB-LUHM100-R0</v>
          </cell>
          <cell r="B101">
            <v>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LYQ-WF1010-NO-2L</v>
          </cell>
          <cell r="B102">
            <v>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5</v>
          </cell>
          <cell r="L102">
            <v>0</v>
          </cell>
          <cell r="M102">
            <v>0</v>
          </cell>
        </row>
        <row r="103">
          <cell r="A103" t="str">
            <v>ZQ-WF002-BO-M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3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WY-WF1225-BO-L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3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WY-WF1217-KO-XL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BLT-WF125-LION</v>
          </cell>
          <cell r="B106">
            <v>26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LYQ-WF1010-PO-XL</v>
          </cell>
          <cell r="B107">
            <v>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5</v>
          </cell>
          <cell r="L107">
            <v>0</v>
          </cell>
          <cell r="M107">
            <v>0</v>
          </cell>
        </row>
        <row r="108">
          <cell r="A108" t="str">
            <v>WY-WF1217-KO-M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4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ST-FLQ110-KO-M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4</v>
          </cell>
          <cell r="L109">
            <v>0</v>
          </cell>
          <cell r="M109">
            <v>0</v>
          </cell>
        </row>
        <row r="110">
          <cell r="A110" t="str">
            <v>ZYL-FLQ2013-DX-36</v>
          </cell>
          <cell r="B110">
            <v>23</v>
          </cell>
          <cell r="C110">
            <v>1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24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BLT-WF125-PANDA</v>
          </cell>
          <cell r="B111">
            <v>20</v>
          </cell>
          <cell r="C111">
            <v>1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CLP-FLQ43-CS100-100</v>
          </cell>
          <cell r="B112">
            <v>14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14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LYQ-NWF10-KO-S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CWB-WF021-CF-S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</v>
          </cell>
          <cell r="L114">
            <v>0</v>
          </cell>
          <cell r="M114">
            <v>0</v>
          </cell>
        </row>
        <row r="115">
          <cell r="A115" t="str">
            <v>ST-FLQ110-PI-L</v>
          </cell>
          <cell r="B115">
            <v>5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5</v>
          </cell>
          <cell r="L115">
            <v>0</v>
          </cell>
          <cell r="M115">
            <v>0</v>
          </cell>
        </row>
        <row r="116">
          <cell r="A116" t="str">
            <v>LYQ-WF1010-BO-XL</v>
          </cell>
          <cell r="B116">
            <v>5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5</v>
          </cell>
          <cell r="L116">
            <v>0</v>
          </cell>
          <cell r="M116">
            <v>0</v>
          </cell>
        </row>
        <row r="117">
          <cell r="A117" t="str">
            <v>WY-WF1217-RO-XL</v>
          </cell>
          <cell r="B117">
            <v>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4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SD-LUHM202-PI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BDB-WF212-CW-M</v>
          </cell>
          <cell r="B119">
            <v>16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LYQ-WF1010-NO-L</v>
          </cell>
          <cell r="B120">
            <v>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2</v>
          </cell>
          <cell r="L120">
            <v>0</v>
          </cell>
          <cell r="M120">
            <v>0</v>
          </cell>
        </row>
        <row r="121">
          <cell r="A121" t="str">
            <v>CD-WF-SG</v>
          </cell>
          <cell r="B121">
            <v>13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11</v>
          </cell>
          <cell r="K121">
            <v>2</v>
          </cell>
          <cell r="L121">
            <v>0</v>
          </cell>
          <cell r="M121">
            <v>0</v>
          </cell>
        </row>
        <row r="122">
          <cell r="A122" t="str">
            <v>LYQ-WF1010-NO-XS</v>
          </cell>
          <cell r="B122">
            <v>3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</v>
          </cell>
          <cell r="K122">
            <v>2</v>
          </cell>
          <cell r="L122">
            <v>0</v>
          </cell>
          <cell r="M122">
            <v>0</v>
          </cell>
        </row>
        <row r="123">
          <cell r="A123" t="str">
            <v>WY-WF1217-GR-S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4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WY-WF1225-GR-L</v>
          </cell>
          <cell r="B124">
            <v>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4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WY-WF1217-GR-L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4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WY-WF1225-GR-S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4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LYQ-WF1010-KO-XL</v>
          </cell>
          <cell r="B127">
            <v>4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4</v>
          </cell>
          <cell r="L127">
            <v>0</v>
          </cell>
          <cell r="M127">
            <v>0</v>
          </cell>
        </row>
        <row r="128">
          <cell r="A128" t="str">
            <v>WB-LUHM002-R0</v>
          </cell>
          <cell r="B128">
            <v>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ZYL-FLQ06-HG-40</v>
          </cell>
          <cell r="B129">
            <v>27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LYQ-WF1010-BO-M</v>
          </cell>
          <cell r="B130">
            <v>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5</v>
          </cell>
          <cell r="L130">
            <v>0</v>
          </cell>
          <cell r="M130">
            <v>0</v>
          </cell>
        </row>
        <row r="131">
          <cell r="A131" t="str">
            <v>CD-WF482-BO-1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4</v>
          </cell>
          <cell r="L131">
            <v>0</v>
          </cell>
          <cell r="M131">
            <v>0</v>
          </cell>
        </row>
        <row r="132">
          <cell r="A132" t="str">
            <v>ZQ-WF002-PI-M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3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HYD-WF7995-BO-XL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3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SL-LULW818-PI-L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5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CWB-WF021-QB-L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</row>
        <row r="136">
          <cell r="A136" t="str">
            <v>GSQPQ-WF2012-GO</v>
          </cell>
          <cell r="B136">
            <v>10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9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CWB-WF021-CF-XL</v>
          </cell>
          <cell r="B137">
            <v>10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5</v>
          </cell>
          <cell r="K137">
            <v>5</v>
          </cell>
          <cell r="L137">
            <v>0</v>
          </cell>
          <cell r="M137">
            <v>0</v>
          </cell>
        </row>
        <row r="138">
          <cell r="A138" t="str">
            <v>CD-WF-KK</v>
          </cell>
          <cell r="B138">
            <v>11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WY-WF1225-BO-XL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2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XK-YIWUJS-Y0-6IN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LYQ-WF1010-BO-S</v>
          </cell>
          <cell r="B141">
            <v>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5</v>
          </cell>
          <cell r="L141">
            <v>0</v>
          </cell>
          <cell r="M141">
            <v>0</v>
          </cell>
        </row>
        <row r="142">
          <cell r="A142" t="str">
            <v>CD-WF117-GR-1</v>
          </cell>
          <cell r="B142">
            <v>11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SB-LUHM100-G0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XK-YIWUJS-Y0-7IN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WY-WF1217-RO-L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5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BDB-LUHM001-Y0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GT-WFY1-E4</v>
          </cell>
          <cell r="B147">
            <v>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SD-LUHM202-G0-X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GT-WFY1-E1</v>
          </cell>
          <cell r="B149">
            <v>5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LYQ-WF1010-NO-XL</v>
          </cell>
          <cell r="B150">
            <v>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</v>
          </cell>
          <cell r="L150">
            <v>0</v>
          </cell>
          <cell r="M150">
            <v>0</v>
          </cell>
        </row>
        <row r="151">
          <cell r="A151" t="str">
            <v>LYQ-WF1010-NO-S</v>
          </cell>
          <cell r="B151">
            <v>3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A152" t="str">
            <v>WY-WF1217-RO-M</v>
          </cell>
          <cell r="B152">
            <v>4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4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CD-WF001-RO-1</v>
          </cell>
          <cell r="B153">
            <v>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3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ZYL-FLQ59-TW-32</v>
          </cell>
          <cell r="B154">
            <v>22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23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YQ-LUHM-F114</v>
          </cell>
          <cell r="B155">
            <v>12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LYQ-WF1010-WO-M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WB-LUHM002-E0</v>
          </cell>
          <cell r="B157">
            <v>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ZB-WF029-CF-L</v>
          </cell>
          <cell r="B158">
            <v>4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</v>
          </cell>
          <cell r="L158">
            <v>0</v>
          </cell>
          <cell r="M158">
            <v>0</v>
          </cell>
        </row>
        <row r="159">
          <cell r="A159" t="str">
            <v>WY-WF1217-GR-XL</v>
          </cell>
          <cell r="B159">
            <v>4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4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WY-WF1217-YO-S</v>
          </cell>
          <cell r="B160">
            <v>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4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CWB-WF021-RB-XL</v>
          </cell>
          <cell r="B161">
            <v>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5</v>
          </cell>
          <cell r="K161">
            <v>4</v>
          </cell>
          <cell r="L161">
            <v>0</v>
          </cell>
          <cell r="M161">
            <v>0</v>
          </cell>
        </row>
        <row r="162">
          <cell r="A162" t="str">
            <v>WY-WF1225-GR-M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3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CD-WF-CF</v>
          </cell>
          <cell r="B163">
            <v>3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SD-LUHM202-X0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BDB-WF212-SH-M</v>
          </cell>
          <cell r="B165">
            <v>10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GT-WFTFGT200-221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</v>
          </cell>
          <cell r="L166">
            <v>0</v>
          </cell>
          <cell r="M166">
            <v>0</v>
          </cell>
        </row>
        <row r="167">
          <cell r="A167" t="str">
            <v>SNT-LUHM001-WX</v>
          </cell>
          <cell r="B167">
            <v>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CD-WF482-CB-1</v>
          </cell>
          <cell r="B168">
            <v>3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3</v>
          </cell>
          <cell r="L168">
            <v>0</v>
          </cell>
          <cell r="M168">
            <v>0</v>
          </cell>
        </row>
        <row r="169">
          <cell r="A169" t="str">
            <v>WY-WF1217-YO-XL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4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WY-WF1217-KO-L</v>
          </cell>
          <cell r="B170">
            <v>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CD-WF001-CF-1</v>
          </cell>
          <cell r="B171">
            <v>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9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GT-WFTFGT200-223</v>
          </cell>
          <cell r="B172">
            <v>10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SL-LULW818-BO-L</v>
          </cell>
          <cell r="B173">
            <v>2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XQ-LUHM089-PI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BLT-LUHM000-GL</v>
          </cell>
          <cell r="B175">
            <v>14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GT-WFTFGT200-216</v>
          </cell>
          <cell r="B176">
            <v>6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5</v>
          </cell>
          <cell r="L176">
            <v>0</v>
          </cell>
          <cell r="M176">
            <v>0</v>
          </cell>
        </row>
        <row r="177">
          <cell r="A177" t="str">
            <v>WY-WF1217-RO-S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2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SND-FLQ18-SJ-74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3</v>
          </cell>
          <cell r="L178">
            <v>0</v>
          </cell>
          <cell r="M178">
            <v>0</v>
          </cell>
        </row>
        <row r="179">
          <cell r="A179" t="str">
            <v>QQ-LUHM-801-B0</v>
          </cell>
          <cell r="B179">
            <v>22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LYQ-WF1010-BO-L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</v>
          </cell>
          <cell r="L180">
            <v>0</v>
          </cell>
          <cell r="M180">
            <v>0</v>
          </cell>
        </row>
        <row r="181">
          <cell r="A181" t="str">
            <v>ZDD-FLQ08-BO-28</v>
          </cell>
          <cell r="B181">
            <v>15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16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GT-WFTFGT200-213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ZDD-FLQ08-GR-28</v>
          </cell>
          <cell r="B183">
            <v>15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15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BDB-WF212-SJS-M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1</v>
          </cell>
          <cell r="K184">
            <v>1</v>
          </cell>
          <cell r="L184">
            <v>0</v>
          </cell>
          <cell r="M184">
            <v>0</v>
          </cell>
        </row>
        <row r="185">
          <cell r="A185" t="str">
            <v>SNT-LUHM001-HW</v>
          </cell>
          <cell r="B185">
            <v>4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ST-FLQ110-PI-S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A187" t="str">
            <v>LYQ-WF1010-WO-XL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</v>
          </cell>
          <cell r="L187">
            <v>0</v>
          </cell>
          <cell r="M187">
            <v>0</v>
          </cell>
        </row>
        <row r="188">
          <cell r="A188" t="str">
            <v>SD-LUHM202-B0</v>
          </cell>
          <cell r="B188">
            <v>5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SQ-LUHM90A</v>
          </cell>
          <cell r="B189">
            <v>2</v>
          </cell>
          <cell r="C189">
            <v>0</v>
          </cell>
          <cell r="D189">
            <v>20</v>
          </cell>
          <cell r="E189">
            <v>0</v>
          </cell>
          <cell r="F189">
            <v>20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XYD-F02-3C-3S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3</v>
          </cell>
          <cell r="L190">
            <v>0</v>
          </cell>
          <cell r="M190">
            <v>0</v>
          </cell>
        </row>
        <row r="191">
          <cell r="A191" t="str">
            <v>BDB-LUHM001-B0</v>
          </cell>
          <cell r="B191">
            <v>3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LYQ-WF1010-KO-M</v>
          </cell>
          <cell r="B192">
            <v>5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5</v>
          </cell>
          <cell r="L192">
            <v>0</v>
          </cell>
          <cell r="M192">
            <v>0</v>
          </cell>
        </row>
        <row r="193">
          <cell r="A193" t="str">
            <v>LYQ-WF1010-KO-L</v>
          </cell>
          <cell r="B193">
            <v>4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4</v>
          </cell>
          <cell r="L193">
            <v>0</v>
          </cell>
          <cell r="M193">
            <v>0</v>
          </cell>
        </row>
        <row r="194">
          <cell r="A194" t="str">
            <v>SDSZH-BS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SQ-LUHM354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GT-WFY1-E3</v>
          </cell>
          <cell r="B196">
            <v>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5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SNH-LUHM001-G0</v>
          </cell>
          <cell r="B197">
            <v>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BA-FLQ02-BO-4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BA-FLQ02-GD-4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BA-FLQ02-GD-6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BA-FLQ02-R2-4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BA-FLQ02-R2-6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BA-FLQ02-SI-4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BDB-LUHM001-ZL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BLT-NWF125-Cat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BLT-NWF125-Panda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BZ-WF211-BO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BZ-WF211-BO-3M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BZ-WF211-GR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BZ-WF211-PI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BZ-WF211-WO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BZ-WF211-WO-3M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CD-WF001-GO-1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CD-WF001-KK-1</v>
          </cell>
          <cell r="B214">
            <v>0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CD-WF0728-4C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CD-WF482-BO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CD-WF482-CB</v>
          </cell>
          <cell r="B217">
            <v>3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CD-WF482-RO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CD-WF482-RO-1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CQC-WF6346-BO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CQC-WF6346-GO</v>
          </cell>
          <cell r="B221">
            <v>0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CQC-WF6346-PO</v>
          </cell>
          <cell r="B222">
            <v>0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CWB-FLQ1703-GR-47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CWB-FLQ1703-PI-47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CWB-WF021-QB-M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CWB-WF021-RB-L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CWB-WF021-RB-M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GB-LUHM035-B0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GB-LUHM035-BE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GB-LUHM035-P0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GT-WFTFGT200-211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JPTZH-FLQ14ML-RO-18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KZ-LUHM000-E0-L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KZ-LUHM000-E0-M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KZ-LUHM000-E0-XL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KZ-LUHM000-K0-L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KZ-LUHM000-K0-M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KZ-LUHM000-K0-XL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KZ-LUHM000-R0-L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KZ-LUHM000-R0-M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KZ-LUHM000-R0-XL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KZ-LUHM000-W0-L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KZ-LUHM000-W0-M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KZ-LUHM000-W0-XL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KZ-LUHM000-Y0-L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KZ-LUHM000-Y0-M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KZ-LUHM000-Y0-XL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LYQ-WF1010-KO-S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ND-LUHM027-PI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QLQ-LUHM121-G0</v>
          </cell>
          <cell r="B250">
            <v>0</v>
          </cell>
          <cell r="C250">
            <v>0</v>
          </cell>
          <cell r="D250">
            <v>150</v>
          </cell>
          <cell r="E250">
            <v>0</v>
          </cell>
          <cell r="F250">
            <v>150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QLQ-LUHM121-GM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QLQ-LUHM121-WT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QLQ-WF121-WO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SD-LUHM202-G0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SDSZH-TS-1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SDSZH-TS-3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SDSZH-TS-5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SG-LUHM050-K0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SG-LUHM100-K0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SL-LULW812-PI-M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SL-LULW818-PI-M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SND-FLQ17-NO-108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SND-FLQ18-SJ-80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SNT-LUHM001-HY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SNT-LUHM001-KT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SNT-LUHM001-ZX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TEST-BR-6IN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TEST-Y0-7IN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TESTY0-6IN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WR-FLQ01-HZ-60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235.5</v>
          </cell>
        </row>
        <row r="3">
          <cell r="G3">
            <v>210.1</v>
          </cell>
        </row>
        <row r="3">
          <cell r="J3">
            <v>222.5</v>
          </cell>
        </row>
        <row r="3">
          <cell r="M3">
            <v>284.4</v>
          </cell>
        </row>
        <row r="4">
          <cell r="A4" t="str">
            <v>ZYL-FLQ06-BG-40</v>
          </cell>
          <cell r="B4">
            <v>0</v>
          </cell>
          <cell r="C4">
            <v>0</v>
          </cell>
          <cell r="D4">
            <v>0</v>
          </cell>
          <cell r="E4">
            <v>3434</v>
          </cell>
          <cell r="F4">
            <v>19</v>
          </cell>
          <cell r="G4">
            <v>9.27</v>
          </cell>
          <cell r="H4">
            <v>1588</v>
          </cell>
          <cell r="I4">
            <v>4</v>
          </cell>
          <cell r="J4">
            <v>1.79</v>
          </cell>
          <cell r="K4">
            <v>13524</v>
          </cell>
          <cell r="L4">
            <v>71</v>
          </cell>
          <cell r="M4">
            <v>24.4</v>
          </cell>
        </row>
        <row r="5">
          <cell r="A5" t="str">
            <v>CLP-FLQ43-CS100-100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416</v>
          </cell>
          <cell r="I5">
            <v>2</v>
          </cell>
          <cell r="J5">
            <v>1.7</v>
          </cell>
          <cell r="K5">
            <v>4179</v>
          </cell>
          <cell r="L5">
            <v>11</v>
          </cell>
          <cell r="M5">
            <v>8.11</v>
          </cell>
        </row>
        <row r="6">
          <cell r="A6" t="str">
            <v>CLP-FLQ43-CS60-60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293</v>
          </cell>
          <cell r="I6">
            <v>2</v>
          </cell>
          <cell r="J6">
            <v>1.35</v>
          </cell>
          <cell r="K6">
            <v>2019</v>
          </cell>
          <cell r="L6">
            <v>7</v>
          </cell>
          <cell r="M6">
            <v>4.19</v>
          </cell>
        </row>
        <row r="7">
          <cell r="A7" t="str">
            <v>ST-FLQ110-KO-L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64</v>
          </cell>
          <cell r="L7">
            <v>0</v>
          </cell>
          <cell r="M7">
            <v>0</v>
          </cell>
        </row>
        <row r="8">
          <cell r="A8" t="str">
            <v>ST-FLQ110-KO-XL</v>
          </cell>
          <cell r="B8">
            <v>799</v>
          </cell>
          <cell r="C8">
            <v>1</v>
          </cell>
          <cell r="D8">
            <v>0.34</v>
          </cell>
          <cell r="E8">
            <v>506</v>
          </cell>
          <cell r="F8">
            <v>0</v>
          </cell>
          <cell r="G8">
            <v>0</v>
          </cell>
          <cell r="H8">
            <v>365</v>
          </cell>
          <cell r="I8">
            <v>0</v>
          </cell>
          <cell r="J8">
            <v>0</v>
          </cell>
          <cell r="K8">
            <v>426</v>
          </cell>
          <cell r="L8">
            <v>0</v>
          </cell>
          <cell r="M8">
            <v>0</v>
          </cell>
        </row>
        <row r="9">
          <cell r="A9" t="str">
            <v>ST-FLQ110-PI-L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221</v>
          </cell>
          <cell r="L9">
            <v>0</v>
          </cell>
          <cell r="M9">
            <v>0</v>
          </cell>
        </row>
        <row r="10">
          <cell r="A10" t="str">
            <v>ST-FLQ110-PI-M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325</v>
          </cell>
          <cell r="L10">
            <v>1</v>
          </cell>
          <cell r="M10">
            <v>0.4</v>
          </cell>
        </row>
        <row r="11">
          <cell r="A11" t="str">
            <v>GT-WFTFGT200-224</v>
          </cell>
          <cell r="B11">
            <v>979</v>
          </cell>
          <cell r="C11">
            <v>4</v>
          </cell>
          <cell r="D11">
            <v>1.26</v>
          </cell>
          <cell r="E11">
            <v>1871</v>
          </cell>
          <cell r="F11">
            <v>11</v>
          </cell>
          <cell r="G11">
            <v>2.58</v>
          </cell>
          <cell r="H11">
            <v>895</v>
          </cell>
          <cell r="I11">
            <v>4</v>
          </cell>
          <cell r="J11">
            <v>1</v>
          </cell>
          <cell r="K11">
            <v>1274</v>
          </cell>
          <cell r="L11">
            <v>9</v>
          </cell>
          <cell r="M11">
            <v>3.8</v>
          </cell>
        </row>
        <row r="12">
          <cell r="A12" t="str">
            <v>GT-WFY1-E4</v>
          </cell>
          <cell r="B12">
            <v>417</v>
          </cell>
          <cell r="C12">
            <v>1</v>
          </cell>
          <cell r="D12">
            <v>0.16</v>
          </cell>
          <cell r="E12">
            <v>45</v>
          </cell>
          <cell r="F12">
            <v>1</v>
          </cell>
          <cell r="G12">
            <v>0.2</v>
          </cell>
          <cell r="H12">
            <v>66</v>
          </cell>
          <cell r="I12">
            <v>0</v>
          </cell>
          <cell r="J12">
            <v>0</v>
          </cell>
          <cell r="K12">
            <v>499</v>
          </cell>
          <cell r="L12">
            <v>4</v>
          </cell>
          <cell r="M12">
            <v>1.86</v>
          </cell>
        </row>
        <row r="13">
          <cell r="A13" t="str">
            <v>CD-WF-CF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116</v>
          </cell>
          <cell r="L13">
            <v>1</v>
          </cell>
          <cell r="M13">
            <v>0.35</v>
          </cell>
        </row>
        <row r="14">
          <cell r="A14" t="str">
            <v>CD-WF-GD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310</v>
          </cell>
          <cell r="L14">
            <v>0</v>
          </cell>
          <cell r="M14">
            <v>0</v>
          </cell>
        </row>
        <row r="15">
          <cell r="A15" t="str">
            <v>CD-WF-KK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200</v>
          </cell>
          <cell r="L15">
            <v>1</v>
          </cell>
          <cell r="M15">
            <v>0.38</v>
          </cell>
        </row>
        <row r="16">
          <cell r="A16" t="str">
            <v>CD-WF-SG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135</v>
          </cell>
          <cell r="L16">
            <v>2</v>
          </cell>
          <cell r="M16">
            <v>0.8</v>
          </cell>
        </row>
        <row r="17">
          <cell r="A17" t="str">
            <v>CD-WF001-CF-1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227</v>
          </cell>
          <cell r="L17">
            <v>0</v>
          </cell>
          <cell r="M17">
            <v>0</v>
          </cell>
        </row>
        <row r="18">
          <cell r="A18" t="str">
            <v>CD-WF001-GO-1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167</v>
          </cell>
          <cell r="L18">
            <v>4</v>
          </cell>
          <cell r="M18">
            <v>1.26</v>
          </cell>
        </row>
        <row r="19">
          <cell r="A19" t="str">
            <v>CD-WF001-GR-1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504</v>
          </cell>
          <cell r="L19">
            <v>4</v>
          </cell>
          <cell r="M19">
            <v>0.83</v>
          </cell>
        </row>
        <row r="20">
          <cell r="A20" t="str">
            <v>CD-WF001-KK-1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11</v>
          </cell>
          <cell r="L20">
            <v>0</v>
          </cell>
          <cell r="M20">
            <v>0</v>
          </cell>
        </row>
        <row r="21">
          <cell r="A21" t="str">
            <v>CD-WF001-RO-1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1624</v>
          </cell>
          <cell r="L21">
            <v>11</v>
          </cell>
          <cell r="M21">
            <v>3.12</v>
          </cell>
        </row>
        <row r="22">
          <cell r="A22" t="str">
            <v>CD-WF117-WM-1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5433</v>
          </cell>
          <cell r="L22">
            <v>40</v>
          </cell>
          <cell r="M22">
            <v>13.2</v>
          </cell>
        </row>
        <row r="23">
          <cell r="A23" t="str">
            <v>CD-WF482-BO-1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279</v>
          </cell>
          <cell r="L23">
            <v>1</v>
          </cell>
          <cell r="M23">
            <v>0.36</v>
          </cell>
        </row>
        <row r="24">
          <cell r="A24" t="str">
            <v>CD-WF482-CB-1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219</v>
          </cell>
          <cell r="L24">
            <v>2</v>
          </cell>
          <cell r="M24">
            <v>0.54</v>
          </cell>
        </row>
        <row r="25">
          <cell r="A25" t="str">
            <v>CD-WF482-RO-1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157</v>
          </cell>
          <cell r="L25">
            <v>0</v>
          </cell>
          <cell r="M25">
            <v>0</v>
          </cell>
        </row>
        <row r="26">
          <cell r="A26" t="str">
            <v>CQC-WF6346-BO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1364</v>
          </cell>
          <cell r="I26">
            <v>20</v>
          </cell>
          <cell r="J26">
            <v>6.39</v>
          </cell>
          <cell r="K26">
            <v>778</v>
          </cell>
          <cell r="L26">
            <v>8</v>
          </cell>
          <cell r="M26">
            <v>1.5</v>
          </cell>
        </row>
        <row r="27">
          <cell r="A27" t="str">
            <v>CQC-WF6346-GO</v>
          </cell>
          <cell r="B27">
            <v>0</v>
          </cell>
          <cell r="C27">
            <v>0</v>
          </cell>
          <cell r="D27">
            <v>0</v>
          </cell>
          <cell r="E27">
            <v>238</v>
          </cell>
          <cell r="F27">
            <v>1</v>
          </cell>
          <cell r="G27">
            <v>0.28</v>
          </cell>
          <cell r="H27">
            <v>0</v>
          </cell>
          <cell r="I27">
            <v>0</v>
          </cell>
          <cell r="J27">
            <v>0</v>
          </cell>
          <cell r="K27">
            <v>264</v>
          </cell>
          <cell r="L27">
            <v>1</v>
          </cell>
          <cell r="M27">
            <v>0.27</v>
          </cell>
        </row>
        <row r="28">
          <cell r="A28" t="str">
            <v>CQC-WF6346-PO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215</v>
          </cell>
          <cell r="L28">
            <v>5</v>
          </cell>
          <cell r="M28">
            <v>1.21</v>
          </cell>
        </row>
        <row r="29">
          <cell r="A29" t="str">
            <v>SND-WF5150-WO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264</v>
          </cell>
          <cell r="L29">
            <v>0</v>
          </cell>
          <cell r="M29">
            <v>0</v>
          </cell>
        </row>
        <row r="30">
          <cell r="A30" t="str">
            <v>SND-WF5150-WO2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174</v>
          </cell>
          <cell r="L30">
            <v>1</v>
          </cell>
          <cell r="M30">
            <v>0.32</v>
          </cell>
        </row>
        <row r="31">
          <cell r="A31" t="str">
            <v>WY-WF1217-GR-L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8</v>
          </cell>
          <cell r="I31">
            <v>0</v>
          </cell>
          <cell r="J31">
            <v>0</v>
          </cell>
          <cell r="K31">
            <v>9</v>
          </cell>
          <cell r="L31">
            <v>1</v>
          </cell>
          <cell r="M31">
            <v>0.31</v>
          </cell>
        </row>
        <row r="32">
          <cell r="A32" t="str">
            <v>WY-WF1217-GR-M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22</v>
          </cell>
          <cell r="I32">
            <v>0</v>
          </cell>
          <cell r="J32">
            <v>0</v>
          </cell>
          <cell r="K32">
            <v>21</v>
          </cell>
          <cell r="L32">
            <v>0</v>
          </cell>
          <cell r="M32">
            <v>0</v>
          </cell>
        </row>
        <row r="33">
          <cell r="A33" t="str">
            <v>WY-WF1217-GR-S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15</v>
          </cell>
          <cell r="I33">
            <v>0</v>
          </cell>
          <cell r="J33">
            <v>0</v>
          </cell>
          <cell r="K33">
            <v>7</v>
          </cell>
          <cell r="L33">
            <v>0</v>
          </cell>
          <cell r="M33">
            <v>0</v>
          </cell>
        </row>
        <row r="34">
          <cell r="A34" t="str">
            <v>WY-WF1217-GR-XL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11</v>
          </cell>
          <cell r="I34">
            <v>0</v>
          </cell>
          <cell r="J34">
            <v>0</v>
          </cell>
          <cell r="K34">
            <v>65</v>
          </cell>
          <cell r="L34">
            <v>0</v>
          </cell>
          <cell r="M34">
            <v>0</v>
          </cell>
        </row>
        <row r="35">
          <cell r="A35" t="str">
            <v>WY-WF1217-KO-L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118</v>
          </cell>
          <cell r="I35">
            <v>0</v>
          </cell>
          <cell r="J35">
            <v>0</v>
          </cell>
          <cell r="K35">
            <v>120</v>
          </cell>
          <cell r="L35">
            <v>0</v>
          </cell>
          <cell r="M35">
            <v>0</v>
          </cell>
        </row>
        <row r="36">
          <cell r="A36" t="str">
            <v>WY-WF1217-KO-M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10</v>
          </cell>
          <cell r="I36">
            <v>0</v>
          </cell>
          <cell r="J36">
            <v>0</v>
          </cell>
          <cell r="K36">
            <v>39</v>
          </cell>
          <cell r="L36">
            <v>0</v>
          </cell>
          <cell r="M36">
            <v>0</v>
          </cell>
        </row>
        <row r="37">
          <cell r="A37" t="str">
            <v>WY-WF1217-KO-S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26</v>
          </cell>
          <cell r="I37">
            <v>0</v>
          </cell>
          <cell r="J37">
            <v>0</v>
          </cell>
          <cell r="K37">
            <v>18</v>
          </cell>
          <cell r="L37">
            <v>0</v>
          </cell>
          <cell r="M37">
            <v>0</v>
          </cell>
        </row>
        <row r="38">
          <cell r="A38" t="str">
            <v>WY-WF1217-KO-XL</v>
          </cell>
          <cell r="B38">
            <v>46</v>
          </cell>
          <cell r="C38">
            <v>0</v>
          </cell>
          <cell r="D38">
            <v>0</v>
          </cell>
          <cell r="E38">
            <v>3</v>
          </cell>
          <cell r="F38">
            <v>0</v>
          </cell>
          <cell r="G38">
            <v>0</v>
          </cell>
          <cell r="H38">
            <v>26</v>
          </cell>
          <cell r="I38">
            <v>0</v>
          </cell>
          <cell r="J38">
            <v>0</v>
          </cell>
          <cell r="K38">
            <v>8</v>
          </cell>
          <cell r="L38">
            <v>0</v>
          </cell>
          <cell r="M38">
            <v>0</v>
          </cell>
        </row>
        <row r="39">
          <cell r="A39" t="str">
            <v>WY-WF1217-RO-L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44</v>
          </cell>
          <cell r="I39">
            <v>0</v>
          </cell>
          <cell r="J39">
            <v>0</v>
          </cell>
          <cell r="K39">
            <v>18</v>
          </cell>
          <cell r="L39">
            <v>0</v>
          </cell>
          <cell r="M39">
            <v>0</v>
          </cell>
        </row>
        <row r="40">
          <cell r="A40" t="str">
            <v>WY-WF1217-RO-M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88</v>
          </cell>
          <cell r="I40">
            <v>0</v>
          </cell>
          <cell r="J40">
            <v>0</v>
          </cell>
          <cell r="K40">
            <v>76</v>
          </cell>
          <cell r="L40">
            <v>0</v>
          </cell>
          <cell r="M40">
            <v>0</v>
          </cell>
        </row>
        <row r="41">
          <cell r="A41" t="str">
            <v>WY-WF1217-RO-S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26</v>
          </cell>
          <cell r="I41">
            <v>0</v>
          </cell>
          <cell r="J41">
            <v>0</v>
          </cell>
          <cell r="K41">
            <v>47</v>
          </cell>
          <cell r="L41">
            <v>0</v>
          </cell>
          <cell r="M41">
            <v>0</v>
          </cell>
        </row>
        <row r="42">
          <cell r="A42" t="str">
            <v>WY-WF1217-RO-XL</v>
          </cell>
          <cell r="B42">
            <v>10</v>
          </cell>
          <cell r="C42">
            <v>0</v>
          </cell>
          <cell r="D42">
            <v>0</v>
          </cell>
          <cell r="E42">
            <v>35</v>
          </cell>
          <cell r="F42">
            <v>0</v>
          </cell>
          <cell r="G42">
            <v>0</v>
          </cell>
          <cell r="H42">
            <v>24</v>
          </cell>
          <cell r="I42">
            <v>0</v>
          </cell>
          <cell r="J42">
            <v>0</v>
          </cell>
          <cell r="K42">
            <v>9</v>
          </cell>
          <cell r="L42">
            <v>0</v>
          </cell>
          <cell r="M42">
            <v>0</v>
          </cell>
        </row>
        <row r="43">
          <cell r="A43" t="str">
            <v>WY-WF1217-YO-L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62</v>
          </cell>
          <cell r="I43">
            <v>0</v>
          </cell>
          <cell r="J43">
            <v>0</v>
          </cell>
          <cell r="K43">
            <v>37</v>
          </cell>
          <cell r="L43">
            <v>1</v>
          </cell>
          <cell r="M43">
            <v>0.19</v>
          </cell>
        </row>
        <row r="44">
          <cell r="A44" t="str">
            <v>WY-WF1217-YO-M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108</v>
          </cell>
          <cell r="I44">
            <v>0</v>
          </cell>
          <cell r="J44">
            <v>0</v>
          </cell>
          <cell r="K44">
            <v>200</v>
          </cell>
          <cell r="L44">
            <v>1</v>
          </cell>
          <cell r="M44">
            <v>0.33</v>
          </cell>
        </row>
        <row r="45">
          <cell r="A45" t="str">
            <v>WY-WF1217-YO-S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96</v>
          </cell>
          <cell r="I45">
            <v>1</v>
          </cell>
          <cell r="J45">
            <v>0.52</v>
          </cell>
          <cell r="K45">
            <v>58</v>
          </cell>
          <cell r="L45">
            <v>0</v>
          </cell>
          <cell r="M45">
            <v>0</v>
          </cell>
        </row>
        <row r="46">
          <cell r="A46" t="str">
            <v>WY-WF1217-YO-XL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50</v>
          </cell>
          <cell r="I46">
            <v>0</v>
          </cell>
          <cell r="J46">
            <v>0</v>
          </cell>
          <cell r="K46">
            <v>41</v>
          </cell>
          <cell r="L46">
            <v>1</v>
          </cell>
          <cell r="M46">
            <v>0.33</v>
          </cell>
        </row>
        <row r="47">
          <cell r="A47" t="str">
            <v>ZB-WF029-CF-L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143</v>
          </cell>
          <cell r="L47">
            <v>0</v>
          </cell>
          <cell r="M47">
            <v>0</v>
          </cell>
        </row>
        <row r="48">
          <cell r="A48" t="str">
            <v>ZB-WF029-CF-M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56</v>
          </cell>
          <cell r="L48">
            <v>0</v>
          </cell>
          <cell r="M48">
            <v>0</v>
          </cell>
        </row>
        <row r="49">
          <cell r="A49" t="str">
            <v>ZB-WF029-WO-L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13</v>
          </cell>
          <cell r="L49">
            <v>0</v>
          </cell>
          <cell r="M49">
            <v>0</v>
          </cell>
        </row>
        <row r="50">
          <cell r="A50" t="str">
            <v>ZB-WF029-WO-M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96</v>
          </cell>
          <cell r="L50">
            <v>0</v>
          </cell>
          <cell r="M50">
            <v>0</v>
          </cell>
        </row>
        <row r="51">
          <cell r="A51" t="str">
            <v>ZQ-WF002-BO-M</v>
          </cell>
          <cell r="B51">
            <v>6871</v>
          </cell>
          <cell r="C51">
            <v>25</v>
          </cell>
          <cell r="D51">
            <v>7.78</v>
          </cell>
          <cell r="E51">
            <v>13881</v>
          </cell>
          <cell r="F51">
            <v>83</v>
          </cell>
          <cell r="G51">
            <v>29.64</v>
          </cell>
          <cell r="H51">
            <v>9043</v>
          </cell>
          <cell r="I51">
            <v>33</v>
          </cell>
          <cell r="J51">
            <v>10.79</v>
          </cell>
          <cell r="K51">
            <v>646</v>
          </cell>
          <cell r="L51">
            <v>12</v>
          </cell>
          <cell r="M51">
            <v>3.14</v>
          </cell>
        </row>
        <row r="52">
          <cell r="A52" t="str">
            <v>ZQ-WF002-PI-M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227</v>
          </cell>
          <cell r="L52">
            <v>2</v>
          </cell>
          <cell r="M52">
            <v>0.65</v>
          </cell>
        </row>
        <row r="53">
          <cell r="A53" t="str">
            <v>ZYL-FLQ06-BF-40</v>
          </cell>
          <cell r="B53">
            <v>0</v>
          </cell>
          <cell r="C53">
            <v>0</v>
          </cell>
          <cell r="D53">
            <v>0</v>
          </cell>
          <cell r="E53">
            <v>218</v>
          </cell>
          <cell r="F53">
            <v>0</v>
          </cell>
          <cell r="G53">
            <v>0</v>
          </cell>
          <cell r="H53">
            <v>416</v>
          </cell>
          <cell r="I53">
            <v>1</v>
          </cell>
          <cell r="J53">
            <v>0.22</v>
          </cell>
          <cell r="K53">
            <v>4603</v>
          </cell>
          <cell r="L53">
            <v>14</v>
          </cell>
          <cell r="M53">
            <v>5.12</v>
          </cell>
        </row>
        <row r="54">
          <cell r="A54" t="str">
            <v>ZYL-FLQ06-HG-40</v>
          </cell>
          <cell r="B54">
            <v>707</v>
          </cell>
          <cell r="C54">
            <v>5</v>
          </cell>
          <cell r="D54">
            <v>2.38</v>
          </cell>
          <cell r="E54">
            <v>2269</v>
          </cell>
          <cell r="F54">
            <v>19</v>
          </cell>
          <cell r="G54">
            <v>8.28</v>
          </cell>
          <cell r="H54">
            <v>1392</v>
          </cell>
          <cell r="I54">
            <v>5</v>
          </cell>
          <cell r="J54">
            <v>1.65</v>
          </cell>
          <cell r="K54">
            <v>4383</v>
          </cell>
          <cell r="L54">
            <v>11</v>
          </cell>
          <cell r="M54">
            <v>3</v>
          </cell>
        </row>
        <row r="55">
          <cell r="A55" t="str">
            <v>ZYL-FLQ06-TZ-40</v>
          </cell>
          <cell r="B55">
            <v>3407</v>
          </cell>
          <cell r="C55">
            <v>23</v>
          </cell>
          <cell r="D55">
            <v>11.35</v>
          </cell>
          <cell r="E55">
            <v>5562</v>
          </cell>
          <cell r="F55">
            <v>24</v>
          </cell>
          <cell r="G55">
            <v>11.58</v>
          </cell>
          <cell r="H55">
            <v>1127</v>
          </cell>
          <cell r="I55">
            <v>5</v>
          </cell>
          <cell r="J55">
            <v>1.83</v>
          </cell>
          <cell r="K55">
            <v>8437</v>
          </cell>
          <cell r="L55">
            <v>25</v>
          </cell>
          <cell r="M55">
            <v>8.81</v>
          </cell>
        </row>
        <row r="56">
          <cell r="A56" t="str">
            <v>ZYL-FLQ2013-DX-36</v>
          </cell>
          <cell r="B56">
            <v>0</v>
          </cell>
          <cell r="C56">
            <v>0</v>
          </cell>
          <cell r="D56">
            <v>0</v>
          </cell>
          <cell r="E56">
            <v>281</v>
          </cell>
          <cell r="F56">
            <v>4</v>
          </cell>
          <cell r="G56">
            <v>1.61</v>
          </cell>
          <cell r="H56">
            <v>119</v>
          </cell>
          <cell r="I56">
            <v>0</v>
          </cell>
          <cell r="J56">
            <v>0</v>
          </cell>
          <cell r="K56">
            <v>1416</v>
          </cell>
          <cell r="L56">
            <v>3</v>
          </cell>
          <cell r="M56">
            <v>0.85</v>
          </cell>
        </row>
        <row r="57">
          <cell r="A57" t="str">
            <v>ZYL-FLQ2013-RO-36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577</v>
          </cell>
          <cell r="L57">
            <v>0</v>
          </cell>
          <cell r="M57">
            <v>0</v>
          </cell>
        </row>
        <row r="58">
          <cell r="A58" t="str">
            <v>ZYL-FLQ2013-YO-36</v>
          </cell>
          <cell r="B58">
            <v>0</v>
          </cell>
          <cell r="C58">
            <v>0</v>
          </cell>
          <cell r="D58">
            <v>0</v>
          </cell>
          <cell r="E58">
            <v>17</v>
          </cell>
          <cell r="F58">
            <v>0</v>
          </cell>
          <cell r="G58">
            <v>0</v>
          </cell>
          <cell r="H58">
            <v>6</v>
          </cell>
          <cell r="I58">
            <v>0</v>
          </cell>
          <cell r="J58">
            <v>0</v>
          </cell>
          <cell r="K58">
            <v>622</v>
          </cell>
          <cell r="L58">
            <v>0</v>
          </cell>
          <cell r="M58">
            <v>0</v>
          </cell>
        </row>
        <row r="59">
          <cell r="A59" t="str">
            <v>ZYL-FLQ59-BF-32</v>
          </cell>
          <cell r="B59">
            <v>0</v>
          </cell>
          <cell r="C59">
            <v>0</v>
          </cell>
          <cell r="D59">
            <v>0</v>
          </cell>
          <cell r="E59">
            <v>63</v>
          </cell>
          <cell r="F59">
            <v>0</v>
          </cell>
          <cell r="G59">
            <v>0</v>
          </cell>
          <cell r="H59">
            <v>8</v>
          </cell>
          <cell r="I59">
            <v>0</v>
          </cell>
          <cell r="J59">
            <v>0</v>
          </cell>
          <cell r="K59">
            <v>2751</v>
          </cell>
          <cell r="L59">
            <v>9</v>
          </cell>
          <cell r="M59">
            <v>3.24</v>
          </cell>
        </row>
        <row r="60">
          <cell r="A60" t="str">
            <v>ZYL-FLQ59-BY-32</v>
          </cell>
          <cell r="B60">
            <v>0</v>
          </cell>
          <cell r="C60">
            <v>0</v>
          </cell>
          <cell r="D60">
            <v>0</v>
          </cell>
          <cell r="E60">
            <v>9</v>
          </cell>
          <cell r="F60">
            <v>0</v>
          </cell>
          <cell r="G60">
            <v>0</v>
          </cell>
          <cell r="H60">
            <v>5</v>
          </cell>
          <cell r="I60">
            <v>0</v>
          </cell>
          <cell r="J60">
            <v>0</v>
          </cell>
          <cell r="K60">
            <v>446</v>
          </cell>
          <cell r="L60">
            <v>2</v>
          </cell>
          <cell r="M60">
            <v>0.85</v>
          </cell>
        </row>
        <row r="61">
          <cell r="A61" t="str">
            <v>ZYL-FLQ59-TW-32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3252</v>
          </cell>
          <cell r="L61">
            <v>12</v>
          </cell>
          <cell r="M61">
            <v>4.38</v>
          </cell>
        </row>
        <row r="62">
          <cell r="A62" t="str">
            <v>ZYL-FLQ59-TZ-32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360</v>
          </cell>
          <cell r="L62">
            <v>0</v>
          </cell>
          <cell r="M62">
            <v>0</v>
          </cell>
        </row>
        <row r="63">
          <cell r="A63" t="str">
            <v>ZYL-FLQ59-YD-32</v>
          </cell>
          <cell r="B63">
            <v>0</v>
          </cell>
          <cell r="C63">
            <v>0</v>
          </cell>
          <cell r="D63">
            <v>0</v>
          </cell>
          <cell r="E63">
            <v>44</v>
          </cell>
          <cell r="F63">
            <v>2</v>
          </cell>
          <cell r="G63">
            <v>0.53</v>
          </cell>
          <cell r="H63">
            <v>15</v>
          </cell>
          <cell r="I63">
            <v>0</v>
          </cell>
          <cell r="J63">
            <v>0</v>
          </cell>
          <cell r="K63">
            <v>1122</v>
          </cell>
          <cell r="L63">
            <v>4</v>
          </cell>
          <cell r="M63">
            <v>1.11</v>
          </cell>
        </row>
        <row r="64">
          <cell r="A64" t="str">
            <v>GT-WFTFGT200-209</v>
          </cell>
          <cell r="B64">
            <v>854</v>
          </cell>
          <cell r="C64">
            <v>8</v>
          </cell>
          <cell r="D64">
            <v>2.25</v>
          </cell>
          <cell r="E64">
            <v>415</v>
          </cell>
          <cell r="F64">
            <v>3</v>
          </cell>
          <cell r="G64">
            <v>0.56</v>
          </cell>
          <cell r="H64">
            <v>478</v>
          </cell>
          <cell r="I64">
            <v>3</v>
          </cell>
          <cell r="J64">
            <v>0.75</v>
          </cell>
          <cell r="K64">
            <v>827</v>
          </cell>
          <cell r="L64">
            <v>7</v>
          </cell>
          <cell r="M64">
            <v>2.55</v>
          </cell>
        </row>
        <row r="65">
          <cell r="A65" t="str">
            <v>GT-WFTFGT200-213</v>
          </cell>
          <cell r="B65">
            <v>300</v>
          </cell>
          <cell r="C65">
            <v>1</v>
          </cell>
          <cell r="D65">
            <v>0.16</v>
          </cell>
          <cell r="E65">
            <v>85</v>
          </cell>
          <cell r="F65">
            <v>0</v>
          </cell>
          <cell r="G65">
            <v>0</v>
          </cell>
          <cell r="H65">
            <v>36</v>
          </cell>
          <cell r="I65">
            <v>0</v>
          </cell>
          <cell r="J65">
            <v>0</v>
          </cell>
          <cell r="K65">
            <v>169</v>
          </cell>
          <cell r="L65">
            <v>0</v>
          </cell>
          <cell r="M65">
            <v>0</v>
          </cell>
        </row>
        <row r="66">
          <cell r="A66" t="str">
            <v>GT-WFTFGT200-216</v>
          </cell>
          <cell r="B66">
            <v>727</v>
          </cell>
          <cell r="C66">
            <v>2</v>
          </cell>
          <cell r="D66">
            <v>0.45</v>
          </cell>
          <cell r="E66">
            <v>370</v>
          </cell>
          <cell r="F66">
            <v>1</v>
          </cell>
          <cell r="G66">
            <v>0.04</v>
          </cell>
          <cell r="H66">
            <v>147</v>
          </cell>
          <cell r="I66">
            <v>0</v>
          </cell>
          <cell r="J66">
            <v>0</v>
          </cell>
          <cell r="K66">
            <v>688</v>
          </cell>
          <cell r="L66">
            <v>3</v>
          </cell>
          <cell r="M66">
            <v>1.23</v>
          </cell>
        </row>
        <row r="67">
          <cell r="A67" t="str">
            <v>GT-WFTFGT200-220</v>
          </cell>
          <cell r="B67">
            <v>1111</v>
          </cell>
          <cell r="C67">
            <v>21</v>
          </cell>
          <cell r="D67">
            <v>4.7</v>
          </cell>
          <cell r="E67">
            <v>723</v>
          </cell>
          <cell r="F67">
            <v>10</v>
          </cell>
          <cell r="G67">
            <v>2.16</v>
          </cell>
          <cell r="H67">
            <v>282</v>
          </cell>
          <cell r="I67">
            <v>6</v>
          </cell>
          <cell r="J67">
            <v>1.24</v>
          </cell>
          <cell r="K67">
            <v>1566</v>
          </cell>
          <cell r="L67">
            <v>34</v>
          </cell>
          <cell r="M67">
            <v>15.12</v>
          </cell>
        </row>
        <row r="68">
          <cell r="A68" t="str">
            <v>GT-WFTFGT200-221</v>
          </cell>
          <cell r="B68">
            <v>203</v>
          </cell>
          <cell r="C68">
            <v>0</v>
          </cell>
          <cell r="D68">
            <v>0</v>
          </cell>
          <cell r="E68">
            <v>84</v>
          </cell>
          <cell r="F68">
            <v>0</v>
          </cell>
          <cell r="G68">
            <v>0</v>
          </cell>
          <cell r="H68">
            <v>42</v>
          </cell>
          <cell r="I68">
            <v>0</v>
          </cell>
          <cell r="J68">
            <v>0</v>
          </cell>
          <cell r="K68">
            <v>159</v>
          </cell>
          <cell r="L68">
            <v>1</v>
          </cell>
          <cell r="M68">
            <v>0.36</v>
          </cell>
        </row>
        <row r="69">
          <cell r="A69" t="str">
            <v>GT-WFTFGT200-223</v>
          </cell>
          <cell r="B69">
            <v>232</v>
          </cell>
          <cell r="C69">
            <v>1</v>
          </cell>
          <cell r="D69">
            <v>0.22</v>
          </cell>
          <cell r="E69">
            <v>93</v>
          </cell>
          <cell r="F69">
            <v>0</v>
          </cell>
          <cell r="G69">
            <v>0</v>
          </cell>
          <cell r="H69">
            <v>52</v>
          </cell>
          <cell r="I69">
            <v>1</v>
          </cell>
          <cell r="J69">
            <v>0.23</v>
          </cell>
          <cell r="K69">
            <v>209</v>
          </cell>
          <cell r="L69">
            <v>4</v>
          </cell>
          <cell r="M69">
            <v>1.7</v>
          </cell>
        </row>
        <row r="70">
          <cell r="A70" t="str">
            <v>GT-WFY1-E1</v>
          </cell>
          <cell r="B70">
            <v>651</v>
          </cell>
          <cell r="C70">
            <v>4</v>
          </cell>
          <cell r="D70">
            <v>0.69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787</v>
          </cell>
          <cell r="L70">
            <v>8</v>
          </cell>
          <cell r="M70">
            <v>3.85</v>
          </cell>
        </row>
        <row r="71">
          <cell r="A71" t="str">
            <v>GT-WFY1-E2</v>
          </cell>
          <cell r="B71">
            <v>1923</v>
          </cell>
          <cell r="C71">
            <v>2</v>
          </cell>
          <cell r="D71">
            <v>0.51</v>
          </cell>
          <cell r="E71">
            <v>1587</v>
          </cell>
          <cell r="F71">
            <v>5</v>
          </cell>
          <cell r="G71">
            <v>1.15</v>
          </cell>
          <cell r="H71">
            <v>834</v>
          </cell>
          <cell r="I71">
            <v>3</v>
          </cell>
          <cell r="J71">
            <v>0.69</v>
          </cell>
          <cell r="K71">
            <v>697</v>
          </cell>
          <cell r="L71">
            <v>6</v>
          </cell>
          <cell r="M71">
            <v>2.55</v>
          </cell>
        </row>
        <row r="72">
          <cell r="A72" t="str">
            <v>GT-WFY1-E3</v>
          </cell>
          <cell r="B72">
            <v>2942</v>
          </cell>
          <cell r="C72">
            <v>14</v>
          </cell>
          <cell r="D72">
            <v>2.71</v>
          </cell>
          <cell r="E72">
            <v>855</v>
          </cell>
          <cell r="F72">
            <v>2</v>
          </cell>
          <cell r="G72">
            <v>0.5</v>
          </cell>
          <cell r="H72">
            <v>189</v>
          </cell>
          <cell r="I72">
            <v>3</v>
          </cell>
          <cell r="J72">
            <v>0.62</v>
          </cell>
          <cell r="K72">
            <v>637</v>
          </cell>
          <cell r="L72">
            <v>4</v>
          </cell>
          <cell r="M72">
            <v>1.64</v>
          </cell>
        </row>
        <row r="73">
          <cell r="A73" t="str">
            <v>BLT-LUHM000-CL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588</v>
          </cell>
          <cell r="L73">
            <v>8</v>
          </cell>
          <cell r="M73">
            <v>4.33</v>
          </cell>
        </row>
        <row r="74">
          <cell r="A74" t="str">
            <v>BLT-LUHM000-CR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531</v>
          </cell>
          <cell r="L74">
            <v>4</v>
          </cell>
          <cell r="M74">
            <v>2.62</v>
          </cell>
        </row>
        <row r="75">
          <cell r="A75" t="str">
            <v>BLT-LUHM000-GL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1287</v>
          </cell>
          <cell r="L75">
            <v>3</v>
          </cell>
          <cell r="M75">
            <v>2.13</v>
          </cell>
        </row>
        <row r="76">
          <cell r="A76" t="str">
            <v>BLT-LUHM000-GR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382</v>
          </cell>
          <cell r="L76">
            <v>0</v>
          </cell>
          <cell r="M76">
            <v>0</v>
          </cell>
        </row>
        <row r="77">
          <cell r="A77" t="str">
            <v>BLT-LUHM000-LB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456</v>
          </cell>
          <cell r="L77">
            <v>2</v>
          </cell>
          <cell r="M77">
            <v>1.5</v>
          </cell>
        </row>
        <row r="78">
          <cell r="A78" t="str">
            <v>BLT-LUHM000-RB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312</v>
          </cell>
          <cell r="L78">
            <v>5</v>
          </cell>
          <cell r="M78">
            <v>2.83</v>
          </cell>
        </row>
        <row r="79">
          <cell r="A79" t="str">
            <v>BLT-WF125-CAT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1011</v>
          </cell>
          <cell r="L79">
            <v>5</v>
          </cell>
          <cell r="M79">
            <v>3.22</v>
          </cell>
        </row>
        <row r="80">
          <cell r="A80" t="str">
            <v>BLT-WF125-COW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1255</v>
          </cell>
          <cell r="L80">
            <v>5</v>
          </cell>
          <cell r="M80">
            <v>3.53</v>
          </cell>
        </row>
        <row r="81">
          <cell r="A81" t="str">
            <v>BLT-WF125-LION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1068</v>
          </cell>
          <cell r="L81">
            <v>5</v>
          </cell>
          <cell r="M81">
            <v>2.75</v>
          </cell>
        </row>
        <row r="82">
          <cell r="A82" t="str">
            <v>BLT-WF125-PANDA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4081</v>
          </cell>
          <cell r="L82">
            <v>67</v>
          </cell>
          <cell r="M82">
            <v>46.32</v>
          </cell>
        </row>
        <row r="83">
          <cell r="A83" t="str">
            <v>BA-FLQ02-BO-6</v>
          </cell>
          <cell r="B83">
            <v>3485</v>
          </cell>
          <cell r="C83">
            <v>20</v>
          </cell>
          <cell r="D83">
            <v>5.73</v>
          </cell>
          <cell r="E83">
            <v>7651</v>
          </cell>
          <cell r="F83">
            <v>22</v>
          </cell>
          <cell r="G83">
            <v>5.98</v>
          </cell>
          <cell r="H83">
            <v>6653</v>
          </cell>
          <cell r="I83">
            <v>24</v>
          </cell>
          <cell r="J83">
            <v>5.61</v>
          </cell>
          <cell r="K83">
            <v>3853</v>
          </cell>
          <cell r="L83">
            <v>17</v>
          </cell>
          <cell r="M83">
            <v>4.04</v>
          </cell>
        </row>
        <row r="84">
          <cell r="A84" t="str">
            <v>BA-FLQ02-GD-4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2076</v>
          </cell>
          <cell r="I84">
            <v>11</v>
          </cell>
          <cell r="J84">
            <v>3.13</v>
          </cell>
          <cell r="K84">
            <v>4289</v>
          </cell>
          <cell r="L84">
            <v>25</v>
          </cell>
          <cell r="M84">
            <v>6.57</v>
          </cell>
        </row>
        <row r="85">
          <cell r="A85" t="str">
            <v>BA-FLQ02-R2-4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1896</v>
          </cell>
          <cell r="L85">
            <v>17</v>
          </cell>
          <cell r="M85">
            <v>5.14</v>
          </cell>
        </row>
        <row r="86">
          <cell r="A86" t="str">
            <v>BA-FLQ02-SI-4</v>
          </cell>
          <cell r="B86">
            <v>1414</v>
          </cell>
          <cell r="C86">
            <v>14</v>
          </cell>
          <cell r="D86">
            <v>4.27</v>
          </cell>
          <cell r="E86">
            <v>0</v>
          </cell>
          <cell r="F86">
            <v>0</v>
          </cell>
          <cell r="G86">
            <v>0</v>
          </cell>
          <cell r="H86">
            <v>928</v>
          </cell>
          <cell r="I86">
            <v>14</v>
          </cell>
          <cell r="J86">
            <v>4.28</v>
          </cell>
          <cell r="K86">
            <v>691</v>
          </cell>
          <cell r="L86">
            <v>1</v>
          </cell>
          <cell r="M86">
            <v>0.34</v>
          </cell>
        </row>
        <row r="87">
          <cell r="A87" t="str">
            <v>BA-FLQ02-SI-6</v>
          </cell>
          <cell r="B87">
            <v>1325</v>
          </cell>
          <cell r="C87">
            <v>13</v>
          </cell>
          <cell r="D87">
            <v>4.13</v>
          </cell>
          <cell r="E87">
            <v>1653</v>
          </cell>
          <cell r="F87">
            <v>17</v>
          </cell>
          <cell r="G87">
            <v>5.41</v>
          </cell>
          <cell r="H87">
            <v>1575</v>
          </cell>
          <cell r="I87">
            <v>19</v>
          </cell>
          <cell r="J87">
            <v>6.27</v>
          </cell>
          <cell r="K87">
            <v>1623</v>
          </cell>
          <cell r="L87">
            <v>20</v>
          </cell>
          <cell r="M87">
            <v>6.73</v>
          </cell>
        </row>
        <row r="88">
          <cell r="A88" t="str">
            <v>QQ-LUHM-801-B0</v>
          </cell>
          <cell r="B88">
            <v>4724</v>
          </cell>
          <cell r="C88">
            <v>9</v>
          </cell>
          <cell r="D88">
            <v>4.29</v>
          </cell>
          <cell r="E88">
            <v>6125</v>
          </cell>
          <cell r="F88">
            <v>14</v>
          </cell>
          <cell r="G88">
            <v>5.43</v>
          </cell>
          <cell r="H88">
            <v>4658</v>
          </cell>
          <cell r="I88">
            <v>6</v>
          </cell>
          <cell r="J88">
            <v>2.8</v>
          </cell>
          <cell r="K88">
            <v>4460</v>
          </cell>
          <cell r="L88">
            <v>7</v>
          </cell>
          <cell r="M88">
            <v>3.58</v>
          </cell>
        </row>
        <row r="89">
          <cell r="A89" t="str">
            <v>ND-LUHM027-PI</v>
          </cell>
          <cell r="B89">
            <v>0</v>
          </cell>
          <cell r="C89">
            <v>0</v>
          </cell>
          <cell r="D89">
            <v>0</v>
          </cell>
          <cell r="E89">
            <v>900</v>
          </cell>
          <cell r="F89">
            <v>4</v>
          </cell>
          <cell r="G89">
            <v>1.79</v>
          </cell>
          <cell r="H89">
            <v>786</v>
          </cell>
          <cell r="I89">
            <v>4</v>
          </cell>
          <cell r="J89">
            <v>1.61</v>
          </cell>
          <cell r="K89">
            <v>692</v>
          </cell>
          <cell r="L89">
            <v>3</v>
          </cell>
          <cell r="M89">
            <v>0.73</v>
          </cell>
        </row>
        <row r="90">
          <cell r="A90" t="str">
            <v>XM-LUHM111-X0</v>
          </cell>
          <cell r="B90">
            <v>616</v>
          </cell>
          <cell r="C90">
            <v>3</v>
          </cell>
          <cell r="D90">
            <v>1.11</v>
          </cell>
          <cell r="E90">
            <v>396</v>
          </cell>
          <cell r="F90">
            <v>3</v>
          </cell>
          <cell r="G90">
            <v>0.45</v>
          </cell>
          <cell r="H90">
            <v>178</v>
          </cell>
          <cell r="I90">
            <v>1</v>
          </cell>
          <cell r="J90">
            <v>0.38</v>
          </cell>
          <cell r="K90">
            <v>481</v>
          </cell>
          <cell r="L90">
            <v>5</v>
          </cell>
          <cell r="M90">
            <v>1.58</v>
          </cell>
        </row>
        <row r="91">
          <cell r="A91" t="str">
            <v>XQ-LUHM034-X0</v>
          </cell>
          <cell r="B91">
            <v>3712</v>
          </cell>
          <cell r="C91">
            <v>1</v>
          </cell>
          <cell r="D91">
            <v>0.1</v>
          </cell>
          <cell r="E91">
            <v>1848</v>
          </cell>
          <cell r="F91">
            <v>3</v>
          </cell>
          <cell r="G91">
            <v>1.24</v>
          </cell>
          <cell r="H91">
            <v>886</v>
          </cell>
          <cell r="I91">
            <v>0</v>
          </cell>
          <cell r="J91">
            <v>0</v>
          </cell>
          <cell r="K91">
            <v>1260</v>
          </cell>
          <cell r="L91">
            <v>1</v>
          </cell>
          <cell r="M91">
            <v>0.22</v>
          </cell>
        </row>
        <row r="92">
          <cell r="A92" t="str">
            <v>XQ-LUHM089-PI</v>
          </cell>
          <cell r="B92">
            <v>731</v>
          </cell>
          <cell r="C92">
            <v>0</v>
          </cell>
          <cell r="D92">
            <v>0</v>
          </cell>
          <cell r="E92">
            <v>408</v>
          </cell>
          <cell r="F92">
            <v>1</v>
          </cell>
          <cell r="G92">
            <v>0.22</v>
          </cell>
          <cell r="H92">
            <v>210</v>
          </cell>
          <cell r="I92">
            <v>2</v>
          </cell>
          <cell r="J92">
            <v>0.49</v>
          </cell>
          <cell r="K92">
            <v>267</v>
          </cell>
          <cell r="L92">
            <v>2</v>
          </cell>
          <cell r="M92">
            <v>0.87</v>
          </cell>
        </row>
        <row r="93">
          <cell r="A93" t="str">
            <v>BD-LUHM001-X0</v>
          </cell>
          <cell r="B93">
            <v>3901</v>
          </cell>
          <cell r="C93">
            <v>15</v>
          </cell>
          <cell r="D93">
            <v>4.68</v>
          </cell>
          <cell r="E93">
            <v>6149</v>
          </cell>
          <cell r="F93">
            <v>26</v>
          </cell>
          <cell r="G93">
            <v>8.86</v>
          </cell>
          <cell r="H93">
            <v>0</v>
          </cell>
          <cell r="I93">
            <v>0</v>
          </cell>
          <cell r="J93">
            <v>0</v>
          </cell>
          <cell r="K93">
            <v>8428</v>
          </cell>
          <cell r="L93">
            <v>31</v>
          </cell>
          <cell r="M93">
            <v>10.82</v>
          </cell>
        </row>
        <row r="94">
          <cell r="A94" t="str">
            <v>YQ-LUHM-F111</v>
          </cell>
          <cell r="B94">
            <v>19324</v>
          </cell>
          <cell r="C94">
            <v>36</v>
          </cell>
          <cell r="D94">
            <v>19.39</v>
          </cell>
          <cell r="E94">
            <v>3402</v>
          </cell>
          <cell r="F94">
            <v>12</v>
          </cell>
          <cell r="G94">
            <v>5.02</v>
          </cell>
          <cell r="H94">
            <v>4691</v>
          </cell>
          <cell r="I94">
            <v>23</v>
          </cell>
          <cell r="J94">
            <v>11.38</v>
          </cell>
          <cell r="K94">
            <v>3539</v>
          </cell>
          <cell r="L94">
            <v>13</v>
          </cell>
          <cell r="M94">
            <v>4.48</v>
          </cell>
        </row>
        <row r="95">
          <cell r="A95" t="str">
            <v>QLQ-LUHM121-WO</v>
          </cell>
          <cell r="B95">
            <v>69533</v>
          </cell>
          <cell r="C95">
            <v>80</v>
          </cell>
          <cell r="D95">
            <v>31.54</v>
          </cell>
          <cell r="E95">
            <v>3101</v>
          </cell>
          <cell r="F95">
            <v>24</v>
          </cell>
          <cell r="G95">
            <v>11.52</v>
          </cell>
          <cell r="H95">
            <v>11775</v>
          </cell>
          <cell r="I95">
            <v>38</v>
          </cell>
          <cell r="J95">
            <v>22.7</v>
          </cell>
          <cell r="K95">
            <v>8603</v>
          </cell>
          <cell r="L95">
            <v>49</v>
          </cell>
          <cell r="M95">
            <v>31.04</v>
          </cell>
        </row>
        <row r="96">
          <cell r="A96" t="str">
            <v>SD-LUHM202-B0</v>
          </cell>
          <cell r="B96">
            <v>483</v>
          </cell>
          <cell r="C96">
            <v>1</v>
          </cell>
          <cell r="D96">
            <v>0.41</v>
          </cell>
          <cell r="E96">
            <v>582</v>
          </cell>
          <cell r="F96">
            <v>5</v>
          </cell>
          <cell r="G96">
            <v>2.06</v>
          </cell>
          <cell r="H96">
            <v>653</v>
          </cell>
          <cell r="I96">
            <v>5</v>
          </cell>
          <cell r="J96">
            <v>1.43</v>
          </cell>
          <cell r="K96">
            <v>4217</v>
          </cell>
          <cell r="L96">
            <v>3</v>
          </cell>
          <cell r="M96">
            <v>0.99</v>
          </cell>
        </row>
        <row r="97">
          <cell r="A97" t="str">
            <v>SD-LUHM202-G0-X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1721</v>
          </cell>
          <cell r="L97">
            <v>0</v>
          </cell>
          <cell r="M97">
            <v>0</v>
          </cell>
        </row>
        <row r="98">
          <cell r="A98" t="str">
            <v>SD-LUHM202-PI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1436</v>
          </cell>
          <cell r="L98">
            <v>2</v>
          </cell>
          <cell r="M98">
            <v>0.94</v>
          </cell>
        </row>
        <row r="99">
          <cell r="A99" t="str">
            <v>SD-LUHM202-X0</v>
          </cell>
          <cell r="B99">
            <v>1039</v>
          </cell>
          <cell r="C99">
            <v>3</v>
          </cell>
          <cell r="D99">
            <v>1.27</v>
          </cell>
          <cell r="E99">
            <v>1150</v>
          </cell>
          <cell r="F99">
            <v>6</v>
          </cell>
          <cell r="G99">
            <v>2.62</v>
          </cell>
          <cell r="H99">
            <v>950</v>
          </cell>
          <cell r="I99">
            <v>3</v>
          </cell>
          <cell r="J99">
            <v>1.23</v>
          </cell>
          <cell r="K99">
            <v>1114</v>
          </cell>
          <cell r="L99">
            <v>5</v>
          </cell>
          <cell r="M99">
            <v>2.1</v>
          </cell>
        </row>
        <row r="100">
          <cell r="A100" t="str">
            <v>SD-LUHM202-Y0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6115</v>
          </cell>
          <cell r="L100">
            <v>6</v>
          </cell>
          <cell r="M100">
            <v>1.97</v>
          </cell>
        </row>
        <row r="101">
          <cell r="A101" t="str">
            <v>SDSZH-BS</v>
          </cell>
          <cell r="B101">
            <v>1696</v>
          </cell>
          <cell r="C101">
            <v>4</v>
          </cell>
          <cell r="D101">
            <v>1.44</v>
          </cell>
          <cell r="E101">
            <v>5324</v>
          </cell>
          <cell r="F101">
            <v>10</v>
          </cell>
          <cell r="G101">
            <v>4.57</v>
          </cell>
          <cell r="H101">
            <v>2784</v>
          </cell>
          <cell r="I101">
            <v>6</v>
          </cell>
          <cell r="J101">
            <v>2.54</v>
          </cell>
          <cell r="K101">
            <v>1762</v>
          </cell>
          <cell r="L101">
            <v>7</v>
          </cell>
          <cell r="M101">
            <v>2.9</v>
          </cell>
        </row>
        <row r="102">
          <cell r="A102" t="str">
            <v>SDSZH-RG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1689</v>
          </cell>
          <cell r="L102">
            <v>1</v>
          </cell>
          <cell r="M102">
            <v>0.37</v>
          </cell>
        </row>
        <row r="103">
          <cell r="A103" t="str">
            <v>SDSZH-TS-2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1875</v>
          </cell>
          <cell r="L103">
            <v>2</v>
          </cell>
          <cell r="M103">
            <v>0.56</v>
          </cell>
        </row>
        <row r="104">
          <cell r="A104" t="str">
            <v>XK-YIWUJS-GY-6IN</v>
          </cell>
          <cell r="B104">
            <v>0</v>
          </cell>
          <cell r="C104">
            <v>0</v>
          </cell>
          <cell r="D104">
            <v>0</v>
          </cell>
          <cell r="E104">
            <v>39</v>
          </cell>
          <cell r="F104">
            <v>0</v>
          </cell>
          <cell r="G104">
            <v>0</v>
          </cell>
          <cell r="H104">
            <v>232</v>
          </cell>
          <cell r="I104">
            <v>0</v>
          </cell>
          <cell r="J104">
            <v>0</v>
          </cell>
          <cell r="K104">
            <v>182</v>
          </cell>
          <cell r="L104">
            <v>0</v>
          </cell>
          <cell r="M104">
            <v>0</v>
          </cell>
        </row>
        <row r="105">
          <cell r="A105" t="str">
            <v>XK-YIWUJS-Y0-6IN</v>
          </cell>
          <cell r="B105">
            <v>0</v>
          </cell>
          <cell r="C105">
            <v>0</v>
          </cell>
          <cell r="D105">
            <v>0</v>
          </cell>
          <cell r="E105">
            <v>47</v>
          </cell>
          <cell r="F105">
            <v>0</v>
          </cell>
          <cell r="G105">
            <v>0</v>
          </cell>
          <cell r="H105">
            <v>682</v>
          </cell>
          <cell r="I105">
            <v>0</v>
          </cell>
          <cell r="J105">
            <v>0</v>
          </cell>
          <cell r="K105">
            <v>61</v>
          </cell>
          <cell r="L105">
            <v>0</v>
          </cell>
          <cell r="M105">
            <v>0</v>
          </cell>
        </row>
        <row r="106">
          <cell r="A106" t="str">
            <v>XK-YIWUJS2-BR-7IN</v>
          </cell>
          <cell r="B106">
            <v>0</v>
          </cell>
          <cell r="C106">
            <v>0</v>
          </cell>
          <cell r="D106">
            <v>0</v>
          </cell>
          <cell r="E106">
            <v>704</v>
          </cell>
          <cell r="F106">
            <v>3</v>
          </cell>
          <cell r="G106">
            <v>1.95</v>
          </cell>
          <cell r="H106">
            <v>1902</v>
          </cell>
          <cell r="I106">
            <v>10</v>
          </cell>
          <cell r="J106">
            <v>6.64</v>
          </cell>
          <cell r="K106">
            <v>126</v>
          </cell>
          <cell r="L106">
            <v>1</v>
          </cell>
          <cell r="M106">
            <v>0.45</v>
          </cell>
        </row>
        <row r="107">
          <cell r="A107" t="str">
            <v>XK-YIWUJS2-Y0-7IN</v>
          </cell>
          <cell r="B107">
            <v>0</v>
          </cell>
          <cell r="C107">
            <v>0</v>
          </cell>
          <cell r="D107">
            <v>0</v>
          </cell>
          <cell r="E107">
            <v>1093</v>
          </cell>
          <cell r="F107">
            <v>5</v>
          </cell>
          <cell r="G107">
            <v>3.74</v>
          </cell>
          <cell r="H107">
            <v>437</v>
          </cell>
          <cell r="I107">
            <v>5</v>
          </cell>
          <cell r="J107">
            <v>4.83</v>
          </cell>
          <cell r="K107">
            <v>102</v>
          </cell>
          <cell r="L107">
            <v>2</v>
          </cell>
          <cell r="M107">
            <v>0.54</v>
          </cell>
        </row>
        <row r="108">
          <cell r="A108" t="str">
            <v>BZ-WF211-BO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256</v>
          </cell>
          <cell r="I108">
            <v>5</v>
          </cell>
          <cell r="J108">
            <v>1.84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CWB-FLQ1703-GR-47</v>
          </cell>
          <cell r="B109">
            <v>0</v>
          </cell>
          <cell r="C109">
            <v>0</v>
          </cell>
          <cell r="D109">
            <v>0</v>
          </cell>
          <cell r="E109">
            <v>1103</v>
          </cell>
          <cell r="F109">
            <v>4</v>
          </cell>
          <cell r="G109">
            <v>1.66</v>
          </cell>
          <cell r="H109">
            <v>1000</v>
          </cell>
          <cell r="I109">
            <v>9</v>
          </cell>
          <cell r="J109">
            <v>3.81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HYD-WF7995-BO-XL</v>
          </cell>
          <cell r="B110">
            <v>704</v>
          </cell>
          <cell r="C110">
            <v>6</v>
          </cell>
          <cell r="D110">
            <v>2.07</v>
          </cell>
          <cell r="E110">
            <v>347</v>
          </cell>
          <cell r="F110">
            <v>6</v>
          </cell>
          <cell r="G110">
            <v>1.83</v>
          </cell>
          <cell r="H110">
            <v>189</v>
          </cell>
          <cell r="I110">
            <v>2</v>
          </cell>
          <cell r="J110">
            <v>0.5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SND-FLQ18-SJ-74</v>
          </cell>
          <cell r="B111">
            <v>919</v>
          </cell>
          <cell r="C111">
            <v>6</v>
          </cell>
          <cell r="D111">
            <v>2.45</v>
          </cell>
          <cell r="E111">
            <v>657</v>
          </cell>
          <cell r="F111">
            <v>7</v>
          </cell>
          <cell r="G111">
            <v>2.93</v>
          </cell>
          <cell r="H111">
            <v>585</v>
          </cell>
          <cell r="I111">
            <v>5</v>
          </cell>
          <cell r="J111">
            <v>2.45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SL-LULW818-BO-L</v>
          </cell>
          <cell r="B112">
            <v>10926</v>
          </cell>
          <cell r="C112">
            <v>42</v>
          </cell>
          <cell r="D112">
            <v>13.45</v>
          </cell>
          <cell r="E112">
            <v>1191</v>
          </cell>
          <cell r="F112">
            <v>15</v>
          </cell>
          <cell r="G112">
            <v>4.69</v>
          </cell>
          <cell r="H112">
            <v>836</v>
          </cell>
          <cell r="I112">
            <v>14</v>
          </cell>
          <cell r="J112">
            <v>4.45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SND-FLQ17-NO-108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273</v>
          </cell>
          <cell r="I113">
            <v>3</v>
          </cell>
          <cell r="J113">
            <v>1.66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SJZP-FLQ19-CYH30-100</v>
          </cell>
          <cell r="B114">
            <v>191</v>
          </cell>
          <cell r="C114">
            <v>0</v>
          </cell>
          <cell r="D114">
            <v>0</v>
          </cell>
          <cell r="E114">
            <v>59</v>
          </cell>
          <cell r="F114">
            <v>1</v>
          </cell>
          <cell r="G114">
            <v>0.22</v>
          </cell>
          <cell r="H114">
            <v>36</v>
          </cell>
          <cell r="I114">
            <v>1</v>
          </cell>
          <cell r="J114">
            <v>0.45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SJZP-FLQ19-CYV30-100</v>
          </cell>
          <cell r="B115">
            <v>45</v>
          </cell>
          <cell r="C115">
            <v>0</v>
          </cell>
          <cell r="D115">
            <v>0</v>
          </cell>
          <cell r="E115">
            <v>15</v>
          </cell>
          <cell r="F115">
            <v>0</v>
          </cell>
          <cell r="G115">
            <v>0</v>
          </cell>
          <cell r="H115">
            <v>10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SJZP-FLQ19-CYXL-50*30</v>
          </cell>
          <cell r="B116">
            <v>113</v>
          </cell>
          <cell r="C116">
            <v>0</v>
          </cell>
          <cell r="D116">
            <v>0</v>
          </cell>
          <cell r="E116">
            <v>53</v>
          </cell>
          <cell r="F116">
            <v>0</v>
          </cell>
          <cell r="G116">
            <v>0</v>
          </cell>
          <cell r="H116">
            <v>26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SJZP-FLQ19-SJ-100</v>
          </cell>
          <cell r="B117">
            <v>8641</v>
          </cell>
          <cell r="C117">
            <v>42</v>
          </cell>
          <cell r="D117">
            <v>10.44</v>
          </cell>
          <cell r="E117">
            <v>3361</v>
          </cell>
          <cell r="F117">
            <v>17</v>
          </cell>
          <cell r="G117">
            <v>4.05</v>
          </cell>
          <cell r="H117">
            <v>2539</v>
          </cell>
          <cell r="I117">
            <v>17</v>
          </cell>
          <cell r="J117">
            <v>3.94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SJZP-FLQ19-SJH30-100</v>
          </cell>
          <cell r="B118">
            <v>376</v>
          </cell>
          <cell r="C118">
            <v>6</v>
          </cell>
          <cell r="D118">
            <v>2.22</v>
          </cell>
          <cell r="E118">
            <v>156</v>
          </cell>
          <cell r="F118">
            <v>1</v>
          </cell>
          <cell r="G118">
            <v>0.26</v>
          </cell>
          <cell r="H118">
            <v>105</v>
          </cell>
          <cell r="I118">
            <v>4</v>
          </cell>
          <cell r="J118">
            <v>0.89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SJZP-FLQ19-SJV30-100</v>
          </cell>
          <cell r="B119">
            <v>868</v>
          </cell>
          <cell r="C119">
            <v>8</v>
          </cell>
          <cell r="D119">
            <v>2.2</v>
          </cell>
          <cell r="E119">
            <v>716</v>
          </cell>
          <cell r="F119">
            <v>2</v>
          </cell>
          <cell r="G119">
            <v>0.41</v>
          </cell>
          <cell r="H119">
            <v>499</v>
          </cell>
          <cell r="I119">
            <v>3</v>
          </cell>
          <cell r="J119">
            <v>0.36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SJZP-FLQ19-SJV40-100</v>
          </cell>
          <cell r="B120">
            <v>277</v>
          </cell>
          <cell r="C120">
            <v>3</v>
          </cell>
          <cell r="D120">
            <v>0.72</v>
          </cell>
          <cell r="E120">
            <v>71</v>
          </cell>
          <cell r="F120">
            <v>0</v>
          </cell>
          <cell r="G120">
            <v>0</v>
          </cell>
          <cell r="H120">
            <v>58</v>
          </cell>
          <cell r="I120">
            <v>1</v>
          </cell>
          <cell r="J120">
            <v>0.5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SJZP-FLQ19-SJXL-50*30</v>
          </cell>
          <cell r="B121">
            <v>371</v>
          </cell>
          <cell r="C121">
            <v>7</v>
          </cell>
          <cell r="D121">
            <v>2.15</v>
          </cell>
          <cell r="E121">
            <v>207</v>
          </cell>
          <cell r="F121">
            <v>1</v>
          </cell>
          <cell r="G121">
            <v>0.36</v>
          </cell>
          <cell r="H121">
            <v>85</v>
          </cell>
          <cell r="I121">
            <v>1</v>
          </cell>
          <cell r="J121">
            <v>0.33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SJZP-FLQ19-SJYX-140</v>
          </cell>
          <cell r="B122">
            <v>235</v>
          </cell>
          <cell r="C122">
            <v>1</v>
          </cell>
          <cell r="D122">
            <v>0.23</v>
          </cell>
          <cell r="E122">
            <v>94</v>
          </cell>
          <cell r="F122">
            <v>1</v>
          </cell>
          <cell r="G122">
            <v>0.5</v>
          </cell>
          <cell r="H122">
            <v>86</v>
          </cell>
          <cell r="I122">
            <v>2</v>
          </cell>
          <cell r="J122">
            <v>0.48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SJZP-FLQ19-YXCY-140</v>
          </cell>
          <cell r="B123">
            <v>270</v>
          </cell>
          <cell r="C123">
            <v>2</v>
          </cell>
          <cell r="D123">
            <v>0.39</v>
          </cell>
          <cell r="E123">
            <v>65</v>
          </cell>
          <cell r="F123">
            <v>0</v>
          </cell>
          <cell r="G123">
            <v>0</v>
          </cell>
          <cell r="H123">
            <v>46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LYQ-WF1010-BO-2X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828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LYQ-WF1010-BO-L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1520</v>
          </cell>
          <cell r="I125">
            <v>1</v>
          </cell>
          <cell r="J125">
            <v>0.52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LYQ-WF1010-BO-M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1433</v>
          </cell>
          <cell r="I126">
            <v>6</v>
          </cell>
          <cell r="J126">
            <v>2.79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LYQ-WF1010-BO-S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888</v>
          </cell>
          <cell r="I127">
            <v>1</v>
          </cell>
          <cell r="J127">
            <v>0.43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LYQ-WF1010-BO-XL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568</v>
          </cell>
          <cell r="I128">
            <v>2</v>
          </cell>
          <cell r="J128">
            <v>1.06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LYQ-WF1010-K0-2L</v>
          </cell>
          <cell r="B129">
            <v>0</v>
          </cell>
          <cell r="C129">
            <v>0</v>
          </cell>
          <cell r="D129">
            <v>0</v>
          </cell>
          <cell r="E129">
            <v>2</v>
          </cell>
          <cell r="F129">
            <v>0</v>
          </cell>
          <cell r="G129">
            <v>0</v>
          </cell>
          <cell r="H129">
            <v>1493</v>
          </cell>
          <cell r="I129">
            <v>6</v>
          </cell>
          <cell r="J129">
            <v>2.85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LYQ-WF1010-KO-L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1765</v>
          </cell>
          <cell r="I130">
            <v>8</v>
          </cell>
          <cell r="J130">
            <v>3.03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LYQ-WF1010-KO-M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994</v>
          </cell>
          <cell r="I131">
            <v>4</v>
          </cell>
          <cell r="J131">
            <v>2.12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LYQ-WF1010-KO-S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1774</v>
          </cell>
          <cell r="I132">
            <v>2</v>
          </cell>
          <cell r="J132">
            <v>1.04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LYQ-WF1010-KO-XL</v>
          </cell>
          <cell r="B133">
            <v>0</v>
          </cell>
          <cell r="C133">
            <v>0</v>
          </cell>
          <cell r="D133">
            <v>0</v>
          </cell>
          <cell r="E133">
            <v>1</v>
          </cell>
          <cell r="F133">
            <v>0</v>
          </cell>
          <cell r="G133">
            <v>0</v>
          </cell>
          <cell r="H133">
            <v>1715</v>
          </cell>
          <cell r="I133">
            <v>2</v>
          </cell>
          <cell r="J133">
            <v>1.04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LYQ-WF1010-NO-2L</v>
          </cell>
          <cell r="B134">
            <v>0</v>
          </cell>
          <cell r="C134">
            <v>0</v>
          </cell>
          <cell r="D134">
            <v>0</v>
          </cell>
          <cell r="E134">
            <v>1</v>
          </cell>
          <cell r="F134">
            <v>0</v>
          </cell>
          <cell r="G134">
            <v>0</v>
          </cell>
          <cell r="H134">
            <v>550</v>
          </cell>
          <cell r="I134">
            <v>1</v>
          </cell>
          <cell r="J134">
            <v>0.4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LYQ-WF1010-NO-L</v>
          </cell>
          <cell r="B135">
            <v>0</v>
          </cell>
          <cell r="C135">
            <v>0</v>
          </cell>
          <cell r="D135">
            <v>0</v>
          </cell>
          <cell r="E135">
            <v>1</v>
          </cell>
          <cell r="F135">
            <v>0</v>
          </cell>
          <cell r="G135">
            <v>0</v>
          </cell>
          <cell r="H135">
            <v>947</v>
          </cell>
          <cell r="I135">
            <v>5</v>
          </cell>
          <cell r="J135">
            <v>2.52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LYQ-WF1010-NO-S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504</v>
          </cell>
          <cell r="I136">
            <v>2</v>
          </cell>
          <cell r="J136">
            <v>1.07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LYQ-WF1010-NO-XL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881</v>
          </cell>
          <cell r="I137">
            <v>2</v>
          </cell>
          <cell r="J137">
            <v>0.97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LYQ-WF1010-NO-XS</v>
          </cell>
          <cell r="B138">
            <v>0</v>
          </cell>
          <cell r="C138">
            <v>0</v>
          </cell>
          <cell r="D138">
            <v>0</v>
          </cell>
          <cell r="E138">
            <v>3</v>
          </cell>
          <cell r="F138">
            <v>0</v>
          </cell>
          <cell r="G138">
            <v>0</v>
          </cell>
          <cell r="H138">
            <v>2345</v>
          </cell>
          <cell r="I138">
            <v>2</v>
          </cell>
          <cell r="J138">
            <v>1.07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LYQ-WF1010-PO-2L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1341</v>
          </cell>
          <cell r="I139">
            <v>4</v>
          </cell>
          <cell r="J139">
            <v>1.93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LYQ-WF1010-PO-L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1332</v>
          </cell>
          <cell r="I140">
            <v>6</v>
          </cell>
          <cell r="J140">
            <v>2.71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LYQ-WF1010-PO-M</v>
          </cell>
          <cell r="B141">
            <v>0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  <cell r="G141">
            <v>0</v>
          </cell>
          <cell r="H141">
            <v>1505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LYQ-WF1010-PO-S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1312</v>
          </cell>
          <cell r="I142">
            <v>4</v>
          </cell>
          <cell r="J142">
            <v>1.69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LYQ-WF1010-PO-XL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1568</v>
          </cell>
          <cell r="I143">
            <v>3</v>
          </cell>
          <cell r="J143">
            <v>1.63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LYQ-WF1010-WO-2L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  <cell r="F144">
            <v>0</v>
          </cell>
          <cell r="G144">
            <v>0</v>
          </cell>
          <cell r="H144">
            <v>5312</v>
          </cell>
          <cell r="I144">
            <v>26</v>
          </cell>
          <cell r="J144">
            <v>12.79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LYQ-WF1010-WO-M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  <cell r="G145">
            <v>0</v>
          </cell>
          <cell r="H145">
            <v>5445</v>
          </cell>
          <cell r="I145">
            <v>30</v>
          </cell>
          <cell r="J145">
            <v>13.95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LYQ-WF1010-WO-XL</v>
          </cell>
          <cell r="B146">
            <v>0</v>
          </cell>
          <cell r="C146">
            <v>0</v>
          </cell>
          <cell r="D146">
            <v>0</v>
          </cell>
          <cell r="E146">
            <v>6</v>
          </cell>
          <cell r="F146">
            <v>1</v>
          </cell>
          <cell r="G146">
            <v>0.32</v>
          </cell>
          <cell r="H146">
            <v>13536</v>
          </cell>
          <cell r="I146">
            <v>65</v>
          </cell>
          <cell r="J146">
            <v>33.57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WY-WF1225-BO-L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262</v>
          </cell>
          <cell r="I147">
            <v>1</v>
          </cell>
          <cell r="J147">
            <v>0.52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WY-WF1225-BO-M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240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WY-WF1225-BO-S</v>
          </cell>
          <cell r="B149">
            <v>8944</v>
          </cell>
          <cell r="C149">
            <v>20</v>
          </cell>
          <cell r="D149">
            <v>10.96</v>
          </cell>
          <cell r="E149">
            <v>19478</v>
          </cell>
          <cell r="F149">
            <v>39</v>
          </cell>
          <cell r="G149">
            <v>18.64</v>
          </cell>
          <cell r="H149">
            <v>362</v>
          </cell>
          <cell r="I149">
            <v>5</v>
          </cell>
          <cell r="J149">
            <v>2.42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WY-WF1225-BO-XL</v>
          </cell>
          <cell r="B150">
            <v>87</v>
          </cell>
          <cell r="C150">
            <v>1</v>
          </cell>
          <cell r="D150">
            <v>0.37</v>
          </cell>
          <cell r="E150">
            <v>1748</v>
          </cell>
          <cell r="F150">
            <v>4</v>
          </cell>
          <cell r="G150">
            <v>1.75</v>
          </cell>
          <cell r="H150">
            <v>362</v>
          </cell>
          <cell r="I150">
            <v>1</v>
          </cell>
          <cell r="J150">
            <v>0.74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WY-WF1225-GR-L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297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WY-WF1225-GR-M</v>
          </cell>
          <cell r="B152">
            <v>0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  <cell r="G152">
            <v>0</v>
          </cell>
          <cell r="H152">
            <v>497</v>
          </cell>
          <cell r="I152">
            <v>1</v>
          </cell>
          <cell r="J152">
            <v>0.42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WY-WF1225-GR-S</v>
          </cell>
          <cell r="B153">
            <v>0</v>
          </cell>
          <cell r="C153">
            <v>0</v>
          </cell>
          <cell r="D153">
            <v>0</v>
          </cell>
          <cell r="E153">
            <v>2321</v>
          </cell>
          <cell r="F153">
            <v>0</v>
          </cell>
          <cell r="G153">
            <v>0</v>
          </cell>
          <cell r="H153">
            <v>503</v>
          </cell>
          <cell r="I153">
            <v>3</v>
          </cell>
          <cell r="J153">
            <v>1.47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WY-WF1225-GR-XL</v>
          </cell>
          <cell r="B154">
            <v>0</v>
          </cell>
          <cell r="C154">
            <v>0</v>
          </cell>
          <cell r="D154">
            <v>0</v>
          </cell>
          <cell r="E154">
            <v>1042</v>
          </cell>
          <cell r="F154">
            <v>3</v>
          </cell>
          <cell r="G154">
            <v>1.24</v>
          </cell>
          <cell r="H154">
            <v>237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SQ-LUHM204</v>
          </cell>
          <cell r="B155">
            <v>13927</v>
          </cell>
          <cell r="C155">
            <v>29</v>
          </cell>
          <cell r="D155">
            <v>24</v>
          </cell>
          <cell r="E155">
            <v>2744</v>
          </cell>
          <cell r="F155">
            <v>18</v>
          </cell>
          <cell r="G155">
            <v>14.67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SQ-LUHM304</v>
          </cell>
          <cell r="B156">
            <v>3346</v>
          </cell>
          <cell r="C156">
            <v>8</v>
          </cell>
          <cell r="D156">
            <v>6.56</v>
          </cell>
          <cell r="E156">
            <v>1632</v>
          </cell>
          <cell r="F156">
            <v>9</v>
          </cell>
          <cell r="G156">
            <v>8.63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SQ-LUHM354</v>
          </cell>
          <cell r="B157">
            <v>4095</v>
          </cell>
          <cell r="C157">
            <v>13</v>
          </cell>
          <cell r="D157">
            <v>11</v>
          </cell>
          <cell r="E157">
            <v>1978</v>
          </cell>
          <cell r="F157">
            <v>9</v>
          </cell>
          <cell r="G157">
            <v>7.67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SQ-LUHM404</v>
          </cell>
          <cell r="B158">
            <v>11534</v>
          </cell>
          <cell r="C158">
            <v>24</v>
          </cell>
          <cell r="D158">
            <v>21.53</v>
          </cell>
          <cell r="E158">
            <v>2235</v>
          </cell>
          <cell r="F158">
            <v>4</v>
          </cell>
          <cell r="G158">
            <v>3.27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SQ-LUHM90A</v>
          </cell>
          <cell r="B159">
            <v>3193</v>
          </cell>
          <cell r="C159">
            <v>7</v>
          </cell>
          <cell r="D159">
            <v>7.32</v>
          </cell>
          <cell r="E159">
            <v>2704</v>
          </cell>
          <cell r="F159">
            <v>9</v>
          </cell>
          <cell r="G159">
            <v>7.76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YQ-LUHM-F112</v>
          </cell>
          <cell r="B160">
            <v>557</v>
          </cell>
          <cell r="C160">
            <v>6</v>
          </cell>
          <cell r="D160">
            <v>2.39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YQ-LUHM-F114</v>
          </cell>
          <cell r="B161">
            <v>1025</v>
          </cell>
          <cell r="C161">
            <v>4</v>
          </cell>
          <cell r="D161">
            <v>1.73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83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43255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2018/6/25-2018/7/1</v>
      </c>
      <c r="E3" s="13" t="str">
        <f>TEXT(时间!$B$8,"yyyy/M/d")&amp;"-"&amp;TEXT(时间!$B$7,"yyyy/Md")</f>
        <v>2018/6/18-2018/624</v>
      </c>
      <c r="F3" s="13" t="str">
        <f>TEXT(时间!$B$10,"yyyy/M/d")&amp;"-"&amp;TEXT(时间!$B$9,"yyyy/M/d")</f>
        <v>2018/6/11-2018/6/17</v>
      </c>
      <c r="G3" s="13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43276</v>
      </c>
      <c r="AG4" s="20">
        <f>时间!$B$7</f>
        <v>43275</v>
      </c>
      <c r="AH4" s="20">
        <f>时间!$B$8</f>
        <v>43269</v>
      </c>
      <c r="AI4" s="20">
        <f>时间!$B$9</f>
        <v>43268</v>
      </c>
      <c r="AJ4" s="20">
        <f>时间!$B$6</f>
        <v>43276</v>
      </c>
      <c r="AK4" s="20">
        <f>时间!$B$7</f>
        <v>43275</v>
      </c>
      <c r="AL4" s="20">
        <f>时间!$B$8</f>
        <v>43269</v>
      </c>
      <c r="AM4" s="20">
        <f>时间!$B$9</f>
        <v>43268</v>
      </c>
      <c r="AN4" s="20">
        <f>时间!$B$6</f>
        <v>43276</v>
      </c>
      <c r="AO4" s="20">
        <f>时间!$B$7</f>
        <v>43275</v>
      </c>
      <c r="AP4" s="20">
        <f>时间!$B$8</f>
        <v>43269</v>
      </c>
      <c r="AQ4" s="20">
        <f>时间!$B$9</f>
        <v>43268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213</v>
      </c>
      <c r="E5" s="4">
        <f>SUM(E6:E19921)</f>
        <v>163</v>
      </c>
      <c r="F5" s="4">
        <f>SUM(F6:F19921)</f>
        <v>165</v>
      </c>
      <c r="G5" s="4">
        <f>SUM(G6:G19921)</f>
        <v>91</v>
      </c>
      <c r="I5" s="4">
        <f t="shared" ref="I5:O5" si="4">SUM(I6:I2921)</f>
        <v>1854</v>
      </c>
      <c r="J5" s="4">
        <f t="shared" si="4"/>
        <v>170</v>
      </c>
      <c r="K5" s="4">
        <f t="shared" si="4"/>
        <v>1</v>
      </c>
      <c r="L5" s="4">
        <f t="shared" si="4"/>
        <v>36</v>
      </c>
      <c r="M5" s="4">
        <f t="shared" si="4"/>
        <v>2061</v>
      </c>
      <c r="N5" s="4">
        <f t="shared" si="4"/>
        <v>9</v>
      </c>
      <c r="O5" s="4">
        <f t="shared" si="4"/>
        <v>1014</v>
      </c>
      <c r="AB5" s="4">
        <f>SUM(AB6:AB2021)</f>
        <v>235.5</v>
      </c>
      <c r="AC5" s="4">
        <f>SUM(AC6:AC2021)</f>
        <v>210.1</v>
      </c>
      <c r="AD5" s="4">
        <f>SUM(AD6:AD2021)</f>
        <v>222.5</v>
      </c>
      <c r="AE5" s="4">
        <f>SUM(AE6:AE2021)</f>
        <v>284.4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0</v>
      </c>
      <c r="AK6">
        <v>0</v>
      </c>
      <c r="AL6">
        <v>0</v>
      </c>
      <c r="AM6">
        <v>0</v>
      </c>
      <c r="AN6" s="22" t="s">
        <v>53</v>
      </c>
      <c r="AO6" s="22" t="s">
        <v>53</v>
      </c>
      <c r="AP6" s="22" t="s">
        <v>53</v>
      </c>
      <c r="AQ6" s="22" t="s">
        <v>53</v>
      </c>
      <c r="AR6" s="35">
        <v>0</v>
      </c>
      <c r="AS6" s="35">
        <v>0</v>
      </c>
      <c r="AT6" s="35">
        <v>0</v>
      </c>
      <c r="AU6" s="31" t="str">
        <f t="shared" si="3"/>
        <v>库存为0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52</v>
      </c>
      <c r="D7" s="31">
        <v>2</v>
      </c>
      <c r="E7" s="31">
        <v>2</v>
      </c>
      <c r="F7" s="31">
        <v>0</v>
      </c>
      <c r="G7" s="31">
        <v>1</v>
      </c>
      <c r="H7" s="32">
        <v>15.99</v>
      </c>
      <c r="I7">
        <v>50</v>
      </c>
      <c r="J7" s="33">
        <v>0</v>
      </c>
      <c r="K7" s="33">
        <v>0</v>
      </c>
      <c r="L7" s="33">
        <v>0</v>
      </c>
      <c r="M7">
        <v>50</v>
      </c>
      <c r="N7">
        <v>0</v>
      </c>
      <c r="O7">
        <v>29</v>
      </c>
      <c r="P7">
        <v>3485</v>
      </c>
      <c r="Q7">
        <v>7651</v>
      </c>
      <c r="R7">
        <v>6653</v>
      </c>
      <c r="S7">
        <v>3853</v>
      </c>
      <c r="T7">
        <v>20</v>
      </c>
      <c r="U7">
        <v>22</v>
      </c>
      <c r="V7">
        <v>24</v>
      </c>
      <c r="W7">
        <v>17</v>
      </c>
      <c r="X7" s="22">
        <v>0.00573888091822095</v>
      </c>
      <c r="Y7" s="22">
        <v>0.002875441118808</v>
      </c>
      <c r="Z7" s="22">
        <v>0.00360739516007816</v>
      </c>
      <c r="AA7" s="22">
        <v>0.00441214637944459</v>
      </c>
      <c r="AB7">
        <v>5.73</v>
      </c>
      <c r="AC7">
        <v>5.98</v>
      </c>
      <c r="AD7">
        <v>5.61</v>
      </c>
      <c r="AE7">
        <v>4.04</v>
      </c>
      <c r="AF7" s="22">
        <v>0.179174484052533</v>
      </c>
      <c r="AG7" s="22">
        <v>0.186991869918699</v>
      </c>
      <c r="AH7" s="22" t="s">
        <v>56</v>
      </c>
      <c r="AI7" s="22">
        <v>0.252657911194497</v>
      </c>
      <c r="AJ7">
        <v>28</v>
      </c>
      <c r="AK7">
        <v>34</v>
      </c>
      <c r="AL7">
        <v>17</v>
      </c>
      <c r="AM7">
        <v>34</v>
      </c>
      <c r="AN7" s="22">
        <v>0.0714285714285714</v>
      </c>
      <c r="AO7" s="22">
        <v>0.0588235294117647</v>
      </c>
      <c r="AP7" s="22">
        <v>0</v>
      </c>
      <c r="AQ7" s="22">
        <v>0.0294117647058824</v>
      </c>
      <c r="AR7" s="35">
        <v>0.285714285714286</v>
      </c>
      <c r="AS7" s="35">
        <v>17.1428571428571</v>
      </c>
      <c r="AT7" s="35">
        <v>32.8571428571429</v>
      </c>
      <c r="AU7" s="31">
        <f t="shared" si="3"/>
        <v>175</v>
      </c>
      <c r="AV7" s="36">
        <f>IFERROR(时间!$B$4+AU7,"上周无销量")</f>
        <v>43458</v>
      </c>
    </row>
    <row r="8" spans="1:48">
      <c r="A8" s="20" t="s">
        <v>57</v>
      </c>
      <c r="B8" t="s">
        <v>58</v>
      </c>
      <c r="C8" t="s">
        <v>52</v>
      </c>
      <c r="D8" s="31">
        <v>0</v>
      </c>
      <c r="E8" s="31">
        <v>0</v>
      </c>
      <c r="F8" s="31">
        <v>1</v>
      </c>
      <c r="G8" s="31">
        <v>0</v>
      </c>
      <c r="H8" s="32">
        <v>11.99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2076</v>
      </c>
      <c r="S8">
        <v>4289</v>
      </c>
      <c r="T8">
        <v>0</v>
      </c>
      <c r="U8">
        <v>0</v>
      </c>
      <c r="V8">
        <v>11</v>
      </c>
      <c r="W8">
        <v>25</v>
      </c>
      <c r="X8" s="22" t="s">
        <v>53</v>
      </c>
      <c r="Y8" s="22" t="s">
        <v>53</v>
      </c>
      <c r="Z8" s="22">
        <v>0.00529865125240848</v>
      </c>
      <c r="AA8" s="22">
        <v>0.00582886453718816</v>
      </c>
      <c r="AB8">
        <v>0</v>
      </c>
      <c r="AC8">
        <v>0</v>
      </c>
      <c r="AD8">
        <v>3.13</v>
      </c>
      <c r="AE8">
        <v>6.57</v>
      </c>
      <c r="AF8" s="22" t="s">
        <v>53</v>
      </c>
      <c r="AG8" s="22" t="s">
        <v>53</v>
      </c>
      <c r="AH8" s="22">
        <v>0.261050875729775</v>
      </c>
      <c r="AI8" s="22" t="s">
        <v>59</v>
      </c>
      <c r="AJ8">
        <v>0</v>
      </c>
      <c r="AK8">
        <v>0</v>
      </c>
      <c r="AL8">
        <v>0</v>
      </c>
      <c r="AM8">
        <v>11</v>
      </c>
      <c r="AN8" s="22" t="s">
        <v>53</v>
      </c>
      <c r="AO8" s="22" t="s">
        <v>53</v>
      </c>
      <c r="AP8" s="22" t="s">
        <v>53</v>
      </c>
      <c r="AQ8" s="22">
        <v>0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60</v>
      </c>
      <c r="B9" t="s">
        <v>61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62</v>
      </c>
      <c r="B10" t="s">
        <v>63</v>
      </c>
      <c r="C10" t="s">
        <v>52</v>
      </c>
      <c r="D10" s="31">
        <v>0</v>
      </c>
      <c r="E10" s="31">
        <v>0</v>
      </c>
      <c r="F10" s="31">
        <v>0</v>
      </c>
      <c r="G10" s="31">
        <v>1</v>
      </c>
      <c r="H10" s="32">
        <v>8.99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1896</v>
      </c>
      <c r="T10">
        <v>0</v>
      </c>
      <c r="U10">
        <v>0</v>
      </c>
      <c r="V10">
        <v>0</v>
      </c>
      <c r="W10">
        <v>17</v>
      </c>
      <c r="X10" s="22" t="s">
        <v>53</v>
      </c>
      <c r="Y10" s="22" t="s">
        <v>53</v>
      </c>
      <c r="Z10" s="22" t="s">
        <v>53</v>
      </c>
      <c r="AA10" s="22">
        <v>0.0089662447257384</v>
      </c>
      <c r="AB10">
        <v>0</v>
      </c>
      <c r="AC10">
        <v>0</v>
      </c>
      <c r="AD10">
        <v>0</v>
      </c>
      <c r="AE10">
        <v>5.14</v>
      </c>
      <c r="AF10" s="22" t="s">
        <v>53</v>
      </c>
      <c r="AG10" s="22" t="s">
        <v>53</v>
      </c>
      <c r="AH10" s="22" t="s">
        <v>53</v>
      </c>
      <c r="AI10" s="22">
        <v>0.57174638487208</v>
      </c>
      <c r="AJ10">
        <v>0</v>
      </c>
      <c r="AK10">
        <v>0</v>
      </c>
      <c r="AL10">
        <v>0</v>
      </c>
      <c r="AM10">
        <v>5</v>
      </c>
      <c r="AN10" s="22" t="s">
        <v>53</v>
      </c>
      <c r="AO10" s="22" t="s">
        <v>53</v>
      </c>
      <c r="AP10" s="22" t="s">
        <v>53</v>
      </c>
      <c r="AQ10" s="22">
        <v>0.2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64</v>
      </c>
      <c r="B11" t="s">
        <v>65</v>
      </c>
      <c r="C11" t="s">
        <v>52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0</v>
      </c>
      <c r="AL11">
        <v>0</v>
      </c>
      <c r="AM11">
        <v>0</v>
      </c>
      <c r="AN11" s="22" t="s">
        <v>53</v>
      </c>
      <c r="AO11" s="22" t="s">
        <v>53</v>
      </c>
      <c r="AP11" s="22" t="s">
        <v>53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66</v>
      </c>
      <c r="B12" t="s">
        <v>67</v>
      </c>
      <c r="C12" t="s">
        <v>52</v>
      </c>
      <c r="D12" s="31">
        <v>0</v>
      </c>
      <c r="E12" s="31">
        <v>1</v>
      </c>
      <c r="F12" s="31">
        <v>0</v>
      </c>
      <c r="G12" s="31">
        <v>0</v>
      </c>
      <c r="H12" s="32">
        <v>8.99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>
        <v>1414</v>
      </c>
      <c r="Q12">
        <v>0</v>
      </c>
      <c r="R12">
        <v>928</v>
      </c>
      <c r="S12">
        <v>691</v>
      </c>
      <c r="T12">
        <v>14</v>
      </c>
      <c r="U12">
        <v>0</v>
      </c>
      <c r="V12">
        <v>14</v>
      </c>
      <c r="W12">
        <v>1</v>
      </c>
      <c r="X12" s="22">
        <v>0.0099009900990099</v>
      </c>
      <c r="Y12" s="22" t="s">
        <v>53</v>
      </c>
      <c r="Z12" s="22">
        <v>0.0150862068965517</v>
      </c>
      <c r="AA12" s="22">
        <v>0.00144717800289436</v>
      </c>
      <c r="AB12">
        <v>4.27</v>
      </c>
      <c r="AC12">
        <v>0</v>
      </c>
      <c r="AD12">
        <v>4.28</v>
      </c>
      <c r="AE12">
        <v>0.34</v>
      </c>
      <c r="AF12" s="22" t="s">
        <v>68</v>
      </c>
      <c r="AG12" s="22" t="s">
        <v>53</v>
      </c>
      <c r="AH12" s="22" t="s">
        <v>69</v>
      </c>
      <c r="AI12" s="22" t="s">
        <v>70</v>
      </c>
      <c r="AJ12">
        <v>0</v>
      </c>
      <c r="AK12">
        <v>4</v>
      </c>
      <c r="AL12">
        <v>0</v>
      </c>
      <c r="AM12">
        <v>11</v>
      </c>
      <c r="AN12" s="22" t="s">
        <v>53</v>
      </c>
      <c r="AO12" s="22">
        <v>0.25</v>
      </c>
      <c r="AP12" s="22" t="s">
        <v>53</v>
      </c>
      <c r="AQ12" s="22">
        <v>0</v>
      </c>
      <c r="AR12" s="35">
        <v>0</v>
      </c>
      <c r="AS12" s="35">
        <v>0</v>
      </c>
      <c r="AT12" s="35">
        <v>0</v>
      </c>
      <c r="AU12" s="31" t="str">
        <f t="shared" si="3"/>
        <v>库存为0</v>
      </c>
      <c r="AV12" s="36" t="str">
        <f>IFERROR(时间!$B$4+AU12,"上周无销量")</f>
        <v>上周无销量</v>
      </c>
    </row>
    <row r="13" spans="1:48">
      <c r="A13" s="20" t="s">
        <v>71</v>
      </c>
      <c r="B13" t="s">
        <v>72</v>
      </c>
      <c r="C13" t="s">
        <v>52</v>
      </c>
      <c r="D13" s="31">
        <v>0</v>
      </c>
      <c r="E13" s="31">
        <v>1</v>
      </c>
      <c r="F13" s="31">
        <v>3</v>
      </c>
      <c r="G13" s="31">
        <v>6</v>
      </c>
      <c r="H13" s="32">
        <v>12.67</v>
      </c>
      <c r="I13">
        <v>92</v>
      </c>
      <c r="J13" s="33">
        <v>0</v>
      </c>
      <c r="K13" s="33">
        <v>0</v>
      </c>
      <c r="L13" s="33">
        <v>0</v>
      </c>
      <c r="M13">
        <v>92</v>
      </c>
      <c r="N13">
        <v>0</v>
      </c>
      <c r="O13">
        <v>92</v>
      </c>
      <c r="P13">
        <v>1325</v>
      </c>
      <c r="Q13">
        <v>1653</v>
      </c>
      <c r="R13">
        <v>1575</v>
      </c>
      <c r="S13">
        <v>1623</v>
      </c>
      <c r="T13">
        <v>13</v>
      </c>
      <c r="U13">
        <v>17</v>
      </c>
      <c r="V13">
        <v>19</v>
      </c>
      <c r="W13">
        <v>20</v>
      </c>
      <c r="X13" s="22">
        <v>0.00981132075471698</v>
      </c>
      <c r="Y13" s="22">
        <v>0.0102843315184513</v>
      </c>
      <c r="Z13" s="22">
        <v>0.0120634920634921</v>
      </c>
      <c r="AA13" s="22">
        <v>0.0123228589032656</v>
      </c>
      <c r="AB13">
        <v>4.13</v>
      </c>
      <c r="AC13">
        <v>5.41</v>
      </c>
      <c r="AD13">
        <v>6.27</v>
      </c>
      <c r="AE13">
        <v>6.73</v>
      </c>
      <c r="AF13" s="22" t="s">
        <v>73</v>
      </c>
      <c r="AG13" s="22">
        <v>0.426992896606156</v>
      </c>
      <c r="AH13" s="22">
        <v>0.164956590370955</v>
      </c>
      <c r="AI13" s="22">
        <v>0.088529334385688</v>
      </c>
      <c r="AJ13">
        <v>12</v>
      </c>
      <c r="AK13">
        <v>15</v>
      </c>
      <c r="AL13">
        <v>17</v>
      </c>
      <c r="AM13">
        <v>15</v>
      </c>
      <c r="AN13" s="22">
        <v>0</v>
      </c>
      <c r="AO13" s="22">
        <v>0.0666666666666667</v>
      </c>
      <c r="AP13" s="22">
        <v>0.176470588235294</v>
      </c>
      <c r="AQ13" s="22">
        <v>0.4</v>
      </c>
      <c r="AR13" s="35">
        <v>0</v>
      </c>
      <c r="AS13" s="35">
        <v>0</v>
      </c>
      <c r="AT13" s="35">
        <v>92</v>
      </c>
      <c r="AU13" s="31" t="str">
        <f t="shared" si="3"/>
        <v>库存为92</v>
      </c>
      <c r="AV13" s="36" t="str">
        <f>IFERROR(时间!$B$4+AU13,"上周无销量")</f>
        <v>上周无销量</v>
      </c>
    </row>
    <row r="14" spans="1:48">
      <c r="A14" s="20" t="s">
        <v>74</v>
      </c>
      <c r="B14" t="s">
        <v>75</v>
      </c>
      <c r="C14" t="s">
        <v>76</v>
      </c>
      <c r="D14" s="31">
        <v>0</v>
      </c>
      <c r="E14" s="31">
        <v>0</v>
      </c>
      <c r="F14" s="31">
        <v>4</v>
      </c>
      <c r="G14" s="31">
        <v>0</v>
      </c>
      <c r="H14" s="32">
        <v>9.99</v>
      </c>
      <c r="I14">
        <v>1</v>
      </c>
      <c r="J14" s="33">
        <v>0</v>
      </c>
      <c r="K14" s="33">
        <v>0</v>
      </c>
      <c r="L14" s="33">
        <v>0</v>
      </c>
      <c r="M14">
        <v>1</v>
      </c>
      <c r="N14">
        <v>0</v>
      </c>
      <c r="O14">
        <v>0</v>
      </c>
      <c r="P14">
        <v>3901</v>
      </c>
      <c r="Q14">
        <v>6149</v>
      </c>
      <c r="R14">
        <v>0</v>
      </c>
      <c r="S14">
        <v>8428</v>
      </c>
      <c r="T14">
        <v>15</v>
      </c>
      <c r="U14">
        <v>26</v>
      </c>
      <c r="V14">
        <v>0</v>
      </c>
      <c r="W14">
        <v>31</v>
      </c>
      <c r="X14" s="22">
        <v>0.00384516790566521</v>
      </c>
      <c r="Y14" s="22">
        <v>0.00422832980972516</v>
      </c>
      <c r="Z14" s="22" t="s">
        <v>53</v>
      </c>
      <c r="AA14" s="22">
        <v>0.00367821547223541</v>
      </c>
      <c r="AB14">
        <v>4.68</v>
      </c>
      <c r="AC14">
        <v>8.86</v>
      </c>
      <c r="AD14">
        <v>0</v>
      </c>
      <c r="AE14">
        <v>10.82</v>
      </c>
      <c r="AF14" s="22" t="s">
        <v>77</v>
      </c>
      <c r="AG14" s="22" t="s">
        <v>78</v>
      </c>
      <c r="AH14" s="22" t="s">
        <v>53</v>
      </c>
      <c r="AI14" s="22" t="s">
        <v>79</v>
      </c>
      <c r="AJ14">
        <v>5</v>
      </c>
      <c r="AK14">
        <v>14</v>
      </c>
      <c r="AL14">
        <v>14</v>
      </c>
      <c r="AM14">
        <v>4</v>
      </c>
      <c r="AN14" s="22">
        <v>0</v>
      </c>
      <c r="AO14" s="22">
        <v>0</v>
      </c>
      <c r="AP14" s="22">
        <v>0.285714285714286</v>
      </c>
      <c r="AQ14" s="22">
        <v>0</v>
      </c>
      <c r="AR14" s="35">
        <v>0</v>
      </c>
      <c r="AS14" s="35">
        <v>0</v>
      </c>
      <c r="AT14" s="35">
        <v>1</v>
      </c>
      <c r="AU14" s="31" t="str">
        <f t="shared" si="3"/>
        <v>库存为1</v>
      </c>
      <c r="AV14" s="36" t="str">
        <f>IFERROR(时间!$B$4+AU14,"上周无销量")</f>
        <v>上周无销量</v>
      </c>
    </row>
    <row r="15" spans="1:48">
      <c r="A15" s="20" t="s">
        <v>80</v>
      </c>
      <c r="B15" t="s">
        <v>81</v>
      </c>
      <c r="C15" t="s">
        <v>82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4</v>
      </c>
      <c r="AK15">
        <v>0</v>
      </c>
      <c r="AL15">
        <v>0</v>
      </c>
      <c r="AM15">
        <v>0</v>
      </c>
      <c r="AN15" s="22">
        <v>0</v>
      </c>
      <c r="AO15" s="22" t="s">
        <v>53</v>
      </c>
      <c r="AP15" s="22" t="s">
        <v>53</v>
      </c>
      <c r="AQ15" s="22" t="s">
        <v>53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83</v>
      </c>
      <c r="B16" t="s">
        <v>84</v>
      </c>
      <c r="C16" t="s">
        <v>82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3</v>
      </c>
      <c r="J16" s="33">
        <v>0</v>
      </c>
      <c r="K16" s="33">
        <v>0</v>
      </c>
      <c r="L16" s="33">
        <v>0</v>
      </c>
      <c r="M16">
        <v>3</v>
      </c>
      <c r="N16">
        <v>0</v>
      </c>
      <c r="O16">
        <v>0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6</v>
      </c>
      <c r="AK16">
        <v>0</v>
      </c>
      <c r="AL16">
        <v>0</v>
      </c>
      <c r="AM16">
        <v>0</v>
      </c>
      <c r="AN16" s="22">
        <v>0</v>
      </c>
      <c r="AO16" s="22" t="s">
        <v>53</v>
      </c>
      <c r="AP16" s="22" t="s">
        <v>53</v>
      </c>
      <c r="AQ16" s="22" t="s">
        <v>53</v>
      </c>
      <c r="AR16" s="35">
        <v>0</v>
      </c>
      <c r="AS16" s="35">
        <v>0</v>
      </c>
      <c r="AT16" s="35">
        <v>3</v>
      </c>
      <c r="AU16" s="31" t="str">
        <f t="shared" si="3"/>
        <v>库存为3</v>
      </c>
      <c r="AV16" s="36" t="str">
        <f>IFERROR(时间!$B$4+AU16,"上周无销量")</f>
        <v>上周无销量</v>
      </c>
    </row>
    <row r="17" spans="1:48">
      <c r="A17" s="20" t="s">
        <v>85</v>
      </c>
      <c r="B17" t="s">
        <v>86</v>
      </c>
      <c r="C17" t="s">
        <v>82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2</v>
      </c>
      <c r="J17" s="33">
        <v>0</v>
      </c>
      <c r="K17" s="33">
        <v>0</v>
      </c>
      <c r="L17" s="33">
        <v>0</v>
      </c>
      <c r="M17">
        <v>2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1</v>
      </c>
      <c r="AK17">
        <v>0</v>
      </c>
      <c r="AL17">
        <v>0</v>
      </c>
      <c r="AM17">
        <v>0</v>
      </c>
      <c r="AN17" s="22">
        <v>0</v>
      </c>
      <c r="AO17" s="22" t="s">
        <v>53</v>
      </c>
      <c r="AP17" s="22" t="s">
        <v>53</v>
      </c>
      <c r="AQ17" s="22" t="s">
        <v>53</v>
      </c>
      <c r="AR17" s="35">
        <v>0</v>
      </c>
      <c r="AS17" s="35">
        <v>0</v>
      </c>
      <c r="AT17" s="35">
        <v>2</v>
      </c>
      <c r="AU17" s="31" t="str">
        <f t="shared" si="3"/>
        <v>库存为2</v>
      </c>
      <c r="AV17" s="36" t="str">
        <f>IFERROR(时间!$B$4+AU17,"上周无销量")</f>
        <v>上周无销量</v>
      </c>
    </row>
    <row r="18" spans="1:48">
      <c r="A18" s="20" t="s">
        <v>87</v>
      </c>
      <c r="B18" t="s">
        <v>88</v>
      </c>
      <c r="C18" t="s">
        <v>82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3</v>
      </c>
      <c r="J18" s="33">
        <v>0</v>
      </c>
      <c r="K18" s="33">
        <v>0</v>
      </c>
      <c r="L18" s="33">
        <v>0</v>
      </c>
      <c r="M18">
        <v>3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1</v>
      </c>
      <c r="AK18">
        <v>0</v>
      </c>
      <c r="AL18">
        <v>0</v>
      </c>
      <c r="AM18">
        <v>0</v>
      </c>
      <c r="AN18" s="22">
        <v>0</v>
      </c>
      <c r="AO18" s="22" t="s">
        <v>53</v>
      </c>
      <c r="AP18" s="22" t="s">
        <v>53</v>
      </c>
      <c r="AQ18" s="22" t="s">
        <v>53</v>
      </c>
      <c r="AR18" s="35">
        <v>0</v>
      </c>
      <c r="AS18" s="35">
        <v>0</v>
      </c>
      <c r="AT18" s="35">
        <v>3</v>
      </c>
      <c r="AU18" s="31" t="str">
        <f t="shared" si="3"/>
        <v>库存为3</v>
      </c>
      <c r="AV18" s="36" t="str">
        <f>IFERROR(时间!$B$4+AU18,"上周无销量")</f>
        <v>上周无销量</v>
      </c>
    </row>
    <row r="19" spans="1:48">
      <c r="A19" s="20" t="s">
        <v>89</v>
      </c>
      <c r="B19" t="s">
        <v>90</v>
      </c>
      <c r="C19" t="s">
        <v>82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3</v>
      </c>
      <c r="AK19">
        <v>0</v>
      </c>
      <c r="AL19">
        <v>0</v>
      </c>
      <c r="AM19">
        <v>0</v>
      </c>
      <c r="AN19" s="22">
        <v>0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3</v>
      </c>
      <c r="AU19" s="31" t="str">
        <f t="shared" si="3"/>
        <v>库存为3</v>
      </c>
      <c r="AV19" s="36" t="str">
        <f>IFERROR(时间!$B$4+AU19,"上周无销量")</f>
        <v>上周无销量</v>
      </c>
    </row>
    <row r="20" spans="1:48">
      <c r="A20" s="20" t="s">
        <v>91</v>
      </c>
      <c r="B20" t="s">
        <v>92</v>
      </c>
      <c r="C20" t="s">
        <v>82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0</v>
      </c>
      <c r="AK20">
        <v>0</v>
      </c>
      <c r="AL20">
        <v>0</v>
      </c>
      <c r="AM20">
        <v>0</v>
      </c>
      <c r="AN20" s="22" t="s">
        <v>53</v>
      </c>
      <c r="AO20" s="22" t="s">
        <v>53</v>
      </c>
      <c r="AP20" s="22" t="s">
        <v>53</v>
      </c>
      <c r="AQ20" s="22" t="s">
        <v>53</v>
      </c>
      <c r="AR20" s="35">
        <v>0</v>
      </c>
      <c r="AS20" s="35">
        <v>0</v>
      </c>
      <c r="AT20" s="35">
        <v>0</v>
      </c>
      <c r="AU20" s="31" t="str">
        <f t="shared" si="3"/>
        <v>库存为0</v>
      </c>
      <c r="AV20" s="36" t="str">
        <f>IFERROR(时间!$B$4+AU20,"上周无销量")</f>
        <v>上周无销量</v>
      </c>
    </row>
    <row r="21" spans="1:48">
      <c r="A21" s="20" t="s">
        <v>93</v>
      </c>
      <c r="B21" t="s">
        <v>94</v>
      </c>
      <c r="C21" t="s">
        <v>95</v>
      </c>
      <c r="D21" s="31">
        <v>1</v>
      </c>
      <c r="E21" s="31">
        <v>0</v>
      </c>
      <c r="F21" s="31">
        <v>0</v>
      </c>
      <c r="G21" s="31">
        <v>0</v>
      </c>
      <c r="H21" s="32">
        <v>9.99</v>
      </c>
      <c r="I21">
        <v>8</v>
      </c>
      <c r="J21" s="33">
        <v>0</v>
      </c>
      <c r="K21" s="33">
        <v>0</v>
      </c>
      <c r="L21" s="33">
        <v>0</v>
      </c>
      <c r="M21">
        <v>8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3</v>
      </c>
      <c r="AK21">
        <v>4</v>
      </c>
      <c r="AL21">
        <v>4</v>
      </c>
      <c r="AM21">
        <v>6</v>
      </c>
      <c r="AN21" s="22">
        <v>0.333333333333333</v>
      </c>
      <c r="AO21" s="22">
        <v>0</v>
      </c>
      <c r="AP21" s="22">
        <v>0</v>
      </c>
      <c r="AQ21" s="22">
        <v>0</v>
      </c>
      <c r="AR21" s="35">
        <v>0.142857142857143</v>
      </c>
      <c r="AS21" s="35">
        <v>8.57142857142857</v>
      </c>
      <c r="AT21" s="35">
        <v>-0.571428571428571</v>
      </c>
      <c r="AU21" s="31">
        <f t="shared" si="3"/>
        <v>56</v>
      </c>
      <c r="AV21" s="36">
        <f>IFERROR(时间!$B$4+AU21,"上周无销量")</f>
        <v>43339</v>
      </c>
    </row>
    <row r="22" spans="1:48">
      <c r="A22" s="20" t="s">
        <v>96</v>
      </c>
      <c r="B22" t="s">
        <v>97</v>
      </c>
      <c r="C22" t="s">
        <v>95</v>
      </c>
      <c r="D22" s="31">
        <v>0</v>
      </c>
      <c r="E22" s="31">
        <v>0</v>
      </c>
      <c r="F22" s="31">
        <v>4</v>
      </c>
      <c r="G22" s="31">
        <v>0</v>
      </c>
      <c r="H22" s="32">
        <v>9.24</v>
      </c>
      <c r="I22">
        <v>16</v>
      </c>
      <c r="J22" s="33">
        <v>0</v>
      </c>
      <c r="K22" s="33">
        <v>0</v>
      </c>
      <c r="L22" s="33">
        <v>0</v>
      </c>
      <c r="M22">
        <v>16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2</v>
      </c>
      <c r="AK22">
        <v>4</v>
      </c>
      <c r="AL22">
        <v>2</v>
      </c>
      <c r="AM22">
        <v>1</v>
      </c>
      <c r="AN22" s="22">
        <v>0</v>
      </c>
      <c r="AO22" s="22">
        <v>0</v>
      </c>
      <c r="AP22" s="22">
        <v>2</v>
      </c>
      <c r="AQ22" s="22">
        <v>0</v>
      </c>
      <c r="AR22" s="35">
        <v>0</v>
      </c>
      <c r="AS22" s="35">
        <v>0</v>
      </c>
      <c r="AT22" s="35">
        <v>16</v>
      </c>
      <c r="AU22" s="31" t="str">
        <f t="shared" si="3"/>
        <v>库存为16</v>
      </c>
      <c r="AV22" s="36" t="str">
        <f>IFERROR(时间!$B$4+AU22,"上周无销量")</f>
        <v>上周无销量</v>
      </c>
    </row>
    <row r="23" spans="1:48">
      <c r="A23" s="20" t="s">
        <v>98</v>
      </c>
      <c r="B23" t="s">
        <v>99</v>
      </c>
      <c r="C23" t="s">
        <v>95</v>
      </c>
      <c r="D23" s="31">
        <v>1</v>
      </c>
      <c r="E23" s="31">
        <v>1</v>
      </c>
      <c r="F23" s="31">
        <v>0</v>
      </c>
      <c r="G23" s="31">
        <v>0</v>
      </c>
      <c r="H23" s="32">
        <v>9.99</v>
      </c>
      <c r="I23">
        <v>8</v>
      </c>
      <c r="J23" s="33">
        <v>0</v>
      </c>
      <c r="K23" s="33">
        <v>0</v>
      </c>
      <c r="L23" s="33">
        <v>0</v>
      </c>
      <c r="M23">
        <v>8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2</v>
      </c>
      <c r="AK23">
        <v>6</v>
      </c>
      <c r="AL23">
        <v>0</v>
      </c>
      <c r="AM23">
        <v>0</v>
      </c>
      <c r="AN23" s="22">
        <v>0.5</v>
      </c>
      <c r="AO23" s="22">
        <v>0.166666666666667</v>
      </c>
      <c r="AP23" s="22" t="s">
        <v>53</v>
      </c>
      <c r="AQ23" s="22" t="s">
        <v>53</v>
      </c>
      <c r="AR23" s="35">
        <v>0.142857142857143</v>
      </c>
      <c r="AS23" s="35">
        <v>8.57142857142857</v>
      </c>
      <c r="AT23" s="35">
        <v>-0.571428571428571</v>
      </c>
      <c r="AU23" s="31">
        <f t="shared" si="3"/>
        <v>56</v>
      </c>
      <c r="AV23" s="36">
        <f>IFERROR(时间!$B$4+AU23,"上周无销量")</f>
        <v>43339</v>
      </c>
    </row>
    <row r="24" spans="1:48">
      <c r="A24" s="20" t="s">
        <v>100</v>
      </c>
      <c r="B24" t="s">
        <v>101</v>
      </c>
      <c r="C24" t="s">
        <v>95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10</v>
      </c>
      <c r="J24" s="33">
        <v>0</v>
      </c>
      <c r="K24" s="33">
        <v>0</v>
      </c>
      <c r="L24" s="33">
        <v>0</v>
      </c>
      <c r="M24">
        <v>10</v>
      </c>
      <c r="N24">
        <v>0</v>
      </c>
      <c r="O24">
        <v>0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2</v>
      </c>
      <c r="AK24">
        <v>2</v>
      </c>
      <c r="AL24">
        <v>1</v>
      </c>
      <c r="AM24">
        <v>3</v>
      </c>
      <c r="AN24" s="22">
        <v>0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10</v>
      </c>
      <c r="AU24" s="31" t="str">
        <f t="shared" si="3"/>
        <v>库存为10</v>
      </c>
      <c r="AV24" s="36" t="str">
        <f>IFERROR(时间!$B$4+AU24,"上周无销量")</f>
        <v>上周无销量</v>
      </c>
    </row>
    <row r="25" spans="1:48">
      <c r="A25" s="20" t="s">
        <v>102</v>
      </c>
      <c r="B25" t="s">
        <v>103</v>
      </c>
      <c r="C25" t="s">
        <v>95</v>
      </c>
      <c r="D25" s="31">
        <v>1</v>
      </c>
      <c r="E25" s="31">
        <v>0</v>
      </c>
      <c r="F25" s="31">
        <v>0</v>
      </c>
      <c r="G25" s="31">
        <v>0</v>
      </c>
      <c r="H25" s="32">
        <v>9.77</v>
      </c>
      <c r="I25">
        <v>4</v>
      </c>
      <c r="J25" s="33">
        <v>0</v>
      </c>
      <c r="K25" s="33">
        <v>0</v>
      </c>
      <c r="L25" s="33">
        <v>0</v>
      </c>
      <c r="M25">
        <v>4</v>
      </c>
      <c r="N25">
        <v>0</v>
      </c>
      <c r="O25">
        <v>2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2</v>
      </c>
      <c r="AK25">
        <v>2</v>
      </c>
      <c r="AL25">
        <v>0</v>
      </c>
      <c r="AM25">
        <v>1</v>
      </c>
      <c r="AN25" s="22">
        <v>0.5</v>
      </c>
      <c r="AO25" s="22">
        <v>0</v>
      </c>
      <c r="AP25" s="22" t="s">
        <v>53</v>
      </c>
      <c r="AQ25" s="22">
        <v>0</v>
      </c>
      <c r="AR25" s="35">
        <v>0.142857142857143</v>
      </c>
      <c r="AS25" s="35">
        <v>8.57142857142857</v>
      </c>
      <c r="AT25" s="35">
        <v>-4.57142857142857</v>
      </c>
      <c r="AU25" s="31">
        <f t="shared" si="3"/>
        <v>28</v>
      </c>
      <c r="AV25" s="36">
        <f>IFERROR(时间!$B$4+AU25,"上周无销量")</f>
        <v>43311</v>
      </c>
    </row>
    <row r="26" spans="1:48">
      <c r="A26" s="20" t="s">
        <v>104</v>
      </c>
      <c r="B26" t="s">
        <v>105</v>
      </c>
      <c r="C26" t="s">
        <v>106</v>
      </c>
      <c r="D26" s="31">
        <v>0</v>
      </c>
      <c r="E26" s="31">
        <v>0</v>
      </c>
      <c r="F26" s="31">
        <v>0</v>
      </c>
      <c r="G26" s="31">
        <v>2</v>
      </c>
      <c r="H26" s="32">
        <v>9.99</v>
      </c>
      <c r="I26">
        <v>15</v>
      </c>
      <c r="J26" s="33">
        <v>0</v>
      </c>
      <c r="K26" s="33">
        <v>0</v>
      </c>
      <c r="L26" s="33">
        <v>0</v>
      </c>
      <c r="M26">
        <v>15</v>
      </c>
      <c r="N26">
        <v>0</v>
      </c>
      <c r="O26">
        <v>0</v>
      </c>
      <c r="P26">
        <v>0</v>
      </c>
      <c r="Q26">
        <v>0</v>
      </c>
      <c r="R26">
        <v>0</v>
      </c>
      <c r="S26">
        <v>588</v>
      </c>
      <c r="T26">
        <v>0</v>
      </c>
      <c r="U26">
        <v>0</v>
      </c>
      <c r="V26">
        <v>0</v>
      </c>
      <c r="W26">
        <v>8</v>
      </c>
      <c r="X26" s="22" t="s">
        <v>53</v>
      </c>
      <c r="Y26" s="22" t="s">
        <v>53</v>
      </c>
      <c r="Z26" s="22" t="s">
        <v>53</v>
      </c>
      <c r="AA26" s="22">
        <v>0.0136054421768707</v>
      </c>
      <c r="AB26">
        <v>0</v>
      </c>
      <c r="AC26">
        <v>0</v>
      </c>
      <c r="AD26">
        <v>0</v>
      </c>
      <c r="AE26">
        <v>4.33</v>
      </c>
      <c r="AF26" s="22" t="s">
        <v>53</v>
      </c>
      <c r="AG26" s="22" t="s">
        <v>53</v>
      </c>
      <c r="AH26" s="22" t="s">
        <v>53</v>
      </c>
      <c r="AI26" s="22">
        <v>0.216716716716717</v>
      </c>
      <c r="AJ26">
        <v>10</v>
      </c>
      <c r="AK26">
        <v>20</v>
      </c>
      <c r="AL26">
        <v>11</v>
      </c>
      <c r="AM26">
        <v>22</v>
      </c>
      <c r="AN26" s="22">
        <v>0</v>
      </c>
      <c r="AO26" s="22">
        <v>0</v>
      </c>
      <c r="AP26" s="22">
        <v>0</v>
      </c>
      <c r="AQ26" s="22">
        <v>0.0909090909090909</v>
      </c>
      <c r="AR26" s="35">
        <v>0</v>
      </c>
      <c r="AS26" s="35">
        <v>0</v>
      </c>
      <c r="AT26" s="35">
        <v>15</v>
      </c>
      <c r="AU26" s="31" t="str">
        <f t="shared" si="3"/>
        <v>库存为15</v>
      </c>
      <c r="AV26" s="36" t="str">
        <f>IFERROR(时间!$B$4+AU26,"上周无销量")</f>
        <v>上周无销量</v>
      </c>
    </row>
    <row r="27" spans="1:48">
      <c r="A27" s="20" t="s">
        <v>107</v>
      </c>
      <c r="B27" t="s">
        <v>108</v>
      </c>
      <c r="C27" t="s">
        <v>106</v>
      </c>
      <c r="D27" s="31">
        <v>3</v>
      </c>
      <c r="E27" s="31">
        <v>0</v>
      </c>
      <c r="F27" s="31">
        <v>0</v>
      </c>
      <c r="G27" s="31">
        <v>0</v>
      </c>
      <c r="H27" s="32">
        <v>9.99</v>
      </c>
      <c r="I27">
        <v>7</v>
      </c>
      <c r="J27" s="33">
        <v>0</v>
      </c>
      <c r="K27" s="33">
        <v>0</v>
      </c>
      <c r="L27" s="33">
        <v>0</v>
      </c>
      <c r="M27">
        <v>7</v>
      </c>
      <c r="N27">
        <v>0</v>
      </c>
      <c r="O27">
        <v>0</v>
      </c>
      <c r="P27">
        <v>0</v>
      </c>
      <c r="Q27">
        <v>0</v>
      </c>
      <c r="R27">
        <v>0</v>
      </c>
      <c r="S27">
        <v>531</v>
      </c>
      <c r="T27">
        <v>0</v>
      </c>
      <c r="U27">
        <v>0</v>
      </c>
      <c r="V27">
        <v>0</v>
      </c>
      <c r="W27">
        <v>4</v>
      </c>
      <c r="X27" s="22" t="s">
        <v>53</v>
      </c>
      <c r="Y27" s="22" t="s">
        <v>53</v>
      </c>
      <c r="Z27" s="22" t="s">
        <v>53</v>
      </c>
      <c r="AA27" s="22">
        <v>0.00753295668549906</v>
      </c>
      <c r="AB27">
        <v>0</v>
      </c>
      <c r="AC27">
        <v>0</v>
      </c>
      <c r="AD27">
        <v>0</v>
      </c>
      <c r="AE27">
        <v>2.62</v>
      </c>
      <c r="AF27" s="22" t="s">
        <v>53</v>
      </c>
      <c r="AG27" s="22" t="s">
        <v>53</v>
      </c>
      <c r="AH27" s="22" t="s">
        <v>53</v>
      </c>
      <c r="AI27" s="22" t="s">
        <v>109</v>
      </c>
      <c r="AJ27">
        <v>9</v>
      </c>
      <c r="AK27">
        <v>5</v>
      </c>
      <c r="AL27">
        <v>0</v>
      </c>
      <c r="AM27">
        <v>0</v>
      </c>
      <c r="AN27" s="22">
        <v>0.333333333333333</v>
      </c>
      <c r="AO27" s="22">
        <v>0</v>
      </c>
      <c r="AP27" s="22" t="s">
        <v>53</v>
      </c>
      <c r="AQ27" s="22" t="s">
        <v>53</v>
      </c>
      <c r="AR27" s="35">
        <v>0.428571428571429</v>
      </c>
      <c r="AS27" s="35">
        <v>25.7142857142857</v>
      </c>
      <c r="AT27" s="35">
        <v>-18.7142857142857</v>
      </c>
      <c r="AU27" s="31">
        <f t="shared" si="3"/>
        <v>16</v>
      </c>
      <c r="AV27" s="36">
        <f>IFERROR(时间!$B$4+AU27,"上周无销量")</f>
        <v>43299</v>
      </c>
    </row>
    <row r="28" spans="1:48">
      <c r="A28" s="20" t="s">
        <v>110</v>
      </c>
      <c r="B28" t="s">
        <v>111</v>
      </c>
      <c r="C28" t="s">
        <v>106</v>
      </c>
      <c r="D28" s="31">
        <v>0</v>
      </c>
      <c r="E28" s="31">
        <v>2</v>
      </c>
      <c r="F28" s="31">
        <v>1</v>
      </c>
      <c r="G28" s="31">
        <v>1</v>
      </c>
      <c r="H28" s="32">
        <v>9.99</v>
      </c>
      <c r="I28">
        <v>14</v>
      </c>
      <c r="J28" s="33">
        <v>0</v>
      </c>
      <c r="K28" s="33">
        <v>0</v>
      </c>
      <c r="L28" s="33">
        <v>0</v>
      </c>
      <c r="M28">
        <v>14</v>
      </c>
      <c r="N28">
        <v>0</v>
      </c>
      <c r="O28">
        <v>0</v>
      </c>
      <c r="P28">
        <v>0</v>
      </c>
      <c r="Q28">
        <v>0</v>
      </c>
      <c r="R28">
        <v>0</v>
      </c>
      <c r="S28">
        <v>1287</v>
      </c>
      <c r="T28">
        <v>0</v>
      </c>
      <c r="U28">
        <v>0</v>
      </c>
      <c r="V28">
        <v>0</v>
      </c>
      <c r="W28">
        <v>3</v>
      </c>
      <c r="X28" s="22" t="s">
        <v>53</v>
      </c>
      <c r="Y28" s="22" t="s">
        <v>53</v>
      </c>
      <c r="Z28" s="22" t="s">
        <v>53</v>
      </c>
      <c r="AA28" s="22">
        <v>0.00233100233100233</v>
      </c>
      <c r="AB28">
        <v>0</v>
      </c>
      <c r="AC28">
        <v>0</v>
      </c>
      <c r="AD28">
        <v>0</v>
      </c>
      <c r="AE28">
        <v>2.13</v>
      </c>
      <c r="AF28" s="22" t="s">
        <v>53</v>
      </c>
      <c r="AG28" s="22" t="s">
        <v>53</v>
      </c>
      <c r="AH28" s="22" t="s">
        <v>53</v>
      </c>
      <c r="AI28" s="22">
        <v>0.213213213213213</v>
      </c>
      <c r="AJ28">
        <v>3</v>
      </c>
      <c r="AK28">
        <v>2</v>
      </c>
      <c r="AL28">
        <v>3</v>
      </c>
      <c r="AM28">
        <v>14</v>
      </c>
      <c r="AN28" s="22">
        <v>0</v>
      </c>
      <c r="AO28" s="22">
        <v>1</v>
      </c>
      <c r="AP28" s="22">
        <v>0.333333333333333</v>
      </c>
      <c r="AQ28" s="22">
        <v>0.0714285714285714</v>
      </c>
      <c r="AR28" s="35">
        <v>0</v>
      </c>
      <c r="AS28" s="35">
        <v>0</v>
      </c>
      <c r="AT28" s="35">
        <v>14</v>
      </c>
      <c r="AU28" s="31" t="str">
        <f t="shared" si="3"/>
        <v>库存为14</v>
      </c>
      <c r="AV28" s="36" t="str">
        <f>IFERROR(时间!$B$4+AU28,"上周无销量")</f>
        <v>上周无销量</v>
      </c>
    </row>
    <row r="29" spans="1:48">
      <c r="A29" s="20" t="s">
        <v>112</v>
      </c>
      <c r="B29" t="s">
        <v>113</v>
      </c>
      <c r="C29" t="s">
        <v>106</v>
      </c>
      <c r="D29" s="31">
        <v>0</v>
      </c>
      <c r="E29" s="31">
        <v>0</v>
      </c>
      <c r="F29" s="31">
        <v>2</v>
      </c>
      <c r="G29" s="31">
        <v>0</v>
      </c>
      <c r="H29" s="32">
        <v>9.99</v>
      </c>
      <c r="I29">
        <v>13</v>
      </c>
      <c r="J29" s="33">
        <v>0</v>
      </c>
      <c r="K29" s="33">
        <v>0</v>
      </c>
      <c r="L29" s="33">
        <v>0</v>
      </c>
      <c r="M29">
        <v>13</v>
      </c>
      <c r="N29">
        <v>0</v>
      </c>
      <c r="O29">
        <v>0</v>
      </c>
      <c r="P29">
        <v>0</v>
      </c>
      <c r="Q29">
        <v>0</v>
      </c>
      <c r="R29">
        <v>0</v>
      </c>
      <c r="S29">
        <v>382</v>
      </c>
      <c r="T29">
        <v>0</v>
      </c>
      <c r="U29">
        <v>0</v>
      </c>
      <c r="V29">
        <v>0</v>
      </c>
      <c r="W29">
        <v>0</v>
      </c>
      <c r="X29" s="22" t="s">
        <v>53</v>
      </c>
      <c r="Y29" s="22" t="s">
        <v>53</v>
      </c>
      <c r="Z29" s="22" t="s">
        <v>53</v>
      </c>
      <c r="AA29" s="22">
        <v>0</v>
      </c>
      <c r="AB29">
        <v>0</v>
      </c>
      <c r="AC29">
        <v>0</v>
      </c>
      <c r="AD29">
        <v>0</v>
      </c>
      <c r="AE29">
        <v>0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6</v>
      </c>
      <c r="AK29">
        <v>15</v>
      </c>
      <c r="AL29">
        <v>11</v>
      </c>
      <c r="AM29">
        <v>8</v>
      </c>
      <c r="AN29" s="22">
        <v>0</v>
      </c>
      <c r="AO29" s="22">
        <v>0</v>
      </c>
      <c r="AP29" s="22">
        <v>0.181818181818182</v>
      </c>
      <c r="AQ29" s="22">
        <v>0</v>
      </c>
      <c r="AR29" s="35">
        <v>0</v>
      </c>
      <c r="AS29" s="35">
        <v>0</v>
      </c>
      <c r="AT29" s="35">
        <v>13</v>
      </c>
      <c r="AU29" s="31" t="str">
        <f t="shared" si="3"/>
        <v>库存为13</v>
      </c>
      <c r="AV29" s="36" t="str">
        <f>IFERROR(时间!$B$4+AU29,"上周无销量")</f>
        <v>上周无销量</v>
      </c>
    </row>
    <row r="30" spans="1:48">
      <c r="A30" s="20" t="s">
        <v>114</v>
      </c>
      <c r="B30" t="s">
        <v>115</v>
      </c>
      <c r="C30" t="s">
        <v>106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19</v>
      </c>
      <c r="J30" s="33">
        <v>0</v>
      </c>
      <c r="K30" s="33">
        <v>0</v>
      </c>
      <c r="L30" s="33">
        <v>0</v>
      </c>
      <c r="M30">
        <v>19</v>
      </c>
      <c r="N30">
        <v>0</v>
      </c>
      <c r="O30">
        <v>0</v>
      </c>
      <c r="P30">
        <v>0</v>
      </c>
      <c r="Q30">
        <v>0</v>
      </c>
      <c r="R30">
        <v>0</v>
      </c>
      <c r="S30">
        <v>456</v>
      </c>
      <c r="T30">
        <v>0</v>
      </c>
      <c r="U30">
        <v>0</v>
      </c>
      <c r="V30">
        <v>0</v>
      </c>
      <c r="W30">
        <v>2</v>
      </c>
      <c r="X30" s="22" t="s">
        <v>53</v>
      </c>
      <c r="Y30" s="22" t="s">
        <v>53</v>
      </c>
      <c r="Z30" s="22" t="s">
        <v>53</v>
      </c>
      <c r="AA30" s="22">
        <v>0.0043859649122807</v>
      </c>
      <c r="AB30">
        <v>0</v>
      </c>
      <c r="AC30">
        <v>0</v>
      </c>
      <c r="AD30">
        <v>0</v>
      </c>
      <c r="AE30">
        <v>1.5</v>
      </c>
      <c r="AF30" s="22" t="s">
        <v>53</v>
      </c>
      <c r="AG30" s="22" t="s">
        <v>53</v>
      </c>
      <c r="AH30" s="22" t="s">
        <v>53</v>
      </c>
      <c r="AI30" s="22" t="s">
        <v>116</v>
      </c>
      <c r="AJ30">
        <v>6</v>
      </c>
      <c r="AK30">
        <v>6</v>
      </c>
      <c r="AL30">
        <v>3</v>
      </c>
      <c r="AM30">
        <v>7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19</v>
      </c>
      <c r="AU30" s="31" t="str">
        <f t="shared" si="3"/>
        <v>库存为19</v>
      </c>
      <c r="AV30" s="36" t="str">
        <f>IFERROR(时间!$B$4+AU30,"上周无销量")</f>
        <v>上周无销量</v>
      </c>
    </row>
    <row r="31" spans="1:48">
      <c r="A31" s="20" t="s">
        <v>117</v>
      </c>
      <c r="B31" t="s">
        <v>118</v>
      </c>
      <c r="C31" t="s">
        <v>106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16</v>
      </c>
      <c r="J31" s="33">
        <v>0</v>
      </c>
      <c r="K31" s="33">
        <v>0</v>
      </c>
      <c r="L31" s="33">
        <v>0</v>
      </c>
      <c r="M31">
        <v>16</v>
      </c>
      <c r="N31">
        <v>0</v>
      </c>
      <c r="O31">
        <v>0</v>
      </c>
      <c r="P31">
        <v>0</v>
      </c>
      <c r="Q31">
        <v>0</v>
      </c>
      <c r="R31">
        <v>0</v>
      </c>
      <c r="S31">
        <v>312</v>
      </c>
      <c r="T31">
        <v>0</v>
      </c>
      <c r="U31">
        <v>0</v>
      </c>
      <c r="V31">
        <v>0</v>
      </c>
      <c r="W31">
        <v>5</v>
      </c>
      <c r="X31" s="22" t="s">
        <v>53</v>
      </c>
      <c r="Y31" s="22" t="s">
        <v>53</v>
      </c>
      <c r="Z31" s="22" t="s">
        <v>53</v>
      </c>
      <c r="AA31" s="22">
        <v>0.016025641025641</v>
      </c>
      <c r="AB31">
        <v>0</v>
      </c>
      <c r="AC31">
        <v>0</v>
      </c>
      <c r="AD31">
        <v>0</v>
      </c>
      <c r="AE31">
        <v>2.83</v>
      </c>
      <c r="AF31" s="22" t="s">
        <v>53</v>
      </c>
      <c r="AG31" s="22" t="s">
        <v>53</v>
      </c>
      <c r="AH31" s="22" t="s">
        <v>53</v>
      </c>
      <c r="AI31" s="22" t="s">
        <v>119</v>
      </c>
      <c r="AJ31">
        <v>6</v>
      </c>
      <c r="AK31">
        <v>2</v>
      </c>
      <c r="AL31">
        <v>1</v>
      </c>
      <c r="AM31">
        <v>6</v>
      </c>
      <c r="AN31" s="22">
        <v>0</v>
      </c>
      <c r="AO31" s="22">
        <v>0</v>
      </c>
      <c r="AP31" s="22">
        <v>0</v>
      </c>
      <c r="AQ31" s="22">
        <v>0</v>
      </c>
      <c r="AR31" s="35">
        <v>0</v>
      </c>
      <c r="AS31" s="35">
        <v>0</v>
      </c>
      <c r="AT31" s="35">
        <v>16</v>
      </c>
      <c r="AU31" s="31" t="str">
        <f t="shared" si="3"/>
        <v>库存为16</v>
      </c>
      <c r="AV31" s="36" t="str">
        <f>IFERROR(时间!$B$4+AU31,"上周无销量")</f>
        <v>上周无销量</v>
      </c>
    </row>
    <row r="32" spans="1:48">
      <c r="A32" s="20" t="s">
        <v>120</v>
      </c>
      <c r="B32" t="s">
        <v>121</v>
      </c>
      <c r="C32" t="s">
        <v>122</v>
      </c>
      <c r="D32" s="31">
        <v>1</v>
      </c>
      <c r="E32" s="31">
        <v>2</v>
      </c>
      <c r="F32" s="31">
        <v>2</v>
      </c>
      <c r="G32" s="31">
        <v>0</v>
      </c>
      <c r="H32" s="32">
        <v>8.99</v>
      </c>
      <c r="I32">
        <v>11</v>
      </c>
      <c r="J32" s="33">
        <v>0</v>
      </c>
      <c r="K32" s="33">
        <v>0</v>
      </c>
      <c r="L32" s="33">
        <v>0</v>
      </c>
      <c r="M32">
        <v>11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14</v>
      </c>
      <c r="AK32">
        <v>12</v>
      </c>
      <c r="AL32">
        <v>4</v>
      </c>
      <c r="AM32">
        <v>6</v>
      </c>
      <c r="AN32" s="22">
        <v>0.0714285714285714</v>
      </c>
      <c r="AO32" s="22">
        <v>0.166666666666667</v>
      </c>
      <c r="AP32" s="22">
        <v>0.5</v>
      </c>
      <c r="AQ32" s="22">
        <v>0</v>
      </c>
      <c r="AR32" s="35">
        <v>0.142857142857143</v>
      </c>
      <c r="AS32" s="35">
        <v>8.57142857142857</v>
      </c>
      <c r="AT32" s="35">
        <v>2.42857142857143</v>
      </c>
      <c r="AU32" s="31">
        <f t="shared" si="3"/>
        <v>77</v>
      </c>
      <c r="AV32" s="36">
        <f>IFERROR(时间!$B$4+AU32,"上周无销量")</f>
        <v>43360</v>
      </c>
    </row>
    <row r="33" spans="1:48">
      <c r="A33" s="20" t="s">
        <v>123</v>
      </c>
      <c r="B33" t="s">
        <v>124</v>
      </c>
      <c r="C33" t="s">
        <v>125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0</v>
      </c>
      <c r="AU33" s="31" t="str">
        <f t="shared" si="3"/>
        <v>库存为0</v>
      </c>
      <c r="AV33" s="36" t="str">
        <f>IFERROR(时间!$B$4+AU33,"上周无销量")</f>
        <v>上周无销量</v>
      </c>
    </row>
    <row r="34" spans="1:48">
      <c r="A34" s="20" t="s">
        <v>126</v>
      </c>
      <c r="B34" t="s">
        <v>127</v>
      </c>
      <c r="C34" t="s">
        <v>125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</v>
      </c>
      <c r="J34" s="33">
        <v>0</v>
      </c>
      <c r="K34" s="33">
        <v>0</v>
      </c>
      <c r="L34" s="33">
        <v>0</v>
      </c>
      <c r="M34">
        <v>2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0</v>
      </c>
      <c r="AK34">
        <v>0</v>
      </c>
      <c r="AL34">
        <v>0</v>
      </c>
      <c r="AM34">
        <v>0</v>
      </c>
      <c r="AN34" s="22" t="s">
        <v>53</v>
      </c>
      <c r="AO34" s="22" t="s">
        <v>53</v>
      </c>
      <c r="AP34" s="22" t="s">
        <v>53</v>
      </c>
      <c r="AQ34" s="22" t="s">
        <v>53</v>
      </c>
      <c r="AR34" s="35">
        <v>0</v>
      </c>
      <c r="AS34" s="35">
        <v>0</v>
      </c>
      <c r="AT34" s="35">
        <v>2</v>
      </c>
      <c r="AU34" s="31" t="str">
        <f t="shared" si="3"/>
        <v>库存为2</v>
      </c>
      <c r="AV34" s="36" t="str">
        <f>IFERROR(时间!$B$4+AU34,"上周无销量")</f>
        <v>上周无销量</v>
      </c>
    </row>
    <row r="35" spans="1:48">
      <c r="A35" s="20" t="s">
        <v>128</v>
      </c>
      <c r="B35" t="s">
        <v>129</v>
      </c>
      <c r="C35" t="s">
        <v>130</v>
      </c>
      <c r="D35" s="31">
        <v>0</v>
      </c>
      <c r="E35" s="31">
        <v>0</v>
      </c>
      <c r="F35" s="31">
        <v>2</v>
      </c>
      <c r="G35" s="31">
        <v>2</v>
      </c>
      <c r="H35" s="32">
        <v>9.99</v>
      </c>
      <c r="I35">
        <v>21</v>
      </c>
      <c r="J35" s="33">
        <v>0</v>
      </c>
      <c r="K35" s="33">
        <v>0</v>
      </c>
      <c r="L35" s="33">
        <v>0</v>
      </c>
      <c r="M35">
        <v>21</v>
      </c>
      <c r="N35">
        <v>0</v>
      </c>
      <c r="O35">
        <v>0</v>
      </c>
      <c r="P35">
        <v>0</v>
      </c>
      <c r="Q35">
        <v>0</v>
      </c>
      <c r="R35">
        <v>0</v>
      </c>
      <c r="S35">
        <v>1011</v>
      </c>
      <c r="T35">
        <v>0</v>
      </c>
      <c r="U35">
        <v>0</v>
      </c>
      <c r="V35">
        <v>0</v>
      </c>
      <c r="W35">
        <v>5</v>
      </c>
      <c r="X35" s="22" t="s">
        <v>53</v>
      </c>
      <c r="Y35" s="22" t="s">
        <v>53</v>
      </c>
      <c r="Z35" s="22" t="s">
        <v>53</v>
      </c>
      <c r="AA35" s="22">
        <v>0.00494559841740851</v>
      </c>
      <c r="AB35">
        <v>0</v>
      </c>
      <c r="AC35">
        <v>0</v>
      </c>
      <c r="AD35">
        <v>0</v>
      </c>
      <c r="AE35">
        <v>3.22</v>
      </c>
      <c r="AF35" s="22" t="s">
        <v>53</v>
      </c>
      <c r="AG35" s="22" t="s">
        <v>53</v>
      </c>
      <c r="AH35" s="22" t="s">
        <v>53</v>
      </c>
      <c r="AI35" s="22">
        <v>0.161161161161161</v>
      </c>
      <c r="AJ35">
        <v>1</v>
      </c>
      <c r="AK35">
        <v>4</v>
      </c>
      <c r="AL35">
        <v>7</v>
      </c>
      <c r="AM35">
        <v>12</v>
      </c>
      <c r="AN35" s="22">
        <v>0</v>
      </c>
      <c r="AO35" s="22">
        <v>0</v>
      </c>
      <c r="AP35" s="22">
        <v>0.285714285714286</v>
      </c>
      <c r="AQ35" s="22">
        <v>0.166666666666667</v>
      </c>
      <c r="AR35" s="35">
        <v>0</v>
      </c>
      <c r="AS35" s="35">
        <v>0</v>
      </c>
      <c r="AT35" s="35">
        <v>21</v>
      </c>
      <c r="AU35" s="31" t="str">
        <f t="shared" si="3"/>
        <v>库存为21</v>
      </c>
      <c r="AV35" s="36" t="str">
        <f>IFERROR(时间!$B$4+AU35,"上周无销量")</f>
        <v>上周无销量</v>
      </c>
    </row>
    <row r="36" spans="1:48">
      <c r="A36" s="20" t="s">
        <v>131</v>
      </c>
      <c r="B36" t="s">
        <v>132</v>
      </c>
      <c r="C36" t="s">
        <v>130</v>
      </c>
      <c r="D36" s="31">
        <v>0</v>
      </c>
      <c r="E36" s="31">
        <v>0</v>
      </c>
      <c r="F36" s="31">
        <v>1</v>
      </c>
      <c r="G36" s="31">
        <v>0</v>
      </c>
      <c r="H36" s="32">
        <v>8.99</v>
      </c>
      <c r="I36">
        <v>24</v>
      </c>
      <c r="J36" s="33">
        <v>0</v>
      </c>
      <c r="K36" s="33">
        <v>0</v>
      </c>
      <c r="L36" s="33">
        <v>0</v>
      </c>
      <c r="M36">
        <v>24</v>
      </c>
      <c r="N36">
        <v>0</v>
      </c>
      <c r="O36">
        <v>0</v>
      </c>
      <c r="P36">
        <v>0</v>
      </c>
      <c r="Q36">
        <v>0</v>
      </c>
      <c r="R36">
        <v>0</v>
      </c>
      <c r="S36">
        <v>1255</v>
      </c>
      <c r="T36">
        <v>0</v>
      </c>
      <c r="U36">
        <v>0</v>
      </c>
      <c r="V36">
        <v>0</v>
      </c>
      <c r="W36">
        <v>5</v>
      </c>
      <c r="X36" s="22" t="s">
        <v>53</v>
      </c>
      <c r="Y36" s="22" t="s">
        <v>53</v>
      </c>
      <c r="Z36" s="22" t="s">
        <v>53</v>
      </c>
      <c r="AA36" s="22">
        <v>0.00398406374501992</v>
      </c>
      <c r="AB36">
        <v>0</v>
      </c>
      <c r="AC36">
        <v>0</v>
      </c>
      <c r="AD36">
        <v>0</v>
      </c>
      <c r="AE36">
        <v>3.53</v>
      </c>
      <c r="AF36" s="22" t="s">
        <v>53</v>
      </c>
      <c r="AG36" s="22" t="s">
        <v>53</v>
      </c>
      <c r="AH36" s="22" t="s">
        <v>53</v>
      </c>
      <c r="AI36" s="22" t="s">
        <v>133</v>
      </c>
      <c r="AJ36">
        <v>5</v>
      </c>
      <c r="AK36">
        <v>3</v>
      </c>
      <c r="AL36">
        <v>11</v>
      </c>
      <c r="AM36">
        <v>15</v>
      </c>
      <c r="AN36" s="22">
        <v>0</v>
      </c>
      <c r="AO36" s="22">
        <v>0</v>
      </c>
      <c r="AP36" s="22">
        <v>0.0909090909090909</v>
      </c>
      <c r="AQ36" s="22">
        <v>0</v>
      </c>
      <c r="AR36" s="35">
        <v>0</v>
      </c>
      <c r="AS36" s="35">
        <v>0</v>
      </c>
      <c r="AT36" s="35">
        <v>24</v>
      </c>
      <c r="AU36" s="31" t="str">
        <f t="shared" si="3"/>
        <v>库存为24</v>
      </c>
      <c r="AV36" s="36" t="str">
        <f>IFERROR(时间!$B$4+AU36,"上周无销量")</f>
        <v>上周无销量</v>
      </c>
    </row>
    <row r="37" spans="1:48">
      <c r="A37" s="20" t="s">
        <v>134</v>
      </c>
      <c r="B37" t="s">
        <v>135</v>
      </c>
      <c r="C37" t="s">
        <v>130</v>
      </c>
      <c r="D37" s="31">
        <v>0</v>
      </c>
      <c r="E37" s="31">
        <v>0</v>
      </c>
      <c r="F37" s="31">
        <v>1</v>
      </c>
      <c r="G37" s="31">
        <v>1</v>
      </c>
      <c r="H37" s="32">
        <v>9.99</v>
      </c>
      <c r="I37">
        <v>26</v>
      </c>
      <c r="J37" s="33">
        <v>0</v>
      </c>
      <c r="K37" s="33">
        <v>0</v>
      </c>
      <c r="L37" s="33">
        <v>0</v>
      </c>
      <c r="M37">
        <v>26</v>
      </c>
      <c r="N37">
        <v>0</v>
      </c>
      <c r="O37">
        <v>0</v>
      </c>
      <c r="P37">
        <v>0</v>
      </c>
      <c r="Q37">
        <v>0</v>
      </c>
      <c r="R37">
        <v>0</v>
      </c>
      <c r="S37">
        <v>1068</v>
      </c>
      <c r="T37">
        <v>0</v>
      </c>
      <c r="U37">
        <v>0</v>
      </c>
      <c r="V37">
        <v>0</v>
      </c>
      <c r="W37">
        <v>5</v>
      </c>
      <c r="X37" s="22" t="s">
        <v>53</v>
      </c>
      <c r="Y37" s="22" t="s">
        <v>53</v>
      </c>
      <c r="Z37" s="22" t="s">
        <v>53</v>
      </c>
      <c r="AA37" s="22">
        <v>0.00468164794007491</v>
      </c>
      <c r="AB37">
        <v>0</v>
      </c>
      <c r="AC37">
        <v>0</v>
      </c>
      <c r="AD37">
        <v>0</v>
      </c>
      <c r="AE37">
        <v>2.75</v>
      </c>
      <c r="AF37" s="22" t="s">
        <v>53</v>
      </c>
      <c r="AG37" s="22" t="s">
        <v>53</v>
      </c>
      <c r="AH37" s="22" t="s">
        <v>53</v>
      </c>
      <c r="AI37" s="22">
        <v>0.275275275275275</v>
      </c>
      <c r="AJ37">
        <v>12</v>
      </c>
      <c r="AK37">
        <v>7</v>
      </c>
      <c r="AL37">
        <v>5</v>
      </c>
      <c r="AM37">
        <v>10</v>
      </c>
      <c r="AN37" s="22">
        <v>0</v>
      </c>
      <c r="AO37" s="22">
        <v>0</v>
      </c>
      <c r="AP37" s="22">
        <v>0.2</v>
      </c>
      <c r="AQ37" s="22">
        <v>0.1</v>
      </c>
      <c r="AR37" s="35">
        <v>0</v>
      </c>
      <c r="AS37" s="35">
        <v>0</v>
      </c>
      <c r="AT37" s="35">
        <v>26</v>
      </c>
      <c r="AU37" s="31" t="str">
        <f t="shared" si="3"/>
        <v>库存为26</v>
      </c>
      <c r="AV37" s="36" t="str">
        <f>IFERROR(时间!$B$4+AU37,"上周无销量")</f>
        <v>上周无销量</v>
      </c>
    </row>
    <row r="38" spans="1:48">
      <c r="A38" s="20" t="s">
        <v>136</v>
      </c>
      <c r="B38" t="s">
        <v>137</v>
      </c>
      <c r="C38" t="s">
        <v>130</v>
      </c>
      <c r="D38" s="31">
        <v>3</v>
      </c>
      <c r="E38" s="31">
        <v>0</v>
      </c>
      <c r="F38" s="31">
        <v>3</v>
      </c>
      <c r="G38" s="31">
        <v>3</v>
      </c>
      <c r="H38" s="32">
        <v>10.4344444444444</v>
      </c>
      <c r="I38">
        <v>20</v>
      </c>
      <c r="J38" s="33">
        <v>0</v>
      </c>
      <c r="K38" s="33">
        <v>0</v>
      </c>
      <c r="L38" s="33">
        <v>0</v>
      </c>
      <c r="M38">
        <v>20</v>
      </c>
      <c r="N38">
        <v>1</v>
      </c>
      <c r="O38">
        <v>0</v>
      </c>
      <c r="P38">
        <v>0</v>
      </c>
      <c r="Q38">
        <v>0</v>
      </c>
      <c r="R38">
        <v>0</v>
      </c>
      <c r="S38">
        <v>4081</v>
      </c>
      <c r="T38">
        <v>0</v>
      </c>
      <c r="U38">
        <v>0</v>
      </c>
      <c r="V38">
        <v>0</v>
      </c>
      <c r="W38">
        <v>67</v>
      </c>
      <c r="X38" s="22" t="s">
        <v>53</v>
      </c>
      <c r="Y38" s="22" t="s">
        <v>53</v>
      </c>
      <c r="Z38" s="22" t="s">
        <v>53</v>
      </c>
      <c r="AA38" s="22">
        <v>0.0164175447194315</v>
      </c>
      <c r="AB38">
        <v>0</v>
      </c>
      <c r="AC38">
        <v>0</v>
      </c>
      <c r="AD38">
        <v>0</v>
      </c>
      <c r="AE38">
        <v>46.32</v>
      </c>
      <c r="AF38" s="22" t="s">
        <v>53</v>
      </c>
      <c r="AG38" s="22" t="s">
        <v>53</v>
      </c>
      <c r="AH38" s="22" t="s">
        <v>53</v>
      </c>
      <c r="AI38" s="22">
        <v>1.47971462038122</v>
      </c>
      <c r="AJ38">
        <v>13</v>
      </c>
      <c r="AK38">
        <v>44</v>
      </c>
      <c r="AL38">
        <v>36</v>
      </c>
      <c r="AM38">
        <v>54</v>
      </c>
      <c r="AN38" s="22">
        <v>0.230769230769231</v>
      </c>
      <c r="AO38" s="22">
        <v>0</v>
      </c>
      <c r="AP38" s="22">
        <v>0.0833333333333333</v>
      </c>
      <c r="AQ38" s="22">
        <v>0.0555555555555556</v>
      </c>
      <c r="AR38" s="35">
        <v>0.428571428571429</v>
      </c>
      <c r="AS38" s="35">
        <v>25.7142857142857</v>
      </c>
      <c r="AT38" s="35">
        <v>-5.71428571428571</v>
      </c>
      <c r="AU38" s="31">
        <f t="shared" si="3"/>
        <v>46</v>
      </c>
      <c r="AV38" s="36">
        <f>IFERROR(时间!$B$4+AU38,"上周无销量")</f>
        <v>43329</v>
      </c>
    </row>
    <row r="39" spans="1:48">
      <c r="A39" s="20" t="s">
        <v>138</v>
      </c>
      <c r="B39" t="s">
        <v>139</v>
      </c>
      <c r="C39" t="s">
        <v>140</v>
      </c>
      <c r="D39" s="31">
        <v>0</v>
      </c>
      <c r="E39" s="31">
        <v>0</v>
      </c>
      <c r="F39" s="31">
        <v>0</v>
      </c>
      <c r="G39" s="31">
        <v>1</v>
      </c>
      <c r="H39" s="32">
        <v>30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256</v>
      </c>
      <c r="S39">
        <v>0</v>
      </c>
      <c r="T39">
        <v>0</v>
      </c>
      <c r="U39">
        <v>0</v>
      </c>
      <c r="V39">
        <v>5</v>
      </c>
      <c r="W39">
        <v>0</v>
      </c>
      <c r="X39" s="22" t="s">
        <v>53</v>
      </c>
      <c r="Y39" s="22" t="s">
        <v>53</v>
      </c>
      <c r="Z39" s="22">
        <v>0.01953125</v>
      </c>
      <c r="AA39" s="22" t="s">
        <v>53</v>
      </c>
      <c r="AB39">
        <v>0</v>
      </c>
      <c r="AC39">
        <v>0</v>
      </c>
      <c r="AD39">
        <v>1.84</v>
      </c>
      <c r="AE39">
        <v>0</v>
      </c>
      <c r="AF39" s="22" t="s">
        <v>53</v>
      </c>
      <c r="AG39" s="22" t="s">
        <v>53</v>
      </c>
      <c r="AH39" s="22" t="s">
        <v>141</v>
      </c>
      <c r="AI39" s="22" t="s">
        <v>53</v>
      </c>
      <c r="AJ39">
        <v>0</v>
      </c>
      <c r="AK39">
        <v>0</v>
      </c>
      <c r="AL39">
        <v>0</v>
      </c>
      <c r="AM39">
        <v>27</v>
      </c>
      <c r="AN39" s="22" t="s">
        <v>53</v>
      </c>
      <c r="AO39" s="22" t="s">
        <v>53</v>
      </c>
      <c r="AP39" s="22" t="s">
        <v>53</v>
      </c>
      <c r="AQ39" s="22">
        <v>0.037037037037037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142</v>
      </c>
      <c r="B40" t="s">
        <v>143</v>
      </c>
      <c r="C40" t="s">
        <v>140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144</v>
      </c>
      <c r="B41" t="s">
        <v>145</v>
      </c>
      <c r="C41" t="s">
        <v>140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0</v>
      </c>
      <c r="AN41" s="22" t="s">
        <v>53</v>
      </c>
      <c r="AO41" s="22" t="s">
        <v>53</v>
      </c>
      <c r="AP41" s="22" t="s">
        <v>53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146</v>
      </c>
      <c r="B42" t="s">
        <v>147</v>
      </c>
      <c r="C42" t="s">
        <v>140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148</v>
      </c>
      <c r="B43" t="s">
        <v>149</v>
      </c>
      <c r="C43" t="s">
        <v>140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150</v>
      </c>
      <c r="B44" t="s">
        <v>151</v>
      </c>
      <c r="C44" t="s">
        <v>140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152</v>
      </c>
      <c r="B45" t="s">
        <v>153</v>
      </c>
      <c r="C45" t="s">
        <v>154</v>
      </c>
      <c r="D45" s="31">
        <v>3</v>
      </c>
      <c r="E45" s="31">
        <v>0</v>
      </c>
      <c r="F45" s="31">
        <v>1</v>
      </c>
      <c r="G45" s="31">
        <v>1</v>
      </c>
      <c r="H45" s="32">
        <v>11.99</v>
      </c>
      <c r="I45">
        <v>3</v>
      </c>
      <c r="J45" s="33">
        <v>0</v>
      </c>
      <c r="K45" s="33">
        <v>0</v>
      </c>
      <c r="L45" s="33">
        <v>0</v>
      </c>
      <c r="M45">
        <v>3</v>
      </c>
      <c r="N45">
        <v>0</v>
      </c>
      <c r="O45">
        <v>0</v>
      </c>
      <c r="P45">
        <v>0</v>
      </c>
      <c r="Q45">
        <v>0</v>
      </c>
      <c r="R45">
        <v>0</v>
      </c>
      <c r="S45">
        <v>116</v>
      </c>
      <c r="T45">
        <v>0</v>
      </c>
      <c r="U45">
        <v>0</v>
      </c>
      <c r="V45">
        <v>0</v>
      </c>
      <c r="W45">
        <v>1</v>
      </c>
      <c r="X45" s="22" t="s">
        <v>53</v>
      </c>
      <c r="Y45" s="22" t="s">
        <v>53</v>
      </c>
      <c r="Z45" s="22" t="s">
        <v>53</v>
      </c>
      <c r="AA45" s="22">
        <v>0.00862068965517241</v>
      </c>
      <c r="AB45">
        <v>0</v>
      </c>
      <c r="AC45">
        <v>0</v>
      </c>
      <c r="AD45">
        <v>0</v>
      </c>
      <c r="AE45">
        <v>0.35</v>
      </c>
      <c r="AF45" s="22" t="s">
        <v>53</v>
      </c>
      <c r="AG45" s="22" t="s">
        <v>53</v>
      </c>
      <c r="AH45" s="22" t="s">
        <v>53</v>
      </c>
      <c r="AI45" s="22">
        <v>0.0291909924937448</v>
      </c>
      <c r="AJ45">
        <v>9</v>
      </c>
      <c r="AK45">
        <v>5</v>
      </c>
      <c r="AL45">
        <v>11</v>
      </c>
      <c r="AM45">
        <v>6</v>
      </c>
      <c r="AN45" s="22">
        <v>0.333333333333333</v>
      </c>
      <c r="AO45" s="22">
        <v>0</v>
      </c>
      <c r="AP45" s="22">
        <v>0.0909090909090909</v>
      </c>
      <c r="AQ45" s="22">
        <v>0.166666666666667</v>
      </c>
      <c r="AR45" s="35">
        <v>0.428571428571429</v>
      </c>
      <c r="AS45" s="35">
        <v>25.7142857142857</v>
      </c>
      <c r="AT45" s="35">
        <v>-22.7142857142857</v>
      </c>
      <c r="AU45" s="31">
        <f t="shared" si="3"/>
        <v>7</v>
      </c>
      <c r="AV45" s="36">
        <f>IFERROR(时间!$B$4+AU45,"上周无销量")</f>
        <v>43290</v>
      </c>
    </row>
    <row r="46" spans="1:48">
      <c r="A46" s="20" t="s">
        <v>155</v>
      </c>
      <c r="B46" t="s">
        <v>156</v>
      </c>
      <c r="C46" t="s">
        <v>154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12</v>
      </c>
      <c r="J46" s="33">
        <v>0</v>
      </c>
      <c r="K46" s="33">
        <v>0</v>
      </c>
      <c r="L46" s="33">
        <v>0</v>
      </c>
      <c r="M46">
        <v>12</v>
      </c>
      <c r="N46">
        <v>0</v>
      </c>
      <c r="O46">
        <v>2</v>
      </c>
      <c r="P46">
        <v>0</v>
      </c>
      <c r="Q46">
        <v>0</v>
      </c>
      <c r="R46">
        <v>0</v>
      </c>
      <c r="S46">
        <v>310</v>
      </c>
      <c r="T46">
        <v>0</v>
      </c>
      <c r="U46">
        <v>0</v>
      </c>
      <c r="V46">
        <v>0</v>
      </c>
      <c r="W46">
        <v>0</v>
      </c>
      <c r="X46" s="22" t="s">
        <v>53</v>
      </c>
      <c r="Y46" s="22" t="s">
        <v>53</v>
      </c>
      <c r="Z46" s="22" t="s">
        <v>53</v>
      </c>
      <c r="AA46" s="22">
        <v>0</v>
      </c>
      <c r="AB46">
        <v>0</v>
      </c>
      <c r="AC46">
        <v>0</v>
      </c>
      <c r="AD46">
        <v>0</v>
      </c>
      <c r="AE46">
        <v>0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4</v>
      </c>
      <c r="AK46">
        <v>2</v>
      </c>
      <c r="AL46">
        <v>1</v>
      </c>
      <c r="AM46">
        <v>0</v>
      </c>
      <c r="AN46" s="22">
        <v>0</v>
      </c>
      <c r="AO46" s="22">
        <v>0</v>
      </c>
      <c r="AP46" s="22">
        <v>0</v>
      </c>
      <c r="AQ46" s="22" t="s">
        <v>53</v>
      </c>
      <c r="AR46" s="35">
        <v>0</v>
      </c>
      <c r="AS46" s="35">
        <v>0</v>
      </c>
      <c r="AT46" s="35">
        <v>12</v>
      </c>
      <c r="AU46" s="31" t="str">
        <f t="shared" si="3"/>
        <v>库存为12</v>
      </c>
      <c r="AV46" s="36" t="str">
        <f>IFERROR(时间!$B$4+AU46,"上周无销量")</f>
        <v>上周无销量</v>
      </c>
    </row>
    <row r="47" spans="1:48">
      <c r="A47" s="20" t="s">
        <v>157</v>
      </c>
      <c r="B47" t="s">
        <v>158</v>
      </c>
      <c r="C47" t="s">
        <v>154</v>
      </c>
      <c r="D47" s="31">
        <v>0</v>
      </c>
      <c r="E47" s="31">
        <v>1</v>
      </c>
      <c r="F47" s="31">
        <v>0</v>
      </c>
      <c r="G47" s="31">
        <v>0</v>
      </c>
      <c r="H47" s="32">
        <v>10.84</v>
      </c>
      <c r="I47">
        <v>11</v>
      </c>
      <c r="J47" s="33">
        <v>0</v>
      </c>
      <c r="K47" s="33">
        <v>0</v>
      </c>
      <c r="L47" s="33">
        <v>0</v>
      </c>
      <c r="M47">
        <v>11</v>
      </c>
      <c r="N47">
        <v>0</v>
      </c>
      <c r="O47">
        <v>1</v>
      </c>
      <c r="P47">
        <v>0</v>
      </c>
      <c r="Q47">
        <v>0</v>
      </c>
      <c r="R47">
        <v>0</v>
      </c>
      <c r="S47">
        <v>200</v>
      </c>
      <c r="T47">
        <v>0</v>
      </c>
      <c r="U47">
        <v>0</v>
      </c>
      <c r="V47">
        <v>0</v>
      </c>
      <c r="W47">
        <v>1</v>
      </c>
      <c r="X47" s="22" t="s">
        <v>53</v>
      </c>
      <c r="Y47" s="22" t="s">
        <v>53</v>
      </c>
      <c r="Z47" s="22" t="s">
        <v>53</v>
      </c>
      <c r="AA47" s="22">
        <v>0.005</v>
      </c>
      <c r="AB47">
        <v>0</v>
      </c>
      <c r="AC47">
        <v>0</v>
      </c>
      <c r="AD47">
        <v>0</v>
      </c>
      <c r="AE47">
        <v>0.38</v>
      </c>
      <c r="AF47" s="22" t="s">
        <v>53</v>
      </c>
      <c r="AG47" s="22" t="s">
        <v>53</v>
      </c>
      <c r="AH47" s="22" t="s">
        <v>53</v>
      </c>
      <c r="AI47" s="22" t="s">
        <v>159</v>
      </c>
      <c r="AJ47">
        <v>3</v>
      </c>
      <c r="AK47">
        <v>3</v>
      </c>
      <c r="AL47">
        <v>1</v>
      </c>
      <c r="AM47">
        <v>1</v>
      </c>
      <c r="AN47" s="22">
        <v>0</v>
      </c>
      <c r="AO47" s="22">
        <v>0.333333333333333</v>
      </c>
      <c r="AP47" s="22">
        <v>0</v>
      </c>
      <c r="AQ47" s="22">
        <v>0</v>
      </c>
      <c r="AR47" s="35">
        <v>0</v>
      </c>
      <c r="AS47" s="35">
        <v>0</v>
      </c>
      <c r="AT47" s="35">
        <v>11</v>
      </c>
      <c r="AU47" s="31" t="str">
        <f t="shared" si="3"/>
        <v>库存为11</v>
      </c>
      <c r="AV47" s="36" t="str">
        <f>IFERROR(时间!$B$4+AU47,"上周无销量")</f>
        <v>上周无销量</v>
      </c>
    </row>
    <row r="48" spans="1:48">
      <c r="A48" s="20" t="s">
        <v>160</v>
      </c>
      <c r="B48" t="s">
        <v>161</v>
      </c>
      <c r="C48" t="s">
        <v>154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13</v>
      </c>
      <c r="J48" s="33">
        <v>0</v>
      </c>
      <c r="K48" s="33">
        <v>0</v>
      </c>
      <c r="L48" s="33">
        <v>0</v>
      </c>
      <c r="M48">
        <v>13</v>
      </c>
      <c r="N48">
        <v>0</v>
      </c>
      <c r="O48">
        <v>13</v>
      </c>
      <c r="P48">
        <v>0</v>
      </c>
      <c r="Q48">
        <v>0</v>
      </c>
      <c r="R48">
        <v>0</v>
      </c>
      <c r="S48">
        <v>135</v>
      </c>
      <c r="T48">
        <v>0</v>
      </c>
      <c r="U48">
        <v>0</v>
      </c>
      <c r="V48">
        <v>0</v>
      </c>
      <c r="W48">
        <v>2</v>
      </c>
      <c r="X48" s="22" t="s">
        <v>53</v>
      </c>
      <c r="Y48" s="22" t="s">
        <v>53</v>
      </c>
      <c r="Z48" s="22" t="s">
        <v>53</v>
      </c>
      <c r="AA48" s="22">
        <v>0.0148148148148148</v>
      </c>
      <c r="AB48">
        <v>0</v>
      </c>
      <c r="AC48">
        <v>0</v>
      </c>
      <c r="AD48">
        <v>0</v>
      </c>
      <c r="AE48">
        <v>0.8</v>
      </c>
      <c r="AF48" s="22" t="s">
        <v>53</v>
      </c>
      <c r="AG48" s="22" t="s">
        <v>53</v>
      </c>
      <c r="AH48" s="22" t="s">
        <v>53</v>
      </c>
      <c r="AI48" s="22" t="s">
        <v>162</v>
      </c>
      <c r="AJ48">
        <v>4</v>
      </c>
      <c r="AK48">
        <v>3</v>
      </c>
      <c r="AL48">
        <v>4</v>
      </c>
      <c r="AM48">
        <v>1</v>
      </c>
      <c r="AN48" s="22">
        <v>0</v>
      </c>
      <c r="AO48" s="22">
        <v>0</v>
      </c>
      <c r="AP48" s="22">
        <v>0</v>
      </c>
      <c r="AQ48" s="22">
        <v>0</v>
      </c>
      <c r="AR48" s="35">
        <v>0</v>
      </c>
      <c r="AS48" s="35">
        <v>0</v>
      </c>
      <c r="AT48" s="35">
        <v>13</v>
      </c>
      <c r="AU48" s="31" t="str">
        <f t="shared" si="3"/>
        <v>库存为13</v>
      </c>
      <c r="AV48" s="36" t="str">
        <f>IFERROR(时间!$B$4+AU48,"上周无销量")</f>
        <v>上周无销量</v>
      </c>
    </row>
    <row r="49" spans="1:48">
      <c r="A49" s="20" t="s">
        <v>163</v>
      </c>
      <c r="B49" t="s">
        <v>164</v>
      </c>
      <c r="C49" t="s">
        <v>165</v>
      </c>
      <c r="D49" s="31">
        <v>0</v>
      </c>
      <c r="E49" s="31">
        <v>1</v>
      </c>
      <c r="F49" s="31">
        <v>0</v>
      </c>
      <c r="G49" s="31">
        <v>0</v>
      </c>
      <c r="H49" s="32">
        <v>9.99</v>
      </c>
      <c r="I49">
        <v>9</v>
      </c>
      <c r="J49" s="33">
        <v>0</v>
      </c>
      <c r="K49" s="33">
        <v>0</v>
      </c>
      <c r="L49" s="33">
        <v>0</v>
      </c>
      <c r="M49">
        <v>9</v>
      </c>
      <c r="N49">
        <v>0</v>
      </c>
      <c r="O49">
        <v>9</v>
      </c>
      <c r="P49">
        <v>0</v>
      </c>
      <c r="Q49">
        <v>0</v>
      </c>
      <c r="R49">
        <v>0</v>
      </c>
      <c r="S49">
        <v>227</v>
      </c>
      <c r="T49">
        <v>0</v>
      </c>
      <c r="U49">
        <v>0</v>
      </c>
      <c r="V49">
        <v>0</v>
      </c>
      <c r="W49">
        <v>0</v>
      </c>
      <c r="X49" s="22" t="s">
        <v>53</v>
      </c>
      <c r="Y49" s="22" t="s">
        <v>53</v>
      </c>
      <c r="Z49" s="22" t="s">
        <v>53</v>
      </c>
      <c r="AA49" s="22">
        <v>0</v>
      </c>
      <c r="AB49">
        <v>0</v>
      </c>
      <c r="AC49">
        <v>0</v>
      </c>
      <c r="AD49">
        <v>0</v>
      </c>
      <c r="AE49">
        <v>0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9</v>
      </c>
      <c r="AK49">
        <v>2</v>
      </c>
      <c r="AL49">
        <v>1</v>
      </c>
      <c r="AM49">
        <v>2</v>
      </c>
      <c r="AN49" s="22">
        <v>0</v>
      </c>
      <c r="AO49" s="22">
        <v>0.5</v>
      </c>
      <c r="AP49" s="22">
        <v>0</v>
      </c>
      <c r="AQ49" s="22">
        <v>0</v>
      </c>
      <c r="AR49" s="35">
        <v>0</v>
      </c>
      <c r="AS49" s="35">
        <v>0</v>
      </c>
      <c r="AT49" s="35">
        <v>9</v>
      </c>
      <c r="AU49" s="31" t="str">
        <f t="shared" si="3"/>
        <v>库存为9</v>
      </c>
      <c r="AV49" s="36" t="str">
        <f>IFERROR(时间!$B$4+AU49,"上周无销量")</f>
        <v>上周无销量</v>
      </c>
    </row>
    <row r="50" spans="1:48">
      <c r="A50" s="20" t="s">
        <v>166</v>
      </c>
      <c r="B50" t="s">
        <v>167</v>
      </c>
      <c r="C50" t="s">
        <v>165</v>
      </c>
      <c r="D50" s="31">
        <v>0</v>
      </c>
      <c r="E50" s="31">
        <v>0</v>
      </c>
      <c r="F50" s="31">
        <v>0</v>
      </c>
      <c r="G50" s="31">
        <v>1</v>
      </c>
      <c r="H50" s="32">
        <v>12.99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167</v>
      </c>
      <c r="T50">
        <v>0</v>
      </c>
      <c r="U50">
        <v>0</v>
      </c>
      <c r="V50">
        <v>0</v>
      </c>
      <c r="W50">
        <v>4</v>
      </c>
      <c r="X50" s="22" t="s">
        <v>53</v>
      </c>
      <c r="Y50" s="22" t="s">
        <v>53</v>
      </c>
      <c r="Z50" s="22" t="s">
        <v>53</v>
      </c>
      <c r="AA50" s="22">
        <v>0.0239520958083832</v>
      </c>
      <c r="AB50">
        <v>0</v>
      </c>
      <c r="AC50">
        <v>0</v>
      </c>
      <c r="AD50">
        <v>0</v>
      </c>
      <c r="AE50">
        <v>1.26</v>
      </c>
      <c r="AF50" s="22" t="s">
        <v>53</v>
      </c>
      <c r="AG50" s="22" t="s">
        <v>53</v>
      </c>
      <c r="AH50" s="22" t="s">
        <v>53</v>
      </c>
      <c r="AI50" s="22">
        <v>0.0969976905311778</v>
      </c>
      <c r="AJ50">
        <v>0</v>
      </c>
      <c r="AK50">
        <v>0</v>
      </c>
      <c r="AL50">
        <v>0</v>
      </c>
      <c r="AM50">
        <v>0</v>
      </c>
      <c r="AN50" s="22" t="s">
        <v>53</v>
      </c>
      <c r="AO50" s="22" t="s">
        <v>53</v>
      </c>
      <c r="AP50" s="22" t="s">
        <v>53</v>
      </c>
      <c r="AQ50" s="22" t="s">
        <v>53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168</v>
      </c>
      <c r="B51" t="s">
        <v>169</v>
      </c>
      <c r="C51" t="s">
        <v>165</v>
      </c>
      <c r="D51" s="31">
        <v>0</v>
      </c>
      <c r="E51" s="31">
        <v>1</v>
      </c>
      <c r="F51" s="31">
        <v>0</v>
      </c>
      <c r="G51" s="31">
        <v>1</v>
      </c>
      <c r="H51" s="32">
        <v>12.99</v>
      </c>
      <c r="I51">
        <v>4</v>
      </c>
      <c r="J51" s="33">
        <v>0</v>
      </c>
      <c r="K51" s="33">
        <v>0</v>
      </c>
      <c r="L51" s="33">
        <v>0</v>
      </c>
      <c r="M51">
        <v>4</v>
      </c>
      <c r="N51">
        <v>0</v>
      </c>
      <c r="O51">
        <v>0</v>
      </c>
      <c r="P51">
        <v>0</v>
      </c>
      <c r="Q51">
        <v>0</v>
      </c>
      <c r="R51">
        <v>0</v>
      </c>
      <c r="S51">
        <v>504</v>
      </c>
      <c r="T51">
        <v>0</v>
      </c>
      <c r="U51">
        <v>0</v>
      </c>
      <c r="V51">
        <v>0</v>
      </c>
      <c r="W51">
        <v>4</v>
      </c>
      <c r="X51" s="22" t="s">
        <v>53</v>
      </c>
      <c r="Y51" s="22" t="s">
        <v>53</v>
      </c>
      <c r="Z51" s="22" t="s">
        <v>53</v>
      </c>
      <c r="AA51" s="22">
        <v>0.00793650793650794</v>
      </c>
      <c r="AB51">
        <v>0</v>
      </c>
      <c r="AC51">
        <v>0</v>
      </c>
      <c r="AD51">
        <v>0</v>
      </c>
      <c r="AE51">
        <v>0.83</v>
      </c>
      <c r="AF51" s="22" t="s">
        <v>53</v>
      </c>
      <c r="AG51" s="22" t="s">
        <v>53</v>
      </c>
      <c r="AH51" s="22" t="s">
        <v>53</v>
      </c>
      <c r="AI51" s="22">
        <v>0.0638953040800616</v>
      </c>
      <c r="AJ51">
        <v>6</v>
      </c>
      <c r="AK51">
        <v>5</v>
      </c>
      <c r="AL51">
        <v>11</v>
      </c>
      <c r="AM51">
        <v>4</v>
      </c>
      <c r="AN51" s="22">
        <v>0</v>
      </c>
      <c r="AO51" s="22">
        <v>0.2</v>
      </c>
      <c r="AP51" s="22">
        <v>0</v>
      </c>
      <c r="AQ51" s="22">
        <v>0.25</v>
      </c>
      <c r="AR51" s="35">
        <v>0</v>
      </c>
      <c r="AS51" s="35">
        <v>0</v>
      </c>
      <c r="AT51" s="35">
        <v>4</v>
      </c>
      <c r="AU51" s="31" t="str">
        <f t="shared" si="3"/>
        <v>库存为4</v>
      </c>
      <c r="AV51" s="36" t="str">
        <f>IFERROR(时间!$B$4+AU51,"上周无销量")</f>
        <v>上周无销量</v>
      </c>
    </row>
    <row r="52" spans="1:48">
      <c r="A52" s="20" t="s">
        <v>170</v>
      </c>
      <c r="B52" t="s">
        <v>171</v>
      </c>
      <c r="C52" t="s">
        <v>165</v>
      </c>
      <c r="D52" s="31">
        <v>0</v>
      </c>
      <c r="E52" s="31">
        <v>0</v>
      </c>
      <c r="F52" s="31">
        <v>2</v>
      </c>
      <c r="G52" s="31">
        <v>0</v>
      </c>
      <c r="H52" s="32">
        <v>12.99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1</v>
      </c>
      <c r="O52">
        <v>0</v>
      </c>
      <c r="P52">
        <v>0</v>
      </c>
      <c r="Q52">
        <v>0</v>
      </c>
      <c r="R52">
        <v>0</v>
      </c>
      <c r="S52">
        <v>11</v>
      </c>
      <c r="T52">
        <v>0</v>
      </c>
      <c r="U52">
        <v>0</v>
      </c>
      <c r="V52">
        <v>0</v>
      </c>
      <c r="W52">
        <v>0</v>
      </c>
      <c r="X52" s="22" t="s">
        <v>53</v>
      </c>
      <c r="Y52" s="22" t="s">
        <v>53</v>
      </c>
      <c r="Z52" s="22" t="s">
        <v>53</v>
      </c>
      <c r="AA52" s="22">
        <v>0</v>
      </c>
      <c r="AB52">
        <v>0</v>
      </c>
      <c r="AC52">
        <v>0</v>
      </c>
      <c r="AD52">
        <v>0</v>
      </c>
      <c r="AE52">
        <v>0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0</v>
      </c>
      <c r="AM52">
        <v>6</v>
      </c>
      <c r="AN52" s="22" t="s">
        <v>53</v>
      </c>
      <c r="AO52" s="22" t="s">
        <v>53</v>
      </c>
      <c r="AP52" s="22" t="s">
        <v>53</v>
      </c>
      <c r="AQ52" s="22">
        <v>0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172</v>
      </c>
      <c r="B53" t="s">
        <v>173</v>
      </c>
      <c r="C53" t="s">
        <v>165</v>
      </c>
      <c r="D53" s="31">
        <v>0</v>
      </c>
      <c r="E53" s="31">
        <v>0</v>
      </c>
      <c r="F53" s="31">
        <v>1</v>
      </c>
      <c r="G53" s="31">
        <v>2</v>
      </c>
      <c r="H53" s="32">
        <v>12.4366666666667</v>
      </c>
      <c r="I53">
        <v>3</v>
      </c>
      <c r="J53" s="33">
        <v>0</v>
      </c>
      <c r="K53" s="33">
        <v>0</v>
      </c>
      <c r="L53" s="33">
        <v>0</v>
      </c>
      <c r="M53">
        <v>3</v>
      </c>
      <c r="N53">
        <v>0</v>
      </c>
      <c r="O53">
        <v>3</v>
      </c>
      <c r="P53">
        <v>0</v>
      </c>
      <c r="Q53">
        <v>0</v>
      </c>
      <c r="R53">
        <v>0</v>
      </c>
      <c r="S53">
        <v>1624</v>
      </c>
      <c r="T53">
        <v>0</v>
      </c>
      <c r="U53">
        <v>0</v>
      </c>
      <c r="V53">
        <v>0</v>
      </c>
      <c r="W53">
        <v>11</v>
      </c>
      <c r="X53" s="22" t="s">
        <v>53</v>
      </c>
      <c r="Y53" s="22" t="s">
        <v>53</v>
      </c>
      <c r="Z53" s="22" t="s">
        <v>53</v>
      </c>
      <c r="AA53" s="22">
        <v>0.00677339901477833</v>
      </c>
      <c r="AB53">
        <v>0</v>
      </c>
      <c r="AC53">
        <v>0</v>
      </c>
      <c r="AD53">
        <v>0</v>
      </c>
      <c r="AE53">
        <v>3.12</v>
      </c>
      <c r="AF53" s="22" t="s">
        <v>53</v>
      </c>
      <c r="AG53" s="22" t="s">
        <v>53</v>
      </c>
      <c r="AH53" s="22" t="s">
        <v>53</v>
      </c>
      <c r="AI53" s="22">
        <v>0.125435540069686</v>
      </c>
      <c r="AJ53">
        <v>7</v>
      </c>
      <c r="AK53">
        <v>13</v>
      </c>
      <c r="AL53">
        <v>7</v>
      </c>
      <c r="AM53">
        <v>6</v>
      </c>
      <c r="AN53" s="22">
        <v>0</v>
      </c>
      <c r="AO53" s="22">
        <v>0</v>
      </c>
      <c r="AP53" s="22">
        <v>0.142857142857143</v>
      </c>
      <c r="AQ53" s="22">
        <v>0.333333333333333</v>
      </c>
      <c r="AR53" s="35">
        <v>0</v>
      </c>
      <c r="AS53" s="35">
        <v>0</v>
      </c>
      <c r="AT53" s="35">
        <v>3</v>
      </c>
      <c r="AU53" s="31" t="str">
        <f t="shared" si="3"/>
        <v>库存为3</v>
      </c>
      <c r="AV53" s="36" t="str">
        <f>IFERROR(时间!$B$4+AU53,"上周无销量")</f>
        <v>上周无销量</v>
      </c>
    </row>
    <row r="54" spans="1:48">
      <c r="A54" s="20" t="s">
        <v>174</v>
      </c>
      <c r="B54" t="s">
        <v>175</v>
      </c>
      <c r="C54" t="s">
        <v>176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0</v>
      </c>
      <c r="AM54">
        <v>0</v>
      </c>
      <c r="AN54" s="22" t="s">
        <v>53</v>
      </c>
      <c r="AO54" s="22" t="s">
        <v>53</v>
      </c>
      <c r="AP54" s="22" t="s">
        <v>53</v>
      </c>
      <c r="AQ54" s="22" t="s">
        <v>53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177</v>
      </c>
      <c r="B55" t="s">
        <v>178</v>
      </c>
      <c r="C55" t="s">
        <v>179</v>
      </c>
      <c r="D55" s="31">
        <v>1</v>
      </c>
      <c r="E55" s="31">
        <v>0</v>
      </c>
      <c r="F55" s="31">
        <v>0</v>
      </c>
      <c r="G55" s="31">
        <v>0</v>
      </c>
      <c r="H55" s="32">
        <v>15.99</v>
      </c>
      <c r="I55">
        <v>11</v>
      </c>
      <c r="J55" s="33">
        <v>0</v>
      </c>
      <c r="K55" s="33">
        <v>0</v>
      </c>
      <c r="L55" s="33">
        <v>0</v>
      </c>
      <c r="M55">
        <v>11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10</v>
      </c>
      <c r="AK55">
        <v>9</v>
      </c>
      <c r="AL55">
        <v>1</v>
      </c>
      <c r="AM55">
        <v>1</v>
      </c>
      <c r="AN55" s="22">
        <v>0.1</v>
      </c>
      <c r="AO55" s="22">
        <v>0</v>
      </c>
      <c r="AP55" s="22">
        <v>0</v>
      </c>
      <c r="AQ55" s="22">
        <v>0</v>
      </c>
      <c r="AR55" s="35">
        <v>0.142857142857143</v>
      </c>
      <c r="AS55" s="35">
        <v>8.57142857142857</v>
      </c>
      <c r="AT55" s="35">
        <v>2.42857142857143</v>
      </c>
      <c r="AU55" s="31">
        <f t="shared" si="3"/>
        <v>77</v>
      </c>
      <c r="AV55" s="36">
        <f>IFERROR(时间!$B$4+AU55,"上周无销量")</f>
        <v>43360</v>
      </c>
    </row>
    <row r="56" spans="1:48">
      <c r="A56" s="20" t="s">
        <v>180</v>
      </c>
      <c r="B56" t="s">
        <v>181</v>
      </c>
      <c r="C56" t="s">
        <v>179</v>
      </c>
      <c r="D56" s="31">
        <v>0</v>
      </c>
      <c r="E56" s="31">
        <v>2</v>
      </c>
      <c r="F56" s="31">
        <v>0</v>
      </c>
      <c r="G56" s="31">
        <v>0</v>
      </c>
      <c r="H56" s="32">
        <v>15.99</v>
      </c>
      <c r="I56">
        <v>4</v>
      </c>
      <c r="J56" s="33">
        <v>0</v>
      </c>
      <c r="K56" s="33">
        <v>0</v>
      </c>
      <c r="L56" s="33">
        <v>0</v>
      </c>
      <c r="M56">
        <v>4</v>
      </c>
      <c r="N56">
        <v>0</v>
      </c>
      <c r="O56">
        <v>4</v>
      </c>
      <c r="P56">
        <v>0</v>
      </c>
      <c r="Q56">
        <v>0</v>
      </c>
      <c r="R56">
        <v>0</v>
      </c>
      <c r="S56">
        <v>5433</v>
      </c>
      <c r="T56">
        <v>0</v>
      </c>
      <c r="U56">
        <v>0</v>
      </c>
      <c r="V56">
        <v>0</v>
      </c>
      <c r="W56">
        <v>40</v>
      </c>
      <c r="X56" s="22" t="s">
        <v>53</v>
      </c>
      <c r="Y56" s="22" t="s">
        <v>53</v>
      </c>
      <c r="Z56" s="22" t="s">
        <v>53</v>
      </c>
      <c r="AA56" s="22">
        <v>0.00736241487207804</v>
      </c>
      <c r="AB56">
        <v>0</v>
      </c>
      <c r="AC56">
        <v>0</v>
      </c>
      <c r="AD56">
        <v>0</v>
      </c>
      <c r="AE56">
        <v>13.2</v>
      </c>
      <c r="AF56" s="22" t="s">
        <v>53</v>
      </c>
      <c r="AG56" s="22" t="s">
        <v>53</v>
      </c>
      <c r="AH56" s="22" t="s">
        <v>53</v>
      </c>
      <c r="AI56" s="22" t="s">
        <v>182</v>
      </c>
      <c r="AJ56">
        <v>13</v>
      </c>
      <c r="AK56">
        <v>10</v>
      </c>
      <c r="AL56">
        <v>6</v>
      </c>
      <c r="AM56">
        <v>13</v>
      </c>
      <c r="AN56" s="22">
        <v>0</v>
      </c>
      <c r="AO56" s="22">
        <v>0.2</v>
      </c>
      <c r="AP56" s="22">
        <v>0</v>
      </c>
      <c r="AQ56" s="22">
        <v>0</v>
      </c>
      <c r="AR56" s="35">
        <v>0</v>
      </c>
      <c r="AS56" s="35">
        <v>0</v>
      </c>
      <c r="AT56" s="35">
        <v>4</v>
      </c>
      <c r="AU56" s="31" t="str">
        <f t="shared" si="3"/>
        <v>库存为4</v>
      </c>
      <c r="AV56" s="36" t="str">
        <f>IFERROR(时间!$B$4+AU56,"上周无销量")</f>
        <v>上周无销量</v>
      </c>
    </row>
    <row r="57" spans="1:48">
      <c r="A57" s="20" t="s">
        <v>183</v>
      </c>
      <c r="B57" t="s">
        <v>184</v>
      </c>
      <c r="C57" t="s">
        <v>185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4</v>
      </c>
      <c r="J57" s="33">
        <v>0</v>
      </c>
      <c r="K57" s="33">
        <v>0</v>
      </c>
      <c r="L57" s="33">
        <v>0</v>
      </c>
      <c r="M57">
        <v>4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3</v>
      </c>
      <c r="AK57">
        <v>2</v>
      </c>
      <c r="AL57">
        <v>2</v>
      </c>
      <c r="AM57">
        <v>2</v>
      </c>
      <c r="AN57" s="22">
        <v>0</v>
      </c>
      <c r="AO57" s="22">
        <v>0</v>
      </c>
      <c r="AP57" s="22">
        <v>0</v>
      </c>
      <c r="AQ57" s="22">
        <v>0</v>
      </c>
      <c r="AR57" s="35">
        <v>0</v>
      </c>
      <c r="AS57" s="35">
        <v>0</v>
      </c>
      <c r="AT57" s="35">
        <v>4</v>
      </c>
      <c r="AU57" s="31" t="str">
        <f t="shared" si="3"/>
        <v>库存为4</v>
      </c>
      <c r="AV57" s="36" t="str">
        <f>IFERROR(时间!$B$4+AU57,"上周无销量")</f>
        <v>上周无销量</v>
      </c>
    </row>
    <row r="58" spans="1:48">
      <c r="A58" s="20" t="s">
        <v>186</v>
      </c>
      <c r="B58" t="s">
        <v>184</v>
      </c>
      <c r="C58" t="s">
        <v>185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4</v>
      </c>
      <c r="J58" s="33">
        <v>0</v>
      </c>
      <c r="K58" s="33">
        <v>0</v>
      </c>
      <c r="L58" s="33">
        <v>0</v>
      </c>
      <c r="M58">
        <v>4</v>
      </c>
      <c r="N58">
        <v>0</v>
      </c>
      <c r="O58">
        <v>4</v>
      </c>
      <c r="P58">
        <v>0</v>
      </c>
      <c r="Q58">
        <v>0</v>
      </c>
      <c r="R58">
        <v>0</v>
      </c>
      <c r="S58">
        <v>279</v>
      </c>
      <c r="T58">
        <v>0</v>
      </c>
      <c r="U58">
        <v>0</v>
      </c>
      <c r="V58">
        <v>0</v>
      </c>
      <c r="W58">
        <v>1</v>
      </c>
      <c r="X58" s="22" t="s">
        <v>53</v>
      </c>
      <c r="Y58" s="22" t="s">
        <v>53</v>
      </c>
      <c r="Z58" s="22" t="s">
        <v>53</v>
      </c>
      <c r="AA58" s="22">
        <v>0.003584229390681</v>
      </c>
      <c r="AB58">
        <v>0</v>
      </c>
      <c r="AC58">
        <v>0</v>
      </c>
      <c r="AD58">
        <v>0</v>
      </c>
      <c r="AE58">
        <v>0.36</v>
      </c>
      <c r="AF58" s="22" t="s">
        <v>53</v>
      </c>
      <c r="AG58" s="22" t="s">
        <v>53</v>
      </c>
      <c r="AH58" s="22" t="s">
        <v>53</v>
      </c>
      <c r="AI58" s="22" t="s">
        <v>187</v>
      </c>
      <c r="AJ58">
        <v>3</v>
      </c>
      <c r="AK58">
        <v>2</v>
      </c>
      <c r="AL58">
        <v>2</v>
      </c>
      <c r="AM58">
        <v>2</v>
      </c>
      <c r="AN58" s="22">
        <v>0</v>
      </c>
      <c r="AO58" s="22">
        <v>0</v>
      </c>
      <c r="AP58" s="22">
        <v>0</v>
      </c>
      <c r="AQ58" s="22">
        <v>0</v>
      </c>
      <c r="AR58" s="35">
        <v>0</v>
      </c>
      <c r="AS58" s="35">
        <v>0</v>
      </c>
      <c r="AT58" s="35">
        <v>4</v>
      </c>
      <c r="AU58" s="31" t="str">
        <f t="shared" si="3"/>
        <v>库存为4</v>
      </c>
      <c r="AV58" s="36" t="str">
        <f>IFERROR(时间!$B$4+AU58,"上周无销量")</f>
        <v>上周无销量</v>
      </c>
    </row>
    <row r="59" spans="1:48">
      <c r="A59" s="20" t="s">
        <v>188</v>
      </c>
      <c r="B59" t="s">
        <v>189</v>
      </c>
      <c r="C59" t="s">
        <v>185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3</v>
      </c>
      <c r="J59" s="33">
        <v>0</v>
      </c>
      <c r="K59" s="33">
        <v>0</v>
      </c>
      <c r="L59" s="33">
        <v>0</v>
      </c>
      <c r="M59">
        <v>3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5</v>
      </c>
      <c r="AK59">
        <v>5</v>
      </c>
      <c r="AL59">
        <v>2</v>
      </c>
      <c r="AM59">
        <v>3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3</v>
      </c>
      <c r="AU59" s="31" t="str">
        <f t="shared" si="3"/>
        <v>库存为3</v>
      </c>
      <c r="AV59" s="36" t="str">
        <f>IFERROR(时间!$B$4+AU59,"上周无销量")</f>
        <v>上周无销量</v>
      </c>
    </row>
    <row r="60" spans="1:48">
      <c r="A60" s="20" t="s">
        <v>190</v>
      </c>
      <c r="B60" t="s">
        <v>189</v>
      </c>
      <c r="C60" t="s">
        <v>185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3</v>
      </c>
      <c r="J60" s="33">
        <v>0</v>
      </c>
      <c r="K60" s="33">
        <v>0</v>
      </c>
      <c r="L60" s="33">
        <v>0</v>
      </c>
      <c r="M60">
        <v>3</v>
      </c>
      <c r="N60">
        <v>0</v>
      </c>
      <c r="O60">
        <v>3</v>
      </c>
      <c r="P60">
        <v>0</v>
      </c>
      <c r="Q60">
        <v>0</v>
      </c>
      <c r="R60">
        <v>0</v>
      </c>
      <c r="S60">
        <v>219</v>
      </c>
      <c r="T60">
        <v>0</v>
      </c>
      <c r="U60">
        <v>0</v>
      </c>
      <c r="V60">
        <v>0</v>
      </c>
      <c r="W60">
        <v>2</v>
      </c>
      <c r="X60" s="22" t="s">
        <v>53</v>
      </c>
      <c r="Y60" s="22" t="s">
        <v>53</v>
      </c>
      <c r="Z60" s="22" t="s">
        <v>53</v>
      </c>
      <c r="AA60" s="22">
        <v>0.0091324200913242</v>
      </c>
      <c r="AB60">
        <v>0</v>
      </c>
      <c r="AC60">
        <v>0</v>
      </c>
      <c r="AD60">
        <v>0</v>
      </c>
      <c r="AE60">
        <v>0.54</v>
      </c>
      <c r="AF60" s="22" t="s">
        <v>53</v>
      </c>
      <c r="AG60" s="22" t="s">
        <v>53</v>
      </c>
      <c r="AH60" s="22" t="s">
        <v>53</v>
      </c>
      <c r="AI60" s="22" t="s">
        <v>191</v>
      </c>
      <c r="AJ60">
        <v>5</v>
      </c>
      <c r="AK60">
        <v>5</v>
      </c>
      <c r="AL60">
        <v>2</v>
      </c>
      <c r="AM60">
        <v>3</v>
      </c>
      <c r="AN60" s="22">
        <v>0</v>
      </c>
      <c r="AO60" s="22">
        <v>0</v>
      </c>
      <c r="AP60" s="22">
        <v>0</v>
      </c>
      <c r="AQ60" s="22">
        <v>0</v>
      </c>
      <c r="AR60" s="35">
        <v>0</v>
      </c>
      <c r="AS60" s="35">
        <v>0</v>
      </c>
      <c r="AT60" s="35">
        <v>3</v>
      </c>
      <c r="AU60" s="31" t="str">
        <f t="shared" si="3"/>
        <v>库存为3</v>
      </c>
      <c r="AV60" s="36" t="str">
        <f>IFERROR(时间!$B$4+AU60,"上周无销量")</f>
        <v>上周无销量</v>
      </c>
    </row>
    <row r="61" spans="1:48">
      <c r="A61" s="20" t="s">
        <v>192</v>
      </c>
      <c r="B61" t="s">
        <v>193</v>
      </c>
      <c r="C61" t="s">
        <v>185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194</v>
      </c>
      <c r="B62" t="s">
        <v>193</v>
      </c>
      <c r="C62" t="s">
        <v>185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157</v>
      </c>
      <c r="T62">
        <v>0</v>
      </c>
      <c r="U62">
        <v>0</v>
      </c>
      <c r="V62">
        <v>0</v>
      </c>
      <c r="W62">
        <v>0</v>
      </c>
      <c r="X62" s="22" t="s">
        <v>53</v>
      </c>
      <c r="Y62" s="22" t="s">
        <v>53</v>
      </c>
      <c r="Z62" s="22" t="s">
        <v>53</v>
      </c>
      <c r="AA62" s="22">
        <v>0</v>
      </c>
      <c r="AB62">
        <v>0</v>
      </c>
      <c r="AC62">
        <v>0</v>
      </c>
      <c r="AD62">
        <v>0</v>
      </c>
      <c r="AE62">
        <v>0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195</v>
      </c>
      <c r="B63" t="s">
        <v>196</v>
      </c>
      <c r="C63" t="s">
        <v>197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14</v>
      </c>
      <c r="J63" s="33">
        <v>0</v>
      </c>
      <c r="K63" s="33">
        <v>0</v>
      </c>
      <c r="L63" s="33">
        <v>0</v>
      </c>
      <c r="M63">
        <v>14</v>
      </c>
      <c r="N63">
        <v>0</v>
      </c>
      <c r="O63">
        <v>14</v>
      </c>
      <c r="P63">
        <v>0</v>
      </c>
      <c r="Q63">
        <v>0</v>
      </c>
      <c r="R63">
        <v>416</v>
      </c>
      <c r="S63">
        <v>4179</v>
      </c>
      <c r="T63">
        <v>0</v>
      </c>
      <c r="U63">
        <v>0</v>
      </c>
      <c r="V63">
        <v>2</v>
      </c>
      <c r="W63">
        <v>11</v>
      </c>
      <c r="X63" s="22" t="s">
        <v>53</v>
      </c>
      <c r="Y63" s="22" t="s">
        <v>53</v>
      </c>
      <c r="Z63" s="22">
        <v>0.00480769230769231</v>
      </c>
      <c r="AA63" s="22">
        <v>0.00263220866235942</v>
      </c>
      <c r="AB63">
        <v>0</v>
      </c>
      <c r="AC63">
        <v>0</v>
      </c>
      <c r="AD63">
        <v>1.7</v>
      </c>
      <c r="AE63">
        <v>8.11</v>
      </c>
      <c r="AF63" s="22" t="s">
        <v>53</v>
      </c>
      <c r="AG63" s="22" t="s">
        <v>53</v>
      </c>
      <c r="AH63" s="22" t="s">
        <v>198</v>
      </c>
      <c r="AI63" s="22" t="s">
        <v>199</v>
      </c>
      <c r="AJ63">
        <v>3</v>
      </c>
      <c r="AK63">
        <v>4</v>
      </c>
      <c r="AL63">
        <v>4</v>
      </c>
      <c r="AM63">
        <v>2</v>
      </c>
      <c r="AN63" s="22">
        <v>0</v>
      </c>
      <c r="AO63" s="22">
        <v>0</v>
      </c>
      <c r="AP63" s="22">
        <v>0</v>
      </c>
      <c r="AQ63" s="22">
        <v>0</v>
      </c>
      <c r="AR63" s="35">
        <v>0</v>
      </c>
      <c r="AS63" s="35">
        <v>0</v>
      </c>
      <c r="AT63" s="35">
        <v>14</v>
      </c>
      <c r="AU63" s="31" t="str">
        <f t="shared" si="3"/>
        <v>库存为14</v>
      </c>
      <c r="AV63" s="36" t="str">
        <f>IFERROR(时间!$B$4+AU63,"上周无销量")</f>
        <v>上周无销量</v>
      </c>
    </row>
    <row r="64" spans="1:48">
      <c r="A64" s="20" t="s">
        <v>200</v>
      </c>
      <c r="B64" t="s">
        <v>201</v>
      </c>
      <c r="C64" t="s">
        <v>197</v>
      </c>
      <c r="D64" s="31">
        <v>0</v>
      </c>
      <c r="E64" s="31">
        <v>0</v>
      </c>
      <c r="F64" s="31">
        <v>0</v>
      </c>
      <c r="G64" s="31">
        <v>1</v>
      </c>
      <c r="H64" s="32">
        <v>35.94</v>
      </c>
      <c r="I64">
        <v>13</v>
      </c>
      <c r="J64" s="33">
        <v>0</v>
      </c>
      <c r="K64" s="33">
        <v>0</v>
      </c>
      <c r="L64" s="33">
        <v>0</v>
      </c>
      <c r="M64">
        <v>13</v>
      </c>
      <c r="N64">
        <v>0</v>
      </c>
      <c r="O64">
        <v>13</v>
      </c>
      <c r="P64">
        <v>0</v>
      </c>
      <c r="Q64">
        <v>0</v>
      </c>
      <c r="R64">
        <v>293</v>
      </c>
      <c r="S64">
        <v>2019</v>
      </c>
      <c r="T64">
        <v>0</v>
      </c>
      <c r="U64">
        <v>0</v>
      </c>
      <c r="V64">
        <v>2</v>
      </c>
      <c r="W64">
        <v>7</v>
      </c>
      <c r="X64" s="22" t="s">
        <v>53</v>
      </c>
      <c r="Y64" s="22" t="s">
        <v>53</v>
      </c>
      <c r="Z64" s="22">
        <v>0.0068259385665529</v>
      </c>
      <c r="AA64" s="22">
        <v>0.00346706290242694</v>
      </c>
      <c r="AB64">
        <v>0</v>
      </c>
      <c r="AC64">
        <v>0</v>
      </c>
      <c r="AD64">
        <v>1.35</v>
      </c>
      <c r="AE64">
        <v>4.19</v>
      </c>
      <c r="AF64" s="22" t="s">
        <v>53</v>
      </c>
      <c r="AG64" s="22" t="s">
        <v>53</v>
      </c>
      <c r="AH64" s="22" t="s">
        <v>202</v>
      </c>
      <c r="AI64" s="22">
        <v>0.116583194212577</v>
      </c>
      <c r="AJ64">
        <v>0</v>
      </c>
      <c r="AK64">
        <v>4</v>
      </c>
      <c r="AL64">
        <v>4</v>
      </c>
      <c r="AM64">
        <v>6</v>
      </c>
      <c r="AN64" s="22" t="s">
        <v>53</v>
      </c>
      <c r="AO64" s="22">
        <v>0</v>
      </c>
      <c r="AP64" s="22">
        <v>0</v>
      </c>
      <c r="AQ64" s="22">
        <v>0.166666666666667</v>
      </c>
      <c r="AR64" s="35">
        <v>0</v>
      </c>
      <c r="AS64" s="35">
        <v>0</v>
      </c>
      <c r="AT64" s="35">
        <v>13</v>
      </c>
      <c r="AU64" s="31" t="str">
        <f t="shared" si="3"/>
        <v>库存为13</v>
      </c>
      <c r="AV64" s="36" t="str">
        <f>IFERROR(时间!$B$4+AU64,"上周无销量")</f>
        <v>上周无销量</v>
      </c>
    </row>
    <row r="65" spans="1:48">
      <c r="A65" s="20" t="s">
        <v>203</v>
      </c>
      <c r="B65" t="s">
        <v>204</v>
      </c>
      <c r="C65" t="s">
        <v>205</v>
      </c>
      <c r="D65" s="31">
        <v>0</v>
      </c>
      <c r="E65" s="31">
        <v>0</v>
      </c>
      <c r="F65" s="31">
        <v>0</v>
      </c>
      <c r="G65" s="31">
        <v>4</v>
      </c>
      <c r="H65" s="32">
        <v>12.99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1364</v>
      </c>
      <c r="S65">
        <v>778</v>
      </c>
      <c r="T65">
        <v>0</v>
      </c>
      <c r="U65">
        <v>0</v>
      </c>
      <c r="V65">
        <v>20</v>
      </c>
      <c r="W65">
        <v>8</v>
      </c>
      <c r="X65" s="22" t="s">
        <v>53</v>
      </c>
      <c r="Y65" s="22" t="s">
        <v>53</v>
      </c>
      <c r="Z65" s="22">
        <v>0.0146627565982405</v>
      </c>
      <c r="AA65" s="22">
        <v>0.0102827763496144</v>
      </c>
      <c r="AB65">
        <v>0</v>
      </c>
      <c r="AC65">
        <v>0</v>
      </c>
      <c r="AD65">
        <v>6.39</v>
      </c>
      <c r="AE65">
        <v>1.5</v>
      </c>
      <c r="AF65" s="22" t="s">
        <v>53</v>
      </c>
      <c r="AG65" s="22" t="s">
        <v>53</v>
      </c>
      <c r="AH65" s="22" t="s">
        <v>206</v>
      </c>
      <c r="AI65" s="22">
        <v>0.0288683602771363</v>
      </c>
      <c r="AJ65">
        <v>0</v>
      </c>
      <c r="AK65">
        <v>0</v>
      </c>
      <c r="AL65">
        <v>10</v>
      </c>
      <c r="AM65">
        <v>11</v>
      </c>
      <c r="AN65" s="22" t="s">
        <v>53</v>
      </c>
      <c r="AO65" s="22" t="s">
        <v>53</v>
      </c>
      <c r="AP65" s="22">
        <v>0</v>
      </c>
      <c r="AQ65" s="22">
        <v>0.363636363636364</v>
      </c>
      <c r="AR65" s="35">
        <v>0</v>
      </c>
      <c r="AS65" s="35">
        <v>0</v>
      </c>
      <c r="AT65" s="35">
        <v>0</v>
      </c>
      <c r="AU65" s="31" t="str">
        <f t="shared" si="3"/>
        <v>库存为0</v>
      </c>
      <c r="AV65" s="36" t="str">
        <f>IFERROR(时间!$B$4+AU65,"上周无销量")</f>
        <v>上周无销量</v>
      </c>
    </row>
    <row r="66" spans="1:48">
      <c r="A66" s="20" t="s">
        <v>207</v>
      </c>
      <c r="B66" t="s">
        <v>208</v>
      </c>
      <c r="C66" t="s">
        <v>205</v>
      </c>
      <c r="D66" s="31">
        <v>0</v>
      </c>
      <c r="E66" s="31">
        <v>0</v>
      </c>
      <c r="F66" s="31">
        <v>4</v>
      </c>
      <c r="G66" s="31">
        <v>1</v>
      </c>
      <c r="H66" s="32">
        <v>12.99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1</v>
      </c>
      <c r="O66">
        <v>0</v>
      </c>
      <c r="P66">
        <v>0</v>
      </c>
      <c r="Q66">
        <v>238</v>
      </c>
      <c r="R66">
        <v>0</v>
      </c>
      <c r="S66">
        <v>264</v>
      </c>
      <c r="T66">
        <v>0</v>
      </c>
      <c r="U66">
        <v>1</v>
      </c>
      <c r="V66">
        <v>0</v>
      </c>
      <c r="W66">
        <v>1</v>
      </c>
      <c r="X66" s="22" t="s">
        <v>53</v>
      </c>
      <c r="Y66" s="22">
        <v>0.00420168067226891</v>
      </c>
      <c r="Z66" s="22" t="s">
        <v>53</v>
      </c>
      <c r="AA66" s="22">
        <v>0.00378787878787879</v>
      </c>
      <c r="AB66">
        <v>0</v>
      </c>
      <c r="AC66">
        <v>0.28</v>
      </c>
      <c r="AD66">
        <v>0</v>
      </c>
      <c r="AE66">
        <v>0.27</v>
      </c>
      <c r="AF66" s="22" t="s">
        <v>53</v>
      </c>
      <c r="AG66" s="22" t="s">
        <v>209</v>
      </c>
      <c r="AH66" s="22" t="s">
        <v>53</v>
      </c>
      <c r="AI66" s="22">
        <v>0.0207852193995381</v>
      </c>
      <c r="AJ66">
        <v>0</v>
      </c>
      <c r="AK66">
        <v>0</v>
      </c>
      <c r="AL66">
        <v>13</v>
      </c>
      <c r="AM66">
        <v>3</v>
      </c>
      <c r="AN66" s="22" t="s">
        <v>53</v>
      </c>
      <c r="AO66" s="22" t="s">
        <v>53</v>
      </c>
      <c r="AP66" s="22">
        <v>0.307692307692308</v>
      </c>
      <c r="AQ66" s="22">
        <v>0.333333333333333</v>
      </c>
      <c r="AR66" s="35">
        <v>0</v>
      </c>
      <c r="AS66" s="35">
        <v>0</v>
      </c>
      <c r="AT66" s="35">
        <v>0</v>
      </c>
      <c r="AU66" s="31" t="str">
        <f t="shared" si="3"/>
        <v>库存为0</v>
      </c>
      <c r="AV66" s="36" t="str">
        <f>IFERROR(时间!$B$4+AU66,"上周无销量")</f>
        <v>上周无销量</v>
      </c>
    </row>
    <row r="67" spans="1:48">
      <c r="A67" s="20" t="s">
        <v>210</v>
      </c>
      <c r="B67" t="s">
        <v>211</v>
      </c>
      <c r="C67" t="s">
        <v>205</v>
      </c>
      <c r="D67" s="31">
        <v>0</v>
      </c>
      <c r="E67" s="31">
        <v>0</v>
      </c>
      <c r="F67" s="31">
        <v>1</v>
      </c>
      <c r="G67" s="31">
        <v>2</v>
      </c>
      <c r="H67" s="32">
        <v>12.99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1</v>
      </c>
      <c r="O67">
        <v>0</v>
      </c>
      <c r="P67">
        <v>0</v>
      </c>
      <c r="Q67">
        <v>0</v>
      </c>
      <c r="R67">
        <v>0</v>
      </c>
      <c r="S67">
        <v>215</v>
      </c>
      <c r="T67">
        <v>0</v>
      </c>
      <c r="U67">
        <v>0</v>
      </c>
      <c r="V67">
        <v>0</v>
      </c>
      <c r="W67">
        <v>5</v>
      </c>
      <c r="X67" s="22" t="s">
        <v>53</v>
      </c>
      <c r="Y67" s="22" t="s">
        <v>53</v>
      </c>
      <c r="Z67" s="22" t="s">
        <v>53</v>
      </c>
      <c r="AA67" s="22">
        <v>0.0232558139534884</v>
      </c>
      <c r="AB67">
        <v>0</v>
      </c>
      <c r="AC67">
        <v>0</v>
      </c>
      <c r="AD67">
        <v>0</v>
      </c>
      <c r="AE67">
        <v>1.21</v>
      </c>
      <c r="AF67" s="22" t="s">
        <v>53</v>
      </c>
      <c r="AG67" s="22" t="s">
        <v>53</v>
      </c>
      <c r="AH67" s="22" t="s">
        <v>53</v>
      </c>
      <c r="AI67" s="22">
        <v>0.0465742879137798</v>
      </c>
      <c r="AJ67">
        <v>0</v>
      </c>
      <c r="AK67">
        <v>0</v>
      </c>
      <c r="AL67">
        <v>2</v>
      </c>
      <c r="AM67">
        <v>6</v>
      </c>
      <c r="AN67" s="22" t="s">
        <v>53</v>
      </c>
      <c r="AO67" s="22" t="s">
        <v>53</v>
      </c>
      <c r="AP67" s="22">
        <v>0.5</v>
      </c>
      <c r="AQ67" s="22">
        <v>0.333333333333333</v>
      </c>
      <c r="AR67" s="35">
        <v>0</v>
      </c>
      <c r="AS67" s="35">
        <v>0</v>
      </c>
      <c r="AT67" s="35">
        <v>0</v>
      </c>
      <c r="AU67" s="31" t="str">
        <f t="shared" si="3"/>
        <v>库存为0</v>
      </c>
      <c r="AV67" s="36" t="str">
        <f>IFERROR(时间!$B$4+AU67,"上周无销量")</f>
        <v>上周无销量</v>
      </c>
    </row>
    <row r="68" spans="1:48">
      <c r="A68" s="20" t="s">
        <v>212</v>
      </c>
      <c r="B68" t="s">
        <v>213</v>
      </c>
      <c r="C68" t="s">
        <v>214</v>
      </c>
      <c r="D68" s="31">
        <v>0</v>
      </c>
      <c r="E68" s="31">
        <v>0</v>
      </c>
      <c r="F68" s="31">
        <v>5</v>
      </c>
      <c r="G68" s="31">
        <v>0</v>
      </c>
      <c r="H68" s="32">
        <v>20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>
        <v>0</v>
      </c>
      <c r="Q68">
        <v>1103</v>
      </c>
      <c r="R68">
        <v>1000</v>
      </c>
      <c r="S68">
        <v>0</v>
      </c>
      <c r="T68">
        <v>0</v>
      </c>
      <c r="U68">
        <v>4</v>
      </c>
      <c r="V68">
        <v>9</v>
      </c>
      <c r="W68">
        <v>0</v>
      </c>
      <c r="X68" s="22" t="s">
        <v>53</v>
      </c>
      <c r="Y68" s="22">
        <v>0.00362647325475975</v>
      </c>
      <c r="Z68" s="22">
        <v>0.009</v>
      </c>
      <c r="AA68" s="22" t="s">
        <v>53</v>
      </c>
      <c r="AB68">
        <v>0</v>
      </c>
      <c r="AC68">
        <v>1.66</v>
      </c>
      <c r="AD68">
        <v>3.81</v>
      </c>
      <c r="AE68">
        <v>0</v>
      </c>
      <c r="AF68" s="22" t="s">
        <v>53</v>
      </c>
      <c r="AG68" s="22" t="s">
        <v>215</v>
      </c>
      <c r="AH68" s="22">
        <v>0.0381</v>
      </c>
      <c r="AI68" s="22" t="s">
        <v>53</v>
      </c>
      <c r="AJ68">
        <v>0</v>
      </c>
      <c r="AK68">
        <v>0</v>
      </c>
      <c r="AL68">
        <v>11</v>
      </c>
      <c r="AM68">
        <v>9</v>
      </c>
      <c r="AN68" s="22" t="s">
        <v>53</v>
      </c>
      <c r="AO68" s="22" t="s">
        <v>53</v>
      </c>
      <c r="AP68" s="22">
        <v>0.454545454545455</v>
      </c>
      <c r="AQ68" s="22">
        <v>0</v>
      </c>
      <c r="AR68" s="35">
        <v>0</v>
      </c>
      <c r="AS68" s="35">
        <v>0</v>
      </c>
      <c r="AT68" s="35">
        <v>0</v>
      </c>
      <c r="AU68" s="31" t="str">
        <f t="shared" si="3"/>
        <v>库存为0</v>
      </c>
      <c r="AV68" s="36" t="str">
        <f>IFERROR(时间!$B$4+AU68,"上周无销量")</f>
        <v>上周无销量</v>
      </c>
    </row>
    <row r="69" spans="1:48">
      <c r="A69" s="20" t="s">
        <v>216</v>
      </c>
      <c r="B69" t="s">
        <v>217</v>
      </c>
      <c r="C69" t="s">
        <v>214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0</v>
      </c>
      <c r="O69">
        <v>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0</v>
      </c>
      <c r="AK69">
        <v>0</v>
      </c>
      <c r="AL69">
        <v>0</v>
      </c>
      <c r="AM69">
        <v>0</v>
      </c>
      <c r="AN69" s="22" t="s">
        <v>53</v>
      </c>
      <c r="AO69" s="22" t="s">
        <v>53</v>
      </c>
      <c r="AP69" s="22" t="s">
        <v>53</v>
      </c>
      <c r="AQ69" s="22" t="s">
        <v>53</v>
      </c>
      <c r="AR69" s="35">
        <v>0</v>
      </c>
      <c r="AS69" s="35">
        <v>0</v>
      </c>
      <c r="AT69" s="35">
        <v>0</v>
      </c>
      <c r="AU69" s="31" t="str">
        <f t="shared" ref="AU69:AU132" si="5">IF(AR69="","库存为"&amp;M69,IF(AS69=0,"库存为"&amp;M69,INT(M69/AR69)))</f>
        <v>库存为0</v>
      </c>
      <c r="AV69" s="36" t="str">
        <f>IFERROR(时间!$B$4+AU69,"上周无销量")</f>
        <v>上周无销量</v>
      </c>
    </row>
    <row r="70" spans="1:48">
      <c r="A70" s="20" t="s">
        <v>218</v>
      </c>
      <c r="B70" t="s">
        <v>219</v>
      </c>
      <c r="C70" t="s">
        <v>220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2</v>
      </c>
      <c r="J70" s="33">
        <v>0</v>
      </c>
      <c r="K70" s="33">
        <v>0</v>
      </c>
      <c r="L70" s="33">
        <v>0</v>
      </c>
      <c r="M70">
        <v>2</v>
      </c>
      <c r="N70">
        <v>0</v>
      </c>
      <c r="O70">
        <v>2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6</v>
      </c>
      <c r="AK70">
        <v>4</v>
      </c>
      <c r="AL70">
        <v>0</v>
      </c>
      <c r="AM70">
        <v>2</v>
      </c>
      <c r="AN70" s="22">
        <v>0</v>
      </c>
      <c r="AO70" s="22">
        <v>0</v>
      </c>
      <c r="AP70" s="22" t="s">
        <v>53</v>
      </c>
      <c r="AQ70" s="22">
        <v>0</v>
      </c>
      <c r="AR70" s="35">
        <v>0</v>
      </c>
      <c r="AS70" s="35">
        <v>0</v>
      </c>
      <c r="AT70" s="35">
        <v>2</v>
      </c>
      <c r="AU70" s="31" t="str">
        <f t="shared" si="5"/>
        <v>库存为2</v>
      </c>
      <c r="AV70" s="36" t="str">
        <f>IFERROR(时间!$B$4+AU70,"上周无销量")</f>
        <v>上周无销量</v>
      </c>
    </row>
    <row r="71" spans="1:48">
      <c r="A71" s="20" t="s">
        <v>221</v>
      </c>
      <c r="B71" t="s">
        <v>222</v>
      </c>
      <c r="C71" t="s">
        <v>220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1</v>
      </c>
      <c r="J71" s="33">
        <v>0</v>
      </c>
      <c r="K71" s="33">
        <v>0</v>
      </c>
      <c r="L71" s="33">
        <v>0</v>
      </c>
      <c r="M71">
        <v>1</v>
      </c>
      <c r="N71">
        <v>0</v>
      </c>
      <c r="O71">
        <v>2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7</v>
      </c>
      <c r="AK71">
        <v>10</v>
      </c>
      <c r="AL71">
        <v>2</v>
      </c>
      <c r="AM71">
        <v>3</v>
      </c>
      <c r="AN71" s="22">
        <v>0</v>
      </c>
      <c r="AO71" s="22">
        <v>0</v>
      </c>
      <c r="AP71" s="22">
        <v>0</v>
      </c>
      <c r="AQ71" s="22">
        <v>0</v>
      </c>
      <c r="AR71" s="35">
        <v>0</v>
      </c>
      <c r="AS71" s="35">
        <v>0</v>
      </c>
      <c r="AT71" s="35">
        <v>1</v>
      </c>
      <c r="AU71" s="31" t="str">
        <f t="shared" si="5"/>
        <v>库存为1</v>
      </c>
      <c r="AV71" s="36" t="str">
        <f>IFERROR(时间!$B$4+AU71,"上周无销量")</f>
        <v>上周无销量</v>
      </c>
    </row>
    <row r="72" spans="1:48">
      <c r="A72" s="20" t="s">
        <v>223</v>
      </c>
      <c r="B72" t="s">
        <v>224</v>
      </c>
      <c r="C72" t="s">
        <v>220</v>
      </c>
      <c r="D72" s="31">
        <v>0</v>
      </c>
      <c r="E72" s="31">
        <v>1</v>
      </c>
      <c r="F72" s="31">
        <v>0</v>
      </c>
      <c r="G72" s="31">
        <v>0</v>
      </c>
      <c r="H72" s="32">
        <v>11.99</v>
      </c>
      <c r="I72">
        <v>1</v>
      </c>
      <c r="J72" s="33">
        <v>0</v>
      </c>
      <c r="K72" s="33">
        <v>0</v>
      </c>
      <c r="L72" s="33">
        <v>0</v>
      </c>
      <c r="M72">
        <v>1</v>
      </c>
      <c r="N72">
        <v>0</v>
      </c>
      <c r="O72">
        <v>1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4</v>
      </c>
      <c r="AK72">
        <v>5</v>
      </c>
      <c r="AL72">
        <v>4</v>
      </c>
      <c r="AM72">
        <v>4</v>
      </c>
      <c r="AN72" s="22">
        <v>0</v>
      </c>
      <c r="AO72" s="22">
        <v>0.2</v>
      </c>
      <c r="AP72" s="22">
        <v>0</v>
      </c>
      <c r="AQ72" s="22">
        <v>0</v>
      </c>
      <c r="AR72" s="35">
        <v>0</v>
      </c>
      <c r="AS72" s="35">
        <v>0</v>
      </c>
      <c r="AT72" s="35">
        <v>1</v>
      </c>
      <c r="AU72" s="31" t="str">
        <f t="shared" si="5"/>
        <v>库存为1</v>
      </c>
      <c r="AV72" s="36" t="str">
        <f>IFERROR(时间!$B$4+AU72,"上周无销量")</f>
        <v>上周无销量</v>
      </c>
    </row>
    <row r="73" spans="1:48">
      <c r="A73" s="20" t="s">
        <v>225</v>
      </c>
      <c r="B73" t="s">
        <v>226</v>
      </c>
      <c r="C73" t="s">
        <v>220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10</v>
      </c>
      <c r="J73" s="33">
        <v>0</v>
      </c>
      <c r="K73" s="33">
        <v>0</v>
      </c>
      <c r="L73" s="33">
        <v>0</v>
      </c>
      <c r="M73">
        <v>10</v>
      </c>
      <c r="N73">
        <v>0</v>
      </c>
      <c r="O73">
        <v>10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1</v>
      </c>
      <c r="AK73">
        <v>4</v>
      </c>
      <c r="AL73">
        <v>3</v>
      </c>
      <c r="AM73">
        <v>3</v>
      </c>
      <c r="AN73" s="22">
        <v>0</v>
      </c>
      <c r="AO73" s="22">
        <v>0</v>
      </c>
      <c r="AP73" s="22">
        <v>0</v>
      </c>
      <c r="AQ73" s="22">
        <v>0</v>
      </c>
      <c r="AR73" s="35">
        <v>0</v>
      </c>
      <c r="AS73" s="35">
        <v>0</v>
      </c>
      <c r="AT73" s="35">
        <v>10</v>
      </c>
      <c r="AU73" s="31" t="str">
        <f t="shared" si="5"/>
        <v>库存为10</v>
      </c>
      <c r="AV73" s="36" t="str">
        <f>IFERROR(时间!$B$4+AU73,"上周无销量")</f>
        <v>上周无销量</v>
      </c>
    </row>
    <row r="74" spans="1:48">
      <c r="A74" s="20" t="s">
        <v>227</v>
      </c>
      <c r="B74" t="s">
        <v>228</v>
      </c>
      <c r="C74" t="s">
        <v>220</v>
      </c>
      <c r="D74" s="31">
        <v>1</v>
      </c>
      <c r="E74" s="31">
        <v>0</v>
      </c>
      <c r="F74" s="31">
        <v>0</v>
      </c>
      <c r="G74" s="31">
        <v>0</v>
      </c>
      <c r="H74" s="32">
        <v>13.59</v>
      </c>
      <c r="I74">
        <v>1</v>
      </c>
      <c r="J74" s="33">
        <v>0</v>
      </c>
      <c r="K74" s="33">
        <v>0</v>
      </c>
      <c r="L74" s="33">
        <v>0</v>
      </c>
      <c r="M74">
        <v>1</v>
      </c>
      <c r="N74">
        <v>0</v>
      </c>
      <c r="O74">
        <v>1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11</v>
      </c>
      <c r="AK74">
        <v>12</v>
      </c>
      <c r="AL74">
        <v>2</v>
      </c>
      <c r="AM74">
        <v>1</v>
      </c>
      <c r="AN74" s="22">
        <v>0.0909090909090909</v>
      </c>
      <c r="AO74" s="22">
        <v>0</v>
      </c>
      <c r="AP74" s="22">
        <v>0</v>
      </c>
      <c r="AQ74" s="22">
        <v>0</v>
      </c>
      <c r="AR74" s="35">
        <v>0.142857142857143</v>
      </c>
      <c r="AS74" s="35">
        <v>8.57142857142857</v>
      </c>
      <c r="AT74" s="35">
        <v>-7.57142857142857</v>
      </c>
      <c r="AU74" s="31">
        <f t="shared" si="5"/>
        <v>7</v>
      </c>
      <c r="AV74" s="36">
        <f>IFERROR(时间!$B$4+AU74,"上周无销量")</f>
        <v>43290</v>
      </c>
    </row>
    <row r="75" spans="1:48">
      <c r="A75" s="20" t="s">
        <v>229</v>
      </c>
      <c r="B75" t="s">
        <v>230</v>
      </c>
      <c r="C75" t="s">
        <v>220</v>
      </c>
      <c r="D75" s="31">
        <v>0</v>
      </c>
      <c r="E75" s="31">
        <v>1</v>
      </c>
      <c r="F75" s="31">
        <v>0</v>
      </c>
      <c r="G75" s="31">
        <v>0</v>
      </c>
      <c r="H75" s="32">
        <v>12.79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0</v>
      </c>
      <c r="AK75">
        <v>1</v>
      </c>
      <c r="AL75">
        <v>2</v>
      </c>
      <c r="AM75">
        <v>3</v>
      </c>
      <c r="AN75" s="22" t="s">
        <v>53</v>
      </c>
      <c r="AO75" s="22">
        <v>1</v>
      </c>
      <c r="AP75" s="22">
        <v>0</v>
      </c>
      <c r="AQ75" s="22">
        <v>0</v>
      </c>
      <c r="AR75" s="35">
        <v>0</v>
      </c>
      <c r="AS75" s="35">
        <v>0</v>
      </c>
      <c r="AT75" s="35">
        <v>0</v>
      </c>
      <c r="AU75" s="31" t="str">
        <f t="shared" si="5"/>
        <v>库存为0</v>
      </c>
      <c r="AV75" s="36" t="str">
        <f>IFERROR(时间!$B$4+AU75,"上周无销量")</f>
        <v>上周无销量</v>
      </c>
    </row>
    <row r="76" spans="1:48">
      <c r="A76" s="20" t="s">
        <v>231</v>
      </c>
      <c r="B76" t="s">
        <v>232</v>
      </c>
      <c r="C76" t="s">
        <v>220</v>
      </c>
      <c r="D76" s="31">
        <v>2</v>
      </c>
      <c r="E76" s="31">
        <v>0</v>
      </c>
      <c r="F76" s="31">
        <v>0</v>
      </c>
      <c r="G76" s="31">
        <v>0</v>
      </c>
      <c r="H76" s="32">
        <v>11.99</v>
      </c>
      <c r="I76">
        <v>0</v>
      </c>
      <c r="J76" s="33">
        <v>0</v>
      </c>
      <c r="K76" s="33">
        <v>0</v>
      </c>
      <c r="L76" s="33">
        <v>0</v>
      </c>
      <c r="M76">
        <v>0</v>
      </c>
      <c r="N76">
        <v>0</v>
      </c>
      <c r="O76">
        <v>2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8</v>
      </c>
      <c r="AK76">
        <v>9</v>
      </c>
      <c r="AL76">
        <v>5</v>
      </c>
      <c r="AM76">
        <v>3</v>
      </c>
      <c r="AN76" s="22">
        <v>0.25</v>
      </c>
      <c r="AO76" s="22">
        <v>0</v>
      </c>
      <c r="AP76" s="22">
        <v>0</v>
      </c>
      <c r="AQ76" s="22">
        <v>0</v>
      </c>
      <c r="AR76" s="35">
        <v>0.285714285714286</v>
      </c>
      <c r="AS76" s="35">
        <v>17.1428571428571</v>
      </c>
      <c r="AT76" s="35">
        <v>-17.1428571428571</v>
      </c>
      <c r="AU76" s="31">
        <f t="shared" si="5"/>
        <v>0</v>
      </c>
      <c r="AV76" s="36">
        <f>IFERROR(时间!$B$4+AU76,"上周无销量")</f>
        <v>43283</v>
      </c>
    </row>
    <row r="77" spans="1:48">
      <c r="A77" s="20" t="s">
        <v>233</v>
      </c>
      <c r="B77" t="s">
        <v>234</v>
      </c>
      <c r="C77" t="s">
        <v>220</v>
      </c>
      <c r="D77" s="31">
        <v>2</v>
      </c>
      <c r="E77" s="31">
        <v>0</v>
      </c>
      <c r="F77" s="31">
        <v>0</v>
      </c>
      <c r="G77" s="31">
        <v>0</v>
      </c>
      <c r="H77" s="32">
        <v>15.35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1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16</v>
      </c>
      <c r="AK77">
        <v>32</v>
      </c>
      <c r="AL77">
        <v>8</v>
      </c>
      <c r="AM77">
        <v>17</v>
      </c>
      <c r="AN77" s="22">
        <v>0.125</v>
      </c>
      <c r="AO77" s="22">
        <v>0</v>
      </c>
      <c r="AP77" s="22">
        <v>0</v>
      </c>
      <c r="AQ77" s="22">
        <v>0</v>
      </c>
      <c r="AR77" s="35">
        <v>0.285714285714286</v>
      </c>
      <c r="AS77" s="35">
        <v>17.1428571428571</v>
      </c>
      <c r="AT77" s="35">
        <v>-17.1428571428571</v>
      </c>
      <c r="AU77" s="31">
        <f t="shared" si="5"/>
        <v>0</v>
      </c>
      <c r="AV77" s="36">
        <f>IFERROR(时间!$B$4+AU77,"上周无销量")</f>
        <v>43283</v>
      </c>
    </row>
    <row r="78" spans="1:48">
      <c r="A78" s="20" t="s">
        <v>235</v>
      </c>
      <c r="B78" t="s">
        <v>236</v>
      </c>
      <c r="C78" t="s">
        <v>220</v>
      </c>
      <c r="D78" s="31">
        <v>0</v>
      </c>
      <c r="E78" s="31">
        <v>1</v>
      </c>
      <c r="F78" s="31">
        <v>0</v>
      </c>
      <c r="G78" s="31">
        <v>0</v>
      </c>
      <c r="H78" s="32">
        <v>16.99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0</v>
      </c>
      <c r="AK78">
        <v>3</v>
      </c>
      <c r="AL78">
        <v>5</v>
      </c>
      <c r="AM78">
        <v>7</v>
      </c>
      <c r="AN78" s="22" t="s">
        <v>53</v>
      </c>
      <c r="AO78" s="22">
        <v>0.333333333333333</v>
      </c>
      <c r="AP78" s="22">
        <v>0</v>
      </c>
      <c r="AQ78" s="22">
        <v>0</v>
      </c>
      <c r="AR78" s="35">
        <v>0</v>
      </c>
      <c r="AS78" s="35">
        <v>0</v>
      </c>
      <c r="AT78" s="35">
        <v>0</v>
      </c>
      <c r="AU78" s="31" t="str">
        <f t="shared" si="5"/>
        <v>库存为0</v>
      </c>
      <c r="AV78" s="36" t="str">
        <f>IFERROR(时间!$B$4+AU78,"上周无销量")</f>
        <v>上周无销量</v>
      </c>
    </row>
    <row r="79" spans="1:48">
      <c r="A79" s="20" t="s">
        <v>237</v>
      </c>
      <c r="B79" t="s">
        <v>238</v>
      </c>
      <c r="C79" t="s">
        <v>220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0</v>
      </c>
      <c r="AK79">
        <v>0</v>
      </c>
      <c r="AL79">
        <v>0</v>
      </c>
      <c r="AM79">
        <v>0</v>
      </c>
      <c r="AN79" s="22" t="s">
        <v>53</v>
      </c>
      <c r="AO79" s="22" t="s">
        <v>53</v>
      </c>
      <c r="AP79" s="22" t="s">
        <v>53</v>
      </c>
      <c r="AQ79" s="22" t="s">
        <v>53</v>
      </c>
      <c r="AR79" s="35">
        <v>0</v>
      </c>
      <c r="AS79" s="35">
        <v>0</v>
      </c>
      <c r="AT79" s="35">
        <v>0</v>
      </c>
      <c r="AU79" s="31" t="str">
        <f t="shared" si="5"/>
        <v>库存为0</v>
      </c>
      <c r="AV79" s="36" t="str">
        <f>IFERROR(时间!$B$4+AU79,"上周无销量")</f>
        <v>上周无销量</v>
      </c>
    </row>
    <row r="80" spans="1:48">
      <c r="A80" s="20" t="s">
        <v>239</v>
      </c>
      <c r="B80" t="s">
        <v>240</v>
      </c>
      <c r="C80" t="s">
        <v>220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2</v>
      </c>
      <c r="J80" s="33">
        <v>0</v>
      </c>
      <c r="K80" s="33">
        <v>0</v>
      </c>
      <c r="L80" s="33">
        <v>0</v>
      </c>
      <c r="M80">
        <v>2</v>
      </c>
      <c r="N80">
        <v>0</v>
      </c>
      <c r="O80">
        <v>2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7</v>
      </c>
      <c r="AK80">
        <v>4</v>
      </c>
      <c r="AL80">
        <v>2</v>
      </c>
      <c r="AM80">
        <v>2</v>
      </c>
      <c r="AN80" s="22">
        <v>0</v>
      </c>
      <c r="AO80" s="22">
        <v>0</v>
      </c>
      <c r="AP80" s="22">
        <v>0</v>
      </c>
      <c r="AQ80" s="22">
        <v>0</v>
      </c>
      <c r="AR80" s="35">
        <v>0</v>
      </c>
      <c r="AS80" s="35">
        <v>0</v>
      </c>
      <c r="AT80" s="35">
        <v>2</v>
      </c>
      <c r="AU80" s="31" t="str">
        <f t="shared" si="5"/>
        <v>库存为2</v>
      </c>
      <c r="AV80" s="36" t="str">
        <f>IFERROR(时间!$B$4+AU80,"上周无销量")</f>
        <v>上周无销量</v>
      </c>
    </row>
    <row r="81" spans="1:48">
      <c r="A81" s="20" t="s">
        <v>241</v>
      </c>
      <c r="B81" t="s">
        <v>242</v>
      </c>
      <c r="C81" t="s">
        <v>220</v>
      </c>
      <c r="D81" s="31">
        <v>0</v>
      </c>
      <c r="E81" s="31">
        <v>0</v>
      </c>
      <c r="F81" s="31">
        <v>1</v>
      </c>
      <c r="G81" s="31">
        <v>0</v>
      </c>
      <c r="H81" s="32">
        <v>14.4</v>
      </c>
      <c r="I81">
        <v>9</v>
      </c>
      <c r="J81" s="33">
        <v>0</v>
      </c>
      <c r="K81" s="33">
        <v>0</v>
      </c>
      <c r="L81" s="33">
        <v>0</v>
      </c>
      <c r="M81">
        <v>9</v>
      </c>
      <c r="N81">
        <v>0</v>
      </c>
      <c r="O81">
        <v>9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20</v>
      </c>
      <c r="AK81">
        <v>22</v>
      </c>
      <c r="AL81">
        <v>7</v>
      </c>
      <c r="AM81">
        <v>6</v>
      </c>
      <c r="AN81" s="22">
        <v>0</v>
      </c>
      <c r="AO81" s="22">
        <v>0</v>
      </c>
      <c r="AP81" s="22">
        <v>0.142857142857143</v>
      </c>
      <c r="AQ81" s="22">
        <v>0</v>
      </c>
      <c r="AR81" s="35">
        <v>0</v>
      </c>
      <c r="AS81" s="35">
        <v>0</v>
      </c>
      <c r="AT81" s="35">
        <v>9</v>
      </c>
      <c r="AU81" s="31" t="str">
        <f t="shared" si="5"/>
        <v>库存为9</v>
      </c>
      <c r="AV81" s="36" t="str">
        <f>IFERROR(时间!$B$4+AU81,"上周无销量")</f>
        <v>上周无销量</v>
      </c>
    </row>
    <row r="82" spans="1:48">
      <c r="A82" s="20" t="s">
        <v>243</v>
      </c>
      <c r="B82" t="s">
        <v>244</v>
      </c>
      <c r="C82" t="s">
        <v>245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0</v>
      </c>
      <c r="AK82">
        <v>0</v>
      </c>
      <c r="AL82">
        <v>0</v>
      </c>
      <c r="AM82">
        <v>0</v>
      </c>
      <c r="AN82" s="22" t="s">
        <v>53</v>
      </c>
      <c r="AO82" s="22" t="s">
        <v>53</v>
      </c>
      <c r="AP82" s="22" t="s">
        <v>53</v>
      </c>
      <c r="AQ82" s="22" t="s">
        <v>53</v>
      </c>
      <c r="AR82" s="35">
        <v>0</v>
      </c>
      <c r="AS82" s="35">
        <v>0</v>
      </c>
      <c r="AT82" s="35">
        <v>0</v>
      </c>
      <c r="AU82" s="31" t="str">
        <f t="shared" si="5"/>
        <v>库存为0</v>
      </c>
      <c r="AV82" s="36" t="str">
        <f>IFERROR(时间!$B$4+AU82,"上周无销量")</f>
        <v>上周无销量</v>
      </c>
    </row>
    <row r="83" spans="1:48">
      <c r="A83" s="20" t="s">
        <v>246</v>
      </c>
      <c r="B83" t="s">
        <v>247</v>
      </c>
      <c r="C83" t="s">
        <v>245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0</v>
      </c>
      <c r="AK83">
        <v>0</v>
      </c>
      <c r="AL83">
        <v>0</v>
      </c>
      <c r="AM83">
        <v>0</v>
      </c>
      <c r="AN83" s="22" t="s">
        <v>53</v>
      </c>
      <c r="AO83" s="22" t="s">
        <v>53</v>
      </c>
      <c r="AP83" s="22" t="s">
        <v>53</v>
      </c>
      <c r="AQ83" s="22" t="s">
        <v>53</v>
      </c>
      <c r="AR83" s="35">
        <v>0</v>
      </c>
      <c r="AS83" s="35">
        <v>0</v>
      </c>
      <c r="AT83" s="35">
        <v>0</v>
      </c>
      <c r="AU83" s="31" t="str">
        <f t="shared" si="5"/>
        <v>库存为0</v>
      </c>
      <c r="AV83" s="36" t="str">
        <f>IFERROR(时间!$B$4+AU83,"上周无销量")</f>
        <v>上周无销量</v>
      </c>
    </row>
    <row r="84" spans="1:48">
      <c r="A84" s="20" t="s">
        <v>248</v>
      </c>
      <c r="B84" t="s">
        <v>249</v>
      </c>
      <c r="C84" t="s">
        <v>245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0</v>
      </c>
      <c r="AK84">
        <v>0</v>
      </c>
      <c r="AL84">
        <v>0</v>
      </c>
      <c r="AM84">
        <v>0</v>
      </c>
      <c r="AN84" s="22" t="s">
        <v>53</v>
      </c>
      <c r="AO84" s="22" t="s">
        <v>53</v>
      </c>
      <c r="AP84" s="22" t="s">
        <v>53</v>
      </c>
      <c r="AQ84" s="22" t="s">
        <v>53</v>
      </c>
      <c r="AR84" s="35">
        <v>0</v>
      </c>
      <c r="AS84" s="35">
        <v>0</v>
      </c>
      <c r="AT84" s="35">
        <v>0</v>
      </c>
      <c r="AU84" s="31" t="str">
        <f t="shared" si="5"/>
        <v>库存为0</v>
      </c>
      <c r="AV84" s="36" t="str">
        <f>IFERROR(时间!$B$4+AU84,"上周无销量")</f>
        <v>上周无销量</v>
      </c>
    </row>
    <row r="85" spans="1:48">
      <c r="A85" s="20" t="s">
        <v>250</v>
      </c>
      <c r="B85" t="s">
        <v>251</v>
      </c>
      <c r="C85" t="s">
        <v>252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10</v>
      </c>
      <c r="J85" s="33">
        <v>0</v>
      </c>
      <c r="K85" s="33">
        <v>0</v>
      </c>
      <c r="L85" s="33">
        <v>0</v>
      </c>
      <c r="M85">
        <v>10</v>
      </c>
      <c r="N85">
        <v>1</v>
      </c>
      <c r="O85">
        <v>9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4</v>
      </c>
      <c r="AK85">
        <v>2</v>
      </c>
      <c r="AL85">
        <v>7</v>
      </c>
      <c r="AM85">
        <v>7</v>
      </c>
      <c r="AN85" s="22">
        <v>0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10</v>
      </c>
      <c r="AU85" s="31" t="str">
        <f t="shared" si="5"/>
        <v>库存为10</v>
      </c>
      <c r="AV85" s="36" t="str">
        <f>IFERROR(时间!$B$4+AU85,"上周无销量")</f>
        <v>上周无销量</v>
      </c>
    </row>
    <row r="86" spans="1:48">
      <c r="A86" s="20" t="s">
        <v>253</v>
      </c>
      <c r="B86" t="s">
        <v>254</v>
      </c>
      <c r="C86" t="s">
        <v>255</v>
      </c>
      <c r="D86" s="31">
        <v>0</v>
      </c>
      <c r="E86" s="31">
        <v>1</v>
      </c>
      <c r="F86" s="31">
        <v>0</v>
      </c>
      <c r="G86" s="31">
        <v>0</v>
      </c>
      <c r="H86" s="32">
        <v>10.27</v>
      </c>
      <c r="I86">
        <v>6</v>
      </c>
      <c r="J86" s="33">
        <v>0</v>
      </c>
      <c r="K86" s="33">
        <v>0</v>
      </c>
      <c r="L86" s="33">
        <v>0</v>
      </c>
      <c r="M86">
        <v>6</v>
      </c>
      <c r="N86">
        <v>0</v>
      </c>
      <c r="O86">
        <v>6</v>
      </c>
      <c r="P86">
        <v>854</v>
      </c>
      <c r="Q86">
        <v>415</v>
      </c>
      <c r="R86">
        <v>478</v>
      </c>
      <c r="S86">
        <v>827</v>
      </c>
      <c r="T86">
        <v>8</v>
      </c>
      <c r="U86">
        <v>3</v>
      </c>
      <c r="V86">
        <v>3</v>
      </c>
      <c r="W86">
        <v>7</v>
      </c>
      <c r="X86" s="22">
        <v>0.00936768149882904</v>
      </c>
      <c r="Y86" s="22">
        <v>0.0072289156626506</v>
      </c>
      <c r="Z86" s="22">
        <v>0.00627615062761506</v>
      </c>
      <c r="AA86" s="22">
        <v>0.00846432889963724</v>
      </c>
      <c r="AB86">
        <v>2.25</v>
      </c>
      <c r="AC86">
        <v>0.56</v>
      </c>
      <c r="AD86">
        <v>0.75</v>
      </c>
      <c r="AE86">
        <v>2.55</v>
      </c>
      <c r="AF86" s="22" t="s">
        <v>256</v>
      </c>
      <c r="AG86" s="22">
        <v>0.0545277507302824</v>
      </c>
      <c r="AH86" s="22" t="s">
        <v>257</v>
      </c>
      <c r="AI86" s="22" t="s">
        <v>258</v>
      </c>
      <c r="AJ86">
        <v>9</v>
      </c>
      <c r="AK86">
        <v>11</v>
      </c>
      <c r="AL86">
        <v>7</v>
      </c>
      <c r="AM86">
        <v>14</v>
      </c>
      <c r="AN86" s="22">
        <v>0</v>
      </c>
      <c r="AO86" s="22">
        <v>0.0909090909090909</v>
      </c>
      <c r="AP86" s="22">
        <v>0</v>
      </c>
      <c r="AQ86" s="22">
        <v>0</v>
      </c>
      <c r="AR86" s="35">
        <v>0</v>
      </c>
      <c r="AS86" s="35">
        <v>0</v>
      </c>
      <c r="AT86" s="35">
        <v>6</v>
      </c>
      <c r="AU86" s="31" t="str">
        <f t="shared" si="5"/>
        <v>库存为6</v>
      </c>
      <c r="AV86" s="36" t="str">
        <f>IFERROR(时间!$B$4+AU86,"上周无销量")</f>
        <v>上周无销量</v>
      </c>
    </row>
    <row r="87" spans="1:48">
      <c r="A87" s="20" t="s">
        <v>259</v>
      </c>
      <c r="B87" t="s">
        <v>260</v>
      </c>
      <c r="C87" t="s">
        <v>255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0</v>
      </c>
      <c r="AM87">
        <v>0</v>
      </c>
      <c r="AN87" s="22" t="s">
        <v>53</v>
      </c>
      <c r="AO87" s="22" t="s">
        <v>53</v>
      </c>
      <c r="AP87" s="22" t="s">
        <v>53</v>
      </c>
      <c r="AQ87" s="22" t="s">
        <v>53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20" t="s">
        <v>261</v>
      </c>
      <c r="B88" t="s">
        <v>262</v>
      </c>
      <c r="C88" t="s">
        <v>255</v>
      </c>
      <c r="D88" s="31">
        <v>0</v>
      </c>
      <c r="E88" s="31">
        <v>0</v>
      </c>
      <c r="F88" s="31">
        <v>1</v>
      </c>
      <c r="G88" s="31">
        <v>0</v>
      </c>
      <c r="H88" s="32">
        <v>13.99</v>
      </c>
      <c r="I88">
        <v>4</v>
      </c>
      <c r="J88" s="33">
        <v>0</v>
      </c>
      <c r="K88" s="33">
        <v>0</v>
      </c>
      <c r="L88" s="33">
        <v>0</v>
      </c>
      <c r="M88">
        <v>4</v>
      </c>
      <c r="N88">
        <v>0</v>
      </c>
      <c r="O88">
        <v>0</v>
      </c>
      <c r="P88">
        <v>300</v>
      </c>
      <c r="Q88">
        <v>85</v>
      </c>
      <c r="R88">
        <v>36</v>
      </c>
      <c r="S88">
        <v>169</v>
      </c>
      <c r="T88">
        <v>1</v>
      </c>
      <c r="U88">
        <v>0</v>
      </c>
      <c r="V88">
        <v>0</v>
      </c>
      <c r="W88">
        <v>0</v>
      </c>
      <c r="X88" s="22">
        <v>0.00333333333333333</v>
      </c>
      <c r="Y88" s="22">
        <v>0</v>
      </c>
      <c r="Z88" s="22">
        <v>0</v>
      </c>
      <c r="AA88" s="22">
        <v>0</v>
      </c>
      <c r="AB88">
        <v>0.16</v>
      </c>
      <c r="AC88">
        <v>0</v>
      </c>
      <c r="AD88">
        <v>0</v>
      </c>
      <c r="AE88">
        <v>0</v>
      </c>
      <c r="AF88" s="22" t="s">
        <v>263</v>
      </c>
      <c r="AG88" s="22" t="s">
        <v>53</v>
      </c>
      <c r="AH88" s="22" t="s">
        <v>53</v>
      </c>
      <c r="AI88" s="22" t="s">
        <v>53</v>
      </c>
      <c r="AJ88">
        <v>4</v>
      </c>
      <c r="AK88">
        <v>9</v>
      </c>
      <c r="AL88">
        <v>10</v>
      </c>
      <c r="AM88">
        <v>3</v>
      </c>
      <c r="AN88" s="22">
        <v>0</v>
      </c>
      <c r="AO88" s="22">
        <v>0</v>
      </c>
      <c r="AP88" s="22">
        <v>0.1</v>
      </c>
      <c r="AQ88" s="22">
        <v>0</v>
      </c>
      <c r="AR88" s="35">
        <v>0</v>
      </c>
      <c r="AS88" s="35">
        <v>0</v>
      </c>
      <c r="AT88" s="35">
        <v>4</v>
      </c>
      <c r="AU88" s="31" t="str">
        <f t="shared" si="5"/>
        <v>库存为4</v>
      </c>
      <c r="AV88" s="36" t="str">
        <f>IFERROR(时间!$B$4+AU88,"上周无销量")</f>
        <v>上周无销量</v>
      </c>
    </row>
    <row r="89" spans="1:48">
      <c r="A89" s="20" t="s">
        <v>264</v>
      </c>
      <c r="B89" t="s">
        <v>265</v>
      </c>
      <c r="C89" t="s">
        <v>255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4</v>
      </c>
      <c r="M89">
        <v>4</v>
      </c>
      <c r="N89">
        <v>0</v>
      </c>
      <c r="O89">
        <v>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</v>
      </c>
      <c r="AK89">
        <v>0</v>
      </c>
      <c r="AL89">
        <v>0</v>
      </c>
      <c r="AM89">
        <v>0</v>
      </c>
      <c r="AN89" s="22">
        <v>0</v>
      </c>
      <c r="AO89" s="22" t="s">
        <v>53</v>
      </c>
      <c r="AP89" s="22" t="s">
        <v>53</v>
      </c>
      <c r="AQ89" s="22" t="s">
        <v>53</v>
      </c>
      <c r="AR89" s="35">
        <v>0</v>
      </c>
      <c r="AS89" s="35">
        <v>0</v>
      </c>
      <c r="AT89" s="35">
        <v>4</v>
      </c>
      <c r="AU89" s="31" t="str">
        <f t="shared" si="5"/>
        <v>库存为4</v>
      </c>
      <c r="AV89" s="36" t="str">
        <f>IFERROR(时间!$B$4+AU89,"上周无销量")</f>
        <v>上周无销量</v>
      </c>
    </row>
    <row r="90" spans="1:48">
      <c r="A90" s="20" t="s">
        <v>266</v>
      </c>
      <c r="B90" t="s">
        <v>267</v>
      </c>
      <c r="C90" t="s">
        <v>255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6</v>
      </c>
      <c r="J90" s="33">
        <v>0</v>
      </c>
      <c r="K90" s="33">
        <v>0</v>
      </c>
      <c r="L90" s="33">
        <v>0</v>
      </c>
      <c r="M90">
        <v>6</v>
      </c>
      <c r="N90">
        <v>0</v>
      </c>
      <c r="O90">
        <v>5</v>
      </c>
      <c r="P90">
        <v>727</v>
      </c>
      <c r="Q90">
        <v>370</v>
      </c>
      <c r="R90">
        <v>147</v>
      </c>
      <c r="S90">
        <v>688</v>
      </c>
      <c r="T90">
        <v>2</v>
      </c>
      <c r="U90">
        <v>1</v>
      </c>
      <c r="V90">
        <v>0</v>
      </c>
      <c r="W90">
        <v>3</v>
      </c>
      <c r="X90" s="22">
        <v>0.00275103163686382</v>
      </c>
      <c r="Y90" s="22">
        <v>0.0027027027027027</v>
      </c>
      <c r="Z90" s="22">
        <v>0</v>
      </c>
      <c r="AA90" s="22">
        <v>0.00436046511627907</v>
      </c>
      <c r="AB90">
        <v>0.45</v>
      </c>
      <c r="AC90">
        <v>0.04</v>
      </c>
      <c r="AD90">
        <v>0</v>
      </c>
      <c r="AE90">
        <v>1.23</v>
      </c>
      <c r="AF90" s="22" t="s">
        <v>268</v>
      </c>
      <c r="AG90" s="22" t="s">
        <v>269</v>
      </c>
      <c r="AH90" s="22" t="s">
        <v>53</v>
      </c>
      <c r="AI90" s="22" t="s">
        <v>270</v>
      </c>
      <c r="AJ90">
        <v>1</v>
      </c>
      <c r="AK90">
        <v>6</v>
      </c>
      <c r="AL90">
        <v>4</v>
      </c>
      <c r="AM90">
        <v>3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6</v>
      </c>
      <c r="AU90" s="31" t="str">
        <f t="shared" si="5"/>
        <v>库存为6</v>
      </c>
      <c r="AV90" s="36" t="str">
        <f>IFERROR(时间!$B$4+AU90,"上周无销量")</f>
        <v>上周无销量</v>
      </c>
    </row>
    <row r="91" spans="1:48">
      <c r="A91" s="20" t="s">
        <v>271</v>
      </c>
      <c r="B91" t="s">
        <v>272</v>
      </c>
      <c r="C91" t="s">
        <v>255</v>
      </c>
      <c r="D91" s="31">
        <v>0</v>
      </c>
      <c r="E91" s="31">
        <v>1</v>
      </c>
      <c r="F91" s="31">
        <v>2</v>
      </c>
      <c r="G91" s="31">
        <v>1</v>
      </c>
      <c r="H91" s="32">
        <v>13.99</v>
      </c>
      <c r="I91">
        <v>14</v>
      </c>
      <c r="J91" s="33">
        <v>0</v>
      </c>
      <c r="K91" s="33">
        <v>0</v>
      </c>
      <c r="L91" s="33">
        <v>0</v>
      </c>
      <c r="M91">
        <v>14</v>
      </c>
      <c r="N91">
        <v>0</v>
      </c>
      <c r="O91">
        <v>0</v>
      </c>
      <c r="P91">
        <v>1111</v>
      </c>
      <c r="Q91">
        <v>723</v>
      </c>
      <c r="R91">
        <v>282</v>
      </c>
      <c r="S91">
        <v>1566</v>
      </c>
      <c r="T91">
        <v>21</v>
      </c>
      <c r="U91">
        <v>10</v>
      </c>
      <c r="V91">
        <v>6</v>
      </c>
      <c r="W91">
        <v>34</v>
      </c>
      <c r="X91" s="22">
        <v>0.0189018901890189</v>
      </c>
      <c r="Y91" s="22">
        <v>0.0138312586445367</v>
      </c>
      <c r="Z91" s="22">
        <v>0.0212765957446809</v>
      </c>
      <c r="AA91" s="22">
        <v>0.0217113665389527</v>
      </c>
      <c r="AB91">
        <v>4.7</v>
      </c>
      <c r="AC91">
        <v>2.16</v>
      </c>
      <c r="AD91">
        <v>1.24</v>
      </c>
      <c r="AE91">
        <v>15.12</v>
      </c>
      <c r="AF91" s="22" t="s">
        <v>273</v>
      </c>
      <c r="AG91" s="22">
        <v>0.154395997140815</v>
      </c>
      <c r="AH91" s="22">
        <v>0.0443173695496783</v>
      </c>
      <c r="AI91" s="22">
        <v>1.0807719799857</v>
      </c>
      <c r="AJ91">
        <v>12</v>
      </c>
      <c r="AK91">
        <v>27</v>
      </c>
      <c r="AL91">
        <v>29</v>
      </c>
      <c r="AM91">
        <v>21</v>
      </c>
      <c r="AN91" s="22">
        <v>0</v>
      </c>
      <c r="AO91" s="22">
        <v>0.037037037037037</v>
      </c>
      <c r="AP91" s="22">
        <v>0.0689655172413793</v>
      </c>
      <c r="AQ91" s="22">
        <v>0.0476190476190476</v>
      </c>
      <c r="AR91" s="35">
        <v>0</v>
      </c>
      <c r="AS91" s="35">
        <v>0</v>
      </c>
      <c r="AT91" s="35">
        <v>14</v>
      </c>
      <c r="AU91" s="31" t="str">
        <f t="shared" si="5"/>
        <v>库存为14</v>
      </c>
      <c r="AV91" s="36" t="str">
        <f>IFERROR(时间!$B$4+AU91,"上周无销量")</f>
        <v>上周无销量</v>
      </c>
    </row>
    <row r="92" spans="1:48">
      <c r="A92" s="20" t="s">
        <v>274</v>
      </c>
      <c r="B92" t="s">
        <v>275</v>
      </c>
      <c r="C92" t="s">
        <v>255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4</v>
      </c>
      <c r="J92" s="33">
        <v>0</v>
      </c>
      <c r="K92" s="33">
        <v>0</v>
      </c>
      <c r="L92" s="33">
        <v>0</v>
      </c>
      <c r="M92">
        <v>4</v>
      </c>
      <c r="N92">
        <v>0</v>
      </c>
      <c r="O92">
        <v>4</v>
      </c>
      <c r="P92">
        <v>203</v>
      </c>
      <c r="Q92">
        <v>84</v>
      </c>
      <c r="R92">
        <v>42</v>
      </c>
      <c r="S92">
        <v>159</v>
      </c>
      <c r="T92">
        <v>0</v>
      </c>
      <c r="U92">
        <v>0</v>
      </c>
      <c r="V92">
        <v>0</v>
      </c>
      <c r="W92">
        <v>1</v>
      </c>
      <c r="X92" s="22">
        <v>0</v>
      </c>
      <c r="Y92" s="22">
        <v>0</v>
      </c>
      <c r="Z92" s="22">
        <v>0</v>
      </c>
      <c r="AA92" s="22">
        <v>0.00628930817610063</v>
      </c>
      <c r="AB92">
        <v>0</v>
      </c>
      <c r="AC92">
        <v>0</v>
      </c>
      <c r="AD92">
        <v>0</v>
      </c>
      <c r="AE92">
        <v>0.36</v>
      </c>
      <c r="AF92" s="22" t="s">
        <v>53</v>
      </c>
      <c r="AG92" s="22" t="s">
        <v>53</v>
      </c>
      <c r="AH92" s="22" t="s">
        <v>53</v>
      </c>
      <c r="AI92" s="22" t="s">
        <v>187</v>
      </c>
      <c r="AJ92">
        <v>3</v>
      </c>
      <c r="AK92">
        <v>2</v>
      </c>
      <c r="AL92">
        <v>1</v>
      </c>
      <c r="AM92">
        <v>3</v>
      </c>
      <c r="AN92" s="22">
        <v>0</v>
      </c>
      <c r="AO92" s="22">
        <v>0</v>
      </c>
      <c r="AP92" s="22">
        <v>0</v>
      </c>
      <c r="AQ92" s="22">
        <v>0</v>
      </c>
      <c r="AR92" s="35">
        <v>0</v>
      </c>
      <c r="AS92" s="35">
        <v>0</v>
      </c>
      <c r="AT92" s="35">
        <v>4</v>
      </c>
      <c r="AU92" s="31" t="str">
        <f t="shared" si="5"/>
        <v>库存为4</v>
      </c>
      <c r="AV92" s="36" t="str">
        <f>IFERROR(时间!$B$4+AU92,"上周无销量")</f>
        <v>上周无销量</v>
      </c>
    </row>
    <row r="93" spans="1:48">
      <c r="A93" s="20" t="s">
        <v>276</v>
      </c>
      <c r="B93" t="s">
        <v>277</v>
      </c>
      <c r="C93" t="s">
        <v>255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10</v>
      </c>
      <c r="J93" s="33">
        <v>0</v>
      </c>
      <c r="K93" s="33">
        <v>0</v>
      </c>
      <c r="L93" s="33">
        <v>0</v>
      </c>
      <c r="M93">
        <v>10</v>
      </c>
      <c r="N93">
        <v>0</v>
      </c>
      <c r="O93">
        <v>0</v>
      </c>
      <c r="P93">
        <v>232</v>
      </c>
      <c r="Q93">
        <v>93</v>
      </c>
      <c r="R93">
        <v>52</v>
      </c>
      <c r="S93">
        <v>209</v>
      </c>
      <c r="T93">
        <v>1</v>
      </c>
      <c r="U93">
        <v>0</v>
      </c>
      <c r="V93">
        <v>1</v>
      </c>
      <c r="W93">
        <v>4</v>
      </c>
      <c r="X93" s="22">
        <v>0.00431034482758621</v>
      </c>
      <c r="Y93" s="22">
        <v>0</v>
      </c>
      <c r="Z93" s="22">
        <v>0.0192307692307692</v>
      </c>
      <c r="AA93" s="22">
        <v>0.0191387559808612</v>
      </c>
      <c r="AB93">
        <v>0.22</v>
      </c>
      <c r="AC93">
        <v>0</v>
      </c>
      <c r="AD93">
        <v>0.23</v>
      </c>
      <c r="AE93">
        <v>1.7</v>
      </c>
      <c r="AF93" s="22" t="s">
        <v>278</v>
      </c>
      <c r="AG93" s="22" t="s">
        <v>53</v>
      </c>
      <c r="AH93" s="22" t="s">
        <v>279</v>
      </c>
      <c r="AI93" s="22" t="s">
        <v>198</v>
      </c>
      <c r="AJ93">
        <v>2</v>
      </c>
      <c r="AK93">
        <v>5</v>
      </c>
      <c r="AL93">
        <v>1</v>
      </c>
      <c r="AM93">
        <v>1</v>
      </c>
      <c r="AN93" s="22">
        <v>0</v>
      </c>
      <c r="AO93" s="22">
        <v>0</v>
      </c>
      <c r="AP93" s="22">
        <v>0</v>
      </c>
      <c r="AQ93" s="22">
        <v>0</v>
      </c>
      <c r="AR93" s="35">
        <v>0</v>
      </c>
      <c r="AS93" s="35">
        <v>0</v>
      </c>
      <c r="AT93" s="35">
        <v>10</v>
      </c>
      <c r="AU93" s="31" t="str">
        <f t="shared" si="5"/>
        <v>库存为10</v>
      </c>
      <c r="AV93" s="36" t="str">
        <f>IFERROR(时间!$B$4+AU93,"上周无销量")</f>
        <v>上周无销量</v>
      </c>
    </row>
    <row r="94" spans="1:48">
      <c r="A94" s="20" t="s">
        <v>280</v>
      </c>
      <c r="B94" t="s">
        <v>281</v>
      </c>
      <c r="C94" t="s">
        <v>255</v>
      </c>
      <c r="D94" s="31">
        <v>0</v>
      </c>
      <c r="E94" s="31">
        <v>0</v>
      </c>
      <c r="F94" s="31">
        <v>0</v>
      </c>
      <c r="G94" s="31">
        <v>1</v>
      </c>
      <c r="H94" s="32">
        <v>13.99</v>
      </c>
      <c r="I94">
        <v>1</v>
      </c>
      <c r="J94" s="33">
        <v>0</v>
      </c>
      <c r="K94" s="33">
        <v>0</v>
      </c>
      <c r="L94" s="33">
        <v>0</v>
      </c>
      <c r="M94">
        <v>1</v>
      </c>
      <c r="N94">
        <v>0</v>
      </c>
      <c r="O94">
        <v>1</v>
      </c>
      <c r="P94">
        <v>979</v>
      </c>
      <c r="Q94">
        <v>1871</v>
      </c>
      <c r="R94">
        <v>895</v>
      </c>
      <c r="S94">
        <v>1274</v>
      </c>
      <c r="T94">
        <v>4</v>
      </c>
      <c r="U94">
        <v>11</v>
      </c>
      <c r="V94">
        <v>4</v>
      </c>
      <c r="W94">
        <v>9</v>
      </c>
      <c r="X94" s="22">
        <v>0.00408580183861083</v>
      </c>
      <c r="Y94" s="22">
        <v>0.00587920897915553</v>
      </c>
      <c r="Z94" s="22">
        <v>0.00446927374301676</v>
      </c>
      <c r="AA94" s="22">
        <v>0.00706436420722135</v>
      </c>
      <c r="AB94">
        <v>1.26</v>
      </c>
      <c r="AC94">
        <v>2.58</v>
      </c>
      <c r="AD94">
        <v>1</v>
      </c>
      <c r="AE94">
        <v>3.8</v>
      </c>
      <c r="AF94" s="22" t="s">
        <v>282</v>
      </c>
      <c r="AG94" s="22" t="s">
        <v>283</v>
      </c>
      <c r="AH94" s="22" t="s">
        <v>284</v>
      </c>
      <c r="AI94" s="22">
        <v>0.271622587562545</v>
      </c>
      <c r="AJ94">
        <v>5</v>
      </c>
      <c r="AK94">
        <v>13</v>
      </c>
      <c r="AL94">
        <v>8</v>
      </c>
      <c r="AM94">
        <v>2</v>
      </c>
      <c r="AN94" s="22">
        <v>0</v>
      </c>
      <c r="AO94" s="22">
        <v>0</v>
      </c>
      <c r="AP94" s="22">
        <v>0</v>
      </c>
      <c r="AQ94" s="22">
        <v>0.5</v>
      </c>
      <c r="AR94" s="35">
        <v>0</v>
      </c>
      <c r="AS94" s="35">
        <v>0</v>
      </c>
      <c r="AT94" s="35">
        <v>1</v>
      </c>
      <c r="AU94" s="31" t="str">
        <f t="shared" si="5"/>
        <v>库存为1</v>
      </c>
      <c r="AV94" s="36" t="str">
        <f>IFERROR(时间!$B$4+AU94,"上周无销量")</f>
        <v>上周无销量</v>
      </c>
    </row>
    <row r="95" spans="1:48">
      <c r="A95" s="20" t="s">
        <v>285</v>
      </c>
      <c r="B95" t="s">
        <v>286</v>
      </c>
      <c r="C95" t="s">
        <v>287</v>
      </c>
      <c r="D95" s="31">
        <v>0</v>
      </c>
      <c r="E95" s="31">
        <v>0</v>
      </c>
      <c r="F95" s="31">
        <v>0</v>
      </c>
      <c r="G95" s="31">
        <v>2</v>
      </c>
      <c r="H95" s="32">
        <v>13.99</v>
      </c>
      <c r="I95">
        <v>5</v>
      </c>
      <c r="J95" s="33">
        <v>0</v>
      </c>
      <c r="K95" s="33">
        <v>0</v>
      </c>
      <c r="L95" s="33">
        <v>0</v>
      </c>
      <c r="M95">
        <v>5</v>
      </c>
      <c r="N95">
        <v>0</v>
      </c>
      <c r="O95">
        <v>0</v>
      </c>
      <c r="P95">
        <v>651</v>
      </c>
      <c r="Q95">
        <v>0</v>
      </c>
      <c r="R95">
        <v>0</v>
      </c>
      <c r="S95">
        <v>787</v>
      </c>
      <c r="T95">
        <v>4</v>
      </c>
      <c r="U95">
        <v>0</v>
      </c>
      <c r="V95">
        <v>0</v>
      </c>
      <c r="W95">
        <v>8</v>
      </c>
      <c r="X95" s="22">
        <v>0.00614439324116743</v>
      </c>
      <c r="Y95" s="22" t="s">
        <v>53</v>
      </c>
      <c r="Z95" s="22" t="s">
        <v>53</v>
      </c>
      <c r="AA95" s="22">
        <v>0.0101651842439644</v>
      </c>
      <c r="AB95">
        <v>0.69</v>
      </c>
      <c r="AC95">
        <v>0</v>
      </c>
      <c r="AD95">
        <v>0</v>
      </c>
      <c r="AE95">
        <v>3.85</v>
      </c>
      <c r="AF95" s="22" t="s">
        <v>288</v>
      </c>
      <c r="AG95" s="22" t="s">
        <v>53</v>
      </c>
      <c r="AH95" s="22" t="s">
        <v>53</v>
      </c>
      <c r="AI95" s="22">
        <v>0.137598284488921</v>
      </c>
      <c r="AJ95">
        <v>4</v>
      </c>
      <c r="AK95">
        <v>7</v>
      </c>
      <c r="AL95">
        <v>0</v>
      </c>
      <c r="AM95">
        <v>1</v>
      </c>
      <c r="AN95" s="22">
        <v>0</v>
      </c>
      <c r="AO95" s="22">
        <v>0</v>
      </c>
      <c r="AP95" s="22" t="s">
        <v>53</v>
      </c>
      <c r="AQ95" s="22">
        <v>2</v>
      </c>
      <c r="AR95" s="35">
        <v>0</v>
      </c>
      <c r="AS95" s="35">
        <v>0</v>
      </c>
      <c r="AT95" s="35">
        <v>5</v>
      </c>
      <c r="AU95" s="31" t="str">
        <f t="shared" si="5"/>
        <v>库存为5</v>
      </c>
      <c r="AV95" s="36" t="str">
        <f>IFERROR(时间!$B$4+AU95,"上周无销量")</f>
        <v>上周无销量</v>
      </c>
    </row>
    <row r="96" spans="1:48">
      <c r="A96" s="20" t="s">
        <v>289</v>
      </c>
      <c r="B96" t="s">
        <v>290</v>
      </c>
      <c r="C96" t="s">
        <v>287</v>
      </c>
      <c r="D96" s="31">
        <v>1</v>
      </c>
      <c r="E96" s="31">
        <v>0</v>
      </c>
      <c r="F96" s="31">
        <v>0</v>
      </c>
      <c r="G96" s="31">
        <v>0</v>
      </c>
      <c r="H96" s="32">
        <v>13.99</v>
      </c>
      <c r="I96">
        <v>7</v>
      </c>
      <c r="J96" s="33">
        <v>0</v>
      </c>
      <c r="K96" s="33">
        <v>0</v>
      </c>
      <c r="L96" s="33">
        <v>0</v>
      </c>
      <c r="M96">
        <v>7</v>
      </c>
      <c r="N96">
        <v>0</v>
      </c>
      <c r="O96">
        <v>2</v>
      </c>
      <c r="P96">
        <v>1923</v>
      </c>
      <c r="Q96">
        <v>1587</v>
      </c>
      <c r="R96">
        <v>834</v>
      </c>
      <c r="S96">
        <v>697</v>
      </c>
      <c r="T96">
        <v>2</v>
      </c>
      <c r="U96">
        <v>5</v>
      </c>
      <c r="V96">
        <v>3</v>
      </c>
      <c r="W96">
        <v>6</v>
      </c>
      <c r="X96" s="22">
        <v>0.00104004160166407</v>
      </c>
      <c r="Y96" s="22">
        <v>0.00315059861373661</v>
      </c>
      <c r="Z96" s="22">
        <v>0.00359712230215827</v>
      </c>
      <c r="AA96" s="22">
        <v>0.00860832137733142</v>
      </c>
      <c r="AB96">
        <v>0.51</v>
      </c>
      <c r="AC96">
        <v>1.15</v>
      </c>
      <c r="AD96">
        <v>0.69</v>
      </c>
      <c r="AE96">
        <v>2.55</v>
      </c>
      <c r="AF96" s="22">
        <v>0.0364546104360257</v>
      </c>
      <c r="AG96" s="22" t="s">
        <v>291</v>
      </c>
      <c r="AH96" s="22" t="s">
        <v>288</v>
      </c>
      <c r="AI96" s="22" t="s">
        <v>258</v>
      </c>
      <c r="AJ96">
        <v>7</v>
      </c>
      <c r="AK96">
        <v>9</v>
      </c>
      <c r="AL96">
        <v>2</v>
      </c>
      <c r="AM96">
        <v>7</v>
      </c>
      <c r="AN96" s="22">
        <v>0.142857142857143</v>
      </c>
      <c r="AO96" s="22">
        <v>0</v>
      </c>
      <c r="AP96" s="22">
        <v>0</v>
      </c>
      <c r="AQ96" s="22">
        <v>0</v>
      </c>
      <c r="AR96" s="35">
        <v>0.142857142857143</v>
      </c>
      <c r="AS96" s="35">
        <v>8.57142857142857</v>
      </c>
      <c r="AT96" s="35">
        <v>-1.57142857142857</v>
      </c>
      <c r="AU96" s="31">
        <f t="shared" si="5"/>
        <v>49</v>
      </c>
      <c r="AV96" s="36">
        <f>IFERROR(时间!$B$4+AU96,"上周无销量")</f>
        <v>43332</v>
      </c>
    </row>
    <row r="97" spans="1:48">
      <c r="A97" s="20" t="s">
        <v>292</v>
      </c>
      <c r="B97" t="s">
        <v>293</v>
      </c>
      <c r="C97" t="s">
        <v>287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4</v>
      </c>
      <c r="J97" s="33">
        <v>0</v>
      </c>
      <c r="K97" s="33">
        <v>0</v>
      </c>
      <c r="L97" s="33">
        <v>0</v>
      </c>
      <c r="M97">
        <v>4</v>
      </c>
      <c r="N97">
        <v>0</v>
      </c>
      <c r="O97">
        <v>5</v>
      </c>
      <c r="P97">
        <v>2942</v>
      </c>
      <c r="Q97">
        <v>855</v>
      </c>
      <c r="R97">
        <v>189</v>
      </c>
      <c r="S97">
        <v>637</v>
      </c>
      <c r="T97">
        <v>14</v>
      </c>
      <c r="U97">
        <v>2</v>
      </c>
      <c r="V97">
        <v>3</v>
      </c>
      <c r="W97">
        <v>4</v>
      </c>
      <c r="X97" s="22">
        <v>0.00475866757307954</v>
      </c>
      <c r="Y97" s="22">
        <v>0.00233918128654971</v>
      </c>
      <c r="Z97" s="22">
        <v>0.0158730158730159</v>
      </c>
      <c r="AA97" s="22">
        <v>0.00627943485086342</v>
      </c>
      <c r="AB97">
        <v>2.71</v>
      </c>
      <c r="AC97">
        <v>0.5</v>
      </c>
      <c r="AD97">
        <v>0.62</v>
      </c>
      <c r="AE97">
        <v>1.64</v>
      </c>
      <c r="AF97" s="22" t="s">
        <v>294</v>
      </c>
      <c r="AG97" s="22" t="s">
        <v>295</v>
      </c>
      <c r="AH97" s="22" t="s">
        <v>296</v>
      </c>
      <c r="AI97" s="22" t="s">
        <v>297</v>
      </c>
      <c r="AJ97">
        <v>7</v>
      </c>
      <c r="AK97">
        <v>5</v>
      </c>
      <c r="AL97">
        <v>3</v>
      </c>
      <c r="AM97">
        <v>4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4</v>
      </c>
      <c r="AU97" s="31" t="str">
        <f t="shared" si="5"/>
        <v>库存为4</v>
      </c>
      <c r="AV97" s="36" t="str">
        <f>IFERROR(时间!$B$4+AU97,"上周无销量")</f>
        <v>上周无销量</v>
      </c>
    </row>
    <row r="98" spans="1:48">
      <c r="A98" s="20" t="s">
        <v>298</v>
      </c>
      <c r="B98" t="s">
        <v>299</v>
      </c>
      <c r="C98" t="s">
        <v>287</v>
      </c>
      <c r="D98" s="31">
        <v>0</v>
      </c>
      <c r="E98" s="31">
        <v>0</v>
      </c>
      <c r="F98" s="31">
        <v>1</v>
      </c>
      <c r="G98" s="31">
        <v>0</v>
      </c>
      <c r="H98" s="32">
        <v>13.99</v>
      </c>
      <c r="I98">
        <v>5</v>
      </c>
      <c r="J98" s="33">
        <v>0</v>
      </c>
      <c r="K98" s="33">
        <v>0</v>
      </c>
      <c r="L98" s="33">
        <v>0</v>
      </c>
      <c r="M98">
        <v>5</v>
      </c>
      <c r="N98">
        <v>0</v>
      </c>
      <c r="O98">
        <v>0</v>
      </c>
      <c r="P98">
        <v>417</v>
      </c>
      <c r="Q98">
        <v>45</v>
      </c>
      <c r="R98">
        <v>66</v>
      </c>
      <c r="S98">
        <v>499</v>
      </c>
      <c r="T98">
        <v>1</v>
      </c>
      <c r="U98">
        <v>1</v>
      </c>
      <c r="V98">
        <v>0</v>
      </c>
      <c r="W98">
        <v>4</v>
      </c>
      <c r="X98" s="22">
        <v>0.00239808153477218</v>
      </c>
      <c r="Y98" s="22">
        <v>0.0222222222222222</v>
      </c>
      <c r="Z98" s="22">
        <v>0</v>
      </c>
      <c r="AA98" s="22">
        <v>0.00801603206412826</v>
      </c>
      <c r="AB98">
        <v>0.16</v>
      </c>
      <c r="AC98">
        <v>0.2</v>
      </c>
      <c r="AD98">
        <v>0</v>
      </c>
      <c r="AE98">
        <v>1.86</v>
      </c>
      <c r="AF98" s="22" t="s">
        <v>263</v>
      </c>
      <c r="AG98" s="22" t="s">
        <v>300</v>
      </c>
      <c r="AH98" s="22" t="s">
        <v>53</v>
      </c>
      <c r="AI98" s="22" t="s">
        <v>301</v>
      </c>
      <c r="AJ98">
        <v>1</v>
      </c>
      <c r="AK98">
        <v>4</v>
      </c>
      <c r="AL98">
        <v>1</v>
      </c>
      <c r="AM98">
        <v>8</v>
      </c>
      <c r="AN98" s="22">
        <v>0</v>
      </c>
      <c r="AO98" s="22">
        <v>0</v>
      </c>
      <c r="AP98" s="22">
        <v>1</v>
      </c>
      <c r="AQ98" s="22">
        <v>0</v>
      </c>
      <c r="AR98" s="35">
        <v>0</v>
      </c>
      <c r="AS98" s="35">
        <v>0</v>
      </c>
      <c r="AT98" s="35">
        <v>5</v>
      </c>
      <c r="AU98" s="31" t="str">
        <f t="shared" si="5"/>
        <v>库存为5</v>
      </c>
      <c r="AV98" s="36" t="str">
        <f>IFERROR(时间!$B$4+AU98,"上周无销量")</f>
        <v>上周无销量</v>
      </c>
    </row>
    <row r="99" spans="1:48">
      <c r="A99" s="20" t="s">
        <v>302</v>
      </c>
      <c r="B99" t="s">
        <v>303</v>
      </c>
      <c r="C99" t="s">
        <v>304</v>
      </c>
      <c r="D99" s="31">
        <v>0</v>
      </c>
      <c r="E99" s="31">
        <v>1</v>
      </c>
      <c r="F99" s="31">
        <v>0</v>
      </c>
      <c r="G99" s="31">
        <v>0</v>
      </c>
      <c r="H99" s="32">
        <v>10</v>
      </c>
      <c r="I99">
        <v>3</v>
      </c>
      <c r="J99" s="33">
        <v>0</v>
      </c>
      <c r="K99" s="33">
        <v>0</v>
      </c>
      <c r="L99" s="33">
        <v>0</v>
      </c>
      <c r="M99">
        <v>3</v>
      </c>
      <c r="N99">
        <v>0</v>
      </c>
      <c r="O99">
        <v>3</v>
      </c>
      <c r="P99">
        <v>704</v>
      </c>
      <c r="Q99">
        <v>347</v>
      </c>
      <c r="R99">
        <v>189</v>
      </c>
      <c r="S99">
        <v>0</v>
      </c>
      <c r="T99">
        <v>6</v>
      </c>
      <c r="U99">
        <v>6</v>
      </c>
      <c r="V99">
        <v>2</v>
      </c>
      <c r="W99">
        <v>0</v>
      </c>
      <c r="X99" s="22">
        <v>0.00852272727272727</v>
      </c>
      <c r="Y99" s="22">
        <v>0.0172910662824208</v>
      </c>
      <c r="Z99" s="22">
        <v>0.0105820105820106</v>
      </c>
      <c r="AA99" s="22" t="s">
        <v>53</v>
      </c>
      <c r="AB99">
        <v>2.07</v>
      </c>
      <c r="AC99">
        <v>1.83</v>
      </c>
      <c r="AD99">
        <v>0.5</v>
      </c>
      <c r="AE99">
        <v>0</v>
      </c>
      <c r="AF99" s="22" t="s">
        <v>305</v>
      </c>
      <c r="AG99" s="22">
        <v>0.183</v>
      </c>
      <c r="AH99" s="22" t="s">
        <v>295</v>
      </c>
      <c r="AI99" s="22" t="s">
        <v>53</v>
      </c>
      <c r="AJ99">
        <v>14</v>
      </c>
      <c r="AK99">
        <v>8</v>
      </c>
      <c r="AL99">
        <v>1</v>
      </c>
      <c r="AM99">
        <v>5</v>
      </c>
      <c r="AN99" s="22">
        <v>0</v>
      </c>
      <c r="AO99" s="22">
        <v>0.125</v>
      </c>
      <c r="AP99" s="22">
        <v>0</v>
      </c>
      <c r="AQ99" s="22">
        <v>0</v>
      </c>
      <c r="AR99" s="35">
        <v>0</v>
      </c>
      <c r="AS99" s="35">
        <v>0</v>
      </c>
      <c r="AT99" s="35">
        <v>3</v>
      </c>
      <c r="AU99" s="31" t="str">
        <f t="shared" si="5"/>
        <v>库存为3</v>
      </c>
      <c r="AV99" s="36" t="str">
        <f>IFERROR(时间!$B$4+AU99,"上周无销量")</f>
        <v>上周无销量</v>
      </c>
    </row>
    <row r="100" spans="1:48">
      <c r="A100" s="20" t="s">
        <v>306</v>
      </c>
      <c r="B100" t="s">
        <v>307</v>
      </c>
      <c r="C100" t="s">
        <v>304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3</v>
      </c>
      <c r="J100" s="33">
        <v>0</v>
      </c>
      <c r="K100" s="33">
        <v>0</v>
      </c>
      <c r="L100" s="33">
        <v>0</v>
      </c>
      <c r="M100">
        <v>3</v>
      </c>
      <c r="N100">
        <v>0</v>
      </c>
      <c r="O100">
        <v>3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3</v>
      </c>
      <c r="AK100">
        <v>4</v>
      </c>
      <c r="AL100">
        <v>5</v>
      </c>
      <c r="AM100">
        <v>2</v>
      </c>
      <c r="AN100" s="22">
        <v>0</v>
      </c>
      <c r="AO100" s="22">
        <v>0</v>
      </c>
      <c r="AP100" s="22">
        <v>0</v>
      </c>
      <c r="AQ100" s="22">
        <v>0</v>
      </c>
      <c r="AR100" s="35">
        <v>0</v>
      </c>
      <c r="AS100" s="35">
        <v>0</v>
      </c>
      <c r="AT100" s="35">
        <v>3</v>
      </c>
      <c r="AU100" s="31" t="str">
        <f t="shared" si="5"/>
        <v>库存为3</v>
      </c>
      <c r="AV100" s="36" t="str">
        <f>IFERROR(时间!$B$4+AU100,"上周无销量")</f>
        <v>上周无销量</v>
      </c>
    </row>
    <row r="101" spans="1:48">
      <c r="A101" s="20" t="s">
        <v>308</v>
      </c>
      <c r="B101" t="s">
        <v>309</v>
      </c>
      <c r="C101" t="s">
        <v>310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0</v>
      </c>
      <c r="AM101">
        <v>0</v>
      </c>
      <c r="AN101" s="22" t="s">
        <v>53</v>
      </c>
      <c r="AO101" s="22" t="s">
        <v>53</v>
      </c>
      <c r="AP101" s="22" t="s">
        <v>53</v>
      </c>
      <c r="AQ101" s="22" t="s">
        <v>53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311</v>
      </c>
      <c r="B102" t="s">
        <v>312</v>
      </c>
      <c r="C102" t="s">
        <v>313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314</v>
      </c>
      <c r="B103" t="s">
        <v>315</v>
      </c>
      <c r="C103" t="s">
        <v>313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316</v>
      </c>
      <c r="B104" t="s">
        <v>317</v>
      </c>
      <c r="C104" t="s">
        <v>313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318</v>
      </c>
      <c r="B105" t="s">
        <v>319</v>
      </c>
      <c r="C105" t="s">
        <v>313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320</v>
      </c>
      <c r="B106" t="s">
        <v>321</v>
      </c>
      <c r="C106" t="s">
        <v>313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322</v>
      </c>
      <c r="B107" t="s">
        <v>323</v>
      </c>
      <c r="C107" t="s">
        <v>313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324</v>
      </c>
      <c r="B108" t="s">
        <v>325</v>
      </c>
      <c r="C108" t="s">
        <v>313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0</v>
      </c>
      <c r="AM108">
        <v>0</v>
      </c>
      <c r="AN108" s="22" t="s">
        <v>53</v>
      </c>
      <c r="AO108" s="22" t="s">
        <v>53</v>
      </c>
      <c r="AP108" s="22" t="s">
        <v>53</v>
      </c>
      <c r="AQ108" s="22" t="s">
        <v>53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326</v>
      </c>
      <c r="B109" t="s">
        <v>327</v>
      </c>
      <c r="C109" t="s">
        <v>313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328</v>
      </c>
      <c r="B110" t="s">
        <v>329</v>
      </c>
      <c r="C110" t="s">
        <v>313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330</v>
      </c>
      <c r="B111" t="s">
        <v>331</v>
      </c>
      <c r="C111" t="s">
        <v>313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0</v>
      </c>
      <c r="AM111">
        <v>0</v>
      </c>
      <c r="AN111" s="22" t="s">
        <v>53</v>
      </c>
      <c r="AO111" s="22" t="s">
        <v>53</v>
      </c>
      <c r="AP111" s="22" t="s">
        <v>53</v>
      </c>
      <c r="AQ111" s="22" t="s">
        <v>53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332</v>
      </c>
      <c r="B112" t="s">
        <v>333</v>
      </c>
      <c r="C112" t="s">
        <v>313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0</v>
      </c>
      <c r="AN112" s="22" t="s">
        <v>53</v>
      </c>
      <c r="AO112" s="22" t="s">
        <v>53</v>
      </c>
      <c r="AP112" s="22" t="s">
        <v>53</v>
      </c>
      <c r="AQ112" s="22" t="s">
        <v>53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334</v>
      </c>
      <c r="B113" t="s">
        <v>335</v>
      </c>
      <c r="C113" t="s">
        <v>313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336</v>
      </c>
      <c r="B114" t="s">
        <v>337</v>
      </c>
      <c r="C114" t="s">
        <v>313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338</v>
      </c>
      <c r="B115" t="s">
        <v>339</v>
      </c>
      <c r="C115" t="s">
        <v>313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340</v>
      </c>
      <c r="B116" t="s">
        <v>341</v>
      </c>
      <c r="C116" t="s">
        <v>313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0</v>
      </c>
      <c r="AK116">
        <v>0</v>
      </c>
      <c r="AL116">
        <v>0</v>
      </c>
      <c r="AM116">
        <v>0</v>
      </c>
      <c r="AN116" s="22" t="s">
        <v>53</v>
      </c>
      <c r="AO116" s="22" t="s">
        <v>53</v>
      </c>
      <c r="AP116" s="22" t="s">
        <v>53</v>
      </c>
      <c r="AQ116" s="22" t="s">
        <v>53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342</v>
      </c>
      <c r="B117" t="s">
        <v>343</v>
      </c>
      <c r="C117" t="s">
        <v>344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3</v>
      </c>
      <c r="J117" s="33">
        <v>0</v>
      </c>
      <c r="K117" s="33">
        <v>0</v>
      </c>
      <c r="L117" s="33">
        <v>0</v>
      </c>
      <c r="M117">
        <v>3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5</v>
      </c>
      <c r="AK117">
        <v>0</v>
      </c>
      <c r="AL117">
        <v>0</v>
      </c>
      <c r="AM117">
        <v>0</v>
      </c>
      <c r="AN117" s="22">
        <v>0</v>
      </c>
      <c r="AO117" s="22" t="s">
        <v>53</v>
      </c>
      <c r="AP117" s="22" t="s">
        <v>53</v>
      </c>
      <c r="AQ117" s="22" t="s">
        <v>53</v>
      </c>
      <c r="AR117" s="35">
        <v>0</v>
      </c>
      <c r="AS117" s="35">
        <v>0</v>
      </c>
      <c r="AT117" s="35">
        <v>3</v>
      </c>
      <c r="AU117" s="31" t="str">
        <f t="shared" si="5"/>
        <v>库存为3</v>
      </c>
      <c r="AV117" s="36" t="str">
        <f>IFERROR(时间!$B$4+AU117,"上周无销量")</f>
        <v>上周无销量</v>
      </c>
    </row>
    <row r="118" spans="1:48">
      <c r="A118" s="20" t="s">
        <v>345</v>
      </c>
      <c r="B118" t="s">
        <v>346</v>
      </c>
      <c r="C118" t="s">
        <v>347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5</v>
      </c>
      <c r="J118" s="33">
        <v>0</v>
      </c>
      <c r="K118" s="33">
        <v>0</v>
      </c>
      <c r="L118" s="33">
        <v>0</v>
      </c>
      <c r="M118">
        <v>5</v>
      </c>
      <c r="N118">
        <v>0</v>
      </c>
      <c r="O118">
        <v>5</v>
      </c>
      <c r="P118">
        <v>0</v>
      </c>
      <c r="Q118">
        <v>0</v>
      </c>
      <c r="R118">
        <v>828</v>
      </c>
      <c r="S118">
        <v>0</v>
      </c>
      <c r="T118">
        <v>0</v>
      </c>
      <c r="U118">
        <v>0</v>
      </c>
      <c r="V118">
        <v>0</v>
      </c>
      <c r="W118">
        <v>0</v>
      </c>
      <c r="X118" s="22" t="s">
        <v>53</v>
      </c>
      <c r="Y118" s="22" t="s">
        <v>53</v>
      </c>
      <c r="Z118" s="22">
        <v>0</v>
      </c>
      <c r="AA118" s="22" t="s">
        <v>53</v>
      </c>
      <c r="AB118">
        <v>0</v>
      </c>
      <c r="AC118">
        <v>0</v>
      </c>
      <c r="AD118">
        <v>0</v>
      </c>
      <c r="AE118">
        <v>0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2</v>
      </c>
      <c r="AK118">
        <v>2</v>
      </c>
      <c r="AL118">
        <v>0</v>
      </c>
      <c r="AM118">
        <v>1</v>
      </c>
      <c r="AN118" s="22">
        <v>0</v>
      </c>
      <c r="AO118" s="22">
        <v>0</v>
      </c>
      <c r="AP118" s="22" t="s">
        <v>53</v>
      </c>
      <c r="AQ118" s="22">
        <v>0</v>
      </c>
      <c r="AR118" s="35">
        <v>0</v>
      </c>
      <c r="AS118" s="35">
        <v>0</v>
      </c>
      <c r="AT118" s="35">
        <v>5</v>
      </c>
      <c r="AU118" s="31" t="str">
        <f t="shared" si="5"/>
        <v>库存为5</v>
      </c>
      <c r="AV118" s="36" t="str">
        <f>IFERROR(时间!$B$4+AU118,"上周无销量")</f>
        <v>上周无销量</v>
      </c>
    </row>
    <row r="119" spans="1:48">
      <c r="A119" s="20" t="s">
        <v>348</v>
      </c>
      <c r="B119" t="s">
        <v>349</v>
      </c>
      <c r="C119" t="s">
        <v>347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4</v>
      </c>
      <c r="J119" s="33">
        <v>0</v>
      </c>
      <c r="K119" s="33">
        <v>0</v>
      </c>
      <c r="L119" s="33">
        <v>0</v>
      </c>
      <c r="M119">
        <v>4</v>
      </c>
      <c r="N119">
        <v>0</v>
      </c>
      <c r="O119">
        <v>4</v>
      </c>
      <c r="P119">
        <v>0</v>
      </c>
      <c r="Q119">
        <v>0</v>
      </c>
      <c r="R119">
        <v>1520</v>
      </c>
      <c r="S119">
        <v>0</v>
      </c>
      <c r="T119">
        <v>0</v>
      </c>
      <c r="U119">
        <v>0</v>
      </c>
      <c r="V119">
        <v>1</v>
      </c>
      <c r="W119">
        <v>0</v>
      </c>
      <c r="X119" s="22" t="s">
        <v>53</v>
      </c>
      <c r="Y119" s="22" t="s">
        <v>53</v>
      </c>
      <c r="Z119" s="22">
        <v>0.000657894736842105</v>
      </c>
      <c r="AA119" s="22" t="s">
        <v>53</v>
      </c>
      <c r="AB119">
        <v>0</v>
      </c>
      <c r="AC119">
        <v>0</v>
      </c>
      <c r="AD119">
        <v>0.52</v>
      </c>
      <c r="AE119">
        <v>0</v>
      </c>
      <c r="AF119" s="22" t="s">
        <v>53</v>
      </c>
      <c r="AG119" s="22" t="s">
        <v>53</v>
      </c>
      <c r="AH119" s="22" t="s">
        <v>350</v>
      </c>
      <c r="AI119" s="22" t="s">
        <v>53</v>
      </c>
      <c r="AJ119">
        <v>2</v>
      </c>
      <c r="AK119">
        <v>1</v>
      </c>
      <c r="AL119">
        <v>0</v>
      </c>
      <c r="AM119">
        <v>0</v>
      </c>
      <c r="AN119" s="22">
        <v>0</v>
      </c>
      <c r="AO119" s="22">
        <v>0</v>
      </c>
      <c r="AP119" s="22" t="s">
        <v>53</v>
      </c>
      <c r="AQ119" s="22" t="s">
        <v>53</v>
      </c>
      <c r="AR119" s="35">
        <v>0</v>
      </c>
      <c r="AS119" s="35">
        <v>0</v>
      </c>
      <c r="AT119" s="35">
        <v>4</v>
      </c>
      <c r="AU119" s="31" t="str">
        <f t="shared" si="5"/>
        <v>库存为4</v>
      </c>
      <c r="AV119" s="36" t="str">
        <f>IFERROR(时间!$B$4+AU119,"上周无销量")</f>
        <v>上周无销量</v>
      </c>
    </row>
    <row r="120" spans="1:48">
      <c r="A120" s="20" t="s">
        <v>351</v>
      </c>
      <c r="B120" t="s">
        <v>352</v>
      </c>
      <c r="C120" t="s">
        <v>347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5</v>
      </c>
      <c r="J120" s="33">
        <v>0</v>
      </c>
      <c r="K120" s="33">
        <v>0</v>
      </c>
      <c r="L120" s="33">
        <v>0</v>
      </c>
      <c r="M120">
        <v>5</v>
      </c>
      <c r="N120">
        <v>0</v>
      </c>
      <c r="O120">
        <v>5</v>
      </c>
      <c r="P120">
        <v>0</v>
      </c>
      <c r="Q120">
        <v>0</v>
      </c>
      <c r="R120">
        <v>1433</v>
      </c>
      <c r="S120">
        <v>0</v>
      </c>
      <c r="T120">
        <v>0</v>
      </c>
      <c r="U120">
        <v>0</v>
      </c>
      <c r="V120">
        <v>6</v>
      </c>
      <c r="W120">
        <v>0</v>
      </c>
      <c r="X120" s="22" t="s">
        <v>53</v>
      </c>
      <c r="Y120" s="22" t="s">
        <v>53</v>
      </c>
      <c r="Z120" s="22">
        <v>0.00418702023726448</v>
      </c>
      <c r="AA120" s="22" t="s">
        <v>53</v>
      </c>
      <c r="AB120">
        <v>0</v>
      </c>
      <c r="AC120">
        <v>0</v>
      </c>
      <c r="AD120">
        <v>2.79</v>
      </c>
      <c r="AE120">
        <v>0</v>
      </c>
      <c r="AF120" s="22" t="s">
        <v>53</v>
      </c>
      <c r="AG120" s="22" t="s">
        <v>53</v>
      </c>
      <c r="AH120" s="22" t="s">
        <v>353</v>
      </c>
      <c r="AI120" s="22" t="s">
        <v>53</v>
      </c>
      <c r="AJ120">
        <v>2</v>
      </c>
      <c r="AK120">
        <v>1</v>
      </c>
      <c r="AL120">
        <v>1</v>
      </c>
      <c r="AM120">
        <v>0</v>
      </c>
      <c r="AN120" s="22">
        <v>0</v>
      </c>
      <c r="AO120" s="22">
        <v>0</v>
      </c>
      <c r="AP120" s="22">
        <v>0</v>
      </c>
      <c r="AQ120" s="22" t="s">
        <v>53</v>
      </c>
      <c r="AR120" s="35">
        <v>0</v>
      </c>
      <c r="AS120" s="35">
        <v>0</v>
      </c>
      <c r="AT120" s="35">
        <v>5</v>
      </c>
      <c r="AU120" s="31" t="str">
        <f t="shared" si="5"/>
        <v>库存为5</v>
      </c>
      <c r="AV120" s="36" t="str">
        <f>IFERROR(时间!$B$4+AU120,"上周无销量")</f>
        <v>上周无销量</v>
      </c>
    </row>
    <row r="121" spans="1:48">
      <c r="A121" s="20" t="s">
        <v>354</v>
      </c>
      <c r="B121" t="s">
        <v>355</v>
      </c>
      <c r="C121" t="s">
        <v>347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5</v>
      </c>
      <c r="J121" s="33">
        <v>0</v>
      </c>
      <c r="K121" s="33">
        <v>0</v>
      </c>
      <c r="L121" s="33">
        <v>0</v>
      </c>
      <c r="M121">
        <v>5</v>
      </c>
      <c r="N121">
        <v>0</v>
      </c>
      <c r="O121">
        <v>5</v>
      </c>
      <c r="P121">
        <v>0</v>
      </c>
      <c r="Q121">
        <v>0</v>
      </c>
      <c r="R121">
        <v>888</v>
      </c>
      <c r="S121">
        <v>0</v>
      </c>
      <c r="T121">
        <v>0</v>
      </c>
      <c r="U121">
        <v>0</v>
      </c>
      <c r="V121">
        <v>1</v>
      </c>
      <c r="W121">
        <v>0</v>
      </c>
      <c r="X121" s="22" t="s">
        <v>53</v>
      </c>
      <c r="Y121" s="22" t="s">
        <v>53</v>
      </c>
      <c r="Z121" s="22">
        <v>0.00112612612612613</v>
      </c>
      <c r="AA121" s="22" t="s">
        <v>53</v>
      </c>
      <c r="AB121">
        <v>0</v>
      </c>
      <c r="AC121">
        <v>0</v>
      </c>
      <c r="AD121">
        <v>0.43</v>
      </c>
      <c r="AE121">
        <v>0</v>
      </c>
      <c r="AF121" s="22" t="s">
        <v>53</v>
      </c>
      <c r="AG121" s="22" t="s">
        <v>53</v>
      </c>
      <c r="AH121" s="22" t="s">
        <v>356</v>
      </c>
      <c r="AI121" s="22" t="s">
        <v>53</v>
      </c>
      <c r="AJ121">
        <v>2</v>
      </c>
      <c r="AK121">
        <v>1</v>
      </c>
      <c r="AL121">
        <v>0</v>
      </c>
      <c r="AM121">
        <v>0</v>
      </c>
      <c r="AN121" s="22">
        <v>0</v>
      </c>
      <c r="AO121" s="22">
        <v>0</v>
      </c>
      <c r="AP121" s="22" t="s">
        <v>53</v>
      </c>
      <c r="AQ121" s="22" t="s">
        <v>53</v>
      </c>
      <c r="AR121" s="35">
        <v>0</v>
      </c>
      <c r="AS121" s="35">
        <v>0</v>
      </c>
      <c r="AT121" s="35">
        <v>5</v>
      </c>
      <c r="AU121" s="31" t="str">
        <f t="shared" si="5"/>
        <v>库存为5</v>
      </c>
      <c r="AV121" s="36" t="str">
        <f>IFERROR(时间!$B$4+AU121,"上周无销量")</f>
        <v>上周无销量</v>
      </c>
    </row>
    <row r="122" spans="1:48">
      <c r="A122" s="20" t="s">
        <v>357</v>
      </c>
      <c r="B122" t="s">
        <v>358</v>
      </c>
      <c r="C122" t="s">
        <v>347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5</v>
      </c>
      <c r="J122" s="33">
        <v>0</v>
      </c>
      <c r="K122" s="33">
        <v>0</v>
      </c>
      <c r="L122" s="33">
        <v>0</v>
      </c>
      <c r="M122">
        <v>5</v>
      </c>
      <c r="N122">
        <v>0</v>
      </c>
      <c r="O122">
        <v>5</v>
      </c>
      <c r="P122">
        <v>0</v>
      </c>
      <c r="Q122">
        <v>0</v>
      </c>
      <c r="R122">
        <v>568</v>
      </c>
      <c r="S122">
        <v>0</v>
      </c>
      <c r="T122">
        <v>0</v>
      </c>
      <c r="U122">
        <v>0</v>
      </c>
      <c r="V122">
        <v>2</v>
      </c>
      <c r="W122">
        <v>0</v>
      </c>
      <c r="X122" s="22" t="s">
        <v>53</v>
      </c>
      <c r="Y122" s="22" t="s">
        <v>53</v>
      </c>
      <c r="Z122" s="22">
        <v>0.00352112676056338</v>
      </c>
      <c r="AA122" s="22" t="s">
        <v>53</v>
      </c>
      <c r="AB122">
        <v>0</v>
      </c>
      <c r="AC122">
        <v>0</v>
      </c>
      <c r="AD122">
        <v>1.06</v>
      </c>
      <c r="AE122">
        <v>0</v>
      </c>
      <c r="AF122" s="22" t="s">
        <v>53</v>
      </c>
      <c r="AG122" s="22" t="s">
        <v>53</v>
      </c>
      <c r="AH122" s="22" t="s">
        <v>359</v>
      </c>
      <c r="AI122" s="22" t="s">
        <v>53</v>
      </c>
      <c r="AJ122">
        <v>2</v>
      </c>
      <c r="AK122">
        <v>1</v>
      </c>
      <c r="AL122">
        <v>0</v>
      </c>
      <c r="AM122">
        <v>3</v>
      </c>
      <c r="AN122" s="22">
        <v>0</v>
      </c>
      <c r="AO122" s="22">
        <v>0</v>
      </c>
      <c r="AP122" s="22" t="s">
        <v>53</v>
      </c>
      <c r="AQ122" s="22">
        <v>0</v>
      </c>
      <c r="AR122" s="35">
        <v>0</v>
      </c>
      <c r="AS122" s="35">
        <v>0</v>
      </c>
      <c r="AT122" s="35">
        <v>5</v>
      </c>
      <c r="AU122" s="31" t="str">
        <f t="shared" si="5"/>
        <v>库存为5</v>
      </c>
      <c r="AV122" s="36" t="str">
        <f>IFERROR(时间!$B$4+AU122,"上周无销量")</f>
        <v>上周无销量</v>
      </c>
    </row>
    <row r="123" spans="1:48">
      <c r="A123" s="20" t="s">
        <v>360</v>
      </c>
      <c r="B123" t="s">
        <v>361</v>
      </c>
      <c r="C123" t="s">
        <v>347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4</v>
      </c>
      <c r="J123" s="33">
        <v>0</v>
      </c>
      <c r="K123" s="33">
        <v>0</v>
      </c>
      <c r="L123" s="33">
        <v>0</v>
      </c>
      <c r="M123">
        <v>4</v>
      </c>
      <c r="N123">
        <v>0</v>
      </c>
      <c r="O123">
        <v>4</v>
      </c>
      <c r="P123">
        <v>0</v>
      </c>
      <c r="Q123">
        <v>2</v>
      </c>
      <c r="R123">
        <v>1493</v>
      </c>
      <c r="S123">
        <v>0</v>
      </c>
      <c r="T123">
        <v>0</v>
      </c>
      <c r="U123">
        <v>0</v>
      </c>
      <c r="V123">
        <v>6</v>
      </c>
      <c r="W123">
        <v>0</v>
      </c>
      <c r="X123" s="22" t="s">
        <v>53</v>
      </c>
      <c r="Y123" s="22">
        <v>0</v>
      </c>
      <c r="Z123" s="22">
        <v>0.00401875418620228</v>
      </c>
      <c r="AA123" s="22" t="s">
        <v>53</v>
      </c>
      <c r="AB123">
        <v>0</v>
      </c>
      <c r="AC123">
        <v>0</v>
      </c>
      <c r="AD123">
        <v>2.85</v>
      </c>
      <c r="AE123">
        <v>0</v>
      </c>
      <c r="AF123" s="22" t="s">
        <v>53</v>
      </c>
      <c r="AG123" s="22" t="s">
        <v>53</v>
      </c>
      <c r="AH123" s="22" t="s">
        <v>362</v>
      </c>
      <c r="AI123" s="22" t="s">
        <v>53</v>
      </c>
      <c r="AJ123">
        <v>4</v>
      </c>
      <c r="AK123">
        <v>1</v>
      </c>
      <c r="AL123">
        <v>1</v>
      </c>
      <c r="AM123">
        <v>1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4</v>
      </c>
      <c r="AU123" s="31" t="str">
        <f t="shared" si="5"/>
        <v>库存为4</v>
      </c>
      <c r="AV123" s="36" t="str">
        <f>IFERROR(时间!$B$4+AU123,"上周无销量")</f>
        <v>上周无销量</v>
      </c>
    </row>
    <row r="124" spans="1:48">
      <c r="A124" s="20" t="s">
        <v>363</v>
      </c>
      <c r="B124" t="s">
        <v>364</v>
      </c>
      <c r="C124" t="s">
        <v>347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4</v>
      </c>
      <c r="J124" s="33">
        <v>0</v>
      </c>
      <c r="K124" s="33">
        <v>0</v>
      </c>
      <c r="L124" s="33">
        <v>0</v>
      </c>
      <c r="M124">
        <v>4</v>
      </c>
      <c r="N124">
        <v>0</v>
      </c>
      <c r="O124">
        <v>4</v>
      </c>
      <c r="P124">
        <v>0</v>
      </c>
      <c r="Q124">
        <v>0</v>
      </c>
      <c r="R124">
        <v>1765</v>
      </c>
      <c r="S124">
        <v>0</v>
      </c>
      <c r="T124">
        <v>0</v>
      </c>
      <c r="U124">
        <v>0</v>
      </c>
      <c r="V124">
        <v>8</v>
      </c>
      <c r="W124">
        <v>0</v>
      </c>
      <c r="X124" s="22" t="s">
        <v>53</v>
      </c>
      <c r="Y124" s="22" t="s">
        <v>53</v>
      </c>
      <c r="Z124" s="22">
        <v>0.00453257790368272</v>
      </c>
      <c r="AA124" s="22" t="s">
        <v>53</v>
      </c>
      <c r="AB124">
        <v>0</v>
      </c>
      <c r="AC124">
        <v>0</v>
      </c>
      <c r="AD124">
        <v>3.03</v>
      </c>
      <c r="AE124">
        <v>0</v>
      </c>
      <c r="AF124" s="22" t="s">
        <v>53</v>
      </c>
      <c r="AG124" s="22" t="s">
        <v>53</v>
      </c>
      <c r="AH124" s="22" t="s">
        <v>365</v>
      </c>
      <c r="AI124" s="22" t="s">
        <v>53</v>
      </c>
      <c r="AJ124">
        <v>4</v>
      </c>
      <c r="AK124">
        <v>1</v>
      </c>
      <c r="AL124">
        <v>0</v>
      </c>
      <c r="AM124">
        <v>0</v>
      </c>
      <c r="AN124" s="22">
        <v>0</v>
      </c>
      <c r="AO124" s="22">
        <v>0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4</v>
      </c>
      <c r="AU124" s="31" t="str">
        <f t="shared" si="5"/>
        <v>库存为4</v>
      </c>
      <c r="AV124" s="36" t="str">
        <f>IFERROR(时间!$B$4+AU124,"上周无销量")</f>
        <v>上周无销量</v>
      </c>
    </row>
    <row r="125" spans="1:48">
      <c r="A125" s="20" t="s">
        <v>366</v>
      </c>
      <c r="B125" t="s">
        <v>367</v>
      </c>
      <c r="C125" t="s">
        <v>347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5</v>
      </c>
      <c r="J125" s="33">
        <v>0</v>
      </c>
      <c r="K125" s="33">
        <v>0</v>
      </c>
      <c r="L125" s="33">
        <v>0</v>
      </c>
      <c r="M125">
        <v>5</v>
      </c>
      <c r="N125">
        <v>0</v>
      </c>
      <c r="O125">
        <v>5</v>
      </c>
      <c r="P125">
        <v>0</v>
      </c>
      <c r="Q125">
        <v>0</v>
      </c>
      <c r="R125">
        <v>994</v>
      </c>
      <c r="S125">
        <v>0</v>
      </c>
      <c r="T125">
        <v>0</v>
      </c>
      <c r="U125">
        <v>0</v>
      </c>
      <c r="V125">
        <v>4</v>
      </c>
      <c r="W125">
        <v>0</v>
      </c>
      <c r="X125" s="22" t="s">
        <v>53</v>
      </c>
      <c r="Y125" s="22" t="s">
        <v>53</v>
      </c>
      <c r="Z125" s="22">
        <v>0.00402414486921529</v>
      </c>
      <c r="AA125" s="22" t="s">
        <v>53</v>
      </c>
      <c r="AB125">
        <v>0</v>
      </c>
      <c r="AC125">
        <v>0</v>
      </c>
      <c r="AD125">
        <v>2.12</v>
      </c>
      <c r="AE125">
        <v>0</v>
      </c>
      <c r="AF125" s="22" t="s">
        <v>53</v>
      </c>
      <c r="AG125" s="22" t="s">
        <v>53</v>
      </c>
      <c r="AH125" s="22" t="s">
        <v>368</v>
      </c>
      <c r="AI125" s="22" t="s">
        <v>53</v>
      </c>
      <c r="AJ125">
        <v>4</v>
      </c>
      <c r="AK125">
        <v>0</v>
      </c>
      <c r="AL125">
        <v>2</v>
      </c>
      <c r="AM125">
        <v>6</v>
      </c>
      <c r="AN125" s="22">
        <v>0</v>
      </c>
      <c r="AO125" s="22" t="s">
        <v>53</v>
      </c>
      <c r="AP125" s="22">
        <v>0</v>
      </c>
      <c r="AQ125" s="22">
        <v>0</v>
      </c>
      <c r="AR125" s="35">
        <v>0</v>
      </c>
      <c r="AS125" s="35">
        <v>0</v>
      </c>
      <c r="AT125" s="35">
        <v>5</v>
      </c>
      <c r="AU125" s="31" t="str">
        <f t="shared" si="5"/>
        <v>库存为5</v>
      </c>
      <c r="AV125" s="36" t="str">
        <f>IFERROR(时间!$B$4+AU125,"上周无销量")</f>
        <v>上周无销量</v>
      </c>
    </row>
    <row r="126" spans="1:48">
      <c r="A126" s="20" t="s">
        <v>369</v>
      </c>
      <c r="B126" t="s">
        <v>370</v>
      </c>
      <c r="C126" t="s">
        <v>347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1774</v>
      </c>
      <c r="S126">
        <v>0</v>
      </c>
      <c r="T126">
        <v>0</v>
      </c>
      <c r="U126">
        <v>0</v>
      </c>
      <c r="V126">
        <v>2</v>
      </c>
      <c r="W126">
        <v>0</v>
      </c>
      <c r="X126" s="22" t="s">
        <v>53</v>
      </c>
      <c r="Y126" s="22" t="s">
        <v>53</v>
      </c>
      <c r="Z126" s="22">
        <v>0.00112739571589628</v>
      </c>
      <c r="AA126" s="22" t="s">
        <v>53</v>
      </c>
      <c r="AB126">
        <v>0</v>
      </c>
      <c r="AC126">
        <v>0</v>
      </c>
      <c r="AD126">
        <v>1.04</v>
      </c>
      <c r="AE126">
        <v>0</v>
      </c>
      <c r="AF126" s="22" t="s">
        <v>53</v>
      </c>
      <c r="AG126" s="22" t="s">
        <v>53</v>
      </c>
      <c r="AH126" s="22" t="s">
        <v>371</v>
      </c>
      <c r="AI126" s="22" t="s">
        <v>53</v>
      </c>
      <c r="AJ126">
        <v>0</v>
      </c>
      <c r="AK126">
        <v>1</v>
      </c>
      <c r="AL126">
        <v>0</v>
      </c>
      <c r="AM126">
        <v>1</v>
      </c>
      <c r="AN126" s="22" t="s">
        <v>53</v>
      </c>
      <c r="AO126" s="22">
        <v>0</v>
      </c>
      <c r="AP126" s="22" t="s">
        <v>53</v>
      </c>
      <c r="AQ126" s="22">
        <v>0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0" t="s">
        <v>372</v>
      </c>
      <c r="B127" t="s">
        <v>373</v>
      </c>
      <c r="C127" t="s">
        <v>347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4</v>
      </c>
      <c r="J127" s="33">
        <v>0</v>
      </c>
      <c r="K127" s="33">
        <v>0</v>
      </c>
      <c r="L127" s="33">
        <v>0</v>
      </c>
      <c r="M127">
        <v>4</v>
      </c>
      <c r="N127">
        <v>0</v>
      </c>
      <c r="O127">
        <v>4</v>
      </c>
      <c r="P127">
        <v>0</v>
      </c>
      <c r="Q127">
        <v>1</v>
      </c>
      <c r="R127">
        <v>1715</v>
      </c>
      <c r="S127">
        <v>0</v>
      </c>
      <c r="T127">
        <v>0</v>
      </c>
      <c r="U127">
        <v>0</v>
      </c>
      <c r="V127">
        <v>2</v>
      </c>
      <c r="W127">
        <v>0</v>
      </c>
      <c r="X127" s="22" t="s">
        <v>53</v>
      </c>
      <c r="Y127" s="22">
        <v>0</v>
      </c>
      <c r="Z127" s="22">
        <v>0.00116618075801749</v>
      </c>
      <c r="AA127" s="22" t="s">
        <v>53</v>
      </c>
      <c r="AB127">
        <v>0</v>
      </c>
      <c r="AC127">
        <v>0</v>
      </c>
      <c r="AD127">
        <v>1.04</v>
      </c>
      <c r="AE127">
        <v>0</v>
      </c>
      <c r="AF127" s="22" t="s">
        <v>53</v>
      </c>
      <c r="AG127" s="22" t="s">
        <v>53</v>
      </c>
      <c r="AH127" s="22" t="s">
        <v>371</v>
      </c>
      <c r="AI127" s="22" t="s">
        <v>53</v>
      </c>
      <c r="AJ127">
        <v>1</v>
      </c>
      <c r="AK127">
        <v>2</v>
      </c>
      <c r="AL127">
        <v>1</v>
      </c>
      <c r="AM127">
        <v>1</v>
      </c>
      <c r="AN127" s="22">
        <v>0</v>
      </c>
      <c r="AO127" s="22">
        <v>0</v>
      </c>
      <c r="AP127" s="22">
        <v>0</v>
      </c>
      <c r="AQ127" s="22">
        <v>0</v>
      </c>
      <c r="AR127" s="35">
        <v>0</v>
      </c>
      <c r="AS127" s="35">
        <v>0</v>
      </c>
      <c r="AT127" s="35">
        <v>4</v>
      </c>
      <c r="AU127" s="31" t="str">
        <f t="shared" si="5"/>
        <v>库存为4</v>
      </c>
      <c r="AV127" s="36" t="str">
        <f>IFERROR(时间!$B$4+AU127,"上周无销量")</f>
        <v>上周无销量</v>
      </c>
    </row>
    <row r="128" spans="1:48">
      <c r="A128" s="20" t="s">
        <v>374</v>
      </c>
      <c r="B128" t="s">
        <v>375</v>
      </c>
      <c r="C128" t="s">
        <v>347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5</v>
      </c>
      <c r="J128" s="33">
        <v>0</v>
      </c>
      <c r="K128" s="33">
        <v>0</v>
      </c>
      <c r="L128" s="33">
        <v>0</v>
      </c>
      <c r="M128">
        <v>5</v>
      </c>
      <c r="N128">
        <v>0</v>
      </c>
      <c r="O128">
        <v>5</v>
      </c>
      <c r="P128">
        <v>0</v>
      </c>
      <c r="Q128">
        <v>1</v>
      </c>
      <c r="R128">
        <v>550</v>
      </c>
      <c r="S128">
        <v>0</v>
      </c>
      <c r="T128">
        <v>0</v>
      </c>
      <c r="U128">
        <v>0</v>
      </c>
      <c r="V128">
        <v>1</v>
      </c>
      <c r="W128">
        <v>0</v>
      </c>
      <c r="X128" s="22" t="s">
        <v>53</v>
      </c>
      <c r="Y128" s="22">
        <v>0</v>
      </c>
      <c r="Z128" s="22">
        <v>0.00181818181818182</v>
      </c>
      <c r="AA128" s="22" t="s">
        <v>53</v>
      </c>
      <c r="AB128">
        <v>0</v>
      </c>
      <c r="AC128">
        <v>0</v>
      </c>
      <c r="AD128">
        <v>0.4</v>
      </c>
      <c r="AE128">
        <v>0</v>
      </c>
      <c r="AF128" s="22" t="s">
        <v>53</v>
      </c>
      <c r="AG128" s="22" t="s">
        <v>53</v>
      </c>
      <c r="AH128" s="22" t="s">
        <v>376</v>
      </c>
      <c r="AI128" s="22" t="s">
        <v>53</v>
      </c>
      <c r="AJ128">
        <v>4</v>
      </c>
      <c r="AK128">
        <v>0</v>
      </c>
      <c r="AL128">
        <v>1</v>
      </c>
      <c r="AM128">
        <v>0</v>
      </c>
      <c r="AN128" s="22">
        <v>0</v>
      </c>
      <c r="AO128" s="22" t="s">
        <v>53</v>
      </c>
      <c r="AP128" s="22">
        <v>0</v>
      </c>
      <c r="AQ128" s="22" t="s">
        <v>53</v>
      </c>
      <c r="AR128" s="35">
        <v>0</v>
      </c>
      <c r="AS128" s="35">
        <v>0</v>
      </c>
      <c r="AT128" s="35">
        <v>5</v>
      </c>
      <c r="AU128" s="31" t="str">
        <f t="shared" si="5"/>
        <v>库存为5</v>
      </c>
      <c r="AV128" s="36" t="str">
        <f>IFERROR(时间!$B$4+AU128,"上周无销量")</f>
        <v>上周无销量</v>
      </c>
    </row>
    <row r="129" spans="1:48">
      <c r="A129" s="20" t="s">
        <v>377</v>
      </c>
      <c r="B129" t="s">
        <v>378</v>
      </c>
      <c r="C129" t="s">
        <v>347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3</v>
      </c>
      <c r="J129" s="33">
        <v>0</v>
      </c>
      <c r="K129" s="33">
        <v>0</v>
      </c>
      <c r="L129" s="33">
        <v>0</v>
      </c>
      <c r="M129">
        <v>3</v>
      </c>
      <c r="N129">
        <v>0</v>
      </c>
      <c r="O129">
        <v>3</v>
      </c>
      <c r="P129">
        <v>0</v>
      </c>
      <c r="Q129">
        <v>1</v>
      </c>
      <c r="R129">
        <v>947</v>
      </c>
      <c r="S129">
        <v>0</v>
      </c>
      <c r="T129">
        <v>0</v>
      </c>
      <c r="U129">
        <v>0</v>
      </c>
      <c r="V129">
        <v>5</v>
      </c>
      <c r="W129">
        <v>0</v>
      </c>
      <c r="X129" s="22" t="s">
        <v>53</v>
      </c>
      <c r="Y129" s="22">
        <v>0</v>
      </c>
      <c r="Z129" s="22">
        <v>0.00527983104540655</v>
      </c>
      <c r="AA129" s="22" t="s">
        <v>53</v>
      </c>
      <c r="AB129">
        <v>0</v>
      </c>
      <c r="AC129">
        <v>0</v>
      </c>
      <c r="AD129">
        <v>2.52</v>
      </c>
      <c r="AE129">
        <v>0</v>
      </c>
      <c r="AF129" s="22" t="s">
        <v>53</v>
      </c>
      <c r="AG129" s="22" t="s">
        <v>53</v>
      </c>
      <c r="AH129" s="22" t="s">
        <v>379</v>
      </c>
      <c r="AI129" s="22" t="s">
        <v>53</v>
      </c>
      <c r="AJ129">
        <v>3</v>
      </c>
      <c r="AK129">
        <v>1</v>
      </c>
      <c r="AL129">
        <v>2</v>
      </c>
      <c r="AM129">
        <v>3</v>
      </c>
      <c r="AN129" s="22">
        <v>0</v>
      </c>
      <c r="AO129" s="22">
        <v>0</v>
      </c>
      <c r="AP129" s="22">
        <v>0</v>
      </c>
      <c r="AQ129" s="22">
        <v>0</v>
      </c>
      <c r="AR129" s="35">
        <v>0</v>
      </c>
      <c r="AS129" s="35">
        <v>0</v>
      </c>
      <c r="AT129" s="35">
        <v>3</v>
      </c>
      <c r="AU129" s="31" t="str">
        <f t="shared" si="5"/>
        <v>库存为3</v>
      </c>
      <c r="AV129" s="36" t="str">
        <f>IFERROR(时间!$B$4+AU129,"上周无销量")</f>
        <v>上周无销量</v>
      </c>
    </row>
    <row r="130" spans="1:48">
      <c r="A130" s="20" t="s">
        <v>380</v>
      </c>
      <c r="B130" t="s">
        <v>381</v>
      </c>
      <c r="C130" t="s">
        <v>347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3</v>
      </c>
      <c r="J130" s="33">
        <v>0</v>
      </c>
      <c r="K130" s="33">
        <v>0</v>
      </c>
      <c r="L130" s="33">
        <v>0</v>
      </c>
      <c r="M130">
        <v>3</v>
      </c>
      <c r="N130">
        <v>0</v>
      </c>
      <c r="O130">
        <v>3</v>
      </c>
      <c r="P130">
        <v>0</v>
      </c>
      <c r="Q130">
        <v>0</v>
      </c>
      <c r="R130">
        <v>504</v>
      </c>
      <c r="S130">
        <v>0</v>
      </c>
      <c r="T130">
        <v>0</v>
      </c>
      <c r="U130">
        <v>0</v>
      </c>
      <c r="V130">
        <v>2</v>
      </c>
      <c r="W130">
        <v>0</v>
      </c>
      <c r="X130" s="22" t="s">
        <v>53</v>
      </c>
      <c r="Y130" s="22" t="s">
        <v>53</v>
      </c>
      <c r="Z130" s="22">
        <v>0.00396825396825397</v>
      </c>
      <c r="AA130" s="22" t="s">
        <v>53</v>
      </c>
      <c r="AB130">
        <v>0</v>
      </c>
      <c r="AC130">
        <v>0</v>
      </c>
      <c r="AD130">
        <v>1.07</v>
      </c>
      <c r="AE130">
        <v>0</v>
      </c>
      <c r="AF130" s="22" t="s">
        <v>53</v>
      </c>
      <c r="AG130" s="22" t="s">
        <v>53</v>
      </c>
      <c r="AH130" s="22" t="s">
        <v>382</v>
      </c>
      <c r="AI130" s="22" t="s">
        <v>53</v>
      </c>
      <c r="AJ130">
        <v>2</v>
      </c>
      <c r="AK130">
        <v>1</v>
      </c>
      <c r="AL130">
        <v>0</v>
      </c>
      <c r="AM130">
        <v>0</v>
      </c>
      <c r="AN130" s="22">
        <v>0</v>
      </c>
      <c r="AO130" s="22">
        <v>0</v>
      </c>
      <c r="AP130" s="22" t="s">
        <v>53</v>
      </c>
      <c r="AQ130" s="22" t="s">
        <v>53</v>
      </c>
      <c r="AR130" s="35">
        <v>0</v>
      </c>
      <c r="AS130" s="35">
        <v>0</v>
      </c>
      <c r="AT130" s="35">
        <v>3</v>
      </c>
      <c r="AU130" s="31" t="str">
        <f t="shared" si="5"/>
        <v>库存为3</v>
      </c>
      <c r="AV130" s="36" t="str">
        <f>IFERROR(时间!$B$4+AU130,"上周无销量")</f>
        <v>上周无销量</v>
      </c>
    </row>
    <row r="131" spans="1:48">
      <c r="A131" s="20" t="s">
        <v>383</v>
      </c>
      <c r="B131" t="s">
        <v>384</v>
      </c>
      <c r="C131" t="s">
        <v>347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3</v>
      </c>
      <c r="P131">
        <v>0</v>
      </c>
      <c r="Q131">
        <v>0</v>
      </c>
      <c r="R131">
        <v>881</v>
      </c>
      <c r="S131">
        <v>0</v>
      </c>
      <c r="T131">
        <v>0</v>
      </c>
      <c r="U131">
        <v>0</v>
      </c>
      <c r="V131">
        <v>2</v>
      </c>
      <c r="W131">
        <v>0</v>
      </c>
      <c r="X131" s="22" t="s">
        <v>53</v>
      </c>
      <c r="Y131" s="22" t="s">
        <v>53</v>
      </c>
      <c r="Z131" s="22">
        <v>0.00227014755959137</v>
      </c>
      <c r="AA131" s="22" t="s">
        <v>53</v>
      </c>
      <c r="AB131">
        <v>0</v>
      </c>
      <c r="AC131">
        <v>0</v>
      </c>
      <c r="AD131">
        <v>0.97</v>
      </c>
      <c r="AE131">
        <v>0</v>
      </c>
      <c r="AF131" s="22" t="s">
        <v>53</v>
      </c>
      <c r="AG131" s="22" t="s">
        <v>53</v>
      </c>
      <c r="AH131" s="22" t="s">
        <v>385</v>
      </c>
      <c r="AI131" s="22" t="s">
        <v>53</v>
      </c>
      <c r="AJ131">
        <v>3</v>
      </c>
      <c r="AK131">
        <v>0</v>
      </c>
      <c r="AL131">
        <v>1</v>
      </c>
      <c r="AM131">
        <v>2</v>
      </c>
      <c r="AN131" s="22">
        <v>0</v>
      </c>
      <c r="AO131" s="22" t="s">
        <v>53</v>
      </c>
      <c r="AP131" s="22">
        <v>0</v>
      </c>
      <c r="AQ131" s="22">
        <v>0</v>
      </c>
      <c r="AR131" s="35">
        <v>0</v>
      </c>
      <c r="AS131" s="35">
        <v>0</v>
      </c>
      <c r="AT131" s="35">
        <v>3</v>
      </c>
      <c r="AU131" s="31" t="str">
        <f t="shared" si="5"/>
        <v>库存为3</v>
      </c>
      <c r="AV131" s="36" t="str">
        <f>IFERROR(时间!$B$4+AU131,"上周无销量")</f>
        <v>上周无销量</v>
      </c>
    </row>
    <row r="132" spans="1:48">
      <c r="A132" s="20" t="s">
        <v>386</v>
      </c>
      <c r="B132" t="s">
        <v>387</v>
      </c>
      <c r="C132" t="s">
        <v>347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3</v>
      </c>
      <c r="J132" s="33">
        <v>0</v>
      </c>
      <c r="K132" s="33">
        <v>0</v>
      </c>
      <c r="L132" s="33">
        <v>0</v>
      </c>
      <c r="M132">
        <v>3</v>
      </c>
      <c r="N132">
        <v>0</v>
      </c>
      <c r="O132">
        <v>3</v>
      </c>
      <c r="P132">
        <v>0</v>
      </c>
      <c r="Q132">
        <v>3</v>
      </c>
      <c r="R132">
        <v>2345</v>
      </c>
      <c r="S132">
        <v>0</v>
      </c>
      <c r="T132">
        <v>0</v>
      </c>
      <c r="U132">
        <v>0</v>
      </c>
      <c r="V132">
        <v>2</v>
      </c>
      <c r="W132">
        <v>0</v>
      </c>
      <c r="X132" s="22" t="s">
        <v>53</v>
      </c>
      <c r="Y132" s="22">
        <v>0</v>
      </c>
      <c r="Z132" s="22">
        <v>0.000852878464818763</v>
      </c>
      <c r="AA132" s="22" t="s">
        <v>53</v>
      </c>
      <c r="AB132">
        <v>0</v>
      </c>
      <c r="AC132">
        <v>0</v>
      </c>
      <c r="AD132">
        <v>1.07</v>
      </c>
      <c r="AE132">
        <v>0</v>
      </c>
      <c r="AF132" s="22" t="s">
        <v>53</v>
      </c>
      <c r="AG132" s="22" t="s">
        <v>53</v>
      </c>
      <c r="AH132" s="22" t="s">
        <v>382</v>
      </c>
      <c r="AI132" s="22" t="s">
        <v>53</v>
      </c>
      <c r="AJ132">
        <v>3</v>
      </c>
      <c r="AK132">
        <v>0</v>
      </c>
      <c r="AL132">
        <v>0</v>
      </c>
      <c r="AM132">
        <v>1</v>
      </c>
      <c r="AN132" s="22">
        <v>0</v>
      </c>
      <c r="AO132" s="22" t="s">
        <v>53</v>
      </c>
      <c r="AP132" s="22" t="s">
        <v>53</v>
      </c>
      <c r="AQ132" s="22">
        <v>0</v>
      </c>
      <c r="AR132" s="35">
        <v>0</v>
      </c>
      <c r="AS132" s="35">
        <v>0</v>
      </c>
      <c r="AT132" s="35">
        <v>3</v>
      </c>
      <c r="AU132" s="31" t="str">
        <f t="shared" si="5"/>
        <v>库存为3</v>
      </c>
      <c r="AV132" s="36" t="str">
        <f>IFERROR(时间!$B$4+AU132,"上周无销量")</f>
        <v>上周无销量</v>
      </c>
    </row>
    <row r="133" spans="1:48">
      <c r="A133" s="20" t="s">
        <v>388</v>
      </c>
      <c r="B133" t="s">
        <v>389</v>
      </c>
      <c r="C133" t="s">
        <v>347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5</v>
      </c>
      <c r="J133" s="33">
        <v>0</v>
      </c>
      <c r="K133" s="33">
        <v>0</v>
      </c>
      <c r="L133" s="33">
        <v>0</v>
      </c>
      <c r="M133">
        <v>5</v>
      </c>
      <c r="N133">
        <v>0</v>
      </c>
      <c r="O133">
        <v>4</v>
      </c>
      <c r="P133">
        <v>0</v>
      </c>
      <c r="Q133">
        <v>0</v>
      </c>
      <c r="R133">
        <v>1341</v>
      </c>
      <c r="S133">
        <v>0</v>
      </c>
      <c r="T133">
        <v>0</v>
      </c>
      <c r="U133">
        <v>0</v>
      </c>
      <c r="V133">
        <v>4</v>
      </c>
      <c r="W133">
        <v>0</v>
      </c>
      <c r="X133" s="22" t="s">
        <v>53</v>
      </c>
      <c r="Y133" s="22" t="s">
        <v>53</v>
      </c>
      <c r="Z133" s="22">
        <v>0.00298284862043251</v>
      </c>
      <c r="AA133" s="22" t="s">
        <v>53</v>
      </c>
      <c r="AB133">
        <v>0</v>
      </c>
      <c r="AC133">
        <v>0</v>
      </c>
      <c r="AD133">
        <v>1.93</v>
      </c>
      <c r="AE133">
        <v>0</v>
      </c>
      <c r="AF133" s="22" t="s">
        <v>53</v>
      </c>
      <c r="AG133" s="22" t="s">
        <v>53</v>
      </c>
      <c r="AH133" s="22" t="s">
        <v>390</v>
      </c>
      <c r="AI133" s="22" t="s">
        <v>53</v>
      </c>
      <c r="AJ133">
        <v>2</v>
      </c>
      <c r="AK133">
        <v>1</v>
      </c>
      <c r="AL133">
        <v>0</v>
      </c>
      <c r="AM133">
        <v>1</v>
      </c>
      <c r="AN133" s="22">
        <v>0</v>
      </c>
      <c r="AO133" s="22">
        <v>0</v>
      </c>
      <c r="AP133" s="22" t="s">
        <v>53</v>
      </c>
      <c r="AQ133" s="22">
        <v>0</v>
      </c>
      <c r="AR133" s="35">
        <v>0</v>
      </c>
      <c r="AS133" s="35">
        <v>0</v>
      </c>
      <c r="AT133" s="35">
        <v>5</v>
      </c>
      <c r="AU133" s="31" t="str">
        <f t="shared" ref="AU133:AU196" si="6">IF(AR133="","库存为"&amp;M133,IF(AS133=0,"库存为"&amp;M133,INT(M133/AR133)))</f>
        <v>库存为5</v>
      </c>
      <c r="AV133" s="36" t="str">
        <f>IFERROR(时间!$B$4+AU133,"上周无销量")</f>
        <v>上周无销量</v>
      </c>
    </row>
    <row r="134" spans="1:48">
      <c r="A134" s="20" t="s">
        <v>391</v>
      </c>
      <c r="B134" t="s">
        <v>392</v>
      </c>
      <c r="C134" t="s">
        <v>347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3</v>
      </c>
      <c r="J134" s="33">
        <v>0</v>
      </c>
      <c r="K134" s="33">
        <v>0</v>
      </c>
      <c r="L134" s="33">
        <v>0</v>
      </c>
      <c r="M134">
        <v>3</v>
      </c>
      <c r="N134">
        <v>0</v>
      </c>
      <c r="O134">
        <v>3</v>
      </c>
      <c r="P134">
        <v>0</v>
      </c>
      <c r="Q134">
        <v>0</v>
      </c>
      <c r="R134">
        <v>1332</v>
      </c>
      <c r="S134">
        <v>0</v>
      </c>
      <c r="T134">
        <v>0</v>
      </c>
      <c r="U134">
        <v>0</v>
      </c>
      <c r="V134">
        <v>6</v>
      </c>
      <c r="W134">
        <v>0</v>
      </c>
      <c r="X134" s="22" t="s">
        <v>53</v>
      </c>
      <c r="Y134" s="22" t="s">
        <v>53</v>
      </c>
      <c r="Z134" s="22">
        <v>0.0045045045045045</v>
      </c>
      <c r="AA134" s="22" t="s">
        <v>53</v>
      </c>
      <c r="AB134">
        <v>0</v>
      </c>
      <c r="AC134">
        <v>0</v>
      </c>
      <c r="AD134">
        <v>2.71</v>
      </c>
      <c r="AE134">
        <v>0</v>
      </c>
      <c r="AF134" s="22" t="s">
        <v>53</v>
      </c>
      <c r="AG134" s="22" t="s">
        <v>53</v>
      </c>
      <c r="AH134" s="22" t="s">
        <v>294</v>
      </c>
      <c r="AI134" s="22" t="s">
        <v>53</v>
      </c>
      <c r="AJ134">
        <v>2</v>
      </c>
      <c r="AK134">
        <v>1</v>
      </c>
      <c r="AL134">
        <v>0</v>
      </c>
      <c r="AM134">
        <v>1</v>
      </c>
      <c r="AN134" s="22">
        <v>0</v>
      </c>
      <c r="AO134" s="22">
        <v>0</v>
      </c>
      <c r="AP134" s="22" t="s">
        <v>53</v>
      </c>
      <c r="AQ134" s="22">
        <v>0</v>
      </c>
      <c r="AR134" s="35">
        <v>0</v>
      </c>
      <c r="AS134" s="35">
        <v>0</v>
      </c>
      <c r="AT134" s="35">
        <v>3</v>
      </c>
      <c r="AU134" s="31" t="str">
        <f t="shared" si="6"/>
        <v>库存为3</v>
      </c>
      <c r="AV134" s="36" t="str">
        <f>IFERROR(时间!$B$4+AU134,"上周无销量")</f>
        <v>上周无销量</v>
      </c>
    </row>
    <row r="135" spans="1:48">
      <c r="A135" s="20" t="s">
        <v>393</v>
      </c>
      <c r="B135" t="s">
        <v>394</v>
      </c>
      <c r="C135" t="s">
        <v>347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3</v>
      </c>
      <c r="J135" s="33">
        <v>0</v>
      </c>
      <c r="K135" s="33">
        <v>0</v>
      </c>
      <c r="L135" s="33">
        <v>0</v>
      </c>
      <c r="M135">
        <v>3</v>
      </c>
      <c r="N135">
        <v>0</v>
      </c>
      <c r="O135">
        <v>3</v>
      </c>
      <c r="P135">
        <v>0</v>
      </c>
      <c r="Q135">
        <v>1</v>
      </c>
      <c r="R135">
        <v>1505</v>
      </c>
      <c r="S135">
        <v>0</v>
      </c>
      <c r="T135">
        <v>0</v>
      </c>
      <c r="U135">
        <v>0</v>
      </c>
      <c r="V135">
        <v>0</v>
      </c>
      <c r="W135">
        <v>0</v>
      </c>
      <c r="X135" s="22" t="s">
        <v>53</v>
      </c>
      <c r="Y135" s="22">
        <v>0</v>
      </c>
      <c r="Z135" s="22">
        <v>0</v>
      </c>
      <c r="AA135" s="22" t="s">
        <v>53</v>
      </c>
      <c r="AB135">
        <v>0</v>
      </c>
      <c r="AC135">
        <v>0</v>
      </c>
      <c r="AD135">
        <v>0</v>
      </c>
      <c r="AE135">
        <v>0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3</v>
      </c>
      <c r="AK135">
        <v>2</v>
      </c>
      <c r="AL135">
        <v>1</v>
      </c>
      <c r="AM135">
        <v>1</v>
      </c>
      <c r="AN135" s="22">
        <v>0</v>
      </c>
      <c r="AO135" s="22">
        <v>0</v>
      </c>
      <c r="AP135" s="22">
        <v>0</v>
      </c>
      <c r="AQ135" s="22">
        <v>0</v>
      </c>
      <c r="AR135" s="35">
        <v>0</v>
      </c>
      <c r="AS135" s="35">
        <v>0</v>
      </c>
      <c r="AT135" s="35">
        <v>3</v>
      </c>
      <c r="AU135" s="31" t="str">
        <f t="shared" si="6"/>
        <v>库存为3</v>
      </c>
      <c r="AV135" s="36" t="str">
        <f>IFERROR(时间!$B$4+AU135,"上周无销量")</f>
        <v>上周无销量</v>
      </c>
    </row>
    <row r="136" spans="1:48">
      <c r="A136" s="20" t="s">
        <v>395</v>
      </c>
      <c r="B136" t="s">
        <v>396</v>
      </c>
      <c r="C136" t="s">
        <v>347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4</v>
      </c>
      <c r="J136" s="33">
        <v>0</v>
      </c>
      <c r="K136" s="33">
        <v>0</v>
      </c>
      <c r="L136" s="33">
        <v>0</v>
      </c>
      <c r="M136">
        <v>4</v>
      </c>
      <c r="N136">
        <v>0</v>
      </c>
      <c r="O136">
        <v>4</v>
      </c>
      <c r="P136">
        <v>0</v>
      </c>
      <c r="Q136">
        <v>0</v>
      </c>
      <c r="R136">
        <v>1312</v>
      </c>
      <c r="S136">
        <v>0</v>
      </c>
      <c r="T136">
        <v>0</v>
      </c>
      <c r="U136">
        <v>0</v>
      </c>
      <c r="V136">
        <v>4</v>
      </c>
      <c r="W136">
        <v>0</v>
      </c>
      <c r="X136" s="22" t="s">
        <v>53</v>
      </c>
      <c r="Y136" s="22" t="s">
        <v>53</v>
      </c>
      <c r="Z136" s="22">
        <v>0.00304878048780488</v>
      </c>
      <c r="AA136" s="22" t="s">
        <v>53</v>
      </c>
      <c r="AB136">
        <v>0</v>
      </c>
      <c r="AC136">
        <v>0</v>
      </c>
      <c r="AD136">
        <v>1.69</v>
      </c>
      <c r="AE136">
        <v>0</v>
      </c>
      <c r="AF136" s="22" t="s">
        <v>53</v>
      </c>
      <c r="AG136" s="22" t="s">
        <v>53</v>
      </c>
      <c r="AH136" s="22" t="s">
        <v>397</v>
      </c>
      <c r="AI136" s="22" t="s">
        <v>53</v>
      </c>
      <c r="AJ136">
        <v>3</v>
      </c>
      <c r="AK136">
        <v>0</v>
      </c>
      <c r="AL136">
        <v>1</v>
      </c>
      <c r="AM136">
        <v>1</v>
      </c>
      <c r="AN136" s="22">
        <v>0</v>
      </c>
      <c r="AO136" s="22" t="s">
        <v>53</v>
      </c>
      <c r="AP136" s="22">
        <v>0</v>
      </c>
      <c r="AQ136" s="22">
        <v>0</v>
      </c>
      <c r="AR136" s="35">
        <v>0</v>
      </c>
      <c r="AS136" s="35">
        <v>0</v>
      </c>
      <c r="AT136" s="35">
        <v>4</v>
      </c>
      <c r="AU136" s="31" t="str">
        <f t="shared" si="6"/>
        <v>库存为4</v>
      </c>
      <c r="AV136" s="36" t="str">
        <f>IFERROR(时间!$B$4+AU136,"上周无销量")</f>
        <v>上周无销量</v>
      </c>
    </row>
    <row r="137" spans="1:48">
      <c r="A137" s="20" t="s">
        <v>398</v>
      </c>
      <c r="B137" t="s">
        <v>399</v>
      </c>
      <c r="C137" t="s">
        <v>347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5</v>
      </c>
      <c r="J137" s="33">
        <v>0</v>
      </c>
      <c r="K137" s="33">
        <v>0</v>
      </c>
      <c r="L137" s="33">
        <v>0</v>
      </c>
      <c r="M137">
        <v>5</v>
      </c>
      <c r="N137">
        <v>0</v>
      </c>
      <c r="O137">
        <v>5</v>
      </c>
      <c r="P137">
        <v>0</v>
      </c>
      <c r="Q137">
        <v>0</v>
      </c>
      <c r="R137">
        <v>1568</v>
      </c>
      <c r="S137">
        <v>0</v>
      </c>
      <c r="T137">
        <v>0</v>
      </c>
      <c r="U137">
        <v>0</v>
      </c>
      <c r="V137">
        <v>3</v>
      </c>
      <c r="W137">
        <v>0</v>
      </c>
      <c r="X137" s="22" t="s">
        <v>53</v>
      </c>
      <c r="Y137" s="22" t="s">
        <v>53</v>
      </c>
      <c r="Z137" s="22">
        <v>0.00191326530612245</v>
      </c>
      <c r="AA137" s="22" t="s">
        <v>53</v>
      </c>
      <c r="AB137">
        <v>0</v>
      </c>
      <c r="AC137">
        <v>0</v>
      </c>
      <c r="AD137">
        <v>1.63</v>
      </c>
      <c r="AE137">
        <v>0</v>
      </c>
      <c r="AF137" s="22" t="s">
        <v>53</v>
      </c>
      <c r="AG137" s="22" t="s">
        <v>53</v>
      </c>
      <c r="AH137" s="22" t="s">
        <v>400</v>
      </c>
      <c r="AI137" s="22" t="s">
        <v>53</v>
      </c>
      <c r="AJ137">
        <v>3</v>
      </c>
      <c r="AK137">
        <v>1</v>
      </c>
      <c r="AL137">
        <v>0</v>
      </c>
      <c r="AM137">
        <v>1</v>
      </c>
      <c r="AN137" s="22">
        <v>0</v>
      </c>
      <c r="AO137" s="22">
        <v>0</v>
      </c>
      <c r="AP137" s="22" t="s">
        <v>53</v>
      </c>
      <c r="AQ137" s="22">
        <v>0</v>
      </c>
      <c r="AR137" s="35">
        <v>0</v>
      </c>
      <c r="AS137" s="35">
        <v>0</v>
      </c>
      <c r="AT137" s="35">
        <v>5</v>
      </c>
      <c r="AU137" s="31" t="str">
        <f t="shared" si="6"/>
        <v>库存为5</v>
      </c>
      <c r="AV137" s="36" t="str">
        <f>IFERROR(时间!$B$4+AU137,"上周无销量")</f>
        <v>上周无销量</v>
      </c>
    </row>
    <row r="138" spans="1:48">
      <c r="A138" s="20" t="s">
        <v>401</v>
      </c>
      <c r="B138" t="s">
        <v>402</v>
      </c>
      <c r="C138" t="s">
        <v>347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3</v>
      </c>
      <c r="J138" s="33">
        <v>0</v>
      </c>
      <c r="K138" s="33">
        <v>0</v>
      </c>
      <c r="L138" s="33">
        <v>0</v>
      </c>
      <c r="M138">
        <v>3</v>
      </c>
      <c r="N138">
        <v>0</v>
      </c>
      <c r="O138">
        <v>3</v>
      </c>
      <c r="P138">
        <v>0</v>
      </c>
      <c r="Q138">
        <v>2</v>
      </c>
      <c r="R138">
        <v>5312</v>
      </c>
      <c r="S138">
        <v>0</v>
      </c>
      <c r="T138">
        <v>0</v>
      </c>
      <c r="U138">
        <v>0</v>
      </c>
      <c r="V138">
        <v>26</v>
      </c>
      <c r="W138">
        <v>0</v>
      </c>
      <c r="X138" s="22" t="s">
        <v>53</v>
      </c>
      <c r="Y138" s="22">
        <v>0</v>
      </c>
      <c r="Z138" s="22">
        <v>0.00489457831325301</v>
      </c>
      <c r="AA138" s="22" t="s">
        <v>53</v>
      </c>
      <c r="AB138">
        <v>0</v>
      </c>
      <c r="AC138">
        <v>0</v>
      </c>
      <c r="AD138">
        <v>12.79</v>
      </c>
      <c r="AE138">
        <v>0</v>
      </c>
      <c r="AF138" s="22" t="s">
        <v>53</v>
      </c>
      <c r="AG138" s="22" t="s">
        <v>53</v>
      </c>
      <c r="AH138" s="22" t="s">
        <v>403</v>
      </c>
      <c r="AI138" s="22" t="s">
        <v>53</v>
      </c>
      <c r="AJ138">
        <v>0</v>
      </c>
      <c r="AK138">
        <v>1</v>
      </c>
      <c r="AL138">
        <v>1</v>
      </c>
      <c r="AM138">
        <v>6</v>
      </c>
      <c r="AN138" s="22" t="s">
        <v>53</v>
      </c>
      <c r="AO138" s="22">
        <v>0</v>
      </c>
      <c r="AP138" s="22">
        <v>0</v>
      </c>
      <c r="AQ138" s="22">
        <v>0</v>
      </c>
      <c r="AR138" s="35">
        <v>0</v>
      </c>
      <c r="AS138" s="35">
        <v>0</v>
      </c>
      <c r="AT138" s="35">
        <v>3</v>
      </c>
      <c r="AU138" s="31" t="str">
        <f t="shared" si="6"/>
        <v>库存为3</v>
      </c>
      <c r="AV138" s="36" t="str">
        <f>IFERROR(时间!$B$4+AU138,"上周无销量")</f>
        <v>上周无销量</v>
      </c>
    </row>
    <row r="139" spans="1:48">
      <c r="A139" s="20" t="s">
        <v>404</v>
      </c>
      <c r="B139" t="s">
        <v>405</v>
      </c>
      <c r="C139" t="s">
        <v>347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</v>
      </c>
      <c r="J139" s="33">
        <v>0</v>
      </c>
      <c r="K139" s="33">
        <v>0</v>
      </c>
      <c r="L139" s="33">
        <v>0</v>
      </c>
      <c r="M139">
        <v>1</v>
      </c>
      <c r="N139">
        <v>0</v>
      </c>
      <c r="O139">
        <v>0</v>
      </c>
      <c r="P139">
        <v>0</v>
      </c>
      <c r="Q139">
        <v>1</v>
      </c>
      <c r="R139">
        <v>5445</v>
      </c>
      <c r="S139">
        <v>0</v>
      </c>
      <c r="T139">
        <v>0</v>
      </c>
      <c r="U139">
        <v>0</v>
      </c>
      <c r="V139">
        <v>30</v>
      </c>
      <c r="W139">
        <v>0</v>
      </c>
      <c r="X139" s="22" t="s">
        <v>53</v>
      </c>
      <c r="Y139" s="22">
        <v>0</v>
      </c>
      <c r="Z139" s="22">
        <v>0.00550964187327824</v>
      </c>
      <c r="AA139" s="22" t="s">
        <v>53</v>
      </c>
      <c r="AB139">
        <v>0</v>
      </c>
      <c r="AC139">
        <v>0</v>
      </c>
      <c r="AD139">
        <v>13.95</v>
      </c>
      <c r="AE139">
        <v>0</v>
      </c>
      <c r="AF139" s="22" t="s">
        <v>53</v>
      </c>
      <c r="AG139" s="22" t="s">
        <v>53</v>
      </c>
      <c r="AH139" s="22" t="s">
        <v>406</v>
      </c>
      <c r="AI139" s="22" t="s">
        <v>53</v>
      </c>
      <c r="AJ139">
        <v>1</v>
      </c>
      <c r="AK139">
        <v>1</v>
      </c>
      <c r="AL139">
        <v>0</v>
      </c>
      <c r="AM139">
        <v>6</v>
      </c>
      <c r="AN139" s="22">
        <v>0</v>
      </c>
      <c r="AO139" s="22">
        <v>0</v>
      </c>
      <c r="AP139" s="22" t="s">
        <v>53</v>
      </c>
      <c r="AQ139" s="22">
        <v>0</v>
      </c>
      <c r="AR139" s="35">
        <v>0</v>
      </c>
      <c r="AS139" s="35">
        <v>0</v>
      </c>
      <c r="AT139" s="35">
        <v>1</v>
      </c>
      <c r="AU139" s="31" t="str">
        <f t="shared" si="6"/>
        <v>库存为1</v>
      </c>
      <c r="AV139" s="36" t="str">
        <f>IFERROR(时间!$B$4+AU139,"上周无销量")</f>
        <v>上周无销量</v>
      </c>
    </row>
    <row r="140" spans="1:48">
      <c r="A140" s="20" t="s">
        <v>407</v>
      </c>
      <c r="B140" t="s">
        <v>408</v>
      </c>
      <c r="C140" t="s">
        <v>347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1</v>
      </c>
      <c r="J140" s="33">
        <v>0</v>
      </c>
      <c r="K140" s="33">
        <v>0</v>
      </c>
      <c r="L140" s="33">
        <v>0</v>
      </c>
      <c r="M140">
        <v>1</v>
      </c>
      <c r="N140">
        <v>0</v>
      </c>
      <c r="O140">
        <v>1</v>
      </c>
      <c r="P140">
        <v>0</v>
      </c>
      <c r="Q140">
        <v>6</v>
      </c>
      <c r="R140">
        <v>13536</v>
      </c>
      <c r="S140">
        <v>0</v>
      </c>
      <c r="T140">
        <v>0</v>
      </c>
      <c r="U140">
        <v>1</v>
      </c>
      <c r="V140">
        <v>65</v>
      </c>
      <c r="W140">
        <v>0</v>
      </c>
      <c r="X140" s="22" t="s">
        <v>53</v>
      </c>
      <c r="Y140" s="22">
        <v>0.166666666666667</v>
      </c>
      <c r="Z140" s="22">
        <v>0.00480200945626478</v>
      </c>
      <c r="AA140" s="22" t="s">
        <v>53</v>
      </c>
      <c r="AB140">
        <v>0</v>
      </c>
      <c r="AC140">
        <v>0.32</v>
      </c>
      <c r="AD140">
        <v>33.57</v>
      </c>
      <c r="AE140">
        <v>0</v>
      </c>
      <c r="AF140" s="22" t="s">
        <v>53</v>
      </c>
      <c r="AG140" s="22" t="s">
        <v>409</v>
      </c>
      <c r="AH140" s="22" t="s">
        <v>410</v>
      </c>
      <c r="AI140" s="22" t="s">
        <v>53</v>
      </c>
      <c r="AJ140">
        <v>5</v>
      </c>
      <c r="AK140">
        <v>2</v>
      </c>
      <c r="AL140">
        <v>2</v>
      </c>
      <c r="AM140">
        <v>19</v>
      </c>
      <c r="AN140" s="22">
        <v>0</v>
      </c>
      <c r="AO140" s="22">
        <v>0</v>
      </c>
      <c r="AP140" s="22">
        <v>0</v>
      </c>
      <c r="AQ140" s="22">
        <v>0</v>
      </c>
      <c r="AR140" s="35">
        <v>0</v>
      </c>
      <c r="AS140" s="35">
        <v>0</v>
      </c>
      <c r="AT140" s="35">
        <v>1</v>
      </c>
      <c r="AU140" s="31" t="str">
        <f t="shared" si="6"/>
        <v>库存为1</v>
      </c>
      <c r="AV140" s="36" t="str">
        <f>IFERROR(时间!$B$4+AU140,"上周无销量")</f>
        <v>上周无销量</v>
      </c>
    </row>
    <row r="141" spans="1:48">
      <c r="A141" s="20" t="s">
        <v>411</v>
      </c>
      <c r="B141" t="s">
        <v>412</v>
      </c>
      <c r="C141" t="s">
        <v>413</v>
      </c>
      <c r="D141" s="31">
        <v>0</v>
      </c>
      <c r="E141" s="31">
        <v>1</v>
      </c>
      <c r="F141" s="31">
        <v>3</v>
      </c>
      <c r="G141" s="31">
        <v>0</v>
      </c>
      <c r="H141" s="32">
        <v>9.99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>
        <v>0</v>
      </c>
      <c r="Q141">
        <v>900</v>
      </c>
      <c r="R141">
        <v>786</v>
      </c>
      <c r="S141">
        <v>692</v>
      </c>
      <c r="T141">
        <v>0</v>
      </c>
      <c r="U141">
        <v>4</v>
      </c>
      <c r="V141">
        <v>4</v>
      </c>
      <c r="W141">
        <v>3</v>
      </c>
      <c r="X141" s="22" t="s">
        <v>53</v>
      </c>
      <c r="Y141" s="22">
        <v>0.00444444444444444</v>
      </c>
      <c r="Z141" s="22">
        <v>0.00508905852417303</v>
      </c>
      <c r="AA141" s="22">
        <v>0.00433526011560694</v>
      </c>
      <c r="AB141">
        <v>0</v>
      </c>
      <c r="AC141">
        <v>1.79</v>
      </c>
      <c r="AD141">
        <v>1.61</v>
      </c>
      <c r="AE141">
        <v>0.73</v>
      </c>
      <c r="AF141" s="22" t="s">
        <v>53</v>
      </c>
      <c r="AG141" s="22">
        <v>0.179179179179179</v>
      </c>
      <c r="AH141" s="22">
        <v>0.0537203870537204</v>
      </c>
      <c r="AI141" s="22" t="s">
        <v>414</v>
      </c>
      <c r="AJ141">
        <v>0</v>
      </c>
      <c r="AK141">
        <v>0</v>
      </c>
      <c r="AL141">
        <v>5</v>
      </c>
      <c r="AM141">
        <v>14</v>
      </c>
      <c r="AN141" s="22" t="s">
        <v>53</v>
      </c>
      <c r="AO141" s="22" t="s">
        <v>53</v>
      </c>
      <c r="AP141" s="22">
        <v>0.6</v>
      </c>
      <c r="AQ141" s="22">
        <v>0</v>
      </c>
      <c r="AR141" s="35">
        <v>0</v>
      </c>
      <c r="AS141" s="35">
        <v>0</v>
      </c>
      <c r="AT141" s="35">
        <v>0</v>
      </c>
      <c r="AU141" s="31" t="str">
        <f t="shared" si="6"/>
        <v>库存为0</v>
      </c>
      <c r="AV141" s="36" t="str">
        <f>IFERROR(时间!$B$4+AU141,"上周无销量")</f>
        <v>上周无销量</v>
      </c>
    </row>
    <row r="142" spans="1:48">
      <c r="A142" s="20" t="s">
        <v>415</v>
      </c>
      <c r="B142" t="s">
        <v>416</v>
      </c>
      <c r="C142" t="s">
        <v>417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150</v>
      </c>
      <c r="K142" s="33">
        <v>0</v>
      </c>
      <c r="L142" s="33">
        <v>0</v>
      </c>
      <c r="M142">
        <v>150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201</v>
      </c>
      <c r="AK142">
        <v>178</v>
      </c>
      <c r="AL142">
        <v>74</v>
      </c>
      <c r="AM142">
        <v>53</v>
      </c>
      <c r="AN142" s="22">
        <v>0</v>
      </c>
      <c r="AO142" s="22">
        <v>0</v>
      </c>
      <c r="AP142" s="22">
        <v>0</v>
      </c>
      <c r="AQ142" s="22">
        <v>0</v>
      </c>
      <c r="AR142" s="35">
        <v>0</v>
      </c>
      <c r="AS142" s="35">
        <v>0</v>
      </c>
      <c r="AT142" s="35">
        <v>150</v>
      </c>
      <c r="AU142" s="31" t="str">
        <f t="shared" si="6"/>
        <v>库存为150</v>
      </c>
      <c r="AV142" s="36" t="str">
        <f>IFERROR(时间!$B$4+AU142,"上周无销量")</f>
        <v>上周无销量</v>
      </c>
    </row>
    <row r="143" spans="1:48">
      <c r="A143" s="20" t="s">
        <v>418</v>
      </c>
      <c r="B143" t="s">
        <v>416</v>
      </c>
      <c r="C143" t="s">
        <v>417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201</v>
      </c>
      <c r="AK143">
        <v>178</v>
      </c>
      <c r="AL143">
        <v>74</v>
      </c>
      <c r="AM143">
        <v>53</v>
      </c>
      <c r="AN143" s="22">
        <v>0</v>
      </c>
      <c r="AO143" s="22">
        <v>0</v>
      </c>
      <c r="AP143" s="22">
        <v>0</v>
      </c>
      <c r="AQ143" s="22">
        <v>0</v>
      </c>
      <c r="AR143" s="35">
        <v>0</v>
      </c>
      <c r="AS143" s="35">
        <v>0</v>
      </c>
      <c r="AT143" s="35">
        <v>0</v>
      </c>
      <c r="AU143" s="31" t="str">
        <f t="shared" si="6"/>
        <v>库存为0</v>
      </c>
      <c r="AV143" s="36" t="str">
        <f>IFERROR(时间!$B$4+AU143,"上周无销量")</f>
        <v>上周无销量</v>
      </c>
    </row>
    <row r="144" spans="1:48">
      <c r="A144" s="20" t="s">
        <v>419</v>
      </c>
      <c r="B144" t="s">
        <v>416</v>
      </c>
      <c r="C144" t="s">
        <v>417</v>
      </c>
      <c r="D144" s="31">
        <v>92</v>
      </c>
      <c r="E144" s="31">
        <v>67</v>
      </c>
      <c r="F144" s="31">
        <v>48</v>
      </c>
      <c r="G144" s="31">
        <v>20</v>
      </c>
      <c r="H144" s="32">
        <v>7.14092511013216</v>
      </c>
      <c r="I144">
        <v>51</v>
      </c>
      <c r="J144" s="33">
        <v>0</v>
      </c>
      <c r="K144" s="33">
        <v>0</v>
      </c>
      <c r="L144" s="33">
        <v>0</v>
      </c>
      <c r="M144">
        <v>51</v>
      </c>
      <c r="N144">
        <v>0</v>
      </c>
      <c r="O144">
        <v>0</v>
      </c>
      <c r="P144">
        <v>69533</v>
      </c>
      <c r="Q144">
        <v>3101</v>
      </c>
      <c r="R144">
        <v>11775</v>
      </c>
      <c r="S144">
        <v>8603</v>
      </c>
      <c r="T144">
        <v>80</v>
      </c>
      <c r="U144">
        <v>24</v>
      </c>
      <c r="V144">
        <v>38</v>
      </c>
      <c r="W144">
        <v>49</v>
      </c>
      <c r="X144" s="22">
        <v>0.00115053284052177</v>
      </c>
      <c r="Y144" s="22">
        <v>0.00773943889068043</v>
      </c>
      <c r="Z144" s="22">
        <v>0.00322717622080679</v>
      </c>
      <c r="AA144" s="22">
        <v>0.00569568755085435</v>
      </c>
      <c r="AB144">
        <v>31.54</v>
      </c>
      <c r="AC144">
        <v>11.52</v>
      </c>
      <c r="AD144">
        <v>22.7</v>
      </c>
      <c r="AE144">
        <v>31.04</v>
      </c>
      <c r="AF144" s="22">
        <v>0.0480086377702086</v>
      </c>
      <c r="AG144" s="22">
        <v>0.0240781545606043</v>
      </c>
      <c r="AH144" s="22">
        <v>0.0662262465119053</v>
      </c>
      <c r="AI144" s="22">
        <v>0.217338786790788</v>
      </c>
      <c r="AJ144">
        <v>201</v>
      </c>
      <c r="AK144">
        <v>178</v>
      </c>
      <c r="AL144">
        <v>74</v>
      </c>
      <c r="AM144">
        <v>53</v>
      </c>
      <c r="AN144" s="22">
        <v>0.45771144278607</v>
      </c>
      <c r="AO144" s="22">
        <v>0.376404494382022</v>
      </c>
      <c r="AP144" s="22">
        <v>0.648648648648649</v>
      </c>
      <c r="AQ144" s="22">
        <v>0.377358490566038</v>
      </c>
      <c r="AR144" s="35">
        <v>13.1428571428571</v>
      </c>
      <c r="AS144" s="35">
        <v>788.571428571429</v>
      </c>
      <c r="AT144" s="35">
        <v>-737.571428571429</v>
      </c>
      <c r="AU144" s="31">
        <f t="shared" si="6"/>
        <v>3</v>
      </c>
      <c r="AV144" s="36">
        <f>IFERROR(时间!$B$4+AU144,"上周无销量")</f>
        <v>43286</v>
      </c>
    </row>
    <row r="145" spans="1:48">
      <c r="A145" s="20" t="s">
        <v>420</v>
      </c>
      <c r="B145" t="s">
        <v>416</v>
      </c>
      <c r="C145" t="s">
        <v>417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201</v>
      </c>
      <c r="AK145">
        <v>178</v>
      </c>
      <c r="AL145">
        <v>74</v>
      </c>
      <c r="AM145">
        <v>53</v>
      </c>
      <c r="AN145" s="22">
        <v>0</v>
      </c>
      <c r="AO145" s="22">
        <v>0</v>
      </c>
      <c r="AP145" s="22">
        <v>0</v>
      </c>
      <c r="AQ145" s="22">
        <v>0</v>
      </c>
      <c r="AR145" s="35">
        <v>0</v>
      </c>
      <c r="AS145" s="35">
        <v>0</v>
      </c>
      <c r="AT145" s="35">
        <v>0</v>
      </c>
      <c r="AU145" s="31" t="str">
        <f t="shared" si="6"/>
        <v>库存为0</v>
      </c>
      <c r="AV145" s="36" t="str">
        <f>IFERROR(时间!$B$4+AU145,"上周无销量")</f>
        <v>上周无销量</v>
      </c>
    </row>
    <row r="146" spans="1:48">
      <c r="A146" s="20" t="s">
        <v>421</v>
      </c>
      <c r="B146" t="s">
        <v>422</v>
      </c>
      <c r="C146" t="s">
        <v>421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0</v>
      </c>
      <c r="AK146">
        <v>0</v>
      </c>
      <c r="AL146">
        <v>0</v>
      </c>
      <c r="AM146">
        <v>0</v>
      </c>
      <c r="AN146" s="22" t="s">
        <v>53</v>
      </c>
      <c r="AO146" s="22" t="s">
        <v>53</v>
      </c>
      <c r="AP146" s="22" t="s">
        <v>53</v>
      </c>
      <c r="AQ146" s="22" t="s">
        <v>53</v>
      </c>
      <c r="AR146" s="35">
        <v>0</v>
      </c>
      <c r="AS146" s="35">
        <v>0</v>
      </c>
      <c r="AT146" s="35">
        <v>0</v>
      </c>
      <c r="AU146" s="31" t="str">
        <f t="shared" si="6"/>
        <v>库存为0</v>
      </c>
      <c r="AV146" s="36" t="str">
        <f>IFERROR(时间!$B$4+AU146,"上周无销量")</f>
        <v>上周无销量</v>
      </c>
    </row>
    <row r="147" spans="1:48">
      <c r="A147" s="20" t="s">
        <v>423</v>
      </c>
      <c r="B147" t="s">
        <v>424</v>
      </c>
      <c r="C147" t="s">
        <v>423</v>
      </c>
      <c r="D147" s="31">
        <v>1</v>
      </c>
      <c r="E147" s="31">
        <v>1</v>
      </c>
      <c r="F147" s="31">
        <v>0</v>
      </c>
      <c r="G147" s="31">
        <v>1</v>
      </c>
      <c r="H147" s="32">
        <v>9.99</v>
      </c>
      <c r="I147">
        <v>22</v>
      </c>
      <c r="J147" s="33">
        <v>0</v>
      </c>
      <c r="K147" s="33">
        <v>0</v>
      </c>
      <c r="L147" s="33">
        <v>0</v>
      </c>
      <c r="M147">
        <v>22</v>
      </c>
      <c r="N147">
        <v>0</v>
      </c>
      <c r="O147">
        <v>0</v>
      </c>
      <c r="P147">
        <v>4724</v>
      </c>
      <c r="Q147">
        <v>6125</v>
      </c>
      <c r="R147">
        <v>4658</v>
      </c>
      <c r="S147">
        <v>4460</v>
      </c>
      <c r="T147">
        <v>9</v>
      </c>
      <c r="U147">
        <v>14</v>
      </c>
      <c r="V147">
        <v>6</v>
      </c>
      <c r="W147">
        <v>7</v>
      </c>
      <c r="X147" s="22">
        <v>0.00190516511430991</v>
      </c>
      <c r="Y147" s="22">
        <v>0.00228571428571429</v>
      </c>
      <c r="Z147" s="22">
        <v>0.0012881064834693</v>
      </c>
      <c r="AA147" s="22">
        <v>0.0015695067264574</v>
      </c>
      <c r="AB147">
        <v>4.29</v>
      </c>
      <c r="AC147">
        <v>5.43</v>
      </c>
      <c r="AD147">
        <v>2.8</v>
      </c>
      <c r="AE147">
        <v>3.58</v>
      </c>
      <c r="AF147" s="22">
        <v>0.429429429429429</v>
      </c>
      <c r="AG147" s="22">
        <v>0.543543543543544</v>
      </c>
      <c r="AH147" s="22" t="s">
        <v>425</v>
      </c>
      <c r="AI147" s="22">
        <v>0.358358358358358</v>
      </c>
      <c r="AJ147">
        <v>53</v>
      </c>
      <c r="AK147">
        <v>27</v>
      </c>
      <c r="AL147">
        <v>21</v>
      </c>
      <c r="AM147">
        <v>2</v>
      </c>
      <c r="AN147" s="22">
        <v>0.0188679245283019</v>
      </c>
      <c r="AO147" s="22">
        <v>0.037037037037037</v>
      </c>
      <c r="AP147" s="22">
        <v>0</v>
      </c>
      <c r="AQ147" s="22">
        <v>0.5</v>
      </c>
      <c r="AR147" s="35">
        <v>0.142857142857143</v>
      </c>
      <c r="AS147" s="35">
        <v>8.57142857142857</v>
      </c>
      <c r="AT147" s="35">
        <v>13.4285714285714</v>
      </c>
      <c r="AU147" s="31">
        <f t="shared" si="6"/>
        <v>154</v>
      </c>
      <c r="AV147" s="36">
        <f>IFERROR(时间!$B$4+AU147,"上周无销量")</f>
        <v>43437</v>
      </c>
    </row>
    <row r="148" spans="1:48">
      <c r="A148" s="20" t="s">
        <v>426</v>
      </c>
      <c r="B148" t="s">
        <v>427</v>
      </c>
      <c r="C148" t="s">
        <v>428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13</v>
      </c>
      <c r="J148" s="33">
        <v>0</v>
      </c>
      <c r="K148" s="33">
        <v>0</v>
      </c>
      <c r="L148" s="33">
        <v>0</v>
      </c>
      <c r="M148">
        <v>13</v>
      </c>
      <c r="N148">
        <v>0</v>
      </c>
      <c r="O148">
        <v>13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3</v>
      </c>
      <c r="AK148">
        <v>0</v>
      </c>
      <c r="AL148">
        <v>0</v>
      </c>
      <c r="AM148">
        <v>0</v>
      </c>
      <c r="AN148" s="22">
        <v>0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13</v>
      </c>
      <c r="AU148" s="31" t="str">
        <f t="shared" si="6"/>
        <v>库存为13</v>
      </c>
      <c r="AV148" s="36" t="str">
        <f>IFERROR(时间!$B$4+AU148,"上周无销量")</f>
        <v>上周无销量</v>
      </c>
    </row>
    <row r="149" spans="1:48">
      <c r="A149" s="20" t="s">
        <v>429</v>
      </c>
      <c r="B149" t="s">
        <v>430</v>
      </c>
      <c r="C149" t="s">
        <v>428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8</v>
      </c>
      <c r="J149" s="33">
        <v>0</v>
      </c>
      <c r="K149" s="33">
        <v>0</v>
      </c>
      <c r="L149" s="33">
        <v>0</v>
      </c>
      <c r="M149">
        <v>8</v>
      </c>
      <c r="N149">
        <v>0</v>
      </c>
      <c r="O149">
        <v>8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1</v>
      </c>
      <c r="AK149">
        <v>0</v>
      </c>
      <c r="AL149">
        <v>0</v>
      </c>
      <c r="AM149">
        <v>1</v>
      </c>
      <c r="AN149" s="22">
        <v>0</v>
      </c>
      <c r="AO149" s="22" t="s">
        <v>53</v>
      </c>
      <c r="AP149" s="22" t="s">
        <v>53</v>
      </c>
      <c r="AQ149" s="22">
        <v>0</v>
      </c>
      <c r="AR149" s="35">
        <v>0</v>
      </c>
      <c r="AS149" s="35">
        <v>0</v>
      </c>
      <c r="AT149" s="35">
        <v>8</v>
      </c>
      <c r="AU149" s="31" t="str">
        <f t="shared" si="6"/>
        <v>库存为8</v>
      </c>
      <c r="AV149" s="36" t="str">
        <f>IFERROR(时间!$B$4+AU149,"上周无销量")</f>
        <v>上周无销量</v>
      </c>
    </row>
    <row r="150" spans="1:48">
      <c r="A150" s="20" t="s">
        <v>431</v>
      </c>
      <c r="B150" t="s">
        <v>432</v>
      </c>
      <c r="C150" t="s">
        <v>428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6</v>
      </c>
      <c r="J150" s="33">
        <v>0</v>
      </c>
      <c r="K150" s="33">
        <v>0</v>
      </c>
      <c r="L150" s="33">
        <v>0</v>
      </c>
      <c r="M150">
        <v>6</v>
      </c>
      <c r="N150">
        <v>0</v>
      </c>
      <c r="O150">
        <v>6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3</v>
      </c>
      <c r="AK150">
        <v>0</v>
      </c>
      <c r="AL150">
        <v>0</v>
      </c>
      <c r="AM150">
        <v>1</v>
      </c>
      <c r="AN150" s="22">
        <v>0</v>
      </c>
      <c r="AO150" s="22" t="s">
        <v>53</v>
      </c>
      <c r="AP150" s="22" t="s">
        <v>53</v>
      </c>
      <c r="AQ150" s="22">
        <v>0</v>
      </c>
      <c r="AR150" s="35">
        <v>0</v>
      </c>
      <c r="AS150" s="35">
        <v>0</v>
      </c>
      <c r="AT150" s="35">
        <v>6</v>
      </c>
      <c r="AU150" s="31" t="str">
        <f t="shared" si="6"/>
        <v>库存为6</v>
      </c>
      <c r="AV150" s="36" t="str">
        <f>IFERROR(时间!$B$4+AU150,"上周无销量")</f>
        <v>上周无销量</v>
      </c>
    </row>
    <row r="151" spans="1:48">
      <c r="A151" s="20" t="s">
        <v>433</v>
      </c>
      <c r="B151" t="s">
        <v>434</v>
      </c>
      <c r="C151" t="s">
        <v>435</v>
      </c>
      <c r="D151" s="31">
        <v>1</v>
      </c>
      <c r="E151" s="31">
        <v>0</v>
      </c>
      <c r="F151" s="31">
        <v>0</v>
      </c>
      <c r="G151" s="31">
        <v>0</v>
      </c>
      <c r="H151" s="32">
        <v>11.99</v>
      </c>
      <c r="I151">
        <v>1</v>
      </c>
      <c r="J151" s="33">
        <v>0</v>
      </c>
      <c r="K151" s="33">
        <v>0</v>
      </c>
      <c r="L151" s="33">
        <v>0</v>
      </c>
      <c r="M151">
        <v>1</v>
      </c>
      <c r="N151">
        <v>0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4</v>
      </c>
      <c r="AK151">
        <v>0</v>
      </c>
      <c r="AL151">
        <v>0</v>
      </c>
      <c r="AM151">
        <v>0</v>
      </c>
      <c r="AN151" s="22">
        <v>0.25</v>
      </c>
      <c r="AO151" s="22" t="s">
        <v>53</v>
      </c>
      <c r="AP151" s="22" t="s">
        <v>53</v>
      </c>
      <c r="AQ151" s="22" t="s">
        <v>53</v>
      </c>
      <c r="AR151" s="35">
        <v>0.142857142857143</v>
      </c>
      <c r="AS151" s="35">
        <v>8.57142857142857</v>
      </c>
      <c r="AT151" s="35">
        <v>-7.57142857142857</v>
      </c>
      <c r="AU151" s="31">
        <f t="shared" si="6"/>
        <v>7</v>
      </c>
      <c r="AV151" s="36">
        <f>IFERROR(时间!$B$4+AU151,"上周无销量")</f>
        <v>43290</v>
      </c>
    </row>
    <row r="152" spans="1:48">
      <c r="A152" s="20" t="s">
        <v>436</v>
      </c>
      <c r="B152" t="s">
        <v>437</v>
      </c>
      <c r="C152" t="s">
        <v>435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3</v>
      </c>
      <c r="J152" s="33">
        <v>0</v>
      </c>
      <c r="K152" s="33">
        <v>0</v>
      </c>
      <c r="L152" s="33">
        <v>0</v>
      </c>
      <c r="M152">
        <v>3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8</v>
      </c>
      <c r="AK152">
        <v>0</v>
      </c>
      <c r="AL152">
        <v>0</v>
      </c>
      <c r="AM152">
        <v>0</v>
      </c>
      <c r="AN152" s="22">
        <v>0</v>
      </c>
      <c r="AO152" s="22" t="s">
        <v>53</v>
      </c>
      <c r="AP152" s="22" t="s">
        <v>53</v>
      </c>
      <c r="AQ152" s="22" t="s">
        <v>53</v>
      </c>
      <c r="AR152" s="35">
        <v>0</v>
      </c>
      <c r="AS152" s="35">
        <v>0</v>
      </c>
      <c r="AT152" s="35">
        <v>3</v>
      </c>
      <c r="AU152" s="31" t="str">
        <f t="shared" si="6"/>
        <v>库存为3</v>
      </c>
      <c r="AV152" s="36" t="str">
        <f>IFERROR(时间!$B$4+AU152,"上周无销量")</f>
        <v>上周无销量</v>
      </c>
    </row>
    <row r="153" spans="1:48">
      <c r="A153" s="20" t="s">
        <v>438</v>
      </c>
      <c r="B153" t="s">
        <v>439</v>
      </c>
      <c r="C153" t="s">
        <v>435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2</v>
      </c>
      <c r="J153" s="33">
        <v>0</v>
      </c>
      <c r="K153" s="33">
        <v>0</v>
      </c>
      <c r="L153" s="33">
        <v>0</v>
      </c>
      <c r="M153">
        <v>2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5</v>
      </c>
      <c r="AK153">
        <v>0</v>
      </c>
      <c r="AL153">
        <v>0</v>
      </c>
      <c r="AM153">
        <v>0</v>
      </c>
      <c r="AN153" s="22">
        <v>0</v>
      </c>
      <c r="AO153" s="22" t="s">
        <v>53</v>
      </c>
      <c r="AP153" s="22" t="s">
        <v>53</v>
      </c>
      <c r="AQ153" s="22" t="s">
        <v>53</v>
      </c>
      <c r="AR153" s="35">
        <v>0</v>
      </c>
      <c r="AS153" s="35">
        <v>0</v>
      </c>
      <c r="AT153" s="35">
        <v>2</v>
      </c>
      <c r="AU153" s="31" t="str">
        <f t="shared" si="6"/>
        <v>库存为2</v>
      </c>
      <c r="AV153" s="36" t="str">
        <f>IFERROR(时间!$B$4+AU153,"上周无销量")</f>
        <v>上周无销量</v>
      </c>
    </row>
    <row r="154" spans="1:48">
      <c r="A154" s="20" t="s">
        <v>440</v>
      </c>
      <c r="B154" t="s">
        <v>441</v>
      </c>
      <c r="C154" t="s">
        <v>435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5</v>
      </c>
      <c r="AK154">
        <v>0</v>
      </c>
      <c r="AL154">
        <v>0</v>
      </c>
      <c r="AM154">
        <v>0</v>
      </c>
      <c r="AN154" s="22">
        <v>0</v>
      </c>
      <c r="AO154" s="22" t="s">
        <v>53</v>
      </c>
      <c r="AP154" s="22" t="s">
        <v>53</v>
      </c>
      <c r="AQ154" s="22" t="s">
        <v>53</v>
      </c>
      <c r="AR154" s="35">
        <v>0</v>
      </c>
      <c r="AS154" s="35">
        <v>0</v>
      </c>
      <c r="AT154" s="35">
        <v>3</v>
      </c>
      <c r="AU154" s="31" t="str">
        <f t="shared" si="6"/>
        <v>库存为3</v>
      </c>
      <c r="AV154" s="36" t="str">
        <f>IFERROR(时间!$B$4+AU154,"上周无销量")</f>
        <v>上周无销量</v>
      </c>
    </row>
    <row r="155" spans="1:48">
      <c r="A155" s="20" t="s">
        <v>442</v>
      </c>
      <c r="B155" t="s">
        <v>443</v>
      </c>
      <c r="C155" t="s">
        <v>444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5</v>
      </c>
      <c r="J155" s="33">
        <v>0</v>
      </c>
      <c r="K155" s="33">
        <v>0</v>
      </c>
      <c r="L155" s="33">
        <v>0</v>
      </c>
      <c r="M155">
        <v>5</v>
      </c>
      <c r="N155">
        <v>0</v>
      </c>
      <c r="O155">
        <v>0</v>
      </c>
      <c r="P155">
        <v>483</v>
      </c>
      <c r="Q155">
        <v>582</v>
      </c>
      <c r="R155">
        <v>653</v>
      </c>
      <c r="S155">
        <v>4217</v>
      </c>
      <c r="T155">
        <v>1</v>
      </c>
      <c r="U155">
        <v>5</v>
      </c>
      <c r="V155">
        <v>5</v>
      </c>
      <c r="W155">
        <v>3</v>
      </c>
      <c r="X155" s="22">
        <v>0.0020703933747412</v>
      </c>
      <c r="Y155" s="22">
        <v>0.00859106529209622</v>
      </c>
      <c r="Z155" s="22">
        <v>0.00765696784073507</v>
      </c>
      <c r="AA155" s="22">
        <v>0.000711406212947593</v>
      </c>
      <c r="AB155">
        <v>0.41</v>
      </c>
      <c r="AC155">
        <v>2.06</v>
      </c>
      <c r="AD155">
        <v>1.43</v>
      </c>
      <c r="AE155">
        <v>0.99</v>
      </c>
      <c r="AF155" s="22" t="s">
        <v>445</v>
      </c>
      <c r="AG155" s="22" t="s">
        <v>446</v>
      </c>
      <c r="AH155" s="22" t="s">
        <v>447</v>
      </c>
      <c r="AI155" s="22" t="s">
        <v>448</v>
      </c>
      <c r="AJ155">
        <v>2</v>
      </c>
      <c r="AK155">
        <v>0</v>
      </c>
      <c r="AL155">
        <v>1</v>
      </c>
      <c r="AM155">
        <v>0</v>
      </c>
      <c r="AN155" s="22">
        <v>0</v>
      </c>
      <c r="AO155" s="22" t="s">
        <v>53</v>
      </c>
      <c r="AP155" s="22">
        <v>0</v>
      </c>
      <c r="AQ155" s="22" t="s">
        <v>53</v>
      </c>
      <c r="AR155" s="35">
        <v>0</v>
      </c>
      <c r="AS155" s="35">
        <v>0</v>
      </c>
      <c r="AT155" s="35">
        <v>5</v>
      </c>
      <c r="AU155" s="31" t="str">
        <f t="shared" si="6"/>
        <v>库存为5</v>
      </c>
      <c r="AV155" s="36" t="str">
        <f>IFERROR(时间!$B$4+AU155,"上周无销量")</f>
        <v>上周无销量</v>
      </c>
    </row>
    <row r="156" spans="1:48">
      <c r="A156" s="20" t="s">
        <v>449</v>
      </c>
      <c r="B156" t="s">
        <v>450</v>
      </c>
      <c r="C156" t="s">
        <v>444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451</v>
      </c>
      <c r="B157" t="s">
        <v>452</v>
      </c>
      <c r="C157" t="s">
        <v>444</v>
      </c>
      <c r="D157" s="31">
        <v>0</v>
      </c>
      <c r="E157" s="31">
        <v>0</v>
      </c>
      <c r="F157" s="31">
        <v>1</v>
      </c>
      <c r="G157" s="31">
        <v>0</v>
      </c>
      <c r="H157" s="32">
        <v>7.99</v>
      </c>
      <c r="I157">
        <v>4</v>
      </c>
      <c r="J157" s="33">
        <v>0</v>
      </c>
      <c r="K157" s="33">
        <v>0</v>
      </c>
      <c r="L157" s="33">
        <v>0</v>
      </c>
      <c r="M157">
        <v>4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1721</v>
      </c>
      <c r="T157">
        <v>0</v>
      </c>
      <c r="U157">
        <v>0</v>
      </c>
      <c r="V157">
        <v>0</v>
      </c>
      <c r="W157">
        <v>0</v>
      </c>
      <c r="X157" s="22" t="s">
        <v>53</v>
      </c>
      <c r="Y157" s="22" t="s">
        <v>53</v>
      </c>
      <c r="Z157" s="22" t="s">
        <v>53</v>
      </c>
      <c r="AA157" s="22">
        <v>0</v>
      </c>
      <c r="AB157">
        <v>0</v>
      </c>
      <c r="AC157">
        <v>0</v>
      </c>
      <c r="AD157">
        <v>0</v>
      </c>
      <c r="AE157">
        <v>0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3</v>
      </c>
      <c r="AK157">
        <v>1</v>
      </c>
      <c r="AL157">
        <v>4</v>
      </c>
      <c r="AM157">
        <v>1</v>
      </c>
      <c r="AN157" s="22">
        <v>0</v>
      </c>
      <c r="AO157" s="22">
        <v>0</v>
      </c>
      <c r="AP157" s="22">
        <v>0.25</v>
      </c>
      <c r="AQ157" s="22">
        <v>0</v>
      </c>
      <c r="AR157" s="35">
        <v>0</v>
      </c>
      <c r="AS157" s="35">
        <v>0</v>
      </c>
      <c r="AT157" s="35">
        <v>4</v>
      </c>
      <c r="AU157" s="31" t="str">
        <f t="shared" si="6"/>
        <v>库存为4</v>
      </c>
      <c r="AV157" s="36" t="str">
        <f>IFERROR(时间!$B$4+AU157,"上周无销量")</f>
        <v>上周无销量</v>
      </c>
    </row>
    <row r="158" spans="1:48">
      <c r="A158" s="20" t="s">
        <v>453</v>
      </c>
      <c r="B158" t="s">
        <v>454</v>
      </c>
      <c r="C158" t="s">
        <v>444</v>
      </c>
      <c r="D158" s="31">
        <v>0</v>
      </c>
      <c r="E158" s="31">
        <v>0</v>
      </c>
      <c r="F158" s="31">
        <v>1</v>
      </c>
      <c r="G158" s="31">
        <v>1</v>
      </c>
      <c r="H158" s="32">
        <v>7.99</v>
      </c>
      <c r="I158">
        <v>3</v>
      </c>
      <c r="J158" s="33">
        <v>0</v>
      </c>
      <c r="K158" s="33">
        <v>0</v>
      </c>
      <c r="L158" s="33">
        <v>0</v>
      </c>
      <c r="M158">
        <v>3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1436</v>
      </c>
      <c r="T158">
        <v>0</v>
      </c>
      <c r="U158">
        <v>0</v>
      </c>
      <c r="V158">
        <v>0</v>
      </c>
      <c r="W158">
        <v>2</v>
      </c>
      <c r="X158" s="22" t="s">
        <v>53</v>
      </c>
      <c r="Y158" s="22" t="s">
        <v>53</v>
      </c>
      <c r="Z158" s="22" t="s">
        <v>53</v>
      </c>
      <c r="AA158" s="22">
        <v>0.00139275766016713</v>
      </c>
      <c r="AB158">
        <v>0</v>
      </c>
      <c r="AC158">
        <v>0</v>
      </c>
      <c r="AD158">
        <v>0</v>
      </c>
      <c r="AE158">
        <v>0.94</v>
      </c>
      <c r="AF158" s="22" t="s">
        <v>53</v>
      </c>
      <c r="AG158" s="22" t="s">
        <v>53</v>
      </c>
      <c r="AH158" s="22" t="s">
        <v>53</v>
      </c>
      <c r="AI158" s="22">
        <v>0.117647058823529</v>
      </c>
      <c r="AJ158">
        <v>0</v>
      </c>
      <c r="AK158">
        <v>3</v>
      </c>
      <c r="AL158">
        <v>4</v>
      </c>
      <c r="AM158">
        <v>3</v>
      </c>
      <c r="AN158" s="22" t="s">
        <v>53</v>
      </c>
      <c r="AO158" s="22">
        <v>0</v>
      </c>
      <c r="AP158" s="22">
        <v>0.25</v>
      </c>
      <c r="AQ158" s="22">
        <v>0.333333333333333</v>
      </c>
      <c r="AR158" s="35">
        <v>0</v>
      </c>
      <c r="AS158" s="35">
        <v>0</v>
      </c>
      <c r="AT158" s="35">
        <v>3</v>
      </c>
      <c r="AU158" s="31" t="str">
        <f t="shared" si="6"/>
        <v>库存为3</v>
      </c>
      <c r="AV158" s="36" t="str">
        <f>IFERROR(时间!$B$4+AU158,"上周无销量")</f>
        <v>上周无销量</v>
      </c>
    </row>
    <row r="159" spans="1:48">
      <c r="A159" s="20" t="s">
        <v>455</v>
      </c>
      <c r="B159" t="s">
        <v>456</v>
      </c>
      <c r="C159" t="s">
        <v>444</v>
      </c>
      <c r="D159" s="31">
        <v>0</v>
      </c>
      <c r="E159" s="31">
        <v>0</v>
      </c>
      <c r="F159" s="31">
        <v>2</v>
      </c>
      <c r="G159" s="31">
        <v>0</v>
      </c>
      <c r="H159" s="32">
        <v>12.99</v>
      </c>
      <c r="I159">
        <v>2</v>
      </c>
      <c r="J159" s="33">
        <v>0</v>
      </c>
      <c r="K159" s="33">
        <v>0</v>
      </c>
      <c r="L159" s="33">
        <v>0</v>
      </c>
      <c r="M159">
        <v>2</v>
      </c>
      <c r="N159">
        <v>0</v>
      </c>
      <c r="O159">
        <v>0</v>
      </c>
      <c r="P159">
        <v>1039</v>
      </c>
      <c r="Q159">
        <v>1150</v>
      </c>
      <c r="R159">
        <v>950</v>
      </c>
      <c r="S159">
        <v>1114</v>
      </c>
      <c r="T159">
        <v>3</v>
      </c>
      <c r="U159">
        <v>6</v>
      </c>
      <c r="V159">
        <v>3</v>
      </c>
      <c r="W159">
        <v>5</v>
      </c>
      <c r="X159" s="22">
        <v>0.00288739172281039</v>
      </c>
      <c r="Y159" s="22">
        <v>0.00521739130434783</v>
      </c>
      <c r="Z159" s="22">
        <v>0.00315789473684211</v>
      </c>
      <c r="AA159" s="22">
        <v>0.00448833034111311</v>
      </c>
      <c r="AB159">
        <v>1.27</v>
      </c>
      <c r="AC159">
        <v>2.62</v>
      </c>
      <c r="AD159">
        <v>1.23</v>
      </c>
      <c r="AE159">
        <v>2.1</v>
      </c>
      <c r="AF159" s="22" t="s">
        <v>457</v>
      </c>
      <c r="AG159" s="22" t="s">
        <v>109</v>
      </c>
      <c r="AH159" s="22">
        <v>0.0473441108545035</v>
      </c>
      <c r="AI159" s="22" t="s">
        <v>458</v>
      </c>
      <c r="AJ159">
        <v>2</v>
      </c>
      <c r="AK159">
        <v>4</v>
      </c>
      <c r="AL159">
        <v>1</v>
      </c>
      <c r="AM159">
        <v>1</v>
      </c>
      <c r="AN159" s="22">
        <v>0</v>
      </c>
      <c r="AO159" s="22">
        <v>0</v>
      </c>
      <c r="AP159" s="22">
        <v>2</v>
      </c>
      <c r="AQ159" s="22">
        <v>0</v>
      </c>
      <c r="AR159" s="35">
        <v>0</v>
      </c>
      <c r="AS159" s="35">
        <v>0</v>
      </c>
      <c r="AT159" s="35">
        <v>2</v>
      </c>
      <c r="AU159" s="31" t="str">
        <f t="shared" si="6"/>
        <v>库存为2</v>
      </c>
      <c r="AV159" s="36" t="str">
        <f>IFERROR(时间!$B$4+AU159,"上周无销量")</f>
        <v>上周无销量</v>
      </c>
    </row>
    <row r="160" spans="1:48">
      <c r="A160" s="20" t="s">
        <v>459</v>
      </c>
      <c r="B160" t="s">
        <v>460</v>
      </c>
      <c r="C160" t="s">
        <v>444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4</v>
      </c>
      <c r="J160" s="33">
        <v>0</v>
      </c>
      <c r="K160" s="33">
        <v>0</v>
      </c>
      <c r="L160" s="33">
        <v>0</v>
      </c>
      <c r="M160">
        <v>4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6115</v>
      </c>
      <c r="T160">
        <v>0</v>
      </c>
      <c r="U160">
        <v>0</v>
      </c>
      <c r="V160">
        <v>0</v>
      </c>
      <c r="W160">
        <v>6</v>
      </c>
      <c r="X160" s="22" t="s">
        <v>53</v>
      </c>
      <c r="Y160" s="22" t="s">
        <v>53</v>
      </c>
      <c r="Z160" s="22" t="s">
        <v>53</v>
      </c>
      <c r="AA160" s="22">
        <v>0.00098119378577269</v>
      </c>
      <c r="AB160">
        <v>0</v>
      </c>
      <c r="AC160">
        <v>0</v>
      </c>
      <c r="AD160">
        <v>0</v>
      </c>
      <c r="AE160">
        <v>1.97</v>
      </c>
      <c r="AF160" s="22" t="s">
        <v>53</v>
      </c>
      <c r="AG160" s="22" t="s">
        <v>53</v>
      </c>
      <c r="AH160" s="22" t="s">
        <v>53</v>
      </c>
      <c r="AI160" s="22" t="s">
        <v>461</v>
      </c>
      <c r="AJ160">
        <v>2</v>
      </c>
      <c r="AK160">
        <v>0</v>
      </c>
      <c r="AL160">
        <v>1</v>
      </c>
      <c r="AM160">
        <v>1</v>
      </c>
      <c r="AN160" s="22">
        <v>0</v>
      </c>
      <c r="AO160" s="22" t="s">
        <v>53</v>
      </c>
      <c r="AP160" s="22">
        <v>0</v>
      </c>
      <c r="AQ160" s="22">
        <v>0</v>
      </c>
      <c r="AR160" s="35">
        <v>0</v>
      </c>
      <c r="AS160" s="35">
        <v>0</v>
      </c>
      <c r="AT160" s="35">
        <v>4</v>
      </c>
      <c r="AU160" s="31" t="str">
        <f t="shared" si="6"/>
        <v>库存为4</v>
      </c>
      <c r="AV160" s="36" t="str">
        <f>IFERROR(时间!$B$4+AU160,"上周无销量")</f>
        <v>上周无销量</v>
      </c>
    </row>
    <row r="161" spans="1:48">
      <c r="A161" s="20" t="s">
        <v>462</v>
      </c>
      <c r="B161" t="s">
        <v>463</v>
      </c>
      <c r="C161" t="s">
        <v>464</v>
      </c>
      <c r="D161" s="31">
        <v>0</v>
      </c>
      <c r="E161" s="31">
        <v>0</v>
      </c>
      <c r="F161" s="31">
        <v>1</v>
      </c>
      <c r="G161" s="31">
        <v>0</v>
      </c>
      <c r="H161" s="32">
        <v>19.9</v>
      </c>
      <c r="I161">
        <v>2</v>
      </c>
      <c r="J161" s="33">
        <v>0</v>
      </c>
      <c r="K161" s="33">
        <v>0</v>
      </c>
      <c r="L161" s="33">
        <v>0</v>
      </c>
      <c r="M161">
        <v>2</v>
      </c>
      <c r="N161">
        <v>0</v>
      </c>
      <c r="O161">
        <v>0</v>
      </c>
      <c r="P161">
        <v>1696</v>
      </c>
      <c r="Q161">
        <v>5324</v>
      </c>
      <c r="R161">
        <v>2784</v>
      </c>
      <c r="S161">
        <v>1762</v>
      </c>
      <c r="T161">
        <v>4</v>
      </c>
      <c r="U161">
        <v>10</v>
      </c>
      <c r="V161">
        <v>6</v>
      </c>
      <c r="W161">
        <v>7</v>
      </c>
      <c r="X161" s="22">
        <v>0.00235849056603774</v>
      </c>
      <c r="Y161" s="22">
        <v>0.00187828700225394</v>
      </c>
      <c r="Z161" s="22">
        <v>0.0021551724137931</v>
      </c>
      <c r="AA161" s="22">
        <v>0.0039727582292849</v>
      </c>
      <c r="AB161">
        <v>1.44</v>
      </c>
      <c r="AC161">
        <v>4.57</v>
      </c>
      <c r="AD161">
        <v>2.54</v>
      </c>
      <c r="AE161">
        <v>2.9</v>
      </c>
      <c r="AF161" s="22" t="s">
        <v>465</v>
      </c>
      <c r="AG161" s="22" t="s">
        <v>466</v>
      </c>
      <c r="AH161" s="22">
        <v>0.127638190954774</v>
      </c>
      <c r="AI161" s="22" t="s">
        <v>467</v>
      </c>
      <c r="AJ161">
        <v>7</v>
      </c>
      <c r="AK161">
        <v>9</v>
      </c>
      <c r="AL161">
        <v>9</v>
      </c>
      <c r="AM161">
        <v>9</v>
      </c>
      <c r="AN161" s="22">
        <v>0</v>
      </c>
      <c r="AO161" s="22">
        <v>0</v>
      </c>
      <c r="AP161" s="22">
        <v>0.111111111111111</v>
      </c>
      <c r="AQ161" s="22">
        <v>0</v>
      </c>
      <c r="AR161" s="35">
        <v>0</v>
      </c>
      <c r="AS161" s="35">
        <v>0</v>
      </c>
      <c r="AT161" s="35">
        <v>2</v>
      </c>
      <c r="AU161" s="31" t="str">
        <f t="shared" si="6"/>
        <v>库存为2</v>
      </c>
      <c r="AV161" s="36" t="str">
        <f>IFERROR(时间!$B$4+AU161,"上周无销量")</f>
        <v>上周无销量</v>
      </c>
    </row>
    <row r="162" spans="1:48">
      <c r="A162" s="20" t="s">
        <v>468</v>
      </c>
      <c r="B162" t="s">
        <v>469</v>
      </c>
      <c r="C162" t="s">
        <v>464</v>
      </c>
      <c r="D162" s="31">
        <v>0</v>
      </c>
      <c r="E162" s="31">
        <v>0</v>
      </c>
      <c r="F162" s="31">
        <v>1</v>
      </c>
      <c r="G162" s="31">
        <v>0</v>
      </c>
      <c r="H162" s="32">
        <v>15.92</v>
      </c>
      <c r="I162">
        <v>233</v>
      </c>
      <c r="J162" s="33">
        <v>0</v>
      </c>
      <c r="K162" s="33">
        <v>0</v>
      </c>
      <c r="L162" s="33">
        <v>0</v>
      </c>
      <c r="M162">
        <v>233</v>
      </c>
      <c r="N162">
        <v>0</v>
      </c>
      <c r="O162">
        <v>219</v>
      </c>
      <c r="P162">
        <v>0</v>
      </c>
      <c r="Q162">
        <v>0</v>
      </c>
      <c r="R162">
        <v>0</v>
      </c>
      <c r="S162">
        <v>1689</v>
      </c>
      <c r="T162">
        <v>0</v>
      </c>
      <c r="U162">
        <v>0</v>
      </c>
      <c r="V162">
        <v>0</v>
      </c>
      <c r="W162">
        <v>1</v>
      </c>
      <c r="X162" s="22" t="s">
        <v>53</v>
      </c>
      <c r="Y162" s="22" t="s">
        <v>53</v>
      </c>
      <c r="Z162" s="22" t="s">
        <v>53</v>
      </c>
      <c r="AA162" s="22">
        <v>0.00059206631142688</v>
      </c>
      <c r="AB162">
        <v>0</v>
      </c>
      <c r="AC162">
        <v>0</v>
      </c>
      <c r="AD162">
        <v>0</v>
      </c>
      <c r="AE162">
        <v>0.37</v>
      </c>
      <c r="AF162" s="22" t="s">
        <v>53</v>
      </c>
      <c r="AG162" s="22" t="s">
        <v>53</v>
      </c>
      <c r="AH162" s="22" t="s">
        <v>53</v>
      </c>
      <c r="AI162" s="22" t="s">
        <v>470</v>
      </c>
      <c r="AJ162">
        <v>10</v>
      </c>
      <c r="AK162">
        <v>5</v>
      </c>
      <c r="AL162">
        <v>3</v>
      </c>
      <c r="AM162">
        <v>4</v>
      </c>
      <c r="AN162" s="22">
        <v>0</v>
      </c>
      <c r="AO162" s="22">
        <v>0</v>
      </c>
      <c r="AP162" s="22">
        <v>0.333333333333333</v>
      </c>
      <c r="AQ162" s="22">
        <v>0</v>
      </c>
      <c r="AR162" s="35">
        <v>0</v>
      </c>
      <c r="AS162" s="35">
        <v>0</v>
      </c>
      <c r="AT162" s="35">
        <v>233</v>
      </c>
      <c r="AU162" s="31" t="str">
        <f t="shared" si="6"/>
        <v>库存为233</v>
      </c>
      <c r="AV162" s="36" t="str">
        <f>IFERROR(时间!$B$4+AU162,"上周无销量")</f>
        <v>上周无销量</v>
      </c>
    </row>
    <row r="163" spans="1:48">
      <c r="A163" s="20" t="s">
        <v>471</v>
      </c>
      <c r="B163" t="s">
        <v>472</v>
      </c>
      <c r="C163" t="s">
        <v>464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0</v>
      </c>
      <c r="AL163">
        <v>0</v>
      </c>
      <c r="AM163">
        <v>0</v>
      </c>
      <c r="AN163" s="22" t="s">
        <v>53</v>
      </c>
      <c r="AO163" s="22" t="s">
        <v>53</v>
      </c>
      <c r="AP163" s="22" t="s">
        <v>53</v>
      </c>
      <c r="AQ163" s="22" t="s">
        <v>53</v>
      </c>
      <c r="AR163" s="35">
        <v>0</v>
      </c>
      <c r="AS163" s="35">
        <v>0</v>
      </c>
      <c r="AT163" s="35">
        <v>0</v>
      </c>
      <c r="AU163" s="31" t="str">
        <f t="shared" si="6"/>
        <v>库存为0</v>
      </c>
      <c r="AV163" s="36" t="str">
        <f>IFERROR(时间!$B$4+AU163,"上周无销量")</f>
        <v>上周无销量</v>
      </c>
    </row>
    <row r="164" spans="1:48">
      <c r="A164" s="20" t="s">
        <v>473</v>
      </c>
      <c r="B164" t="s">
        <v>474</v>
      </c>
      <c r="C164" t="s">
        <v>464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1</v>
      </c>
      <c r="J164" s="33">
        <v>0</v>
      </c>
      <c r="K164" s="33">
        <v>0</v>
      </c>
      <c r="L164" s="33">
        <v>0</v>
      </c>
      <c r="M164">
        <v>1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1875</v>
      </c>
      <c r="T164">
        <v>0</v>
      </c>
      <c r="U164">
        <v>0</v>
      </c>
      <c r="V164">
        <v>0</v>
      </c>
      <c r="W164">
        <v>2</v>
      </c>
      <c r="X164" s="22" t="s">
        <v>53</v>
      </c>
      <c r="Y164" s="22" t="s">
        <v>53</v>
      </c>
      <c r="Z164" s="22" t="s">
        <v>53</v>
      </c>
      <c r="AA164" s="22">
        <v>0.00106666666666667</v>
      </c>
      <c r="AB164">
        <v>0</v>
      </c>
      <c r="AC164">
        <v>0</v>
      </c>
      <c r="AD164">
        <v>0</v>
      </c>
      <c r="AE164">
        <v>0.56</v>
      </c>
      <c r="AF164" s="22" t="s">
        <v>53</v>
      </c>
      <c r="AG164" s="22" t="s">
        <v>53</v>
      </c>
      <c r="AH164" s="22" t="s">
        <v>53</v>
      </c>
      <c r="AI164" s="22" t="s">
        <v>475</v>
      </c>
      <c r="AJ164">
        <v>4</v>
      </c>
      <c r="AK164">
        <v>2</v>
      </c>
      <c r="AL164">
        <v>2</v>
      </c>
      <c r="AM164">
        <v>0</v>
      </c>
      <c r="AN164" s="22">
        <v>0</v>
      </c>
      <c r="AO164" s="22">
        <v>0</v>
      </c>
      <c r="AP164" s="22">
        <v>0</v>
      </c>
      <c r="AQ164" s="22" t="s">
        <v>53</v>
      </c>
      <c r="AR164" s="35">
        <v>0</v>
      </c>
      <c r="AS164" s="35">
        <v>0</v>
      </c>
      <c r="AT164" s="35">
        <v>1</v>
      </c>
      <c r="AU164" s="31" t="str">
        <f t="shared" si="6"/>
        <v>库存为1</v>
      </c>
      <c r="AV164" s="36" t="str">
        <f>IFERROR(时间!$B$4+AU164,"上周无销量")</f>
        <v>上周无销量</v>
      </c>
    </row>
    <row r="165" spans="1:48">
      <c r="A165" s="20" t="s">
        <v>476</v>
      </c>
      <c r="B165" t="s">
        <v>477</v>
      </c>
      <c r="C165" t="s">
        <v>464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478</v>
      </c>
      <c r="B166" t="s">
        <v>479</v>
      </c>
      <c r="C166" t="s">
        <v>464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480</v>
      </c>
      <c r="B167" t="s">
        <v>481</v>
      </c>
      <c r="C167" t="s">
        <v>482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0</v>
      </c>
      <c r="AK167">
        <v>0</v>
      </c>
      <c r="AL167">
        <v>0</v>
      </c>
      <c r="AM167">
        <v>0</v>
      </c>
      <c r="AN167" s="22" t="s">
        <v>53</v>
      </c>
      <c r="AO167" s="22" t="s">
        <v>53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0</v>
      </c>
      <c r="AU167" s="31" t="str">
        <f t="shared" si="6"/>
        <v>库存为0</v>
      </c>
      <c r="AV167" s="36" t="str">
        <f>IFERROR(时间!$B$4+AU167,"上周无销量")</f>
        <v>上周无销量</v>
      </c>
    </row>
    <row r="168" spans="1:48">
      <c r="A168" s="20" t="s">
        <v>483</v>
      </c>
      <c r="B168" t="s">
        <v>484</v>
      </c>
      <c r="C168" t="s">
        <v>485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0</v>
      </c>
      <c r="AN168" s="22" t="s">
        <v>53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20" t="s">
        <v>486</v>
      </c>
      <c r="B169" t="s">
        <v>487</v>
      </c>
      <c r="C169" t="s">
        <v>488</v>
      </c>
      <c r="D169" s="31">
        <v>0</v>
      </c>
      <c r="E169" s="31">
        <v>0</v>
      </c>
      <c r="F169" s="31">
        <v>1</v>
      </c>
      <c r="G169" s="31">
        <v>0</v>
      </c>
      <c r="H169" s="32">
        <v>15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7</v>
      </c>
      <c r="AN169" s="22" t="s">
        <v>53</v>
      </c>
      <c r="AO169" s="22" t="s">
        <v>53</v>
      </c>
      <c r="AP169" s="22" t="s">
        <v>53</v>
      </c>
      <c r="AQ169" s="22">
        <v>0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489</v>
      </c>
      <c r="B170" t="s">
        <v>490</v>
      </c>
      <c r="C170" t="s">
        <v>488</v>
      </c>
      <c r="D170" s="31">
        <v>0</v>
      </c>
      <c r="E170" s="31">
        <v>1</v>
      </c>
      <c r="F170" s="31">
        <v>1</v>
      </c>
      <c r="G170" s="31">
        <v>1</v>
      </c>
      <c r="H170" s="32">
        <v>15.99</v>
      </c>
      <c r="I170">
        <v>2</v>
      </c>
      <c r="J170" s="33">
        <v>0</v>
      </c>
      <c r="K170" s="33">
        <v>0</v>
      </c>
      <c r="L170" s="33">
        <v>0</v>
      </c>
      <c r="M170">
        <v>2</v>
      </c>
      <c r="N170">
        <v>0</v>
      </c>
      <c r="O170">
        <v>2</v>
      </c>
      <c r="P170">
        <v>10926</v>
      </c>
      <c r="Q170">
        <v>1191</v>
      </c>
      <c r="R170">
        <v>836</v>
      </c>
      <c r="S170">
        <v>0</v>
      </c>
      <c r="T170">
        <v>42</v>
      </c>
      <c r="U170">
        <v>15</v>
      </c>
      <c r="V170">
        <v>14</v>
      </c>
      <c r="W170">
        <v>0</v>
      </c>
      <c r="X170" s="22">
        <v>0.00384404173531027</v>
      </c>
      <c r="Y170" s="22">
        <v>0.0125944584382872</v>
      </c>
      <c r="Z170" s="22">
        <v>0.0167464114832536</v>
      </c>
      <c r="AA170" s="22" t="s">
        <v>53</v>
      </c>
      <c r="AB170">
        <v>13.45</v>
      </c>
      <c r="AC170">
        <v>4.69</v>
      </c>
      <c r="AD170">
        <v>4.45</v>
      </c>
      <c r="AE170">
        <v>0</v>
      </c>
      <c r="AF170" s="22" t="s">
        <v>491</v>
      </c>
      <c r="AG170" s="22">
        <v>0.293308317698562</v>
      </c>
      <c r="AH170" s="22">
        <v>0.278298936835522</v>
      </c>
      <c r="AI170" s="22" t="s">
        <v>53</v>
      </c>
      <c r="AJ170">
        <v>10</v>
      </c>
      <c r="AK170">
        <v>32</v>
      </c>
      <c r="AL170">
        <v>8</v>
      </c>
      <c r="AM170">
        <v>12</v>
      </c>
      <c r="AN170" s="22">
        <v>0</v>
      </c>
      <c r="AO170" s="22">
        <v>0.03125</v>
      </c>
      <c r="AP170" s="22">
        <v>0.125</v>
      </c>
      <c r="AQ170" s="22">
        <v>0.0833333333333333</v>
      </c>
      <c r="AR170" s="35">
        <v>0</v>
      </c>
      <c r="AS170" s="35">
        <v>0</v>
      </c>
      <c r="AT170" s="35">
        <v>2</v>
      </c>
      <c r="AU170" s="31" t="str">
        <f t="shared" si="6"/>
        <v>库存为2</v>
      </c>
      <c r="AV170" s="36" t="str">
        <f>IFERROR(时间!$B$4+AU170,"上周无销量")</f>
        <v>上周无销量</v>
      </c>
    </row>
    <row r="171" spans="1:48">
      <c r="A171" s="20" t="s">
        <v>492</v>
      </c>
      <c r="B171" t="s">
        <v>493</v>
      </c>
      <c r="C171" t="s">
        <v>488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5</v>
      </c>
      <c r="J171" s="33">
        <v>0</v>
      </c>
      <c r="K171" s="33">
        <v>0</v>
      </c>
      <c r="L171" s="33">
        <v>0</v>
      </c>
      <c r="M171">
        <v>5</v>
      </c>
      <c r="N171">
        <v>0</v>
      </c>
      <c r="O171">
        <v>5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10</v>
      </c>
      <c r="AK171">
        <v>5</v>
      </c>
      <c r="AL171">
        <v>2</v>
      </c>
      <c r="AM171">
        <v>4</v>
      </c>
      <c r="AN171" s="22">
        <v>0</v>
      </c>
      <c r="AO171" s="22">
        <v>0</v>
      </c>
      <c r="AP171" s="22">
        <v>0</v>
      </c>
      <c r="AQ171" s="22">
        <v>0</v>
      </c>
      <c r="AR171" s="35">
        <v>0</v>
      </c>
      <c r="AS171" s="35">
        <v>0</v>
      </c>
      <c r="AT171" s="35">
        <v>5</v>
      </c>
      <c r="AU171" s="31" t="str">
        <f t="shared" si="6"/>
        <v>库存为5</v>
      </c>
      <c r="AV171" s="36" t="str">
        <f>IFERROR(时间!$B$4+AU171,"上周无销量")</f>
        <v>上周无销量</v>
      </c>
    </row>
    <row r="172" spans="1:48">
      <c r="A172" s="20" t="s">
        <v>494</v>
      </c>
      <c r="B172" t="s">
        <v>487</v>
      </c>
      <c r="C172" t="s">
        <v>488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7</v>
      </c>
      <c r="AN172" s="22" t="s">
        <v>53</v>
      </c>
      <c r="AO172" s="22" t="s">
        <v>53</v>
      </c>
      <c r="AP172" s="22" t="s">
        <v>53</v>
      </c>
      <c r="AQ172" s="22">
        <v>0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495</v>
      </c>
      <c r="B173" t="s">
        <v>496</v>
      </c>
      <c r="C173" t="s">
        <v>488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4</v>
      </c>
      <c r="J173" s="33">
        <v>0</v>
      </c>
      <c r="K173" s="33">
        <v>0</v>
      </c>
      <c r="L173" s="33">
        <v>0</v>
      </c>
      <c r="M173">
        <v>4</v>
      </c>
      <c r="N173">
        <v>0</v>
      </c>
      <c r="O173">
        <v>3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9</v>
      </c>
      <c r="AK173">
        <v>7</v>
      </c>
      <c r="AL173">
        <v>2</v>
      </c>
      <c r="AM173">
        <v>1</v>
      </c>
      <c r="AN173" s="22">
        <v>0</v>
      </c>
      <c r="AO173" s="22">
        <v>0</v>
      </c>
      <c r="AP173" s="22">
        <v>0</v>
      </c>
      <c r="AQ173" s="22">
        <v>0</v>
      </c>
      <c r="AR173" s="35">
        <v>0</v>
      </c>
      <c r="AS173" s="35">
        <v>0</v>
      </c>
      <c r="AT173" s="35">
        <v>4</v>
      </c>
      <c r="AU173" s="31" t="str">
        <f t="shared" si="6"/>
        <v>库存为4</v>
      </c>
      <c r="AV173" s="36" t="str">
        <f>IFERROR(时间!$B$4+AU173,"上周无销量")</f>
        <v>上周无销量</v>
      </c>
    </row>
    <row r="174" spans="1:48">
      <c r="A174" s="20" t="s">
        <v>497</v>
      </c>
      <c r="B174" t="s">
        <v>498</v>
      </c>
      <c r="C174" t="s">
        <v>499</v>
      </c>
      <c r="D174" s="31">
        <v>0</v>
      </c>
      <c r="E174" s="31">
        <v>0</v>
      </c>
      <c r="F174" s="31">
        <v>0</v>
      </c>
      <c r="G174" s="31">
        <v>1</v>
      </c>
      <c r="H174" s="32">
        <v>10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273</v>
      </c>
      <c r="S174">
        <v>0</v>
      </c>
      <c r="T174">
        <v>0</v>
      </c>
      <c r="U174">
        <v>0</v>
      </c>
      <c r="V174">
        <v>3</v>
      </c>
      <c r="W174">
        <v>0</v>
      </c>
      <c r="X174" s="22" t="s">
        <v>53</v>
      </c>
      <c r="Y174" s="22" t="s">
        <v>53</v>
      </c>
      <c r="Z174" s="22">
        <v>0.010989010989011</v>
      </c>
      <c r="AA174" s="22" t="s">
        <v>53</v>
      </c>
      <c r="AB174">
        <v>0</v>
      </c>
      <c r="AC174">
        <v>0</v>
      </c>
      <c r="AD174">
        <v>1.66</v>
      </c>
      <c r="AE174">
        <v>0</v>
      </c>
      <c r="AF174" s="22" t="s">
        <v>53</v>
      </c>
      <c r="AG174" s="22" t="s">
        <v>53</v>
      </c>
      <c r="AH174" s="22" t="s">
        <v>215</v>
      </c>
      <c r="AI174" s="22" t="s">
        <v>53</v>
      </c>
      <c r="AJ174">
        <v>0</v>
      </c>
      <c r="AK174">
        <v>0</v>
      </c>
      <c r="AL174">
        <v>0</v>
      </c>
      <c r="AM174">
        <v>3</v>
      </c>
      <c r="AN174" s="22" t="s">
        <v>53</v>
      </c>
      <c r="AO174" s="22" t="s">
        <v>53</v>
      </c>
      <c r="AP174" s="22" t="s">
        <v>53</v>
      </c>
      <c r="AQ174" s="22">
        <v>0.333333333333333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20" t="s">
        <v>500</v>
      </c>
      <c r="B175" t="s">
        <v>501</v>
      </c>
      <c r="C175" t="s">
        <v>502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3</v>
      </c>
      <c r="P175">
        <v>919</v>
      </c>
      <c r="Q175">
        <v>657</v>
      </c>
      <c r="R175">
        <v>585</v>
      </c>
      <c r="S175">
        <v>0</v>
      </c>
      <c r="T175">
        <v>6</v>
      </c>
      <c r="U175">
        <v>7</v>
      </c>
      <c r="V175">
        <v>5</v>
      </c>
      <c r="W175">
        <v>0</v>
      </c>
      <c r="X175" s="22">
        <v>0.00652883569096844</v>
      </c>
      <c r="Y175" s="22">
        <v>0.0106544901065449</v>
      </c>
      <c r="Z175" s="22">
        <v>0.00854700854700855</v>
      </c>
      <c r="AA175" s="22" t="s">
        <v>53</v>
      </c>
      <c r="AB175">
        <v>2.45</v>
      </c>
      <c r="AC175">
        <v>2.93</v>
      </c>
      <c r="AD175">
        <v>2.45</v>
      </c>
      <c r="AE175">
        <v>0</v>
      </c>
      <c r="AF175" s="22" t="s">
        <v>503</v>
      </c>
      <c r="AG175" s="22" t="s">
        <v>504</v>
      </c>
      <c r="AH175" s="22" t="s">
        <v>503</v>
      </c>
      <c r="AI175" s="22" t="s">
        <v>53</v>
      </c>
      <c r="AJ175">
        <v>1</v>
      </c>
      <c r="AK175">
        <v>4</v>
      </c>
      <c r="AL175">
        <v>5</v>
      </c>
      <c r="AM175">
        <v>3</v>
      </c>
      <c r="AN175" s="22">
        <v>0</v>
      </c>
      <c r="AO175" s="22">
        <v>0</v>
      </c>
      <c r="AP175" s="22">
        <v>0</v>
      </c>
      <c r="AQ175" s="22">
        <v>0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505</v>
      </c>
      <c r="B176" t="s">
        <v>506</v>
      </c>
      <c r="C176" t="s">
        <v>502</v>
      </c>
      <c r="D176" s="31">
        <v>0</v>
      </c>
      <c r="E176" s="31">
        <v>0</v>
      </c>
      <c r="F176" s="31">
        <v>1</v>
      </c>
      <c r="G176" s="31">
        <v>0</v>
      </c>
      <c r="H176" s="32">
        <v>10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0</v>
      </c>
      <c r="AK176">
        <v>0</v>
      </c>
      <c r="AL176">
        <v>2</v>
      </c>
      <c r="AM176">
        <v>0</v>
      </c>
      <c r="AN176" s="22" t="s">
        <v>53</v>
      </c>
      <c r="AO176" s="22" t="s">
        <v>53</v>
      </c>
      <c r="AP176" s="22">
        <v>0.5</v>
      </c>
      <c r="AQ176" s="22" t="s">
        <v>53</v>
      </c>
      <c r="AR176" s="35">
        <v>0</v>
      </c>
      <c r="AS176" s="35">
        <v>0</v>
      </c>
      <c r="AT176" s="35">
        <v>0</v>
      </c>
      <c r="AU176" s="31" t="str">
        <f t="shared" si="6"/>
        <v>库存为0</v>
      </c>
      <c r="AV176" s="36" t="str">
        <f>IFERROR(时间!$B$4+AU176,"上周无销量")</f>
        <v>上周无销量</v>
      </c>
    </row>
    <row r="177" spans="1:48">
      <c r="A177" s="20" t="s">
        <v>507</v>
      </c>
      <c r="B177" t="s">
        <v>508</v>
      </c>
      <c r="C177" t="s">
        <v>509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9</v>
      </c>
      <c r="J177" s="33">
        <v>0</v>
      </c>
      <c r="K177" s="33">
        <v>0</v>
      </c>
      <c r="L177" s="33">
        <v>0</v>
      </c>
      <c r="M177">
        <v>9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264</v>
      </c>
      <c r="T177">
        <v>0</v>
      </c>
      <c r="U177">
        <v>0</v>
      </c>
      <c r="V177">
        <v>0</v>
      </c>
      <c r="W177">
        <v>0</v>
      </c>
      <c r="X177" s="22" t="s">
        <v>53</v>
      </c>
      <c r="Y177" s="22" t="s">
        <v>53</v>
      </c>
      <c r="Z177" s="22" t="s">
        <v>53</v>
      </c>
      <c r="AA177" s="22">
        <v>0</v>
      </c>
      <c r="AB177">
        <v>0</v>
      </c>
      <c r="AC177">
        <v>0</v>
      </c>
      <c r="AD177">
        <v>0</v>
      </c>
      <c r="AE177">
        <v>0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1</v>
      </c>
      <c r="AK177">
        <v>1</v>
      </c>
      <c r="AL177">
        <v>1</v>
      </c>
      <c r="AM177">
        <v>2</v>
      </c>
      <c r="AN177" s="22">
        <v>0</v>
      </c>
      <c r="AO177" s="22">
        <v>0</v>
      </c>
      <c r="AP177" s="22">
        <v>0</v>
      </c>
      <c r="AQ177" s="22">
        <v>0</v>
      </c>
      <c r="AR177" s="35">
        <v>0</v>
      </c>
      <c r="AS177" s="35">
        <v>0</v>
      </c>
      <c r="AT177" s="35">
        <v>9</v>
      </c>
      <c r="AU177" s="31" t="str">
        <f t="shared" si="6"/>
        <v>库存为9</v>
      </c>
      <c r="AV177" s="36" t="str">
        <f>IFERROR(时间!$B$4+AU177,"上周无销量")</f>
        <v>上周无销量</v>
      </c>
    </row>
    <row r="178" spans="1:48">
      <c r="A178" s="20" t="s">
        <v>510</v>
      </c>
      <c r="B178" t="s">
        <v>511</v>
      </c>
      <c r="C178" t="s">
        <v>509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5</v>
      </c>
      <c r="J178" s="33">
        <v>0</v>
      </c>
      <c r="K178" s="33">
        <v>0</v>
      </c>
      <c r="L178" s="33">
        <v>0</v>
      </c>
      <c r="M178">
        <v>5</v>
      </c>
      <c r="N178">
        <v>0</v>
      </c>
      <c r="O178">
        <v>3</v>
      </c>
      <c r="P178">
        <v>0</v>
      </c>
      <c r="Q178">
        <v>0</v>
      </c>
      <c r="R178">
        <v>0</v>
      </c>
      <c r="S178">
        <v>174</v>
      </c>
      <c r="T178">
        <v>0</v>
      </c>
      <c r="U178">
        <v>0</v>
      </c>
      <c r="V178">
        <v>0</v>
      </c>
      <c r="W178">
        <v>1</v>
      </c>
      <c r="X178" s="22" t="s">
        <v>53</v>
      </c>
      <c r="Y178" s="22" t="s">
        <v>53</v>
      </c>
      <c r="Z178" s="22" t="s">
        <v>53</v>
      </c>
      <c r="AA178" s="22">
        <v>0.00574712643678161</v>
      </c>
      <c r="AB178">
        <v>0</v>
      </c>
      <c r="AC178">
        <v>0</v>
      </c>
      <c r="AD178">
        <v>0</v>
      </c>
      <c r="AE178">
        <v>0.32</v>
      </c>
      <c r="AF178" s="22" t="s">
        <v>53</v>
      </c>
      <c r="AG178" s="22" t="s">
        <v>53</v>
      </c>
      <c r="AH178" s="22" t="s">
        <v>53</v>
      </c>
      <c r="AI178" s="22" t="s">
        <v>409</v>
      </c>
      <c r="AJ178">
        <v>0</v>
      </c>
      <c r="AK178">
        <v>3</v>
      </c>
      <c r="AL178">
        <v>0</v>
      </c>
      <c r="AM178">
        <v>1</v>
      </c>
      <c r="AN178" s="22" t="s">
        <v>53</v>
      </c>
      <c r="AO178" s="22">
        <v>0</v>
      </c>
      <c r="AP178" s="22" t="s">
        <v>53</v>
      </c>
      <c r="AQ178" s="22">
        <v>0</v>
      </c>
      <c r="AR178" s="35">
        <v>0</v>
      </c>
      <c r="AS178" s="35">
        <v>0</v>
      </c>
      <c r="AT178" s="35">
        <v>5</v>
      </c>
      <c r="AU178" s="31" t="str">
        <f t="shared" si="6"/>
        <v>库存为5</v>
      </c>
      <c r="AV178" s="36" t="str">
        <f>IFERROR(时间!$B$4+AU178,"上周无销量")</f>
        <v>上周无销量</v>
      </c>
    </row>
    <row r="179" spans="1:48">
      <c r="A179" s="20" t="s">
        <v>512</v>
      </c>
      <c r="B179" t="s">
        <v>513</v>
      </c>
      <c r="C179" t="s">
        <v>514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5</v>
      </c>
      <c r="J179" s="33">
        <v>0</v>
      </c>
      <c r="K179" s="33">
        <v>0</v>
      </c>
      <c r="L179" s="33">
        <v>0</v>
      </c>
      <c r="M179">
        <v>5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4</v>
      </c>
      <c r="AK179">
        <v>0</v>
      </c>
      <c r="AL179">
        <v>0</v>
      </c>
      <c r="AM179">
        <v>0</v>
      </c>
      <c r="AN179" s="22">
        <v>0</v>
      </c>
      <c r="AO179" s="22" t="s">
        <v>53</v>
      </c>
      <c r="AP179" s="22" t="s">
        <v>53</v>
      </c>
      <c r="AQ179" s="22" t="s">
        <v>53</v>
      </c>
      <c r="AR179" s="35">
        <v>0</v>
      </c>
      <c r="AS179" s="35">
        <v>0</v>
      </c>
      <c r="AT179" s="35">
        <v>5</v>
      </c>
      <c r="AU179" s="31" t="str">
        <f t="shared" si="6"/>
        <v>库存为5</v>
      </c>
      <c r="AV179" s="36" t="str">
        <f>IFERROR(时间!$B$4+AU179,"上周无销量")</f>
        <v>上周无销量</v>
      </c>
    </row>
    <row r="180" spans="1:48">
      <c r="A180" s="20" t="s">
        <v>515</v>
      </c>
      <c r="B180" t="s">
        <v>516</v>
      </c>
      <c r="C180" t="s">
        <v>514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5</v>
      </c>
      <c r="J180" s="33">
        <v>0</v>
      </c>
      <c r="K180" s="33">
        <v>0</v>
      </c>
      <c r="L180" s="33">
        <v>0</v>
      </c>
      <c r="M180">
        <v>5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5</v>
      </c>
      <c r="AK180">
        <v>0</v>
      </c>
      <c r="AL180">
        <v>0</v>
      </c>
      <c r="AM180">
        <v>0</v>
      </c>
      <c r="AN180" s="22">
        <v>0</v>
      </c>
      <c r="AO180" s="22" t="s">
        <v>53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5</v>
      </c>
      <c r="AU180" s="31" t="str">
        <f t="shared" si="6"/>
        <v>库存为5</v>
      </c>
      <c r="AV180" s="36" t="str">
        <f>IFERROR(时间!$B$4+AU180,"上周无销量")</f>
        <v>上周无销量</v>
      </c>
    </row>
    <row r="181" spans="1:48">
      <c r="A181" s="20" t="s">
        <v>517</v>
      </c>
      <c r="B181" t="s">
        <v>518</v>
      </c>
      <c r="C181" t="s">
        <v>514</v>
      </c>
      <c r="D181" s="31">
        <v>1</v>
      </c>
      <c r="E181" s="31">
        <v>0</v>
      </c>
      <c r="F181" s="31">
        <v>0</v>
      </c>
      <c r="G181" s="31">
        <v>0</v>
      </c>
      <c r="H181" s="32">
        <v>7.99</v>
      </c>
      <c r="I181">
        <v>4</v>
      </c>
      <c r="J181" s="33">
        <v>0</v>
      </c>
      <c r="K181" s="33">
        <v>0</v>
      </c>
      <c r="L181" s="33">
        <v>0</v>
      </c>
      <c r="M181">
        <v>4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3</v>
      </c>
      <c r="AK181">
        <v>0</v>
      </c>
      <c r="AL181">
        <v>0</v>
      </c>
      <c r="AM181">
        <v>0</v>
      </c>
      <c r="AN181" s="22">
        <v>0.333333333333333</v>
      </c>
      <c r="AO181" s="22" t="s">
        <v>53</v>
      </c>
      <c r="AP181" s="22" t="s">
        <v>53</v>
      </c>
      <c r="AQ181" s="22" t="s">
        <v>53</v>
      </c>
      <c r="AR181" s="35">
        <v>0.142857142857143</v>
      </c>
      <c r="AS181" s="35">
        <v>8.57142857142857</v>
      </c>
      <c r="AT181" s="35">
        <v>-4.57142857142857</v>
      </c>
      <c r="AU181" s="31">
        <f t="shared" si="6"/>
        <v>28</v>
      </c>
      <c r="AV181" s="36">
        <f>IFERROR(时间!$B$4+AU181,"上周无销量")</f>
        <v>43311</v>
      </c>
    </row>
    <row r="182" spans="1:48">
      <c r="A182" s="20" t="s">
        <v>519</v>
      </c>
      <c r="B182" t="s">
        <v>520</v>
      </c>
      <c r="C182" t="s">
        <v>514</v>
      </c>
      <c r="D182" s="31">
        <v>2</v>
      </c>
      <c r="E182" s="31">
        <v>0</v>
      </c>
      <c r="F182" s="31">
        <v>0</v>
      </c>
      <c r="G182" s="31">
        <v>0</v>
      </c>
      <c r="H182" s="32">
        <v>7.99</v>
      </c>
      <c r="I182">
        <v>3</v>
      </c>
      <c r="J182" s="33">
        <v>0</v>
      </c>
      <c r="K182" s="33">
        <v>0</v>
      </c>
      <c r="L182" s="33">
        <v>0</v>
      </c>
      <c r="M182">
        <v>3</v>
      </c>
      <c r="N182">
        <v>0</v>
      </c>
      <c r="O182">
        <v>0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10</v>
      </c>
      <c r="AK182">
        <v>0</v>
      </c>
      <c r="AL182">
        <v>0</v>
      </c>
      <c r="AM182">
        <v>0</v>
      </c>
      <c r="AN182" s="22">
        <v>0.2</v>
      </c>
      <c r="AO182" s="22" t="s">
        <v>53</v>
      </c>
      <c r="AP182" s="22" t="s">
        <v>53</v>
      </c>
      <c r="AQ182" s="22" t="s">
        <v>53</v>
      </c>
      <c r="AR182" s="35">
        <v>0.285714285714286</v>
      </c>
      <c r="AS182" s="35">
        <v>17.1428571428571</v>
      </c>
      <c r="AT182" s="35">
        <v>-14.1428571428571</v>
      </c>
      <c r="AU182" s="31">
        <f t="shared" si="6"/>
        <v>10</v>
      </c>
      <c r="AV182" s="36">
        <f>IFERROR(时间!$B$4+AU182,"上周无销量")</f>
        <v>43293</v>
      </c>
    </row>
    <row r="183" spans="1:48">
      <c r="A183" s="20" t="s">
        <v>521</v>
      </c>
      <c r="B183" t="s">
        <v>522</v>
      </c>
      <c r="C183" t="s">
        <v>514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4</v>
      </c>
      <c r="J183" s="33">
        <v>0</v>
      </c>
      <c r="K183" s="33">
        <v>0</v>
      </c>
      <c r="L183" s="33">
        <v>0</v>
      </c>
      <c r="M183">
        <v>4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14</v>
      </c>
      <c r="AK183">
        <v>0</v>
      </c>
      <c r="AL183">
        <v>0</v>
      </c>
      <c r="AM183">
        <v>0</v>
      </c>
      <c r="AN183" s="22">
        <v>0</v>
      </c>
      <c r="AO183" s="22" t="s">
        <v>53</v>
      </c>
      <c r="AP183" s="22" t="s">
        <v>53</v>
      </c>
      <c r="AQ183" s="22" t="s">
        <v>53</v>
      </c>
      <c r="AR183" s="35">
        <v>0</v>
      </c>
      <c r="AS183" s="35">
        <v>0</v>
      </c>
      <c r="AT183" s="35">
        <v>4</v>
      </c>
      <c r="AU183" s="31" t="str">
        <f t="shared" si="6"/>
        <v>库存为4</v>
      </c>
      <c r="AV183" s="36" t="str">
        <f>IFERROR(时间!$B$4+AU183,"上周无销量")</f>
        <v>上周无销量</v>
      </c>
    </row>
    <row r="184" spans="1:48">
      <c r="A184" s="20" t="s">
        <v>523</v>
      </c>
      <c r="B184" t="s">
        <v>524</v>
      </c>
      <c r="C184" t="s">
        <v>514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5</v>
      </c>
      <c r="J184" s="33">
        <v>0</v>
      </c>
      <c r="K184" s="33">
        <v>0</v>
      </c>
      <c r="L184" s="33">
        <v>0</v>
      </c>
      <c r="M184">
        <v>5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12</v>
      </c>
      <c r="AK184">
        <v>0</v>
      </c>
      <c r="AL184">
        <v>0</v>
      </c>
      <c r="AM184">
        <v>0</v>
      </c>
      <c r="AN184" s="22">
        <v>0</v>
      </c>
      <c r="AO184" s="22" t="s">
        <v>53</v>
      </c>
      <c r="AP184" s="22" t="s">
        <v>53</v>
      </c>
      <c r="AQ184" s="22" t="s">
        <v>53</v>
      </c>
      <c r="AR184" s="35">
        <v>0</v>
      </c>
      <c r="AS184" s="35">
        <v>0</v>
      </c>
      <c r="AT184" s="35">
        <v>5</v>
      </c>
      <c r="AU184" s="31" t="str">
        <f t="shared" si="6"/>
        <v>库存为5</v>
      </c>
      <c r="AV184" s="36" t="str">
        <f>IFERROR(时间!$B$4+AU184,"上周无销量")</f>
        <v>上周无销量</v>
      </c>
    </row>
    <row r="185" spans="1:48">
      <c r="A185" s="20" t="s">
        <v>525</v>
      </c>
      <c r="B185" t="s">
        <v>526</v>
      </c>
      <c r="C185" t="s">
        <v>514</v>
      </c>
      <c r="D185" s="31">
        <v>3</v>
      </c>
      <c r="E185" s="31">
        <v>0</v>
      </c>
      <c r="F185" s="31">
        <v>0</v>
      </c>
      <c r="G185" s="31">
        <v>0</v>
      </c>
      <c r="H185" s="32">
        <v>14.99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22</v>
      </c>
      <c r="AK185">
        <v>0</v>
      </c>
      <c r="AL185">
        <v>0</v>
      </c>
      <c r="AM185">
        <v>0</v>
      </c>
      <c r="AN185" s="22">
        <v>0.136363636363636</v>
      </c>
      <c r="AO185" s="22" t="s">
        <v>53</v>
      </c>
      <c r="AP185" s="22" t="s">
        <v>53</v>
      </c>
      <c r="AQ185" s="22" t="s">
        <v>53</v>
      </c>
      <c r="AR185" s="35">
        <v>0.428571428571429</v>
      </c>
      <c r="AS185" s="35">
        <v>25.7142857142857</v>
      </c>
      <c r="AT185" s="35">
        <v>-25.7142857142857</v>
      </c>
      <c r="AU185" s="31">
        <f t="shared" si="6"/>
        <v>0</v>
      </c>
      <c r="AV185" s="36">
        <f>IFERROR(时间!$B$4+AU185,"上周无销量")</f>
        <v>43283</v>
      </c>
    </row>
    <row r="186" spans="1:48">
      <c r="A186" s="20" t="s">
        <v>527</v>
      </c>
      <c r="B186" t="s">
        <v>528</v>
      </c>
      <c r="C186" t="s">
        <v>514</v>
      </c>
      <c r="D186" s="31">
        <v>1</v>
      </c>
      <c r="E186" s="31">
        <v>0</v>
      </c>
      <c r="F186" s="31">
        <v>0</v>
      </c>
      <c r="G186" s="31">
        <v>0</v>
      </c>
      <c r="H186" s="32">
        <v>14.99</v>
      </c>
      <c r="I186">
        <v>4</v>
      </c>
      <c r="J186" s="33">
        <v>0</v>
      </c>
      <c r="K186" s="33">
        <v>0</v>
      </c>
      <c r="L186" s="33">
        <v>0</v>
      </c>
      <c r="M186">
        <v>4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7</v>
      </c>
      <c r="AK186">
        <v>0</v>
      </c>
      <c r="AL186">
        <v>0</v>
      </c>
      <c r="AM186">
        <v>0</v>
      </c>
      <c r="AN186" s="22">
        <v>0.142857142857143</v>
      </c>
      <c r="AO186" s="22" t="s">
        <v>53</v>
      </c>
      <c r="AP186" s="22" t="s">
        <v>53</v>
      </c>
      <c r="AQ186" s="22" t="s">
        <v>53</v>
      </c>
      <c r="AR186" s="35">
        <v>0.142857142857143</v>
      </c>
      <c r="AS186" s="35">
        <v>8.57142857142857</v>
      </c>
      <c r="AT186" s="35">
        <v>-4.57142857142857</v>
      </c>
      <c r="AU186" s="31">
        <f t="shared" si="6"/>
        <v>28</v>
      </c>
      <c r="AV186" s="36">
        <f>IFERROR(时间!$B$4+AU186,"上周无销量")</f>
        <v>43311</v>
      </c>
    </row>
    <row r="187" spans="1:48">
      <c r="A187" s="20" t="s">
        <v>529</v>
      </c>
      <c r="B187" t="s">
        <v>530</v>
      </c>
      <c r="C187" t="s">
        <v>514</v>
      </c>
      <c r="D187" s="31">
        <v>1</v>
      </c>
      <c r="E187" s="31">
        <v>0</v>
      </c>
      <c r="F187" s="31">
        <v>0</v>
      </c>
      <c r="G187" s="31">
        <v>0</v>
      </c>
      <c r="H187" s="32">
        <v>14.99</v>
      </c>
      <c r="I187">
        <v>4</v>
      </c>
      <c r="J187" s="33">
        <v>0</v>
      </c>
      <c r="K187" s="33">
        <v>0</v>
      </c>
      <c r="L187" s="33">
        <v>0</v>
      </c>
      <c r="M187">
        <v>4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17</v>
      </c>
      <c r="AK187">
        <v>0</v>
      </c>
      <c r="AL187">
        <v>0</v>
      </c>
      <c r="AM187">
        <v>0</v>
      </c>
      <c r="AN187" s="22">
        <v>0.0588235294117647</v>
      </c>
      <c r="AO187" s="22" t="s">
        <v>53</v>
      </c>
      <c r="AP187" s="22" t="s">
        <v>53</v>
      </c>
      <c r="AQ187" s="22" t="s">
        <v>53</v>
      </c>
      <c r="AR187" s="35">
        <v>0.142857142857143</v>
      </c>
      <c r="AS187" s="35">
        <v>8.57142857142857</v>
      </c>
      <c r="AT187" s="35">
        <v>-4.57142857142857</v>
      </c>
      <c r="AU187" s="31">
        <f t="shared" si="6"/>
        <v>28</v>
      </c>
      <c r="AV187" s="36">
        <f>IFERROR(时间!$B$4+AU187,"上周无销量")</f>
        <v>43311</v>
      </c>
    </row>
    <row r="188" spans="1:48">
      <c r="A188" s="20" t="s">
        <v>531</v>
      </c>
      <c r="B188" t="s">
        <v>532</v>
      </c>
      <c r="C188" t="s">
        <v>514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0</v>
      </c>
      <c r="AK188">
        <v>0</v>
      </c>
      <c r="AL188">
        <v>0</v>
      </c>
      <c r="AM188">
        <v>0</v>
      </c>
      <c r="AN188" s="22" t="s">
        <v>53</v>
      </c>
      <c r="AO188" s="22" t="s">
        <v>53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20" t="s">
        <v>533</v>
      </c>
      <c r="B189" t="s">
        <v>534</v>
      </c>
      <c r="C189" t="s">
        <v>514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0</v>
      </c>
      <c r="AL189">
        <v>0</v>
      </c>
      <c r="AM189">
        <v>0</v>
      </c>
      <c r="AN189" s="22" t="s">
        <v>53</v>
      </c>
      <c r="AO189" s="22" t="s">
        <v>53</v>
      </c>
      <c r="AP189" s="22" t="s">
        <v>53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535</v>
      </c>
      <c r="B190" t="s">
        <v>536</v>
      </c>
      <c r="C190" t="s">
        <v>514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5</v>
      </c>
      <c r="J190" s="33">
        <v>0</v>
      </c>
      <c r="K190" s="33">
        <v>0</v>
      </c>
      <c r="L190" s="33">
        <v>0</v>
      </c>
      <c r="M190">
        <v>5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15</v>
      </c>
      <c r="AK190">
        <v>0</v>
      </c>
      <c r="AL190">
        <v>0</v>
      </c>
      <c r="AM190">
        <v>0</v>
      </c>
      <c r="AN190" s="22">
        <v>0</v>
      </c>
      <c r="AO190" s="22" t="s">
        <v>53</v>
      </c>
      <c r="AP190" s="22" t="s">
        <v>53</v>
      </c>
      <c r="AQ190" s="22" t="s">
        <v>53</v>
      </c>
      <c r="AR190" s="35">
        <v>0</v>
      </c>
      <c r="AS190" s="35">
        <v>0</v>
      </c>
      <c r="AT190" s="35">
        <v>5</v>
      </c>
      <c r="AU190" s="31" t="str">
        <f t="shared" si="6"/>
        <v>库存为5</v>
      </c>
      <c r="AV190" s="36" t="str">
        <f>IFERROR(时间!$B$4+AU190,"上周无销量")</f>
        <v>上周无销量</v>
      </c>
    </row>
    <row r="191" spans="1:48">
      <c r="A191" s="20" t="s">
        <v>537</v>
      </c>
      <c r="B191" t="s">
        <v>538</v>
      </c>
      <c r="C191" t="s">
        <v>514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0</v>
      </c>
      <c r="AK191">
        <v>0</v>
      </c>
      <c r="AL191">
        <v>0</v>
      </c>
      <c r="AM191">
        <v>0</v>
      </c>
      <c r="AN191" s="22" t="s">
        <v>53</v>
      </c>
      <c r="AO191" s="22" t="s">
        <v>53</v>
      </c>
      <c r="AP191" s="22" t="s">
        <v>53</v>
      </c>
      <c r="AQ191" s="22" t="s">
        <v>53</v>
      </c>
      <c r="AR191" s="35">
        <v>0</v>
      </c>
      <c r="AS191" s="35">
        <v>0</v>
      </c>
      <c r="AT191" s="35">
        <v>0</v>
      </c>
      <c r="AU191" s="31" t="str">
        <f t="shared" si="6"/>
        <v>库存为0</v>
      </c>
      <c r="AV191" s="36" t="str">
        <f>IFERROR(时间!$B$4+AU191,"上周无销量")</f>
        <v>上周无销量</v>
      </c>
    </row>
    <row r="192" spans="1:48">
      <c r="A192" s="20" t="s">
        <v>539</v>
      </c>
      <c r="B192" t="s">
        <v>540</v>
      </c>
      <c r="C192" t="s">
        <v>541</v>
      </c>
      <c r="D192" s="31">
        <v>1</v>
      </c>
      <c r="E192" s="31">
        <v>6</v>
      </c>
      <c r="F192" s="31">
        <v>1</v>
      </c>
      <c r="G192" s="31">
        <v>0</v>
      </c>
      <c r="H192" s="32">
        <v>15.615</v>
      </c>
      <c r="I192">
        <v>13</v>
      </c>
      <c r="J192" s="33">
        <v>0</v>
      </c>
      <c r="K192" s="33">
        <v>0</v>
      </c>
      <c r="L192" s="33">
        <v>3</v>
      </c>
      <c r="M192">
        <v>16</v>
      </c>
      <c r="N192">
        <v>0</v>
      </c>
      <c r="O192">
        <v>0</v>
      </c>
      <c r="P192">
        <v>13927</v>
      </c>
      <c r="Q192">
        <v>2744</v>
      </c>
      <c r="R192">
        <v>0</v>
      </c>
      <c r="S192">
        <v>0</v>
      </c>
      <c r="T192">
        <v>29</v>
      </c>
      <c r="U192">
        <v>18</v>
      </c>
      <c r="V192">
        <v>0</v>
      </c>
      <c r="W192">
        <v>0</v>
      </c>
      <c r="X192" s="22">
        <v>0.00208228620664896</v>
      </c>
      <c r="Y192" s="22">
        <v>0.0065597667638484</v>
      </c>
      <c r="Z192" s="22" t="s">
        <v>53</v>
      </c>
      <c r="AA192" s="22" t="s">
        <v>53</v>
      </c>
      <c r="AB192">
        <v>24</v>
      </c>
      <c r="AC192">
        <v>14.67</v>
      </c>
      <c r="AD192">
        <v>0</v>
      </c>
      <c r="AE192">
        <v>0</v>
      </c>
      <c r="AF192" s="22">
        <v>1.53698366954851</v>
      </c>
      <c r="AG192" s="22">
        <v>0.156580211335255</v>
      </c>
      <c r="AH192" s="22" t="s">
        <v>53</v>
      </c>
      <c r="AI192" s="22" t="s">
        <v>53</v>
      </c>
      <c r="AJ192">
        <v>30</v>
      </c>
      <c r="AK192">
        <v>22</v>
      </c>
      <c r="AL192">
        <v>17</v>
      </c>
      <c r="AM192">
        <v>0</v>
      </c>
      <c r="AN192" s="22">
        <v>0.0333333333333333</v>
      </c>
      <c r="AO192" s="22">
        <v>0.272727272727273</v>
      </c>
      <c r="AP192" s="22">
        <v>0.0588235294117647</v>
      </c>
      <c r="AQ192" s="22" t="s">
        <v>53</v>
      </c>
      <c r="AR192" s="35">
        <v>0.142857142857143</v>
      </c>
      <c r="AS192" s="35">
        <v>8.57142857142857</v>
      </c>
      <c r="AT192" s="35">
        <v>7.42857142857143</v>
      </c>
      <c r="AU192" s="31">
        <f t="shared" si="6"/>
        <v>112</v>
      </c>
      <c r="AV192" s="36">
        <f>IFERROR(时间!$B$4+AU192,"上周无销量")</f>
        <v>43395</v>
      </c>
    </row>
    <row r="193" spans="1:48">
      <c r="A193" s="20" t="s">
        <v>542</v>
      </c>
      <c r="B193" t="s">
        <v>543</v>
      </c>
      <c r="C193" t="s">
        <v>541</v>
      </c>
      <c r="D193" s="31">
        <v>11</v>
      </c>
      <c r="E193" s="31">
        <v>3</v>
      </c>
      <c r="F193" s="31">
        <v>2</v>
      </c>
      <c r="G193" s="31">
        <v>0</v>
      </c>
      <c r="H193" s="32">
        <v>18.24</v>
      </c>
      <c r="I193">
        <v>7</v>
      </c>
      <c r="J193" s="33">
        <v>0</v>
      </c>
      <c r="K193" s="33">
        <v>0</v>
      </c>
      <c r="L193" s="33">
        <v>1</v>
      </c>
      <c r="M193">
        <v>8</v>
      </c>
      <c r="N193">
        <v>0</v>
      </c>
      <c r="O193">
        <v>0</v>
      </c>
      <c r="P193">
        <v>3346</v>
      </c>
      <c r="Q193">
        <v>1632</v>
      </c>
      <c r="R193">
        <v>0</v>
      </c>
      <c r="S193">
        <v>0</v>
      </c>
      <c r="T193">
        <v>8</v>
      </c>
      <c r="U193">
        <v>9</v>
      </c>
      <c r="V193">
        <v>0</v>
      </c>
      <c r="W193">
        <v>0</v>
      </c>
      <c r="X193" s="22">
        <v>0.00239091452480574</v>
      </c>
      <c r="Y193" s="22">
        <v>0.00551470588235294</v>
      </c>
      <c r="Z193" s="22" t="s">
        <v>53</v>
      </c>
      <c r="AA193" s="22" t="s">
        <v>53</v>
      </c>
      <c r="AB193">
        <v>6.56</v>
      </c>
      <c r="AC193">
        <v>8.63</v>
      </c>
      <c r="AD193">
        <v>0</v>
      </c>
      <c r="AE193">
        <v>0</v>
      </c>
      <c r="AF193" s="22">
        <v>0.032695374800638</v>
      </c>
      <c r="AG193" s="22">
        <v>0.157711988304094</v>
      </c>
      <c r="AH193" s="22" t="s">
        <v>53</v>
      </c>
      <c r="AI193" s="22" t="s">
        <v>53</v>
      </c>
      <c r="AJ193">
        <v>22</v>
      </c>
      <c r="AK193">
        <v>25</v>
      </c>
      <c r="AL193">
        <v>11</v>
      </c>
      <c r="AM193">
        <v>0</v>
      </c>
      <c r="AN193" s="22">
        <v>0.5</v>
      </c>
      <c r="AO193" s="22">
        <v>0.12</v>
      </c>
      <c r="AP193" s="22">
        <v>0.181818181818182</v>
      </c>
      <c r="AQ193" s="22" t="s">
        <v>53</v>
      </c>
      <c r="AR193" s="35">
        <v>1.57142857142857</v>
      </c>
      <c r="AS193" s="35">
        <v>94.2857142857143</v>
      </c>
      <c r="AT193" s="35">
        <v>-86.2857142857143</v>
      </c>
      <c r="AU193" s="31">
        <f t="shared" si="6"/>
        <v>5</v>
      </c>
      <c r="AV193" s="36">
        <f>IFERROR(时间!$B$4+AU193,"上周无销量")</f>
        <v>43288</v>
      </c>
    </row>
    <row r="194" spans="1:48">
      <c r="A194" s="20" t="s">
        <v>544</v>
      </c>
      <c r="B194" t="s">
        <v>545</v>
      </c>
      <c r="C194" t="s">
        <v>541</v>
      </c>
      <c r="D194" s="31">
        <v>17</v>
      </c>
      <c r="E194" s="31">
        <v>5</v>
      </c>
      <c r="F194" s="31">
        <v>4</v>
      </c>
      <c r="G194" s="31">
        <v>0</v>
      </c>
      <c r="H194" s="32">
        <v>18.9130769230769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>
        <v>4095</v>
      </c>
      <c r="Q194">
        <v>1978</v>
      </c>
      <c r="R194">
        <v>0</v>
      </c>
      <c r="S194">
        <v>0</v>
      </c>
      <c r="T194">
        <v>13</v>
      </c>
      <c r="U194">
        <v>9</v>
      </c>
      <c r="V194">
        <v>0</v>
      </c>
      <c r="W194">
        <v>0</v>
      </c>
      <c r="X194" s="22">
        <v>0.00317460317460317</v>
      </c>
      <c r="Y194" s="22">
        <v>0.00455005055611729</v>
      </c>
      <c r="Z194" s="22" t="s">
        <v>53</v>
      </c>
      <c r="AA194" s="22" t="s">
        <v>53</v>
      </c>
      <c r="AB194">
        <v>11</v>
      </c>
      <c r="AC194">
        <v>7.67</v>
      </c>
      <c r="AD194">
        <v>0</v>
      </c>
      <c r="AE194">
        <v>0</v>
      </c>
      <c r="AF194" s="22">
        <v>0.0342122451127928</v>
      </c>
      <c r="AG194" s="22">
        <v>0.0811079025501282</v>
      </c>
      <c r="AH194" s="22" t="s">
        <v>53</v>
      </c>
      <c r="AI194" s="22" t="s">
        <v>53</v>
      </c>
      <c r="AJ194">
        <v>40</v>
      </c>
      <c r="AK194">
        <v>14</v>
      </c>
      <c r="AL194">
        <v>18</v>
      </c>
      <c r="AM194">
        <v>0</v>
      </c>
      <c r="AN194" s="22">
        <v>0.425</v>
      </c>
      <c r="AO194" s="22">
        <v>0.357142857142857</v>
      </c>
      <c r="AP194" s="22">
        <v>0.222222222222222</v>
      </c>
      <c r="AQ194" s="22" t="s">
        <v>53</v>
      </c>
      <c r="AR194" s="35">
        <v>2.42857142857143</v>
      </c>
      <c r="AS194" s="35">
        <v>145.714285714286</v>
      </c>
      <c r="AT194" s="35">
        <v>-145.714285714286</v>
      </c>
      <c r="AU194" s="31">
        <f t="shared" si="6"/>
        <v>0</v>
      </c>
      <c r="AV194" s="36">
        <f>IFERROR(时间!$B$4+AU194,"上周无销量")</f>
        <v>43283</v>
      </c>
    </row>
    <row r="195" spans="1:48">
      <c r="A195" s="20" t="s">
        <v>546</v>
      </c>
      <c r="B195" t="s">
        <v>547</v>
      </c>
      <c r="C195" t="s">
        <v>541</v>
      </c>
      <c r="D195" s="31">
        <v>20</v>
      </c>
      <c r="E195" s="31">
        <v>5</v>
      </c>
      <c r="F195" s="31">
        <v>2</v>
      </c>
      <c r="G195" s="31">
        <v>0</v>
      </c>
      <c r="H195" s="32">
        <v>21.4344444444444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>
        <v>11534</v>
      </c>
      <c r="Q195">
        <v>2235</v>
      </c>
      <c r="R195">
        <v>0</v>
      </c>
      <c r="S195">
        <v>0</v>
      </c>
      <c r="T195">
        <v>24</v>
      </c>
      <c r="U195">
        <v>4</v>
      </c>
      <c r="V195">
        <v>0</v>
      </c>
      <c r="W195">
        <v>0</v>
      </c>
      <c r="X195" s="22">
        <v>0.00208080457777007</v>
      </c>
      <c r="Y195" s="22">
        <v>0.00178970917225951</v>
      </c>
      <c r="Z195" s="22" t="s">
        <v>53</v>
      </c>
      <c r="AA195" s="22" t="s">
        <v>53</v>
      </c>
      <c r="AB195">
        <v>21.53</v>
      </c>
      <c r="AC195">
        <v>3.27</v>
      </c>
      <c r="AD195">
        <v>0</v>
      </c>
      <c r="AE195">
        <v>0</v>
      </c>
      <c r="AF195" s="22">
        <v>0.0502229018713391</v>
      </c>
      <c r="AG195" s="22">
        <v>0.0305116375511897</v>
      </c>
      <c r="AH195" s="22" t="s">
        <v>53</v>
      </c>
      <c r="AI195" s="22" t="s">
        <v>53</v>
      </c>
      <c r="AJ195">
        <v>16</v>
      </c>
      <c r="AK195">
        <v>34</v>
      </c>
      <c r="AL195">
        <v>27</v>
      </c>
      <c r="AM195">
        <v>0</v>
      </c>
      <c r="AN195" s="22">
        <v>1.25</v>
      </c>
      <c r="AO195" s="22">
        <v>0.147058823529412</v>
      </c>
      <c r="AP195" s="22">
        <v>0.0740740740740741</v>
      </c>
      <c r="AQ195" s="22" t="s">
        <v>53</v>
      </c>
      <c r="AR195" s="35">
        <v>2.85714285714286</v>
      </c>
      <c r="AS195" s="35">
        <v>171.428571428571</v>
      </c>
      <c r="AT195" s="35">
        <v>-171.428571428571</v>
      </c>
      <c r="AU195" s="31">
        <f t="shared" si="6"/>
        <v>0</v>
      </c>
      <c r="AV195" s="36">
        <f>IFERROR(时间!$B$4+AU195,"上周无销量")</f>
        <v>43283</v>
      </c>
    </row>
    <row r="196" spans="1:48">
      <c r="A196" s="20" t="s">
        <v>548</v>
      </c>
      <c r="B196" t="s">
        <v>549</v>
      </c>
      <c r="C196" t="s">
        <v>541</v>
      </c>
      <c r="D196" s="31">
        <v>3</v>
      </c>
      <c r="E196" s="31">
        <v>4</v>
      </c>
      <c r="F196" s="31">
        <v>0</v>
      </c>
      <c r="G196" s="31">
        <v>0</v>
      </c>
      <c r="H196" s="32">
        <v>17.99</v>
      </c>
      <c r="I196">
        <v>2</v>
      </c>
      <c r="J196" s="33">
        <v>20</v>
      </c>
      <c r="K196" s="33">
        <v>0</v>
      </c>
      <c r="L196" s="33">
        <v>0</v>
      </c>
      <c r="M196">
        <v>22</v>
      </c>
      <c r="N196">
        <v>0</v>
      </c>
      <c r="O196">
        <v>0</v>
      </c>
      <c r="P196">
        <v>3193</v>
      </c>
      <c r="Q196">
        <v>2704</v>
      </c>
      <c r="R196">
        <v>0</v>
      </c>
      <c r="S196">
        <v>0</v>
      </c>
      <c r="T196">
        <v>7</v>
      </c>
      <c r="U196">
        <v>9</v>
      </c>
      <c r="V196">
        <v>0</v>
      </c>
      <c r="W196">
        <v>0</v>
      </c>
      <c r="X196" s="22">
        <v>0.00219229564672722</v>
      </c>
      <c r="Y196" s="22">
        <v>0.00332840236686391</v>
      </c>
      <c r="Z196" s="22" t="s">
        <v>53</v>
      </c>
      <c r="AA196" s="22" t="s">
        <v>53</v>
      </c>
      <c r="AB196">
        <v>7.32</v>
      </c>
      <c r="AC196">
        <v>7.76</v>
      </c>
      <c r="AD196">
        <v>0</v>
      </c>
      <c r="AE196">
        <v>0</v>
      </c>
      <c r="AF196" s="22">
        <v>0.135630906058922</v>
      </c>
      <c r="AG196" s="22">
        <v>0.107837687604225</v>
      </c>
      <c r="AH196" s="22" t="s">
        <v>53</v>
      </c>
      <c r="AI196" s="22" t="s">
        <v>53</v>
      </c>
      <c r="AJ196">
        <v>11</v>
      </c>
      <c r="AK196">
        <v>15</v>
      </c>
      <c r="AL196">
        <v>9</v>
      </c>
      <c r="AM196">
        <v>0</v>
      </c>
      <c r="AN196" s="22">
        <v>0.272727272727273</v>
      </c>
      <c r="AO196" s="22">
        <v>0.266666666666667</v>
      </c>
      <c r="AP196" s="22">
        <v>0</v>
      </c>
      <c r="AQ196" s="22" t="s">
        <v>53</v>
      </c>
      <c r="AR196" s="35">
        <v>0.428571428571429</v>
      </c>
      <c r="AS196" s="35">
        <v>25.7142857142857</v>
      </c>
      <c r="AT196" s="35">
        <v>-3.71428571428571</v>
      </c>
      <c r="AU196" s="31">
        <f t="shared" si="6"/>
        <v>51</v>
      </c>
      <c r="AV196" s="36">
        <f>IFERROR(时间!$B$4+AU196,"上周无销量")</f>
        <v>43334</v>
      </c>
    </row>
    <row r="197" spans="1:48">
      <c r="A197" s="20" t="s">
        <v>550</v>
      </c>
      <c r="B197" t="s">
        <v>551</v>
      </c>
      <c r="C197" t="s">
        <v>552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5</v>
      </c>
      <c r="J197" s="33">
        <v>0</v>
      </c>
      <c r="K197" s="33">
        <v>0</v>
      </c>
      <c r="L197" s="33">
        <v>0</v>
      </c>
      <c r="M197">
        <v>5</v>
      </c>
      <c r="N197">
        <v>0</v>
      </c>
      <c r="O197">
        <v>5</v>
      </c>
      <c r="P197">
        <v>0</v>
      </c>
      <c r="Q197">
        <v>0</v>
      </c>
      <c r="R197">
        <v>0</v>
      </c>
      <c r="S197">
        <v>64</v>
      </c>
      <c r="T197">
        <v>0</v>
      </c>
      <c r="U197">
        <v>0</v>
      </c>
      <c r="V197">
        <v>0</v>
      </c>
      <c r="W197">
        <v>0</v>
      </c>
      <c r="X197" s="22" t="s">
        <v>53</v>
      </c>
      <c r="Y197" s="22" t="s">
        <v>53</v>
      </c>
      <c r="Z197" s="22" t="s">
        <v>53</v>
      </c>
      <c r="AA197" s="22">
        <v>0</v>
      </c>
      <c r="AB197">
        <v>0</v>
      </c>
      <c r="AC197">
        <v>0</v>
      </c>
      <c r="AD197">
        <v>0</v>
      </c>
      <c r="AE197">
        <v>0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4</v>
      </c>
      <c r="AK197">
        <v>0</v>
      </c>
      <c r="AL197">
        <v>2</v>
      </c>
      <c r="AM197">
        <v>0</v>
      </c>
      <c r="AN197" s="22">
        <v>0</v>
      </c>
      <c r="AO197" s="22" t="s">
        <v>53</v>
      </c>
      <c r="AP197" s="22">
        <v>0</v>
      </c>
      <c r="AQ197" s="22" t="s">
        <v>53</v>
      </c>
      <c r="AR197" s="35">
        <v>0</v>
      </c>
      <c r="AS197" s="35">
        <v>0</v>
      </c>
      <c r="AT197" s="35">
        <v>5</v>
      </c>
      <c r="AU197" s="31" t="str">
        <f t="shared" ref="AU197:AU260" si="7">IF(AR197="","库存为"&amp;M197,IF(AS197=0,"库存为"&amp;M197,INT(M197/AR197)))</f>
        <v>库存为5</v>
      </c>
      <c r="AV197" s="36" t="str">
        <f>IFERROR(时间!$B$4+AU197,"上周无销量")</f>
        <v>上周无销量</v>
      </c>
    </row>
    <row r="198" spans="1:48">
      <c r="A198" s="20" t="s">
        <v>553</v>
      </c>
      <c r="B198" t="s">
        <v>554</v>
      </c>
      <c r="C198" t="s">
        <v>552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4</v>
      </c>
      <c r="J198" s="33">
        <v>0</v>
      </c>
      <c r="K198" s="33">
        <v>0</v>
      </c>
      <c r="L198" s="33">
        <v>0</v>
      </c>
      <c r="M198">
        <v>4</v>
      </c>
      <c r="N198">
        <v>0</v>
      </c>
      <c r="O198">
        <v>4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2</v>
      </c>
      <c r="AK198">
        <v>0</v>
      </c>
      <c r="AL198">
        <v>2</v>
      </c>
      <c r="AM198">
        <v>0</v>
      </c>
      <c r="AN198" s="22">
        <v>0</v>
      </c>
      <c r="AO198" s="22" t="s">
        <v>53</v>
      </c>
      <c r="AP198" s="22">
        <v>0</v>
      </c>
      <c r="AQ198" s="22" t="s">
        <v>53</v>
      </c>
      <c r="AR198" s="35">
        <v>0</v>
      </c>
      <c r="AS198" s="35">
        <v>0</v>
      </c>
      <c r="AT198" s="35">
        <v>4</v>
      </c>
      <c r="AU198" s="31" t="str">
        <f t="shared" si="7"/>
        <v>库存为4</v>
      </c>
      <c r="AV198" s="36" t="str">
        <f>IFERROR(时间!$B$4+AU198,"上周无销量")</f>
        <v>上周无销量</v>
      </c>
    </row>
    <row r="199" spans="1:48">
      <c r="A199" s="20" t="s">
        <v>555</v>
      </c>
      <c r="B199" t="s">
        <v>556</v>
      </c>
      <c r="C199" t="s">
        <v>552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5</v>
      </c>
      <c r="J199" s="33">
        <v>0</v>
      </c>
      <c r="K199" s="33">
        <v>0</v>
      </c>
      <c r="L199" s="33">
        <v>0</v>
      </c>
      <c r="M199">
        <v>5</v>
      </c>
      <c r="N199">
        <v>0</v>
      </c>
      <c r="O199">
        <v>5</v>
      </c>
      <c r="P199">
        <v>799</v>
      </c>
      <c r="Q199">
        <v>506</v>
      </c>
      <c r="R199">
        <v>365</v>
      </c>
      <c r="S199">
        <v>426</v>
      </c>
      <c r="T199">
        <v>1</v>
      </c>
      <c r="U199">
        <v>0</v>
      </c>
      <c r="V199">
        <v>0</v>
      </c>
      <c r="W199">
        <v>0</v>
      </c>
      <c r="X199" s="22">
        <v>0.00125156445556946</v>
      </c>
      <c r="Y199" s="22">
        <v>0</v>
      </c>
      <c r="Z199" s="22">
        <v>0</v>
      </c>
      <c r="AA199" s="22">
        <v>0</v>
      </c>
      <c r="AB199">
        <v>0.34</v>
      </c>
      <c r="AC199">
        <v>0</v>
      </c>
      <c r="AD199">
        <v>0</v>
      </c>
      <c r="AE199">
        <v>0</v>
      </c>
      <c r="AF199" s="22" t="s">
        <v>70</v>
      </c>
      <c r="AG199" s="22" t="s">
        <v>53</v>
      </c>
      <c r="AH199" s="22" t="s">
        <v>53</v>
      </c>
      <c r="AI199" s="22" t="s">
        <v>53</v>
      </c>
      <c r="AJ199">
        <v>5</v>
      </c>
      <c r="AK199">
        <v>1</v>
      </c>
      <c r="AL199">
        <v>1</v>
      </c>
      <c r="AM199">
        <v>1</v>
      </c>
      <c r="AN199" s="22">
        <v>0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5</v>
      </c>
      <c r="AU199" s="31" t="str">
        <f t="shared" si="7"/>
        <v>库存为5</v>
      </c>
      <c r="AV199" s="36" t="str">
        <f>IFERROR(时间!$B$4+AU199,"上周无销量")</f>
        <v>上周无销量</v>
      </c>
    </row>
    <row r="200" spans="1:48">
      <c r="A200" s="20" t="s">
        <v>557</v>
      </c>
      <c r="B200" t="s">
        <v>558</v>
      </c>
      <c r="C200" t="s">
        <v>552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5</v>
      </c>
      <c r="J200" s="33">
        <v>0</v>
      </c>
      <c r="K200" s="33">
        <v>0</v>
      </c>
      <c r="L200" s="33">
        <v>0</v>
      </c>
      <c r="M200">
        <v>5</v>
      </c>
      <c r="N200">
        <v>0</v>
      </c>
      <c r="O200">
        <v>5</v>
      </c>
      <c r="P200">
        <v>0</v>
      </c>
      <c r="Q200">
        <v>0</v>
      </c>
      <c r="R200">
        <v>0</v>
      </c>
      <c r="S200">
        <v>221</v>
      </c>
      <c r="T200">
        <v>0</v>
      </c>
      <c r="U200">
        <v>0</v>
      </c>
      <c r="V200">
        <v>0</v>
      </c>
      <c r="W200">
        <v>0</v>
      </c>
      <c r="X200" s="22" t="s">
        <v>53</v>
      </c>
      <c r="Y200" s="22" t="s">
        <v>53</v>
      </c>
      <c r="Z200" s="22" t="s">
        <v>53</v>
      </c>
      <c r="AA200" s="22">
        <v>0</v>
      </c>
      <c r="AB200">
        <v>0</v>
      </c>
      <c r="AC200">
        <v>0</v>
      </c>
      <c r="AD200">
        <v>0</v>
      </c>
      <c r="AE200">
        <v>0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5</v>
      </c>
      <c r="AK200">
        <v>2</v>
      </c>
      <c r="AL200">
        <v>0</v>
      </c>
      <c r="AM200">
        <v>1</v>
      </c>
      <c r="AN200" s="22">
        <v>0</v>
      </c>
      <c r="AO200" s="22">
        <v>0</v>
      </c>
      <c r="AP200" s="22" t="s">
        <v>53</v>
      </c>
      <c r="AQ200" s="22">
        <v>0</v>
      </c>
      <c r="AR200" s="35">
        <v>0</v>
      </c>
      <c r="AS200" s="35">
        <v>0</v>
      </c>
      <c r="AT200" s="35">
        <v>5</v>
      </c>
      <c r="AU200" s="31" t="str">
        <f t="shared" si="7"/>
        <v>库存为5</v>
      </c>
      <c r="AV200" s="36" t="str">
        <f>IFERROR(时间!$B$4+AU200,"上周无销量")</f>
        <v>上周无销量</v>
      </c>
    </row>
    <row r="201" spans="1:48">
      <c r="A201" s="20" t="s">
        <v>559</v>
      </c>
      <c r="B201" t="s">
        <v>560</v>
      </c>
      <c r="C201" t="s">
        <v>552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2</v>
      </c>
      <c r="J201" s="33">
        <v>0</v>
      </c>
      <c r="K201" s="33">
        <v>0</v>
      </c>
      <c r="L201" s="33">
        <v>0</v>
      </c>
      <c r="M201">
        <v>2</v>
      </c>
      <c r="N201">
        <v>0</v>
      </c>
      <c r="O201">
        <v>2</v>
      </c>
      <c r="P201">
        <v>0</v>
      </c>
      <c r="Q201">
        <v>0</v>
      </c>
      <c r="R201">
        <v>0</v>
      </c>
      <c r="S201">
        <v>325</v>
      </c>
      <c r="T201">
        <v>0</v>
      </c>
      <c r="U201">
        <v>0</v>
      </c>
      <c r="V201">
        <v>0</v>
      </c>
      <c r="W201">
        <v>1</v>
      </c>
      <c r="X201" s="22" t="s">
        <v>53</v>
      </c>
      <c r="Y201" s="22" t="s">
        <v>53</v>
      </c>
      <c r="Z201" s="22" t="s">
        <v>53</v>
      </c>
      <c r="AA201" s="22">
        <v>0.00307692307692308</v>
      </c>
      <c r="AB201">
        <v>0</v>
      </c>
      <c r="AC201">
        <v>0</v>
      </c>
      <c r="AD201">
        <v>0</v>
      </c>
      <c r="AE201">
        <v>0.4</v>
      </c>
      <c r="AF201" s="22" t="s">
        <v>53</v>
      </c>
      <c r="AG201" s="22" t="s">
        <v>53</v>
      </c>
      <c r="AH201" s="22" t="s">
        <v>53</v>
      </c>
      <c r="AI201" s="22" t="s">
        <v>376</v>
      </c>
      <c r="AJ201">
        <v>0</v>
      </c>
      <c r="AK201">
        <v>2</v>
      </c>
      <c r="AL201">
        <v>1</v>
      </c>
      <c r="AM201">
        <v>1</v>
      </c>
      <c r="AN201" s="22" t="s">
        <v>53</v>
      </c>
      <c r="AO201" s="22">
        <v>0</v>
      </c>
      <c r="AP201" s="22">
        <v>0</v>
      </c>
      <c r="AQ201" s="22">
        <v>0</v>
      </c>
      <c r="AR201" s="35">
        <v>0</v>
      </c>
      <c r="AS201" s="35">
        <v>0</v>
      </c>
      <c r="AT201" s="35">
        <v>2</v>
      </c>
      <c r="AU201" s="31" t="str">
        <f t="shared" si="7"/>
        <v>库存为2</v>
      </c>
      <c r="AV201" s="36" t="str">
        <f>IFERROR(时间!$B$4+AU201,"上周无销量")</f>
        <v>上周无销量</v>
      </c>
    </row>
    <row r="202" spans="1:48">
      <c r="A202" s="20" t="s">
        <v>561</v>
      </c>
      <c r="B202" t="s">
        <v>562</v>
      </c>
      <c r="C202" t="s">
        <v>552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4</v>
      </c>
      <c r="J202" s="33">
        <v>0</v>
      </c>
      <c r="K202" s="33">
        <v>0</v>
      </c>
      <c r="L202" s="33">
        <v>0</v>
      </c>
      <c r="M202">
        <v>4</v>
      </c>
      <c r="N202">
        <v>0</v>
      </c>
      <c r="O202">
        <v>3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3</v>
      </c>
      <c r="AK202">
        <v>0</v>
      </c>
      <c r="AL202">
        <v>0</v>
      </c>
      <c r="AM202">
        <v>0</v>
      </c>
      <c r="AN202" s="22">
        <v>0</v>
      </c>
      <c r="AO202" s="22" t="s">
        <v>53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4</v>
      </c>
      <c r="AU202" s="31" t="str">
        <f t="shared" si="7"/>
        <v>库存为4</v>
      </c>
      <c r="AV202" s="36" t="str">
        <f>IFERROR(时间!$B$4+AU202,"上周无销量")</f>
        <v>上周无销量</v>
      </c>
    </row>
    <row r="203" spans="1:48">
      <c r="A203" s="20" t="s">
        <v>563</v>
      </c>
      <c r="B203" t="s">
        <v>564</v>
      </c>
      <c r="C203" t="s">
        <v>565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10</v>
      </c>
      <c r="J203" s="33">
        <v>0</v>
      </c>
      <c r="K203" s="33">
        <v>0</v>
      </c>
      <c r="L203" s="33">
        <v>17</v>
      </c>
      <c r="M203">
        <v>27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11</v>
      </c>
      <c r="AK203">
        <v>0</v>
      </c>
      <c r="AL203">
        <v>0</v>
      </c>
      <c r="AM203">
        <v>0</v>
      </c>
      <c r="AN203" s="22">
        <v>0</v>
      </c>
      <c r="AO203" s="22" t="s">
        <v>53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27</v>
      </c>
      <c r="AU203" s="31" t="str">
        <f t="shared" si="7"/>
        <v>库存为27</v>
      </c>
      <c r="AV203" s="36" t="str">
        <f>IFERROR(时间!$B$4+AU203,"上周无销量")</f>
        <v>上周无销量</v>
      </c>
    </row>
    <row r="204" spans="1:48">
      <c r="A204" s="20" t="s">
        <v>566</v>
      </c>
      <c r="B204" t="s">
        <v>567</v>
      </c>
      <c r="C204" t="s">
        <v>566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0</v>
      </c>
      <c r="AK204">
        <v>0</v>
      </c>
      <c r="AL204">
        <v>0</v>
      </c>
      <c r="AM204">
        <v>0</v>
      </c>
      <c r="AN204" s="22" t="s">
        <v>53</v>
      </c>
      <c r="AO204" s="22" t="s">
        <v>53</v>
      </c>
      <c r="AP204" s="22" t="s">
        <v>53</v>
      </c>
      <c r="AQ204" s="22" t="s">
        <v>53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20" t="s">
        <v>568</v>
      </c>
      <c r="B205" t="s">
        <v>569</v>
      </c>
      <c r="C205" t="s">
        <v>568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0</v>
      </c>
      <c r="AL205">
        <v>0</v>
      </c>
      <c r="AM205">
        <v>0</v>
      </c>
      <c r="AN205" s="22" t="s">
        <v>53</v>
      </c>
      <c r="AO205" s="22" t="s">
        <v>53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570</v>
      </c>
      <c r="B206" t="s">
        <v>571</v>
      </c>
      <c r="C206" t="s">
        <v>570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0</v>
      </c>
      <c r="AK206">
        <v>0</v>
      </c>
      <c r="AL206">
        <v>0</v>
      </c>
      <c r="AM206">
        <v>0</v>
      </c>
      <c r="AN206" s="22" t="s">
        <v>53</v>
      </c>
      <c r="AO206" s="22" t="s">
        <v>53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20" t="s">
        <v>572</v>
      </c>
      <c r="B207" t="s">
        <v>573</v>
      </c>
      <c r="C207" t="s">
        <v>574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5</v>
      </c>
      <c r="J207" s="33">
        <v>0</v>
      </c>
      <c r="K207" s="33">
        <v>0</v>
      </c>
      <c r="L207" s="33">
        <v>0</v>
      </c>
      <c r="M207">
        <v>5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10</v>
      </c>
      <c r="AK207">
        <v>0</v>
      </c>
      <c r="AL207">
        <v>0</v>
      </c>
      <c r="AM207">
        <v>0</v>
      </c>
      <c r="AN207" s="22">
        <v>0</v>
      </c>
      <c r="AO207" s="22" t="s">
        <v>53</v>
      </c>
      <c r="AP207" s="22" t="s">
        <v>53</v>
      </c>
      <c r="AQ207" s="22" t="s">
        <v>53</v>
      </c>
      <c r="AR207" s="35">
        <v>0</v>
      </c>
      <c r="AS207" s="35">
        <v>0</v>
      </c>
      <c r="AT207" s="35">
        <v>5</v>
      </c>
      <c r="AU207" s="31" t="str">
        <f t="shared" si="7"/>
        <v>库存为5</v>
      </c>
      <c r="AV207" s="36" t="str">
        <f>IFERROR(时间!$B$4+AU207,"上周无销量")</f>
        <v>上周无销量</v>
      </c>
    </row>
    <row r="208" spans="1:48">
      <c r="A208" s="20" t="s">
        <v>575</v>
      </c>
      <c r="B208" t="s">
        <v>576</v>
      </c>
      <c r="C208" t="s">
        <v>574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5</v>
      </c>
      <c r="J208" s="33">
        <v>0</v>
      </c>
      <c r="K208" s="33">
        <v>0</v>
      </c>
      <c r="L208" s="33">
        <v>0</v>
      </c>
      <c r="M208">
        <v>5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4</v>
      </c>
      <c r="AK208">
        <v>0</v>
      </c>
      <c r="AL208">
        <v>0</v>
      </c>
      <c r="AM208">
        <v>0</v>
      </c>
      <c r="AN208" s="22">
        <v>0</v>
      </c>
      <c r="AO208" s="22" t="s">
        <v>53</v>
      </c>
      <c r="AP208" s="22" t="s">
        <v>53</v>
      </c>
      <c r="AQ208" s="22" t="s">
        <v>53</v>
      </c>
      <c r="AR208" s="35">
        <v>0</v>
      </c>
      <c r="AS208" s="35">
        <v>0</v>
      </c>
      <c r="AT208" s="35">
        <v>5</v>
      </c>
      <c r="AU208" s="31" t="str">
        <f t="shared" si="7"/>
        <v>库存为5</v>
      </c>
      <c r="AV208" s="36" t="str">
        <f>IFERROR(时间!$B$4+AU208,"上周无销量")</f>
        <v>上周无销量</v>
      </c>
    </row>
    <row r="209" spans="1:48">
      <c r="A209" s="20" t="s">
        <v>577</v>
      </c>
      <c r="B209" t="s">
        <v>578</v>
      </c>
      <c r="C209" t="s">
        <v>574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5</v>
      </c>
      <c r="J209" s="33">
        <v>0</v>
      </c>
      <c r="K209" s="33">
        <v>0</v>
      </c>
      <c r="L209" s="33">
        <v>0</v>
      </c>
      <c r="M209">
        <v>5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4</v>
      </c>
      <c r="AK209">
        <v>0</v>
      </c>
      <c r="AL209">
        <v>0</v>
      </c>
      <c r="AM209">
        <v>0</v>
      </c>
      <c r="AN209" s="22">
        <v>0</v>
      </c>
      <c r="AO209" s="22" t="s">
        <v>53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5</v>
      </c>
      <c r="AU209" s="31" t="str">
        <f t="shared" si="7"/>
        <v>库存为5</v>
      </c>
      <c r="AV209" s="36" t="str">
        <f>IFERROR(时间!$B$4+AU209,"上周无销量")</f>
        <v>上周无销量</v>
      </c>
    </row>
    <row r="210" spans="1:48">
      <c r="A210" s="20" t="s">
        <v>579</v>
      </c>
      <c r="B210" t="s">
        <v>580</v>
      </c>
      <c r="C210" t="s">
        <v>574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5</v>
      </c>
      <c r="J210" s="33">
        <v>0</v>
      </c>
      <c r="K210" s="33">
        <v>0</v>
      </c>
      <c r="L210" s="33">
        <v>0</v>
      </c>
      <c r="M210">
        <v>5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4</v>
      </c>
      <c r="AK210">
        <v>0</v>
      </c>
      <c r="AL210">
        <v>0</v>
      </c>
      <c r="AM210">
        <v>0</v>
      </c>
      <c r="AN210" s="22">
        <v>0</v>
      </c>
      <c r="AO210" s="22" t="s">
        <v>53</v>
      </c>
      <c r="AP210" s="22" t="s">
        <v>53</v>
      </c>
      <c r="AQ210" s="22" t="s">
        <v>53</v>
      </c>
      <c r="AR210" s="35">
        <v>0</v>
      </c>
      <c r="AS210" s="35">
        <v>0</v>
      </c>
      <c r="AT210" s="35">
        <v>5</v>
      </c>
      <c r="AU210" s="31" t="str">
        <f t="shared" si="7"/>
        <v>库存为5</v>
      </c>
      <c r="AV210" s="36" t="str">
        <f>IFERROR(时间!$B$4+AU210,"上周无销量")</f>
        <v>上周无销量</v>
      </c>
    </row>
    <row r="211" spans="1:48">
      <c r="A211" s="20" t="s">
        <v>581</v>
      </c>
      <c r="B211" t="s">
        <v>582</v>
      </c>
      <c r="C211" t="s">
        <v>583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0</v>
      </c>
      <c r="AL211">
        <v>0</v>
      </c>
      <c r="AM211">
        <v>0</v>
      </c>
      <c r="AN211" s="22" t="s">
        <v>53</v>
      </c>
      <c r="AO211" s="22" t="s">
        <v>53</v>
      </c>
      <c r="AP211" s="22" t="s">
        <v>53</v>
      </c>
      <c r="AQ211" s="22" t="s">
        <v>53</v>
      </c>
      <c r="AR211" s="35">
        <v>0</v>
      </c>
      <c r="AS211" s="35">
        <v>0</v>
      </c>
      <c r="AT211" s="35">
        <v>0</v>
      </c>
      <c r="AU211" s="31" t="str">
        <f t="shared" si="7"/>
        <v>库存为0</v>
      </c>
      <c r="AV211" s="36" t="str">
        <f>IFERROR(时间!$B$4+AU211,"上周无销量")</f>
        <v>上周无销量</v>
      </c>
    </row>
    <row r="212" spans="1:48">
      <c r="A212" s="20" t="s">
        <v>584</v>
      </c>
      <c r="B212" t="s">
        <v>585</v>
      </c>
      <c r="C212" t="s">
        <v>586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4</v>
      </c>
      <c r="J212" s="33">
        <v>0</v>
      </c>
      <c r="K212" s="33">
        <v>0</v>
      </c>
      <c r="L212" s="33">
        <v>0</v>
      </c>
      <c r="M212">
        <v>4</v>
      </c>
      <c r="N212">
        <v>0</v>
      </c>
      <c r="O212">
        <v>4</v>
      </c>
      <c r="P212">
        <v>0</v>
      </c>
      <c r="Q212">
        <v>0</v>
      </c>
      <c r="R212">
        <v>8</v>
      </c>
      <c r="S212">
        <v>9</v>
      </c>
      <c r="T212">
        <v>0</v>
      </c>
      <c r="U212">
        <v>0</v>
      </c>
      <c r="V212">
        <v>0</v>
      </c>
      <c r="W212">
        <v>1</v>
      </c>
      <c r="X212" s="22" t="s">
        <v>53</v>
      </c>
      <c r="Y212" s="22" t="s">
        <v>53</v>
      </c>
      <c r="Z212" s="22">
        <v>0</v>
      </c>
      <c r="AA212" s="22">
        <v>0.111111111111111</v>
      </c>
      <c r="AB212">
        <v>0</v>
      </c>
      <c r="AC212">
        <v>0</v>
      </c>
      <c r="AD212">
        <v>0</v>
      </c>
      <c r="AE212">
        <v>0.31</v>
      </c>
      <c r="AF212" s="22" t="s">
        <v>53</v>
      </c>
      <c r="AG212" s="22" t="s">
        <v>53</v>
      </c>
      <c r="AH212" s="22" t="s">
        <v>53</v>
      </c>
      <c r="AI212" s="22" t="s">
        <v>587</v>
      </c>
      <c r="AJ212">
        <v>4</v>
      </c>
      <c r="AK212">
        <v>1</v>
      </c>
      <c r="AL212">
        <v>0</v>
      </c>
      <c r="AM212">
        <v>0</v>
      </c>
      <c r="AN212" s="22">
        <v>0</v>
      </c>
      <c r="AO212" s="22">
        <v>0</v>
      </c>
      <c r="AP212" s="22" t="s">
        <v>53</v>
      </c>
      <c r="AQ212" s="22" t="s">
        <v>53</v>
      </c>
      <c r="AR212" s="35">
        <v>0</v>
      </c>
      <c r="AS212" s="35">
        <v>0</v>
      </c>
      <c r="AT212" s="35">
        <v>4</v>
      </c>
      <c r="AU212" s="31" t="str">
        <f t="shared" si="7"/>
        <v>库存为4</v>
      </c>
      <c r="AV212" s="36" t="str">
        <f>IFERROR(时间!$B$4+AU212,"上周无销量")</f>
        <v>上周无销量</v>
      </c>
    </row>
    <row r="213" spans="1:48">
      <c r="A213" s="20" t="s">
        <v>588</v>
      </c>
      <c r="B213" t="s">
        <v>589</v>
      </c>
      <c r="C213" t="s">
        <v>586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4</v>
      </c>
      <c r="J213" s="33">
        <v>0</v>
      </c>
      <c r="K213" s="33">
        <v>0</v>
      </c>
      <c r="L213" s="33">
        <v>0</v>
      </c>
      <c r="M213">
        <v>4</v>
      </c>
      <c r="N213">
        <v>0</v>
      </c>
      <c r="O213">
        <v>4</v>
      </c>
      <c r="P213">
        <v>0</v>
      </c>
      <c r="Q213">
        <v>0</v>
      </c>
      <c r="R213">
        <v>22</v>
      </c>
      <c r="S213">
        <v>21</v>
      </c>
      <c r="T213">
        <v>0</v>
      </c>
      <c r="U213">
        <v>0</v>
      </c>
      <c r="V213">
        <v>0</v>
      </c>
      <c r="W213">
        <v>0</v>
      </c>
      <c r="X213" s="22" t="s">
        <v>53</v>
      </c>
      <c r="Y213" s="22" t="s">
        <v>53</v>
      </c>
      <c r="Z213" s="22">
        <v>0</v>
      </c>
      <c r="AA213" s="22">
        <v>0</v>
      </c>
      <c r="AB213">
        <v>0</v>
      </c>
      <c r="AC213">
        <v>0</v>
      </c>
      <c r="AD213">
        <v>0</v>
      </c>
      <c r="AE213">
        <v>0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2</v>
      </c>
      <c r="AK213">
        <v>1</v>
      </c>
      <c r="AL213">
        <v>0</v>
      </c>
      <c r="AM213">
        <v>0</v>
      </c>
      <c r="AN213" s="22">
        <v>0</v>
      </c>
      <c r="AO213" s="22">
        <v>0</v>
      </c>
      <c r="AP213" s="22" t="s">
        <v>53</v>
      </c>
      <c r="AQ213" s="22" t="s">
        <v>53</v>
      </c>
      <c r="AR213" s="35">
        <v>0</v>
      </c>
      <c r="AS213" s="35">
        <v>0</v>
      </c>
      <c r="AT213" s="35">
        <v>4</v>
      </c>
      <c r="AU213" s="31" t="str">
        <f t="shared" si="7"/>
        <v>库存为4</v>
      </c>
      <c r="AV213" s="36" t="str">
        <f>IFERROR(时间!$B$4+AU213,"上周无销量")</f>
        <v>上周无销量</v>
      </c>
    </row>
    <row r="214" spans="1:48">
      <c r="A214" s="20" t="s">
        <v>590</v>
      </c>
      <c r="B214" t="s">
        <v>591</v>
      </c>
      <c r="C214" t="s">
        <v>586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4</v>
      </c>
      <c r="J214" s="33">
        <v>0</v>
      </c>
      <c r="K214" s="33">
        <v>0</v>
      </c>
      <c r="L214" s="33">
        <v>0</v>
      </c>
      <c r="M214">
        <v>4</v>
      </c>
      <c r="N214">
        <v>0</v>
      </c>
      <c r="O214">
        <v>4</v>
      </c>
      <c r="P214">
        <v>0</v>
      </c>
      <c r="Q214">
        <v>0</v>
      </c>
      <c r="R214">
        <v>15</v>
      </c>
      <c r="S214">
        <v>7</v>
      </c>
      <c r="T214">
        <v>0</v>
      </c>
      <c r="U214">
        <v>0</v>
      </c>
      <c r="V214">
        <v>0</v>
      </c>
      <c r="W214">
        <v>0</v>
      </c>
      <c r="X214" s="22" t="s">
        <v>53</v>
      </c>
      <c r="Y214" s="22" t="s">
        <v>53</v>
      </c>
      <c r="Z214" s="22">
        <v>0</v>
      </c>
      <c r="AA214" s="22">
        <v>0</v>
      </c>
      <c r="AB214">
        <v>0</v>
      </c>
      <c r="AC214">
        <v>0</v>
      </c>
      <c r="AD214">
        <v>0</v>
      </c>
      <c r="AE214">
        <v>0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1</v>
      </c>
      <c r="AK214">
        <v>0</v>
      </c>
      <c r="AL214">
        <v>0</v>
      </c>
      <c r="AM214">
        <v>1</v>
      </c>
      <c r="AN214" s="22">
        <v>0</v>
      </c>
      <c r="AO214" s="22" t="s">
        <v>53</v>
      </c>
      <c r="AP214" s="22" t="s">
        <v>53</v>
      </c>
      <c r="AQ214" s="22">
        <v>0</v>
      </c>
      <c r="AR214" s="35">
        <v>0</v>
      </c>
      <c r="AS214" s="35">
        <v>0</v>
      </c>
      <c r="AT214" s="35">
        <v>4</v>
      </c>
      <c r="AU214" s="31" t="str">
        <f t="shared" si="7"/>
        <v>库存为4</v>
      </c>
      <c r="AV214" s="36" t="str">
        <f>IFERROR(时间!$B$4+AU214,"上周无销量")</f>
        <v>上周无销量</v>
      </c>
    </row>
    <row r="215" spans="1:48">
      <c r="A215" s="20" t="s">
        <v>592</v>
      </c>
      <c r="B215" t="s">
        <v>593</v>
      </c>
      <c r="C215" t="s">
        <v>586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4</v>
      </c>
      <c r="J215" s="33">
        <v>0</v>
      </c>
      <c r="K215" s="33">
        <v>0</v>
      </c>
      <c r="L215" s="33">
        <v>0</v>
      </c>
      <c r="M215">
        <v>4</v>
      </c>
      <c r="N215">
        <v>0</v>
      </c>
      <c r="O215">
        <v>4</v>
      </c>
      <c r="P215">
        <v>0</v>
      </c>
      <c r="Q215">
        <v>0</v>
      </c>
      <c r="R215">
        <v>11</v>
      </c>
      <c r="S215">
        <v>65</v>
      </c>
      <c r="T215">
        <v>0</v>
      </c>
      <c r="U215">
        <v>0</v>
      </c>
      <c r="V215">
        <v>0</v>
      </c>
      <c r="W215">
        <v>0</v>
      </c>
      <c r="X215" s="22" t="s">
        <v>53</v>
      </c>
      <c r="Y215" s="22" t="s">
        <v>53</v>
      </c>
      <c r="Z215" s="22">
        <v>0</v>
      </c>
      <c r="AA215" s="22">
        <v>0</v>
      </c>
      <c r="AB215">
        <v>0</v>
      </c>
      <c r="AC215">
        <v>0</v>
      </c>
      <c r="AD215">
        <v>0</v>
      </c>
      <c r="AE215">
        <v>0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1</v>
      </c>
      <c r="AK215">
        <v>0</v>
      </c>
      <c r="AL215">
        <v>0</v>
      </c>
      <c r="AM215">
        <v>2</v>
      </c>
      <c r="AN215" s="22">
        <v>0</v>
      </c>
      <c r="AO215" s="22" t="s">
        <v>53</v>
      </c>
      <c r="AP215" s="22" t="s">
        <v>53</v>
      </c>
      <c r="AQ215" s="22">
        <v>0</v>
      </c>
      <c r="AR215" s="35">
        <v>0</v>
      </c>
      <c r="AS215" s="35">
        <v>0</v>
      </c>
      <c r="AT215" s="35">
        <v>4</v>
      </c>
      <c r="AU215" s="31" t="str">
        <f t="shared" si="7"/>
        <v>库存为4</v>
      </c>
      <c r="AV215" s="36" t="str">
        <f>IFERROR(时间!$B$4+AU215,"上周无销量")</f>
        <v>上周无销量</v>
      </c>
    </row>
    <row r="216" spans="1:48">
      <c r="A216" s="20" t="s">
        <v>594</v>
      </c>
      <c r="B216" t="s">
        <v>595</v>
      </c>
      <c r="C216" t="s">
        <v>586</v>
      </c>
      <c r="D216" s="31">
        <v>1</v>
      </c>
      <c r="E216" s="31">
        <v>0</v>
      </c>
      <c r="F216" s="31">
        <v>0</v>
      </c>
      <c r="G216" s="31">
        <v>0</v>
      </c>
      <c r="H216" s="32">
        <v>21.98</v>
      </c>
      <c r="I216">
        <v>2</v>
      </c>
      <c r="J216" s="33">
        <v>0</v>
      </c>
      <c r="K216" s="33">
        <v>0</v>
      </c>
      <c r="L216" s="33">
        <v>0</v>
      </c>
      <c r="M216">
        <v>2</v>
      </c>
      <c r="N216">
        <v>0</v>
      </c>
      <c r="O216">
        <v>3</v>
      </c>
      <c r="P216">
        <v>0</v>
      </c>
      <c r="Q216">
        <v>0</v>
      </c>
      <c r="R216">
        <v>118</v>
      </c>
      <c r="S216">
        <v>120</v>
      </c>
      <c r="T216">
        <v>0</v>
      </c>
      <c r="U216">
        <v>0</v>
      </c>
      <c r="V216">
        <v>0</v>
      </c>
      <c r="W216">
        <v>0</v>
      </c>
      <c r="X216" s="22" t="s">
        <v>53</v>
      </c>
      <c r="Y216" s="22" t="s">
        <v>53</v>
      </c>
      <c r="Z216" s="22">
        <v>0</v>
      </c>
      <c r="AA216" s="22">
        <v>0</v>
      </c>
      <c r="AB216">
        <v>0</v>
      </c>
      <c r="AC216">
        <v>0</v>
      </c>
      <c r="AD216">
        <v>0</v>
      </c>
      <c r="AE216">
        <v>0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5</v>
      </c>
      <c r="AK216">
        <v>3</v>
      </c>
      <c r="AL216">
        <v>0</v>
      </c>
      <c r="AM216">
        <v>1</v>
      </c>
      <c r="AN216" s="22">
        <v>0.2</v>
      </c>
      <c r="AO216" s="22">
        <v>0</v>
      </c>
      <c r="AP216" s="22" t="s">
        <v>53</v>
      </c>
      <c r="AQ216" s="22">
        <v>0</v>
      </c>
      <c r="AR216" s="35">
        <v>0.142857142857143</v>
      </c>
      <c r="AS216" s="35">
        <v>8.57142857142857</v>
      </c>
      <c r="AT216" s="35">
        <v>-6.57142857142857</v>
      </c>
      <c r="AU216" s="31">
        <f t="shared" si="7"/>
        <v>14</v>
      </c>
      <c r="AV216" s="36">
        <f>IFERROR(时间!$B$4+AU216,"上周无销量")</f>
        <v>43297</v>
      </c>
    </row>
    <row r="217" spans="1:48">
      <c r="A217" s="20" t="s">
        <v>596</v>
      </c>
      <c r="B217" t="s">
        <v>597</v>
      </c>
      <c r="C217" t="s">
        <v>586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4</v>
      </c>
      <c r="J217" s="33">
        <v>0</v>
      </c>
      <c r="K217" s="33">
        <v>0</v>
      </c>
      <c r="L217" s="33">
        <v>0</v>
      </c>
      <c r="M217">
        <v>4</v>
      </c>
      <c r="N217">
        <v>0</v>
      </c>
      <c r="O217">
        <v>4</v>
      </c>
      <c r="P217">
        <v>0</v>
      </c>
      <c r="Q217">
        <v>0</v>
      </c>
      <c r="R217">
        <v>10</v>
      </c>
      <c r="S217">
        <v>39</v>
      </c>
      <c r="T217">
        <v>0</v>
      </c>
      <c r="U217">
        <v>0</v>
      </c>
      <c r="V217">
        <v>0</v>
      </c>
      <c r="W217">
        <v>0</v>
      </c>
      <c r="X217" s="22" t="s">
        <v>53</v>
      </c>
      <c r="Y217" s="22" t="s">
        <v>53</v>
      </c>
      <c r="Z217" s="22">
        <v>0</v>
      </c>
      <c r="AA217" s="22">
        <v>0</v>
      </c>
      <c r="AB217">
        <v>0</v>
      </c>
      <c r="AC217">
        <v>0</v>
      </c>
      <c r="AD217">
        <v>0</v>
      </c>
      <c r="AE217">
        <v>0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3</v>
      </c>
      <c r="AK217">
        <v>1</v>
      </c>
      <c r="AL217">
        <v>0</v>
      </c>
      <c r="AM217">
        <v>0</v>
      </c>
      <c r="AN217" s="22">
        <v>0</v>
      </c>
      <c r="AO217" s="22">
        <v>0</v>
      </c>
      <c r="AP217" s="22" t="s">
        <v>53</v>
      </c>
      <c r="AQ217" s="22" t="s">
        <v>53</v>
      </c>
      <c r="AR217" s="35">
        <v>0</v>
      </c>
      <c r="AS217" s="35">
        <v>0</v>
      </c>
      <c r="AT217" s="35">
        <v>4</v>
      </c>
      <c r="AU217" s="31" t="str">
        <f t="shared" si="7"/>
        <v>库存为4</v>
      </c>
      <c r="AV217" s="36" t="str">
        <f>IFERROR(时间!$B$4+AU217,"上周无销量")</f>
        <v>上周无销量</v>
      </c>
    </row>
    <row r="218" spans="1:48">
      <c r="A218" s="20" t="s">
        <v>598</v>
      </c>
      <c r="B218" t="s">
        <v>599</v>
      </c>
      <c r="C218" t="s">
        <v>586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4</v>
      </c>
      <c r="J218" s="33">
        <v>0</v>
      </c>
      <c r="K218" s="33">
        <v>0</v>
      </c>
      <c r="L218" s="33">
        <v>0</v>
      </c>
      <c r="M218">
        <v>4</v>
      </c>
      <c r="N218">
        <v>0</v>
      </c>
      <c r="O218">
        <v>4</v>
      </c>
      <c r="P218">
        <v>0</v>
      </c>
      <c r="Q218">
        <v>0</v>
      </c>
      <c r="R218">
        <v>26</v>
      </c>
      <c r="S218">
        <v>18</v>
      </c>
      <c r="T218">
        <v>0</v>
      </c>
      <c r="U218">
        <v>0</v>
      </c>
      <c r="V218">
        <v>0</v>
      </c>
      <c r="W218">
        <v>0</v>
      </c>
      <c r="X218" s="22" t="s">
        <v>53</v>
      </c>
      <c r="Y218" s="22" t="s">
        <v>53</v>
      </c>
      <c r="Z218" s="22">
        <v>0</v>
      </c>
      <c r="AA218" s="22">
        <v>0</v>
      </c>
      <c r="AB218">
        <v>0</v>
      </c>
      <c r="AC218">
        <v>0</v>
      </c>
      <c r="AD218">
        <v>0</v>
      </c>
      <c r="AE218">
        <v>0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2</v>
      </c>
      <c r="AK218">
        <v>1</v>
      </c>
      <c r="AL218">
        <v>0</v>
      </c>
      <c r="AM218">
        <v>0</v>
      </c>
      <c r="AN218" s="22">
        <v>0</v>
      </c>
      <c r="AO218" s="22">
        <v>0</v>
      </c>
      <c r="AP218" s="22" t="s">
        <v>53</v>
      </c>
      <c r="AQ218" s="22" t="s">
        <v>53</v>
      </c>
      <c r="AR218" s="35">
        <v>0</v>
      </c>
      <c r="AS218" s="35">
        <v>0</v>
      </c>
      <c r="AT218" s="35">
        <v>4</v>
      </c>
      <c r="AU218" s="31" t="str">
        <f t="shared" si="7"/>
        <v>库存为4</v>
      </c>
      <c r="AV218" s="36" t="str">
        <f>IFERROR(时间!$B$4+AU218,"上周无销量")</f>
        <v>上周无销量</v>
      </c>
    </row>
    <row r="219" spans="1:48">
      <c r="A219" s="20" t="s">
        <v>600</v>
      </c>
      <c r="B219" t="s">
        <v>601</v>
      </c>
      <c r="C219" t="s">
        <v>586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>
        <v>46</v>
      </c>
      <c r="Q219">
        <v>3</v>
      </c>
      <c r="R219">
        <v>26</v>
      </c>
      <c r="S219">
        <v>8</v>
      </c>
      <c r="T219">
        <v>0</v>
      </c>
      <c r="U219">
        <v>0</v>
      </c>
      <c r="V219">
        <v>0</v>
      </c>
      <c r="W219">
        <v>0</v>
      </c>
      <c r="X219" s="22">
        <v>0</v>
      </c>
      <c r="Y219" s="22">
        <v>0</v>
      </c>
      <c r="Z219" s="22">
        <v>0</v>
      </c>
      <c r="AA219" s="22">
        <v>0</v>
      </c>
      <c r="AB219">
        <v>0</v>
      </c>
      <c r="AC219">
        <v>0</v>
      </c>
      <c r="AD219">
        <v>0</v>
      </c>
      <c r="AE219">
        <v>0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2</v>
      </c>
      <c r="AK219">
        <v>0</v>
      </c>
      <c r="AL219">
        <v>0</v>
      </c>
      <c r="AM219">
        <v>1</v>
      </c>
      <c r="AN219" s="22">
        <v>0</v>
      </c>
      <c r="AO219" s="22" t="s">
        <v>53</v>
      </c>
      <c r="AP219" s="22" t="s">
        <v>53</v>
      </c>
      <c r="AQ219" s="22">
        <v>0</v>
      </c>
      <c r="AR219" s="35">
        <v>0</v>
      </c>
      <c r="AS219" s="35">
        <v>0</v>
      </c>
      <c r="AT219" s="35">
        <v>4</v>
      </c>
      <c r="AU219" s="31" t="str">
        <f t="shared" si="7"/>
        <v>库存为4</v>
      </c>
      <c r="AV219" s="36" t="str">
        <f>IFERROR(时间!$B$4+AU219,"上周无销量")</f>
        <v>上周无销量</v>
      </c>
    </row>
    <row r="220" spans="1:48">
      <c r="A220" s="20" t="s">
        <v>602</v>
      </c>
      <c r="B220" t="s">
        <v>603</v>
      </c>
      <c r="C220" t="s">
        <v>586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5</v>
      </c>
      <c r="J220" s="33">
        <v>0</v>
      </c>
      <c r="K220" s="33">
        <v>0</v>
      </c>
      <c r="L220" s="33">
        <v>0</v>
      </c>
      <c r="M220">
        <v>5</v>
      </c>
      <c r="N220">
        <v>0</v>
      </c>
      <c r="O220">
        <v>5</v>
      </c>
      <c r="P220">
        <v>0</v>
      </c>
      <c r="Q220">
        <v>0</v>
      </c>
      <c r="R220">
        <v>44</v>
      </c>
      <c r="S220">
        <v>18</v>
      </c>
      <c r="T220">
        <v>0</v>
      </c>
      <c r="U220">
        <v>0</v>
      </c>
      <c r="V220">
        <v>0</v>
      </c>
      <c r="W220">
        <v>0</v>
      </c>
      <c r="X220" s="22" t="s">
        <v>53</v>
      </c>
      <c r="Y220" s="22" t="s">
        <v>53</v>
      </c>
      <c r="Z220" s="22">
        <v>0</v>
      </c>
      <c r="AA220" s="22">
        <v>0</v>
      </c>
      <c r="AB220">
        <v>0</v>
      </c>
      <c r="AC220">
        <v>0</v>
      </c>
      <c r="AD220">
        <v>0</v>
      </c>
      <c r="AE220">
        <v>0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3</v>
      </c>
      <c r="AK220">
        <v>1</v>
      </c>
      <c r="AL220">
        <v>0</v>
      </c>
      <c r="AM220">
        <v>0</v>
      </c>
      <c r="AN220" s="22">
        <v>0</v>
      </c>
      <c r="AO220" s="22">
        <v>0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5</v>
      </c>
      <c r="AU220" s="31" t="str">
        <f t="shared" si="7"/>
        <v>库存为5</v>
      </c>
      <c r="AV220" s="36" t="str">
        <f>IFERROR(时间!$B$4+AU220,"上周无销量")</f>
        <v>上周无销量</v>
      </c>
    </row>
    <row r="221" spans="1:48">
      <c r="A221" s="20" t="s">
        <v>604</v>
      </c>
      <c r="B221" t="s">
        <v>605</v>
      </c>
      <c r="C221" t="s">
        <v>586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4</v>
      </c>
      <c r="P221">
        <v>0</v>
      </c>
      <c r="Q221">
        <v>0</v>
      </c>
      <c r="R221">
        <v>88</v>
      </c>
      <c r="S221">
        <v>76</v>
      </c>
      <c r="T221">
        <v>0</v>
      </c>
      <c r="U221">
        <v>0</v>
      </c>
      <c r="V221">
        <v>0</v>
      </c>
      <c r="W221">
        <v>0</v>
      </c>
      <c r="X221" s="22" t="s">
        <v>53</v>
      </c>
      <c r="Y221" s="22" t="s">
        <v>53</v>
      </c>
      <c r="Z221" s="22">
        <v>0</v>
      </c>
      <c r="AA221" s="22">
        <v>0</v>
      </c>
      <c r="AB221">
        <v>0</v>
      </c>
      <c r="AC221">
        <v>0</v>
      </c>
      <c r="AD221">
        <v>0</v>
      </c>
      <c r="AE221">
        <v>0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2</v>
      </c>
      <c r="AK221">
        <v>2</v>
      </c>
      <c r="AL221">
        <v>1</v>
      </c>
      <c r="AM221">
        <v>1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606</v>
      </c>
      <c r="B222" t="s">
        <v>607</v>
      </c>
      <c r="C222" t="s">
        <v>586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2</v>
      </c>
      <c r="J222" s="33">
        <v>0</v>
      </c>
      <c r="K222" s="33">
        <v>0</v>
      </c>
      <c r="L222" s="33">
        <v>0</v>
      </c>
      <c r="M222">
        <v>2</v>
      </c>
      <c r="N222">
        <v>0</v>
      </c>
      <c r="O222">
        <v>2</v>
      </c>
      <c r="P222">
        <v>0</v>
      </c>
      <c r="Q222">
        <v>0</v>
      </c>
      <c r="R222">
        <v>26</v>
      </c>
      <c r="S222">
        <v>47</v>
      </c>
      <c r="T222">
        <v>0</v>
      </c>
      <c r="U222">
        <v>0</v>
      </c>
      <c r="V222">
        <v>0</v>
      </c>
      <c r="W222">
        <v>0</v>
      </c>
      <c r="X222" s="22" t="s">
        <v>53</v>
      </c>
      <c r="Y222" s="22" t="s">
        <v>53</v>
      </c>
      <c r="Z222" s="22">
        <v>0</v>
      </c>
      <c r="AA222" s="22">
        <v>0</v>
      </c>
      <c r="AB222">
        <v>0</v>
      </c>
      <c r="AC222">
        <v>0</v>
      </c>
      <c r="AD222">
        <v>0</v>
      </c>
      <c r="AE222">
        <v>0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4</v>
      </c>
      <c r="AK222">
        <v>2</v>
      </c>
      <c r="AL222">
        <v>0</v>
      </c>
      <c r="AM222">
        <v>0</v>
      </c>
      <c r="AN222" s="22">
        <v>0</v>
      </c>
      <c r="AO222" s="22">
        <v>0</v>
      </c>
      <c r="AP222" s="22" t="s">
        <v>53</v>
      </c>
      <c r="AQ222" s="22" t="s">
        <v>53</v>
      </c>
      <c r="AR222" s="35">
        <v>0</v>
      </c>
      <c r="AS222" s="35">
        <v>0</v>
      </c>
      <c r="AT222" s="35">
        <v>2</v>
      </c>
      <c r="AU222" s="31" t="str">
        <f t="shared" si="7"/>
        <v>库存为2</v>
      </c>
      <c r="AV222" s="36" t="str">
        <f>IFERROR(时间!$B$4+AU222,"上周无销量")</f>
        <v>上周无销量</v>
      </c>
    </row>
    <row r="223" spans="1:48">
      <c r="A223" s="20" t="s">
        <v>608</v>
      </c>
      <c r="B223" t="s">
        <v>609</v>
      </c>
      <c r="C223" t="s">
        <v>586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4</v>
      </c>
      <c r="J223" s="33">
        <v>0</v>
      </c>
      <c r="K223" s="33">
        <v>0</v>
      </c>
      <c r="L223" s="33">
        <v>0</v>
      </c>
      <c r="M223">
        <v>4</v>
      </c>
      <c r="N223">
        <v>0</v>
      </c>
      <c r="O223">
        <v>4</v>
      </c>
      <c r="P223">
        <v>10</v>
      </c>
      <c r="Q223">
        <v>35</v>
      </c>
      <c r="R223">
        <v>24</v>
      </c>
      <c r="S223">
        <v>9</v>
      </c>
      <c r="T223">
        <v>0</v>
      </c>
      <c r="U223">
        <v>0</v>
      </c>
      <c r="V223">
        <v>0</v>
      </c>
      <c r="W223">
        <v>0</v>
      </c>
      <c r="X223" s="22">
        <v>0</v>
      </c>
      <c r="Y223" s="22">
        <v>0</v>
      </c>
      <c r="Z223" s="22">
        <v>0</v>
      </c>
      <c r="AA223" s="22">
        <v>0</v>
      </c>
      <c r="AB223">
        <v>0</v>
      </c>
      <c r="AC223">
        <v>0</v>
      </c>
      <c r="AD223">
        <v>0</v>
      </c>
      <c r="AE223">
        <v>0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2</v>
      </c>
      <c r="AK223">
        <v>1</v>
      </c>
      <c r="AL223">
        <v>0</v>
      </c>
      <c r="AM223">
        <v>0</v>
      </c>
      <c r="AN223" s="22">
        <v>0</v>
      </c>
      <c r="AO223" s="22">
        <v>0</v>
      </c>
      <c r="AP223" s="22" t="s">
        <v>53</v>
      </c>
      <c r="AQ223" s="22" t="s">
        <v>53</v>
      </c>
      <c r="AR223" s="35">
        <v>0</v>
      </c>
      <c r="AS223" s="35">
        <v>0</v>
      </c>
      <c r="AT223" s="35">
        <v>4</v>
      </c>
      <c r="AU223" s="31" t="str">
        <f t="shared" si="7"/>
        <v>库存为4</v>
      </c>
      <c r="AV223" s="36" t="str">
        <f>IFERROR(时间!$B$4+AU223,"上周无销量")</f>
        <v>上周无销量</v>
      </c>
    </row>
    <row r="224" spans="1:48">
      <c r="A224" s="20" t="s">
        <v>610</v>
      </c>
      <c r="B224" t="s">
        <v>611</v>
      </c>
      <c r="C224" t="s">
        <v>586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4</v>
      </c>
      <c r="J224" s="33">
        <v>0</v>
      </c>
      <c r="K224" s="33">
        <v>0</v>
      </c>
      <c r="L224" s="33">
        <v>0</v>
      </c>
      <c r="M224">
        <v>4</v>
      </c>
      <c r="N224">
        <v>0</v>
      </c>
      <c r="O224">
        <v>4</v>
      </c>
      <c r="P224">
        <v>0</v>
      </c>
      <c r="Q224">
        <v>0</v>
      </c>
      <c r="R224">
        <v>62</v>
      </c>
      <c r="S224">
        <v>37</v>
      </c>
      <c r="T224">
        <v>0</v>
      </c>
      <c r="U224">
        <v>0</v>
      </c>
      <c r="V224">
        <v>0</v>
      </c>
      <c r="W224">
        <v>1</v>
      </c>
      <c r="X224" s="22" t="s">
        <v>53</v>
      </c>
      <c r="Y224" s="22" t="s">
        <v>53</v>
      </c>
      <c r="Z224" s="22">
        <v>0</v>
      </c>
      <c r="AA224" s="22">
        <v>0.027027027027027</v>
      </c>
      <c r="AB224">
        <v>0</v>
      </c>
      <c r="AC224">
        <v>0</v>
      </c>
      <c r="AD224">
        <v>0</v>
      </c>
      <c r="AE224">
        <v>0.19</v>
      </c>
      <c r="AF224" s="22" t="s">
        <v>53</v>
      </c>
      <c r="AG224" s="22" t="s">
        <v>53</v>
      </c>
      <c r="AH224" s="22" t="s">
        <v>53</v>
      </c>
      <c r="AI224" s="22" t="s">
        <v>612</v>
      </c>
      <c r="AJ224">
        <v>0</v>
      </c>
      <c r="AK224">
        <v>2</v>
      </c>
      <c r="AL224">
        <v>0</v>
      </c>
      <c r="AM224">
        <v>1</v>
      </c>
      <c r="AN224" s="22" t="s">
        <v>53</v>
      </c>
      <c r="AO224" s="22">
        <v>0</v>
      </c>
      <c r="AP224" s="22" t="s">
        <v>53</v>
      </c>
      <c r="AQ224" s="22">
        <v>0</v>
      </c>
      <c r="AR224" s="35">
        <v>0</v>
      </c>
      <c r="AS224" s="35">
        <v>0</v>
      </c>
      <c r="AT224" s="35">
        <v>4</v>
      </c>
      <c r="AU224" s="31" t="str">
        <f t="shared" si="7"/>
        <v>库存为4</v>
      </c>
      <c r="AV224" s="36" t="str">
        <f>IFERROR(时间!$B$4+AU224,"上周无销量")</f>
        <v>上周无销量</v>
      </c>
    </row>
    <row r="225" spans="1:48">
      <c r="A225" s="20" t="s">
        <v>613</v>
      </c>
      <c r="B225" t="s">
        <v>614</v>
      </c>
      <c r="C225" t="s">
        <v>586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4</v>
      </c>
      <c r="J225" s="33">
        <v>0</v>
      </c>
      <c r="K225" s="33">
        <v>0</v>
      </c>
      <c r="L225" s="33">
        <v>0</v>
      </c>
      <c r="M225">
        <v>4</v>
      </c>
      <c r="N225">
        <v>0</v>
      </c>
      <c r="O225">
        <v>3</v>
      </c>
      <c r="P225">
        <v>0</v>
      </c>
      <c r="Q225">
        <v>0</v>
      </c>
      <c r="R225">
        <v>108</v>
      </c>
      <c r="S225">
        <v>200</v>
      </c>
      <c r="T225">
        <v>0</v>
      </c>
      <c r="U225">
        <v>0</v>
      </c>
      <c r="V225">
        <v>0</v>
      </c>
      <c r="W225">
        <v>1</v>
      </c>
      <c r="X225" s="22" t="s">
        <v>53</v>
      </c>
      <c r="Y225" s="22" t="s">
        <v>53</v>
      </c>
      <c r="Z225" s="22">
        <v>0</v>
      </c>
      <c r="AA225" s="22">
        <v>0.005</v>
      </c>
      <c r="AB225">
        <v>0</v>
      </c>
      <c r="AC225">
        <v>0</v>
      </c>
      <c r="AD225">
        <v>0</v>
      </c>
      <c r="AE225">
        <v>0.33</v>
      </c>
      <c r="AF225" s="22" t="s">
        <v>53</v>
      </c>
      <c r="AG225" s="22" t="s">
        <v>53</v>
      </c>
      <c r="AH225" s="22" t="s">
        <v>53</v>
      </c>
      <c r="AI225" s="22" t="s">
        <v>615</v>
      </c>
      <c r="AJ225">
        <v>4</v>
      </c>
      <c r="AK225">
        <v>0</v>
      </c>
      <c r="AL225">
        <v>2</v>
      </c>
      <c r="AM225">
        <v>0</v>
      </c>
      <c r="AN225" s="22">
        <v>0</v>
      </c>
      <c r="AO225" s="22" t="s">
        <v>53</v>
      </c>
      <c r="AP225" s="22">
        <v>0</v>
      </c>
      <c r="AQ225" s="22" t="s">
        <v>53</v>
      </c>
      <c r="AR225" s="35">
        <v>0</v>
      </c>
      <c r="AS225" s="35">
        <v>0</v>
      </c>
      <c r="AT225" s="35">
        <v>4</v>
      </c>
      <c r="AU225" s="31" t="str">
        <f t="shared" si="7"/>
        <v>库存为4</v>
      </c>
      <c r="AV225" s="36" t="str">
        <f>IFERROR(时间!$B$4+AU225,"上周无销量")</f>
        <v>上周无销量</v>
      </c>
    </row>
    <row r="226" spans="1:48">
      <c r="A226" s="20" t="s">
        <v>616</v>
      </c>
      <c r="B226" t="s">
        <v>617</v>
      </c>
      <c r="C226" t="s">
        <v>586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4</v>
      </c>
      <c r="J226" s="33">
        <v>0</v>
      </c>
      <c r="K226" s="33">
        <v>0</v>
      </c>
      <c r="L226" s="33">
        <v>0</v>
      </c>
      <c r="M226">
        <v>4</v>
      </c>
      <c r="N226">
        <v>0</v>
      </c>
      <c r="O226">
        <v>4</v>
      </c>
      <c r="P226">
        <v>0</v>
      </c>
      <c r="Q226">
        <v>0</v>
      </c>
      <c r="R226">
        <v>96</v>
      </c>
      <c r="S226">
        <v>58</v>
      </c>
      <c r="T226">
        <v>0</v>
      </c>
      <c r="U226">
        <v>0</v>
      </c>
      <c r="V226">
        <v>1</v>
      </c>
      <c r="W226">
        <v>0</v>
      </c>
      <c r="X226" s="22" t="s">
        <v>53</v>
      </c>
      <c r="Y226" s="22" t="s">
        <v>53</v>
      </c>
      <c r="Z226" s="22">
        <v>0.0104166666666667</v>
      </c>
      <c r="AA226" s="22">
        <v>0</v>
      </c>
      <c r="AB226">
        <v>0</v>
      </c>
      <c r="AC226">
        <v>0</v>
      </c>
      <c r="AD226">
        <v>0.52</v>
      </c>
      <c r="AE226">
        <v>0</v>
      </c>
      <c r="AF226" s="22" t="s">
        <v>53</v>
      </c>
      <c r="AG226" s="22" t="s">
        <v>53</v>
      </c>
      <c r="AH226" s="22" t="s">
        <v>350</v>
      </c>
      <c r="AI226" s="22" t="s">
        <v>53</v>
      </c>
      <c r="AJ226">
        <v>3</v>
      </c>
      <c r="AK226">
        <v>1</v>
      </c>
      <c r="AL226">
        <v>1</v>
      </c>
      <c r="AM226">
        <v>1</v>
      </c>
      <c r="AN226" s="22">
        <v>0</v>
      </c>
      <c r="AO226" s="22">
        <v>0</v>
      </c>
      <c r="AP226" s="22">
        <v>0</v>
      </c>
      <c r="AQ226" s="22">
        <v>0</v>
      </c>
      <c r="AR226" s="35">
        <v>0</v>
      </c>
      <c r="AS226" s="35">
        <v>0</v>
      </c>
      <c r="AT226" s="35">
        <v>4</v>
      </c>
      <c r="AU226" s="31" t="str">
        <f t="shared" si="7"/>
        <v>库存为4</v>
      </c>
      <c r="AV226" s="36" t="str">
        <f>IFERROR(时间!$B$4+AU226,"上周无销量")</f>
        <v>上周无销量</v>
      </c>
    </row>
    <row r="227" spans="1:48">
      <c r="A227" s="20" t="s">
        <v>618</v>
      </c>
      <c r="B227" t="s">
        <v>619</v>
      </c>
      <c r="C227" t="s">
        <v>586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4</v>
      </c>
      <c r="J227" s="33">
        <v>0</v>
      </c>
      <c r="K227" s="33">
        <v>0</v>
      </c>
      <c r="L227" s="33">
        <v>0</v>
      </c>
      <c r="M227">
        <v>4</v>
      </c>
      <c r="N227">
        <v>0</v>
      </c>
      <c r="O227">
        <v>4</v>
      </c>
      <c r="P227">
        <v>0</v>
      </c>
      <c r="Q227">
        <v>0</v>
      </c>
      <c r="R227">
        <v>50</v>
      </c>
      <c r="S227">
        <v>41</v>
      </c>
      <c r="T227">
        <v>0</v>
      </c>
      <c r="U227">
        <v>0</v>
      </c>
      <c r="V227">
        <v>0</v>
      </c>
      <c r="W227">
        <v>1</v>
      </c>
      <c r="X227" s="22" t="s">
        <v>53</v>
      </c>
      <c r="Y227" s="22" t="s">
        <v>53</v>
      </c>
      <c r="Z227" s="22">
        <v>0</v>
      </c>
      <c r="AA227" s="22">
        <v>0.024390243902439</v>
      </c>
      <c r="AB227">
        <v>0</v>
      </c>
      <c r="AC227">
        <v>0</v>
      </c>
      <c r="AD227">
        <v>0</v>
      </c>
      <c r="AE227">
        <v>0.33</v>
      </c>
      <c r="AF227" s="22" t="s">
        <v>53</v>
      </c>
      <c r="AG227" s="22" t="s">
        <v>53</v>
      </c>
      <c r="AH227" s="22" t="s">
        <v>53</v>
      </c>
      <c r="AI227" s="22" t="s">
        <v>615</v>
      </c>
      <c r="AJ227">
        <v>1</v>
      </c>
      <c r="AK227">
        <v>0</v>
      </c>
      <c r="AL227">
        <v>2</v>
      </c>
      <c r="AM227">
        <v>1</v>
      </c>
      <c r="AN227" s="22">
        <v>0</v>
      </c>
      <c r="AO227" s="22" t="s">
        <v>53</v>
      </c>
      <c r="AP227" s="22">
        <v>0</v>
      </c>
      <c r="AQ227" s="22">
        <v>0</v>
      </c>
      <c r="AR227" s="35">
        <v>0</v>
      </c>
      <c r="AS227" s="35">
        <v>0</v>
      </c>
      <c r="AT227" s="35">
        <v>4</v>
      </c>
      <c r="AU227" s="31" t="str">
        <f t="shared" si="7"/>
        <v>库存为4</v>
      </c>
      <c r="AV227" s="36" t="str">
        <f>IFERROR(时间!$B$4+AU227,"上周无销量")</f>
        <v>上周无销量</v>
      </c>
    </row>
    <row r="228" spans="1:48">
      <c r="A228" s="20" t="s">
        <v>620</v>
      </c>
      <c r="B228" t="s">
        <v>621</v>
      </c>
      <c r="C228" t="s">
        <v>622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3</v>
      </c>
      <c r="J228" s="33">
        <v>0</v>
      </c>
      <c r="K228" s="33">
        <v>0</v>
      </c>
      <c r="L228" s="33">
        <v>0</v>
      </c>
      <c r="M228">
        <v>3</v>
      </c>
      <c r="N228">
        <v>0</v>
      </c>
      <c r="O228">
        <v>3</v>
      </c>
      <c r="P228">
        <v>0</v>
      </c>
      <c r="Q228">
        <v>0</v>
      </c>
      <c r="R228">
        <v>262</v>
      </c>
      <c r="S228">
        <v>0</v>
      </c>
      <c r="T228">
        <v>0</v>
      </c>
      <c r="U228">
        <v>0</v>
      </c>
      <c r="V228">
        <v>1</v>
      </c>
      <c r="W228">
        <v>0</v>
      </c>
      <c r="X228" s="22" t="s">
        <v>53</v>
      </c>
      <c r="Y228" s="22" t="s">
        <v>53</v>
      </c>
      <c r="Z228" s="22">
        <v>0.00381679389312977</v>
      </c>
      <c r="AA228" s="22" t="s">
        <v>53</v>
      </c>
      <c r="AB228">
        <v>0</v>
      </c>
      <c r="AC228">
        <v>0</v>
      </c>
      <c r="AD228">
        <v>0.52</v>
      </c>
      <c r="AE228">
        <v>0</v>
      </c>
      <c r="AF228" s="22" t="s">
        <v>53</v>
      </c>
      <c r="AG228" s="22" t="s">
        <v>53</v>
      </c>
      <c r="AH228" s="22" t="s">
        <v>350</v>
      </c>
      <c r="AI228" s="22" t="s">
        <v>53</v>
      </c>
      <c r="AJ228">
        <v>2</v>
      </c>
      <c r="AK228">
        <v>3</v>
      </c>
      <c r="AL228">
        <v>0</v>
      </c>
      <c r="AM228">
        <v>3</v>
      </c>
      <c r="AN228" s="22">
        <v>0</v>
      </c>
      <c r="AO228" s="22">
        <v>0</v>
      </c>
      <c r="AP228" s="22" t="s">
        <v>53</v>
      </c>
      <c r="AQ228" s="22">
        <v>0</v>
      </c>
      <c r="AR228" s="35">
        <v>0</v>
      </c>
      <c r="AS228" s="35">
        <v>0</v>
      </c>
      <c r="AT228" s="35">
        <v>3</v>
      </c>
      <c r="AU228" s="31" t="str">
        <f t="shared" si="7"/>
        <v>库存为3</v>
      </c>
      <c r="AV228" s="36" t="str">
        <f>IFERROR(时间!$B$4+AU228,"上周无销量")</f>
        <v>上周无销量</v>
      </c>
    </row>
    <row r="229" spans="1:48">
      <c r="A229" s="20" t="s">
        <v>623</v>
      </c>
      <c r="B229" t="s">
        <v>624</v>
      </c>
      <c r="C229" t="s">
        <v>622</v>
      </c>
      <c r="D229" s="31">
        <v>0</v>
      </c>
      <c r="E229" s="31">
        <v>0</v>
      </c>
      <c r="F229" s="31">
        <v>2</v>
      </c>
      <c r="G229" s="31">
        <v>0</v>
      </c>
      <c r="H229" s="32">
        <v>21.98</v>
      </c>
      <c r="I229">
        <v>1</v>
      </c>
      <c r="J229" s="33">
        <v>0</v>
      </c>
      <c r="K229" s="33">
        <v>0</v>
      </c>
      <c r="L229" s="33">
        <v>0</v>
      </c>
      <c r="M229">
        <v>1</v>
      </c>
      <c r="N229">
        <v>0</v>
      </c>
      <c r="O229">
        <v>1</v>
      </c>
      <c r="P229">
        <v>0</v>
      </c>
      <c r="Q229">
        <v>0</v>
      </c>
      <c r="R229">
        <v>240</v>
      </c>
      <c r="S229">
        <v>0</v>
      </c>
      <c r="T229">
        <v>0</v>
      </c>
      <c r="U229">
        <v>0</v>
      </c>
      <c r="V229">
        <v>0</v>
      </c>
      <c r="W229">
        <v>0</v>
      </c>
      <c r="X229" s="22" t="s">
        <v>53</v>
      </c>
      <c r="Y229" s="22" t="s">
        <v>53</v>
      </c>
      <c r="Z229" s="22">
        <v>0</v>
      </c>
      <c r="AA229" s="22" t="s">
        <v>53</v>
      </c>
      <c r="AB229">
        <v>0</v>
      </c>
      <c r="AC229">
        <v>0</v>
      </c>
      <c r="AD229">
        <v>0</v>
      </c>
      <c r="AE229">
        <v>0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3</v>
      </c>
      <c r="AK229">
        <v>3</v>
      </c>
      <c r="AL229">
        <v>3</v>
      </c>
      <c r="AM229">
        <v>1</v>
      </c>
      <c r="AN229" s="22">
        <v>0</v>
      </c>
      <c r="AO229" s="22">
        <v>0</v>
      </c>
      <c r="AP229" s="22">
        <v>0.666666666666667</v>
      </c>
      <c r="AQ229" s="22">
        <v>0</v>
      </c>
      <c r="AR229" s="35">
        <v>0</v>
      </c>
      <c r="AS229" s="35">
        <v>0</v>
      </c>
      <c r="AT229" s="35">
        <v>1</v>
      </c>
      <c r="AU229" s="31" t="str">
        <f t="shared" si="7"/>
        <v>库存为1</v>
      </c>
      <c r="AV229" s="36" t="str">
        <f>IFERROR(时间!$B$4+AU229,"上周无销量")</f>
        <v>上周无销量</v>
      </c>
    </row>
    <row r="230" spans="1:48">
      <c r="A230" s="20" t="s">
        <v>625</v>
      </c>
      <c r="B230" t="s">
        <v>626</v>
      </c>
      <c r="C230" t="s">
        <v>622</v>
      </c>
      <c r="D230" s="31">
        <v>0</v>
      </c>
      <c r="E230" s="31">
        <v>0</v>
      </c>
      <c r="F230" s="31">
        <v>0</v>
      </c>
      <c r="G230" s="31">
        <v>1</v>
      </c>
      <c r="H230" s="32">
        <v>21.98</v>
      </c>
      <c r="I230">
        <v>3</v>
      </c>
      <c r="J230" s="33">
        <v>0</v>
      </c>
      <c r="K230" s="33">
        <v>0</v>
      </c>
      <c r="L230" s="33">
        <v>0</v>
      </c>
      <c r="M230">
        <v>3</v>
      </c>
      <c r="N230">
        <v>0</v>
      </c>
      <c r="O230">
        <v>3</v>
      </c>
      <c r="P230">
        <v>8944</v>
      </c>
      <c r="Q230">
        <v>19478</v>
      </c>
      <c r="R230">
        <v>362</v>
      </c>
      <c r="S230">
        <v>0</v>
      </c>
      <c r="T230">
        <v>20</v>
      </c>
      <c r="U230">
        <v>39</v>
      </c>
      <c r="V230">
        <v>5</v>
      </c>
      <c r="W230">
        <v>0</v>
      </c>
      <c r="X230" s="22">
        <v>0.00223613595706619</v>
      </c>
      <c r="Y230" s="22">
        <v>0.00200225895882534</v>
      </c>
      <c r="Z230" s="22">
        <v>0.0138121546961326</v>
      </c>
      <c r="AA230" s="22" t="s">
        <v>53</v>
      </c>
      <c r="AB230">
        <v>10.96</v>
      </c>
      <c r="AC230">
        <v>18.64</v>
      </c>
      <c r="AD230">
        <v>2.42</v>
      </c>
      <c r="AE230">
        <v>0</v>
      </c>
      <c r="AF230" s="22" t="s">
        <v>627</v>
      </c>
      <c r="AG230" s="22" t="s">
        <v>628</v>
      </c>
      <c r="AH230" s="22" t="s">
        <v>629</v>
      </c>
      <c r="AI230" s="22" t="s">
        <v>53</v>
      </c>
      <c r="AJ230">
        <v>2</v>
      </c>
      <c r="AK230">
        <v>9</v>
      </c>
      <c r="AL230">
        <v>21</v>
      </c>
      <c r="AM230">
        <v>8</v>
      </c>
      <c r="AN230" s="22">
        <v>0</v>
      </c>
      <c r="AO230" s="22">
        <v>0</v>
      </c>
      <c r="AP230" s="22">
        <v>0</v>
      </c>
      <c r="AQ230" s="22">
        <v>0.125</v>
      </c>
      <c r="AR230" s="35">
        <v>0</v>
      </c>
      <c r="AS230" s="35">
        <v>0</v>
      </c>
      <c r="AT230" s="35">
        <v>3</v>
      </c>
      <c r="AU230" s="31" t="str">
        <f t="shared" si="7"/>
        <v>库存为3</v>
      </c>
      <c r="AV230" s="36" t="str">
        <f>IFERROR(时间!$B$4+AU230,"上周无销量")</f>
        <v>上周无销量</v>
      </c>
    </row>
    <row r="231" spans="1:48">
      <c r="A231" s="20" t="s">
        <v>630</v>
      </c>
      <c r="B231" t="s">
        <v>631</v>
      </c>
      <c r="C231" t="s">
        <v>622</v>
      </c>
      <c r="D231" s="31">
        <v>0</v>
      </c>
      <c r="E231" s="31">
        <v>0</v>
      </c>
      <c r="F231" s="31">
        <v>1</v>
      </c>
      <c r="G231" s="31">
        <v>1</v>
      </c>
      <c r="H231" s="32">
        <v>21.98</v>
      </c>
      <c r="I231">
        <v>2</v>
      </c>
      <c r="J231" s="33">
        <v>0</v>
      </c>
      <c r="K231" s="33">
        <v>0</v>
      </c>
      <c r="L231" s="33">
        <v>0</v>
      </c>
      <c r="M231">
        <v>2</v>
      </c>
      <c r="N231">
        <v>0</v>
      </c>
      <c r="O231">
        <v>2</v>
      </c>
      <c r="P231">
        <v>87</v>
      </c>
      <c r="Q231">
        <v>1748</v>
      </c>
      <c r="R231">
        <v>362</v>
      </c>
      <c r="S231">
        <v>0</v>
      </c>
      <c r="T231">
        <v>1</v>
      </c>
      <c r="U231">
        <v>4</v>
      </c>
      <c r="V231">
        <v>1</v>
      </c>
      <c r="W231">
        <v>0</v>
      </c>
      <c r="X231" s="22">
        <v>0.0114942528735632</v>
      </c>
      <c r="Y231" s="22">
        <v>0.0022883295194508</v>
      </c>
      <c r="Z231" s="22">
        <v>0.00276243093922652</v>
      </c>
      <c r="AA231" s="22" t="s">
        <v>53</v>
      </c>
      <c r="AB231">
        <v>0.37</v>
      </c>
      <c r="AC231">
        <v>1.75</v>
      </c>
      <c r="AD231">
        <v>0.74</v>
      </c>
      <c r="AE231">
        <v>0</v>
      </c>
      <c r="AF231" s="22" t="s">
        <v>470</v>
      </c>
      <c r="AG231" s="22" t="s">
        <v>632</v>
      </c>
      <c r="AH231" s="22">
        <v>0.0336669699727025</v>
      </c>
      <c r="AI231" s="22" t="s">
        <v>53</v>
      </c>
      <c r="AJ231">
        <v>4</v>
      </c>
      <c r="AK231">
        <v>5</v>
      </c>
      <c r="AL231">
        <v>6</v>
      </c>
      <c r="AM231">
        <v>3</v>
      </c>
      <c r="AN231" s="22">
        <v>0</v>
      </c>
      <c r="AO231" s="22">
        <v>0</v>
      </c>
      <c r="AP231" s="22">
        <v>0.166666666666667</v>
      </c>
      <c r="AQ231" s="22">
        <v>0.333333333333333</v>
      </c>
      <c r="AR231" s="35">
        <v>0</v>
      </c>
      <c r="AS231" s="35">
        <v>0</v>
      </c>
      <c r="AT231" s="35">
        <v>2</v>
      </c>
      <c r="AU231" s="31" t="str">
        <f t="shared" si="7"/>
        <v>库存为2</v>
      </c>
      <c r="AV231" s="36" t="str">
        <f>IFERROR(时间!$B$4+AU231,"上周无销量")</f>
        <v>上周无销量</v>
      </c>
    </row>
    <row r="232" spans="1:48">
      <c r="A232" s="20" t="s">
        <v>633</v>
      </c>
      <c r="B232" t="s">
        <v>634</v>
      </c>
      <c r="C232" t="s">
        <v>622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4</v>
      </c>
      <c r="J232" s="33">
        <v>0</v>
      </c>
      <c r="K232" s="33">
        <v>0</v>
      </c>
      <c r="L232" s="33">
        <v>0</v>
      </c>
      <c r="M232">
        <v>4</v>
      </c>
      <c r="N232">
        <v>0</v>
      </c>
      <c r="O232">
        <v>4</v>
      </c>
      <c r="P232">
        <v>0</v>
      </c>
      <c r="Q232">
        <v>0</v>
      </c>
      <c r="R232">
        <v>297</v>
      </c>
      <c r="S232">
        <v>0</v>
      </c>
      <c r="T232">
        <v>0</v>
      </c>
      <c r="U232">
        <v>0</v>
      </c>
      <c r="V232">
        <v>0</v>
      </c>
      <c r="W232">
        <v>0</v>
      </c>
      <c r="X232" s="22" t="s">
        <v>53</v>
      </c>
      <c r="Y232" s="22" t="s">
        <v>53</v>
      </c>
      <c r="Z232" s="22">
        <v>0</v>
      </c>
      <c r="AA232" s="22" t="s">
        <v>53</v>
      </c>
      <c r="AB232">
        <v>0</v>
      </c>
      <c r="AC232">
        <v>0</v>
      </c>
      <c r="AD232">
        <v>0</v>
      </c>
      <c r="AE232">
        <v>0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2</v>
      </c>
      <c r="AK232">
        <v>0</v>
      </c>
      <c r="AL232">
        <v>1</v>
      </c>
      <c r="AM232">
        <v>3</v>
      </c>
      <c r="AN232" s="22">
        <v>0</v>
      </c>
      <c r="AO232" s="22" t="s">
        <v>53</v>
      </c>
      <c r="AP232" s="22">
        <v>0</v>
      </c>
      <c r="AQ232" s="22">
        <v>0</v>
      </c>
      <c r="AR232" s="35">
        <v>0</v>
      </c>
      <c r="AS232" s="35">
        <v>0</v>
      </c>
      <c r="AT232" s="35">
        <v>4</v>
      </c>
      <c r="AU232" s="31" t="str">
        <f t="shared" si="7"/>
        <v>库存为4</v>
      </c>
      <c r="AV232" s="36" t="str">
        <f>IFERROR(时间!$B$4+AU232,"上周无销量")</f>
        <v>上周无销量</v>
      </c>
    </row>
    <row r="233" spans="1:48">
      <c r="A233" s="20" t="s">
        <v>635</v>
      </c>
      <c r="B233" t="s">
        <v>636</v>
      </c>
      <c r="C233" t="s">
        <v>622</v>
      </c>
      <c r="D233" s="31">
        <v>0</v>
      </c>
      <c r="E233" s="31">
        <v>0</v>
      </c>
      <c r="F233" s="31">
        <v>1</v>
      </c>
      <c r="G233" s="31">
        <v>0</v>
      </c>
      <c r="H233" s="32">
        <v>21.98</v>
      </c>
      <c r="I233">
        <v>3</v>
      </c>
      <c r="J233" s="33">
        <v>0</v>
      </c>
      <c r="K233" s="33">
        <v>0</v>
      </c>
      <c r="L233" s="33">
        <v>0</v>
      </c>
      <c r="M233">
        <v>3</v>
      </c>
      <c r="N233">
        <v>0</v>
      </c>
      <c r="O233">
        <v>3</v>
      </c>
      <c r="P233">
        <v>0</v>
      </c>
      <c r="Q233">
        <v>1</v>
      </c>
      <c r="R233">
        <v>497</v>
      </c>
      <c r="S233">
        <v>0</v>
      </c>
      <c r="T233">
        <v>0</v>
      </c>
      <c r="U233">
        <v>0</v>
      </c>
      <c r="V233">
        <v>1</v>
      </c>
      <c r="W233">
        <v>0</v>
      </c>
      <c r="X233" s="22" t="s">
        <v>53</v>
      </c>
      <c r="Y233" s="22">
        <v>0</v>
      </c>
      <c r="Z233" s="22">
        <v>0.00201207243460765</v>
      </c>
      <c r="AA233" s="22" t="s">
        <v>53</v>
      </c>
      <c r="AB233">
        <v>0</v>
      </c>
      <c r="AC233">
        <v>0</v>
      </c>
      <c r="AD233">
        <v>0.42</v>
      </c>
      <c r="AE233">
        <v>0</v>
      </c>
      <c r="AF233" s="22" t="s">
        <v>53</v>
      </c>
      <c r="AG233" s="22" t="s">
        <v>53</v>
      </c>
      <c r="AH233" s="22">
        <v>0.0191082802547771</v>
      </c>
      <c r="AI233" s="22" t="s">
        <v>53</v>
      </c>
      <c r="AJ233">
        <v>3</v>
      </c>
      <c r="AK233">
        <v>1</v>
      </c>
      <c r="AL233">
        <v>1</v>
      </c>
      <c r="AM233">
        <v>5</v>
      </c>
      <c r="AN233" s="22">
        <v>0</v>
      </c>
      <c r="AO233" s="22">
        <v>0</v>
      </c>
      <c r="AP233" s="22">
        <v>1</v>
      </c>
      <c r="AQ233" s="22">
        <v>0</v>
      </c>
      <c r="AR233" s="35">
        <v>0</v>
      </c>
      <c r="AS233" s="35">
        <v>0</v>
      </c>
      <c r="AT233" s="35">
        <v>3</v>
      </c>
      <c r="AU233" s="31" t="str">
        <f t="shared" si="7"/>
        <v>库存为3</v>
      </c>
      <c r="AV233" s="36" t="str">
        <f>IFERROR(时间!$B$4+AU233,"上周无销量")</f>
        <v>上周无销量</v>
      </c>
    </row>
    <row r="234" spans="1:48">
      <c r="A234" s="20" t="s">
        <v>637</v>
      </c>
      <c r="B234" t="s">
        <v>638</v>
      </c>
      <c r="C234" t="s">
        <v>622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4</v>
      </c>
      <c r="J234" s="33">
        <v>0</v>
      </c>
      <c r="K234" s="33">
        <v>0</v>
      </c>
      <c r="L234" s="33">
        <v>0</v>
      </c>
      <c r="M234">
        <v>4</v>
      </c>
      <c r="N234">
        <v>0</v>
      </c>
      <c r="O234">
        <v>4</v>
      </c>
      <c r="P234">
        <v>0</v>
      </c>
      <c r="Q234">
        <v>2321</v>
      </c>
      <c r="R234">
        <v>503</v>
      </c>
      <c r="S234">
        <v>0</v>
      </c>
      <c r="T234">
        <v>0</v>
      </c>
      <c r="U234">
        <v>0</v>
      </c>
      <c r="V234">
        <v>3</v>
      </c>
      <c r="W234">
        <v>0</v>
      </c>
      <c r="X234" s="22" t="s">
        <v>53</v>
      </c>
      <c r="Y234" s="22">
        <v>0</v>
      </c>
      <c r="Z234" s="22">
        <v>0.00596421471172962</v>
      </c>
      <c r="AA234" s="22" t="s">
        <v>53</v>
      </c>
      <c r="AB234">
        <v>0</v>
      </c>
      <c r="AC234">
        <v>0</v>
      </c>
      <c r="AD234">
        <v>1.47</v>
      </c>
      <c r="AE234">
        <v>0</v>
      </c>
      <c r="AF234" s="22" t="s">
        <v>53</v>
      </c>
      <c r="AG234" s="22" t="s">
        <v>53</v>
      </c>
      <c r="AH234" s="22" t="s">
        <v>639</v>
      </c>
      <c r="AI234" s="22" t="s">
        <v>53</v>
      </c>
      <c r="AJ234">
        <v>3</v>
      </c>
      <c r="AK234">
        <v>1</v>
      </c>
      <c r="AL234">
        <v>8</v>
      </c>
      <c r="AM234">
        <v>6</v>
      </c>
      <c r="AN234" s="22">
        <v>0</v>
      </c>
      <c r="AO234" s="22">
        <v>0</v>
      </c>
      <c r="AP234" s="22">
        <v>0</v>
      </c>
      <c r="AQ234" s="22">
        <v>0</v>
      </c>
      <c r="AR234" s="35">
        <v>0</v>
      </c>
      <c r="AS234" s="35">
        <v>0</v>
      </c>
      <c r="AT234" s="35">
        <v>4</v>
      </c>
      <c r="AU234" s="31" t="str">
        <f t="shared" si="7"/>
        <v>库存为4</v>
      </c>
      <c r="AV234" s="36" t="str">
        <f>IFERROR(时间!$B$4+AU234,"上周无销量")</f>
        <v>上周无销量</v>
      </c>
    </row>
    <row r="235" spans="1:48">
      <c r="A235" s="20" t="s">
        <v>640</v>
      </c>
      <c r="B235" t="s">
        <v>641</v>
      </c>
      <c r="C235" t="s">
        <v>622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4</v>
      </c>
      <c r="J235" s="33">
        <v>0</v>
      </c>
      <c r="K235" s="33">
        <v>0</v>
      </c>
      <c r="L235" s="33">
        <v>0</v>
      </c>
      <c r="M235">
        <v>4</v>
      </c>
      <c r="N235">
        <v>0</v>
      </c>
      <c r="O235">
        <v>4</v>
      </c>
      <c r="P235">
        <v>0</v>
      </c>
      <c r="Q235">
        <v>1042</v>
      </c>
      <c r="R235">
        <v>237</v>
      </c>
      <c r="S235">
        <v>0</v>
      </c>
      <c r="T235">
        <v>0</v>
      </c>
      <c r="U235">
        <v>3</v>
      </c>
      <c r="V235">
        <v>0</v>
      </c>
      <c r="W235">
        <v>0</v>
      </c>
      <c r="X235" s="22" t="s">
        <v>53</v>
      </c>
      <c r="Y235" s="22">
        <v>0.00287907869481766</v>
      </c>
      <c r="Z235" s="22">
        <v>0</v>
      </c>
      <c r="AA235" s="22" t="s">
        <v>53</v>
      </c>
      <c r="AB235">
        <v>0</v>
      </c>
      <c r="AC235">
        <v>1.24</v>
      </c>
      <c r="AD235">
        <v>0</v>
      </c>
      <c r="AE235">
        <v>0</v>
      </c>
      <c r="AF235" s="22" t="s">
        <v>53</v>
      </c>
      <c r="AG235" s="22" t="s">
        <v>642</v>
      </c>
      <c r="AH235" s="22" t="s">
        <v>53</v>
      </c>
      <c r="AI235" s="22" t="s">
        <v>53</v>
      </c>
      <c r="AJ235">
        <v>3</v>
      </c>
      <c r="AK235">
        <v>3</v>
      </c>
      <c r="AL235">
        <v>2</v>
      </c>
      <c r="AM235">
        <v>1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4</v>
      </c>
      <c r="AU235" s="31" t="str">
        <f t="shared" si="7"/>
        <v>库存为4</v>
      </c>
      <c r="AV235" s="36" t="str">
        <f>IFERROR(时间!$B$4+AU235,"上周无销量")</f>
        <v>上周无销量</v>
      </c>
    </row>
    <row r="236" spans="1:48">
      <c r="A236" s="20" t="s">
        <v>643</v>
      </c>
      <c r="B236" t="s">
        <v>644</v>
      </c>
      <c r="C236" t="s">
        <v>645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>
        <v>0</v>
      </c>
      <c r="Q236">
        <v>39</v>
      </c>
      <c r="R236">
        <v>232</v>
      </c>
      <c r="S236">
        <v>182</v>
      </c>
      <c r="T236">
        <v>0</v>
      </c>
      <c r="U236">
        <v>0</v>
      </c>
      <c r="V236">
        <v>0</v>
      </c>
      <c r="W236">
        <v>0</v>
      </c>
      <c r="X236" s="22" t="s">
        <v>53</v>
      </c>
      <c r="Y236" s="22">
        <v>0</v>
      </c>
      <c r="Z236" s="22">
        <v>0</v>
      </c>
      <c r="AA236" s="22">
        <v>0</v>
      </c>
      <c r="AB236">
        <v>0</v>
      </c>
      <c r="AC236">
        <v>0</v>
      </c>
      <c r="AD236">
        <v>0</v>
      </c>
      <c r="AE236">
        <v>0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2</v>
      </c>
      <c r="AK236">
        <v>3</v>
      </c>
      <c r="AL236">
        <v>0</v>
      </c>
      <c r="AM236">
        <v>1</v>
      </c>
      <c r="AN236" s="22">
        <v>0</v>
      </c>
      <c r="AO236" s="22">
        <v>0</v>
      </c>
      <c r="AP236" s="22" t="s">
        <v>53</v>
      </c>
      <c r="AQ236" s="22">
        <v>0</v>
      </c>
      <c r="AR236" s="35">
        <v>0</v>
      </c>
      <c r="AS236" s="35">
        <v>0</v>
      </c>
      <c r="AT236" s="35">
        <v>0</v>
      </c>
      <c r="AU236" s="31" t="str">
        <f t="shared" si="7"/>
        <v>库存为0</v>
      </c>
      <c r="AV236" s="36" t="str">
        <f>IFERROR(时间!$B$4+AU236,"上周无销量")</f>
        <v>上周无销量</v>
      </c>
    </row>
    <row r="237" spans="1:48">
      <c r="A237" s="20" t="s">
        <v>646</v>
      </c>
      <c r="B237" t="s">
        <v>647</v>
      </c>
      <c r="C237" t="s">
        <v>645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3</v>
      </c>
      <c r="J237" s="33">
        <v>0</v>
      </c>
      <c r="K237" s="33">
        <v>0</v>
      </c>
      <c r="L237" s="33">
        <v>0</v>
      </c>
      <c r="M237">
        <v>3</v>
      </c>
      <c r="N237">
        <v>0</v>
      </c>
      <c r="O237">
        <v>0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2</v>
      </c>
      <c r="AK237">
        <v>3</v>
      </c>
      <c r="AL237">
        <v>0</v>
      </c>
      <c r="AM237">
        <v>0</v>
      </c>
      <c r="AN237" s="22">
        <v>0</v>
      </c>
      <c r="AO237" s="22">
        <v>0</v>
      </c>
      <c r="AP237" s="22" t="s">
        <v>53</v>
      </c>
      <c r="AQ237" s="22" t="s">
        <v>53</v>
      </c>
      <c r="AR237" s="35">
        <v>0</v>
      </c>
      <c r="AS237" s="35">
        <v>0</v>
      </c>
      <c r="AT237" s="35">
        <v>3</v>
      </c>
      <c r="AU237" s="31" t="str">
        <f t="shared" si="7"/>
        <v>库存为3</v>
      </c>
      <c r="AV237" s="36" t="str">
        <f>IFERROR(时间!$B$4+AU237,"上周无销量")</f>
        <v>上周无销量</v>
      </c>
    </row>
    <row r="238" spans="1:48">
      <c r="A238" s="20" t="s">
        <v>648</v>
      </c>
      <c r="B238" t="s">
        <v>649</v>
      </c>
      <c r="C238" t="s">
        <v>645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3</v>
      </c>
      <c r="J238" s="33">
        <v>0</v>
      </c>
      <c r="K238" s="33">
        <v>0</v>
      </c>
      <c r="L238" s="33">
        <v>0</v>
      </c>
      <c r="M238">
        <v>3</v>
      </c>
      <c r="N238">
        <v>0</v>
      </c>
      <c r="O238">
        <v>0</v>
      </c>
      <c r="P238">
        <v>0</v>
      </c>
      <c r="Q238">
        <v>47</v>
      </c>
      <c r="R238">
        <v>682</v>
      </c>
      <c r="S238">
        <v>61</v>
      </c>
      <c r="T238">
        <v>0</v>
      </c>
      <c r="U238">
        <v>0</v>
      </c>
      <c r="V238">
        <v>0</v>
      </c>
      <c r="W238">
        <v>0</v>
      </c>
      <c r="X238" s="22" t="s">
        <v>53</v>
      </c>
      <c r="Y238" s="22">
        <v>0</v>
      </c>
      <c r="Z238" s="22">
        <v>0</v>
      </c>
      <c r="AA238" s="22">
        <v>0</v>
      </c>
      <c r="AB238">
        <v>0</v>
      </c>
      <c r="AC238">
        <v>0</v>
      </c>
      <c r="AD238">
        <v>0</v>
      </c>
      <c r="AE238">
        <v>0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4</v>
      </c>
      <c r="AK238">
        <v>1</v>
      </c>
      <c r="AL238">
        <v>1</v>
      </c>
      <c r="AM238">
        <v>0</v>
      </c>
      <c r="AN238" s="22">
        <v>0</v>
      </c>
      <c r="AO238" s="22">
        <v>0</v>
      </c>
      <c r="AP238" s="22">
        <v>0</v>
      </c>
      <c r="AQ238" s="22" t="s">
        <v>53</v>
      </c>
      <c r="AR238" s="35">
        <v>0</v>
      </c>
      <c r="AS238" s="35">
        <v>0</v>
      </c>
      <c r="AT238" s="35">
        <v>3</v>
      </c>
      <c r="AU238" s="31" t="str">
        <f t="shared" si="7"/>
        <v>库存为3</v>
      </c>
      <c r="AV238" s="36" t="str">
        <f>IFERROR(时间!$B$4+AU238,"上周无销量")</f>
        <v>上周无销量</v>
      </c>
    </row>
    <row r="239" spans="1:48">
      <c r="A239" s="20" t="s">
        <v>650</v>
      </c>
      <c r="B239" t="s">
        <v>651</v>
      </c>
      <c r="C239" t="s">
        <v>645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3</v>
      </c>
      <c r="J239" s="33">
        <v>0</v>
      </c>
      <c r="K239" s="33">
        <v>0</v>
      </c>
      <c r="L239" s="33">
        <v>0</v>
      </c>
      <c r="M239">
        <v>3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2</v>
      </c>
      <c r="AK239">
        <v>2</v>
      </c>
      <c r="AL239">
        <v>1</v>
      </c>
      <c r="AM239">
        <v>2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3</v>
      </c>
      <c r="AU239" s="31" t="str">
        <f t="shared" si="7"/>
        <v>库存为3</v>
      </c>
      <c r="AV239" s="36" t="str">
        <f>IFERROR(时间!$B$4+AU239,"上周无销量")</f>
        <v>上周无销量</v>
      </c>
    </row>
    <row r="240" spans="1:48">
      <c r="A240" s="20" t="s">
        <v>652</v>
      </c>
      <c r="B240" t="s">
        <v>653</v>
      </c>
      <c r="C240" t="s">
        <v>654</v>
      </c>
      <c r="D240" s="31">
        <v>0</v>
      </c>
      <c r="E240" s="31">
        <v>0</v>
      </c>
      <c r="F240" s="31">
        <v>1</v>
      </c>
      <c r="G240" s="31">
        <v>1</v>
      </c>
      <c r="H240" s="32">
        <v>12.99</v>
      </c>
      <c r="I240">
        <v>19</v>
      </c>
      <c r="J240" s="33">
        <v>0</v>
      </c>
      <c r="K240" s="33">
        <v>0</v>
      </c>
      <c r="L240" s="33">
        <v>0</v>
      </c>
      <c r="M240">
        <v>19</v>
      </c>
      <c r="N240">
        <v>0</v>
      </c>
      <c r="O240">
        <v>0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11</v>
      </c>
      <c r="AK240">
        <v>17</v>
      </c>
      <c r="AL240">
        <v>10</v>
      </c>
      <c r="AM240">
        <v>17</v>
      </c>
      <c r="AN240" s="22">
        <v>0</v>
      </c>
      <c r="AO240" s="22">
        <v>0</v>
      </c>
      <c r="AP240" s="22">
        <v>0.1</v>
      </c>
      <c r="AQ240" s="22">
        <v>0.0588235294117647</v>
      </c>
      <c r="AR240" s="35">
        <v>0</v>
      </c>
      <c r="AS240" s="35">
        <v>0</v>
      </c>
      <c r="AT240" s="35">
        <v>19</v>
      </c>
      <c r="AU240" s="31" t="str">
        <f t="shared" si="7"/>
        <v>库存为19</v>
      </c>
      <c r="AV240" s="36" t="str">
        <f>IFERROR(时间!$B$4+AU240,"上周无销量")</f>
        <v>上周无销量</v>
      </c>
    </row>
    <row r="241" spans="1:48">
      <c r="A241" s="20" t="s">
        <v>655</v>
      </c>
      <c r="B241" t="s">
        <v>656</v>
      </c>
      <c r="C241" t="s">
        <v>654</v>
      </c>
      <c r="D241" s="31">
        <v>5</v>
      </c>
      <c r="E241" s="31">
        <v>1</v>
      </c>
      <c r="F241" s="31">
        <v>10</v>
      </c>
      <c r="G241" s="31">
        <v>0</v>
      </c>
      <c r="H241" s="32">
        <v>13.99</v>
      </c>
      <c r="I241">
        <v>15</v>
      </c>
      <c r="J241" s="33">
        <v>0</v>
      </c>
      <c r="K241" s="33">
        <v>0</v>
      </c>
      <c r="L241" s="33">
        <v>0</v>
      </c>
      <c r="M241">
        <v>15</v>
      </c>
      <c r="N241">
        <v>0</v>
      </c>
      <c r="O241">
        <v>0</v>
      </c>
      <c r="P241">
        <v>0</v>
      </c>
      <c r="Q241">
        <v>704</v>
      </c>
      <c r="R241">
        <v>1902</v>
      </c>
      <c r="S241">
        <v>126</v>
      </c>
      <c r="T241">
        <v>0</v>
      </c>
      <c r="U241">
        <v>3</v>
      </c>
      <c r="V241">
        <v>10</v>
      </c>
      <c r="W241">
        <v>1</v>
      </c>
      <c r="X241" s="22" t="s">
        <v>53</v>
      </c>
      <c r="Y241" s="22">
        <v>0.00426136363636364</v>
      </c>
      <c r="Z241" s="22">
        <v>0.00525762355415352</v>
      </c>
      <c r="AA241" s="22">
        <v>0.00793650793650794</v>
      </c>
      <c r="AB241">
        <v>0</v>
      </c>
      <c r="AC241">
        <v>1.95</v>
      </c>
      <c r="AD241">
        <v>6.64</v>
      </c>
      <c r="AE241">
        <v>0.45</v>
      </c>
      <c r="AF241" s="22" t="s">
        <v>53</v>
      </c>
      <c r="AG241" s="22">
        <v>0.139385275196569</v>
      </c>
      <c r="AH241" s="22">
        <v>0.0474624731951394</v>
      </c>
      <c r="AI241" s="22" t="s">
        <v>268</v>
      </c>
      <c r="AJ241">
        <v>16</v>
      </c>
      <c r="AK241">
        <v>0</v>
      </c>
      <c r="AL241">
        <v>23</v>
      </c>
      <c r="AM241">
        <v>15</v>
      </c>
      <c r="AN241" s="22">
        <v>0.3125</v>
      </c>
      <c r="AO241" s="22" t="s">
        <v>53</v>
      </c>
      <c r="AP241" s="22">
        <v>0.434782608695652</v>
      </c>
      <c r="AQ241" s="22">
        <v>0</v>
      </c>
      <c r="AR241" s="35">
        <v>0.714285714285714</v>
      </c>
      <c r="AS241" s="35">
        <v>42.8571428571429</v>
      </c>
      <c r="AT241" s="35">
        <v>-27.8571428571429</v>
      </c>
      <c r="AU241" s="31">
        <f t="shared" si="7"/>
        <v>21</v>
      </c>
      <c r="AV241" s="36">
        <f>IFERROR(时间!$B$4+AU241,"上周无销量")</f>
        <v>43304</v>
      </c>
    </row>
    <row r="242" spans="1:48">
      <c r="A242" s="20" t="s">
        <v>657</v>
      </c>
      <c r="B242" t="s">
        <v>658</v>
      </c>
      <c r="C242" t="s">
        <v>654</v>
      </c>
      <c r="D242" s="31">
        <v>0</v>
      </c>
      <c r="E242" s="31">
        <v>1</v>
      </c>
      <c r="F242" s="31">
        <v>0</v>
      </c>
      <c r="G242" s="31">
        <v>1</v>
      </c>
      <c r="H242" s="32">
        <v>12.99</v>
      </c>
      <c r="I242">
        <v>11</v>
      </c>
      <c r="J242" s="33">
        <v>0</v>
      </c>
      <c r="K242" s="33">
        <v>0</v>
      </c>
      <c r="L242" s="33">
        <v>0</v>
      </c>
      <c r="M242">
        <v>11</v>
      </c>
      <c r="N242">
        <v>0</v>
      </c>
      <c r="O242">
        <v>0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5</v>
      </c>
      <c r="AK242">
        <v>21</v>
      </c>
      <c r="AL242">
        <v>3</v>
      </c>
      <c r="AM242">
        <v>13</v>
      </c>
      <c r="AN242" s="22">
        <v>0</v>
      </c>
      <c r="AO242" s="22">
        <v>0.0476190476190476</v>
      </c>
      <c r="AP242" s="22">
        <v>0</v>
      </c>
      <c r="AQ242" s="22">
        <v>0.0769230769230769</v>
      </c>
      <c r="AR242" s="35">
        <v>0</v>
      </c>
      <c r="AS242" s="35">
        <v>0</v>
      </c>
      <c r="AT242" s="35">
        <v>11</v>
      </c>
      <c r="AU242" s="31" t="str">
        <f t="shared" si="7"/>
        <v>库存为11</v>
      </c>
      <c r="AV242" s="36" t="str">
        <f>IFERROR(时间!$B$4+AU242,"上周无销量")</f>
        <v>上周无销量</v>
      </c>
    </row>
    <row r="243" spans="1:48">
      <c r="A243" s="20" t="s">
        <v>659</v>
      </c>
      <c r="B243" t="s">
        <v>660</v>
      </c>
      <c r="C243" t="s">
        <v>654</v>
      </c>
      <c r="D243" s="31">
        <v>0</v>
      </c>
      <c r="E243" s="31">
        <v>0</v>
      </c>
      <c r="F243" s="31">
        <v>1</v>
      </c>
      <c r="G243" s="31">
        <v>0</v>
      </c>
      <c r="H243" s="32">
        <v>13.99</v>
      </c>
      <c r="I243">
        <v>20</v>
      </c>
      <c r="J243" s="33">
        <v>0</v>
      </c>
      <c r="K243" s="33">
        <v>0</v>
      </c>
      <c r="L243" s="33">
        <v>0</v>
      </c>
      <c r="M243">
        <v>20</v>
      </c>
      <c r="N243">
        <v>0</v>
      </c>
      <c r="O243">
        <v>0</v>
      </c>
      <c r="P243">
        <v>0</v>
      </c>
      <c r="Q243">
        <v>1093</v>
      </c>
      <c r="R243">
        <v>437</v>
      </c>
      <c r="S243">
        <v>102</v>
      </c>
      <c r="T243">
        <v>0</v>
      </c>
      <c r="U243">
        <v>5</v>
      </c>
      <c r="V243">
        <v>5</v>
      </c>
      <c r="W243">
        <v>2</v>
      </c>
      <c r="X243" s="22" t="s">
        <v>53</v>
      </c>
      <c r="Y243" s="22">
        <v>0.00457456541628545</v>
      </c>
      <c r="Z243" s="22">
        <v>0.011441647597254</v>
      </c>
      <c r="AA243" s="22">
        <v>0.0196078431372549</v>
      </c>
      <c r="AB243">
        <v>0</v>
      </c>
      <c r="AC243">
        <v>3.74</v>
      </c>
      <c r="AD243">
        <v>4.83</v>
      </c>
      <c r="AE243">
        <v>0.54</v>
      </c>
      <c r="AF243" s="22" t="s">
        <v>53</v>
      </c>
      <c r="AG243" s="22" t="s">
        <v>661</v>
      </c>
      <c r="AH243" s="22">
        <v>0.345246604717655</v>
      </c>
      <c r="AI243" s="22" t="s">
        <v>191</v>
      </c>
      <c r="AJ243">
        <v>25</v>
      </c>
      <c r="AK243">
        <v>16</v>
      </c>
      <c r="AL243">
        <v>14</v>
      </c>
      <c r="AM243">
        <v>7</v>
      </c>
      <c r="AN243" s="22">
        <v>0</v>
      </c>
      <c r="AO243" s="22">
        <v>0</v>
      </c>
      <c r="AP243" s="22">
        <v>0.0714285714285714</v>
      </c>
      <c r="AQ243" s="22">
        <v>0</v>
      </c>
      <c r="AR243" s="35">
        <v>0</v>
      </c>
      <c r="AS243" s="35">
        <v>0</v>
      </c>
      <c r="AT243" s="35">
        <v>20</v>
      </c>
      <c r="AU243" s="31" t="str">
        <f t="shared" si="7"/>
        <v>库存为20</v>
      </c>
      <c r="AV243" s="36" t="str">
        <f>IFERROR(时间!$B$4+AU243,"上周无销量")</f>
        <v>上周无销量</v>
      </c>
    </row>
    <row r="244" spans="1:48">
      <c r="A244" s="20" t="s">
        <v>662</v>
      </c>
      <c r="B244" t="s">
        <v>663</v>
      </c>
      <c r="C244" t="s">
        <v>664</v>
      </c>
      <c r="D244" s="31">
        <v>0</v>
      </c>
      <c r="E244" s="31">
        <v>0</v>
      </c>
      <c r="F244" s="31">
        <v>0</v>
      </c>
      <c r="G244" s="31">
        <v>2</v>
      </c>
      <c r="H244" s="32">
        <v>9.995</v>
      </c>
      <c r="I244">
        <v>3</v>
      </c>
      <c r="J244" s="33">
        <v>0</v>
      </c>
      <c r="K244" s="33">
        <v>1</v>
      </c>
      <c r="L244" s="33">
        <v>0</v>
      </c>
      <c r="M244">
        <v>4</v>
      </c>
      <c r="N244">
        <v>0</v>
      </c>
      <c r="O244">
        <v>0</v>
      </c>
      <c r="P244">
        <v>616</v>
      </c>
      <c r="Q244">
        <v>396</v>
      </c>
      <c r="R244">
        <v>178</v>
      </c>
      <c r="S244">
        <v>481</v>
      </c>
      <c r="T244">
        <v>3</v>
      </c>
      <c r="U244">
        <v>3</v>
      </c>
      <c r="V244">
        <v>1</v>
      </c>
      <c r="W244">
        <v>5</v>
      </c>
      <c r="X244" s="22">
        <v>0.00487012987012987</v>
      </c>
      <c r="Y244" s="22">
        <v>0.00757575757575758</v>
      </c>
      <c r="Z244" s="22">
        <v>0.00561797752808989</v>
      </c>
      <c r="AA244" s="22">
        <v>0.0103950103950104</v>
      </c>
      <c r="AB244">
        <v>1.11</v>
      </c>
      <c r="AC244">
        <v>0.45</v>
      </c>
      <c r="AD244">
        <v>0.38</v>
      </c>
      <c r="AE244">
        <v>1.58</v>
      </c>
      <c r="AF244" s="22" t="s">
        <v>665</v>
      </c>
      <c r="AG244" s="22" t="s">
        <v>268</v>
      </c>
      <c r="AH244" s="22" t="s">
        <v>159</v>
      </c>
      <c r="AI244" s="22">
        <v>0.07903951975988</v>
      </c>
      <c r="AJ244">
        <v>0</v>
      </c>
      <c r="AK244">
        <v>3</v>
      </c>
      <c r="AL244">
        <v>2</v>
      </c>
      <c r="AM244">
        <v>4</v>
      </c>
      <c r="AN244" s="22" t="s">
        <v>53</v>
      </c>
      <c r="AO244" s="22">
        <v>0</v>
      </c>
      <c r="AP244" s="22">
        <v>0</v>
      </c>
      <c r="AQ244" s="22">
        <v>0.5</v>
      </c>
      <c r="AR244" s="35">
        <v>0</v>
      </c>
      <c r="AS244" s="35">
        <v>0</v>
      </c>
      <c r="AT244" s="35">
        <v>4</v>
      </c>
      <c r="AU244" s="31" t="str">
        <f t="shared" si="7"/>
        <v>库存为4</v>
      </c>
      <c r="AV244" s="36" t="str">
        <f>IFERROR(时间!$B$4+AU244,"上周无销量")</f>
        <v>上周无销量</v>
      </c>
    </row>
    <row r="245" spans="1:48">
      <c r="A245" s="20" t="s">
        <v>666</v>
      </c>
      <c r="B245" t="s">
        <v>667</v>
      </c>
      <c r="C245" t="s">
        <v>668</v>
      </c>
      <c r="D245" s="31">
        <v>0</v>
      </c>
      <c r="E245" s="31">
        <v>0</v>
      </c>
      <c r="F245" s="31">
        <v>1</v>
      </c>
      <c r="G245" s="31">
        <v>0</v>
      </c>
      <c r="H245" s="32">
        <v>9.99</v>
      </c>
      <c r="I245">
        <v>4</v>
      </c>
      <c r="J245" s="33">
        <v>0</v>
      </c>
      <c r="K245" s="33">
        <v>0</v>
      </c>
      <c r="L245" s="33">
        <v>0</v>
      </c>
      <c r="M245">
        <v>4</v>
      </c>
      <c r="N245">
        <v>0</v>
      </c>
      <c r="O245">
        <v>0</v>
      </c>
      <c r="P245">
        <v>3712</v>
      </c>
      <c r="Q245">
        <v>1848</v>
      </c>
      <c r="R245">
        <v>886</v>
      </c>
      <c r="S245">
        <v>1260</v>
      </c>
      <c r="T245">
        <v>1</v>
      </c>
      <c r="U245">
        <v>3</v>
      </c>
      <c r="V245">
        <v>0</v>
      </c>
      <c r="W245">
        <v>1</v>
      </c>
      <c r="X245" s="22">
        <v>0.000269396551724138</v>
      </c>
      <c r="Y245" s="22">
        <v>0.00162337662337662</v>
      </c>
      <c r="Z245" s="22">
        <v>0</v>
      </c>
      <c r="AA245" s="22">
        <v>0.000793650793650794</v>
      </c>
      <c r="AB245">
        <v>0.1</v>
      </c>
      <c r="AC245">
        <v>1.24</v>
      </c>
      <c r="AD245">
        <v>0</v>
      </c>
      <c r="AE245">
        <v>0.22</v>
      </c>
      <c r="AF245" s="22" t="s">
        <v>669</v>
      </c>
      <c r="AG245" s="22" t="s">
        <v>642</v>
      </c>
      <c r="AH245" s="22" t="s">
        <v>53</v>
      </c>
      <c r="AI245" s="22" t="s">
        <v>278</v>
      </c>
      <c r="AJ245">
        <v>2</v>
      </c>
      <c r="AK245">
        <v>2</v>
      </c>
      <c r="AL245">
        <v>5</v>
      </c>
      <c r="AM245">
        <v>0</v>
      </c>
      <c r="AN245" s="22">
        <v>0</v>
      </c>
      <c r="AO245" s="22">
        <v>0</v>
      </c>
      <c r="AP245" s="22">
        <v>0.2</v>
      </c>
      <c r="AQ245" s="22" t="s">
        <v>53</v>
      </c>
      <c r="AR245" s="35">
        <v>0</v>
      </c>
      <c r="AS245" s="35">
        <v>0</v>
      </c>
      <c r="AT245" s="35">
        <v>4</v>
      </c>
      <c r="AU245" s="31" t="str">
        <f t="shared" si="7"/>
        <v>库存为4</v>
      </c>
      <c r="AV245" s="36" t="str">
        <f>IFERROR(时间!$B$4+AU245,"上周无销量")</f>
        <v>上周无销量</v>
      </c>
    </row>
    <row r="246" spans="1:48">
      <c r="A246" s="20" t="s">
        <v>670</v>
      </c>
      <c r="B246" t="s">
        <v>671</v>
      </c>
      <c r="C246" t="s">
        <v>672</v>
      </c>
      <c r="D246" s="31">
        <v>0</v>
      </c>
      <c r="E246" s="31">
        <v>0</v>
      </c>
      <c r="F246" s="31">
        <v>2</v>
      </c>
      <c r="G246" s="31">
        <v>0</v>
      </c>
      <c r="H246" s="32">
        <v>9.99</v>
      </c>
      <c r="I246">
        <v>3</v>
      </c>
      <c r="J246" s="33">
        <v>0</v>
      </c>
      <c r="K246" s="33">
        <v>0</v>
      </c>
      <c r="L246" s="33">
        <v>0</v>
      </c>
      <c r="M246">
        <v>3</v>
      </c>
      <c r="N246">
        <v>0</v>
      </c>
      <c r="O246">
        <v>0</v>
      </c>
      <c r="P246">
        <v>731</v>
      </c>
      <c r="Q246">
        <v>408</v>
      </c>
      <c r="R246">
        <v>210</v>
      </c>
      <c r="S246">
        <v>267</v>
      </c>
      <c r="T246">
        <v>0</v>
      </c>
      <c r="U246">
        <v>1</v>
      </c>
      <c r="V246">
        <v>2</v>
      </c>
      <c r="W246">
        <v>2</v>
      </c>
      <c r="X246" s="22">
        <v>0</v>
      </c>
      <c r="Y246" s="22">
        <v>0.00245098039215686</v>
      </c>
      <c r="Z246" s="22">
        <v>0.00952380952380952</v>
      </c>
      <c r="AA246" s="22">
        <v>0.00749063670411985</v>
      </c>
      <c r="AB246">
        <v>0</v>
      </c>
      <c r="AC246">
        <v>0.22</v>
      </c>
      <c r="AD246">
        <v>0.49</v>
      </c>
      <c r="AE246">
        <v>0.87</v>
      </c>
      <c r="AF246" s="22" t="s">
        <v>53</v>
      </c>
      <c r="AG246" s="22" t="s">
        <v>278</v>
      </c>
      <c r="AH246" s="22">
        <v>0.0245245245245245</v>
      </c>
      <c r="AI246" s="22" t="s">
        <v>673</v>
      </c>
      <c r="AJ246">
        <v>3</v>
      </c>
      <c r="AK246">
        <v>5</v>
      </c>
      <c r="AL246">
        <v>4</v>
      </c>
      <c r="AM246">
        <v>1</v>
      </c>
      <c r="AN246" s="22">
        <v>0</v>
      </c>
      <c r="AO246" s="22">
        <v>0</v>
      </c>
      <c r="AP246" s="22">
        <v>0.5</v>
      </c>
      <c r="AQ246" s="22">
        <v>0</v>
      </c>
      <c r="AR246" s="35">
        <v>0</v>
      </c>
      <c r="AS246" s="35">
        <v>0</v>
      </c>
      <c r="AT246" s="35">
        <v>3</v>
      </c>
      <c r="AU246" s="31" t="str">
        <f t="shared" si="7"/>
        <v>库存为3</v>
      </c>
      <c r="AV246" s="36" t="str">
        <f>IFERROR(时间!$B$4+AU246,"上周无销量")</f>
        <v>上周无销量</v>
      </c>
    </row>
    <row r="247" spans="1:48">
      <c r="A247" s="20" t="s">
        <v>674</v>
      </c>
      <c r="B247" t="s">
        <v>675</v>
      </c>
      <c r="C247" t="s">
        <v>676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3</v>
      </c>
      <c r="J247" s="33">
        <v>0</v>
      </c>
      <c r="K247" s="33">
        <v>0</v>
      </c>
      <c r="L247" s="33">
        <v>0</v>
      </c>
      <c r="M247">
        <v>3</v>
      </c>
      <c r="N247">
        <v>0</v>
      </c>
      <c r="O247">
        <v>3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4</v>
      </c>
      <c r="AK247">
        <v>0</v>
      </c>
      <c r="AL247">
        <v>0</v>
      </c>
      <c r="AM247">
        <v>2</v>
      </c>
      <c r="AN247" s="22">
        <v>0</v>
      </c>
      <c r="AO247" s="22" t="s">
        <v>53</v>
      </c>
      <c r="AP247" s="22" t="s">
        <v>53</v>
      </c>
      <c r="AQ247" s="22">
        <v>0</v>
      </c>
      <c r="AR247" s="35">
        <v>0</v>
      </c>
      <c r="AS247" s="35">
        <v>0</v>
      </c>
      <c r="AT247" s="35">
        <v>3</v>
      </c>
      <c r="AU247" s="31" t="str">
        <f t="shared" si="7"/>
        <v>库存为3</v>
      </c>
      <c r="AV247" s="36" t="str">
        <f>IFERROR(时间!$B$4+AU247,"上周无销量")</f>
        <v>上周无销量</v>
      </c>
    </row>
    <row r="248" spans="1:48">
      <c r="A248" s="20" t="s">
        <v>677</v>
      </c>
      <c r="B248" t="s">
        <v>678</v>
      </c>
      <c r="C248" t="s">
        <v>679</v>
      </c>
      <c r="D248" s="31">
        <v>0</v>
      </c>
      <c r="E248" s="31">
        <v>7</v>
      </c>
      <c r="F248" s="31">
        <v>7</v>
      </c>
      <c r="G248" s="31">
        <v>7</v>
      </c>
      <c r="H248" s="32">
        <v>8.32333333333334</v>
      </c>
      <c r="I248">
        <v>4</v>
      </c>
      <c r="J248" s="33">
        <v>0</v>
      </c>
      <c r="K248" s="33">
        <v>0</v>
      </c>
      <c r="L248" s="33">
        <v>0</v>
      </c>
      <c r="M248">
        <v>4</v>
      </c>
      <c r="N248">
        <v>0</v>
      </c>
      <c r="O248">
        <v>0</v>
      </c>
      <c r="P248">
        <v>19324</v>
      </c>
      <c r="Q248">
        <v>3402</v>
      </c>
      <c r="R248">
        <v>4691</v>
      </c>
      <c r="S248">
        <v>3539</v>
      </c>
      <c r="T248">
        <v>36</v>
      </c>
      <c r="U248">
        <v>12</v>
      </c>
      <c r="V248">
        <v>23</v>
      </c>
      <c r="W248">
        <v>13</v>
      </c>
      <c r="X248" s="22">
        <v>0.0018629683295384</v>
      </c>
      <c r="Y248" s="22">
        <v>0.00352733686067019</v>
      </c>
      <c r="Z248" s="22">
        <v>0.00490300575570241</v>
      </c>
      <c r="AA248" s="22">
        <v>0.00367335405481775</v>
      </c>
      <c r="AB248">
        <v>19.39</v>
      </c>
      <c r="AC248">
        <v>5.02</v>
      </c>
      <c r="AD248">
        <v>11.38</v>
      </c>
      <c r="AE248">
        <v>4.48</v>
      </c>
      <c r="AF248" s="22" t="s">
        <v>680</v>
      </c>
      <c r="AG248" s="22">
        <v>0.0861605354997425</v>
      </c>
      <c r="AH248" s="22">
        <v>0.195320098403799</v>
      </c>
      <c r="AI248" s="22">
        <v>0.0768922707248698</v>
      </c>
      <c r="AJ248">
        <v>34</v>
      </c>
      <c r="AK248">
        <v>62</v>
      </c>
      <c r="AL248">
        <v>21</v>
      </c>
      <c r="AM248">
        <v>10</v>
      </c>
      <c r="AN248" s="22">
        <v>0</v>
      </c>
      <c r="AO248" s="22">
        <v>0.112903225806452</v>
      </c>
      <c r="AP248" s="22">
        <v>0.333333333333333</v>
      </c>
      <c r="AQ248" s="22">
        <v>0.7</v>
      </c>
      <c r="AR248" s="35">
        <v>0</v>
      </c>
      <c r="AS248" s="35">
        <v>0</v>
      </c>
      <c r="AT248" s="35">
        <v>4</v>
      </c>
      <c r="AU248" s="31" t="str">
        <f t="shared" si="7"/>
        <v>库存为4</v>
      </c>
      <c r="AV248" s="36" t="str">
        <f>IFERROR(时间!$B$4+AU248,"上周无销量")</f>
        <v>上周无销量</v>
      </c>
    </row>
    <row r="249" spans="1:48">
      <c r="A249" s="20" t="s">
        <v>681</v>
      </c>
      <c r="B249" t="s">
        <v>682</v>
      </c>
      <c r="C249" t="s">
        <v>679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15</v>
      </c>
      <c r="J249" s="33">
        <v>0</v>
      </c>
      <c r="K249" s="33">
        <v>0</v>
      </c>
      <c r="L249" s="33">
        <v>0</v>
      </c>
      <c r="M249">
        <v>15</v>
      </c>
      <c r="N249">
        <v>0</v>
      </c>
      <c r="O249">
        <v>0</v>
      </c>
      <c r="P249">
        <v>557</v>
      </c>
      <c r="Q249">
        <v>0</v>
      </c>
      <c r="R249">
        <v>0</v>
      </c>
      <c r="S249">
        <v>0</v>
      </c>
      <c r="T249">
        <v>6</v>
      </c>
      <c r="U249">
        <v>0</v>
      </c>
      <c r="V249">
        <v>0</v>
      </c>
      <c r="W249">
        <v>0</v>
      </c>
      <c r="X249" s="22">
        <v>0.0107719928186715</v>
      </c>
      <c r="Y249" s="22" t="s">
        <v>53</v>
      </c>
      <c r="Z249" s="22" t="s">
        <v>53</v>
      </c>
      <c r="AA249" s="22" t="s">
        <v>53</v>
      </c>
      <c r="AB249">
        <v>2.39</v>
      </c>
      <c r="AC249">
        <v>0</v>
      </c>
      <c r="AD249">
        <v>0</v>
      </c>
      <c r="AE249">
        <v>0</v>
      </c>
      <c r="AF249" s="22" t="s">
        <v>683</v>
      </c>
      <c r="AG249" s="22" t="s">
        <v>53</v>
      </c>
      <c r="AH249" s="22" t="s">
        <v>53</v>
      </c>
      <c r="AI249" s="22" t="s">
        <v>53</v>
      </c>
      <c r="AJ249">
        <v>15</v>
      </c>
      <c r="AK249">
        <v>33</v>
      </c>
      <c r="AL249">
        <v>0</v>
      </c>
      <c r="AM249">
        <v>0</v>
      </c>
      <c r="AN249" s="22">
        <v>0</v>
      </c>
      <c r="AO249" s="22">
        <v>0</v>
      </c>
      <c r="AP249" s="22" t="s">
        <v>53</v>
      </c>
      <c r="AQ249" s="22" t="s">
        <v>53</v>
      </c>
      <c r="AR249" s="35">
        <v>0</v>
      </c>
      <c r="AS249" s="35">
        <v>0</v>
      </c>
      <c r="AT249" s="35">
        <v>15</v>
      </c>
      <c r="AU249" s="31" t="str">
        <f t="shared" si="7"/>
        <v>库存为15</v>
      </c>
      <c r="AV249" s="36" t="str">
        <f>IFERROR(时间!$B$4+AU249,"上周无销量")</f>
        <v>上周无销量</v>
      </c>
    </row>
    <row r="250" spans="1:48">
      <c r="A250" s="20" t="s">
        <v>684</v>
      </c>
      <c r="B250" t="s">
        <v>685</v>
      </c>
      <c r="C250" t="s">
        <v>679</v>
      </c>
      <c r="D250" s="31">
        <v>1</v>
      </c>
      <c r="E250" s="31">
        <v>2</v>
      </c>
      <c r="F250" s="31">
        <v>0</v>
      </c>
      <c r="G250" s="31">
        <v>0</v>
      </c>
      <c r="H250" s="32">
        <v>15.99</v>
      </c>
      <c r="I250">
        <v>12</v>
      </c>
      <c r="J250" s="33">
        <v>0</v>
      </c>
      <c r="K250" s="33">
        <v>0</v>
      </c>
      <c r="L250" s="33">
        <v>0</v>
      </c>
      <c r="M250">
        <v>12</v>
      </c>
      <c r="N250">
        <v>0</v>
      </c>
      <c r="O250">
        <v>0</v>
      </c>
      <c r="P250">
        <v>1025</v>
      </c>
      <c r="Q250">
        <v>0</v>
      </c>
      <c r="R250">
        <v>0</v>
      </c>
      <c r="S250">
        <v>0</v>
      </c>
      <c r="T250">
        <v>4</v>
      </c>
      <c r="U250">
        <v>0</v>
      </c>
      <c r="V250">
        <v>0</v>
      </c>
      <c r="W250">
        <v>0</v>
      </c>
      <c r="X250" s="22">
        <v>0.00390243902439024</v>
      </c>
      <c r="Y250" s="22" t="s">
        <v>53</v>
      </c>
      <c r="Z250" s="22" t="s">
        <v>53</v>
      </c>
      <c r="AA250" s="22" t="s">
        <v>53</v>
      </c>
      <c r="AB250">
        <v>1.73</v>
      </c>
      <c r="AC250">
        <v>0</v>
      </c>
      <c r="AD250">
        <v>0</v>
      </c>
      <c r="AE250">
        <v>0</v>
      </c>
      <c r="AF250" s="22">
        <v>0.108192620387742</v>
      </c>
      <c r="AG250" s="22" t="s">
        <v>53</v>
      </c>
      <c r="AH250" s="22" t="s">
        <v>53</v>
      </c>
      <c r="AI250" s="22" t="s">
        <v>53</v>
      </c>
      <c r="AJ250">
        <v>25</v>
      </c>
      <c r="AK250">
        <v>24</v>
      </c>
      <c r="AL250">
        <v>0</v>
      </c>
      <c r="AM250">
        <v>0</v>
      </c>
      <c r="AN250" s="22">
        <v>0.04</v>
      </c>
      <c r="AO250" s="22">
        <v>0.0833333333333333</v>
      </c>
      <c r="AP250" s="22" t="s">
        <v>53</v>
      </c>
      <c r="AQ250" s="22" t="s">
        <v>53</v>
      </c>
      <c r="AR250" s="35">
        <v>0.142857142857143</v>
      </c>
      <c r="AS250" s="35">
        <v>8.57142857142857</v>
      </c>
      <c r="AT250" s="35">
        <v>3.42857142857143</v>
      </c>
      <c r="AU250" s="31">
        <f t="shared" si="7"/>
        <v>84</v>
      </c>
      <c r="AV250" s="36">
        <f>IFERROR(时间!$B$4+AU250,"上周无销量")</f>
        <v>43367</v>
      </c>
    </row>
    <row r="251" spans="1:48">
      <c r="A251" s="20" t="s">
        <v>686</v>
      </c>
      <c r="B251" t="s">
        <v>687</v>
      </c>
      <c r="C251" t="s">
        <v>688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4</v>
      </c>
      <c r="J251" s="33">
        <v>0</v>
      </c>
      <c r="K251" s="33">
        <v>0</v>
      </c>
      <c r="L251" s="33">
        <v>0</v>
      </c>
      <c r="M251">
        <v>4</v>
      </c>
      <c r="N251">
        <v>0</v>
      </c>
      <c r="O251">
        <v>4</v>
      </c>
      <c r="P251">
        <v>0</v>
      </c>
      <c r="Q251">
        <v>0</v>
      </c>
      <c r="R251">
        <v>0</v>
      </c>
      <c r="S251">
        <v>143</v>
      </c>
      <c r="T251">
        <v>0</v>
      </c>
      <c r="U251">
        <v>0</v>
      </c>
      <c r="V251">
        <v>0</v>
      </c>
      <c r="W251">
        <v>0</v>
      </c>
      <c r="X251" s="22" t="s">
        <v>53</v>
      </c>
      <c r="Y251" s="22" t="s">
        <v>53</v>
      </c>
      <c r="Z251" s="22" t="s">
        <v>53</v>
      </c>
      <c r="AA251" s="22">
        <v>0</v>
      </c>
      <c r="AB251">
        <v>0</v>
      </c>
      <c r="AC251">
        <v>0</v>
      </c>
      <c r="AD251">
        <v>0</v>
      </c>
      <c r="AE251">
        <v>0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2</v>
      </c>
      <c r="AK251">
        <v>1</v>
      </c>
      <c r="AL251">
        <v>0</v>
      </c>
      <c r="AM251">
        <v>0</v>
      </c>
      <c r="AN251" s="22">
        <v>0</v>
      </c>
      <c r="AO251" s="22">
        <v>0</v>
      </c>
      <c r="AP251" s="22" t="s">
        <v>53</v>
      </c>
      <c r="AQ251" s="22" t="s">
        <v>53</v>
      </c>
      <c r="AR251" s="35">
        <v>0</v>
      </c>
      <c r="AS251" s="35">
        <v>0</v>
      </c>
      <c r="AT251" s="35">
        <v>4</v>
      </c>
      <c r="AU251" s="31" t="str">
        <f t="shared" si="7"/>
        <v>库存为4</v>
      </c>
      <c r="AV251" s="36" t="str">
        <f>IFERROR(时间!$B$4+AU251,"上周无销量")</f>
        <v>上周无销量</v>
      </c>
    </row>
    <row r="252" spans="1:48">
      <c r="A252" s="20" t="s">
        <v>689</v>
      </c>
      <c r="B252" t="s">
        <v>690</v>
      </c>
      <c r="C252" t="s">
        <v>688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4</v>
      </c>
      <c r="J252" s="33">
        <v>0</v>
      </c>
      <c r="K252" s="33">
        <v>0</v>
      </c>
      <c r="L252" s="33">
        <v>0</v>
      </c>
      <c r="M252">
        <v>4</v>
      </c>
      <c r="N252">
        <v>0</v>
      </c>
      <c r="O252">
        <v>4</v>
      </c>
      <c r="P252">
        <v>0</v>
      </c>
      <c r="Q252">
        <v>0</v>
      </c>
      <c r="R252">
        <v>0</v>
      </c>
      <c r="S252">
        <v>56</v>
      </c>
      <c r="T252">
        <v>0</v>
      </c>
      <c r="U252">
        <v>0</v>
      </c>
      <c r="V252">
        <v>0</v>
      </c>
      <c r="W252">
        <v>0</v>
      </c>
      <c r="X252" s="22" t="s">
        <v>53</v>
      </c>
      <c r="Y252" s="22" t="s">
        <v>53</v>
      </c>
      <c r="Z252" s="22" t="s">
        <v>53</v>
      </c>
      <c r="AA252" s="22">
        <v>0</v>
      </c>
      <c r="AB252">
        <v>0</v>
      </c>
      <c r="AC252">
        <v>0</v>
      </c>
      <c r="AD252">
        <v>0</v>
      </c>
      <c r="AE252">
        <v>0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0</v>
      </c>
      <c r="AK252">
        <v>1</v>
      </c>
      <c r="AL252">
        <v>6</v>
      </c>
      <c r="AM252">
        <v>1</v>
      </c>
      <c r="AN252" s="22" t="s">
        <v>53</v>
      </c>
      <c r="AO252" s="22">
        <v>0</v>
      </c>
      <c r="AP252" s="22">
        <v>0</v>
      </c>
      <c r="AQ252" s="22">
        <v>0</v>
      </c>
      <c r="AR252" s="35">
        <v>0</v>
      </c>
      <c r="AS252" s="35">
        <v>0</v>
      </c>
      <c r="AT252" s="35">
        <v>4</v>
      </c>
      <c r="AU252" s="31" t="str">
        <f t="shared" si="7"/>
        <v>库存为4</v>
      </c>
      <c r="AV252" s="36" t="str">
        <f>IFERROR(时间!$B$4+AU252,"上周无销量")</f>
        <v>上周无销量</v>
      </c>
    </row>
    <row r="253" spans="1:48">
      <c r="A253" s="20" t="s">
        <v>691</v>
      </c>
      <c r="B253" t="s">
        <v>692</v>
      </c>
      <c r="C253" t="s">
        <v>688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4</v>
      </c>
      <c r="J253" s="33">
        <v>0</v>
      </c>
      <c r="K253" s="33">
        <v>0</v>
      </c>
      <c r="L253" s="33">
        <v>0</v>
      </c>
      <c r="M253">
        <v>4</v>
      </c>
      <c r="N253">
        <v>0</v>
      </c>
      <c r="O253">
        <v>4</v>
      </c>
      <c r="P253">
        <v>0</v>
      </c>
      <c r="Q253">
        <v>0</v>
      </c>
      <c r="R253">
        <v>0</v>
      </c>
      <c r="S253">
        <v>13</v>
      </c>
      <c r="T253">
        <v>0</v>
      </c>
      <c r="U253">
        <v>0</v>
      </c>
      <c r="V253">
        <v>0</v>
      </c>
      <c r="W253">
        <v>0</v>
      </c>
      <c r="X253" s="22" t="s">
        <v>53</v>
      </c>
      <c r="Y253" s="22" t="s">
        <v>53</v>
      </c>
      <c r="Z253" s="22" t="s">
        <v>53</v>
      </c>
      <c r="AA253" s="22">
        <v>0</v>
      </c>
      <c r="AB253">
        <v>0</v>
      </c>
      <c r="AC253">
        <v>0</v>
      </c>
      <c r="AD253">
        <v>0</v>
      </c>
      <c r="AE253">
        <v>0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1</v>
      </c>
      <c r="AK253">
        <v>0</v>
      </c>
      <c r="AL253">
        <v>1</v>
      </c>
      <c r="AM253">
        <v>0</v>
      </c>
      <c r="AN253" s="22">
        <v>0</v>
      </c>
      <c r="AO253" s="22" t="s">
        <v>53</v>
      </c>
      <c r="AP253" s="22">
        <v>0</v>
      </c>
      <c r="AQ253" s="22" t="s">
        <v>53</v>
      </c>
      <c r="AR253" s="35">
        <v>0</v>
      </c>
      <c r="AS253" s="35">
        <v>0</v>
      </c>
      <c r="AT253" s="35">
        <v>4</v>
      </c>
      <c r="AU253" s="31" t="str">
        <f t="shared" si="7"/>
        <v>库存为4</v>
      </c>
      <c r="AV253" s="36" t="str">
        <f>IFERROR(时间!$B$4+AU253,"上周无销量")</f>
        <v>上周无销量</v>
      </c>
    </row>
    <row r="254" spans="1:48">
      <c r="A254" s="20" t="s">
        <v>693</v>
      </c>
      <c r="B254" t="s">
        <v>694</v>
      </c>
      <c r="C254" t="s">
        <v>688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3</v>
      </c>
      <c r="J254" s="33">
        <v>0</v>
      </c>
      <c r="K254" s="33">
        <v>0</v>
      </c>
      <c r="L254" s="33">
        <v>0</v>
      </c>
      <c r="M254">
        <v>3</v>
      </c>
      <c r="N254">
        <v>0</v>
      </c>
      <c r="O254">
        <v>3</v>
      </c>
      <c r="P254">
        <v>0</v>
      </c>
      <c r="Q254">
        <v>0</v>
      </c>
      <c r="R254">
        <v>0</v>
      </c>
      <c r="S254">
        <v>96</v>
      </c>
      <c r="T254">
        <v>0</v>
      </c>
      <c r="U254">
        <v>0</v>
      </c>
      <c r="V254">
        <v>0</v>
      </c>
      <c r="W254">
        <v>0</v>
      </c>
      <c r="X254" s="22" t="s">
        <v>53</v>
      </c>
      <c r="Y254" s="22" t="s">
        <v>53</v>
      </c>
      <c r="Z254" s="22" t="s">
        <v>53</v>
      </c>
      <c r="AA254" s="22">
        <v>0</v>
      </c>
      <c r="AB254">
        <v>0</v>
      </c>
      <c r="AC254">
        <v>0</v>
      </c>
      <c r="AD254">
        <v>0</v>
      </c>
      <c r="AE254">
        <v>0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0</v>
      </c>
      <c r="AK254">
        <v>0</v>
      </c>
      <c r="AL254">
        <v>2</v>
      </c>
      <c r="AM254">
        <v>0</v>
      </c>
      <c r="AN254" s="22" t="s">
        <v>53</v>
      </c>
      <c r="AO254" s="22" t="s">
        <v>53</v>
      </c>
      <c r="AP254" s="22">
        <v>0</v>
      </c>
      <c r="AQ254" s="22" t="s">
        <v>53</v>
      </c>
      <c r="AR254" s="35">
        <v>0</v>
      </c>
      <c r="AS254" s="35">
        <v>0</v>
      </c>
      <c r="AT254" s="35">
        <v>3</v>
      </c>
      <c r="AU254" s="31" t="str">
        <f t="shared" si="7"/>
        <v>库存为3</v>
      </c>
      <c r="AV254" s="36" t="str">
        <f>IFERROR(时间!$B$4+AU254,"上周无销量")</f>
        <v>上周无销量</v>
      </c>
    </row>
    <row r="255" spans="1:48">
      <c r="A255" s="20" t="s">
        <v>695</v>
      </c>
      <c r="B255" t="s">
        <v>696</v>
      </c>
      <c r="C255" t="s">
        <v>697</v>
      </c>
      <c r="D255" s="31">
        <v>2</v>
      </c>
      <c r="E255" s="31">
        <v>0</v>
      </c>
      <c r="F255" s="31">
        <v>0</v>
      </c>
      <c r="G255" s="31">
        <v>0</v>
      </c>
      <c r="H255" s="32">
        <v>15.99</v>
      </c>
      <c r="I255">
        <v>6</v>
      </c>
      <c r="J255" s="33">
        <v>0</v>
      </c>
      <c r="K255" s="33">
        <v>0</v>
      </c>
      <c r="L255" s="33">
        <v>0</v>
      </c>
      <c r="M255">
        <v>6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14</v>
      </c>
      <c r="AK255">
        <v>8</v>
      </c>
      <c r="AL255">
        <v>8</v>
      </c>
      <c r="AM255">
        <v>5</v>
      </c>
      <c r="AN255" s="22">
        <v>0.142857142857143</v>
      </c>
      <c r="AO255" s="22">
        <v>0</v>
      </c>
      <c r="AP255" s="22">
        <v>0</v>
      </c>
      <c r="AQ255" s="22">
        <v>0</v>
      </c>
      <c r="AR255" s="35">
        <v>0.285714285714286</v>
      </c>
      <c r="AS255" s="35">
        <v>17.1428571428571</v>
      </c>
      <c r="AT255" s="35">
        <v>-11.1428571428571</v>
      </c>
      <c r="AU255" s="31">
        <f t="shared" si="7"/>
        <v>21</v>
      </c>
      <c r="AV255" s="36">
        <f>IFERROR(时间!$B$4+AU255,"上周无销量")</f>
        <v>43304</v>
      </c>
    </row>
    <row r="256" spans="1:48">
      <c r="A256" s="20" t="s">
        <v>698</v>
      </c>
      <c r="B256" t="s">
        <v>699</v>
      </c>
      <c r="C256" t="s">
        <v>700</v>
      </c>
      <c r="D256" s="31">
        <v>1</v>
      </c>
      <c r="E256" s="31">
        <v>1</v>
      </c>
      <c r="F256" s="31">
        <v>0</v>
      </c>
      <c r="G256" s="31">
        <v>0</v>
      </c>
      <c r="H256" s="32">
        <v>15.99</v>
      </c>
      <c r="I256">
        <v>15</v>
      </c>
      <c r="J256" s="33">
        <v>0</v>
      </c>
      <c r="K256" s="33">
        <v>0</v>
      </c>
      <c r="L256" s="33">
        <v>0</v>
      </c>
      <c r="M256">
        <v>15</v>
      </c>
      <c r="N256">
        <v>0</v>
      </c>
      <c r="O256">
        <v>16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10</v>
      </c>
      <c r="AK256">
        <v>10</v>
      </c>
      <c r="AL256">
        <v>3</v>
      </c>
      <c r="AM256">
        <v>5</v>
      </c>
      <c r="AN256" s="22">
        <v>0.1</v>
      </c>
      <c r="AO256" s="22">
        <v>0.1</v>
      </c>
      <c r="AP256" s="22">
        <v>0</v>
      </c>
      <c r="AQ256" s="22">
        <v>0</v>
      </c>
      <c r="AR256" s="35">
        <v>0.142857142857143</v>
      </c>
      <c r="AS256" s="35">
        <v>8.57142857142857</v>
      </c>
      <c r="AT256" s="35">
        <v>6.42857142857143</v>
      </c>
      <c r="AU256" s="31">
        <f t="shared" si="7"/>
        <v>105</v>
      </c>
      <c r="AV256" s="36">
        <f>IFERROR(时间!$B$4+AU256,"上周无销量")</f>
        <v>43388</v>
      </c>
    </row>
    <row r="257" spans="1:48">
      <c r="A257" s="20" t="s">
        <v>701</v>
      </c>
      <c r="B257" t="s">
        <v>702</v>
      </c>
      <c r="C257" t="s">
        <v>700</v>
      </c>
      <c r="D257" s="31">
        <v>0</v>
      </c>
      <c r="E257" s="31">
        <v>0</v>
      </c>
      <c r="F257" s="31">
        <v>1</v>
      </c>
      <c r="G257" s="31">
        <v>0</v>
      </c>
      <c r="H257" s="32">
        <v>15.99</v>
      </c>
      <c r="I257">
        <v>15</v>
      </c>
      <c r="J257" s="33">
        <v>0</v>
      </c>
      <c r="K257" s="33">
        <v>0</v>
      </c>
      <c r="L257" s="33">
        <v>0</v>
      </c>
      <c r="M257">
        <v>15</v>
      </c>
      <c r="N257">
        <v>0</v>
      </c>
      <c r="O257">
        <v>15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2</v>
      </c>
      <c r="AK257">
        <v>5</v>
      </c>
      <c r="AL257">
        <v>5</v>
      </c>
      <c r="AM257">
        <v>13</v>
      </c>
      <c r="AN257" s="22">
        <v>0</v>
      </c>
      <c r="AO257" s="22">
        <v>0</v>
      </c>
      <c r="AP257" s="22">
        <v>0.2</v>
      </c>
      <c r="AQ257" s="22">
        <v>0</v>
      </c>
      <c r="AR257" s="35">
        <v>0</v>
      </c>
      <c r="AS257" s="35">
        <v>0</v>
      </c>
      <c r="AT257" s="35">
        <v>15</v>
      </c>
      <c r="AU257" s="31" t="str">
        <f t="shared" si="7"/>
        <v>库存为15</v>
      </c>
      <c r="AV257" s="36" t="str">
        <f>IFERROR(时间!$B$4+AU257,"上周无销量")</f>
        <v>上周无销量</v>
      </c>
    </row>
    <row r="258" spans="1:48">
      <c r="A258" s="20" t="s">
        <v>703</v>
      </c>
      <c r="B258" t="s">
        <v>704</v>
      </c>
      <c r="C258" t="s">
        <v>700</v>
      </c>
      <c r="D258" s="31">
        <v>0</v>
      </c>
      <c r="E258" s="31">
        <v>0</v>
      </c>
      <c r="F258" s="31">
        <v>2</v>
      </c>
      <c r="G258" s="31">
        <v>1</v>
      </c>
      <c r="H258" s="32">
        <v>15.99</v>
      </c>
      <c r="I258">
        <v>8</v>
      </c>
      <c r="J258" s="33">
        <v>0</v>
      </c>
      <c r="K258" s="33">
        <v>0</v>
      </c>
      <c r="L258" s="33">
        <v>0</v>
      </c>
      <c r="M258">
        <v>8</v>
      </c>
      <c r="N258">
        <v>0</v>
      </c>
      <c r="O258">
        <v>4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6</v>
      </c>
      <c r="AK258">
        <v>17</v>
      </c>
      <c r="AL258">
        <v>4</v>
      </c>
      <c r="AM258">
        <v>1</v>
      </c>
      <c r="AN258" s="22">
        <v>0</v>
      </c>
      <c r="AO258" s="22">
        <v>0</v>
      </c>
      <c r="AP258" s="22">
        <v>0.5</v>
      </c>
      <c r="AQ258" s="22">
        <v>1</v>
      </c>
      <c r="AR258" s="35">
        <v>0</v>
      </c>
      <c r="AS258" s="35">
        <v>0</v>
      </c>
      <c r="AT258" s="35">
        <v>8</v>
      </c>
      <c r="AU258" s="31" t="str">
        <f t="shared" si="7"/>
        <v>库存为8</v>
      </c>
      <c r="AV258" s="36" t="str">
        <f>IFERROR(时间!$B$4+AU258,"上周无销量")</f>
        <v>上周无销量</v>
      </c>
    </row>
    <row r="259" spans="1:48">
      <c r="A259" s="20" t="s">
        <v>705</v>
      </c>
      <c r="B259" t="s">
        <v>706</v>
      </c>
      <c r="C259" t="s">
        <v>700</v>
      </c>
      <c r="D259" s="31">
        <v>1</v>
      </c>
      <c r="E259" s="31">
        <v>0</v>
      </c>
      <c r="F259" s="31">
        <v>0</v>
      </c>
      <c r="G259" s="31">
        <v>0</v>
      </c>
      <c r="H259" s="32">
        <v>15.99</v>
      </c>
      <c r="I259">
        <v>23</v>
      </c>
      <c r="J259" s="33">
        <v>0</v>
      </c>
      <c r="K259" s="33">
        <v>0</v>
      </c>
      <c r="L259" s="33">
        <v>0</v>
      </c>
      <c r="M259">
        <v>23</v>
      </c>
      <c r="N259">
        <v>0</v>
      </c>
      <c r="O259">
        <v>24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6</v>
      </c>
      <c r="AK259">
        <v>1</v>
      </c>
      <c r="AL259">
        <v>1</v>
      </c>
      <c r="AM259">
        <v>4</v>
      </c>
      <c r="AN259" s="22">
        <v>0.166666666666667</v>
      </c>
      <c r="AO259" s="22">
        <v>0</v>
      </c>
      <c r="AP259" s="22">
        <v>0</v>
      </c>
      <c r="AQ259" s="22">
        <v>0</v>
      </c>
      <c r="AR259" s="35">
        <v>0.142857142857143</v>
      </c>
      <c r="AS259" s="35">
        <v>8.57142857142857</v>
      </c>
      <c r="AT259" s="35">
        <v>14.4285714285714</v>
      </c>
      <c r="AU259" s="31">
        <f t="shared" si="7"/>
        <v>161</v>
      </c>
      <c r="AV259" s="36">
        <f>IFERROR(时间!$B$4+AU259,"上周无销量")</f>
        <v>43444</v>
      </c>
    </row>
    <row r="260" spans="1:48">
      <c r="A260" s="20" t="s">
        <v>707</v>
      </c>
      <c r="B260" t="s">
        <v>708</v>
      </c>
      <c r="C260" t="s">
        <v>709</v>
      </c>
      <c r="D260" s="31">
        <v>0</v>
      </c>
      <c r="E260" s="31">
        <v>1</v>
      </c>
      <c r="F260" s="31">
        <v>0</v>
      </c>
      <c r="G260" s="31">
        <v>0</v>
      </c>
      <c r="H260" s="32">
        <v>18.99</v>
      </c>
      <c r="I260">
        <v>3</v>
      </c>
      <c r="J260" s="33">
        <v>0</v>
      </c>
      <c r="K260" s="33">
        <v>0</v>
      </c>
      <c r="L260" s="33">
        <v>0</v>
      </c>
      <c r="M260">
        <v>3</v>
      </c>
      <c r="N260">
        <v>0</v>
      </c>
      <c r="O260">
        <v>3</v>
      </c>
      <c r="P260">
        <v>6871</v>
      </c>
      <c r="Q260">
        <v>13881</v>
      </c>
      <c r="R260">
        <v>9043</v>
      </c>
      <c r="S260">
        <v>646</v>
      </c>
      <c r="T260">
        <v>25</v>
      </c>
      <c r="U260">
        <v>83</v>
      </c>
      <c r="V260">
        <v>33</v>
      </c>
      <c r="W260">
        <v>12</v>
      </c>
      <c r="X260" s="22">
        <v>0.00363848057051375</v>
      </c>
      <c r="Y260" s="22">
        <v>0.00597939629709675</v>
      </c>
      <c r="Z260" s="22">
        <v>0.00364923144974013</v>
      </c>
      <c r="AA260" s="22">
        <v>0.0185758513931889</v>
      </c>
      <c r="AB260">
        <v>7.78</v>
      </c>
      <c r="AC260">
        <v>29.64</v>
      </c>
      <c r="AD260">
        <v>10.79</v>
      </c>
      <c r="AE260">
        <v>3.14</v>
      </c>
      <c r="AF260" s="22" t="s">
        <v>710</v>
      </c>
      <c r="AG260" s="22">
        <v>1.5608214849921</v>
      </c>
      <c r="AH260" s="22" t="s">
        <v>711</v>
      </c>
      <c r="AI260" s="22" t="s">
        <v>712</v>
      </c>
      <c r="AJ260">
        <v>5</v>
      </c>
      <c r="AK260">
        <v>10</v>
      </c>
      <c r="AL260">
        <v>19</v>
      </c>
      <c r="AM260">
        <v>6</v>
      </c>
      <c r="AN260" s="22">
        <v>0</v>
      </c>
      <c r="AO260" s="22">
        <v>0.1</v>
      </c>
      <c r="AP260" s="22">
        <v>0</v>
      </c>
      <c r="AQ260" s="22">
        <v>0</v>
      </c>
      <c r="AR260" s="35">
        <v>0</v>
      </c>
      <c r="AS260" s="35">
        <v>0</v>
      </c>
      <c r="AT260" s="35">
        <v>3</v>
      </c>
      <c r="AU260" s="31" t="str">
        <f t="shared" si="7"/>
        <v>库存为3</v>
      </c>
      <c r="AV260" s="36" t="str">
        <f>IFERROR(时间!$B$4+AU260,"上周无销量")</f>
        <v>上周无销量</v>
      </c>
    </row>
    <row r="261" spans="1:48">
      <c r="A261" s="20" t="s">
        <v>713</v>
      </c>
      <c r="B261" t="s">
        <v>714</v>
      </c>
      <c r="C261" t="s">
        <v>709</v>
      </c>
      <c r="D261" s="31">
        <v>0</v>
      </c>
      <c r="E261" s="31">
        <v>0</v>
      </c>
      <c r="F261" s="31">
        <v>1</v>
      </c>
      <c r="G261" s="31">
        <v>0</v>
      </c>
      <c r="H261" s="32">
        <v>18.99</v>
      </c>
      <c r="I261">
        <v>3</v>
      </c>
      <c r="J261" s="33">
        <v>0</v>
      </c>
      <c r="K261" s="33">
        <v>0</v>
      </c>
      <c r="L261" s="33">
        <v>0</v>
      </c>
      <c r="M261">
        <v>3</v>
      </c>
      <c r="N261">
        <v>0</v>
      </c>
      <c r="O261">
        <v>3</v>
      </c>
      <c r="P261">
        <v>0</v>
      </c>
      <c r="Q261">
        <v>0</v>
      </c>
      <c r="R261">
        <v>0</v>
      </c>
      <c r="S261">
        <v>227</v>
      </c>
      <c r="T261">
        <v>0</v>
      </c>
      <c r="U261">
        <v>0</v>
      </c>
      <c r="V261">
        <v>0</v>
      </c>
      <c r="W261">
        <v>2</v>
      </c>
      <c r="X261" s="22" t="s">
        <v>53</v>
      </c>
      <c r="Y261" s="22" t="s">
        <v>53</v>
      </c>
      <c r="Z261" s="22" t="s">
        <v>53</v>
      </c>
      <c r="AA261" s="22">
        <v>0.00881057268722467</v>
      </c>
      <c r="AB261">
        <v>0</v>
      </c>
      <c r="AC261">
        <v>0</v>
      </c>
      <c r="AD261">
        <v>0</v>
      </c>
      <c r="AE261">
        <v>0.65</v>
      </c>
      <c r="AF261" s="22" t="s">
        <v>53</v>
      </c>
      <c r="AG261" s="22" t="s">
        <v>53</v>
      </c>
      <c r="AH261" s="22" t="s">
        <v>53</v>
      </c>
      <c r="AI261" s="22" t="s">
        <v>715</v>
      </c>
      <c r="AJ261">
        <v>3</v>
      </c>
      <c r="AK261">
        <v>8</v>
      </c>
      <c r="AL261">
        <v>4</v>
      </c>
      <c r="AM261">
        <v>3</v>
      </c>
      <c r="AN261" s="22">
        <v>0</v>
      </c>
      <c r="AO261" s="22">
        <v>0</v>
      </c>
      <c r="AP261" s="22">
        <v>0.25</v>
      </c>
      <c r="AQ261" s="22">
        <v>0</v>
      </c>
      <c r="AR261" s="35">
        <v>0</v>
      </c>
      <c r="AS261" s="35">
        <v>0</v>
      </c>
      <c r="AT261" s="35">
        <v>3</v>
      </c>
      <c r="AU261" s="31" t="str">
        <f t="shared" ref="AU261:AU283" si="8">IF(AR261="","库存为"&amp;M261,IF(AS261=0,"库存为"&amp;M261,INT(M261/AR261)))</f>
        <v>库存为3</v>
      </c>
      <c r="AV261" s="36" t="str">
        <f>IFERROR(时间!$B$4+AU261,"上周无销量")</f>
        <v>上周无销量</v>
      </c>
    </row>
    <row r="262" spans="1:48">
      <c r="A262" s="20" t="s">
        <v>716</v>
      </c>
      <c r="B262" t="s">
        <v>717</v>
      </c>
      <c r="C262" t="s">
        <v>718</v>
      </c>
      <c r="D262" s="31">
        <v>12</v>
      </c>
      <c r="E262" s="31">
        <v>17</v>
      </c>
      <c r="F262" s="31">
        <v>10</v>
      </c>
      <c r="G262" s="31">
        <v>12</v>
      </c>
      <c r="H262" s="32">
        <v>14.99</v>
      </c>
      <c r="I262">
        <v>11</v>
      </c>
      <c r="J262" s="33">
        <v>0</v>
      </c>
      <c r="K262" s="33">
        <v>0</v>
      </c>
      <c r="L262" s="33">
        <v>1</v>
      </c>
      <c r="M262">
        <v>12</v>
      </c>
      <c r="N262">
        <v>0</v>
      </c>
      <c r="O262">
        <v>0</v>
      </c>
      <c r="P262">
        <v>0</v>
      </c>
      <c r="Q262">
        <v>218</v>
      </c>
      <c r="R262">
        <v>416</v>
      </c>
      <c r="S262">
        <v>4603</v>
      </c>
      <c r="T262">
        <v>0</v>
      </c>
      <c r="U262">
        <v>0</v>
      </c>
      <c r="V262">
        <v>1</v>
      </c>
      <c r="W262">
        <v>14</v>
      </c>
      <c r="X262" s="22" t="s">
        <v>53</v>
      </c>
      <c r="Y262" s="22">
        <v>0</v>
      </c>
      <c r="Z262" s="22">
        <v>0.00240384615384615</v>
      </c>
      <c r="AA262" s="22">
        <v>0.00304149467738431</v>
      </c>
      <c r="AB262">
        <v>0</v>
      </c>
      <c r="AC262">
        <v>0</v>
      </c>
      <c r="AD262">
        <v>0.22</v>
      </c>
      <c r="AE262">
        <v>5.12</v>
      </c>
      <c r="AF262" s="22" t="s">
        <v>53</v>
      </c>
      <c r="AG262" s="22" t="s">
        <v>53</v>
      </c>
      <c r="AH262" s="22">
        <v>0.00146764509673115</v>
      </c>
      <c r="AI262" s="22">
        <v>0.0284634200578163</v>
      </c>
      <c r="AJ262">
        <v>33</v>
      </c>
      <c r="AK262">
        <v>67</v>
      </c>
      <c r="AL262">
        <v>19</v>
      </c>
      <c r="AM262">
        <v>31</v>
      </c>
      <c r="AN262" s="22">
        <v>0.363636363636364</v>
      </c>
      <c r="AO262" s="22">
        <v>0.253731343283582</v>
      </c>
      <c r="AP262" s="22">
        <v>0.526315789473684</v>
      </c>
      <c r="AQ262" s="22">
        <v>0.387096774193548</v>
      </c>
      <c r="AR262" s="35">
        <v>1.71428571428571</v>
      </c>
      <c r="AS262" s="35">
        <v>102.857142857143</v>
      </c>
      <c r="AT262" s="35">
        <v>-90.8571428571428</v>
      </c>
      <c r="AU262" s="31">
        <f t="shared" si="8"/>
        <v>7</v>
      </c>
      <c r="AV262" s="36">
        <f>IFERROR(时间!$B$4+AU262,"上周无销量")</f>
        <v>43290</v>
      </c>
    </row>
    <row r="263" spans="1:48">
      <c r="A263" s="20" t="s">
        <v>719</v>
      </c>
      <c r="B263" t="s">
        <v>720</v>
      </c>
      <c r="C263" t="s">
        <v>718</v>
      </c>
      <c r="D263" s="31">
        <v>3</v>
      </c>
      <c r="E263" s="31">
        <v>5</v>
      </c>
      <c r="F263" s="31">
        <v>2</v>
      </c>
      <c r="G263" s="31">
        <v>0</v>
      </c>
      <c r="H263" s="32">
        <v>16.19</v>
      </c>
      <c r="I263">
        <v>22</v>
      </c>
      <c r="J263" s="33">
        <v>0</v>
      </c>
      <c r="K263" s="33">
        <v>0</v>
      </c>
      <c r="L263" s="33">
        <v>0</v>
      </c>
      <c r="M263">
        <v>22</v>
      </c>
      <c r="N263">
        <v>0</v>
      </c>
      <c r="O263">
        <v>0</v>
      </c>
      <c r="P263">
        <v>0</v>
      </c>
      <c r="Q263">
        <v>3434</v>
      </c>
      <c r="R263">
        <v>1588</v>
      </c>
      <c r="S263">
        <v>13524</v>
      </c>
      <c r="T263">
        <v>0</v>
      </c>
      <c r="U263">
        <v>19</v>
      </c>
      <c r="V263">
        <v>4</v>
      </c>
      <c r="W263">
        <v>71</v>
      </c>
      <c r="X263" s="22" t="s">
        <v>53</v>
      </c>
      <c r="Y263" s="22">
        <v>0.00553290623179965</v>
      </c>
      <c r="Z263" s="22">
        <v>0.00251889168765743</v>
      </c>
      <c r="AA263" s="22">
        <v>0.00524992605737947</v>
      </c>
      <c r="AB263">
        <v>0</v>
      </c>
      <c r="AC263">
        <v>9.27</v>
      </c>
      <c r="AD263">
        <v>1.79</v>
      </c>
      <c r="AE263">
        <v>24.4</v>
      </c>
      <c r="AF263" s="22" t="s">
        <v>53</v>
      </c>
      <c r="AG263" s="22">
        <v>0.114515132798023</v>
      </c>
      <c r="AH263" s="22">
        <v>0.0552810376775787</v>
      </c>
      <c r="AI263" s="22" t="s">
        <v>721</v>
      </c>
      <c r="AJ263">
        <v>7</v>
      </c>
      <c r="AK263">
        <v>50</v>
      </c>
      <c r="AL263">
        <v>20</v>
      </c>
      <c r="AM263">
        <v>22</v>
      </c>
      <c r="AN263" s="22">
        <v>0.428571428571429</v>
      </c>
      <c r="AO263" s="22">
        <v>0.1</v>
      </c>
      <c r="AP263" s="22">
        <v>0.1</v>
      </c>
      <c r="AQ263" s="22">
        <v>0</v>
      </c>
      <c r="AR263" s="35">
        <v>0.428571428571429</v>
      </c>
      <c r="AS263" s="35">
        <v>25.7142857142857</v>
      </c>
      <c r="AT263" s="35">
        <v>-3.71428571428571</v>
      </c>
      <c r="AU263" s="31">
        <f t="shared" si="8"/>
        <v>51</v>
      </c>
      <c r="AV263" s="36">
        <f>IFERROR(时间!$B$4+AU263,"上周无销量")</f>
        <v>43334</v>
      </c>
    </row>
    <row r="264" spans="1:48">
      <c r="A264" s="20" t="s">
        <v>722</v>
      </c>
      <c r="B264" t="s">
        <v>723</v>
      </c>
      <c r="C264" t="s">
        <v>718</v>
      </c>
      <c r="D264" s="31">
        <v>3</v>
      </c>
      <c r="E264" s="31">
        <v>7</v>
      </c>
      <c r="F264" s="31">
        <v>2</v>
      </c>
      <c r="G264" s="31">
        <v>3</v>
      </c>
      <c r="H264" s="32">
        <v>15.79</v>
      </c>
      <c r="I264">
        <v>27</v>
      </c>
      <c r="J264" s="33">
        <v>0</v>
      </c>
      <c r="K264" s="33">
        <v>0</v>
      </c>
      <c r="L264" s="33">
        <v>0</v>
      </c>
      <c r="M264">
        <v>27</v>
      </c>
      <c r="N264">
        <v>0</v>
      </c>
      <c r="O264">
        <v>0</v>
      </c>
      <c r="P264">
        <v>707</v>
      </c>
      <c r="Q264">
        <v>2269</v>
      </c>
      <c r="R264">
        <v>1392</v>
      </c>
      <c r="S264">
        <v>4383</v>
      </c>
      <c r="T264">
        <v>5</v>
      </c>
      <c r="U264">
        <v>19</v>
      </c>
      <c r="V264">
        <v>5</v>
      </c>
      <c r="W264">
        <v>11</v>
      </c>
      <c r="X264" s="22">
        <v>0.00707213578500707</v>
      </c>
      <c r="Y264" s="22">
        <v>0.00837373292199207</v>
      </c>
      <c r="Z264" s="22">
        <v>0.00359195402298851</v>
      </c>
      <c r="AA264" s="22">
        <v>0.00250969655487109</v>
      </c>
      <c r="AB264">
        <v>2.38</v>
      </c>
      <c r="AC264">
        <v>8.28</v>
      </c>
      <c r="AD264">
        <v>1.65</v>
      </c>
      <c r="AE264">
        <v>3</v>
      </c>
      <c r="AF264" s="22">
        <v>0.0502427696854549</v>
      </c>
      <c r="AG264" s="22">
        <v>0.0749117886546639</v>
      </c>
      <c r="AH264" s="22">
        <v>0.052248258391387</v>
      </c>
      <c r="AI264" s="22">
        <v>0.0633312222925902</v>
      </c>
      <c r="AJ264">
        <v>4</v>
      </c>
      <c r="AK264">
        <v>38</v>
      </c>
      <c r="AL264">
        <v>14</v>
      </c>
      <c r="AM264">
        <v>16</v>
      </c>
      <c r="AN264" s="22">
        <v>0.75</v>
      </c>
      <c r="AO264" s="22">
        <v>0.184210526315789</v>
      </c>
      <c r="AP264" s="22">
        <v>0.142857142857143</v>
      </c>
      <c r="AQ264" s="22">
        <v>0.1875</v>
      </c>
      <c r="AR264" s="35">
        <v>0.428571428571429</v>
      </c>
      <c r="AS264" s="35">
        <v>25.7142857142857</v>
      </c>
      <c r="AT264" s="35">
        <v>1.28571428571429</v>
      </c>
      <c r="AU264" s="31">
        <f t="shared" si="8"/>
        <v>63</v>
      </c>
      <c r="AV264" s="36">
        <f>IFERROR(时间!$B$4+AU264,"上周无销量")</f>
        <v>43346</v>
      </c>
    </row>
    <row r="265" spans="1:48">
      <c r="A265" s="20" t="s">
        <v>724</v>
      </c>
      <c r="B265" t="s">
        <v>725</v>
      </c>
      <c r="C265" t="s">
        <v>718</v>
      </c>
      <c r="D265" s="31">
        <v>0</v>
      </c>
      <c r="E265" s="31">
        <v>2</v>
      </c>
      <c r="F265" s="31">
        <v>2</v>
      </c>
      <c r="G265" s="31">
        <v>1</v>
      </c>
      <c r="H265" s="32">
        <v>14.99</v>
      </c>
      <c r="I265">
        <v>51</v>
      </c>
      <c r="J265" s="33">
        <v>0</v>
      </c>
      <c r="K265" s="33">
        <v>0</v>
      </c>
      <c r="L265" s="33">
        <v>1</v>
      </c>
      <c r="M265">
        <v>52</v>
      </c>
      <c r="N265">
        <v>0</v>
      </c>
      <c r="O265">
        <v>22</v>
      </c>
      <c r="P265">
        <v>3407</v>
      </c>
      <c r="Q265">
        <v>5562</v>
      </c>
      <c r="R265">
        <v>1127</v>
      </c>
      <c r="S265">
        <v>8437</v>
      </c>
      <c r="T265">
        <v>23</v>
      </c>
      <c r="U265">
        <v>24</v>
      </c>
      <c r="V265">
        <v>5</v>
      </c>
      <c r="W265">
        <v>25</v>
      </c>
      <c r="X265" s="22">
        <v>0.00675080716172586</v>
      </c>
      <c r="Y265" s="22">
        <v>0.00431499460625674</v>
      </c>
      <c r="Z265" s="22">
        <v>0.00443655723158829</v>
      </c>
      <c r="AA265" s="22">
        <v>0.0029631385563589</v>
      </c>
      <c r="AB265">
        <v>11.35</v>
      </c>
      <c r="AC265">
        <v>11.58</v>
      </c>
      <c r="AD265">
        <v>1.83</v>
      </c>
      <c r="AE265">
        <v>8.81</v>
      </c>
      <c r="AF265" s="22" t="s">
        <v>726</v>
      </c>
      <c r="AG265" s="22">
        <v>0.386257505003336</v>
      </c>
      <c r="AH265" s="22">
        <v>0.0610406937958639</v>
      </c>
      <c r="AI265" s="22">
        <v>0.587725150100067</v>
      </c>
      <c r="AJ265">
        <v>15</v>
      </c>
      <c r="AK265">
        <v>436</v>
      </c>
      <c r="AL265">
        <v>26</v>
      </c>
      <c r="AM265">
        <v>25</v>
      </c>
      <c r="AN265" s="22">
        <v>0</v>
      </c>
      <c r="AO265" s="22">
        <v>0.00458715596330275</v>
      </c>
      <c r="AP265" s="22">
        <v>0.0769230769230769</v>
      </c>
      <c r="AQ265" s="22">
        <v>0.04</v>
      </c>
      <c r="AR265" s="35">
        <v>0</v>
      </c>
      <c r="AS265" s="35">
        <v>0</v>
      </c>
      <c r="AT265" s="35">
        <v>52</v>
      </c>
      <c r="AU265" s="31" t="str">
        <f t="shared" si="8"/>
        <v>库存为52</v>
      </c>
      <c r="AV265" s="36" t="str">
        <f>IFERROR(时间!$B$4+AU265,"上周无销量")</f>
        <v>上周无销量</v>
      </c>
    </row>
    <row r="266" spans="1:48">
      <c r="A266" s="20" t="s">
        <v>727</v>
      </c>
      <c r="B266" t="s">
        <v>728</v>
      </c>
      <c r="C266" t="s">
        <v>729</v>
      </c>
      <c r="D266" s="31">
        <v>1</v>
      </c>
      <c r="E266" s="31">
        <v>1</v>
      </c>
      <c r="F266" s="31">
        <v>1</v>
      </c>
      <c r="G266" s="31">
        <v>0</v>
      </c>
      <c r="H266" s="32">
        <v>14.99</v>
      </c>
      <c r="I266">
        <v>23</v>
      </c>
      <c r="J266" s="33">
        <v>0</v>
      </c>
      <c r="K266" s="33">
        <v>0</v>
      </c>
      <c r="L266" s="33">
        <v>0</v>
      </c>
      <c r="M266">
        <v>23</v>
      </c>
      <c r="N266">
        <v>1</v>
      </c>
      <c r="O266">
        <v>24</v>
      </c>
      <c r="P266">
        <v>0</v>
      </c>
      <c r="Q266">
        <v>281</v>
      </c>
      <c r="R266">
        <v>119</v>
      </c>
      <c r="S266">
        <v>1416</v>
      </c>
      <c r="T266">
        <v>0</v>
      </c>
      <c r="U266">
        <v>4</v>
      </c>
      <c r="V266">
        <v>0</v>
      </c>
      <c r="W266">
        <v>3</v>
      </c>
      <c r="X266" s="22" t="s">
        <v>53</v>
      </c>
      <c r="Y266" s="22">
        <v>0.0142348754448399</v>
      </c>
      <c r="Z266" s="22">
        <v>0</v>
      </c>
      <c r="AA266" s="22">
        <v>0.00211864406779661</v>
      </c>
      <c r="AB266">
        <v>0</v>
      </c>
      <c r="AC266">
        <v>1.61</v>
      </c>
      <c r="AD266">
        <v>0</v>
      </c>
      <c r="AE266">
        <v>0.85</v>
      </c>
      <c r="AF266" s="22" t="s">
        <v>53</v>
      </c>
      <c r="AG266" s="22">
        <v>0.107404936624416</v>
      </c>
      <c r="AH266" s="22" t="s">
        <v>53</v>
      </c>
      <c r="AI266" s="22" t="s">
        <v>730</v>
      </c>
      <c r="AJ266">
        <v>2</v>
      </c>
      <c r="AK266">
        <v>58</v>
      </c>
      <c r="AL266">
        <v>10</v>
      </c>
      <c r="AM266">
        <v>11</v>
      </c>
      <c r="AN266" s="22">
        <v>0.5</v>
      </c>
      <c r="AO266" s="22">
        <v>0.0172413793103448</v>
      </c>
      <c r="AP266" s="22">
        <v>0.1</v>
      </c>
      <c r="AQ266" s="22">
        <v>0</v>
      </c>
      <c r="AR266" s="35">
        <v>0.142857142857143</v>
      </c>
      <c r="AS266" s="35">
        <v>8.57142857142857</v>
      </c>
      <c r="AT266" s="35">
        <v>14.4285714285714</v>
      </c>
      <c r="AU266" s="31">
        <f t="shared" si="8"/>
        <v>161</v>
      </c>
      <c r="AV266" s="36">
        <f>IFERROR(时间!$B$4+AU266,"上周无销量")</f>
        <v>43444</v>
      </c>
    </row>
    <row r="267" spans="1:48">
      <c r="A267" s="20" t="s">
        <v>731</v>
      </c>
      <c r="B267" t="s">
        <v>732</v>
      </c>
      <c r="C267" t="s">
        <v>729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18</v>
      </c>
      <c r="J267" s="33">
        <v>0</v>
      </c>
      <c r="K267" s="33">
        <v>0</v>
      </c>
      <c r="L267" s="33">
        <v>6</v>
      </c>
      <c r="M267">
        <v>24</v>
      </c>
      <c r="N267">
        <v>0</v>
      </c>
      <c r="O267">
        <v>14</v>
      </c>
      <c r="P267">
        <v>0</v>
      </c>
      <c r="Q267">
        <v>0</v>
      </c>
      <c r="R267">
        <v>0</v>
      </c>
      <c r="S267">
        <v>577</v>
      </c>
      <c r="T267">
        <v>0</v>
      </c>
      <c r="U267">
        <v>0</v>
      </c>
      <c r="V267">
        <v>0</v>
      </c>
      <c r="W267">
        <v>0</v>
      </c>
      <c r="X267" s="22" t="s">
        <v>53</v>
      </c>
      <c r="Y267" s="22" t="s">
        <v>53</v>
      </c>
      <c r="Z267" s="22" t="s">
        <v>53</v>
      </c>
      <c r="AA267" s="22">
        <v>0</v>
      </c>
      <c r="AB267">
        <v>0</v>
      </c>
      <c r="AC267">
        <v>0</v>
      </c>
      <c r="AD267">
        <v>0</v>
      </c>
      <c r="AE267">
        <v>0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5</v>
      </c>
      <c r="AK267">
        <v>14</v>
      </c>
      <c r="AL267">
        <v>9</v>
      </c>
      <c r="AM267">
        <v>5</v>
      </c>
      <c r="AN267" s="22">
        <v>0</v>
      </c>
      <c r="AO267" s="22">
        <v>0</v>
      </c>
      <c r="AP267" s="22">
        <v>0</v>
      </c>
      <c r="AQ267" s="22">
        <v>0</v>
      </c>
      <c r="AR267" s="35">
        <v>0</v>
      </c>
      <c r="AS267" s="35">
        <v>0</v>
      </c>
      <c r="AT267" s="35">
        <v>24</v>
      </c>
      <c r="AU267" s="31" t="str">
        <f t="shared" si="8"/>
        <v>库存为24</v>
      </c>
      <c r="AV267" s="36" t="str">
        <f>IFERROR(时间!$B$4+AU267,"上周无销量")</f>
        <v>上周无销量</v>
      </c>
    </row>
    <row r="268" spans="1:48">
      <c r="A268" s="20" t="s">
        <v>733</v>
      </c>
      <c r="B268" t="s">
        <v>734</v>
      </c>
      <c r="C268" t="s">
        <v>729</v>
      </c>
      <c r="D268" s="31">
        <v>0</v>
      </c>
      <c r="E268" s="31">
        <v>0</v>
      </c>
      <c r="F268" s="31">
        <v>1</v>
      </c>
      <c r="G268" s="31">
        <v>0</v>
      </c>
      <c r="H268" s="32">
        <v>14.99</v>
      </c>
      <c r="I268">
        <v>21</v>
      </c>
      <c r="J268" s="33">
        <v>0</v>
      </c>
      <c r="K268" s="33">
        <v>0</v>
      </c>
      <c r="L268" s="33">
        <v>3</v>
      </c>
      <c r="M268">
        <v>24</v>
      </c>
      <c r="N268">
        <v>0</v>
      </c>
      <c r="O268">
        <v>14</v>
      </c>
      <c r="P268">
        <v>0</v>
      </c>
      <c r="Q268">
        <v>17</v>
      </c>
      <c r="R268">
        <v>6</v>
      </c>
      <c r="S268">
        <v>622</v>
      </c>
      <c r="T268">
        <v>0</v>
      </c>
      <c r="U268">
        <v>0</v>
      </c>
      <c r="V268">
        <v>0</v>
      </c>
      <c r="W268">
        <v>0</v>
      </c>
      <c r="X268" s="22" t="s">
        <v>53</v>
      </c>
      <c r="Y268" s="22">
        <v>0</v>
      </c>
      <c r="Z268" s="22">
        <v>0</v>
      </c>
      <c r="AA268" s="22">
        <v>0</v>
      </c>
      <c r="AB268">
        <v>0</v>
      </c>
      <c r="AC268">
        <v>0</v>
      </c>
      <c r="AD268">
        <v>0</v>
      </c>
      <c r="AE268">
        <v>0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1</v>
      </c>
      <c r="AK268">
        <v>12</v>
      </c>
      <c r="AL268">
        <v>5</v>
      </c>
      <c r="AM268">
        <v>4</v>
      </c>
      <c r="AN268" s="22">
        <v>0</v>
      </c>
      <c r="AO268" s="22">
        <v>0</v>
      </c>
      <c r="AP268" s="22">
        <v>0.2</v>
      </c>
      <c r="AQ268" s="22">
        <v>0</v>
      </c>
      <c r="AR268" s="35">
        <v>0</v>
      </c>
      <c r="AS268" s="35">
        <v>0</v>
      </c>
      <c r="AT268" s="35">
        <v>24</v>
      </c>
      <c r="AU268" s="31" t="str">
        <f t="shared" si="8"/>
        <v>库存为24</v>
      </c>
      <c r="AV268" s="36" t="str">
        <f>IFERROR(时间!$B$4+AU268,"上周无销量")</f>
        <v>上周无销量</v>
      </c>
    </row>
    <row r="269" spans="1:48">
      <c r="A269" s="20" t="s">
        <v>735</v>
      </c>
      <c r="B269" t="s">
        <v>736</v>
      </c>
      <c r="C269" t="s">
        <v>737</v>
      </c>
      <c r="D269" s="31">
        <v>4</v>
      </c>
      <c r="E269" s="31">
        <v>2</v>
      </c>
      <c r="F269" s="31">
        <v>2</v>
      </c>
      <c r="G269" s="31">
        <v>1</v>
      </c>
      <c r="H269" s="32">
        <v>14.99</v>
      </c>
      <c r="I269">
        <v>41</v>
      </c>
      <c r="J269" s="33">
        <v>0</v>
      </c>
      <c r="K269" s="33">
        <v>0</v>
      </c>
      <c r="L269" s="33">
        <v>0</v>
      </c>
      <c r="M269">
        <v>41</v>
      </c>
      <c r="N269">
        <v>0</v>
      </c>
      <c r="O269">
        <v>0</v>
      </c>
      <c r="P269">
        <v>0</v>
      </c>
      <c r="Q269">
        <v>63</v>
      </c>
      <c r="R269">
        <v>8</v>
      </c>
      <c r="S269">
        <v>2751</v>
      </c>
      <c r="T269">
        <v>0</v>
      </c>
      <c r="U269">
        <v>0</v>
      </c>
      <c r="V269">
        <v>0</v>
      </c>
      <c r="W269">
        <v>9</v>
      </c>
      <c r="X269" s="22" t="s">
        <v>53</v>
      </c>
      <c r="Y269" s="22">
        <v>0</v>
      </c>
      <c r="Z269" s="22">
        <v>0</v>
      </c>
      <c r="AA269" s="22">
        <v>0.00327153762268266</v>
      </c>
      <c r="AB269">
        <v>0</v>
      </c>
      <c r="AC269">
        <v>0</v>
      </c>
      <c r="AD269">
        <v>0</v>
      </c>
      <c r="AE269">
        <v>3.24</v>
      </c>
      <c r="AF269" s="22" t="s">
        <v>53</v>
      </c>
      <c r="AG269" s="22" t="s">
        <v>53</v>
      </c>
      <c r="AH269" s="22" t="s">
        <v>53</v>
      </c>
      <c r="AI269" s="22">
        <v>0.216144096064043</v>
      </c>
      <c r="AJ269">
        <v>4</v>
      </c>
      <c r="AK269">
        <v>26</v>
      </c>
      <c r="AL269">
        <v>15</v>
      </c>
      <c r="AM269">
        <v>5</v>
      </c>
      <c r="AN269" s="22">
        <v>1</v>
      </c>
      <c r="AO269" s="22">
        <v>0.0769230769230769</v>
      </c>
      <c r="AP269" s="22">
        <v>0.133333333333333</v>
      </c>
      <c r="AQ269" s="22">
        <v>0.2</v>
      </c>
      <c r="AR269" s="35">
        <v>0.571428571428571</v>
      </c>
      <c r="AS269" s="35">
        <v>34.2857142857143</v>
      </c>
      <c r="AT269" s="35">
        <v>6.71428571428572</v>
      </c>
      <c r="AU269" s="31">
        <f t="shared" si="8"/>
        <v>71</v>
      </c>
      <c r="AV269" s="36">
        <f>IFERROR(时间!$B$4+AU269,"上周无销量")</f>
        <v>43354</v>
      </c>
    </row>
    <row r="270" spans="1:48">
      <c r="A270" s="20" t="s">
        <v>738</v>
      </c>
      <c r="B270" t="s">
        <v>739</v>
      </c>
      <c r="C270" t="s">
        <v>737</v>
      </c>
      <c r="D270" s="31">
        <v>1</v>
      </c>
      <c r="E270" s="31">
        <v>1</v>
      </c>
      <c r="F270" s="31">
        <v>0</v>
      </c>
      <c r="G270" s="31">
        <v>0</v>
      </c>
      <c r="H270" s="32">
        <v>9.5</v>
      </c>
      <c r="I270">
        <v>37</v>
      </c>
      <c r="J270" s="33">
        <v>0</v>
      </c>
      <c r="K270" s="33">
        <v>0</v>
      </c>
      <c r="L270" s="33">
        <v>0</v>
      </c>
      <c r="M270">
        <v>37</v>
      </c>
      <c r="N270">
        <v>0</v>
      </c>
      <c r="O270">
        <v>38</v>
      </c>
      <c r="P270">
        <v>0</v>
      </c>
      <c r="Q270">
        <v>9</v>
      </c>
      <c r="R270">
        <v>5</v>
      </c>
      <c r="S270">
        <v>446</v>
      </c>
      <c r="T270">
        <v>0</v>
      </c>
      <c r="U270">
        <v>0</v>
      </c>
      <c r="V270">
        <v>0</v>
      </c>
      <c r="W270">
        <v>2</v>
      </c>
      <c r="X270" s="22" t="s">
        <v>53</v>
      </c>
      <c r="Y270" s="22">
        <v>0</v>
      </c>
      <c r="Z270" s="22">
        <v>0</v>
      </c>
      <c r="AA270" s="22">
        <v>0.00448430493273543</v>
      </c>
      <c r="AB270">
        <v>0</v>
      </c>
      <c r="AC270">
        <v>0</v>
      </c>
      <c r="AD270">
        <v>0</v>
      </c>
      <c r="AE270">
        <v>0.85</v>
      </c>
      <c r="AF270" s="22" t="s">
        <v>53</v>
      </c>
      <c r="AG270" s="22" t="s">
        <v>53</v>
      </c>
      <c r="AH270" s="22" t="s">
        <v>53</v>
      </c>
      <c r="AI270" s="22" t="s">
        <v>730</v>
      </c>
      <c r="AJ270">
        <v>1</v>
      </c>
      <c r="AK270">
        <v>17</v>
      </c>
      <c r="AL270">
        <v>6</v>
      </c>
      <c r="AM270">
        <v>10</v>
      </c>
      <c r="AN270" s="22">
        <v>1</v>
      </c>
      <c r="AO270" s="22">
        <v>0.0588235294117647</v>
      </c>
      <c r="AP270" s="22">
        <v>0</v>
      </c>
      <c r="AQ270" s="22">
        <v>0</v>
      </c>
      <c r="AR270" s="35">
        <v>0.142857142857143</v>
      </c>
      <c r="AS270" s="35">
        <v>8.57142857142857</v>
      </c>
      <c r="AT270" s="35">
        <v>28.4285714285714</v>
      </c>
      <c r="AU270" s="31">
        <f t="shared" si="8"/>
        <v>259</v>
      </c>
      <c r="AV270" s="36">
        <f>IFERROR(时间!$B$4+AU270,"上周无销量")</f>
        <v>43542</v>
      </c>
    </row>
    <row r="271" spans="1:48">
      <c r="A271" s="20" t="s">
        <v>740</v>
      </c>
      <c r="B271" t="s">
        <v>741</v>
      </c>
      <c r="C271" t="s">
        <v>737</v>
      </c>
      <c r="D271" s="31">
        <v>2</v>
      </c>
      <c r="E271" s="31">
        <v>2</v>
      </c>
      <c r="F271" s="31">
        <v>3</v>
      </c>
      <c r="G271" s="31">
        <v>0</v>
      </c>
      <c r="H271" s="32">
        <v>13.23</v>
      </c>
      <c r="I271">
        <v>22</v>
      </c>
      <c r="J271" s="33">
        <v>0</v>
      </c>
      <c r="K271" s="33">
        <v>0</v>
      </c>
      <c r="L271" s="33">
        <v>0</v>
      </c>
      <c r="M271">
        <v>22</v>
      </c>
      <c r="N271">
        <v>0</v>
      </c>
      <c r="O271">
        <v>23</v>
      </c>
      <c r="P271">
        <v>0</v>
      </c>
      <c r="Q271">
        <v>0</v>
      </c>
      <c r="R271">
        <v>0</v>
      </c>
      <c r="S271">
        <v>3252</v>
      </c>
      <c r="T271">
        <v>0</v>
      </c>
      <c r="U271">
        <v>0</v>
      </c>
      <c r="V271">
        <v>0</v>
      </c>
      <c r="W271">
        <v>12</v>
      </c>
      <c r="X271" s="22" t="s">
        <v>53</v>
      </c>
      <c r="Y271" s="22" t="s">
        <v>53</v>
      </c>
      <c r="Z271" s="22" t="s">
        <v>53</v>
      </c>
      <c r="AA271" s="22">
        <v>0.003690036900369</v>
      </c>
      <c r="AB271">
        <v>0</v>
      </c>
      <c r="AC271">
        <v>0</v>
      </c>
      <c r="AD271">
        <v>0</v>
      </c>
      <c r="AE271">
        <v>4.38</v>
      </c>
      <c r="AF271" s="22" t="s">
        <v>53</v>
      </c>
      <c r="AG271" s="22" t="s">
        <v>53</v>
      </c>
      <c r="AH271" s="22" t="s">
        <v>53</v>
      </c>
      <c r="AI271" s="22" t="s">
        <v>742</v>
      </c>
      <c r="AJ271">
        <v>5</v>
      </c>
      <c r="AK271">
        <v>37</v>
      </c>
      <c r="AL271">
        <v>6</v>
      </c>
      <c r="AM271">
        <v>5</v>
      </c>
      <c r="AN271" s="22">
        <v>0.4</v>
      </c>
      <c r="AO271" s="22">
        <v>0.0540540540540541</v>
      </c>
      <c r="AP271" s="22">
        <v>0.5</v>
      </c>
      <c r="AQ271" s="22">
        <v>0</v>
      </c>
      <c r="AR271" s="35">
        <v>0.285714285714286</v>
      </c>
      <c r="AS271" s="35">
        <v>17.1428571428571</v>
      </c>
      <c r="AT271" s="35">
        <v>4.85714285714286</v>
      </c>
      <c r="AU271" s="31">
        <f t="shared" si="8"/>
        <v>77</v>
      </c>
      <c r="AV271" s="36">
        <f>IFERROR(时间!$B$4+AU271,"上周无销量")</f>
        <v>43360</v>
      </c>
    </row>
    <row r="272" spans="1:48">
      <c r="A272" s="20" t="s">
        <v>743</v>
      </c>
      <c r="B272" t="s">
        <v>744</v>
      </c>
      <c r="C272" t="s">
        <v>737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45</v>
      </c>
      <c r="J272" s="33">
        <v>0</v>
      </c>
      <c r="K272" s="33">
        <v>0</v>
      </c>
      <c r="L272" s="33">
        <v>0</v>
      </c>
      <c r="M272">
        <v>45</v>
      </c>
      <c r="N272">
        <v>0</v>
      </c>
      <c r="O272">
        <v>45</v>
      </c>
      <c r="P272">
        <v>0</v>
      </c>
      <c r="Q272">
        <v>0</v>
      </c>
      <c r="R272">
        <v>0</v>
      </c>
      <c r="S272">
        <v>360</v>
      </c>
      <c r="T272">
        <v>0</v>
      </c>
      <c r="U272">
        <v>0</v>
      </c>
      <c r="V272">
        <v>0</v>
      </c>
      <c r="W272">
        <v>0</v>
      </c>
      <c r="X272" s="22" t="s">
        <v>53</v>
      </c>
      <c r="Y272" s="22" t="s">
        <v>53</v>
      </c>
      <c r="Z272" s="22" t="s">
        <v>53</v>
      </c>
      <c r="AA272" s="22">
        <v>0</v>
      </c>
      <c r="AB272">
        <v>0</v>
      </c>
      <c r="AC272">
        <v>0</v>
      </c>
      <c r="AD272">
        <v>0</v>
      </c>
      <c r="AE272">
        <v>0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1</v>
      </c>
      <c r="AK272">
        <v>48</v>
      </c>
      <c r="AL272">
        <v>3</v>
      </c>
      <c r="AM272">
        <v>7</v>
      </c>
      <c r="AN272" s="22">
        <v>0</v>
      </c>
      <c r="AO272" s="22">
        <v>0</v>
      </c>
      <c r="AP272" s="22">
        <v>0</v>
      </c>
      <c r="AQ272" s="22">
        <v>0</v>
      </c>
      <c r="AR272" s="35">
        <v>0</v>
      </c>
      <c r="AS272" s="35">
        <v>0</v>
      </c>
      <c r="AT272" s="35">
        <v>45</v>
      </c>
      <c r="AU272" s="31" t="str">
        <f t="shared" si="8"/>
        <v>库存为45</v>
      </c>
      <c r="AV272" s="36" t="str">
        <f>IFERROR(时间!$B$4+AU272,"上周无销量")</f>
        <v>上周无销量</v>
      </c>
    </row>
    <row r="273" spans="1:48">
      <c r="A273" s="20" t="s">
        <v>745</v>
      </c>
      <c r="B273" t="s">
        <v>746</v>
      </c>
      <c r="C273" t="s">
        <v>737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42</v>
      </c>
      <c r="J273" s="33">
        <v>0</v>
      </c>
      <c r="K273" s="33">
        <v>0</v>
      </c>
      <c r="L273" s="33">
        <v>0</v>
      </c>
      <c r="M273">
        <v>42</v>
      </c>
      <c r="N273">
        <v>3</v>
      </c>
      <c r="O273">
        <v>42</v>
      </c>
      <c r="P273">
        <v>0</v>
      </c>
      <c r="Q273">
        <v>44</v>
      </c>
      <c r="R273">
        <v>15</v>
      </c>
      <c r="S273">
        <v>1122</v>
      </c>
      <c r="T273">
        <v>0</v>
      </c>
      <c r="U273">
        <v>2</v>
      </c>
      <c r="V273">
        <v>0</v>
      </c>
      <c r="W273">
        <v>4</v>
      </c>
      <c r="X273" s="22" t="s">
        <v>53</v>
      </c>
      <c r="Y273" s="22">
        <v>0.0454545454545455</v>
      </c>
      <c r="Z273" s="22">
        <v>0</v>
      </c>
      <c r="AA273" s="22">
        <v>0.0035650623885918</v>
      </c>
      <c r="AB273">
        <v>0</v>
      </c>
      <c r="AC273">
        <v>0.53</v>
      </c>
      <c r="AD273">
        <v>0</v>
      </c>
      <c r="AE273">
        <v>1.11</v>
      </c>
      <c r="AF273" s="22" t="s">
        <v>53</v>
      </c>
      <c r="AG273" s="22" t="s">
        <v>747</v>
      </c>
      <c r="AH273" s="22" t="s">
        <v>53</v>
      </c>
      <c r="AI273" s="22" t="s">
        <v>665</v>
      </c>
      <c r="AJ273">
        <v>1</v>
      </c>
      <c r="AK273">
        <v>23</v>
      </c>
      <c r="AL273">
        <v>8</v>
      </c>
      <c r="AM273">
        <v>6</v>
      </c>
      <c r="AN273" s="22">
        <v>0</v>
      </c>
      <c r="AO273" s="22">
        <v>0</v>
      </c>
      <c r="AP273" s="22">
        <v>0</v>
      </c>
      <c r="AQ273" s="22">
        <v>0</v>
      </c>
      <c r="AR273" s="35">
        <v>0</v>
      </c>
      <c r="AS273" s="35">
        <v>0</v>
      </c>
      <c r="AT273" s="35">
        <v>42</v>
      </c>
      <c r="AU273" s="31" t="str">
        <f t="shared" si="8"/>
        <v>库存为42</v>
      </c>
      <c r="AV273" s="36" t="str">
        <f>IFERROR(时间!$B$4+AU273,"上周无销量")</f>
        <v>上周无销量</v>
      </c>
    </row>
    <row r="274" spans="1:48">
      <c r="A274" s="38" t="s">
        <v>748</v>
      </c>
      <c r="B274" t="s">
        <v>749</v>
      </c>
      <c r="C274" t="s">
        <v>750</v>
      </c>
      <c r="D274" s="31">
        <v>0</v>
      </c>
      <c r="E274" s="31">
        <v>0</v>
      </c>
      <c r="F274" s="31">
        <v>0</v>
      </c>
      <c r="G274" s="31">
        <v>1</v>
      </c>
      <c r="H274" s="32">
        <v>81.99</v>
      </c>
      <c r="I274">
        <v>0</v>
      </c>
      <c r="J274" s="33">
        <v>0</v>
      </c>
      <c r="K274" s="33">
        <v>0</v>
      </c>
      <c r="L274" s="33">
        <v>0</v>
      </c>
      <c r="M274">
        <v>0</v>
      </c>
      <c r="N274">
        <v>0</v>
      </c>
      <c r="O274">
        <v>0</v>
      </c>
      <c r="P274">
        <v>277</v>
      </c>
      <c r="Q274">
        <v>71</v>
      </c>
      <c r="R274">
        <v>58</v>
      </c>
      <c r="S274">
        <v>0</v>
      </c>
      <c r="T274">
        <v>3</v>
      </c>
      <c r="U274">
        <v>0</v>
      </c>
      <c r="V274">
        <v>1</v>
      </c>
      <c r="W274">
        <v>0</v>
      </c>
      <c r="X274" s="22">
        <v>0.0108303249097473</v>
      </c>
      <c r="Y274" s="22">
        <v>0</v>
      </c>
      <c r="Z274" s="22">
        <v>0.0172413793103448</v>
      </c>
      <c r="AA274" s="22" t="s">
        <v>53</v>
      </c>
      <c r="AB274">
        <v>0.72</v>
      </c>
      <c r="AC274">
        <v>0</v>
      </c>
      <c r="AD274">
        <v>0.5</v>
      </c>
      <c r="AE274">
        <v>0</v>
      </c>
      <c r="AF274" s="22" t="s">
        <v>751</v>
      </c>
      <c r="AG274" s="22" t="s">
        <v>53</v>
      </c>
      <c r="AH274" s="22" t="s">
        <v>295</v>
      </c>
      <c r="AI274" s="22" t="s">
        <v>53</v>
      </c>
      <c r="AJ274">
        <v>14</v>
      </c>
      <c r="AK274">
        <v>13</v>
      </c>
      <c r="AL274">
        <v>9</v>
      </c>
      <c r="AM274">
        <v>10</v>
      </c>
      <c r="AN274" s="22">
        <v>0</v>
      </c>
      <c r="AO274" s="22">
        <v>0</v>
      </c>
      <c r="AP274" s="22">
        <v>0</v>
      </c>
      <c r="AQ274" s="22">
        <v>0.1</v>
      </c>
      <c r="AR274" s="35">
        <v>0</v>
      </c>
      <c r="AS274" s="35">
        <v>0</v>
      </c>
      <c r="AT274" s="35">
        <v>0</v>
      </c>
      <c r="AU274" s="31" t="str">
        <f t="shared" si="8"/>
        <v>库存为0</v>
      </c>
      <c r="AV274" s="36" t="str">
        <f>IFERROR(时间!$B$4+AU274,"上周无销量")</f>
        <v>上周无销量</v>
      </c>
    </row>
    <row r="275" spans="1:48">
      <c r="A275" s="38" t="s">
        <v>752</v>
      </c>
      <c r="B275" t="s">
        <v>753</v>
      </c>
      <c r="C275" t="s">
        <v>750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>
        <v>868</v>
      </c>
      <c r="Q275">
        <v>716</v>
      </c>
      <c r="R275">
        <v>499</v>
      </c>
      <c r="S275">
        <v>0</v>
      </c>
      <c r="T275">
        <v>8</v>
      </c>
      <c r="U275">
        <v>2</v>
      </c>
      <c r="V275">
        <v>3</v>
      </c>
      <c r="W275">
        <v>0</v>
      </c>
      <c r="X275" s="22">
        <v>0.00921658986175115</v>
      </c>
      <c r="Y275" s="22">
        <v>0.00279329608938547</v>
      </c>
      <c r="Z275" s="22">
        <v>0.00601202404809619</v>
      </c>
      <c r="AA275" s="22" t="s">
        <v>53</v>
      </c>
      <c r="AB275">
        <v>2.2</v>
      </c>
      <c r="AC275">
        <v>0.41</v>
      </c>
      <c r="AD275">
        <v>0.36</v>
      </c>
      <c r="AE275">
        <v>0</v>
      </c>
      <c r="AF275" s="22" t="s">
        <v>754</v>
      </c>
      <c r="AG275" s="22" t="s">
        <v>445</v>
      </c>
      <c r="AH275" s="22" t="s">
        <v>187</v>
      </c>
      <c r="AI275" s="22" t="s">
        <v>53</v>
      </c>
      <c r="AJ275">
        <v>10</v>
      </c>
      <c r="AK275">
        <v>11</v>
      </c>
      <c r="AL275">
        <v>4</v>
      </c>
      <c r="AM275">
        <v>8</v>
      </c>
      <c r="AN275" s="22">
        <v>0</v>
      </c>
      <c r="AO275" s="22">
        <v>0</v>
      </c>
      <c r="AP275" s="22">
        <v>0</v>
      </c>
      <c r="AQ275" s="22">
        <v>0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39" t="s">
        <v>755</v>
      </c>
      <c r="B276" t="s">
        <v>756</v>
      </c>
      <c r="C276" t="s">
        <v>750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>
        <v>191</v>
      </c>
      <c r="Q276">
        <v>59</v>
      </c>
      <c r="R276">
        <v>36</v>
      </c>
      <c r="S276">
        <v>0</v>
      </c>
      <c r="T276">
        <v>0</v>
      </c>
      <c r="U276">
        <v>1</v>
      </c>
      <c r="V276">
        <v>1</v>
      </c>
      <c r="W276">
        <v>0</v>
      </c>
      <c r="X276" s="22">
        <v>0</v>
      </c>
      <c r="Y276" s="22">
        <v>0.0169491525423729</v>
      </c>
      <c r="Z276" s="22">
        <v>0.0277777777777778</v>
      </c>
      <c r="AA276" s="22" t="s">
        <v>53</v>
      </c>
      <c r="AB276">
        <v>0</v>
      </c>
      <c r="AC276">
        <v>0.22</v>
      </c>
      <c r="AD276">
        <v>0.45</v>
      </c>
      <c r="AE276">
        <v>0</v>
      </c>
      <c r="AF276" s="22" t="s">
        <v>53</v>
      </c>
      <c r="AG276" s="22" t="s">
        <v>278</v>
      </c>
      <c r="AH276" s="22" t="s">
        <v>268</v>
      </c>
      <c r="AI276" s="22" t="s">
        <v>53</v>
      </c>
      <c r="AJ276">
        <v>6</v>
      </c>
      <c r="AK276">
        <v>4</v>
      </c>
      <c r="AL276">
        <v>0</v>
      </c>
      <c r="AM276">
        <v>3</v>
      </c>
      <c r="AN276" s="22">
        <v>0</v>
      </c>
      <c r="AO276" s="22">
        <v>0</v>
      </c>
      <c r="AP276" s="22" t="s">
        <v>53</v>
      </c>
      <c r="AQ276" s="22">
        <v>0</v>
      </c>
      <c r="AR276" s="35">
        <v>0</v>
      </c>
      <c r="AS276" s="35">
        <v>0</v>
      </c>
      <c r="AT276" s="35">
        <v>0</v>
      </c>
      <c r="AU276" s="31" t="str">
        <f t="shared" si="8"/>
        <v>库存为0</v>
      </c>
      <c r="AV276" s="36" t="str">
        <f>IFERROR(时间!$B$4+AU276,"上周无销量")</f>
        <v>上周无销量</v>
      </c>
    </row>
    <row r="277" spans="1:48">
      <c r="A277" s="39" t="s">
        <v>757</v>
      </c>
      <c r="B277" t="s">
        <v>758</v>
      </c>
      <c r="C277" t="s">
        <v>750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>
        <v>45</v>
      </c>
      <c r="Q277">
        <v>15</v>
      </c>
      <c r="R277">
        <v>10</v>
      </c>
      <c r="S277">
        <v>0</v>
      </c>
      <c r="T277">
        <v>0</v>
      </c>
      <c r="U277">
        <v>0</v>
      </c>
      <c r="V277">
        <v>0</v>
      </c>
      <c r="W277">
        <v>0</v>
      </c>
      <c r="X277" s="22">
        <v>0</v>
      </c>
      <c r="Y277" s="22">
        <v>0</v>
      </c>
      <c r="Z277" s="22">
        <v>0</v>
      </c>
      <c r="AA277" s="22" t="s">
        <v>53</v>
      </c>
      <c r="AB277">
        <v>0</v>
      </c>
      <c r="AC277">
        <v>0</v>
      </c>
      <c r="AD277">
        <v>0</v>
      </c>
      <c r="AE277">
        <v>0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2</v>
      </c>
      <c r="AK277">
        <v>5</v>
      </c>
      <c r="AL277">
        <v>1</v>
      </c>
      <c r="AM277">
        <v>4</v>
      </c>
      <c r="AN277" s="22">
        <v>0</v>
      </c>
      <c r="AO277" s="22">
        <v>0</v>
      </c>
      <c r="AP277" s="22">
        <v>0</v>
      </c>
      <c r="AQ277" s="22">
        <v>0</v>
      </c>
      <c r="AR277" s="35">
        <v>0</v>
      </c>
      <c r="AS277" s="35">
        <v>0</v>
      </c>
      <c r="AT277" s="35">
        <v>0</v>
      </c>
      <c r="AU277" s="31" t="str">
        <f t="shared" si="8"/>
        <v>库存为0</v>
      </c>
      <c r="AV277" s="36" t="str">
        <f>IFERROR(时间!$B$4+AU277,"上周无销量")</f>
        <v>上周无销量</v>
      </c>
    </row>
    <row r="278" spans="1:48">
      <c r="A278" s="39" t="s">
        <v>759</v>
      </c>
      <c r="B278" t="s">
        <v>760</v>
      </c>
      <c r="C278" t="s">
        <v>750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>
        <v>113</v>
      </c>
      <c r="Q278">
        <v>53</v>
      </c>
      <c r="R278">
        <v>26</v>
      </c>
      <c r="S278">
        <v>0</v>
      </c>
      <c r="T278">
        <v>0</v>
      </c>
      <c r="U278">
        <v>0</v>
      </c>
      <c r="V278">
        <v>0</v>
      </c>
      <c r="W278">
        <v>0</v>
      </c>
      <c r="X278" s="22">
        <v>0</v>
      </c>
      <c r="Y278" s="22">
        <v>0</v>
      </c>
      <c r="Z278" s="22">
        <v>0</v>
      </c>
      <c r="AA278" s="22" t="s">
        <v>53</v>
      </c>
      <c r="AB278">
        <v>0</v>
      </c>
      <c r="AC278">
        <v>0</v>
      </c>
      <c r="AD278">
        <v>0</v>
      </c>
      <c r="AE278">
        <v>0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1</v>
      </c>
      <c r="AK278">
        <v>2</v>
      </c>
      <c r="AL278">
        <v>0</v>
      </c>
      <c r="AM278">
        <v>2</v>
      </c>
      <c r="AN278" s="22">
        <v>0</v>
      </c>
      <c r="AO278" s="22">
        <v>0</v>
      </c>
      <c r="AP278" s="22" t="s">
        <v>53</v>
      </c>
      <c r="AQ278" s="22">
        <v>0</v>
      </c>
      <c r="AR278" s="35">
        <v>0</v>
      </c>
      <c r="AS278" s="35">
        <v>0</v>
      </c>
      <c r="AT278" s="35">
        <v>0</v>
      </c>
      <c r="AU278" s="31" t="str">
        <f t="shared" si="8"/>
        <v>库存为0</v>
      </c>
      <c r="AV278" s="36" t="str">
        <f>IFERROR(时间!$B$4+AU278,"上周无销量")</f>
        <v>上周无销量</v>
      </c>
    </row>
    <row r="279" spans="1:48">
      <c r="A279" s="39" t="s">
        <v>761</v>
      </c>
      <c r="B279" t="s">
        <v>762</v>
      </c>
      <c r="C279" t="s">
        <v>750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>
        <v>8641</v>
      </c>
      <c r="Q279">
        <v>3361</v>
      </c>
      <c r="R279">
        <v>2539</v>
      </c>
      <c r="S279">
        <v>0</v>
      </c>
      <c r="T279">
        <v>42</v>
      </c>
      <c r="U279">
        <v>17</v>
      </c>
      <c r="V279">
        <v>17</v>
      </c>
      <c r="W279">
        <v>0</v>
      </c>
      <c r="X279" s="22">
        <v>0.0048605485476218</v>
      </c>
      <c r="Y279" s="22">
        <v>0.00505801844689081</v>
      </c>
      <c r="Z279" s="22">
        <v>0.00669554942890902</v>
      </c>
      <c r="AA279" s="22" t="s">
        <v>53</v>
      </c>
      <c r="AB279">
        <v>10.44</v>
      </c>
      <c r="AC279">
        <v>4.05</v>
      </c>
      <c r="AD279">
        <v>3.94</v>
      </c>
      <c r="AE279">
        <v>0</v>
      </c>
      <c r="AF279" s="22" t="s">
        <v>763</v>
      </c>
      <c r="AG279" s="22" t="s">
        <v>764</v>
      </c>
      <c r="AH279" s="22" t="s">
        <v>765</v>
      </c>
      <c r="AI279" s="22" t="s">
        <v>53</v>
      </c>
      <c r="AJ279">
        <v>32</v>
      </c>
      <c r="AK279">
        <v>43</v>
      </c>
      <c r="AL279">
        <v>35</v>
      </c>
      <c r="AM279">
        <v>47</v>
      </c>
      <c r="AN279" s="22">
        <v>0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0</v>
      </c>
      <c r="AU279" s="31" t="str">
        <f t="shared" si="8"/>
        <v>库存为0</v>
      </c>
      <c r="AV279" s="36" t="str">
        <f>IFERROR(时间!$B$4+AU279,"上周无销量")</f>
        <v>上周无销量</v>
      </c>
    </row>
    <row r="280" spans="1:48">
      <c r="A280" s="39" t="s">
        <v>766</v>
      </c>
      <c r="B280" t="s">
        <v>767</v>
      </c>
      <c r="C280" t="s">
        <v>750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>
        <v>376</v>
      </c>
      <c r="Q280">
        <v>156</v>
      </c>
      <c r="R280">
        <v>105</v>
      </c>
      <c r="S280">
        <v>0</v>
      </c>
      <c r="T280">
        <v>6</v>
      </c>
      <c r="U280">
        <v>1</v>
      </c>
      <c r="V280">
        <v>4</v>
      </c>
      <c r="W280">
        <v>0</v>
      </c>
      <c r="X280" s="22">
        <v>0.0159574468085106</v>
      </c>
      <c r="Y280" s="22">
        <v>0.00641025641025641</v>
      </c>
      <c r="Z280" s="22">
        <v>0.0380952380952381</v>
      </c>
      <c r="AA280" s="22" t="s">
        <v>53</v>
      </c>
      <c r="AB280">
        <v>2.22</v>
      </c>
      <c r="AC280">
        <v>0.26</v>
      </c>
      <c r="AD280">
        <v>0.89</v>
      </c>
      <c r="AE280">
        <v>0</v>
      </c>
      <c r="AF280" s="22" t="s">
        <v>768</v>
      </c>
      <c r="AG280" s="22" t="s">
        <v>769</v>
      </c>
      <c r="AH280" s="22" t="s">
        <v>770</v>
      </c>
      <c r="AI280" s="22" t="s">
        <v>53</v>
      </c>
      <c r="AJ280">
        <v>7</v>
      </c>
      <c r="AK280">
        <v>6</v>
      </c>
      <c r="AL280">
        <v>3</v>
      </c>
      <c r="AM280">
        <v>6</v>
      </c>
      <c r="AN280" s="22">
        <v>0</v>
      </c>
      <c r="AO280" s="22">
        <v>0</v>
      </c>
      <c r="AP280" s="22">
        <v>0</v>
      </c>
      <c r="AQ280" s="22">
        <v>0</v>
      </c>
      <c r="AR280" s="35">
        <v>0</v>
      </c>
      <c r="AS280" s="35">
        <v>0</v>
      </c>
      <c r="AT280" s="35">
        <v>0</v>
      </c>
      <c r="AU280" s="31" t="str">
        <f t="shared" si="8"/>
        <v>库存为0</v>
      </c>
      <c r="AV280" s="36" t="str">
        <f>IFERROR(时间!$B$4+AU280,"上周无销量")</f>
        <v>上周无销量</v>
      </c>
    </row>
    <row r="281" spans="1:48">
      <c r="A281" s="39" t="s">
        <v>771</v>
      </c>
      <c r="B281" t="s">
        <v>772</v>
      </c>
      <c r="C281" t="s">
        <v>750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>
        <v>371</v>
      </c>
      <c r="Q281">
        <v>207</v>
      </c>
      <c r="R281">
        <v>85</v>
      </c>
      <c r="S281">
        <v>0</v>
      </c>
      <c r="T281">
        <v>7</v>
      </c>
      <c r="U281">
        <v>1</v>
      </c>
      <c r="V281">
        <v>1</v>
      </c>
      <c r="W281">
        <v>0</v>
      </c>
      <c r="X281" s="22">
        <v>0.0188679245283019</v>
      </c>
      <c r="Y281" s="22">
        <v>0.00483091787439614</v>
      </c>
      <c r="Z281" s="22">
        <v>0.0117647058823529</v>
      </c>
      <c r="AA281" s="22" t="s">
        <v>53</v>
      </c>
      <c r="AB281">
        <v>2.15</v>
      </c>
      <c r="AC281">
        <v>0.36</v>
      </c>
      <c r="AD281">
        <v>0.33</v>
      </c>
      <c r="AE281">
        <v>0</v>
      </c>
      <c r="AF281" s="22" t="s">
        <v>773</v>
      </c>
      <c r="AG281" s="22" t="s">
        <v>187</v>
      </c>
      <c r="AH281" s="22" t="s">
        <v>615</v>
      </c>
      <c r="AI281" s="22" t="s">
        <v>53</v>
      </c>
      <c r="AJ281">
        <v>1</v>
      </c>
      <c r="AK281">
        <v>7</v>
      </c>
      <c r="AL281">
        <v>5</v>
      </c>
      <c r="AM281">
        <v>4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0</v>
      </c>
      <c r="AU281" s="31" t="str">
        <f t="shared" si="8"/>
        <v>库存为0</v>
      </c>
      <c r="AV281" s="36" t="str">
        <f>IFERROR(时间!$B$4+AU281,"上周无销量")</f>
        <v>上周无销量</v>
      </c>
    </row>
    <row r="282" spans="1:48">
      <c r="A282" s="39" t="s">
        <v>774</v>
      </c>
      <c r="B282" t="s">
        <v>775</v>
      </c>
      <c r="C282" t="s">
        <v>750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>
        <v>235</v>
      </c>
      <c r="Q282">
        <v>94</v>
      </c>
      <c r="R282">
        <v>86</v>
      </c>
      <c r="S282">
        <v>0</v>
      </c>
      <c r="T282">
        <v>1</v>
      </c>
      <c r="U282">
        <v>1</v>
      </c>
      <c r="V282">
        <v>2</v>
      </c>
      <c r="W282">
        <v>0</v>
      </c>
      <c r="X282" s="22">
        <v>0.00425531914893617</v>
      </c>
      <c r="Y282" s="22">
        <v>0.0106382978723404</v>
      </c>
      <c r="Z282" s="22">
        <v>0.0232558139534884</v>
      </c>
      <c r="AA282" s="22" t="s">
        <v>53</v>
      </c>
      <c r="AB282">
        <v>0.23</v>
      </c>
      <c r="AC282">
        <v>0.5</v>
      </c>
      <c r="AD282">
        <v>0.48</v>
      </c>
      <c r="AE282">
        <v>0</v>
      </c>
      <c r="AF282" s="22" t="s">
        <v>279</v>
      </c>
      <c r="AG282" s="22" t="s">
        <v>295</v>
      </c>
      <c r="AH282" s="22" t="s">
        <v>776</v>
      </c>
      <c r="AI282" s="22" t="s">
        <v>53</v>
      </c>
      <c r="AJ282">
        <v>1</v>
      </c>
      <c r="AK282">
        <v>3</v>
      </c>
      <c r="AL282">
        <v>2</v>
      </c>
      <c r="AM282">
        <v>9</v>
      </c>
      <c r="AN282" s="22">
        <v>0</v>
      </c>
      <c r="AO282" s="22">
        <v>0</v>
      </c>
      <c r="AP282" s="22">
        <v>0</v>
      </c>
      <c r="AQ282" s="22">
        <v>0</v>
      </c>
      <c r="AR282" s="35">
        <v>0</v>
      </c>
      <c r="AS282" s="35">
        <v>0</v>
      </c>
      <c r="AT282" s="35">
        <v>0</v>
      </c>
      <c r="AU282" s="31" t="str">
        <f t="shared" si="8"/>
        <v>库存为0</v>
      </c>
      <c r="AV282" s="36" t="str">
        <f>IFERROR(时间!$B$4+AU282,"上周无销量")</f>
        <v>上周无销量</v>
      </c>
    </row>
    <row r="283" spans="1:48">
      <c r="A283" s="39" t="s">
        <v>777</v>
      </c>
      <c r="B283" t="s">
        <v>778</v>
      </c>
      <c r="C283" t="s">
        <v>750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>
        <v>270</v>
      </c>
      <c r="Q283">
        <v>65</v>
      </c>
      <c r="R283">
        <v>46</v>
      </c>
      <c r="S283">
        <v>0</v>
      </c>
      <c r="T283">
        <v>2</v>
      </c>
      <c r="U283">
        <v>0</v>
      </c>
      <c r="V283">
        <v>0</v>
      </c>
      <c r="W283">
        <v>0</v>
      </c>
      <c r="X283" s="22">
        <v>0.00740740740740741</v>
      </c>
      <c r="Y283" s="22">
        <v>0</v>
      </c>
      <c r="Z283" s="22">
        <v>0</v>
      </c>
      <c r="AA283" s="22" t="s">
        <v>53</v>
      </c>
      <c r="AB283">
        <v>0.39</v>
      </c>
      <c r="AC283">
        <v>0</v>
      </c>
      <c r="AD283">
        <v>0</v>
      </c>
      <c r="AE283">
        <v>0</v>
      </c>
      <c r="AF283" s="22" t="s">
        <v>779</v>
      </c>
      <c r="AG283" s="22" t="s">
        <v>53</v>
      </c>
      <c r="AH283" s="22" t="s">
        <v>53</v>
      </c>
      <c r="AI283" s="22" t="s">
        <v>53</v>
      </c>
      <c r="AJ283">
        <v>1</v>
      </c>
      <c r="AK283">
        <v>2</v>
      </c>
      <c r="AL283">
        <v>2</v>
      </c>
      <c r="AM283">
        <v>3</v>
      </c>
      <c r="AN283" s="22">
        <v>0</v>
      </c>
      <c r="AO283" s="22">
        <v>0</v>
      </c>
      <c r="AP283" s="22">
        <v>0</v>
      </c>
      <c r="AQ283" s="22">
        <v>0</v>
      </c>
      <c r="AR283" s="35">
        <v>0</v>
      </c>
      <c r="AS283" s="35">
        <v>0</v>
      </c>
      <c r="AT283" s="35">
        <v>0</v>
      </c>
      <c r="AU283" s="31" t="str">
        <f t="shared" si="8"/>
        <v>库存为0</v>
      </c>
      <c r="AV283" s="36" t="str">
        <f>IFERROR(时间!$B$4+AU283,"上周无销量")</f>
        <v>上周无销量</v>
      </c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autoFilter ref="C6:C287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2616" operator="lessThan">
      <formula>20</formula>
    </cfRule>
    <cfRule type="cellIs" dxfId="1" priority="62615" operator="greaterThan">
      <formula>120</formula>
    </cfRule>
    <cfRule type="containsText" dxfId="2" priority="62614" operator="between" text="库存为">
      <formula>NOT(ISERROR(SEARCH("库存为",AU2)))</formula>
    </cfRule>
  </conditionalFormatting>
  <conditionalFormatting sqref="AU6">
    <cfRule type="cellIs" dxfId="0" priority="834" operator="lessThan">
      <formula>20</formula>
    </cfRule>
    <cfRule type="cellIs" dxfId="1" priority="556" operator="greaterThan">
      <formula>120</formula>
    </cfRule>
    <cfRule type="containsText" dxfId="2" priority="278" operator="between" text="库存为">
      <formula>NOT(ISERROR(SEARCH("库存为",AU6)))</formula>
    </cfRule>
  </conditionalFormatting>
  <conditionalFormatting sqref="AU7">
    <cfRule type="cellIs" dxfId="0" priority="833" operator="lessThan">
      <formula>20</formula>
    </cfRule>
    <cfRule type="cellIs" dxfId="1" priority="555" operator="greaterThan">
      <formula>120</formula>
    </cfRule>
    <cfRule type="containsText" dxfId="2" priority="277" operator="between" text="库存为">
      <formula>NOT(ISERROR(SEARCH("库存为",AU7)))</formula>
    </cfRule>
  </conditionalFormatting>
  <conditionalFormatting sqref="AU8">
    <cfRule type="cellIs" dxfId="0" priority="832" operator="lessThan">
      <formula>20</formula>
    </cfRule>
    <cfRule type="cellIs" dxfId="1" priority="554" operator="greaterThan">
      <formula>120</formula>
    </cfRule>
    <cfRule type="containsText" dxfId="2" priority="276" operator="between" text="库存为">
      <formula>NOT(ISERROR(SEARCH("库存为",AU8)))</formula>
    </cfRule>
  </conditionalFormatting>
  <conditionalFormatting sqref="AU9">
    <cfRule type="cellIs" dxfId="0" priority="831" operator="lessThan">
      <formula>20</formula>
    </cfRule>
    <cfRule type="cellIs" dxfId="1" priority="553" operator="greaterThan">
      <formula>120</formula>
    </cfRule>
    <cfRule type="containsText" dxfId="2" priority="275" operator="between" text="库存为">
      <formula>NOT(ISERROR(SEARCH("库存为",AU9)))</formula>
    </cfRule>
  </conditionalFormatting>
  <conditionalFormatting sqref="AU10">
    <cfRule type="cellIs" dxfId="0" priority="830" operator="lessThan">
      <formula>20</formula>
    </cfRule>
    <cfRule type="cellIs" dxfId="1" priority="552" operator="greaterThan">
      <formula>120</formula>
    </cfRule>
    <cfRule type="containsText" dxfId="2" priority="274" operator="between" text="库存为">
      <formula>NOT(ISERROR(SEARCH("库存为",AU10)))</formula>
    </cfRule>
  </conditionalFormatting>
  <conditionalFormatting sqref="AU11">
    <cfRule type="cellIs" dxfId="0" priority="829" operator="lessThan">
      <formula>20</formula>
    </cfRule>
    <cfRule type="cellIs" dxfId="1" priority="551" operator="greaterThan">
      <formula>120</formula>
    </cfRule>
    <cfRule type="containsText" dxfId="2" priority="273" operator="between" text="库存为">
      <formula>NOT(ISERROR(SEARCH("库存为",AU11)))</formula>
    </cfRule>
  </conditionalFormatting>
  <conditionalFormatting sqref="AU12">
    <cfRule type="cellIs" dxfId="0" priority="828" operator="lessThan">
      <formula>20</formula>
    </cfRule>
    <cfRule type="cellIs" dxfId="1" priority="550" operator="greaterThan">
      <formula>120</formula>
    </cfRule>
    <cfRule type="containsText" dxfId="2" priority="272" operator="between" text="库存为">
      <formula>NOT(ISERROR(SEARCH("库存为",AU12)))</formula>
    </cfRule>
  </conditionalFormatting>
  <conditionalFormatting sqref="AU13">
    <cfRule type="cellIs" dxfId="0" priority="827" operator="lessThan">
      <formula>20</formula>
    </cfRule>
    <cfRule type="cellIs" dxfId="1" priority="549" operator="greaterThan">
      <formula>120</formula>
    </cfRule>
    <cfRule type="containsText" dxfId="2" priority="271" operator="between" text="库存为">
      <formula>NOT(ISERROR(SEARCH("库存为",AU13)))</formula>
    </cfRule>
  </conditionalFormatting>
  <conditionalFormatting sqref="AU14">
    <cfRule type="cellIs" dxfId="0" priority="826" operator="lessThan">
      <formula>20</formula>
    </cfRule>
    <cfRule type="cellIs" dxfId="1" priority="548" operator="greaterThan">
      <formula>120</formula>
    </cfRule>
    <cfRule type="containsText" dxfId="2" priority="270" operator="between" text="库存为">
      <formula>NOT(ISERROR(SEARCH("库存为",AU14)))</formula>
    </cfRule>
  </conditionalFormatting>
  <conditionalFormatting sqref="AU15">
    <cfRule type="cellIs" dxfId="0" priority="825" operator="lessThan">
      <formula>20</formula>
    </cfRule>
    <cfRule type="cellIs" dxfId="1" priority="547" operator="greaterThan">
      <formula>120</formula>
    </cfRule>
    <cfRule type="containsText" dxfId="2" priority="269" operator="between" text="库存为">
      <formula>NOT(ISERROR(SEARCH("库存为",AU15)))</formula>
    </cfRule>
  </conditionalFormatting>
  <conditionalFormatting sqref="AU16">
    <cfRule type="cellIs" dxfId="0" priority="824" operator="lessThan">
      <formula>20</formula>
    </cfRule>
    <cfRule type="cellIs" dxfId="1" priority="546" operator="greaterThan">
      <formula>120</formula>
    </cfRule>
    <cfRule type="containsText" dxfId="2" priority="268" operator="between" text="库存为">
      <formula>NOT(ISERROR(SEARCH("库存为",AU16)))</formula>
    </cfRule>
  </conditionalFormatting>
  <conditionalFormatting sqref="AU17">
    <cfRule type="cellIs" dxfId="0" priority="823" operator="lessThan">
      <formula>20</formula>
    </cfRule>
    <cfRule type="cellIs" dxfId="1" priority="545" operator="greaterThan">
      <formula>120</formula>
    </cfRule>
    <cfRule type="containsText" dxfId="2" priority="267" operator="between" text="库存为">
      <formula>NOT(ISERROR(SEARCH("库存为",AU17)))</formula>
    </cfRule>
  </conditionalFormatting>
  <conditionalFormatting sqref="AU18">
    <cfRule type="cellIs" dxfId="0" priority="822" operator="lessThan">
      <formula>20</formula>
    </cfRule>
    <cfRule type="cellIs" dxfId="1" priority="544" operator="greaterThan">
      <formula>120</formula>
    </cfRule>
    <cfRule type="containsText" dxfId="2" priority="266" operator="between" text="库存为">
      <formula>NOT(ISERROR(SEARCH("库存为",AU18)))</formula>
    </cfRule>
  </conditionalFormatting>
  <conditionalFormatting sqref="AU19">
    <cfRule type="cellIs" dxfId="0" priority="821" operator="lessThan">
      <formula>20</formula>
    </cfRule>
    <cfRule type="cellIs" dxfId="1" priority="543" operator="greaterThan">
      <formula>120</formula>
    </cfRule>
    <cfRule type="containsText" dxfId="2" priority="265" operator="between" text="库存为">
      <formula>NOT(ISERROR(SEARCH("库存为",AU19)))</formula>
    </cfRule>
  </conditionalFormatting>
  <conditionalFormatting sqref="AU20">
    <cfRule type="cellIs" dxfId="0" priority="820" operator="lessThan">
      <formula>20</formula>
    </cfRule>
    <cfRule type="cellIs" dxfId="1" priority="542" operator="greaterThan">
      <formula>120</formula>
    </cfRule>
    <cfRule type="containsText" dxfId="2" priority="264" operator="between" text="库存为">
      <formula>NOT(ISERROR(SEARCH("库存为",AU20)))</formula>
    </cfRule>
  </conditionalFormatting>
  <conditionalFormatting sqref="AU21">
    <cfRule type="cellIs" dxfId="0" priority="819" operator="lessThan">
      <formula>20</formula>
    </cfRule>
    <cfRule type="cellIs" dxfId="1" priority="541" operator="greaterThan">
      <formula>120</formula>
    </cfRule>
    <cfRule type="containsText" dxfId="2" priority="263" operator="between" text="库存为">
      <formula>NOT(ISERROR(SEARCH("库存为",AU21)))</formula>
    </cfRule>
  </conditionalFormatting>
  <conditionalFormatting sqref="AU22">
    <cfRule type="cellIs" dxfId="0" priority="818" operator="lessThan">
      <formula>20</formula>
    </cfRule>
    <cfRule type="cellIs" dxfId="1" priority="540" operator="greaterThan">
      <formula>120</formula>
    </cfRule>
    <cfRule type="containsText" dxfId="2" priority="262" operator="between" text="库存为">
      <formula>NOT(ISERROR(SEARCH("库存为",AU22)))</formula>
    </cfRule>
  </conditionalFormatting>
  <conditionalFormatting sqref="AU23">
    <cfRule type="cellIs" dxfId="0" priority="817" operator="lessThan">
      <formula>20</formula>
    </cfRule>
    <cfRule type="cellIs" dxfId="1" priority="539" operator="greaterThan">
      <formula>120</formula>
    </cfRule>
    <cfRule type="containsText" dxfId="2" priority="261" operator="between" text="库存为">
      <formula>NOT(ISERROR(SEARCH("库存为",AU23)))</formula>
    </cfRule>
  </conditionalFormatting>
  <conditionalFormatting sqref="AU24">
    <cfRule type="cellIs" dxfId="0" priority="816" operator="lessThan">
      <formula>20</formula>
    </cfRule>
    <cfRule type="cellIs" dxfId="1" priority="538" operator="greaterThan">
      <formula>120</formula>
    </cfRule>
    <cfRule type="containsText" dxfId="2" priority="260" operator="between" text="库存为">
      <formula>NOT(ISERROR(SEARCH("库存为",AU24)))</formula>
    </cfRule>
  </conditionalFormatting>
  <conditionalFormatting sqref="AU25">
    <cfRule type="cellIs" dxfId="0" priority="815" operator="lessThan">
      <formula>20</formula>
    </cfRule>
    <cfRule type="cellIs" dxfId="1" priority="537" operator="greaterThan">
      <formula>120</formula>
    </cfRule>
    <cfRule type="containsText" dxfId="2" priority="259" operator="between" text="库存为">
      <formula>NOT(ISERROR(SEARCH("库存为",AU25)))</formula>
    </cfRule>
  </conditionalFormatting>
  <conditionalFormatting sqref="AU26">
    <cfRule type="cellIs" dxfId="0" priority="814" operator="lessThan">
      <formula>20</formula>
    </cfRule>
    <cfRule type="cellIs" dxfId="1" priority="536" operator="greaterThan">
      <formula>120</formula>
    </cfRule>
    <cfRule type="containsText" dxfId="2" priority="258" operator="between" text="库存为">
      <formula>NOT(ISERROR(SEARCH("库存为",AU26)))</formula>
    </cfRule>
  </conditionalFormatting>
  <conditionalFormatting sqref="AU27">
    <cfRule type="cellIs" dxfId="0" priority="813" operator="lessThan">
      <formula>20</formula>
    </cfRule>
    <cfRule type="cellIs" dxfId="1" priority="535" operator="greaterThan">
      <formula>120</formula>
    </cfRule>
    <cfRule type="containsText" dxfId="2" priority="257" operator="between" text="库存为">
      <formula>NOT(ISERROR(SEARCH("库存为",AU27)))</formula>
    </cfRule>
  </conditionalFormatting>
  <conditionalFormatting sqref="AU28">
    <cfRule type="cellIs" dxfId="0" priority="812" operator="lessThan">
      <formula>20</formula>
    </cfRule>
    <cfRule type="cellIs" dxfId="1" priority="534" operator="greaterThan">
      <formula>120</formula>
    </cfRule>
    <cfRule type="containsText" dxfId="2" priority="256" operator="between" text="库存为">
      <formula>NOT(ISERROR(SEARCH("库存为",AU28)))</formula>
    </cfRule>
  </conditionalFormatting>
  <conditionalFormatting sqref="AU29">
    <cfRule type="cellIs" dxfId="0" priority="811" operator="lessThan">
      <formula>20</formula>
    </cfRule>
    <cfRule type="cellIs" dxfId="1" priority="533" operator="greaterThan">
      <formula>120</formula>
    </cfRule>
    <cfRule type="containsText" dxfId="2" priority="255" operator="between" text="库存为">
      <formula>NOT(ISERROR(SEARCH("库存为",AU29)))</formula>
    </cfRule>
  </conditionalFormatting>
  <conditionalFormatting sqref="AU30">
    <cfRule type="cellIs" dxfId="0" priority="810" operator="lessThan">
      <formula>20</formula>
    </cfRule>
    <cfRule type="cellIs" dxfId="1" priority="532" operator="greaterThan">
      <formula>120</formula>
    </cfRule>
    <cfRule type="containsText" dxfId="2" priority="254" operator="between" text="库存为">
      <formula>NOT(ISERROR(SEARCH("库存为",AU30)))</formula>
    </cfRule>
  </conditionalFormatting>
  <conditionalFormatting sqref="AU31">
    <cfRule type="cellIs" dxfId="0" priority="809" operator="lessThan">
      <formula>20</formula>
    </cfRule>
    <cfRule type="cellIs" dxfId="1" priority="531" operator="greaterThan">
      <formula>120</formula>
    </cfRule>
    <cfRule type="containsText" dxfId="2" priority="253" operator="between" text="库存为">
      <formula>NOT(ISERROR(SEARCH("库存为",AU31)))</formula>
    </cfRule>
  </conditionalFormatting>
  <conditionalFormatting sqref="AU32">
    <cfRule type="cellIs" dxfId="0" priority="808" operator="lessThan">
      <formula>20</formula>
    </cfRule>
    <cfRule type="cellIs" dxfId="1" priority="530" operator="greaterThan">
      <formula>120</formula>
    </cfRule>
    <cfRule type="containsText" dxfId="2" priority="252" operator="between" text="库存为">
      <formula>NOT(ISERROR(SEARCH("库存为",AU32)))</formula>
    </cfRule>
  </conditionalFormatting>
  <conditionalFormatting sqref="AU33">
    <cfRule type="cellIs" dxfId="0" priority="807" operator="lessThan">
      <formula>20</formula>
    </cfRule>
    <cfRule type="cellIs" dxfId="1" priority="529" operator="greaterThan">
      <formula>120</formula>
    </cfRule>
    <cfRule type="containsText" dxfId="2" priority="251" operator="between" text="库存为">
      <formula>NOT(ISERROR(SEARCH("库存为",AU33)))</formula>
    </cfRule>
  </conditionalFormatting>
  <conditionalFormatting sqref="AU34">
    <cfRule type="cellIs" dxfId="0" priority="806" operator="lessThan">
      <formula>20</formula>
    </cfRule>
    <cfRule type="cellIs" dxfId="1" priority="528" operator="greaterThan">
      <formula>120</formula>
    </cfRule>
    <cfRule type="containsText" dxfId="2" priority="250" operator="between" text="库存为">
      <formula>NOT(ISERROR(SEARCH("库存为",AU34)))</formula>
    </cfRule>
  </conditionalFormatting>
  <conditionalFormatting sqref="AU35">
    <cfRule type="cellIs" dxfId="0" priority="805" operator="lessThan">
      <formula>20</formula>
    </cfRule>
    <cfRule type="cellIs" dxfId="1" priority="527" operator="greaterThan">
      <formula>120</formula>
    </cfRule>
    <cfRule type="containsText" dxfId="2" priority="249" operator="between" text="库存为">
      <formula>NOT(ISERROR(SEARCH("库存为",AU35)))</formula>
    </cfRule>
  </conditionalFormatting>
  <conditionalFormatting sqref="AU36">
    <cfRule type="cellIs" dxfId="0" priority="804" operator="lessThan">
      <formula>20</formula>
    </cfRule>
    <cfRule type="cellIs" dxfId="1" priority="526" operator="greaterThan">
      <formula>120</formula>
    </cfRule>
    <cfRule type="containsText" dxfId="2" priority="248" operator="between" text="库存为">
      <formula>NOT(ISERROR(SEARCH("库存为",AU36)))</formula>
    </cfRule>
  </conditionalFormatting>
  <conditionalFormatting sqref="AU37">
    <cfRule type="cellIs" dxfId="0" priority="803" operator="lessThan">
      <formula>20</formula>
    </cfRule>
    <cfRule type="cellIs" dxfId="1" priority="525" operator="greaterThan">
      <formula>120</formula>
    </cfRule>
    <cfRule type="containsText" dxfId="2" priority="247" operator="between" text="库存为">
      <formula>NOT(ISERROR(SEARCH("库存为",AU37)))</formula>
    </cfRule>
  </conditionalFormatting>
  <conditionalFormatting sqref="AU38">
    <cfRule type="cellIs" dxfId="0" priority="802" operator="lessThan">
      <formula>20</formula>
    </cfRule>
    <cfRule type="cellIs" dxfId="1" priority="524" operator="greaterThan">
      <formula>120</formula>
    </cfRule>
    <cfRule type="containsText" dxfId="2" priority="246" operator="between" text="库存为">
      <formula>NOT(ISERROR(SEARCH("库存为",AU38)))</formula>
    </cfRule>
  </conditionalFormatting>
  <conditionalFormatting sqref="AU39">
    <cfRule type="cellIs" dxfId="0" priority="801" operator="lessThan">
      <formula>20</formula>
    </cfRule>
    <cfRule type="cellIs" dxfId="1" priority="523" operator="greaterThan">
      <formula>120</formula>
    </cfRule>
    <cfRule type="containsText" dxfId="2" priority="245" operator="between" text="库存为">
      <formula>NOT(ISERROR(SEARCH("库存为",AU39)))</formula>
    </cfRule>
  </conditionalFormatting>
  <conditionalFormatting sqref="AU40">
    <cfRule type="cellIs" dxfId="0" priority="800" operator="lessThan">
      <formula>20</formula>
    </cfRule>
    <cfRule type="cellIs" dxfId="1" priority="522" operator="greaterThan">
      <formula>120</formula>
    </cfRule>
    <cfRule type="containsText" dxfId="2" priority="244" operator="between" text="库存为">
      <formula>NOT(ISERROR(SEARCH("库存为",AU40)))</formula>
    </cfRule>
  </conditionalFormatting>
  <conditionalFormatting sqref="AU41">
    <cfRule type="cellIs" dxfId="0" priority="799" operator="lessThan">
      <formula>20</formula>
    </cfRule>
    <cfRule type="cellIs" dxfId="1" priority="521" operator="greaterThan">
      <formula>120</formula>
    </cfRule>
    <cfRule type="containsText" dxfId="2" priority="243" operator="between" text="库存为">
      <formula>NOT(ISERROR(SEARCH("库存为",AU41)))</formula>
    </cfRule>
  </conditionalFormatting>
  <conditionalFormatting sqref="AU42">
    <cfRule type="cellIs" dxfId="0" priority="798" operator="lessThan">
      <formula>20</formula>
    </cfRule>
    <cfRule type="cellIs" dxfId="1" priority="520" operator="greaterThan">
      <formula>120</formula>
    </cfRule>
    <cfRule type="containsText" dxfId="2" priority="242" operator="between" text="库存为">
      <formula>NOT(ISERROR(SEARCH("库存为",AU42)))</formula>
    </cfRule>
  </conditionalFormatting>
  <conditionalFormatting sqref="AU43">
    <cfRule type="cellIs" dxfId="0" priority="797" operator="lessThan">
      <formula>20</formula>
    </cfRule>
    <cfRule type="cellIs" dxfId="1" priority="519" operator="greaterThan">
      <formula>120</formula>
    </cfRule>
    <cfRule type="containsText" dxfId="2" priority="241" operator="between" text="库存为">
      <formula>NOT(ISERROR(SEARCH("库存为",AU43)))</formula>
    </cfRule>
  </conditionalFormatting>
  <conditionalFormatting sqref="AU44">
    <cfRule type="cellIs" dxfId="0" priority="796" operator="lessThan">
      <formula>20</formula>
    </cfRule>
    <cfRule type="cellIs" dxfId="1" priority="518" operator="greaterThan">
      <formula>120</formula>
    </cfRule>
    <cfRule type="containsText" dxfId="2" priority="240" operator="between" text="库存为">
      <formula>NOT(ISERROR(SEARCH("库存为",AU44)))</formula>
    </cfRule>
  </conditionalFormatting>
  <conditionalFormatting sqref="AU45">
    <cfRule type="cellIs" dxfId="0" priority="795" operator="lessThan">
      <formula>20</formula>
    </cfRule>
    <cfRule type="cellIs" dxfId="1" priority="517" operator="greaterThan">
      <formula>120</formula>
    </cfRule>
    <cfRule type="containsText" dxfId="2" priority="239" operator="between" text="库存为">
      <formula>NOT(ISERROR(SEARCH("库存为",AU45)))</formula>
    </cfRule>
  </conditionalFormatting>
  <conditionalFormatting sqref="AU46">
    <cfRule type="cellIs" dxfId="0" priority="794" operator="lessThan">
      <formula>20</formula>
    </cfRule>
    <cfRule type="cellIs" dxfId="1" priority="516" operator="greaterThan">
      <formula>120</formula>
    </cfRule>
    <cfRule type="containsText" dxfId="2" priority="238" operator="between" text="库存为">
      <formula>NOT(ISERROR(SEARCH("库存为",AU46)))</formula>
    </cfRule>
  </conditionalFormatting>
  <conditionalFormatting sqref="AU47">
    <cfRule type="cellIs" dxfId="0" priority="793" operator="lessThan">
      <formula>20</formula>
    </cfRule>
    <cfRule type="cellIs" dxfId="1" priority="515" operator="greaterThan">
      <formula>120</formula>
    </cfRule>
    <cfRule type="containsText" dxfId="2" priority="237" operator="between" text="库存为">
      <formula>NOT(ISERROR(SEARCH("库存为",AU47)))</formula>
    </cfRule>
  </conditionalFormatting>
  <conditionalFormatting sqref="AU48">
    <cfRule type="cellIs" dxfId="0" priority="792" operator="lessThan">
      <formula>20</formula>
    </cfRule>
    <cfRule type="cellIs" dxfId="1" priority="514" operator="greaterThan">
      <formula>120</formula>
    </cfRule>
    <cfRule type="containsText" dxfId="2" priority="236" operator="between" text="库存为">
      <formula>NOT(ISERROR(SEARCH("库存为",AU48)))</formula>
    </cfRule>
  </conditionalFormatting>
  <conditionalFormatting sqref="AU49">
    <cfRule type="cellIs" dxfId="0" priority="791" operator="lessThan">
      <formula>20</formula>
    </cfRule>
    <cfRule type="cellIs" dxfId="1" priority="513" operator="greaterThan">
      <formula>120</formula>
    </cfRule>
    <cfRule type="containsText" dxfId="2" priority="235" operator="between" text="库存为">
      <formula>NOT(ISERROR(SEARCH("库存为",AU49)))</formula>
    </cfRule>
  </conditionalFormatting>
  <conditionalFormatting sqref="AU50">
    <cfRule type="cellIs" dxfId="0" priority="790" operator="lessThan">
      <formula>20</formula>
    </cfRule>
    <cfRule type="cellIs" dxfId="1" priority="512" operator="greaterThan">
      <formula>120</formula>
    </cfRule>
    <cfRule type="containsText" dxfId="2" priority="234" operator="between" text="库存为">
      <formula>NOT(ISERROR(SEARCH("库存为",AU50)))</formula>
    </cfRule>
  </conditionalFormatting>
  <conditionalFormatting sqref="AU51">
    <cfRule type="cellIs" dxfId="0" priority="789" operator="lessThan">
      <formula>20</formula>
    </cfRule>
    <cfRule type="cellIs" dxfId="1" priority="511" operator="greaterThan">
      <formula>120</formula>
    </cfRule>
    <cfRule type="containsText" dxfId="2" priority="233" operator="between" text="库存为">
      <formula>NOT(ISERROR(SEARCH("库存为",AU51)))</formula>
    </cfRule>
  </conditionalFormatting>
  <conditionalFormatting sqref="AU52">
    <cfRule type="cellIs" dxfId="0" priority="788" operator="lessThan">
      <formula>20</formula>
    </cfRule>
    <cfRule type="cellIs" dxfId="1" priority="510" operator="greaterThan">
      <formula>120</formula>
    </cfRule>
    <cfRule type="containsText" dxfId="2" priority="232" operator="between" text="库存为">
      <formula>NOT(ISERROR(SEARCH("库存为",AU52)))</formula>
    </cfRule>
  </conditionalFormatting>
  <conditionalFormatting sqref="AU53">
    <cfRule type="cellIs" dxfId="0" priority="787" operator="lessThan">
      <formula>20</formula>
    </cfRule>
    <cfRule type="cellIs" dxfId="1" priority="509" operator="greaterThan">
      <formula>120</formula>
    </cfRule>
    <cfRule type="containsText" dxfId="2" priority="231" operator="between" text="库存为">
      <formula>NOT(ISERROR(SEARCH("库存为",AU53)))</formula>
    </cfRule>
  </conditionalFormatting>
  <conditionalFormatting sqref="AU54">
    <cfRule type="cellIs" dxfId="0" priority="786" operator="lessThan">
      <formula>20</formula>
    </cfRule>
    <cfRule type="cellIs" dxfId="1" priority="508" operator="greaterThan">
      <formula>120</formula>
    </cfRule>
    <cfRule type="containsText" dxfId="2" priority="230" operator="between" text="库存为">
      <formula>NOT(ISERROR(SEARCH("库存为",AU54)))</formula>
    </cfRule>
  </conditionalFormatting>
  <conditionalFormatting sqref="AU55">
    <cfRule type="cellIs" dxfId="0" priority="785" operator="lessThan">
      <formula>20</formula>
    </cfRule>
    <cfRule type="cellIs" dxfId="1" priority="507" operator="greaterThan">
      <formula>120</formula>
    </cfRule>
    <cfRule type="containsText" dxfId="2" priority="229" operator="between" text="库存为">
      <formula>NOT(ISERROR(SEARCH("库存为",AU55)))</formula>
    </cfRule>
  </conditionalFormatting>
  <conditionalFormatting sqref="AU56">
    <cfRule type="cellIs" dxfId="0" priority="784" operator="lessThan">
      <formula>20</formula>
    </cfRule>
    <cfRule type="cellIs" dxfId="1" priority="506" operator="greaterThan">
      <formula>120</formula>
    </cfRule>
    <cfRule type="containsText" dxfId="2" priority="228" operator="between" text="库存为">
      <formula>NOT(ISERROR(SEARCH("库存为",AU56)))</formula>
    </cfRule>
  </conditionalFormatting>
  <conditionalFormatting sqref="AU57">
    <cfRule type="cellIs" dxfId="0" priority="783" operator="lessThan">
      <formula>20</formula>
    </cfRule>
    <cfRule type="cellIs" dxfId="1" priority="505" operator="greaterThan">
      <formula>120</formula>
    </cfRule>
    <cfRule type="containsText" dxfId="2" priority="227" operator="between" text="库存为">
      <formula>NOT(ISERROR(SEARCH("库存为",AU57)))</formula>
    </cfRule>
  </conditionalFormatting>
  <conditionalFormatting sqref="AU58">
    <cfRule type="cellIs" dxfId="0" priority="782" operator="lessThan">
      <formula>20</formula>
    </cfRule>
    <cfRule type="cellIs" dxfId="1" priority="504" operator="greaterThan">
      <formula>120</formula>
    </cfRule>
    <cfRule type="containsText" dxfId="2" priority="226" operator="between" text="库存为">
      <formula>NOT(ISERROR(SEARCH("库存为",AU58)))</formula>
    </cfRule>
  </conditionalFormatting>
  <conditionalFormatting sqref="AU59">
    <cfRule type="cellIs" dxfId="0" priority="781" operator="lessThan">
      <formula>20</formula>
    </cfRule>
    <cfRule type="cellIs" dxfId="1" priority="503" operator="greaterThan">
      <formula>120</formula>
    </cfRule>
    <cfRule type="containsText" dxfId="2" priority="225" operator="between" text="库存为">
      <formula>NOT(ISERROR(SEARCH("库存为",AU59)))</formula>
    </cfRule>
  </conditionalFormatting>
  <conditionalFormatting sqref="AU60">
    <cfRule type="cellIs" dxfId="0" priority="780" operator="lessThan">
      <formula>20</formula>
    </cfRule>
    <cfRule type="cellIs" dxfId="1" priority="502" operator="greaterThan">
      <formula>120</formula>
    </cfRule>
    <cfRule type="containsText" dxfId="2" priority="224" operator="between" text="库存为">
      <formula>NOT(ISERROR(SEARCH("库存为",AU60)))</formula>
    </cfRule>
  </conditionalFormatting>
  <conditionalFormatting sqref="AU61">
    <cfRule type="cellIs" dxfId="0" priority="779" operator="lessThan">
      <formula>20</formula>
    </cfRule>
    <cfRule type="cellIs" dxfId="1" priority="501" operator="greaterThan">
      <formula>120</formula>
    </cfRule>
    <cfRule type="containsText" dxfId="2" priority="223" operator="between" text="库存为">
      <formula>NOT(ISERROR(SEARCH("库存为",AU61)))</formula>
    </cfRule>
  </conditionalFormatting>
  <conditionalFormatting sqref="AU62">
    <cfRule type="cellIs" dxfId="0" priority="778" operator="lessThan">
      <formula>20</formula>
    </cfRule>
    <cfRule type="cellIs" dxfId="1" priority="500" operator="greaterThan">
      <formula>120</formula>
    </cfRule>
    <cfRule type="containsText" dxfId="2" priority="222" operator="between" text="库存为">
      <formula>NOT(ISERROR(SEARCH("库存为",AU62)))</formula>
    </cfRule>
  </conditionalFormatting>
  <conditionalFormatting sqref="AU63">
    <cfRule type="cellIs" dxfId="0" priority="777" operator="lessThan">
      <formula>20</formula>
    </cfRule>
    <cfRule type="cellIs" dxfId="1" priority="499" operator="greaterThan">
      <formula>120</formula>
    </cfRule>
    <cfRule type="containsText" dxfId="2" priority="221" operator="between" text="库存为">
      <formula>NOT(ISERROR(SEARCH("库存为",AU63)))</formula>
    </cfRule>
  </conditionalFormatting>
  <conditionalFormatting sqref="AU64">
    <cfRule type="cellIs" dxfId="0" priority="776" operator="lessThan">
      <formula>20</formula>
    </cfRule>
    <cfRule type="cellIs" dxfId="1" priority="498" operator="greaterThan">
      <formula>120</formula>
    </cfRule>
    <cfRule type="containsText" dxfId="2" priority="220" operator="between" text="库存为">
      <formula>NOT(ISERROR(SEARCH("库存为",AU64)))</formula>
    </cfRule>
  </conditionalFormatting>
  <conditionalFormatting sqref="AU65">
    <cfRule type="cellIs" dxfId="0" priority="775" operator="lessThan">
      <formula>20</formula>
    </cfRule>
    <cfRule type="cellIs" dxfId="1" priority="497" operator="greaterThan">
      <formula>120</formula>
    </cfRule>
    <cfRule type="containsText" dxfId="2" priority="219" operator="between" text="库存为">
      <formula>NOT(ISERROR(SEARCH("库存为",AU65)))</formula>
    </cfRule>
  </conditionalFormatting>
  <conditionalFormatting sqref="AU66">
    <cfRule type="cellIs" dxfId="0" priority="774" operator="lessThan">
      <formula>20</formula>
    </cfRule>
    <cfRule type="cellIs" dxfId="1" priority="496" operator="greaterThan">
      <formula>120</formula>
    </cfRule>
    <cfRule type="containsText" dxfId="2" priority="218" operator="between" text="库存为">
      <formula>NOT(ISERROR(SEARCH("库存为",AU66)))</formula>
    </cfRule>
  </conditionalFormatting>
  <conditionalFormatting sqref="AU67">
    <cfRule type="cellIs" dxfId="0" priority="773" operator="lessThan">
      <formula>20</formula>
    </cfRule>
    <cfRule type="cellIs" dxfId="1" priority="495" operator="greaterThan">
      <formula>120</formula>
    </cfRule>
    <cfRule type="containsText" dxfId="2" priority="217" operator="between" text="库存为">
      <formula>NOT(ISERROR(SEARCH("库存为",AU67)))</formula>
    </cfRule>
  </conditionalFormatting>
  <conditionalFormatting sqref="AU68">
    <cfRule type="cellIs" dxfId="0" priority="772" operator="lessThan">
      <formula>20</formula>
    </cfRule>
    <cfRule type="cellIs" dxfId="1" priority="494" operator="greaterThan">
      <formula>120</formula>
    </cfRule>
    <cfRule type="containsText" dxfId="2" priority="216" operator="between" text="库存为">
      <formula>NOT(ISERROR(SEARCH("库存为",AU68)))</formula>
    </cfRule>
  </conditionalFormatting>
  <conditionalFormatting sqref="AU69">
    <cfRule type="cellIs" dxfId="0" priority="771" operator="lessThan">
      <formula>20</formula>
    </cfRule>
    <cfRule type="cellIs" dxfId="1" priority="493" operator="greaterThan">
      <formula>120</formula>
    </cfRule>
    <cfRule type="containsText" dxfId="2" priority="215" operator="between" text="库存为">
      <formula>NOT(ISERROR(SEARCH("库存为",AU69)))</formula>
    </cfRule>
  </conditionalFormatting>
  <conditionalFormatting sqref="AU70">
    <cfRule type="cellIs" dxfId="0" priority="770" operator="lessThan">
      <formula>20</formula>
    </cfRule>
    <cfRule type="cellIs" dxfId="1" priority="492" operator="greaterThan">
      <formula>120</formula>
    </cfRule>
    <cfRule type="containsText" dxfId="2" priority="214" operator="between" text="库存为">
      <formula>NOT(ISERROR(SEARCH("库存为",AU70)))</formula>
    </cfRule>
  </conditionalFormatting>
  <conditionalFormatting sqref="AU71">
    <cfRule type="cellIs" dxfId="0" priority="769" operator="lessThan">
      <formula>20</formula>
    </cfRule>
    <cfRule type="cellIs" dxfId="1" priority="491" operator="greaterThan">
      <formula>120</formula>
    </cfRule>
    <cfRule type="containsText" dxfId="2" priority="213" operator="between" text="库存为">
      <formula>NOT(ISERROR(SEARCH("库存为",AU71)))</formula>
    </cfRule>
  </conditionalFormatting>
  <conditionalFormatting sqref="AU72">
    <cfRule type="cellIs" dxfId="0" priority="768" operator="lessThan">
      <formula>20</formula>
    </cfRule>
    <cfRule type="cellIs" dxfId="1" priority="490" operator="greaterThan">
      <formula>120</formula>
    </cfRule>
    <cfRule type="containsText" dxfId="2" priority="212" operator="between" text="库存为">
      <formula>NOT(ISERROR(SEARCH("库存为",AU72)))</formula>
    </cfRule>
  </conditionalFormatting>
  <conditionalFormatting sqref="AU73">
    <cfRule type="cellIs" dxfId="0" priority="767" operator="lessThan">
      <formula>20</formula>
    </cfRule>
    <cfRule type="cellIs" dxfId="1" priority="489" operator="greaterThan">
      <formula>120</formula>
    </cfRule>
    <cfRule type="containsText" dxfId="2" priority="211" operator="between" text="库存为">
      <formula>NOT(ISERROR(SEARCH("库存为",AU73)))</formula>
    </cfRule>
  </conditionalFormatting>
  <conditionalFormatting sqref="AU74">
    <cfRule type="cellIs" dxfId="0" priority="766" operator="lessThan">
      <formula>20</formula>
    </cfRule>
    <cfRule type="cellIs" dxfId="1" priority="488" operator="greaterThan">
      <formula>120</formula>
    </cfRule>
    <cfRule type="containsText" dxfId="2" priority="210" operator="between" text="库存为">
      <formula>NOT(ISERROR(SEARCH("库存为",AU74)))</formula>
    </cfRule>
  </conditionalFormatting>
  <conditionalFormatting sqref="AU75">
    <cfRule type="cellIs" dxfId="0" priority="765" operator="lessThan">
      <formula>20</formula>
    </cfRule>
    <cfRule type="cellIs" dxfId="1" priority="487" operator="greaterThan">
      <formula>120</formula>
    </cfRule>
    <cfRule type="containsText" dxfId="2" priority="209" operator="between" text="库存为">
      <formula>NOT(ISERROR(SEARCH("库存为",AU75)))</formula>
    </cfRule>
  </conditionalFormatting>
  <conditionalFormatting sqref="AU76">
    <cfRule type="cellIs" dxfId="0" priority="764" operator="lessThan">
      <formula>20</formula>
    </cfRule>
    <cfRule type="cellIs" dxfId="1" priority="486" operator="greaterThan">
      <formula>120</formula>
    </cfRule>
    <cfRule type="containsText" dxfId="2" priority="208" operator="between" text="库存为">
      <formula>NOT(ISERROR(SEARCH("库存为",AU76)))</formula>
    </cfRule>
  </conditionalFormatting>
  <conditionalFormatting sqref="AU77">
    <cfRule type="cellIs" dxfId="0" priority="763" operator="lessThan">
      <formula>20</formula>
    </cfRule>
    <cfRule type="cellIs" dxfId="1" priority="485" operator="greaterThan">
      <formula>120</formula>
    </cfRule>
    <cfRule type="containsText" dxfId="2" priority="207" operator="between" text="库存为">
      <formula>NOT(ISERROR(SEARCH("库存为",AU77)))</formula>
    </cfRule>
  </conditionalFormatting>
  <conditionalFormatting sqref="AU78">
    <cfRule type="cellIs" dxfId="0" priority="762" operator="lessThan">
      <formula>20</formula>
    </cfRule>
    <cfRule type="cellIs" dxfId="1" priority="484" operator="greaterThan">
      <formula>120</formula>
    </cfRule>
    <cfRule type="containsText" dxfId="2" priority="206" operator="between" text="库存为">
      <formula>NOT(ISERROR(SEARCH("库存为",AU78)))</formula>
    </cfRule>
  </conditionalFormatting>
  <conditionalFormatting sqref="AU79">
    <cfRule type="cellIs" dxfId="0" priority="761" operator="lessThan">
      <formula>20</formula>
    </cfRule>
    <cfRule type="cellIs" dxfId="1" priority="483" operator="greaterThan">
      <formula>120</formula>
    </cfRule>
    <cfRule type="containsText" dxfId="2" priority="205" operator="between" text="库存为">
      <formula>NOT(ISERROR(SEARCH("库存为",AU79)))</formula>
    </cfRule>
  </conditionalFormatting>
  <conditionalFormatting sqref="AU80">
    <cfRule type="cellIs" dxfId="0" priority="760" operator="lessThan">
      <formula>20</formula>
    </cfRule>
    <cfRule type="cellIs" dxfId="1" priority="482" operator="greaterThan">
      <formula>120</formula>
    </cfRule>
    <cfRule type="containsText" dxfId="2" priority="204" operator="between" text="库存为">
      <formula>NOT(ISERROR(SEARCH("库存为",AU80)))</formula>
    </cfRule>
  </conditionalFormatting>
  <conditionalFormatting sqref="AU81">
    <cfRule type="cellIs" dxfId="0" priority="759" operator="lessThan">
      <formula>20</formula>
    </cfRule>
    <cfRule type="cellIs" dxfId="1" priority="481" operator="greaterThan">
      <formula>120</formula>
    </cfRule>
    <cfRule type="containsText" dxfId="2" priority="203" operator="between" text="库存为">
      <formula>NOT(ISERROR(SEARCH("库存为",AU81)))</formula>
    </cfRule>
  </conditionalFormatting>
  <conditionalFormatting sqref="AU82">
    <cfRule type="cellIs" dxfId="0" priority="758" operator="lessThan">
      <formula>20</formula>
    </cfRule>
    <cfRule type="cellIs" dxfId="1" priority="480" operator="greaterThan">
      <formula>120</formula>
    </cfRule>
    <cfRule type="containsText" dxfId="2" priority="202" operator="between" text="库存为">
      <formula>NOT(ISERROR(SEARCH("库存为",AU82)))</formula>
    </cfRule>
  </conditionalFormatting>
  <conditionalFormatting sqref="AU83">
    <cfRule type="cellIs" dxfId="0" priority="757" operator="lessThan">
      <formula>20</formula>
    </cfRule>
    <cfRule type="cellIs" dxfId="1" priority="479" operator="greaterThan">
      <formula>120</formula>
    </cfRule>
    <cfRule type="containsText" dxfId="2" priority="201" operator="between" text="库存为">
      <formula>NOT(ISERROR(SEARCH("库存为",AU83)))</formula>
    </cfRule>
  </conditionalFormatting>
  <conditionalFormatting sqref="AU84">
    <cfRule type="cellIs" dxfId="0" priority="756" operator="lessThan">
      <formula>20</formula>
    </cfRule>
    <cfRule type="cellIs" dxfId="1" priority="478" operator="greaterThan">
      <formula>120</formula>
    </cfRule>
    <cfRule type="containsText" dxfId="2" priority="200" operator="between" text="库存为">
      <formula>NOT(ISERROR(SEARCH("库存为",AU84)))</formula>
    </cfRule>
  </conditionalFormatting>
  <conditionalFormatting sqref="AU85">
    <cfRule type="cellIs" dxfId="0" priority="755" operator="lessThan">
      <formula>20</formula>
    </cfRule>
    <cfRule type="cellIs" dxfId="1" priority="477" operator="greaterThan">
      <formula>120</formula>
    </cfRule>
    <cfRule type="containsText" dxfId="2" priority="199" operator="between" text="库存为">
      <formula>NOT(ISERROR(SEARCH("库存为",AU85)))</formula>
    </cfRule>
  </conditionalFormatting>
  <conditionalFormatting sqref="AU86">
    <cfRule type="cellIs" dxfId="0" priority="754" operator="lessThan">
      <formula>20</formula>
    </cfRule>
    <cfRule type="cellIs" dxfId="1" priority="476" operator="greaterThan">
      <formula>120</formula>
    </cfRule>
    <cfRule type="containsText" dxfId="2" priority="198" operator="between" text="库存为">
      <formula>NOT(ISERROR(SEARCH("库存为",AU86)))</formula>
    </cfRule>
  </conditionalFormatting>
  <conditionalFormatting sqref="AU87">
    <cfRule type="cellIs" dxfId="0" priority="753" operator="lessThan">
      <formula>20</formula>
    </cfRule>
    <cfRule type="cellIs" dxfId="1" priority="475" operator="greaterThan">
      <formula>120</formula>
    </cfRule>
    <cfRule type="containsText" dxfId="2" priority="197" operator="between" text="库存为">
      <formula>NOT(ISERROR(SEARCH("库存为",AU87)))</formula>
    </cfRule>
  </conditionalFormatting>
  <conditionalFormatting sqref="AU88">
    <cfRule type="cellIs" dxfId="0" priority="752" operator="lessThan">
      <formula>20</formula>
    </cfRule>
    <cfRule type="cellIs" dxfId="1" priority="474" operator="greaterThan">
      <formula>120</formula>
    </cfRule>
    <cfRule type="containsText" dxfId="2" priority="196" operator="between" text="库存为">
      <formula>NOT(ISERROR(SEARCH("库存为",AU88)))</formula>
    </cfRule>
  </conditionalFormatting>
  <conditionalFormatting sqref="AU89">
    <cfRule type="cellIs" dxfId="0" priority="751" operator="lessThan">
      <formula>20</formula>
    </cfRule>
    <cfRule type="cellIs" dxfId="1" priority="473" operator="greaterThan">
      <formula>120</formula>
    </cfRule>
    <cfRule type="containsText" dxfId="2" priority="195" operator="between" text="库存为">
      <formula>NOT(ISERROR(SEARCH("库存为",AU89)))</formula>
    </cfRule>
  </conditionalFormatting>
  <conditionalFormatting sqref="AU90">
    <cfRule type="cellIs" dxfId="0" priority="750" operator="lessThan">
      <formula>20</formula>
    </cfRule>
    <cfRule type="cellIs" dxfId="1" priority="472" operator="greaterThan">
      <formula>120</formula>
    </cfRule>
    <cfRule type="containsText" dxfId="2" priority="194" operator="between" text="库存为">
      <formula>NOT(ISERROR(SEARCH("库存为",AU90)))</formula>
    </cfRule>
  </conditionalFormatting>
  <conditionalFormatting sqref="AU91">
    <cfRule type="cellIs" dxfId="0" priority="749" operator="lessThan">
      <formula>20</formula>
    </cfRule>
    <cfRule type="cellIs" dxfId="1" priority="471" operator="greaterThan">
      <formula>120</formula>
    </cfRule>
    <cfRule type="containsText" dxfId="2" priority="193" operator="between" text="库存为">
      <formula>NOT(ISERROR(SEARCH("库存为",AU91)))</formula>
    </cfRule>
  </conditionalFormatting>
  <conditionalFormatting sqref="AU92">
    <cfRule type="cellIs" dxfId="0" priority="748" operator="lessThan">
      <formula>20</formula>
    </cfRule>
    <cfRule type="cellIs" dxfId="1" priority="470" operator="greaterThan">
      <formula>120</formula>
    </cfRule>
    <cfRule type="containsText" dxfId="2" priority="192" operator="between" text="库存为">
      <formula>NOT(ISERROR(SEARCH("库存为",AU92)))</formula>
    </cfRule>
  </conditionalFormatting>
  <conditionalFormatting sqref="AU93">
    <cfRule type="cellIs" dxfId="0" priority="747" operator="lessThan">
      <formula>20</formula>
    </cfRule>
    <cfRule type="cellIs" dxfId="1" priority="469" operator="greaterThan">
      <formula>120</formula>
    </cfRule>
    <cfRule type="containsText" dxfId="2" priority="191" operator="between" text="库存为">
      <formula>NOT(ISERROR(SEARCH("库存为",AU93)))</formula>
    </cfRule>
  </conditionalFormatting>
  <conditionalFormatting sqref="AU94">
    <cfRule type="cellIs" dxfId="0" priority="746" operator="lessThan">
      <formula>20</formula>
    </cfRule>
    <cfRule type="cellIs" dxfId="1" priority="468" operator="greaterThan">
      <formula>120</formula>
    </cfRule>
    <cfRule type="containsText" dxfId="2" priority="190" operator="between" text="库存为">
      <formula>NOT(ISERROR(SEARCH("库存为",AU94)))</formula>
    </cfRule>
  </conditionalFormatting>
  <conditionalFormatting sqref="AU95">
    <cfRule type="cellIs" dxfId="0" priority="745" operator="lessThan">
      <formula>20</formula>
    </cfRule>
    <cfRule type="cellIs" dxfId="1" priority="467" operator="greaterThan">
      <formula>120</formula>
    </cfRule>
    <cfRule type="containsText" dxfId="2" priority="189" operator="between" text="库存为">
      <formula>NOT(ISERROR(SEARCH("库存为",AU95)))</formula>
    </cfRule>
  </conditionalFormatting>
  <conditionalFormatting sqref="AU96">
    <cfRule type="cellIs" dxfId="0" priority="744" operator="lessThan">
      <formula>20</formula>
    </cfRule>
    <cfRule type="cellIs" dxfId="1" priority="466" operator="greaterThan">
      <formula>120</formula>
    </cfRule>
    <cfRule type="containsText" dxfId="2" priority="188" operator="between" text="库存为">
      <formula>NOT(ISERROR(SEARCH("库存为",AU96)))</formula>
    </cfRule>
  </conditionalFormatting>
  <conditionalFormatting sqref="AU97">
    <cfRule type="cellIs" dxfId="0" priority="743" operator="lessThan">
      <formula>20</formula>
    </cfRule>
    <cfRule type="cellIs" dxfId="1" priority="465" operator="greaterThan">
      <formula>120</formula>
    </cfRule>
    <cfRule type="containsText" dxfId="2" priority="187" operator="between" text="库存为">
      <formula>NOT(ISERROR(SEARCH("库存为",AU97)))</formula>
    </cfRule>
  </conditionalFormatting>
  <conditionalFormatting sqref="AU98">
    <cfRule type="cellIs" dxfId="0" priority="742" operator="lessThan">
      <formula>20</formula>
    </cfRule>
    <cfRule type="cellIs" dxfId="1" priority="464" operator="greaterThan">
      <formula>120</formula>
    </cfRule>
    <cfRule type="containsText" dxfId="2" priority="186" operator="between" text="库存为">
      <formula>NOT(ISERROR(SEARCH("库存为",AU98)))</formula>
    </cfRule>
  </conditionalFormatting>
  <conditionalFormatting sqref="AU99">
    <cfRule type="cellIs" dxfId="0" priority="741" operator="lessThan">
      <formula>20</formula>
    </cfRule>
    <cfRule type="cellIs" dxfId="1" priority="463" operator="greaterThan">
      <formula>120</formula>
    </cfRule>
    <cfRule type="containsText" dxfId="2" priority="185" operator="between" text="库存为">
      <formula>NOT(ISERROR(SEARCH("库存为",AU99)))</formula>
    </cfRule>
  </conditionalFormatting>
  <conditionalFormatting sqref="AU100">
    <cfRule type="cellIs" dxfId="0" priority="740" operator="lessThan">
      <formula>20</formula>
    </cfRule>
    <cfRule type="cellIs" dxfId="1" priority="462" operator="greaterThan">
      <formula>120</formula>
    </cfRule>
    <cfRule type="containsText" dxfId="2" priority="184" operator="between" text="库存为">
      <formula>NOT(ISERROR(SEARCH("库存为",AU100)))</formula>
    </cfRule>
  </conditionalFormatting>
  <conditionalFormatting sqref="AU101">
    <cfRule type="cellIs" dxfId="0" priority="739" operator="lessThan">
      <formula>20</formula>
    </cfRule>
    <cfRule type="cellIs" dxfId="1" priority="461" operator="greaterThan">
      <formula>120</formula>
    </cfRule>
    <cfRule type="containsText" dxfId="2" priority="183" operator="between" text="库存为">
      <formula>NOT(ISERROR(SEARCH("库存为",AU101)))</formula>
    </cfRule>
  </conditionalFormatting>
  <conditionalFormatting sqref="AU102">
    <cfRule type="cellIs" dxfId="0" priority="738" operator="lessThan">
      <formula>20</formula>
    </cfRule>
    <cfRule type="cellIs" dxfId="1" priority="460" operator="greaterThan">
      <formula>120</formula>
    </cfRule>
    <cfRule type="containsText" dxfId="2" priority="182" operator="between" text="库存为">
      <formula>NOT(ISERROR(SEARCH("库存为",AU102)))</formula>
    </cfRule>
  </conditionalFormatting>
  <conditionalFormatting sqref="AU103">
    <cfRule type="cellIs" dxfId="0" priority="737" operator="lessThan">
      <formula>20</formula>
    </cfRule>
    <cfRule type="cellIs" dxfId="1" priority="459" operator="greaterThan">
      <formula>120</formula>
    </cfRule>
    <cfRule type="containsText" dxfId="2" priority="181" operator="between" text="库存为">
      <formula>NOT(ISERROR(SEARCH("库存为",AU103)))</formula>
    </cfRule>
  </conditionalFormatting>
  <conditionalFormatting sqref="AU104">
    <cfRule type="cellIs" dxfId="0" priority="736" operator="lessThan">
      <formula>20</formula>
    </cfRule>
    <cfRule type="cellIs" dxfId="1" priority="458" operator="greaterThan">
      <formula>120</formula>
    </cfRule>
    <cfRule type="containsText" dxfId="2" priority="180" operator="between" text="库存为">
      <formula>NOT(ISERROR(SEARCH("库存为",AU104)))</formula>
    </cfRule>
  </conditionalFormatting>
  <conditionalFormatting sqref="AU105">
    <cfRule type="cellIs" dxfId="0" priority="735" operator="lessThan">
      <formula>20</formula>
    </cfRule>
    <cfRule type="cellIs" dxfId="1" priority="457" operator="greaterThan">
      <formula>120</formula>
    </cfRule>
    <cfRule type="containsText" dxfId="2" priority="179" operator="between" text="库存为">
      <formula>NOT(ISERROR(SEARCH("库存为",AU105)))</formula>
    </cfRule>
  </conditionalFormatting>
  <conditionalFormatting sqref="AU106">
    <cfRule type="cellIs" dxfId="0" priority="734" operator="lessThan">
      <formula>20</formula>
    </cfRule>
    <cfRule type="cellIs" dxfId="1" priority="456" operator="greaterThan">
      <formula>120</formula>
    </cfRule>
    <cfRule type="containsText" dxfId="2" priority="178" operator="between" text="库存为">
      <formula>NOT(ISERROR(SEARCH("库存为",AU106)))</formula>
    </cfRule>
  </conditionalFormatting>
  <conditionalFormatting sqref="AU107">
    <cfRule type="cellIs" dxfId="0" priority="733" operator="lessThan">
      <formula>20</formula>
    </cfRule>
    <cfRule type="cellIs" dxfId="1" priority="455" operator="greaterThan">
      <formula>120</formula>
    </cfRule>
    <cfRule type="containsText" dxfId="2" priority="177" operator="between" text="库存为">
      <formula>NOT(ISERROR(SEARCH("库存为",AU107)))</formula>
    </cfRule>
  </conditionalFormatting>
  <conditionalFormatting sqref="AU108">
    <cfRule type="cellIs" dxfId="0" priority="732" operator="lessThan">
      <formula>20</formula>
    </cfRule>
    <cfRule type="cellIs" dxfId="1" priority="454" operator="greaterThan">
      <formula>120</formula>
    </cfRule>
    <cfRule type="containsText" dxfId="2" priority="176" operator="between" text="库存为">
      <formula>NOT(ISERROR(SEARCH("库存为",AU108)))</formula>
    </cfRule>
  </conditionalFormatting>
  <conditionalFormatting sqref="AU109">
    <cfRule type="cellIs" dxfId="0" priority="731" operator="lessThan">
      <formula>20</formula>
    </cfRule>
    <cfRule type="cellIs" dxfId="1" priority="453" operator="greaterThan">
      <formula>120</formula>
    </cfRule>
    <cfRule type="containsText" dxfId="2" priority="175" operator="between" text="库存为">
      <formula>NOT(ISERROR(SEARCH("库存为",AU109)))</formula>
    </cfRule>
  </conditionalFormatting>
  <conditionalFormatting sqref="AU110">
    <cfRule type="cellIs" dxfId="0" priority="730" operator="lessThan">
      <formula>20</formula>
    </cfRule>
    <cfRule type="cellIs" dxfId="1" priority="452" operator="greaterThan">
      <formula>120</formula>
    </cfRule>
    <cfRule type="containsText" dxfId="2" priority="174" operator="between" text="库存为">
      <formula>NOT(ISERROR(SEARCH("库存为",AU110)))</formula>
    </cfRule>
  </conditionalFormatting>
  <conditionalFormatting sqref="AU111">
    <cfRule type="cellIs" dxfId="0" priority="729" operator="lessThan">
      <formula>20</formula>
    </cfRule>
    <cfRule type="cellIs" dxfId="1" priority="451" operator="greaterThan">
      <formula>120</formula>
    </cfRule>
    <cfRule type="containsText" dxfId="2" priority="173" operator="between" text="库存为">
      <formula>NOT(ISERROR(SEARCH("库存为",AU111)))</formula>
    </cfRule>
  </conditionalFormatting>
  <conditionalFormatting sqref="AU112">
    <cfRule type="cellIs" dxfId="0" priority="728" operator="lessThan">
      <formula>20</formula>
    </cfRule>
    <cfRule type="cellIs" dxfId="1" priority="450" operator="greaterThan">
      <formula>120</formula>
    </cfRule>
    <cfRule type="containsText" dxfId="2" priority="172" operator="between" text="库存为">
      <formula>NOT(ISERROR(SEARCH("库存为",AU112)))</formula>
    </cfRule>
  </conditionalFormatting>
  <conditionalFormatting sqref="AU113">
    <cfRule type="cellIs" dxfId="0" priority="727" operator="lessThan">
      <formula>20</formula>
    </cfRule>
    <cfRule type="cellIs" dxfId="1" priority="449" operator="greaterThan">
      <formula>120</formula>
    </cfRule>
    <cfRule type="containsText" dxfId="2" priority="171" operator="between" text="库存为">
      <formula>NOT(ISERROR(SEARCH("库存为",AU113)))</formula>
    </cfRule>
  </conditionalFormatting>
  <conditionalFormatting sqref="AU114">
    <cfRule type="cellIs" dxfId="0" priority="726" operator="lessThan">
      <formula>20</formula>
    </cfRule>
    <cfRule type="cellIs" dxfId="1" priority="448" operator="greaterThan">
      <formula>120</formula>
    </cfRule>
    <cfRule type="containsText" dxfId="2" priority="170" operator="between" text="库存为">
      <formula>NOT(ISERROR(SEARCH("库存为",AU114)))</formula>
    </cfRule>
  </conditionalFormatting>
  <conditionalFormatting sqref="AU115">
    <cfRule type="cellIs" dxfId="0" priority="725" operator="lessThan">
      <formula>20</formula>
    </cfRule>
    <cfRule type="cellIs" dxfId="1" priority="447" operator="greaterThan">
      <formula>120</formula>
    </cfRule>
    <cfRule type="containsText" dxfId="2" priority="169" operator="between" text="库存为">
      <formula>NOT(ISERROR(SEARCH("库存为",AU115)))</formula>
    </cfRule>
  </conditionalFormatting>
  <conditionalFormatting sqref="AU116">
    <cfRule type="cellIs" dxfId="0" priority="724" operator="lessThan">
      <formula>20</formula>
    </cfRule>
    <cfRule type="cellIs" dxfId="1" priority="446" operator="greaterThan">
      <formula>120</formula>
    </cfRule>
    <cfRule type="containsText" dxfId="2" priority="168" operator="between" text="库存为">
      <formula>NOT(ISERROR(SEARCH("库存为",AU116)))</formula>
    </cfRule>
  </conditionalFormatting>
  <conditionalFormatting sqref="AU117">
    <cfRule type="cellIs" dxfId="0" priority="723" operator="lessThan">
      <formula>20</formula>
    </cfRule>
    <cfRule type="cellIs" dxfId="1" priority="445" operator="greaterThan">
      <formula>120</formula>
    </cfRule>
    <cfRule type="containsText" dxfId="2" priority="167" operator="between" text="库存为">
      <formula>NOT(ISERROR(SEARCH("库存为",AU117)))</formula>
    </cfRule>
  </conditionalFormatting>
  <conditionalFormatting sqref="AU118">
    <cfRule type="cellIs" dxfId="0" priority="722" operator="lessThan">
      <formula>20</formula>
    </cfRule>
    <cfRule type="cellIs" dxfId="1" priority="444" operator="greaterThan">
      <formula>120</formula>
    </cfRule>
    <cfRule type="containsText" dxfId="2" priority="166" operator="between" text="库存为">
      <formula>NOT(ISERROR(SEARCH("库存为",AU118)))</formula>
    </cfRule>
  </conditionalFormatting>
  <conditionalFormatting sqref="AU119">
    <cfRule type="cellIs" dxfId="0" priority="721" operator="lessThan">
      <formula>20</formula>
    </cfRule>
    <cfRule type="cellIs" dxfId="1" priority="443" operator="greaterThan">
      <formula>120</formula>
    </cfRule>
    <cfRule type="containsText" dxfId="2" priority="165" operator="between" text="库存为">
      <formula>NOT(ISERROR(SEARCH("库存为",AU119)))</formula>
    </cfRule>
  </conditionalFormatting>
  <conditionalFormatting sqref="AU120">
    <cfRule type="cellIs" dxfId="0" priority="720" operator="lessThan">
      <formula>20</formula>
    </cfRule>
    <cfRule type="cellIs" dxfId="1" priority="442" operator="greaterThan">
      <formula>120</formula>
    </cfRule>
    <cfRule type="containsText" dxfId="2" priority="164" operator="between" text="库存为">
      <formula>NOT(ISERROR(SEARCH("库存为",AU120)))</formula>
    </cfRule>
  </conditionalFormatting>
  <conditionalFormatting sqref="AU121">
    <cfRule type="cellIs" dxfId="0" priority="719" operator="lessThan">
      <formula>20</formula>
    </cfRule>
    <cfRule type="cellIs" dxfId="1" priority="441" operator="greaterThan">
      <formula>120</formula>
    </cfRule>
    <cfRule type="containsText" dxfId="2" priority="163" operator="between" text="库存为">
      <formula>NOT(ISERROR(SEARCH("库存为",AU121)))</formula>
    </cfRule>
  </conditionalFormatting>
  <conditionalFormatting sqref="AU122">
    <cfRule type="cellIs" dxfId="0" priority="718" operator="lessThan">
      <formula>20</formula>
    </cfRule>
    <cfRule type="cellIs" dxfId="1" priority="440" operator="greaterThan">
      <formula>120</formula>
    </cfRule>
    <cfRule type="containsText" dxfId="2" priority="162" operator="between" text="库存为">
      <formula>NOT(ISERROR(SEARCH("库存为",AU122)))</formula>
    </cfRule>
  </conditionalFormatting>
  <conditionalFormatting sqref="AU123">
    <cfRule type="cellIs" dxfId="0" priority="717" operator="lessThan">
      <formula>20</formula>
    </cfRule>
    <cfRule type="cellIs" dxfId="1" priority="439" operator="greaterThan">
      <formula>120</formula>
    </cfRule>
    <cfRule type="containsText" dxfId="2" priority="161" operator="between" text="库存为">
      <formula>NOT(ISERROR(SEARCH("库存为",AU123)))</formula>
    </cfRule>
  </conditionalFormatting>
  <conditionalFormatting sqref="AU124">
    <cfRule type="cellIs" dxfId="0" priority="716" operator="lessThan">
      <formula>20</formula>
    </cfRule>
    <cfRule type="cellIs" dxfId="1" priority="438" operator="greaterThan">
      <formula>120</formula>
    </cfRule>
    <cfRule type="containsText" dxfId="2" priority="160" operator="between" text="库存为">
      <formula>NOT(ISERROR(SEARCH("库存为",AU124)))</formula>
    </cfRule>
  </conditionalFormatting>
  <conditionalFormatting sqref="AU125">
    <cfRule type="cellIs" dxfId="0" priority="715" operator="lessThan">
      <formula>20</formula>
    </cfRule>
    <cfRule type="cellIs" dxfId="1" priority="437" operator="greaterThan">
      <formula>120</formula>
    </cfRule>
    <cfRule type="containsText" dxfId="2" priority="159" operator="between" text="库存为">
      <formula>NOT(ISERROR(SEARCH("库存为",AU125)))</formula>
    </cfRule>
  </conditionalFormatting>
  <conditionalFormatting sqref="AU126">
    <cfRule type="cellIs" dxfId="0" priority="714" operator="lessThan">
      <formula>20</formula>
    </cfRule>
    <cfRule type="cellIs" dxfId="1" priority="436" operator="greaterThan">
      <formula>120</formula>
    </cfRule>
    <cfRule type="containsText" dxfId="2" priority="158" operator="between" text="库存为">
      <formula>NOT(ISERROR(SEARCH("库存为",AU126)))</formula>
    </cfRule>
  </conditionalFormatting>
  <conditionalFormatting sqref="AU127">
    <cfRule type="cellIs" dxfId="0" priority="713" operator="lessThan">
      <formula>20</formula>
    </cfRule>
    <cfRule type="cellIs" dxfId="1" priority="435" operator="greaterThan">
      <formula>120</formula>
    </cfRule>
    <cfRule type="containsText" dxfId="2" priority="157" operator="between" text="库存为">
      <formula>NOT(ISERROR(SEARCH("库存为",AU127)))</formula>
    </cfRule>
  </conditionalFormatting>
  <conditionalFormatting sqref="AU128">
    <cfRule type="cellIs" dxfId="0" priority="712" operator="lessThan">
      <formula>20</formula>
    </cfRule>
    <cfRule type="cellIs" dxfId="1" priority="434" operator="greaterThan">
      <formula>120</formula>
    </cfRule>
    <cfRule type="containsText" dxfId="2" priority="156" operator="between" text="库存为">
      <formula>NOT(ISERROR(SEARCH("库存为",AU128)))</formula>
    </cfRule>
  </conditionalFormatting>
  <conditionalFormatting sqref="AU129">
    <cfRule type="cellIs" dxfId="0" priority="711" operator="lessThan">
      <formula>20</formula>
    </cfRule>
    <cfRule type="cellIs" dxfId="1" priority="433" operator="greaterThan">
      <formula>120</formula>
    </cfRule>
    <cfRule type="containsText" dxfId="2" priority="155" operator="between" text="库存为">
      <formula>NOT(ISERROR(SEARCH("库存为",AU129)))</formula>
    </cfRule>
  </conditionalFormatting>
  <conditionalFormatting sqref="AU130">
    <cfRule type="cellIs" dxfId="0" priority="710" operator="lessThan">
      <formula>20</formula>
    </cfRule>
    <cfRule type="cellIs" dxfId="1" priority="432" operator="greaterThan">
      <formula>120</formula>
    </cfRule>
    <cfRule type="containsText" dxfId="2" priority="154" operator="between" text="库存为">
      <formula>NOT(ISERROR(SEARCH("库存为",AU130)))</formula>
    </cfRule>
  </conditionalFormatting>
  <conditionalFormatting sqref="AU131">
    <cfRule type="cellIs" dxfId="0" priority="709" operator="lessThan">
      <formula>20</formula>
    </cfRule>
    <cfRule type="cellIs" dxfId="1" priority="431" operator="greaterThan">
      <formula>120</formula>
    </cfRule>
    <cfRule type="containsText" dxfId="2" priority="153" operator="between" text="库存为">
      <formula>NOT(ISERROR(SEARCH("库存为",AU131)))</formula>
    </cfRule>
  </conditionalFormatting>
  <conditionalFormatting sqref="AU132">
    <cfRule type="cellIs" dxfId="0" priority="708" operator="lessThan">
      <formula>20</formula>
    </cfRule>
    <cfRule type="cellIs" dxfId="1" priority="430" operator="greaterThan">
      <formula>120</formula>
    </cfRule>
    <cfRule type="containsText" dxfId="2" priority="152" operator="between" text="库存为">
      <formula>NOT(ISERROR(SEARCH("库存为",AU132)))</formula>
    </cfRule>
  </conditionalFormatting>
  <conditionalFormatting sqref="AU133">
    <cfRule type="cellIs" dxfId="0" priority="707" operator="lessThan">
      <formula>20</formula>
    </cfRule>
    <cfRule type="cellIs" dxfId="1" priority="429" operator="greaterThan">
      <formula>120</formula>
    </cfRule>
    <cfRule type="containsText" dxfId="2" priority="151" operator="between" text="库存为">
      <formula>NOT(ISERROR(SEARCH("库存为",AU133)))</formula>
    </cfRule>
  </conditionalFormatting>
  <conditionalFormatting sqref="AU134">
    <cfRule type="cellIs" dxfId="0" priority="706" operator="lessThan">
      <formula>20</formula>
    </cfRule>
    <cfRule type="cellIs" dxfId="1" priority="428" operator="greaterThan">
      <formula>120</formula>
    </cfRule>
    <cfRule type="containsText" dxfId="2" priority="150" operator="between" text="库存为">
      <formula>NOT(ISERROR(SEARCH("库存为",AU134)))</formula>
    </cfRule>
  </conditionalFormatting>
  <conditionalFormatting sqref="AU135">
    <cfRule type="cellIs" dxfId="0" priority="705" operator="lessThan">
      <formula>20</formula>
    </cfRule>
    <cfRule type="cellIs" dxfId="1" priority="427" operator="greaterThan">
      <formula>120</formula>
    </cfRule>
    <cfRule type="containsText" dxfId="2" priority="149" operator="between" text="库存为">
      <formula>NOT(ISERROR(SEARCH("库存为",AU135)))</formula>
    </cfRule>
  </conditionalFormatting>
  <conditionalFormatting sqref="AU136">
    <cfRule type="cellIs" dxfId="0" priority="704" operator="lessThan">
      <formula>20</formula>
    </cfRule>
    <cfRule type="cellIs" dxfId="1" priority="426" operator="greaterThan">
      <formula>120</formula>
    </cfRule>
    <cfRule type="containsText" dxfId="2" priority="148" operator="between" text="库存为">
      <formula>NOT(ISERROR(SEARCH("库存为",AU136)))</formula>
    </cfRule>
  </conditionalFormatting>
  <conditionalFormatting sqref="AU137">
    <cfRule type="cellIs" dxfId="0" priority="703" operator="lessThan">
      <formula>20</formula>
    </cfRule>
    <cfRule type="cellIs" dxfId="1" priority="425" operator="greaterThan">
      <formula>120</formula>
    </cfRule>
    <cfRule type="containsText" dxfId="2" priority="147" operator="between" text="库存为">
      <formula>NOT(ISERROR(SEARCH("库存为",AU137)))</formula>
    </cfRule>
  </conditionalFormatting>
  <conditionalFormatting sqref="AU138">
    <cfRule type="cellIs" dxfId="0" priority="702" operator="lessThan">
      <formula>20</formula>
    </cfRule>
    <cfRule type="cellIs" dxfId="1" priority="424" operator="greaterThan">
      <formula>120</formula>
    </cfRule>
    <cfRule type="containsText" dxfId="2" priority="146" operator="between" text="库存为">
      <formula>NOT(ISERROR(SEARCH("库存为",AU138)))</formula>
    </cfRule>
  </conditionalFormatting>
  <conditionalFormatting sqref="AU139">
    <cfRule type="cellIs" dxfId="0" priority="701" operator="lessThan">
      <formula>20</formula>
    </cfRule>
    <cfRule type="cellIs" dxfId="1" priority="423" operator="greaterThan">
      <formula>120</formula>
    </cfRule>
    <cfRule type="containsText" dxfId="2" priority="145" operator="between" text="库存为">
      <formula>NOT(ISERROR(SEARCH("库存为",AU139)))</formula>
    </cfRule>
  </conditionalFormatting>
  <conditionalFormatting sqref="AU140">
    <cfRule type="cellIs" dxfId="0" priority="700" operator="lessThan">
      <formula>20</formula>
    </cfRule>
    <cfRule type="cellIs" dxfId="1" priority="422" operator="greaterThan">
      <formula>120</formula>
    </cfRule>
    <cfRule type="containsText" dxfId="2" priority="144" operator="between" text="库存为">
      <formula>NOT(ISERROR(SEARCH("库存为",AU140)))</formula>
    </cfRule>
  </conditionalFormatting>
  <conditionalFormatting sqref="AU141">
    <cfRule type="cellIs" dxfId="0" priority="699" operator="lessThan">
      <formula>20</formula>
    </cfRule>
    <cfRule type="cellIs" dxfId="1" priority="421" operator="greaterThan">
      <formula>120</formula>
    </cfRule>
    <cfRule type="containsText" dxfId="2" priority="143" operator="between" text="库存为">
      <formula>NOT(ISERROR(SEARCH("库存为",AU141)))</formula>
    </cfRule>
  </conditionalFormatting>
  <conditionalFormatting sqref="AU142">
    <cfRule type="cellIs" dxfId="0" priority="698" operator="lessThan">
      <formula>20</formula>
    </cfRule>
    <cfRule type="cellIs" dxfId="1" priority="420" operator="greaterThan">
      <formula>120</formula>
    </cfRule>
    <cfRule type="containsText" dxfId="2" priority="142" operator="between" text="库存为">
      <formula>NOT(ISERROR(SEARCH("库存为",AU142)))</formula>
    </cfRule>
  </conditionalFormatting>
  <conditionalFormatting sqref="AU143">
    <cfRule type="cellIs" dxfId="0" priority="697" operator="lessThan">
      <formula>20</formula>
    </cfRule>
    <cfRule type="cellIs" dxfId="1" priority="419" operator="greaterThan">
      <formula>120</formula>
    </cfRule>
    <cfRule type="containsText" dxfId="2" priority="141" operator="between" text="库存为">
      <formula>NOT(ISERROR(SEARCH("库存为",AU143)))</formula>
    </cfRule>
  </conditionalFormatting>
  <conditionalFormatting sqref="AU144">
    <cfRule type="cellIs" dxfId="0" priority="696" operator="lessThan">
      <formula>20</formula>
    </cfRule>
    <cfRule type="cellIs" dxfId="1" priority="418" operator="greaterThan">
      <formula>120</formula>
    </cfRule>
    <cfRule type="containsText" dxfId="2" priority="140" operator="between" text="库存为">
      <formula>NOT(ISERROR(SEARCH("库存为",AU144)))</formula>
    </cfRule>
  </conditionalFormatting>
  <conditionalFormatting sqref="AU145">
    <cfRule type="cellIs" dxfId="0" priority="695" operator="lessThan">
      <formula>20</formula>
    </cfRule>
    <cfRule type="cellIs" dxfId="1" priority="417" operator="greaterThan">
      <formula>120</formula>
    </cfRule>
    <cfRule type="containsText" dxfId="2" priority="139" operator="between" text="库存为">
      <formula>NOT(ISERROR(SEARCH("库存为",AU145)))</formula>
    </cfRule>
  </conditionalFormatting>
  <conditionalFormatting sqref="AU146">
    <cfRule type="cellIs" dxfId="0" priority="694" operator="lessThan">
      <formula>20</formula>
    </cfRule>
    <cfRule type="cellIs" dxfId="1" priority="416" operator="greaterThan">
      <formula>120</formula>
    </cfRule>
    <cfRule type="containsText" dxfId="2" priority="138" operator="between" text="库存为">
      <formula>NOT(ISERROR(SEARCH("库存为",AU146)))</formula>
    </cfRule>
  </conditionalFormatting>
  <conditionalFormatting sqref="AU147">
    <cfRule type="cellIs" dxfId="0" priority="693" operator="lessThan">
      <formula>20</formula>
    </cfRule>
    <cfRule type="cellIs" dxfId="1" priority="415" operator="greaterThan">
      <formula>120</formula>
    </cfRule>
    <cfRule type="containsText" dxfId="2" priority="137" operator="between" text="库存为">
      <formula>NOT(ISERROR(SEARCH("库存为",AU147)))</formula>
    </cfRule>
  </conditionalFormatting>
  <conditionalFormatting sqref="AU148">
    <cfRule type="cellIs" dxfId="0" priority="692" operator="lessThan">
      <formula>20</formula>
    </cfRule>
    <cfRule type="cellIs" dxfId="1" priority="414" operator="greaterThan">
      <formula>120</formula>
    </cfRule>
    <cfRule type="containsText" dxfId="2" priority="136" operator="between" text="库存为">
      <formula>NOT(ISERROR(SEARCH("库存为",AU148)))</formula>
    </cfRule>
  </conditionalFormatting>
  <conditionalFormatting sqref="AU149">
    <cfRule type="cellIs" dxfId="0" priority="691" operator="lessThan">
      <formula>20</formula>
    </cfRule>
    <cfRule type="cellIs" dxfId="1" priority="413" operator="greaterThan">
      <formula>120</formula>
    </cfRule>
    <cfRule type="containsText" dxfId="2" priority="135" operator="between" text="库存为">
      <formula>NOT(ISERROR(SEARCH("库存为",AU149)))</formula>
    </cfRule>
  </conditionalFormatting>
  <conditionalFormatting sqref="AU150">
    <cfRule type="cellIs" dxfId="0" priority="690" operator="lessThan">
      <formula>20</formula>
    </cfRule>
    <cfRule type="cellIs" dxfId="1" priority="412" operator="greaterThan">
      <formula>120</formula>
    </cfRule>
    <cfRule type="containsText" dxfId="2" priority="134" operator="between" text="库存为">
      <formula>NOT(ISERROR(SEARCH("库存为",AU150)))</formula>
    </cfRule>
  </conditionalFormatting>
  <conditionalFormatting sqref="AU151">
    <cfRule type="cellIs" dxfId="0" priority="689" operator="lessThan">
      <formula>20</formula>
    </cfRule>
    <cfRule type="cellIs" dxfId="1" priority="411" operator="greaterThan">
      <formula>120</formula>
    </cfRule>
    <cfRule type="containsText" dxfId="2" priority="133" operator="between" text="库存为">
      <formula>NOT(ISERROR(SEARCH("库存为",AU151)))</formula>
    </cfRule>
  </conditionalFormatting>
  <conditionalFormatting sqref="AU152">
    <cfRule type="cellIs" dxfId="0" priority="688" operator="lessThan">
      <formula>20</formula>
    </cfRule>
    <cfRule type="cellIs" dxfId="1" priority="410" operator="greaterThan">
      <formula>120</formula>
    </cfRule>
    <cfRule type="containsText" dxfId="2" priority="132" operator="between" text="库存为">
      <formula>NOT(ISERROR(SEARCH("库存为",AU152)))</formula>
    </cfRule>
  </conditionalFormatting>
  <conditionalFormatting sqref="AU153">
    <cfRule type="cellIs" dxfId="0" priority="687" operator="lessThan">
      <formula>20</formula>
    </cfRule>
    <cfRule type="cellIs" dxfId="1" priority="409" operator="greaterThan">
      <formula>120</formula>
    </cfRule>
    <cfRule type="containsText" dxfId="2" priority="131" operator="between" text="库存为">
      <formula>NOT(ISERROR(SEARCH("库存为",AU153)))</formula>
    </cfRule>
  </conditionalFormatting>
  <conditionalFormatting sqref="AU154">
    <cfRule type="cellIs" dxfId="0" priority="686" operator="lessThan">
      <formula>20</formula>
    </cfRule>
    <cfRule type="cellIs" dxfId="1" priority="408" operator="greaterThan">
      <formula>120</formula>
    </cfRule>
    <cfRule type="containsText" dxfId="2" priority="130" operator="between" text="库存为">
      <formula>NOT(ISERROR(SEARCH("库存为",AU154)))</formula>
    </cfRule>
  </conditionalFormatting>
  <conditionalFormatting sqref="AU155">
    <cfRule type="cellIs" dxfId="0" priority="685" operator="lessThan">
      <formula>20</formula>
    </cfRule>
    <cfRule type="cellIs" dxfId="1" priority="407" operator="greaterThan">
      <formula>120</formula>
    </cfRule>
    <cfRule type="containsText" dxfId="2" priority="129" operator="between" text="库存为">
      <formula>NOT(ISERROR(SEARCH("库存为",AU155)))</formula>
    </cfRule>
  </conditionalFormatting>
  <conditionalFormatting sqref="AU156">
    <cfRule type="cellIs" dxfId="0" priority="684" operator="lessThan">
      <formula>20</formula>
    </cfRule>
    <cfRule type="cellIs" dxfId="1" priority="406" operator="greaterThan">
      <formula>120</formula>
    </cfRule>
    <cfRule type="containsText" dxfId="2" priority="128" operator="between" text="库存为">
      <formula>NOT(ISERROR(SEARCH("库存为",AU156)))</formula>
    </cfRule>
  </conditionalFormatting>
  <conditionalFormatting sqref="AU157">
    <cfRule type="cellIs" dxfId="0" priority="683" operator="lessThan">
      <formula>20</formula>
    </cfRule>
    <cfRule type="cellIs" dxfId="1" priority="405" operator="greaterThan">
      <formula>120</formula>
    </cfRule>
    <cfRule type="containsText" dxfId="2" priority="127" operator="between" text="库存为">
      <formula>NOT(ISERROR(SEARCH("库存为",AU157)))</formula>
    </cfRule>
  </conditionalFormatting>
  <conditionalFormatting sqref="AU158">
    <cfRule type="cellIs" dxfId="0" priority="682" operator="lessThan">
      <formula>20</formula>
    </cfRule>
    <cfRule type="cellIs" dxfId="1" priority="404" operator="greaterThan">
      <formula>120</formula>
    </cfRule>
    <cfRule type="containsText" dxfId="2" priority="126" operator="between" text="库存为">
      <formula>NOT(ISERROR(SEARCH("库存为",AU158)))</formula>
    </cfRule>
  </conditionalFormatting>
  <conditionalFormatting sqref="AU159">
    <cfRule type="cellIs" dxfId="0" priority="681" operator="lessThan">
      <formula>20</formula>
    </cfRule>
    <cfRule type="cellIs" dxfId="1" priority="403" operator="greaterThan">
      <formula>120</formula>
    </cfRule>
    <cfRule type="containsText" dxfId="2" priority="125" operator="between" text="库存为">
      <formula>NOT(ISERROR(SEARCH("库存为",AU159)))</formula>
    </cfRule>
  </conditionalFormatting>
  <conditionalFormatting sqref="AU160">
    <cfRule type="cellIs" dxfId="0" priority="680" operator="lessThan">
      <formula>20</formula>
    </cfRule>
    <cfRule type="cellIs" dxfId="1" priority="402" operator="greaterThan">
      <formula>120</formula>
    </cfRule>
    <cfRule type="containsText" dxfId="2" priority="124" operator="between" text="库存为">
      <formula>NOT(ISERROR(SEARCH("库存为",AU160)))</formula>
    </cfRule>
  </conditionalFormatting>
  <conditionalFormatting sqref="AU161">
    <cfRule type="cellIs" dxfId="0" priority="679" operator="lessThan">
      <formula>20</formula>
    </cfRule>
    <cfRule type="cellIs" dxfId="1" priority="401" operator="greaterThan">
      <formula>120</formula>
    </cfRule>
    <cfRule type="containsText" dxfId="2" priority="123" operator="between" text="库存为">
      <formula>NOT(ISERROR(SEARCH("库存为",AU161)))</formula>
    </cfRule>
  </conditionalFormatting>
  <conditionalFormatting sqref="AU162">
    <cfRule type="cellIs" dxfId="0" priority="678" operator="lessThan">
      <formula>20</formula>
    </cfRule>
    <cfRule type="cellIs" dxfId="1" priority="400" operator="greaterThan">
      <formula>120</formula>
    </cfRule>
    <cfRule type="containsText" dxfId="2" priority="122" operator="between" text="库存为">
      <formula>NOT(ISERROR(SEARCH("库存为",AU162)))</formula>
    </cfRule>
  </conditionalFormatting>
  <conditionalFormatting sqref="AU163">
    <cfRule type="cellIs" dxfId="0" priority="677" operator="lessThan">
      <formula>20</formula>
    </cfRule>
    <cfRule type="cellIs" dxfId="1" priority="399" operator="greaterThan">
      <formula>120</formula>
    </cfRule>
    <cfRule type="containsText" dxfId="2" priority="121" operator="between" text="库存为">
      <formula>NOT(ISERROR(SEARCH("库存为",AU163)))</formula>
    </cfRule>
  </conditionalFormatting>
  <conditionalFormatting sqref="AU164">
    <cfRule type="cellIs" dxfId="0" priority="676" operator="lessThan">
      <formula>20</formula>
    </cfRule>
    <cfRule type="cellIs" dxfId="1" priority="398" operator="greaterThan">
      <formula>120</formula>
    </cfRule>
    <cfRule type="containsText" dxfId="2" priority="120" operator="between" text="库存为">
      <formula>NOT(ISERROR(SEARCH("库存为",AU164)))</formula>
    </cfRule>
  </conditionalFormatting>
  <conditionalFormatting sqref="AU165">
    <cfRule type="cellIs" dxfId="0" priority="675" operator="lessThan">
      <formula>20</formula>
    </cfRule>
    <cfRule type="cellIs" dxfId="1" priority="397" operator="greaterThan">
      <formula>120</formula>
    </cfRule>
    <cfRule type="containsText" dxfId="2" priority="119" operator="between" text="库存为">
      <formula>NOT(ISERROR(SEARCH("库存为",AU165)))</formula>
    </cfRule>
  </conditionalFormatting>
  <conditionalFormatting sqref="AU166">
    <cfRule type="cellIs" dxfId="0" priority="674" operator="lessThan">
      <formula>20</formula>
    </cfRule>
    <cfRule type="cellIs" dxfId="1" priority="396" operator="greaterThan">
      <formula>120</formula>
    </cfRule>
    <cfRule type="containsText" dxfId="2" priority="118" operator="between" text="库存为">
      <formula>NOT(ISERROR(SEARCH("库存为",AU166)))</formula>
    </cfRule>
  </conditionalFormatting>
  <conditionalFormatting sqref="AU167">
    <cfRule type="cellIs" dxfId="0" priority="673" operator="lessThan">
      <formula>20</formula>
    </cfRule>
    <cfRule type="cellIs" dxfId="1" priority="395" operator="greaterThan">
      <formula>120</formula>
    </cfRule>
    <cfRule type="containsText" dxfId="2" priority="117" operator="between" text="库存为">
      <formula>NOT(ISERROR(SEARCH("库存为",AU167)))</formula>
    </cfRule>
  </conditionalFormatting>
  <conditionalFormatting sqref="AU168">
    <cfRule type="cellIs" dxfId="0" priority="672" operator="lessThan">
      <formula>20</formula>
    </cfRule>
    <cfRule type="cellIs" dxfId="1" priority="394" operator="greaterThan">
      <formula>120</formula>
    </cfRule>
    <cfRule type="containsText" dxfId="2" priority="116" operator="between" text="库存为">
      <formula>NOT(ISERROR(SEARCH("库存为",AU168)))</formula>
    </cfRule>
  </conditionalFormatting>
  <conditionalFormatting sqref="AU169">
    <cfRule type="cellIs" dxfId="0" priority="671" operator="lessThan">
      <formula>20</formula>
    </cfRule>
    <cfRule type="cellIs" dxfId="1" priority="393" operator="greaterThan">
      <formula>120</formula>
    </cfRule>
    <cfRule type="containsText" dxfId="2" priority="115" operator="between" text="库存为">
      <formula>NOT(ISERROR(SEARCH("库存为",AU169)))</formula>
    </cfRule>
  </conditionalFormatting>
  <conditionalFormatting sqref="AU170">
    <cfRule type="cellIs" dxfId="0" priority="670" operator="lessThan">
      <formula>20</formula>
    </cfRule>
    <cfRule type="cellIs" dxfId="1" priority="392" operator="greaterThan">
      <formula>120</formula>
    </cfRule>
    <cfRule type="containsText" dxfId="2" priority="114" operator="between" text="库存为">
      <formula>NOT(ISERROR(SEARCH("库存为",AU170)))</formula>
    </cfRule>
  </conditionalFormatting>
  <conditionalFormatting sqref="AU171">
    <cfRule type="cellIs" dxfId="0" priority="669" operator="lessThan">
      <formula>20</formula>
    </cfRule>
    <cfRule type="cellIs" dxfId="1" priority="391" operator="greaterThan">
      <formula>120</formula>
    </cfRule>
    <cfRule type="containsText" dxfId="2" priority="113" operator="between" text="库存为">
      <formula>NOT(ISERROR(SEARCH("库存为",AU171)))</formula>
    </cfRule>
  </conditionalFormatting>
  <conditionalFormatting sqref="AU172">
    <cfRule type="cellIs" dxfId="0" priority="668" operator="lessThan">
      <formula>20</formula>
    </cfRule>
    <cfRule type="cellIs" dxfId="1" priority="390" operator="greaterThan">
      <formula>120</formula>
    </cfRule>
    <cfRule type="containsText" dxfId="2" priority="112" operator="between" text="库存为">
      <formula>NOT(ISERROR(SEARCH("库存为",AU172)))</formula>
    </cfRule>
  </conditionalFormatting>
  <conditionalFormatting sqref="AU173">
    <cfRule type="cellIs" dxfId="0" priority="667" operator="lessThan">
      <formula>20</formula>
    </cfRule>
    <cfRule type="cellIs" dxfId="1" priority="389" operator="greaterThan">
      <formula>120</formula>
    </cfRule>
    <cfRule type="containsText" dxfId="2" priority="111" operator="between" text="库存为">
      <formula>NOT(ISERROR(SEARCH("库存为",AU173)))</formula>
    </cfRule>
  </conditionalFormatting>
  <conditionalFormatting sqref="AU174">
    <cfRule type="cellIs" dxfId="0" priority="666" operator="lessThan">
      <formula>20</formula>
    </cfRule>
    <cfRule type="cellIs" dxfId="1" priority="388" operator="greaterThan">
      <formula>120</formula>
    </cfRule>
    <cfRule type="containsText" dxfId="2" priority="110" operator="between" text="库存为">
      <formula>NOT(ISERROR(SEARCH("库存为",AU174)))</formula>
    </cfRule>
  </conditionalFormatting>
  <conditionalFormatting sqref="AU175">
    <cfRule type="cellIs" dxfId="0" priority="665" operator="lessThan">
      <formula>20</formula>
    </cfRule>
    <cfRule type="cellIs" dxfId="1" priority="387" operator="greaterThan">
      <formula>120</formula>
    </cfRule>
    <cfRule type="containsText" dxfId="2" priority="109" operator="between" text="库存为">
      <formula>NOT(ISERROR(SEARCH("库存为",AU175)))</formula>
    </cfRule>
  </conditionalFormatting>
  <conditionalFormatting sqref="AU176">
    <cfRule type="cellIs" dxfId="0" priority="664" operator="lessThan">
      <formula>20</formula>
    </cfRule>
    <cfRule type="cellIs" dxfId="1" priority="386" operator="greaterThan">
      <formula>120</formula>
    </cfRule>
    <cfRule type="containsText" dxfId="2" priority="108" operator="between" text="库存为">
      <formula>NOT(ISERROR(SEARCH("库存为",AU176)))</formula>
    </cfRule>
  </conditionalFormatting>
  <conditionalFormatting sqref="AU177">
    <cfRule type="cellIs" dxfId="0" priority="663" operator="lessThan">
      <formula>20</formula>
    </cfRule>
    <cfRule type="cellIs" dxfId="1" priority="385" operator="greaterThan">
      <formula>120</formula>
    </cfRule>
    <cfRule type="containsText" dxfId="2" priority="107" operator="between" text="库存为">
      <formula>NOT(ISERROR(SEARCH("库存为",AU177)))</formula>
    </cfRule>
  </conditionalFormatting>
  <conditionalFormatting sqref="AU178">
    <cfRule type="cellIs" dxfId="0" priority="662" operator="lessThan">
      <formula>20</formula>
    </cfRule>
    <cfRule type="cellIs" dxfId="1" priority="384" operator="greaterThan">
      <formula>120</formula>
    </cfRule>
    <cfRule type="containsText" dxfId="2" priority="106" operator="between" text="库存为">
      <formula>NOT(ISERROR(SEARCH("库存为",AU178)))</formula>
    </cfRule>
  </conditionalFormatting>
  <conditionalFormatting sqref="AU179">
    <cfRule type="cellIs" dxfId="0" priority="661" operator="lessThan">
      <formula>20</formula>
    </cfRule>
    <cfRule type="cellIs" dxfId="1" priority="383" operator="greaterThan">
      <formula>120</formula>
    </cfRule>
    <cfRule type="containsText" dxfId="2" priority="105" operator="between" text="库存为">
      <formula>NOT(ISERROR(SEARCH("库存为",AU179)))</formula>
    </cfRule>
  </conditionalFormatting>
  <conditionalFormatting sqref="AU180">
    <cfRule type="cellIs" dxfId="0" priority="660" operator="lessThan">
      <formula>20</formula>
    </cfRule>
    <cfRule type="cellIs" dxfId="1" priority="382" operator="greaterThan">
      <formula>120</formula>
    </cfRule>
    <cfRule type="containsText" dxfId="2" priority="104" operator="between" text="库存为">
      <formula>NOT(ISERROR(SEARCH("库存为",AU180)))</formula>
    </cfRule>
  </conditionalFormatting>
  <conditionalFormatting sqref="AU181">
    <cfRule type="cellIs" dxfId="0" priority="659" operator="lessThan">
      <formula>20</formula>
    </cfRule>
    <cfRule type="cellIs" dxfId="1" priority="381" operator="greaterThan">
      <formula>120</formula>
    </cfRule>
    <cfRule type="containsText" dxfId="2" priority="103" operator="between" text="库存为">
      <formula>NOT(ISERROR(SEARCH("库存为",AU181)))</formula>
    </cfRule>
  </conditionalFormatting>
  <conditionalFormatting sqref="AU182">
    <cfRule type="cellIs" dxfId="0" priority="658" operator="lessThan">
      <formula>20</formula>
    </cfRule>
    <cfRule type="cellIs" dxfId="1" priority="380" operator="greaterThan">
      <formula>120</formula>
    </cfRule>
    <cfRule type="containsText" dxfId="2" priority="102" operator="between" text="库存为">
      <formula>NOT(ISERROR(SEARCH("库存为",AU182)))</formula>
    </cfRule>
  </conditionalFormatting>
  <conditionalFormatting sqref="AU183">
    <cfRule type="cellIs" dxfId="0" priority="657" operator="lessThan">
      <formula>20</formula>
    </cfRule>
    <cfRule type="cellIs" dxfId="1" priority="379" operator="greaterThan">
      <formula>120</formula>
    </cfRule>
    <cfRule type="containsText" dxfId="2" priority="101" operator="between" text="库存为">
      <formula>NOT(ISERROR(SEARCH("库存为",AU183)))</formula>
    </cfRule>
  </conditionalFormatting>
  <conditionalFormatting sqref="AU184">
    <cfRule type="cellIs" dxfId="0" priority="656" operator="lessThan">
      <formula>20</formula>
    </cfRule>
    <cfRule type="cellIs" dxfId="1" priority="378" operator="greaterThan">
      <formula>120</formula>
    </cfRule>
    <cfRule type="containsText" dxfId="2" priority="100" operator="between" text="库存为">
      <formula>NOT(ISERROR(SEARCH("库存为",AU184)))</formula>
    </cfRule>
  </conditionalFormatting>
  <conditionalFormatting sqref="AU185">
    <cfRule type="cellIs" dxfId="0" priority="655" operator="lessThan">
      <formula>20</formula>
    </cfRule>
    <cfRule type="cellIs" dxfId="1" priority="377" operator="greaterThan">
      <formula>120</formula>
    </cfRule>
    <cfRule type="containsText" dxfId="2" priority="99" operator="between" text="库存为">
      <formula>NOT(ISERROR(SEARCH("库存为",AU185)))</formula>
    </cfRule>
  </conditionalFormatting>
  <conditionalFormatting sqref="AU186">
    <cfRule type="cellIs" dxfId="0" priority="654" operator="lessThan">
      <formula>20</formula>
    </cfRule>
    <cfRule type="cellIs" dxfId="1" priority="376" operator="greaterThan">
      <formula>120</formula>
    </cfRule>
    <cfRule type="containsText" dxfId="2" priority="98" operator="between" text="库存为">
      <formula>NOT(ISERROR(SEARCH("库存为",AU186)))</formula>
    </cfRule>
  </conditionalFormatting>
  <conditionalFormatting sqref="AU187">
    <cfRule type="cellIs" dxfId="0" priority="653" operator="lessThan">
      <formula>20</formula>
    </cfRule>
    <cfRule type="cellIs" dxfId="1" priority="375" operator="greaterThan">
      <formula>120</formula>
    </cfRule>
    <cfRule type="containsText" dxfId="2" priority="97" operator="between" text="库存为">
      <formula>NOT(ISERROR(SEARCH("库存为",AU187)))</formula>
    </cfRule>
  </conditionalFormatting>
  <conditionalFormatting sqref="AU188">
    <cfRule type="cellIs" dxfId="0" priority="652" operator="lessThan">
      <formula>20</formula>
    </cfRule>
    <cfRule type="cellIs" dxfId="1" priority="374" operator="greaterThan">
      <formula>120</formula>
    </cfRule>
    <cfRule type="containsText" dxfId="2" priority="96" operator="between" text="库存为">
      <formula>NOT(ISERROR(SEARCH("库存为",AU188)))</formula>
    </cfRule>
  </conditionalFormatting>
  <conditionalFormatting sqref="AU189">
    <cfRule type="cellIs" dxfId="0" priority="651" operator="lessThan">
      <formula>20</formula>
    </cfRule>
    <cfRule type="cellIs" dxfId="1" priority="373" operator="greaterThan">
      <formula>120</formula>
    </cfRule>
    <cfRule type="containsText" dxfId="2" priority="95" operator="between" text="库存为">
      <formula>NOT(ISERROR(SEARCH("库存为",AU189)))</formula>
    </cfRule>
  </conditionalFormatting>
  <conditionalFormatting sqref="AU190">
    <cfRule type="cellIs" dxfId="0" priority="650" operator="lessThan">
      <formula>20</formula>
    </cfRule>
    <cfRule type="cellIs" dxfId="1" priority="372" operator="greaterThan">
      <formula>120</formula>
    </cfRule>
    <cfRule type="containsText" dxfId="2" priority="94" operator="between" text="库存为">
      <formula>NOT(ISERROR(SEARCH("库存为",AU190)))</formula>
    </cfRule>
  </conditionalFormatting>
  <conditionalFormatting sqref="AU191">
    <cfRule type="cellIs" dxfId="0" priority="649" operator="lessThan">
      <formula>20</formula>
    </cfRule>
    <cfRule type="cellIs" dxfId="1" priority="371" operator="greaterThan">
      <formula>120</formula>
    </cfRule>
    <cfRule type="containsText" dxfId="2" priority="93" operator="between" text="库存为">
      <formula>NOT(ISERROR(SEARCH("库存为",AU191)))</formula>
    </cfRule>
  </conditionalFormatting>
  <conditionalFormatting sqref="AU192">
    <cfRule type="cellIs" dxfId="0" priority="648" operator="lessThan">
      <formula>20</formula>
    </cfRule>
    <cfRule type="cellIs" dxfId="1" priority="370" operator="greaterThan">
      <formula>120</formula>
    </cfRule>
    <cfRule type="containsText" dxfId="2" priority="92" operator="between" text="库存为">
      <formula>NOT(ISERROR(SEARCH("库存为",AU192)))</formula>
    </cfRule>
  </conditionalFormatting>
  <conditionalFormatting sqref="AU193">
    <cfRule type="cellIs" dxfId="0" priority="647" operator="lessThan">
      <formula>20</formula>
    </cfRule>
    <cfRule type="cellIs" dxfId="1" priority="369" operator="greaterThan">
      <formula>120</formula>
    </cfRule>
    <cfRule type="containsText" dxfId="2" priority="91" operator="between" text="库存为">
      <formula>NOT(ISERROR(SEARCH("库存为",AU193)))</formula>
    </cfRule>
  </conditionalFormatting>
  <conditionalFormatting sqref="AU194">
    <cfRule type="cellIs" dxfId="0" priority="646" operator="lessThan">
      <formula>20</formula>
    </cfRule>
    <cfRule type="cellIs" dxfId="1" priority="368" operator="greaterThan">
      <formula>120</formula>
    </cfRule>
    <cfRule type="containsText" dxfId="2" priority="90" operator="between" text="库存为">
      <formula>NOT(ISERROR(SEARCH("库存为",AU194)))</formula>
    </cfRule>
  </conditionalFormatting>
  <conditionalFormatting sqref="AU195">
    <cfRule type="cellIs" dxfId="0" priority="645" operator="lessThan">
      <formula>20</formula>
    </cfRule>
    <cfRule type="cellIs" dxfId="1" priority="367" operator="greaterThan">
      <formula>120</formula>
    </cfRule>
    <cfRule type="containsText" dxfId="2" priority="89" operator="between" text="库存为">
      <formula>NOT(ISERROR(SEARCH("库存为",AU195)))</formula>
    </cfRule>
  </conditionalFormatting>
  <conditionalFormatting sqref="AU196">
    <cfRule type="cellIs" dxfId="0" priority="644" operator="lessThan">
      <formula>20</formula>
    </cfRule>
    <cfRule type="cellIs" dxfId="1" priority="366" operator="greaterThan">
      <formula>120</formula>
    </cfRule>
    <cfRule type="containsText" dxfId="2" priority="88" operator="between" text="库存为">
      <formula>NOT(ISERROR(SEARCH("库存为",AU196)))</formula>
    </cfRule>
  </conditionalFormatting>
  <conditionalFormatting sqref="AU197">
    <cfRule type="cellIs" dxfId="0" priority="643" operator="lessThan">
      <formula>20</formula>
    </cfRule>
    <cfRule type="cellIs" dxfId="1" priority="365" operator="greaterThan">
      <formula>120</formula>
    </cfRule>
    <cfRule type="containsText" dxfId="2" priority="87" operator="between" text="库存为">
      <formula>NOT(ISERROR(SEARCH("库存为",AU197)))</formula>
    </cfRule>
  </conditionalFormatting>
  <conditionalFormatting sqref="AU198">
    <cfRule type="cellIs" dxfId="0" priority="642" operator="lessThan">
      <formula>20</formula>
    </cfRule>
    <cfRule type="cellIs" dxfId="1" priority="364" operator="greaterThan">
      <formula>120</formula>
    </cfRule>
    <cfRule type="containsText" dxfId="2" priority="86" operator="between" text="库存为">
      <formula>NOT(ISERROR(SEARCH("库存为",AU198)))</formula>
    </cfRule>
  </conditionalFormatting>
  <conditionalFormatting sqref="AU199">
    <cfRule type="cellIs" dxfId="0" priority="641" operator="lessThan">
      <formula>20</formula>
    </cfRule>
    <cfRule type="cellIs" dxfId="1" priority="363" operator="greaterThan">
      <formula>120</formula>
    </cfRule>
    <cfRule type="containsText" dxfId="2" priority="85" operator="between" text="库存为">
      <formula>NOT(ISERROR(SEARCH("库存为",AU199)))</formula>
    </cfRule>
  </conditionalFormatting>
  <conditionalFormatting sqref="AU200">
    <cfRule type="cellIs" dxfId="0" priority="640" operator="lessThan">
      <formula>20</formula>
    </cfRule>
    <cfRule type="cellIs" dxfId="1" priority="362" operator="greaterThan">
      <formula>120</formula>
    </cfRule>
    <cfRule type="containsText" dxfId="2" priority="84" operator="between" text="库存为">
      <formula>NOT(ISERROR(SEARCH("库存为",AU200)))</formula>
    </cfRule>
  </conditionalFormatting>
  <conditionalFormatting sqref="AU201">
    <cfRule type="cellIs" dxfId="0" priority="639" operator="lessThan">
      <formula>20</formula>
    </cfRule>
    <cfRule type="cellIs" dxfId="1" priority="361" operator="greaterThan">
      <formula>120</formula>
    </cfRule>
    <cfRule type="containsText" dxfId="2" priority="83" operator="between" text="库存为">
      <formula>NOT(ISERROR(SEARCH("库存为",AU201)))</formula>
    </cfRule>
  </conditionalFormatting>
  <conditionalFormatting sqref="AU202">
    <cfRule type="cellIs" dxfId="0" priority="638" operator="lessThan">
      <formula>20</formula>
    </cfRule>
    <cfRule type="cellIs" dxfId="1" priority="360" operator="greaterThan">
      <formula>120</formula>
    </cfRule>
    <cfRule type="containsText" dxfId="2" priority="82" operator="between" text="库存为">
      <formula>NOT(ISERROR(SEARCH("库存为",AU202)))</formula>
    </cfRule>
  </conditionalFormatting>
  <conditionalFormatting sqref="AU203">
    <cfRule type="cellIs" dxfId="0" priority="637" operator="lessThan">
      <formula>20</formula>
    </cfRule>
    <cfRule type="cellIs" dxfId="1" priority="359" operator="greaterThan">
      <formula>120</formula>
    </cfRule>
    <cfRule type="containsText" dxfId="2" priority="81" operator="between" text="库存为">
      <formula>NOT(ISERROR(SEARCH("库存为",AU203)))</formula>
    </cfRule>
  </conditionalFormatting>
  <conditionalFormatting sqref="AU204">
    <cfRule type="cellIs" dxfId="0" priority="636" operator="lessThan">
      <formula>20</formula>
    </cfRule>
    <cfRule type="cellIs" dxfId="1" priority="358" operator="greaterThan">
      <formula>120</formula>
    </cfRule>
    <cfRule type="containsText" dxfId="2" priority="80" operator="between" text="库存为">
      <formula>NOT(ISERROR(SEARCH("库存为",AU204)))</formula>
    </cfRule>
  </conditionalFormatting>
  <conditionalFormatting sqref="AU205">
    <cfRule type="cellIs" dxfId="0" priority="635" operator="lessThan">
      <formula>20</formula>
    </cfRule>
    <cfRule type="cellIs" dxfId="1" priority="357" operator="greaterThan">
      <formula>120</formula>
    </cfRule>
    <cfRule type="containsText" dxfId="2" priority="79" operator="between" text="库存为">
      <formula>NOT(ISERROR(SEARCH("库存为",AU205)))</formula>
    </cfRule>
  </conditionalFormatting>
  <conditionalFormatting sqref="AU206">
    <cfRule type="cellIs" dxfId="0" priority="634" operator="lessThan">
      <formula>20</formula>
    </cfRule>
    <cfRule type="cellIs" dxfId="1" priority="356" operator="greaterThan">
      <formula>120</formula>
    </cfRule>
    <cfRule type="containsText" dxfId="2" priority="78" operator="between" text="库存为">
      <formula>NOT(ISERROR(SEARCH("库存为",AU206)))</formula>
    </cfRule>
  </conditionalFormatting>
  <conditionalFormatting sqref="AU207">
    <cfRule type="cellIs" dxfId="0" priority="633" operator="lessThan">
      <formula>20</formula>
    </cfRule>
    <cfRule type="cellIs" dxfId="1" priority="355" operator="greaterThan">
      <formula>120</formula>
    </cfRule>
    <cfRule type="containsText" dxfId="2" priority="77" operator="between" text="库存为">
      <formula>NOT(ISERROR(SEARCH("库存为",AU207)))</formula>
    </cfRule>
  </conditionalFormatting>
  <conditionalFormatting sqref="AU208">
    <cfRule type="cellIs" dxfId="0" priority="632" operator="lessThan">
      <formula>20</formula>
    </cfRule>
    <cfRule type="cellIs" dxfId="1" priority="354" operator="greaterThan">
      <formula>120</formula>
    </cfRule>
    <cfRule type="containsText" dxfId="2" priority="76" operator="between" text="库存为">
      <formula>NOT(ISERROR(SEARCH("库存为",AU208)))</formula>
    </cfRule>
  </conditionalFormatting>
  <conditionalFormatting sqref="AU209">
    <cfRule type="cellIs" dxfId="0" priority="631" operator="lessThan">
      <formula>20</formula>
    </cfRule>
    <cfRule type="cellIs" dxfId="1" priority="353" operator="greaterThan">
      <formula>120</formula>
    </cfRule>
    <cfRule type="containsText" dxfId="2" priority="75" operator="between" text="库存为">
      <formula>NOT(ISERROR(SEARCH("库存为",AU209)))</formula>
    </cfRule>
  </conditionalFormatting>
  <conditionalFormatting sqref="AU210">
    <cfRule type="cellIs" dxfId="0" priority="630" operator="lessThan">
      <formula>20</formula>
    </cfRule>
    <cfRule type="cellIs" dxfId="1" priority="352" operator="greaterThan">
      <formula>120</formula>
    </cfRule>
    <cfRule type="containsText" dxfId="2" priority="74" operator="between" text="库存为">
      <formula>NOT(ISERROR(SEARCH("库存为",AU210)))</formula>
    </cfRule>
  </conditionalFormatting>
  <conditionalFormatting sqref="AU211">
    <cfRule type="cellIs" dxfId="0" priority="629" operator="lessThan">
      <formula>20</formula>
    </cfRule>
    <cfRule type="cellIs" dxfId="1" priority="351" operator="greaterThan">
      <formula>120</formula>
    </cfRule>
    <cfRule type="containsText" dxfId="2" priority="73" operator="between" text="库存为">
      <formula>NOT(ISERROR(SEARCH("库存为",AU211)))</formula>
    </cfRule>
  </conditionalFormatting>
  <conditionalFormatting sqref="AU212">
    <cfRule type="cellIs" dxfId="0" priority="628" operator="lessThan">
      <formula>20</formula>
    </cfRule>
    <cfRule type="cellIs" dxfId="1" priority="350" operator="greaterThan">
      <formula>120</formula>
    </cfRule>
    <cfRule type="containsText" dxfId="2" priority="72" operator="between" text="库存为">
      <formula>NOT(ISERROR(SEARCH("库存为",AU212)))</formula>
    </cfRule>
  </conditionalFormatting>
  <conditionalFormatting sqref="AU213">
    <cfRule type="cellIs" dxfId="0" priority="627" operator="lessThan">
      <formula>20</formula>
    </cfRule>
    <cfRule type="cellIs" dxfId="1" priority="349" operator="greaterThan">
      <formula>120</formula>
    </cfRule>
    <cfRule type="containsText" dxfId="2" priority="71" operator="between" text="库存为">
      <formula>NOT(ISERROR(SEARCH("库存为",AU213)))</formula>
    </cfRule>
  </conditionalFormatting>
  <conditionalFormatting sqref="AU214">
    <cfRule type="cellIs" dxfId="0" priority="626" operator="lessThan">
      <formula>20</formula>
    </cfRule>
    <cfRule type="cellIs" dxfId="1" priority="348" operator="greaterThan">
      <formula>120</formula>
    </cfRule>
    <cfRule type="containsText" dxfId="2" priority="70" operator="between" text="库存为">
      <formula>NOT(ISERROR(SEARCH("库存为",AU214)))</formula>
    </cfRule>
  </conditionalFormatting>
  <conditionalFormatting sqref="AU215">
    <cfRule type="cellIs" dxfId="0" priority="625" operator="lessThan">
      <formula>20</formula>
    </cfRule>
    <cfRule type="cellIs" dxfId="1" priority="347" operator="greaterThan">
      <formula>120</formula>
    </cfRule>
    <cfRule type="containsText" dxfId="2" priority="69" operator="between" text="库存为">
      <formula>NOT(ISERROR(SEARCH("库存为",AU215)))</formula>
    </cfRule>
  </conditionalFormatting>
  <conditionalFormatting sqref="AU216">
    <cfRule type="cellIs" dxfId="0" priority="624" operator="lessThan">
      <formula>20</formula>
    </cfRule>
    <cfRule type="cellIs" dxfId="1" priority="346" operator="greaterThan">
      <formula>120</formula>
    </cfRule>
    <cfRule type="containsText" dxfId="2" priority="68" operator="between" text="库存为">
      <formula>NOT(ISERROR(SEARCH("库存为",AU216)))</formula>
    </cfRule>
  </conditionalFormatting>
  <conditionalFormatting sqref="AU217">
    <cfRule type="cellIs" dxfId="0" priority="623" operator="lessThan">
      <formula>20</formula>
    </cfRule>
    <cfRule type="cellIs" dxfId="1" priority="345" operator="greaterThan">
      <formula>120</formula>
    </cfRule>
    <cfRule type="containsText" dxfId="2" priority="67" operator="between" text="库存为">
      <formula>NOT(ISERROR(SEARCH("库存为",AU217)))</formula>
    </cfRule>
  </conditionalFormatting>
  <conditionalFormatting sqref="AU218">
    <cfRule type="cellIs" dxfId="0" priority="622" operator="lessThan">
      <formula>20</formula>
    </cfRule>
    <cfRule type="cellIs" dxfId="1" priority="344" operator="greaterThan">
      <formula>120</formula>
    </cfRule>
    <cfRule type="containsText" dxfId="2" priority="66" operator="between" text="库存为">
      <formula>NOT(ISERROR(SEARCH("库存为",AU218)))</formula>
    </cfRule>
  </conditionalFormatting>
  <conditionalFormatting sqref="AU219">
    <cfRule type="cellIs" dxfId="0" priority="621" operator="lessThan">
      <formula>20</formula>
    </cfRule>
    <cfRule type="cellIs" dxfId="1" priority="343" operator="greaterThan">
      <formula>120</formula>
    </cfRule>
    <cfRule type="containsText" dxfId="2" priority="65" operator="between" text="库存为">
      <formula>NOT(ISERROR(SEARCH("库存为",AU219)))</formula>
    </cfRule>
  </conditionalFormatting>
  <conditionalFormatting sqref="AU220">
    <cfRule type="cellIs" dxfId="0" priority="620" operator="lessThan">
      <formula>20</formula>
    </cfRule>
    <cfRule type="cellIs" dxfId="1" priority="342" operator="greaterThan">
      <formula>120</formula>
    </cfRule>
    <cfRule type="containsText" dxfId="2" priority="64" operator="between" text="库存为">
      <formula>NOT(ISERROR(SEARCH("库存为",AU220)))</formula>
    </cfRule>
  </conditionalFormatting>
  <conditionalFormatting sqref="AU221">
    <cfRule type="cellIs" dxfId="0" priority="619" operator="lessThan">
      <formula>20</formula>
    </cfRule>
    <cfRule type="cellIs" dxfId="1" priority="341" operator="greaterThan">
      <formula>120</formula>
    </cfRule>
    <cfRule type="containsText" dxfId="2" priority="63" operator="between" text="库存为">
      <formula>NOT(ISERROR(SEARCH("库存为",AU221)))</formula>
    </cfRule>
  </conditionalFormatting>
  <conditionalFormatting sqref="AU222">
    <cfRule type="cellIs" dxfId="0" priority="618" operator="lessThan">
      <formula>20</formula>
    </cfRule>
    <cfRule type="cellIs" dxfId="1" priority="340" operator="greaterThan">
      <formula>120</formula>
    </cfRule>
    <cfRule type="containsText" dxfId="2" priority="62" operator="between" text="库存为">
      <formula>NOT(ISERROR(SEARCH("库存为",AU222)))</formula>
    </cfRule>
  </conditionalFormatting>
  <conditionalFormatting sqref="AU223">
    <cfRule type="cellIs" dxfId="0" priority="617" operator="lessThan">
      <formula>20</formula>
    </cfRule>
    <cfRule type="cellIs" dxfId="1" priority="339" operator="greaterThan">
      <formula>120</formula>
    </cfRule>
    <cfRule type="containsText" dxfId="2" priority="61" operator="between" text="库存为">
      <formula>NOT(ISERROR(SEARCH("库存为",AU223)))</formula>
    </cfRule>
  </conditionalFormatting>
  <conditionalFormatting sqref="AU224">
    <cfRule type="cellIs" dxfId="0" priority="616" operator="lessThan">
      <formula>20</formula>
    </cfRule>
    <cfRule type="cellIs" dxfId="1" priority="338" operator="greaterThan">
      <formula>120</formula>
    </cfRule>
    <cfRule type="containsText" dxfId="2" priority="60" operator="between" text="库存为">
      <formula>NOT(ISERROR(SEARCH("库存为",AU224)))</formula>
    </cfRule>
  </conditionalFormatting>
  <conditionalFormatting sqref="AU225">
    <cfRule type="cellIs" dxfId="0" priority="615" operator="lessThan">
      <formula>20</formula>
    </cfRule>
    <cfRule type="cellIs" dxfId="1" priority="337" operator="greaterThan">
      <formula>120</formula>
    </cfRule>
    <cfRule type="containsText" dxfId="2" priority="59" operator="between" text="库存为">
      <formula>NOT(ISERROR(SEARCH("库存为",AU225)))</formula>
    </cfRule>
  </conditionalFormatting>
  <conditionalFormatting sqref="AU226">
    <cfRule type="cellIs" dxfId="0" priority="614" operator="lessThan">
      <formula>20</formula>
    </cfRule>
    <cfRule type="cellIs" dxfId="1" priority="336" operator="greaterThan">
      <formula>120</formula>
    </cfRule>
    <cfRule type="containsText" dxfId="2" priority="58" operator="between" text="库存为">
      <formula>NOT(ISERROR(SEARCH("库存为",AU226)))</formula>
    </cfRule>
  </conditionalFormatting>
  <conditionalFormatting sqref="AU227">
    <cfRule type="cellIs" dxfId="0" priority="613" operator="lessThan">
      <formula>20</formula>
    </cfRule>
    <cfRule type="cellIs" dxfId="1" priority="335" operator="greaterThan">
      <formula>120</formula>
    </cfRule>
    <cfRule type="containsText" dxfId="2" priority="57" operator="between" text="库存为">
      <formula>NOT(ISERROR(SEARCH("库存为",AU227)))</formula>
    </cfRule>
  </conditionalFormatting>
  <conditionalFormatting sqref="AU228">
    <cfRule type="cellIs" dxfId="0" priority="612" operator="lessThan">
      <formula>20</formula>
    </cfRule>
    <cfRule type="cellIs" dxfId="1" priority="334" operator="greaterThan">
      <formula>120</formula>
    </cfRule>
    <cfRule type="containsText" dxfId="2" priority="56" operator="between" text="库存为">
      <formula>NOT(ISERROR(SEARCH("库存为",AU228)))</formula>
    </cfRule>
  </conditionalFormatting>
  <conditionalFormatting sqref="AU229">
    <cfRule type="cellIs" dxfId="0" priority="611" operator="lessThan">
      <formula>20</formula>
    </cfRule>
    <cfRule type="cellIs" dxfId="1" priority="333" operator="greaterThan">
      <formula>120</formula>
    </cfRule>
    <cfRule type="containsText" dxfId="2" priority="55" operator="between" text="库存为">
      <formula>NOT(ISERROR(SEARCH("库存为",AU229)))</formula>
    </cfRule>
  </conditionalFormatting>
  <conditionalFormatting sqref="AU230">
    <cfRule type="cellIs" dxfId="0" priority="610" operator="lessThan">
      <formula>20</formula>
    </cfRule>
    <cfRule type="cellIs" dxfId="1" priority="332" operator="greaterThan">
      <formula>120</formula>
    </cfRule>
    <cfRule type="containsText" dxfId="2" priority="54" operator="between" text="库存为">
      <formula>NOT(ISERROR(SEARCH("库存为",AU230)))</formula>
    </cfRule>
  </conditionalFormatting>
  <conditionalFormatting sqref="AU231">
    <cfRule type="cellIs" dxfId="0" priority="609" operator="lessThan">
      <formula>20</formula>
    </cfRule>
    <cfRule type="cellIs" dxfId="1" priority="331" operator="greaterThan">
      <formula>120</formula>
    </cfRule>
    <cfRule type="containsText" dxfId="2" priority="53" operator="between" text="库存为">
      <formula>NOT(ISERROR(SEARCH("库存为",AU231)))</formula>
    </cfRule>
  </conditionalFormatting>
  <conditionalFormatting sqref="AU232">
    <cfRule type="cellIs" dxfId="0" priority="608" operator="lessThan">
      <formula>20</formula>
    </cfRule>
    <cfRule type="cellIs" dxfId="1" priority="330" operator="greaterThan">
      <formula>120</formula>
    </cfRule>
    <cfRule type="containsText" dxfId="2" priority="52" operator="between" text="库存为">
      <formula>NOT(ISERROR(SEARCH("库存为",AU232)))</formula>
    </cfRule>
  </conditionalFormatting>
  <conditionalFormatting sqref="AU233">
    <cfRule type="cellIs" dxfId="0" priority="607" operator="lessThan">
      <formula>20</formula>
    </cfRule>
    <cfRule type="cellIs" dxfId="1" priority="329" operator="greaterThan">
      <formula>120</formula>
    </cfRule>
    <cfRule type="containsText" dxfId="2" priority="51" operator="between" text="库存为">
      <formula>NOT(ISERROR(SEARCH("库存为",AU233)))</formula>
    </cfRule>
  </conditionalFormatting>
  <conditionalFormatting sqref="AU234">
    <cfRule type="cellIs" dxfId="0" priority="606" operator="lessThan">
      <formula>20</formula>
    </cfRule>
    <cfRule type="cellIs" dxfId="1" priority="328" operator="greaterThan">
      <formula>120</formula>
    </cfRule>
    <cfRule type="containsText" dxfId="2" priority="50" operator="between" text="库存为">
      <formula>NOT(ISERROR(SEARCH("库存为",AU234)))</formula>
    </cfRule>
  </conditionalFormatting>
  <conditionalFormatting sqref="AU235">
    <cfRule type="cellIs" dxfId="0" priority="605" operator="lessThan">
      <formula>20</formula>
    </cfRule>
    <cfRule type="cellIs" dxfId="1" priority="327" operator="greaterThan">
      <formula>120</formula>
    </cfRule>
    <cfRule type="containsText" dxfId="2" priority="49" operator="between" text="库存为">
      <formula>NOT(ISERROR(SEARCH("库存为",AU235)))</formula>
    </cfRule>
  </conditionalFormatting>
  <conditionalFormatting sqref="AU236">
    <cfRule type="cellIs" dxfId="0" priority="604" operator="lessThan">
      <formula>20</formula>
    </cfRule>
    <cfRule type="cellIs" dxfId="1" priority="326" operator="greaterThan">
      <formula>120</formula>
    </cfRule>
    <cfRule type="containsText" dxfId="2" priority="48" operator="between" text="库存为">
      <formula>NOT(ISERROR(SEARCH("库存为",AU236)))</formula>
    </cfRule>
  </conditionalFormatting>
  <conditionalFormatting sqref="AU237">
    <cfRule type="cellIs" dxfId="0" priority="603" operator="lessThan">
      <formula>20</formula>
    </cfRule>
    <cfRule type="cellIs" dxfId="1" priority="325" operator="greaterThan">
      <formula>120</formula>
    </cfRule>
    <cfRule type="containsText" dxfId="2" priority="47" operator="between" text="库存为">
      <formula>NOT(ISERROR(SEARCH("库存为",AU237)))</formula>
    </cfRule>
  </conditionalFormatting>
  <conditionalFormatting sqref="AU238">
    <cfRule type="cellIs" dxfId="0" priority="602" operator="lessThan">
      <formula>20</formula>
    </cfRule>
    <cfRule type="cellIs" dxfId="1" priority="324" operator="greaterThan">
      <formula>120</formula>
    </cfRule>
    <cfRule type="containsText" dxfId="2" priority="46" operator="between" text="库存为">
      <formula>NOT(ISERROR(SEARCH("库存为",AU238)))</formula>
    </cfRule>
  </conditionalFormatting>
  <conditionalFormatting sqref="AU239">
    <cfRule type="cellIs" dxfId="0" priority="601" operator="lessThan">
      <formula>20</formula>
    </cfRule>
    <cfRule type="cellIs" dxfId="1" priority="323" operator="greaterThan">
      <formula>120</formula>
    </cfRule>
    <cfRule type="containsText" dxfId="2" priority="45" operator="between" text="库存为">
      <formula>NOT(ISERROR(SEARCH("库存为",AU239)))</formula>
    </cfRule>
  </conditionalFormatting>
  <conditionalFormatting sqref="AU240">
    <cfRule type="cellIs" dxfId="0" priority="600" operator="lessThan">
      <formula>20</formula>
    </cfRule>
    <cfRule type="cellIs" dxfId="1" priority="322" operator="greaterThan">
      <formula>120</formula>
    </cfRule>
    <cfRule type="containsText" dxfId="2" priority="44" operator="between" text="库存为">
      <formula>NOT(ISERROR(SEARCH("库存为",AU240)))</formula>
    </cfRule>
  </conditionalFormatting>
  <conditionalFormatting sqref="AU241">
    <cfRule type="cellIs" dxfId="0" priority="599" operator="lessThan">
      <formula>20</formula>
    </cfRule>
    <cfRule type="cellIs" dxfId="1" priority="321" operator="greaterThan">
      <formula>120</formula>
    </cfRule>
    <cfRule type="containsText" dxfId="2" priority="43" operator="between" text="库存为">
      <formula>NOT(ISERROR(SEARCH("库存为",AU241)))</formula>
    </cfRule>
  </conditionalFormatting>
  <conditionalFormatting sqref="AU242">
    <cfRule type="cellIs" dxfId="0" priority="598" operator="lessThan">
      <formula>20</formula>
    </cfRule>
    <cfRule type="cellIs" dxfId="1" priority="320" operator="greaterThan">
      <formula>120</formula>
    </cfRule>
    <cfRule type="containsText" dxfId="2" priority="42" operator="between" text="库存为">
      <formula>NOT(ISERROR(SEARCH("库存为",AU242)))</formula>
    </cfRule>
  </conditionalFormatting>
  <conditionalFormatting sqref="AU243">
    <cfRule type="cellIs" dxfId="0" priority="597" operator="lessThan">
      <formula>20</formula>
    </cfRule>
    <cfRule type="cellIs" dxfId="1" priority="319" operator="greaterThan">
      <formula>120</formula>
    </cfRule>
    <cfRule type="containsText" dxfId="2" priority="41" operator="between" text="库存为">
      <formula>NOT(ISERROR(SEARCH("库存为",AU243)))</formula>
    </cfRule>
  </conditionalFormatting>
  <conditionalFormatting sqref="AU244">
    <cfRule type="cellIs" dxfId="0" priority="596" operator="lessThan">
      <formula>20</formula>
    </cfRule>
    <cfRule type="cellIs" dxfId="1" priority="318" operator="greaterThan">
      <formula>120</formula>
    </cfRule>
    <cfRule type="containsText" dxfId="2" priority="40" operator="between" text="库存为">
      <formula>NOT(ISERROR(SEARCH("库存为",AU244)))</formula>
    </cfRule>
  </conditionalFormatting>
  <conditionalFormatting sqref="AU245">
    <cfRule type="cellIs" dxfId="0" priority="595" operator="lessThan">
      <formula>20</formula>
    </cfRule>
    <cfRule type="cellIs" dxfId="1" priority="317" operator="greaterThan">
      <formula>120</formula>
    </cfRule>
    <cfRule type="containsText" dxfId="2" priority="39" operator="between" text="库存为">
      <formula>NOT(ISERROR(SEARCH("库存为",AU245)))</formula>
    </cfRule>
  </conditionalFormatting>
  <conditionalFormatting sqref="AU246">
    <cfRule type="cellIs" dxfId="0" priority="594" operator="lessThan">
      <formula>20</formula>
    </cfRule>
    <cfRule type="cellIs" dxfId="1" priority="316" operator="greaterThan">
      <formula>120</formula>
    </cfRule>
    <cfRule type="containsText" dxfId="2" priority="38" operator="between" text="库存为">
      <formula>NOT(ISERROR(SEARCH("库存为",AU246)))</formula>
    </cfRule>
  </conditionalFormatting>
  <conditionalFormatting sqref="AU247">
    <cfRule type="cellIs" dxfId="0" priority="593" operator="lessThan">
      <formula>20</formula>
    </cfRule>
    <cfRule type="cellIs" dxfId="1" priority="315" operator="greaterThan">
      <formula>120</formula>
    </cfRule>
    <cfRule type="containsText" dxfId="2" priority="37" operator="between" text="库存为">
      <formula>NOT(ISERROR(SEARCH("库存为",AU247)))</formula>
    </cfRule>
  </conditionalFormatting>
  <conditionalFormatting sqref="AU248">
    <cfRule type="cellIs" dxfId="0" priority="592" operator="lessThan">
      <formula>20</formula>
    </cfRule>
    <cfRule type="cellIs" dxfId="1" priority="314" operator="greaterThan">
      <formula>120</formula>
    </cfRule>
    <cfRule type="containsText" dxfId="2" priority="36" operator="between" text="库存为">
      <formula>NOT(ISERROR(SEARCH("库存为",AU248)))</formula>
    </cfRule>
  </conditionalFormatting>
  <conditionalFormatting sqref="AU249">
    <cfRule type="cellIs" dxfId="0" priority="591" operator="lessThan">
      <formula>20</formula>
    </cfRule>
    <cfRule type="cellIs" dxfId="1" priority="313" operator="greaterThan">
      <formula>120</formula>
    </cfRule>
    <cfRule type="containsText" dxfId="2" priority="35" operator="between" text="库存为">
      <formula>NOT(ISERROR(SEARCH("库存为",AU249)))</formula>
    </cfRule>
  </conditionalFormatting>
  <conditionalFormatting sqref="AU250">
    <cfRule type="cellIs" dxfId="0" priority="590" operator="lessThan">
      <formula>20</formula>
    </cfRule>
    <cfRule type="cellIs" dxfId="1" priority="312" operator="greaterThan">
      <formula>120</formula>
    </cfRule>
    <cfRule type="containsText" dxfId="2" priority="34" operator="between" text="库存为">
      <formula>NOT(ISERROR(SEARCH("库存为",AU250)))</formula>
    </cfRule>
  </conditionalFormatting>
  <conditionalFormatting sqref="AU251">
    <cfRule type="cellIs" dxfId="0" priority="589" operator="lessThan">
      <formula>20</formula>
    </cfRule>
    <cfRule type="cellIs" dxfId="1" priority="311" operator="greaterThan">
      <formula>120</formula>
    </cfRule>
    <cfRule type="containsText" dxfId="2" priority="33" operator="between" text="库存为">
      <formula>NOT(ISERROR(SEARCH("库存为",AU251)))</formula>
    </cfRule>
  </conditionalFormatting>
  <conditionalFormatting sqref="AU252">
    <cfRule type="cellIs" dxfId="0" priority="588" operator="lessThan">
      <formula>20</formula>
    </cfRule>
    <cfRule type="cellIs" dxfId="1" priority="310" operator="greaterThan">
      <formula>120</formula>
    </cfRule>
    <cfRule type="containsText" dxfId="2" priority="32" operator="between" text="库存为">
      <formula>NOT(ISERROR(SEARCH("库存为",AU252)))</formula>
    </cfRule>
  </conditionalFormatting>
  <conditionalFormatting sqref="AU253">
    <cfRule type="cellIs" dxfId="0" priority="587" operator="lessThan">
      <formula>20</formula>
    </cfRule>
    <cfRule type="cellIs" dxfId="1" priority="309" operator="greaterThan">
      <formula>120</formula>
    </cfRule>
    <cfRule type="containsText" dxfId="2" priority="31" operator="between" text="库存为">
      <formula>NOT(ISERROR(SEARCH("库存为",AU253)))</formula>
    </cfRule>
  </conditionalFormatting>
  <conditionalFormatting sqref="AU254">
    <cfRule type="cellIs" dxfId="0" priority="586" operator="lessThan">
      <formula>20</formula>
    </cfRule>
    <cfRule type="cellIs" dxfId="1" priority="308" operator="greaterThan">
      <formula>120</formula>
    </cfRule>
    <cfRule type="containsText" dxfId="2" priority="30" operator="between" text="库存为">
      <formula>NOT(ISERROR(SEARCH("库存为",AU254)))</formula>
    </cfRule>
  </conditionalFormatting>
  <conditionalFormatting sqref="AU255">
    <cfRule type="cellIs" dxfId="0" priority="585" operator="lessThan">
      <formula>20</formula>
    </cfRule>
    <cfRule type="cellIs" dxfId="1" priority="307" operator="greaterThan">
      <formula>120</formula>
    </cfRule>
    <cfRule type="containsText" dxfId="2" priority="29" operator="between" text="库存为">
      <formula>NOT(ISERROR(SEARCH("库存为",AU255)))</formula>
    </cfRule>
  </conditionalFormatting>
  <conditionalFormatting sqref="AU256">
    <cfRule type="cellIs" dxfId="0" priority="584" operator="lessThan">
      <formula>20</formula>
    </cfRule>
    <cfRule type="cellIs" dxfId="1" priority="306" operator="greaterThan">
      <formula>120</formula>
    </cfRule>
    <cfRule type="containsText" dxfId="2" priority="28" operator="between" text="库存为">
      <formula>NOT(ISERROR(SEARCH("库存为",AU256)))</formula>
    </cfRule>
  </conditionalFormatting>
  <conditionalFormatting sqref="AU257">
    <cfRule type="cellIs" dxfId="0" priority="583" operator="lessThan">
      <formula>20</formula>
    </cfRule>
    <cfRule type="cellIs" dxfId="1" priority="305" operator="greaterThan">
      <formula>120</formula>
    </cfRule>
    <cfRule type="containsText" dxfId="2" priority="27" operator="between" text="库存为">
      <formula>NOT(ISERROR(SEARCH("库存为",AU257)))</formula>
    </cfRule>
  </conditionalFormatting>
  <conditionalFormatting sqref="AU258">
    <cfRule type="cellIs" dxfId="0" priority="582" operator="lessThan">
      <formula>20</formula>
    </cfRule>
    <cfRule type="cellIs" dxfId="1" priority="304" operator="greaterThan">
      <formula>120</formula>
    </cfRule>
    <cfRule type="containsText" dxfId="2" priority="26" operator="between" text="库存为">
      <formula>NOT(ISERROR(SEARCH("库存为",AU258)))</formula>
    </cfRule>
  </conditionalFormatting>
  <conditionalFormatting sqref="AU259">
    <cfRule type="cellIs" dxfId="0" priority="581" operator="lessThan">
      <formula>20</formula>
    </cfRule>
    <cfRule type="cellIs" dxfId="1" priority="303" operator="greaterThan">
      <formula>120</formula>
    </cfRule>
    <cfRule type="containsText" dxfId="2" priority="25" operator="between" text="库存为">
      <formula>NOT(ISERROR(SEARCH("库存为",AU259)))</formula>
    </cfRule>
  </conditionalFormatting>
  <conditionalFormatting sqref="AU260">
    <cfRule type="cellIs" dxfId="0" priority="580" operator="lessThan">
      <formula>20</formula>
    </cfRule>
    <cfRule type="cellIs" dxfId="1" priority="302" operator="greaterThan">
      <formula>120</formula>
    </cfRule>
    <cfRule type="containsText" dxfId="2" priority="24" operator="between" text="库存为">
      <formula>NOT(ISERROR(SEARCH("库存为",AU260)))</formula>
    </cfRule>
  </conditionalFormatting>
  <conditionalFormatting sqref="AU261">
    <cfRule type="cellIs" dxfId="0" priority="579" operator="lessThan">
      <formula>20</formula>
    </cfRule>
    <cfRule type="cellIs" dxfId="1" priority="301" operator="greaterThan">
      <formula>120</formula>
    </cfRule>
    <cfRule type="containsText" dxfId="2" priority="23" operator="between" text="库存为">
      <formula>NOT(ISERROR(SEARCH("库存为",AU261)))</formula>
    </cfRule>
  </conditionalFormatting>
  <conditionalFormatting sqref="AU262">
    <cfRule type="cellIs" dxfId="0" priority="578" operator="lessThan">
      <formula>20</formula>
    </cfRule>
    <cfRule type="cellIs" dxfId="1" priority="300" operator="greaterThan">
      <formula>120</formula>
    </cfRule>
    <cfRule type="containsText" dxfId="2" priority="22" operator="between" text="库存为">
      <formula>NOT(ISERROR(SEARCH("库存为",AU262)))</formula>
    </cfRule>
  </conditionalFormatting>
  <conditionalFormatting sqref="AU263">
    <cfRule type="cellIs" dxfId="0" priority="577" operator="lessThan">
      <formula>20</formula>
    </cfRule>
    <cfRule type="cellIs" dxfId="1" priority="299" operator="greaterThan">
      <formula>120</formula>
    </cfRule>
    <cfRule type="containsText" dxfId="2" priority="21" operator="between" text="库存为">
      <formula>NOT(ISERROR(SEARCH("库存为",AU263)))</formula>
    </cfRule>
  </conditionalFormatting>
  <conditionalFormatting sqref="AU264">
    <cfRule type="cellIs" dxfId="0" priority="576" operator="lessThan">
      <formula>20</formula>
    </cfRule>
    <cfRule type="cellIs" dxfId="1" priority="298" operator="greaterThan">
      <formula>120</formula>
    </cfRule>
    <cfRule type="containsText" dxfId="2" priority="20" operator="between" text="库存为">
      <formula>NOT(ISERROR(SEARCH("库存为",AU264)))</formula>
    </cfRule>
  </conditionalFormatting>
  <conditionalFormatting sqref="AU265">
    <cfRule type="cellIs" dxfId="0" priority="575" operator="lessThan">
      <formula>20</formula>
    </cfRule>
    <cfRule type="cellIs" dxfId="1" priority="297" operator="greaterThan">
      <formula>120</formula>
    </cfRule>
    <cfRule type="containsText" dxfId="2" priority="19" operator="between" text="库存为">
      <formula>NOT(ISERROR(SEARCH("库存为",AU265)))</formula>
    </cfRule>
  </conditionalFormatting>
  <conditionalFormatting sqref="AU266">
    <cfRule type="cellIs" dxfId="0" priority="574" operator="lessThan">
      <formula>20</formula>
    </cfRule>
    <cfRule type="cellIs" dxfId="1" priority="296" operator="greaterThan">
      <formula>120</formula>
    </cfRule>
    <cfRule type="containsText" dxfId="2" priority="18" operator="between" text="库存为">
      <formula>NOT(ISERROR(SEARCH("库存为",AU266)))</formula>
    </cfRule>
  </conditionalFormatting>
  <conditionalFormatting sqref="AU267">
    <cfRule type="cellIs" dxfId="0" priority="573" operator="lessThan">
      <formula>20</formula>
    </cfRule>
    <cfRule type="cellIs" dxfId="1" priority="295" operator="greaterThan">
      <formula>120</formula>
    </cfRule>
    <cfRule type="containsText" dxfId="2" priority="17" operator="between" text="库存为">
      <formula>NOT(ISERROR(SEARCH("库存为",AU267)))</formula>
    </cfRule>
  </conditionalFormatting>
  <conditionalFormatting sqref="AU268">
    <cfRule type="cellIs" dxfId="0" priority="572" operator="lessThan">
      <formula>20</formula>
    </cfRule>
    <cfRule type="cellIs" dxfId="1" priority="294" operator="greaterThan">
      <formula>120</formula>
    </cfRule>
    <cfRule type="containsText" dxfId="2" priority="16" operator="between" text="库存为">
      <formula>NOT(ISERROR(SEARCH("库存为",AU268)))</formula>
    </cfRule>
  </conditionalFormatting>
  <conditionalFormatting sqref="AU269">
    <cfRule type="cellIs" dxfId="0" priority="571" operator="lessThan">
      <formula>20</formula>
    </cfRule>
    <cfRule type="cellIs" dxfId="1" priority="293" operator="greaterThan">
      <formula>120</formula>
    </cfRule>
    <cfRule type="containsText" dxfId="2" priority="15" operator="between" text="库存为">
      <formula>NOT(ISERROR(SEARCH("库存为",AU269)))</formula>
    </cfRule>
  </conditionalFormatting>
  <conditionalFormatting sqref="AU270">
    <cfRule type="cellIs" dxfId="0" priority="570" operator="lessThan">
      <formula>20</formula>
    </cfRule>
    <cfRule type="cellIs" dxfId="1" priority="292" operator="greaterThan">
      <formula>120</formula>
    </cfRule>
    <cfRule type="containsText" dxfId="2" priority="14" operator="between" text="库存为">
      <formula>NOT(ISERROR(SEARCH("库存为",AU270)))</formula>
    </cfRule>
  </conditionalFormatting>
  <conditionalFormatting sqref="AU271">
    <cfRule type="cellIs" dxfId="0" priority="569" operator="lessThan">
      <formula>20</formula>
    </cfRule>
    <cfRule type="cellIs" dxfId="1" priority="291" operator="greaterThan">
      <formula>120</formula>
    </cfRule>
    <cfRule type="containsText" dxfId="2" priority="13" operator="between" text="库存为">
      <formula>NOT(ISERROR(SEARCH("库存为",AU271)))</formula>
    </cfRule>
  </conditionalFormatting>
  <conditionalFormatting sqref="AU272">
    <cfRule type="cellIs" dxfId="0" priority="568" operator="lessThan">
      <formula>20</formula>
    </cfRule>
    <cfRule type="cellIs" dxfId="1" priority="290" operator="greaterThan">
      <formula>120</formula>
    </cfRule>
    <cfRule type="containsText" dxfId="2" priority="12" operator="between" text="库存为">
      <formula>NOT(ISERROR(SEARCH("库存为",AU272)))</formula>
    </cfRule>
  </conditionalFormatting>
  <conditionalFormatting sqref="AU273">
    <cfRule type="cellIs" dxfId="0" priority="567" operator="lessThan">
      <formula>20</formula>
    </cfRule>
    <cfRule type="cellIs" dxfId="1" priority="289" operator="greaterThan">
      <formula>120</formula>
    </cfRule>
    <cfRule type="containsText" dxfId="2" priority="11" operator="between" text="库存为">
      <formula>NOT(ISERROR(SEARCH("库存为",AU273)))</formula>
    </cfRule>
  </conditionalFormatting>
  <conditionalFormatting sqref="AU274">
    <cfRule type="cellIs" dxfId="0" priority="566" operator="lessThan">
      <formula>20</formula>
    </cfRule>
    <cfRule type="cellIs" dxfId="1" priority="288" operator="greaterThan">
      <formula>120</formula>
    </cfRule>
    <cfRule type="containsText" dxfId="2" priority="10" operator="between" text="库存为">
      <formula>NOT(ISERROR(SEARCH("库存为",AU274)))</formula>
    </cfRule>
  </conditionalFormatting>
  <conditionalFormatting sqref="AU275">
    <cfRule type="cellIs" dxfId="0" priority="565" operator="lessThan">
      <formula>20</formula>
    </cfRule>
    <cfRule type="cellIs" dxfId="1" priority="287" operator="greaterThan">
      <formula>120</formula>
    </cfRule>
    <cfRule type="containsText" dxfId="2" priority="9" operator="between" text="库存为">
      <formula>NOT(ISERROR(SEARCH("库存为",AU275)))</formula>
    </cfRule>
  </conditionalFormatting>
  <conditionalFormatting sqref="AU276">
    <cfRule type="cellIs" dxfId="0" priority="564" operator="lessThan">
      <formula>20</formula>
    </cfRule>
    <cfRule type="cellIs" dxfId="1" priority="286" operator="greaterThan">
      <formula>120</formula>
    </cfRule>
    <cfRule type="containsText" dxfId="2" priority="8" operator="between" text="库存为">
      <formula>NOT(ISERROR(SEARCH("库存为",AU276)))</formula>
    </cfRule>
  </conditionalFormatting>
  <conditionalFormatting sqref="AU277">
    <cfRule type="cellIs" dxfId="0" priority="563" operator="lessThan">
      <formula>20</formula>
    </cfRule>
    <cfRule type="cellIs" dxfId="1" priority="285" operator="greaterThan">
      <formula>120</formula>
    </cfRule>
    <cfRule type="containsText" dxfId="2" priority="7" operator="between" text="库存为">
      <formula>NOT(ISERROR(SEARCH("库存为",AU277)))</formula>
    </cfRule>
  </conditionalFormatting>
  <conditionalFormatting sqref="AU278">
    <cfRule type="cellIs" dxfId="0" priority="562" operator="lessThan">
      <formula>20</formula>
    </cfRule>
    <cfRule type="cellIs" dxfId="1" priority="284" operator="greaterThan">
      <formula>120</formula>
    </cfRule>
    <cfRule type="containsText" dxfId="2" priority="6" operator="between" text="库存为">
      <formula>NOT(ISERROR(SEARCH("库存为",AU278)))</formula>
    </cfRule>
  </conditionalFormatting>
  <conditionalFormatting sqref="AU279">
    <cfRule type="cellIs" dxfId="0" priority="561" operator="lessThan">
      <formula>20</formula>
    </cfRule>
    <cfRule type="cellIs" dxfId="1" priority="283" operator="greaterThan">
      <formula>120</formula>
    </cfRule>
    <cfRule type="containsText" dxfId="2" priority="5" operator="between" text="库存为">
      <formula>NOT(ISERROR(SEARCH("库存为",AU279)))</formula>
    </cfRule>
  </conditionalFormatting>
  <conditionalFormatting sqref="AU280">
    <cfRule type="cellIs" dxfId="0" priority="560" operator="lessThan">
      <formula>20</formula>
    </cfRule>
    <cfRule type="cellIs" dxfId="1" priority="282" operator="greaterThan">
      <formula>120</formula>
    </cfRule>
    <cfRule type="containsText" dxfId="2" priority="4" operator="between" text="库存为">
      <formula>NOT(ISERROR(SEARCH("库存为",AU280)))</formula>
    </cfRule>
  </conditionalFormatting>
  <conditionalFormatting sqref="AU281">
    <cfRule type="cellIs" dxfId="0" priority="559" operator="lessThan">
      <formula>20</formula>
    </cfRule>
    <cfRule type="cellIs" dxfId="1" priority="281" operator="greaterThan">
      <formula>120</formula>
    </cfRule>
    <cfRule type="containsText" dxfId="2" priority="3" operator="between" text="库存为">
      <formula>NOT(ISERROR(SEARCH("库存为",AU281)))</formula>
    </cfRule>
  </conditionalFormatting>
  <conditionalFormatting sqref="AU282">
    <cfRule type="cellIs" dxfId="0" priority="558" operator="lessThan">
      <formula>20</formula>
    </cfRule>
    <cfRule type="cellIs" dxfId="1" priority="280" operator="greaterThan">
      <formula>120</formula>
    </cfRule>
    <cfRule type="containsText" dxfId="2" priority="2" operator="between" text="库存为">
      <formula>NOT(ISERROR(SEARCH("库存为",AU282)))</formula>
    </cfRule>
  </conditionalFormatting>
  <conditionalFormatting sqref="AU283">
    <cfRule type="cellIs" dxfId="0" priority="557" operator="lessThan">
      <formula>20</formula>
    </cfRule>
    <cfRule type="cellIs" dxfId="1" priority="279" operator="greaterThan">
      <formula>120</formula>
    </cfRule>
    <cfRule type="containsText" dxfId="2" priority="1" operator="between" text="库存为">
      <formula>NOT(ISERROR(SEARCH("库存为",AU283)))</formula>
    </cfRule>
  </conditionalFormatting>
  <conditionalFormatting sqref="AU284">
    <cfRule type="cellIs" dxfId="0" priority="1402" operator="lessThan">
      <formula>20</formula>
    </cfRule>
    <cfRule type="cellIs" dxfId="1" priority="1120" operator="greaterThan">
      <formula>120</formula>
    </cfRule>
    <cfRule type="containsText" dxfId="2" priority="838" operator="between" text="库存为">
      <formula>NOT(ISERROR(SEARCH("库存为",AU284)))</formula>
    </cfRule>
  </conditionalFormatting>
  <conditionalFormatting sqref="AU285">
    <cfRule type="cellIs" dxfId="0" priority="1401" operator="lessThan">
      <formula>20</formula>
    </cfRule>
    <cfRule type="cellIs" dxfId="1" priority="1119" operator="greaterThan">
      <formula>120</formula>
    </cfRule>
    <cfRule type="containsText" dxfId="2" priority="837" operator="between" text="库存为">
      <formula>NOT(ISERROR(SEARCH("库存为",AU285)))</formula>
    </cfRule>
  </conditionalFormatting>
  <conditionalFormatting sqref="AU286">
    <cfRule type="cellIs" dxfId="0" priority="1400" operator="lessThan">
      <formula>20</formula>
    </cfRule>
    <cfRule type="cellIs" dxfId="1" priority="1118" operator="greaterThan">
      <formula>120</formula>
    </cfRule>
    <cfRule type="containsText" dxfId="2" priority="836" operator="between" text="库存为">
      <formula>NOT(ISERROR(SEARCH("库存为",AU286)))</formula>
    </cfRule>
  </conditionalFormatting>
  <conditionalFormatting sqref="AU287">
    <cfRule type="cellIs" dxfId="0" priority="1399" operator="lessThan">
      <formula>20</formula>
    </cfRule>
    <cfRule type="cellIs" dxfId="1" priority="1117" operator="greaterThan">
      <formula>120</formula>
    </cfRule>
    <cfRule type="containsText" dxfId="2" priority="835" operator="between" text="库存为">
      <formula>NOT(ISERROR(SEARCH("库存为",AU287)))</formula>
    </cfRule>
  </conditionalFormatting>
  <conditionalFormatting sqref="AU288">
    <cfRule type="cellIs" dxfId="0" priority="3705" operator="lessThan">
      <formula>20</formula>
    </cfRule>
    <cfRule type="cellIs" dxfId="1" priority="2936" operator="greaterThan">
      <formula>120</formula>
    </cfRule>
    <cfRule type="containsText" dxfId="2" priority="2167" operator="between" text="库存为">
      <formula>NOT(ISERROR(SEARCH("库存为",AU288)))</formula>
    </cfRule>
  </conditionalFormatting>
  <conditionalFormatting sqref="AU289">
    <cfRule type="cellIs" dxfId="0" priority="3704" operator="lessThan">
      <formula>20</formula>
    </cfRule>
    <cfRule type="cellIs" dxfId="1" priority="2935" operator="greaterThan">
      <formula>120</formula>
    </cfRule>
    <cfRule type="containsText" dxfId="2" priority="2166" operator="between" text="库存为">
      <formula>NOT(ISERROR(SEARCH("库存为",AU289)))</formula>
    </cfRule>
  </conditionalFormatting>
  <conditionalFormatting sqref="AU290">
    <cfRule type="cellIs" dxfId="0" priority="3703" operator="lessThan">
      <formula>20</formula>
    </cfRule>
    <cfRule type="cellIs" dxfId="1" priority="2934" operator="greaterThan">
      <formula>120</formula>
    </cfRule>
    <cfRule type="containsText" dxfId="2" priority="2165" operator="between" text="库存为">
      <formula>NOT(ISERROR(SEARCH("库存为",AU290)))</formula>
    </cfRule>
  </conditionalFormatting>
  <conditionalFormatting sqref="AU291">
    <cfRule type="cellIs" dxfId="0" priority="3702" operator="lessThan">
      <formula>20</formula>
    </cfRule>
    <cfRule type="cellIs" dxfId="1" priority="2933" operator="greaterThan">
      <formula>120</formula>
    </cfRule>
    <cfRule type="containsText" dxfId="2" priority="2164" operator="between" text="库存为">
      <formula>NOT(ISERROR(SEARCH("库存为",AU291)))</formula>
    </cfRule>
  </conditionalFormatting>
  <conditionalFormatting sqref="AU292">
    <cfRule type="cellIs" dxfId="0" priority="3701" operator="lessThan">
      <formula>20</formula>
    </cfRule>
    <cfRule type="cellIs" dxfId="1" priority="2932" operator="greaterThan">
      <formula>120</formula>
    </cfRule>
    <cfRule type="containsText" dxfId="2" priority="2163" operator="between" text="库存为">
      <formula>NOT(ISERROR(SEARCH("库存为",AU292)))</formula>
    </cfRule>
  </conditionalFormatting>
  <conditionalFormatting sqref="AU293">
    <cfRule type="cellIs" dxfId="0" priority="3700" operator="lessThan">
      <formula>20</formula>
    </cfRule>
    <cfRule type="cellIs" dxfId="1" priority="2931" operator="greaterThan">
      <formula>120</formula>
    </cfRule>
    <cfRule type="containsText" dxfId="2" priority="2162" operator="between" text="库存为">
      <formula>NOT(ISERROR(SEARCH("库存为",AU293)))</formula>
    </cfRule>
  </conditionalFormatting>
  <conditionalFormatting sqref="AU294">
    <cfRule type="cellIs" dxfId="0" priority="3699" operator="lessThan">
      <formula>20</formula>
    </cfRule>
    <cfRule type="cellIs" dxfId="1" priority="2930" operator="greaterThan">
      <formula>120</formula>
    </cfRule>
    <cfRule type="containsText" dxfId="2" priority="2161" operator="between" text="库存为">
      <formula>NOT(ISERROR(SEARCH("库存为",AU294)))</formula>
    </cfRule>
  </conditionalFormatting>
  <conditionalFormatting sqref="AU295">
    <cfRule type="cellIs" dxfId="0" priority="3698" operator="lessThan">
      <formula>20</formula>
    </cfRule>
    <cfRule type="cellIs" dxfId="1" priority="2929" operator="greaterThan">
      <formula>120</formula>
    </cfRule>
    <cfRule type="containsText" dxfId="2" priority="2160" operator="between" text="库存为">
      <formula>NOT(ISERROR(SEARCH("库存为",AU295)))</formula>
    </cfRule>
  </conditionalFormatting>
  <conditionalFormatting sqref="AU296">
    <cfRule type="cellIs" dxfId="0" priority="3697" operator="lessThan">
      <formula>20</formula>
    </cfRule>
    <cfRule type="cellIs" dxfId="1" priority="2928" operator="greaterThan">
      <formula>120</formula>
    </cfRule>
    <cfRule type="containsText" dxfId="2" priority="2159" operator="between" text="库存为">
      <formula>NOT(ISERROR(SEARCH("库存为",AU296)))</formula>
    </cfRule>
  </conditionalFormatting>
  <conditionalFormatting sqref="AU297">
    <cfRule type="cellIs" dxfId="0" priority="3696" operator="lessThan">
      <formula>20</formula>
    </cfRule>
    <cfRule type="cellIs" dxfId="1" priority="2927" operator="greaterThan">
      <formula>120</formula>
    </cfRule>
    <cfRule type="containsText" dxfId="2" priority="2158" operator="between" text="库存为">
      <formula>NOT(ISERROR(SEARCH("库存为",AU297)))</formula>
    </cfRule>
  </conditionalFormatting>
  <conditionalFormatting sqref="AU298">
    <cfRule type="cellIs" dxfId="0" priority="3695" operator="lessThan">
      <formula>20</formula>
    </cfRule>
    <cfRule type="cellIs" dxfId="1" priority="2926" operator="greaterThan">
      <formula>120</formula>
    </cfRule>
    <cfRule type="containsText" dxfId="2" priority="2157" operator="between" text="库存为">
      <formula>NOT(ISERROR(SEARCH("库存为",AU298)))</formula>
    </cfRule>
  </conditionalFormatting>
  <conditionalFormatting sqref="AU299">
    <cfRule type="cellIs" dxfId="0" priority="3694" operator="lessThan">
      <formula>20</formula>
    </cfRule>
    <cfRule type="cellIs" dxfId="1" priority="2925" operator="greaterThan">
      <formula>120</formula>
    </cfRule>
    <cfRule type="containsText" dxfId="2" priority="2156" operator="between" text="库存为">
      <formula>NOT(ISERROR(SEARCH("库存为",AU299)))</formula>
    </cfRule>
  </conditionalFormatting>
  <conditionalFormatting sqref="AU300">
    <cfRule type="cellIs" dxfId="0" priority="3693" operator="lessThan">
      <formula>20</formula>
    </cfRule>
    <cfRule type="cellIs" dxfId="1" priority="2924" operator="greaterThan">
      <formula>120</formula>
    </cfRule>
    <cfRule type="containsText" dxfId="2" priority="2155" operator="between" text="库存为">
      <formula>NOT(ISERROR(SEARCH("库存为",AU300)))</formula>
    </cfRule>
  </conditionalFormatting>
  <conditionalFormatting sqref="AU301">
    <cfRule type="cellIs" dxfId="0" priority="3692" operator="lessThan">
      <formula>20</formula>
    </cfRule>
    <cfRule type="cellIs" dxfId="1" priority="2923" operator="greaterThan">
      <formula>120</formula>
    </cfRule>
    <cfRule type="containsText" dxfId="2" priority="2154" operator="between" text="库存为">
      <formula>NOT(ISERROR(SEARCH("库存为",AU301)))</formula>
    </cfRule>
  </conditionalFormatting>
  <conditionalFormatting sqref="AU302">
    <cfRule type="cellIs" dxfId="0" priority="3691" operator="lessThan">
      <formula>20</formula>
    </cfRule>
    <cfRule type="cellIs" dxfId="1" priority="2922" operator="greaterThan">
      <formula>120</formula>
    </cfRule>
    <cfRule type="containsText" dxfId="2" priority="2153" operator="between" text="库存为">
      <formula>NOT(ISERROR(SEARCH("库存为",AU302)))</formula>
    </cfRule>
  </conditionalFormatting>
  <conditionalFormatting sqref="AU303">
    <cfRule type="cellIs" dxfId="0" priority="3690" operator="lessThan">
      <formula>20</formula>
    </cfRule>
    <cfRule type="cellIs" dxfId="1" priority="2921" operator="greaterThan">
      <formula>120</formula>
    </cfRule>
    <cfRule type="containsText" dxfId="2" priority="2152" operator="between" text="库存为">
      <formula>NOT(ISERROR(SEARCH("库存为",AU303)))</formula>
    </cfRule>
  </conditionalFormatting>
  <conditionalFormatting sqref="AU304">
    <cfRule type="cellIs" dxfId="0" priority="3689" operator="lessThan">
      <formula>20</formula>
    </cfRule>
    <cfRule type="cellIs" dxfId="1" priority="2920" operator="greaterThan">
      <formula>120</formula>
    </cfRule>
    <cfRule type="containsText" dxfId="2" priority="2151" operator="between" text="库存为">
      <formula>NOT(ISERROR(SEARCH("库存为",AU304)))</formula>
    </cfRule>
  </conditionalFormatting>
  <conditionalFormatting sqref="AU305">
    <cfRule type="cellIs" dxfId="0" priority="3688" operator="lessThan">
      <formula>20</formula>
    </cfRule>
    <cfRule type="cellIs" dxfId="1" priority="2919" operator="greaterThan">
      <formula>120</formula>
    </cfRule>
    <cfRule type="containsText" dxfId="2" priority="2150" operator="between" text="库存为">
      <formula>NOT(ISERROR(SEARCH("库存为",AU305)))</formula>
    </cfRule>
  </conditionalFormatting>
  <conditionalFormatting sqref="AU306">
    <cfRule type="cellIs" dxfId="0" priority="3687" operator="lessThan">
      <formula>20</formula>
    </cfRule>
    <cfRule type="cellIs" dxfId="1" priority="2918" operator="greaterThan">
      <formula>120</formula>
    </cfRule>
    <cfRule type="containsText" dxfId="2" priority="2149" operator="between" text="库存为">
      <formula>NOT(ISERROR(SEARCH("库存为",AU306)))</formula>
    </cfRule>
  </conditionalFormatting>
  <conditionalFormatting sqref="AU307">
    <cfRule type="cellIs" dxfId="0" priority="3686" operator="lessThan">
      <formula>20</formula>
    </cfRule>
    <cfRule type="cellIs" dxfId="1" priority="2917" operator="greaterThan">
      <formula>120</formula>
    </cfRule>
    <cfRule type="containsText" dxfId="2" priority="2148" operator="between" text="库存为">
      <formula>NOT(ISERROR(SEARCH("库存为",AU307)))</formula>
    </cfRule>
  </conditionalFormatting>
  <conditionalFormatting sqref="AU308">
    <cfRule type="cellIs" dxfId="0" priority="3685" operator="lessThan">
      <formula>20</formula>
    </cfRule>
    <cfRule type="cellIs" dxfId="1" priority="2916" operator="greaterThan">
      <formula>120</formula>
    </cfRule>
    <cfRule type="containsText" dxfId="2" priority="2147" operator="between" text="库存为">
      <formula>NOT(ISERROR(SEARCH("库存为",AU308)))</formula>
    </cfRule>
  </conditionalFormatting>
  <conditionalFormatting sqref="AU309">
    <cfRule type="cellIs" dxfId="0" priority="3684" operator="lessThan">
      <formula>20</formula>
    </cfRule>
    <cfRule type="cellIs" dxfId="1" priority="2915" operator="greaterThan">
      <formula>120</formula>
    </cfRule>
    <cfRule type="containsText" dxfId="2" priority="2146" operator="between" text="库存为">
      <formula>NOT(ISERROR(SEARCH("库存为",AU309)))</formula>
    </cfRule>
  </conditionalFormatting>
  <conditionalFormatting sqref="AU310">
    <cfRule type="cellIs" dxfId="0" priority="3683" operator="lessThan">
      <formula>20</formula>
    </cfRule>
    <cfRule type="cellIs" dxfId="1" priority="2914" operator="greaterThan">
      <formula>120</formula>
    </cfRule>
    <cfRule type="containsText" dxfId="2" priority="2145" operator="between" text="库存为">
      <formula>NOT(ISERROR(SEARCH("库存为",AU310)))</formula>
    </cfRule>
  </conditionalFormatting>
  <conditionalFormatting sqref="AU311">
    <cfRule type="cellIs" dxfId="0" priority="3682" operator="lessThan">
      <formula>20</formula>
    </cfRule>
    <cfRule type="cellIs" dxfId="1" priority="2913" operator="greaterThan">
      <formula>120</formula>
    </cfRule>
    <cfRule type="containsText" dxfId="2" priority="2144" operator="between" text="库存为">
      <formula>NOT(ISERROR(SEARCH("库存为",AU311)))</formula>
    </cfRule>
  </conditionalFormatting>
  <conditionalFormatting sqref="AU312">
    <cfRule type="cellIs" dxfId="0" priority="3681" operator="lessThan">
      <formula>20</formula>
    </cfRule>
    <cfRule type="cellIs" dxfId="1" priority="2912" operator="greaterThan">
      <formula>120</formula>
    </cfRule>
    <cfRule type="containsText" dxfId="2" priority="2143" operator="between" text="库存为">
      <formula>NOT(ISERROR(SEARCH("库存为",AU312)))</formula>
    </cfRule>
  </conditionalFormatting>
  <conditionalFormatting sqref="AU313">
    <cfRule type="cellIs" dxfId="0" priority="3680" operator="lessThan">
      <formula>20</formula>
    </cfRule>
    <cfRule type="cellIs" dxfId="1" priority="2911" operator="greaterThan">
      <formula>120</formula>
    </cfRule>
    <cfRule type="containsText" dxfId="2" priority="2142" operator="between" text="库存为">
      <formula>NOT(ISERROR(SEARCH("库存为",AU313)))</formula>
    </cfRule>
  </conditionalFormatting>
  <conditionalFormatting sqref="AU314">
    <cfRule type="cellIs" dxfId="0" priority="3679" operator="lessThan">
      <formula>20</formula>
    </cfRule>
    <cfRule type="cellIs" dxfId="1" priority="2910" operator="greaterThan">
      <formula>120</formula>
    </cfRule>
    <cfRule type="containsText" dxfId="2" priority="2141" operator="between" text="库存为">
      <formula>NOT(ISERROR(SEARCH("库存为",AU314)))</formula>
    </cfRule>
  </conditionalFormatting>
  <conditionalFormatting sqref="AU315">
    <cfRule type="cellIs" dxfId="0" priority="3678" operator="lessThan">
      <formula>20</formula>
    </cfRule>
    <cfRule type="cellIs" dxfId="1" priority="2909" operator="greaterThan">
      <formula>120</formula>
    </cfRule>
    <cfRule type="containsText" dxfId="2" priority="2140" operator="between" text="库存为">
      <formula>NOT(ISERROR(SEARCH("库存为",AU315)))</formula>
    </cfRule>
  </conditionalFormatting>
  <conditionalFormatting sqref="AU316">
    <cfRule type="cellIs" dxfId="0" priority="3677" operator="lessThan">
      <formula>20</formula>
    </cfRule>
    <cfRule type="cellIs" dxfId="1" priority="2908" operator="greaterThan">
      <formula>120</formula>
    </cfRule>
    <cfRule type="containsText" dxfId="2" priority="2139" operator="between" text="库存为">
      <formula>NOT(ISERROR(SEARCH("库存为",AU316)))</formula>
    </cfRule>
  </conditionalFormatting>
  <conditionalFormatting sqref="AU317">
    <cfRule type="cellIs" dxfId="0" priority="3676" operator="lessThan">
      <formula>20</formula>
    </cfRule>
    <cfRule type="cellIs" dxfId="1" priority="2907" operator="greaterThan">
      <formula>120</formula>
    </cfRule>
    <cfRule type="containsText" dxfId="2" priority="2138" operator="between" text="库存为">
      <formula>NOT(ISERROR(SEARCH("库存为",AU317)))</formula>
    </cfRule>
  </conditionalFormatting>
  <conditionalFormatting sqref="AU318">
    <cfRule type="cellIs" dxfId="0" priority="3675" operator="lessThan">
      <formula>20</formula>
    </cfRule>
    <cfRule type="cellIs" dxfId="1" priority="2906" operator="greaterThan">
      <formula>120</formula>
    </cfRule>
    <cfRule type="containsText" dxfId="2" priority="2137" operator="between" text="库存为">
      <formula>NOT(ISERROR(SEARCH("库存为",AU318)))</formula>
    </cfRule>
  </conditionalFormatting>
  <conditionalFormatting sqref="AU319">
    <cfRule type="cellIs" dxfId="0" priority="3674" operator="lessThan">
      <formula>20</formula>
    </cfRule>
    <cfRule type="cellIs" dxfId="1" priority="2905" operator="greaterThan">
      <formula>120</formula>
    </cfRule>
    <cfRule type="containsText" dxfId="2" priority="2136" operator="between" text="库存为">
      <formula>NOT(ISERROR(SEARCH("库存为",AU319)))</formula>
    </cfRule>
  </conditionalFormatting>
  <conditionalFormatting sqref="AU320">
    <cfRule type="cellIs" dxfId="0" priority="3673" operator="lessThan">
      <formula>20</formula>
    </cfRule>
    <cfRule type="cellIs" dxfId="1" priority="2904" operator="greaterThan">
      <formula>120</formula>
    </cfRule>
    <cfRule type="containsText" dxfId="2" priority="2135" operator="between" text="库存为">
      <formula>NOT(ISERROR(SEARCH("库存为",AU320)))</formula>
    </cfRule>
  </conditionalFormatting>
  <conditionalFormatting sqref="AU321">
    <cfRule type="cellIs" dxfId="0" priority="3672" operator="lessThan">
      <formula>20</formula>
    </cfRule>
    <cfRule type="cellIs" dxfId="1" priority="2903" operator="greaterThan">
      <formula>120</formula>
    </cfRule>
    <cfRule type="containsText" dxfId="2" priority="2134" operator="between" text="库存为">
      <formula>NOT(ISERROR(SEARCH("库存为",AU321)))</formula>
    </cfRule>
  </conditionalFormatting>
  <conditionalFormatting sqref="AU322">
    <cfRule type="cellIs" dxfId="0" priority="3671" operator="lessThan">
      <formula>20</formula>
    </cfRule>
    <cfRule type="cellIs" dxfId="1" priority="2902" operator="greaterThan">
      <formula>120</formula>
    </cfRule>
    <cfRule type="containsText" dxfId="2" priority="2133" operator="between" text="库存为">
      <formula>NOT(ISERROR(SEARCH("库存为",AU322)))</formula>
    </cfRule>
  </conditionalFormatting>
  <conditionalFormatting sqref="AU323">
    <cfRule type="cellIs" dxfId="0" priority="3670" operator="lessThan">
      <formula>20</formula>
    </cfRule>
    <cfRule type="cellIs" dxfId="1" priority="2901" operator="greaterThan">
      <formula>120</formula>
    </cfRule>
    <cfRule type="containsText" dxfId="2" priority="2132" operator="between" text="库存为">
      <formula>NOT(ISERROR(SEARCH("库存为",AU323)))</formula>
    </cfRule>
  </conditionalFormatting>
  <conditionalFormatting sqref="AU324">
    <cfRule type="cellIs" dxfId="0" priority="3669" operator="lessThan">
      <formula>20</formula>
    </cfRule>
    <cfRule type="cellIs" dxfId="1" priority="2900" operator="greaterThan">
      <formula>120</formula>
    </cfRule>
    <cfRule type="containsText" dxfId="2" priority="2131" operator="between" text="库存为">
      <formula>NOT(ISERROR(SEARCH("库存为",AU324)))</formula>
    </cfRule>
  </conditionalFormatting>
  <conditionalFormatting sqref="AU325">
    <cfRule type="cellIs" dxfId="0" priority="3668" operator="lessThan">
      <formula>20</formula>
    </cfRule>
    <cfRule type="cellIs" dxfId="1" priority="2899" operator="greaterThan">
      <formula>120</formula>
    </cfRule>
    <cfRule type="containsText" dxfId="2" priority="2130" operator="between" text="库存为">
      <formula>NOT(ISERROR(SEARCH("库存为",AU325)))</formula>
    </cfRule>
  </conditionalFormatting>
  <conditionalFormatting sqref="AU326">
    <cfRule type="cellIs" dxfId="0" priority="3667" operator="lessThan">
      <formula>20</formula>
    </cfRule>
    <cfRule type="cellIs" dxfId="1" priority="2898" operator="greaterThan">
      <formula>120</formula>
    </cfRule>
    <cfRule type="containsText" dxfId="2" priority="2129" operator="between" text="库存为">
      <formula>NOT(ISERROR(SEARCH("库存为",AU326)))</formula>
    </cfRule>
  </conditionalFormatting>
  <conditionalFormatting sqref="AU327">
    <cfRule type="cellIs" dxfId="0" priority="3666" operator="lessThan">
      <formula>20</formula>
    </cfRule>
    <cfRule type="cellIs" dxfId="1" priority="2897" operator="greaterThan">
      <formula>120</formula>
    </cfRule>
    <cfRule type="containsText" dxfId="2" priority="2128" operator="between" text="库存为">
      <formula>NOT(ISERROR(SEARCH("库存为",AU327)))</formula>
    </cfRule>
  </conditionalFormatting>
  <conditionalFormatting sqref="AU328">
    <cfRule type="cellIs" dxfId="0" priority="3665" operator="lessThan">
      <formula>20</formula>
    </cfRule>
    <cfRule type="cellIs" dxfId="1" priority="2896" operator="greaterThan">
      <formula>120</formula>
    </cfRule>
    <cfRule type="containsText" dxfId="2" priority="2127" operator="between" text="库存为">
      <formula>NOT(ISERROR(SEARCH("库存为",AU328)))</formula>
    </cfRule>
  </conditionalFormatting>
  <conditionalFormatting sqref="AU329">
    <cfRule type="cellIs" dxfId="0" priority="3664" operator="lessThan">
      <formula>20</formula>
    </cfRule>
    <cfRule type="cellIs" dxfId="1" priority="2895" operator="greaterThan">
      <formula>120</formula>
    </cfRule>
    <cfRule type="containsText" dxfId="2" priority="2126" operator="between" text="库存为">
      <formula>NOT(ISERROR(SEARCH("库存为",AU329)))</formula>
    </cfRule>
  </conditionalFormatting>
  <conditionalFormatting sqref="AU330">
    <cfRule type="cellIs" dxfId="0" priority="3663" operator="lessThan">
      <formula>20</formula>
    </cfRule>
    <cfRule type="cellIs" dxfId="1" priority="2894" operator="greaterThan">
      <formula>120</formula>
    </cfRule>
    <cfRule type="containsText" dxfId="2" priority="2125" operator="between" text="库存为">
      <formula>NOT(ISERROR(SEARCH("库存为",AU330)))</formula>
    </cfRule>
  </conditionalFormatting>
  <conditionalFormatting sqref="AU331">
    <cfRule type="cellIs" dxfId="0" priority="3662" operator="lessThan">
      <formula>20</formula>
    </cfRule>
    <cfRule type="cellIs" dxfId="1" priority="2893" operator="greaterThan">
      <formula>120</formula>
    </cfRule>
    <cfRule type="containsText" dxfId="2" priority="2124" operator="between" text="库存为">
      <formula>NOT(ISERROR(SEARCH("库存为",AU331)))</formula>
    </cfRule>
  </conditionalFormatting>
  <conditionalFormatting sqref="AU332">
    <cfRule type="cellIs" dxfId="0" priority="3661" operator="lessThan">
      <formula>20</formula>
    </cfRule>
    <cfRule type="cellIs" dxfId="1" priority="2892" operator="greaterThan">
      <formula>120</formula>
    </cfRule>
    <cfRule type="containsText" dxfId="2" priority="2123" operator="between" text="库存为">
      <formula>NOT(ISERROR(SEARCH("库存为",AU332)))</formula>
    </cfRule>
  </conditionalFormatting>
  <conditionalFormatting sqref="AU333">
    <cfRule type="cellIs" dxfId="0" priority="3660" operator="lessThan">
      <formula>20</formula>
    </cfRule>
    <cfRule type="cellIs" dxfId="1" priority="2891" operator="greaterThan">
      <formula>120</formula>
    </cfRule>
    <cfRule type="containsText" dxfId="2" priority="2122" operator="between" text="库存为">
      <formula>NOT(ISERROR(SEARCH("库存为",AU333)))</formula>
    </cfRule>
  </conditionalFormatting>
  <conditionalFormatting sqref="AU334">
    <cfRule type="cellIs" dxfId="0" priority="3659" operator="lessThan">
      <formula>20</formula>
    </cfRule>
    <cfRule type="cellIs" dxfId="1" priority="2890" operator="greaterThan">
      <formula>120</formula>
    </cfRule>
    <cfRule type="containsText" dxfId="2" priority="2121" operator="between" text="库存为">
      <formula>NOT(ISERROR(SEARCH("库存为",AU334)))</formula>
    </cfRule>
  </conditionalFormatting>
  <conditionalFormatting sqref="AU335">
    <cfRule type="cellIs" dxfId="0" priority="3658" operator="lessThan">
      <formula>20</formula>
    </cfRule>
    <cfRule type="cellIs" dxfId="1" priority="2889" operator="greaterThan">
      <formula>120</formula>
    </cfRule>
    <cfRule type="containsText" dxfId="2" priority="2120" operator="between" text="库存为">
      <formula>NOT(ISERROR(SEARCH("库存为",AU335)))</formula>
    </cfRule>
  </conditionalFormatting>
  <conditionalFormatting sqref="AU336">
    <cfRule type="cellIs" dxfId="0" priority="3657" operator="lessThan">
      <formula>20</formula>
    </cfRule>
    <cfRule type="cellIs" dxfId="1" priority="2888" operator="greaterThan">
      <formula>120</formula>
    </cfRule>
    <cfRule type="containsText" dxfId="2" priority="2119" operator="between" text="库存为">
      <formula>NOT(ISERROR(SEARCH("库存为",AU336)))</formula>
    </cfRule>
  </conditionalFormatting>
  <conditionalFormatting sqref="AU337">
    <cfRule type="cellIs" dxfId="0" priority="3656" operator="lessThan">
      <formula>20</formula>
    </cfRule>
    <cfRule type="cellIs" dxfId="1" priority="2887" operator="greaterThan">
      <formula>120</formula>
    </cfRule>
    <cfRule type="containsText" dxfId="2" priority="2118" operator="between" text="库存为">
      <formula>NOT(ISERROR(SEARCH("库存为",AU337)))</formula>
    </cfRule>
  </conditionalFormatting>
  <conditionalFormatting sqref="AU338">
    <cfRule type="cellIs" dxfId="0" priority="3655" operator="lessThan">
      <formula>20</formula>
    </cfRule>
    <cfRule type="cellIs" dxfId="1" priority="2886" operator="greaterThan">
      <formula>120</formula>
    </cfRule>
    <cfRule type="containsText" dxfId="2" priority="2117" operator="between" text="库存为">
      <formula>NOT(ISERROR(SEARCH("库存为",AU338)))</formula>
    </cfRule>
  </conditionalFormatting>
  <conditionalFormatting sqref="AU339">
    <cfRule type="cellIs" dxfId="0" priority="3654" operator="lessThan">
      <formula>20</formula>
    </cfRule>
    <cfRule type="cellIs" dxfId="1" priority="2885" operator="greaterThan">
      <formula>120</formula>
    </cfRule>
    <cfRule type="containsText" dxfId="2" priority="2116" operator="between" text="库存为">
      <formula>NOT(ISERROR(SEARCH("库存为",AU339)))</formula>
    </cfRule>
  </conditionalFormatting>
  <conditionalFormatting sqref="AU340">
    <cfRule type="cellIs" dxfId="0" priority="3653" operator="lessThan">
      <formula>20</formula>
    </cfRule>
    <cfRule type="cellIs" dxfId="1" priority="2884" operator="greaterThan">
      <formula>120</formula>
    </cfRule>
    <cfRule type="containsText" dxfId="2" priority="2115" operator="between" text="库存为">
      <formula>NOT(ISERROR(SEARCH("库存为",AU340)))</formula>
    </cfRule>
  </conditionalFormatting>
  <conditionalFormatting sqref="AU341">
    <cfRule type="cellIs" dxfId="0" priority="3652" operator="lessThan">
      <formula>20</formula>
    </cfRule>
    <cfRule type="cellIs" dxfId="1" priority="2883" operator="greaterThan">
      <formula>120</formula>
    </cfRule>
    <cfRule type="containsText" dxfId="2" priority="2114" operator="between" text="库存为">
      <formula>NOT(ISERROR(SEARCH("库存为",AU341)))</formula>
    </cfRule>
  </conditionalFormatting>
  <conditionalFormatting sqref="AU342">
    <cfRule type="cellIs" dxfId="0" priority="3651" operator="lessThan">
      <formula>20</formula>
    </cfRule>
    <cfRule type="cellIs" dxfId="1" priority="2882" operator="greaterThan">
      <formula>120</formula>
    </cfRule>
    <cfRule type="containsText" dxfId="2" priority="2113" operator="between" text="库存为">
      <formula>NOT(ISERROR(SEARCH("库存为",AU342)))</formula>
    </cfRule>
  </conditionalFormatting>
  <conditionalFormatting sqref="AU343">
    <cfRule type="cellIs" dxfId="0" priority="3650" operator="lessThan">
      <formula>20</formula>
    </cfRule>
    <cfRule type="cellIs" dxfId="1" priority="2881" operator="greaterThan">
      <formula>120</formula>
    </cfRule>
    <cfRule type="containsText" dxfId="2" priority="2112" operator="between" text="库存为">
      <formula>NOT(ISERROR(SEARCH("库存为",AU343)))</formula>
    </cfRule>
  </conditionalFormatting>
  <conditionalFormatting sqref="AU344">
    <cfRule type="cellIs" dxfId="0" priority="3649" operator="lessThan">
      <formula>20</formula>
    </cfRule>
    <cfRule type="cellIs" dxfId="1" priority="2880" operator="greaterThan">
      <formula>120</formula>
    </cfRule>
    <cfRule type="containsText" dxfId="2" priority="2111" operator="between" text="库存为">
      <formula>NOT(ISERROR(SEARCH("库存为",AU344)))</formula>
    </cfRule>
  </conditionalFormatting>
  <conditionalFormatting sqref="AU345">
    <cfRule type="cellIs" dxfId="0" priority="3648" operator="lessThan">
      <formula>20</formula>
    </cfRule>
    <cfRule type="cellIs" dxfId="1" priority="2879" operator="greaterThan">
      <formula>120</formula>
    </cfRule>
    <cfRule type="containsText" dxfId="2" priority="2110" operator="between" text="库存为">
      <formula>NOT(ISERROR(SEARCH("库存为",AU345)))</formula>
    </cfRule>
  </conditionalFormatting>
  <conditionalFormatting sqref="AU346">
    <cfRule type="cellIs" dxfId="0" priority="3647" operator="lessThan">
      <formula>20</formula>
    </cfRule>
    <cfRule type="cellIs" dxfId="1" priority="2878" operator="greaterThan">
      <formula>120</formula>
    </cfRule>
    <cfRule type="containsText" dxfId="2" priority="2109" operator="between" text="库存为">
      <formula>NOT(ISERROR(SEARCH("库存为",AU346)))</formula>
    </cfRule>
  </conditionalFormatting>
  <conditionalFormatting sqref="AU347">
    <cfRule type="cellIs" dxfId="0" priority="3646" operator="lessThan">
      <formula>20</formula>
    </cfRule>
    <cfRule type="cellIs" dxfId="1" priority="2877" operator="greaterThan">
      <formula>120</formula>
    </cfRule>
    <cfRule type="containsText" dxfId="2" priority="2108" operator="between" text="库存为">
      <formula>NOT(ISERROR(SEARCH("库存为",AU347)))</formula>
    </cfRule>
  </conditionalFormatting>
  <conditionalFormatting sqref="AU348">
    <cfRule type="cellIs" dxfId="0" priority="3645" operator="lessThan">
      <formula>20</formula>
    </cfRule>
    <cfRule type="cellIs" dxfId="1" priority="2876" operator="greaterThan">
      <formula>120</formula>
    </cfRule>
    <cfRule type="containsText" dxfId="2" priority="2107" operator="between" text="库存为">
      <formula>NOT(ISERROR(SEARCH("库存为",AU348)))</formula>
    </cfRule>
  </conditionalFormatting>
  <conditionalFormatting sqref="AU349">
    <cfRule type="cellIs" dxfId="0" priority="3644" operator="lessThan">
      <formula>20</formula>
    </cfRule>
    <cfRule type="cellIs" dxfId="1" priority="2875" operator="greaterThan">
      <formula>120</formula>
    </cfRule>
    <cfRule type="containsText" dxfId="2" priority="2106" operator="between" text="库存为">
      <formula>NOT(ISERROR(SEARCH("库存为",AU349)))</formula>
    </cfRule>
  </conditionalFormatting>
  <conditionalFormatting sqref="AU350">
    <cfRule type="cellIs" dxfId="0" priority="3643" operator="lessThan">
      <formula>20</formula>
    </cfRule>
    <cfRule type="cellIs" dxfId="1" priority="2874" operator="greaterThan">
      <formula>120</formula>
    </cfRule>
    <cfRule type="containsText" dxfId="2" priority="2105" operator="between" text="库存为">
      <formula>NOT(ISERROR(SEARCH("库存为",AU350)))</formula>
    </cfRule>
  </conditionalFormatting>
  <conditionalFormatting sqref="AU351">
    <cfRule type="cellIs" dxfId="0" priority="3642" operator="lessThan">
      <formula>20</formula>
    </cfRule>
    <cfRule type="cellIs" dxfId="1" priority="2873" operator="greaterThan">
      <formula>120</formula>
    </cfRule>
    <cfRule type="containsText" dxfId="2" priority="2104" operator="between" text="库存为">
      <formula>NOT(ISERROR(SEARCH("库存为",AU351)))</formula>
    </cfRule>
  </conditionalFormatting>
  <conditionalFormatting sqref="AU352">
    <cfRule type="cellIs" dxfId="0" priority="3641" operator="lessThan">
      <formula>20</formula>
    </cfRule>
    <cfRule type="cellIs" dxfId="1" priority="2872" operator="greaterThan">
      <formula>120</formula>
    </cfRule>
    <cfRule type="containsText" dxfId="2" priority="2103" operator="between" text="库存为">
      <formula>NOT(ISERROR(SEARCH("库存为",AU352)))</formula>
    </cfRule>
  </conditionalFormatting>
  <conditionalFormatting sqref="AU353">
    <cfRule type="cellIs" dxfId="0" priority="3640" operator="lessThan">
      <formula>20</formula>
    </cfRule>
    <cfRule type="cellIs" dxfId="1" priority="2871" operator="greaterThan">
      <formula>120</formula>
    </cfRule>
    <cfRule type="containsText" dxfId="2" priority="2102" operator="between" text="库存为">
      <formula>NOT(ISERROR(SEARCH("库存为",AU353)))</formula>
    </cfRule>
  </conditionalFormatting>
  <conditionalFormatting sqref="AU354">
    <cfRule type="cellIs" dxfId="0" priority="3639" operator="lessThan">
      <formula>20</formula>
    </cfRule>
    <cfRule type="cellIs" dxfId="1" priority="2870" operator="greaterThan">
      <formula>120</formula>
    </cfRule>
    <cfRule type="containsText" dxfId="2" priority="2101" operator="between" text="库存为">
      <formula>NOT(ISERROR(SEARCH("库存为",AU354)))</formula>
    </cfRule>
  </conditionalFormatting>
  <conditionalFormatting sqref="AU355">
    <cfRule type="cellIs" dxfId="0" priority="3638" operator="lessThan">
      <formula>20</formula>
    </cfRule>
    <cfRule type="cellIs" dxfId="1" priority="2869" operator="greaterThan">
      <formula>120</formula>
    </cfRule>
    <cfRule type="containsText" dxfId="2" priority="2100" operator="between" text="库存为">
      <formula>NOT(ISERROR(SEARCH("库存为",AU355)))</formula>
    </cfRule>
  </conditionalFormatting>
  <conditionalFormatting sqref="AU356">
    <cfRule type="cellIs" dxfId="0" priority="3637" operator="lessThan">
      <formula>20</formula>
    </cfRule>
    <cfRule type="cellIs" dxfId="1" priority="2868" operator="greaterThan">
      <formula>120</formula>
    </cfRule>
    <cfRule type="containsText" dxfId="2" priority="2099" operator="between" text="库存为">
      <formula>NOT(ISERROR(SEARCH("库存为",AU356)))</formula>
    </cfRule>
  </conditionalFormatting>
  <conditionalFormatting sqref="AU357">
    <cfRule type="cellIs" dxfId="0" priority="3636" operator="lessThan">
      <formula>20</formula>
    </cfRule>
    <cfRule type="cellIs" dxfId="1" priority="2867" operator="greaterThan">
      <formula>120</formula>
    </cfRule>
    <cfRule type="containsText" dxfId="2" priority="2098" operator="between" text="库存为">
      <formula>NOT(ISERROR(SEARCH("库存为",AU357)))</formula>
    </cfRule>
  </conditionalFormatting>
  <conditionalFormatting sqref="AU358">
    <cfRule type="cellIs" dxfId="0" priority="3635" operator="lessThan">
      <formula>20</formula>
    </cfRule>
    <cfRule type="cellIs" dxfId="1" priority="2866" operator="greaterThan">
      <formula>120</formula>
    </cfRule>
    <cfRule type="containsText" dxfId="2" priority="2097" operator="between" text="库存为">
      <formula>NOT(ISERROR(SEARCH("库存为",AU358)))</formula>
    </cfRule>
  </conditionalFormatting>
  <conditionalFormatting sqref="AU359">
    <cfRule type="cellIs" dxfId="0" priority="3634" operator="lessThan">
      <formula>20</formula>
    </cfRule>
    <cfRule type="cellIs" dxfId="1" priority="2865" operator="greaterThan">
      <formula>120</formula>
    </cfRule>
    <cfRule type="containsText" dxfId="2" priority="2096" operator="between" text="库存为">
      <formula>NOT(ISERROR(SEARCH("库存为",AU359)))</formula>
    </cfRule>
  </conditionalFormatting>
  <conditionalFormatting sqref="AU360">
    <cfRule type="cellIs" dxfId="0" priority="3633" operator="lessThan">
      <formula>20</formula>
    </cfRule>
    <cfRule type="cellIs" dxfId="1" priority="2864" operator="greaterThan">
      <formula>120</formula>
    </cfRule>
    <cfRule type="containsText" dxfId="2" priority="2095" operator="between" text="库存为">
      <formula>NOT(ISERROR(SEARCH("库存为",AU360)))</formula>
    </cfRule>
  </conditionalFormatting>
  <conditionalFormatting sqref="AU361">
    <cfRule type="cellIs" dxfId="0" priority="3632" operator="lessThan">
      <formula>20</formula>
    </cfRule>
    <cfRule type="cellIs" dxfId="1" priority="2863" operator="greaterThan">
      <formula>120</formula>
    </cfRule>
    <cfRule type="containsText" dxfId="2" priority="2094" operator="between" text="库存为">
      <formula>NOT(ISERROR(SEARCH("库存为",AU361)))</formula>
    </cfRule>
  </conditionalFormatting>
  <conditionalFormatting sqref="AU362">
    <cfRule type="cellIs" dxfId="0" priority="3631" operator="lessThan">
      <formula>20</formula>
    </cfRule>
    <cfRule type="cellIs" dxfId="1" priority="2862" operator="greaterThan">
      <formula>120</formula>
    </cfRule>
    <cfRule type="containsText" dxfId="2" priority="2093" operator="between" text="库存为">
      <formula>NOT(ISERROR(SEARCH("库存为",AU362)))</formula>
    </cfRule>
  </conditionalFormatting>
  <conditionalFormatting sqref="AU363">
    <cfRule type="cellIs" dxfId="0" priority="3630" operator="lessThan">
      <formula>20</formula>
    </cfRule>
    <cfRule type="cellIs" dxfId="1" priority="2861" operator="greaterThan">
      <formula>120</formula>
    </cfRule>
    <cfRule type="containsText" dxfId="2" priority="2092" operator="between" text="库存为">
      <formula>NOT(ISERROR(SEARCH("库存为",AU363)))</formula>
    </cfRule>
  </conditionalFormatting>
  <conditionalFormatting sqref="AU364">
    <cfRule type="cellIs" dxfId="0" priority="3629" operator="lessThan">
      <formula>20</formula>
    </cfRule>
    <cfRule type="cellIs" dxfId="1" priority="2860" operator="greaterThan">
      <formula>120</formula>
    </cfRule>
    <cfRule type="containsText" dxfId="2" priority="2091" operator="between" text="库存为">
      <formula>NOT(ISERROR(SEARCH("库存为",AU364)))</formula>
    </cfRule>
  </conditionalFormatting>
  <conditionalFormatting sqref="AU365">
    <cfRule type="cellIs" dxfId="0" priority="3628" operator="lessThan">
      <formula>20</formula>
    </cfRule>
    <cfRule type="cellIs" dxfId="1" priority="2859" operator="greaterThan">
      <formula>120</formula>
    </cfRule>
    <cfRule type="containsText" dxfId="2" priority="2090" operator="between" text="库存为">
      <formula>NOT(ISERROR(SEARCH("库存为",AU365)))</formula>
    </cfRule>
  </conditionalFormatting>
  <conditionalFormatting sqref="AU366">
    <cfRule type="cellIs" dxfId="0" priority="3627" operator="lessThan">
      <formula>20</formula>
    </cfRule>
    <cfRule type="cellIs" dxfId="1" priority="2858" operator="greaterThan">
      <formula>120</formula>
    </cfRule>
    <cfRule type="containsText" dxfId="2" priority="2089" operator="between" text="库存为">
      <formula>NOT(ISERROR(SEARCH("库存为",AU366)))</formula>
    </cfRule>
  </conditionalFormatting>
  <conditionalFormatting sqref="AU367">
    <cfRule type="cellIs" dxfId="0" priority="3626" operator="lessThan">
      <formula>20</formula>
    </cfRule>
    <cfRule type="cellIs" dxfId="1" priority="2857" operator="greaterThan">
      <formula>120</formula>
    </cfRule>
    <cfRule type="containsText" dxfId="2" priority="2088" operator="between" text="库存为">
      <formula>NOT(ISERROR(SEARCH("库存为",AU367)))</formula>
    </cfRule>
  </conditionalFormatting>
  <conditionalFormatting sqref="AU368">
    <cfRule type="cellIs" dxfId="0" priority="3625" operator="lessThan">
      <formula>20</formula>
    </cfRule>
    <cfRule type="cellIs" dxfId="1" priority="2856" operator="greaterThan">
      <formula>120</formula>
    </cfRule>
    <cfRule type="containsText" dxfId="2" priority="2087" operator="between" text="库存为">
      <formula>NOT(ISERROR(SEARCH("库存为",AU368)))</formula>
    </cfRule>
  </conditionalFormatting>
  <conditionalFormatting sqref="AU369">
    <cfRule type="cellIs" dxfId="0" priority="3624" operator="lessThan">
      <formula>20</formula>
    </cfRule>
    <cfRule type="cellIs" dxfId="1" priority="2855" operator="greaterThan">
      <formula>120</formula>
    </cfRule>
    <cfRule type="containsText" dxfId="2" priority="2086" operator="between" text="库存为">
      <formula>NOT(ISERROR(SEARCH("库存为",AU369)))</formula>
    </cfRule>
  </conditionalFormatting>
  <conditionalFormatting sqref="AU370">
    <cfRule type="cellIs" dxfId="0" priority="3623" operator="lessThan">
      <formula>20</formula>
    </cfRule>
    <cfRule type="cellIs" dxfId="1" priority="2854" operator="greaterThan">
      <formula>120</formula>
    </cfRule>
    <cfRule type="containsText" dxfId="2" priority="2085" operator="between" text="库存为">
      <formula>NOT(ISERROR(SEARCH("库存为",AU370)))</formula>
    </cfRule>
  </conditionalFormatting>
  <conditionalFormatting sqref="AU371">
    <cfRule type="cellIs" dxfId="0" priority="3622" operator="lessThan">
      <formula>20</formula>
    </cfRule>
    <cfRule type="cellIs" dxfId="1" priority="2853" operator="greaterThan">
      <formula>120</formula>
    </cfRule>
    <cfRule type="containsText" dxfId="2" priority="2084" operator="between" text="库存为">
      <formula>NOT(ISERROR(SEARCH("库存为",AU371)))</formula>
    </cfRule>
  </conditionalFormatting>
  <conditionalFormatting sqref="AU372">
    <cfRule type="cellIs" dxfId="0" priority="3621" operator="lessThan">
      <formula>20</formula>
    </cfRule>
    <cfRule type="cellIs" dxfId="1" priority="2852" operator="greaterThan">
      <formula>120</formula>
    </cfRule>
    <cfRule type="containsText" dxfId="2" priority="2083" operator="between" text="库存为">
      <formula>NOT(ISERROR(SEARCH("库存为",AU372)))</formula>
    </cfRule>
  </conditionalFormatting>
  <conditionalFormatting sqref="AU373">
    <cfRule type="cellIs" dxfId="0" priority="3620" operator="lessThan">
      <formula>20</formula>
    </cfRule>
    <cfRule type="cellIs" dxfId="1" priority="2851" operator="greaterThan">
      <formula>120</formula>
    </cfRule>
    <cfRule type="containsText" dxfId="2" priority="2082" operator="between" text="库存为">
      <formula>NOT(ISERROR(SEARCH("库存为",AU373)))</formula>
    </cfRule>
  </conditionalFormatting>
  <conditionalFormatting sqref="AU374">
    <cfRule type="cellIs" dxfId="0" priority="3619" operator="lessThan">
      <formula>20</formula>
    </cfRule>
    <cfRule type="cellIs" dxfId="1" priority="2850" operator="greaterThan">
      <formula>120</formula>
    </cfRule>
    <cfRule type="containsText" dxfId="2" priority="2081" operator="between" text="库存为">
      <formula>NOT(ISERROR(SEARCH("库存为",AU374)))</formula>
    </cfRule>
  </conditionalFormatting>
  <conditionalFormatting sqref="AU375">
    <cfRule type="cellIs" dxfId="0" priority="3618" operator="lessThan">
      <formula>20</formula>
    </cfRule>
    <cfRule type="cellIs" dxfId="1" priority="2849" operator="greaterThan">
      <formula>120</formula>
    </cfRule>
    <cfRule type="containsText" dxfId="2" priority="2080" operator="between" text="库存为">
      <formula>NOT(ISERROR(SEARCH("库存为",AU375)))</formula>
    </cfRule>
  </conditionalFormatting>
  <conditionalFormatting sqref="AU376">
    <cfRule type="cellIs" dxfId="0" priority="3617" operator="lessThan">
      <formula>20</formula>
    </cfRule>
    <cfRule type="cellIs" dxfId="1" priority="2848" operator="greaterThan">
      <formula>120</formula>
    </cfRule>
    <cfRule type="containsText" dxfId="2" priority="2079" operator="between" text="库存为">
      <formula>NOT(ISERROR(SEARCH("库存为",AU376)))</formula>
    </cfRule>
  </conditionalFormatting>
  <conditionalFormatting sqref="AU377">
    <cfRule type="cellIs" dxfId="0" priority="3616" operator="lessThan">
      <formula>20</formula>
    </cfRule>
    <cfRule type="cellIs" dxfId="1" priority="2847" operator="greaterThan">
      <formula>120</formula>
    </cfRule>
    <cfRule type="containsText" dxfId="2" priority="2078" operator="between" text="库存为">
      <formula>NOT(ISERROR(SEARCH("库存为",AU377)))</formula>
    </cfRule>
  </conditionalFormatting>
  <conditionalFormatting sqref="AU378">
    <cfRule type="cellIs" dxfId="0" priority="3615" operator="lessThan">
      <formula>20</formula>
    </cfRule>
    <cfRule type="cellIs" dxfId="1" priority="2846" operator="greaterThan">
      <formula>120</formula>
    </cfRule>
    <cfRule type="containsText" dxfId="2" priority="2077" operator="between" text="库存为">
      <formula>NOT(ISERROR(SEARCH("库存为",AU378)))</formula>
    </cfRule>
  </conditionalFormatting>
  <conditionalFormatting sqref="AU379">
    <cfRule type="cellIs" dxfId="0" priority="3614" operator="lessThan">
      <formula>20</formula>
    </cfRule>
    <cfRule type="cellIs" dxfId="1" priority="2845" operator="greaterThan">
      <formula>120</formula>
    </cfRule>
    <cfRule type="containsText" dxfId="2" priority="2076" operator="between" text="库存为">
      <formula>NOT(ISERROR(SEARCH("库存为",AU379)))</formula>
    </cfRule>
  </conditionalFormatting>
  <conditionalFormatting sqref="AU380">
    <cfRule type="cellIs" dxfId="0" priority="3613" operator="lessThan">
      <formula>20</formula>
    </cfRule>
    <cfRule type="cellIs" dxfId="1" priority="2844" operator="greaterThan">
      <formula>120</formula>
    </cfRule>
    <cfRule type="containsText" dxfId="2" priority="2075" operator="between" text="库存为">
      <formula>NOT(ISERROR(SEARCH("库存为",AU380)))</formula>
    </cfRule>
  </conditionalFormatting>
  <conditionalFormatting sqref="AU381">
    <cfRule type="cellIs" dxfId="0" priority="3612" operator="lessThan">
      <formula>20</formula>
    </cfRule>
    <cfRule type="cellIs" dxfId="1" priority="2843" operator="greaterThan">
      <formula>120</formula>
    </cfRule>
    <cfRule type="containsText" dxfId="2" priority="2074" operator="between" text="库存为">
      <formula>NOT(ISERROR(SEARCH("库存为",AU381)))</formula>
    </cfRule>
  </conditionalFormatting>
  <conditionalFormatting sqref="AU382">
    <cfRule type="cellIs" dxfId="0" priority="3611" operator="lessThan">
      <formula>20</formula>
    </cfRule>
    <cfRule type="cellIs" dxfId="1" priority="2842" operator="greaterThan">
      <formula>120</formula>
    </cfRule>
    <cfRule type="containsText" dxfId="2" priority="2073" operator="between" text="库存为">
      <formula>NOT(ISERROR(SEARCH("库存为",AU382)))</formula>
    </cfRule>
  </conditionalFormatting>
  <conditionalFormatting sqref="AU383">
    <cfRule type="cellIs" dxfId="0" priority="3610" operator="lessThan">
      <formula>20</formula>
    </cfRule>
    <cfRule type="cellIs" dxfId="1" priority="2841" operator="greaterThan">
      <formula>120</formula>
    </cfRule>
    <cfRule type="containsText" dxfId="2" priority="2072" operator="between" text="库存为">
      <formula>NOT(ISERROR(SEARCH("库存为",AU383)))</formula>
    </cfRule>
  </conditionalFormatting>
  <conditionalFormatting sqref="AU384">
    <cfRule type="cellIs" dxfId="0" priority="3609" operator="lessThan">
      <formula>20</formula>
    </cfRule>
    <cfRule type="cellIs" dxfId="1" priority="2840" operator="greaterThan">
      <formula>120</formula>
    </cfRule>
    <cfRule type="containsText" dxfId="2" priority="2071" operator="between" text="库存为">
      <formula>NOT(ISERROR(SEARCH("库存为",AU384)))</formula>
    </cfRule>
  </conditionalFormatting>
  <conditionalFormatting sqref="AU385">
    <cfRule type="cellIs" dxfId="0" priority="3608" operator="lessThan">
      <formula>20</formula>
    </cfRule>
    <cfRule type="cellIs" dxfId="1" priority="2839" operator="greaterThan">
      <formula>120</formula>
    </cfRule>
    <cfRule type="containsText" dxfId="2" priority="2070" operator="between" text="库存为">
      <formula>NOT(ISERROR(SEARCH("库存为",AU385)))</formula>
    </cfRule>
  </conditionalFormatting>
  <conditionalFormatting sqref="AU386">
    <cfRule type="cellIs" dxfId="0" priority="3607" operator="lessThan">
      <formula>20</formula>
    </cfRule>
    <cfRule type="cellIs" dxfId="1" priority="2838" operator="greaterThan">
      <formula>120</formula>
    </cfRule>
    <cfRule type="containsText" dxfId="2" priority="2069" operator="between" text="库存为">
      <formula>NOT(ISERROR(SEARCH("库存为",AU386)))</formula>
    </cfRule>
  </conditionalFormatting>
  <conditionalFormatting sqref="AU387">
    <cfRule type="cellIs" dxfId="0" priority="3606" operator="lessThan">
      <formula>20</formula>
    </cfRule>
    <cfRule type="cellIs" dxfId="1" priority="2837" operator="greaterThan">
      <formula>120</formula>
    </cfRule>
    <cfRule type="containsText" dxfId="2" priority="2068" operator="between" text="库存为">
      <formula>NOT(ISERROR(SEARCH("库存为",AU387)))</formula>
    </cfRule>
  </conditionalFormatting>
  <conditionalFormatting sqref="AU388">
    <cfRule type="cellIs" dxfId="0" priority="3605" operator="lessThan">
      <formula>20</formula>
    </cfRule>
    <cfRule type="cellIs" dxfId="1" priority="2836" operator="greaterThan">
      <formula>120</formula>
    </cfRule>
    <cfRule type="containsText" dxfId="2" priority="2067" operator="between" text="库存为">
      <formula>NOT(ISERROR(SEARCH("库存为",AU388)))</formula>
    </cfRule>
  </conditionalFormatting>
  <conditionalFormatting sqref="AU389">
    <cfRule type="cellIs" dxfId="0" priority="3604" operator="lessThan">
      <formula>20</formula>
    </cfRule>
    <cfRule type="cellIs" dxfId="1" priority="2835" operator="greaterThan">
      <formula>120</formula>
    </cfRule>
    <cfRule type="containsText" dxfId="2" priority="2066" operator="between" text="库存为">
      <formula>NOT(ISERROR(SEARCH("库存为",AU389)))</formula>
    </cfRule>
  </conditionalFormatting>
  <conditionalFormatting sqref="AU390">
    <cfRule type="cellIs" dxfId="0" priority="3603" operator="lessThan">
      <formula>20</formula>
    </cfRule>
    <cfRule type="cellIs" dxfId="1" priority="2834" operator="greaterThan">
      <formula>120</formula>
    </cfRule>
    <cfRule type="containsText" dxfId="2" priority="2065" operator="between" text="库存为">
      <formula>NOT(ISERROR(SEARCH("库存为",AU390)))</formula>
    </cfRule>
  </conditionalFormatting>
  <conditionalFormatting sqref="AU391">
    <cfRule type="cellIs" dxfId="0" priority="3602" operator="lessThan">
      <formula>20</formula>
    </cfRule>
    <cfRule type="cellIs" dxfId="1" priority="2833" operator="greaterThan">
      <formula>120</formula>
    </cfRule>
    <cfRule type="containsText" dxfId="2" priority="2064" operator="between" text="库存为">
      <formula>NOT(ISERROR(SEARCH("库存为",AU391)))</formula>
    </cfRule>
  </conditionalFormatting>
  <conditionalFormatting sqref="AU392">
    <cfRule type="cellIs" dxfId="0" priority="3601" operator="lessThan">
      <formula>20</formula>
    </cfRule>
    <cfRule type="cellIs" dxfId="1" priority="2832" operator="greaterThan">
      <formula>120</formula>
    </cfRule>
    <cfRule type="containsText" dxfId="2" priority="2063" operator="between" text="库存为">
      <formula>NOT(ISERROR(SEARCH("库存为",AU392)))</formula>
    </cfRule>
  </conditionalFormatting>
  <conditionalFormatting sqref="AU393">
    <cfRule type="cellIs" dxfId="0" priority="3600" operator="lessThan">
      <formula>20</formula>
    </cfRule>
    <cfRule type="cellIs" dxfId="1" priority="2831" operator="greaterThan">
      <formula>120</formula>
    </cfRule>
    <cfRule type="containsText" dxfId="2" priority="2062" operator="between" text="库存为">
      <formula>NOT(ISERROR(SEARCH("库存为",AU393)))</formula>
    </cfRule>
  </conditionalFormatting>
  <conditionalFormatting sqref="AU394">
    <cfRule type="cellIs" dxfId="0" priority="3599" operator="lessThan">
      <formula>20</formula>
    </cfRule>
    <cfRule type="cellIs" dxfId="1" priority="2830" operator="greaterThan">
      <formula>120</formula>
    </cfRule>
    <cfRule type="containsText" dxfId="2" priority="2061" operator="between" text="库存为">
      <formula>NOT(ISERROR(SEARCH("库存为",AU394)))</formula>
    </cfRule>
  </conditionalFormatting>
  <conditionalFormatting sqref="AU395">
    <cfRule type="cellIs" dxfId="0" priority="3598" operator="lessThan">
      <formula>20</formula>
    </cfRule>
    <cfRule type="cellIs" dxfId="1" priority="2829" operator="greaterThan">
      <formula>120</formula>
    </cfRule>
    <cfRule type="containsText" dxfId="2" priority="2060" operator="between" text="库存为">
      <formula>NOT(ISERROR(SEARCH("库存为",AU395)))</formula>
    </cfRule>
  </conditionalFormatting>
  <conditionalFormatting sqref="AU396">
    <cfRule type="cellIs" dxfId="0" priority="3597" operator="lessThan">
      <formula>20</formula>
    </cfRule>
    <cfRule type="cellIs" dxfId="1" priority="2828" operator="greaterThan">
      <formula>120</formula>
    </cfRule>
    <cfRule type="containsText" dxfId="2" priority="2059" operator="between" text="库存为">
      <formula>NOT(ISERROR(SEARCH("库存为",AU396)))</formula>
    </cfRule>
  </conditionalFormatting>
  <conditionalFormatting sqref="AU397">
    <cfRule type="cellIs" dxfId="0" priority="3596" operator="lessThan">
      <formula>20</formula>
    </cfRule>
    <cfRule type="cellIs" dxfId="1" priority="2827" operator="greaterThan">
      <formula>120</formula>
    </cfRule>
    <cfRule type="containsText" dxfId="2" priority="2058" operator="between" text="库存为">
      <formula>NOT(ISERROR(SEARCH("库存为",AU397)))</formula>
    </cfRule>
  </conditionalFormatting>
  <conditionalFormatting sqref="AU398">
    <cfRule type="cellIs" dxfId="0" priority="3595" operator="lessThan">
      <formula>20</formula>
    </cfRule>
    <cfRule type="cellIs" dxfId="1" priority="2826" operator="greaterThan">
      <formula>120</formula>
    </cfRule>
    <cfRule type="containsText" dxfId="2" priority="2057" operator="between" text="库存为">
      <formula>NOT(ISERROR(SEARCH("库存为",AU398)))</formula>
    </cfRule>
  </conditionalFormatting>
  <conditionalFormatting sqref="AU399">
    <cfRule type="cellIs" dxfId="0" priority="3594" operator="lessThan">
      <formula>20</formula>
    </cfRule>
    <cfRule type="cellIs" dxfId="1" priority="2825" operator="greaterThan">
      <formula>120</formula>
    </cfRule>
    <cfRule type="containsText" dxfId="2" priority="2056" operator="between" text="库存为">
      <formula>NOT(ISERROR(SEARCH("库存为",AU399)))</formula>
    </cfRule>
  </conditionalFormatting>
  <conditionalFormatting sqref="AU400">
    <cfRule type="cellIs" dxfId="0" priority="3593" operator="lessThan">
      <formula>20</formula>
    </cfRule>
    <cfRule type="cellIs" dxfId="1" priority="2824" operator="greaterThan">
      <formula>120</formula>
    </cfRule>
    <cfRule type="containsText" dxfId="2" priority="2055" operator="between" text="库存为">
      <formula>NOT(ISERROR(SEARCH("库存为",AU400)))</formula>
    </cfRule>
  </conditionalFormatting>
  <conditionalFormatting sqref="AU401">
    <cfRule type="cellIs" dxfId="0" priority="3592" operator="lessThan">
      <formula>20</formula>
    </cfRule>
    <cfRule type="cellIs" dxfId="1" priority="2823" operator="greaterThan">
      <formula>120</formula>
    </cfRule>
    <cfRule type="containsText" dxfId="2" priority="2054" operator="between" text="库存为">
      <formula>NOT(ISERROR(SEARCH("库存为",AU401)))</formula>
    </cfRule>
  </conditionalFormatting>
  <conditionalFormatting sqref="AU402">
    <cfRule type="cellIs" dxfId="0" priority="3591" operator="lessThan">
      <formula>20</formula>
    </cfRule>
    <cfRule type="cellIs" dxfId="1" priority="2822" operator="greaterThan">
      <formula>120</formula>
    </cfRule>
    <cfRule type="containsText" dxfId="2" priority="2053" operator="between" text="库存为">
      <formula>NOT(ISERROR(SEARCH("库存为",AU402)))</formula>
    </cfRule>
  </conditionalFormatting>
  <conditionalFormatting sqref="AU403">
    <cfRule type="cellIs" dxfId="0" priority="3590" operator="lessThan">
      <formula>20</formula>
    </cfRule>
    <cfRule type="cellIs" dxfId="1" priority="2821" operator="greaterThan">
      <formula>120</formula>
    </cfRule>
    <cfRule type="containsText" dxfId="2" priority="2052" operator="between" text="库存为">
      <formula>NOT(ISERROR(SEARCH("库存为",AU403)))</formula>
    </cfRule>
  </conditionalFormatting>
  <conditionalFormatting sqref="AU404">
    <cfRule type="cellIs" dxfId="0" priority="3589" operator="lessThan">
      <formula>20</formula>
    </cfRule>
    <cfRule type="cellIs" dxfId="1" priority="2820" operator="greaterThan">
      <formula>120</formula>
    </cfRule>
    <cfRule type="containsText" dxfId="2" priority="2051" operator="between" text="库存为">
      <formula>NOT(ISERROR(SEARCH("库存为",AU404)))</formula>
    </cfRule>
  </conditionalFormatting>
  <conditionalFormatting sqref="AU405">
    <cfRule type="cellIs" dxfId="0" priority="3588" operator="lessThan">
      <formula>20</formula>
    </cfRule>
    <cfRule type="cellIs" dxfId="1" priority="2819" operator="greaterThan">
      <formula>120</formula>
    </cfRule>
    <cfRule type="containsText" dxfId="2" priority="2050" operator="between" text="库存为">
      <formula>NOT(ISERROR(SEARCH("库存为",AU405)))</formula>
    </cfRule>
  </conditionalFormatting>
  <conditionalFormatting sqref="AU406">
    <cfRule type="cellIs" dxfId="0" priority="3587" operator="lessThan">
      <formula>20</formula>
    </cfRule>
    <cfRule type="cellIs" dxfId="1" priority="2818" operator="greaterThan">
      <formula>120</formula>
    </cfRule>
    <cfRule type="containsText" dxfId="2" priority="2049" operator="between" text="库存为">
      <formula>NOT(ISERROR(SEARCH("库存为",AU406)))</formula>
    </cfRule>
  </conditionalFormatting>
  <conditionalFormatting sqref="AU407">
    <cfRule type="cellIs" dxfId="0" priority="3586" operator="lessThan">
      <formula>20</formula>
    </cfRule>
    <cfRule type="cellIs" dxfId="1" priority="2817" operator="greaterThan">
      <formula>120</formula>
    </cfRule>
    <cfRule type="containsText" dxfId="2" priority="2048" operator="between" text="库存为">
      <formula>NOT(ISERROR(SEARCH("库存为",AU407)))</formula>
    </cfRule>
  </conditionalFormatting>
  <conditionalFormatting sqref="AU408">
    <cfRule type="cellIs" dxfId="0" priority="3585" operator="lessThan">
      <formula>20</formula>
    </cfRule>
    <cfRule type="cellIs" dxfId="1" priority="2816" operator="greaterThan">
      <formula>120</formula>
    </cfRule>
    <cfRule type="containsText" dxfId="2" priority="2047" operator="between" text="库存为">
      <formula>NOT(ISERROR(SEARCH("库存为",AU408)))</formula>
    </cfRule>
  </conditionalFormatting>
  <conditionalFormatting sqref="AU409">
    <cfRule type="cellIs" dxfId="0" priority="3584" operator="lessThan">
      <formula>20</formula>
    </cfRule>
    <cfRule type="cellIs" dxfId="1" priority="2815" operator="greaterThan">
      <formula>120</formula>
    </cfRule>
    <cfRule type="containsText" dxfId="2" priority="2046" operator="between" text="库存为">
      <formula>NOT(ISERROR(SEARCH("库存为",AU409)))</formula>
    </cfRule>
  </conditionalFormatting>
  <conditionalFormatting sqref="AU410">
    <cfRule type="cellIs" dxfId="0" priority="3583" operator="lessThan">
      <formula>20</formula>
    </cfRule>
    <cfRule type="cellIs" dxfId="1" priority="2814" operator="greaterThan">
      <formula>120</formula>
    </cfRule>
    <cfRule type="containsText" dxfId="2" priority="2045" operator="between" text="库存为">
      <formula>NOT(ISERROR(SEARCH("库存为",AU410)))</formula>
    </cfRule>
  </conditionalFormatting>
  <conditionalFormatting sqref="AU411">
    <cfRule type="cellIs" dxfId="0" priority="3582" operator="lessThan">
      <formula>20</formula>
    </cfRule>
    <cfRule type="cellIs" dxfId="1" priority="2813" operator="greaterThan">
      <formula>120</formula>
    </cfRule>
    <cfRule type="containsText" dxfId="2" priority="2044" operator="between" text="库存为">
      <formula>NOT(ISERROR(SEARCH("库存为",AU411)))</formula>
    </cfRule>
  </conditionalFormatting>
  <conditionalFormatting sqref="AU412">
    <cfRule type="cellIs" dxfId="0" priority="3581" operator="lessThan">
      <formula>20</formula>
    </cfRule>
    <cfRule type="cellIs" dxfId="1" priority="2812" operator="greaterThan">
      <formula>120</formula>
    </cfRule>
    <cfRule type="containsText" dxfId="2" priority="2043" operator="between" text="库存为">
      <formula>NOT(ISERROR(SEARCH("库存为",AU412)))</formula>
    </cfRule>
  </conditionalFormatting>
  <conditionalFormatting sqref="AU413">
    <cfRule type="cellIs" dxfId="0" priority="3580" operator="lessThan">
      <formula>20</formula>
    </cfRule>
    <cfRule type="cellIs" dxfId="1" priority="2811" operator="greaterThan">
      <formula>120</formula>
    </cfRule>
    <cfRule type="containsText" dxfId="2" priority="2042" operator="between" text="库存为">
      <formula>NOT(ISERROR(SEARCH("库存为",AU413)))</formula>
    </cfRule>
  </conditionalFormatting>
  <conditionalFormatting sqref="AU414">
    <cfRule type="cellIs" dxfId="0" priority="3579" operator="lessThan">
      <formula>20</formula>
    </cfRule>
    <cfRule type="cellIs" dxfId="1" priority="2810" operator="greaterThan">
      <formula>120</formula>
    </cfRule>
    <cfRule type="containsText" dxfId="2" priority="2041" operator="between" text="库存为">
      <formula>NOT(ISERROR(SEARCH("库存为",AU414)))</formula>
    </cfRule>
  </conditionalFormatting>
  <conditionalFormatting sqref="AU415">
    <cfRule type="cellIs" dxfId="0" priority="3578" operator="lessThan">
      <formula>20</formula>
    </cfRule>
    <cfRule type="cellIs" dxfId="1" priority="2809" operator="greaterThan">
      <formula>120</formula>
    </cfRule>
    <cfRule type="containsText" dxfId="2" priority="2040" operator="between" text="库存为">
      <formula>NOT(ISERROR(SEARCH("库存为",AU415)))</formula>
    </cfRule>
  </conditionalFormatting>
  <conditionalFormatting sqref="AU416">
    <cfRule type="cellIs" dxfId="0" priority="3577" operator="lessThan">
      <formula>20</formula>
    </cfRule>
    <cfRule type="cellIs" dxfId="1" priority="2808" operator="greaterThan">
      <formula>120</formula>
    </cfRule>
    <cfRule type="containsText" dxfId="2" priority="2039" operator="between" text="库存为">
      <formula>NOT(ISERROR(SEARCH("库存为",AU416)))</formula>
    </cfRule>
  </conditionalFormatting>
  <conditionalFormatting sqref="AU417">
    <cfRule type="cellIs" dxfId="0" priority="3576" operator="lessThan">
      <formula>20</formula>
    </cfRule>
    <cfRule type="cellIs" dxfId="1" priority="2807" operator="greaterThan">
      <formula>120</formula>
    </cfRule>
    <cfRule type="containsText" dxfId="2" priority="2038" operator="between" text="库存为">
      <formula>NOT(ISERROR(SEARCH("库存为",AU417)))</formula>
    </cfRule>
  </conditionalFormatting>
  <conditionalFormatting sqref="AU418">
    <cfRule type="cellIs" dxfId="0" priority="3575" operator="lessThan">
      <formula>20</formula>
    </cfRule>
    <cfRule type="cellIs" dxfId="1" priority="2806" operator="greaterThan">
      <formula>120</formula>
    </cfRule>
    <cfRule type="containsText" dxfId="2" priority="2037" operator="between" text="库存为">
      <formula>NOT(ISERROR(SEARCH("库存为",AU418)))</formula>
    </cfRule>
  </conditionalFormatting>
  <conditionalFormatting sqref="AU419">
    <cfRule type="cellIs" dxfId="0" priority="3574" operator="lessThan">
      <formula>20</formula>
    </cfRule>
    <cfRule type="cellIs" dxfId="1" priority="2805" operator="greaterThan">
      <formula>120</formula>
    </cfRule>
    <cfRule type="containsText" dxfId="2" priority="2036" operator="between" text="库存为">
      <formula>NOT(ISERROR(SEARCH("库存为",AU419)))</formula>
    </cfRule>
  </conditionalFormatting>
  <conditionalFormatting sqref="AU420">
    <cfRule type="cellIs" dxfId="0" priority="3573" operator="lessThan">
      <formula>20</formula>
    </cfRule>
    <cfRule type="cellIs" dxfId="1" priority="2804" operator="greaterThan">
      <formula>120</formula>
    </cfRule>
    <cfRule type="containsText" dxfId="2" priority="2035" operator="between" text="库存为">
      <formula>NOT(ISERROR(SEARCH("库存为",AU420)))</formula>
    </cfRule>
  </conditionalFormatting>
  <conditionalFormatting sqref="AU421">
    <cfRule type="cellIs" dxfId="0" priority="3572" operator="lessThan">
      <formula>20</formula>
    </cfRule>
    <cfRule type="cellIs" dxfId="1" priority="2803" operator="greaterThan">
      <formula>120</formula>
    </cfRule>
    <cfRule type="containsText" dxfId="2" priority="2034" operator="between" text="库存为">
      <formula>NOT(ISERROR(SEARCH("库存为",AU421)))</formula>
    </cfRule>
  </conditionalFormatting>
  <conditionalFormatting sqref="AU422">
    <cfRule type="cellIs" dxfId="0" priority="3571" operator="lessThan">
      <formula>20</formula>
    </cfRule>
    <cfRule type="cellIs" dxfId="1" priority="2802" operator="greaterThan">
      <formula>120</formula>
    </cfRule>
    <cfRule type="containsText" dxfId="2" priority="2033" operator="between" text="库存为">
      <formula>NOT(ISERROR(SEARCH("库存为",AU422)))</formula>
    </cfRule>
  </conditionalFormatting>
  <conditionalFormatting sqref="AU423">
    <cfRule type="cellIs" dxfId="0" priority="3570" operator="lessThan">
      <formula>20</formula>
    </cfRule>
    <cfRule type="cellIs" dxfId="1" priority="2801" operator="greaterThan">
      <formula>120</formula>
    </cfRule>
    <cfRule type="containsText" dxfId="2" priority="2032" operator="between" text="库存为">
      <formula>NOT(ISERROR(SEARCH("库存为",AU423)))</formula>
    </cfRule>
  </conditionalFormatting>
  <conditionalFormatting sqref="AU424">
    <cfRule type="cellIs" dxfId="0" priority="3569" operator="lessThan">
      <formula>20</formula>
    </cfRule>
    <cfRule type="cellIs" dxfId="1" priority="2800" operator="greaterThan">
      <formula>120</formula>
    </cfRule>
    <cfRule type="containsText" dxfId="2" priority="2031" operator="between" text="库存为">
      <formula>NOT(ISERROR(SEARCH("库存为",AU424)))</formula>
    </cfRule>
  </conditionalFormatting>
  <conditionalFormatting sqref="AU425">
    <cfRule type="cellIs" dxfId="0" priority="3568" operator="lessThan">
      <formula>20</formula>
    </cfRule>
    <cfRule type="cellIs" dxfId="1" priority="2799" operator="greaterThan">
      <formula>120</formula>
    </cfRule>
    <cfRule type="containsText" dxfId="2" priority="2030" operator="between" text="库存为">
      <formula>NOT(ISERROR(SEARCH("库存为",AU425)))</formula>
    </cfRule>
  </conditionalFormatting>
  <conditionalFormatting sqref="AU426">
    <cfRule type="cellIs" dxfId="0" priority="3567" operator="lessThan">
      <formula>20</formula>
    </cfRule>
    <cfRule type="cellIs" dxfId="1" priority="2798" operator="greaterThan">
      <formula>120</formula>
    </cfRule>
    <cfRule type="containsText" dxfId="2" priority="2029" operator="between" text="库存为">
      <formula>NOT(ISERROR(SEARCH("库存为",AU426)))</formula>
    </cfRule>
  </conditionalFormatting>
  <conditionalFormatting sqref="AU427">
    <cfRule type="cellIs" dxfId="0" priority="3566" operator="lessThan">
      <formula>20</formula>
    </cfRule>
    <cfRule type="cellIs" dxfId="1" priority="2797" operator="greaterThan">
      <formula>120</formula>
    </cfRule>
    <cfRule type="containsText" dxfId="2" priority="2028" operator="between" text="库存为">
      <formula>NOT(ISERROR(SEARCH("库存为",AU427)))</formula>
    </cfRule>
  </conditionalFormatting>
  <conditionalFormatting sqref="AU428">
    <cfRule type="cellIs" dxfId="0" priority="3565" operator="lessThan">
      <formula>20</formula>
    </cfRule>
    <cfRule type="cellIs" dxfId="1" priority="2796" operator="greaterThan">
      <formula>120</formula>
    </cfRule>
    <cfRule type="containsText" dxfId="2" priority="2027" operator="between" text="库存为">
      <formula>NOT(ISERROR(SEARCH("库存为",AU428)))</formula>
    </cfRule>
  </conditionalFormatting>
  <conditionalFormatting sqref="AU429">
    <cfRule type="cellIs" dxfId="0" priority="3564" operator="lessThan">
      <formula>20</formula>
    </cfRule>
    <cfRule type="cellIs" dxfId="1" priority="2795" operator="greaterThan">
      <formula>120</formula>
    </cfRule>
    <cfRule type="containsText" dxfId="2" priority="2026" operator="between" text="库存为">
      <formula>NOT(ISERROR(SEARCH("库存为",AU429)))</formula>
    </cfRule>
  </conditionalFormatting>
  <conditionalFormatting sqref="AU430">
    <cfRule type="cellIs" dxfId="0" priority="3563" operator="lessThan">
      <formula>20</formula>
    </cfRule>
    <cfRule type="cellIs" dxfId="1" priority="2794" operator="greaterThan">
      <formula>120</formula>
    </cfRule>
    <cfRule type="containsText" dxfId="2" priority="2025" operator="between" text="库存为">
      <formula>NOT(ISERROR(SEARCH("库存为",AU430)))</formula>
    </cfRule>
  </conditionalFormatting>
  <conditionalFormatting sqref="AU431">
    <cfRule type="cellIs" dxfId="0" priority="3562" operator="lessThan">
      <formula>20</formula>
    </cfRule>
    <cfRule type="cellIs" dxfId="1" priority="2793" operator="greaterThan">
      <formula>120</formula>
    </cfRule>
    <cfRule type="containsText" dxfId="2" priority="2024" operator="between" text="库存为">
      <formula>NOT(ISERROR(SEARCH("库存为",AU431)))</formula>
    </cfRule>
  </conditionalFormatting>
  <conditionalFormatting sqref="AU432">
    <cfRule type="cellIs" dxfId="0" priority="3561" operator="lessThan">
      <formula>20</formula>
    </cfRule>
    <cfRule type="cellIs" dxfId="1" priority="2792" operator="greaterThan">
      <formula>120</formula>
    </cfRule>
    <cfRule type="containsText" dxfId="2" priority="2023" operator="between" text="库存为">
      <formula>NOT(ISERROR(SEARCH("库存为",AU432)))</formula>
    </cfRule>
  </conditionalFormatting>
  <conditionalFormatting sqref="AU433">
    <cfRule type="cellIs" dxfId="0" priority="3560" operator="lessThan">
      <formula>20</formula>
    </cfRule>
    <cfRule type="cellIs" dxfId="1" priority="2791" operator="greaterThan">
      <formula>120</formula>
    </cfRule>
    <cfRule type="containsText" dxfId="2" priority="2022" operator="between" text="库存为">
      <formula>NOT(ISERROR(SEARCH("库存为",AU433)))</formula>
    </cfRule>
  </conditionalFormatting>
  <conditionalFormatting sqref="AU434">
    <cfRule type="cellIs" dxfId="0" priority="3559" operator="lessThan">
      <formula>20</formula>
    </cfRule>
    <cfRule type="cellIs" dxfId="1" priority="2790" operator="greaterThan">
      <formula>120</formula>
    </cfRule>
    <cfRule type="containsText" dxfId="2" priority="2021" operator="between" text="库存为">
      <formula>NOT(ISERROR(SEARCH("库存为",AU434)))</formula>
    </cfRule>
  </conditionalFormatting>
  <conditionalFormatting sqref="AU435">
    <cfRule type="cellIs" dxfId="0" priority="3558" operator="lessThan">
      <formula>20</formula>
    </cfRule>
    <cfRule type="cellIs" dxfId="1" priority="2789" operator="greaterThan">
      <formula>120</formula>
    </cfRule>
    <cfRule type="containsText" dxfId="2" priority="2020" operator="between" text="库存为">
      <formula>NOT(ISERROR(SEARCH("库存为",AU435)))</formula>
    </cfRule>
  </conditionalFormatting>
  <conditionalFormatting sqref="AU436">
    <cfRule type="cellIs" dxfId="0" priority="3557" operator="lessThan">
      <formula>20</formula>
    </cfRule>
    <cfRule type="cellIs" dxfId="1" priority="2788" operator="greaterThan">
      <formula>120</formula>
    </cfRule>
    <cfRule type="containsText" dxfId="2" priority="2019" operator="between" text="库存为">
      <formula>NOT(ISERROR(SEARCH("库存为",AU436)))</formula>
    </cfRule>
  </conditionalFormatting>
  <conditionalFormatting sqref="AU437">
    <cfRule type="cellIs" dxfId="0" priority="3556" operator="lessThan">
      <formula>20</formula>
    </cfRule>
    <cfRule type="cellIs" dxfId="1" priority="2787" operator="greaterThan">
      <formula>120</formula>
    </cfRule>
    <cfRule type="containsText" dxfId="2" priority="2018" operator="between" text="库存为">
      <formula>NOT(ISERROR(SEARCH("库存为",AU437)))</formula>
    </cfRule>
  </conditionalFormatting>
  <conditionalFormatting sqref="AU438">
    <cfRule type="cellIs" dxfId="0" priority="3555" operator="lessThan">
      <formula>20</formula>
    </cfRule>
    <cfRule type="cellIs" dxfId="1" priority="2786" operator="greaterThan">
      <formula>120</formula>
    </cfRule>
    <cfRule type="containsText" dxfId="2" priority="2017" operator="between" text="库存为">
      <formula>NOT(ISERROR(SEARCH("库存为",AU438)))</formula>
    </cfRule>
  </conditionalFormatting>
  <conditionalFormatting sqref="AU439">
    <cfRule type="cellIs" dxfId="0" priority="3554" operator="lessThan">
      <formula>20</formula>
    </cfRule>
    <cfRule type="cellIs" dxfId="1" priority="2785" operator="greaterThan">
      <formula>120</formula>
    </cfRule>
    <cfRule type="containsText" dxfId="2" priority="2016" operator="between" text="库存为">
      <formula>NOT(ISERROR(SEARCH("库存为",AU439)))</formula>
    </cfRule>
  </conditionalFormatting>
  <conditionalFormatting sqref="AU440">
    <cfRule type="cellIs" dxfId="0" priority="3553" operator="lessThan">
      <formula>20</formula>
    </cfRule>
    <cfRule type="cellIs" dxfId="1" priority="2784" operator="greaterThan">
      <formula>120</formula>
    </cfRule>
    <cfRule type="containsText" dxfId="2" priority="2015" operator="between" text="库存为">
      <formula>NOT(ISERROR(SEARCH("库存为",AU440)))</formula>
    </cfRule>
  </conditionalFormatting>
  <conditionalFormatting sqref="AU441">
    <cfRule type="cellIs" dxfId="0" priority="3552" operator="lessThan">
      <formula>20</formula>
    </cfRule>
    <cfRule type="cellIs" dxfId="1" priority="2783" operator="greaterThan">
      <formula>120</formula>
    </cfRule>
    <cfRule type="containsText" dxfId="2" priority="2014" operator="between" text="库存为">
      <formula>NOT(ISERROR(SEARCH("库存为",AU441)))</formula>
    </cfRule>
  </conditionalFormatting>
  <conditionalFormatting sqref="AU442">
    <cfRule type="cellIs" dxfId="0" priority="3551" operator="lessThan">
      <formula>20</formula>
    </cfRule>
    <cfRule type="cellIs" dxfId="1" priority="2782" operator="greaterThan">
      <formula>120</formula>
    </cfRule>
    <cfRule type="containsText" dxfId="2" priority="2013" operator="between" text="库存为">
      <formula>NOT(ISERROR(SEARCH("库存为",AU442)))</formula>
    </cfRule>
  </conditionalFormatting>
  <conditionalFormatting sqref="AU443">
    <cfRule type="cellIs" dxfId="0" priority="3550" operator="lessThan">
      <formula>20</formula>
    </cfRule>
    <cfRule type="cellIs" dxfId="1" priority="2781" operator="greaterThan">
      <formula>120</formula>
    </cfRule>
    <cfRule type="containsText" dxfId="2" priority="2012" operator="between" text="库存为">
      <formula>NOT(ISERROR(SEARCH("库存为",AU443)))</formula>
    </cfRule>
  </conditionalFormatting>
  <conditionalFormatting sqref="AU444">
    <cfRule type="cellIs" dxfId="0" priority="3549" operator="lessThan">
      <formula>20</formula>
    </cfRule>
    <cfRule type="cellIs" dxfId="1" priority="2780" operator="greaterThan">
      <formula>120</formula>
    </cfRule>
    <cfRule type="containsText" dxfId="2" priority="2011" operator="between" text="库存为">
      <formula>NOT(ISERROR(SEARCH("库存为",AU444)))</formula>
    </cfRule>
  </conditionalFormatting>
  <conditionalFormatting sqref="AU445">
    <cfRule type="cellIs" dxfId="0" priority="3548" operator="lessThan">
      <formula>20</formula>
    </cfRule>
    <cfRule type="cellIs" dxfId="1" priority="2779" operator="greaterThan">
      <formula>120</formula>
    </cfRule>
    <cfRule type="containsText" dxfId="2" priority="2010" operator="between" text="库存为">
      <formula>NOT(ISERROR(SEARCH("库存为",AU445)))</formula>
    </cfRule>
  </conditionalFormatting>
  <conditionalFormatting sqref="AU446">
    <cfRule type="cellIs" dxfId="0" priority="3547" operator="lessThan">
      <formula>20</formula>
    </cfRule>
    <cfRule type="cellIs" dxfId="1" priority="2778" operator="greaterThan">
      <formula>120</formula>
    </cfRule>
    <cfRule type="containsText" dxfId="2" priority="2009" operator="between" text="库存为">
      <formula>NOT(ISERROR(SEARCH("库存为",AU446)))</formula>
    </cfRule>
  </conditionalFormatting>
  <conditionalFormatting sqref="AU447">
    <cfRule type="cellIs" dxfId="0" priority="3546" operator="lessThan">
      <formula>20</formula>
    </cfRule>
    <cfRule type="cellIs" dxfId="1" priority="2777" operator="greaterThan">
      <formula>120</formula>
    </cfRule>
    <cfRule type="containsText" dxfId="2" priority="2008" operator="between" text="库存为">
      <formula>NOT(ISERROR(SEARCH("库存为",AU447)))</formula>
    </cfRule>
  </conditionalFormatting>
  <conditionalFormatting sqref="AU448">
    <cfRule type="cellIs" dxfId="0" priority="3545" operator="lessThan">
      <formula>20</formula>
    </cfRule>
    <cfRule type="cellIs" dxfId="1" priority="2776" operator="greaterThan">
      <formula>120</formula>
    </cfRule>
    <cfRule type="containsText" dxfId="2" priority="2007" operator="between" text="库存为">
      <formula>NOT(ISERROR(SEARCH("库存为",AU448)))</formula>
    </cfRule>
  </conditionalFormatting>
  <conditionalFormatting sqref="AU449">
    <cfRule type="cellIs" dxfId="0" priority="3544" operator="lessThan">
      <formula>20</formula>
    </cfRule>
    <cfRule type="cellIs" dxfId="1" priority="2775" operator="greaterThan">
      <formula>120</formula>
    </cfRule>
    <cfRule type="containsText" dxfId="2" priority="2006" operator="between" text="库存为">
      <formula>NOT(ISERROR(SEARCH("库存为",AU449)))</formula>
    </cfRule>
  </conditionalFormatting>
  <conditionalFormatting sqref="AU450">
    <cfRule type="cellIs" dxfId="0" priority="3543" operator="lessThan">
      <formula>20</formula>
    </cfRule>
    <cfRule type="cellIs" dxfId="1" priority="2774" operator="greaterThan">
      <formula>120</formula>
    </cfRule>
    <cfRule type="containsText" dxfId="2" priority="2005" operator="between" text="库存为">
      <formula>NOT(ISERROR(SEARCH("库存为",AU450)))</formula>
    </cfRule>
  </conditionalFormatting>
  <conditionalFormatting sqref="AU451">
    <cfRule type="cellIs" dxfId="0" priority="3542" operator="lessThan">
      <formula>20</formula>
    </cfRule>
    <cfRule type="cellIs" dxfId="1" priority="2773" operator="greaterThan">
      <formula>120</formula>
    </cfRule>
    <cfRule type="containsText" dxfId="2" priority="2004" operator="between" text="库存为">
      <formula>NOT(ISERROR(SEARCH("库存为",AU451)))</formula>
    </cfRule>
  </conditionalFormatting>
  <conditionalFormatting sqref="AU452">
    <cfRule type="cellIs" dxfId="0" priority="3541" operator="lessThan">
      <formula>20</formula>
    </cfRule>
    <cfRule type="cellIs" dxfId="1" priority="2772" operator="greaterThan">
      <formula>120</formula>
    </cfRule>
    <cfRule type="containsText" dxfId="2" priority="2003" operator="between" text="库存为">
      <formula>NOT(ISERROR(SEARCH("库存为",AU452)))</formula>
    </cfRule>
  </conditionalFormatting>
  <conditionalFormatting sqref="AU453">
    <cfRule type="cellIs" dxfId="0" priority="3540" operator="lessThan">
      <formula>20</formula>
    </cfRule>
    <cfRule type="cellIs" dxfId="1" priority="2771" operator="greaterThan">
      <formula>120</formula>
    </cfRule>
    <cfRule type="containsText" dxfId="2" priority="2002" operator="between" text="库存为">
      <formula>NOT(ISERROR(SEARCH("库存为",AU453)))</formula>
    </cfRule>
  </conditionalFormatting>
  <conditionalFormatting sqref="AU454">
    <cfRule type="cellIs" dxfId="0" priority="3539" operator="lessThan">
      <formula>20</formula>
    </cfRule>
    <cfRule type="cellIs" dxfId="1" priority="2770" operator="greaterThan">
      <formula>120</formula>
    </cfRule>
    <cfRule type="containsText" dxfId="2" priority="2001" operator="between" text="库存为">
      <formula>NOT(ISERROR(SEARCH("库存为",AU454)))</formula>
    </cfRule>
  </conditionalFormatting>
  <conditionalFormatting sqref="AU455">
    <cfRule type="cellIs" dxfId="0" priority="3538" operator="lessThan">
      <formula>20</formula>
    </cfRule>
    <cfRule type="cellIs" dxfId="1" priority="2769" operator="greaterThan">
      <formula>120</formula>
    </cfRule>
    <cfRule type="containsText" dxfId="2" priority="2000" operator="between" text="库存为">
      <formula>NOT(ISERROR(SEARCH("库存为",AU455)))</formula>
    </cfRule>
  </conditionalFormatting>
  <conditionalFormatting sqref="AU456">
    <cfRule type="cellIs" dxfId="0" priority="3537" operator="lessThan">
      <formula>20</formula>
    </cfRule>
    <cfRule type="cellIs" dxfId="1" priority="2768" operator="greaterThan">
      <formula>120</formula>
    </cfRule>
    <cfRule type="containsText" dxfId="2" priority="1999" operator="between" text="库存为">
      <formula>NOT(ISERROR(SEARCH("库存为",AU456)))</formula>
    </cfRule>
  </conditionalFormatting>
  <conditionalFormatting sqref="AU457">
    <cfRule type="cellIs" dxfId="0" priority="3536" operator="lessThan">
      <formula>20</formula>
    </cfRule>
    <cfRule type="cellIs" dxfId="1" priority="2767" operator="greaterThan">
      <formula>120</formula>
    </cfRule>
    <cfRule type="containsText" dxfId="2" priority="1998" operator="between" text="库存为">
      <formula>NOT(ISERROR(SEARCH("库存为",AU457)))</formula>
    </cfRule>
  </conditionalFormatting>
  <conditionalFormatting sqref="AU458">
    <cfRule type="cellIs" dxfId="0" priority="3535" operator="lessThan">
      <formula>20</formula>
    </cfRule>
    <cfRule type="cellIs" dxfId="1" priority="2766" operator="greaterThan">
      <formula>120</formula>
    </cfRule>
    <cfRule type="containsText" dxfId="2" priority="1997" operator="between" text="库存为">
      <formula>NOT(ISERROR(SEARCH("库存为",AU458)))</formula>
    </cfRule>
  </conditionalFormatting>
  <conditionalFormatting sqref="AU459">
    <cfRule type="cellIs" dxfId="0" priority="3534" operator="lessThan">
      <formula>20</formula>
    </cfRule>
    <cfRule type="cellIs" dxfId="1" priority="2765" operator="greaterThan">
      <formula>120</formula>
    </cfRule>
    <cfRule type="containsText" dxfId="2" priority="1996" operator="between" text="库存为">
      <formula>NOT(ISERROR(SEARCH("库存为",AU459)))</formula>
    </cfRule>
  </conditionalFormatting>
  <conditionalFormatting sqref="AU460">
    <cfRule type="cellIs" dxfId="0" priority="3533" operator="lessThan">
      <formula>20</formula>
    </cfRule>
    <cfRule type="cellIs" dxfId="1" priority="2764" operator="greaterThan">
      <formula>120</formula>
    </cfRule>
    <cfRule type="containsText" dxfId="2" priority="1995" operator="between" text="库存为">
      <formula>NOT(ISERROR(SEARCH("库存为",AU460)))</formula>
    </cfRule>
  </conditionalFormatting>
  <conditionalFormatting sqref="AU461">
    <cfRule type="cellIs" dxfId="0" priority="3532" operator="lessThan">
      <formula>20</formula>
    </cfRule>
    <cfRule type="cellIs" dxfId="1" priority="2763" operator="greaterThan">
      <formula>120</formula>
    </cfRule>
    <cfRule type="containsText" dxfId="2" priority="1994" operator="between" text="库存为">
      <formula>NOT(ISERROR(SEARCH("库存为",AU461)))</formula>
    </cfRule>
  </conditionalFormatting>
  <conditionalFormatting sqref="AU462">
    <cfRule type="cellIs" dxfId="0" priority="3531" operator="lessThan">
      <formula>20</formula>
    </cfRule>
    <cfRule type="cellIs" dxfId="1" priority="2762" operator="greaterThan">
      <formula>120</formula>
    </cfRule>
    <cfRule type="containsText" dxfId="2" priority="1993" operator="between" text="库存为">
      <formula>NOT(ISERROR(SEARCH("库存为",AU462)))</formula>
    </cfRule>
  </conditionalFormatting>
  <conditionalFormatting sqref="AU463">
    <cfRule type="cellIs" dxfId="0" priority="3530" operator="lessThan">
      <formula>20</formula>
    </cfRule>
    <cfRule type="cellIs" dxfId="1" priority="2761" operator="greaterThan">
      <formula>120</formula>
    </cfRule>
    <cfRule type="containsText" dxfId="2" priority="1992" operator="between" text="库存为">
      <formula>NOT(ISERROR(SEARCH("库存为",AU463)))</formula>
    </cfRule>
  </conditionalFormatting>
  <conditionalFormatting sqref="AU464">
    <cfRule type="cellIs" dxfId="0" priority="3529" operator="lessThan">
      <formula>20</formula>
    </cfRule>
    <cfRule type="cellIs" dxfId="1" priority="2760" operator="greaterThan">
      <formula>120</formula>
    </cfRule>
    <cfRule type="containsText" dxfId="2" priority="1991" operator="between" text="库存为">
      <formula>NOT(ISERROR(SEARCH("库存为",AU464)))</formula>
    </cfRule>
  </conditionalFormatting>
  <conditionalFormatting sqref="AU465">
    <cfRule type="cellIs" dxfId="0" priority="3528" operator="lessThan">
      <formula>20</formula>
    </cfRule>
    <cfRule type="cellIs" dxfId="1" priority="2759" operator="greaterThan">
      <formula>120</formula>
    </cfRule>
    <cfRule type="containsText" dxfId="2" priority="1990" operator="between" text="库存为">
      <formula>NOT(ISERROR(SEARCH("库存为",AU465)))</formula>
    </cfRule>
  </conditionalFormatting>
  <conditionalFormatting sqref="AU466">
    <cfRule type="cellIs" dxfId="0" priority="3527" operator="lessThan">
      <formula>20</formula>
    </cfRule>
    <cfRule type="cellIs" dxfId="1" priority="2758" operator="greaterThan">
      <formula>120</formula>
    </cfRule>
    <cfRule type="containsText" dxfId="2" priority="1989" operator="between" text="库存为">
      <formula>NOT(ISERROR(SEARCH("库存为",AU466)))</formula>
    </cfRule>
  </conditionalFormatting>
  <conditionalFormatting sqref="AU467">
    <cfRule type="cellIs" dxfId="0" priority="3526" operator="lessThan">
      <formula>20</formula>
    </cfRule>
    <cfRule type="cellIs" dxfId="1" priority="2757" operator="greaterThan">
      <formula>120</formula>
    </cfRule>
    <cfRule type="containsText" dxfId="2" priority="1988" operator="between" text="库存为">
      <formula>NOT(ISERROR(SEARCH("库存为",AU467)))</formula>
    </cfRule>
  </conditionalFormatting>
  <conditionalFormatting sqref="AU468">
    <cfRule type="cellIs" dxfId="0" priority="3525" operator="lessThan">
      <formula>20</formula>
    </cfRule>
    <cfRule type="cellIs" dxfId="1" priority="2756" operator="greaterThan">
      <formula>120</formula>
    </cfRule>
    <cfRule type="containsText" dxfId="2" priority="1987" operator="between" text="库存为">
      <formula>NOT(ISERROR(SEARCH("库存为",AU468)))</formula>
    </cfRule>
  </conditionalFormatting>
  <conditionalFormatting sqref="AU469">
    <cfRule type="cellIs" dxfId="0" priority="3524" operator="lessThan">
      <formula>20</formula>
    </cfRule>
    <cfRule type="cellIs" dxfId="1" priority="2755" operator="greaterThan">
      <formula>120</formula>
    </cfRule>
    <cfRule type="containsText" dxfId="2" priority="1986" operator="between" text="库存为">
      <formula>NOT(ISERROR(SEARCH("库存为",AU469)))</formula>
    </cfRule>
  </conditionalFormatting>
  <conditionalFormatting sqref="AU470">
    <cfRule type="cellIs" dxfId="0" priority="3523" operator="lessThan">
      <formula>20</formula>
    </cfRule>
    <cfRule type="cellIs" dxfId="1" priority="2754" operator="greaterThan">
      <formula>120</formula>
    </cfRule>
    <cfRule type="containsText" dxfId="2" priority="1985" operator="between" text="库存为">
      <formula>NOT(ISERROR(SEARCH("库存为",AU470)))</formula>
    </cfRule>
  </conditionalFormatting>
  <conditionalFormatting sqref="AU471">
    <cfRule type="cellIs" dxfId="0" priority="3522" operator="lessThan">
      <formula>20</formula>
    </cfRule>
    <cfRule type="cellIs" dxfId="1" priority="2753" operator="greaterThan">
      <formula>120</formula>
    </cfRule>
    <cfRule type="containsText" dxfId="2" priority="1984" operator="between" text="库存为">
      <formula>NOT(ISERROR(SEARCH("库存为",AU471)))</formula>
    </cfRule>
  </conditionalFormatting>
  <conditionalFormatting sqref="AU472">
    <cfRule type="cellIs" dxfId="0" priority="3521" operator="lessThan">
      <formula>20</formula>
    </cfRule>
    <cfRule type="cellIs" dxfId="1" priority="2752" operator="greaterThan">
      <formula>120</formula>
    </cfRule>
    <cfRule type="containsText" dxfId="2" priority="1983" operator="between" text="库存为">
      <formula>NOT(ISERROR(SEARCH("库存为",AU472)))</formula>
    </cfRule>
  </conditionalFormatting>
  <conditionalFormatting sqref="AU473">
    <cfRule type="cellIs" dxfId="0" priority="3520" operator="lessThan">
      <formula>20</formula>
    </cfRule>
    <cfRule type="cellIs" dxfId="1" priority="2751" operator="greaterThan">
      <formula>120</formula>
    </cfRule>
    <cfRule type="containsText" dxfId="2" priority="1982" operator="between" text="库存为">
      <formula>NOT(ISERROR(SEARCH("库存为",AU473)))</formula>
    </cfRule>
  </conditionalFormatting>
  <conditionalFormatting sqref="AU474">
    <cfRule type="cellIs" dxfId="0" priority="3519" operator="lessThan">
      <formula>20</formula>
    </cfRule>
    <cfRule type="cellIs" dxfId="1" priority="2750" operator="greaterThan">
      <formula>120</formula>
    </cfRule>
    <cfRule type="containsText" dxfId="2" priority="1981" operator="between" text="库存为">
      <formula>NOT(ISERROR(SEARCH("库存为",AU474)))</formula>
    </cfRule>
  </conditionalFormatting>
  <conditionalFormatting sqref="AU475">
    <cfRule type="cellIs" dxfId="0" priority="3518" operator="lessThan">
      <formula>20</formula>
    </cfRule>
    <cfRule type="cellIs" dxfId="1" priority="2749" operator="greaterThan">
      <formula>120</formula>
    </cfRule>
    <cfRule type="containsText" dxfId="2" priority="1980" operator="between" text="库存为">
      <formula>NOT(ISERROR(SEARCH("库存为",AU475)))</formula>
    </cfRule>
  </conditionalFormatting>
  <conditionalFormatting sqref="AU476">
    <cfRule type="cellIs" dxfId="0" priority="3517" operator="lessThan">
      <formula>20</formula>
    </cfRule>
    <cfRule type="cellIs" dxfId="1" priority="2748" operator="greaterThan">
      <formula>120</formula>
    </cfRule>
    <cfRule type="containsText" dxfId="2" priority="1979" operator="between" text="库存为">
      <formula>NOT(ISERROR(SEARCH("库存为",AU476)))</formula>
    </cfRule>
  </conditionalFormatting>
  <conditionalFormatting sqref="AU477">
    <cfRule type="cellIs" dxfId="0" priority="3516" operator="lessThan">
      <formula>20</formula>
    </cfRule>
    <cfRule type="cellIs" dxfId="1" priority="2747" operator="greaterThan">
      <formula>120</formula>
    </cfRule>
    <cfRule type="containsText" dxfId="2" priority="1978" operator="between" text="库存为">
      <formula>NOT(ISERROR(SEARCH("库存为",AU477)))</formula>
    </cfRule>
  </conditionalFormatting>
  <conditionalFormatting sqref="AU478">
    <cfRule type="cellIs" dxfId="0" priority="3515" operator="lessThan">
      <formula>20</formula>
    </cfRule>
    <cfRule type="cellIs" dxfId="1" priority="2746" operator="greaterThan">
      <formula>120</formula>
    </cfRule>
    <cfRule type="containsText" dxfId="2" priority="1977" operator="between" text="库存为">
      <formula>NOT(ISERROR(SEARCH("库存为",AU478)))</formula>
    </cfRule>
  </conditionalFormatting>
  <conditionalFormatting sqref="AU479">
    <cfRule type="cellIs" dxfId="0" priority="3514" operator="lessThan">
      <formula>20</formula>
    </cfRule>
    <cfRule type="cellIs" dxfId="1" priority="2745" operator="greaterThan">
      <formula>120</formula>
    </cfRule>
    <cfRule type="containsText" dxfId="2" priority="1976" operator="between" text="库存为">
      <formula>NOT(ISERROR(SEARCH("库存为",AU479)))</formula>
    </cfRule>
  </conditionalFormatting>
  <conditionalFormatting sqref="AU480">
    <cfRule type="cellIs" dxfId="0" priority="3513" operator="lessThan">
      <formula>20</formula>
    </cfRule>
    <cfRule type="cellIs" dxfId="1" priority="2744" operator="greaterThan">
      <formula>120</formula>
    </cfRule>
    <cfRule type="containsText" dxfId="2" priority="1975" operator="between" text="库存为">
      <formula>NOT(ISERROR(SEARCH("库存为",AU480)))</formula>
    </cfRule>
  </conditionalFormatting>
  <conditionalFormatting sqref="AU481">
    <cfRule type="cellIs" dxfId="0" priority="3512" operator="lessThan">
      <formula>20</formula>
    </cfRule>
    <cfRule type="cellIs" dxfId="1" priority="2743" operator="greaterThan">
      <formula>120</formula>
    </cfRule>
    <cfRule type="containsText" dxfId="2" priority="1974" operator="between" text="库存为">
      <formula>NOT(ISERROR(SEARCH("库存为",AU481)))</formula>
    </cfRule>
  </conditionalFormatting>
  <conditionalFormatting sqref="AU482">
    <cfRule type="cellIs" dxfId="0" priority="3511" operator="lessThan">
      <formula>20</formula>
    </cfRule>
    <cfRule type="cellIs" dxfId="1" priority="2742" operator="greaterThan">
      <formula>120</formula>
    </cfRule>
    <cfRule type="containsText" dxfId="2" priority="1973" operator="between" text="库存为">
      <formula>NOT(ISERROR(SEARCH("库存为",AU482)))</formula>
    </cfRule>
  </conditionalFormatting>
  <conditionalFormatting sqref="AU483">
    <cfRule type="cellIs" dxfId="0" priority="3510" operator="lessThan">
      <formula>20</formula>
    </cfRule>
    <cfRule type="cellIs" dxfId="1" priority="2741" operator="greaterThan">
      <formula>120</formula>
    </cfRule>
    <cfRule type="containsText" dxfId="2" priority="1972" operator="between" text="库存为">
      <formula>NOT(ISERROR(SEARCH("库存为",AU483)))</formula>
    </cfRule>
  </conditionalFormatting>
  <conditionalFormatting sqref="AU484">
    <cfRule type="cellIs" dxfId="0" priority="3509" operator="lessThan">
      <formula>20</formula>
    </cfRule>
    <cfRule type="cellIs" dxfId="1" priority="2740" operator="greaterThan">
      <formula>120</formula>
    </cfRule>
    <cfRule type="containsText" dxfId="2" priority="1971" operator="between" text="库存为">
      <formula>NOT(ISERROR(SEARCH("库存为",AU484)))</formula>
    </cfRule>
  </conditionalFormatting>
  <conditionalFormatting sqref="AU485">
    <cfRule type="cellIs" dxfId="0" priority="3508" operator="lessThan">
      <formula>20</formula>
    </cfRule>
    <cfRule type="cellIs" dxfId="1" priority="2739" operator="greaterThan">
      <formula>120</formula>
    </cfRule>
    <cfRule type="containsText" dxfId="2" priority="1970" operator="between" text="库存为">
      <formula>NOT(ISERROR(SEARCH("库存为",AU485)))</formula>
    </cfRule>
  </conditionalFormatting>
  <conditionalFormatting sqref="AU486">
    <cfRule type="cellIs" dxfId="0" priority="3507" operator="lessThan">
      <formula>20</formula>
    </cfRule>
    <cfRule type="cellIs" dxfId="1" priority="2738" operator="greaterThan">
      <formula>120</formula>
    </cfRule>
    <cfRule type="containsText" dxfId="2" priority="1969" operator="between" text="库存为">
      <formula>NOT(ISERROR(SEARCH("库存为",AU486)))</formula>
    </cfRule>
  </conditionalFormatting>
  <conditionalFormatting sqref="AU487">
    <cfRule type="cellIs" dxfId="0" priority="3506" operator="lessThan">
      <formula>20</formula>
    </cfRule>
    <cfRule type="cellIs" dxfId="1" priority="2737" operator="greaterThan">
      <formula>120</formula>
    </cfRule>
    <cfRule type="containsText" dxfId="2" priority="1968" operator="between" text="库存为">
      <formula>NOT(ISERROR(SEARCH("库存为",AU487)))</formula>
    </cfRule>
  </conditionalFormatting>
  <conditionalFormatting sqref="AU488">
    <cfRule type="cellIs" dxfId="0" priority="3505" operator="lessThan">
      <formula>20</formula>
    </cfRule>
    <cfRule type="cellIs" dxfId="1" priority="2736" operator="greaterThan">
      <formula>120</formula>
    </cfRule>
    <cfRule type="containsText" dxfId="2" priority="1967" operator="between" text="库存为">
      <formula>NOT(ISERROR(SEARCH("库存为",AU488)))</formula>
    </cfRule>
  </conditionalFormatting>
  <conditionalFormatting sqref="AU489">
    <cfRule type="cellIs" dxfId="0" priority="3504" operator="lessThan">
      <formula>20</formula>
    </cfRule>
    <cfRule type="cellIs" dxfId="1" priority="2735" operator="greaterThan">
      <formula>120</formula>
    </cfRule>
    <cfRule type="containsText" dxfId="2" priority="1966" operator="between" text="库存为">
      <formula>NOT(ISERROR(SEARCH("库存为",AU489)))</formula>
    </cfRule>
  </conditionalFormatting>
  <conditionalFormatting sqref="AU490">
    <cfRule type="cellIs" dxfId="0" priority="3503" operator="lessThan">
      <formula>20</formula>
    </cfRule>
    <cfRule type="cellIs" dxfId="1" priority="2734" operator="greaterThan">
      <formula>120</formula>
    </cfRule>
    <cfRule type="containsText" dxfId="2" priority="1965" operator="between" text="库存为">
      <formula>NOT(ISERROR(SEARCH("库存为",AU490)))</formula>
    </cfRule>
  </conditionalFormatting>
  <conditionalFormatting sqref="AU491">
    <cfRule type="cellIs" dxfId="0" priority="3502" operator="lessThan">
      <formula>20</formula>
    </cfRule>
    <cfRule type="cellIs" dxfId="1" priority="2733" operator="greaterThan">
      <formula>120</formula>
    </cfRule>
    <cfRule type="containsText" dxfId="2" priority="1964" operator="between" text="库存为">
      <formula>NOT(ISERROR(SEARCH("库存为",AU491)))</formula>
    </cfRule>
  </conditionalFormatting>
  <conditionalFormatting sqref="AU492">
    <cfRule type="cellIs" dxfId="0" priority="3501" operator="lessThan">
      <formula>20</formula>
    </cfRule>
    <cfRule type="cellIs" dxfId="1" priority="2732" operator="greaterThan">
      <formula>120</formula>
    </cfRule>
    <cfRule type="containsText" dxfId="2" priority="1963" operator="between" text="库存为">
      <formula>NOT(ISERROR(SEARCH("库存为",AU492)))</formula>
    </cfRule>
  </conditionalFormatting>
  <conditionalFormatting sqref="AU493">
    <cfRule type="cellIs" dxfId="0" priority="3500" operator="lessThan">
      <formula>20</formula>
    </cfRule>
    <cfRule type="cellIs" dxfId="1" priority="2731" operator="greaterThan">
      <formula>120</formula>
    </cfRule>
    <cfRule type="containsText" dxfId="2" priority="1962" operator="between" text="库存为">
      <formula>NOT(ISERROR(SEARCH("库存为",AU493)))</formula>
    </cfRule>
  </conditionalFormatting>
  <conditionalFormatting sqref="AU494">
    <cfRule type="cellIs" dxfId="0" priority="3499" operator="lessThan">
      <formula>20</formula>
    </cfRule>
    <cfRule type="cellIs" dxfId="1" priority="2730" operator="greaterThan">
      <formula>120</formula>
    </cfRule>
    <cfRule type="containsText" dxfId="2" priority="1961" operator="between" text="库存为">
      <formula>NOT(ISERROR(SEARCH("库存为",AU494)))</formula>
    </cfRule>
  </conditionalFormatting>
  <conditionalFormatting sqref="AU495">
    <cfRule type="cellIs" dxfId="0" priority="3498" operator="lessThan">
      <formula>20</formula>
    </cfRule>
    <cfRule type="cellIs" dxfId="1" priority="2729" operator="greaterThan">
      <formula>120</formula>
    </cfRule>
    <cfRule type="containsText" dxfId="2" priority="1960" operator="between" text="库存为">
      <formula>NOT(ISERROR(SEARCH("库存为",AU495)))</formula>
    </cfRule>
  </conditionalFormatting>
  <conditionalFormatting sqref="AU496">
    <cfRule type="cellIs" dxfId="0" priority="3497" operator="lessThan">
      <formula>20</formula>
    </cfRule>
    <cfRule type="cellIs" dxfId="1" priority="2728" operator="greaterThan">
      <formula>120</formula>
    </cfRule>
    <cfRule type="containsText" dxfId="2" priority="1959" operator="between" text="库存为">
      <formula>NOT(ISERROR(SEARCH("库存为",AU496)))</formula>
    </cfRule>
  </conditionalFormatting>
  <conditionalFormatting sqref="AU497">
    <cfRule type="cellIs" dxfId="0" priority="3496" operator="lessThan">
      <formula>20</formula>
    </cfRule>
    <cfRule type="cellIs" dxfId="1" priority="2727" operator="greaterThan">
      <formula>120</formula>
    </cfRule>
    <cfRule type="containsText" dxfId="2" priority="1958" operator="between" text="库存为">
      <formula>NOT(ISERROR(SEARCH("库存为",AU497)))</formula>
    </cfRule>
  </conditionalFormatting>
  <conditionalFormatting sqref="AU498">
    <cfRule type="cellIs" dxfId="0" priority="3495" operator="lessThan">
      <formula>20</formula>
    </cfRule>
    <cfRule type="cellIs" dxfId="1" priority="2726" operator="greaterThan">
      <formula>120</formula>
    </cfRule>
    <cfRule type="containsText" dxfId="2" priority="1957" operator="between" text="库存为">
      <formula>NOT(ISERROR(SEARCH("库存为",AU498)))</formula>
    </cfRule>
  </conditionalFormatting>
  <conditionalFormatting sqref="AU499">
    <cfRule type="cellIs" dxfId="0" priority="3494" operator="lessThan">
      <formula>20</formula>
    </cfRule>
    <cfRule type="cellIs" dxfId="1" priority="2725" operator="greaterThan">
      <formula>120</formula>
    </cfRule>
    <cfRule type="containsText" dxfId="2" priority="1956" operator="between" text="库存为">
      <formula>NOT(ISERROR(SEARCH("库存为",AU499)))</formula>
    </cfRule>
  </conditionalFormatting>
  <conditionalFormatting sqref="AU500">
    <cfRule type="cellIs" dxfId="0" priority="3493" operator="lessThan">
      <formula>20</formula>
    </cfRule>
    <cfRule type="cellIs" dxfId="1" priority="2724" operator="greaterThan">
      <formula>120</formula>
    </cfRule>
    <cfRule type="containsText" dxfId="2" priority="1955" operator="between" text="库存为">
      <formula>NOT(ISERROR(SEARCH("库存为",AU500)))</formula>
    </cfRule>
  </conditionalFormatting>
  <conditionalFormatting sqref="AU501">
    <cfRule type="cellIs" dxfId="0" priority="3492" operator="lessThan">
      <formula>20</formula>
    </cfRule>
    <cfRule type="cellIs" dxfId="1" priority="2723" operator="greaterThan">
      <formula>120</formula>
    </cfRule>
    <cfRule type="containsText" dxfId="2" priority="1954" operator="between" text="库存为">
      <formula>NOT(ISERROR(SEARCH("库存为",AU501)))</formula>
    </cfRule>
  </conditionalFormatting>
  <conditionalFormatting sqref="AU502">
    <cfRule type="cellIs" dxfId="0" priority="3491" operator="lessThan">
      <formula>20</formula>
    </cfRule>
    <cfRule type="cellIs" dxfId="1" priority="2722" operator="greaterThan">
      <formula>120</formula>
    </cfRule>
    <cfRule type="containsText" dxfId="2" priority="1953" operator="between" text="库存为">
      <formula>NOT(ISERROR(SEARCH("库存为",AU502)))</formula>
    </cfRule>
  </conditionalFormatting>
  <conditionalFormatting sqref="AU503">
    <cfRule type="cellIs" dxfId="0" priority="3490" operator="lessThan">
      <formula>20</formula>
    </cfRule>
    <cfRule type="cellIs" dxfId="1" priority="2721" operator="greaterThan">
      <formula>120</formula>
    </cfRule>
    <cfRule type="containsText" dxfId="2" priority="1952" operator="between" text="库存为">
      <formula>NOT(ISERROR(SEARCH("库存为",AU503)))</formula>
    </cfRule>
  </conditionalFormatting>
  <conditionalFormatting sqref="AU504">
    <cfRule type="cellIs" dxfId="0" priority="3489" operator="lessThan">
      <formula>20</formula>
    </cfRule>
    <cfRule type="cellIs" dxfId="1" priority="2720" operator="greaterThan">
      <formula>120</formula>
    </cfRule>
    <cfRule type="containsText" dxfId="2" priority="1951" operator="between" text="库存为">
      <formula>NOT(ISERROR(SEARCH("库存为",AU504)))</formula>
    </cfRule>
  </conditionalFormatting>
  <conditionalFormatting sqref="AU505">
    <cfRule type="cellIs" dxfId="0" priority="3488" operator="lessThan">
      <formula>20</formula>
    </cfRule>
    <cfRule type="cellIs" dxfId="1" priority="2719" operator="greaterThan">
      <formula>120</formula>
    </cfRule>
    <cfRule type="containsText" dxfId="2" priority="1950" operator="between" text="库存为">
      <formula>NOT(ISERROR(SEARCH("库存为",AU505)))</formula>
    </cfRule>
  </conditionalFormatting>
  <conditionalFormatting sqref="AU506">
    <cfRule type="cellIs" dxfId="0" priority="3487" operator="lessThan">
      <formula>20</formula>
    </cfRule>
    <cfRule type="cellIs" dxfId="1" priority="2718" operator="greaterThan">
      <formula>120</formula>
    </cfRule>
    <cfRule type="containsText" dxfId="2" priority="1949" operator="between" text="库存为">
      <formula>NOT(ISERROR(SEARCH("库存为",AU506)))</formula>
    </cfRule>
  </conditionalFormatting>
  <conditionalFormatting sqref="AU507">
    <cfRule type="cellIs" dxfId="0" priority="3486" operator="lessThan">
      <formula>20</formula>
    </cfRule>
    <cfRule type="cellIs" dxfId="1" priority="2717" operator="greaterThan">
      <formula>120</formula>
    </cfRule>
    <cfRule type="containsText" dxfId="2" priority="1948" operator="between" text="库存为">
      <formula>NOT(ISERROR(SEARCH("库存为",AU507)))</formula>
    </cfRule>
  </conditionalFormatting>
  <conditionalFormatting sqref="AU508">
    <cfRule type="cellIs" dxfId="0" priority="3485" operator="lessThan">
      <formula>20</formula>
    </cfRule>
    <cfRule type="cellIs" dxfId="1" priority="2716" operator="greaterThan">
      <formula>120</formula>
    </cfRule>
    <cfRule type="containsText" dxfId="2" priority="1947" operator="between" text="库存为">
      <formula>NOT(ISERROR(SEARCH("库存为",AU508)))</formula>
    </cfRule>
  </conditionalFormatting>
  <conditionalFormatting sqref="AU509">
    <cfRule type="cellIs" dxfId="0" priority="3484" operator="lessThan">
      <formula>20</formula>
    </cfRule>
    <cfRule type="cellIs" dxfId="1" priority="2715" operator="greaterThan">
      <formula>120</formula>
    </cfRule>
    <cfRule type="containsText" dxfId="2" priority="1946" operator="between" text="库存为">
      <formula>NOT(ISERROR(SEARCH("库存为",AU509)))</formula>
    </cfRule>
  </conditionalFormatting>
  <conditionalFormatting sqref="AU510">
    <cfRule type="cellIs" dxfId="0" priority="3483" operator="lessThan">
      <formula>20</formula>
    </cfRule>
    <cfRule type="cellIs" dxfId="1" priority="2714" operator="greaterThan">
      <formula>120</formula>
    </cfRule>
    <cfRule type="containsText" dxfId="2" priority="1945" operator="between" text="库存为">
      <formula>NOT(ISERROR(SEARCH("库存为",AU510)))</formula>
    </cfRule>
  </conditionalFormatting>
  <conditionalFormatting sqref="AU511">
    <cfRule type="cellIs" dxfId="0" priority="3482" operator="lessThan">
      <formula>20</formula>
    </cfRule>
    <cfRule type="cellIs" dxfId="1" priority="2713" operator="greaterThan">
      <formula>120</formula>
    </cfRule>
    <cfRule type="containsText" dxfId="2" priority="1944" operator="between" text="库存为">
      <formula>NOT(ISERROR(SEARCH("库存为",AU511)))</formula>
    </cfRule>
  </conditionalFormatting>
  <conditionalFormatting sqref="AU512">
    <cfRule type="cellIs" dxfId="0" priority="3481" operator="lessThan">
      <formula>20</formula>
    </cfRule>
    <cfRule type="cellIs" dxfId="1" priority="2712" operator="greaterThan">
      <formula>120</formula>
    </cfRule>
    <cfRule type="containsText" dxfId="2" priority="1943" operator="between" text="库存为">
      <formula>NOT(ISERROR(SEARCH("库存为",AU512)))</formula>
    </cfRule>
  </conditionalFormatting>
  <conditionalFormatting sqref="AU513">
    <cfRule type="cellIs" dxfId="0" priority="3480" operator="lessThan">
      <formula>20</formula>
    </cfRule>
    <cfRule type="cellIs" dxfId="1" priority="2711" operator="greaterThan">
      <formula>120</formula>
    </cfRule>
    <cfRule type="containsText" dxfId="2" priority="1942" operator="between" text="库存为">
      <formula>NOT(ISERROR(SEARCH("库存为",AU513)))</formula>
    </cfRule>
  </conditionalFormatting>
  <conditionalFormatting sqref="AU514">
    <cfRule type="cellIs" dxfId="0" priority="3479" operator="lessThan">
      <formula>20</formula>
    </cfRule>
    <cfRule type="cellIs" dxfId="1" priority="2710" operator="greaterThan">
      <formula>120</formula>
    </cfRule>
    <cfRule type="containsText" dxfId="2" priority="1941" operator="between" text="库存为">
      <formula>NOT(ISERROR(SEARCH("库存为",AU514)))</formula>
    </cfRule>
  </conditionalFormatting>
  <conditionalFormatting sqref="AU515">
    <cfRule type="cellIs" dxfId="0" priority="3478" operator="lessThan">
      <formula>20</formula>
    </cfRule>
    <cfRule type="cellIs" dxfId="1" priority="2709" operator="greaterThan">
      <formula>120</formula>
    </cfRule>
    <cfRule type="containsText" dxfId="2" priority="1940" operator="between" text="库存为">
      <formula>NOT(ISERROR(SEARCH("库存为",AU515)))</formula>
    </cfRule>
  </conditionalFormatting>
  <conditionalFormatting sqref="AU516">
    <cfRule type="cellIs" dxfId="0" priority="3477" operator="lessThan">
      <formula>20</formula>
    </cfRule>
    <cfRule type="cellIs" dxfId="1" priority="2708" operator="greaterThan">
      <formula>120</formula>
    </cfRule>
    <cfRule type="containsText" dxfId="2" priority="1939" operator="between" text="库存为">
      <formula>NOT(ISERROR(SEARCH("库存为",AU516)))</formula>
    </cfRule>
  </conditionalFormatting>
  <conditionalFormatting sqref="AU517">
    <cfRule type="cellIs" dxfId="0" priority="3476" operator="lessThan">
      <formula>20</formula>
    </cfRule>
    <cfRule type="cellIs" dxfId="1" priority="2707" operator="greaterThan">
      <formula>120</formula>
    </cfRule>
    <cfRule type="containsText" dxfId="2" priority="1938" operator="between" text="库存为">
      <formula>NOT(ISERROR(SEARCH("库存为",AU517)))</formula>
    </cfRule>
  </conditionalFormatting>
  <conditionalFormatting sqref="AU518">
    <cfRule type="cellIs" dxfId="0" priority="3475" operator="lessThan">
      <formula>20</formula>
    </cfRule>
    <cfRule type="cellIs" dxfId="1" priority="2706" operator="greaterThan">
      <formula>120</formula>
    </cfRule>
    <cfRule type="containsText" dxfId="2" priority="1937" operator="between" text="库存为">
      <formula>NOT(ISERROR(SEARCH("库存为",AU518)))</formula>
    </cfRule>
  </conditionalFormatting>
  <conditionalFormatting sqref="AU519">
    <cfRule type="cellIs" dxfId="0" priority="3474" operator="lessThan">
      <formula>20</formula>
    </cfRule>
    <cfRule type="cellIs" dxfId="1" priority="2705" operator="greaterThan">
      <formula>120</formula>
    </cfRule>
    <cfRule type="containsText" dxfId="2" priority="1936" operator="between" text="库存为">
      <formula>NOT(ISERROR(SEARCH("库存为",AU519)))</formula>
    </cfRule>
  </conditionalFormatting>
  <conditionalFormatting sqref="AU520">
    <cfRule type="cellIs" dxfId="0" priority="3473" operator="lessThan">
      <formula>20</formula>
    </cfRule>
    <cfRule type="cellIs" dxfId="1" priority="2704" operator="greaterThan">
      <formula>120</formula>
    </cfRule>
    <cfRule type="containsText" dxfId="2" priority="1935" operator="between" text="库存为">
      <formula>NOT(ISERROR(SEARCH("库存为",AU520)))</formula>
    </cfRule>
  </conditionalFormatting>
  <conditionalFormatting sqref="AU521">
    <cfRule type="cellIs" dxfId="0" priority="3472" operator="lessThan">
      <formula>20</formula>
    </cfRule>
    <cfRule type="cellIs" dxfId="1" priority="2703" operator="greaterThan">
      <formula>120</formula>
    </cfRule>
    <cfRule type="containsText" dxfId="2" priority="1934" operator="between" text="库存为">
      <formula>NOT(ISERROR(SEARCH("库存为",AU521)))</formula>
    </cfRule>
  </conditionalFormatting>
  <conditionalFormatting sqref="AU522">
    <cfRule type="cellIs" dxfId="0" priority="3471" operator="lessThan">
      <formula>20</formula>
    </cfRule>
    <cfRule type="cellIs" dxfId="1" priority="2702" operator="greaterThan">
      <formula>120</formula>
    </cfRule>
    <cfRule type="containsText" dxfId="2" priority="1933" operator="between" text="库存为">
      <formula>NOT(ISERROR(SEARCH("库存为",AU522)))</formula>
    </cfRule>
  </conditionalFormatting>
  <conditionalFormatting sqref="AU523">
    <cfRule type="cellIs" dxfId="0" priority="3470" operator="lessThan">
      <formula>20</formula>
    </cfRule>
    <cfRule type="cellIs" dxfId="1" priority="2701" operator="greaterThan">
      <formula>120</formula>
    </cfRule>
    <cfRule type="containsText" dxfId="2" priority="1932" operator="between" text="库存为">
      <formula>NOT(ISERROR(SEARCH("库存为",AU523)))</formula>
    </cfRule>
  </conditionalFormatting>
  <conditionalFormatting sqref="AU524">
    <cfRule type="cellIs" dxfId="0" priority="3469" operator="lessThan">
      <formula>20</formula>
    </cfRule>
    <cfRule type="cellIs" dxfId="1" priority="2700" operator="greaterThan">
      <formula>120</formula>
    </cfRule>
    <cfRule type="containsText" dxfId="2" priority="1931" operator="between" text="库存为">
      <formula>NOT(ISERROR(SEARCH("库存为",AU524)))</formula>
    </cfRule>
  </conditionalFormatting>
  <conditionalFormatting sqref="AU525">
    <cfRule type="cellIs" dxfId="0" priority="3468" operator="lessThan">
      <formula>20</formula>
    </cfRule>
    <cfRule type="cellIs" dxfId="1" priority="2699" operator="greaterThan">
      <formula>120</formula>
    </cfRule>
    <cfRule type="containsText" dxfId="2" priority="1930" operator="between" text="库存为">
      <formula>NOT(ISERROR(SEARCH("库存为",AU525)))</formula>
    </cfRule>
  </conditionalFormatting>
  <conditionalFormatting sqref="AU526">
    <cfRule type="cellIs" dxfId="0" priority="3467" operator="lessThan">
      <formula>20</formula>
    </cfRule>
    <cfRule type="cellIs" dxfId="1" priority="2698" operator="greaterThan">
      <formula>120</formula>
    </cfRule>
    <cfRule type="containsText" dxfId="2" priority="1929" operator="between" text="库存为">
      <formula>NOT(ISERROR(SEARCH("库存为",AU526)))</formula>
    </cfRule>
  </conditionalFormatting>
  <conditionalFormatting sqref="AU527">
    <cfRule type="cellIs" dxfId="0" priority="3466" operator="lessThan">
      <formula>20</formula>
    </cfRule>
    <cfRule type="cellIs" dxfId="1" priority="2697" operator="greaterThan">
      <formula>120</formula>
    </cfRule>
    <cfRule type="containsText" dxfId="2" priority="1928" operator="between" text="库存为">
      <formula>NOT(ISERROR(SEARCH("库存为",AU527)))</formula>
    </cfRule>
  </conditionalFormatting>
  <conditionalFormatting sqref="AU528">
    <cfRule type="cellIs" dxfId="0" priority="3465" operator="lessThan">
      <formula>20</formula>
    </cfRule>
    <cfRule type="cellIs" dxfId="1" priority="2696" operator="greaterThan">
      <formula>120</formula>
    </cfRule>
    <cfRule type="containsText" dxfId="2" priority="1927" operator="between" text="库存为">
      <formula>NOT(ISERROR(SEARCH("库存为",AU528)))</formula>
    </cfRule>
  </conditionalFormatting>
  <conditionalFormatting sqref="AU529">
    <cfRule type="cellIs" dxfId="0" priority="3464" operator="lessThan">
      <formula>20</formula>
    </cfRule>
    <cfRule type="cellIs" dxfId="1" priority="2695" operator="greaterThan">
      <formula>120</formula>
    </cfRule>
    <cfRule type="containsText" dxfId="2" priority="1926" operator="between" text="库存为">
      <formula>NOT(ISERROR(SEARCH("库存为",AU529)))</formula>
    </cfRule>
  </conditionalFormatting>
  <conditionalFormatting sqref="AU530">
    <cfRule type="cellIs" dxfId="0" priority="3463" operator="lessThan">
      <formula>20</formula>
    </cfRule>
    <cfRule type="cellIs" dxfId="1" priority="2694" operator="greaterThan">
      <formula>120</formula>
    </cfRule>
    <cfRule type="containsText" dxfId="2" priority="1925" operator="between" text="库存为">
      <formula>NOT(ISERROR(SEARCH("库存为",AU530)))</formula>
    </cfRule>
  </conditionalFormatting>
  <conditionalFormatting sqref="AU531">
    <cfRule type="cellIs" dxfId="0" priority="3462" operator="lessThan">
      <formula>20</formula>
    </cfRule>
    <cfRule type="cellIs" dxfId="1" priority="2693" operator="greaterThan">
      <formula>120</formula>
    </cfRule>
    <cfRule type="containsText" dxfId="2" priority="1924" operator="between" text="库存为">
      <formula>NOT(ISERROR(SEARCH("库存为",AU531)))</formula>
    </cfRule>
  </conditionalFormatting>
  <conditionalFormatting sqref="AU532">
    <cfRule type="cellIs" dxfId="0" priority="3461" operator="lessThan">
      <formula>20</formula>
    </cfRule>
    <cfRule type="cellIs" dxfId="1" priority="2692" operator="greaterThan">
      <formula>120</formula>
    </cfRule>
    <cfRule type="containsText" dxfId="2" priority="1923" operator="between" text="库存为">
      <formula>NOT(ISERROR(SEARCH("库存为",AU532)))</formula>
    </cfRule>
  </conditionalFormatting>
  <conditionalFormatting sqref="AU533">
    <cfRule type="cellIs" dxfId="0" priority="3460" operator="lessThan">
      <formula>20</formula>
    </cfRule>
    <cfRule type="cellIs" dxfId="1" priority="2691" operator="greaterThan">
      <formula>120</formula>
    </cfRule>
    <cfRule type="containsText" dxfId="2" priority="1922" operator="between" text="库存为">
      <formula>NOT(ISERROR(SEARCH("库存为",AU533)))</formula>
    </cfRule>
  </conditionalFormatting>
  <conditionalFormatting sqref="AU534">
    <cfRule type="cellIs" dxfId="0" priority="3459" operator="lessThan">
      <formula>20</formula>
    </cfRule>
    <cfRule type="cellIs" dxfId="1" priority="2690" operator="greaterThan">
      <formula>120</formula>
    </cfRule>
    <cfRule type="containsText" dxfId="2" priority="1921" operator="between" text="库存为">
      <formula>NOT(ISERROR(SEARCH("库存为",AU534)))</formula>
    </cfRule>
  </conditionalFormatting>
  <conditionalFormatting sqref="AU535">
    <cfRule type="cellIs" dxfId="0" priority="3458" operator="lessThan">
      <formula>20</formula>
    </cfRule>
    <cfRule type="cellIs" dxfId="1" priority="2689" operator="greaterThan">
      <formula>120</formula>
    </cfRule>
    <cfRule type="containsText" dxfId="2" priority="1920" operator="between" text="库存为">
      <formula>NOT(ISERROR(SEARCH("库存为",AU535)))</formula>
    </cfRule>
  </conditionalFormatting>
  <conditionalFormatting sqref="AU536">
    <cfRule type="cellIs" dxfId="0" priority="3457" operator="lessThan">
      <formula>20</formula>
    </cfRule>
    <cfRule type="cellIs" dxfId="1" priority="2688" operator="greaterThan">
      <formula>120</formula>
    </cfRule>
    <cfRule type="containsText" dxfId="2" priority="1919" operator="between" text="库存为">
      <formula>NOT(ISERROR(SEARCH("库存为",AU536)))</formula>
    </cfRule>
  </conditionalFormatting>
  <conditionalFormatting sqref="AU537">
    <cfRule type="cellIs" dxfId="0" priority="3456" operator="lessThan">
      <formula>20</formula>
    </cfRule>
    <cfRule type="cellIs" dxfId="1" priority="2687" operator="greaterThan">
      <formula>120</formula>
    </cfRule>
    <cfRule type="containsText" dxfId="2" priority="1918" operator="between" text="库存为">
      <formula>NOT(ISERROR(SEARCH("库存为",AU537)))</formula>
    </cfRule>
  </conditionalFormatting>
  <conditionalFormatting sqref="AU538">
    <cfRule type="cellIs" dxfId="0" priority="3455" operator="lessThan">
      <formula>20</formula>
    </cfRule>
    <cfRule type="cellIs" dxfId="1" priority="2686" operator="greaterThan">
      <formula>120</formula>
    </cfRule>
    <cfRule type="containsText" dxfId="2" priority="1917" operator="between" text="库存为">
      <formula>NOT(ISERROR(SEARCH("库存为",AU538)))</formula>
    </cfRule>
  </conditionalFormatting>
  <conditionalFormatting sqref="AU539">
    <cfRule type="cellIs" dxfId="0" priority="3454" operator="lessThan">
      <formula>20</formula>
    </cfRule>
    <cfRule type="cellIs" dxfId="1" priority="2685" operator="greaterThan">
      <formula>120</formula>
    </cfRule>
    <cfRule type="containsText" dxfId="2" priority="1916" operator="between" text="库存为">
      <formula>NOT(ISERROR(SEARCH("库存为",AU539)))</formula>
    </cfRule>
  </conditionalFormatting>
  <conditionalFormatting sqref="AU540">
    <cfRule type="cellIs" dxfId="0" priority="3453" operator="lessThan">
      <formula>20</formula>
    </cfRule>
    <cfRule type="cellIs" dxfId="1" priority="2684" operator="greaterThan">
      <formula>120</formula>
    </cfRule>
    <cfRule type="containsText" dxfId="2" priority="1915" operator="between" text="库存为">
      <formula>NOT(ISERROR(SEARCH("库存为",AU540)))</formula>
    </cfRule>
  </conditionalFormatting>
  <conditionalFormatting sqref="AU541">
    <cfRule type="cellIs" dxfId="0" priority="3452" operator="lessThan">
      <formula>20</formula>
    </cfRule>
    <cfRule type="cellIs" dxfId="1" priority="2683" operator="greaterThan">
      <formula>120</formula>
    </cfRule>
    <cfRule type="containsText" dxfId="2" priority="1914" operator="between" text="库存为">
      <formula>NOT(ISERROR(SEARCH("库存为",AU541)))</formula>
    </cfRule>
  </conditionalFormatting>
  <conditionalFormatting sqref="AU542">
    <cfRule type="cellIs" dxfId="0" priority="3451" operator="lessThan">
      <formula>20</formula>
    </cfRule>
    <cfRule type="cellIs" dxfId="1" priority="2682" operator="greaterThan">
      <formula>120</formula>
    </cfRule>
    <cfRule type="containsText" dxfId="2" priority="1913" operator="between" text="库存为">
      <formula>NOT(ISERROR(SEARCH("库存为",AU542)))</formula>
    </cfRule>
  </conditionalFormatting>
  <conditionalFormatting sqref="AU543">
    <cfRule type="cellIs" dxfId="0" priority="3450" operator="lessThan">
      <formula>20</formula>
    </cfRule>
    <cfRule type="cellIs" dxfId="1" priority="2681" operator="greaterThan">
      <formula>120</formula>
    </cfRule>
    <cfRule type="containsText" dxfId="2" priority="1912" operator="between" text="库存为">
      <formula>NOT(ISERROR(SEARCH("库存为",AU543)))</formula>
    </cfRule>
  </conditionalFormatting>
  <conditionalFormatting sqref="AU544">
    <cfRule type="cellIs" dxfId="0" priority="3449" operator="lessThan">
      <formula>20</formula>
    </cfRule>
    <cfRule type="cellIs" dxfId="1" priority="2680" operator="greaterThan">
      <formula>120</formula>
    </cfRule>
    <cfRule type="containsText" dxfId="2" priority="1911" operator="between" text="库存为">
      <formula>NOT(ISERROR(SEARCH("库存为",AU544)))</formula>
    </cfRule>
  </conditionalFormatting>
  <conditionalFormatting sqref="AU545">
    <cfRule type="cellIs" dxfId="0" priority="3448" operator="lessThan">
      <formula>20</formula>
    </cfRule>
    <cfRule type="cellIs" dxfId="1" priority="2679" operator="greaterThan">
      <formula>120</formula>
    </cfRule>
    <cfRule type="containsText" dxfId="2" priority="1910" operator="between" text="库存为">
      <formula>NOT(ISERROR(SEARCH("库存为",AU545)))</formula>
    </cfRule>
  </conditionalFormatting>
  <conditionalFormatting sqref="AU546">
    <cfRule type="cellIs" dxfId="0" priority="3447" operator="lessThan">
      <formula>20</formula>
    </cfRule>
    <cfRule type="cellIs" dxfId="1" priority="2678" operator="greaterThan">
      <formula>120</formula>
    </cfRule>
    <cfRule type="containsText" dxfId="2" priority="1909" operator="between" text="库存为">
      <formula>NOT(ISERROR(SEARCH("库存为",AU546)))</formula>
    </cfRule>
  </conditionalFormatting>
  <conditionalFormatting sqref="AU547">
    <cfRule type="cellIs" dxfId="0" priority="3446" operator="lessThan">
      <formula>20</formula>
    </cfRule>
    <cfRule type="cellIs" dxfId="1" priority="2677" operator="greaterThan">
      <formula>120</formula>
    </cfRule>
    <cfRule type="containsText" dxfId="2" priority="1908" operator="between" text="库存为">
      <formula>NOT(ISERROR(SEARCH("库存为",AU547)))</formula>
    </cfRule>
  </conditionalFormatting>
  <conditionalFormatting sqref="AU548">
    <cfRule type="cellIs" dxfId="0" priority="3445" operator="lessThan">
      <formula>20</formula>
    </cfRule>
    <cfRule type="cellIs" dxfId="1" priority="2676" operator="greaterThan">
      <formula>120</formula>
    </cfRule>
    <cfRule type="containsText" dxfId="2" priority="1907" operator="between" text="库存为">
      <formula>NOT(ISERROR(SEARCH("库存为",AU548)))</formula>
    </cfRule>
  </conditionalFormatting>
  <conditionalFormatting sqref="AU549">
    <cfRule type="cellIs" dxfId="0" priority="3444" operator="lessThan">
      <formula>20</formula>
    </cfRule>
    <cfRule type="cellIs" dxfId="1" priority="2675" operator="greaterThan">
      <formula>120</formula>
    </cfRule>
    <cfRule type="containsText" dxfId="2" priority="1906" operator="between" text="库存为">
      <formula>NOT(ISERROR(SEARCH("库存为",AU549)))</formula>
    </cfRule>
  </conditionalFormatting>
  <conditionalFormatting sqref="AU550">
    <cfRule type="cellIs" dxfId="0" priority="3443" operator="lessThan">
      <formula>20</formula>
    </cfRule>
    <cfRule type="cellIs" dxfId="1" priority="2674" operator="greaterThan">
      <formula>120</formula>
    </cfRule>
    <cfRule type="containsText" dxfId="2" priority="1905" operator="between" text="库存为">
      <formula>NOT(ISERROR(SEARCH("库存为",AU550)))</formula>
    </cfRule>
  </conditionalFormatting>
  <conditionalFormatting sqref="AU551">
    <cfRule type="cellIs" dxfId="0" priority="3442" operator="lessThan">
      <formula>20</formula>
    </cfRule>
    <cfRule type="cellIs" dxfId="1" priority="2673" operator="greaterThan">
      <formula>120</formula>
    </cfRule>
    <cfRule type="containsText" dxfId="2" priority="1904" operator="between" text="库存为">
      <formula>NOT(ISERROR(SEARCH("库存为",AU551)))</formula>
    </cfRule>
  </conditionalFormatting>
  <conditionalFormatting sqref="AU552">
    <cfRule type="cellIs" dxfId="0" priority="3441" operator="lessThan">
      <formula>20</formula>
    </cfRule>
    <cfRule type="cellIs" dxfId="1" priority="2672" operator="greaterThan">
      <formula>120</formula>
    </cfRule>
    <cfRule type="containsText" dxfId="2" priority="1903" operator="between" text="库存为">
      <formula>NOT(ISERROR(SEARCH("库存为",AU552)))</formula>
    </cfRule>
  </conditionalFormatting>
  <conditionalFormatting sqref="AU553">
    <cfRule type="cellIs" dxfId="0" priority="3440" operator="lessThan">
      <formula>20</formula>
    </cfRule>
    <cfRule type="cellIs" dxfId="1" priority="2671" operator="greaterThan">
      <formula>120</formula>
    </cfRule>
    <cfRule type="containsText" dxfId="2" priority="1902" operator="between" text="库存为">
      <formula>NOT(ISERROR(SEARCH("库存为",AU553)))</formula>
    </cfRule>
  </conditionalFormatting>
  <conditionalFormatting sqref="AU554">
    <cfRule type="cellIs" dxfId="0" priority="3439" operator="lessThan">
      <formula>20</formula>
    </cfRule>
    <cfRule type="cellIs" dxfId="1" priority="2670" operator="greaterThan">
      <formula>120</formula>
    </cfRule>
    <cfRule type="containsText" dxfId="2" priority="1901" operator="between" text="库存为">
      <formula>NOT(ISERROR(SEARCH("库存为",AU554)))</formula>
    </cfRule>
  </conditionalFormatting>
  <conditionalFormatting sqref="AU555">
    <cfRule type="cellIs" dxfId="0" priority="3438" operator="lessThan">
      <formula>20</formula>
    </cfRule>
    <cfRule type="cellIs" dxfId="1" priority="2669" operator="greaterThan">
      <formula>120</formula>
    </cfRule>
    <cfRule type="containsText" dxfId="2" priority="1900" operator="between" text="库存为">
      <formula>NOT(ISERROR(SEARCH("库存为",AU555)))</formula>
    </cfRule>
  </conditionalFormatting>
  <conditionalFormatting sqref="AU556">
    <cfRule type="cellIs" dxfId="0" priority="3437" operator="lessThan">
      <formula>20</formula>
    </cfRule>
    <cfRule type="cellIs" dxfId="1" priority="2668" operator="greaterThan">
      <formula>120</formula>
    </cfRule>
    <cfRule type="containsText" dxfId="2" priority="1899" operator="between" text="库存为">
      <formula>NOT(ISERROR(SEARCH("库存为",AU556)))</formula>
    </cfRule>
  </conditionalFormatting>
  <conditionalFormatting sqref="AU557">
    <cfRule type="cellIs" dxfId="0" priority="3436" operator="lessThan">
      <formula>20</formula>
    </cfRule>
    <cfRule type="cellIs" dxfId="1" priority="2667" operator="greaterThan">
      <formula>120</formula>
    </cfRule>
    <cfRule type="containsText" dxfId="2" priority="1898" operator="between" text="库存为">
      <formula>NOT(ISERROR(SEARCH("库存为",AU557)))</formula>
    </cfRule>
  </conditionalFormatting>
  <conditionalFormatting sqref="AU558">
    <cfRule type="cellIs" dxfId="0" priority="3435" operator="lessThan">
      <formula>20</formula>
    </cfRule>
    <cfRule type="cellIs" dxfId="1" priority="2666" operator="greaterThan">
      <formula>120</formula>
    </cfRule>
    <cfRule type="containsText" dxfId="2" priority="1897" operator="between" text="库存为">
      <formula>NOT(ISERROR(SEARCH("库存为",AU558)))</formula>
    </cfRule>
  </conditionalFormatting>
  <conditionalFormatting sqref="AU559">
    <cfRule type="cellIs" dxfId="0" priority="3434" operator="lessThan">
      <formula>20</formula>
    </cfRule>
    <cfRule type="cellIs" dxfId="1" priority="2665" operator="greaterThan">
      <formula>120</formula>
    </cfRule>
    <cfRule type="containsText" dxfId="2" priority="1896" operator="between" text="库存为">
      <formula>NOT(ISERROR(SEARCH("库存为",AU559)))</formula>
    </cfRule>
  </conditionalFormatting>
  <conditionalFormatting sqref="AU560">
    <cfRule type="cellIs" dxfId="0" priority="3433" operator="lessThan">
      <formula>20</formula>
    </cfRule>
    <cfRule type="cellIs" dxfId="1" priority="2664" operator="greaterThan">
      <formula>120</formula>
    </cfRule>
    <cfRule type="containsText" dxfId="2" priority="1895" operator="between" text="库存为">
      <formula>NOT(ISERROR(SEARCH("库存为",AU560)))</formula>
    </cfRule>
  </conditionalFormatting>
  <conditionalFormatting sqref="AU561">
    <cfRule type="cellIs" dxfId="0" priority="3432" operator="lessThan">
      <formula>20</formula>
    </cfRule>
    <cfRule type="cellIs" dxfId="1" priority="2663" operator="greaterThan">
      <formula>120</formula>
    </cfRule>
    <cfRule type="containsText" dxfId="2" priority="1894" operator="between" text="库存为">
      <formula>NOT(ISERROR(SEARCH("库存为",AU561)))</formula>
    </cfRule>
  </conditionalFormatting>
  <conditionalFormatting sqref="AU562">
    <cfRule type="cellIs" dxfId="0" priority="3431" operator="lessThan">
      <formula>20</formula>
    </cfRule>
    <cfRule type="cellIs" dxfId="1" priority="2662" operator="greaterThan">
      <formula>120</formula>
    </cfRule>
    <cfRule type="containsText" dxfId="2" priority="1893" operator="between" text="库存为">
      <formula>NOT(ISERROR(SEARCH("库存为",AU562)))</formula>
    </cfRule>
  </conditionalFormatting>
  <conditionalFormatting sqref="AU563">
    <cfRule type="cellIs" dxfId="0" priority="3430" operator="lessThan">
      <formula>20</formula>
    </cfRule>
    <cfRule type="cellIs" dxfId="1" priority="2661" operator="greaterThan">
      <formula>120</formula>
    </cfRule>
    <cfRule type="containsText" dxfId="2" priority="1892" operator="between" text="库存为">
      <formula>NOT(ISERROR(SEARCH("库存为",AU563)))</formula>
    </cfRule>
  </conditionalFormatting>
  <conditionalFormatting sqref="AU564">
    <cfRule type="cellIs" dxfId="0" priority="3429" operator="lessThan">
      <formula>20</formula>
    </cfRule>
    <cfRule type="cellIs" dxfId="1" priority="2660" operator="greaterThan">
      <formula>120</formula>
    </cfRule>
    <cfRule type="containsText" dxfId="2" priority="1891" operator="between" text="库存为">
      <formula>NOT(ISERROR(SEARCH("库存为",AU564)))</formula>
    </cfRule>
  </conditionalFormatting>
  <conditionalFormatting sqref="AU565">
    <cfRule type="cellIs" dxfId="0" priority="3428" operator="lessThan">
      <formula>20</formula>
    </cfRule>
    <cfRule type="cellIs" dxfId="1" priority="2659" operator="greaterThan">
      <formula>120</formula>
    </cfRule>
    <cfRule type="containsText" dxfId="2" priority="1890" operator="between" text="库存为">
      <formula>NOT(ISERROR(SEARCH("库存为",AU565)))</formula>
    </cfRule>
  </conditionalFormatting>
  <conditionalFormatting sqref="AU566">
    <cfRule type="cellIs" dxfId="0" priority="3427" operator="lessThan">
      <formula>20</formula>
    </cfRule>
    <cfRule type="cellIs" dxfId="1" priority="2658" operator="greaterThan">
      <formula>120</formula>
    </cfRule>
    <cfRule type="containsText" dxfId="2" priority="1889" operator="between" text="库存为">
      <formula>NOT(ISERROR(SEARCH("库存为",AU566)))</formula>
    </cfRule>
  </conditionalFormatting>
  <conditionalFormatting sqref="AU567">
    <cfRule type="cellIs" dxfId="0" priority="3426" operator="lessThan">
      <formula>20</formula>
    </cfRule>
    <cfRule type="cellIs" dxfId="1" priority="2657" operator="greaterThan">
      <formula>120</formula>
    </cfRule>
    <cfRule type="containsText" dxfId="2" priority="1888" operator="between" text="库存为">
      <formula>NOT(ISERROR(SEARCH("库存为",AU567)))</formula>
    </cfRule>
  </conditionalFormatting>
  <conditionalFormatting sqref="AU568">
    <cfRule type="cellIs" dxfId="0" priority="3425" operator="lessThan">
      <formula>20</formula>
    </cfRule>
    <cfRule type="cellIs" dxfId="1" priority="2656" operator="greaterThan">
      <formula>120</formula>
    </cfRule>
    <cfRule type="containsText" dxfId="2" priority="1887" operator="between" text="库存为">
      <formula>NOT(ISERROR(SEARCH("库存为",AU568)))</formula>
    </cfRule>
  </conditionalFormatting>
  <conditionalFormatting sqref="AU569">
    <cfRule type="cellIs" dxfId="0" priority="3424" operator="lessThan">
      <formula>20</formula>
    </cfRule>
    <cfRule type="cellIs" dxfId="1" priority="2655" operator="greaterThan">
      <formula>120</formula>
    </cfRule>
    <cfRule type="containsText" dxfId="2" priority="1886" operator="between" text="库存为">
      <formula>NOT(ISERROR(SEARCH("库存为",AU569)))</formula>
    </cfRule>
  </conditionalFormatting>
  <conditionalFormatting sqref="AU570">
    <cfRule type="cellIs" dxfId="0" priority="3423" operator="lessThan">
      <formula>20</formula>
    </cfRule>
    <cfRule type="cellIs" dxfId="1" priority="2654" operator="greaterThan">
      <formula>120</formula>
    </cfRule>
    <cfRule type="containsText" dxfId="2" priority="1885" operator="between" text="库存为">
      <formula>NOT(ISERROR(SEARCH("库存为",AU570)))</formula>
    </cfRule>
  </conditionalFormatting>
  <conditionalFormatting sqref="AU571">
    <cfRule type="cellIs" dxfId="0" priority="3422" operator="lessThan">
      <formula>20</formula>
    </cfRule>
    <cfRule type="cellIs" dxfId="1" priority="2653" operator="greaterThan">
      <formula>120</formula>
    </cfRule>
    <cfRule type="containsText" dxfId="2" priority="1884" operator="between" text="库存为">
      <formula>NOT(ISERROR(SEARCH("库存为",AU571)))</formula>
    </cfRule>
  </conditionalFormatting>
  <conditionalFormatting sqref="AU572">
    <cfRule type="cellIs" dxfId="0" priority="3421" operator="lessThan">
      <formula>20</formula>
    </cfRule>
    <cfRule type="cellIs" dxfId="1" priority="2652" operator="greaterThan">
      <formula>120</formula>
    </cfRule>
    <cfRule type="containsText" dxfId="2" priority="1883" operator="between" text="库存为">
      <formula>NOT(ISERROR(SEARCH("库存为",AU572)))</formula>
    </cfRule>
  </conditionalFormatting>
  <conditionalFormatting sqref="AU573">
    <cfRule type="cellIs" dxfId="0" priority="3420" operator="lessThan">
      <formula>20</formula>
    </cfRule>
    <cfRule type="cellIs" dxfId="1" priority="2651" operator="greaterThan">
      <formula>120</formula>
    </cfRule>
    <cfRule type="containsText" dxfId="2" priority="1882" operator="between" text="库存为">
      <formula>NOT(ISERROR(SEARCH("库存为",AU573)))</formula>
    </cfRule>
  </conditionalFormatting>
  <conditionalFormatting sqref="AU574">
    <cfRule type="cellIs" dxfId="0" priority="3419" operator="lessThan">
      <formula>20</formula>
    </cfRule>
    <cfRule type="cellIs" dxfId="1" priority="2650" operator="greaterThan">
      <formula>120</formula>
    </cfRule>
    <cfRule type="containsText" dxfId="2" priority="1881" operator="between" text="库存为">
      <formula>NOT(ISERROR(SEARCH("库存为",AU574)))</formula>
    </cfRule>
  </conditionalFormatting>
  <conditionalFormatting sqref="AU575">
    <cfRule type="cellIs" dxfId="0" priority="3418" operator="lessThan">
      <formula>20</formula>
    </cfRule>
    <cfRule type="cellIs" dxfId="1" priority="2649" operator="greaterThan">
      <formula>120</formula>
    </cfRule>
    <cfRule type="containsText" dxfId="2" priority="1880" operator="between" text="库存为">
      <formula>NOT(ISERROR(SEARCH("库存为",AU575)))</formula>
    </cfRule>
  </conditionalFormatting>
  <conditionalFormatting sqref="AU576">
    <cfRule type="cellIs" dxfId="0" priority="3417" operator="lessThan">
      <formula>20</formula>
    </cfRule>
    <cfRule type="cellIs" dxfId="1" priority="2648" operator="greaterThan">
      <formula>120</formula>
    </cfRule>
    <cfRule type="containsText" dxfId="2" priority="1879" operator="between" text="库存为">
      <formula>NOT(ISERROR(SEARCH("库存为",AU576)))</formula>
    </cfRule>
  </conditionalFormatting>
  <conditionalFormatting sqref="AU577">
    <cfRule type="cellIs" dxfId="0" priority="3416" operator="lessThan">
      <formula>20</formula>
    </cfRule>
    <cfRule type="cellIs" dxfId="1" priority="2647" operator="greaterThan">
      <formula>120</formula>
    </cfRule>
    <cfRule type="containsText" dxfId="2" priority="1878" operator="between" text="库存为">
      <formula>NOT(ISERROR(SEARCH("库存为",AU577)))</formula>
    </cfRule>
  </conditionalFormatting>
  <conditionalFormatting sqref="AU578">
    <cfRule type="cellIs" dxfId="0" priority="3415" operator="lessThan">
      <formula>20</formula>
    </cfRule>
    <cfRule type="cellIs" dxfId="1" priority="2646" operator="greaterThan">
      <formula>120</formula>
    </cfRule>
    <cfRule type="containsText" dxfId="2" priority="1877" operator="between" text="库存为">
      <formula>NOT(ISERROR(SEARCH("库存为",AU578)))</formula>
    </cfRule>
  </conditionalFormatting>
  <conditionalFormatting sqref="AU579">
    <cfRule type="cellIs" dxfId="0" priority="3414" operator="lessThan">
      <formula>20</formula>
    </cfRule>
    <cfRule type="cellIs" dxfId="1" priority="2645" operator="greaterThan">
      <formula>120</formula>
    </cfRule>
    <cfRule type="containsText" dxfId="2" priority="1876" operator="between" text="库存为">
      <formula>NOT(ISERROR(SEARCH("库存为",AU579)))</formula>
    </cfRule>
  </conditionalFormatting>
  <conditionalFormatting sqref="AU580">
    <cfRule type="cellIs" dxfId="0" priority="3413" operator="lessThan">
      <formula>20</formula>
    </cfRule>
    <cfRule type="cellIs" dxfId="1" priority="2644" operator="greaterThan">
      <formula>120</formula>
    </cfRule>
    <cfRule type="containsText" dxfId="2" priority="1875" operator="between" text="库存为">
      <formula>NOT(ISERROR(SEARCH("库存为",AU580)))</formula>
    </cfRule>
  </conditionalFormatting>
  <conditionalFormatting sqref="AU581">
    <cfRule type="cellIs" dxfId="0" priority="3412" operator="lessThan">
      <formula>20</formula>
    </cfRule>
    <cfRule type="cellIs" dxfId="1" priority="2643" operator="greaterThan">
      <formula>120</formula>
    </cfRule>
    <cfRule type="containsText" dxfId="2" priority="1874" operator="between" text="库存为">
      <formula>NOT(ISERROR(SEARCH("库存为",AU581)))</formula>
    </cfRule>
  </conditionalFormatting>
  <conditionalFormatting sqref="AU582">
    <cfRule type="cellIs" dxfId="0" priority="3411" operator="lessThan">
      <formula>20</formula>
    </cfRule>
    <cfRule type="cellIs" dxfId="1" priority="2642" operator="greaterThan">
      <formula>120</formula>
    </cfRule>
    <cfRule type="containsText" dxfId="2" priority="1873" operator="between" text="库存为">
      <formula>NOT(ISERROR(SEARCH("库存为",AU582)))</formula>
    </cfRule>
  </conditionalFormatting>
  <conditionalFormatting sqref="AU583">
    <cfRule type="cellIs" dxfId="0" priority="3410" operator="lessThan">
      <formula>20</formula>
    </cfRule>
    <cfRule type="cellIs" dxfId="1" priority="2641" operator="greaterThan">
      <formula>120</formula>
    </cfRule>
    <cfRule type="containsText" dxfId="2" priority="1872" operator="between" text="库存为">
      <formula>NOT(ISERROR(SEARCH("库存为",AU583)))</formula>
    </cfRule>
  </conditionalFormatting>
  <conditionalFormatting sqref="AU584">
    <cfRule type="cellIs" dxfId="0" priority="3409" operator="lessThan">
      <formula>20</formula>
    </cfRule>
    <cfRule type="cellIs" dxfId="1" priority="2640" operator="greaterThan">
      <formula>120</formula>
    </cfRule>
    <cfRule type="containsText" dxfId="2" priority="1871" operator="between" text="库存为">
      <formula>NOT(ISERROR(SEARCH("库存为",AU584)))</formula>
    </cfRule>
  </conditionalFormatting>
  <conditionalFormatting sqref="AU585">
    <cfRule type="cellIs" dxfId="0" priority="3408" operator="lessThan">
      <formula>20</formula>
    </cfRule>
    <cfRule type="cellIs" dxfId="1" priority="2639" operator="greaterThan">
      <formula>120</formula>
    </cfRule>
    <cfRule type="containsText" dxfId="2" priority="1870" operator="between" text="库存为">
      <formula>NOT(ISERROR(SEARCH("库存为",AU585)))</formula>
    </cfRule>
  </conditionalFormatting>
  <conditionalFormatting sqref="AU586">
    <cfRule type="cellIs" dxfId="0" priority="3407" operator="lessThan">
      <formula>20</formula>
    </cfRule>
    <cfRule type="cellIs" dxfId="1" priority="2638" operator="greaterThan">
      <formula>120</formula>
    </cfRule>
    <cfRule type="containsText" dxfId="2" priority="1869" operator="between" text="库存为">
      <formula>NOT(ISERROR(SEARCH("库存为",AU586)))</formula>
    </cfRule>
  </conditionalFormatting>
  <conditionalFormatting sqref="AU587">
    <cfRule type="cellIs" dxfId="0" priority="3406" operator="lessThan">
      <formula>20</formula>
    </cfRule>
    <cfRule type="cellIs" dxfId="1" priority="2637" operator="greaterThan">
      <formula>120</formula>
    </cfRule>
    <cfRule type="containsText" dxfId="2" priority="1868" operator="between" text="库存为">
      <formula>NOT(ISERROR(SEARCH("库存为",AU587)))</formula>
    </cfRule>
  </conditionalFormatting>
  <conditionalFormatting sqref="AU588">
    <cfRule type="cellIs" dxfId="0" priority="3405" operator="lessThan">
      <formula>20</formula>
    </cfRule>
    <cfRule type="cellIs" dxfId="1" priority="2636" operator="greaterThan">
      <formula>120</formula>
    </cfRule>
    <cfRule type="containsText" dxfId="2" priority="1867" operator="between" text="库存为">
      <formula>NOT(ISERROR(SEARCH("库存为",AU588)))</formula>
    </cfRule>
  </conditionalFormatting>
  <conditionalFormatting sqref="AU589">
    <cfRule type="cellIs" dxfId="0" priority="3404" operator="lessThan">
      <formula>20</formula>
    </cfRule>
    <cfRule type="cellIs" dxfId="1" priority="2635" operator="greaterThan">
      <formula>120</formula>
    </cfRule>
    <cfRule type="containsText" dxfId="2" priority="1866" operator="between" text="库存为">
      <formula>NOT(ISERROR(SEARCH("库存为",AU589)))</formula>
    </cfRule>
  </conditionalFormatting>
  <conditionalFormatting sqref="AU590">
    <cfRule type="cellIs" dxfId="0" priority="3403" operator="lessThan">
      <formula>20</formula>
    </cfRule>
    <cfRule type="cellIs" dxfId="1" priority="2634" operator="greaterThan">
      <formula>120</formula>
    </cfRule>
    <cfRule type="containsText" dxfId="2" priority="1865" operator="between" text="库存为">
      <formula>NOT(ISERROR(SEARCH("库存为",AU590)))</formula>
    </cfRule>
  </conditionalFormatting>
  <conditionalFormatting sqref="AU591">
    <cfRule type="cellIs" dxfId="0" priority="3402" operator="lessThan">
      <formula>20</formula>
    </cfRule>
    <cfRule type="cellIs" dxfId="1" priority="2633" operator="greaterThan">
      <formula>120</formula>
    </cfRule>
    <cfRule type="containsText" dxfId="2" priority="1864" operator="between" text="库存为">
      <formula>NOT(ISERROR(SEARCH("库存为",AU591)))</formula>
    </cfRule>
  </conditionalFormatting>
  <conditionalFormatting sqref="AU592">
    <cfRule type="cellIs" dxfId="0" priority="3401" operator="lessThan">
      <formula>20</formula>
    </cfRule>
    <cfRule type="cellIs" dxfId="1" priority="2632" operator="greaterThan">
      <formula>120</formula>
    </cfRule>
    <cfRule type="containsText" dxfId="2" priority="1863" operator="between" text="库存为">
      <formula>NOT(ISERROR(SEARCH("库存为",AU592)))</formula>
    </cfRule>
  </conditionalFormatting>
  <conditionalFormatting sqref="AU593">
    <cfRule type="cellIs" dxfId="0" priority="3400" operator="lessThan">
      <formula>20</formula>
    </cfRule>
    <cfRule type="cellIs" dxfId="1" priority="2631" operator="greaterThan">
      <formula>120</formula>
    </cfRule>
    <cfRule type="containsText" dxfId="2" priority="1862" operator="between" text="库存为">
      <formula>NOT(ISERROR(SEARCH("库存为",AU593)))</formula>
    </cfRule>
  </conditionalFormatting>
  <conditionalFormatting sqref="AU594">
    <cfRule type="cellIs" dxfId="0" priority="3399" operator="lessThan">
      <formula>20</formula>
    </cfRule>
    <cfRule type="cellIs" dxfId="1" priority="2630" operator="greaterThan">
      <formula>120</formula>
    </cfRule>
    <cfRule type="containsText" dxfId="2" priority="1861" operator="between" text="库存为">
      <formula>NOT(ISERROR(SEARCH("库存为",AU594)))</formula>
    </cfRule>
  </conditionalFormatting>
  <conditionalFormatting sqref="AU595">
    <cfRule type="cellIs" dxfId="0" priority="3398" operator="lessThan">
      <formula>20</formula>
    </cfRule>
    <cfRule type="cellIs" dxfId="1" priority="2629" operator="greaterThan">
      <formula>120</formula>
    </cfRule>
    <cfRule type="containsText" dxfId="2" priority="1860" operator="between" text="库存为">
      <formula>NOT(ISERROR(SEARCH("库存为",AU595)))</formula>
    </cfRule>
  </conditionalFormatting>
  <conditionalFormatting sqref="AU596">
    <cfRule type="cellIs" dxfId="0" priority="3397" operator="lessThan">
      <formula>20</formula>
    </cfRule>
    <cfRule type="cellIs" dxfId="1" priority="2628" operator="greaterThan">
      <formula>120</formula>
    </cfRule>
    <cfRule type="containsText" dxfId="2" priority="1859" operator="between" text="库存为">
      <formula>NOT(ISERROR(SEARCH("库存为",AU596)))</formula>
    </cfRule>
  </conditionalFormatting>
  <conditionalFormatting sqref="AU597">
    <cfRule type="cellIs" dxfId="0" priority="3396" operator="lessThan">
      <formula>20</formula>
    </cfRule>
    <cfRule type="cellIs" dxfId="1" priority="2627" operator="greaterThan">
      <formula>120</formula>
    </cfRule>
    <cfRule type="containsText" dxfId="2" priority="1858" operator="between" text="库存为">
      <formula>NOT(ISERROR(SEARCH("库存为",AU597)))</formula>
    </cfRule>
  </conditionalFormatting>
  <conditionalFormatting sqref="AU598">
    <cfRule type="cellIs" dxfId="0" priority="3395" operator="lessThan">
      <formula>20</formula>
    </cfRule>
    <cfRule type="cellIs" dxfId="1" priority="2626" operator="greaterThan">
      <formula>120</formula>
    </cfRule>
    <cfRule type="containsText" dxfId="2" priority="1857" operator="between" text="库存为">
      <formula>NOT(ISERROR(SEARCH("库存为",AU598)))</formula>
    </cfRule>
  </conditionalFormatting>
  <conditionalFormatting sqref="AU599">
    <cfRule type="cellIs" dxfId="0" priority="3394" operator="lessThan">
      <formula>20</formula>
    </cfRule>
    <cfRule type="cellIs" dxfId="1" priority="2625" operator="greaterThan">
      <formula>120</formula>
    </cfRule>
    <cfRule type="containsText" dxfId="2" priority="1856" operator="between" text="库存为">
      <formula>NOT(ISERROR(SEARCH("库存为",AU599)))</formula>
    </cfRule>
  </conditionalFormatting>
  <conditionalFormatting sqref="AU600">
    <cfRule type="cellIs" dxfId="0" priority="3393" operator="lessThan">
      <formula>20</formula>
    </cfRule>
    <cfRule type="cellIs" dxfId="1" priority="2624" operator="greaterThan">
      <formula>120</formula>
    </cfRule>
    <cfRule type="containsText" dxfId="2" priority="1855" operator="between" text="库存为">
      <formula>NOT(ISERROR(SEARCH("库存为",AU600)))</formula>
    </cfRule>
  </conditionalFormatting>
  <conditionalFormatting sqref="AU601">
    <cfRule type="cellIs" dxfId="0" priority="3392" operator="lessThan">
      <formula>20</formula>
    </cfRule>
    <cfRule type="cellIs" dxfId="1" priority="2623" operator="greaterThan">
      <formula>120</formula>
    </cfRule>
    <cfRule type="containsText" dxfId="2" priority="1854" operator="between" text="库存为">
      <formula>NOT(ISERROR(SEARCH("库存为",AU601)))</formula>
    </cfRule>
  </conditionalFormatting>
  <conditionalFormatting sqref="AU602">
    <cfRule type="cellIs" dxfId="0" priority="3391" operator="lessThan">
      <formula>20</formula>
    </cfRule>
    <cfRule type="cellIs" dxfId="1" priority="2622" operator="greaterThan">
      <formula>120</formula>
    </cfRule>
    <cfRule type="containsText" dxfId="2" priority="1853" operator="between" text="库存为">
      <formula>NOT(ISERROR(SEARCH("库存为",AU602)))</formula>
    </cfRule>
  </conditionalFormatting>
  <conditionalFormatting sqref="AU603">
    <cfRule type="cellIs" dxfId="0" priority="3390" operator="lessThan">
      <formula>20</formula>
    </cfRule>
    <cfRule type="cellIs" dxfId="1" priority="2621" operator="greaterThan">
      <formula>120</formula>
    </cfRule>
    <cfRule type="containsText" dxfId="2" priority="1852" operator="between" text="库存为">
      <formula>NOT(ISERROR(SEARCH("库存为",AU603)))</formula>
    </cfRule>
  </conditionalFormatting>
  <conditionalFormatting sqref="AU604">
    <cfRule type="cellIs" dxfId="0" priority="3389" operator="lessThan">
      <formula>20</formula>
    </cfRule>
    <cfRule type="cellIs" dxfId="1" priority="2620" operator="greaterThan">
      <formula>120</formula>
    </cfRule>
    <cfRule type="containsText" dxfId="2" priority="1851" operator="between" text="库存为">
      <formula>NOT(ISERROR(SEARCH("库存为",AU604)))</formula>
    </cfRule>
  </conditionalFormatting>
  <conditionalFormatting sqref="AU605">
    <cfRule type="cellIs" dxfId="0" priority="3388" operator="lessThan">
      <formula>20</formula>
    </cfRule>
    <cfRule type="cellIs" dxfId="1" priority="2619" operator="greaterThan">
      <formula>120</formula>
    </cfRule>
    <cfRule type="containsText" dxfId="2" priority="1850" operator="between" text="库存为">
      <formula>NOT(ISERROR(SEARCH("库存为",AU605)))</formula>
    </cfRule>
  </conditionalFormatting>
  <conditionalFormatting sqref="AU606">
    <cfRule type="cellIs" dxfId="0" priority="3387" operator="lessThan">
      <formula>20</formula>
    </cfRule>
    <cfRule type="cellIs" dxfId="1" priority="2618" operator="greaterThan">
      <formula>120</formula>
    </cfRule>
    <cfRule type="containsText" dxfId="2" priority="1849" operator="between" text="库存为">
      <formula>NOT(ISERROR(SEARCH("库存为",AU606)))</formula>
    </cfRule>
  </conditionalFormatting>
  <conditionalFormatting sqref="AU607">
    <cfRule type="cellIs" dxfId="0" priority="3386" operator="lessThan">
      <formula>20</formula>
    </cfRule>
    <cfRule type="cellIs" dxfId="1" priority="2617" operator="greaterThan">
      <formula>120</formula>
    </cfRule>
    <cfRule type="containsText" dxfId="2" priority="1848" operator="between" text="库存为">
      <formula>NOT(ISERROR(SEARCH("库存为",AU607)))</formula>
    </cfRule>
  </conditionalFormatting>
  <conditionalFormatting sqref="AU608">
    <cfRule type="cellIs" dxfId="0" priority="3385" operator="lessThan">
      <formula>20</formula>
    </cfRule>
    <cfRule type="cellIs" dxfId="1" priority="2616" operator="greaterThan">
      <formula>120</formula>
    </cfRule>
    <cfRule type="containsText" dxfId="2" priority="1847" operator="between" text="库存为">
      <formula>NOT(ISERROR(SEARCH("库存为",AU608)))</formula>
    </cfRule>
  </conditionalFormatting>
  <conditionalFormatting sqref="AU609">
    <cfRule type="cellIs" dxfId="0" priority="3384" operator="lessThan">
      <formula>20</formula>
    </cfRule>
    <cfRule type="cellIs" dxfId="1" priority="2615" operator="greaterThan">
      <formula>120</formula>
    </cfRule>
    <cfRule type="containsText" dxfId="2" priority="1846" operator="between" text="库存为">
      <formula>NOT(ISERROR(SEARCH("库存为",AU609)))</formula>
    </cfRule>
  </conditionalFormatting>
  <conditionalFormatting sqref="AU610">
    <cfRule type="cellIs" dxfId="0" priority="3383" operator="lessThan">
      <formula>20</formula>
    </cfRule>
    <cfRule type="cellIs" dxfId="1" priority="2614" operator="greaterThan">
      <formula>120</formula>
    </cfRule>
    <cfRule type="containsText" dxfId="2" priority="1845" operator="between" text="库存为">
      <formula>NOT(ISERROR(SEARCH("库存为",AU610)))</formula>
    </cfRule>
  </conditionalFormatting>
  <conditionalFormatting sqref="AU611">
    <cfRule type="cellIs" dxfId="0" priority="3382" operator="lessThan">
      <formula>20</formula>
    </cfRule>
    <cfRule type="cellIs" dxfId="1" priority="2613" operator="greaterThan">
      <formula>120</formula>
    </cfRule>
    <cfRule type="containsText" dxfId="2" priority="1844" operator="between" text="库存为">
      <formula>NOT(ISERROR(SEARCH("库存为",AU611)))</formula>
    </cfRule>
  </conditionalFormatting>
  <conditionalFormatting sqref="AU612">
    <cfRule type="cellIs" dxfId="0" priority="3381" operator="lessThan">
      <formula>20</formula>
    </cfRule>
    <cfRule type="cellIs" dxfId="1" priority="2612" operator="greaterThan">
      <formula>120</formula>
    </cfRule>
    <cfRule type="containsText" dxfId="2" priority="1843" operator="between" text="库存为">
      <formula>NOT(ISERROR(SEARCH("库存为",AU612)))</formula>
    </cfRule>
  </conditionalFormatting>
  <conditionalFormatting sqref="AU613">
    <cfRule type="cellIs" dxfId="0" priority="3380" operator="lessThan">
      <formula>20</formula>
    </cfRule>
    <cfRule type="cellIs" dxfId="1" priority="2611" operator="greaterThan">
      <formula>120</formula>
    </cfRule>
    <cfRule type="containsText" dxfId="2" priority="1842" operator="between" text="库存为">
      <formula>NOT(ISERROR(SEARCH("库存为",AU613)))</formula>
    </cfRule>
  </conditionalFormatting>
  <conditionalFormatting sqref="AU614">
    <cfRule type="cellIs" dxfId="0" priority="3379" operator="lessThan">
      <formula>20</formula>
    </cfRule>
    <cfRule type="cellIs" dxfId="1" priority="2610" operator="greaterThan">
      <formula>120</formula>
    </cfRule>
    <cfRule type="containsText" dxfId="2" priority="1841" operator="between" text="库存为">
      <formula>NOT(ISERROR(SEARCH("库存为",AU614)))</formula>
    </cfRule>
  </conditionalFormatting>
  <conditionalFormatting sqref="AU615">
    <cfRule type="cellIs" dxfId="0" priority="3378" operator="lessThan">
      <formula>20</formula>
    </cfRule>
    <cfRule type="cellIs" dxfId="1" priority="2609" operator="greaterThan">
      <formula>120</formula>
    </cfRule>
    <cfRule type="containsText" dxfId="2" priority="1840" operator="between" text="库存为">
      <formula>NOT(ISERROR(SEARCH("库存为",AU615)))</formula>
    </cfRule>
  </conditionalFormatting>
  <conditionalFormatting sqref="AU616">
    <cfRule type="cellIs" dxfId="0" priority="3377" operator="lessThan">
      <formula>20</formula>
    </cfRule>
    <cfRule type="cellIs" dxfId="1" priority="2608" operator="greaterThan">
      <formula>120</formula>
    </cfRule>
    <cfRule type="containsText" dxfId="2" priority="1839" operator="between" text="库存为">
      <formula>NOT(ISERROR(SEARCH("库存为",AU616)))</formula>
    </cfRule>
  </conditionalFormatting>
  <conditionalFormatting sqref="AU617">
    <cfRule type="cellIs" dxfId="0" priority="3376" operator="lessThan">
      <formula>20</formula>
    </cfRule>
    <cfRule type="cellIs" dxfId="1" priority="2607" operator="greaterThan">
      <formula>120</formula>
    </cfRule>
    <cfRule type="containsText" dxfId="2" priority="1838" operator="between" text="库存为">
      <formula>NOT(ISERROR(SEARCH("库存为",AU617)))</formula>
    </cfRule>
  </conditionalFormatting>
  <conditionalFormatting sqref="AU618">
    <cfRule type="cellIs" dxfId="0" priority="3375" operator="lessThan">
      <formula>20</formula>
    </cfRule>
    <cfRule type="cellIs" dxfId="1" priority="2606" operator="greaterThan">
      <formula>120</formula>
    </cfRule>
    <cfRule type="containsText" dxfId="2" priority="1837" operator="between" text="库存为">
      <formula>NOT(ISERROR(SEARCH("库存为",AU618)))</formula>
    </cfRule>
  </conditionalFormatting>
  <conditionalFormatting sqref="AU619">
    <cfRule type="cellIs" dxfId="0" priority="3374" operator="lessThan">
      <formula>20</formula>
    </cfRule>
    <cfRule type="cellIs" dxfId="1" priority="2605" operator="greaterThan">
      <formula>120</formula>
    </cfRule>
    <cfRule type="containsText" dxfId="2" priority="1836" operator="between" text="库存为">
      <formula>NOT(ISERROR(SEARCH("库存为",AU619)))</formula>
    </cfRule>
  </conditionalFormatting>
  <conditionalFormatting sqref="AU620">
    <cfRule type="cellIs" dxfId="0" priority="3373" operator="lessThan">
      <formula>20</formula>
    </cfRule>
    <cfRule type="cellIs" dxfId="1" priority="2604" operator="greaterThan">
      <formula>120</formula>
    </cfRule>
    <cfRule type="containsText" dxfId="2" priority="1835" operator="between" text="库存为">
      <formula>NOT(ISERROR(SEARCH("库存为",AU620)))</formula>
    </cfRule>
  </conditionalFormatting>
  <conditionalFormatting sqref="AU621">
    <cfRule type="cellIs" dxfId="0" priority="3372" operator="lessThan">
      <formula>20</formula>
    </cfRule>
    <cfRule type="cellIs" dxfId="1" priority="2603" operator="greaterThan">
      <formula>120</formula>
    </cfRule>
    <cfRule type="containsText" dxfId="2" priority="1834" operator="between" text="库存为">
      <formula>NOT(ISERROR(SEARCH("库存为",AU621)))</formula>
    </cfRule>
  </conditionalFormatting>
  <conditionalFormatting sqref="AU622">
    <cfRule type="cellIs" dxfId="0" priority="3371" operator="lessThan">
      <formula>20</formula>
    </cfRule>
    <cfRule type="cellIs" dxfId="1" priority="2602" operator="greaterThan">
      <formula>120</formula>
    </cfRule>
    <cfRule type="containsText" dxfId="2" priority="1833" operator="between" text="库存为">
      <formula>NOT(ISERROR(SEARCH("库存为",AU622)))</formula>
    </cfRule>
  </conditionalFormatting>
  <conditionalFormatting sqref="AU623">
    <cfRule type="cellIs" dxfId="0" priority="3370" operator="lessThan">
      <formula>20</formula>
    </cfRule>
    <cfRule type="cellIs" dxfId="1" priority="2601" operator="greaterThan">
      <formula>120</formula>
    </cfRule>
    <cfRule type="containsText" dxfId="2" priority="1832" operator="between" text="库存为">
      <formula>NOT(ISERROR(SEARCH("库存为",AU623)))</formula>
    </cfRule>
  </conditionalFormatting>
  <conditionalFormatting sqref="AU624">
    <cfRule type="cellIs" dxfId="0" priority="3369" operator="lessThan">
      <formula>20</formula>
    </cfRule>
    <cfRule type="cellIs" dxfId="1" priority="2600" operator="greaterThan">
      <formula>120</formula>
    </cfRule>
    <cfRule type="containsText" dxfId="2" priority="1831" operator="between" text="库存为">
      <formula>NOT(ISERROR(SEARCH("库存为",AU624)))</formula>
    </cfRule>
  </conditionalFormatting>
  <conditionalFormatting sqref="AU625">
    <cfRule type="cellIs" dxfId="0" priority="3368" operator="lessThan">
      <formula>20</formula>
    </cfRule>
    <cfRule type="cellIs" dxfId="1" priority="2599" operator="greaterThan">
      <formula>120</formula>
    </cfRule>
    <cfRule type="containsText" dxfId="2" priority="1830" operator="between" text="库存为">
      <formula>NOT(ISERROR(SEARCH("库存为",AU625)))</formula>
    </cfRule>
  </conditionalFormatting>
  <conditionalFormatting sqref="AU626">
    <cfRule type="cellIs" dxfId="0" priority="3367" operator="lessThan">
      <formula>20</formula>
    </cfRule>
    <cfRule type="cellIs" dxfId="1" priority="2598" operator="greaterThan">
      <formula>120</formula>
    </cfRule>
    <cfRule type="containsText" dxfId="2" priority="1829" operator="between" text="库存为">
      <formula>NOT(ISERROR(SEARCH("库存为",AU626)))</formula>
    </cfRule>
  </conditionalFormatting>
  <conditionalFormatting sqref="AU627">
    <cfRule type="cellIs" dxfId="0" priority="3366" operator="lessThan">
      <formula>20</formula>
    </cfRule>
    <cfRule type="cellIs" dxfId="1" priority="2597" operator="greaterThan">
      <formula>120</formula>
    </cfRule>
    <cfRule type="containsText" dxfId="2" priority="1828" operator="between" text="库存为">
      <formula>NOT(ISERROR(SEARCH("库存为",AU627)))</formula>
    </cfRule>
  </conditionalFormatting>
  <conditionalFormatting sqref="AU628">
    <cfRule type="cellIs" dxfId="0" priority="3365" operator="lessThan">
      <formula>20</formula>
    </cfRule>
    <cfRule type="cellIs" dxfId="1" priority="2596" operator="greaterThan">
      <formula>120</formula>
    </cfRule>
    <cfRule type="containsText" dxfId="2" priority="1827" operator="between" text="库存为">
      <formula>NOT(ISERROR(SEARCH("库存为",AU628)))</formula>
    </cfRule>
  </conditionalFormatting>
  <conditionalFormatting sqref="AU629">
    <cfRule type="cellIs" dxfId="0" priority="3364" operator="lessThan">
      <formula>20</formula>
    </cfRule>
    <cfRule type="cellIs" dxfId="1" priority="2595" operator="greaterThan">
      <formula>120</formula>
    </cfRule>
    <cfRule type="containsText" dxfId="2" priority="1826" operator="between" text="库存为">
      <formula>NOT(ISERROR(SEARCH("库存为",AU629)))</formula>
    </cfRule>
  </conditionalFormatting>
  <conditionalFormatting sqref="AU630">
    <cfRule type="cellIs" dxfId="0" priority="3363" operator="lessThan">
      <formula>20</formula>
    </cfRule>
    <cfRule type="cellIs" dxfId="1" priority="2594" operator="greaterThan">
      <formula>120</formula>
    </cfRule>
    <cfRule type="containsText" dxfId="2" priority="1825" operator="between" text="库存为">
      <formula>NOT(ISERROR(SEARCH("库存为",AU630)))</formula>
    </cfRule>
  </conditionalFormatting>
  <conditionalFormatting sqref="AU631">
    <cfRule type="cellIs" dxfId="0" priority="3362" operator="lessThan">
      <formula>20</formula>
    </cfRule>
    <cfRule type="cellIs" dxfId="1" priority="2593" operator="greaterThan">
      <formula>120</formula>
    </cfRule>
    <cfRule type="containsText" dxfId="2" priority="1824" operator="between" text="库存为">
      <formula>NOT(ISERROR(SEARCH("库存为",AU631)))</formula>
    </cfRule>
  </conditionalFormatting>
  <conditionalFormatting sqref="AU632">
    <cfRule type="cellIs" dxfId="0" priority="3361" operator="lessThan">
      <formula>20</formula>
    </cfRule>
    <cfRule type="cellIs" dxfId="1" priority="2592" operator="greaterThan">
      <formula>120</formula>
    </cfRule>
    <cfRule type="containsText" dxfId="2" priority="1823" operator="between" text="库存为">
      <formula>NOT(ISERROR(SEARCH("库存为",AU632)))</formula>
    </cfRule>
  </conditionalFormatting>
  <conditionalFormatting sqref="AU633">
    <cfRule type="cellIs" dxfId="0" priority="3360" operator="lessThan">
      <formula>20</formula>
    </cfRule>
    <cfRule type="cellIs" dxfId="1" priority="2591" operator="greaterThan">
      <formula>120</formula>
    </cfRule>
    <cfRule type="containsText" dxfId="2" priority="1822" operator="between" text="库存为">
      <formula>NOT(ISERROR(SEARCH("库存为",AU633)))</formula>
    </cfRule>
  </conditionalFormatting>
  <conditionalFormatting sqref="AU634">
    <cfRule type="cellIs" dxfId="0" priority="3359" operator="lessThan">
      <formula>20</formula>
    </cfRule>
    <cfRule type="cellIs" dxfId="1" priority="2590" operator="greaterThan">
      <formula>120</formula>
    </cfRule>
    <cfRule type="containsText" dxfId="2" priority="1821" operator="between" text="库存为">
      <formula>NOT(ISERROR(SEARCH("库存为",AU634)))</formula>
    </cfRule>
  </conditionalFormatting>
  <conditionalFormatting sqref="AU635">
    <cfRule type="cellIs" dxfId="0" priority="3358" operator="lessThan">
      <formula>20</formula>
    </cfRule>
    <cfRule type="cellIs" dxfId="1" priority="2589" operator="greaterThan">
      <formula>120</formula>
    </cfRule>
    <cfRule type="containsText" dxfId="2" priority="1820" operator="between" text="库存为">
      <formula>NOT(ISERROR(SEARCH("库存为",AU635)))</formula>
    </cfRule>
  </conditionalFormatting>
  <conditionalFormatting sqref="AU636">
    <cfRule type="cellIs" dxfId="0" priority="3357" operator="lessThan">
      <formula>20</formula>
    </cfRule>
    <cfRule type="cellIs" dxfId="1" priority="2588" operator="greaterThan">
      <formula>120</formula>
    </cfRule>
    <cfRule type="containsText" dxfId="2" priority="1819" operator="between" text="库存为">
      <formula>NOT(ISERROR(SEARCH("库存为",AU636)))</formula>
    </cfRule>
  </conditionalFormatting>
  <conditionalFormatting sqref="AU637">
    <cfRule type="cellIs" dxfId="0" priority="3356" operator="lessThan">
      <formula>20</formula>
    </cfRule>
    <cfRule type="cellIs" dxfId="1" priority="2587" operator="greaterThan">
      <formula>120</formula>
    </cfRule>
    <cfRule type="containsText" dxfId="2" priority="1818" operator="between" text="库存为">
      <formula>NOT(ISERROR(SEARCH("库存为",AU637)))</formula>
    </cfRule>
  </conditionalFormatting>
  <conditionalFormatting sqref="AU638">
    <cfRule type="cellIs" dxfId="0" priority="3355" operator="lessThan">
      <formula>20</formula>
    </cfRule>
    <cfRule type="cellIs" dxfId="1" priority="2586" operator="greaterThan">
      <formula>120</formula>
    </cfRule>
    <cfRule type="containsText" dxfId="2" priority="1817" operator="between" text="库存为">
      <formula>NOT(ISERROR(SEARCH("库存为",AU638)))</formula>
    </cfRule>
  </conditionalFormatting>
  <conditionalFormatting sqref="AU639">
    <cfRule type="cellIs" dxfId="0" priority="3354" operator="lessThan">
      <formula>20</formula>
    </cfRule>
    <cfRule type="cellIs" dxfId="1" priority="2585" operator="greaterThan">
      <formula>120</formula>
    </cfRule>
    <cfRule type="containsText" dxfId="2" priority="1816" operator="between" text="库存为">
      <formula>NOT(ISERROR(SEARCH("库存为",AU639)))</formula>
    </cfRule>
  </conditionalFormatting>
  <conditionalFormatting sqref="AU640">
    <cfRule type="cellIs" dxfId="0" priority="3353" operator="lessThan">
      <formula>20</formula>
    </cfRule>
    <cfRule type="cellIs" dxfId="1" priority="2584" operator="greaterThan">
      <formula>120</formula>
    </cfRule>
    <cfRule type="containsText" dxfId="2" priority="1815" operator="between" text="库存为">
      <formula>NOT(ISERROR(SEARCH("库存为",AU640)))</formula>
    </cfRule>
  </conditionalFormatting>
  <conditionalFormatting sqref="AU641">
    <cfRule type="cellIs" dxfId="0" priority="3352" operator="lessThan">
      <formula>20</formula>
    </cfRule>
    <cfRule type="cellIs" dxfId="1" priority="2583" operator="greaterThan">
      <formula>120</formula>
    </cfRule>
    <cfRule type="containsText" dxfId="2" priority="1814" operator="between" text="库存为">
      <formula>NOT(ISERROR(SEARCH("库存为",AU641)))</formula>
    </cfRule>
  </conditionalFormatting>
  <conditionalFormatting sqref="AU642">
    <cfRule type="cellIs" dxfId="0" priority="3351" operator="lessThan">
      <formula>20</formula>
    </cfRule>
    <cfRule type="cellIs" dxfId="1" priority="2582" operator="greaterThan">
      <formula>120</formula>
    </cfRule>
    <cfRule type="containsText" dxfId="2" priority="1813" operator="between" text="库存为">
      <formula>NOT(ISERROR(SEARCH("库存为",AU642)))</formula>
    </cfRule>
  </conditionalFormatting>
  <conditionalFormatting sqref="AU643">
    <cfRule type="cellIs" dxfId="0" priority="3350" operator="lessThan">
      <formula>20</formula>
    </cfRule>
    <cfRule type="cellIs" dxfId="1" priority="2581" operator="greaterThan">
      <formula>120</formula>
    </cfRule>
    <cfRule type="containsText" dxfId="2" priority="1812" operator="between" text="库存为">
      <formula>NOT(ISERROR(SEARCH("库存为",AU643)))</formula>
    </cfRule>
  </conditionalFormatting>
  <conditionalFormatting sqref="AU644">
    <cfRule type="cellIs" dxfId="0" priority="3349" operator="lessThan">
      <formula>20</formula>
    </cfRule>
    <cfRule type="cellIs" dxfId="1" priority="2580" operator="greaterThan">
      <formula>120</formula>
    </cfRule>
    <cfRule type="containsText" dxfId="2" priority="1811" operator="between" text="库存为">
      <formula>NOT(ISERROR(SEARCH("库存为",AU644)))</formula>
    </cfRule>
  </conditionalFormatting>
  <conditionalFormatting sqref="AU645">
    <cfRule type="cellIs" dxfId="0" priority="3348" operator="lessThan">
      <formula>20</formula>
    </cfRule>
    <cfRule type="cellIs" dxfId="1" priority="2579" operator="greaterThan">
      <formula>120</formula>
    </cfRule>
    <cfRule type="containsText" dxfId="2" priority="1810" operator="between" text="库存为">
      <formula>NOT(ISERROR(SEARCH("库存为",AU645)))</formula>
    </cfRule>
  </conditionalFormatting>
  <conditionalFormatting sqref="AU646">
    <cfRule type="cellIs" dxfId="0" priority="3347" operator="lessThan">
      <formula>20</formula>
    </cfRule>
    <cfRule type="cellIs" dxfId="1" priority="2578" operator="greaterThan">
      <formula>120</formula>
    </cfRule>
    <cfRule type="containsText" dxfId="2" priority="1809" operator="between" text="库存为">
      <formula>NOT(ISERROR(SEARCH("库存为",AU646)))</formula>
    </cfRule>
  </conditionalFormatting>
  <conditionalFormatting sqref="AU647">
    <cfRule type="cellIs" dxfId="0" priority="3346" operator="lessThan">
      <formula>20</formula>
    </cfRule>
    <cfRule type="cellIs" dxfId="1" priority="2577" operator="greaterThan">
      <formula>120</formula>
    </cfRule>
    <cfRule type="containsText" dxfId="2" priority="1808" operator="between" text="库存为">
      <formula>NOT(ISERROR(SEARCH("库存为",AU647)))</formula>
    </cfRule>
  </conditionalFormatting>
  <conditionalFormatting sqref="AU648">
    <cfRule type="cellIs" dxfId="0" priority="3345" operator="lessThan">
      <formula>20</formula>
    </cfRule>
    <cfRule type="cellIs" dxfId="1" priority="2576" operator="greaterThan">
      <formula>120</formula>
    </cfRule>
    <cfRule type="containsText" dxfId="2" priority="1807" operator="between" text="库存为">
      <formula>NOT(ISERROR(SEARCH("库存为",AU648)))</formula>
    </cfRule>
  </conditionalFormatting>
  <conditionalFormatting sqref="AU649">
    <cfRule type="cellIs" dxfId="0" priority="3344" operator="lessThan">
      <formula>20</formula>
    </cfRule>
    <cfRule type="cellIs" dxfId="1" priority="2575" operator="greaterThan">
      <formula>120</formula>
    </cfRule>
    <cfRule type="containsText" dxfId="2" priority="1806" operator="between" text="库存为">
      <formula>NOT(ISERROR(SEARCH("库存为",AU649)))</formula>
    </cfRule>
  </conditionalFormatting>
  <conditionalFormatting sqref="AU650">
    <cfRule type="cellIs" dxfId="0" priority="3343" operator="lessThan">
      <formula>20</formula>
    </cfRule>
    <cfRule type="cellIs" dxfId="1" priority="2574" operator="greaterThan">
      <formula>120</formula>
    </cfRule>
    <cfRule type="containsText" dxfId="2" priority="1805" operator="between" text="库存为">
      <formula>NOT(ISERROR(SEARCH("库存为",AU650)))</formula>
    </cfRule>
  </conditionalFormatting>
  <conditionalFormatting sqref="AU651">
    <cfRule type="cellIs" dxfId="0" priority="3342" operator="lessThan">
      <formula>20</formula>
    </cfRule>
    <cfRule type="cellIs" dxfId="1" priority="2573" operator="greaterThan">
      <formula>120</formula>
    </cfRule>
    <cfRule type="containsText" dxfId="2" priority="1804" operator="between" text="库存为">
      <formula>NOT(ISERROR(SEARCH("库存为",AU651)))</formula>
    </cfRule>
  </conditionalFormatting>
  <conditionalFormatting sqref="AU652">
    <cfRule type="cellIs" dxfId="0" priority="3341" operator="lessThan">
      <formula>20</formula>
    </cfRule>
    <cfRule type="cellIs" dxfId="1" priority="2572" operator="greaterThan">
      <formula>120</formula>
    </cfRule>
    <cfRule type="containsText" dxfId="2" priority="1803" operator="between" text="库存为">
      <formula>NOT(ISERROR(SEARCH("库存为",AU652)))</formula>
    </cfRule>
  </conditionalFormatting>
  <conditionalFormatting sqref="AU653">
    <cfRule type="cellIs" dxfId="0" priority="3340" operator="lessThan">
      <formula>20</formula>
    </cfRule>
    <cfRule type="cellIs" dxfId="1" priority="2571" operator="greaterThan">
      <formula>120</formula>
    </cfRule>
    <cfRule type="containsText" dxfId="2" priority="1802" operator="between" text="库存为">
      <formula>NOT(ISERROR(SEARCH("库存为",AU653)))</formula>
    </cfRule>
  </conditionalFormatting>
  <conditionalFormatting sqref="AU654">
    <cfRule type="cellIs" dxfId="0" priority="3339" operator="lessThan">
      <formula>20</formula>
    </cfRule>
    <cfRule type="cellIs" dxfId="1" priority="2570" operator="greaterThan">
      <formula>120</formula>
    </cfRule>
    <cfRule type="containsText" dxfId="2" priority="1801" operator="between" text="库存为">
      <formula>NOT(ISERROR(SEARCH("库存为",AU654)))</formula>
    </cfRule>
  </conditionalFormatting>
  <conditionalFormatting sqref="AU655">
    <cfRule type="cellIs" dxfId="0" priority="3338" operator="lessThan">
      <formula>20</formula>
    </cfRule>
    <cfRule type="cellIs" dxfId="1" priority="2569" operator="greaterThan">
      <formula>120</formula>
    </cfRule>
    <cfRule type="containsText" dxfId="2" priority="1800" operator="between" text="库存为">
      <formula>NOT(ISERROR(SEARCH("库存为",AU655)))</formula>
    </cfRule>
  </conditionalFormatting>
  <conditionalFormatting sqref="AU656">
    <cfRule type="cellIs" dxfId="0" priority="3337" operator="lessThan">
      <formula>20</formula>
    </cfRule>
    <cfRule type="cellIs" dxfId="1" priority="2568" operator="greaterThan">
      <formula>120</formula>
    </cfRule>
    <cfRule type="containsText" dxfId="2" priority="1799" operator="between" text="库存为">
      <formula>NOT(ISERROR(SEARCH("库存为",AU656)))</formula>
    </cfRule>
  </conditionalFormatting>
  <conditionalFormatting sqref="AU657">
    <cfRule type="cellIs" dxfId="0" priority="3336" operator="lessThan">
      <formula>20</formula>
    </cfRule>
    <cfRule type="cellIs" dxfId="1" priority="2567" operator="greaterThan">
      <formula>120</formula>
    </cfRule>
    <cfRule type="containsText" dxfId="2" priority="1798" operator="between" text="库存为">
      <formula>NOT(ISERROR(SEARCH("库存为",AU657)))</formula>
    </cfRule>
  </conditionalFormatting>
  <conditionalFormatting sqref="AU658">
    <cfRule type="cellIs" dxfId="0" priority="3335" operator="lessThan">
      <formula>20</formula>
    </cfRule>
    <cfRule type="cellIs" dxfId="1" priority="2566" operator="greaterThan">
      <formula>120</formula>
    </cfRule>
    <cfRule type="containsText" dxfId="2" priority="1797" operator="between" text="库存为">
      <formula>NOT(ISERROR(SEARCH("库存为",AU658)))</formula>
    </cfRule>
  </conditionalFormatting>
  <conditionalFormatting sqref="AU659">
    <cfRule type="cellIs" dxfId="0" priority="3334" operator="lessThan">
      <formula>20</formula>
    </cfRule>
    <cfRule type="cellIs" dxfId="1" priority="2565" operator="greaterThan">
      <formula>120</formula>
    </cfRule>
    <cfRule type="containsText" dxfId="2" priority="1796" operator="between" text="库存为">
      <formula>NOT(ISERROR(SEARCH("库存为",AU659)))</formula>
    </cfRule>
  </conditionalFormatting>
  <conditionalFormatting sqref="AU660">
    <cfRule type="cellIs" dxfId="0" priority="3333" operator="lessThan">
      <formula>20</formula>
    </cfRule>
    <cfRule type="cellIs" dxfId="1" priority="2564" operator="greaterThan">
      <formula>120</formula>
    </cfRule>
    <cfRule type="containsText" dxfId="2" priority="1795" operator="between" text="库存为">
      <formula>NOT(ISERROR(SEARCH("库存为",AU660)))</formula>
    </cfRule>
  </conditionalFormatting>
  <conditionalFormatting sqref="AU661">
    <cfRule type="cellIs" dxfId="0" priority="3332" operator="lessThan">
      <formula>20</formula>
    </cfRule>
    <cfRule type="cellIs" dxfId="1" priority="2563" operator="greaterThan">
      <formula>120</formula>
    </cfRule>
    <cfRule type="containsText" dxfId="2" priority="1794" operator="between" text="库存为">
      <formula>NOT(ISERROR(SEARCH("库存为",AU661)))</formula>
    </cfRule>
  </conditionalFormatting>
  <conditionalFormatting sqref="AU662">
    <cfRule type="cellIs" dxfId="0" priority="3331" operator="lessThan">
      <formula>20</formula>
    </cfRule>
    <cfRule type="cellIs" dxfId="1" priority="2562" operator="greaterThan">
      <formula>120</formula>
    </cfRule>
    <cfRule type="containsText" dxfId="2" priority="1793" operator="between" text="库存为">
      <formula>NOT(ISERROR(SEARCH("库存为",AU662)))</formula>
    </cfRule>
  </conditionalFormatting>
  <conditionalFormatting sqref="AU663">
    <cfRule type="cellIs" dxfId="0" priority="3330" operator="lessThan">
      <formula>20</formula>
    </cfRule>
    <cfRule type="cellIs" dxfId="1" priority="2561" operator="greaterThan">
      <formula>120</formula>
    </cfRule>
    <cfRule type="containsText" dxfId="2" priority="1792" operator="between" text="库存为">
      <formula>NOT(ISERROR(SEARCH("库存为",AU663)))</formula>
    </cfRule>
  </conditionalFormatting>
  <conditionalFormatting sqref="AU664">
    <cfRule type="cellIs" dxfId="0" priority="3329" operator="lessThan">
      <formula>20</formula>
    </cfRule>
    <cfRule type="cellIs" dxfId="1" priority="2560" operator="greaterThan">
      <formula>120</formula>
    </cfRule>
    <cfRule type="containsText" dxfId="2" priority="1791" operator="between" text="库存为">
      <formula>NOT(ISERROR(SEARCH("库存为",AU664)))</formula>
    </cfRule>
  </conditionalFormatting>
  <conditionalFormatting sqref="AU665">
    <cfRule type="cellIs" dxfId="0" priority="3328" operator="lessThan">
      <formula>20</formula>
    </cfRule>
    <cfRule type="cellIs" dxfId="1" priority="2559" operator="greaterThan">
      <formula>120</formula>
    </cfRule>
    <cfRule type="containsText" dxfId="2" priority="1790" operator="between" text="库存为">
      <formula>NOT(ISERROR(SEARCH("库存为",AU665)))</formula>
    </cfRule>
  </conditionalFormatting>
  <conditionalFormatting sqref="AU666">
    <cfRule type="cellIs" dxfId="0" priority="3327" operator="lessThan">
      <formula>20</formula>
    </cfRule>
    <cfRule type="cellIs" dxfId="1" priority="2558" operator="greaterThan">
      <formula>120</formula>
    </cfRule>
    <cfRule type="containsText" dxfId="2" priority="1789" operator="between" text="库存为">
      <formula>NOT(ISERROR(SEARCH("库存为",AU666)))</formula>
    </cfRule>
  </conditionalFormatting>
  <conditionalFormatting sqref="AU667">
    <cfRule type="cellIs" dxfId="0" priority="3326" operator="lessThan">
      <formula>20</formula>
    </cfRule>
    <cfRule type="cellIs" dxfId="1" priority="2557" operator="greaterThan">
      <formula>120</formula>
    </cfRule>
    <cfRule type="containsText" dxfId="2" priority="1788" operator="between" text="库存为">
      <formula>NOT(ISERROR(SEARCH("库存为",AU667)))</formula>
    </cfRule>
  </conditionalFormatting>
  <conditionalFormatting sqref="AU668">
    <cfRule type="cellIs" dxfId="0" priority="3325" operator="lessThan">
      <formula>20</formula>
    </cfRule>
    <cfRule type="cellIs" dxfId="1" priority="2556" operator="greaterThan">
      <formula>120</formula>
    </cfRule>
    <cfRule type="containsText" dxfId="2" priority="1787" operator="between" text="库存为">
      <formula>NOT(ISERROR(SEARCH("库存为",AU668)))</formula>
    </cfRule>
  </conditionalFormatting>
  <conditionalFormatting sqref="AU669">
    <cfRule type="cellIs" dxfId="0" priority="3324" operator="lessThan">
      <formula>20</formula>
    </cfRule>
    <cfRule type="cellIs" dxfId="1" priority="2555" operator="greaterThan">
      <formula>120</formula>
    </cfRule>
    <cfRule type="containsText" dxfId="2" priority="1786" operator="between" text="库存为">
      <formula>NOT(ISERROR(SEARCH("库存为",AU669)))</formula>
    </cfRule>
  </conditionalFormatting>
  <conditionalFormatting sqref="AU670">
    <cfRule type="cellIs" dxfId="0" priority="3323" operator="lessThan">
      <formula>20</formula>
    </cfRule>
    <cfRule type="cellIs" dxfId="1" priority="2554" operator="greaterThan">
      <formula>120</formula>
    </cfRule>
    <cfRule type="containsText" dxfId="2" priority="1785" operator="between" text="库存为">
      <formula>NOT(ISERROR(SEARCH("库存为",AU670)))</formula>
    </cfRule>
  </conditionalFormatting>
  <conditionalFormatting sqref="AU671">
    <cfRule type="cellIs" dxfId="0" priority="3322" operator="lessThan">
      <formula>20</formula>
    </cfRule>
    <cfRule type="cellIs" dxfId="1" priority="2553" operator="greaterThan">
      <formula>120</formula>
    </cfRule>
    <cfRule type="containsText" dxfId="2" priority="1784" operator="between" text="库存为">
      <formula>NOT(ISERROR(SEARCH("库存为",AU671)))</formula>
    </cfRule>
  </conditionalFormatting>
  <conditionalFormatting sqref="AU672">
    <cfRule type="cellIs" dxfId="0" priority="3321" operator="lessThan">
      <formula>20</formula>
    </cfRule>
    <cfRule type="cellIs" dxfId="1" priority="2552" operator="greaterThan">
      <formula>120</formula>
    </cfRule>
    <cfRule type="containsText" dxfId="2" priority="1783" operator="between" text="库存为">
      <formula>NOT(ISERROR(SEARCH("库存为",AU672)))</formula>
    </cfRule>
  </conditionalFormatting>
  <conditionalFormatting sqref="AU673">
    <cfRule type="cellIs" dxfId="0" priority="3320" operator="lessThan">
      <formula>20</formula>
    </cfRule>
    <cfRule type="cellIs" dxfId="1" priority="2551" operator="greaterThan">
      <formula>120</formula>
    </cfRule>
    <cfRule type="containsText" dxfId="2" priority="1782" operator="between" text="库存为">
      <formula>NOT(ISERROR(SEARCH("库存为",AU673)))</formula>
    </cfRule>
  </conditionalFormatting>
  <conditionalFormatting sqref="AU674">
    <cfRule type="cellIs" dxfId="0" priority="3319" operator="lessThan">
      <formula>20</formula>
    </cfRule>
    <cfRule type="cellIs" dxfId="1" priority="2550" operator="greaterThan">
      <formula>120</formula>
    </cfRule>
    <cfRule type="containsText" dxfId="2" priority="1781" operator="between" text="库存为">
      <formula>NOT(ISERROR(SEARCH("库存为",AU674)))</formula>
    </cfRule>
  </conditionalFormatting>
  <conditionalFormatting sqref="AU675">
    <cfRule type="cellIs" dxfId="0" priority="3318" operator="lessThan">
      <formula>20</formula>
    </cfRule>
    <cfRule type="cellIs" dxfId="1" priority="2549" operator="greaterThan">
      <formula>120</formula>
    </cfRule>
    <cfRule type="containsText" dxfId="2" priority="1780" operator="between" text="库存为">
      <formula>NOT(ISERROR(SEARCH("库存为",AU675)))</formula>
    </cfRule>
  </conditionalFormatting>
  <conditionalFormatting sqref="AU676">
    <cfRule type="cellIs" dxfId="0" priority="3317" operator="lessThan">
      <formula>20</formula>
    </cfRule>
    <cfRule type="cellIs" dxfId="1" priority="2548" operator="greaterThan">
      <formula>120</formula>
    </cfRule>
    <cfRule type="containsText" dxfId="2" priority="1779" operator="between" text="库存为">
      <formula>NOT(ISERROR(SEARCH("库存为",AU676)))</formula>
    </cfRule>
  </conditionalFormatting>
  <conditionalFormatting sqref="AU677">
    <cfRule type="cellIs" dxfId="0" priority="3316" operator="lessThan">
      <formula>20</formula>
    </cfRule>
    <cfRule type="cellIs" dxfId="1" priority="2547" operator="greaterThan">
      <formula>120</formula>
    </cfRule>
    <cfRule type="containsText" dxfId="2" priority="1778" operator="between" text="库存为">
      <formula>NOT(ISERROR(SEARCH("库存为",AU677)))</formula>
    </cfRule>
  </conditionalFormatting>
  <conditionalFormatting sqref="AU678">
    <cfRule type="cellIs" dxfId="0" priority="3315" operator="lessThan">
      <formula>20</formula>
    </cfRule>
    <cfRule type="cellIs" dxfId="1" priority="2546" operator="greaterThan">
      <formula>120</formula>
    </cfRule>
    <cfRule type="containsText" dxfId="2" priority="1777" operator="between" text="库存为">
      <formula>NOT(ISERROR(SEARCH("库存为",AU678)))</formula>
    </cfRule>
  </conditionalFormatting>
  <conditionalFormatting sqref="AU679">
    <cfRule type="cellIs" dxfId="0" priority="3314" operator="lessThan">
      <formula>20</formula>
    </cfRule>
    <cfRule type="cellIs" dxfId="1" priority="2545" operator="greaterThan">
      <formula>120</formula>
    </cfRule>
    <cfRule type="containsText" dxfId="2" priority="1776" operator="between" text="库存为">
      <formula>NOT(ISERROR(SEARCH("库存为",AU679)))</formula>
    </cfRule>
  </conditionalFormatting>
  <conditionalFormatting sqref="AU680">
    <cfRule type="cellIs" dxfId="0" priority="3313" operator="lessThan">
      <formula>20</formula>
    </cfRule>
    <cfRule type="cellIs" dxfId="1" priority="2544" operator="greaterThan">
      <formula>120</formula>
    </cfRule>
    <cfRule type="containsText" dxfId="2" priority="1775" operator="between" text="库存为">
      <formula>NOT(ISERROR(SEARCH("库存为",AU680)))</formula>
    </cfRule>
  </conditionalFormatting>
  <conditionalFormatting sqref="AU681">
    <cfRule type="cellIs" dxfId="0" priority="3312" operator="lessThan">
      <formula>20</formula>
    </cfRule>
    <cfRule type="cellIs" dxfId="1" priority="2543" operator="greaterThan">
      <formula>120</formula>
    </cfRule>
    <cfRule type="containsText" dxfId="2" priority="1774" operator="between" text="库存为">
      <formula>NOT(ISERROR(SEARCH("库存为",AU681)))</formula>
    </cfRule>
  </conditionalFormatting>
  <conditionalFormatting sqref="AU682">
    <cfRule type="cellIs" dxfId="0" priority="3311" operator="lessThan">
      <formula>20</formula>
    </cfRule>
    <cfRule type="cellIs" dxfId="1" priority="2542" operator="greaterThan">
      <formula>120</formula>
    </cfRule>
    <cfRule type="containsText" dxfId="2" priority="1773" operator="between" text="库存为">
      <formula>NOT(ISERROR(SEARCH("库存为",AU682)))</formula>
    </cfRule>
  </conditionalFormatting>
  <conditionalFormatting sqref="AU683">
    <cfRule type="cellIs" dxfId="0" priority="3310" operator="lessThan">
      <formula>20</formula>
    </cfRule>
    <cfRule type="cellIs" dxfId="1" priority="2541" operator="greaterThan">
      <formula>120</formula>
    </cfRule>
    <cfRule type="containsText" dxfId="2" priority="1772" operator="between" text="库存为">
      <formula>NOT(ISERROR(SEARCH("库存为",AU683)))</formula>
    </cfRule>
  </conditionalFormatting>
  <conditionalFormatting sqref="AU684">
    <cfRule type="cellIs" dxfId="0" priority="3309" operator="lessThan">
      <formula>20</formula>
    </cfRule>
    <cfRule type="cellIs" dxfId="1" priority="2540" operator="greaterThan">
      <formula>120</formula>
    </cfRule>
    <cfRule type="containsText" dxfId="2" priority="1771" operator="between" text="库存为">
      <formula>NOT(ISERROR(SEARCH("库存为",AU684)))</formula>
    </cfRule>
  </conditionalFormatting>
  <conditionalFormatting sqref="AU685">
    <cfRule type="cellIs" dxfId="0" priority="3308" operator="lessThan">
      <formula>20</formula>
    </cfRule>
    <cfRule type="cellIs" dxfId="1" priority="2539" operator="greaterThan">
      <formula>120</formula>
    </cfRule>
    <cfRule type="containsText" dxfId="2" priority="1770" operator="between" text="库存为">
      <formula>NOT(ISERROR(SEARCH("库存为",AU685)))</formula>
    </cfRule>
  </conditionalFormatting>
  <conditionalFormatting sqref="AU686">
    <cfRule type="cellIs" dxfId="0" priority="3307" operator="lessThan">
      <formula>20</formula>
    </cfRule>
    <cfRule type="cellIs" dxfId="1" priority="2538" operator="greaterThan">
      <formula>120</formula>
    </cfRule>
    <cfRule type="containsText" dxfId="2" priority="1769" operator="between" text="库存为">
      <formula>NOT(ISERROR(SEARCH("库存为",AU686)))</formula>
    </cfRule>
  </conditionalFormatting>
  <conditionalFormatting sqref="AU687">
    <cfRule type="cellIs" dxfId="0" priority="3306" operator="lessThan">
      <formula>20</formula>
    </cfRule>
    <cfRule type="cellIs" dxfId="1" priority="2537" operator="greaterThan">
      <formula>120</formula>
    </cfRule>
    <cfRule type="containsText" dxfId="2" priority="1768" operator="between" text="库存为">
      <formula>NOT(ISERROR(SEARCH("库存为",AU687)))</formula>
    </cfRule>
  </conditionalFormatting>
  <conditionalFormatting sqref="AU688">
    <cfRule type="cellIs" dxfId="0" priority="3305" operator="lessThan">
      <formula>20</formula>
    </cfRule>
    <cfRule type="cellIs" dxfId="1" priority="2536" operator="greaterThan">
      <formula>120</formula>
    </cfRule>
    <cfRule type="containsText" dxfId="2" priority="1767" operator="between" text="库存为">
      <formula>NOT(ISERROR(SEARCH("库存为",AU688)))</formula>
    </cfRule>
  </conditionalFormatting>
  <conditionalFormatting sqref="AU689">
    <cfRule type="cellIs" dxfId="0" priority="3304" operator="lessThan">
      <formula>20</formula>
    </cfRule>
    <cfRule type="cellIs" dxfId="1" priority="2535" operator="greaterThan">
      <formula>120</formula>
    </cfRule>
    <cfRule type="containsText" dxfId="2" priority="1766" operator="between" text="库存为">
      <formula>NOT(ISERROR(SEARCH("库存为",AU689)))</formula>
    </cfRule>
  </conditionalFormatting>
  <conditionalFormatting sqref="AU690">
    <cfRule type="cellIs" dxfId="0" priority="3303" operator="lessThan">
      <formula>20</formula>
    </cfRule>
    <cfRule type="cellIs" dxfId="1" priority="2534" operator="greaterThan">
      <formula>120</formula>
    </cfRule>
    <cfRule type="containsText" dxfId="2" priority="1765" operator="between" text="库存为">
      <formula>NOT(ISERROR(SEARCH("库存为",AU690)))</formula>
    </cfRule>
  </conditionalFormatting>
  <conditionalFormatting sqref="AU691">
    <cfRule type="cellIs" dxfId="0" priority="3302" operator="lessThan">
      <formula>20</formula>
    </cfRule>
    <cfRule type="cellIs" dxfId="1" priority="2533" operator="greaterThan">
      <formula>120</formula>
    </cfRule>
    <cfRule type="containsText" dxfId="2" priority="1764" operator="between" text="库存为">
      <formula>NOT(ISERROR(SEARCH("库存为",AU691)))</formula>
    </cfRule>
  </conditionalFormatting>
  <conditionalFormatting sqref="AU692">
    <cfRule type="cellIs" dxfId="0" priority="3301" operator="lessThan">
      <formula>20</formula>
    </cfRule>
    <cfRule type="cellIs" dxfId="1" priority="2532" operator="greaterThan">
      <formula>120</formula>
    </cfRule>
    <cfRule type="containsText" dxfId="2" priority="1763" operator="between" text="库存为">
      <formula>NOT(ISERROR(SEARCH("库存为",AU692)))</formula>
    </cfRule>
  </conditionalFormatting>
  <conditionalFormatting sqref="AU693">
    <cfRule type="cellIs" dxfId="0" priority="3300" operator="lessThan">
      <formula>20</formula>
    </cfRule>
    <cfRule type="cellIs" dxfId="1" priority="2531" operator="greaterThan">
      <formula>120</formula>
    </cfRule>
    <cfRule type="containsText" dxfId="2" priority="1762" operator="between" text="库存为">
      <formula>NOT(ISERROR(SEARCH("库存为",AU693)))</formula>
    </cfRule>
  </conditionalFormatting>
  <conditionalFormatting sqref="AU694">
    <cfRule type="cellIs" dxfId="0" priority="3299" operator="lessThan">
      <formula>20</formula>
    </cfRule>
    <cfRule type="cellIs" dxfId="1" priority="2530" operator="greaterThan">
      <formula>120</formula>
    </cfRule>
    <cfRule type="containsText" dxfId="2" priority="1761" operator="between" text="库存为">
      <formula>NOT(ISERROR(SEARCH("库存为",AU694)))</formula>
    </cfRule>
  </conditionalFormatting>
  <conditionalFormatting sqref="AU695">
    <cfRule type="cellIs" dxfId="0" priority="3298" operator="lessThan">
      <formula>20</formula>
    </cfRule>
    <cfRule type="cellIs" dxfId="1" priority="2529" operator="greaterThan">
      <formula>120</formula>
    </cfRule>
    <cfRule type="containsText" dxfId="2" priority="1760" operator="between" text="库存为">
      <formula>NOT(ISERROR(SEARCH("库存为",AU695)))</formula>
    </cfRule>
  </conditionalFormatting>
  <conditionalFormatting sqref="AU696">
    <cfRule type="cellIs" dxfId="0" priority="3297" operator="lessThan">
      <formula>20</formula>
    </cfRule>
    <cfRule type="cellIs" dxfId="1" priority="2528" operator="greaterThan">
      <formula>120</formula>
    </cfRule>
    <cfRule type="containsText" dxfId="2" priority="1759" operator="between" text="库存为">
      <formula>NOT(ISERROR(SEARCH("库存为",AU696)))</formula>
    </cfRule>
  </conditionalFormatting>
  <conditionalFormatting sqref="AU697">
    <cfRule type="cellIs" dxfId="0" priority="3296" operator="lessThan">
      <formula>20</formula>
    </cfRule>
    <cfRule type="cellIs" dxfId="1" priority="2527" operator="greaterThan">
      <formula>120</formula>
    </cfRule>
    <cfRule type="containsText" dxfId="2" priority="1758" operator="between" text="库存为">
      <formula>NOT(ISERROR(SEARCH("库存为",AU697)))</formula>
    </cfRule>
  </conditionalFormatting>
  <conditionalFormatting sqref="AU698">
    <cfRule type="cellIs" dxfId="0" priority="3295" operator="lessThan">
      <formula>20</formula>
    </cfRule>
    <cfRule type="cellIs" dxfId="1" priority="2526" operator="greaterThan">
      <formula>120</formula>
    </cfRule>
    <cfRule type="containsText" dxfId="2" priority="1757" operator="between" text="库存为">
      <formula>NOT(ISERROR(SEARCH("库存为",AU698)))</formula>
    </cfRule>
  </conditionalFormatting>
  <conditionalFormatting sqref="AU699">
    <cfRule type="cellIs" dxfId="0" priority="3294" operator="lessThan">
      <formula>20</formula>
    </cfRule>
    <cfRule type="cellIs" dxfId="1" priority="2525" operator="greaterThan">
      <formula>120</formula>
    </cfRule>
    <cfRule type="containsText" dxfId="2" priority="1756" operator="between" text="库存为">
      <formula>NOT(ISERROR(SEARCH("库存为",AU699)))</formula>
    </cfRule>
  </conditionalFormatting>
  <conditionalFormatting sqref="AU700">
    <cfRule type="cellIs" dxfId="0" priority="3293" operator="lessThan">
      <formula>20</formula>
    </cfRule>
    <cfRule type="cellIs" dxfId="1" priority="2524" operator="greaterThan">
      <formula>120</formula>
    </cfRule>
    <cfRule type="containsText" dxfId="2" priority="1755" operator="between" text="库存为">
      <formula>NOT(ISERROR(SEARCH("库存为",AU700)))</formula>
    </cfRule>
  </conditionalFormatting>
  <conditionalFormatting sqref="AU701">
    <cfRule type="cellIs" dxfId="0" priority="3292" operator="lessThan">
      <formula>20</formula>
    </cfRule>
    <cfRule type="cellIs" dxfId="1" priority="2523" operator="greaterThan">
      <formula>120</formula>
    </cfRule>
    <cfRule type="containsText" dxfId="2" priority="1754" operator="between" text="库存为">
      <formula>NOT(ISERROR(SEARCH("库存为",AU701)))</formula>
    </cfRule>
  </conditionalFormatting>
  <conditionalFormatting sqref="AU702">
    <cfRule type="cellIs" dxfId="0" priority="3291" operator="lessThan">
      <formula>20</formula>
    </cfRule>
    <cfRule type="cellIs" dxfId="1" priority="2522" operator="greaterThan">
      <formula>120</formula>
    </cfRule>
    <cfRule type="containsText" dxfId="2" priority="1753" operator="between" text="库存为">
      <formula>NOT(ISERROR(SEARCH("库存为",AU702)))</formula>
    </cfRule>
  </conditionalFormatting>
  <conditionalFormatting sqref="AU703">
    <cfRule type="cellIs" dxfId="0" priority="3290" operator="lessThan">
      <formula>20</formula>
    </cfRule>
    <cfRule type="cellIs" dxfId="1" priority="2521" operator="greaterThan">
      <formula>120</formula>
    </cfRule>
    <cfRule type="containsText" dxfId="2" priority="1752" operator="between" text="库存为">
      <formula>NOT(ISERROR(SEARCH("库存为",AU703)))</formula>
    </cfRule>
  </conditionalFormatting>
  <conditionalFormatting sqref="AU704">
    <cfRule type="cellIs" dxfId="0" priority="3289" operator="lessThan">
      <formula>20</formula>
    </cfRule>
    <cfRule type="cellIs" dxfId="1" priority="2520" operator="greaterThan">
      <formula>120</formula>
    </cfRule>
    <cfRule type="containsText" dxfId="2" priority="1751" operator="between" text="库存为">
      <formula>NOT(ISERROR(SEARCH("库存为",AU704)))</formula>
    </cfRule>
  </conditionalFormatting>
  <conditionalFormatting sqref="AU705">
    <cfRule type="cellIs" dxfId="0" priority="3288" operator="lessThan">
      <formula>20</formula>
    </cfRule>
    <cfRule type="cellIs" dxfId="1" priority="2519" operator="greaterThan">
      <formula>120</formula>
    </cfRule>
    <cfRule type="containsText" dxfId="2" priority="1750" operator="between" text="库存为">
      <formula>NOT(ISERROR(SEARCH("库存为",AU705)))</formula>
    </cfRule>
  </conditionalFormatting>
  <conditionalFormatting sqref="AU706">
    <cfRule type="cellIs" dxfId="0" priority="3287" operator="lessThan">
      <formula>20</formula>
    </cfRule>
    <cfRule type="cellIs" dxfId="1" priority="2518" operator="greaterThan">
      <formula>120</formula>
    </cfRule>
    <cfRule type="containsText" dxfId="2" priority="1749" operator="between" text="库存为">
      <formula>NOT(ISERROR(SEARCH("库存为",AU706)))</formula>
    </cfRule>
  </conditionalFormatting>
  <conditionalFormatting sqref="AU707">
    <cfRule type="cellIs" dxfId="0" priority="3286" operator="lessThan">
      <formula>20</formula>
    </cfRule>
    <cfRule type="cellIs" dxfId="1" priority="2517" operator="greaterThan">
      <formula>120</formula>
    </cfRule>
    <cfRule type="containsText" dxfId="2" priority="1748" operator="between" text="库存为">
      <formula>NOT(ISERROR(SEARCH("库存为",AU707)))</formula>
    </cfRule>
  </conditionalFormatting>
  <conditionalFormatting sqref="AU708">
    <cfRule type="cellIs" dxfId="0" priority="3285" operator="lessThan">
      <formula>20</formula>
    </cfRule>
    <cfRule type="cellIs" dxfId="1" priority="2516" operator="greaterThan">
      <formula>120</formula>
    </cfRule>
    <cfRule type="containsText" dxfId="2" priority="1747" operator="between" text="库存为">
      <formula>NOT(ISERROR(SEARCH("库存为",AU708)))</formula>
    </cfRule>
  </conditionalFormatting>
  <conditionalFormatting sqref="AU709">
    <cfRule type="cellIs" dxfId="0" priority="3284" operator="lessThan">
      <formula>20</formula>
    </cfRule>
    <cfRule type="cellIs" dxfId="1" priority="2515" operator="greaterThan">
      <formula>120</formula>
    </cfRule>
    <cfRule type="containsText" dxfId="2" priority="1746" operator="between" text="库存为">
      <formula>NOT(ISERROR(SEARCH("库存为",AU709)))</formula>
    </cfRule>
  </conditionalFormatting>
  <conditionalFormatting sqref="AU710">
    <cfRule type="cellIs" dxfId="0" priority="3283" operator="lessThan">
      <formula>20</formula>
    </cfRule>
    <cfRule type="cellIs" dxfId="1" priority="2514" operator="greaterThan">
      <formula>120</formula>
    </cfRule>
    <cfRule type="containsText" dxfId="2" priority="1745" operator="between" text="库存为">
      <formula>NOT(ISERROR(SEARCH("库存为",AU710)))</formula>
    </cfRule>
  </conditionalFormatting>
  <conditionalFormatting sqref="AU711">
    <cfRule type="cellIs" dxfId="0" priority="3282" operator="lessThan">
      <formula>20</formula>
    </cfRule>
    <cfRule type="cellIs" dxfId="1" priority="2513" operator="greaterThan">
      <formula>120</formula>
    </cfRule>
    <cfRule type="containsText" dxfId="2" priority="1744" operator="between" text="库存为">
      <formula>NOT(ISERROR(SEARCH("库存为",AU711)))</formula>
    </cfRule>
  </conditionalFormatting>
  <conditionalFormatting sqref="AU712">
    <cfRule type="cellIs" dxfId="0" priority="3281" operator="lessThan">
      <formula>20</formula>
    </cfRule>
    <cfRule type="cellIs" dxfId="1" priority="2512" operator="greaterThan">
      <formula>120</formula>
    </cfRule>
    <cfRule type="containsText" dxfId="2" priority="1743" operator="between" text="库存为">
      <formula>NOT(ISERROR(SEARCH("库存为",AU712)))</formula>
    </cfRule>
  </conditionalFormatting>
  <conditionalFormatting sqref="AU713">
    <cfRule type="cellIs" dxfId="0" priority="3280" operator="lessThan">
      <formula>20</formula>
    </cfRule>
    <cfRule type="cellIs" dxfId="1" priority="2511" operator="greaterThan">
      <formula>120</formula>
    </cfRule>
    <cfRule type="containsText" dxfId="2" priority="1742" operator="between" text="库存为">
      <formula>NOT(ISERROR(SEARCH("库存为",AU713)))</formula>
    </cfRule>
  </conditionalFormatting>
  <conditionalFormatting sqref="AU714">
    <cfRule type="cellIs" dxfId="0" priority="3279" operator="lessThan">
      <formula>20</formula>
    </cfRule>
    <cfRule type="cellIs" dxfId="1" priority="2510" operator="greaterThan">
      <formula>120</formula>
    </cfRule>
    <cfRule type="containsText" dxfId="2" priority="1741" operator="between" text="库存为">
      <formula>NOT(ISERROR(SEARCH("库存为",AU714)))</formula>
    </cfRule>
  </conditionalFormatting>
  <conditionalFormatting sqref="AU715">
    <cfRule type="cellIs" dxfId="0" priority="3278" operator="lessThan">
      <formula>20</formula>
    </cfRule>
    <cfRule type="cellIs" dxfId="1" priority="2509" operator="greaterThan">
      <formula>120</formula>
    </cfRule>
    <cfRule type="containsText" dxfId="2" priority="1740" operator="between" text="库存为">
      <formula>NOT(ISERROR(SEARCH("库存为",AU715)))</formula>
    </cfRule>
  </conditionalFormatting>
  <conditionalFormatting sqref="AU716">
    <cfRule type="cellIs" dxfId="0" priority="3277" operator="lessThan">
      <formula>20</formula>
    </cfRule>
    <cfRule type="cellIs" dxfId="1" priority="2508" operator="greaterThan">
      <formula>120</formula>
    </cfRule>
    <cfRule type="containsText" dxfId="2" priority="1739" operator="between" text="库存为">
      <formula>NOT(ISERROR(SEARCH("库存为",AU716)))</formula>
    </cfRule>
  </conditionalFormatting>
  <conditionalFormatting sqref="AU717">
    <cfRule type="cellIs" dxfId="0" priority="3276" operator="lessThan">
      <formula>20</formula>
    </cfRule>
    <cfRule type="cellIs" dxfId="1" priority="2507" operator="greaterThan">
      <formula>120</formula>
    </cfRule>
    <cfRule type="containsText" dxfId="2" priority="1738" operator="between" text="库存为">
      <formula>NOT(ISERROR(SEARCH("库存为",AU717)))</formula>
    </cfRule>
  </conditionalFormatting>
  <conditionalFormatting sqref="AU718">
    <cfRule type="cellIs" dxfId="0" priority="3275" operator="lessThan">
      <formula>20</formula>
    </cfRule>
    <cfRule type="cellIs" dxfId="1" priority="2506" operator="greaterThan">
      <formula>120</formula>
    </cfRule>
    <cfRule type="containsText" dxfId="2" priority="1737" operator="between" text="库存为">
      <formula>NOT(ISERROR(SEARCH("库存为",AU718)))</formula>
    </cfRule>
  </conditionalFormatting>
  <conditionalFormatting sqref="AU719">
    <cfRule type="cellIs" dxfId="0" priority="3274" operator="lessThan">
      <formula>20</formula>
    </cfRule>
    <cfRule type="cellIs" dxfId="1" priority="2505" operator="greaterThan">
      <formula>120</formula>
    </cfRule>
    <cfRule type="containsText" dxfId="2" priority="1736" operator="between" text="库存为">
      <formula>NOT(ISERROR(SEARCH("库存为",AU719)))</formula>
    </cfRule>
  </conditionalFormatting>
  <conditionalFormatting sqref="AU720">
    <cfRule type="cellIs" dxfId="0" priority="3273" operator="lessThan">
      <formula>20</formula>
    </cfRule>
    <cfRule type="cellIs" dxfId="1" priority="2504" operator="greaterThan">
      <formula>120</formula>
    </cfRule>
    <cfRule type="containsText" dxfId="2" priority="1735" operator="between" text="库存为">
      <formula>NOT(ISERROR(SEARCH("库存为",AU720)))</formula>
    </cfRule>
  </conditionalFormatting>
  <conditionalFormatting sqref="AU721">
    <cfRule type="cellIs" dxfId="0" priority="3272" operator="lessThan">
      <formula>20</formula>
    </cfRule>
    <cfRule type="cellIs" dxfId="1" priority="2503" operator="greaterThan">
      <formula>120</formula>
    </cfRule>
    <cfRule type="containsText" dxfId="2" priority="1734" operator="between" text="库存为">
      <formula>NOT(ISERROR(SEARCH("库存为",AU721)))</formula>
    </cfRule>
  </conditionalFormatting>
  <conditionalFormatting sqref="AU722">
    <cfRule type="cellIs" dxfId="0" priority="3271" operator="lessThan">
      <formula>20</formula>
    </cfRule>
    <cfRule type="cellIs" dxfId="1" priority="2502" operator="greaterThan">
      <formula>120</formula>
    </cfRule>
    <cfRule type="containsText" dxfId="2" priority="1733" operator="between" text="库存为">
      <formula>NOT(ISERROR(SEARCH("库存为",AU722)))</formula>
    </cfRule>
  </conditionalFormatting>
  <conditionalFormatting sqref="AU723">
    <cfRule type="cellIs" dxfId="0" priority="3270" operator="lessThan">
      <formula>20</formula>
    </cfRule>
    <cfRule type="cellIs" dxfId="1" priority="2501" operator="greaterThan">
      <formula>120</formula>
    </cfRule>
    <cfRule type="containsText" dxfId="2" priority="1732" operator="between" text="库存为">
      <formula>NOT(ISERROR(SEARCH("库存为",AU723)))</formula>
    </cfRule>
  </conditionalFormatting>
  <conditionalFormatting sqref="AU724">
    <cfRule type="cellIs" dxfId="0" priority="3269" operator="lessThan">
      <formula>20</formula>
    </cfRule>
    <cfRule type="cellIs" dxfId="1" priority="2500" operator="greaterThan">
      <formula>120</formula>
    </cfRule>
    <cfRule type="containsText" dxfId="2" priority="1731" operator="between" text="库存为">
      <formula>NOT(ISERROR(SEARCH("库存为",AU724)))</formula>
    </cfRule>
  </conditionalFormatting>
  <conditionalFormatting sqref="AU725">
    <cfRule type="cellIs" dxfId="0" priority="3268" operator="lessThan">
      <formula>20</formula>
    </cfRule>
    <cfRule type="cellIs" dxfId="1" priority="2499" operator="greaterThan">
      <formula>120</formula>
    </cfRule>
    <cfRule type="containsText" dxfId="2" priority="1730" operator="between" text="库存为">
      <formula>NOT(ISERROR(SEARCH("库存为",AU725)))</formula>
    </cfRule>
  </conditionalFormatting>
  <conditionalFormatting sqref="AU726">
    <cfRule type="cellIs" dxfId="0" priority="3267" operator="lessThan">
      <formula>20</formula>
    </cfRule>
    <cfRule type="cellIs" dxfId="1" priority="2498" operator="greaterThan">
      <formula>120</formula>
    </cfRule>
    <cfRule type="containsText" dxfId="2" priority="1729" operator="between" text="库存为">
      <formula>NOT(ISERROR(SEARCH("库存为",AU726)))</formula>
    </cfRule>
  </conditionalFormatting>
  <conditionalFormatting sqref="AU727">
    <cfRule type="cellIs" dxfId="0" priority="3266" operator="lessThan">
      <formula>20</formula>
    </cfRule>
    <cfRule type="cellIs" dxfId="1" priority="2497" operator="greaterThan">
      <formula>120</formula>
    </cfRule>
    <cfRule type="containsText" dxfId="2" priority="1728" operator="between" text="库存为">
      <formula>NOT(ISERROR(SEARCH("库存为",AU727)))</formula>
    </cfRule>
  </conditionalFormatting>
  <conditionalFormatting sqref="AU728">
    <cfRule type="cellIs" dxfId="0" priority="3265" operator="lessThan">
      <formula>20</formula>
    </cfRule>
    <cfRule type="cellIs" dxfId="1" priority="2496" operator="greaterThan">
      <formula>120</formula>
    </cfRule>
    <cfRule type="containsText" dxfId="2" priority="1727" operator="between" text="库存为">
      <formula>NOT(ISERROR(SEARCH("库存为",AU728)))</formula>
    </cfRule>
  </conditionalFormatting>
  <conditionalFormatting sqref="AU729">
    <cfRule type="cellIs" dxfId="0" priority="3264" operator="lessThan">
      <formula>20</formula>
    </cfRule>
    <cfRule type="cellIs" dxfId="1" priority="2495" operator="greaterThan">
      <formula>120</formula>
    </cfRule>
    <cfRule type="containsText" dxfId="2" priority="1726" operator="between" text="库存为">
      <formula>NOT(ISERROR(SEARCH("库存为",AU729)))</formula>
    </cfRule>
  </conditionalFormatting>
  <conditionalFormatting sqref="AU730">
    <cfRule type="cellIs" dxfId="0" priority="3263" operator="lessThan">
      <formula>20</formula>
    </cfRule>
    <cfRule type="cellIs" dxfId="1" priority="2494" operator="greaterThan">
      <formula>120</formula>
    </cfRule>
    <cfRule type="containsText" dxfId="2" priority="1725" operator="between" text="库存为">
      <formula>NOT(ISERROR(SEARCH("库存为",AU730)))</formula>
    </cfRule>
  </conditionalFormatting>
  <conditionalFormatting sqref="AU731">
    <cfRule type="cellIs" dxfId="0" priority="3262" operator="lessThan">
      <formula>20</formula>
    </cfRule>
    <cfRule type="cellIs" dxfId="1" priority="2493" operator="greaterThan">
      <formula>120</formula>
    </cfRule>
    <cfRule type="containsText" dxfId="2" priority="1724" operator="between" text="库存为">
      <formula>NOT(ISERROR(SEARCH("库存为",AU731)))</formula>
    </cfRule>
  </conditionalFormatting>
  <conditionalFormatting sqref="AU732">
    <cfRule type="cellIs" dxfId="0" priority="3261" operator="lessThan">
      <formula>20</formula>
    </cfRule>
    <cfRule type="cellIs" dxfId="1" priority="2492" operator="greaterThan">
      <formula>120</formula>
    </cfRule>
    <cfRule type="containsText" dxfId="2" priority="1723" operator="between" text="库存为">
      <formula>NOT(ISERROR(SEARCH("库存为",AU732)))</formula>
    </cfRule>
  </conditionalFormatting>
  <conditionalFormatting sqref="AU733">
    <cfRule type="cellIs" dxfId="0" priority="3260" operator="lessThan">
      <formula>20</formula>
    </cfRule>
    <cfRule type="cellIs" dxfId="1" priority="2491" operator="greaterThan">
      <formula>120</formula>
    </cfRule>
    <cfRule type="containsText" dxfId="2" priority="1722" operator="between" text="库存为">
      <formula>NOT(ISERROR(SEARCH("库存为",AU733)))</formula>
    </cfRule>
  </conditionalFormatting>
  <conditionalFormatting sqref="AU734">
    <cfRule type="cellIs" dxfId="0" priority="3259" operator="lessThan">
      <formula>20</formula>
    </cfRule>
    <cfRule type="cellIs" dxfId="1" priority="2490" operator="greaterThan">
      <formula>120</formula>
    </cfRule>
    <cfRule type="containsText" dxfId="2" priority="1721" operator="between" text="库存为">
      <formula>NOT(ISERROR(SEARCH("库存为",AU734)))</formula>
    </cfRule>
  </conditionalFormatting>
  <conditionalFormatting sqref="AU735">
    <cfRule type="cellIs" dxfId="0" priority="3258" operator="lessThan">
      <formula>20</formula>
    </cfRule>
    <cfRule type="cellIs" dxfId="1" priority="2489" operator="greaterThan">
      <formula>120</formula>
    </cfRule>
    <cfRule type="containsText" dxfId="2" priority="1720" operator="between" text="库存为">
      <formula>NOT(ISERROR(SEARCH("库存为",AU735)))</formula>
    </cfRule>
  </conditionalFormatting>
  <conditionalFormatting sqref="AU736">
    <cfRule type="cellIs" dxfId="0" priority="3257" operator="lessThan">
      <formula>20</formula>
    </cfRule>
    <cfRule type="cellIs" dxfId="1" priority="2488" operator="greaterThan">
      <formula>120</formula>
    </cfRule>
    <cfRule type="containsText" dxfId="2" priority="1719" operator="between" text="库存为">
      <formula>NOT(ISERROR(SEARCH("库存为",AU736)))</formula>
    </cfRule>
  </conditionalFormatting>
  <conditionalFormatting sqref="AU737">
    <cfRule type="cellIs" dxfId="0" priority="3256" operator="lessThan">
      <formula>20</formula>
    </cfRule>
    <cfRule type="cellIs" dxfId="1" priority="2487" operator="greaterThan">
      <formula>120</formula>
    </cfRule>
    <cfRule type="containsText" dxfId="2" priority="1718" operator="between" text="库存为">
      <formula>NOT(ISERROR(SEARCH("库存为",AU737)))</formula>
    </cfRule>
  </conditionalFormatting>
  <conditionalFormatting sqref="AU738">
    <cfRule type="cellIs" dxfId="0" priority="3255" operator="lessThan">
      <formula>20</formula>
    </cfRule>
    <cfRule type="cellIs" dxfId="1" priority="2486" operator="greaterThan">
      <formula>120</formula>
    </cfRule>
    <cfRule type="containsText" dxfId="2" priority="1717" operator="between" text="库存为">
      <formula>NOT(ISERROR(SEARCH("库存为",AU738)))</formula>
    </cfRule>
  </conditionalFormatting>
  <conditionalFormatting sqref="AU739">
    <cfRule type="cellIs" dxfId="0" priority="3254" operator="lessThan">
      <formula>20</formula>
    </cfRule>
    <cfRule type="cellIs" dxfId="1" priority="2485" operator="greaterThan">
      <formula>120</formula>
    </cfRule>
    <cfRule type="containsText" dxfId="2" priority="1716" operator="between" text="库存为">
      <formula>NOT(ISERROR(SEARCH("库存为",AU739)))</formula>
    </cfRule>
  </conditionalFormatting>
  <conditionalFormatting sqref="AU740">
    <cfRule type="cellIs" dxfId="0" priority="3253" operator="lessThan">
      <formula>20</formula>
    </cfRule>
    <cfRule type="cellIs" dxfId="1" priority="2484" operator="greaterThan">
      <formula>120</formula>
    </cfRule>
    <cfRule type="containsText" dxfId="2" priority="1715" operator="between" text="库存为">
      <formula>NOT(ISERROR(SEARCH("库存为",AU740)))</formula>
    </cfRule>
  </conditionalFormatting>
  <conditionalFormatting sqref="AU741">
    <cfRule type="cellIs" dxfId="0" priority="3252" operator="lessThan">
      <formula>20</formula>
    </cfRule>
    <cfRule type="cellIs" dxfId="1" priority="2483" operator="greaterThan">
      <formula>120</formula>
    </cfRule>
    <cfRule type="containsText" dxfId="2" priority="1714" operator="between" text="库存为">
      <formula>NOT(ISERROR(SEARCH("库存为",AU741)))</formula>
    </cfRule>
  </conditionalFormatting>
  <conditionalFormatting sqref="AU742">
    <cfRule type="cellIs" dxfId="0" priority="3251" operator="lessThan">
      <formula>20</formula>
    </cfRule>
    <cfRule type="cellIs" dxfId="1" priority="2482" operator="greaterThan">
      <formula>120</formula>
    </cfRule>
    <cfRule type="containsText" dxfId="2" priority="1713" operator="between" text="库存为">
      <formula>NOT(ISERROR(SEARCH("库存为",AU742)))</formula>
    </cfRule>
  </conditionalFormatting>
  <conditionalFormatting sqref="AU743">
    <cfRule type="cellIs" dxfId="0" priority="3250" operator="lessThan">
      <formula>20</formula>
    </cfRule>
    <cfRule type="cellIs" dxfId="1" priority="2481" operator="greaterThan">
      <formula>120</formula>
    </cfRule>
    <cfRule type="containsText" dxfId="2" priority="1712" operator="between" text="库存为">
      <formula>NOT(ISERROR(SEARCH("库存为",AU743)))</formula>
    </cfRule>
  </conditionalFormatting>
  <conditionalFormatting sqref="AU744">
    <cfRule type="cellIs" dxfId="0" priority="3249" operator="lessThan">
      <formula>20</formula>
    </cfRule>
    <cfRule type="cellIs" dxfId="1" priority="2480" operator="greaterThan">
      <formula>120</formula>
    </cfRule>
    <cfRule type="containsText" dxfId="2" priority="1711" operator="between" text="库存为">
      <formula>NOT(ISERROR(SEARCH("库存为",AU744)))</formula>
    </cfRule>
  </conditionalFormatting>
  <conditionalFormatting sqref="AU745">
    <cfRule type="cellIs" dxfId="0" priority="3248" operator="lessThan">
      <formula>20</formula>
    </cfRule>
    <cfRule type="cellIs" dxfId="1" priority="2479" operator="greaterThan">
      <formula>120</formula>
    </cfRule>
    <cfRule type="containsText" dxfId="2" priority="1710" operator="between" text="库存为">
      <formula>NOT(ISERROR(SEARCH("库存为",AU745)))</formula>
    </cfRule>
  </conditionalFormatting>
  <conditionalFormatting sqref="AU746">
    <cfRule type="cellIs" dxfId="0" priority="3247" operator="lessThan">
      <formula>20</formula>
    </cfRule>
    <cfRule type="cellIs" dxfId="1" priority="2478" operator="greaterThan">
      <formula>120</formula>
    </cfRule>
    <cfRule type="containsText" dxfId="2" priority="1709" operator="between" text="库存为">
      <formula>NOT(ISERROR(SEARCH("库存为",AU746)))</formula>
    </cfRule>
  </conditionalFormatting>
  <conditionalFormatting sqref="AU747">
    <cfRule type="cellIs" dxfId="0" priority="3246" operator="lessThan">
      <formula>20</formula>
    </cfRule>
    <cfRule type="cellIs" dxfId="1" priority="2477" operator="greaterThan">
      <formula>120</formula>
    </cfRule>
    <cfRule type="containsText" dxfId="2" priority="1708" operator="between" text="库存为">
      <formula>NOT(ISERROR(SEARCH("库存为",AU747)))</formula>
    </cfRule>
  </conditionalFormatting>
  <conditionalFormatting sqref="AU748">
    <cfRule type="cellIs" dxfId="0" priority="3245" operator="lessThan">
      <formula>20</formula>
    </cfRule>
    <cfRule type="cellIs" dxfId="1" priority="2476" operator="greaterThan">
      <formula>120</formula>
    </cfRule>
    <cfRule type="containsText" dxfId="2" priority="1707" operator="between" text="库存为">
      <formula>NOT(ISERROR(SEARCH("库存为",AU748)))</formula>
    </cfRule>
  </conditionalFormatting>
  <conditionalFormatting sqref="AU749">
    <cfRule type="cellIs" dxfId="0" priority="3244" operator="lessThan">
      <formula>20</formula>
    </cfRule>
    <cfRule type="cellIs" dxfId="1" priority="2475" operator="greaterThan">
      <formula>120</formula>
    </cfRule>
    <cfRule type="containsText" dxfId="2" priority="1706" operator="between" text="库存为">
      <formula>NOT(ISERROR(SEARCH("库存为",AU749)))</formula>
    </cfRule>
  </conditionalFormatting>
  <conditionalFormatting sqref="AU750">
    <cfRule type="cellIs" dxfId="0" priority="3243" operator="lessThan">
      <formula>20</formula>
    </cfRule>
    <cfRule type="cellIs" dxfId="1" priority="2474" operator="greaterThan">
      <formula>120</formula>
    </cfRule>
    <cfRule type="containsText" dxfId="2" priority="1705" operator="between" text="库存为">
      <formula>NOT(ISERROR(SEARCH("库存为",AU750)))</formula>
    </cfRule>
  </conditionalFormatting>
  <conditionalFormatting sqref="AU751">
    <cfRule type="cellIs" dxfId="0" priority="3242" operator="lessThan">
      <formula>20</formula>
    </cfRule>
    <cfRule type="cellIs" dxfId="1" priority="2473" operator="greaterThan">
      <formula>120</formula>
    </cfRule>
    <cfRule type="containsText" dxfId="2" priority="1704" operator="between" text="库存为">
      <formula>NOT(ISERROR(SEARCH("库存为",AU751)))</formula>
    </cfRule>
  </conditionalFormatting>
  <conditionalFormatting sqref="AU752">
    <cfRule type="cellIs" dxfId="0" priority="3241" operator="lessThan">
      <formula>20</formula>
    </cfRule>
    <cfRule type="cellIs" dxfId="1" priority="2472" operator="greaterThan">
      <formula>120</formula>
    </cfRule>
    <cfRule type="containsText" dxfId="2" priority="1703" operator="between" text="库存为">
      <formula>NOT(ISERROR(SEARCH("库存为",AU752)))</formula>
    </cfRule>
  </conditionalFormatting>
  <conditionalFormatting sqref="AU753">
    <cfRule type="cellIs" dxfId="0" priority="3240" operator="lessThan">
      <formula>20</formula>
    </cfRule>
    <cfRule type="cellIs" dxfId="1" priority="2471" operator="greaterThan">
      <formula>120</formula>
    </cfRule>
    <cfRule type="containsText" dxfId="2" priority="1702" operator="between" text="库存为">
      <formula>NOT(ISERROR(SEARCH("库存为",AU753)))</formula>
    </cfRule>
  </conditionalFormatting>
  <conditionalFormatting sqref="AU754">
    <cfRule type="cellIs" dxfId="0" priority="3239" operator="lessThan">
      <formula>20</formula>
    </cfRule>
    <cfRule type="cellIs" dxfId="1" priority="2470" operator="greaterThan">
      <formula>120</formula>
    </cfRule>
    <cfRule type="containsText" dxfId="2" priority="1701" operator="between" text="库存为">
      <formula>NOT(ISERROR(SEARCH("库存为",AU754)))</formula>
    </cfRule>
  </conditionalFormatting>
  <conditionalFormatting sqref="AU755">
    <cfRule type="cellIs" dxfId="0" priority="3238" operator="lessThan">
      <formula>20</formula>
    </cfRule>
    <cfRule type="cellIs" dxfId="1" priority="2469" operator="greaterThan">
      <formula>120</formula>
    </cfRule>
    <cfRule type="containsText" dxfId="2" priority="1700" operator="between" text="库存为">
      <formula>NOT(ISERROR(SEARCH("库存为",AU755)))</formula>
    </cfRule>
  </conditionalFormatting>
  <conditionalFormatting sqref="AU756">
    <cfRule type="cellIs" dxfId="0" priority="3237" operator="lessThan">
      <formula>20</formula>
    </cfRule>
    <cfRule type="cellIs" dxfId="1" priority="2468" operator="greaterThan">
      <formula>120</formula>
    </cfRule>
    <cfRule type="containsText" dxfId="2" priority="1699" operator="between" text="库存为">
      <formula>NOT(ISERROR(SEARCH("库存为",AU756)))</formula>
    </cfRule>
  </conditionalFormatting>
  <conditionalFormatting sqref="AU757">
    <cfRule type="cellIs" dxfId="0" priority="3236" operator="lessThan">
      <formula>20</formula>
    </cfRule>
    <cfRule type="cellIs" dxfId="1" priority="2467" operator="greaterThan">
      <formula>120</formula>
    </cfRule>
    <cfRule type="containsText" dxfId="2" priority="1698" operator="between" text="库存为">
      <formula>NOT(ISERROR(SEARCH("库存为",AU757)))</formula>
    </cfRule>
  </conditionalFormatting>
  <conditionalFormatting sqref="AU758">
    <cfRule type="cellIs" dxfId="0" priority="3235" operator="lessThan">
      <formula>20</formula>
    </cfRule>
    <cfRule type="cellIs" dxfId="1" priority="2466" operator="greaterThan">
      <formula>120</formula>
    </cfRule>
    <cfRule type="containsText" dxfId="2" priority="1697" operator="between" text="库存为">
      <formula>NOT(ISERROR(SEARCH("库存为",AU758)))</formula>
    </cfRule>
  </conditionalFormatting>
  <conditionalFormatting sqref="AU759">
    <cfRule type="cellIs" dxfId="0" priority="3234" operator="lessThan">
      <formula>20</formula>
    </cfRule>
    <cfRule type="cellIs" dxfId="1" priority="2465" operator="greaterThan">
      <formula>120</formula>
    </cfRule>
    <cfRule type="containsText" dxfId="2" priority="1696" operator="between" text="库存为">
      <formula>NOT(ISERROR(SEARCH("库存为",AU759)))</formula>
    </cfRule>
  </conditionalFormatting>
  <conditionalFormatting sqref="AU760">
    <cfRule type="cellIs" dxfId="0" priority="3233" operator="lessThan">
      <formula>20</formula>
    </cfRule>
    <cfRule type="cellIs" dxfId="1" priority="2464" operator="greaterThan">
      <formula>120</formula>
    </cfRule>
    <cfRule type="containsText" dxfId="2" priority="1695" operator="between" text="库存为">
      <formula>NOT(ISERROR(SEARCH("库存为",AU760)))</formula>
    </cfRule>
  </conditionalFormatting>
  <conditionalFormatting sqref="AU761">
    <cfRule type="cellIs" dxfId="0" priority="3232" operator="lessThan">
      <formula>20</formula>
    </cfRule>
    <cfRule type="cellIs" dxfId="1" priority="2463" operator="greaterThan">
      <formula>120</formula>
    </cfRule>
    <cfRule type="containsText" dxfId="2" priority="1694" operator="between" text="库存为">
      <formula>NOT(ISERROR(SEARCH("库存为",AU761)))</formula>
    </cfRule>
  </conditionalFormatting>
  <conditionalFormatting sqref="AU762">
    <cfRule type="cellIs" dxfId="0" priority="3231" operator="lessThan">
      <formula>20</formula>
    </cfRule>
    <cfRule type="cellIs" dxfId="1" priority="2462" operator="greaterThan">
      <formula>120</formula>
    </cfRule>
    <cfRule type="containsText" dxfId="2" priority="1693" operator="between" text="库存为">
      <formula>NOT(ISERROR(SEARCH("库存为",AU762)))</formula>
    </cfRule>
  </conditionalFormatting>
  <conditionalFormatting sqref="AU763">
    <cfRule type="cellIs" dxfId="0" priority="3230" operator="lessThan">
      <formula>20</formula>
    </cfRule>
    <cfRule type="cellIs" dxfId="1" priority="2461" operator="greaterThan">
      <formula>120</formula>
    </cfRule>
    <cfRule type="containsText" dxfId="2" priority="1692" operator="between" text="库存为">
      <formula>NOT(ISERROR(SEARCH("库存为",AU763)))</formula>
    </cfRule>
  </conditionalFormatting>
  <conditionalFormatting sqref="AU764">
    <cfRule type="cellIs" dxfId="0" priority="3229" operator="lessThan">
      <formula>20</formula>
    </cfRule>
    <cfRule type="cellIs" dxfId="1" priority="2460" operator="greaterThan">
      <formula>120</formula>
    </cfRule>
    <cfRule type="containsText" dxfId="2" priority="1691" operator="between" text="库存为">
      <formula>NOT(ISERROR(SEARCH("库存为",AU764)))</formula>
    </cfRule>
  </conditionalFormatting>
  <conditionalFormatting sqref="AU765">
    <cfRule type="cellIs" dxfId="0" priority="3228" operator="lessThan">
      <formula>20</formula>
    </cfRule>
    <cfRule type="cellIs" dxfId="1" priority="2459" operator="greaterThan">
      <formula>120</formula>
    </cfRule>
    <cfRule type="containsText" dxfId="2" priority="1690" operator="between" text="库存为">
      <formula>NOT(ISERROR(SEARCH("库存为",AU765)))</formula>
    </cfRule>
  </conditionalFormatting>
  <conditionalFormatting sqref="AU766">
    <cfRule type="cellIs" dxfId="0" priority="3227" operator="lessThan">
      <formula>20</formula>
    </cfRule>
    <cfRule type="cellIs" dxfId="1" priority="2458" operator="greaterThan">
      <formula>120</formula>
    </cfRule>
    <cfRule type="containsText" dxfId="2" priority="1689" operator="between" text="库存为">
      <formula>NOT(ISERROR(SEARCH("库存为",AU766)))</formula>
    </cfRule>
  </conditionalFormatting>
  <conditionalFormatting sqref="AU767">
    <cfRule type="cellIs" dxfId="0" priority="3226" operator="lessThan">
      <formula>20</formula>
    </cfRule>
    <cfRule type="cellIs" dxfId="1" priority="2457" operator="greaterThan">
      <formula>120</formula>
    </cfRule>
    <cfRule type="containsText" dxfId="2" priority="1688" operator="between" text="库存为">
      <formula>NOT(ISERROR(SEARCH("库存为",AU767)))</formula>
    </cfRule>
  </conditionalFormatting>
  <conditionalFormatting sqref="AU768">
    <cfRule type="cellIs" dxfId="0" priority="3225" operator="lessThan">
      <formula>20</formula>
    </cfRule>
    <cfRule type="cellIs" dxfId="1" priority="2456" operator="greaterThan">
      <formula>120</formula>
    </cfRule>
    <cfRule type="containsText" dxfId="2" priority="1687" operator="between" text="库存为">
      <formula>NOT(ISERROR(SEARCH("库存为",AU768)))</formula>
    </cfRule>
  </conditionalFormatting>
  <conditionalFormatting sqref="AU769">
    <cfRule type="cellIs" dxfId="0" priority="3224" operator="lessThan">
      <formula>20</formula>
    </cfRule>
    <cfRule type="cellIs" dxfId="1" priority="2455" operator="greaterThan">
      <formula>120</formula>
    </cfRule>
    <cfRule type="containsText" dxfId="2" priority="1686" operator="between" text="库存为">
      <formula>NOT(ISERROR(SEARCH("库存为",AU769)))</formula>
    </cfRule>
  </conditionalFormatting>
  <conditionalFormatting sqref="AU770">
    <cfRule type="cellIs" dxfId="0" priority="3223" operator="lessThan">
      <formula>20</formula>
    </cfRule>
    <cfRule type="cellIs" dxfId="1" priority="2454" operator="greaterThan">
      <formula>120</formula>
    </cfRule>
    <cfRule type="containsText" dxfId="2" priority="1685" operator="between" text="库存为">
      <formula>NOT(ISERROR(SEARCH("库存为",AU770)))</formula>
    </cfRule>
  </conditionalFormatting>
  <conditionalFormatting sqref="AU771">
    <cfRule type="cellIs" dxfId="0" priority="3222" operator="lessThan">
      <formula>20</formula>
    </cfRule>
    <cfRule type="cellIs" dxfId="1" priority="2453" operator="greaterThan">
      <formula>120</formula>
    </cfRule>
    <cfRule type="containsText" dxfId="2" priority="1684" operator="between" text="库存为">
      <formula>NOT(ISERROR(SEARCH("库存为",AU771)))</formula>
    </cfRule>
  </conditionalFormatting>
  <conditionalFormatting sqref="AU772">
    <cfRule type="cellIs" dxfId="0" priority="3221" operator="lessThan">
      <formula>20</formula>
    </cfRule>
    <cfRule type="cellIs" dxfId="1" priority="2452" operator="greaterThan">
      <formula>120</formula>
    </cfRule>
    <cfRule type="containsText" dxfId="2" priority="1683" operator="between" text="库存为">
      <formula>NOT(ISERROR(SEARCH("库存为",AU772)))</formula>
    </cfRule>
  </conditionalFormatting>
  <conditionalFormatting sqref="AU773">
    <cfRule type="cellIs" dxfId="0" priority="3220" operator="lessThan">
      <formula>20</formula>
    </cfRule>
    <cfRule type="cellIs" dxfId="1" priority="2451" operator="greaterThan">
      <formula>120</formula>
    </cfRule>
    <cfRule type="containsText" dxfId="2" priority="1682" operator="between" text="库存为">
      <formula>NOT(ISERROR(SEARCH("库存为",AU773)))</formula>
    </cfRule>
  </conditionalFormatting>
  <conditionalFormatting sqref="AU774">
    <cfRule type="cellIs" dxfId="0" priority="3219" operator="lessThan">
      <formula>20</formula>
    </cfRule>
    <cfRule type="cellIs" dxfId="1" priority="2450" operator="greaterThan">
      <formula>120</formula>
    </cfRule>
    <cfRule type="containsText" dxfId="2" priority="1681" operator="between" text="库存为">
      <formula>NOT(ISERROR(SEARCH("库存为",AU774)))</formula>
    </cfRule>
  </conditionalFormatting>
  <conditionalFormatting sqref="AU775">
    <cfRule type="cellIs" dxfId="0" priority="36726" operator="lessThan">
      <formula>20</formula>
    </cfRule>
    <cfRule type="cellIs" dxfId="1" priority="36686" operator="greaterThan">
      <formula>120</formula>
    </cfRule>
    <cfRule type="containsText" dxfId="2" priority="36646" operator="between" text="库存为">
      <formula>NOT(ISERROR(SEARCH("库存为",AU775)))</formula>
    </cfRule>
  </conditionalFormatting>
  <conditionalFormatting sqref="AU776:AU2760">
    <cfRule type="containsText" dxfId="2" priority="62626" operator="between" text="库存为">
      <formula>NOT(ISERROR(SEARCH("库存为",AU776)))</formula>
    </cfRule>
    <cfRule type="cellIs" dxfId="1" priority="62627" operator="greaterThan">
      <formula>120</formula>
    </cfRule>
    <cfRule type="cellIs" dxfId="0" priority="6262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780</v>
      </c>
      <c r="O1" s="10"/>
      <c r="P1" s="10"/>
      <c r="Q1" s="10"/>
      <c r="R1" s="10" t="s">
        <v>781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782</v>
      </c>
      <c r="AI1" s="10"/>
      <c r="AJ1" s="10"/>
      <c r="AK1" s="10"/>
      <c r="AL1" s="10" t="s">
        <v>783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2018/6/25-2018/7/1</v>
      </c>
      <c r="C3" s="13" t="str">
        <f>TEXT(时间!$B$8,"yyyy/M/d")&amp;"-"&amp;TEXT(时间!$B$7,"yyyy/Md")</f>
        <v>2018/6/18-2018/624</v>
      </c>
      <c r="D3" s="13" t="str">
        <f>TEXT(时间!$B$10,"yyyy/M/d")&amp;"-"&amp;TEXT(时间!$B$9,"yyyy/M/d")</f>
        <v>2018/6/11-2018/6/17</v>
      </c>
      <c r="E3" s="13" t="str">
        <f>TEXT(时间!$B$12,"yyyy/M/d")&amp;"-"&amp;TEXT(时间!$B$11,"yyyy/M/d")</f>
        <v>2018/6/4-2018/6/10</v>
      </c>
      <c r="F3" s="14"/>
      <c r="G3" s="15"/>
      <c r="H3" s="15"/>
      <c r="I3" s="15"/>
      <c r="J3" s="15"/>
      <c r="K3" s="15"/>
      <c r="L3" s="15"/>
      <c r="M3" s="18" t="s">
        <v>784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785</v>
      </c>
      <c r="C4" s="5" t="s">
        <v>786</v>
      </c>
      <c r="D4" s="5" t="s">
        <v>787</v>
      </c>
      <c r="E4" s="5" t="s">
        <v>788</v>
      </c>
      <c r="F4" s="6" t="s">
        <v>19</v>
      </c>
      <c r="G4" t="s">
        <v>20</v>
      </c>
      <c r="H4" t="s">
        <v>21</v>
      </c>
      <c r="I4" t="s">
        <v>789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2018/6/25-2018/7/1</v>
      </c>
      <c r="AE4" s="20" t="str">
        <f>TEXT(时间!$B$8,"yyyy/M/d")&amp;"-"&amp;TEXT(时间!$B$7,"yyyy/Md")</f>
        <v>2018/6/18-2018/624</v>
      </c>
      <c r="AF4" s="20" t="str">
        <f>TEXT(时间!$B$10,"yyyy/M/d")&amp;"-"&amp;TEXT(时间!$B$9,"yyyy/M/d")</f>
        <v>2018/6/11-2018/6/17</v>
      </c>
      <c r="AG4" s="20" t="str">
        <f>TEXT(时间!$B$12,"yyyy/M/d")&amp;"-"&amp;TEXT(时间!$B$11,"yyyy/M/d")</f>
        <v>2018/6/4-2018/6/10</v>
      </c>
      <c r="AH4" s="20" t="str">
        <f>TEXT(时间!$B$6,"yyyy/M/d")&amp;"-"&amp;TEXT(时间!$B$5,"yyyy/M/d")</f>
        <v>2018/6/25-2018/7/1</v>
      </c>
      <c r="AI4" s="20" t="str">
        <f>TEXT(时间!$B$8,"yyyy/M/d")&amp;"-"&amp;TEXT(时间!$B$7,"yyyy/Md")</f>
        <v>2018/6/18-2018/624</v>
      </c>
      <c r="AJ4" s="20" t="str">
        <f>TEXT(时间!$B$10,"yyyy/M/d")&amp;"-"&amp;TEXT(时间!$B$9,"yyyy/M/d")</f>
        <v>2018/6/11-2018/6/17</v>
      </c>
      <c r="AK4" s="20" t="str">
        <f>TEXT(时间!$B$12,"yyyy/M/d")&amp;"-"&amp;TEXT(时间!$B$11,"yyyy/M/d")</f>
        <v>2018/6/4-2018/6/10</v>
      </c>
      <c r="AL4" s="20" t="str">
        <f>TEXT(时间!$B$6,"yyyy/M/d")&amp;"-"&amp;TEXT(时间!$B$5,"yyyy/M/d")</f>
        <v>2018/6/25-2018/7/1</v>
      </c>
      <c r="AM4" s="20" t="str">
        <f>TEXT(时间!$B$8,"yyyy/M/d")&amp;"-"&amp;TEXT(时间!$B$7,"yyyy/Md")</f>
        <v>2018/6/18-2018/624</v>
      </c>
      <c r="AN4" s="20" t="str">
        <f>TEXT(时间!$B$10,"yyyy/M/d")&amp;"-"&amp;TEXT(时间!$B$9,"yyyy/M/d")</f>
        <v>2018/6/11-2018/6/17</v>
      </c>
      <c r="AO4" s="20" t="str">
        <f>TEXT(时间!$B$12,"yyyy/M/d")&amp;"-"&amp;TEXT(时间!$B$11,"yyyy/M/d")</f>
        <v>2018/6/4-2018/6/10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213</v>
      </c>
      <c r="C5" s="16">
        <f t="shared" si="14"/>
        <v>163</v>
      </c>
      <c r="D5" s="16">
        <f t="shared" si="14"/>
        <v>165</v>
      </c>
      <c r="E5" s="16">
        <f t="shared" si="14"/>
        <v>91</v>
      </c>
      <c r="F5" s="17"/>
      <c r="G5" s="4">
        <f t="shared" si="14"/>
        <v>1854</v>
      </c>
      <c r="H5" s="4">
        <f t="shared" si="14"/>
        <v>170</v>
      </c>
      <c r="I5" s="4">
        <f t="shared" si="14"/>
        <v>1</v>
      </c>
      <c r="J5" s="4">
        <f t="shared" si="14"/>
        <v>36</v>
      </c>
      <c r="K5" s="4">
        <f t="shared" si="14"/>
        <v>2061</v>
      </c>
      <c r="L5" s="4">
        <f t="shared" si="14"/>
        <v>9</v>
      </c>
      <c r="M5" s="4">
        <f t="shared" si="14"/>
        <v>1014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235.5</v>
      </c>
      <c r="AA5" s="4">
        <f>SUM(AA6:AA9999)</f>
        <v>210.1</v>
      </c>
      <c r="AB5" s="4">
        <f>SUM(AB6:AB9999)</f>
        <v>222.5</v>
      </c>
      <c r="AC5" s="4">
        <f>SUM(AC6:AC9999)</f>
        <v>284.4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2</v>
      </c>
      <c r="C6" s="5">
        <f>SUMIF('库存（子SKU）'!$C:$C,$A6,'库存（子SKU）'!E:E)</f>
        <v>4</v>
      </c>
      <c r="D6" s="5">
        <f>SUMIF('库存（子SKU）'!$C:$C,$A6,'库存（子SKU）'!F:F)</f>
        <v>4</v>
      </c>
      <c r="E6" s="5">
        <f>SUMIF('库存（子SKU）'!$C:$C,$A6,'库存（子SKU）'!G:G)</f>
        <v>8</v>
      </c>
      <c r="F6" s="6">
        <v>13.1455555555556</v>
      </c>
      <c r="G6">
        <f>SUMIF('库存（子SKU）'!$C:$C,$A6,'库存（子SKU）'!I:I)</f>
        <v>142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142</v>
      </c>
      <c r="L6">
        <f>SUMIF('库存（子SKU）'!$C:$C,$A6,'库存（子SKU）'!N:N)</f>
        <v>0</v>
      </c>
      <c r="M6">
        <f>SUMIF('库存（子SKU）'!$C:$C,$A6,'库存（子SKU）'!O:O)</f>
        <v>121</v>
      </c>
      <c r="N6">
        <f>SUMIF('库存（子SKU）'!$C:$C,$A6,'库存（子SKU）'!P:P)</f>
        <v>6224</v>
      </c>
      <c r="O6">
        <f>SUMIF('库存（子SKU）'!$C:$C,$A6,'库存（子SKU）'!Q:Q)</f>
        <v>9304</v>
      </c>
      <c r="P6">
        <f>SUMIF('库存（子SKU）'!$C:$C,$A6,'库存（子SKU）'!R:R)</f>
        <v>11232</v>
      </c>
      <c r="Q6">
        <f>SUMIF('库存（子SKU）'!$C:$C,$A6,'库存（子SKU）'!S:S)</f>
        <v>12352</v>
      </c>
      <c r="R6">
        <f>SUMIF('库存（子SKU）'!$C:$C,$A6,'库存（子SKU）'!T:T)</f>
        <v>47</v>
      </c>
      <c r="S6">
        <f>SUMIF('库存（子SKU）'!$C:$C,$A6,'库存（子SKU）'!U:U)</f>
        <v>39</v>
      </c>
      <c r="T6">
        <f>SUMIF('库存（子SKU）'!$C:$C,$A6,'库存（子SKU）'!V:V)</f>
        <v>68</v>
      </c>
      <c r="U6">
        <f>SUMIF('库存（子SKU）'!$C:$C,$A6,'库存（子SKU）'!W:W)</f>
        <v>80</v>
      </c>
      <c r="V6" s="22">
        <f t="shared" ref="V6:V69" si="15">IFERROR(R6/N6,"")</f>
        <v>0.00755141388174807</v>
      </c>
      <c r="W6" s="22">
        <f t="shared" ref="W6:W69" si="16">IFERROR(S6/O6,"")</f>
        <v>0.00419174548581255</v>
      </c>
      <c r="X6" s="22">
        <f t="shared" ref="X6:X69" si="17">IFERROR(T6/P6,"")</f>
        <v>0.00605413105413105</v>
      </c>
      <c r="Y6" s="22">
        <f t="shared" ref="Y6:Y69" si="18">IFERROR(U6/Q6,"")</f>
        <v>0.00647668393782383</v>
      </c>
      <c r="Z6">
        <f>SUMIF('库存（子SKU）'!$C:$C,$A6,'库存（子SKU）'!AB:AB)</f>
        <v>14.13</v>
      </c>
      <c r="AA6">
        <f>SUMIF('库存（子SKU）'!$C:$C,$A6,'库存（子SKU）'!AC:AC)</f>
        <v>11.39</v>
      </c>
      <c r="AB6">
        <f>SUMIF('库存（子SKU）'!$C:$C,$A6,'库存（子SKU）'!AD:AD)</f>
        <v>19.29</v>
      </c>
      <c r="AC6">
        <f>SUMIF('库存（子SKU）'!$C:$C,$A6,'库存（子SKU）'!AE:AE)</f>
        <v>22.82</v>
      </c>
      <c r="AD6" s="22">
        <f t="shared" si="2"/>
        <v>0.537444003042852</v>
      </c>
      <c r="AE6" s="22">
        <f t="shared" si="3"/>
        <v>0.216613134984362</v>
      </c>
      <c r="AF6" s="22">
        <f t="shared" si="4"/>
        <v>0.366854027554728</v>
      </c>
      <c r="AG6" s="22">
        <f t="shared" si="5"/>
        <v>0.216993491674414</v>
      </c>
      <c r="AH6">
        <f>SUMIF('库存（子SKU）'!$C:$C,$A6,'库存（子SKU）'!AJ:AJ)</f>
        <v>40</v>
      </c>
      <c r="AI6">
        <f>SUMIF('库存（子SKU）'!$C:$C,$A6,'库存（子SKU）'!AK:AK)</f>
        <v>53</v>
      </c>
      <c r="AJ6">
        <f>SUMIF('库存（子SKU）'!$C:$C,$A6,'库存（子SKU）'!AL:AL)</f>
        <v>34</v>
      </c>
      <c r="AK6">
        <f>SUMIF('库存（子SKU）'!$C:$C,$A6,'库存（子SKU）'!AM:AM)</f>
        <v>76</v>
      </c>
      <c r="AL6" s="22">
        <f t="shared" si="6"/>
        <v>0.05</v>
      </c>
      <c r="AM6" s="22">
        <f t="shared" si="7"/>
        <v>0.0754716981132075</v>
      </c>
      <c r="AN6" s="22">
        <f t="shared" si="8"/>
        <v>0.117647058823529</v>
      </c>
      <c r="AO6" s="22">
        <f t="shared" si="9"/>
        <v>0.105263157894737</v>
      </c>
      <c r="AP6" s="7">
        <f t="shared" si="10"/>
        <v>0.285714285714286</v>
      </c>
      <c r="AQ6" s="7">
        <f t="shared" si="11"/>
        <v>17.1428571428571</v>
      </c>
      <c r="AR6" s="7">
        <f t="shared" si="12"/>
        <v>124.857142857143</v>
      </c>
      <c r="AS6">
        <f t="shared" si="13"/>
        <v>497</v>
      </c>
      <c r="AT6" s="2">
        <f>IFERROR(时间!$B$4+AS6,"上周无销量")</f>
        <v>43780</v>
      </c>
    </row>
    <row r="7" spans="1:46">
      <c r="A7" t="s">
        <v>76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4</v>
      </c>
      <c r="E7" s="5">
        <f>SUMIF('库存（子SKU）'!$C:$C,$A7,'库存（子SKU）'!G:G)</f>
        <v>0</v>
      </c>
      <c r="F7" s="6"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3901</v>
      </c>
      <c r="O7">
        <f>SUMIF('库存（子SKU）'!$C:$C,$A7,'库存（子SKU）'!Q:Q)</f>
        <v>6149</v>
      </c>
      <c r="P7">
        <f>SUMIF('库存（子SKU）'!$C:$C,$A7,'库存（子SKU）'!R:R)</f>
        <v>0</v>
      </c>
      <c r="Q7">
        <f>SUMIF('库存（子SKU）'!$C:$C,$A7,'库存（子SKU）'!S:S)</f>
        <v>8428</v>
      </c>
      <c r="R7">
        <f>SUMIF('库存（子SKU）'!$C:$C,$A7,'库存（子SKU）'!T:T)</f>
        <v>15</v>
      </c>
      <c r="S7">
        <f>SUMIF('库存（子SKU）'!$C:$C,$A7,'库存（子SKU）'!U:U)</f>
        <v>26</v>
      </c>
      <c r="T7">
        <f>SUMIF('库存（子SKU）'!$C:$C,$A7,'库存（子SKU）'!V:V)</f>
        <v>0</v>
      </c>
      <c r="U7">
        <f>SUMIF('库存（子SKU）'!$C:$C,$A7,'库存（子SKU）'!W:W)</f>
        <v>31</v>
      </c>
      <c r="V7" s="22">
        <f t="shared" si="15"/>
        <v>0.00384516790566521</v>
      </c>
      <c r="W7" s="22">
        <f t="shared" si="16"/>
        <v>0.00422832980972516</v>
      </c>
      <c r="X7" s="22" t="str">
        <f t="shared" si="17"/>
        <v/>
      </c>
      <c r="Y7" s="22">
        <f t="shared" si="18"/>
        <v>0.00367821547223541</v>
      </c>
      <c r="Z7">
        <f>SUMIF('库存（子SKU）'!$C:$C,$A7,'库存（子SKU）'!AB:AB)</f>
        <v>4.68</v>
      </c>
      <c r="AA7">
        <f>SUMIF('库存（子SKU）'!$C:$C,$A7,'库存（子SKU）'!AC:AC)</f>
        <v>8.86</v>
      </c>
      <c r="AB7">
        <f>SUMIF('库存（子SKU）'!$C:$C,$A7,'库存（子SKU）'!AD:AD)</f>
        <v>0</v>
      </c>
      <c r="AC7">
        <f>SUMIF('库存（子SKU）'!$C:$C,$A7,'库存（子SKU）'!AE:AE)</f>
        <v>10.82</v>
      </c>
      <c r="AD7" s="22" t="str">
        <f t="shared" si="2"/>
        <v>无销量广告费为4.68</v>
      </c>
      <c r="AE7" s="22" t="str">
        <f t="shared" si="3"/>
        <v>无销量广告费为8.86</v>
      </c>
      <c r="AF7" s="22">
        <f t="shared" si="4"/>
        <v>0</v>
      </c>
      <c r="AG7" s="22" t="str">
        <f t="shared" si="5"/>
        <v>无销量广告费为10.82</v>
      </c>
      <c r="AH7">
        <f>SUMIF('库存（子SKU）'!$C:$C,$A7,'库存（子SKU）'!AJ:AJ)</f>
        <v>5</v>
      </c>
      <c r="AI7">
        <f>SUMIF('库存（子SKU）'!$C:$C,$A7,'库存（子SKU）'!AK:AK)</f>
        <v>14</v>
      </c>
      <c r="AJ7">
        <f>SUMIF('库存（子SKU）'!$C:$C,$A7,'库存（子SKU）'!AL:AL)</f>
        <v>14</v>
      </c>
      <c r="AK7">
        <f>SUMIF('库存（子SKU）'!$C:$C,$A7,'库存（子SKU）'!AM:AM)</f>
        <v>4</v>
      </c>
      <c r="AL7" s="22">
        <f t="shared" si="6"/>
        <v>0</v>
      </c>
      <c r="AM7" s="22">
        <f t="shared" si="7"/>
        <v>0</v>
      </c>
      <c r="AN7" s="22">
        <f t="shared" si="8"/>
        <v>0.285714285714286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82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14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14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15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>
        <f t="shared" si="6"/>
        <v>0</v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14</v>
      </c>
      <c r="AS8" t="str">
        <f t="shared" si="13"/>
        <v>库存为14</v>
      </c>
      <c r="AT8" s="2" t="str">
        <f>IFERROR(时间!$B$4+AS8,"上周无销量")</f>
        <v>上周无销量</v>
      </c>
    </row>
    <row r="9" spans="1:46">
      <c r="A9" t="s">
        <v>95</v>
      </c>
      <c r="B9" s="5">
        <f>SUMIF('库存（子SKU）'!$C:$C,$A9,'库存（子SKU）'!D:D)</f>
        <v>3</v>
      </c>
      <c r="C9" s="5">
        <f>SUMIF('库存（子SKU）'!$C:$C,$A9,'库存（子SKU）'!E:E)</f>
        <v>1</v>
      </c>
      <c r="D9" s="5">
        <f>SUMIF('库存（子SKU）'!$C:$C,$A9,'库存（子SKU）'!F:F)</f>
        <v>4</v>
      </c>
      <c r="E9" s="5">
        <f>SUMIF('库存（子SKU）'!$C:$C,$A9,'库存（子SKU）'!G:G)</f>
        <v>0</v>
      </c>
      <c r="F9" s="6">
        <v>9.5875</v>
      </c>
      <c r="G9">
        <f>SUMIF('库存（子SKU）'!$C:$C,$A9,'库存（子SKU）'!I:I)</f>
        <v>46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46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>
        <f t="shared" si="3"/>
        <v>0</v>
      </c>
      <c r="AF9" s="22">
        <f t="shared" si="4"/>
        <v>0</v>
      </c>
      <c r="AG9" s="22" t="str">
        <f t="shared" si="5"/>
        <v/>
      </c>
      <c r="AH9">
        <f>SUMIF('库存（子SKU）'!$C:$C,$A9,'库存（子SKU）'!AJ:AJ)</f>
        <v>11</v>
      </c>
      <c r="AI9">
        <f>SUMIF('库存（子SKU）'!$C:$C,$A9,'库存（子SKU）'!AK:AK)</f>
        <v>18</v>
      </c>
      <c r="AJ9">
        <f>SUMIF('库存（子SKU）'!$C:$C,$A9,'库存（子SKU）'!AL:AL)</f>
        <v>7</v>
      </c>
      <c r="AK9">
        <f>SUMIF('库存（子SKU）'!$C:$C,$A9,'库存（子SKU）'!AM:AM)</f>
        <v>11</v>
      </c>
      <c r="AL9" s="22">
        <f t="shared" si="6"/>
        <v>0.272727272727273</v>
      </c>
      <c r="AM9" s="22">
        <f t="shared" si="7"/>
        <v>0.0555555555555556</v>
      </c>
      <c r="AN9" s="22">
        <f t="shared" si="8"/>
        <v>0.571428571428571</v>
      </c>
      <c r="AO9" s="22">
        <f t="shared" si="9"/>
        <v>0</v>
      </c>
      <c r="AP9" s="7">
        <f t="shared" si="10"/>
        <v>0.428571428571429</v>
      </c>
      <c r="AQ9" s="7">
        <f t="shared" si="11"/>
        <v>25.7142857142857</v>
      </c>
      <c r="AR9" s="7">
        <f t="shared" si="12"/>
        <v>20.2857142857143</v>
      </c>
      <c r="AS9">
        <f t="shared" si="13"/>
        <v>107</v>
      </c>
      <c r="AT9" s="2">
        <f>IFERROR(时间!$B$4+AS9,"上周无销量")</f>
        <v>43390</v>
      </c>
    </row>
    <row r="10" spans="1:46">
      <c r="A10" t="s">
        <v>106</v>
      </c>
      <c r="B10" s="5">
        <f>SUMIF('库存（子SKU）'!$C:$C,$A10,'库存（子SKU）'!D:D)</f>
        <v>3</v>
      </c>
      <c r="C10" s="5">
        <f>SUMIF('库存（子SKU）'!$C:$C,$A10,'库存（子SKU）'!E:E)</f>
        <v>2</v>
      </c>
      <c r="D10" s="5">
        <f>SUMIF('库存（子SKU）'!$C:$C,$A10,'库存（子SKU）'!F:F)</f>
        <v>3</v>
      </c>
      <c r="E10" s="5">
        <f>SUMIF('库存（子SKU）'!$C:$C,$A10,'库存（子SKU）'!G:G)</f>
        <v>3</v>
      </c>
      <c r="F10" s="6">
        <v>9.99</v>
      </c>
      <c r="G10">
        <f>SUMIF('库存（子SKU）'!$C:$C,$A10,'库存（子SKU）'!I:I)</f>
        <v>84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84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3556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22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>
        <f t="shared" si="18"/>
        <v>0.0061867266591676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13.41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0.447447447447447</v>
      </c>
      <c r="AH10">
        <f>SUMIF('库存（子SKU）'!$C:$C,$A10,'库存（子SKU）'!AJ:AJ)</f>
        <v>40</v>
      </c>
      <c r="AI10">
        <f>SUMIF('库存（子SKU）'!$C:$C,$A10,'库存（子SKU）'!AK:AK)</f>
        <v>50</v>
      </c>
      <c r="AJ10">
        <f>SUMIF('库存（子SKU）'!$C:$C,$A10,'库存（子SKU）'!AL:AL)</f>
        <v>29</v>
      </c>
      <c r="AK10">
        <f>SUMIF('库存（子SKU）'!$C:$C,$A10,'库存（子SKU）'!AM:AM)</f>
        <v>57</v>
      </c>
      <c r="AL10" s="22">
        <f t="shared" si="6"/>
        <v>0.075</v>
      </c>
      <c r="AM10" s="22">
        <f t="shared" si="7"/>
        <v>0.04</v>
      </c>
      <c r="AN10" s="22">
        <f t="shared" si="8"/>
        <v>0.103448275862069</v>
      </c>
      <c r="AO10" s="22">
        <f t="shared" si="9"/>
        <v>0.0526315789473684</v>
      </c>
      <c r="AP10" s="7">
        <f t="shared" si="10"/>
        <v>0.428571428571429</v>
      </c>
      <c r="AQ10" s="7">
        <f t="shared" si="11"/>
        <v>25.7142857142857</v>
      </c>
      <c r="AR10" s="7">
        <f t="shared" si="12"/>
        <v>58.2857142857143</v>
      </c>
      <c r="AS10">
        <f t="shared" si="13"/>
        <v>196</v>
      </c>
      <c r="AT10" s="2">
        <f>IFERROR(时间!$B$4+AS10,"上周无销量")</f>
        <v>43479</v>
      </c>
    </row>
    <row r="11" spans="1:46">
      <c r="A11" t="s">
        <v>122</v>
      </c>
      <c r="B11" s="5">
        <f>SUMIF('库存（子SKU）'!$C:$C,$A11,'库存（子SKU）'!D:D)</f>
        <v>1</v>
      </c>
      <c r="C11" s="5">
        <f>SUMIF('库存（子SKU）'!$C:$C,$A11,'库存（子SKU）'!E:E)</f>
        <v>2</v>
      </c>
      <c r="D11" s="5">
        <f>SUMIF('库存（子SKU）'!$C:$C,$A11,'库存（子SKU）'!F:F)</f>
        <v>2</v>
      </c>
      <c r="E11" s="5">
        <f>SUMIF('库存（子SKU）'!$C:$C,$A11,'库存（子SKU）'!G:G)</f>
        <v>0</v>
      </c>
      <c r="F11" s="6">
        <v>8.99</v>
      </c>
      <c r="G11">
        <f>SUMIF('库存（子SKU）'!$C:$C,$A11,'库存（子SKU）'!I:I)</f>
        <v>11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11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>
        <f t="shared" si="3"/>
        <v>0</v>
      </c>
      <c r="AF11" s="22">
        <f t="shared" si="4"/>
        <v>0</v>
      </c>
      <c r="AG11" s="22" t="str">
        <f t="shared" si="5"/>
        <v/>
      </c>
      <c r="AH11">
        <f>SUMIF('库存（子SKU）'!$C:$C,$A11,'库存（子SKU）'!AJ:AJ)</f>
        <v>14</v>
      </c>
      <c r="AI11">
        <f>SUMIF('库存（子SKU）'!$C:$C,$A11,'库存（子SKU）'!AK:AK)</f>
        <v>12</v>
      </c>
      <c r="AJ11">
        <f>SUMIF('库存（子SKU）'!$C:$C,$A11,'库存（子SKU）'!AL:AL)</f>
        <v>4</v>
      </c>
      <c r="AK11">
        <f>SUMIF('库存（子SKU）'!$C:$C,$A11,'库存（子SKU）'!AM:AM)</f>
        <v>6</v>
      </c>
      <c r="AL11" s="22">
        <f t="shared" si="6"/>
        <v>0.0714285714285714</v>
      </c>
      <c r="AM11" s="22">
        <f t="shared" si="7"/>
        <v>0.166666666666667</v>
      </c>
      <c r="AN11" s="22">
        <f t="shared" si="8"/>
        <v>0.5</v>
      </c>
      <c r="AO11" s="22">
        <f t="shared" si="9"/>
        <v>0</v>
      </c>
      <c r="AP11" s="7">
        <f t="shared" si="10"/>
        <v>0.142857142857143</v>
      </c>
      <c r="AQ11" s="7">
        <f t="shared" si="11"/>
        <v>8.57142857142857</v>
      </c>
      <c r="AR11" s="7">
        <f t="shared" si="12"/>
        <v>2.42857142857143</v>
      </c>
      <c r="AS11">
        <f t="shared" si="13"/>
        <v>77</v>
      </c>
      <c r="AT11" s="2">
        <f>IFERROR(时间!$B$4+AS11,"上周无销量")</f>
        <v>43360</v>
      </c>
    </row>
    <row r="12" spans="1:46">
      <c r="A12" t="s">
        <v>125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130</v>
      </c>
      <c r="B13" s="5">
        <f>SUMIF('库存（子SKU）'!$C:$C,$A13,'库存（子SKU）'!D:D)</f>
        <v>3</v>
      </c>
      <c r="C13" s="5">
        <f>SUMIF('库存（子SKU）'!$C:$C,$A13,'库存（子SKU）'!E:E)</f>
        <v>0</v>
      </c>
      <c r="D13" s="5">
        <f>SUMIF('库存（子SKU）'!$C:$C,$A13,'库存（子SKU）'!F:F)</f>
        <v>7</v>
      </c>
      <c r="E13" s="5">
        <f>SUMIF('库存（子SKU）'!$C:$C,$A13,'库存（子SKU）'!G:G)</f>
        <v>6</v>
      </c>
      <c r="F13" s="6">
        <v>10.1775</v>
      </c>
      <c r="G13">
        <f>SUMIF('库存（子SKU）'!$C:$C,$A13,'库存（子SKU）'!I:I)</f>
        <v>91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91</v>
      </c>
      <c r="L13">
        <f>SUMIF('库存（子SKU）'!$C:$C,$A13,'库存（子SKU）'!N:N)</f>
        <v>1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7415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82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>
        <f t="shared" si="18"/>
        <v>0.0110586648685098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55.82</v>
      </c>
      <c r="AD13" s="22">
        <f t="shared" si="2"/>
        <v>0</v>
      </c>
      <c r="AE13" s="22" t="str">
        <f t="shared" si="3"/>
        <v/>
      </c>
      <c r="AF13" s="22">
        <f t="shared" si="4"/>
        <v>0</v>
      </c>
      <c r="AG13" s="22">
        <f t="shared" si="5"/>
        <v>0.914107917792516</v>
      </c>
      <c r="AH13">
        <f>SUMIF('库存（子SKU）'!$C:$C,$A13,'库存（子SKU）'!AJ:AJ)</f>
        <v>31</v>
      </c>
      <c r="AI13">
        <f>SUMIF('库存（子SKU）'!$C:$C,$A13,'库存（子SKU）'!AK:AK)</f>
        <v>58</v>
      </c>
      <c r="AJ13">
        <f>SUMIF('库存（子SKU）'!$C:$C,$A13,'库存（子SKU）'!AL:AL)</f>
        <v>59</v>
      </c>
      <c r="AK13">
        <f>SUMIF('库存（子SKU）'!$C:$C,$A13,'库存（子SKU）'!AM:AM)</f>
        <v>91</v>
      </c>
      <c r="AL13" s="22">
        <f t="shared" si="6"/>
        <v>0.0967741935483871</v>
      </c>
      <c r="AM13" s="22">
        <f t="shared" si="7"/>
        <v>0</v>
      </c>
      <c r="AN13" s="22">
        <f t="shared" si="8"/>
        <v>0.11864406779661</v>
      </c>
      <c r="AO13" s="22">
        <f t="shared" si="9"/>
        <v>0.0659340659340659</v>
      </c>
      <c r="AP13" s="7">
        <f t="shared" si="10"/>
        <v>0.428571428571429</v>
      </c>
      <c r="AQ13" s="7">
        <f t="shared" si="11"/>
        <v>25.7142857142857</v>
      </c>
      <c r="AR13" s="7">
        <f t="shared" si="12"/>
        <v>65.2857142857143</v>
      </c>
      <c r="AS13">
        <f t="shared" si="13"/>
        <v>212</v>
      </c>
      <c r="AT13" s="2">
        <f>IFERROR(时间!$B$4+AS13,"上周无销量")</f>
        <v>43495</v>
      </c>
    </row>
    <row r="14" spans="1:46">
      <c r="A14" t="s">
        <v>140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1</v>
      </c>
      <c r="F14" s="6">
        <v>30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256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5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>
        <f t="shared" si="17"/>
        <v>0.01953125</v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1.84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>无销量广告费为1.84</v>
      </c>
      <c r="AG14" s="22">
        <f t="shared" si="5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27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>
        <f t="shared" si="9"/>
        <v>0.037037037037037</v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154</v>
      </c>
      <c r="B15" s="5">
        <f>SUMIF('库存（子SKU）'!$C:$C,$A15,'库存（子SKU）'!D:D)</f>
        <v>3</v>
      </c>
      <c r="C15" s="5">
        <f>SUMIF('库存（子SKU）'!$C:$C,$A15,'库存（子SKU）'!E:E)</f>
        <v>1</v>
      </c>
      <c r="D15" s="5">
        <f>SUMIF('库存（子SKU）'!$C:$C,$A15,'库存（子SKU）'!F:F)</f>
        <v>1</v>
      </c>
      <c r="E15" s="5">
        <f>SUMIF('库存（子SKU）'!$C:$C,$A15,'库存（子SKU）'!G:G)</f>
        <v>1</v>
      </c>
      <c r="F15" s="6">
        <v>11.7983333333333</v>
      </c>
      <c r="G15">
        <f>SUMIF('库存（子SKU）'!$C:$C,$A15,'库存（子SKU）'!I:I)</f>
        <v>39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39</v>
      </c>
      <c r="L15">
        <f>SUMIF('库存（子SKU）'!$C:$C,$A15,'库存（子SKU）'!N:N)</f>
        <v>0</v>
      </c>
      <c r="M15">
        <f>SUMIF('库存（子SKU）'!$C:$C,$A15,'库存（子SKU）'!O:O)</f>
        <v>16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761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4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>
        <f t="shared" si="18"/>
        <v>0.00525624178712221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1.53</v>
      </c>
      <c r="AD15" s="22">
        <f t="shared" si="2"/>
        <v>0</v>
      </c>
      <c r="AE15" s="22">
        <f t="shared" si="3"/>
        <v>0</v>
      </c>
      <c r="AF15" s="22">
        <f t="shared" si="4"/>
        <v>0</v>
      </c>
      <c r="AG15" s="22">
        <f t="shared" si="5"/>
        <v>0.129679333239158</v>
      </c>
      <c r="AH15">
        <f>SUMIF('库存（子SKU）'!$C:$C,$A15,'库存（子SKU）'!AJ:AJ)</f>
        <v>20</v>
      </c>
      <c r="AI15">
        <f>SUMIF('库存（子SKU）'!$C:$C,$A15,'库存（子SKU）'!AK:AK)</f>
        <v>13</v>
      </c>
      <c r="AJ15">
        <f>SUMIF('库存（子SKU）'!$C:$C,$A15,'库存（子SKU）'!AL:AL)</f>
        <v>17</v>
      </c>
      <c r="AK15">
        <f>SUMIF('库存（子SKU）'!$C:$C,$A15,'库存（子SKU）'!AM:AM)</f>
        <v>8</v>
      </c>
      <c r="AL15" s="22">
        <f t="shared" si="6"/>
        <v>0.15</v>
      </c>
      <c r="AM15" s="22">
        <f t="shared" si="7"/>
        <v>0.0769230769230769</v>
      </c>
      <c r="AN15" s="22">
        <f t="shared" si="8"/>
        <v>0.0588235294117647</v>
      </c>
      <c r="AO15" s="22">
        <f t="shared" si="9"/>
        <v>0.125</v>
      </c>
      <c r="AP15" s="7">
        <f t="shared" si="10"/>
        <v>0.428571428571429</v>
      </c>
      <c r="AQ15" s="7">
        <f t="shared" si="11"/>
        <v>25.7142857142857</v>
      </c>
      <c r="AR15" s="7">
        <f t="shared" si="12"/>
        <v>13.2857142857143</v>
      </c>
      <c r="AS15">
        <f t="shared" si="13"/>
        <v>91</v>
      </c>
      <c r="AT15" s="2">
        <f>IFERROR(时间!$B$4+AS15,"上周无销量")</f>
        <v>43374</v>
      </c>
    </row>
    <row r="16" spans="1:46">
      <c r="A16" t="s">
        <v>165</v>
      </c>
      <c r="B16" s="5">
        <f>SUMIF('库存（子SKU）'!$C:$C,$A16,'库存（子SKU）'!D:D)</f>
        <v>0</v>
      </c>
      <c r="C16" s="5">
        <f>SUMIF('库存（子SKU）'!$C:$C,$A16,'库存（子SKU）'!E:E)</f>
        <v>2</v>
      </c>
      <c r="D16" s="5">
        <f>SUMIF('库存（子SKU）'!$C:$C,$A16,'库存（子SKU）'!F:F)</f>
        <v>3</v>
      </c>
      <c r="E16" s="5">
        <f>SUMIF('库存（子SKU）'!$C:$C,$A16,'库存（子SKU）'!G:G)</f>
        <v>4</v>
      </c>
      <c r="F16" s="6">
        <v>12.4722222222222</v>
      </c>
      <c r="G16">
        <f>SUMIF('库存（子SKU）'!$C:$C,$A16,'库存（子SKU）'!I:I)</f>
        <v>16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16</v>
      </c>
      <c r="L16">
        <f>SUMIF('库存（子SKU）'!$C:$C,$A16,'库存（子SKU）'!N:N)</f>
        <v>1</v>
      </c>
      <c r="M16">
        <f>SUMIF('库存（子SKU）'!$C:$C,$A16,'库存（子SKU）'!O:O)</f>
        <v>12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2533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19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>
        <f t="shared" si="18"/>
        <v>0.00750098697197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5.21</v>
      </c>
      <c r="AD16" s="22" t="str">
        <f t="shared" si="2"/>
        <v/>
      </c>
      <c r="AE16" s="22">
        <f t="shared" si="3"/>
        <v>0</v>
      </c>
      <c r="AF16" s="22">
        <f t="shared" si="4"/>
        <v>0</v>
      </c>
      <c r="AG16" s="22">
        <f t="shared" si="5"/>
        <v>0.104432071269488</v>
      </c>
      <c r="AH16">
        <f>SUMIF('库存（子SKU）'!$C:$C,$A16,'库存（子SKU）'!AJ:AJ)</f>
        <v>22</v>
      </c>
      <c r="AI16">
        <f>SUMIF('库存（子SKU）'!$C:$C,$A16,'库存（子SKU）'!AK:AK)</f>
        <v>20</v>
      </c>
      <c r="AJ16">
        <f>SUMIF('库存（子SKU）'!$C:$C,$A16,'库存（子SKU）'!AL:AL)</f>
        <v>19</v>
      </c>
      <c r="AK16">
        <f>SUMIF('库存（子SKU）'!$C:$C,$A16,'库存（子SKU）'!AM:AM)</f>
        <v>18</v>
      </c>
      <c r="AL16" s="22">
        <f t="shared" si="6"/>
        <v>0</v>
      </c>
      <c r="AM16" s="22">
        <f t="shared" si="7"/>
        <v>0.1</v>
      </c>
      <c r="AN16" s="22">
        <f t="shared" si="8"/>
        <v>0.157894736842105</v>
      </c>
      <c r="AO16" s="22">
        <f t="shared" si="9"/>
        <v>0.222222222222222</v>
      </c>
      <c r="AP16" s="7">
        <f t="shared" si="10"/>
        <v>0</v>
      </c>
      <c r="AQ16" s="7">
        <f t="shared" si="11"/>
        <v>0</v>
      </c>
      <c r="AR16" s="7">
        <f t="shared" si="12"/>
        <v>16</v>
      </c>
      <c r="AS16" t="str">
        <f t="shared" si="13"/>
        <v>库存为16</v>
      </c>
      <c r="AT16" s="2" t="str">
        <f>IFERROR(时间!$B$4+AS16,"上周无销量")</f>
        <v>上周无销量</v>
      </c>
    </row>
    <row r="17" spans="1:46">
      <c r="A17" t="s">
        <v>176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179</v>
      </c>
      <c r="B18" s="5">
        <f>SUMIF('库存（子SKU）'!$C:$C,$A18,'库存（子SKU）'!D:D)</f>
        <v>1</v>
      </c>
      <c r="C18" s="5">
        <f>SUMIF('库存（子SKU）'!$C:$C,$A18,'库存（子SKU）'!E:E)</f>
        <v>2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>
        <v>15.99</v>
      </c>
      <c r="G18">
        <f>SUMIF('库存（子SKU）'!$C:$C,$A18,'库存（子SKU）'!I:I)</f>
        <v>15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15</v>
      </c>
      <c r="L18">
        <f>SUMIF('库存（子SKU）'!$C:$C,$A18,'库存（子SKU）'!N:N)</f>
        <v>0</v>
      </c>
      <c r="M18">
        <f>SUMIF('库存（子SKU）'!$C:$C,$A18,'库存（子SKU）'!O:O)</f>
        <v>4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5433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40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>
        <f t="shared" si="18"/>
        <v>0.00736241487207804</v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13.2</v>
      </c>
      <c r="AD18" s="22">
        <f t="shared" si="2"/>
        <v>0</v>
      </c>
      <c r="AE18" s="22">
        <f t="shared" si="3"/>
        <v>0</v>
      </c>
      <c r="AF18" s="22" t="str">
        <f t="shared" si="4"/>
        <v/>
      </c>
      <c r="AG18" s="22" t="str">
        <f t="shared" si="5"/>
        <v>无销量广告费为13.2</v>
      </c>
      <c r="AH18">
        <f>SUMIF('库存（子SKU）'!$C:$C,$A18,'库存（子SKU）'!AJ:AJ)</f>
        <v>23</v>
      </c>
      <c r="AI18">
        <f>SUMIF('库存（子SKU）'!$C:$C,$A18,'库存（子SKU）'!AK:AK)</f>
        <v>19</v>
      </c>
      <c r="AJ18">
        <f>SUMIF('库存（子SKU）'!$C:$C,$A18,'库存（子SKU）'!AL:AL)</f>
        <v>7</v>
      </c>
      <c r="AK18">
        <f>SUMIF('库存（子SKU）'!$C:$C,$A18,'库存（子SKU）'!AM:AM)</f>
        <v>14</v>
      </c>
      <c r="AL18" s="22">
        <f t="shared" si="6"/>
        <v>0.0434782608695652</v>
      </c>
      <c r="AM18" s="22">
        <f t="shared" si="7"/>
        <v>0.105263157894737</v>
      </c>
      <c r="AN18" s="22">
        <f t="shared" si="8"/>
        <v>0</v>
      </c>
      <c r="AO18" s="22">
        <f t="shared" si="9"/>
        <v>0</v>
      </c>
      <c r="AP18" s="7">
        <f t="shared" si="10"/>
        <v>0.142857142857143</v>
      </c>
      <c r="AQ18" s="7">
        <f t="shared" si="11"/>
        <v>8.57142857142857</v>
      </c>
      <c r="AR18" s="7">
        <f t="shared" si="12"/>
        <v>6.42857142857143</v>
      </c>
      <c r="AS18">
        <f t="shared" si="13"/>
        <v>105</v>
      </c>
      <c r="AT18" s="2">
        <f>IFERROR(时间!$B$4+AS18,"上周无销量")</f>
        <v>43388</v>
      </c>
    </row>
    <row r="19" spans="1:46">
      <c r="A19" t="s">
        <v>185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14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14</v>
      </c>
      <c r="L19">
        <f>SUMIF('库存（子SKU）'!$C:$C,$A19,'库存（子SKU）'!N:N)</f>
        <v>0</v>
      </c>
      <c r="M19">
        <f>SUMIF('库存（子SKU）'!$C:$C,$A19,'库存（子SKU）'!O:O)</f>
        <v>7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655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3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>
        <f t="shared" si="18"/>
        <v>0.00458015267175573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0.9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>无销量广告费为0.9</v>
      </c>
      <c r="AH19">
        <f>SUMIF('库存（子SKU）'!$C:$C,$A19,'库存（子SKU）'!AJ:AJ)</f>
        <v>16</v>
      </c>
      <c r="AI19">
        <f>SUMIF('库存（子SKU）'!$C:$C,$A19,'库存（子SKU）'!AK:AK)</f>
        <v>14</v>
      </c>
      <c r="AJ19">
        <f>SUMIF('库存（子SKU）'!$C:$C,$A19,'库存（子SKU）'!AL:AL)</f>
        <v>8</v>
      </c>
      <c r="AK19">
        <f>SUMIF('库存（子SKU）'!$C:$C,$A19,'库存（子SKU）'!AM:AM)</f>
        <v>10</v>
      </c>
      <c r="AL19" s="22">
        <f t="shared" si="6"/>
        <v>0</v>
      </c>
      <c r="AM19" s="22">
        <f t="shared" si="7"/>
        <v>0</v>
      </c>
      <c r="AN19" s="22">
        <f t="shared" si="8"/>
        <v>0</v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14</v>
      </c>
      <c r="AS19" t="str">
        <f t="shared" si="13"/>
        <v>库存为14</v>
      </c>
      <c r="AT19" s="2" t="str">
        <f>IFERROR(时间!$B$4+AS19,"上周无销量")</f>
        <v>上周无销量</v>
      </c>
    </row>
    <row r="20" spans="1:46">
      <c r="A20" t="s">
        <v>197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1</v>
      </c>
      <c r="F20" s="6">
        <v>35.94</v>
      </c>
      <c r="G20">
        <f>SUMIF('库存（子SKU）'!$C:$C,$A20,'库存（子SKU）'!I:I)</f>
        <v>27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27</v>
      </c>
      <c r="L20">
        <f>SUMIF('库存（子SKU）'!$C:$C,$A20,'库存（子SKU）'!N:N)</f>
        <v>0</v>
      </c>
      <c r="M20">
        <f>SUMIF('库存（子SKU）'!$C:$C,$A20,'库存（子SKU）'!O:O)</f>
        <v>27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709</v>
      </c>
      <c r="Q20">
        <f>SUMIF('库存（子SKU）'!$C:$C,$A20,'库存（子SKU）'!S:S)</f>
        <v>6198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4</v>
      </c>
      <c r="U20">
        <f>SUMIF('库存（子SKU）'!$C:$C,$A20,'库存（子SKU）'!W:W)</f>
        <v>18</v>
      </c>
      <c r="V20" s="22" t="str">
        <f t="shared" si="15"/>
        <v/>
      </c>
      <c r="W20" s="22" t="str">
        <f t="shared" si="16"/>
        <v/>
      </c>
      <c r="X20" s="22">
        <f t="shared" si="17"/>
        <v>0.00564174894217207</v>
      </c>
      <c r="Y20" s="22">
        <f t="shared" si="18"/>
        <v>0.00290416263310745</v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3.05</v>
      </c>
      <c r="AC20">
        <f>SUMIF('库存（子SKU）'!$C:$C,$A20,'库存（子SKU）'!AE:AE)</f>
        <v>12.3</v>
      </c>
      <c r="AD20" s="22" t="str">
        <f t="shared" si="2"/>
        <v/>
      </c>
      <c r="AE20" s="22" t="str">
        <f t="shared" si="3"/>
        <v/>
      </c>
      <c r="AF20" s="22" t="str">
        <f t="shared" si="4"/>
        <v>无销量广告费为3.05</v>
      </c>
      <c r="AG20" s="22">
        <f t="shared" si="5"/>
        <v>0.342237061769616</v>
      </c>
      <c r="AH20">
        <f>SUMIF('库存（子SKU）'!$C:$C,$A20,'库存（子SKU）'!AJ:AJ)</f>
        <v>3</v>
      </c>
      <c r="AI20">
        <f>SUMIF('库存（子SKU）'!$C:$C,$A20,'库存（子SKU）'!AK:AK)</f>
        <v>8</v>
      </c>
      <c r="AJ20">
        <f>SUMIF('库存（子SKU）'!$C:$C,$A20,'库存（子SKU）'!AL:AL)</f>
        <v>8</v>
      </c>
      <c r="AK20">
        <f>SUMIF('库存（子SKU）'!$C:$C,$A20,'库存（子SKU）'!AM:AM)</f>
        <v>8</v>
      </c>
      <c r="AL20" s="22">
        <f t="shared" si="6"/>
        <v>0</v>
      </c>
      <c r="AM20" s="22">
        <f t="shared" si="7"/>
        <v>0</v>
      </c>
      <c r="AN20" s="22">
        <f t="shared" si="8"/>
        <v>0</v>
      </c>
      <c r="AO20" s="22">
        <f t="shared" si="9"/>
        <v>0.125</v>
      </c>
      <c r="AP20" s="7">
        <f t="shared" si="10"/>
        <v>0</v>
      </c>
      <c r="AQ20" s="7">
        <f t="shared" si="11"/>
        <v>0</v>
      </c>
      <c r="AR20" s="7">
        <f t="shared" si="12"/>
        <v>27</v>
      </c>
      <c r="AS20" t="str">
        <f t="shared" si="13"/>
        <v>库存为27</v>
      </c>
      <c r="AT20" s="2" t="str">
        <f>IFERROR(时间!$B$4+AS20,"上周无销量")</f>
        <v>上周无销量</v>
      </c>
    </row>
    <row r="21" spans="1:46">
      <c r="A21" t="s">
        <v>205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5</v>
      </c>
      <c r="E21" s="5">
        <f>SUMIF('库存（子SKU）'!$C:$C,$A21,'库存（子SKU）'!G:G)</f>
        <v>7</v>
      </c>
      <c r="F21" s="6">
        <v>12.99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238</v>
      </c>
      <c r="P21">
        <f>SUMIF('库存（子SKU）'!$C:$C,$A21,'库存（子SKU）'!R:R)</f>
        <v>1364</v>
      </c>
      <c r="Q21">
        <f>SUMIF('库存（子SKU）'!$C:$C,$A21,'库存（子SKU）'!S:S)</f>
        <v>1257</v>
      </c>
      <c r="R21">
        <f>SUMIF('库存（子SKU）'!$C:$C,$A21,'库存（子SKU）'!T:T)</f>
        <v>0</v>
      </c>
      <c r="S21">
        <f>SUMIF('库存（子SKU）'!$C:$C,$A21,'库存（子SKU）'!U:U)</f>
        <v>1</v>
      </c>
      <c r="T21">
        <f>SUMIF('库存（子SKU）'!$C:$C,$A21,'库存（子SKU）'!V:V)</f>
        <v>20</v>
      </c>
      <c r="U21">
        <f>SUMIF('库存（子SKU）'!$C:$C,$A21,'库存（子SKU）'!W:W)</f>
        <v>14</v>
      </c>
      <c r="V21" s="22" t="str">
        <f t="shared" si="15"/>
        <v/>
      </c>
      <c r="W21" s="22">
        <f t="shared" si="16"/>
        <v>0.00420168067226891</v>
      </c>
      <c r="X21" s="22">
        <f t="shared" si="17"/>
        <v>0.0146627565982405</v>
      </c>
      <c r="Y21" s="22">
        <f t="shared" si="18"/>
        <v>0.0111376292760541</v>
      </c>
      <c r="Z21">
        <f>SUMIF('库存（子SKU）'!$C:$C,$A21,'库存（子SKU）'!AB:AB)</f>
        <v>0</v>
      </c>
      <c r="AA21">
        <f>SUMIF('库存（子SKU）'!$C:$C,$A21,'库存（子SKU）'!AC:AC)</f>
        <v>0.28</v>
      </c>
      <c r="AB21">
        <f>SUMIF('库存（子SKU）'!$C:$C,$A21,'库存（子SKU）'!AD:AD)</f>
        <v>6.39</v>
      </c>
      <c r="AC21">
        <f>SUMIF('库存（子SKU）'!$C:$C,$A21,'库存（子SKU）'!AE:AE)</f>
        <v>2.98</v>
      </c>
      <c r="AD21" s="22" t="str">
        <f t="shared" si="2"/>
        <v/>
      </c>
      <c r="AE21" s="22" t="str">
        <f t="shared" si="3"/>
        <v>无销量广告费为0.28</v>
      </c>
      <c r="AF21" s="22">
        <f t="shared" si="4"/>
        <v>0.0983833718244804</v>
      </c>
      <c r="AG21" s="22">
        <f t="shared" si="5"/>
        <v>0.0327724623336633</v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25</v>
      </c>
      <c r="AK21">
        <f>SUMIF('库存（子SKU）'!$C:$C,$A21,'库存（子SKU）'!AM:AM)</f>
        <v>20</v>
      </c>
      <c r="AL21" s="22" t="str">
        <f t="shared" si="6"/>
        <v/>
      </c>
      <c r="AM21" s="22" t="str">
        <f t="shared" si="7"/>
        <v/>
      </c>
      <c r="AN21" s="22">
        <f t="shared" si="8"/>
        <v>0.2</v>
      </c>
      <c r="AO21" s="22">
        <f t="shared" si="9"/>
        <v>0.35</v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214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5</v>
      </c>
      <c r="E22" s="5">
        <f>SUMIF('库存（子SKU）'!$C:$C,$A22,'库存（子SKU）'!G:G)</f>
        <v>0</v>
      </c>
      <c r="F22" s="6">
        <v>20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1103</v>
      </c>
      <c r="P22">
        <f>SUMIF('库存（子SKU）'!$C:$C,$A22,'库存（子SKU）'!R:R)</f>
        <v>1000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4</v>
      </c>
      <c r="T22">
        <f>SUMIF('库存（子SKU）'!$C:$C,$A22,'库存（子SKU）'!V:V)</f>
        <v>9</v>
      </c>
      <c r="U22">
        <f>SUMIF('库存（子SKU）'!$C:$C,$A22,'库存（子SKU）'!W:W)</f>
        <v>0</v>
      </c>
      <c r="V22" s="22" t="str">
        <f t="shared" si="15"/>
        <v/>
      </c>
      <c r="W22" s="22">
        <f t="shared" si="16"/>
        <v>0.00362647325475975</v>
      </c>
      <c r="X22" s="22">
        <f t="shared" si="17"/>
        <v>0.009</v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1.66</v>
      </c>
      <c r="AB22">
        <f>SUMIF('库存（子SKU）'!$C:$C,$A22,'库存（子SKU）'!AD:AD)</f>
        <v>3.81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>无销量广告费为1.66</v>
      </c>
      <c r="AF22" s="22">
        <f t="shared" si="4"/>
        <v>0.0381</v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11</v>
      </c>
      <c r="AK22">
        <f>SUMIF('库存（子SKU）'!$C:$C,$A22,'库存（子SKU）'!AM:AM)</f>
        <v>9</v>
      </c>
      <c r="AL22" s="22" t="str">
        <f t="shared" si="6"/>
        <v/>
      </c>
      <c r="AM22" s="22" t="str">
        <f t="shared" si="7"/>
        <v/>
      </c>
      <c r="AN22" s="22">
        <f t="shared" si="8"/>
        <v>0.454545454545455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220</v>
      </c>
      <c r="B23" s="5">
        <f>SUMIF('库存（子SKU）'!$C:$C,$A23,'库存（子SKU）'!D:D)</f>
        <v>5</v>
      </c>
      <c r="C23" s="5">
        <f>SUMIF('库存（子SKU）'!$C:$C,$A23,'库存（子SKU）'!E:E)</f>
        <v>3</v>
      </c>
      <c r="D23" s="5">
        <f>SUMIF('库存（子SKU）'!$C:$C,$A23,'库存（子SKU）'!F:F)</f>
        <v>1</v>
      </c>
      <c r="E23" s="5">
        <f>SUMIF('库存（子SKU）'!$C:$C,$A23,'库存（子SKU）'!G:G)</f>
        <v>0</v>
      </c>
      <c r="F23" s="6">
        <v>13.8266666666667</v>
      </c>
      <c r="G23">
        <f>SUMIF('库存（子SKU）'!$C:$C,$A23,'库存（子SKU）'!I:I)</f>
        <v>26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26</v>
      </c>
      <c r="L23">
        <f>SUMIF('库存（子SKU）'!$C:$C,$A23,'库存（子SKU）'!N:N)</f>
        <v>0</v>
      </c>
      <c r="M23">
        <f>SUMIF('库存（子SKU）'!$C:$C,$A23,'库存（子SKU）'!O:O)</f>
        <v>30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 t="str">
        <f t="shared" si="5"/>
        <v/>
      </c>
      <c r="AH23">
        <f>SUMIF('库存（子SKU）'!$C:$C,$A23,'库存（子SKU）'!AJ:AJ)</f>
        <v>80</v>
      </c>
      <c r="AI23">
        <f>SUMIF('库存（子SKU）'!$C:$C,$A23,'库存（子SKU）'!AK:AK)</f>
        <v>106</v>
      </c>
      <c r="AJ23">
        <f>SUMIF('库存（子SKU）'!$C:$C,$A23,'库存（子SKU）'!AL:AL)</f>
        <v>40</v>
      </c>
      <c r="AK23">
        <f>SUMIF('库存（子SKU）'!$C:$C,$A23,'库存（子SKU）'!AM:AM)</f>
        <v>51</v>
      </c>
      <c r="AL23" s="22">
        <f t="shared" si="6"/>
        <v>0.0625</v>
      </c>
      <c r="AM23" s="22">
        <f t="shared" si="7"/>
        <v>0.0283018867924528</v>
      </c>
      <c r="AN23" s="22">
        <f t="shared" si="8"/>
        <v>0.025</v>
      </c>
      <c r="AO23" s="22">
        <f t="shared" si="9"/>
        <v>0</v>
      </c>
      <c r="AP23" s="7">
        <f t="shared" si="10"/>
        <v>0.714285714285714</v>
      </c>
      <c r="AQ23" s="7">
        <f t="shared" si="11"/>
        <v>42.8571428571429</v>
      </c>
      <c r="AR23" s="7">
        <f t="shared" si="12"/>
        <v>-16.8571428571429</v>
      </c>
      <c r="AS23">
        <f t="shared" si="13"/>
        <v>36</v>
      </c>
      <c r="AT23" s="2">
        <f>IFERROR(时间!$B$4+AS23,"上周无销量")</f>
        <v>43319</v>
      </c>
    </row>
    <row r="24" spans="1:46">
      <c r="A24" t="s">
        <v>245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252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10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10</v>
      </c>
      <c r="L25">
        <f>SUMIF('库存（子SKU）'!$C:$C,$A25,'库存（子SKU）'!N:N)</f>
        <v>1</v>
      </c>
      <c r="M25">
        <f>SUMIF('库存（子SKU）'!$C:$C,$A25,'库存（子SKU）'!O:O)</f>
        <v>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4</v>
      </c>
      <c r="AI25">
        <f>SUMIF('库存（子SKU）'!$C:$C,$A25,'库存（子SKU）'!AK:AK)</f>
        <v>2</v>
      </c>
      <c r="AJ25">
        <f>SUMIF('库存（子SKU）'!$C:$C,$A25,'库存（子SKU）'!AL:AL)</f>
        <v>7</v>
      </c>
      <c r="AK25">
        <f>SUMIF('库存（子SKU）'!$C:$C,$A25,'库存（子SKU）'!AM:AM)</f>
        <v>7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10</v>
      </c>
      <c r="AS25" t="str">
        <f t="shared" si="13"/>
        <v>库存为10</v>
      </c>
      <c r="AT25" s="2" t="str">
        <f>IFERROR(时间!$B$4+AS25,"上周无销量")</f>
        <v>上周无销量</v>
      </c>
    </row>
    <row r="26" spans="1:46">
      <c r="A26" t="s">
        <v>255</v>
      </c>
      <c r="B26" s="5">
        <f>SUMIF('库存（子SKU）'!$C:$C,$A26,'库存（子SKU）'!D:D)</f>
        <v>0</v>
      </c>
      <c r="C26" s="5">
        <f>SUMIF('库存（子SKU）'!$C:$C,$A26,'库存（子SKU）'!E:E)</f>
        <v>2</v>
      </c>
      <c r="D26" s="5">
        <f>SUMIF('库存（子SKU）'!$C:$C,$A26,'库存（子SKU）'!F:F)</f>
        <v>3</v>
      </c>
      <c r="E26" s="5">
        <f>SUMIF('库存（子SKU）'!$C:$C,$A26,'库存（子SKU）'!G:G)</f>
        <v>2</v>
      </c>
      <c r="F26" s="6">
        <v>13.4585714285714</v>
      </c>
      <c r="G26">
        <f>SUMIF('库存（子SKU）'!$C:$C,$A26,'库存（子SKU）'!I:I)</f>
        <v>45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4</v>
      </c>
      <c r="K26">
        <f t="shared" si="0"/>
        <v>49</v>
      </c>
      <c r="L26">
        <f>SUMIF('库存（子SKU）'!$C:$C,$A26,'库存（子SKU）'!N:N)</f>
        <v>0</v>
      </c>
      <c r="M26">
        <f>SUMIF('库存（子SKU）'!$C:$C,$A26,'库存（子SKU）'!O:O)</f>
        <v>16</v>
      </c>
      <c r="N26">
        <f>SUMIF('库存（子SKU）'!$C:$C,$A26,'库存（子SKU）'!P:P)</f>
        <v>4406</v>
      </c>
      <c r="O26">
        <f>SUMIF('库存（子SKU）'!$C:$C,$A26,'库存（子SKU）'!Q:Q)</f>
        <v>3641</v>
      </c>
      <c r="P26">
        <f>SUMIF('库存（子SKU）'!$C:$C,$A26,'库存（子SKU）'!R:R)</f>
        <v>1932</v>
      </c>
      <c r="Q26">
        <f>SUMIF('库存（子SKU）'!$C:$C,$A26,'库存（子SKU）'!S:S)</f>
        <v>4892</v>
      </c>
      <c r="R26">
        <f>SUMIF('库存（子SKU）'!$C:$C,$A26,'库存（子SKU）'!T:T)</f>
        <v>37</v>
      </c>
      <c r="S26">
        <f>SUMIF('库存（子SKU）'!$C:$C,$A26,'库存（子SKU）'!U:U)</f>
        <v>25</v>
      </c>
      <c r="T26">
        <f>SUMIF('库存（子SKU）'!$C:$C,$A26,'库存（子SKU）'!V:V)</f>
        <v>14</v>
      </c>
      <c r="U26">
        <f>SUMIF('库存（子SKU）'!$C:$C,$A26,'库存（子SKU）'!W:W)</f>
        <v>58</v>
      </c>
      <c r="V26" s="22">
        <f t="shared" si="15"/>
        <v>0.00839763958238765</v>
      </c>
      <c r="W26" s="22">
        <f t="shared" si="16"/>
        <v>0.0068662455369404</v>
      </c>
      <c r="X26" s="22">
        <f t="shared" si="17"/>
        <v>0.0072463768115942</v>
      </c>
      <c r="Y26" s="22">
        <f t="shared" si="18"/>
        <v>0.0118560915780867</v>
      </c>
      <c r="Z26">
        <f>SUMIF('库存（子SKU）'!$C:$C,$A26,'库存（子SKU）'!AB:AB)</f>
        <v>9.04</v>
      </c>
      <c r="AA26">
        <f>SUMIF('库存（子SKU）'!$C:$C,$A26,'库存（子SKU）'!AC:AC)</f>
        <v>5.34</v>
      </c>
      <c r="AB26">
        <f>SUMIF('库存（子SKU）'!$C:$C,$A26,'库存（子SKU）'!AD:AD)</f>
        <v>3.22</v>
      </c>
      <c r="AC26">
        <f>SUMIF('库存（子SKU）'!$C:$C,$A26,'库存（子SKU）'!AE:AE)</f>
        <v>24.76</v>
      </c>
      <c r="AD26" s="22" t="str">
        <f t="shared" si="2"/>
        <v>无销量广告费为9.04</v>
      </c>
      <c r="AE26" s="22">
        <f t="shared" si="3"/>
        <v>0.198386583165269</v>
      </c>
      <c r="AF26" s="22">
        <f t="shared" si="4"/>
        <v>0.0797509110851645</v>
      </c>
      <c r="AG26" s="22">
        <f t="shared" si="5"/>
        <v>0.919859887485407</v>
      </c>
      <c r="AH26">
        <f>SUMIF('库存（子SKU）'!$C:$C,$A26,'库存（子SKU）'!AJ:AJ)</f>
        <v>37</v>
      </c>
      <c r="AI26">
        <f>SUMIF('库存（子SKU）'!$C:$C,$A26,'库存（子SKU）'!AK:AK)</f>
        <v>73</v>
      </c>
      <c r="AJ26">
        <f>SUMIF('库存（子SKU）'!$C:$C,$A26,'库存（子SKU）'!AL:AL)</f>
        <v>60</v>
      </c>
      <c r="AK26">
        <f>SUMIF('库存（子SKU）'!$C:$C,$A26,'库存（子SKU）'!AM:AM)</f>
        <v>47</v>
      </c>
      <c r="AL26" s="22">
        <f t="shared" si="6"/>
        <v>0</v>
      </c>
      <c r="AM26" s="22">
        <f t="shared" si="7"/>
        <v>0.0273972602739726</v>
      </c>
      <c r="AN26" s="22">
        <f t="shared" si="8"/>
        <v>0.05</v>
      </c>
      <c r="AO26" s="22">
        <f t="shared" si="9"/>
        <v>0.0425531914893617</v>
      </c>
      <c r="AP26" s="7">
        <f t="shared" si="10"/>
        <v>0</v>
      </c>
      <c r="AQ26" s="7">
        <f t="shared" si="11"/>
        <v>0</v>
      </c>
      <c r="AR26" s="7">
        <f t="shared" si="12"/>
        <v>49</v>
      </c>
      <c r="AS26" t="str">
        <f t="shared" si="13"/>
        <v>库存为49</v>
      </c>
      <c r="AT26" s="2" t="str">
        <f>IFERROR(时间!$B$4+AS26,"上周无销量")</f>
        <v>上周无销量</v>
      </c>
    </row>
    <row r="27" spans="1:46">
      <c r="A27" t="s">
        <v>287</v>
      </c>
      <c r="B27" s="5">
        <f>SUMIF('库存（子SKU）'!$C:$C,$A27,'库存（子SKU）'!D:D)</f>
        <v>1</v>
      </c>
      <c r="C27" s="5">
        <f>SUMIF('库存（子SKU）'!$C:$C,$A27,'库存（子SKU）'!E:E)</f>
        <v>0</v>
      </c>
      <c r="D27" s="5">
        <f>SUMIF('库存（子SKU）'!$C:$C,$A27,'库存（子SKU）'!F:F)</f>
        <v>1</v>
      </c>
      <c r="E27" s="5">
        <f>SUMIF('库存（子SKU）'!$C:$C,$A27,'库存（子SKU）'!G:G)</f>
        <v>2</v>
      </c>
      <c r="F27" s="6">
        <v>13.99</v>
      </c>
      <c r="G27">
        <f>SUMIF('库存（子SKU）'!$C:$C,$A27,'库存（子SKU）'!I:I)</f>
        <v>21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21</v>
      </c>
      <c r="L27">
        <f>SUMIF('库存（子SKU）'!$C:$C,$A27,'库存（子SKU）'!N:N)</f>
        <v>0</v>
      </c>
      <c r="M27">
        <f>SUMIF('库存（子SKU）'!$C:$C,$A27,'库存（子SKU）'!O:O)</f>
        <v>7</v>
      </c>
      <c r="N27">
        <f>SUMIF('库存（子SKU）'!$C:$C,$A27,'库存（子SKU）'!P:P)</f>
        <v>5933</v>
      </c>
      <c r="O27">
        <f>SUMIF('库存（子SKU）'!$C:$C,$A27,'库存（子SKU）'!Q:Q)</f>
        <v>2487</v>
      </c>
      <c r="P27">
        <f>SUMIF('库存（子SKU）'!$C:$C,$A27,'库存（子SKU）'!R:R)</f>
        <v>1089</v>
      </c>
      <c r="Q27">
        <f>SUMIF('库存（子SKU）'!$C:$C,$A27,'库存（子SKU）'!S:S)</f>
        <v>2620</v>
      </c>
      <c r="R27">
        <f>SUMIF('库存（子SKU）'!$C:$C,$A27,'库存（子SKU）'!T:T)</f>
        <v>21</v>
      </c>
      <c r="S27">
        <f>SUMIF('库存（子SKU）'!$C:$C,$A27,'库存（子SKU）'!U:U)</f>
        <v>8</v>
      </c>
      <c r="T27">
        <f>SUMIF('库存（子SKU）'!$C:$C,$A27,'库存（子SKU）'!V:V)</f>
        <v>6</v>
      </c>
      <c r="U27">
        <f>SUMIF('库存（子SKU）'!$C:$C,$A27,'库存（子SKU）'!W:W)</f>
        <v>22</v>
      </c>
      <c r="V27" s="22">
        <f t="shared" si="15"/>
        <v>0.00353952469239845</v>
      </c>
      <c r="W27" s="22">
        <f t="shared" si="16"/>
        <v>0.00321672698029755</v>
      </c>
      <c r="X27" s="22">
        <f t="shared" si="17"/>
        <v>0.00550964187327824</v>
      </c>
      <c r="Y27" s="22">
        <f t="shared" si="18"/>
        <v>0.0083969465648855</v>
      </c>
      <c r="Z27">
        <f>SUMIF('库存（子SKU）'!$C:$C,$A27,'库存（子SKU）'!AB:AB)</f>
        <v>4.07</v>
      </c>
      <c r="AA27">
        <f>SUMIF('库存（子SKU）'!$C:$C,$A27,'库存（子SKU）'!AC:AC)</f>
        <v>1.85</v>
      </c>
      <c r="AB27">
        <f>SUMIF('库存（子SKU）'!$C:$C,$A27,'库存（子SKU）'!AD:AD)</f>
        <v>1.31</v>
      </c>
      <c r="AC27">
        <f>SUMIF('库存（子SKU）'!$C:$C,$A27,'库存（子SKU）'!AE:AE)</f>
        <v>9.9</v>
      </c>
      <c r="AD27" s="22">
        <f t="shared" si="2"/>
        <v>0.290922087205147</v>
      </c>
      <c r="AE27" s="22" t="str">
        <f t="shared" si="3"/>
        <v>无销量广告费为1.85</v>
      </c>
      <c r="AF27" s="22">
        <f t="shared" si="4"/>
        <v>0.093638313080772</v>
      </c>
      <c r="AG27" s="22">
        <f t="shared" si="5"/>
        <v>0.353824160114367</v>
      </c>
      <c r="AH27">
        <f>SUMIF('库存（子SKU）'!$C:$C,$A27,'库存（子SKU）'!AJ:AJ)</f>
        <v>19</v>
      </c>
      <c r="AI27">
        <f>SUMIF('库存（子SKU）'!$C:$C,$A27,'库存（子SKU）'!AK:AK)</f>
        <v>25</v>
      </c>
      <c r="AJ27">
        <f>SUMIF('库存（子SKU）'!$C:$C,$A27,'库存（子SKU）'!AL:AL)</f>
        <v>6</v>
      </c>
      <c r="AK27">
        <f>SUMIF('库存（子SKU）'!$C:$C,$A27,'库存（子SKU）'!AM:AM)</f>
        <v>20</v>
      </c>
      <c r="AL27" s="22">
        <f t="shared" si="6"/>
        <v>0.0526315789473684</v>
      </c>
      <c r="AM27" s="22">
        <f t="shared" si="7"/>
        <v>0</v>
      </c>
      <c r="AN27" s="22">
        <f t="shared" si="8"/>
        <v>0.166666666666667</v>
      </c>
      <c r="AO27" s="22">
        <f t="shared" si="9"/>
        <v>0.1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12.4285714285714</v>
      </c>
      <c r="AS27">
        <f t="shared" si="13"/>
        <v>147</v>
      </c>
      <c r="AT27" s="2">
        <f>IFERROR(时间!$B$4+AS27,"上周无销量")</f>
        <v>43430</v>
      </c>
    </row>
    <row r="28" spans="1:46">
      <c r="A28" t="s">
        <v>304</v>
      </c>
      <c r="B28" s="5">
        <f>SUMIF('库存（子SKU）'!$C:$C,$A28,'库存（子SKU）'!D:D)</f>
        <v>0</v>
      </c>
      <c r="C28" s="5">
        <f>SUMIF('库存（子SKU）'!$C:$C,$A28,'库存（子SKU）'!E:E)</f>
        <v>1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10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704</v>
      </c>
      <c r="O28">
        <f>SUMIF('库存（子SKU）'!$C:$C,$A28,'库存（子SKU）'!Q:Q)</f>
        <v>347</v>
      </c>
      <c r="P28">
        <f>SUMIF('库存（子SKU）'!$C:$C,$A28,'库存（子SKU）'!R:R)</f>
        <v>189</v>
      </c>
      <c r="Q28">
        <f>SUMIF('库存（子SKU）'!$C:$C,$A28,'库存（子SKU）'!S:S)</f>
        <v>0</v>
      </c>
      <c r="R28">
        <f>SUMIF('库存（子SKU）'!$C:$C,$A28,'库存（子SKU）'!T:T)</f>
        <v>6</v>
      </c>
      <c r="S28">
        <f>SUMIF('库存（子SKU）'!$C:$C,$A28,'库存（子SKU）'!U:U)</f>
        <v>6</v>
      </c>
      <c r="T28">
        <f>SUMIF('库存（子SKU）'!$C:$C,$A28,'库存（子SKU）'!V:V)</f>
        <v>2</v>
      </c>
      <c r="U28">
        <f>SUMIF('库存（子SKU）'!$C:$C,$A28,'库存（子SKU）'!W:W)</f>
        <v>0</v>
      </c>
      <c r="V28" s="22">
        <f t="shared" si="15"/>
        <v>0.00852272727272727</v>
      </c>
      <c r="W28" s="22">
        <f t="shared" si="16"/>
        <v>0.0172910662824208</v>
      </c>
      <c r="X28" s="22">
        <f t="shared" si="17"/>
        <v>0.0105820105820106</v>
      </c>
      <c r="Y28" s="22" t="str">
        <f t="shared" si="18"/>
        <v/>
      </c>
      <c r="Z28">
        <f>SUMIF('库存（子SKU）'!$C:$C,$A28,'库存（子SKU）'!AB:AB)</f>
        <v>2.07</v>
      </c>
      <c r="AA28">
        <f>SUMIF('库存（子SKU）'!$C:$C,$A28,'库存（子SKU）'!AC:AC)</f>
        <v>1.83</v>
      </c>
      <c r="AB28">
        <f>SUMIF('库存（子SKU）'!$C:$C,$A28,'库存（子SKU）'!AD:AD)</f>
        <v>0.5</v>
      </c>
      <c r="AC28">
        <f>SUMIF('库存（子SKU）'!$C:$C,$A28,'库存（子SKU）'!AE:AE)</f>
        <v>0</v>
      </c>
      <c r="AD28" s="22" t="str">
        <f t="shared" si="2"/>
        <v>无销量广告费为2.07</v>
      </c>
      <c r="AE28" s="22">
        <f t="shared" si="3"/>
        <v>0.183</v>
      </c>
      <c r="AF28" s="22" t="str">
        <f t="shared" si="4"/>
        <v>无销量广告费为0.5</v>
      </c>
      <c r="AG28" s="22" t="str">
        <f t="shared" si="5"/>
        <v/>
      </c>
      <c r="AH28">
        <f>SUMIF('库存（子SKU）'!$C:$C,$A28,'库存（子SKU）'!AJ:AJ)</f>
        <v>17</v>
      </c>
      <c r="AI28">
        <f>SUMIF('库存（子SKU）'!$C:$C,$A28,'库存（子SKU）'!AK:AK)</f>
        <v>12</v>
      </c>
      <c r="AJ28">
        <f>SUMIF('库存（子SKU）'!$C:$C,$A28,'库存（子SKU）'!AL:AL)</f>
        <v>6</v>
      </c>
      <c r="AK28">
        <f>SUMIF('库存（子SKU）'!$C:$C,$A28,'库存（子SKU）'!AM:AM)</f>
        <v>7</v>
      </c>
      <c r="AL28" s="22">
        <f t="shared" si="6"/>
        <v>0</v>
      </c>
      <c r="AM28" s="22">
        <f t="shared" si="7"/>
        <v>0.0833333333333333</v>
      </c>
      <c r="AN28" s="22">
        <f t="shared" si="8"/>
        <v>0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6</v>
      </c>
      <c r="AS28" t="str">
        <f t="shared" si="13"/>
        <v>库存为6</v>
      </c>
      <c r="AT28" s="2" t="str">
        <f>IFERROR(时间!$B$4+AS28,"上周无销量")</f>
        <v>上周无销量</v>
      </c>
    </row>
    <row r="29" spans="1:46">
      <c r="A29" t="s">
        <v>310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53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2" t="str">
        <f t="shared" si="6"/>
        <v/>
      </c>
      <c r="AM29" s="22" t="str">
        <f t="shared" si="7"/>
        <v/>
      </c>
      <c r="AN29" s="22" t="str">
        <f t="shared" si="8"/>
        <v/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313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344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5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2">
        <f t="shared" si="6"/>
        <v>0</v>
      </c>
      <c r="AM31" s="22" t="str">
        <f t="shared" si="7"/>
        <v/>
      </c>
      <c r="AN31" s="22" t="str">
        <f t="shared" si="8"/>
        <v/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347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83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83</v>
      </c>
      <c r="L32">
        <f>SUMIF('库存（子SKU）'!$C:$C,$A32,'库存（子SKU）'!N:N)</f>
        <v>0</v>
      </c>
      <c r="M32">
        <f>SUMIF('库存（子SKU）'!$C:$C,$A32,'库存（子SKU）'!O:O)</f>
        <v>81</v>
      </c>
      <c r="N32">
        <f>SUMIF('库存（子SKU）'!$C:$C,$A32,'库存（子SKU）'!P:P)</f>
        <v>0</v>
      </c>
      <c r="O32">
        <f>SUMIF('库存（子SKU）'!$C:$C,$A32,'库存（子SKU）'!Q:Q)</f>
        <v>18</v>
      </c>
      <c r="P32">
        <f>SUMIF('库存（子SKU）'!$C:$C,$A32,'库存（子SKU）'!R:R)</f>
        <v>49556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1</v>
      </c>
      <c r="T32">
        <f>SUMIF('库存（子SKU）'!$C:$C,$A32,'库存（子SKU）'!V:V)</f>
        <v>182</v>
      </c>
      <c r="U32">
        <f>SUMIF('库存（子SKU）'!$C:$C,$A32,'库存（子SKU）'!W:W)</f>
        <v>0</v>
      </c>
      <c r="V32" s="22" t="str">
        <f t="shared" si="15"/>
        <v/>
      </c>
      <c r="W32" s="22">
        <f t="shared" si="16"/>
        <v>0.0555555555555556</v>
      </c>
      <c r="X32" s="22">
        <f t="shared" si="17"/>
        <v>0.00367261280167891</v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0.32</v>
      </c>
      <c r="AB32">
        <f>SUMIF('库存（子SKU）'!$C:$C,$A32,'库存（子SKU）'!AD:AD)</f>
        <v>89.18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>无销量广告费为0.32</v>
      </c>
      <c r="AF32" s="22" t="str">
        <f t="shared" si="4"/>
        <v>无销量广告费为89.18</v>
      </c>
      <c r="AG32" s="22" t="str">
        <f t="shared" si="5"/>
        <v/>
      </c>
      <c r="AH32">
        <f>SUMIF('库存（子SKU）'!$C:$C,$A32,'库存（子SKU）'!AJ:AJ)</f>
        <v>57</v>
      </c>
      <c r="AI32">
        <f>SUMIF('库存（子SKU）'!$C:$C,$A32,'库存（子SKU）'!AK:AK)</f>
        <v>22</v>
      </c>
      <c r="AJ32">
        <f>SUMIF('库存（子SKU）'!$C:$C,$A32,'库存（子SKU）'!AL:AL)</f>
        <v>14</v>
      </c>
      <c r="AK32">
        <f>SUMIF('库存（子SKU）'!$C:$C,$A32,'库存（子SKU）'!AM:AM)</f>
        <v>55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83</v>
      </c>
      <c r="AS32" t="str">
        <f t="shared" si="13"/>
        <v>库存为83</v>
      </c>
      <c r="AT32" s="2" t="str">
        <f>IFERROR(时间!$B$4+AS32,"上周无销量")</f>
        <v>上周无销量</v>
      </c>
    </row>
    <row r="33" spans="1:46">
      <c r="A33" t="s">
        <v>413</v>
      </c>
      <c r="B33" s="5">
        <f>SUMIF('库存（子SKU）'!$C:$C,$A33,'库存（子SKU）'!D:D)</f>
        <v>0</v>
      </c>
      <c r="C33" s="5">
        <f>SUMIF('库存（子SKU）'!$C:$C,$A33,'库存（子SKU）'!E:E)</f>
        <v>1</v>
      </c>
      <c r="D33" s="5">
        <f>SUMIF('库存（子SKU）'!$C:$C,$A33,'库存（子SKU）'!F:F)</f>
        <v>3</v>
      </c>
      <c r="E33" s="5">
        <f>SUMIF('库存（子SKU）'!$C:$C,$A33,'库存（子SKU）'!G:G)</f>
        <v>0</v>
      </c>
      <c r="F33" s="6">
        <v>9.99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900</v>
      </c>
      <c r="P33">
        <f>SUMIF('库存（子SKU）'!$C:$C,$A33,'库存（子SKU）'!R:R)</f>
        <v>786</v>
      </c>
      <c r="Q33">
        <f>SUMIF('库存（子SKU）'!$C:$C,$A33,'库存（子SKU）'!S:S)</f>
        <v>692</v>
      </c>
      <c r="R33">
        <f>SUMIF('库存（子SKU）'!$C:$C,$A33,'库存（子SKU）'!T:T)</f>
        <v>0</v>
      </c>
      <c r="S33">
        <f>SUMIF('库存（子SKU）'!$C:$C,$A33,'库存（子SKU）'!U:U)</f>
        <v>4</v>
      </c>
      <c r="T33">
        <f>SUMIF('库存（子SKU）'!$C:$C,$A33,'库存（子SKU）'!V:V)</f>
        <v>4</v>
      </c>
      <c r="U33">
        <f>SUMIF('库存（子SKU）'!$C:$C,$A33,'库存（子SKU）'!W:W)</f>
        <v>3</v>
      </c>
      <c r="V33" s="22" t="str">
        <f t="shared" si="15"/>
        <v/>
      </c>
      <c r="W33" s="22">
        <f t="shared" si="16"/>
        <v>0.00444444444444444</v>
      </c>
      <c r="X33" s="22">
        <f t="shared" si="17"/>
        <v>0.00508905852417303</v>
      </c>
      <c r="Y33" s="22">
        <f t="shared" si="18"/>
        <v>0.00433526011560694</v>
      </c>
      <c r="Z33">
        <f>SUMIF('库存（子SKU）'!$C:$C,$A33,'库存（子SKU）'!AB:AB)</f>
        <v>0</v>
      </c>
      <c r="AA33">
        <f>SUMIF('库存（子SKU）'!$C:$C,$A33,'库存（子SKU）'!AC:AC)</f>
        <v>1.79</v>
      </c>
      <c r="AB33">
        <f>SUMIF('库存（子SKU）'!$C:$C,$A33,'库存（子SKU）'!AD:AD)</f>
        <v>1.61</v>
      </c>
      <c r="AC33">
        <f>SUMIF('库存（子SKU）'!$C:$C,$A33,'库存（子SKU）'!AE:AE)</f>
        <v>0.73</v>
      </c>
      <c r="AD33" s="22" t="str">
        <f t="shared" si="2"/>
        <v/>
      </c>
      <c r="AE33" s="22">
        <f t="shared" si="3"/>
        <v>0.179179179179179</v>
      </c>
      <c r="AF33" s="22">
        <f t="shared" si="4"/>
        <v>0.0537203870537204</v>
      </c>
      <c r="AG33" s="22" t="str">
        <f t="shared" si="5"/>
        <v>无销量广告费为0.73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5</v>
      </c>
      <c r="AK33">
        <f>SUMIF('库存（子SKU）'!$C:$C,$A33,'库存（子SKU）'!AM:AM)</f>
        <v>14</v>
      </c>
      <c r="AL33" s="22" t="str">
        <f t="shared" si="6"/>
        <v/>
      </c>
      <c r="AM33" s="22" t="str">
        <f t="shared" si="7"/>
        <v/>
      </c>
      <c r="AN33" s="22">
        <f t="shared" si="8"/>
        <v>0.6</v>
      </c>
      <c r="AO33" s="22">
        <f t="shared" si="9"/>
        <v>0</v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417</v>
      </c>
      <c r="B34" s="5">
        <f>SUMIF('库存（子SKU）'!$C:$C,$A34,'库存（子SKU）'!D:D)</f>
        <v>92</v>
      </c>
      <c r="C34" s="5">
        <f>SUMIF('库存（子SKU）'!$C:$C,$A34,'库存（子SKU）'!E:E)</f>
        <v>67</v>
      </c>
      <c r="D34" s="5">
        <f>SUMIF('库存（子SKU）'!$C:$C,$A34,'库存（子SKU）'!F:F)</f>
        <v>48</v>
      </c>
      <c r="E34" s="5">
        <f>SUMIF('库存（子SKU）'!$C:$C,$A34,'库存（子SKU）'!G:G)</f>
        <v>20</v>
      </c>
      <c r="F34" s="6">
        <v>7.14092511013216</v>
      </c>
      <c r="G34">
        <f>SUMIF('库存（子SKU）'!$C:$C,$A34,'库存（子SKU）'!I:I)</f>
        <v>51</v>
      </c>
      <c r="H34">
        <f>SUMIF('库存（子SKU）'!$C:$C,$A34,'库存（子SKU）'!J:J)</f>
        <v>150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201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69533</v>
      </c>
      <c r="O34">
        <f>SUMIF('库存（子SKU）'!$C:$C,$A34,'库存（子SKU）'!Q:Q)</f>
        <v>3101</v>
      </c>
      <c r="P34">
        <f>SUMIF('库存（子SKU）'!$C:$C,$A34,'库存（子SKU）'!R:R)</f>
        <v>11775</v>
      </c>
      <c r="Q34">
        <f>SUMIF('库存（子SKU）'!$C:$C,$A34,'库存（子SKU）'!S:S)</f>
        <v>8603</v>
      </c>
      <c r="R34">
        <f>SUMIF('库存（子SKU）'!$C:$C,$A34,'库存（子SKU）'!T:T)</f>
        <v>80</v>
      </c>
      <c r="S34">
        <f>SUMIF('库存（子SKU）'!$C:$C,$A34,'库存（子SKU）'!U:U)</f>
        <v>24</v>
      </c>
      <c r="T34">
        <f>SUMIF('库存（子SKU）'!$C:$C,$A34,'库存（子SKU）'!V:V)</f>
        <v>38</v>
      </c>
      <c r="U34">
        <f>SUMIF('库存（子SKU）'!$C:$C,$A34,'库存（子SKU）'!W:W)</f>
        <v>49</v>
      </c>
      <c r="V34" s="22">
        <f t="shared" si="15"/>
        <v>0.00115053284052177</v>
      </c>
      <c r="W34" s="22">
        <f t="shared" si="16"/>
        <v>0.00773943889068043</v>
      </c>
      <c r="X34" s="22">
        <f t="shared" si="17"/>
        <v>0.00322717622080679</v>
      </c>
      <c r="Y34" s="22">
        <f t="shared" si="18"/>
        <v>0.00569568755085435</v>
      </c>
      <c r="Z34">
        <f>SUMIF('库存（子SKU）'!$C:$C,$A34,'库存（子SKU）'!AB:AB)</f>
        <v>31.54</v>
      </c>
      <c r="AA34">
        <f>SUMIF('库存（子SKU）'!$C:$C,$A34,'库存（子SKU）'!AC:AC)</f>
        <v>11.52</v>
      </c>
      <c r="AB34">
        <f>SUMIF('库存（子SKU）'!$C:$C,$A34,'库存（子SKU）'!AD:AD)</f>
        <v>22.7</v>
      </c>
      <c r="AC34">
        <f>SUMIF('库存（子SKU）'!$C:$C,$A34,'库存（子SKU）'!AE:AE)</f>
        <v>31.04</v>
      </c>
      <c r="AD34" s="22">
        <f t="shared" si="2"/>
        <v>0.0480086377702086</v>
      </c>
      <c r="AE34" s="22">
        <f t="shared" si="3"/>
        <v>0.0240781545606043</v>
      </c>
      <c r="AF34" s="22">
        <f t="shared" si="4"/>
        <v>0.0662262465119053</v>
      </c>
      <c r="AG34" s="22">
        <f t="shared" si="5"/>
        <v>0.217338786790788</v>
      </c>
      <c r="AH34">
        <f>SUMIF('库存（子SKU）'!$C:$C,$A34,'库存（子SKU）'!AJ:AJ)</f>
        <v>804</v>
      </c>
      <c r="AI34">
        <f>SUMIF('库存（子SKU）'!$C:$C,$A34,'库存（子SKU）'!AK:AK)</f>
        <v>712</v>
      </c>
      <c r="AJ34">
        <f>SUMIF('库存（子SKU）'!$C:$C,$A34,'库存（子SKU）'!AL:AL)</f>
        <v>296</v>
      </c>
      <c r="AK34">
        <f>SUMIF('库存（子SKU）'!$C:$C,$A34,'库存（子SKU）'!AM:AM)</f>
        <v>212</v>
      </c>
      <c r="AL34" s="22">
        <f t="shared" si="6"/>
        <v>0.114427860696517</v>
      </c>
      <c r="AM34" s="22">
        <f t="shared" si="7"/>
        <v>0.0941011235955056</v>
      </c>
      <c r="AN34" s="22">
        <f t="shared" si="8"/>
        <v>0.162162162162162</v>
      </c>
      <c r="AO34" s="22">
        <f t="shared" si="9"/>
        <v>0.0943396226415094</v>
      </c>
      <c r="AP34" s="7">
        <f t="shared" si="10"/>
        <v>13.1428571428571</v>
      </c>
      <c r="AQ34" s="7">
        <f t="shared" si="11"/>
        <v>788.571428571429</v>
      </c>
      <c r="AR34" s="7">
        <f t="shared" si="12"/>
        <v>-587.571428571429</v>
      </c>
      <c r="AS34">
        <f t="shared" si="13"/>
        <v>15</v>
      </c>
      <c r="AT34" s="2">
        <f>IFERROR(时间!$B$4+AS34,"上周无销量")</f>
        <v>43298</v>
      </c>
    </row>
    <row r="35" spans="1:46">
      <c r="A35" t="s">
        <v>421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53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423</v>
      </c>
      <c r="B36" s="5">
        <f>SUMIF('库存（子SKU）'!$C:$C,$A36,'库存（子SKU）'!D:D)</f>
        <v>1</v>
      </c>
      <c r="C36" s="5">
        <f>SUMIF('库存（子SKU）'!$C:$C,$A36,'库存（子SKU）'!E:E)</f>
        <v>1</v>
      </c>
      <c r="D36" s="5">
        <f>SUMIF('库存（子SKU）'!$C:$C,$A36,'库存（子SKU）'!F:F)</f>
        <v>0</v>
      </c>
      <c r="E36" s="5">
        <f>SUMIF('库存（子SKU）'!$C:$C,$A36,'库存（子SKU）'!G:G)</f>
        <v>1</v>
      </c>
      <c r="F36" s="6">
        <v>9.99</v>
      </c>
      <c r="G36">
        <f>SUMIF('库存（子SKU）'!$C:$C,$A36,'库存（子SKU）'!I:I)</f>
        <v>22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22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4724</v>
      </c>
      <c r="O36">
        <f>SUMIF('库存（子SKU）'!$C:$C,$A36,'库存（子SKU）'!Q:Q)</f>
        <v>6125</v>
      </c>
      <c r="P36">
        <f>SUMIF('库存（子SKU）'!$C:$C,$A36,'库存（子SKU）'!R:R)</f>
        <v>4658</v>
      </c>
      <c r="Q36">
        <f>SUMIF('库存（子SKU）'!$C:$C,$A36,'库存（子SKU）'!S:S)</f>
        <v>4460</v>
      </c>
      <c r="R36">
        <f>SUMIF('库存（子SKU）'!$C:$C,$A36,'库存（子SKU）'!T:T)</f>
        <v>9</v>
      </c>
      <c r="S36">
        <f>SUMIF('库存（子SKU）'!$C:$C,$A36,'库存（子SKU）'!U:U)</f>
        <v>14</v>
      </c>
      <c r="T36">
        <f>SUMIF('库存（子SKU）'!$C:$C,$A36,'库存（子SKU）'!V:V)</f>
        <v>6</v>
      </c>
      <c r="U36">
        <f>SUMIF('库存（子SKU）'!$C:$C,$A36,'库存（子SKU）'!W:W)</f>
        <v>7</v>
      </c>
      <c r="V36" s="22">
        <f t="shared" si="15"/>
        <v>0.00190516511430991</v>
      </c>
      <c r="W36" s="22">
        <f t="shared" si="16"/>
        <v>0.00228571428571429</v>
      </c>
      <c r="X36" s="22">
        <f t="shared" si="17"/>
        <v>0.0012881064834693</v>
      </c>
      <c r="Y36" s="22">
        <f t="shared" si="18"/>
        <v>0.0015695067264574</v>
      </c>
      <c r="Z36">
        <f>SUMIF('库存（子SKU）'!$C:$C,$A36,'库存（子SKU）'!AB:AB)</f>
        <v>4.29</v>
      </c>
      <c r="AA36">
        <f>SUMIF('库存（子SKU）'!$C:$C,$A36,'库存（子SKU）'!AC:AC)</f>
        <v>5.43</v>
      </c>
      <c r="AB36">
        <f>SUMIF('库存（子SKU）'!$C:$C,$A36,'库存（子SKU）'!AD:AD)</f>
        <v>2.8</v>
      </c>
      <c r="AC36">
        <f>SUMIF('库存（子SKU）'!$C:$C,$A36,'库存（子SKU）'!AE:AE)</f>
        <v>3.58</v>
      </c>
      <c r="AD36" s="22">
        <f t="shared" si="2"/>
        <v>0.429429429429429</v>
      </c>
      <c r="AE36" s="22">
        <f t="shared" si="3"/>
        <v>0.543543543543544</v>
      </c>
      <c r="AF36" s="22" t="str">
        <f t="shared" si="4"/>
        <v>无销量广告费为2.8</v>
      </c>
      <c r="AG36" s="22">
        <f t="shared" si="5"/>
        <v>0.358358358358358</v>
      </c>
      <c r="AH36">
        <f>SUMIF('库存（子SKU）'!$C:$C,$A36,'库存（子SKU）'!AJ:AJ)</f>
        <v>53</v>
      </c>
      <c r="AI36">
        <f>SUMIF('库存（子SKU）'!$C:$C,$A36,'库存（子SKU）'!AK:AK)</f>
        <v>27</v>
      </c>
      <c r="AJ36">
        <f>SUMIF('库存（子SKU）'!$C:$C,$A36,'库存（子SKU）'!AL:AL)</f>
        <v>21</v>
      </c>
      <c r="AK36">
        <f>SUMIF('库存（子SKU）'!$C:$C,$A36,'库存（子SKU）'!AM:AM)</f>
        <v>2</v>
      </c>
      <c r="AL36" s="22">
        <f t="shared" si="6"/>
        <v>0.0188679245283019</v>
      </c>
      <c r="AM36" s="22">
        <f t="shared" si="7"/>
        <v>0.037037037037037</v>
      </c>
      <c r="AN36" s="22">
        <f t="shared" si="8"/>
        <v>0</v>
      </c>
      <c r="AO36" s="22">
        <f t="shared" si="9"/>
        <v>0.5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13.4285714285714</v>
      </c>
      <c r="AS36">
        <f t="shared" si="13"/>
        <v>154</v>
      </c>
      <c r="AT36" s="2">
        <f>IFERROR(时间!$B$4+AS36,"上周无销量")</f>
        <v>43437</v>
      </c>
    </row>
    <row r="37" spans="1:46">
      <c r="A37" t="s">
        <v>428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7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2</v>
      </c>
      <c r="AL37" s="22">
        <f t="shared" si="6"/>
        <v>0</v>
      </c>
      <c r="AM37" s="22" t="str">
        <f t="shared" si="7"/>
        <v/>
      </c>
      <c r="AN37" s="22" t="str">
        <f t="shared" si="8"/>
        <v/>
      </c>
      <c r="AO37" s="22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435</v>
      </c>
      <c r="B38" s="5">
        <f>SUMIF('库存（子SKU）'!$C:$C,$A38,'库存（子SKU）'!D:D)</f>
        <v>1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>
        <v>11.99</v>
      </c>
      <c r="G38">
        <f>SUMIF('库存（子SKU）'!$C:$C,$A38,'库存（子SKU）'!I:I)</f>
        <v>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9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>
        <f t="shared" si="2"/>
        <v>0</v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22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2">
        <f t="shared" si="6"/>
        <v>0.0454545454545455</v>
      </c>
      <c r="AM38" s="22" t="str">
        <f t="shared" si="7"/>
        <v/>
      </c>
      <c r="AN38" s="22" t="str">
        <f t="shared" si="8"/>
        <v/>
      </c>
      <c r="AO38" s="22" t="str">
        <f t="shared" si="9"/>
        <v/>
      </c>
      <c r="AP38" s="7">
        <f t="shared" si="10"/>
        <v>0.142857142857143</v>
      </c>
      <c r="AQ38" s="7">
        <f t="shared" si="11"/>
        <v>8.57142857142857</v>
      </c>
      <c r="AR38" s="7">
        <f t="shared" si="12"/>
        <v>0.428571428571429</v>
      </c>
      <c r="AS38">
        <f t="shared" si="13"/>
        <v>63</v>
      </c>
      <c r="AT38" s="2">
        <f>IFERROR(时间!$B$4+AS38,"上周无销量")</f>
        <v>43346</v>
      </c>
    </row>
    <row r="39" spans="1:46">
      <c r="A39" t="s">
        <v>444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4</v>
      </c>
      <c r="E39" s="5">
        <f>SUMIF('库存（子SKU）'!$C:$C,$A39,'库存（子SKU）'!G:G)</f>
        <v>1</v>
      </c>
      <c r="F39" s="6">
        <v>9.99</v>
      </c>
      <c r="G39">
        <f>SUMIF('库存（子SKU）'!$C:$C,$A39,'库存（子SKU）'!I:I)</f>
        <v>18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18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1522</v>
      </c>
      <c r="O39">
        <f>SUMIF('库存（子SKU）'!$C:$C,$A39,'库存（子SKU）'!Q:Q)</f>
        <v>1732</v>
      </c>
      <c r="P39">
        <f>SUMIF('库存（子SKU）'!$C:$C,$A39,'库存（子SKU）'!R:R)</f>
        <v>1603</v>
      </c>
      <c r="Q39">
        <f>SUMIF('库存（子SKU）'!$C:$C,$A39,'库存（子SKU）'!S:S)</f>
        <v>14603</v>
      </c>
      <c r="R39">
        <f>SUMIF('库存（子SKU）'!$C:$C,$A39,'库存（子SKU）'!T:T)</f>
        <v>4</v>
      </c>
      <c r="S39">
        <f>SUMIF('库存（子SKU）'!$C:$C,$A39,'库存（子SKU）'!U:U)</f>
        <v>11</v>
      </c>
      <c r="T39">
        <f>SUMIF('库存（子SKU）'!$C:$C,$A39,'库存（子SKU）'!V:V)</f>
        <v>8</v>
      </c>
      <c r="U39">
        <f>SUMIF('库存（子SKU）'!$C:$C,$A39,'库存（子SKU）'!W:W)</f>
        <v>16</v>
      </c>
      <c r="V39" s="22">
        <f t="shared" si="15"/>
        <v>0.0026281208935611</v>
      </c>
      <c r="W39" s="22">
        <f t="shared" si="16"/>
        <v>0.00635103926096998</v>
      </c>
      <c r="X39" s="22">
        <f t="shared" si="17"/>
        <v>0.0049906425452277</v>
      </c>
      <c r="Y39" s="22">
        <f t="shared" si="18"/>
        <v>0.00109566527425871</v>
      </c>
      <c r="Z39">
        <f>SUMIF('库存（子SKU）'!$C:$C,$A39,'库存（子SKU）'!AB:AB)</f>
        <v>1.68</v>
      </c>
      <c r="AA39">
        <f>SUMIF('库存（子SKU）'!$C:$C,$A39,'库存（子SKU）'!AC:AC)</f>
        <v>4.68</v>
      </c>
      <c r="AB39">
        <f>SUMIF('库存（子SKU）'!$C:$C,$A39,'库存（子SKU）'!AD:AD)</f>
        <v>2.66</v>
      </c>
      <c r="AC39">
        <f>SUMIF('库存（子SKU）'!$C:$C,$A39,'库存（子SKU）'!AE:AE)</f>
        <v>6</v>
      </c>
      <c r="AD39" s="22" t="str">
        <f t="shared" si="2"/>
        <v>无销量广告费为1.68</v>
      </c>
      <c r="AE39" s="22" t="str">
        <f t="shared" si="3"/>
        <v>无销量广告费为4.68</v>
      </c>
      <c r="AF39" s="22">
        <f t="shared" si="4"/>
        <v>0.0665665665665666</v>
      </c>
      <c r="AG39" s="22">
        <f t="shared" si="5"/>
        <v>0.600600600600601</v>
      </c>
      <c r="AH39">
        <f>SUMIF('库存（子SKU）'!$C:$C,$A39,'库存（子SKU）'!AJ:AJ)</f>
        <v>9</v>
      </c>
      <c r="AI39">
        <f>SUMIF('库存（子SKU）'!$C:$C,$A39,'库存（子SKU）'!AK:AK)</f>
        <v>8</v>
      </c>
      <c r="AJ39">
        <f>SUMIF('库存（子SKU）'!$C:$C,$A39,'库存（子SKU）'!AL:AL)</f>
        <v>11</v>
      </c>
      <c r="AK39">
        <f>SUMIF('库存（子SKU）'!$C:$C,$A39,'库存（子SKU）'!AM:AM)</f>
        <v>6</v>
      </c>
      <c r="AL39" s="22">
        <f t="shared" si="6"/>
        <v>0</v>
      </c>
      <c r="AM39" s="22">
        <f t="shared" si="7"/>
        <v>0</v>
      </c>
      <c r="AN39" s="22">
        <f t="shared" si="8"/>
        <v>0.363636363636364</v>
      </c>
      <c r="AO39" s="22">
        <f t="shared" si="9"/>
        <v>0.166666666666667</v>
      </c>
      <c r="AP39" s="7">
        <f t="shared" si="10"/>
        <v>0</v>
      </c>
      <c r="AQ39" s="7">
        <f t="shared" si="11"/>
        <v>0</v>
      </c>
      <c r="AR39" s="7">
        <f t="shared" si="12"/>
        <v>18</v>
      </c>
      <c r="AS39" t="str">
        <f t="shared" si="13"/>
        <v>库存为18</v>
      </c>
      <c r="AT39" s="2" t="str">
        <f>IFERROR(时间!$B$4+AS39,"上周无销量")</f>
        <v>上周无销量</v>
      </c>
    </row>
    <row r="40" spans="1:46">
      <c r="A40" t="s">
        <v>464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2</v>
      </c>
      <c r="E40" s="5">
        <f>SUMIF('库存（子SKU）'!$C:$C,$A40,'库存（子SKU）'!G:G)</f>
        <v>0</v>
      </c>
      <c r="F40" s="6">
        <v>17.91</v>
      </c>
      <c r="G40">
        <f>SUMIF('库存（子SKU）'!$C:$C,$A40,'库存（子SKU）'!I:I)</f>
        <v>236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236</v>
      </c>
      <c r="L40">
        <f>SUMIF('库存（子SKU）'!$C:$C,$A40,'库存（子SKU）'!N:N)</f>
        <v>0</v>
      </c>
      <c r="M40">
        <f>SUMIF('库存（子SKU）'!$C:$C,$A40,'库存（子SKU）'!O:O)</f>
        <v>219</v>
      </c>
      <c r="N40">
        <f>SUMIF('库存（子SKU）'!$C:$C,$A40,'库存（子SKU）'!P:P)</f>
        <v>1696</v>
      </c>
      <c r="O40">
        <f>SUMIF('库存（子SKU）'!$C:$C,$A40,'库存（子SKU）'!Q:Q)</f>
        <v>5324</v>
      </c>
      <c r="P40">
        <f>SUMIF('库存（子SKU）'!$C:$C,$A40,'库存（子SKU）'!R:R)</f>
        <v>2784</v>
      </c>
      <c r="Q40">
        <f>SUMIF('库存（子SKU）'!$C:$C,$A40,'库存（子SKU）'!S:S)</f>
        <v>5326</v>
      </c>
      <c r="R40">
        <f>SUMIF('库存（子SKU）'!$C:$C,$A40,'库存（子SKU）'!T:T)</f>
        <v>4</v>
      </c>
      <c r="S40">
        <f>SUMIF('库存（子SKU）'!$C:$C,$A40,'库存（子SKU）'!U:U)</f>
        <v>10</v>
      </c>
      <c r="T40">
        <f>SUMIF('库存（子SKU）'!$C:$C,$A40,'库存（子SKU）'!V:V)</f>
        <v>6</v>
      </c>
      <c r="U40">
        <f>SUMIF('库存（子SKU）'!$C:$C,$A40,'库存（子SKU）'!W:W)</f>
        <v>10</v>
      </c>
      <c r="V40" s="22">
        <f t="shared" si="15"/>
        <v>0.00235849056603774</v>
      </c>
      <c r="W40" s="22">
        <f t="shared" si="16"/>
        <v>0.00187828700225394</v>
      </c>
      <c r="X40" s="22">
        <f t="shared" si="17"/>
        <v>0.0021551724137931</v>
      </c>
      <c r="Y40" s="22">
        <f t="shared" si="18"/>
        <v>0.00187758167480285</v>
      </c>
      <c r="Z40">
        <f>SUMIF('库存（子SKU）'!$C:$C,$A40,'库存（子SKU）'!AB:AB)</f>
        <v>1.44</v>
      </c>
      <c r="AA40">
        <f>SUMIF('库存（子SKU）'!$C:$C,$A40,'库存（子SKU）'!AC:AC)</f>
        <v>4.57</v>
      </c>
      <c r="AB40">
        <f>SUMIF('库存（子SKU）'!$C:$C,$A40,'库存（子SKU）'!AD:AD)</f>
        <v>2.54</v>
      </c>
      <c r="AC40">
        <f>SUMIF('库存（子SKU）'!$C:$C,$A40,'库存（子SKU）'!AE:AE)</f>
        <v>3.83</v>
      </c>
      <c r="AD40" s="22" t="str">
        <f t="shared" si="2"/>
        <v>无销量广告费为1.44</v>
      </c>
      <c r="AE40" s="22" t="str">
        <f t="shared" si="3"/>
        <v>无销量广告费为4.57</v>
      </c>
      <c r="AF40" s="22">
        <f t="shared" si="4"/>
        <v>0.0709101060859855</v>
      </c>
      <c r="AG40" s="22" t="str">
        <f t="shared" si="5"/>
        <v>无销量广告费为3.83</v>
      </c>
      <c r="AH40">
        <f>SUMIF('库存（子SKU）'!$C:$C,$A40,'库存（子SKU）'!AJ:AJ)</f>
        <v>21</v>
      </c>
      <c r="AI40">
        <f>SUMIF('库存（子SKU）'!$C:$C,$A40,'库存（子SKU）'!AK:AK)</f>
        <v>16</v>
      </c>
      <c r="AJ40">
        <f>SUMIF('库存（子SKU）'!$C:$C,$A40,'库存（子SKU）'!AL:AL)</f>
        <v>14</v>
      </c>
      <c r="AK40">
        <f>SUMIF('库存（子SKU）'!$C:$C,$A40,'库存（子SKU）'!AM:AM)</f>
        <v>13</v>
      </c>
      <c r="AL40" s="22">
        <f t="shared" si="6"/>
        <v>0</v>
      </c>
      <c r="AM40" s="22">
        <f t="shared" si="7"/>
        <v>0</v>
      </c>
      <c r="AN40" s="22">
        <f t="shared" si="8"/>
        <v>0.142857142857143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236</v>
      </c>
      <c r="AS40" t="str">
        <f t="shared" si="13"/>
        <v>库存为236</v>
      </c>
      <c r="AT40" s="2" t="str">
        <f>IFERROR(时间!$B$4+AS40,"上周无销量")</f>
        <v>上周无销量</v>
      </c>
    </row>
    <row r="41" spans="1:46">
      <c r="A41" t="s">
        <v>482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2" t="str">
        <f t="shared" si="6"/>
        <v/>
      </c>
      <c r="AM41" s="22" t="str">
        <f t="shared" si="7"/>
        <v/>
      </c>
      <c r="AN41" s="22" t="str">
        <f t="shared" si="8"/>
        <v/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485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488</v>
      </c>
      <c r="B43" s="5">
        <f>SUMIF('库存（子SKU）'!$C:$C,$A43,'库存（子SKU）'!D:D)</f>
        <v>0</v>
      </c>
      <c r="C43" s="5">
        <f>SUMIF('库存（子SKU）'!$C:$C,$A43,'库存（子SKU）'!E:E)</f>
        <v>1</v>
      </c>
      <c r="D43" s="5">
        <f>SUMIF('库存（子SKU）'!$C:$C,$A43,'库存（子SKU）'!F:F)</f>
        <v>2</v>
      </c>
      <c r="E43" s="5">
        <f>SUMIF('库存（子SKU）'!$C:$C,$A43,'库存（子SKU）'!G:G)</f>
        <v>1</v>
      </c>
      <c r="F43" s="6">
        <v>15.7425</v>
      </c>
      <c r="G43">
        <f>SUMIF('库存（子SKU）'!$C:$C,$A43,'库存（子SKU）'!I:I)</f>
        <v>11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11</v>
      </c>
      <c r="L43">
        <f>SUMIF('库存（子SKU）'!$C:$C,$A43,'库存（子SKU）'!N:N)</f>
        <v>0</v>
      </c>
      <c r="M43">
        <f>SUMIF('库存（子SKU）'!$C:$C,$A43,'库存（子SKU）'!O:O)</f>
        <v>10</v>
      </c>
      <c r="N43">
        <f>SUMIF('库存（子SKU）'!$C:$C,$A43,'库存（子SKU）'!P:P)</f>
        <v>10926</v>
      </c>
      <c r="O43">
        <f>SUMIF('库存（子SKU）'!$C:$C,$A43,'库存（子SKU）'!Q:Q)</f>
        <v>1191</v>
      </c>
      <c r="P43">
        <f>SUMIF('库存（子SKU）'!$C:$C,$A43,'库存（子SKU）'!R:R)</f>
        <v>836</v>
      </c>
      <c r="Q43">
        <f>SUMIF('库存（子SKU）'!$C:$C,$A43,'库存（子SKU）'!S:S)</f>
        <v>0</v>
      </c>
      <c r="R43">
        <f>SUMIF('库存（子SKU）'!$C:$C,$A43,'库存（子SKU）'!T:T)</f>
        <v>42</v>
      </c>
      <c r="S43">
        <f>SUMIF('库存（子SKU）'!$C:$C,$A43,'库存（子SKU）'!U:U)</f>
        <v>15</v>
      </c>
      <c r="T43">
        <f>SUMIF('库存（子SKU）'!$C:$C,$A43,'库存（子SKU）'!V:V)</f>
        <v>14</v>
      </c>
      <c r="U43">
        <f>SUMIF('库存（子SKU）'!$C:$C,$A43,'库存（子SKU）'!W:W)</f>
        <v>0</v>
      </c>
      <c r="V43" s="22">
        <f t="shared" si="15"/>
        <v>0.00384404173531027</v>
      </c>
      <c r="W43" s="22">
        <f t="shared" si="16"/>
        <v>0.0125944584382872</v>
      </c>
      <c r="X43" s="22">
        <f t="shared" si="17"/>
        <v>0.0167464114832536</v>
      </c>
      <c r="Y43" s="22" t="str">
        <f t="shared" si="18"/>
        <v/>
      </c>
      <c r="Z43">
        <f>SUMIF('库存（子SKU）'!$C:$C,$A43,'库存（子SKU）'!AB:AB)</f>
        <v>13.45</v>
      </c>
      <c r="AA43">
        <f>SUMIF('库存（子SKU）'!$C:$C,$A43,'库存（子SKU）'!AC:AC)</f>
        <v>4.69</v>
      </c>
      <c r="AB43">
        <f>SUMIF('库存（子SKU）'!$C:$C,$A43,'库存（子SKU）'!AD:AD)</f>
        <v>4.45</v>
      </c>
      <c r="AC43">
        <f>SUMIF('库存（子SKU）'!$C:$C,$A43,'库存（子SKU）'!AE:AE)</f>
        <v>0</v>
      </c>
      <c r="AD43" s="22" t="str">
        <f t="shared" si="2"/>
        <v>无销量广告费为13.45</v>
      </c>
      <c r="AE43" s="22">
        <f t="shared" si="3"/>
        <v>0.297919644275052</v>
      </c>
      <c r="AF43" s="22">
        <f t="shared" si="4"/>
        <v>0.141337144672066</v>
      </c>
      <c r="AG43" s="22">
        <f t="shared" si="5"/>
        <v>0</v>
      </c>
      <c r="AH43">
        <f>SUMIF('库存（子SKU）'!$C:$C,$A43,'库存（子SKU）'!AJ:AJ)</f>
        <v>29</v>
      </c>
      <c r="AI43">
        <f>SUMIF('库存（子SKU）'!$C:$C,$A43,'库存（子SKU）'!AK:AK)</f>
        <v>44</v>
      </c>
      <c r="AJ43">
        <f>SUMIF('库存（子SKU）'!$C:$C,$A43,'库存（子SKU）'!AL:AL)</f>
        <v>12</v>
      </c>
      <c r="AK43">
        <f>SUMIF('库存（子SKU）'!$C:$C,$A43,'库存（子SKU）'!AM:AM)</f>
        <v>31</v>
      </c>
      <c r="AL43" s="22">
        <f t="shared" si="6"/>
        <v>0</v>
      </c>
      <c r="AM43" s="22">
        <f t="shared" si="7"/>
        <v>0.0227272727272727</v>
      </c>
      <c r="AN43" s="22">
        <f t="shared" si="8"/>
        <v>0.166666666666667</v>
      </c>
      <c r="AO43" s="22">
        <f t="shared" si="9"/>
        <v>0.032258064516129</v>
      </c>
      <c r="AP43" s="7">
        <f t="shared" si="10"/>
        <v>0</v>
      </c>
      <c r="AQ43" s="7">
        <f t="shared" si="11"/>
        <v>0</v>
      </c>
      <c r="AR43" s="7">
        <f t="shared" si="12"/>
        <v>11</v>
      </c>
      <c r="AS43" t="str">
        <f t="shared" si="13"/>
        <v>库存为11</v>
      </c>
      <c r="AT43" s="2" t="str">
        <f>IFERROR(时间!$B$4+AS43,"上周无销量")</f>
        <v>上周无销量</v>
      </c>
    </row>
    <row r="44" spans="1:46">
      <c r="A44" t="s">
        <v>499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1</v>
      </c>
      <c r="F44" s="6">
        <v>10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273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3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>
        <f t="shared" si="17"/>
        <v>0.010989010989011</v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1.66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>无销量广告费为1.66</v>
      </c>
      <c r="AG44" s="22">
        <f t="shared" si="5"/>
        <v>0</v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3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>
        <f t="shared" si="9"/>
        <v>0.333333333333333</v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502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1</v>
      </c>
      <c r="E45" s="5">
        <f>SUMIF('库存（子SKU）'!$C:$C,$A45,'库存（子SKU）'!G:G)</f>
        <v>0</v>
      </c>
      <c r="F45" s="6">
        <v>10</v>
      </c>
      <c r="G45">
        <f>SUMIF('库存（子SKU）'!$C:$C,$A45,'库存（子SKU）'!I:I)</f>
        <v>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3</v>
      </c>
      <c r="L45">
        <f>SUMIF('库存（子SKU）'!$C:$C,$A45,'库存（子SKU）'!N:N)</f>
        <v>0</v>
      </c>
      <c r="M45">
        <f>SUMIF('库存（子SKU）'!$C:$C,$A45,'库存（子SKU）'!O:O)</f>
        <v>3</v>
      </c>
      <c r="N45">
        <f>SUMIF('库存（子SKU）'!$C:$C,$A45,'库存（子SKU）'!P:P)</f>
        <v>919</v>
      </c>
      <c r="O45">
        <f>SUMIF('库存（子SKU）'!$C:$C,$A45,'库存（子SKU）'!Q:Q)</f>
        <v>657</v>
      </c>
      <c r="P45">
        <f>SUMIF('库存（子SKU）'!$C:$C,$A45,'库存（子SKU）'!R:R)</f>
        <v>585</v>
      </c>
      <c r="Q45">
        <f>SUMIF('库存（子SKU）'!$C:$C,$A45,'库存（子SKU）'!S:S)</f>
        <v>0</v>
      </c>
      <c r="R45">
        <f>SUMIF('库存（子SKU）'!$C:$C,$A45,'库存（子SKU）'!T:T)</f>
        <v>6</v>
      </c>
      <c r="S45">
        <f>SUMIF('库存（子SKU）'!$C:$C,$A45,'库存（子SKU）'!U:U)</f>
        <v>7</v>
      </c>
      <c r="T45">
        <f>SUMIF('库存（子SKU）'!$C:$C,$A45,'库存（子SKU）'!V:V)</f>
        <v>5</v>
      </c>
      <c r="U45">
        <f>SUMIF('库存（子SKU）'!$C:$C,$A45,'库存（子SKU）'!W:W)</f>
        <v>0</v>
      </c>
      <c r="V45" s="22">
        <f t="shared" si="15"/>
        <v>0.00652883569096844</v>
      </c>
      <c r="W45" s="22">
        <f t="shared" si="16"/>
        <v>0.0106544901065449</v>
      </c>
      <c r="X45" s="22">
        <f t="shared" si="17"/>
        <v>0.00854700854700855</v>
      </c>
      <c r="Y45" s="22" t="str">
        <f t="shared" si="18"/>
        <v/>
      </c>
      <c r="Z45">
        <f>SUMIF('库存（子SKU）'!$C:$C,$A45,'库存（子SKU）'!AB:AB)</f>
        <v>2.45</v>
      </c>
      <c r="AA45">
        <f>SUMIF('库存（子SKU）'!$C:$C,$A45,'库存（子SKU）'!AC:AC)</f>
        <v>2.93</v>
      </c>
      <c r="AB45">
        <f>SUMIF('库存（子SKU）'!$C:$C,$A45,'库存（子SKU）'!AD:AD)</f>
        <v>2.45</v>
      </c>
      <c r="AC45">
        <f>SUMIF('库存（子SKU）'!$C:$C,$A45,'库存（子SKU）'!AE:AE)</f>
        <v>0</v>
      </c>
      <c r="AD45" s="22" t="str">
        <f t="shared" si="2"/>
        <v>无销量广告费为2.45</v>
      </c>
      <c r="AE45" s="22" t="str">
        <f t="shared" si="3"/>
        <v>无销量广告费为2.93</v>
      </c>
      <c r="AF45" s="22">
        <f t="shared" si="4"/>
        <v>0.245</v>
      </c>
      <c r="AG45" s="22" t="str">
        <f t="shared" si="5"/>
        <v/>
      </c>
      <c r="AH45">
        <f>SUMIF('库存（子SKU）'!$C:$C,$A45,'库存（子SKU）'!AJ:AJ)</f>
        <v>1</v>
      </c>
      <c r="AI45">
        <f>SUMIF('库存（子SKU）'!$C:$C,$A45,'库存（子SKU）'!AK:AK)</f>
        <v>4</v>
      </c>
      <c r="AJ45">
        <f>SUMIF('库存（子SKU）'!$C:$C,$A45,'库存（子SKU）'!AL:AL)</f>
        <v>7</v>
      </c>
      <c r="AK45">
        <f>SUMIF('库存（子SKU）'!$C:$C,$A45,'库存（子SKU）'!AM:AM)</f>
        <v>3</v>
      </c>
      <c r="AL45" s="22">
        <f t="shared" si="6"/>
        <v>0</v>
      </c>
      <c r="AM45" s="22">
        <f t="shared" si="7"/>
        <v>0</v>
      </c>
      <c r="AN45" s="22">
        <f t="shared" si="8"/>
        <v>0.142857142857143</v>
      </c>
      <c r="AO45" s="22">
        <f t="shared" si="9"/>
        <v>0</v>
      </c>
      <c r="AP45" s="7">
        <f t="shared" si="10"/>
        <v>0</v>
      </c>
      <c r="AQ45" s="7">
        <f t="shared" si="11"/>
        <v>0</v>
      </c>
      <c r="AR45" s="7">
        <f t="shared" si="12"/>
        <v>3</v>
      </c>
      <c r="AS45" t="str">
        <f t="shared" si="13"/>
        <v>库存为3</v>
      </c>
      <c r="AT45" s="2" t="str">
        <f>IFERROR(时间!$B$4+AS45,"上周无销量")</f>
        <v>上周无销量</v>
      </c>
    </row>
    <row r="46" spans="1:46">
      <c r="A46" t="s">
        <v>509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14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14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438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1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>
        <f t="shared" si="18"/>
        <v>0.00228310502283105</v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0.32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>无销量广告费为0.32</v>
      </c>
      <c r="AH46">
        <f>SUMIF('库存（子SKU）'!$C:$C,$A46,'库存（子SKU）'!AJ:AJ)</f>
        <v>1</v>
      </c>
      <c r="AI46">
        <f>SUMIF('库存（子SKU）'!$C:$C,$A46,'库存（子SKU）'!AK:AK)</f>
        <v>4</v>
      </c>
      <c r="AJ46">
        <f>SUMIF('库存（子SKU）'!$C:$C,$A46,'库存（子SKU）'!AL:AL)</f>
        <v>1</v>
      </c>
      <c r="AK46">
        <f>SUMIF('库存（子SKU）'!$C:$C,$A46,'库存（子SKU）'!AM:AM)</f>
        <v>3</v>
      </c>
      <c r="AL46" s="22">
        <f t="shared" si="6"/>
        <v>0</v>
      </c>
      <c r="AM46" s="22">
        <f t="shared" si="7"/>
        <v>0</v>
      </c>
      <c r="AN46" s="22">
        <f t="shared" si="8"/>
        <v>0</v>
      </c>
      <c r="AO46" s="22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14</v>
      </c>
      <c r="AS46" t="str">
        <f t="shared" si="13"/>
        <v>库存为14</v>
      </c>
      <c r="AT46" s="2" t="str">
        <f>IFERROR(时间!$B$4+AS46,"上周无销量")</f>
        <v>上周无销量</v>
      </c>
    </row>
    <row r="47" spans="1:46">
      <c r="A47" t="s">
        <v>514</v>
      </c>
      <c r="B47" s="5">
        <f>SUMIF('库存（子SKU）'!$C:$C,$A47,'库存（子SKU）'!D:D)</f>
        <v>8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>
        <v>12.365</v>
      </c>
      <c r="G47">
        <f>SUMIF('库存（子SKU）'!$C:$C,$A47,'库存（子SKU）'!I:I)</f>
        <v>39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39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>
        <f t="shared" si="2"/>
        <v>0</v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109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>
        <f t="shared" si="6"/>
        <v>0.073394495412844</v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1.14285714285714</v>
      </c>
      <c r="AQ47" s="7">
        <f t="shared" si="11"/>
        <v>68.5714285714286</v>
      </c>
      <c r="AR47" s="7">
        <f t="shared" si="12"/>
        <v>-29.5714285714286</v>
      </c>
      <c r="AS47">
        <f t="shared" si="13"/>
        <v>34</v>
      </c>
      <c r="AT47" s="2">
        <f>IFERROR(时间!$B$4+AS47,"上周无销量")</f>
        <v>43317</v>
      </c>
    </row>
    <row r="48" spans="1:46">
      <c r="A48" t="s">
        <v>541</v>
      </c>
      <c r="B48" s="5">
        <f>SUMIF('库存（子SKU）'!$C:$C,$A48,'库存（子SKU）'!D:D)</f>
        <v>52</v>
      </c>
      <c r="C48" s="5">
        <f>SUMIF('库存（子SKU）'!$C:$C,$A48,'库存（子SKU）'!E:E)</f>
        <v>23</v>
      </c>
      <c r="D48" s="5">
        <f>SUMIF('库存（子SKU）'!$C:$C,$A48,'库存（子SKU）'!F:F)</f>
        <v>9</v>
      </c>
      <c r="E48" s="5">
        <f>SUMIF('库存（子SKU）'!$C:$C,$A48,'库存（子SKU）'!G:G)</f>
        <v>0</v>
      </c>
      <c r="F48" s="6">
        <v>19.2042857142857</v>
      </c>
      <c r="G48">
        <f>SUMIF('库存（子SKU）'!$C:$C,$A48,'库存（子SKU）'!I:I)</f>
        <v>22</v>
      </c>
      <c r="H48">
        <f>SUMIF('库存（子SKU）'!$C:$C,$A48,'库存（子SKU）'!J:J)</f>
        <v>20</v>
      </c>
      <c r="I48">
        <f>SUMIF('库存（子SKU）'!$C:$C,$A48,'库存（子SKU）'!K:K)</f>
        <v>0</v>
      </c>
      <c r="J48">
        <f>SUMIF('库存（子SKU）'!$C:$C,$A48,'库存（子SKU）'!L:L)</f>
        <v>4</v>
      </c>
      <c r="K48">
        <f t="shared" si="0"/>
        <v>46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36095</v>
      </c>
      <c r="O48">
        <f>SUMIF('库存（子SKU）'!$C:$C,$A48,'库存（子SKU）'!Q:Q)</f>
        <v>11293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81</v>
      </c>
      <c r="S48">
        <f>SUMIF('库存（子SKU）'!$C:$C,$A48,'库存（子SKU）'!U:U)</f>
        <v>49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>
        <f t="shared" si="15"/>
        <v>0.00224407812716443</v>
      </c>
      <c r="W48" s="22">
        <f t="shared" si="16"/>
        <v>0.00433897104400956</v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70.41</v>
      </c>
      <c r="AA48">
        <f>SUMIF('库存（子SKU）'!$C:$C,$A48,'库存（子SKU）'!AC:AC)</f>
        <v>42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>
        <f t="shared" si="2"/>
        <v>0.0705070983468663</v>
      </c>
      <c r="AE48" s="22">
        <f t="shared" si="3"/>
        <v>0.0950874707703056</v>
      </c>
      <c r="AF48" s="22">
        <f t="shared" si="4"/>
        <v>0</v>
      </c>
      <c r="AG48" s="22" t="str">
        <f t="shared" si="5"/>
        <v/>
      </c>
      <c r="AH48">
        <f>SUMIF('库存（子SKU）'!$C:$C,$A48,'库存（子SKU）'!AJ:AJ)</f>
        <v>119</v>
      </c>
      <c r="AI48">
        <f>SUMIF('库存（子SKU）'!$C:$C,$A48,'库存（子SKU）'!AK:AK)</f>
        <v>110</v>
      </c>
      <c r="AJ48">
        <f>SUMIF('库存（子SKU）'!$C:$C,$A48,'库存（子SKU）'!AL:AL)</f>
        <v>82</v>
      </c>
      <c r="AK48">
        <f>SUMIF('库存（子SKU）'!$C:$C,$A48,'库存（子SKU）'!AM:AM)</f>
        <v>0</v>
      </c>
      <c r="AL48" s="22">
        <f t="shared" si="6"/>
        <v>0.436974789915966</v>
      </c>
      <c r="AM48" s="22">
        <f t="shared" si="7"/>
        <v>0.209090909090909</v>
      </c>
      <c r="AN48" s="22">
        <f t="shared" si="8"/>
        <v>0.109756097560976</v>
      </c>
      <c r="AO48" s="22" t="str">
        <f t="shared" si="9"/>
        <v/>
      </c>
      <c r="AP48" s="7">
        <f t="shared" si="10"/>
        <v>7.42857142857143</v>
      </c>
      <c r="AQ48" s="7">
        <f t="shared" si="11"/>
        <v>445.714285714286</v>
      </c>
      <c r="AR48" s="7">
        <f t="shared" si="12"/>
        <v>-399.714285714286</v>
      </c>
      <c r="AS48">
        <f t="shared" si="13"/>
        <v>6</v>
      </c>
      <c r="AT48" s="2">
        <f>IFERROR(时间!$B$4+AS48,"上周无销量")</f>
        <v>43289</v>
      </c>
    </row>
    <row r="49" spans="1:46">
      <c r="A49" t="s">
        <v>552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25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25</v>
      </c>
      <c r="L49">
        <f>SUMIF('库存（子SKU）'!$C:$C,$A49,'库存（子SKU）'!N:N)</f>
        <v>0</v>
      </c>
      <c r="M49">
        <f>SUMIF('库存（子SKU）'!$C:$C,$A49,'库存（子SKU）'!O:O)</f>
        <v>24</v>
      </c>
      <c r="N49">
        <f>SUMIF('库存（子SKU）'!$C:$C,$A49,'库存（子SKU）'!P:P)</f>
        <v>799</v>
      </c>
      <c r="O49">
        <f>SUMIF('库存（子SKU）'!$C:$C,$A49,'库存（子SKU）'!Q:Q)</f>
        <v>506</v>
      </c>
      <c r="P49">
        <f>SUMIF('库存（子SKU）'!$C:$C,$A49,'库存（子SKU）'!R:R)</f>
        <v>365</v>
      </c>
      <c r="Q49">
        <f>SUMIF('库存（子SKU）'!$C:$C,$A49,'库存（子SKU）'!S:S)</f>
        <v>1036</v>
      </c>
      <c r="R49">
        <f>SUMIF('库存（子SKU）'!$C:$C,$A49,'库存（子SKU）'!T:T)</f>
        <v>1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1</v>
      </c>
      <c r="V49" s="22">
        <f t="shared" si="15"/>
        <v>0.00125156445556946</v>
      </c>
      <c r="W49" s="22">
        <f t="shared" si="16"/>
        <v>0</v>
      </c>
      <c r="X49" s="22">
        <f t="shared" si="17"/>
        <v>0</v>
      </c>
      <c r="Y49" s="22">
        <f t="shared" si="18"/>
        <v>0.000965250965250965</v>
      </c>
      <c r="Z49">
        <f>SUMIF('库存（子SKU）'!$C:$C,$A49,'库存（子SKU）'!AB:AB)</f>
        <v>0.34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0.4</v>
      </c>
      <c r="AD49" s="22" t="str">
        <f t="shared" si="2"/>
        <v>无销量广告费为0.34</v>
      </c>
      <c r="AE49" s="22" t="str">
        <f t="shared" si="3"/>
        <v/>
      </c>
      <c r="AF49" s="22" t="str">
        <f t="shared" si="4"/>
        <v/>
      </c>
      <c r="AG49" s="22" t="str">
        <f t="shared" si="5"/>
        <v>无销量广告费为0.4</v>
      </c>
      <c r="AH49">
        <f>SUMIF('库存（子SKU）'!$C:$C,$A49,'库存（子SKU）'!AJ:AJ)</f>
        <v>19</v>
      </c>
      <c r="AI49">
        <f>SUMIF('库存（子SKU）'!$C:$C,$A49,'库存（子SKU）'!AK:AK)</f>
        <v>5</v>
      </c>
      <c r="AJ49">
        <f>SUMIF('库存（子SKU）'!$C:$C,$A49,'库存（子SKU）'!AL:AL)</f>
        <v>6</v>
      </c>
      <c r="AK49">
        <f>SUMIF('库存（子SKU）'!$C:$C,$A49,'库存（子SKU）'!AM:AM)</f>
        <v>3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25</v>
      </c>
      <c r="AS49" t="str">
        <f t="shared" si="13"/>
        <v>库存为25</v>
      </c>
      <c r="AT49" s="2" t="str">
        <f>IFERROR(时间!$B$4+AS49,"上周无销量")</f>
        <v>上周无销量</v>
      </c>
    </row>
    <row r="50" spans="1:46">
      <c r="A50" t="s">
        <v>565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10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17</v>
      </c>
      <c r="K50">
        <f t="shared" si="0"/>
        <v>27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11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</v>
      </c>
      <c r="AM50" s="22" t="str">
        <f t="shared" si="7"/>
        <v/>
      </c>
      <c r="AN50" s="22" t="str">
        <f t="shared" si="8"/>
        <v/>
      </c>
      <c r="AO50" s="22" t="str">
        <f t="shared" si="9"/>
        <v/>
      </c>
      <c r="AP50" s="7">
        <f t="shared" si="10"/>
        <v>0</v>
      </c>
      <c r="AQ50" s="7">
        <f t="shared" si="11"/>
        <v>0</v>
      </c>
      <c r="AR50" s="7">
        <f t="shared" si="12"/>
        <v>27</v>
      </c>
      <c r="AS50" t="str">
        <f t="shared" si="13"/>
        <v>库存为27</v>
      </c>
      <c r="AT50" s="2" t="str">
        <f>IFERROR(时间!$B$4+AS50,"上周无销量")</f>
        <v>上周无销量</v>
      </c>
    </row>
    <row r="51" spans="1:46">
      <c r="A51" t="s">
        <v>566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2" t="str">
        <f t="shared" si="6"/>
        <v/>
      </c>
      <c r="AM51" s="22" t="str">
        <f t="shared" si="7"/>
        <v/>
      </c>
      <c r="AN51" s="22" t="str">
        <f t="shared" si="8"/>
        <v/>
      </c>
      <c r="AO51" s="22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568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570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574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20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20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22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2">
        <f t="shared" si="6"/>
        <v>0</v>
      </c>
      <c r="AM54" s="22" t="str">
        <f t="shared" si="7"/>
        <v/>
      </c>
      <c r="AN54" s="22" t="str">
        <f t="shared" si="8"/>
        <v/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20</v>
      </c>
      <c r="AS54" t="str">
        <f t="shared" si="13"/>
        <v>库存为20</v>
      </c>
      <c r="AT54" s="2" t="str">
        <f>IFERROR(时间!$B$4+AS54,"上周无销量")</f>
        <v>上周无销量</v>
      </c>
    </row>
    <row r="55" spans="1:46">
      <c r="A55" t="s">
        <v>583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2" t="str">
        <f t="shared" si="6"/>
        <v/>
      </c>
      <c r="AM55" s="22" t="str">
        <f t="shared" si="7"/>
        <v/>
      </c>
      <c r="AN55" s="22" t="str">
        <f t="shared" si="8"/>
        <v/>
      </c>
      <c r="AO55" s="22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586</v>
      </c>
      <c r="B56" s="5">
        <f>SUMIF('库存（子SKU）'!$C:$C,$A56,'库存（子SKU）'!D:D)</f>
        <v>1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21.98</v>
      </c>
      <c r="G56">
        <f>SUMIF('库存（子SKU）'!$C:$C,$A56,'库存（子SKU）'!I:I)</f>
        <v>61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61</v>
      </c>
      <c r="L56">
        <f>SUMIF('库存（子SKU）'!$C:$C,$A56,'库存（子SKU）'!N:N)</f>
        <v>0</v>
      </c>
      <c r="M56">
        <f>SUMIF('库存（子SKU）'!$C:$C,$A56,'库存（子SKU）'!O:O)</f>
        <v>61</v>
      </c>
      <c r="N56">
        <f>SUMIF('库存（子SKU）'!$C:$C,$A56,'库存（子SKU）'!P:P)</f>
        <v>56</v>
      </c>
      <c r="O56">
        <f>SUMIF('库存（子SKU）'!$C:$C,$A56,'库存（子SKU）'!Q:Q)</f>
        <v>38</v>
      </c>
      <c r="P56">
        <f>SUMIF('库存（子SKU）'!$C:$C,$A56,'库存（子SKU）'!R:R)</f>
        <v>734</v>
      </c>
      <c r="Q56">
        <f>SUMIF('库存（子SKU）'!$C:$C,$A56,'库存（子SKU）'!S:S)</f>
        <v>773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1</v>
      </c>
      <c r="U56">
        <f>SUMIF('库存（子SKU）'!$C:$C,$A56,'库存（子SKU）'!W:W)</f>
        <v>4</v>
      </c>
      <c r="V56" s="22">
        <f t="shared" si="15"/>
        <v>0</v>
      </c>
      <c r="W56" s="22">
        <f t="shared" si="16"/>
        <v>0</v>
      </c>
      <c r="X56" s="22">
        <f t="shared" si="17"/>
        <v>0.00136239782016349</v>
      </c>
      <c r="Y56" s="22">
        <f t="shared" si="18"/>
        <v>0.00517464424320828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0.52</v>
      </c>
      <c r="AC56">
        <f>SUMIF('库存（子SKU）'!$C:$C,$A56,'库存（子SKU）'!AE:AE)</f>
        <v>1.16</v>
      </c>
      <c r="AD56" s="22">
        <f t="shared" si="2"/>
        <v>0</v>
      </c>
      <c r="AE56" s="22" t="str">
        <f t="shared" si="3"/>
        <v/>
      </c>
      <c r="AF56" s="22" t="str">
        <f t="shared" si="4"/>
        <v>无销量广告费为0.52</v>
      </c>
      <c r="AG56" s="22" t="str">
        <f t="shared" si="5"/>
        <v>无销量广告费为1.16</v>
      </c>
      <c r="AH56">
        <f>SUMIF('库存（子SKU）'!$C:$C,$A56,'库存（子SKU）'!AJ:AJ)</f>
        <v>39</v>
      </c>
      <c r="AI56">
        <f>SUMIF('库存（子SKU）'!$C:$C,$A56,'库存（子SKU）'!AK:AK)</f>
        <v>16</v>
      </c>
      <c r="AJ56">
        <f>SUMIF('库存（子SKU）'!$C:$C,$A56,'库存（子SKU）'!AL:AL)</f>
        <v>6</v>
      </c>
      <c r="AK56">
        <f>SUMIF('库存（子SKU）'!$C:$C,$A56,'库存（子SKU）'!AM:AM)</f>
        <v>9</v>
      </c>
      <c r="AL56" s="22">
        <f t="shared" si="6"/>
        <v>0.0256410256410256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52.4285714285714</v>
      </c>
      <c r="AS56">
        <f t="shared" si="13"/>
        <v>427</v>
      </c>
      <c r="AT56" s="2">
        <f>IFERROR(时间!$B$4+AS56,"上周无销量")</f>
        <v>43710</v>
      </c>
    </row>
    <row r="57" spans="1:46">
      <c r="A57" t="s">
        <v>622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4</v>
      </c>
      <c r="E57" s="5">
        <f>SUMIF('库存（子SKU）'!$C:$C,$A57,'库存（子SKU）'!G:G)</f>
        <v>2</v>
      </c>
      <c r="F57" s="6">
        <v>21.98</v>
      </c>
      <c r="G57">
        <f>SUMIF('库存（子SKU）'!$C:$C,$A57,'库存（子SKU）'!I:I)</f>
        <v>24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24</v>
      </c>
      <c r="L57">
        <f>SUMIF('库存（子SKU）'!$C:$C,$A57,'库存（子SKU）'!N:N)</f>
        <v>0</v>
      </c>
      <c r="M57">
        <f>SUMIF('库存（子SKU）'!$C:$C,$A57,'库存（子SKU）'!O:O)</f>
        <v>24</v>
      </c>
      <c r="N57">
        <f>SUMIF('库存（子SKU）'!$C:$C,$A57,'库存（子SKU）'!P:P)</f>
        <v>9031</v>
      </c>
      <c r="O57">
        <f>SUMIF('库存（子SKU）'!$C:$C,$A57,'库存（子SKU）'!Q:Q)</f>
        <v>24590</v>
      </c>
      <c r="P57">
        <f>SUMIF('库存（子SKU）'!$C:$C,$A57,'库存（子SKU）'!R:R)</f>
        <v>2760</v>
      </c>
      <c r="Q57">
        <f>SUMIF('库存（子SKU）'!$C:$C,$A57,'库存（子SKU）'!S:S)</f>
        <v>0</v>
      </c>
      <c r="R57">
        <f>SUMIF('库存（子SKU）'!$C:$C,$A57,'库存（子SKU）'!T:T)</f>
        <v>21</v>
      </c>
      <c r="S57">
        <f>SUMIF('库存（子SKU）'!$C:$C,$A57,'库存（子SKU）'!U:U)</f>
        <v>46</v>
      </c>
      <c r="T57">
        <f>SUMIF('库存（子SKU）'!$C:$C,$A57,'库存（子SKU）'!V:V)</f>
        <v>11</v>
      </c>
      <c r="U57">
        <f>SUMIF('库存（子SKU）'!$C:$C,$A57,'库存（子SKU）'!W:W)</f>
        <v>0</v>
      </c>
      <c r="V57" s="22">
        <f t="shared" si="15"/>
        <v>0.00232532388439818</v>
      </c>
      <c r="W57" s="22">
        <f t="shared" si="16"/>
        <v>0.00187067913786092</v>
      </c>
      <c r="X57" s="22">
        <f t="shared" si="17"/>
        <v>0.00398550724637681</v>
      </c>
      <c r="Y57" s="22" t="str">
        <f t="shared" si="18"/>
        <v/>
      </c>
      <c r="Z57">
        <f>SUMIF('库存（子SKU）'!$C:$C,$A57,'库存（子SKU）'!AB:AB)</f>
        <v>11.33</v>
      </c>
      <c r="AA57">
        <f>SUMIF('库存（子SKU）'!$C:$C,$A57,'库存（子SKU）'!AC:AC)</f>
        <v>21.63</v>
      </c>
      <c r="AB57">
        <f>SUMIF('库存（子SKU）'!$C:$C,$A57,'库存（子SKU）'!AD:AD)</f>
        <v>5.57</v>
      </c>
      <c r="AC57">
        <f>SUMIF('库存（子SKU）'!$C:$C,$A57,'库存（子SKU）'!AE:AE)</f>
        <v>0</v>
      </c>
      <c r="AD57" s="22" t="str">
        <f t="shared" si="2"/>
        <v>无销量广告费为11.33</v>
      </c>
      <c r="AE57" s="22" t="str">
        <f t="shared" si="3"/>
        <v>无销量广告费为21.63</v>
      </c>
      <c r="AF57" s="22">
        <f t="shared" si="4"/>
        <v>0.0633530482256597</v>
      </c>
      <c r="AG57" s="22">
        <f t="shared" si="5"/>
        <v>0</v>
      </c>
      <c r="AH57">
        <f>SUMIF('库存（子SKU）'!$C:$C,$A57,'库存（子SKU）'!AJ:AJ)</f>
        <v>22</v>
      </c>
      <c r="AI57">
        <f>SUMIF('库存（子SKU）'!$C:$C,$A57,'库存（子SKU）'!AK:AK)</f>
        <v>25</v>
      </c>
      <c r="AJ57">
        <f>SUMIF('库存（子SKU）'!$C:$C,$A57,'库存（子SKU）'!AL:AL)</f>
        <v>42</v>
      </c>
      <c r="AK57">
        <f>SUMIF('库存（子SKU）'!$C:$C,$A57,'库存（子SKU）'!AM:AM)</f>
        <v>30</v>
      </c>
      <c r="AL57" s="22">
        <f t="shared" si="6"/>
        <v>0</v>
      </c>
      <c r="AM57" s="22">
        <f t="shared" si="7"/>
        <v>0</v>
      </c>
      <c r="AN57" s="22">
        <f t="shared" si="8"/>
        <v>0.0952380952380952</v>
      </c>
      <c r="AO57" s="22">
        <f t="shared" si="9"/>
        <v>0.0666666666666667</v>
      </c>
      <c r="AP57" s="7">
        <f t="shared" si="10"/>
        <v>0</v>
      </c>
      <c r="AQ57" s="7">
        <f t="shared" si="11"/>
        <v>0</v>
      </c>
      <c r="AR57" s="7">
        <f t="shared" si="12"/>
        <v>24</v>
      </c>
      <c r="AS57" t="str">
        <f t="shared" si="13"/>
        <v>库存为24</v>
      </c>
      <c r="AT57" s="2" t="str">
        <f>IFERROR(时间!$B$4+AS57,"上周无销量")</f>
        <v>上周无销量</v>
      </c>
    </row>
    <row r="58" spans="1:46">
      <c r="A58" t="s">
        <v>645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9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86</v>
      </c>
      <c r="P58">
        <f>SUMIF('库存（子SKU）'!$C:$C,$A58,'库存（子SKU）'!R:R)</f>
        <v>914</v>
      </c>
      <c r="Q58">
        <f>SUMIF('库存（子SKU）'!$C:$C,$A58,'库存（子SKU）'!S:S)</f>
        <v>243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>
        <f t="shared" si="16"/>
        <v>0</v>
      </c>
      <c r="X58" s="22">
        <f t="shared" si="17"/>
        <v>0</v>
      </c>
      <c r="Y58" s="22">
        <f t="shared" si="18"/>
        <v>0</v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10</v>
      </c>
      <c r="AI58">
        <f>SUMIF('库存（子SKU）'!$C:$C,$A58,'库存（子SKU）'!AK:AK)</f>
        <v>9</v>
      </c>
      <c r="AJ58">
        <f>SUMIF('库存（子SKU）'!$C:$C,$A58,'库存（子SKU）'!AL:AL)</f>
        <v>2</v>
      </c>
      <c r="AK58">
        <f>SUMIF('库存（子SKU）'!$C:$C,$A58,'库存（子SKU）'!AM:AM)</f>
        <v>3</v>
      </c>
      <c r="AL58" s="22">
        <f t="shared" si="6"/>
        <v>0</v>
      </c>
      <c r="AM58" s="22">
        <f t="shared" si="7"/>
        <v>0</v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9</v>
      </c>
      <c r="AS58" t="str">
        <f t="shared" si="13"/>
        <v>库存为9</v>
      </c>
      <c r="AT58" s="2" t="str">
        <f>IFERROR(时间!$B$4+AS58,"上周无销量")</f>
        <v>上周无销量</v>
      </c>
    </row>
    <row r="59" spans="1:46">
      <c r="A59" t="s">
        <v>654</v>
      </c>
      <c r="B59" s="5">
        <f>SUMIF('库存（子SKU）'!$C:$C,$A59,'库存（子SKU）'!D:D)</f>
        <v>5</v>
      </c>
      <c r="C59" s="5">
        <f>SUMIF('库存（子SKU）'!$C:$C,$A59,'库存（子SKU）'!E:E)</f>
        <v>2</v>
      </c>
      <c r="D59" s="5">
        <f>SUMIF('库存（子SKU）'!$C:$C,$A59,'库存（子SKU）'!F:F)</f>
        <v>12</v>
      </c>
      <c r="E59" s="5">
        <f>SUMIF('库存（子SKU）'!$C:$C,$A59,'库存（子SKU）'!G:G)</f>
        <v>2</v>
      </c>
      <c r="F59" s="6">
        <v>12.99</v>
      </c>
      <c r="G59">
        <f>SUMIF('库存（子SKU）'!$C:$C,$A59,'库存（子SKU）'!I:I)</f>
        <v>65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65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1797</v>
      </c>
      <c r="P59">
        <f>SUMIF('库存（子SKU）'!$C:$C,$A59,'库存（子SKU）'!R:R)</f>
        <v>2339</v>
      </c>
      <c r="Q59">
        <f>SUMIF('库存（子SKU）'!$C:$C,$A59,'库存（子SKU）'!S:S)</f>
        <v>228</v>
      </c>
      <c r="R59">
        <f>SUMIF('库存（子SKU）'!$C:$C,$A59,'库存（子SKU）'!T:T)</f>
        <v>0</v>
      </c>
      <c r="S59">
        <f>SUMIF('库存（子SKU）'!$C:$C,$A59,'库存（子SKU）'!U:U)</f>
        <v>8</v>
      </c>
      <c r="T59">
        <f>SUMIF('库存（子SKU）'!$C:$C,$A59,'库存（子SKU）'!V:V)</f>
        <v>15</v>
      </c>
      <c r="U59">
        <f>SUMIF('库存（子SKU）'!$C:$C,$A59,'库存（子SKU）'!W:W)</f>
        <v>3</v>
      </c>
      <c r="V59" s="22" t="str">
        <f t="shared" si="15"/>
        <v/>
      </c>
      <c r="W59" s="22">
        <f t="shared" si="16"/>
        <v>0.00445186421814135</v>
      </c>
      <c r="X59" s="22">
        <f t="shared" si="17"/>
        <v>0.00641299700726806</v>
      </c>
      <c r="Y59" s="22">
        <f t="shared" si="18"/>
        <v>0.0131578947368421</v>
      </c>
      <c r="Z59">
        <f>SUMIF('库存（子SKU）'!$C:$C,$A59,'库存（子SKU）'!AB:AB)</f>
        <v>0</v>
      </c>
      <c r="AA59">
        <f>SUMIF('库存（子SKU）'!$C:$C,$A59,'库存（子SKU）'!AC:AC)</f>
        <v>5.69</v>
      </c>
      <c r="AB59">
        <f>SUMIF('库存（子SKU）'!$C:$C,$A59,'库存（子SKU）'!AD:AD)</f>
        <v>11.47</v>
      </c>
      <c r="AC59">
        <f>SUMIF('库存（子SKU）'!$C:$C,$A59,'库存（子SKU）'!AE:AE)</f>
        <v>0.99</v>
      </c>
      <c r="AD59" s="22">
        <f t="shared" si="2"/>
        <v>0</v>
      </c>
      <c r="AE59" s="22">
        <f t="shared" si="3"/>
        <v>0.219014626635874</v>
      </c>
      <c r="AF59" s="22">
        <f t="shared" si="4"/>
        <v>0.073582242750834</v>
      </c>
      <c r="AG59" s="22">
        <f t="shared" si="5"/>
        <v>0.0381062355658199</v>
      </c>
      <c r="AH59">
        <f>SUMIF('库存（子SKU）'!$C:$C,$A59,'库存（子SKU）'!AJ:AJ)</f>
        <v>57</v>
      </c>
      <c r="AI59">
        <f>SUMIF('库存（子SKU）'!$C:$C,$A59,'库存（子SKU）'!AK:AK)</f>
        <v>54</v>
      </c>
      <c r="AJ59">
        <f>SUMIF('库存（子SKU）'!$C:$C,$A59,'库存（子SKU）'!AL:AL)</f>
        <v>50</v>
      </c>
      <c r="AK59">
        <f>SUMIF('库存（子SKU）'!$C:$C,$A59,'库存（子SKU）'!AM:AM)</f>
        <v>52</v>
      </c>
      <c r="AL59" s="22">
        <f t="shared" si="6"/>
        <v>0.087719298245614</v>
      </c>
      <c r="AM59" s="22">
        <f t="shared" si="7"/>
        <v>0.037037037037037</v>
      </c>
      <c r="AN59" s="22">
        <f t="shared" si="8"/>
        <v>0.24</v>
      </c>
      <c r="AO59" s="22">
        <f t="shared" si="9"/>
        <v>0.0384615384615385</v>
      </c>
      <c r="AP59" s="7">
        <f t="shared" si="10"/>
        <v>0.714285714285714</v>
      </c>
      <c r="AQ59" s="7">
        <f t="shared" si="11"/>
        <v>42.8571428571429</v>
      </c>
      <c r="AR59" s="7">
        <f t="shared" si="12"/>
        <v>22.1428571428571</v>
      </c>
      <c r="AS59">
        <f t="shared" si="13"/>
        <v>91</v>
      </c>
      <c r="AT59" s="2">
        <f>IFERROR(时间!$B$4+AS59,"上周无销量")</f>
        <v>43374</v>
      </c>
    </row>
    <row r="60" spans="1:46">
      <c r="A60" t="s">
        <v>664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2</v>
      </c>
      <c r="F60" s="6">
        <v>9.995</v>
      </c>
      <c r="G60">
        <f>SUMIF('库存（子SKU）'!$C:$C,$A60,'库存（子SKU）'!I:I)</f>
        <v>3</v>
      </c>
      <c r="H60">
        <f>SUMIF('库存（子SKU）'!$C:$C,$A60,'库存（子SKU）'!J:J)</f>
        <v>0</v>
      </c>
      <c r="I60">
        <f>SUMIF('库存（子SKU）'!$C:$C,$A60,'库存（子SKU）'!K:K)</f>
        <v>1</v>
      </c>
      <c r="J60">
        <f>SUMIF('库存（子SKU）'!$C:$C,$A60,'库存（子SKU）'!L:L)</f>
        <v>0</v>
      </c>
      <c r="K60">
        <f t="shared" si="0"/>
        <v>4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616</v>
      </c>
      <c r="O60">
        <f>SUMIF('库存（子SKU）'!$C:$C,$A60,'库存（子SKU）'!Q:Q)</f>
        <v>396</v>
      </c>
      <c r="P60">
        <f>SUMIF('库存（子SKU）'!$C:$C,$A60,'库存（子SKU）'!R:R)</f>
        <v>178</v>
      </c>
      <c r="Q60">
        <f>SUMIF('库存（子SKU）'!$C:$C,$A60,'库存（子SKU）'!S:S)</f>
        <v>481</v>
      </c>
      <c r="R60">
        <f>SUMIF('库存（子SKU）'!$C:$C,$A60,'库存（子SKU）'!T:T)</f>
        <v>3</v>
      </c>
      <c r="S60">
        <f>SUMIF('库存（子SKU）'!$C:$C,$A60,'库存（子SKU）'!U:U)</f>
        <v>3</v>
      </c>
      <c r="T60">
        <f>SUMIF('库存（子SKU）'!$C:$C,$A60,'库存（子SKU）'!V:V)</f>
        <v>1</v>
      </c>
      <c r="U60">
        <f>SUMIF('库存（子SKU）'!$C:$C,$A60,'库存（子SKU）'!W:W)</f>
        <v>5</v>
      </c>
      <c r="V60" s="22">
        <f t="shared" si="15"/>
        <v>0.00487012987012987</v>
      </c>
      <c r="W60" s="22">
        <f t="shared" si="16"/>
        <v>0.00757575757575758</v>
      </c>
      <c r="X60" s="22">
        <f t="shared" si="17"/>
        <v>0.00561797752808989</v>
      </c>
      <c r="Y60" s="22">
        <f t="shared" si="18"/>
        <v>0.0103950103950104</v>
      </c>
      <c r="Z60">
        <f>SUMIF('库存（子SKU）'!$C:$C,$A60,'库存（子SKU）'!AB:AB)</f>
        <v>1.11</v>
      </c>
      <c r="AA60">
        <f>SUMIF('库存（子SKU）'!$C:$C,$A60,'库存（子SKU）'!AC:AC)</f>
        <v>0.45</v>
      </c>
      <c r="AB60">
        <f>SUMIF('库存（子SKU）'!$C:$C,$A60,'库存（子SKU）'!AD:AD)</f>
        <v>0.38</v>
      </c>
      <c r="AC60">
        <f>SUMIF('库存（子SKU）'!$C:$C,$A60,'库存（子SKU）'!AE:AE)</f>
        <v>1.58</v>
      </c>
      <c r="AD60" s="22" t="str">
        <f t="shared" si="2"/>
        <v>无销量广告费为1.11</v>
      </c>
      <c r="AE60" s="22" t="str">
        <f t="shared" si="3"/>
        <v>无销量广告费为0.45</v>
      </c>
      <c r="AF60" s="22" t="str">
        <f t="shared" si="4"/>
        <v>无销量广告费为0.38</v>
      </c>
      <c r="AG60" s="22">
        <f t="shared" si="5"/>
        <v>0.07903951975988</v>
      </c>
      <c r="AH60">
        <f>SUMIF('库存（子SKU）'!$C:$C,$A60,'库存（子SKU）'!AJ:AJ)</f>
        <v>0</v>
      </c>
      <c r="AI60">
        <f>SUMIF('库存（子SKU）'!$C:$C,$A60,'库存（子SKU）'!AK:AK)</f>
        <v>3</v>
      </c>
      <c r="AJ60">
        <f>SUMIF('库存（子SKU）'!$C:$C,$A60,'库存（子SKU）'!AL:AL)</f>
        <v>2</v>
      </c>
      <c r="AK60">
        <f>SUMIF('库存（子SKU）'!$C:$C,$A60,'库存（子SKU）'!AM:AM)</f>
        <v>4</v>
      </c>
      <c r="AL60" s="22" t="str">
        <f t="shared" si="6"/>
        <v/>
      </c>
      <c r="AM60" s="22">
        <f t="shared" si="7"/>
        <v>0</v>
      </c>
      <c r="AN60" s="22">
        <f t="shared" si="8"/>
        <v>0</v>
      </c>
      <c r="AO60" s="22">
        <f t="shared" si="9"/>
        <v>0.5</v>
      </c>
      <c r="AP60" s="7">
        <f t="shared" si="10"/>
        <v>0</v>
      </c>
      <c r="AQ60" s="7">
        <f t="shared" si="11"/>
        <v>0</v>
      </c>
      <c r="AR60" s="7">
        <f t="shared" si="12"/>
        <v>4</v>
      </c>
      <c r="AS60" t="str">
        <f t="shared" si="13"/>
        <v>库存为4</v>
      </c>
      <c r="AT60" s="2" t="str">
        <f>IFERROR(时间!$B$4+AS60,"上周无销量")</f>
        <v>上周无销量</v>
      </c>
    </row>
    <row r="61" spans="1:46">
      <c r="A61" t="s">
        <v>668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1</v>
      </c>
      <c r="E61" s="5">
        <f>SUMIF('库存（子SKU）'!$C:$C,$A61,'库存（子SKU）'!G:G)</f>
        <v>0</v>
      </c>
      <c r="F61" s="6">
        <v>9.99</v>
      </c>
      <c r="G61">
        <f>SUMIF('库存（子SKU）'!$C:$C,$A61,'库存（子SKU）'!I:I)</f>
        <v>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3712</v>
      </c>
      <c r="O61">
        <f>SUMIF('库存（子SKU）'!$C:$C,$A61,'库存（子SKU）'!Q:Q)</f>
        <v>1848</v>
      </c>
      <c r="P61">
        <f>SUMIF('库存（子SKU）'!$C:$C,$A61,'库存（子SKU）'!R:R)</f>
        <v>886</v>
      </c>
      <c r="Q61">
        <f>SUMIF('库存（子SKU）'!$C:$C,$A61,'库存（子SKU）'!S:S)</f>
        <v>1260</v>
      </c>
      <c r="R61">
        <f>SUMIF('库存（子SKU）'!$C:$C,$A61,'库存（子SKU）'!T:T)</f>
        <v>1</v>
      </c>
      <c r="S61">
        <f>SUMIF('库存（子SKU）'!$C:$C,$A61,'库存（子SKU）'!U:U)</f>
        <v>3</v>
      </c>
      <c r="T61">
        <f>SUMIF('库存（子SKU）'!$C:$C,$A61,'库存（子SKU）'!V:V)</f>
        <v>0</v>
      </c>
      <c r="U61">
        <f>SUMIF('库存（子SKU）'!$C:$C,$A61,'库存（子SKU）'!W:W)</f>
        <v>1</v>
      </c>
      <c r="V61" s="22">
        <f t="shared" si="15"/>
        <v>0.000269396551724138</v>
      </c>
      <c r="W61" s="22">
        <f t="shared" si="16"/>
        <v>0.00162337662337662</v>
      </c>
      <c r="X61" s="22">
        <f t="shared" si="17"/>
        <v>0</v>
      </c>
      <c r="Y61" s="22">
        <f t="shared" si="18"/>
        <v>0.000793650793650794</v>
      </c>
      <c r="Z61">
        <f>SUMIF('库存（子SKU）'!$C:$C,$A61,'库存（子SKU）'!AB:AB)</f>
        <v>0.1</v>
      </c>
      <c r="AA61">
        <f>SUMIF('库存（子SKU）'!$C:$C,$A61,'库存（子SKU）'!AC:AC)</f>
        <v>1.24</v>
      </c>
      <c r="AB61">
        <f>SUMIF('库存（子SKU）'!$C:$C,$A61,'库存（子SKU）'!AD:AD)</f>
        <v>0</v>
      </c>
      <c r="AC61">
        <f>SUMIF('库存（子SKU）'!$C:$C,$A61,'库存（子SKU）'!AE:AE)</f>
        <v>0.22</v>
      </c>
      <c r="AD61" s="22" t="str">
        <f t="shared" si="2"/>
        <v>无销量广告费为0.1</v>
      </c>
      <c r="AE61" s="22" t="str">
        <f t="shared" si="3"/>
        <v>无销量广告费为1.24</v>
      </c>
      <c r="AF61" s="22">
        <f t="shared" si="4"/>
        <v>0</v>
      </c>
      <c r="AG61" s="22" t="str">
        <f t="shared" si="5"/>
        <v>无销量广告费为0.22</v>
      </c>
      <c r="AH61">
        <f>SUMIF('库存（子SKU）'!$C:$C,$A61,'库存（子SKU）'!AJ:AJ)</f>
        <v>2</v>
      </c>
      <c r="AI61">
        <f>SUMIF('库存（子SKU）'!$C:$C,$A61,'库存（子SKU）'!AK:AK)</f>
        <v>2</v>
      </c>
      <c r="AJ61">
        <f>SUMIF('库存（子SKU）'!$C:$C,$A61,'库存（子SKU）'!AL:AL)</f>
        <v>5</v>
      </c>
      <c r="AK61">
        <f>SUMIF('库存（子SKU）'!$C:$C,$A61,'库存（子SKU）'!AM:AM)</f>
        <v>0</v>
      </c>
      <c r="AL61" s="22">
        <f t="shared" si="6"/>
        <v>0</v>
      </c>
      <c r="AM61" s="22">
        <f t="shared" si="7"/>
        <v>0</v>
      </c>
      <c r="AN61" s="22">
        <f t="shared" si="8"/>
        <v>0.2</v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4</v>
      </c>
      <c r="AS61" t="str">
        <f t="shared" si="13"/>
        <v>库存为4</v>
      </c>
      <c r="AT61" s="2" t="str">
        <f>IFERROR(时间!$B$4+AS61,"上周无销量")</f>
        <v>上周无销量</v>
      </c>
    </row>
    <row r="62" spans="1:46">
      <c r="A62" t="s">
        <v>672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2</v>
      </c>
      <c r="E62" s="5">
        <f>SUMIF('库存（子SKU）'!$C:$C,$A62,'库存（子SKU）'!G:G)</f>
        <v>0</v>
      </c>
      <c r="F62" s="6">
        <v>9.99</v>
      </c>
      <c r="G62">
        <f>SUMIF('库存（子SKU）'!$C:$C,$A62,'库存（子SKU）'!I:I)</f>
        <v>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3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731</v>
      </c>
      <c r="O62">
        <f>SUMIF('库存（子SKU）'!$C:$C,$A62,'库存（子SKU）'!Q:Q)</f>
        <v>408</v>
      </c>
      <c r="P62">
        <f>SUMIF('库存（子SKU）'!$C:$C,$A62,'库存（子SKU）'!R:R)</f>
        <v>210</v>
      </c>
      <c r="Q62">
        <f>SUMIF('库存（子SKU）'!$C:$C,$A62,'库存（子SKU）'!S:S)</f>
        <v>267</v>
      </c>
      <c r="R62">
        <f>SUMIF('库存（子SKU）'!$C:$C,$A62,'库存（子SKU）'!T:T)</f>
        <v>0</v>
      </c>
      <c r="S62">
        <f>SUMIF('库存（子SKU）'!$C:$C,$A62,'库存（子SKU）'!U:U)</f>
        <v>1</v>
      </c>
      <c r="T62">
        <f>SUMIF('库存（子SKU）'!$C:$C,$A62,'库存（子SKU）'!V:V)</f>
        <v>2</v>
      </c>
      <c r="U62">
        <f>SUMIF('库存（子SKU）'!$C:$C,$A62,'库存（子SKU）'!W:W)</f>
        <v>2</v>
      </c>
      <c r="V62" s="22">
        <f t="shared" si="15"/>
        <v>0</v>
      </c>
      <c r="W62" s="22">
        <f t="shared" si="16"/>
        <v>0.00245098039215686</v>
      </c>
      <c r="X62" s="22">
        <f t="shared" si="17"/>
        <v>0.00952380952380952</v>
      </c>
      <c r="Y62" s="22">
        <f t="shared" si="18"/>
        <v>0.00749063670411985</v>
      </c>
      <c r="Z62">
        <f>SUMIF('库存（子SKU）'!$C:$C,$A62,'库存（子SKU）'!AB:AB)</f>
        <v>0</v>
      </c>
      <c r="AA62">
        <f>SUMIF('库存（子SKU）'!$C:$C,$A62,'库存（子SKU）'!AC:AC)</f>
        <v>0.22</v>
      </c>
      <c r="AB62">
        <f>SUMIF('库存（子SKU）'!$C:$C,$A62,'库存（子SKU）'!AD:AD)</f>
        <v>0.49</v>
      </c>
      <c r="AC62">
        <f>SUMIF('库存（子SKU）'!$C:$C,$A62,'库存（子SKU）'!AE:AE)</f>
        <v>0.87</v>
      </c>
      <c r="AD62" s="22" t="str">
        <f t="shared" si="2"/>
        <v/>
      </c>
      <c r="AE62" s="22" t="str">
        <f t="shared" si="3"/>
        <v>无销量广告费为0.22</v>
      </c>
      <c r="AF62" s="22">
        <f t="shared" si="4"/>
        <v>0.0245245245245245</v>
      </c>
      <c r="AG62" s="22" t="str">
        <f t="shared" si="5"/>
        <v>无销量广告费为0.87</v>
      </c>
      <c r="AH62">
        <f>SUMIF('库存（子SKU）'!$C:$C,$A62,'库存（子SKU）'!AJ:AJ)</f>
        <v>3</v>
      </c>
      <c r="AI62">
        <f>SUMIF('库存（子SKU）'!$C:$C,$A62,'库存（子SKU）'!AK:AK)</f>
        <v>5</v>
      </c>
      <c r="AJ62">
        <f>SUMIF('库存（子SKU）'!$C:$C,$A62,'库存（子SKU）'!AL:AL)</f>
        <v>4</v>
      </c>
      <c r="AK62">
        <f>SUMIF('库存（子SKU）'!$C:$C,$A62,'库存（子SKU）'!AM:AM)</f>
        <v>1</v>
      </c>
      <c r="AL62" s="22">
        <f t="shared" si="6"/>
        <v>0</v>
      </c>
      <c r="AM62" s="22">
        <f t="shared" si="7"/>
        <v>0</v>
      </c>
      <c r="AN62" s="22">
        <f t="shared" si="8"/>
        <v>0.5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3</v>
      </c>
      <c r="AS62" t="str">
        <f t="shared" si="13"/>
        <v>库存为3</v>
      </c>
      <c r="AT62" s="2" t="str">
        <f>IFERROR(时间!$B$4+AS62,"上周无销量")</f>
        <v>上周无销量</v>
      </c>
    </row>
    <row r="63" spans="1:46">
      <c r="A63" t="s">
        <v>676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4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2</v>
      </c>
      <c r="AL63" s="22">
        <f t="shared" si="6"/>
        <v>0</v>
      </c>
      <c r="AM63" s="22" t="str">
        <f t="shared" si="7"/>
        <v/>
      </c>
      <c r="AN63" s="22" t="str">
        <f t="shared" si="8"/>
        <v/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3</v>
      </c>
      <c r="AS63" t="str">
        <f t="shared" si="13"/>
        <v>库存为3</v>
      </c>
      <c r="AT63" s="2" t="str">
        <f>IFERROR(时间!$B$4+AS63,"上周无销量")</f>
        <v>上周无销量</v>
      </c>
    </row>
    <row r="64" spans="1:46">
      <c r="A64" t="s">
        <v>679</v>
      </c>
      <c r="B64" s="5">
        <f>SUMIF('库存（子SKU）'!$C:$C,$A64,'库存（子SKU）'!D:D)</f>
        <v>1</v>
      </c>
      <c r="C64" s="5">
        <f>SUMIF('库存（子SKU）'!$C:$C,$A64,'库存（子SKU）'!E:E)</f>
        <v>9</v>
      </c>
      <c r="D64" s="5">
        <f>SUMIF('库存（子SKU）'!$C:$C,$A64,'库存（子SKU）'!F:F)</f>
        <v>7</v>
      </c>
      <c r="E64" s="5">
        <f>SUMIF('库存（子SKU）'!$C:$C,$A64,'库存（子SKU）'!G:G)</f>
        <v>7</v>
      </c>
      <c r="F64" s="6" t="s">
        <v>53</v>
      </c>
      <c r="G64">
        <f>SUMIF('库存（子SKU）'!$C:$C,$A64,'库存（子SKU）'!I:I)</f>
        <v>31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31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20906</v>
      </c>
      <c r="O64">
        <f>SUMIF('库存（子SKU）'!$C:$C,$A64,'库存（子SKU）'!Q:Q)</f>
        <v>3402</v>
      </c>
      <c r="P64">
        <f>SUMIF('库存（子SKU）'!$C:$C,$A64,'库存（子SKU）'!R:R)</f>
        <v>4691</v>
      </c>
      <c r="Q64">
        <f>SUMIF('库存（子SKU）'!$C:$C,$A64,'库存（子SKU）'!S:S)</f>
        <v>3539</v>
      </c>
      <c r="R64">
        <f>SUMIF('库存（子SKU）'!$C:$C,$A64,'库存（子SKU）'!T:T)</f>
        <v>46</v>
      </c>
      <c r="S64">
        <f>SUMIF('库存（子SKU）'!$C:$C,$A64,'库存（子SKU）'!U:U)</f>
        <v>12</v>
      </c>
      <c r="T64">
        <f>SUMIF('库存（子SKU）'!$C:$C,$A64,'库存（子SKU）'!V:V)</f>
        <v>23</v>
      </c>
      <c r="U64">
        <f>SUMIF('库存（子SKU）'!$C:$C,$A64,'库存（子SKU）'!W:W)</f>
        <v>13</v>
      </c>
      <c r="V64" s="22">
        <f t="shared" si="15"/>
        <v>0.00220032526547403</v>
      </c>
      <c r="W64" s="22">
        <f t="shared" si="16"/>
        <v>0.00352733686067019</v>
      </c>
      <c r="X64" s="22">
        <f t="shared" si="17"/>
        <v>0.00490300575570241</v>
      </c>
      <c r="Y64" s="22">
        <f t="shared" si="18"/>
        <v>0.00367335405481775</v>
      </c>
      <c r="Z64">
        <f>SUMIF('库存（子SKU）'!$C:$C,$A64,'库存（子SKU）'!AB:AB)</f>
        <v>23.51</v>
      </c>
      <c r="AA64">
        <f>SUMIF('库存（子SKU）'!$C:$C,$A64,'库存（子SKU）'!AC:AC)</f>
        <v>5.02</v>
      </c>
      <c r="AB64">
        <f>SUMIF('库存（子SKU）'!$C:$C,$A64,'库存（子SKU）'!AD:AD)</f>
        <v>11.38</v>
      </c>
      <c r="AC64">
        <f>SUMIF('库存（子SKU）'!$C:$C,$A64,'库存（子SKU）'!AE:AE)</f>
        <v>4.48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74</v>
      </c>
      <c r="AI64">
        <f>SUMIF('库存（子SKU）'!$C:$C,$A64,'库存（子SKU）'!AK:AK)</f>
        <v>119</v>
      </c>
      <c r="AJ64">
        <f>SUMIF('库存（子SKU）'!$C:$C,$A64,'库存（子SKU）'!AL:AL)</f>
        <v>21</v>
      </c>
      <c r="AK64">
        <f>SUMIF('库存（子SKU）'!$C:$C,$A64,'库存（子SKU）'!AM:AM)</f>
        <v>10</v>
      </c>
      <c r="AL64" s="22">
        <f t="shared" si="6"/>
        <v>0.0135135135135135</v>
      </c>
      <c r="AM64" s="22">
        <f t="shared" si="7"/>
        <v>0.0756302521008403</v>
      </c>
      <c r="AN64" s="22">
        <f t="shared" si="8"/>
        <v>0.333333333333333</v>
      </c>
      <c r="AO64" s="22">
        <f t="shared" si="9"/>
        <v>0.7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22.4285714285714</v>
      </c>
      <c r="AS64">
        <f t="shared" si="13"/>
        <v>217</v>
      </c>
      <c r="AT64" s="2">
        <f>IFERROR(时间!$B$4+AS64,"上周无销量")</f>
        <v>43500</v>
      </c>
    </row>
    <row r="65" spans="1:46">
      <c r="A65" t="s">
        <v>688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15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15</v>
      </c>
      <c r="L65">
        <f>SUMIF('库存（子SKU）'!$C:$C,$A65,'库存（子SKU）'!N:N)</f>
        <v>0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308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>
        <f t="shared" si="18"/>
        <v>0</v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3</v>
      </c>
      <c r="AI65">
        <f>SUMIF('库存（子SKU）'!$C:$C,$A65,'库存（子SKU）'!AK:AK)</f>
        <v>2</v>
      </c>
      <c r="AJ65">
        <f>SUMIF('库存（子SKU）'!$C:$C,$A65,'库存（子SKU）'!AL:AL)</f>
        <v>9</v>
      </c>
      <c r="AK65">
        <f>SUMIF('库存（子SKU）'!$C:$C,$A65,'库存（子SKU）'!AM:AM)</f>
        <v>1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15</v>
      </c>
      <c r="AS65" t="str">
        <f t="shared" si="13"/>
        <v>库存为15</v>
      </c>
      <c r="AT65" s="2" t="str">
        <f>IFERROR(时间!$B$4+AS65,"上周无销量")</f>
        <v>上周无销量</v>
      </c>
    </row>
    <row r="66" spans="1:46">
      <c r="A66" t="s">
        <v>697</v>
      </c>
      <c r="B66" s="5">
        <f>SUMIF('库存（子SKU）'!$C:$C,$A66,'库存（子SKU）'!D:D)</f>
        <v>2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>
        <v>15.99</v>
      </c>
      <c r="G66">
        <f>SUMIF('库存（子SKU）'!$C:$C,$A66,'库存（子SKU）'!I:I)</f>
        <v>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6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>
        <f t="shared" si="2"/>
        <v>0</v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14</v>
      </c>
      <c r="AI66">
        <f>SUMIF('库存（子SKU）'!$C:$C,$A66,'库存（子SKU）'!AK:AK)</f>
        <v>8</v>
      </c>
      <c r="AJ66">
        <f>SUMIF('库存（子SKU）'!$C:$C,$A66,'库存（子SKU）'!AL:AL)</f>
        <v>8</v>
      </c>
      <c r="AK66">
        <f>SUMIF('库存（子SKU）'!$C:$C,$A66,'库存（子SKU）'!AM:AM)</f>
        <v>5</v>
      </c>
      <c r="AL66" s="22">
        <f t="shared" si="6"/>
        <v>0.142857142857143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0.285714285714286</v>
      </c>
      <c r="AQ66" s="7">
        <f t="shared" si="11"/>
        <v>17.1428571428571</v>
      </c>
      <c r="AR66" s="7">
        <f t="shared" si="12"/>
        <v>-11.1428571428571</v>
      </c>
      <c r="AS66">
        <f t="shared" si="13"/>
        <v>21</v>
      </c>
      <c r="AT66" s="2">
        <f>IFERROR(时间!$B$4+AS66,"上周无销量")</f>
        <v>43304</v>
      </c>
    </row>
    <row r="67" spans="1:46">
      <c r="A67" t="s">
        <v>700</v>
      </c>
      <c r="B67" s="5">
        <f>SUMIF('库存（子SKU）'!$C:$C,$A67,'库存（子SKU）'!D:D)</f>
        <v>2</v>
      </c>
      <c r="C67" s="5">
        <f>SUMIF('库存（子SKU）'!$C:$C,$A67,'库存（子SKU）'!E:E)</f>
        <v>1</v>
      </c>
      <c r="D67" s="5">
        <f>SUMIF('库存（子SKU）'!$C:$C,$A67,'库存（子SKU）'!F:F)</f>
        <v>3</v>
      </c>
      <c r="E67" s="5">
        <f>SUMIF('库存（子SKU）'!$C:$C,$A67,'库存（子SKU）'!G:G)</f>
        <v>1</v>
      </c>
      <c r="F67" s="6">
        <v>15.99</v>
      </c>
      <c r="G67">
        <f>SUMIF('库存（子SKU）'!$C:$C,$A67,'库存（子SKU）'!I:I)</f>
        <v>61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61</v>
      </c>
      <c r="L67">
        <f>SUMIF('库存（子SKU）'!$C:$C,$A67,'库存（子SKU）'!N:N)</f>
        <v>0</v>
      </c>
      <c r="M67">
        <f>SUMIF('库存（子SKU）'!$C:$C,$A67,'库存（子SKU）'!O:O)</f>
        <v>59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>
        <f t="shared" si="2"/>
        <v>0</v>
      </c>
      <c r="AE67" s="22">
        <f t="shared" si="3"/>
        <v>0</v>
      </c>
      <c r="AF67" s="22">
        <f t="shared" si="4"/>
        <v>0</v>
      </c>
      <c r="AG67" s="22">
        <f t="shared" si="5"/>
        <v>0</v>
      </c>
      <c r="AH67">
        <f>SUMIF('库存（子SKU）'!$C:$C,$A67,'库存（子SKU）'!AJ:AJ)</f>
        <v>24</v>
      </c>
      <c r="AI67">
        <f>SUMIF('库存（子SKU）'!$C:$C,$A67,'库存（子SKU）'!AK:AK)</f>
        <v>33</v>
      </c>
      <c r="AJ67">
        <f>SUMIF('库存（子SKU）'!$C:$C,$A67,'库存（子SKU）'!AL:AL)</f>
        <v>13</v>
      </c>
      <c r="AK67">
        <f>SUMIF('库存（子SKU）'!$C:$C,$A67,'库存（子SKU）'!AM:AM)</f>
        <v>23</v>
      </c>
      <c r="AL67" s="22">
        <f t="shared" si="6"/>
        <v>0.0833333333333333</v>
      </c>
      <c r="AM67" s="22">
        <f t="shared" si="7"/>
        <v>0.0303030303030303</v>
      </c>
      <c r="AN67" s="22">
        <f t="shared" si="8"/>
        <v>0.230769230769231</v>
      </c>
      <c r="AO67" s="22">
        <f t="shared" si="9"/>
        <v>0.0434782608695652</v>
      </c>
      <c r="AP67" s="7">
        <f t="shared" si="10"/>
        <v>0.285714285714286</v>
      </c>
      <c r="AQ67" s="7">
        <f t="shared" si="11"/>
        <v>17.1428571428571</v>
      </c>
      <c r="AR67" s="7">
        <f t="shared" si="12"/>
        <v>43.8571428571429</v>
      </c>
      <c r="AS67">
        <f t="shared" si="13"/>
        <v>213</v>
      </c>
      <c r="AT67" s="2">
        <f>IFERROR(时间!$B$4+AS67,"上周无销量")</f>
        <v>43496</v>
      </c>
    </row>
    <row r="68" spans="1:46">
      <c r="A68" t="s">
        <v>709</v>
      </c>
      <c r="B68" s="5">
        <f>SUMIF('库存（子SKU）'!$C:$C,$A68,'库存（子SKU）'!D:D)</f>
        <v>0</v>
      </c>
      <c r="C68" s="5">
        <f>SUMIF('库存（子SKU）'!$C:$C,$A68,'库存（子SKU）'!E:E)</f>
        <v>1</v>
      </c>
      <c r="D68" s="5">
        <f>SUMIF('库存（子SKU）'!$C:$C,$A68,'库存（子SKU）'!F:F)</f>
        <v>1</v>
      </c>
      <c r="E68" s="5">
        <f>SUMIF('库存（子SKU）'!$C:$C,$A68,'库存（子SKU）'!G:G)</f>
        <v>0</v>
      </c>
      <c r="F68" s="6">
        <v>18.99</v>
      </c>
      <c r="G68">
        <f>SUMIF('库存（子SKU）'!$C:$C,$A68,'库存（子SKU）'!I:I)</f>
        <v>6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6</v>
      </c>
      <c r="L68">
        <f>SUMIF('库存（子SKU）'!$C:$C,$A68,'库存（子SKU）'!N:N)</f>
        <v>0</v>
      </c>
      <c r="M68">
        <f>SUMIF('库存（子SKU）'!$C:$C,$A68,'库存（子SKU）'!O:O)</f>
        <v>6</v>
      </c>
      <c r="N68">
        <f>SUMIF('库存（子SKU）'!$C:$C,$A68,'库存（子SKU）'!P:P)</f>
        <v>6871</v>
      </c>
      <c r="O68">
        <f>SUMIF('库存（子SKU）'!$C:$C,$A68,'库存（子SKU）'!Q:Q)</f>
        <v>13881</v>
      </c>
      <c r="P68">
        <f>SUMIF('库存（子SKU）'!$C:$C,$A68,'库存（子SKU）'!R:R)</f>
        <v>9043</v>
      </c>
      <c r="Q68">
        <f>SUMIF('库存（子SKU）'!$C:$C,$A68,'库存（子SKU）'!S:S)</f>
        <v>873</v>
      </c>
      <c r="R68">
        <f>SUMIF('库存（子SKU）'!$C:$C,$A68,'库存（子SKU）'!T:T)</f>
        <v>25</v>
      </c>
      <c r="S68">
        <f>SUMIF('库存（子SKU）'!$C:$C,$A68,'库存（子SKU）'!U:U)</f>
        <v>83</v>
      </c>
      <c r="T68">
        <f>SUMIF('库存（子SKU）'!$C:$C,$A68,'库存（子SKU）'!V:V)</f>
        <v>33</v>
      </c>
      <c r="U68">
        <f>SUMIF('库存（子SKU）'!$C:$C,$A68,'库存（子SKU）'!W:W)</f>
        <v>14</v>
      </c>
      <c r="V68" s="22">
        <f t="shared" si="15"/>
        <v>0.00363848057051375</v>
      </c>
      <c r="W68" s="22">
        <f t="shared" si="16"/>
        <v>0.00597939629709675</v>
      </c>
      <c r="X68" s="22">
        <f t="shared" si="17"/>
        <v>0.00364923144974013</v>
      </c>
      <c r="Y68" s="22">
        <f t="shared" si="18"/>
        <v>0.0160366552119129</v>
      </c>
      <c r="Z68">
        <f>SUMIF('库存（子SKU）'!$C:$C,$A68,'库存（子SKU）'!AB:AB)</f>
        <v>7.78</v>
      </c>
      <c r="AA68">
        <f>SUMIF('库存（子SKU）'!$C:$C,$A68,'库存（子SKU）'!AC:AC)</f>
        <v>29.64</v>
      </c>
      <c r="AB68">
        <f>SUMIF('库存（子SKU）'!$C:$C,$A68,'库存（子SKU）'!AD:AD)</f>
        <v>10.79</v>
      </c>
      <c r="AC68">
        <f>SUMIF('库存（子SKU）'!$C:$C,$A68,'库存（子SKU）'!AE:AE)</f>
        <v>3.79</v>
      </c>
      <c r="AD68" s="22" t="str">
        <f t="shared" si="2"/>
        <v>无销量广告费为7.78</v>
      </c>
      <c r="AE68" s="22">
        <f t="shared" si="3"/>
        <v>1.5608214849921</v>
      </c>
      <c r="AF68" s="22">
        <f t="shared" si="4"/>
        <v>0.568193786203265</v>
      </c>
      <c r="AG68" s="22" t="str">
        <f t="shared" si="5"/>
        <v>无销量广告费为3.79</v>
      </c>
      <c r="AH68">
        <f>SUMIF('库存（子SKU）'!$C:$C,$A68,'库存（子SKU）'!AJ:AJ)</f>
        <v>8</v>
      </c>
      <c r="AI68">
        <f>SUMIF('库存（子SKU）'!$C:$C,$A68,'库存（子SKU）'!AK:AK)</f>
        <v>18</v>
      </c>
      <c r="AJ68">
        <f>SUMIF('库存（子SKU）'!$C:$C,$A68,'库存（子SKU）'!AL:AL)</f>
        <v>23</v>
      </c>
      <c r="AK68">
        <f>SUMIF('库存（子SKU）'!$C:$C,$A68,'库存（子SKU）'!AM:AM)</f>
        <v>9</v>
      </c>
      <c r="AL68" s="22">
        <f t="shared" si="6"/>
        <v>0</v>
      </c>
      <c r="AM68" s="22">
        <f t="shared" si="7"/>
        <v>0.0555555555555556</v>
      </c>
      <c r="AN68" s="22">
        <f t="shared" si="8"/>
        <v>0.0434782608695652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6</v>
      </c>
      <c r="AS68" t="str">
        <f t="shared" si="13"/>
        <v>库存为6</v>
      </c>
      <c r="AT68" s="2" t="str">
        <f>IFERROR(时间!$B$4+AS68,"上周无销量")</f>
        <v>上周无销量</v>
      </c>
    </row>
    <row r="69" spans="1:46">
      <c r="A69" t="s">
        <v>718</v>
      </c>
      <c r="B69" s="5">
        <f>SUMIF('库存（子SKU）'!$C:$C,$A69,'库存（子SKU）'!D:D)</f>
        <v>18</v>
      </c>
      <c r="C69" s="5">
        <f>SUMIF('库存（子SKU）'!$C:$C,$A69,'库存（子SKU）'!E:E)</f>
        <v>31</v>
      </c>
      <c r="D69" s="5">
        <f>SUMIF('库存（子SKU）'!$C:$C,$A69,'库存（子SKU）'!F:F)</f>
        <v>16</v>
      </c>
      <c r="E69" s="5">
        <f>SUMIF('库存（子SKU）'!$C:$C,$A69,'库存（子SKU）'!G:G)</f>
        <v>16</v>
      </c>
      <c r="F69" s="6">
        <v>15.2862962962963</v>
      </c>
      <c r="G69">
        <f>SUMIF('库存（子SKU）'!$C:$C,$A69,'库存（子SKU）'!I:I)</f>
        <v>111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2</v>
      </c>
      <c r="K69">
        <f t="shared" ref="K69:K72" si="19">SUM(G69:J69)</f>
        <v>113</v>
      </c>
      <c r="L69">
        <f>SUMIF('库存（子SKU）'!$C:$C,$A69,'库存（子SKU）'!N:N)</f>
        <v>0</v>
      </c>
      <c r="M69">
        <f>SUMIF('库存（子SKU）'!$C:$C,$A69,'库存（子SKU）'!O:O)</f>
        <v>22</v>
      </c>
      <c r="N69">
        <f>SUMIF('库存（子SKU）'!$C:$C,$A69,'库存（子SKU）'!P:P)</f>
        <v>4114</v>
      </c>
      <c r="O69">
        <f>SUMIF('库存（子SKU）'!$C:$C,$A69,'库存（子SKU）'!Q:Q)</f>
        <v>11483</v>
      </c>
      <c r="P69">
        <f>SUMIF('库存（子SKU）'!$C:$C,$A69,'库存（子SKU）'!R:R)</f>
        <v>4523</v>
      </c>
      <c r="Q69">
        <f>SUMIF('库存（子SKU）'!$C:$C,$A69,'库存（子SKU）'!S:S)</f>
        <v>30947</v>
      </c>
      <c r="R69">
        <f>SUMIF('库存（子SKU）'!$C:$C,$A69,'库存（子SKU）'!T:T)</f>
        <v>28</v>
      </c>
      <c r="S69">
        <f>SUMIF('库存（子SKU）'!$C:$C,$A69,'库存（子SKU）'!U:U)</f>
        <v>62</v>
      </c>
      <c r="T69">
        <f>SUMIF('库存（子SKU）'!$C:$C,$A69,'库存（子SKU）'!V:V)</f>
        <v>15</v>
      </c>
      <c r="U69">
        <f>SUMIF('库存（子SKU）'!$C:$C,$A69,'库存（子SKU）'!W:W)</f>
        <v>121</v>
      </c>
      <c r="V69" s="22">
        <f t="shared" si="15"/>
        <v>0.00680602819640253</v>
      </c>
      <c r="W69" s="22">
        <f t="shared" si="16"/>
        <v>0.00539928590089698</v>
      </c>
      <c r="X69" s="22">
        <f t="shared" si="17"/>
        <v>0.00331638293168251</v>
      </c>
      <c r="Y69" s="22">
        <f t="shared" si="18"/>
        <v>0.00390991049213171</v>
      </c>
      <c r="Z69">
        <f>SUMIF('库存（子SKU）'!$C:$C,$A69,'库存（子SKU）'!AB:AB)</f>
        <v>13.73</v>
      </c>
      <c r="AA69">
        <f>SUMIF('库存（子SKU）'!$C:$C,$A69,'库存（子SKU）'!AC:AC)</f>
        <v>29.13</v>
      </c>
      <c r="AB69">
        <f>SUMIF('库存（子SKU）'!$C:$C,$A69,'库存（子SKU）'!AD:AD)</f>
        <v>5.49</v>
      </c>
      <c r="AC69">
        <f>SUMIF('库存（子SKU）'!$C:$C,$A69,'库存（子SKU）'!AE:AE)</f>
        <v>41.33</v>
      </c>
      <c r="AD69" s="22">
        <f t="shared" ref="AD69:AD72" si="20">IF(AND(Z69&gt;0,B69=0),"无销量广告费为"&amp;Z69,IFERROR(Z69/(B69*$F69),""))</f>
        <v>0.0498994500036343</v>
      </c>
      <c r="AE69" s="22">
        <f t="shared" ref="AE69:AE72" si="21">IF(AND(AA69&gt;0,C69=0),"无销量广告费为"&amp;AA69,IFERROR(AA69/(C69*$F69),""))</f>
        <v>0.0614718831259677</v>
      </c>
      <c r="AF69" s="22">
        <f t="shared" ref="AF69:AF72" si="22">IF(AND(AB69&gt;0,D69=0),"无销量广告费为"&amp;AB69,IFERROR(AB69/(D69*$F69),""))</f>
        <v>0.0224465752428949</v>
      </c>
      <c r="AG69" s="22">
        <f t="shared" ref="AG69:AG72" si="23">IF(AND(AC69&gt;0,E69=0),"无销量广告费为"&amp;AC69,IFERROR(AC69/(E69*$F69),""))</f>
        <v>0.168983051874107</v>
      </c>
      <c r="AH69">
        <f>SUMIF('库存（子SKU）'!$C:$C,$A69,'库存（子SKU）'!AJ:AJ)</f>
        <v>59</v>
      </c>
      <c r="AI69">
        <f>SUMIF('库存（子SKU）'!$C:$C,$A69,'库存（子SKU）'!AK:AK)</f>
        <v>591</v>
      </c>
      <c r="AJ69">
        <f>SUMIF('库存（子SKU）'!$C:$C,$A69,'库存（子SKU）'!AL:AL)</f>
        <v>79</v>
      </c>
      <c r="AK69">
        <f>SUMIF('库存（子SKU）'!$C:$C,$A69,'库存（子SKU）'!AM:AM)</f>
        <v>94</v>
      </c>
      <c r="AL69" s="22">
        <f t="shared" ref="AL69:AL72" si="24">IFERROR(B69/AH69,"")</f>
        <v>0.305084745762712</v>
      </c>
      <c r="AM69" s="22">
        <f t="shared" ref="AM69:AM72" si="25">IFERROR(C69/AI69,"")</f>
        <v>0.0524534686971235</v>
      </c>
      <c r="AN69" s="22">
        <f t="shared" ref="AN69:AN72" si="26">IFERROR(D69/AJ69,"")</f>
        <v>0.20253164556962</v>
      </c>
      <c r="AO69" s="22">
        <f t="shared" ref="AO69:AO72" si="27">IFERROR(E69/AK69,"")</f>
        <v>0.170212765957447</v>
      </c>
      <c r="AP69" s="7">
        <f t="shared" ref="AP69:AP72" si="28">B69/7</f>
        <v>2.57142857142857</v>
      </c>
      <c r="AQ69" s="7">
        <f t="shared" ref="AQ69:AQ72" si="29">AP69*60</f>
        <v>154.285714285714</v>
      </c>
      <c r="AR69" s="7">
        <f t="shared" ref="AR69:AR72" si="30">K69-AQ69</f>
        <v>-41.2857142857143</v>
      </c>
      <c r="AS69">
        <f t="shared" ref="AS69:AS72" si="31">IF(AP69=0,"库存为"&amp;K69,INT(K69/AP69))</f>
        <v>43</v>
      </c>
      <c r="AT69" s="2">
        <f>IFERROR(时间!$B$4+AS69,"上周无销量")</f>
        <v>43326</v>
      </c>
    </row>
    <row r="70" spans="1:46">
      <c r="A70" t="s">
        <v>729</v>
      </c>
      <c r="B70" s="5">
        <f>SUMIF('库存（子SKU）'!$C:$C,$A70,'库存（子SKU）'!D:D)</f>
        <v>1</v>
      </c>
      <c r="C70" s="5">
        <f>SUMIF('库存（子SKU）'!$C:$C,$A70,'库存（子SKU）'!E:E)</f>
        <v>1</v>
      </c>
      <c r="D70" s="5">
        <f>SUMIF('库存（子SKU）'!$C:$C,$A70,'库存（子SKU）'!F:F)</f>
        <v>2</v>
      </c>
      <c r="E70" s="5">
        <f>SUMIF('库存（子SKU）'!$C:$C,$A70,'库存（子SKU）'!G:G)</f>
        <v>0</v>
      </c>
      <c r="F70" s="6">
        <v>14.99</v>
      </c>
      <c r="G70">
        <f>SUMIF('库存（子SKU）'!$C:$C,$A70,'库存（子SKU）'!I:I)</f>
        <v>62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9</v>
      </c>
      <c r="K70">
        <f t="shared" si="19"/>
        <v>71</v>
      </c>
      <c r="L70">
        <f>SUMIF('库存（子SKU）'!$C:$C,$A70,'库存（子SKU）'!N:N)</f>
        <v>1</v>
      </c>
      <c r="M70">
        <f>SUMIF('库存（子SKU）'!$C:$C,$A70,'库存（子SKU）'!O:O)</f>
        <v>52</v>
      </c>
      <c r="N70">
        <f>SUMIF('库存（子SKU）'!$C:$C,$A70,'库存（子SKU）'!P:P)</f>
        <v>0</v>
      </c>
      <c r="O70">
        <f>SUMIF('库存（子SKU）'!$C:$C,$A70,'库存（子SKU）'!Q:Q)</f>
        <v>298</v>
      </c>
      <c r="P70">
        <f>SUMIF('库存（子SKU）'!$C:$C,$A70,'库存（子SKU）'!R:R)</f>
        <v>125</v>
      </c>
      <c r="Q70">
        <f>SUMIF('库存（子SKU）'!$C:$C,$A70,'库存（子SKU）'!S:S)</f>
        <v>2615</v>
      </c>
      <c r="R70">
        <f>SUMIF('库存（子SKU）'!$C:$C,$A70,'库存（子SKU）'!T:T)</f>
        <v>0</v>
      </c>
      <c r="S70">
        <f>SUMIF('库存（子SKU）'!$C:$C,$A70,'库存（子SKU）'!U:U)</f>
        <v>4</v>
      </c>
      <c r="T70">
        <f>SUMIF('库存（子SKU）'!$C:$C,$A70,'库存（子SKU）'!V:V)</f>
        <v>0</v>
      </c>
      <c r="U70">
        <f>SUMIF('库存（子SKU）'!$C:$C,$A70,'库存（子SKU）'!W:W)</f>
        <v>3</v>
      </c>
      <c r="V70" s="22" t="str">
        <f t="shared" ref="V70:V72" si="32">IFERROR(R70/N70,"")</f>
        <v/>
      </c>
      <c r="W70" s="22">
        <f t="shared" ref="W70:W72" si="33">IFERROR(S70/O70,"")</f>
        <v>0.0134228187919463</v>
      </c>
      <c r="X70" s="22">
        <f t="shared" ref="X70:X72" si="34">IFERROR(T70/P70,"")</f>
        <v>0</v>
      </c>
      <c r="Y70" s="22">
        <f t="shared" ref="Y70:Y72" si="35">IFERROR(U70/Q70,"")</f>
        <v>0.0011472275334608</v>
      </c>
      <c r="Z70">
        <f>SUMIF('库存（子SKU）'!$C:$C,$A70,'库存（子SKU）'!AB:AB)</f>
        <v>0</v>
      </c>
      <c r="AA70">
        <f>SUMIF('库存（子SKU）'!$C:$C,$A70,'库存（子SKU）'!AC:AC)</f>
        <v>1.61</v>
      </c>
      <c r="AB70">
        <f>SUMIF('库存（子SKU）'!$C:$C,$A70,'库存（子SKU）'!AD:AD)</f>
        <v>0</v>
      </c>
      <c r="AC70">
        <f>SUMIF('库存（子SKU）'!$C:$C,$A70,'库存（子SKU）'!AE:AE)</f>
        <v>0.85</v>
      </c>
      <c r="AD70" s="22">
        <f t="shared" si="20"/>
        <v>0</v>
      </c>
      <c r="AE70" s="22">
        <f t="shared" si="21"/>
        <v>0.107404936624416</v>
      </c>
      <c r="AF70" s="22">
        <f t="shared" si="22"/>
        <v>0</v>
      </c>
      <c r="AG70" s="22" t="str">
        <f t="shared" si="23"/>
        <v>无销量广告费为0.85</v>
      </c>
      <c r="AH70">
        <f>SUMIF('库存（子SKU）'!$C:$C,$A70,'库存（子SKU）'!AJ:AJ)</f>
        <v>8</v>
      </c>
      <c r="AI70">
        <f>SUMIF('库存（子SKU）'!$C:$C,$A70,'库存（子SKU）'!AK:AK)</f>
        <v>84</v>
      </c>
      <c r="AJ70">
        <f>SUMIF('库存（子SKU）'!$C:$C,$A70,'库存（子SKU）'!AL:AL)</f>
        <v>24</v>
      </c>
      <c r="AK70">
        <f>SUMIF('库存（子SKU）'!$C:$C,$A70,'库存（子SKU）'!AM:AM)</f>
        <v>20</v>
      </c>
      <c r="AL70" s="22">
        <f t="shared" si="24"/>
        <v>0.125</v>
      </c>
      <c r="AM70" s="22">
        <f t="shared" si="25"/>
        <v>0.0119047619047619</v>
      </c>
      <c r="AN70" s="22">
        <f t="shared" si="26"/>
        <v>0.0833333333333333</v>
      </c>
      <c r="AO70" s="22">
        <f t="shared" si="27"/>
        <v>0</v>
      </c>
      <c r="AP70" s="7">
        <f t="shared" si="28"/>
        <v>0.142857142857143</v>
      </c>
      <c r="AQ70" s="7">
        <f t="shared" si="29"/>
        <v>8.57142857142857</v>
      </c>
      <c r="AR70" s="7">
        <f t="shared" si="30"/>
        <v>62.4285714285714</v>
      </c>
      <c r="AS70">
        <f t="shared" si="31"/>
        <v>497</v>
      </c>
      <c r="AT70" s="2">
        <f>IFERROR(时间!$B$4+AS70,"上周无销量")</f>
        <v>43780</v>
      </c>
    </row>
    <row r="71" spans="1:46">
      <c r="A71" t="s">
        <v>737</v>
      </c>
      <c r="B71" s="5">
        <f>SUMIF('库存（子SKU）'!$C:$C,$A71,'库存（子SKU）'!D:D)</f>
        <v>7</v>
      </c>
      <c r="C71" s="5">
        <f>SUMIF('库存（子SKU）'!$C:$C,$A71,'库存（子SKU）'!E:E)</f>
        <v>5</v>
      </c>
      <c r="D71" s="5">
        <f>SUMIF('库存（子SKU）'!$C:$C,$A71,'库存（子SKU）'!F:F)</f>
        <v>5</v>
      </c>
      <c r="E71" s="5">
        <f>SUMIF('库存（子SKU）'!$C:$C,$A71,'库存（子SKU）'!G:G)</f>
        <v>1</v>
      </c>
      <c r="F71" s="6">
        <v>13.6955555555556</v>
      </c>
      <c r="G71">
        <f>SUMIF('库存（子SKU）'!$C:$C,$A71,'库存（子SKU）'!I:I)</f>
        <v>187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187</v>
      </c>
      <c r="L71">
        <f>SUMIF('库存（子SKU）'!$C:$C,$A71,'库存（子SKU）'!N:N)</f>
        <v>3</v>
      </c>
      <c r="M71">
        <f>SUMIF('库存（子SKU）'!$C:$C,$A71,'库存（子SKU）'!O:O)</f>
        <v>148</v>
      </c>
      <c r="N71">
        <f>SUMIF('库存（子SKU）'!$C:$C,$A71,'库存（子SKU）'!P:P)</f>
        <v>0</v>
      </c>
      <c r="O71">
        <f>SUMIF('库存（子SKU）'!$C:$C,$A71,'库存（子SKU）'!Q:Q)</f>
        <v>116</v>
      </c>
      <c r="P71">
        <f>SUMIF('库存（子SKU）'!$C:$C,$A71,'库存（子SKU）'!R:R)</f>
        <v>28</v>
      </c>
      <c r="Q71">
        <f>SUMIF('库存（子SKU）'!$C:$C,$A71,'库存（子SKU）'!S:S)</f>
        <v>7931</v>
      </c>
      <c r="R71">
        <f>SUMIF('库存（子SKU）'!$C:$C,$A71,'库存（子SKU）'!T:T)</f>
        <v>0</v>
      </c>
      <c r="S71">
        <f>SUMIF('库存（子SKU）'!$C:$C,$A71,'库存（子SKU）'!U:U)</f>
        <v>2</v>
      </c>
      <c r="T71">
        <f>SUMIF('库存（子SKU）'!$C:$C,$A71,'库存（子SKU）'!V:V)</f>
        <v>0</v>
      </c>
      <c r="U71">
        <f>SUMIF('库存（子SKU）'!$C:$C,$A71,'库存（子SKU）'!W:W)</f>
        <v>27</v>
      </c>
      <c r="V71" s="22" t="str">
        <f t="shared" si="32"/>
        <v/>
      </c>
      <c r="W71" s="22">
        <f t="shared" si="33"/>
        <v>0.0172413793103448</v>
      </c>
      <c r="X71" s="22">
        <f t="shared" si="34"/>
        <v>0</v>
      </c>
      <c r="Y71" s="22">
        <f t="shared" si="35"/>
        <v>0.0034043626276636</v>
      </c>
      <c r="Z71">
        <f>SUMIF('库存（子SKU）'!$C:$C,$A71,'库存（子SKU）'!AB:AB)</f>
        <v>0</v>
      </c>
      <c r="AA71">
        <f>SUMIF('库存（子SKU）'!$C:$C,$A71,'库存（子SKU）'!AC:AC)</f>
        <v>0.53</v>
      </c>
      <c r="AB71">
        <f>SUMIF('库存（子SKU）'!$C:$C,$A71,'库存（子SKU）'!AD:AD)</f>
        <v>0</v>
      </c>
      <c r="AC71">
        <f>SUMIF('库存（子SKU）'!$C:$C,$A71,'库存（子SKU）'!AE:AE)</f>
        <v>9.58</v>
      </c>
      <c r="AD71" s="22">
        <f t="shared" si="20"/>
        <v>0</v>
      </c>
      <c r="AE71" s="22">
        <f t="shared" si="21"/>
        <v>0.00773973714100273</v>
      </c>
      <c r="AF71" s="22">
        <f t="shared" si="22"/>
        <v>0</v>
      </c>
      <c r="AG71" s="22">
        <f t="shared" si="23"/>
        <v>0.699496998215153</v>
      </c>
      <c r="AH71">
        <f>SUMIF('库存（子SKU）'!$C:$C,$A71,'库存（子SKU）'!AJ:AJ)</f>
        <v>12</v>
      </c>
      <c r="AI71">
        <f>SUMIF('库存（子SKU）'!$C:$C,$A71,'库存（子SKU）'!AK:AK)</f>
        <v>151</v>
      </c>
      <c r="AJ71">
        <f>SUMIF('库存（子SKU）'!$C:$C,$A71,'库存（子SKU）'!AL:AL)</f>
        <v>38</v>
      </c>
      <c r="AK71">
        <f>SUMIF('库存（子SKU）'!$C:$C,$A71,'库存（子SKU）'!AM:AM)</f>
        <v>33</v>
      </c>
      <c r="AL71" s="22">
        <f t="shared" si="24"/>
        <v>0.583333333333333</v>
      </c>
      <c r="AM71" s="22">
        <f t="shared" si="25"/>
        <v>0.033112582781457</v>
      </c>
      <c r="AN71" s="22">
        <f t="shared" si="26"/>
        <v>0.131578947368421</v>
      </c>
      <c r="AO71" s="22">
        <f t="shared" si="27"/>
        <v>0.0303030303030303</v>
      </c>
      <c r="AP71" s="7">
        <f t="shared" si="28"/>
        <v>1</v>
      </c>
      <c r="AQ71" s="7">
        <f t="shared" si="29"/>
        <v>60</v>
      </c>
      <c r="AR71" s="7">
        <f t="shared" si="30"/>
        <v>127</v>
      </c>
      <c r="AS71">
        <f t="shared" si="31"/>
        <v>187</v>
      </c>
      <c r="AT71" s="2">
        <f>IFERROR(时间!$B$4+AS71,"上周无销量")</f>
        <v>43470</v>
      </c>
    </row>
    <row r="72" spans="1:46">
      <c r="A72" t="s">
        <v>750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1</v>
      </c>
      <c r="F72" s="6">
        <v>81.99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11387</v>
      </c>
      <c r="O72">
        <f>SUMIF('库存（子SKU）'!$C:$C,$A72,'库存（子SKU）'!Q:Q)</f>
        <v>4797</v>
      </c>
      <c r="P72">
        <f>SUMIF('库存（子SKU）'!$C:$C,$A72,'库存（子SKU）'!R:R)</f>
        <v>3490</v>
      </c>
      <c r="Q72">
        <f>SUMIF('库存（子SKU）'!$C:$C,$A72,'库存（子SKU）'!S:S)</f>
        <v>0</v>
      </c>
      <c r="R72">
        <f>SUMIF('库存（子SKU）'!$C:$C,$A72,'库存（子SKU）'!T:T)</f>
        <v>69</v>
      </c>
      <c r="S72">
        <f>SUMIF('库存（子SKU）'!$C:$C,$A72,'库存（子SKU）'!U:U)</f>
        <v>23</v>
      </c>
      <c r="T72">
        <f>SUMIF('库存（子SKU）'!$C:$C,$A72,'库存（子SKU）'!V:V)</f>
        <v>29</v>
      </c>
      <c r="U72">
        <f>SUMIF('库存（子SKU）'!$C:$C,$A72,'库存（子SKU）'!W:W)</f>
        <v>0</v>
      </c>
      <c r="V72" s="22">
        <f t="shared" si="32"/>
        <v>0.00605954158250637</v>
      </c>
      <c r="W72" s="22">
        <f t="shared" si="33"/>
        <v>0.0047946633312487</v>
      </c>
      <c r="X72" s="22">
        <f t="shared" si="34"/>
        <v>0.00830945558739255</v>
      </c>
      <c r="Y72" s="22" t="str">
        <f t="shared" si="35"/>
        <v/>
      </c>
      <c r="Z72">
        <f>SUMIF('库存（子SKU）'!$C:$C,$A72,'库存（子SKU）'!AB:AB)</f>
        <v>18.35</v>
      </c>
      <c r="AA72">
        <f>SUMIF('库存（子SKU）'!$C:$C,$A72,'库存（子SKU）'!AC:AC)</f>
        <v>5.8</v>
      </c>
      <c r="AB72">
        <f>SUMIF('库存（子SKU）'!$C:$C,$A72,'库存（子SKU）'!AD:AD)</f>
        <v>6.95</v>
      </c>
      <c r="AC72">
        <f>SUMIF('库存（子SKU）'!$C:$C,$A72,'库存（子SKU）'!AE:AE)</f>
        <v>0</v>
      </c>
      <c r="AD72" s="22" t="str">
        <f t="shared" si="20"/>
        <v>无销量广告费为18.35</v>
      </c>
      <c r="AE72" s="22" t="str">
        <f t="shared" si="21"/>
        <v>无销量广告费为5.8</v>
      </c>
      <c r="AF72" s="22" t="str">
        <f t="shared" si="22"/>
        <v>无销量广告费为6.95</v>
      </c>
      <c r="AG72" s="22">
        <f t="shared" si="23"/>
        <v>0</v>
      </c>
      <c r="AH72">
        <f>SUMIF('库存（子SKU）'!$C:$C,$A72,'库存（子SKU）'!AJ:AJ)</f>
        <v>75</v>
      </c>
      <c r="AI72">
        <f>SUMIF('库存（子SKU）'!$C:$C,$A72,'库存（子SKU）'!AK:AK)</f>
        <v>96</v>
      </c>
      <c r="AJ72">
        <f>SUMIF('库存（子SKU）'!$C:$C,$A72,'库存（子SKU）'!AL:AL)</f>
        <v>61</v>
      </c>
      <c r="AK72">
        <f>SUMIF('库存（子SKU）'!$C:$C,$A72,'库存（子SKU）'!AM:AM)</f>
        <v>96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0.0104166666666667</v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589" operator="lessThan">
      <formula>20</formula>
    </cfRule>
    <cfRule type="cellIs" dxfId="1" priority="2588" operator="greaterThan">
      <formula>120</formula>
    </cfRule>
    <cfRule type="containsText" dxfId="3" priority="2587" operator="between" text="库存">
      <formula>NOT(ISERROR(SEARCH("库存",AS2)))</formula>
    </cfRule>
  </conditionalFormatting>
  <conditionalFormatting sqref="AS6">
    <cfRule type="cellIs" dxfId="0" priority="201" operator="lessThan">
      <formula>20</formula>
    </cfRule>
    <cfRule type="cellIs" dxfId="1" priority="134" operator="greaterThan">
      <formula>120</formula>
    </cfRule>
    <cfRule type="containsText" dxfId="3" priority="67" operator="between" text="库存">
      <formula>NOT(ISERROR(SEARCH("库存",AS6)))</formula>
    </cfRule>
  </conditionalFormatting>
  <conditionalFormatting sqref="AS7">
    <cfRule type="cellIs" dxfId="0" priority="200" operator="lessThan">
      <formula>20</formula>
    </cfRule>
    <cfRule type="cellIs" dxfId="1" priority="133" operator="greaterThan">
      <formula>120</formula>
    </cfRule>
    <cfRule type="containsText" dxfId="3" priority="66" operator="between" text="库存">
      <formula>NOT(ISERROR(SEARCH("库存",AS7)))</formula>
    </cfRule>
  </conditionalFormatting>
  <conditionalFormatting sqref="AS8">
    <cfRule type="cellIs" dxfId="0" priority="199" operator="lessThan">
      <formula>20</formula>
    </cfRule>
    <cfRule type="cellIs" dxfId="1" priority="132" operator="greaterThan">
      <formula>120</formula>
    </cfRule>
    <cfRule type="containsText" dxfId="3" priority="65" operator="between" text="库存">
      <formula>NOT(ISERROR(SEARCH("库存",AS8)))</formula>
    </cfRule>
  </conditionalFormatting>
  <conditionalFormatting sqref="AS9">
    <cfRule type="cellIs" dxfId="0" priority="198" operator="lessThan">
      <formula>20</formula>
    </cfRule>
    <cfRule type="cellIs" dxfId="1" priority="131" operator="greaterThan">
      <formula>120</formula>
    </cfRule>
    <cfRule type="containsText" dxfId="3" priority="64" operator="between" text="库存">
      <formula>NOT(ISERROR(SEARCH("库存",AS9)))</formula>
    </cfRule>
  </conditionalFormatting>
  <conditionalFormatting sqref="AS10">
    <cfRule type="cellIs" dxfId="0" priority="197" operator="lessThan">
      <formula>20</formula>
    </cfRule>
    <cfRule type="cellIs" dxfId="1" priority="130" operator="greaterThan">
      <formula>120</formula>
    </cfRule>
    <cfRule type="containsText" dxfId="3" priority="63" operator="between" text="库存">
      <formula>NOT(ISERROR(SEARCH("库存",AS10)))</formula>
    </cfRule>
  </conditionalFormatting>
  <conditionalFormatting sqref="AS11">
    <cfRule type="cellIs" dxfId="0" priority="196" operator="lessThan">
      <formula>20</formula>
    </cfRule>
    <cfRule type="cellIs" dxfId="1" priority="129" operator="greaterThan">
      <formula>120</formula>
    </cfRule>
    <cfRule type="containsText" dxfId="3" priority="62" operator="between" text="库存">
      <formula>NOT(ISERROR(SEARCH("库存",AS11)))</formula>
    </cfRule>
  </conditionalFormatting>
  <conditionalFormatting sqref="AS12">
    <cfRule type="cellIs" dxfId="0" priority="195" operator="lessThan">
      <formula>20</formula>
    </cfRule>
    <cfRule type="cellIs" dxfId="1" priority="128" operator="greaterThan">
      <formula>120</formula>
    </cfRule>
    <cfRule type="containsText" dxfId="3" priority="61" operator="between" text="库存">
      <formula>NOT(ISERROR(SEARCH("库存",AS12)))</formula>
    </cfRule>
  </conditionalFormatting>
  <conditionalFormatting sqref="AS13">
    <cfRule type="cellIs" dxfId="0" priority="194" operator="lessThan">
      <formula>20</formula>
    </cfRule>
    <cfRule type="cellIs" dxfId="1" priority="127" operator="greaterThan">
      <formula>120</formula>
    </cfRule>
    <cfRule type="containsText" dxfId="3" priority="60" operator="between" text="库存">
      <formula>NOT(ISERROR(SEARCH("库存",AS13)))</formula>
    </cfRule>
  </conditionalFormatting>
  <conditionalFormatting sqref="AS14">
    <cfRule type="cellIs" dxfId="0" priority="193" operator="lessThan">
      <formula>20</formula>
    </cfRule>
    <cfRule type="cellIs" dxfId="1" priority="126" operator="greaterThan">
      <formula>120</formula>
    </cfRule>
    <cfRule type="containsText" dxfId="3" priority="59" operator="between" text="库存">
      <formula>NOT(ISERROR(SEARCH("库存",AS14)))</formula>
    </cfRule>
  </conditionalFormatting>
  <conditionalFormatting sqref="AS15">
    <cfRule type="cellIs" dxfId="0" priority="192" operator="lessThan">
      <formula>20</formula>
    </cfRule>
    <cfRule type="cellIs" dxfId="1" priority="125" operator="greaterThan">
      <formula>120</formula>
    </cfRule>
    <cfRule type="containsText" dxfId="3" priority="58" operator="between" text="库存">
      <formula>NOT(ISERROR(SEARCH("库存",AS15)))</formula>
    </cfRule>
  </conditionalFormatting>
  <conditionalFormatting sqref="AS16">
    <cfRule type="cellIs" dxfId="0" priority="191" operator="lessThan">
      <formula>20</formula>
    </cfRule>
    <cfRule type="cellIs" dxfId="1" priority="124" operator="greaterThan">
      <formula>120</formula>
    </cfRule>
    <cfRule type="containsText" dxfId="3" priority="57" operator="between" text="库存">
      <formula>NOT(ISERROR(SEARCH("库存",AS16)))</formula>
    </cfRule>
  </conditionalFormatting>
  <conditionalFormatting sqref="AS17">
    <cfRule type="cellIs" dxfId="0" priority="190" operator="lessThan">
      <formula>20</formula>
    </cfRule>
    <cfRule type="cellIs" dxfId="1" priority="123" operator="greaterThan">
      <formula>120</formula>
    </cfRule>
    <cfRule type="containsText" dxfId="3" priority="56" operator="between" text="库存">
      <formula>NOT(ISERROR(SEARCH("库存",AS17)))</formula>
    </cfRule>
  </conditionalFormatting>
  <conditionalFormatting sqref="AS18">
    <cfRule type="cellIs" dxfId="0" priority="189" operator="lessThan">
      <formula>20</formula>
    </cfRule>
    <cfRule type="cellIs" dxfId="1" priority="122" operator="greaterThan">
      <formula>120</formula>
    </cfRule>
    <cfRule type="containsText" dxfId="3" priority="55" operator="between" text="库存">
      <formula>NOT(ISERROR(SEARCH("库存",AS18)))</formula>
    </cfRule>
  </conditionalFormatting>
  <conditionalFormatting sqref="AS19">
    <cfRule type="cellIs" dxfId="0" priority="188" operator="lessThan">
      <formula>20</formula>
    </cfRule>
    <cfRule type="cellIs" dxfId="1" priority="121" operator="greaterThan">
      <formula>120</formula>
    </cfRule>
    <cfRule type="containsText" dxfId="3" priority="54" operator="between" text="库存">
      <formula>NOT(ISERROR(SEARCH("库存",AS19)))</formula>
    </cfRule>
  </conditionalFormatting>
  <conditionalFormatting sqref="AS20">
    <cfRule type="cellIs" dxfId="0" priority="187" operator="lessThan">
      <formula>20</formula>
    </cfRule>
    <cfRule type="cellIs" dxfId="1" priority="120" operator="greaterThan">
      <formula>120</formula>
    </cfRule>
    <cfRule type="containsText" dxfId="3" priority="53" operator="between" text="库存">
      <formula>NOT(ISERROR(SEARCH("库存",AS20)))</formula>
    </cfRule>
  </conditionalFormatting>
  <conditionalFormatting sqref="AS21">
    <cfRule type="cellIs" dxfId="0" priority="186" operator="lessThan">
      <formula>20</formula>
    </cfRule>
    <cfRule type="cellIs" dxfId="1" priority="119" operator="greaterThan">
      <formula>120</formula>
    </cfRule>
    <cfRule type="containsText" dxfId="3" priority="52" operator="between" text="库存">
      <formula>NOT(ISERROR(SEARCH("库存",AS21)))</formula>
    </cfRule>
  </conditionalFormatting>
  <conditionalFormatting sqref="AS22">
    <cfRule type="cellIs" dxfId="0" priority="185" operator="lessThan">
      <formula>20</formula>
    </cfRule>
    <cfRule type="cellIs" dxfId="1" priority="118" operator="greaterThan">
      <formula>120</formula>
    </cfRule>
    <cfRule type="containsText" dxfId="3" priority="51" operator="between" text="库存">
      <formula>NOT(ISERROR(SEARCH("库存",AS22)))</formula>
    </cfRule>
  </conditionalFormatting>
  <conditionalFormatting sqref="AS23">
    <cfRule type="cellIs" dxfId="0" priority="184" operator="lessThan">
      <formula>20</formula>
    </cfRule>
    <cfRule type="cellIs" dxfId="1" priority="117" operator="greaterThan">
      <formula>120</formula>
    </cfRule>
    <cfRule type="containsText" dxfId="3" priority="50" operator="between" text="库存">
      <formula>NOT(ISERROR(SEARCH("库存",AS23)))</formula>
    </cfRule>
  </conditionalFormatting>
  <conditionalFormatting sqref="AS24">
    <cfRule type="cellIs" dxfId="0" priority="183" operator="lessThan">
      <formula>20</formula>
    </cfRule>
    <cfRule type="cellIs" dxfId="1" priority="116" operator="greaterThan">
      <formula>120</formula>
    </cfRule>
    <cfRule type="containsText" dxfId="3" priority="49" operator="between" text="库存">
      <formula>NOT(ISERROR(SEARCH("库存",AS24)))</formula>
    </cfRule>
  </conditionalFormatting>
  <conditionalFormatting sqref="AS25">
    <cfRule type="cellIs" dxfId="0" priority="182" operator="lessThan">
      <formula>20</formula>
    </cfRule>
    <cfRule type="cellIs" dxfId="1" priority="115" operator="greaterThan">
      <formula>120</formula>
    </cfRule>
    <cfRule type="containsText" dxfId="3" priority="48" operator="between" text="库存">
      <formula>NOT(ISERROR(SEARCH("库存",AS25)))</formula>
    </cfRule>
  </conditionalFormatting>
  <conditionalFormatting sqref="AS26">
    <cfRule type="cellIs" dxfId="0" priority="181" operator="lessThan">
      <formula>20</formula>
    </cfRule>
    <cfRule type="cellIs" dxfId="1" priority="114" operator="greaterThan">
      <formula>120</formula>
    </cfRule>
    <cfRule type="containsText" dxfId="3" priority="47" operator="between" text="库存">
      <formula>NOT(ISERROR(SEARCH("库存",AS26)))</formula>
    </cfRule>
  </conditionalFormatting>
  <conditionalFormatting sqref="AS27">
    <cfRule type="cellIs" dxfId="0" priority="180" operator="lessThan">
      <formula>20</formula>
    </cfRule>
    <cfRule type="cellIs" dxfId="1" priority="113" operator="greaterThan">
      <formula>120</formula>
    </cfRule>
    <cfRule type="containsText" dxfId="3" priority="46" operator="between" text="库存">
      <formula>NOT(ISERROR(SEARCH("库存",AS27)))</formula>
    </cfRule>
  </conditionalFormatting>
  <conditionalFormatting sqref="AS28">
    <cfRule type="cellIs" dxfId="0" priority="179" operator="lessThan">
      <formula>20</formula>
    </cfRule>
    <cfRule type="cellIs" dxfId="1" priority="112" operator="greaterThan">
      <formula>120</formula>
    </cfRule>
    <cfRule type="containsText" dxfId="3" priority="45" operator="between" text="库存">
      <formula>NOT(ISERROR(SEARCH("库存",AS28)))</formula>
    </cfRule>
  </conditionalFormatting>
  <conditionalFormatting sqref="AS29">
    <cfRule type="cellIs" dxfId="0" priority="178" operator="lessThan">
      <formula>20</formula>
    </cfRule>
    <cfRule type="cellIs" dxfId="1" priority="111" operator="greaterThan">
      <formula>120</formula>
    </cfRule>
    <cfRule type="containsText" dxfId="3" priority="44" operator="between" text="库存">
      <formula>NOT(ISERROR(SEARCH("库存",AS29)))</formula>
    </cfRule>
  </conditionalFormatting>
  <conditionalFormatting sqref="AS30">
    <cfRule type="cellIs" dxfId="0" priority="177" operator="lessThan">
      <formula>20</formula>
    </cfRule>
    <cfRule type="cellIs" dxfId="1" priority="110" operator="greaterThan">
      <formula>120</formula>
    </cfRule>
    <cfRule type="containsText" dxfId="3" priority="43" operator="between" text="库存">
      <formula>NOT(ISERROR(SEARCH("库存",AS30)))</formula>
    </cfRule>
  </conditionalFormatting>
  <conditionalFormatting sqref="AS31">
    <cfRule type="cellIs" dxfId="0" priority="176" operator="lessThan">
      <formula>20</formula>
    </cfRule>
    <cfRule type="cellIs" dxfId="1" priority="109" operator="greaterThan">
      <formula>120</formula>
    </cfRule>
    <cfRule type="containsText" dxfId="3" priority="42" operator="between" text="库存">
      <formula>NOT(ISERROR(SEARCH("库存",AS31)))</formula>
    </cfRule>
  </conditionalFormatting>
  <conditionalFormatting sqref="AS32">
    <cfRule type="cellIs" dxfId="0" priority="175" operator="lessThan">
      <formula>20</formula>
    </cfRule>
    <cfRule type="cellIs" dxfId="1" priority="108" operator="greaterThan">
      <formula>120</formula>
    </cfRule>
    <cfRule type="containsText" dxfId="3" priority="41" operator="between" text="库存">
      <formula>NOT(ISERROR(SEARCH("库存",AS32)))</formula>
    </cfRule>
  </conditionalFormatting>
  <conditionalFormatting sqref="AS33">
    <cfRule type="cellIs" dxfId="0" priority="174" operator="lessThan">
      <formula>20</formula>
    </cfRule>
    <cfRule type="cellIs" dxfId="1" priority="107" operator="greaterThan">
      <formula>120</formula>
    </cfRule>
    <cfRule type="containsText" dxfId="3" priority="40" operator="between" text="库存">
      <formula>NOT(ISERROR(SEARCH("库存",AS33)))</formula>
    </cfRule>
  </conditionalFormatting>
  <conditionalFormatting sqref="AS34">
    <cfRule type="cellIs" dxfId="0" priority="173" operator="lessThan">
      <formula>20</formula>
    </cfRule>
    <cfRule type="cellIs" dxfId="1" priority="106" operator="greaterThan">
      <formula>120</formula>
    </cfRule>
    <cfRule type="containsText" dxfId="3" priority="39" operator="between" text="库存">
      <formula>NOT(ISERROR(SEARCH("库存",AS34)))</formula>
    </cfRule>
  </conditionalFormatting>
  <conditionalFormatting sqref="AS35">
    <cfRule type="cellIs" dxfId="0" priority="172" operator="lessThan">
      <formula>20</formula>
    </cfRule>
    <cfRule type="cellIs" dxfId="1" priority="105" operator="greaterThan">
      <formula>120</formula>
    </cfRule>
    <cfRule type="containsText" dxfId="3" priority="38" operator="between" text="库存">
      <formula>NOT(ISERROR(SEARCH("库存",AS35)))</formula>
    </cfRule>
  </conditionalFormatting>
  <conditionalFormatting sqref="AS36">
    <cfRule type="cellIs" dxfId="0" priority="171" operator="lessThan">
      <formula>20</formula>
    </cfRule>
    <cfRule type="cellIs" dxfId="1" priority="104" operator="greaterThan">
      <formula>120</formula>
    </cfRule>
    <cfRule type="containsText" dxfId="3" priority="37" operator="between" text="库存">
      <formula>NOT(ISERROR(SEARCH("库存",AS36)))</formula>
    </cfRule>
  </conditionalFormatting>
  <conditionalFormatting sqref="AS37">
    <cfRule type="cellIs" dxfId="0" priority="170" operator="lessThan">
      <formula>20</formula>
    </cfRule>
    <cfRule type="cellIs" dxfId="1" priority="103" operator="greaterThan">
      <formula>120</formula>
    </cfRule>
    <cfRule type="containsText" dxfId="3" priority="36" operator="between" text="库存">
      <formula>NOT(ISERROR(SEARCH("库存",AS37)))</formula>
    </cfRule>
  </conditionalFormatting>
  <conditionalFormatting sqref="AS38">
    <cfRule type="cellIs" dxfId="0" priority="169" operator="lessThan">
      <formula>20</formula>
    </cfRule>
    <cfRule type="cellIs" dxfId="1" priority="102" operator="greaterThan">
      <formula>120</formula>
    </cfRule>
    <cfRule type="containsText" dxfId="3" priority="35" operator="between" text="库存">
      <formula>NOT(ISERROR(SEARCH("库存",AS38)))</formula>
    </cfRule>
  </conditionalFormatting>
  <conditionalFormatting sqref="AS39">
    <cfRule type="cellIs" dxfId="0" priority="168" operator="lessThan">
      <formula>20</formula>
    </cfRule>
    <cfRule type="cellIs" dxfId="1" priority="101" operator="greaterThan">
      <formula>120</formula>
    </cfRule>
    <cfRule type="containsText" dxfId="3" priority="34" operator="between" text="库存">
      <formula>NOT(ISERROR(SEARCH("库存",AS39)))</formula>
    </cfRule>
  </conditionalFormatting>
  <conditionalFormatting sqref="AS40">
    <cfRule type="cellIs" dxfId="0" priority="167" operator="lessThan">
      <formula>20</formula>
    </cfRule>
    <cfRule type="cellIs" dxfId="1" priority="100" operator="greaterThan">
      <formula>120</formula>
    </cfRule>
    <cfRule type="containsText" dxfId="3" priority="33" operator="between" text="库存">
      <formula>NOT(ISERROR(SEARCH("库存",AS40)))</formula>
    </cfRule>
  </conditionalFormatting>
  <conditionalFormatting sqref="AS41">
    <cfRule type="cellIs" dxfId="0" priority="166" operator="lessThan">
      <formula>20</formula>
    </cfRule>
    <cfRule type="cellIs" dxfId="1" priority="99" operator="greaterThan">
      <formula>120</formula>
    </cfRule>
    <cfRule type="containsText" dxfId="3" priority="32" operator="between" text="库存">
      <formula>NOT(ISERROR(SEARCH("库存",AS41)))</formula>
    </cfRule>
  </conditionalFormatting>
  <conditionalFormatting sqref="AS42">
    <cfRule type="cellIs" dxfId="0" priority="165" operator="lessThan">
      <formula>20</formula>
    </cfRule>
    <cfRule type="cellIs" dxfId="1" priority="98" operator="greaterThan">
      <formula>120</formula>
    </cfRule>
    <cfRule type="containsText" dxfId="3" priority="31" operator="between" text="库存">
      <formula>NOT(ISERROR(SEARCH("库存",AS42)))</formula>
    </cfRule>
  </conditionalFormatting>
  <conditionalFormatting sqref="AS43">
    <cfRule type="cellIs" dxfId="0" priority="164" operator="lessThan">
      <formula>20</formula>
    </cfRule>
    <cfRule type="cellIs" dxfId="1" priority="97" operator="greaterThan">
      <formula>120</formula>
    </cfRule>
    <cfRule type="containsText" dxfId="3" priority="30" operator="between" text="库存">
      <formula>NOT(ISERROR(SEARCH("库存",AS43)))</formula>
    </cfRule>
  </conditionalFormatting>
  <conditionalFormatting sqref="AS44">
    <cfRule type="cellIs" dxfId="0" priority="163" operator="lessThan">
      <formula>20</formula>
    </cfRule>
    <cfRule type="cellIs" dxfId="1" priority="96" operator="greaterThan">
      <formula>120</formula>
    </cfRule>
    <cfRule type="containsText" dxfId="3" priority="29" operator="between" text="库存">
      <formula>NOT(ISERROR(SEARCH("库存",AS44)))</formula>
    </cfRule>
  </conditionalFormatting>
  <conditionalFormatting sqref="AS45">
    <cfRule type="cellIs" dxfId="0" priority="162" operator="lessThan">
      <formula>20</formula>
    </cfRule>
    <cfRule type="cellIs" dxfId="1" priority="95" operator="greaterThan">
      <formula>120</formula>
    </cfRule>
    <cfRule type="containsText" dxfId="3" priority="28" operator="between" text="库存">
      <formula>NOT(ISERROR(SEARCH("库存",AS45)))</formula>
    </cfRule>
  </conditionalFormatting>
  <conditionalFormatting sqref="AS46">
    <cfRule type="cellIs" dxfId="0" priority="161" operator="lessThan">
      <formula>20</formula>
    </cfRule>
    <cfRule type="cellIs" dxfId="1" priority="94" operator="greaterThan">
      <formula>120</formula>
    </cfRule>
    <cfRule type="containsText" dxfId="3" priority="27" operator="between" text="库存">
      <formula>NOT(ISERROR(SEARCH("库存",AS46)))</formula>
    </cfRule>
  </conditionalFormatting>
  <conditionalFormatting sqref="AS47">
    <cfRule type="cellIs" dxfId="0" priority="160" operator="lessThan">
      <formula>20</formula>
    </cfRule>
    <cfRule type="cellIs" dxfId="1" priority="93" operator="greaterThan">
      <formula>120</formula>
    </cfRule>
    <cfRule type="containsText" dxfId="3" priority="26" operator="between" text="库存">
      <formula>NOT(ISERROR(SEARCH("库存",AS47)))</formula>
    </cfRule>
  </conditionalFormatting>
  <conditionalFormatting sqref="AS48">
    <cfRule type="cellIs" dxfId="0" priority="159" operator="lessThan">
      <formula>20</formula>
    </cfRule>
    <cfRule type="cellIs" dxfId="1" priority="92" operator="greaterThan">
      <formula>120</formula>
    </cfRule>
    <cfRule type="containsText" dxfId="3" priority="25" operator="between" text="库存">
      <formula>NOT(ISERROR(SEARCH("库存",AS48)))</formula>
    </cfRule>
  </conditionalFormatting>
  <conditionalFormatting sqref="AS49">
    <cfRule type="cellIs" dxfId="0" priority="158" operator="lessThan">
      <formula>20</formula>
    </cfRule>
    <cfRule type="cellIs" dxfId="1" priority="91" operator="greaterThan">
      <formula>120</formula>
    </cfRule>
    <cfRule type="containsText" dxfId="3" priority="24" operator="between" text="库存">
      <formula>NOT(ISERROR(SEARCH("库存",AS49)))</formula>
    </cfRule>
  </conditionalFormatting>
  <conditionalFormatting sqref="AS50">
    <cfRule type="cellIs" dxfId="0" priority="157" operator="lessThan">
      <formula>20</formula>
    </cfRule>
    <cfRule type="cellIs" dxfId="1" priority="90" operator="greaterThan">
      <formula>120</formula>
    </cfRule>
    <cfRule type="containsText" dxfId="3" priority="23" operator="between" text="库存">
      <formula>NOT(ISERROR(SEARCH("库存",AS50)))</formula>
    </cfRule>
  </conditionalFormatting>
  <conditionalFormatting sqref="AS51">
    <cfRule type="cellIs" dxfId="0" priority="156" operator="lessThan">
      <formula>20</formula>
    </cfRule>
    <cfRule type="cellIs" dxfId="1" priority="89" operator="greaterThan">
      <formula>120</formula>
    </cfRule>
    <cfRule type="containsText" dxfId="3" priority="22" operator="between" text="库存">
      <formula>NOT(ISERROR(SEARCH("库存",AS51)))</formula>
    </cfRule>
  </conditionalFormatting>
  <conditionalFormatting sqref="AS52">
    <cfRule type="cellIs" dxfId="0" priority="155" operator="lessThan">
      <formula>20</formula>
    </cfRule>
    <cfRule type="cellIs" dxfId="1" priority="88" operator="greaterThan">
      <formula>120</formula>
    </cfRule>
    <cfRule type="containsText" dxfId="3" priority="21" operator="between" text="库存">
      <formula>NOT(ISERROR(SEARCH("库存",AS52)))</formula>
    </cfRule>
  </conditionalFormatting>
  <conditionalFormatting sqref="AS53">
    <cfRule type="cellIs" dxfId="0" priority="154" operator="lessThan">
      <formula>20</formula>
    </cfRule>
    <cfRule type="cellIs" dxfId="1" priority="87" operator="greaterThan">
      <formula>120</formula>
    </cfRule>
    <cfRule type="containsText" dxfId="3" priority="20" operator="between" text="库存">
      <formula>NOT(ISERROR(SEARCH("库存",AS53)))</formula>
    </cfRule>
  </conditionalFormatting>
  <conditionalFormatting sqref="AS54">
    <cfRule type="cellIs" dxfId="0" priority="153" operator="lessThan">
      <formula>20</formula>
    </cfRule>
    <cfRule type="cellIs" dxfId="1" priority="86" operator="greaterThan">
      <formula>120</formula>
    </cfRule>
    <cfRule type="containsText" dxfId="3" priority="19" operator="between" text="库存">
      <formula>NOT(ISERROR(SEARCH("库存",AS54)))</formula>
    </cfRule>
  </conditionalFormatting>
  <conditionalFormatting sqref="AS55">
    <cfRule type="cellIs" dxfId="0" priority="152" operator="lessThan">
      <formula>20</formula>
    </cfRule>
    <cfRule type="cellIs" dxfId="1" priority="85" operator="greaterThan">
      <formula>120</formula>
    </cfRule>
    <cfRule type="containsText" dxfId="3" priority="18" operator="between" text="库存">
      <formula>NOT(ISERROR(SEARCH("库存",AS55)))</formula>
    </cfRule>
  </conditionalFormatting>
  <conditionalFormatting sqref="AS56">
    <cfRule type="cellIs" dxfId="0" priority="151" operator="lessThan">
      <formula>20</formula>
    </cfRule>
    <cfRule type="cellIs" dxfId="1" priority="84" operator="greaterThan">
      <formula>120</formula>
    </cfRule>
    <cfRule type="containsText" dxfId="3" priority="17" operator="between" text="库存">
      <formula>NOT(ISERROR(SEARCH("库存",AS56)))</formula>
    </cfRule>
  </conditionalFormatting>
  <conditionalFormatting sqref="AS57">
    <cfRule type="cellIs" dxfId="0" priority="150" operator="lessThan">
      <formula>20</formula>
    </cfRule>
    <cfRule type="cellIs" dxfId="1" priority="83" operator="greaterThan">
      <formula>120</formula>
    </cfRule>
    <cfRule type="containsText" dxfId="3" priority="16" operator="between" text="库存">
      <formula>NOT(ISERROR(SEARCH("库存",AS57)))</formula>
    </cfRule>
  </conditionalFormatting>
  <conditionalFormatting sqref="AS58">
    <cfRule type="cellIs" dxfId="0" priority="149" operator="lessThan">
      <formula>20</formula>
    </cfRule>
    <cfRule type="cellIs" dxfId="1" priority="82" operator="greaterThan">
      <formula>120</formula>
    </cfRule>
    <cfRule type="containsText" dxfId="3" priority="15" operator="between" text="库存">
      <formula>NOT(ISERROR(SEARCH("库存",AS58)))</formula>
    </cfRule>
  </conditionalFormatting>
  <conditionalFormatting sqref="AS59">
    <cfRule type="cellIs" dxfId="0" priority="148" operator="lessThan">
      <formula>20</formula>
    </cfRule>
    <cfRule type="cellIs" dxfId="1" priority="81" operator="greaterThan">
      <formula>120</formula>
    </cfRule>
    <cfRule type="containsText" dxfId="3" priority="14" operator="between" text="库存">
      <formula>NOT(ISERROR(SEARCH("库存",AS59)))</formula>
    </cfRule>
  </conditionalFormatting>
  <conditionalFormatting sqref="AS60">
    <cfRule type="cellIs" dxfId="0" priority="147" operator="lessThan">
      <formula>20</formula>
    </cfRule>
    <cfRule type="cellIs" dxfId="1" priority="80" operator="greaterThan">
      <formula>120</formula>
    </cfRule>
    <cfRule type="containsText" dxfId="3" priority="13" operator="between" text="库存">
      <formula>NOT(ISERROR(SEARCH("库存",AS60)))</formula>
    </cfRule>
  </conditionalFormatting>
  <conditionalFormatting sqref="AS61">
    <cfRule type="cellIs" dxfId="0" priority="146" operator="lessThan">
      <formula>20</formula>
    </cfRule>
    <cfRule type="cellIs" dxfId="1" priority="79" operator="greaterThan">
      <formula>120</formula>
    </cfRule>
    <cfRule type="containsText" dxfId="3" priority="12" operator="between" text="库存">
      <formula>NOT(ISERROR(SEARCH("库存",AS61)))</formula>
    </cfRule>
  </conditionalFormatting>
  <conditionalFormatting sqref="AS62">
    <cfRule type="cellIs" dxfId="0" priority="145" operator="lessThan">
      <formula>20</formula>
    </cfRule>
    <cfRule type="cellIs" dxfId="1" priority="78" operator="greaterThan">
      <formula>120</formula>
    </cfRule>
    <cfRule type="containsText" dxfId="3" priority="11" operator="between" text="库存">
      <formula>NOT(ISERROR(SEARCH("库存",AS62)))</formula>
    </cfRule>
  </conditionalFormatting>
  <conditionalFormatting sqref="AS63">
    <cfRule type="cellIs" dxfId="0" priority="144" operator="lessThan">
      <formula>20</formula>
    </cfRule>
    <cfRule type="cellIs" dxfId="1" priority="77" operator="greaterThan">
      <formula>120</formula>
    </cfRule>
    <cfRule type="containsText" dxfId="3" priority="10" operator="between" text="库存">
      <formula>NOT(ISERROR(SEARCH("库存",AS63)))</formula>
    </cfRule>
  </conditionalFormatting>
  <conditionalFormatting sqref="AS64">
    <cfRule type="cellIs" dxfId="0" priority="143" operator="lessThan">
      <formula>20</formula>
    </cfRule>
    <cfRule type="cellIs" dxfId="1" priority="76" operator="greaterThan">
      <formula>120</formula>
    </cfRule>
    <cfRule type="containsText" dxfId="3" priority="9" operator="between" text="库存">
      <formula>NOT(ISERROR(SEARCH("库存",AS64)))</formula>
    </cfRule>
  </conditionalFormatting>
  <conditionalFormatting sqref="AS65">
    <cfRule type="cellIs" dxfId="0" priority="142" operator="lessThan">
      <formula>20</formula>
    </cfRule>
    <cfRule type="cellIs" dxfId="1" priority="75" operator="greaterThan">
      <formula>120</formula>
    </cfRule>
    <cfRule type="containsText" dxfId="3" priority="8" operator="between" text="库存">
      <formula>NOT(ISERROR(SEARCH("库存",AS65)))</formula>
    </cfRule>
  </conditionalFormatting>
  <conditionalFormatting sqref="AS66">
    <cfRule type="cellIs" dxfId="0" priority="141" operator="lessThan">
      <formula>20</formula>
    </cfRule>
    <cfRule type="cellIs" dxfId="1" priority="74" operator="greaterThan">
      <formula>120</formula>
    </cfRule>
    <cfRule type="containsText" dxfId="3" priority="7" operator="between" text="库存">
      <formula>NOT(ISERROR(SEARCH("库存",AS66)))</formula>
    </cfRule>
  </conditionalFormatting>
  <conditionalFormatting sqref="AS67">
    <cfRule type="cellIs" dxfId="0" priority="140" operator="lessThan">
      <formula>20</formula>
    </cfRule>
    <cfRule type="cellIs" dxfId="1" priority="73" operator="greaterThan">
      <formula>120</formula>
    </cfRule>
    <cfRule type="containsText" dxfId="3" priority="6" operator="between" text="库存">
      <formula>NOT(ISERROR(SEARCH("库存",AS67)))</formula>
    </cfRule>
  </conditionalFormatting>
  <conditionalFormatting sqref="AS68">
    <cfRule type="cellIs" dxfId="0" priority="139" operator="lessThan">
      <formula>20</formula>
    </cfRule>
    <cfRule type="cellIs" dxfId="1" priority="72" operator="greaterThan">
      <formula>120</formula>
    </cfRule>
    <cfRule type="containsText" dxfId="3" priority="5" operator="between" text="库存">
      <formula>NOT(ISERROR(SEARCH("库存",AS68)))</formula>
    </cfRule>
  </conditionalFormatting>
  <conditionalFormatting sqref="AS69">
    <cfRule type="cellIs" dxfId="0" priority="138" operator="lessThan">
      <formula>20</formula>
    </cfRule>
    <cfRule type="cellIs" dxfId="1" priority="71" operator="greaterThan">
      <formula>120</formula>
    </cfRule>
    <cfRule type="containsText" dxfId="3" priority="4" operator="between" text="库存">
      <formula>NOT(ISERROR(SEARCH("库存",AS69)))</formula>
    </cfRule>
  </conditionalFormatting>
  <conditionalFormatting sqref="AS70">
    <cfRule type="cellIs" dxfId="0" priority="137" operator="lessThan">
      <formula>20</formula>
    </cfRule>
    <cfRule type="cellIs" dxfId="1" priority="70" operator="greaterThan">
      <formula>120</formula>
    </cfRule>
    <cfRule type="containsText" dxfId="3" priority="3" operator="between" text="库存">
      <formula>NOT(ISERROR(SEARCH("库存",AS70)))</formula>
    </cfRule>
  </conditionalFormatting>
  <conditionalFormatting sqref="AS71">
    <cfRule type="cellIs" dxfId="0" priority="136" operator="lessThan">
      <formula>20</formula>
    </cfRule>
    <cfRule type="cellIs" dxfId="1" priority="69" operator="greaterThan">
      <formula>120</formula>
    </cfRule>
    <cfRule type="containsText" dxfId="3" priority="2" operator="between" text="库存">
      <formula>NOT(ISERROR(SEARCH("库存",AS71)))</formula>
    </cfRule>
  </conditionalFormatting>
  <conditionalFormatting sqref="AS72">
    <cfRule type="cellIs" dxfId="0" priority="135" operator="lessThan">
      <formula>20</formula>
    </cfRule>
    <cfRule type="cellIs" dxfId="1" priority="68" operator="greaterThan">
      <formula>120</formula>
    </cfRule>
    <cfRule type="containsText" dxfId="3" priority="1" operator="between" text="库存">
      <formula>NOT(ISERROR(SEARCH("库存",AS72)))</formula>
    </cfRule>
  </conditionalFormatting>
  <conditionalFormatting sqref="AS73">
    <cfRule type="cellIs" dxfId="0" priority="551" operator="lessThan">
      <formula>20</formula>
    </cfRule>
    <cfRule type="cellIs" dxfId="1" priority="479" operator="greaterThan">
      <formula>120</formula>
    </cfRule>
    <cfRule type="containsText" dxfId="3" priority="407" operator="between" text="库存">
      <formula>NOT(ISERROR(SEARCH("库存",AS73)))</formula>
    </cfRule>
  </conditionalFormatting>
  <conditionalFormatting sqref="AS74">
    <cfRule type="cellIs" dxfId="0" priority="550" operator="lessThan">
      <formula>20</formula>
    </cfRule>
    <cfRule type="cellIs" dxfId="1" priority="478" operator="greaterThan">
      <formula>120</formula>
    </cfRule>
    <cfRule type="containsText" dxfId="3" priority="406" operator="between" text="库存">
      <formula>NOT(ISERROR(SEARCH("库存",AS74)))</formula>
    </cfRule>
  </conditionalFormatting>
  <conditionalFormatting sqref="AS75">
    <cfRule type="cellIs" dxfId="0" priority="549" operator="lessThan">
      <formula>20</formula>
    </cfRule>
    <cfRule type="cellIs" dxfId="1" priority="477" operator="greaterThan">
      <formula>120</formula>
    </cfRule>
    <cfRule type="containsText" dxfId="3" priority="405" operator="between" text="库存">
      <formula>NOT(ISERROR(SEARCH("库存",AS75)))</formula>
    </cfRule>
  </conditionalFormatting>
  <conditionalFormatting sqref="AS76">
    <cfRule type="cellIs" dxfId="0" priority="548" operator="lessThan">
      <formula>20</formula>
    </cfRule>
    <cfRule type="cellIs" dxfId="1" priority="476" operator="greaterThan">
      <formula>120</formula>
    </cfRule>
    <cfRule type="containsText" dxfId="3" priority="404" operator="between" text="库存">
      <formula>NOT(ISERROR(SEARCH("库存",AS76)))</formula>
    </cfRule>
  </conditionalFormatting>
  <conditionalFormatting sqref="AS77">
    <cfRule type="cellIs" dxfId="0" priority="547" operator="lessThan">
      <formula>20</formula>
    </cfRule>
    <cfRule type="cellIs" dxfId="1" priority="475" operator="greaterThan">
      <formula>120</formula>
    </cfRule>
    <cfRule type="containsText" dxfId="3" priority="403" operator="between" text="库存">
      <formula>NOT(ISERROR(SEARCH("库存",AS77)))</formula>
    </cfRule>
  </conditionalFormatting>
  <conditionalFormatting sqref="AS78">
    <cfRule type="cellIs" dxfId="0" priority="978" operator="lessThan">
      <formula>20</formula>
    </cfRule>
    <cfRule type="cellIs" dxfId="1" priority="834" operator="greaterThan">
      <formula>120</formula>
    </cfRule>
    <cfRule type="containsText" dxfId="3" priority="690" operator="between" text="库存">
      <formula>NOT(ISERROR(SEARCH("库存",AS78)))</formula>
    </cfRule>
  </conditionalFormatting>
  <conditionalFormatting sqref="AS79">
    <cfRule type="cellIs" dxfId="0" priority="977" operator="lessThan">
      <formula>20</formula>
    </cfRule>
    <cfRule type="cellIs" dxfId="1" priority="833" operator="greaterThan">
      <formula>120</formula>
    </cfRule>
    <cfRule type="containsText" dxfId="3" priority="689" operator="between" text="库存">
      <formula>NOT(ISERROR(SEARCH("库存",AS79)))</formula>
    </cfRule>
  </conditionalFormatting>
  <conditionalFormatting sqref="AS80">
    <cfRule type="cellIs" dxfId="0" priority="976" operator="lessThan">
      <formula>20</formula>
    </cfRule>
    <cfRule type="cellIs" dxfId="1" priority="832" operator="greaterThan">
      <formula>120</formula>
    </cfRule>
    <cfRule type="containsText" dxfId="3" priority="688" operator="between" text="库存">
      <formula>NOT(ISERROR(SEARCH("库存",AS80)))</formula>
    </cfRule>
  </conditionalFormatting>
  <conditionalFormatting sqref="AS81">
    <cfRule type="cellIs" dxfId="0" priority="975" operator="lessThan">
      <formula>20</formula>
    </cfRule>
    <cfRule type="cellIs" dxfId="1" priority="831" operator="greaterThan">
      <formula>120</formula>
    </cfRule>
    <cfRule type="containsText" dxfId="3" priority="687" operator="between" text="库存">
      <formula>NOT(ISERROR(SEARCH("库存",AS81)))</formula>
    </cfRule>
  </conditionalFormatting>
  <conditionalFormatting sqref="AS82">
    <cfRule type="cellIs" dxfId="0" priority="974" operator="lessThan">
      <formula>20</formula>
    </cfRule>
    <cfRule type="cellIs" dxfId="1" priority="830" operator="greaterThan">
      <formula>120</formula>
    </cfRule>
    <cfRule type="containsText" dxfId="3" priority="686" operator="between" text="库存">
      <formula>NOT(ISERROR(SEARCH("库存",AS82)))</formula>
    </cfRule>
  </conditionalFormatting>
  <conditionalFormatting sqref="AS83">
    <cfRule type="cellIs" dxfId="0" priority="973" operator="lessThan">
      <formula>20</formula>
    </cfRule>
    <cfRule type="cellIs" dxfId="1" priority="829" operator="greaterThan">
      <formula>120</formula>
    </cfRule>
    <cfRule type="containsText" dxfId="3" priority="685" operator="between" text="库存">
      <formula>NOT(ISERROR(SEARCH("库存",AS83)))</formula>
    </cfRule>
  </conditionalFormatting>
  <conditionalFormatting sqref="AS84">
    <cfRule type="cellIs" dxfId="0" priority="972" operator="lessThan">
      <formula>20</formula>
    </cfRule>
    <cfRule type="cellIs" dxfId="1" priority="828" operator="greaterThan">
      <formula>120</formula>
    </cfRule>
    <cfRule type="containsText" dxfId="3" priority="684" operator="between" text="库存">
      <formula>NOT(ISERROR(SEARCH("库存",AS84)))</formula>
    </cfRule>
  </conditionalFormatting>
  <conditionalFormatting sqref="AS85">
    <cfRule type="cellIs" dxfId="0" priority="971" operator="lessThan">
      <formula>20</formula>
    </cfRule>
    <cfRule type="cellIs" dxfId="1" priority="827" operator="greaterThan">
      <formula>120</formula>
    </cfRule>
    <cfRule type="containsText" dxfId="3" priority="683" operator="between" text="库存">
      <formula>NOT(ISERROR(SEARCH("库存",AS85)))</formula>
    </cfRule>
  </conditionalFormatting>
  <conditionalFormatting sqref="AS86">
    <cfRule type="cellIs" dxfId="0" priority="970" operator="lessThan">
      <formula>20</formula>
    </cfRule>
    <cfRule type="cellIs" dxfId="1" priority="826" operator="greaterThan">
      <formula>120</formula>
    </cfRule>
    <cfRule type="containsText" dxfId="3" priority="682" operator="between" text="库存">
      <formula>NOT(ISERROR(SEARCH("库存",AS86)))</formula>
    </cfRule>
  </conditionalFormatting>
  <conditionalFormatting sqref="AS87">
    <cfRule type="cellIs" dxfId="0" priority="969" operator="lessThan">
      <formula>20</formula>
    </cfRule>
    <cfRule type="cellIs" dxfId="1" priority="825" operator="greaterThan">
      <formula>120</formula>
    </cfRule>
    <cfRule type="containsText" dxfId="3" priority="681" operator="between" text="库存">
      <formula>NOT(ISERROR(SEARCH("库存",AS87)))</formula>
    </cfRule>
  </conditionalFormatting>
  <conditionalFormatting sqref="AS88">
    <cfRule type="cellIs" dxfId="0" priority="968" operator="lessThan">
      <formula>20</formula>
    </cfRule>
    <cfRule type="cellIs" dxfId="1" priority="824" operator="greaterThan">
      <formula>120</formula>
    </cfRule>
    <cfRule type="containsText" dxfId="3" priority="680" operator="between" text="库存">
      <formula>NOT(ISERROR(SEARCH("库存",AS88)))</formula>
    </cfRule>
  </conditionalFormatting>
  <conditionalFormatting sqref="AS89">
    <cfRule type="cellIs" dxfId="0" priority="967" operator="lessThan">
      <formula>20</formula>
    </cfRule>
    <cfRule type="cellIs" dxfId="1" priority="823" operator="greaterThan">
      <formula>120</formula>
    </cfRule>
    <cfRule type="containsText" dxfId="3" priority="679" operator="between" text="库存">
      <formula>NOT(ISERROR(SEARCH("库存",AS89)))</formula>
    </cfRule>
  </conditionalFormatting>
  <conditionalFormatting sqref="AS90">
    <cfRule type="cellIs" dxfId="0" priority="966" operator="lessThan">
      <formula>20</formula>
    </cfRule>
    <cfRule type="cellIs" dxfId="1" priority="822" operator="greaterThan">
      <formula>120</formula>
    </cfRule>
    <cfRule type="containsText" dxfId="3" priority="678" operator="between" text="库存">
      <formula>NOT(ISERROR(SEARCH("库存",AS90)))</formula>
    </cfRule>
  </conditionalFormatting>
  <conditionalFormatting sqref="AS91">
    <cfRule type="cellIs" dxfId="0" priority="965" operator="lessThan">
      <formula>20</formula>
    </cfRule>
    <cfRule type="cellIs" dxfId="1" priority="821" operator="greaterThan">
      <formula>120</formula>
    </cfRule>
    <cfRule type="containsText" dxfId="3" priority="677" operator="between" text="库存">
      <formula>NOT(ISERROR(SEARCH("库存",AS91)))</formula>
    </cfRule>
  </conditionalFormatting>
  <conditionalFormatting sqref="AS92">
    <cfRule type="cellIs" dxfId="0" priority="964" operator="lessThan">
      <formula>20</formula>
    </cfRule>
    <cfRule type="cellIs" dxfId="1" priority="820" operator="greaterThan">
      <formula>120</formula>
    </cfRule>
    <cfRule type="containsText" dxfId="3" priority="676" operator="between" text="库存">
      <formula>NOT(ISERROR(SEARCH("库存",AS92)))</formula>
    </cfRule>
  </conditionalFormatting>
  <conditionalFormatting sqref="AS93">
    <cfRule type="cellIs" dxfId="0" priority="963" operator="lessThan">
      <formula>20</formula>
    </cfRule>
    <cfRule type="cellIs" dxfId="1" priority="819" operator="greaterThan">
      <formula>120</formula>
    </cfRule>
    <cfRule type="containsText" dxfId="3" priority="675" operator="between" text="库存">
      <formula>NOT(ISERROR(SEARCH("库存",AS93)))</formula>
    </cfRule>
  </conditionalFormatting>
  <conditionalFormatting sqref="AS94">
    <cfRule type="cellIs" dxfId="0" priority="962" operator="lessThan">
      <formula>20</formula>
    </cfRule>
    <cfRule type="cellIs" dxfId="1" priority="818" operator="greaterThan">
      <formula>120</formula>
    </cfRule>
    <cfRule type="containsText" dxfId="3" priority="674" operator="between" text="库存">
      <formula>NOT(ISERROR(SEARCH("库存",AS94)))</formula>
    </cfRule>
  </conditionalFormatting>
  <conditionalFormatting sqref="AS95">
    <cfRule type="cellIs" dxfId="0" priority="961" operator="lessThan">
      <formula>20</formula>
    </cfRule>
    <cfRule type="cellIs" dxfId="1" priority="817" operator="greaterThan">
      <formula>120</formula>
    </cfRule>
    <cfRule type="containsText" dxfId="3" priority="673" operator="between" text="库存">
      <formula>NOT(ISERROR(SEARCH("库存",AS95)))</formula>
    </cfRule>
  </conditionalFormatting>
  <conditionalFormatting sqref="AS96">
    <cfRule type="cellIs" dxfId="0" priority="960" operator="lessThan">
      <formula>20</formula>
    </cfRule>
    <cfRule type="cellIs" dxfId="1" priority="816" operator="greaterThan">
      <formula>120</formula>
    </cfRule>
    <cfRule type="containsText" dxfId="3" priority="672" operator="between" text="库存">
      <formula>NOT(ISERROR(SEARCH("库存",AS96)))</formula>
    </cfRule>
  </conditionalFormatting>
  <conditionalFormatting sqref="AS97">
    <cfRule type="cellIs" dxfId="0" priority="959" operator="lessThan">
      <formula>20</formula>
    </cfRule>
    <cfRule type="cellIs" dxfId="1" priority="815" operator="greaterThan">
      <formula>120</formula>
    </cfRule>
    <cfRule type="containsText" dxfId="3" priority="671" operator="between" text="库存">
      <formula>NOT(ISERROR(SEARCH("库存",AS97)))</formula>
    </cfRule>
  </conditionalFormatting>
  <conditionalFormatting sqref="AS98">
    <cfRule type="cellIs" dxfId="0" priority="958" operator="lessThan">
      <formula>20</formula>
    </cfRule>
    <cfRule type="cellIs" dxfId="1" priority="814" operator="greaterThan">
      <formula>120</formula>
    </cfRule>
    <cfRule type="containsText" dxfId="3" priority="670" operator="between" text="库存">
      <formula>NOT(ISERROR(SEARCH("库存",AS98)))</formula>
    </cfRule>
  </conditionalFormatting>
  <conditionalFormatting sqref="AS99">
    <cfRule type="cellIs" dxfId="0" priority="957" operator="lessThan">
      <formula>20</formula>
    </cfRule>
    <cfRule type="cellIs" dxfId="1" priority="813" operator="greaterThan">
      <formula>120</formula>
    </cfRule>
    <cfRule type="containsText" dxfId="3" priority="669" operator="between" text="库存">
      <formula>NOT(ISERROR(SEARCH("库存",AS99)))</formula>
    </cfRule>
  </conditionalFormatting>
  <conditionalFormatting sqref="AS100">
    <cfRule type="cellIs" dxfId="0" priority="956" operator="lessThan">
      <formula>20</formula>
    </cfRule>
    <cfRule type="cellIs" dxfId="1" priority="812" operator="greaterThan">
      <formula>120</formula>
    </cfRule>
    <cfRule type="containsText" dxfId="3" priority="668" operator="between" text="库存">
      <formula>NOT(ISERROR(SEARCH("库存",AS100)))</formula>
    </cfRule>
  </conditionalFormatting>
  <conditionalFormatting sqref="AS101">
    <cfRule type="cellIs" dxfId="0" priority="955" operator="lessThan">
      <formula>20</formula>
    </cfRule>
    <cfRule type="cellIs" dxfId="1" priority="811" operator="greaterThan">
      <formula>120</formula>
    </cfRule>
    <cfRule type="containsText" dxfId="3" priority="667" operator="between" text="库存">
      <formula>NOT(ISERROR(SEARCH("库存",AS101)))</formula>
    </cfRule>
  </conditionalFormatting>
  <conditionalFormatting sqref="AS102">
    <cfRule type="cellIs" dxfId="0" priority="954" operator="lessThan">
      <formula>20</formula>
    </cfRule>
    <cfRule type="cellIs" dxfId="1" priority="810" operator="greaterThan">
      <formula>120</formula>
    </cfRule>
    <cfRule type="containsText" dxfId="3" priority="666" operator="between" text="库存">
      <formula>NOT(ISERROR(SEARCH("库存",AS102)))</formula>
    </cfRule>
  </conditionalFormatting>
  <conditionalFormatting sqref="AS103">
    <cfRule type="cellIs" dxfId="0" priority="953" operator="lessThan">
      <formula>20</formula>
    </cfRule>
    <cfRule type="cellIs" dxfId="1" priority="809" operator="greaterThan">
      <formula>120</formula>
    </cfRule>
    <cfRule type="containsText" dxfId="3" priority="665" operator="between" text="库存">
      <formula>NOT(ISERROR(SEARCH("库存",AS103)))</formula>
    </cfRule>
  </conditionalFormatting>
  <conditionalFormatting sqref="AS104">
    <cfRule type="cellIs" dxfId="0" priority="952" operator="lessThan">
      <formula>20</formula>
    </cfRule>
    <cfRule type="cellIs" dxfId="1" priority="808" operator="greaterThan">
      <formula>120</formula>
    </cfRule>
    <cfRule type="containsText" dxfId="3" priority="664" operator="between" text="库存">
      <formula>NOT(ISERROR(SEARCH("库存",AS104)))</formula>
    </cfRule>
  </conditionalFormatting>
  <conditionalFormatting sqref="AS105">
    <cfRule type="cellIs" dxfId="0" priority="951" operator="lessThan">
      <formula>20</formula>
    </cfRule>
    <cfRule type="cellIs" dxfId="1" priority="807" operator="greaterThan">
      <formula>120</formula>
    </cfRule>
    <cfRule type="containsText" dxfId="3" priority="663" operator="between" text="库存">
      <formula>NOT(ISERROR(SEARCH("库存",AS105)))</formula>
    </cfRule>
  </conditionalFormatting>
  <conditionalFormatting sqref="AS106">
    <cfRule type="cellIs" dxfId="0" priority="950" operator="lessThan">
      <formula>20</formula>
    </cfRule>
    <cfRule type="cellIs" dxfId="1" priority="806" operator="greaterThan">
      <formula>120</formula>
    </cfRule>
    <cfRule type="containsText" dxfId="3" priority="662" operator="between" text="库存">
      <formula>NOT(ISERROR(SEARCH("库存",AS106)))</formula>
    </cfRule>
  </conditionalFormatting>
  <conditionalFormatting sqref="AS107">
    <cfRule type="cellIs" dxfId="0" priority="949" operator="lessThan">
      <formula>20</formula>
    </cfRule>
    <cfRule type="cellIs" dxfId="1" priority="805" operator="greaterThan">
      <formula>120</formula>
    </cfRule>
    <cfRule type="containsText" dxfId="3" priority="661" operator="between" text="库存">
      <formula>NOT(ISERROR(SEARCH("库存",AS107)))</formula>
    </cfRule>
  </conditionalFormatting>
  <conditionalFormatting sqref="AS108">
    <cfRule type="cellIs" dxfId="0" priority="948" operator="lessThan">
      <formula>20</formula>
    </cfRule>
    <cfRule type="cellIs" dxfId="1" priority="804" operator="greaterThan">
      <formula>120</formula>
    </cfRule>
    <cfRule type="containsText" dxfId="3" priority="660" operator="between" text="库存">
      <formula>NOT(ISERROR(SEARCH("库存",AS108)))</formula>
    </cfRule>
  </conditionalFormatting>
  <conditionalFormatting sqref="AS109">
    <cfRule type="cellIs" dxfId="0" priority="947" operator="lessThan">
      <formula>20</formula>
    </cfRule>
    <cfRule type="cellIs" dxfId="1" priority="803" operator="greaterThan">
      <formula>120</formula>
    </cfRule>
    <cfRule type="containsText" dxfId="3" priority="659" operator="between" text="库存">
      <formula>NOT(ISERROR(SEARCH("库存",AS109)))</formula>
    </cfRule>
  </conditionalFormatting>
  <conditionalFormatting sqref="AS110">
    <cfRule type="cellIs" dxfId="0" priority="946" operator="lessThan">
      <formula>20</formula>
    </cfRule>
    <cfRule type="cellIs" dxfId="1" priority="802" operator="greaterThan">
      <formula>120</formula>
    </cfRule>
    <cfRule type="containsText" dxfId="3" priority="658" operator="between" text="库存">
      <formula>NOT(ISERROR(SEARCH("库存",AS110)))</formula>
    </cfRule>
  </conditionalFormatting>
  <conditionalFormatting sqref="AS111">
    <cfRule type="cellIs" dxfId="0" priority="945" operator="lessThan">
      <formula>20</formula>
    </cfRule>
    <cfRule type="cellIs" dxfId="1" priority="801" operator="greaterThan">
      <formula>120</formula>
    </cfRule>
    <cfRule type="containsText" dxfId="3" priority="657" operator="between" text="库存">
      <formula>NOT(ISERROR(SEARCH("库存",AS111)))</formula>
    </cfRule>
  </conditionalFormatting>
  <conditionalFormatting sqref="AS112">
    <cfRule type="cellIs" dxfId="0" priority="944" operator="lessThan">
      <formula>20</formula>
    </cfRule>
    <cfRule type="cellIs" dxfId="1" priority="800" operator="greaterThan">
      <formula>120</formula>
    </cfRule>
    <cfRule type="containsText" dxfId="3" priority="656" operator="between" text="库存">
      <formula>NOT(ISERROR(SEARCH("库存",AS112)))</formula>
    </cfRule>
  </conditionalFormatting>
  <conditionalFormatting sqref="AS113">
    <cfRule type="cellIs" dxfId="0" priority="943" operator="lessThan">
      <formula>20</formula>
    </cfRule>
    <cfRule type="cellIs" dxfId="1" priority="799" operator="greaterThan">
      <formula>120</formula>
    </cfRule>
    <cfRule type="containsText" dxfId="3" priority="655" operator="between" text="库存">
      <formula>NOT(ISERROR(SEARCH("库存",AS113)))</formula>
    </cfRule>
  </conditionalFormatting>
  <conditionalFormatting sqref="AS114">
    <cfRule type="cellIs" dxfId="0" priority="942" operator="lessThan">
      <formula>20</formula>
    </cfRule>
    <cfRule type="cellIs" dxfId="1" priority="798" operator="greaterThan">
      <formula>120</formula>
    </cfRule>
    <cfRule type="containsText" dxfId="3" priority="654" operator="between" text="库存">
      <formula>NOT(ISERROR(SEARCH("库存",AS114)))</formula>
    </cfRule>
  </conditionalFormatting>
  <conditionalFormatting sqref="AS115">
    <cfRule type="cellIs" dxfId="0" priority="941" operator="lessThan">
      <formula>20</formula>
    </cfRule>
    <cfRule type="cellIs" dxfId="1" priority="797" operator="greaterThan">
      <formula>120</formula>
    </cfRule>
    <cfRule type="containsText" dxfId="3" priority="653" operator="between" text="库存">
      <formula>NOT(ISERROR(SEARCH("库存",AS115)))</formula>
    </cfRule>
  </conditionalFormatting>
  <conditionalFormatting sqref="AS116">
    <cfRule type="cellIs" dxfId="0" priority="940" operator="lessThan">
      <formula>20</formula>
    </cfRule>
    <cfRule type="cellIs" dxfId="1" priority="796" operator="greaterThan">
      <formula>120</formula>
    </cfRule>
    <cfRule type="containsText" dxfId="3" priority="652" operator="between" text="库存">
      <formula>NOT(ISERROR(SEARCH("库存",AS116)))</formula>
    </cfRule>
  </conditionalFormatting>
  <conditionalFormatting sqref="AS117">
    <cfRule type="cellIs" dxfId="0" priority="939" operator="lessThan">
      <formula>20</formula>
    </cfRule>
    <cfRule type="cellIs" dxfId="1" priority="795" operator="greaterThan">
      <formula>120</formula>
    </cfRule>
    <cfRule type="containsText" dxfId="3" priority="651" operator="between" text="库存">
      <formula>NOT(ISERROR(SEARCH("库存",AS117)))</formula>
    </cfRule>
  </conditionalFormatting>
  <conditionalFormatting sqref="AS118">
    <cfRule type="cellIs" dxfId="0" priority="938" operator="lessThan">
      <formula>20</formula>
    </cfRule>
    <cfRule type="cellIs" dxfId="1" priority="794" operator="greaterThan">
      <formula>120</formula>
    </cfRule>
    <cfRule type="containsText" dxfId="3" priority="650" operator="between" text="库存">
      <formula>NOT(ISERROR(SEARCH("库存",AS118)))</formula>
    </cfRule>
  </conditionalFormatting>
  <conditionalFormatting sqref="AS119">
    <cfRule type="cellIs" dxfId="0" priority="937" operator="lessThan">
      <formula>20</formula>
    </cfRule>
    <cfRule type="cellIs" dxfId="1" priority="793" operator="greaterThan">
      <formula>120</formula>
    </cfRule>
    <cfRule type="containsText" dxfId="3" priority="649" operator="between" text="库存">
      <formula>NOT(ISERROR(SEARCH("库存",AS119)))</formula>
    </cfRule>
  </conditionalFormatting>
  <conditionalFormatting sqref="AS120">
    <cfRule type="cellIs" dxfId="0" priority="936" operator="lessThan">
      <formula>20</formula>
    </cfRule>
    <cfRule type="cellIs" dxfId="1" priority="792" operator="greaterThan">
      <formula>120</formula>
    </cfRule>
    <cfRule type="containsText" dxfId="3" priority="648" operator="between" text="库存">
      <formula>NOT(ISERROR(SEARCH("库存",AS120)))</formula>
    </cfRule>
  </conditionalFormatting>
  <conditionalFormatting sqref="AS121">
    <cfRule type="cellIs" dxfId="0" priority="935" operator="lessThan">
      <formula>20</formula>
    </cfRule>
    <cfRule type="cellIs" dxfId="1" priority="791" operator="greaterThan">
      <formula>120</formula>
    </cfRule>
    <cfRule type="containsText" dxfId="3" priority="647" operator="between" text="库存">
      <formula>NOT(ISERROR(SEARCH("库存",AS121)))</formula>
    </cfRule>
  </conditionalFormatting>
  <conditionalFormatting sqref="AS122">
    <cfRule type="cellIs" dxfId="0" priority="934" operator="lessThan">
      <formula>20</formula>
    </cfRule>
    <cfRule type="cellIs" dxfId="1" priority="790" operator="greaterThan">
      <formula>120</formula>
    </cfRule>
    <cfRule type="containsText" dxfId="3" priority="646" operator="between" text="库存">
      <formula>NOT(ISERROR(SEARCH("库存",AS122)))</formula>
    </cfRule>
  </conditionalFormatting>
  <conditionalFormatting sqref="AS123">
    <cfRule type="cellIs" dxfId="0" priority="933" operator="lessThan">
      <formula>20</formula>
    </cfRule>
    <cfRule type="cellIs" dxfId="1" priority="789" operator="greaterThan">
      <formula>120</formula>
    </cfRule>
    <cfRule type="containsText" dxfId="3" priority="645" operator="between" text="库存">
      <formula>NOT(ISERROR(SEARCH("库存",AS123)))</formula>
    </cfRule>
  </conditionalFormatting>
  <conditionalFormatting sqref="AS124">
    <cfRule type="cellIs" dxfId="0" priority="932" operator="lessThan">
      <formula>20</formula>
    </cfRule>
    <cfRule type="cellIs" dxfId="1" priority="788" operator="greaterThan">
      <formula>120</formula>
    </cfRule>
    <cfRule type="containsText" dxfId="3" priority="644" operator="between" text="库存">
      <formula>NOT(ISERROR(SEARCH("库存",AS124)))</formula>
    </cfRule>
  </conditionalFormatting>
  <conditionalFormatting sqref="AS125">
    <cfRule type="cellIs" dxfId="0" priority="931" operator="lessThan">
      <formula>20</formula>
    </cfRule>
    <cfRule type="cellIs" dxfId="1" priority="787" operator="greaterThan">
      <formula>120</formula>
    </cfRule>
    <cfRule type="containsText" dxfId="3" priority="643" operator="between" text="库存">
      <formula>NOT(ISERROR(SEARCH("库存",AS125)))</formula>
    </cfRule>
  </conditionalFormatting>
  <conditionalFormatting sqref="AS126">
    <cfRule type="cellIs" dxfId="0" priority="930" operator="lessThan">
      <formula>20</formula>
    </cfRule>
    <cfRule type="cellIs" dxfId="1" priority="786" operator="greaterThan">
      <formula>120</formula>
    </cfRule>
    <cfRule type="containsText" dxfId="3" priority="642" operator="between" text="库存">
      <formula>NOT(ISERROR(SEARCH("库存",AS126)))</formula>
    </cfRule>
  </conditionalFormatting>
  <conditionalFormatting sqref="AS127">
    <cfRule type="cellIs" dxfId="0" priority="929" operator="lessThan">
      <formula>20</formula>
    </cfRule>
    <cfRule type="cellIs" dxfId="1" priority="785" operator="greaterThan">
      <formula>120</formula>
    </cfRule>
    <cfRule type="containsText" dxfId="3" priority="641" operator="between" text="库存">
      <formula>NOT(ISERROR(SEARCH("库存",AS127)))</formula>
    </cfRule>
  </conditionalFormatting>
  <conditionalFormatting sqref="AS128">
    <cfRule type="cellIs" dxfId="0" priority="928" operator="lessThan">
      <formula>20</formula>
    </cfRule>
    <cfRule type="cellIs" dxfId="1" priority="784" operator="greaterThan">
      <formula>120</formula>
    </cfRule>
    <cfRule type="containsText" dxfId="3" priority="640" operator="between" text="库存">
      <formula>NOT(ISERROR(SEARCH("库存",AS128)))</formula>
    </cfRule>
  </conditionalFormatting>
  <conditionalFormatting sqref="AS129">
    <cfRule type="cellIs" dxfId="0" priority="927" operator="lessThan">
      <formula>20</formula>
    </cfRule>
    <cfRule type="cellIs" dxfId="1" priority="783" operator="greaterThan">
      <formula>120</formula>
    </cfRule>
    <cfRule type="containsText" dxfId="3" priority="639" operator="between" text="库存">
      <formula>NOT(ISERROR(SEARCH("库存",AS129)))</formula>
    </cfRule>
  </conditionalFormatting>
  <conditionalFormatting sqref="AS130">
    <cfRule type="cellIs" dxfId="0" priority="926" operator="lessThan">
      <formula>20</formula>
    </cfRule>
    <cfRule type="cellIs" dxfId="1" priority="782" operator="greaterThan">
      <formula>120</formula>
    </cfRule>
    <cfRule type="containsText" dxfId="3" priority="638" operator="between" text="库存">
      <formula>NOT(ISERROR(SEARCH("库存",AS130)))</formula>
    </cfRule>
  </conditionalFormatting>
  <conditionalFormatting sqref="AS131">
    <cfRule type="cellIs" dxfId="0" priority="925" operator="lessThan">
      <formula>20</formula>
    </cfRule>
    <cfRule type="cellIs" dxfId="1" priority="781" operator="greaterThan">
      <formula>120</formula>
    </cfRule>
    <cfRule type="containsText" dxfId="3" priority="637" operator="between" text="库存">
      <formula>NOT(ISERROR(SEARCH("库存",AS131)))</formula>
    </cfRule>
  </conditionalFormatting>
  <conditionalFormatting sqref="AS132">
    <cfRule type="cellIs" dxfId="0" priority="924" operator="lessThan">
      <formula>20</formula>
    </cfRule>
    <cfRule type="cellIs" dxfId="1" priority="780" operator="greaterThan">
      <formula>120</formula>
    </cfRule>
    <cfRule type="containsText" dxfId="3" priority="636" operator="between" text="库存">
      <formula>NOT(ISERROR(SEARCH("库存",AS132)))</formula>
    </cfRule>
  </conditionalFormatting>
  <conditionalFormatting sqref="AS133">
    <cfRule type="cellIs" dxfId="0" priority="923" operator="lessThan">
      <formula>20</formula>
    </cfRule>
    <cfRule type="cellIs" dxfId="1" priority="779" operator="greaterThan">
      <formula>120</formula>
    </cfRule>
    <cfRule type="containsText" dxfId="3" priority="635" operator="between" text="库存">
      <formula>NOT(ISERROR(SEARCH("库存",AS133)))</formula>
    </cfRule>
  </conditionalFormatting>
  <conditionalFormatting sqref="AS134">
    <cfRule type="cellIs" dxfId="0" priority="922" operator="lessThan">
      <formula>20</formula>
    </cfRule>
    <cfRule type="cellIs" dxfId="1" priority="778" operator="greaterThan">
      <formula>120</formula>
    </cfRule>
    <cfRule type="containsText" dxfId="3" priority="634" operator="between" text="库存">
      <formula>NOT(ISERROR(SEARCH("库存",AS134)))</formula>
    </cfRule>
  </conditionalFormatting>
  <conditionalFormatting sqref="AS135">
    <cfRule type="cellIs" dxfId="0" priority="921" operator="lessThan">
      <formula>20</formula>
    </cfRule>
    <cfRule type="cellIs" dxfId="1" priority="777" operator="greaterThan">
      <formula>120</formula>
    </cfRule>
    <cfRule type="containsText" dxfId="3" priority="633" operator="between" text="库存">
      <formula>NOT(ISERROR(SEARCH("库存",AS135)))</formula>
    </cfRule>
  </conditionalFormatting>
  <conditionalFormatting sqref="AS136">
    <cfRule type="cellIs" dxfId="0" priority="920" operator="lessThan">
      <formula>20</formula>
    </cfRule>
    <cfRule type="cellIs" dxfId="1" priority="776" operator="greaterThan">
      <formula>120</formula>
    </cfRule>
    <cfRule type="containsText" dxfId="3" priority="632" operator="between" text="库存">
      <formula>NOT(ISERROR(SEARCH("库存",AS136)))</formula>
    </cfRule>
  </conditionalFormatting>
  <conditionalFormatting sqref="AS137">
    <cfRule type="cellIs" dxfId="0" priority="919" operator="lessThan">
      <formula>20</formula>
    </cfRule>
    <cfRule type="cellIs" dxfId="1" priority="775" operator="greaterThan">
      <formula>120</formula>
    </cfRule>
    <cfRule type="containsText" dxfId="3" priority="631" operator="between" text="库存">
      <formula>NOT(ISERROR(SEARCH("库存",AS137)))</formula>
    </cfRule>
  </conditionalFormatting>
  <conditionalFormatting sqref="AS138">
    <cfRule type="cellIs" dxfId="0" priority="918" operator="lessThan">
      <formula>20</formula>
    </cfRule>
    <cfRule type="cellIs" dxfId="1" priority="774" operator="greaterThan">
      <formula>120</formula>
    </cfRule>
    <cfRule type="containsText" dxfId="3" priority="630" operator="between" text="库存">
      <formula>NOT(ISERROR(SEARCH("库存",AS138)))</formula>
    </cfRule>
  </conditionalFormatting>
  <conditionalFormatting sqref="AS139">
    <cfRule type="cellIs" dxfId="0" priority="917" operator="lessThan">
      <formula>20</formula>
    </cfRule>
    <cfRule type="cellIs" dxfId="1" priority="773" operator="greaterThan">
      <formula>120</formula>
    </cfRule>
    <cfRule type="containsText" dxfId="3" priority="629" operator="between" text="库存">
      <formula>NOT(ISERROR(SEARCH("库存",AS139)))</formula>
    </cfRule>
  </conditionalFormatting>
  <conditionalFormatting sqref="AS140">
    <cfRule type="cellIs" dxfId="0" priority="916" operator="lessThan">
      <formula>20</formula>
    </cfRule>
    <cfRule type="cellIs" dxfId="1" priority="772" operator="greaterThan">
      <formula>120</formula>
    </cfRule>
    <cfRule type="containsText" dxfId="3" priority="628" operator="between" text="库存">
      <formula>NOT(ISERROR(SEARCH("库存",AS140)))</formula>
    </cfRule>
  </conditionalFormatting>
  <conditionalFormatting sqref="AS141">
    <cfRule type="cellIs" dxfId="0" priority="915" operator="lessThan">
      <formula>20</formula>
    </cfRule>
    <cfRule type="cellIs" dxfId="1" priority="771" operator="greaterThan">
      <formula>120</formula>
    </cfRule>
    <cfRule type="containsText" dxfId="3" priority="627" operator="between" text="库存">
      <formula>NOT(ISERROR(SEARCH("库存",AS141)))</formula>
    </cfRule>
  </conditionalFormatting>
  <conditionalFormatting sqref="AS142">
    <cfRule type="cellIs" dxfId="0" priority="914" operator="lessThan">
      <formula>20</formula>
    </cfRule>
    <cfRule type="cellIs" dxfId="1" priority="770" operator="greaterThan">
      <formula>120</formula>
    </cfRule>
    <cfRule type="containsText" dxfId="3" priority="626" operator="between" text="库存">
      <formula>NOT(ISERROR(SEARCH("库存",AS142)))</formula>
    </cfRule>
  </conditionalFormatting>
  <conditionalFormatting sqref="AS143">
    <cfRule type="cellIs" dxfId="0" priority="913" operator="lessThan">
      <formula>20</formula>
    </cfRule>
    <cfRule type="cellIs" dxfId="1" priority="769" operator="greaterThan">
      <formula>120</formula>
    </cfRule>
    <cfRule type="containsText" dxfId="3" priority="625" operator="between" text="库存">
      <formula>NOT(ISERROR(SEARCH("库存",AS143)))</formula>
    </cfRule>
  </conditionalFormatting>
  <conditionalFormatting sqref="AS144">
    <cfRule type="cellIs" dxfId="0" priority="912" operator="lessThan">
      <formula>20</formula>
    </cfRule>
    <cfRule type="cellIs" dxfId="1" priority="768" operator="greaterThan">
      <formula>120</formula>
    </cfRule>
    <cfRule type="containsText" dxfId="3" priority="624" operator="between" text="库存">
      <formula>NOT(ISERROR(SEARCH("库存",AS144)))</formula>
    </cfRule>
  </conditionalFormatting>
  <conditionalFormatting sqref="AS145">
    <cfRule type="cellIs" dxfId="0" priority="911" operator="lessThan">
      <formula>20</formula>
    </cfRule>
    <cfRule type="cellIs" dxfId="1" priority="767" operator="greaterThan">
      <formula>120</formula>
    </cfRule>
    <cfRule type="containsText" dxfId="3" priority="623" operator="between" text="库存">
      <formula>NOT(ISERROR(SEARCH("库存",AS145)))</formula>
    </cfRule>
  </conditionalFormatting>
  <conditionalFormatting sqref="AS146">
    <cfRule type="cellIs" dxfId="0" priority="910" operator="lessThan">
      <formula>20</formula>
    </cfRule>
    <cfRule type="cellIs" dxfId="1" priority="766" operator="greaterThan">
      <formula>120</formula>
    </cfRule>
    <cfRule type="containsText" dxfId="3" priority="622" operator="between" text="库存">
      <formula>NOT(ISERROR(SEARCH("库存",AS146)))</formula>
    </cfRule>
  </conditionalFormatting>
  <conditionalFormatting sqref="AS147">
    <cfRule type="cellIs" dxfId="0" priority="909" operator="lessThan">
      <formula>20</formula>
    </cfRule>
    <cfRule type="cellIs" dxfId="1" priority="765" operator="greaterThan">
      <formula>120</formula>
    </cfRule>
    <cfRule type="containsText" dxfId="3" priority="621" operator="between" text="库存">
      <formula>NOT(ISERROR(SEARCH("库存",AS147)))</formula>
    </cfRule>
  </conditionalFormatting>
  <conditionalFormatting sqref="AS148">
    <cfRule type="cellIs" dxfId="0" priority="908" operator="lessThan">
      <formula>20</formula>
    </cfRule>
    <cfRule type="cellIs" dxfId="1" priority="764" operator="greaterThan">
      <formula>120</formula>
    </cfRule>
    <cfRule type="containsText" dxfId="3" priority="620" operator="between" text="库存">
      <formula>NOT(ISERROR(SEARCH("库存",AS148)))</formula>
    </cfRule>
  </conditionalFormatting>
  <conditionalFormatting sqref="AS149">
    <cfRule type="cellIs" dxfId="0" priority="907" operator="lessThan">
      <formula>20</formula>
    </cfRule>
    <cfRule type="cellIs" dxfId="1" priority="763" operator="greaterThan">
      <formula>120</formula>
    </cfRule>
    <cfRule type="containsText" dxfId="3" priority="619" operator="between" text="库存">
      <formula>NOT(ISERROR(SEARCH("库存",AS149)))</formula>
    </cfRule>
  </conditionalFormatting>
  <conditionalFormatting sqref="AS1 AS3:AS5 AS150:AS1048576">
    <cfRule type="cellIs" dxfId="0" priority="2592" operator="lessThan">
      <formula>20</formula>
    </cfRule>
    <cfRule type="cellIs" dxfId="1" priority="2591" operator="greaterThan">
      <formula>120</formula>
    </cfRule>
    <cfRule type="containsText" dxfId="3" priority="259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2" sqref="D12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790</v>
      </c>
      <c r="B1" s="1">
        <f>B12</f>
        <v>43255</v>
      </c>
    </row>
    <row r="2" spans="1:2">
      <c r="A2" t="s">
        <v>791</v>
      </c>
      <c r="B2" s="1">
        <v>43282</v>
      </c>
    </row>
    <row r="4" spans="1:2">
      <c r="A4" t="s">
        <v>792</v>
      </c>
      <c r="B4" s="2">
        <f>B2+1</f>
        <v>43283</v>
      </c>
    </row>
    <row r="5" spans="1:2">
      <c r="A5" t="s">
        <v>793</v>
      </c>
      <c r="B5" s="3">
        <f>B2</f>
        <v>43282</v>
      </c>
    </row>
    <row r="6" spans="1:2">
      <c r="A6" t="s">
        <v>794</v>
      </c>
      <c r="B6" s="2">
        <f>B5-6</f>
        <v>43276</v>
      </c>
    </row>
    <row r="7" spans="1:2">
      <c r="A7" t="s">
        <v>795</v>
      </c>
      <c r="B7" s="2">
        <f>B5-7</f>
        <v>43275</v>
      </c>
    </row>
    <row r="8" spans="1:2">
      <c r="A8" t="s">
        <v>796</v>
      </c>
      <c r="B8" s="2">
        <f>B5-13</f>
        <v>43269</v>
      </c>
    </row>
    <row r="9" spans="1:2">
      <c r="A9" t="s">
        <v>797</v>
      </c>
      <c r="B9" s="2">
        <f>B5-14</f>
        <v>43268</v>
      </c>
    </row>
    <row r="10" spans="1:2">
      <c r="A10" t="s">
        <v>798</v>
      </c>
      <c r="B10" s="2">
        <f>B5-20</f>
        <v>43262</v>
      </c>
    </row>
    <row r="11" spans="1:2">
      <c r="A11" t="s">
        <v>799</v>
      </c>
      <c r="B11" s="2">
        <f>B5-21</f>
        <v>43261</v>
      </c>
    </row>
    <row r="12" spans="1:2">
      <c r="A12" t="s">
        <v>800</v>
      </c>
      <c r="B12" s="2">
        <f>B5-27</f>
        <v>43255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