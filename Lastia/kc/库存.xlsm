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<sst xmlns="http://schemas.openxmlformats.org/spreadsheetml/2006/main" count="1066">
  <si>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</si>
  <si>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</si>
  <si>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</si>
  <si>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</si>
  <si>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</si>
  <si>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</si>
  <si>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</si>
  <si>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</si>
  <si>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GB-LUHM035-B0</t>
  </si>
  <si>
    <t>X001TQAGA9</t>
  </si>
  <si>
    <t>B07F6546YQ</t>
  </si>
  <si>
    <t>Best Universal Stroller Organizer Grey Diaper Dag and Cup Holder for Mother Blue Stripe</t>
  </si>
  <si>
    <t>CWB-WF021-QB-L</t>
  </si>
  <si>
    <t>B0779RFXY2</t>
  </si>
  <si>
    <t>Pet Carrier Backpack Adjustable Legs Out Front Carrier Bag for Samll Medium Large Dogs Cats Colorful Strip L</t>
  </si>
  <si>
    <t>CD-WF-KK</t>
  </si>
  <si>
    <t>B076J6VD3L</t>
  </si>
  <si>
    <t>Lastia Placemats Woven Vinyl Heat-resistant Non Skid Washable PVC Waterproof Rectangle Table Mats Set of 4 Khaki</t>
  </si>
  <si>
    <t>CD-WF117-WM-1</t>
  </si>
  <si>
    <t>B077QD1DQN</t>
  </si>
  <si>
    <t>Lastia Set of 4 Natural Jute Browm Round Placemat Hand Woven Dining Table Place Mat - Thanksgiving Dinner Table Decor - Black Friday Deals</t>
  </si>
  <si>
    <t>CD-WF-CF</t>
  </si>
  <si>
    <t>B076J9MFHW</t>
  </si>
  <si>
    <t>Lastia Placemats Woven Vinyl Heat-resistant Non Skid Washable PVC Waterproof Rectangle Table Mats Set of 4 Coffee</t>
  </si>
  <si>
    <t>CD-WF482-BO-1</t>
  </si>
  <si>
    <t>B077D32DC6</t>
  </si>
  <si>
    <t>Lastia 100 Cotton Placemats Set Handmade Woven Braided Ribbed Washable Table Mats Set of 4 12" x 18" Blue Rainbow</t>
  </si>
  <si>
    <t>CD-WF-SG</t>
  </si>
  <si>
    <t>B076J988J5</t>
  </si>
  <si>
    <t>Lastia Placemats Woven Vinyl Heat-resistant Non Skid Washable PVC Waterproof Rectangle Table Mats Set of 4 Silver Grey</t>
  </si>
  <si>
    <t>CWB-WF021-RB-L</t>
  </si>
  <si>
    <t>B077B51CYY</t>
  </si>
  <si>
    <t>Pet Carrier Backpack Adjustable Legs Out Front Carrier Bag for Samll Medium Large Dogs Cats Rainbow L</t>
  </si>
  <si>
    <t>CD-WF-GD</t>
  </si>
  <si>
    <t>B076J8X97G</t>
  </si>
  <si>
    <t>Lastia Placemats Woven Vinyl Heat-resistant Non Skid Washable PVC Waterproof Rectangle Table Mats Set of 4 Gold</t>
  </si>
  <si>
    <t>CD-WF001-GR-1</t>
  </si>
  <si>
    <t>B077TGMRGP</t>
  </si>
  <si>
    <t>Lastia Creative Braided Edge Round Placemats Japanese-style Round Table Mats, Home PP Woven Mat and Anti-hot Insulation Pad 38CM(light purple)(Set of 4)</t>
  </si>
  <si>
    <t>BA-FLQ02-SI-6</t>
  </si>
  <si>
    <t>B075N1KNHS</t>
  </si>
  <si>
    <t>Lastia 24 pcs Shatterproof Decorative Balls Ornaments for Holiday Party Home Silver 2.36"</t>
  </si>
  <si>
    <t>CD-WF001-CF-1</t>
  </si>
  <si>
    <t>B077TH83RP</t>
  </si>
  <si>
    <t>GB-LUHM035-P0</t>
  </si>
  <si>
    <t>X001TQAOQ5</t>
  </si>
  <si>
    <t>B07F68CBMK</t>
  </si>
  <si>
    <t>Best Universal Stroller Organizer Grey Diaper Dag and Cup Holder for Mother Purple Cartoon</t>
  </si>
  <si>
    <t>CD-WF117-GR-1</t>
  </si>
  <si>
    <t>B0784DMK97</t>
  </si>
  <si>
    <t>Lastia Set of 4 Natural Jute Gray Round Placemat Hand Woven Dining Table Place Mat - Thanksgiving Dinner Table Decor - Black Friday Deals</t>
  </si>
  <si>
    <t>CWB-WF021-QB-M</t>
  </si>
  <si>
    <t>B0779RT3RQ</t>
  </si>
  <si>
    <t>Pet Carrier Backpack Adjustable Legs Out Front Carrier Bag for Samll Medium Large Dogs Cats Colorful Strip M</t>
  </si>
  <si>
    <t>GB-LUHM035-BE</t>
  </si>
  <si>
    <t>X001TQQEZZ</t>
  </si>
  <si>
    <t>B07F64BTCD</t>
  </si>
  <si>
    <t>Best Universal Stroller Organizer Grey Diaper Dag and Cup Holder for Mother Beige Stripe</t>
  </si>
  <si>
    <t>CWB-WF021-QB-S</t>
  </si>
  <si>
    <t>B0779V1KQL</t>
  </si>
  <si>
    <t>Pet Carrier Backpack Adjustable Legs Out Front Carrier Bag for Samll Medium Large Dogs Cats Colorful Strip S</t>
  </si>
  <si>
    <t>CD-WF482-CB-1</t>
  </si>
  <si>
    <t>B077D4N51C</t>
  </si>
  <si>
    <t>Lastia 100 Cotton Placemats Set Handmade Woven Braided Ribbed Washable Table Mats Set of 4 12" x 18" Cyan Rainbow</t>
  </si>
  <si>
    <t>CD-WF001-RO-1</t>
  </si>
  <si>
    <t>B077TSGJTH</t>
  </si>
  <si>
    <t>CWB-WF021-RB-M</t>
  </si>
  <si>
    <t>B0779ZRTZ3</t>
  </si>
  <si>
    <t>Pet Carrier Backpack Adjustable Legs Out Front Carrier Bag for Samll Medium Large Dogs Cats Rainbow M</t>
  </si>
  <si>
    <t>CWB-WF021-RB-S</t>
  </si>
  <si>
    <t>B0779RQHWK</t>
  </si>
  <si>
    <t>Pet Carrier Backpack Adjustable Legs Out Front Carrier Bag for Samll Medium Large Dogs Cats Rainbow S</t>
  </si>
  <si>
    <t>QQ-LUHM-801-B0</t>
  </si>
  <si>
    <t>X001RKMFXD</t>
  </si>
  <si>
    <t>B07CPW1TRS</t>
  </si>
  <si>
    <t>Lastia Drain Snake Hair Drain Clog Remover Retractable Cleaning Tool 3 Pack, with Creative Retractable Design for Easy Home Storage Blue</t>
  </si>
  <si>
    <t>QLQ-LUHM121-WO</t>
  </si>
  <si>
    <t>X001RWF56Z</t>
  </si>
  <si>
    <t>B07CXM3QD3</t>
  </si>
  <si>
    <t>Lastia Hair Drain Catcher Clog Remover Bathroom Tub Strainer Cleaner Tool for Drain Cleaning(2 Pack)</t>
  </si>
  <si>
    <t>SG-LUHM050-K0</t>
  </si>
  <si>
    <t>X001TQQPE5</t>
  </si>
  <si>
    <t>B07F63TBYG</t>
  </si>
  <si>
    <t>Garden Hose 50 Feet Expandable Lightweight Hose with Solid Brass Connector and 8 Patterns High Pressure Spray Nozzle, Woven Strength Fabric Cover Hose for Home, Garden, Shower Pets Or Wash Car</t>
  </si>
  <si>
    <t>SB-LUHM100-B0</t>
  </si>
  <si>
    <t>X001TCP13Z</t>
  </si>
  <si>
    <t>B07DVH33X4</t>
  </si>
  <si>
    <t>Lastia Mesh Beach Tote Bag with Zipper Top and Insulated Picnic Cooler and FREE Bonus Waterproof Cellphone Case Blue</t>
  </si>
  <si>
    <t>GT-WFY1-E3</t>
  </si>
  <si>
    <t>B077NZLTQX</t>
  </si>
  <si>
    <t>Elephant Tapestry Wall Hanging Large Wall Decor Mandala for Bedroom Purple (200150cm/7959inches)</t>
  </si>
  <si>
    <t>QLQ-LUHM121-GM</t>
  </si>
  <si>
    <t>X001TL3P3T</t>
  </si>
  <si>
    <t>SG-LUHM100-K0</t>
  </si>
  <si>
    <t>X001TQRV2Z</t>
  </si>
  <si>
    <t>B07F634TZ1</t>
  </si>
  <si>
    <t>Garden Hose 100feet Heavy Duty Expandable Water Hose and 8 Pattern Sprayer Nozzle, 3/4 Solid Brass Connector and Extra Hose Holder, for Car Cleaning, Watering Lawn and Showering Dogs</t>
  </si>
  <si>
    <t>QLQ-LUHM121-G0</t>
  </si>
  <si>
    <t>X001TM50QN</t>
  </si>
  <si>
    <t>SQ-LUHM304</t>
  </si>
  <si>
    <t>X001SVW7FH</t>
  </si>
  <si>
    <t>B07DKWSJ1Z</t>
  </si>
  <si>
    <t>Lastia Summer Light Weight Water Gun Pool Beach Swimming Water Soaker for Kids and Adults 8 PCS (11.8In)</t>
  </si>
  <si>
    <t>YQ-LUHM-F111</t>
  </si>
  <si>
    <t>X001RLGE4X</t>
  </si>
  <si>
    <t>B07CQJ8G3M</t>
  </si>
  <si>
    <t>Bamboo Forks 3.5 Inch, Mini Food Picks for Party, Banquet, Buffet, Catering, and Daily Life. Two Prongs - Blunt End Toothpicks for Appetizer, Cocktail, Fruit, Pastry, Dessert. (One Pack of 110 PCS)</t>
  </si>
  <si>
    <t>SNT-LUHM001-KT</t>
  </si>
  <si>
    <t>X001T5DQTD</t>
  </si>
  <si>
    <t>B07DQN92XD</t>
  </si>
  <si>
    <t>Clothes and toys organizer Waterproof hamper Foldable laundry basket for storage(Coffee Tower,11x11x13.8In)</t>
  </si>
  <si>
    <t>SL-LULW818-BO-L</t>
  </si>
  <si>
    <t>X001O4Q0U1</t>
  </si>
  <si>
    <t>B078RNM8V8</t>
  </si>
  <si>
    <t>Baby Sleeping Bag Swaddling Blankets Autumn Winter Baby Stroller Baby Sleep Sack Zipper Design-100% Soft Cotton Ultra-Soft Absorbent - Warm for Baby 12-24 Months 37.4ﾗ17.7inch (Blue)</t>
  </si>
  <si>
    <t>SQ-LUHM354</t>
  </si>
  <si>
    <t>X001SVSS3H</t>
  </si>
  <si>
    <t>B07DKV16HS</t>
  </si>
  <si>
    <t>Lastia Summer Light Weight Water Gun Pool Beach Swimming Water Soaker for Kids and Adults 8 PCS (13.8In)</t>
  </si>
  <si>
    <t>SNT-LUHM001-HW</t>
  </si>
  <si>
    <t>X001T66KLN</t>
  </si>
  <si>
    <t>B07DQP8MPM</t>
  </si>
  <si>
    <t>Clothes and toys organizer Waterproof hamper Foldable laundry basket for storage(English,11x11x13.8In)</t>
  </si>
  <si>
    <t>XK-YIWUJS2-BR-7IN</t>
  </si>
  <si>
    <t>X001S9EXVP</t>
  </si>
  <si>
    <t>B07D4GDZTQ</t>
  </si>
  <si>
    <t>Lastia 5x7 Wood Photo Frame Fit For Stands Vertically on Desk Table Top Hinged Double Picture Frames</t>
  </si>
  <si>
    <t>SQ-LUHM204</t>
  </si>
  <si>
    <t>X001SVTC8H</t>
  </si>
  <si>
    <t>B07DKXSV9P</t>
  </si>
  <si>
    <t>Lastia Summer Light Weight Water Gun Pool Beach Swimming Water Soaker for Kids and Adults 8 PCS (7.9In)</t>
  </si>
  <si>
    <t>SQ-LUHM404</t>
  </si>
  <si>
    <t>X001SV3NPZ</t>
  </si>
  <si>
    <t>B07DKT41YL</t>
  </si>
  <si>
    <t>Lastia Summer Light Weight Water Gun Pool Beach Swimming Water Soaker for Kids and Adults 8 PCS (15.7In)</t>
  </si>
  <si>
    <t>ZYL-FLQ06-BF-40</t>
  </si>
  <si>
    <t>B076P8S1LC</t>
  </si>
  <si>
    <t>Dirty Clothes Laundry Storage Basket for Bedroom Bathroom Kids Linen Cotton White and Batman 15.7"x15.7"x19.7"</t>
  </si>
  <si>
    <t>ZYL-FLQ06-BG-40</t>
  </si>
  <si>
    <t>B075RCQD9P</t>
  </si>
  <si>
    <t>Laundry Storage Basket Bin for Bedroom Bathroom Kids Linen Cotton White and Plaid 15.7"x15.7"x19.7"</t>
  </si>
  <si>
    <t>ZYL-FLQ59-BY-32</t>
  </si>
  <si>
    <t>B078JNY8M1</t>
  </si>
  <si>
    <t>Collapsible Laundry Storage Basket for Bedroom Bathroom Kids Cotton Linen White and Semicircle 12.5"x12.5"x12.5"</t>
  </si>
  <si>
    <t>ZDD-FLQ08-PO-28</t>
  </si>
  <si>
    <t>B075R92YGF</t>
  </si>
  <si>
    <t>Lastia Camping Tripod Stool for Fishing Hiking Outdoor Four Legs Purple 11"x11"x13.7"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</si>
  <si>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</si>
  <si>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</si>
  <si>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</si>
  <si>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</si>
  <si>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</si>
  <si>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</si>
  <si>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</si>
  <si>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</si>
  <si>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</si>
  <si>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</si>
  <si>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</si>
  <si>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</si>
  <si>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</si>
  <si>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</si>
  <si>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</si>
  <si>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</si>
  <si>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</si>
  <si>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</si>
  <si>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</si>
  <si>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</si>
  <si>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</si>
  <si>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</si>
  <si>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</si>
  <si>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</si>
  <si>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</si>
  <si>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</si>
  <si>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</si>
  <si>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</si>
  <si>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</si>
  <si>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</si>
  <si>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</si>
  <si>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</si>
  <si>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ST-FLQ110-KO-L</t>
  </si>
  <si>
    <t>B077N6WYM2</t>
  </si>
  <si>
    <t>Lastia Men's Women's Sports Gloves for Cycling Fitness Excercise Outdoor Black L</t>
  </si>
  <si>
    <t>New</t>
  </si>
  <si>
    <t>USD</t>
  </si>
  <si>
    <t>Low traffic</t>
  </si>
  <si>
    <t>Improve recommendations</t>
  </si>
  <si>
    <t>0.015625 cuft</t>
  </si>
  <si>
    <t>Standard</t>
  </si>
  <si>
    <t>WY-WF1217-YO-XL</t>
  </si>
  <si>
    <t>B078MLVFZH</t>
  </si>
  <si>
    <t>MOCOTONO Women's Long Sleeve Crewneck Pullover Sweater Blouses Elegant Tops Yellow X-Large</t>
  </si>
  <si>
    <t>Advertise listing</t>
  </si>
  <si>
    <t>0.142536 cuft</t>
  </si>
  <si>
    <t>Apparel</t>
  </si>
  <si>
    <t>LYQ-WF1010-KO-XL</t>
  </si>
  <si>
    <t>B0785H4FV1</t>
  </si>
  <si>
    <t>Women's Tops Long Sleeve A-line Lace Stitching Trim Casual Tunic Dress XL Black</t>
  </si>
  <si>
    <t>Low conversion</t>
  </si>
  <si>
    <t>Create Sale</t>
  </si>
  <si>
    <t>0.150863 cuft</t>
  </si>
  <si>
    <t>SD-LUHM202-X0</t>
  </si>
  <si>
    <t>X001RTSNUD</t>
  </si>
  <si>
    <t>B07CVDJ9S8</t>
  </si>
  <si>
    <t>Lastia Travel Shoe Bags Set of 4 Waterproof Nylon With Zipper For Men &amp; Women(4 Colors)</t>
  </si>
  <si>
    <t>0.062249 cuft</t>
  </si>
  <si>
    <t>SNH-LUHM001-E0</t>
  </si>
  <si>
    <t>X001T67QRZ</t>
  </si>
  <si>
    <t>B07DQM6N3W</t>
  </si>
  <si>
    <t>Small Foldable Storage Basket waterproof Oxford Storage Bins for Toy Storage(Grey,7.9x5.5x6.3In)</t>
  </si>
  <si>
    <t>0.032662 cuft</t>
  </si>
  <si>
    <t>0.15237 cuft</t>
  </si>
  <si>
    <t>0.194444 cuft</t>
  </si>
  <si>
    <t>GT-WFTFGT200-221</t>
  </si>
  <si>
    <t>B076J2DG1R</t>
  </si>
  <si>
    <t>Tapestry Wall Hanging Mandala Hippie Psychedelic Bohemian Elephant Beach Towel Boho Bedspread Exotic Fantasy Queen Size 59 x 79inches</t>
  </si>
  <si>
    <t>1.0E-6 cuft</t>
  </si>
  <si>
    <t>XQ-LUHM089-PI</t>
  </si>
  <si>
    <t>X001R59F8V</t>
  </si>
  <si>
    <t>B07CG51FRQ</t>
  </si>
  <si>
    <t>Lastia Solid Colorful Laundry Ball Washing Ball 1.4 inch(Set of 6) Pink and Green</t>
  </si>
  <si>
    <t>0.007697 cuft</t>
  </si>
  <si>
    <t>BDB-LUHM001-K0</t>
  </si>
  <si>
    <t>X001T67EGN</t>
  </si>
  <si>
    <t>B07DQL77MR</t>
  </si>
  <si>
    <t>Lastia Large Capacity Soft Cooler Insulated Outdoor Picnic Lunch Bag/Makeup bag for Grocery, Camping, Car, Travel(Black,7.5x6.3x5.9In)</t>
  </si>
  <si>
    <t>0.045185 cuft</t>
  </si>
  <si>
    <t>GT-WFTFGT200-213</t>
  </si>
  <si>
    <t>B0787XKBRG</t>
  </si>
  <si>
    <t>Tapestry Wall Hanging Mandala Hippie Psychedelic Bohemian Beach Towel Boho Bedspread Gold 59 x 79inches</t>
  </si>
  <si>
    <t>0.041031 cuft</t>
  </si>
  <si>
    <t>SB-LUHM100-R0</t>
  </si>
  <si>
    <t>X001TCQFNP</t>
  </si>
  <si>
    <t>B07DVK4HKX</t>
  </si>
  <si>
    <t>Mesh Beach Tote Bag with Zipper Top and Insulated Picnic Cooler and Free Get A Bonus Waterproof Cellphone Case Red</t>
  </si>
  <si>
    <t>0.152297 cuft</t>
  </si>
  <si>
    <t>WY-WF1217-GR-S</t>
  </si>
  <si>
    <t>B078MMFTHW</t>
  </si>
  <si>
    <t>MOCOTONO Women's Long Sleeve Crewneck Pullover Sweater Blouses Elegant Tops Grey Small</t>
  </si>
  <si>
    <t>WY-WF1217-RO-L</t>
  </si>
  <si>
    <t>B078MK4N19</t>
  </si>
  <si>
    <t>MOCOTONO Women's Long Sleeve Crewneck Pullover Sweater Blouses Elegant Tops Red Large</t>
  </si>
  <si>
    <t>SNT-LUHM001-WX</t>
  </si>
  <si>
    <t>X001T66GQH</t>
  </si>
  <si>
    <t>B07DQLKY6T</t>
  </si>
  <si>
    <t>Clothes and toys organizer Waterproof hamper Foldable laundry basket for storage(Pentastar,13.8x13.8x17.7In)</t>
  </si>
  <si>
    <t>Create removal order</t>
  </si>
  <si>
    <t>0.288368 cuft</t>
  </si>
  <si>
    <t>Oversize</t>
  </si>
  <si>
    <t>WY-WF1225-GR-XL</t>
  </si>
  <si>
    <t>B078ML71RF</t>
  </si>
  <si>
    <t>MOCOTONO Women's Striped Hooded Pullover Drawstring Hoodies Sweatshirts Grey X-Large</t>
  </si>
  <si>
    <t>0.132931 cuft</t>
  </si>
  <si>
    <t>LYQ-WF1010-NO-S</t>
  </si>
  <si>
    <t>B077XRVLTN</t>
  </si>
  <si>
    <t>Women's Tops Long Sleeve A-line Lace Stitching Trim Casual Tunic Dress S Brown</t>
  </si>
  <si>
    <t>LYQ-WF1010-NO-XL</t>
  </si>
  <si>
    <t>B077XSTXHJ</t>
  </si>
  <si>
    <t>Women's Tops Long Sleeve A-line Lace Stitching Trim Casual Tunic Dress XL Brown</t>
  </si>
  <si>
    <t>WY-WF1217-YO-M</t>
  </si>
  <si>
    <t>B078MQZ7XF</t>
  </si>
  <si>
    <t>MOCOTONO Women's Long Sleeve Crewneck Pullover Sweater Blouses Elegant Tops Yellow Medium</t>
  </si>
  <si>
    <t>BDB-WF212-SH-M</t>
  </si>
  <si>
    <t>B0772934HW</t>
  </si>
  <si>
    <t>Printing Lunch Bags Oxford Cloth Aluminum Foil Insulated Zip Cooler Bag Portable Takeaway Film Pack Lunch Box Package Floral Print</t>
  </si>
  <si>
    <t>0.04187 cuft</t>
  </si>
  <si>
    <t>BLT-LUHM000-LB</t>
  </si>
  <si>
    <t>X001QZZCCF</t>
  </si>
  <si>
    <t>B07BVLBRWM</t>
  </si>
  <si>
    <t>Monitor Memo Board Computer Monitors Notes Holder and Reminder Acrylic Message Boards Memo Pads Sticky Board For Paper Sticky Notes Bear Left</t>
  </si>
  <si>
    <t>0.004181 cuft</t>
  </si>
  <si>
    <t>CWB-WF021-CF-M</t>
  </si>
  <si>
    <t>B0779W8MFG</t>
  </si>
  <si>
    <t>Pet Carrier Backpack Adjustable Legs Out Front Carrier Bag for Samll Medium Large Dogs Cats Camouflage M</t>
  </si>
  <si>
    <t>0.088068 cuft</t>
  </si>
  <si>
    <t>LYQ-WF1010-PO-XL</t>
  </si>
  <si>
    <t>B077XSTXHF</t>
  </si>
  <si>
    <t>Women's Tops Long Sleeve A-line Lace Stitching Trim Casual Tunic Dress XL Purple</t>
  </si>
  <si>
    <t>0.46875 cuft</t>
  </si>
  <si>
    <t>WY-WF1225-BO-XL</t>
  </si>
  <si>
    <t>B078MPBBKH</t>
  </si>
  <si>
    <t>MOCOTONO Striped Zipper Hooded Pullover 2021 Drawstring Hoodies Sweatshirts For Women Long Sleeve Warm Tops S-XL</t>
  </si>
  <si>
    <t>ZYL-FLQ2013-RO-36</t>
  </si>
  <si>
    <t>B078JQ7B7M</t>
  </si>
  <si>
    <t>Storage Basket Bin for Bedroom Bathroom Kids Cotton with EVA Lining White 14.3"x14.3"x14.9"</t>
  </si>
  <si>
    <t>0.025 cuft</t>
  </si>
  <si>
    <t>ST-FLQ110-PI-L</t>
  </si>
  <si>
    <t>B077NCHFV2</t>
  </si>
  <si>
    <t>Lastia Women's Half Finger Sports Gloves for Cycling Fitness Excercise Outdoor Pink L</t>
  </si>
  <si>
    <t>0.005208 cuft</t>
  </si>
  <si>
    <t>WY-WF1217-GR-L</t>
  </si>
  <si>
    <t>B078MRF99V</t>
  </si>
  <si>
    <t>MOCOTONO Women's Long Sleeve Crewneck Pullover Sweater Blouses Elegant Tops Grey Large</t>
  </si>
  <si>
    <t>WY-WF1217-KO-M</t>
  </si>
  <si>
    <t>B078MP2N3B</t>
  </si>
  <si>
    <t>MOCOTONO Women's Long Sleeve Crewneck Pullover Sweater Blouses Elegant Tops Black Medium</t>
  </si>
  <si>
    <t>ZDD-FLQ08-BO-28</t>
  </si>
  <si>
    <t>B075QFP51N</t>
  </si>
  <si>
    <t>Folding Camping Stool for Camp Fishing Hiking Outdoor Four Legs Blue 11"x11"x13.7"</t>
  </si>
  <si>
    <t>0.079381 cuft</t>
  </si>
  <si>
    <t>CLP-FLQ43-CS100-100</t>
  </si>
  <si>
    <t>B0776NWKMG</t>
  </si>
  <si>
    <t>Magnetic Blocks Building Set 100 Pieces Educational Building Construction Toys for Boys and Girls Multicolor</t>
  </si>
  <si>
    <t>0.317858 cuft</t>
  </si>
  <si>
    <t>BA-FLQ02-BO-6</t>
  </si>
  <si>
    <t>B075N3N55V</t>
  </si>
  <si>
    <t>Lastia 24 pcs Shatterproof Decorative Balls Ornaments for Holiday Party Home Blue 2.36"</t>
  </si>
  <si>
    <t>0.21119 cuft</t>
  </si>
  <si>
    <t>Baby Sleeping Bag Swaddling Blankets Autumn Winter Baby Stroller Baby Sleep Sack Zipper Design-100% Soft Cotton Ultra-Soft Absorbent - Warm for Baby 12-24 Months 37.4×17.7inch (Blue)</t>
  </si>
  <si>
    <t>0.550083 cuft</t>
  </si>
  <si>
    <t>CLP-FLQ43-CS60-60</t>
  </si>
  <si>
    <t>B0776Q1PQP</t>
  </si>
  <si>
    <t>Magnetic Blocks Building Set 60 Pieces Educational Building Construction Toys for Boys and Girls Muticolor</t>
  </si>
  <si>
    <t>0.386079 cuft</t>
  </si>
  <si>
    <t>LYQ-WF1010-PO-S</t>
  </si>
  <si>
    <t>B077XVBFB9</t>
  </si>
  <si>
    <t>Women's Tops Long Sleeve A-line Lace Stitching Trim Casual Tunic Dress S Purple</t>
  </si>
  <si>
    <t>HYD-WF7995-RO-XL</t>
  </si>
  <si>
    <t>B077SZ4KTN</t>
  </si>
  <si>
    <t>Lastia Waist Trimmer Belt Body Shaper Belly Wrap Weight Loss Workout Fitness for Women Men</t>
  </si>
  <si>
    <t>0.125 cuft</t>
  </si>
  <si>
    <t>SD-LUHM202-Y0</t>
  </si>
  <si>
    <t>X001RTRETJ</t>
  </si>
  <si>
    <t>B07CVGZCHZ</t>
  </si>
  <si>
    <t>Lastia Travel Shoe Bags Set of 2 Waterproof Nylon With Zipper For Men &amp; Women(Yellow)</t>
  </si>
  <si>
    <t>BDB-LUHM001-B0</t>
  </si>
  <si>
    <t>X001T674Y5</t>
  </si>
  <si>
    <t>B07DQS5YP2</t>
  </si>
  <si>
    <t>Lastia Large Capacity Soft Cooler Insulated Outdoor Picnic Lunch Bag/Makeup bag for Grocery, Camping, Car, Travel(Blue Flower,7.5x6.3x5.9In)</t>
  </si>
  <si>
    <t>0.036056 cuft</t>
  </si>
  <si>
    <t>BLT-LUHM000-GR</t>
  </si>
  <si>
    <t>X001R0L0WF</t>
  </si>
  <si>
    <t>B07BVL6R55</t>
  </si>
  <si>
    <t>Monitor Memo Board Computer Monitors Notes Holder and Reminder Acrylic Message Boards Memo Pads Sticky Board For Paper Sticky Notes Giraffe Right</t>
  </si>
  <si>
    <t>0.005574 cuft</t>
  </si>
  <si>
    <t>LYQ-WF1010-KO-M</t>
  </si>
  <si>
    <t>B077XQ5D11</t>
  </si>
  <si>
    <t>Women's Tops Long Sleeve A-line Lace Stitching Trim Casual Tunic Dress M Black</t>
  </si>
  <si>
    <t>0.222222 cuft</t>
  </si>
  <si>
    <t>0.023148 cuft</t>
  </si>
  <si>
    <t>CWB-WF021-RB-XL</t>
  </si>
  <si>
    <t>B0779Z2TS6</t>
  </si>
  <si>
    <t>Pet Carrier Backpack Adjustable Legs Out Front Carrier Bag for Samll Medium Large Dogs Cats Rainbow XL</t>
  </si>
  <si>
    <t>0.193045 cuft</t>
  </si>
  <si>
    <t>WY-WF1217-YO-S</t>
  </si>
  <si>
    <t>B078MLVF8D</t>
  </si>
  <si>
    <t>MOCOTONO Women's Long Sleeve Crewneck Pullover Sweater Blouses Elegant Tops Yellow Small</t>
  </si>
  <si>
    <t>RYMT-WF712-PI-L</t>
  </si>
  <si>
    <t>B077X8RLVJ</t>
  </si>
  <si>
    <t>Lastia Mermaid Tail Blanket Crochet Throw Blanket for Adult Pink 31.5070.87inches</t>
  </si>
  <si>
    <t>0.256875 cuft</t>
  </si>
  <si>
    <t>WB-LUHM002-G0</t>
  </si>
  <si>
    <t>X001TCP9CN</t>
  </si>
  <si>
    <t>B07DVGSHDP</t>
  </si>
  <si>
    <t>Lastia Lunch Bag Insulated and Water Resistant Lunch Box for Kids and Adults Green</t>
  </si>
  <si>
    <t>0.032796 cuft</t>
  </si>
  <si>
    <t>LYQ-WF1010-WO-M</t>
  </si>
  <si>
    <t>B0785HJVGG</t>
  </si>
  <si>
    <t>Women's Tops Long Sleeve A-line Lace Stitching Trim Casual Tunic Dress M White</t>
  </si>
  <si>
    <t>GT-WFY1-E4</t>
  </si>
  <si>
    <t>B077NVQNC9</t>
  </si>
  <si>
    <t>Elephant Tapestry Wall Hanging Large Wall Decor Mandala for Bedroom Blue (200150cm/7959inches)</t>
  </si>
  <si>
    <t>0.046944 cuft</t>
  </si>
  <si>
    <t>XK-YIWUJS-GY-7IN</t>
  </si>
  <si>
    <t>X001SAEUFD</t>
  </si>
  <si>
    <t>B07D4FV711</t>
  </si>
  <si>
    <t>Lastia 5x7 Picture Frame Multi Photo Frames Set Wall or Tabletop Display</t>
  </si>
  <si>
    <t>0.151506 cuft</t>
  </si>
  <si>
    <t>BLT-WF125-COW</t>
  </si>
  <si>
    <t>B0788KQVVG</t>
  </si>
  <si>
    <t>Monitor Memo Board Computer Monitors Notes Holder and Reminder Acrylic Message Boards Memo Pads Sticky Board for Paper Sticky Notes Cow</t>
  </si>
  <si>
    <t>0.00337 cuft</t>
  </si>
  <si>
    <t>0.075024 cuft</t>
  </si>
  <si>
    <t>0.075634 cuft</t>
  </si>
  <si>
    <t>SND-WF5150-WO2</t>
  </si>
  <si>
    <t>B076ZKPLVZ</t>
  </si>
  <si>
    <t>Lastia 24 Pockets Over the Door Shoe Organizer PVC Durable Pockets Creamy-white 59"x 18"</t>
  </si>
  <si>
    <t>BDB-WF212-JY-M</t>
  </si>
  <si>
    <t>B0772QKV4C</t>
  </si>
  <si>
    <t>Printing Lunch Bags Oxford Cloth Aluminum Foil Insulated Zip Cooler Bag Portable Takeaway Film Pack Lunch Box Package Whale Pattern</t>
  </si>
  <si>
    <t>0.226852 cuft</t>
  </si>
  <si>
    <t>ST-FLQ110-PI-S</t>
  </si>
  <si>
    <t>B077NDNLBD</t>
  </si>
  <si>
    <t>Lastia Women's Half Finger Sports Gloves for Cycling Fitness Excercise Outdoor Pink S</t>
  </si>
  <si>
    <t>0.026047 cuft</t>
  </si>
  <si>
    <t>CWB-WF021-CF-XL</t>
  </si>
  <si>
    <t>B0779YRGR1</t>
  </si>
  <si>
    <t>Pet Carrier Backpack Adjustable Legs Out Front Carrier Bag for Samll Medium Large Dogs Cats Camouflage XL</t>
  </si>
  <si>
    <t>0.109484 cuft</t>
  </si>
  <si>
    <t>ST-FLQ110-KO-M</t>
  </si>
  <si>
    <t>B077N289VS</t>
  </si>
  <si>
    <t>Lastia Men's Women's Half Finger Sports Gloves for Cycling Fitness Excercise Outdoor Black M</t>
  </si>
  <si>
    <t>0.05387 cuft</t>
  </si>
  <si>
    <t>BDB-LUHM001-R0</t>
  </si>
  <si>
    <t>X001T674YF</t>
  </si>
  <si>
    <t>B07DQMJRJG</t>
  </si>
  <si>
    <t>Lastia Large Capacity Soft Cooler Insulated Outdoor Picnic Lunch Bag/Makeup bag for Grocery, Camping, Car, Travel(Red Flower,7.5x6.3x5.9In)</t>
  </si>
  <si>
    <t>5.8E-5 cuft</t>
  </si>
  <si>
    <t>CWB-WF021-CF-S</t>
  </si>
  <si>
    <t>B0779W68GS</t>
  </si>
  <si>
    <t>Pet Carrier Backpack Adjustable Legs Out Front Carrier Bag for Samll Medium Large Dogs Cats Camouflage S</t>
  </si>
  <si>
    <t>0.055843 cuft</t>
  </si>
  <si>
    <t>WY-WF1225-GR-S</t>
  </si>
  <si>
    <t>B078MNGZXT</t>
  </si>
  <si>
    <t>MOCOTONO Women's Striped Hooded Pullover Drawstring Hoodies Sweatshirts Grey Small</t>
  </si>
  <si>
    <t>BLT-WF125-CAT</t>
  </si>
  <si>
    <t>B078955T7Y</t>
  </si>
  <si>
    <t>Monitor Memo Board Computer Monitors Notes Holder and Reminder Acrylic Message Boards Memo Pads Sticky Board For Paper Sticky Notes Cat</t>
  </si>
  <si>
    <t>0.006741 cuft</t>
  </si>
  <si>
    <t>GT-WFTFGT200-209</t>
  </si>
  <si>
    <t>B076J6K8RL</t>
  </si>
  <si>
    <t>Tapestry Wall Hanging Mandala Hippie Psychedelic Bohemian Elephant Beach Towel Boho Bedspread Elephant Queen Size 59 x 79inches</t>
  </si>
  <si>
    <t>WY-WF1217-GR-XL</t>
  </si>
  <si>
    <t>B078MLVDZV</t>
  </si>
  <si>
    <t>MOCOTONO Women's Long Sleeve Crewneck Pullover Sweater Blouses Elegant Tops Grey X-Large</t>
  </si>
  <si>
    <t>BDB-WF212-CW-M</t>
  </si>
  <si>
    <t>B0772JDLB6</t>
  </si>
  <si>
    <t>Printing Lunch Bags Oxford Cloth Aluminum Foil Insulated Zip Cooler Bag Portable Takeaway Film Pack Lunch Box Package Cartoon Hedgehog</t>
  </si>
  <si>
    <t>0.059222 cuft</t>
  </si>
  <si>
    <t>SNH-LUHM001-W0</t>
  </si>
  <si>
    <t>X001T65KBT</t>
  </si>
  <si>
    <t>B07DQLKY6N</t>
  </si>
  <si>
    <t>Small Foldable Storage Basket waterproof Oxford Storage Bins for Toy Storage(White,7.9x5.5x6.3In)</t>
  </si>
  <si>
    <t>0.031433 cuft</t>
  </si>
  <si>
    <t>GT-WFY1-E1</t>
  </si>
  <si>
    <t>B077NVWPQW</t>
  </si>
  <si>
    <t>Elephant Tapestry Wall Hanging Large Wall Decor Mandala for Bedroom Yellow (200150cm/7959inches)</t>
  </si>
  <si>
    <t>0.060787 cuft</t>
  </si>
  <si>
    <t>LYQ-WF1010-K0-2L</t>
  </si>
  <si>
    <t>B077XQ78NB</t>
  </si>
  <si>
    <t>Women's Tops Long Sleeve A-line Lace Stitching Trim Casual Tunic Dress 2XL Black</t>
  </si>
  <si>
    <t>SDSZH-BS</t>
  </si>
  <si>
    <t>B076P8MNVV</t>
  </si>
  <si>
    <t>Lastia Christmas Tree Decor Ornaments Assortment 13 Kinds of Accessories Blue and Silver</t>
  </si>
  <si>
    <t>0.977076 cuft</t>
  </si>
  <si>
    <t>SD-LUHM202-B0</t>
  </si>
  <si>
    <t>X001RTSYVL</t>
  </si>
  <si>
    <t>B07CVDZCBW</t>
  </si>
  <si>
    <t>Lastia Travel Shoe Bags Set of 2 Waterproof Nylon With Zipper For Men &amp; Women(Blue)</t>
  </si>
  <si>
    <t>0.073814 cuft</t>
  </si>
  <si>
    <t>BDB-LUHM001-G0</t>
  </si>
  <si>
    <t>X001T674YP</t>
  </si>
  <si>
    <t>B07DQLVNSH</t>
  </si>
  <si>
    <t>Lastia Large Capacity Soft Cooler Insulated Outdoor Picnic Lunch Bag/Makeup bag for Grocery, Camping, Car, Travel(Green,7.5x6.3x5.9In)</t>
  </si>
  <si>
    <t>0.064071 cuft</t>
  </si>
  <si>
    <t>0.132934 cuft</t>
  </si>
  <si>
    <t>WB-LUHM002-E0</t>
  </si>
  <si>
    <t>X001TCSF2T</t>
  </si>
  <si>
    <t>B07DVHDT1N</t>
  </si>
  <si>
    <t>Lastia Lunch Bag Insulated and Water Resistant Lunch Box for Kids and Adults Grey</t>
  </si>
  <si>
    <t>0.050833 cuft</t>
  </si>
  <si>
    <t>LYQ-WF1010-BO-2X</t>
  </si>
  <si>
    <t>B077XNMC3N</t>
  </si>
  <si>
    <t>Women's Tops Long Sleeve A-line Lace Stitching Trim Casual Tunic 2XL Dress Blue</t>
  </si>
  <si>
    <t>ZB-WF029-WO-M</t>
  </si>
  <si>
    <t>B0784WC6TX</t>
  </si>
  <si>
    <t>Lastia Cotton White Hemp Machine Washable Dinner Picnic Rectangle tablecloth Available In Various Sizes(Beige,39.4x55.1In)</t>
  </si>
  <si>
    <t>0.040096 cuft</t>
  </si>
  <si>
    <t>WY-WF1217-RO-S</t>
  </si>
  <si>
    <t>B078MPPY1Z</t>
  </si>
  <si>
    <t>MOCOTONO Women's Long Sleeve Crewneck Pullover Sweater Blouses Elegant Tops Red Small</t>
  </si>
  <si>
    <t>XK-YIWUJS2-Y0-7IN</t>
  </si>
  <si>
    <t>X001SAFA61</t>
  </si>
  <si>
    <t>B07D4GT945</t>
  </si>
  <si>
    <t>0.157215 cuft</t>
  </si>
  <si>
    <t>0.045814 cuft</t>
  </si>
  <si>
    <t>ZYL-FLQ2013-YO-36</t>
  </si>
  <si>
    <t>B078JQVN4Q</t>
  </si>
  <si>
    <t>Collapsible Laundry Storage Basket for Bedroom Bathroom Kids Cotton with EVA Lining White 14.3"x14.3"x14.9"</t>
  </si>
  <si>
    <t>GT-WFTFGT200-216</t>
  </si>
  <si>
    <t>B076J67W43</t>
  </si>
  <si>
    <t>Tapestry Wall Hanging Mandala Hippie Psychedelic Bohemian Elephant Beach Towel Boho Bedspread Blue Flower Queen Size 59 x 79inches</t>
  </si>
  <si>
    <t>0.021778 cuft</t>
  </si>
  <si>
    <t>GT-WFTFGT200-224</t>
  </si>
  <si>
    <t>B076J5DWFM</t>
  </si>
  <si>
    <t>Tapestry Wall Hanging Mandala Hippie Psychedelic Bohemian Elephant Beach Towel Boho Bedspread Blue Pink Queen Size 59 x 79inches</t>
  </si>
  <si>
    <t>0.069444 cuft</t>
  </si>
  <si>
    <t>SND-FLQ18-SJ-74</t>
  </si>
  <si>
    <t>B0761KKJCB</t>
  </si>
  <si>
    <t>Hanging Shelves Cotton and Linen Triangle Pattern 5.9"x11.8"x29.1"</t>
  </si>
  <si>
    <t>0.095285 cuft</t>
  </si>
  <si>
    <t>ZQ-WF002-BO-M</t>
  </si>
  <si>
    <t>B078HGJSND</t>
  </si>
  <si>
    <t>European Table Runner Floral Cloth Fashion Luxury Upscale Neoclassical Table Runner Christams Wedding Decoration Blue(12x79inches)</t>
  </si>
  <si>
    <t>ZB-WF029-CF-M</t>
  </si>
  <si>
    <t>B078C7BGZR</t>
  </si>
  <si>
    <t>Lastia Cotton White Hemp Machine Washable Dinner Picnic Rectangle tablecloth Available In Various Sizes(Coffee,39.4x55.1In)</t>
  </si>
  <si>
    <t>0.096444 cuft</t>
  </si>
  <si>
    <t>0.12284 cuft</t>
  </si>
  <si>
    <t>BLT-LUHM000-CR</t>
  </si>
  <si>
    <t>X001QZZTQT</t>
  </si>
  <si>
    <t>B07CDD7CHN</t>
  </si>
  <si>
    <t>Monitor Memo Board Computer Monitors Notes Holder and Reminder Acrylic Message Boards Memo Pads Sticky Board For Paper Sticky Notes Cat Right</t>
  </si>
  <si>
    <t>2.39E-4 cuft</t>
  </si>
  <si>
    <t>WY-WF1217-KO-L</t>
  </si>
  <si>
    <t>B078MJZZZN</t>
  </si>
  <si>
    <t>MOCOTONO Women's Long Sleeve Crewneck Pullover Sweater Blouses Elegant Tops Black Large</t>
  </si>
  <si>
    <t>LYQ-WF1010-PO-M</t>
  </si>
  <si>
    <t>B077XV49XF</t>
  </si>
  <si>
    <t>Women's Tops Long Sleeve A-line Lace Stitching Trim Casual Tunic Dress M Purple</t>
  </si>
  <si>
    <t>GT-WFTFGT200-223</t>
  </si>
  <si>
    <t>B076J61QFW</t>
  </si>
  <si>
    <t>Tapestry Wall Hanging Mandala Hippie Psychedelic Bohemian Elephant Beach Towel Boho Bedspread Indian Feather Queen Size 59 x 79inches</t>
  </si>
  <si>
    <t>GSQPQ-WF2012-GO</t>
  </si>
  <si>
    <t>B077264LR6</t>
  </si>
  <si>
    <t>Vegetable Slicer Green Grips Handheld Spiralizer</t>
  </si>
  <si>
    <t>0.02445 cuft</t>
  </si>
  <si>
    <t>BDB-LUHM001-Y0</t>
  </si>
  <si>
    <t>X001T66KLX</t>
  </si>
  <si>
    <t>B07DQPGWNM</t>
  </si>
  <si>
    <t>Lastia Large Capacity Soft Cooler Insulated Outdoor Picnic Lunch Bag/Makeup bag for Grocery, Camping, Car, Travel(Yellow,7.5x6.3x5.9In)</t>
  </si>
  <si>
    <t>0.055833 cuft</t>
  </si>
  <si>
    <t>BD-LUHM001-X0</t>
  </si>
  <si>
    <t>X001RTNJUH</t>
  </si>
  <si>
    <t>B07CVDNT4J</t>
  </si>
  <si>
    <t>Non Slip Coasters for Drinks Cute Coasters Silicone Coasters Car Cup Holder Coaster, 5 Pack Fruit Coasters</t>
  </si>
  <si>
    <t>0.009151 cuft</t>
  </si>
  <si>
    <t>WY-WF1217-KO-XL</t>
  </si>
  <si>
    <t>B078MNWK8Y</t>
  </si>
  <si>
    <t>MOCOTONO Women's Long Sleeve Crewneck Pullover Sweater Blouses Elegant Tops Black X-Large</t>
  </si>
  <si>
    <t>SNH-LUHM001-G0</t>
  </si>
  <si>
    <t>X001T656N1</t>
  </si>
  <si>
    <t>B07DQMT2TL</t>
  </si>
  <si>
    <t>Small Foldable Storage Basket waterproof Oxford Storage Bins for Toy Storage(Green,7.9x5.5x6.3In)</t>
  </si>
  <si>
    <t>0.036361 cuft</t>
  </si>
  <si>
    <t>YQ-LUHM-F114</t>
  </si>
  <si>
    <t>X001SY229P</t>
  </si>
  <si>
    <t>B07DLTWN39</t>
  </si>
  <si>
    <t>Bamboo Forks 3.5 Inch, Mini Food Picks for Party, Banquet, Buffet, Catering, and Daily Life. Two Prongs - Blunt End Toothpicks for Appetizer, Cocktail, Fruit, Pastry, Dessert. (Four Pack of 440 PCS)</t>
  </si>
  <si>
    <t>Lower price</t>
  </si>
  <si>
    <t>0.041121 cuft</t>
  </si>
  <si>
    <t>WY-WF1225-GR-L</t>
  </si>
  <si>
    <t>B078MMXYGL</t>
  </si>
  <si>
    <t>MOCOTONO Women's Striped Hooded Pullover Drawstring Hoodies Sweatshirts Grey Large</t>
  </si>
  <si>
    <t>ZQ-WF002-PI-M</t>
  </si>
  <si>
    <t>B078H85Y7H</t>
  </si>
  <si>
    <t>European Table Runner Floral Cloth Fashion Luxury Upscale Neoclassical Table Runner Christams Wedding Decoration Pink(12x79inches)</t>
  </si>
  <si>
    <t>SDSZH-TS-2</t>
  </si>
  <si>
    <t>B076P7DYB9</t>
  </si>
  <si>
    <t>92ct Christmas Tree Ornaments Assortment including Angles Letters Merry Christmas Pendant Butterflies Wish Cards Snowflakes Red</t>
  </si>
  <si>
    <t>0.479672 cuft</t>
  </si>
  <si>
    <t>CWB-WF021-CF-L</t>
  </si>
  <si>
    <t>B0779QX5JV</t>
  </si>
  <si>
    <t>Pet Carrier Backpack Adjustable Legs Out Front Carrier Bag for Samll Medium Large Dogs Cats Camouflage L</t>
  </si>
  <si>
    <t>0.118188 cuft</t>
  </si>
  <si>
    <t>LYQ-WF1010-PO-L</t>
  </si>
  <si>
    <t>B077XSLVZ5</t>
  </si>
  <si>
    <t>Women's Tops Long Sleeve A-line Lace Stitching Trim Casual Tunic Dress L Purple</t>
  </si>
  <si>
    <t>WY-WF1225-BO-M</t>
  </si>
  <si>
    <t>B078MFWG5N</t>
  </si>
  <si>
    <t>MOCOTONO Women's Striped Hooded Pullover Drawstring Hoodies Sweatshirts Dark Blue Medium</t>
  </si>
  <si>
    <t>YQ-LUHM-F112</t>
  </si>
  <si>
    <t>X001SY229F</t>
  </si>
  <si>
    <t>B07DLX7V45</t>
  </si>
  <si>
    <t>Bamboo Forks 3.5 Inch, Mini Food Picks for Party, Banquet, Buffet, Catering, and Daily Life. Two Prongs - Blunt End Toothpicks for Appetizer, Cocktail, Fruit, Pastry, Dessert. (Two Pack of 220 PCS)</t>
  </si>
  <si>
    <t>0.034921 cuft</t>
  </si>
  <si>
    <t>0.071951 cuft</t>
  </si>
  <si>
    <t>XQ-LUHM034-X0</t>
  </si>
  <si>
    <t>X001R5AH1F</t>
  </si>
  <si>
    <t>B07C76QGLV</t>
  </si>
  <si>
    <t>Laundry Balls - Eco Friendly Fabric Softener Alternative(Set of 5) Color</t>
  </si>
  <si>
    <t>ZB-WF029-WO-L</t>
  </si>
  <si>
    <t>B0784WBNX9</t>
  </si>
  <si>
    <t>Lastia Cotton White Hemp Machine Washable Dinner Picnic Rectangle tablecloth Available In Various Sizes(Beige,55.1x55.1In)</t>
  </si>
  <si>
    <t>0.096759 cuft</t>
  </si>
  <si>
    <t>ZYL-FLQ59-TW-32</t>
  </si>
  <si>
    <t>B078JJ7KDP</t>
  </si>
  <si>
    <t>Storage Cube Basket Bin for Bedroom Bathroom Kids Cotton Linen White and Stripe 12.5"x12.5"x12.5"</t>
  </si>
  <si>
    <t>0.158203 cuft</t>
  </si>
  <si>
    <t>SNT-LUHM001-BS</t>
  </si>
  <si>
    <t>X001T5DQTN</t>
  </si>
  <si>
    <t>B07DQN9ZJT</t>
  </si>
  <si>
    <t>Clothes and toys organizer Waterproof hamper Foldable laundry basket for storage(Black Tree,13.8x13.8x17.7In)</t>
  </si>
  <si>
    <t>0.240625 cuft</t>
  </si>
  <si>
    <t>LYQ-WF1010-BO-M</t>
  </si>
  <si>
    <t>B077XSWR8G</t>
  </si>
  <si>
    <t>Women's Tops Long Sleeve A-line Lace Stitching Trim Casual Tunic Dress M Blue</t>
  </si>
  <si>
    <t>BLT-LUHM000-CL</t>
  </si>
  <si>
    <t>X001R0K643</t>
  </si>
  <si>
    <t>B07BV8R441</t>
  </si>
  <si>
    <t>Monitor Memo Board Computer Monitors Notes Holder and Reminder Acrylic Message Boards Memo Pads Sticky Board For Paper Sticky Notes Cat Left</t>
  </si>
  <si>
    <t>0.007787 cuft</t>
  </si>
  <si>
    <t>ZYL-FLQ2013-DX-36</t>
  </si>
  <si>
    <t>B078JK429P</t>
  </si>
  <si>
    <t>Folding Laundry Basket Hamper for Bedroom Bathroom Kids Cotton with EVA Lining White 14.3"x14.3"x14.9"</t>
  </si>
  <si>
    <t>0.34125 cuft</t>
  </si>
  <si>
    <t>LYQ-WF1010-BO-XL</t>
  </si>
  <si>
    <t>B077XQ8ZN5</t>
  </si>
  <si>
    <t>Women's Tops Long Sleeve A-line Lace Stitching Trim Casual Tunic Dress XL Blue</t>
  </si>
  <si>
    <t>GT-WFY1-E2</t>
  </si>
  <si>
    <t>B07842F5P9</t>
  </si>
  <si>
    <t>Elephant Tapestry Wall Hanging Large Wall Decor Mandala for Bedroom White Black (200150cm/7959inches)</t>
  </si>
  <si>
    <t>0.046493 cuft</t>
  </si>
  <si>
    <t>ST-FLQ110-KO-XL</t>
  </si>
  <si>
    <t>B077N9TG25</t>
  </si>
  <si>
    <t>Lastia Men's Women's Sports Gloves for Cycling Fitness Excercise Outdoor Black XL</t>
  </si>
  <si>
    <t>ZYL-FLQ59-TZ-32</t>
  </si>
  <si>
    <t>B078JQXPDD</t>
  </si>
  <si>
    <t>Waterproof Laundry Storage Basket for Bedroom Bathroom Kids Cotton Linen White and Rabbits 12.5"x12.5"x12.5"</t>
  </si>
  <si>
    <t>0.119174 cuft</t>
  </si>
  <si>
    <t>ZYL-FLQ06-HG-40</t>
  </si>
  <si>
    <t>B075R4XJZV</t>
  </si>
  <si>
    <t>Folding Laundry Basket Hamper for Bedroom Bathroom Kids Linen Cotton Black and Plaid 15.7"x15.7"x19.7"</t>
  </si>
  <si>
    <t>0.189156 cuft</t>
  </si>
  <si>
    <t>SD-LUHM202-PI</t>
  </si>
  <si>
    <t>X001RTSROF</t>
  </si>
  <si>
    <t>B07CVDVW47</t>
  </si>
  <si>
    <t>Lastia Travel Shoe Bags Set of 2 Waterproof Nylon With Zipper For Men &amp; Women(Pink)</t>
  </si>
  <si>
    <t>LYQ-WF1010-WO-2L</t>
  </si>
  <si>
    <t>B0785HJVGH</t>
  </si>
  <si>
    <t>Women's Tops Long Sleeve A-line Lace Stitching Trim Casual Tunic Dress 2XL White</t>
  </si>
  <si>
    <t>BLT-LUHM819-W0</t>
  </si>
  <si>
    <t>X001R0JIQP</t>
  </si>
  <si>
    <t>B07BV73Z4Q</t>
  </si>
  <si>
    <t>Post-It Notes Holder Memo Board for Monitors Clip and Hold Left</t>
  </si>
  <si>
    <t>ZYL-FLQ59-YD-32</t>
  </si>
  <si>
    <t>B078JHC2WQ</t>
  </si>
  <si>
    <t>Folding Laundry Basket Hamper for Bedroom Bathroom Kids Cotton Linen Black and Dots 12.5"x12.5"x12.5"</t>
  </si>
  <si>
    <t>0.210938 cuft</t>
  </si>
  <si>
    <t>LYQ-WF1010-BO-S</t>
  </si>
  <si>
    <t>B077XRSRNP</t>
  </si>
  <si>
    <t>Women's Tops Long Sleeve A-line Lace Stitching Trim Casual Tunic Dress S Blue</t>
  </si>
  <si>
    <t>0.200744 cuft</t>
  </si>
  <si>
    <t>BLT-LUHM000-RB</t>
  </si>
  <si>
    <t>X001QZZEPP</t>
  </si>
  <si>
    <t>B07BVMRJRX</t>
  </si>
  <si>
    <t>Monitor Memo Board Computer Monitors Notes Holder and Reminder Acrylic Message Boards Memo Pads Sticky Board For Paper Sticky Notes Bear Right</t>
  </si>
  <si>
    <t>0.005675 cuft</t>
  </si>
  <si>
    <t>Lastia Set of 4 Natural Jute Gray Round Placemat Hand Woven Dining Table Place Mat  Thanksgiving Dinner Table Decor - Black Friday Deals</t>
  </si>
  <si>
    <t>0.05191 cuft</t>
  </si>
  <si>
    <t>0.116727 cuft</t>
  </si>
  <si>
    <t>WY-WF1217-KO-S</t>
  </si>
  <si>
    <t>B078MKNJN1</t>
  </si>
  <si>
    <t>MOCOTONO Women's Long Sleeve Crewneck Pullover Sweater Blouses Elegant Tops Black Small</t>
  </si>
  <si>
    <t>ZYL-FLQ59-BF-32</t>
  </si>
  <si>
    <t>B078JQ3KLW</t>
  </si>
  <si>
    <t>Folding Storage Cube Basket for Bedroom Bathroom Kids Cotton Linen White and Batman 12.5"x12.5"x12.5"</t>
  </si>
  <si>
    <t>ZB-WF029-CF-L</t>
  </si>
  <si>
    <t>B077SSC1TH</t>
  </si>
  <si>
    <t>Lastia Cotton White Hemp Machine Washable Dinner Picnic Rectangle tablecloth Available In Various Sizes(Coffee,55.1x55.1In)</t>
  </si>
  <si>
    <t>0.111719 cuft</t>
  </si>
  <si>
    <t>SDSZH-RG</t>
  </si>
  <si>
    <t>B076PCPP68</t>
  </si>
  <si>
    <t>Lastia Christmas Tree Ornaments Assortment 11 Kinds of Accessories Red and Gold</t>
  </si>
  <si>
    <t>0.746656 cuft</t>
  </si>
  <si>
    <t>Lastia Set of 4 Natural Jute Browm Round Placemat Hand Woven Dining Table Place Mat  Thanksgiving Dinner Table Decor - Black Friday Deals</t>
  </si>
  <si>
    <t>WY-WF1225-GR-M</t>
  </si>
  <si>
    <t>B078MFPDLS</t>
  </si>
  <si>
    <t>MOCOTONO Striped Zipper Hooded Pullover 2023 Drawstring Hoodies Sweatshirts For Women Long Sleeve Warm Tops S-XL</t>
  </si>
  <si>
    <t>RYMT-WF712-GO-L</t>
  </si>
  <si>
    <t>B0785GYYL8</t>
  </si>
  <si>
    <t>Lastia Mermaid Tail Blanket Crochet Throw Blanket for Adult Green 31.5070.87inches</t>
  </si>
  <si>
    <t>0.378863 cuft</t>
  </si>
  <si>
    <t>LYQ-WF1010-NO-L</t>
  </si>
  <si>
    <t>B077XV7BG7</t>
  </si>
  <si>
    <t>Women's Tops Long Sleeve A-line Lace Stitching Trim Casual Tunic Dress L Brown</t>
  </si>
  <si>
    <t>0.150938 cuft</t>
  </si>
  <si>
    <t>HYD-WF7995-BO-XL</t>
  </si>
  <si>
    <t>B077STZV9Y</t>
  </si>
  <si>
    <t>0.166667 cuft</t>
  </si>
  <si>
    <t>BLT-WF125-PANDA</t>
  </si>
  <si>
    <t>B0788PS6BD</t>
  </si>
  <si>
    <t>Monitor Memo Board Computer Monitors Notes Holder and Reminder Acrylic Message Boards Memo Pads Sticky Board for Paper Sticky Notes Panda</t>
  </si>
  <si>
    <t>0.006801 cuft</t>
  </si>
  <si>
    <t>LYQ-WF1010-WO-XL</t>
  </si>
  <si>
    <t>B077XSZ4FT</t>
  </si>
  <si>
    <t>Women's Tops Long Sleeve A-line Lace Stitching Trim Casual Tunic Dress XL White</t>
  </si>
  <si>
    <t>XK-YIWUJS2-BR-6IN</t>
  </si>
  <si>
    <t>X001SAE931</t>
  </si>
  <si>
    <t>B07D4FWK6H</t>
  </si>
  <si>
    <t>Lastia 4x6 Wood Photo Frame Fit For Stands Vertically on Desk Table Top Hinged Double Picture Frames</t>
  </si>
  <si>
    <t>0.198232 cuft</t>
  </si>
  <si>
    <t>XM-LUHM111-X0</t>
  </si>
  <si>
    <t>X001R59YVT</t>
  </si>
  <si>
    <t>B07C76QF92</t>
  </si>
  <si>
    <t>Fruit Shape Kitchen sponge, scratch free cleaning scourer (pack of 4) Color</t>
  </si>
  <si>
    <t>LYQ-NWF10-KO-S</t>
  </si>
  <si>
    <t>X001TGJAQZ</t>
  </si>
  <si>
    <t>B07DXFH8CW</t>
  </si>
  <si>
    <t>Women's Tops Long Sleeve A-line Lace Stitching Trim Casual Tunic Dress S Black</t>
  </si>
  <si>
    <t>SNT-LUHM001-GQ</t>
  </si>
  <si>
    <t>X001T50EKH</t>
  </si>
  <si>
    <t>B07DQL4VVH</t>
  </si>
  <si>
    <t>Clothes and toys organizer Waterproof hamper Foldable laundry basket for storage(Flag and English,13.8x13.8x17.7In)</t>
  </si>
  <si>
    <t>0.260127 cuft</t>
  </si>
  <si>
    <t>Lastia Mesh Beach Tote Bag with Zipper Top and Insulated Picnic Cooler and Free Get A Bonus Waterproof Cellphone Case Blue</t>
  </si>
  <si>
    <t>0.12963 cuft</t>
  </si>
  <si>
    <t>WY-WF1225-BO-L</t>
  </si>
  <si>
    <t>B078MFHH1V</t>
  </si>
  <si>
    <t>MOCOTONO Women's Striped Hooded Pullover Drawstring Hoodies Sweatshirts Dark Blue Large</t>
  </si>
  <si>
    <t>WB-LUHM002-B0</t>
  </si>
  <si>
    <t>X001TCDQTB</t>
  </si>
  <si>
    <t>B07DVLSHLK</t>
  </si>
  <si>
    <t>Lastia Lunch Bag Insulated and Water Resistant Lunch Box for Kids and Adults Blue</t>
  </si>
  <si>
    <t>0.045069 cuft</t>
  </si>
  <si>
    <t>SD-LUHM202-G0-X</t>
  </si>
  <si>
    <t>X001SAK6UB</t>
  </si>
  <si>
    <t>B07BRL2Y1L</t>
  </si>
  <si>
    <t>Lastia Travel Shoe Bags Set of 2 Waterproof Nylon With Zipper For Men &amp; Women(Green)</t>
  </si>
  <si>
    <t>0.181407 cuft</t>
  </si>
  <si>
    <t>LYQ-WF1010-KO-L</t>
  </si>
  <si>
    <t>B077XNFWVP</t>
  </si>
  <si>
    <t>Women's Tops Long Sleeve A-line Lace Stitching Trim Casual Tunic Dress L Black</t>
  </si>
  <si>
    <t>GT-WFTFGT200-214</t>
  </si>
  <si>
    <t>B076JBP5ZS</t>
  </si>
  <si>
    <t>Tapestry Wall Hanging Mandala Hippie Psychedelic Bohemian Elephant Beach Towel Boho Bedspread Zebra Forest Queen Size 59 x 79inches</t>
  </si>
  <si>
    <t>SQ-LUHM90A</t>
  </si>
  <si>
    <t>X001SVTMKF</t>
  </si>
  <si>
    <t>B07DKXGT8H</t>
  </si>
  <si>
    <t>Lastia Summer Light Weight Water Gun Pool Beach Swimming Water Soaker for Kids and Adults 4 PCS (25.6In)</t>
  </si>
  <si>
    <t>0.089417 cuft</t>
  </si>
  <si>
    <t>SL-LULW818-RO-L</t>
  </si>
  <si>
    <t>X001O4W9TR</t>
  </si>
  <si>
    <t>B078RMPL65</t>
  </si>
  <si>
    <t>Baby Sleeping Bag Swaddling Blankets Autumn Winter Baby Stroller Baby Sleep Sack Zipper Design-100% Soft Cotton Ultra-Soft Absorbent - Warm for Baby 12-24 Months 37.4×17.7inch (Red)</t>
  </si>
  <si>
    <t>0.708912 cuft</t>
  </si>
  <si>
    <t>LYQ-WF1010-BO-L</t>
  </si>
  <si>
    <t>B077XNM9W2</t>
  </si>
  <si>
    <t>Women's Tops Long Sleeve A-line Lace Stitching Trim Casual Tunic Dress L Blue</t>
  </si>
  <si>
    <t>BLT-WF125-LION</t>
  </si>
  <si>
    <t>B0788M5K8H</t>
  </si>
  <si>
    <t>Monitor Memo Board Computer Monitors Notes Holder and Reminder Acrylic Message Boards Memo Pads Sticky Board for Paper Sticky Notes Lion</t>
  </si>
  <si>
    <t>0.007162 cuft</t>
  </si>
  <si>
    <t>ST-LAHM-LG-001</t>
  </si>
  <si>
    <t>X001TCQWE7</t>
  </si>
  <si>
    <t>B07DVJW5HD</t>
  </si>
  <si>
    <t>Set of 9 Grey Beverage Chill Rocks Whiskey Rocks Reusable Drinking Ice Stones Chilling Stones Gift Set</t>
  </si>
  <si>
    <t>RYMT-WF712-PO-L</t>
  </si>
  <si>
    <t>B077XB44XX</t>
  </si>
  <si>
    <t>Lastia Mermaid Tail Blanket Crochet Throw Blanket for Adult Purple 31.5070.87inches</t>
  </si>
  <si>
    <t>0.260417 cuft</t>
  </si>
  <si>
    <t>WY-WF1225-BO-S</t>
  </si>
  <si>
    <t>B078MNG1TG</t>
  </si>
  <si>
    <t>MOCOTONO Women's Striped Hooded Pullover Drawstring Hoodies Sweatshirts Dark Blue Small</t>
  </si>
  <si>
    <t>ZDD-FLQ07-MC-28</t>
  </si>
  <si>
    <t>B075QF56L3</t>
  </si>
  <si>
    <t>Lastia Folding Stool for Camping Fishing Hiking Outdoor Camouflage 11.4"x11.4"x9.8"</t>
  </si>
  <si>
    <t>0.409697 cuft</t>
  </si>
  <si>
    <t>ST-FLQ110-PI-M</t>
  </si>
  <si>
    <t>B077NCS1K2</t>
  </si>
  <si>
    <t>Lastia Women's Half Finger Sports Gloves for Cycling Fitness Excercise Outdoor Pink M</t>
  </si>
  <si>
    <t>WY-WF1217-GR-M</t>
  </si>
  <si>
    <t>B078MG4VLQ</t>
  </si>
  <si>
    <t>MOCOTONO Women's Long Sleeve Crewneck Pullover Sweater Blouses Elegant Tops Grey Medium</t>
  </si>
  <si>
    <t>SNH-LUHM001-K0</t>
  </si>
  <si>
    <t>X001T67QS9</t>
  </si>
  <si>
    <t>B07DQLZ5KK</t>
  </si>
  <si>
    <t>Small Foldable Storage Basket waterproof Oxford Storage Bins for Toy Storage(Black,7.9x5.5x6.3In)</t>
  </si>
  <si>
    <t>0.030708 cuft</t>
  </si>
  <si>
    <t>SB-LUHM100-G0</t>
  </si>
  <si>
    <t>X001TCPJJB</t>
  </si>
  <si>
    <t>B07DVLM761</t>
  </si>
  <si>
    <t>Lastia Mesh Beach Tote Bag with Zipper Top and Insulated Picnic Cooler and Free Get A Bonus Waterproof Cellphone Case Green</t>
  </si>
  <si>
    <t>0.136826 cuft</t>
  </si>
  <si>
    <t>XK-YIWUJS2-Y0-6IN</t>
  </si>
  <si>
    <t>X001S9EYDH</t>
  </si>
  <si>
    <t>B07D4GSD2Q</t>
  </si>
  <si>
    <t>0.159351 cuft</t>
  </si>
  <si>
    <t>ZDD-FLQ08-RO-28</t>
  </si>
  <si>
    <t>B075QFMG4P</t>
  </si>
  <si>
    <t>Portable Tripod Stool for Camping Fishing Hiking Outdoor Four Legs Red 11"x11"x13.7"</t>
  </si>
  <si>
    <t>0.141782 cuft</t>
  </si>
  <si>
    <t>GT-WFTFGT200-220</t>
  </si>
  <si>
    <t>B076J6VFSP</t>
  </si>
  <si>
    <t>Tapestry Wall Hanging Mandala Hippie Psychedelic Bohemian Elephant Beach Towel Boho Bedspread Dark Blue Gold Queen Size 59 x 79inches</t>
  </si>
  <si>
    <t>0.056583 cuft</t>
  </si>
  <si>
    <t>0.165634 cuft</t>
  </si>
  <si>
    <t>XK-YIWUJS-Y0-6IN</t>
  </si>
  <si>
    <t>X001SAENHX</t>
  </si>
  <si>
    <t>B07D4GBBQB</t>
  </si>
  <si>
    <t>Lastia 4x6 Picture Frame Multi Photo Frames Set Wall or Tabletop Display</t>
  </si>
  <si>
    <t>0.098036 cuft</t>
  </si>
  <si>
    <t>BDB-WF212-SJS-M</t>
  </si>
  <si>
    <t>B0772JJ5YH</t>
  </si>
  <si>
    <t>Lastia Printing Lunch Bags Oxford Cloth Aluminum Foil Insulated Zip Cooler Bag Portable Takeaway Film Pack Lunch Box Package Tree</t>
  </si>
  <si>
    <t>0.054306 cuft</t>
  </si>
  <si>
    <t>WB-LUHM002-R0</t>
  </si>
  <si>
    <t>X001TCQIM3</t>
  </si>
  <si>
    <t>B07DVK765T</t>
  </si>
  <si>
    <t>Lastia Lunch Bag Insulated and Water Resistant Lunch Box for Kids and Adults Red</t>
  </si>
  <si>
    <t>0.046875 cuft</t>
  </si>
  <si>
    <t>LYQ-WF1010-NO-XS</t>
  </si>
  <si>
    <t>B077XRZGV1</t>
  </si>
  <si>
    <t>Women's Tops Long Sleeve A-line Lace Stitching Trim Casual Tunic Dress XS Brown</t>
  </si>
  <si>
    <t>WY-WF1217-YO-L</t>
  </si>
  <si>
    <t>B078MLPP7Z</t>
  </si>
  <si>
    <t>MOCOTONO Women's Long Sleeve Crewneck Pullover Sweater Blouses Elegant Tops Yellow Large</t>
  </si>
  <si>
    <t>ZYL-FLQ06-TZ-40</t>
  </si>
  <si>
    <t>B075R4RWDL</t>
  </si>
  <si>
    <t>Waterproof Laundry Storage Basket for Bedroom Bathroom Kids Linen Cotton White and Rabbits 15.7"x15.7"x19.7"</t>
  </si>
  <si>
    <t>BDB-WF212-BJX-M</t>
  </si>
  <si>
    <t>B0772TKSHM</t>
  </si>
  <si>
    <t>Printing Lunch Bags Oxford Cloth Aluminum Foil Insulated Zip Cooler Bag Portable Takeaway Film Pack Lunch Box Package Cartoon Polar Bear</t>
  </si>
  <si>
    <t>LYQ-WF1010-NO-2L</t>
  </si>
  <si>
    <t>B077XQ2P1L</t>
  </si>
  <si>
    <t>Women's Tops Long Sleeve A-line Lace Stitching Trim Casual Tunic Dress 2XL Brown</t>
  </si>
  <si>
    <t>BLT-NWF125-Panda</t>
  </si>
  <si>
    <t>X001TL36AB</t>
  </si>
  <si>
    <t>B07F1RBPYT</t>
  </si>
  <si>
    <t>WY-WF1217-RO-XL</t>
  </si>
  <si>
    <t>B078MLS36P</t>
  </si>
  <si>
    <t>MOCOTONO Women's Long Sleeve Crewneck Pullover Sweater Blouses Elegant Tops Red X-Large</t>
  </si>
  <si>
    <t>SND-WF5150-WO</t>
  </si>
  <si>
    <t>B076ZJHNKM</t>
  </si>
  <si>
    <t>Lastia 24 Pockets Over the Door Shoe Organizer PVC Durable Pockets White 59"x 18"</t>
  </si>
  <si>
    <t>WY-WF1217-RO-M</t>
  </si>
  <si>
    <t>B078MLCPHX</t>
  </si>
  <si>
    <t>MOCOTONO Women's Long Sleeve Crewneck Pullover Sweater Blouses Elegant Tops Red Medium</t>
  </si>
  <si>
    <t>0.142816 cuft</t>
  </si>
  <si>
    <t>XK-YIWUJS-Y0-7IN</t>
  </si>
  <si>
    <t>X001SAF79B</t>
  </si>
  <si>
    <t>B07D4FQCYC</t>
  </si>
  <si>
    <t>0.147821 cuft</t>
  </si>
  <si>
    <t>ZDD-FLQ08-GR-28</t>
  </si>
  <si>
    <t>B075QG33T1</t>
  </si>
  <si>
    <t>Mini Portable Folding Stool for Camping Fishing Hiking Outdoor Four Legs Gray 11"x11"x13.7"</t>
  </si>
  <si>
    <t>0.588412 cuft</t>
  </si>
  <si>
    <t>LYQ-WF1010-PO-2L</t>
  </si>
  <si>
    <t>B077XNK3T5</t>
  </si>
  <si>
    <t>Women's Tops Long Sleeve A-line Lace Stitching Trim Casual Tunic Dress 2XL Purple</t>
  </si>
  <si>
    <t>SL-LULW818-PI-L</t>
  </si>
  <si>
    <t>X001O4DJKF</t>
  </si>
  <si>
    <t>B078RN1CC8</t>
  </si>
  <si>
    <t>Baby Sleeping Bag Swaddling Blankets Autumn Winter Baby Stroller Baby Sleep Sack Zipper Design-100% Soft Cotton Ultra-Soft Absorbent - Warm for Baby 12-14 Months 37.4×17.7inch (Pink)</t>
  </si>
  <si>
    <t>0.153897 cuft</t>
  </si>
  <si>
    <t>XYD-F02-3C-3S</t>
  </si>
  <si>
    <t>B077277SF1</t>
  </si>
  <si>
    <t>Lastia Set of 3 Sturdy White Mesh Laundry Bag 1 Small 1 Medium 1 Large</t>
  </si>
  <si>
    <t>BLT-LUHM000-GL</t>
  </si>
  <si>
    <t>X001QZQV5H</t>
  </si>
  <si>
    <t>B07BVMP1DH</t>
  </si>
  <si>
    <t>Monitor Memo Board Computer Monitors Notes Holder and Reminder Acrylic Message Boards Memo Pads Sticky Board For Paper Sticky Notes Giraffe Left</t>
  </si>
  <si>
    <t>0.005262 cuft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</si>
  <si>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</si>
  <si>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</si>
  <si>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</si>
  <si>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</si>
  <si>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</si>
  <si>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</si>
  <si>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</si>
  <si>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</si>
  <si>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</si>
  <si>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</si>
  <si>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</si>
  <si>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</si>
  <si>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</si>
  <si>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</si>
  <si>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BA-FLQ02-GD-4</t>
  </si>
  <si>
    <t>B075N2WFMS</t>
  </si>
  <si>
    <t>Lastia 24 pcs Shatterproof Christmas Balls Ornaments for Christmas Trees Holiday Party Decoration Gold 1.57"</t>
  </si>
  <si>
    <t>BA-FLQ02-GD-6</t>
  </si>
  <si>
    <t>B075N3K3P1</t>
  </si>
  <si>
    <t>Lastia 24 pcs Shatterproof Christmas Balls Ornaments for Christmas Trees Holiday Party Decoration Gold 2.36"</t>
  </si>
  <si>
    <t>BA-FLQ02-R2-4</t>
  </si>
  <si>
    <t>B075N7VCYM</t>
  </si>
  <si>
    <t>Lastia 24 pcs Shatterproof Balls Ornaments for Holiday Party Decoration Rose Red 1.57"</t>
  </si>
  <si>
    <t>BA-FLQ02-R2-6</t>
  </si>
  <si>
    <t>B075N2WNCP</t>
  </si>
  <si>
    <t>Lastia 24 pcs Shatterproof Balls Ornaments for Holiday Party Decoration Rose Red 2.36"</t>
  </si>
  <si>
    <t>BA-FLQ02-SI-4</t>
  </si>
  <si>
    <t>B075N4YGPD</t>
  </si>
  <si>
    <t>Lastia 24 pcs Shatterproof Decorative Balls Ornaments for Holiday Party Home Silver 1.57"</t>
  </si>
  <si>
    <t>BDB-LUHM001-ZL</t>
  </si>
  <si>
    <t>X001T67QRP</t>
  </si>
  <si>
    <t>B07DQT2DCN</t>
  </si>
  <si>
    <t>Lastia Large Capacity Soft Cooler Insulated Outdoor Picnic Lunch Bag/Makeup bag for Grocery, Camping, Car, Travel(Navy,7.5x6.3x5.9In)</t>
  </si>
  <si>
    <t>BLT-NWF125-Cat</t>
  </si>
  <si>
    <t>X001TKRP4Z</t>
  </si>
  <si>
    <t>B07F1QWXYV</t>
  </si>
  <si>
    <t>BZ-WF211-BO</t>
  </si>
  <si>
    <t>B077SBYB2D</t>
  </si>
  <si>
    <t>Lastia Braided Crib Bumper Knot Pillow Knot Cushion Cradle Bumper Nursery Decor Crib Bedding Newborn Gift Decorative Pillow Cot Bumper Blue</t>
  </si>
  <si>
    <t>BZ-WF211-BO-3M</t>
  </si>
  <si>
    <t>X001OVSD9Z</t>
  </si>
  <si>
    <t>B079HQ282S</t>
  </si>
  <si>
    <t>BZ-WF211-GR</t>
  </si>
  <si>
    <t>B0784Q7224</t>
  </si>
  <si>
    <t>Unknown</t>
  </si>
  <si>
    <t>BZ-WF211-WO</t>
  </si>
  <si>
    <t>B077SB58DX</t>
  </si>
  <si>
    <t>Creative Braided Edge Round Placemats Japanese-style Round Table Mats, Home PP Woven Mat and Anti-hot Insulation Pad 38CM(light purple)(Set of 4)</t>
  </si>
  <si>
    <t>CD-WF001-GO-1</t>
  </si>
  <si>
    <t>B077TDZTMC</t>
  </si>
  <si>
    <t>CD-WF001-KK-1</t>
  </si>
  <si>
    <t>B077TDWD7Z</t>
  </si>
  <si>
    <t>CD-WF0728-4C</t>
  </si>
  <si>
    <t>B077PZHCFT</t>
  </si>
  <si>
    <t>CD-WF482-BO</t>
  </si>
  <si>
    <t>CD-WF482-CB</t>
  </si>
  <si>
    <t>CD-WF482-RO</t>
  </si>
  <si>
    <t>B077D67N2B</t>
  </si>
  <si>
    <t>CD-WF482-RO-1</t>
  </si>
  <si>
    <t>Lastia 100 Cotton Placemats Set Handmade Woven Braided Ribbed Washable Table Mats Set of 4 12" x 18" Red Rainbow</t>
  </si>
  <si>
    <t>CQC-WF6346-BO</t>
  </si>
  <si>
    <t>B077GN6JWN</t>
  </si>
  <si>
    <t>CQC-WF6346-GO</t>
  </si>
  <si>
    <t>B077GN3FGY</t>
  </si>
  <si>
    <t>CQC-WF6346-PO</t>
  </si>
  <si>
    <t>B077GLWQYT</t>
  </si>
  <si>
    <t>CWB-FLQ1703-GR-47</t>
  </si>
  <si>
    <t>B078GKCYT6</t>
  </si>
  <si>
    <t>Lastia Pet Carrier Travel bag Soft Sided Airline Approved for Small Dog and Cat Oxford Gray 18"x10.5"x11"</t>
  </si>
  <si>
    <t>CWB-FLQ1703-PI-47</t>
  </si>
  <si>
    <t>B077HTZS29</t>
  </si>
  <si>
    <t>Lastia Pet Carrier Travel bag Soft Sided Airline Approved for Small Dog and Cat Oxford Pink 18"x10.5"x11"</t>
  </si>
  <si>
    <t>CWB-WF021-QB-XL</t>
  </si>
  <si>
    <t>B0779RQ56M</t>
  </si>
  <si>
    <t>Pet Carrier Backpack Adjustable Legs Out Front Carrier Bag for Samll Medium Large Dogs Cats Colorful Strip XL</t>
  </si>
  <si>
    <t>GT-WFTFGT200-211</t>
  </si>
  <si>
    <t>B076J8YTXJ</t>
  </si>
  <si>
    <t>Tapestry Wall Hanging Mandala Hippie Psychedelic Bohemian Elephant Beach Towel Boho Bedspread Black Zebra Queen Size 59 x 79inches</t>
  </si>
  <si>
    <t>JS-LUHM100-AX</t>
  </si>
  <si>
    <t>X001TWGU99</t>
  </si>
  <si>
    <t>B07FCJN97Z</t>
  </si>
  <si>
    <t>8 Piece Reusable Metal Stainless Steel Chilling Stones for Scotch Whiskey Wine and Ice Tongs Love</t>
  </si>
  <si>
    <t>JS-LUHM100-JSZFX</t>
  </si>
  <si>
    <t>X001TX65GV</t>
  </si>
  <si>
    <t>B07FCH27G9</t>
  </si>
  <si>
    <t>Whiskey Stones - Set of 8 Titanium Gold Plated Square Stainless Steel Chilling Rocks Stored In A Premium Gift Box Gold Square</t>
  </si>
  <si>
    <t>JS-LUHM100-KLT</t>
  </si>
  <si>
    <t>X001TXCIWB</t>
  </si>
  <si>
    <t>B07FCHZRK5</t>
  </si>
  <si>
    <t>Whiskey Stones - Set of 6 Titanium Gold Plated Square Stainless Steel Chilling Rocks Stored In A Premium Gift Box Skull Heads</t>
  </si>
  <si>
    <t>JS-LUHM100-LBX</t>
  </si>
  <si>
    <t>X001TX65H5</t>
  </si>
  <si>
    <t>B07FCFK3BH</t>
  </si>
  <si>
    <t>8 Piece Reusable Metal Stainless Steel Chilling Stones for Scotch Whiskey Wine and Ice Tongs Sexangle</t>
  </si>
  <si>
    <t>JS-LUHM100-LX</t>
  </si>
  <si>
    <t>X001TX65E3</t>
  </si>
  <si>
    <t>B07FCHT1T1</t>
  </si>
  <si>
    <t>8 Piece Reusable Metal Stainless Steel Chilling Stones for Scotch Whiskey Wine and Ice Tongs Rhombus</t>
  </si>
  <si>
    <t>JS-LUHM100-ZFX</t>
  </si>
  <si>
    <t>X001TWGUGR</t>
  </si>
  <si>
    <t>B07FCJN913</t>
  </si>
  <si>
    <t>Whiskey Stones Stainless Steel Ice Cubes Reusable Whisky Chilling Rocks - Set of 8 with Tong for Beer Wine Cooler Square</t>
  </si>
  <si>
    <t>KZ-LUHM000-E0-L</t>
  </si>
  <si>
    <t>X001SDVD9B</t>
  </si>
  <si>
    <t>B073XLK4G5</t>
  </si>
  <si>
    <t>KZ-LUHM000-E0-M</t>
  </si>
  <si>
    <t>X001SDRXWH</t>
  </si>
  <si>
    <t>B071VFYY2V</t>
  </si>
  <si>
    <t>KZ-LUHM000-E0-XL</t>
  </si>
  <si>
    <t>X001S2B9O1</t>
  </si>
  <si>
    <t>B07CZZ8CQJ</t>
  </si>
  <si>
    <t>KZ-LUHM000-K0-L</t>
  </si>
  <si>
    <t>X001SF1AU1</t>
  </si>
  <si>
    <t>B073XM44QG</t>
  </si>
  <si>
    <t>KZ-LUHM000-K0-M</t>
  </si>
  <si>
    <t>X001SDRUJD</t>
  </si>
  <si>
    <t>B0725CDCCN</t>
  </si>
  <si>
    <t>KZ-LUHM000-K0-XL</t>
  </si>
  <si>
    <t>X001S2A9E7</t>
  </si>
  <si>
    <t>B07CZYS94Z</t>
  </si>
  <si>
    <t>KZ-LUHM000-R0-L</t>
  </si>
  <si>
    <t>X001S0K5QB</t>
  </si>
  <si>
    <t>B07CZYPB94</t>
  </si>
  <si>
    <t>KZ-LUHM000-R0-M</t>
  </si>
  <si>
    <t>X001SF1P5V</t>
  </si>
  <si>
    <t>B071NP2X5N</t>
  </si>
  <si>
    <t>KZ-LUHM000-R0-XL</t>
  </si>
  <si>
    <t>X001S1QC8P</t>
  </si>
  <si>
    <t>B07CZZB1RQ</t>
  </si>
  <si>
    <t>KZ-LUHM000-W0-L</t>
  </si>
  <si>
    <t>X001S2BTF5</t>
  </si>
  <si>
    <t>B073XMFYWX</t>
  </si>
  <si>
    <t>KZ-LUHM000-W0-M</t>
  </si>
  <si>
    <t>X001SDVDEV</t>
  </si>
  <si>
    <t>B0716LH9B7</t>
  </si>
  <si>
    <t>KZ-LUHM000-W0-XL</t>
  </si>
  <si>
    <t>X001S1QC8F</t>
  </si>
  <si>
    <t>B07CZY6SXP</t>
  </si>
  <si>
    <t>KZ-LUHM000-Y0-L</t>
  </si>
  <si>
    <t>X001S2A0HN</t>
  </si>
  <si>
    <t>B07CZYVPK8</t>
  </si>
  <si>
    <t>KZ-LUHM000-Y0-M</t>
  </si>
  <si>
    <t>X001SDVD91</t>
  </si>
  <si>
    <t>B071HHSJ1R</t>
  </si>
  <si>
    <t>KZ-LUHM000-Y0-XL</t>
  </si>
  <si>
    <t>X001S2A6X1</t>
  </si>
  <si>
    <t>B07CZZDBPG</t>
  </si>
  <si>
    <t>Lastia Women's Tops Long Sleeve A-Line Lace Stitching Trim Casual Tunic 2XL Dress Blue</t>
  </si>
  <si>
    <t>Women's Tops Long Sleeve A-Line Lace Stitching Trim Casual Tunic Dress S Blue</t>
  </si>
  <si>
    <t>Lastia Women's Tops Long Sleeve A-Line Lace Stitching Trim Casual Tunic Dress 2XL Black</t>
  </si>
  <si>
    <t>Lastia Women's Tops Long Sleeve A-Line Lace Stitching Trim Casual Tunic Dress M Black</t>
  </si>
  <si>
    <t>LYQ-WF1010-KO-S</t>
  </si>
  <si>
    <t>B077XV7J5K</t>
  </si>
  <si>
    <t>Women's Tops Long Sleeve A-Line Lace Stitching Trim Casual Tunic Dress 2XL Brown</t>
  </si>
  <si>
    <t>Lastia Women's Tops Long Sleeve A-Line Lace Stitching Trim Casual Tunic Dress L Brown</t>
  </si>
  <si>
    <t>Lastia Women's Tops Long Sleeve A-Line Lace Stitching Trim Casual Tunic Dress M Purple</t>
  </si>
  <si>
    <t>Lastia Women's Tops Long Sleeve A-Line Lace Stitching Trim Casual Tunic Dress S Purple</t>
  </si>
  <si>
    <t>Lastia Women's Tops Long Sleeve A-Line Lace Stitching Trim Casual Tunic Dress 2XL White</t>
  </si>
  <si>
    <t>ND-LUHM027-PI</t>
  </si>
  <si>
    <t>X001R59OV9</t>
  </si>
  <si>
    <t>B07C73R2XN</t>
  </si>
  <si>
    <t>Premium Bra Wash Bag for Bras Laundry lingerie Bag and Delicates Set of 2 Pink</t>
  </si>
  <si>
    <t>QLQ-LUHM121-WT</t>
  </si>
  <si>
    <t>X001SUG56F</t>
  </si>
  <si>
    <t>QLQ-WF121-WO</t>
  </si>
  <si>
    <t>B077YTH6KB</t>
  </si>
  <si>
    <t>SB-LUHM100-K0</t>
  </si>
  <si>
    <t>X001TCPQ8P</t>
  </si>
  <si>
    <t>B07DVBN2KT</t>
  </si>
  <si>
    <t>Lastia Mesh Beach Tote Bag with Zipper Top and Insulated Picnic Cooler and Free Get A Bonus Waterproof Cellphone Case Black</t>
  </si>
  <si>
    <t>SB-LUHM101-B0</t>
  </si>
  <si>
    <t>X001TXY8W9</t>
  </si>
  <si>
    <t>B07FJQJ4XP</t>
  </si>
  <si>
    <t>SD-LUHM202-G0</t>
  </si>
  <si>
    <t>X001RSYRI1</t>
  </si>
  <si>
    <t>B07CVCKXW8</t>
  </si>
  <si>
    <t>SDSZH-TS-1</t>
  </si>
  <si>
    <t>B076P7RC2W</t>
  </si>
  <si>
    <t>SL-LULW812-PI-M</t>
  </si>
  <si>
    <t>B078RNFX6F</t>
  </si>
  <si>
    <t>SL-LULW818-PI-M</t>
  </si>
  <si>
    <t>Baby Sleeping Bag Swaddling Blankets Autumn Winter Baby Stroller Baby Sleep Sack Zipper Design-100% Soft Cotton Ultra-Soft Absorbent - Warm for Baby 0-12 Months 31.5×15.7inch (Pink)</t>
  </si>
  <si>
    <t>SND-FLQ17-NO-108</t>
  </si>
  <si>
    <t>B075ZV778Y</t>
  </si>
  <si>
    <t>SND-FLQ18-SJ-80</t>
  </si>
  <si>
    <t>B0761KLYSS</t>
  </si>
  <si>
    <t>SNH-LUHM001-Y0</t>
  </si>
  <si>
    <t>X001T65KC3</t>
  </si>
  <si>
    <t>B07DQL4VVL</t>
  </si>
  <si>
    <t>Small Foldable Storage Basket waterproof Oxford Storage Bins for Toy Storage(Yellow,7.9x5.5x6.3In)</t>
  </si>
  <si>
    <t>SNT-LUHM001-DX</t>
  </si>
  <si>
    <t>X001T66GQR</t>
  </si>
  <si>
    <t>B07DQPRJPR</t>
  </si>
  <si>
    <t>Clothes and toys organizer Waterproof hamper Foldable laundry basket for storage(Elephant,13.8x13.8x17.7In)</t>
  </si>
  <si>
    <t>SNT-LUHM001-HY</t>
  </si>
  <si>
    <t>X001T6832H</t>
  </si>
  <si>
    <t>B07DQMV7N9</t>
  </si>
  <si>
    <t>Clothes and toys organizer Waterproof hamper Foldable laundry basket for storage(Ocean,13.8x13.8x17.7In)</t>
  </si>
  <si>
    <t>SNT-LUHM001-ZX</t>
  </si>
  <si>
    <t>X001T67EGD</t>
  </si>
  <si>
    <t>B07DQVJFGS</t>
  </si>
  <si>
    <t>Clothes and toys organizer Waterproof hamper Foldable laundry basket for storage(Statue of Liberty,13.8x13.8x17.7In)</t>
  </si>
  <si>
    <t>TEST-BR-6IN</t>
  </si>
  <si>
    <t>X001SDT0N7</t>
  </si>
  <si>
    <t>B07D6GDQ2G</t>
  </si>
  <si>
    <t>TEST-Y0-7IN</t>
  </si>
  <si>
    <t>X001SCRE6X</t>
  </si>
  <si>
    <t>B07D6GHKF6</t>
  </si>
  <si>
    <t>TESTY0-6IN</t>
  </si>
  <si>
    <t>X001SDSJ0R</t>
  </si>
  <si>
    <t>B07D6FCMJS</t>
  </si>
  <si>
    <t>WR-FLQ01-HZ-60</t>
  </si>
  <si>
    <t>B075MDD1B1</t>
  </si>
  <si>
    <t>Lastia Christmas Wreath with Pine Nuts Berries gifts for Indoor Outdoor Multicolor 24 Inch</t>
  </si>
  <si>
    <t>XK-YIWUJS-GY-6IN</t>
  </si>
  <si>
    <t>X001S9EYFP</t>
  </si>
  <si>
    <t>B07D4GQKTL</t>
  </si>
  <si>
    <t>XK-YIWUJS-PJ</t>
  </si>
  <si>
    <t>X001TTA5D9</t>
  </si>
  <si>
    <t>B001B52VSW</t>
  </si>
  <si>
    <t>Kids Line Lilac Garden - Picture Frame</t>
  </si>
  <si>
    <t>XK-YIWUJS2-PJ</t>
  </si>
  <si>
    <t>X001TTA5DJ</t>
  </si>
  <si>
    <t>B00VGTGHS8</t>
  </si>
  <si>
    <t>Cypress Home Married to Your Best Friend 4x6 Wooden Picture Frame</t>
  </si>
  <si>
    <t>Cotton White Hemp Machine Washable Dinner Picnic Rectangle tablecloth Available In Various Sizes(Beige,55.1x55.1In)</t>
  </si>
  <si>
    <t>Cotton White Hemp Machine Washable Dinner Picnic Rectangle tablecloth Available In Various Sizes(Beige,39.4x55.1In)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</si>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</sst>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7" fillId="2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7" borderId="3" applyNumberFormat="0" applyFont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8" fillId="6" borderId="6" applyNumberFormat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1" fillId="20" borderId="4" applyNumberFormat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19050</xdr:rowOff>
        </xdr:from>
        <xdr:to>
          <xdr:col>9</xdr:col>
          <xdr:colOff>19050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19050"/>
              <a:ext cx="151828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171450</xdr:rowOff>
        </xdr:from>
        <xdr:to>
          <xdr:col>16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352425"/>
              <a:ext cx="6858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43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3</v>
      </c>
      <c r="F2" s="3">
        <v>0</v>
      </c>
      <c r="G2" s="3">
        <v>3</v>
      </c>
      <c r="H2" s="3">
        <v>0</v>
      </c>
      <c r="I2" s="7"/>
    </row>
    <row r="3" spans="1:9">
      <c r="A3" s="3" t="s">
        <v>12</v>
      </c>
      <c r="B3" s="3" t="s">
        <v>13</v>
      </c>
      <c r="C3" s="3" t="s">
        <v>13</v>
      </c>
      <c r="D3" s="3" t="s">
        <v>14</v>
      </c>
      <c r="E3" s="3">
        <v>2</v>
      </c>
      <c r="F3" s="3">
        <v>0</v>
      </c>
      <c r="G3" s="3">
        <v>2</v>
      </c>
      <c r="H3" s="3">
        <v>0</v>
      </c>
      <c r="I3" s="7"/>
    </row>
    <row r="4" spans="1:9">
      <c r="A4" s="3" t="s">
        <v>15</v>
      </c>
      <c r="B4" s="3" t="s">
        <v>16</v>
      </c>
      <c r="C4" s="3" t="s">
        <v>16</v>
      </c>
      <c r="D4" s="3" t="s">
        <v>17</v>
      </c>
      <c r="E4" s="3">
        <v>7</v>
      </c>
      <c r="F4" s="3">
        <v>0</v>
      </c>
      <c r="G4" s="3">
        <v>0</v>
      </c>
      <c r="H4" s="3">
        <v>7</v>
      </c>
      <c r="I4" s="7"/>
    </row>
    <row r="5" spans="1:9">
      <c r="A5" s="3" t="s">
        <v>18</v>
      </c>
      <c r="B5" s="3" t="s">
        <v>19</v>
      </c>
      <c r="C5" s="3" t="s">
        <v>19</v>
      </c>
      <c r="D5" s="3" t="s">
        <v>20</v>
      </c>
      <c r="E5" s="3">
        <v>4</v>
      </c>
      <c r="F5" s="3">
        <v>0</v>
      </c>
      <c r="G5" s="3">
        <v>0</v>
      </c>
      <c r="H5" s="3">
        <v>4</v>
      </c>
      <c r="I5" s="7"/>
    </row>
    <row r="6" spans="1:9">
      <c r="A6" s="3" t="s">
        <v>21</v>
      </c>
      <c r="B6" s="3" t="s">
        <v>22</v>
      </c>
      <c r="C6" s="3" t="s">
        <v>22</v>
      </c>
      <c r="D6" s="3" t="s">
        <v>23</v>
      </c>
      <c r="E6" s="3">
        <v>3</v>
      </c>
      <c r="F6" s="3">
        <v>0</v>
      </c>
      <c r="G6" s="3">
        <v>0</v>
      </c>
      <c r="H6" s="3">
        <v>3</v>
      </c>
      <c r="I6" s="7"/>
    </row>
    <row r="7" spans="1:9">
      <c r="A7" s="3" t="s">
        <v>24</v>
      </c>
      <c r="B7" s="3" t="s">
        <v>25</v>
      </c>
      <c r="C7" s="3" t="s">
        <v>25</v>
      </c>
      <c r="D7" s="3" t="s">
        <v>26</v>
      </c>
      <c r="E7" s="3">
        <v>4</v>
      </c>
      <c r="F7" s="3">
        <v>0</v>
      </c>
      <c r="G7" s="3">
        <v>0</v>
      </c>
      <c r="H7" s="3">
        <v>4</v>
      </c>
      <c r="I7" s="7"/>
    </row>
    <row r="8" spans="1:9">
      <c r="A8" s="3" t="s">
        <v>27</v>
      </c>
      <c r="B8" s="3" t="s">
        <v>28</v>
      </c>
      <c r="C8" s="3" t="s">
        <v>28</v>
      </c>
      <c r="D8" s="3" t="s">
        <v>29</v>
      </c>
      <c r="E8" s="3">
        <v>4</v>
      </c>
      <c r="F8" s="3">
        <v>0</v>
      </c>
      <c r="G8" s="3">
        <v>0</v>
      </c>
      <c r="H8" s="3">
        <v>4</v>
      </c>
      <c r="I8" s="7"/>
    </row>
    <row r="9" spans="1:9">
      <c r="A9" s="3" t="s">
        <v>30</v>
      </c>
      <c r="B9" s="3" t="s">
        <v>31</v>
      </c>
      <c r="C9" s="3" t="s">
        <v>31</v>
      </c>
      <c r="D9" s="3" t="s">
        <v>32</v>
      </c>
      <c r="E9" s="3">
        <v>3</v>
      </c>
      <c r="F9" s="3">
        <v>0</v>
      </c>
      <c r="G9" s="3">
        <v>3</v>
      </c>
      <c r="H9" s="3">
        <v>0</v>
      </c>
      <c r="I9" s="7"/>
    </row>
    <row r="10" spans="1:9">
      <c r="A10" s="3" t="s">
        <v>33</v>
      </c>
      <c r="B10" s="3" t="s">
        <v>34</v>
      </c>
      <c r="C10" s="3" t="s">
        <v>34</v>
      </c>
      <c r="D10" s="3" t="s">
        <v>35</v>
      </c>
      <c r="E10" s="3">
        <v>4</v>
      </c>
      <c r="F10" s="3">
        <v>0</v>
      </c>
      <c r="G10" s="3">
        <v>0</v>
      </c>
      <c r="H10" s="3">
        <v>4</v>
      </c>
      <c r="I10" s="7"/>
    </row>
    <row r="11" spans="1:9">
      <c r="A11" s="3" t="s">
        <v>36</v>
      </c>
      <c r="B11" s="3" t="s">
        <v>37</v>
      </c>
      <c r="C11" s="3" t="s">
        <v>37</v>
      </c>
      <c r="D11" s="3" t="s">
        <v>38</v>
      </c>
      <c r="E11" s="3">
        <v>3</v>
      </c>
      <c r="F11" s="3">
        <v>0</v>
      </c>
      <c r="G11" s="3">
        <v>0</v>
      </c>
      <c r="H11" s="3">
        <v>3</v>
      </c>
      <c r="I11" s="7"/>
    </row>
    <row r="12" spans="1:9">
      <c r="A12" s="3" t="s">
        <v>39</v>
      </c>
      <c r="B12" s="3" t="s">
        <v>40</v>
      </c>
      <c r="C12" s="3" t="s">
        <v>40</v>
      </c>
      <c r="D12" s="3" t="s">
        <v>41</v>
      </c>
      <c r="E12" s="3">
        <v>6</v>
      </c>
      <c r="F12" s="3">
        <v>0</v>
      </c>
      <c r="G12" s="3">
        <v>0</v>
      </c>
      <c r="H12" s="3">
        <v>6</v>
      </c>
      <c r="I12" s="7"/>
    </row>
    <row r="13" spans="1:9">
      <c r="A13" s="3" t="s">
        <v>42</v>
      </c>
      <c r="B13" s="3" t="s">
        <v>43</v>
      </c>
      <c r="C13" s="3" t="s">
        <v>43</v>
      </c>
      <c r="D13" s="3" t="s">
        <v>38</v>
      </c>
      <c r="E13" s="3">
        <v>7</v>
      </c>
      <c r="F13" s="3">
        <v>0</v>
      </c>
      <c r="G13" s="3">
        <v>0</v>
      </c>
      <c r="H13" s="3">
        <v>7</v>
      </c>
      <c r="I13" s="7"/>
    </row>
    <row r="14" spans="1:9">
      <c r="A14" s="3" t="s">
        <v>44</v>
      </c>
      <c r="B14" s="3" t="s">
        <v>45</v>
      </c>
      <c r="C14" s="3" t="s">
        <v>46</v>
      </c>
      <c r="D14" s="3" t="s">
        <v>47</v>
      </c>
      <c r="E14" s="3">
        <v>2</v>
      </c>
      <c r="F14" s="3">
        <v>0</v>
      </c>
      <c r="G14" s="3">
        <v>2</v>
      </c>
      <c r="H14" s="3">
        <v>0</v>
      </c>
      <c r="I14" s="7"/>
    </row>
    <row r="15" spans="1:9">
      <c r="A15" s="3" t="s">
        <v>48</v>
      </c>
      <c r="B15" s="3" t="s">
        <v>49</v>
      </c>
      <c r="C15" s="3" t="s">
        <v>49</v>
      </c>
      <c r="D15" s="3" t="s">
        <v>50</v>
      </c>
      <c r="E15" s="3">
        <v>11</v>
      </c>
      <c r="F15" s="3">
        <v>0</v>
      </c>
      <c r="G15" s="3">
        <v>0</v>
      </c>
      <c r="H15" s="3">
        <v>11</v>
      </c>
      <c r="I15" s="7"/>
    </row>
    <row r="16" spans="1:9">
      <c r="A16" s="3" t="s">
        <v>51</v>
      </c>
      <c r="B16" s="3" t="s">
        <v>52</v>
      </c>
      <c r="C16" s="3" t="s">
        <v>52</v>
      </c>
      <c r="D16" s="3" t="s">
        <v>53</v>
      </c>
      <c r="E16" s="3">
        <v>4</v>
      </c>
      <c r="F16" s="3">
        <v>0</v>
      </c>
      <c r="G16" s="3">
        <v>4</v>
      </c>
      <c r="H16" s="3">
        <v>0</v>
      </c>
      <c r="I16" s="7"/>
    </row>
    <row r="17" spans="1:9">
      <c r="A17" s="3" t="s">
        <v>54</v>
      </c>
      <c r="B17" s="3" t="s">
        <v>55</v>
      </c>
      <c r="C17" s="3" t="s">
        <v>56</v>
      </c>
      <c r="D17" s="3" t="s">
        <v>57</v>
      </c>
      <c r="E17" s="3">
        <v>3</v>
      </c>
      <c r="F17" s="3">
        <v>0</v>
      </c>
      <c r="G17" s="3">
        <v>3</v>
      </c>
      <c r="H17" s="3">
        <v>0</v>
      </c>
      <c r="I17" s="7"/>
    </row>
    <row r="18" spans="1:9">
      <c r="A18" s="3" t="s">
        <v>58</v>
      </c>
      <c r="B18" s="3" t="s">
        <v>59</v>
      </c>
      <c r="C18" s="3" t="s">
        <v>59</v>
      </c>
      <c r="D18" s="3" t="s">
        <v>60</v>
      </c>
      <c r="E18" s="3">
        <v>4</v>
      </c>
      <c r="F18" s="3">
        <v>0</v>
      </c>
      <c r="G18" s="3">
        <v>4</v>
      </c>
      <c r="H18" s="3">
        <v>0</v>
      </c>
      <c r="I18" s="7"/>
    </row>
    <row r="19" spans="1:9">
      <c r="A19" s="3" t="s">
        <v>61</v>
      </c>
      <c r="B19" s="3" t="s">
        <v>62</v>
      </c>
      <c r="C19" s="3" t="s">
        <v>62</v>
      </c>
      <c r="D19" s="3" t="s">
        <v>63</v>
      </c>
      <c r="E19" s="3">
        <v>3</v>
      </c>
      <c r="F19" s="3">
        <v>0</v>
      </c>
      <c r="G19" s="3">
        <v>0</v>
      </c>
      <c r="H19" s="3">
        <v>3</v>
      </c>
      <c r="I19" s="7"/>
    </row>
    <row r="20" spans="1:9">
      <c r="A20" s="3" t="s">
        <v>64</v>
      </c>
      <c r="B20" s="3" t="s">
        <v>65</v>
      </c>
      <c r="C20" s="3" t="s">
        <v>65</v>
      </c>
      <c r="D20" s="3" t="s">
        <v>38</v>
      </c>
      <c r="E20" s="3">
        <v>2</v>
      </c>
      <c r="F20" s="3">
        <v>0</v>
      </c>
      <c r="G20" s="3">
        <v>0</v>
      </c>
      <c r="H20" s="3">
        <v>2</v>
      </c>
      <c r="I20" s="7"/>
    </row>
    <row r="21" spans="1:9">
      <c r="A21" s="3" t="s">
        <v>66</v>
      </c>
      <c r="B21" s="3" t="s">
        <v>67</v>
      </c>
      <c r="C21" s="3" t="s">
        <v>67</v>
      </c>
      <c r="D21" s="3" t="s">
        <v>68</v>
      </c>
      <c r="E21" s="3">
        <v>5</v>
      </c>
      <c r="F21" s="3">
        <v>0</v>
      </c>
      <c r="G21" s="3">
        <v>5</v>
      </c>
      <c r="H21" s="3">
        <v>0</v>
      </c>
      <c r="I21" s="7"/>
    </row>
    <row r="22" spans="1:9">
      <c r="A22" s="3" t="s">
        <v>69</v>
      </c>
      <c r="B22" s="3" t="s">
        <v>70</v>
      </c>
      <c r="C22" s="3" t="s">
        <v>70</v>
      </c>
      <c r="D22" s="3" t="s">
        <v>71</v>
      </c>
      <c r="E22" s="3">
        <v>4</v>
      </c>
      <c r="F22" s="3">
        <v>0</v>
      </c>
      <c r="G22" s="3">
        <v>4</v>
      </c>
      <c r="H22" s="3">
        <v>0</v>
      </c>
      <c r="I22" s="7"/>
    </row>
    <row r="23" spans="1:9">
      <c r="A23" s="3" t="s">
        <v>72</v>
      </c>
      <c r="B23" s="3" t="s">
        <v>73</v>
      </c>
      <c r="C23" s="3" t="s">
        <v>74</v>
      </c>
      <c r="D23" s="3" t="s">
        <v>75</v>
      </c>
      <c r="E23" s="3">
        <v>1</v>
      </c>
      <c r="F23" s="3">
        <v>1</v>
      </c>
      <c r="G23" s="3">
        <v>0</v>
      </c>
      <c r="H23" s="3">
        <v>0</v>
      </c>
      <c r="I23" s="7"/>
    </row>
    <row r="24" spans="1:9">
      <c r="A24" s="3" t="s">
        <v>76</v>
      </c>
      <c r="B24" s="3" t="s">
        <v>77</v>
      </c>
      <c r="C24" s="3" t="s">
        <v>78</v>
      </c>
      <c r="D24" s="3" t="s">
        <v>79</v>
      </c>
      <c r="E24" s="3">
        <v>3</v>
      </c>
      <c r="F24" s="3">
        <v>1</v>
      </c>
      <c r="G24" s="3">
        <v>0</v>
      </c>
      <c r="H24" s="3">
        <v>2</v>
      </c>
      <c r="I24" s="7"/>
    </row>
    <row r="25" spans="1:9">
      <c r="A25" s="3" t="s">
        <v>80</v>
      </c>
      <c r="B25" s="3" t="s">
        <v>81</v>
      </c>
      <c r="C25" s="3" t="s">
        <v>82</v>
      </c>
      <c r="D25" s="3" t="s">
        <v>83</v>
      </c>
      <c r="E25" s="3">
        <v>8</v>
      </c>
      <c r="F25" s="3">
        <v>0</v>
      </c>
      <c r="G25" s="3">
        <v>8</v>
      </c>
      <c r="H25" s="3">
        <v>0</v>
      </c>
      <c r="I25" s="7"/>
    </row>
    <row r="26" spans="1:9">
      <c r="A26" s="3" t="s">
        <v>84</v>
      </c>
      <c r="B26" s="3" t="s">
        <v>85</v>
      </c>
      <c r="C26" s="3" t="s">
        <v>86</v>
      </c>
      <c r="D26" s="3" t="s">
        <v>87</v>
      </c>
      <c r="E26" s="3">
        <v>1</v>
      </c>
      <c r="F26" s="3">
        <v>1</v>
      </c>
      <c r="G26" s="3">
        <v>0</v>
      </c>
      <c r="H26" s="3">
        <v>0</v>
      </c>
      <c r="I26" s="7"/>
    </row>
    <row r="27" spans="1:9">
      <c r="A27" s="3" t="s">
        <v>88</v>
      </c>
      <c r="B27" s="3" t="s">
        <v>89</v>
      </c>
      <c r="C27" s="3" t="s">
        <v>89</v>
      </c>
      <c r="D27" s="3" t="s">
        <v>90</v>
      </c>
      <c r="E27" s="3">
        <v>2</v>
      </c>
      <c r="F27" s="3">
        <v>1</v>
      </c>
      <c r="G27" s="3">
        <v>1</v>
      </c>
      <c r="H27" s="3">
        <v>0</v>
      </c>
      <c r="I27" s="7"/>
    </row>
    <row r="28" spans="1:9">
      <c r="A28" s="3" t="s">
        <v>91</v>
      </c>
      <c r="B28" s="3" t="s">
        <v>92</v>
      </c>
      <c r="C28" s="3" t="s">
        <v>78</v>
      </c>
      <c r="D28" s="3" t="s">
        <v>79</v>
      </c>
      <c r="E28" s="3">
        <v>19</v>
      </c>
      <c r="F28" s="3">
        <v>4</v>
      </c>
      <c r="G28" s="3">
        <v>3</v>
      </c>
      <c r="H28" s="3">
        <v>12</v>
      </c>
      <c r="I28" s="7"/>
    </row>
    <row r="29" spans="1:9">
      <c r="A29" s="3" t="s">
        <v>93</v>
      </c>
      <c r="B29" s="3" t="s">
        <v>94</v>
      </c>
      <c r="C29" s="3" t="s">
        <v>95</v>
      </c>
      <c r="D29" s="3" t="s">
        <v>96</v>
      </c>
      <c r="E29" s="3">
        <v>5</v>
      </c>
      <c r="F29" s="3">
        <v>0</v>
      </c>
      <c r="G29" s="3">
        <v>5</v>
      </c>
      <c r="H29" s="3">
        <v>0</v>
      </c>
      <c r="I29" s="7"/>
    </row>
    <row r="30" spans="1:9">
      <c r="A30" s="3" t="s">
        <v>97</v>
      </c>
      <c r="B30" s="3" t="s">
        <v>98</v>
      </c>
      <c r="C30" s="3" t="s">
        <v>78</v>
      </c>
      <c r="D30" s="3" t="s">
        <v>79</v>
      </c>
      <c r="E30" s="3">
        <v>60</v>
      </c>
      <c r="F30" s="3">
        <v>0</v>
      </c>
      <c r="G30" s="3">
        <v>60</v>
      </c>
      <c r="H30" s="3">
        <v>0</v>
      </c>
      <c r="I30" s="7"/>
    </row>
    <row r="31" spans="1:9">
      <c r="A31" s="3" t="s">
        <v>99</v>
      </c>
      <c r="B31" s="3" t="s">
        <v>100</v>
      </c>
      <c r="C31" s="3" t="s">
        <v>101</v>
      </c>
      <c r="D31" s="3" t="s">
        <v>102</v>
      </c>
      <c r="E31" s="3">
        <v>9</v>
      </c>
      <c r="F31" s="3">
        <v>0</v>
      </c>
      <c r="G31" s="3">
        <v>9</v>
      </c>
      <c r="H31" s="3">
        <v>0</v>
      </c>
      <c r="I31" s="7"/>
    </row>
    <row r="32" spans="1:9">
      <c r="A32" s="3" t="s">
        <v>103</v>
      </c>
      <c r="B32" s="3" t="s">
        <v>104</v>
      </c>
      <c r="C32" s="3" t="s">
        <v>105</v>
      </c>
      <c r="D32" s="3" t="s">
        <v>106</v>
      </c>
      <c r="E32" s="3">
        <v>29</v>
      </c>
      <c r="F32" s="3">
        <v>1</v>
      </c>
      <c r="G32" s="3">
        <v>26</v>
      </c>
      <c r="H32" s="3">
        <v>2</v>
      </c>
      <c r="I32" s="7"/>
    </row>
    <row r="33" spans="1:9">
      <c r="A33" s="3" t="s">
        <v>107</v>
      </c>
      <c r="B33" s="3" t="s">
        <v>108</v>
      </c>
      <c r="C33" s="3" t="s">
        <v>109</v>
      </c>
      <c r="D33" s="3" t="s">
        <v>110</v>
      </c>
      <c r="E33" s="3">
        <v>5</v>
      </c>
      <c r="F33" s="3">
        <v>1</v>
      </c>
      <c r="G33" s="3">
        <v>4</v>
      </c>
      <c r="H33" s="3">
        <v>0</v>
      </c>
      <c r="I33" s="7"/>
    </row>
    <row r="34" spans="1:9">
      <c r="A34" s="3" t="s">
        <v>111</v>
      </c>
      <c r="B34" s="3" t="s">
        <v>112</v>
      </c>
      <c r="C34" s="3" t="s">
        <v>113</v>
      </c>
      <c r="D34" s="3" t="s">
        <v>114</v>
      </c>
      <c r="E34" s="3">
        <v>1</v>
      </c>
      <c r="F34" s="3">
        <v>0</v>
      </c>
      <c r="G34" s="3">
        <v>0</v>
      </c>
      <c r="H34" s="3">
        <v>1</v>
      </c>
      <c r="I34" s="7"/>
    </row>
    <row r="35" spans="1:9">
      <c r="A35" s="3" t="s">
        <v>115</v>
      </c>
      <c r="B35" s="3" t="s">
        <v>116</v>
      </c>
      <c r="C35" s="3" t="s">
        <v>117</v>
      </c>
      <c r="D35" s="3" t="s">
        <v>118</v>
      </c>
      <c r="E35" s="3">
        <v>10</v>
      </c>
      <c r="F35" s="3">
        <v>0</v>
      </c>
      <c r="G35" s="3">
        <v>6</v>
      </c>
      <c r="H35" s="3">
        <v>4</v>
      </c>
      <c r="I35" s="7"/>
    </row>
    <row r="36" spans="1:9">
      <c r="A36" s="3" t="s">
        <v>119</v>
      </c>
      <c r="B36" s="3" t="s">
        <v>120</v>
      </c>
      <c r="C36" s="3" t="s">
        <v>121</v>
      </c>
      <c r="D36" s="3" t="s">
        <v>122</v>
      </c>
      <c r="E36" s="3">
        <v>1</v>
      </c>
      <c r="F36" s="3">
        <v>1</v>
      </c>
      <c r="G36" s="3">
        <v>0</v>
      </c>
      <c r="H36" s="3">
        <v>0</v>
      </c>
      <c r="I36" s="7"/>
    </row>
    <row r="37" spans="1:9">
      <c r="A37" s="3" t="s">
        <v>123</v>
      </c>
      <c r="B37" s="3" t="s">
        <v>124</v>
      </c>
      <c r="C37" s="3" t="s">
        <v>125</v>
      </c>
      <c r="D37" s="3" t="s">
        <v>126</v>
      </c>
      <c r="E37" s="3">
        <v>1</v>
      </c>
      <c r="F37" s="3">
        <v>0</v>
      </c>
      <c r="G37" s="3">
        <v>0</v>
      </c>
      <c r="H37" s="3">
        <v>1</v>
      </c>
      <c r="I37" s="7"/>
    </row>
    <row r="38" spans="1:9">
      <c r="A38" s="3" t="s">
        <v>127</v>
      </c>
      <c r="B38" s="3" t="s">
        <v>128</v>
      </c>
      <c r="C38" s="3" t="s">
        <v>129</v>
      </c>
      <c r="D38" s="3" t="s">
        <v>130</v>
      </c>
      <c r="E38" s="3">
        <v>13</v>
      </c>
      <c r="F38" s="3">
        <v>0</v>
      </c>
      <c r="G38" s="3">
        <v>13</v>
      </c>
      <c r="H38" s="3">
        <v>0</v>
      </c>
      <c r="I38" s="7"/>
    </row>
    <row r="39" spans="1:9">
      <c r="A39" s="3" t="s">
        <v>131</v>
      </c>
      <c r="B39" s="3" t="s">
        <v>132</v>
      </c>
      <c r="C39" s="3" t="s">
        <v>133</v>
      </c>
      <c r="D39" s="3" t="s">
        <v>134</v>
      </c>
      <c r="E39" s="3">
        <v>18</v>
      </c>
      <c r="F39" s="3">
        <v>0</v>
      </c>
      <c r="G39" s="3">
        <v>18</v>
      </c>
      <c r="H39" s="3">
        <v>0</v>
      </c>
      <c r="I39" s="7"/>
    </row>
    <row r="40" spans="1:9">
      <c r="A40" s="3" t="s">
        <v>135</v>
      </c>
      <c r="B40" s="3" t="s">
        <v>136</v>
      </c>
      <c r="C40" s="3" t="s">
        <v>136</v>
      </c>
      <c r="D40" s="3" t="s">
        <v>137</v>
      </c>
      <c r="E40" s="3">
        <v>44</v>
      </c>
      <c r="F40" s="3">
        <v>3</v>
      </c>
      <c r="G40" s="3">
        <v>38</v>
      </c>
      <c r="H40" s="3">
        <v>3</v>
      </c>
      <c r="I40" s="7"/>
    </row>
    <row r="41" spans="1:9">
      <c r="A41" s="3" t="s">
        <v>138</v>
      </c>
      <c r="B41" s="3" t="s">
        <v>139</v>
      </c>
      <c r="C41" s="3" t="s">
        <v>139</v>
      </c>
      <c r="D41" s="3" t="s">
        <v>140</v>
      </c>
      <c r="E41" s="3">
        <v>2</v>
      </c>
      <c r="F41" s="3">
        <v>0</v>
      </c>
      <c r="G41" s="3">
        <v>0</v>
      </c>
      <c r="H41" s="3">
        <v>2</v>
      </c>
      <c r="I41" s="7"/>
    </row>
    <row r="42" spans="1:9">
      <c r="A42" s="3" t="s">
        <v>141</v>
      </c>
      <c r="B42" s="3" t="s">
        <v>142</v>
      </c>
      <c r="C42" s="3" t="s">
        <v>142</v>
      </c>
      <c r="D42" s="3" t="s">
        <v>143</v>
      </c>
      <c r="E42" s="3">
        <v>4</v>
      </c>
      <c r="F42" s="3">
        <v>0</v>
      </c>
      <c r="G42" s="3">
        <v>0</v>
      </c>
      <c r="H42" s="3">
        <v>4</v>
      </c>
      <c r="I42" s="7"/>
    </row>
    <row r="43" spans="1:9">
      <c r="A43" s="3" t="s">
        <v>144</v>
      </c>
      <c r="B43" s="3" t="s">
        <v>145</v>
      </c>
      <c r="C43" s="3" t="s">
        <v>145</v>
      </c>
      <c r="D43" s="3" t="s">
        <v>146</v>
      </c>
      <c r="E43" s="3">
        <v>1</v>
      </c>
      <c r="F43" s="3">
        <v>1</v>
      </c>
      <c r="G43" s="3">
        <v>0</v>
      </c>
      <c r="H43" s="3">
        <v>0</v>
      </c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19050</xdr:rowOff>
              </from>
              <to>
                <xdr:col>9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91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3" width="12.625"/>
  </cols>
  <sheetData>
    <row r="1" spans="1:36">
      <c r="A1" s="3" t="s">
        <v>147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148</v>
      </c>
      <c r="G1" s="3" t="s">
        <v>149</v>
      </c>
      <c r="H1" s="3" t="s">
        <v>150</v>
      </c>
      <c r="I1" s="3" t="s">
        <v>151</v>
      </c>
      <c r="J1" s="3" t="s">
        <v>152</v>
      </c>
      <c r="K1" s="3" t="s">
        <v>153</v>
      </c>
      <c r="L1" s="3" t="s">
        <v>154</v>
      </c>
      <c r="M1" s="3" t="s">
        <v>155</v>
      </c>
      <c r="N1" s="3" t="s">
        <v>156</v>
      </c>
      <c r="O1" s="3" t="s">
        <v>157</v>
      </c>
      <c r="P1" s="3" t="s">
        <v>158</v>
      </c>
      <c r="Q1" s="3" t="s">
        <v>159</v>
      </c>
      <c r="R1" s="3" t="s">
        <v>160</v>
      </c>
      <c r="S1" s="3" t="s">
        <v>161</v>
      </c>
      <c r="T1" s="3" t="s">
        <v>162</v>
      </c>
      <c r="U1" s="3" t="s">
        <v>163</v>
      </c>
      <c r="V1" s="3" t="s">
        <v>164</v>
      </c>
      <c r="W1" s="3" t="s">
        <v>165</v>
      </c>
      <c r="X1" s="3" t="s">
        <v>166</v>
      </c>
      <c r="Y1" s="3" t="s">
        <v>167</v>
      </c>
      <c r="Z1" s="3" t="s">
        <v>168</v>
      </c>
      <c r="AA1" s="3" t="s">
        <v>169</v>
      </c>
      <c r="AB1" s="3" t="s">
        <v>170</v>
      </c>
      <c r="AC1" s="3" t="s">
        <v>171</v>
      </c>
      <c r="AD1" s="3" t="s">
        <v>172</v>
      </c>
      <c r="AE1" s="3" t="s">
        <v>173</v>
      </c>
      <c r="AF1" s="3" t="s">
        <v>174</v>
      </c>
      <c r="AG1" s="3" t="s">
        <v>175</v>
      </c>
      <c r="AH1" s="3" t="s">
        <v>176</v>
      </c>
      <c r="AI1" s="3" t="s">
        <v>177</v>
      </c>
      <c r="AJ1" s="3" t="s">
        <v>178</v>
      </c>
    </row>
    <row r="2" spans="1:36">
      <c r="A2" s="6">
        <v>43288</v>
      </c>
      <c r="B2" s="3" t="s">
        <v>179</v>
      </c>
      <c r="C2" s="3" t="s">
        <v>180</v>
      </c>
      <c r="D2" s="3" t="s">
        <v>180</v>
      </c>
      <c r="E2" s="3" t="s">
        <v>181</v>
      </c>
      <c r="F2" s="3" t="s">
        <v>182</v>
      </c>
      <c r="G2" s="3">
        <v>5</v>
      </c>
      <c r="H2" s="3">
        <v>0</v>
      </c>
      <c r="I2" s="3">
        <v>0</v>
      </c>
      <c r="J2" s="3">
        <v>0</v>
      </c>
      <c r="K2" s="3">
        <v>5</v>
      </c>
      <c r="L2" s="3">
        <v>0</v>
      </c>
      <c r="M2" s="3">
        <v>0</v>
      </c>
      <c r="N2" s="3" t="s">
        <v>183</v>
      </c>
      <c r="O2" s="3">
        <v>5</v>
      </c>
      <c r="P2" s="3">
        <v>0.9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184</v>
      </c>
      <c r="X2" s="3">
        <v>10</v>
      </c>
      <c r="Y2" s="3">
        <v>10</v>
      </c>
      <c r="Z2" s="3">
        <v>10</v>
      </c>
      <c r="AA2" s="3">
        <v>0</v>
      </c>
      <c r="AB2" s="3" t="s">
        <v>185</v>
      </c>
      <c r="AC2" s="3">
        <v>0</v>
      </c>
      <c r="AD2" s="3">
        <v>10</v>
      </c>
      <c r="AE2" s="3">
        <v>63</v>
      </c>
      <c r="AF2" s="3">
        <v>0</v>
      </c>
      <c r="AG2" s="3">
        <v>11.360757</v>
      </c>
      <c r="AH2" s="3">
        <v>0</v>
      </c>
      <c r="AI2" s="3" t="s">
        <v>186</v>
      </c>
      <c r="AJ2" s="3" t="s">
        <v>187</v>
      </c>
    </row>
    <row r="3" spans="1:36">
      <c r="A3" s="6">
        <v>43288</v>
      </c>
      <c r="B3" s="3" t="s">
        <v>188</v>
      </c>
      <c r="C3" s="3" t="s">
        <v>189</v>
      </c>
      <c r="D3" s="3" t="s">
        <v>189</v>
      </c>
      <c r="E3" s="3" t="s">
        <v>190</v>
      </c>
      <c r="F3" s="3" t="s">
        <v>182</v>
      </c>
      <c r="G3" s="3">
        <v>4</v>
      </c>
      <c r="H3" s="3">
        <v>0</v>
      </c>
      <c r="I3" s="3">
        <v>0</v>
      </c>
      <c r="J3" s="3">
        <v>4</v>
      </c>
      <c r="K3" s="3">
        <v>0</v>
      </c>
      <c r="L3" s="3">
        <v>0</v>
      </c>
      <c r="M3" s="3">
        <v>0</v>
      </c>
      <c r="N3" s="3" t="s">
        <v>183</v>
      </c>
      <c r="O3" s="3">
        <v>4</v>
      </c>
      <c r="P3" s="3">
        <v>6.41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 t="s">
        <v>184</v>
      </c>
      <c r="X3" s="3">
        <v>21.98</v>
      </c>
      <c r="Y3" s="3">
        <v>21.98</v>
      </c>
      <c r="Z3" s="3">
        <v>21.5</v>
      </c>
      <c r="AA3" s="3">
        <v>0</v>
      </c>
      <c r="AB3" s="3" t="s">
        <v>191</v>
      </c>
      <c r="AC3" s="3">
        <v>0</v>
      </c>
      <c r="AD3" s="3">
        <v>17.58</v>
      </c>
      <c r="AE3" s="3">
        <v>63</v>
      </c>
      <c r="AF3" s="3">
        <v>0</v>
      </c>
      <c r="AG3" s="3">
        <v>80.419785</v>
      </c>
      <c r="AH3" s="3">
        <v>0</v>
      </c>
      <c r="AI3" s="3" t="s">
        <v>192</v>
      </c>
      <c r="AJ3" s="3" t="s">
        <v>193</v>
      </c>
    </row>
    <row r="4" spans="1:36">
      <c r="A4" s="6">
        <v>43288</v>
      </c>
      <c r="B4" s="3" t="s">
        <v>194</v>
      </c>
      <c r="C4" s="3" t="s">
        <v>195</v>
      </c>
      <c r="D4" s="3" t="s">
        <v>195</v>
      </c>
      <c r="E4" s="3" t="s">
        <v>196</v>
      </c>
      <c r="F4" s="3" t="s">
        <v>182</v>
      </c>
      <c r="G4" s="3">
        <v>4</v>
      </c>
      <c r="H4" s="3">
        <v>0</v>
      </c>
      <c r="I4" s="3">
        <v>0</v>
      </c>
      <c r="J4" s="3">
        <v>0</v>
      </c>
      <c r="K4" s="3">
        <v>4</v>
      </c>
      <c r="L4" s="3">
        <v>0</v>
      </c>
      <c r="M4" s="3">
        <v>0</v>
      </c>
      <c r="N4" s="3" t="s">
        <v>183</v>
      </c>
      <c r="O4" s="3">
        <v>4</v>
      </c>
      <c r="P4" s="3">
        <v>6.79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197</v>
      </c>
      <c r="X4" s="3">
        <v>17.99</v>
      </c>
      <c r="Y4" s="3">
        <v>17.99</v>
      </c>
      <c r="Z4" s="3">
        <v>17.99</v>
      </c>
      <c r="AA4" s="3">
        <v>0</v>
      </c>
      <c r="AB4" s="3" t="s">
        <v>198</v>
      </c>
      <c r="AC4" s="3">
        <v>0</v>
      </c>
      <c r="AD4" s="3">
        <v>16.98</v>
      </c>
      <c r="AE4" s="3">
        <v>35</v>
      </c>
      <c r="AF4" s="3">
        <v>0</v>
      </c>
      <c r="AG4" s="3">
        <v>119.403493</v>
      </c>
      <c r="AH4" s="3">
        <v>0</v>
      </c>
      <c r="AI4" s="3" t="s">
        <v>199</v>
      </c>
      <c r="AJ4" s="3" t="s">
        <v>193</v>
      </c>
    </row>
    <row r="5" spans="1:36">
      <c r="A5" s="6">
        <v>43288</v>
      </c>
      <c r="B5" s="3" t="s">
        <v>200</v>
      </c>
      <c r="C5" s="3" t="s">
        <v>201</v>
      </c>
      <c r="D5" s="3" t="s">
        <v>202</v>
      </c>
      <c r="E5" s="3" t="s">
        <v>203</v>
      </c>
      <c r="F5" s="3" t="s">
        <v>182</v>
      </c>
      <c r="G5" s="3">
        <v>2</v>
      </c>
      <c r="H5" s="3">
        <v>0</v>
      </c>
      <c r="I5" s="3">
        <v>2</v>
      </c>
      <c r="J5" s="3">
        <v>0</v>
      </c>
      <c r="K5" s="3">
        <v>0</v>
      </c>
      <c r="L5" s="3">
        <v>0</v>
      </c>
      <c r="M5" s="3">
        <v>0</v>
      </c>
      <c r="N5" s="3" t="s">
        <v>183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2</v>
      </c>
      <c r="U5" s="3">
        <v>3</v>
      </c>
      <c r="V5" s="3">
        <v>3</v>
      </c>
      <c r="W5" s="3" t="s">
        <v>184</v>
      </c>
      <c r="X5" s="3">
        <v>12.99</v>
      </c>
      <c r="Y5" s="3">
        <v>12.99</v>
      </c>
      <c r="Z5" s="3">
        <v>12.99</v>
      </c>
      <c r="AA5" s="3">
        <v>0</v>
      </c>
      <c r="AB5" s="3" t="s">
        <v>191</v>
      </c>
      <c r="AC5" s="3">
        <v>2</v>
      </c>
      <c r="AD5" s="3">
        <v>12.99</v>
      </c>
      <c r="AE5" s="3">
        <v>0</v>
      </c>
      <c r="AF5" s="3">
        <v>0</v>
      </c>
      <c r="AG5" s="3">
        <v>0</v>
      </c>
      <c r="AH5" s="3">
        <v>1</v>
      </c>
      <c r="AI5" s="3" t="s">
        <v>204</v>
      </c>
      <c r="AJ5" s="3" t="s">
        <v>187</v>
      </c>
    </row>
    <row r="6" spans="1:36">
      <c r="A6" s="6">
        <v>43288</v>
      </c>
      <c r="B6" s="3" t="s">
        <v>205</v>
      </c>
      <c r="C6" s="3" t="s">
        <v>206</v>
      </c>
      <c r="D6" s="3" t="s">
        <v>207</v>
      </c>
      <c r="E6" s="3" t="s">
        <v>208</v>
      </c>
      <c r="F6" s="3" t="s">
        <v>182</v>
      </c>
      <c r="G6" s="3">
        <v>4</v>
      </c>
      <c r="H6" s="3">
        <v>0</v>
      </c>
      <c r="I6" s="3">
        <v>4</v>
      </c>
      <c r="J6" s="3">
        <v>0</v>
      </c>
      <c r="K6" s="3">
        <v>0</v>
      </c>
      <c r="L6" s="3">
        <v>0</v>
      </c>
      <c r="M6" s="3">
        <v>0</v>
      </c>
      <c r="N6" s="3" t="s">
        <v>183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197</v>
      </c>
      <c r="X6" s="3">
        <v>15.99</v>
      </c>
      <c r="Y6" s="3">
        <v>7.99</v>
      </c>
      <c r="Z6" s="3">
        <v>7.99</v>
      </c>
      <c r="AA6" s="3">
        <v>0</v>
      </c>
      <c r="AB6" s="3" t="s">
        <v>198</v>
      </c>
      <c r="AC6" s="3">
        <v>0</v>
      </c>
      <c r="AD6" s="3">
        <v>6.39</v>
      </c>
      <c r="AE6" s="3">
        <v>63</v>
      </c>
      <c r="AF6" s="3">
        <v>0</v>
      </c>
      <c r="AG6" s="3">
        <v>18.776927</v>
      </c>
      <c r="AH6" s="3">
        <v>0</v>
      </c>
      <c r="AI6" s="3" t="s">
        <v>209</v>
      </c>
      <c r="AJ6" s="3" t="s">
        <v>187</v>
      </c>
    </row>
    <row r="7" spans="1:36">
      <c r="A7" s="6">
        <v>43288</v>
      </c>
      <c r="B7" s="3" t="s">
        <v>99</v>
      </c>
      <c r="C7" s="3" t="s">
        <v>100</v>
      </c>
      <c r="D7" s="3" t="s">
        <v>101</v>
      </c>
      <c r="E7" s="3" t="s">
        <v>102</v>
      </c>
      <c r="F7" s="3" t="s">
        <v>182</v>
      </c>
      <c r="G7" s="3">
        <v>20</v>
      </c>
      <c r="H7" s="3">
        <v>0</v>
      </c>
      <c r="I7" s="3">
        <v>20</v>
      </c>
      <c r="J7" s="3">
        <v>0</v>
      </c>
      <c r="K7" s="3">
        <v>0</v>
      </c>
      <c r="L7" s="3">
        <v>0</v>
      </c>
      <c r="M7" s="3">
        <v>0</v>
      </c>
      <c r="N7" s="3" t="s">
        <v>183</v>
      </c>
      <c r="O7" s="3">
        <v>0</v>
      </c>
      <c r="P7" s="3">
        <v>0</v>
      </c>
      <c r="Q7" s="3">
        <v>0</v>
      </c>
      <c r="R7" s="3">
        <v>0</v>
      </c>
      <c r="S7" s="3">
        <v>8</v>
      </c>
      <c r="T7" s="3">
        <v>20</v>
      </c>
      <c r="U7" s="3">
        <v>20</v>
      </c>
      <c r="V7" s="3">
        <v>20</v>
      </c>
      <c r="W7" s="3"/>
      <c r="X7" s="3">
        <v>30.99</v>
      </c>
      <c r="Y7" s="3">
        <v>18.99</v>
      </c>
      <c r="Z7" s="3">
        <v>18.99</v>
      </c>
      <c r="AA7" s="3">
        <v>0</v>
      </c>
      <c r="AB7" s="3" t="s">
        <v>185</v>
      </c>
      <c r="AC7" s="3">
        <v>9</v>
      </c>
      <c r="AD7" s="3">
        <v>18.99</v>
      </c>
      <c r="AE7" s="3">
        <v>0</v>
      </c>
      <c r="AF7" s="3">
        <v>0</v>
      </c>
      <c r="AG7" s="3">
        <v>0</v>
      </c>
      <c r="AH7" s="3">
        <v>2</v>
      </c>
      <c r="AI7" s="3" t="s">
        <v>210</v>
      </c>
      <c r="AJ7" s="3" t="s">
        <v>187</v>
      </c>
    </row>
    <row r="8" spans="1:36">
      <c r="A8" s="6">
        <v>43288</v>
      </c>
      <c r="B8" s="3" t="s">
        <v>36</v>
      </c>
      <c r="C8" s="3" t="s">
        <v>37</v>
      </c>
      <c r="D8" s="3" t="s">
        <v>37</v>
      </c>
      <c r="E8" s="3" t="s">
        <v>38</v>
      </c>
      <c r="F8" s="3" t="s">
        <v>182</v>
      </c>
      <c r="G8" s="3">
        <v>3</v>
      </c>
      <c r="H8" s="3">
        <v>0</v>
      </c>
      <c r="I8" s="3">
        <v>3</v>
      </c>
      <c r="J8" s="3">
        <v>0</v>
      </c>
      <c r="K8" s="3">
        <v>0</v>
      </c>
      <c r="L8" s="3">
        <v>0</v>
      </c>
      <c r="M8" s="3">
        <v>0</v>
      </c>
      <c r="N8" s="3" t="s">
        <v>183</v>
      </c>
      <c r="O8" s="3">
        <v>0</v>
      </c>
      <c r="P8" s="3">
        <v>0</v>
      </c>
      <c r="Q8" s="3">
        <v>0</v>
      </c>
      <c r="R8" s="3">
        <v>0</v>
      </c>
      <c r="S8" s="3">
        <v>1</v>
      </c>
      <c r="T8" s="3">
        <v>2</v>
      </c>
      <c r="U8" s="3">
        <v>5</v>
      </c>
      <c r="V8" s="3">
        <v>7</v>
      </c>
      <c r="W8" s="3"/>
      <c r="X8" s="3">
        <v>12.99</v>
      </c>
      <c r="Y8" s="3">
        <v>12.99</v>
      </c>
      <c r="Z8" s="3">
        <v>12.99</v>
      </c>
      <c r="AA8" s="3">
        <v>0</v>
      </c>
      <c r="AB8" s="3" t="s">
        <v>185</v>
      </c>
      <c r="AC8" s="3">
        <v>4</v>
      </c>
      <c r="AD8" s="3">
        <v>12.99</v>
      </c>
      <c r="AE8" s="3">
        <v>0</v>
      </c>
      <c r="AF8" s="3">
        <v>0</v>
      </c>
      <c r="AG8" s="3">
        <v>0</v>
      </c>
      <c r="AH8" s="3">
        <v>1.64705882352941</v>
      </c>
      <c r="AI8" s="3" t="s">
        <v>211</v>
      </c>
      <c r="AJ8" s="3" t="s">
        <v>187</v>
      </c>
    </row>
    <row r="9" spans="1:36">
      <c r="A9" s="6">
        <v>43288</v>
      </c>
      <c r="B9" s="3" t="s">
        <v>212</v>
      </c>
      <c r="C9" s="3" t="s">
        <v>213</v>
      </c>
      <c r="D9" s="3" t="s">
        <v>213</v>
      </c>
      <c r="E9" s="3" t="s">
        <v>214</v>
      </c>
      <c r="F9" s="3" t="s">
        <v>182</v>
      </c>
      <c r="G9" s="3">
        <v>4</v>
      </c>
      <c r="H9" s="3">
        <v>0</v>
      </c>
      <c r="I9" s="3">
        <v>0</v>
      </c>
      <c r="J9" s="3">
        <v>0</v>
      </c>
      <c r="K9" s="3">
        <v>4</v>
      </c>
      <c r="L9" s="3">
        <v>0</v>
      </c>
      <c r="M9" s="3">
        <v>0</v>
      </c>
      <c r="N9" s="3" t="s">
        <v>183</v>
      </c>
      <c r="O9" s="3">
        <v>4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1</v>
      </c>
      <c r="W9" s="3" t="s">
        <v>197</v>
      </c>
      <c r="X9" s="3">
        <v>12.33</v>
      </c>
      <c r="Y9" s="3">
        <v>12.33</v>
      </c>
      <c r="Z9" s="3">
        <v>12.33</v>
      </c>
      <c r="AA9" s="3">
        <v>0</v>
      </c>
      <c r="AB9" s="3" t="s">
        <v>198</v>
      </c>
      <c r="AC9" s="3">
        <v>0</v>
      </c>
      <c r="AD9" s="3">
        <v>10.89</v>
      </c>
      <c r="AE9" s="3">
        <v>343</v>
      </c>
      <c r="AF9" s="3">
        <v>0</v>
      </c>
      <c r="AG9" s="3">
        <v>23.666582</v>
      </c>
      <c r="AH9" s="3">
        <v>0.235294117647058</v>
      </c>
      <c r="AI9" s="3" t="s">
        <v>215</v>
      </c>
      <c r="AJ9" s="3" t="s">
        <v>187</v>
      </c>
    </row>
    <row r="10" spans="1:36">
      <c r="A10" s="6">
        <v>43288</v>
      </c>
      <c r="B10" s="3" t="s">
        <v>216</v>
      </c>
      <c r="C10" s="3" t="s">
        <v>217</v>
      </c>
      <c r="D10" s="3" t="s">
        <v>218</v>
      </c>
      <c r="E10" s="3" t="s">
        <v>219</v>
      </c>
      <c r="F10" s="3" t="s">
        <v>182</v>
      </c>
      <c r="G10" s="3">
        <v>3</v>
      </c>
      <c r="H10" s="3">
        <v>0</v>
      </c>
      <c r="I10" s="3">
        <v>3</v>
      </c>
      <c r="J10" s="3">
        <v>0</v>
      </c>
      <c r="K10" s="3">
        <v>0</v>
      </c>
      <c r="L10" s="3">
        <v>0</v>
      </c>
      <c r="M10" s="3">
        <v>0</v>
      </c>
      <c r="N10" s="3" t="s">
        <v>183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2</v>
      </c>
      <c r="U10" s="3">
        <v>2</v>
      </c>
      <c r="V10" s="3">
        <v>2</v>
      </c>
      <c r="W10" s="3" t="s">
        <v>184</v>
      </c>
      <c r="X10" s="3">
        <v>9.99</v>
      </c>
      <c r="Y10" s="3">
        <v>9.99</v>
      </c>
      <c r="Z10" s="3">
        <v>9.99</v>
      </c>
      <c r="AA10" s="3">
        <v>0</v>
      </c>
      <c r="AB10" s="3" t="s">
        <v>191</v>
      </c>
      <c r="AC10" s="3">
        <v>3</v>
      </c>
      <c r="AD10" s="3">
        <v>9.99</v>
      </c>
      <c r="AE10" s="3">
        <v>0</v>
      </c>
      <c r="AF10" s="3">
        <v>0</v>
      </c>
      <c r="AG10" s="3">
        <v>0</v>
      </c>
      <c r="AH10" s="3">
        <v>0.75</v>
      </c>
      <c r="AI10" s="3" t="s">
        <v>220</v>
      </c>
      <c r="AJ10" s="3" t="s">
        <v>187</v>
      </c>
    </row>
    <row r="11" spans="1:36">
      <c r="A11" s="6">
        <v>43288</v>
      </c>
      <c r="B11" s="3" t="s">
        <v>221</v>
      </c>
      <c r="C11" s="3" t="s">
        <v>222</v>
      </c>
      <c r="D11" s="3" t="s">
        <v>223</v>
      </c>
      <c r="E11" s="3" t="s">
        <v>224</v>
      </c>
      <c r="F11" s="3" t="s">
        <v>182</v>
      </c>
      <c r="G11" s="3">
        <v>2</v>
      </c>
      <c r="H11" s="3">
        <v>0</v>
      </c>
      <c r="I11" s="3">
        <v>2</v>
      </c>
      <c r="J11" s="3">
        <v>0</v>
      </c>
      <c r="K11" s="3">
        <v>0</v>
      </c>
      <c r="L11" s="3">
        <v>0</v>
      </c>
      <c r="M11" s="3">
        <v>0</v>
      </c>
      <c r="N11" s="3" t="s">
        <v>183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 t="s">
        <v>184</v>
      </c>
      <c r="X11" s="3">
        <v>10.99</v>
      </c>
      <c r="Y11" s="3">
        <v>10.99</v>
      </c>
      <c r="Z11" s="3">
        <v>10.99</v>
      </c>
      <c r="AA11" s="3">
        <v>0</v>
      </c>
      <c r="AB11" s="3" t="s">
        <v>191</v>
      </c>
      <c r="AC11" s="3">
        <v>0</v>
      </c>
      <c r="AD11" s="3">
        <v>8.79</v>
      </c>
      <c r="AE11" s="3">
        <v>63</v>
      </c>
      <c r="AF11" s="3">
        <v>0</v>
      </c>
      <c r="AG11" s="3">
        <v>10.38758</v>
      </c>
      <c r="AH11" s="3">
        <v>0</v>
      </c>
      <c r="AI11" s="3" t="s">
        <v>225</v>
      </c>
      <c r="AJ11" s="3" t="s">
        <v>187</v>
      </c>
    </row>
    <row r="12" spans="1:36">
      <c r="A12" s="6">
        <v>43288</v>
      </c>
      <c r="B12" s="3" t="s">
        <v>226</v>
      </c>
      <c r="C12" s="3" t="s">
        <v>227</v>
      </c>
      <c r="D12" s="3" t="s">
        <v>227</v>
      </c>
      <c r="E12" s="3" t="s">
        <v>228</v>
      </c>
      <c r="F12" s="3" t="s">
        <v>182</v>
      </c>
      <c r="G12" s="3">
        <v>4</v>
      </c>
      <c r="H12" s="3">
        <v>0</v>
      </c>
      <c r="I12" s="3">
        <v>4</v>
      </c>
      <c r="J12" s="3">
        <v>0</v>
      </c>
      <c r="K12" s="3">
        <v>0</v>
      </c>
      <c r="L12" s="3">
        <v>0</v>
      </c>
      <c r="M12" s="3">
        <v>0</v>
      </c>
      <c r="N12" s="3" t="s">
        <v>183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1</v>
      </c>
      <c r="U12" s="3">
        <v>1</v>
      </c>
      <c r="V12" s="3">
        <v>1</v>
      </c>
      <c r="W12" s="3"/>
      <c r="X12" s="3">
        <v>13.99</v>
      </c>
      <c r="Y12" s="3">
        <v>13.99</v>
      </c>
      <c r="Z12" s="3">
        <v>13.99</v>
      </c>
      <c r="AA12" s="3">
        <v>0</v>
      </c>
      <c r="AB12" s="3" t="s">
        <v>185</v>
      </c>
      <c r="AC12" s="3">
        <v>4</v>
      </c>
      <c r="AD12" s="3">
        <v>13.99</v>
      </c>
      <c r="AE12" s="3">
        <v>0</v>
      </c>
      <c r="AF12" s="3">
        <v>0</v>
      </c>
      <c r="AG12" s="3">
        <v>0</v>
      </c>
      <c r="AH12" s="3">
        <v>0.4</v>
      </c>
      <c r="AI12" s="3" t="s">
        <v>229</v>
      </c>
      <c r="AJ12" s="3" t="s">
        <v>187</v>
      </c>
    </row>
    <row r="13" spans="1:36">
      <c r="A13" s="6">
        <v>43288</v>
      </c>
      <c r="B13" s="3" t="s">
        <v>230</v>
      </c>
      <c r="C13" s="3" t="s">
        <v>231</v>
      </c>
      <c r="D13" s="3" t="s">
        <v>232</v>
      </c>
      <c r="E13" s="3" t="s">
        <v>233</v>
      </c>
      <c r="F13" s="3" t="s">
        <v>182</v>
      </c>
      <c r="G13" s="3">
        <v>3</v>
      </c>
      <c r="H13" s="3">
        <v>0</v>
      </c>
      <c r="I13" s="3">
        <v>3</v>
      </c>
      <c r="J13" s="3">
        <v>0</v>
      </c>
      <c r="K13" s="3">
        <v>0</v>
      </c>
      <c r="L13" s="3">
        <v>0</v>
      </c>
      <c r="M13" s="3">
        <v>0</v>
      </c>
      <c r="N13" s="3" t="s">
        <v>183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184</v>
      </c>
      <c r="X13" s="3">
        <v>11.99</v>
      </c>
      <c r="Y13" s="3">
        <v>11.99</v>
      </c>
      <c r="Z13" s="3">
        <v>11.99</v>
      </c>
      <c r="AA13" s="3">
        <v>0</v>
      </c>
      <c r="AB13" s="3" t="s">
        <v>191</v>
      </c>
      <c r="AC13" s="3">
        <v>0</v>
      </c>
      <c r="AD13" s="3">
        <v>9.59</v>
      </c>
      <c r="AE13" s="3">
        <v>63</v>
      </c>
      <c r="AF13" s="3">
        <v>0</v>
      </c>
      <c r="AG13" s="3">
        <v>54.317986</v>
      </c>
      <c r="AH13" s="3">
        <v>0</v>
      </c>
      <c r="AI13" s="3" t="s">
        <v>234</v>
      </c>
      <c r="AJ13" s="3" t="s">
        <v>187</v>
      </c>
    </row>
    <row r="14" spans="1:36">
      <c r="A14" s="6">
        <v>43288</v>
      </c>
      <c r="B14" s="3" t="s">
        <v>235</v>
      </c>
      <c r="C14" s="3" t="s">
        <v>236</v>
      </c>
      <c r="D14" s="3" t="s">
        <v>236</v>
      </c>
      <c r="E14" s="3" t="s">
        <v>237</v>
      </c>
      <c r="F14" s="3" t="s">
        <v>182</v>
      </c>
      <c r="G14" s="3">
        <v>4</v>
      </c>
      <c r="H14" s="3">
        <v>0</v>
      </c>
      <c r="I14" s="3">
        <v>0</v>
      </c>
      <c r="J14" s="3">
        <v>4</v>
      </c>
      <c r="K14" s="3">
        <v>0</v>
      </c>
      <c r="L14" s="3">
        <v>0</v>
      </c>
      <c r="M14" s="3">
        <v>0</v>
      </c>
      <c r="N14" s="3" t="s">
        <v>183</v>
      </c>
      <c r="O14" s="3">
        <v>4</v>
      </c>
      <c r="P14" s="3">
        <v>6.41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184</v>
      </c>
      <c r="X14" s="3">
        <v>21.98</v>
      </c>
      <c r="Y14" s="3">
        <v>21.98</v>
      </c>
      <c r="Z14" s="3">
        <v>21.5</v>
      </c>
      <c r="AA14" s="3">
        <v>0</v>
      </c>
      <c r="AB14" s="3" t="s">
        <v>191</v>
      </c>
      <c r="AC14" s="3">
        <v>0</v>
      </c>
      <c r="AD14" s="3">
        <v>17.58</v>
      </c>
      <c r="AE14" s="3">
        <v>63</v>
      </c>
      <c r="AF14" s="3">
        <v>0</v>
      </c>
      <c r="AG14" s="3">
        <v>80.419785</v>
      </c>
      <c r="AH14" s="3">
        <v>0</v>
      </c>
      <c r="AI14" s="3" t="s">
        <v>192</v>
      </c>
      <c r="AJ14" s="3" t="s">
        <v>193</v>
      </c>
    </row>
    <row r="15" spans="1:36">
      <c r="A15" s="6">
        <v>43288</v>
      </c>
      <c r="B15" s="3" t="s">
        <v>238</v>
      </c>
      <c r="C15" s="3" t="s">
        <v>239</v>
      </c>
      <c r="D15" s="3" t="s">
        <v>239</v>
      </c>
      <c r="E15" s="3" t="s">
        <v>240</v>
      </c>
      <c r="F15" s="3" t="s">
        <v>182</v>
      </c>
      <c r="G15" s="3">
        <v>5</v>
      </c>
      <c r="H15" s="3">
        <v>0</v>
      </c>
      <c r="I15" s="3">
        <v>0</v>
      </c>
      <c r="J15" s="3">
        <v>5</v>
      </c>
      <c r="K15" s="3">
        <v>0</v>
      </c>
      <c r="L15" s="3">
        <v>0</v>
      </c>
      <c r="M15" s="3">
        <v>0</v>
      </c>
      <c r="N15" s="3" t="s">
        <v>183</v>
      </c>
      <c r="O15" s="3">
        <v>5</v>
      </c>
      <c r="P15" s="3">
        <v>8.01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 t="s">
        <v>184</v>
      </c>
      <c r="X15" s="3">
        <v>21.98</v>
      </c>
      <c r="Y15" s="3">
        <v>21.98</v>
      </c>
      <c r="Z15" s="3">
        <v>21.5</v>
      </c>
      <c r="AA15" s="3">
        <v>0</v>
      </c>
      <c r="AB15" s="3" t="s">
        <v>191</v>
      </c>
      <c r="AC15" s="3">
        <v>0</v>
      </c>
      <c r="AD15" s="3">
        <v>17.58</v>
      </c>
      <c r="AE15" s="3">
        <v>63</v>
      </c>
      <c r="AF15" s="3">
        <v>0</v>
      </c>
      <c r="AG15" s="3">
        <v>100.524732</v>
      </c>
      <c r="AH15" s="3">
        <v>0</v>
      </c>
      <c r="AI15" s="3" t="s">
        <v>192</v>
      </c>
      <c r="AJ15" s="3" t="s">
        <v>193</v>
      </c>
    </row>
    <row r="16" spans="1:36">
      <c r="A16" s="6">
        <v>43288</v>
      </c>
      <c r="B16" s="3" t="s">
        <v>241</v>
      </c>
      <c r="C16" s="3" t="s">
        <v>242</v>
      </c>
      <c r="D16" s="3" t="s">
        <v>243</v>
      </c>
      <c r="E16" s="3" t="s">
        <v>244</v>
      </c>
      <c r="F16" s="3" t="s">
        <v>182</v>
      </c>
      <c r="G16" s="3">
        <v>5</v>
      </c>
      <c r="H16" s="3">
        <v>0</v>
      </c>
      <c r="I16" s="3">
        <v>5</v>
      </c>
      <c r="J16" s="3">
        <v>0</v>
      </c>
      <c r="K16" s="3">
        <v>0</v>
      </c>
      <c r="L16" s="3">
        <v>0</v>
      </c>
      <c r="M16" s="3">
        <v>0</v>
      </c>
      <c r="N16" s="3" t="s">
        <v>183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197</v>
      </c>
      <c r="X16" s="3">
        <v>14.99</v>
      </c>
      <c r="Y16" s="3">
        <v>14.99</v>
      </c>
      <c r="Z16" s="3">
        <v>14.99</v>
      </c>
      <c r="AA16" s="3">
        <v>0</v>
      </c>
      <c r="AB16" s="3" t="s">
        <v>245</v>
      </c>
      <c r="AC16" s="3">
        <v>0</v>
      </c>
      <c r="AD16" s="3">
        <v>14.99</v>
      </c>
      <c r="AE16" s="3">
        <v>0</v>
      </c>
      <c r="AF16" s="3">
        <v>5</v>
      </c>
      <c r="AG16" s="3">
        <v>147.533248</v>
      </c>
      <c r="AH16" s="3">
        <v>0</v>
      </c>
      <c r="AI16" s="3" t="s">
        <v>246</v>
      </c>
      <c r="AJ16" s="3" t="s">
        <v>247</v>
      </c>
    </row>
    <row r="17" spans="1:36">
      <c r="A17" s="6">
        <v>43288</v>
      </c>
      <c r="B17" s="3" t="s">
        <v>248</v>
      </c>
      <c r="C17" s="3" t="s">
        <v>249</v>
      </c>
      <c r="D17" s="3" t="s">
        <v>249</v>
      </c>
      <c r="E17" s="3" t="s">
        <v>250</v>
      </c>
      <c r="F17" s="3" t="s">
        <v>182</v>
      </c>
      <c r="G17" s="3">
        <v>4</v>
      </c>
      <c r="H17" s="3">
        <v>0</v>
      </c>
      <c r="I17" s="3">
        <v>0</v>
      </c>
      <c r="J17" s="3">
        <v>4</v>
      </c>
      <c r="K17" s="3">
        <v>0</v>
      </c>
      <c r="L17" s="3">
        <v>0</v>
      </c>
      <c r="M17" s="3">
        <v>0</v>
      </c>
      <c r="N17" s="3" t="s">
        <v>183</v>
      </c>
      <c r="O17" s="3">
        <v>4</v>
      </c>
      <c r="P17" s="3">
        <v>5.99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184</v>
      </c>
      <c r="X17" s="3">
        <v>21.98</v>
      </c>
      <c r="Y17" s="3">
        <v>21.98</v>
      </c>
      <c r="Z17" s="3">
        <v>21.98</v>
      </c>
      <c r="AA17" s="3">
        <v>0</v>
      </c>
      <c r="AB17" s="3" t="s">
        <v>191</v>
      </c>
      <c r="AC17" s="3">
        <v>0</v>
      </c>
      <c r="AD17" s="3">
        <v>17.58</v>
      </c>
      <c r="AE17" s="3">
        <v>63</v>
      </c>
      <c r="AF17" s="3">
        <v>0</v>
      </c>
      <c r="AG17" s="3">
        <v>75.705426</v>
      </c>
      <c r="AH17" s="3">
        <v>0</v>
      </c>
      <c r="AI17" s="3" t="s">
        <v>251</v>
      </c>
      <c r="AJ17" s="3" t="s">
        <v>193</v>
      </c>
    </row>
    <row r="18" spans="1:36">
      <c r="A18" s="6">
        <v>43288</v>
      </c>
      <c r="B18" s="3" t="s">
        <v>252</v>
      </c>
      <c r="C18" s="3" t="s">
        <v>253</v>
      </c>
      <c r="D18" s="3" t="s">
        <v>253</v>
      </c>
      <c r="E18" s="3" t="s">
        <v>254</v>
      </c>
      <c r="F18" s="3" t="s">
        <v>182</v>
      </c>
      <c r="G18" s="3">
        <v>3</v>
      </c>
      <c r="H18" s="3">
        <v>0</v>
      </c>
      <c r="I18" s="3">
        <v>0</v>
      </c>
      <c r="J18" s="3">
        <v>0</v>
      </c>
      <c r="K18" s="3">
        <v>3</v>
      </c>
      <c r="L18" s="3">
        <v>0</v>
      </c>
      <c r="M18" s="3">
        <v>0</v>
      </c>
      <c r="N18" s="3" t="s">
        <v>183</v>
      </c>
      <c r="O18" s="3">
        <v>3</v>
      </c>
      <c r="P18" s="3">
        <v>5.09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 t="s">
        <v>197</v>
      </c>
      <c r="X18" s="3">
        <v>15.74</v>
      </c>
      <c r="Y18" s="3">
        <v>15.74</v>
      </c>
      <c r="Z18" s="3">
        <v>15.74</v>
      </c>
      <c r="AA18" s="3">
        <v>0</v>
      </c>
      <c r="AB18" s="3" t="s">
        <v>198</v>
      </c>
      <c r="AC18" s="3">
        <v>0</v>
      </c>
      <c r="AD18" s="3">
        <v>13.88</v>
      </c>
      <c r="AE18" s="3">
        <v>140</v>
      </c>
      <c r="AF18" s="3">
        <v>0</v>
      </c>
      <c r="AG18" s="3">
        <v>75.849591</v>
      </c>
      <c r="AH18" s="3">
        <v>0</v>
      </c>
      <c r="AI18" s="3" t="s">
        <v>199</v>
      </c>
      <c r="AJ18" s="3" t="s">
        <v>193</v>
      </c>
    </row>
    <row r="19" spans="1:36">
      <c r="A19" s="6">
        <v>43288</v>
      </c>
      <c r="B19" s="3" t="s">
        <v>255</v>
      </c>
      <c r="C19" s="3" t="s">
        <v>256</v>
      </c>
      <c r="D19" s="3" t="s">
        <v>256</v>
      </c>
      <c r="E19" s="3" t="s">
        <v>257</v>
      </c>
      <c r="F19" s="3" t="s">
        <v>182</v>
      </c>
      <c r="G19" s="3">
        <v>3</v>
      </c>
      <c r="H19" s="3">
        <v>0</v>
      </c>
      <c r="I19" s="3">
        <v>0</v>
      </c>
      <c r="J19" s="3">
        <v>0</v>
      </c>
      <c r="K19" s="3">
        <v>3</v>
      </c>
      <c r="L19" s="3">
        <v>0</v>
      </c>
      <c r="M19" s="3">
        <v>0</v>
      </c>
      <c r="N19" s="3" t="s">
        <v>183</v>
      </c>
      <c r="O19" s="3">
        <v>3</v>
      </c>
      <c r="P19" s="3">
        <v>5.09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197</v>
      </c>
      <c r="X19" s="3">
        <v>15.78</v>
      </c>
      <c r="Y19" s="3">
        <v>15.78</v>
      </c>
      <c r="Z19" s="3">
        <v>15.78</v>
      </c>
      <c r="AA19" s="3">
        <v>0</v>
      </c>
      <c r="AB19" s="3" t="s">
        <v>198</v>
      </c>
      <c r="AC19" s="3">
        <v>0</v>
      </c>
      <c r="AD19" s="3">
        <v>13.95</v>
      </c>
      <c r="AE19" s="3">
        <v>140</v>
      </c>
      <c r="AF19" s="3">
        <v>0</v>
      </c>
      <c r="AG19" s="3">
        <v>76.05248</v>
      </c>
      <c r="AH19" s="3">
        <v>0</v>
      </c>
      <c r="AI19" s="3" t="s">
        <v>199</v>
      </c>
      <c r="AJ19" s="3" t="s">
        <v>193</v>
      </c>
    </row>
    <row r="20" spans="1:36">
      <c r="A20" s="6">
        <v>43288</v>
      </c>
      <c r="B20" s="3" t="s">
        <v>258</v>
      </c>
      <c r="C20" s="3" t="s">
        <v>259</v>
      </c>
      <c r="D20" s="3" t="s">
        <v>259</v>
      </c>
      <c r="E20" s="3" t="s">
        <v>260</v>
      </c>
      <c r="F20" s="3" t="s">
        <v>182</v>
      </c>
      <c r="G20" s="3">
        <v>4</v>
      </c>
      <c r="H20" s="3">
        <v>0</v>
      </c>
      <c r="I20" s="3">
        <v>1</v>
      </c>
      <c r="J20" s="3">
        <v>3</v>
      </c>
      <c r="K20" s="3">
        <v>0</v>
      </c>
      <c r="L20" s="3">
        <v>0</v>
      </c>
      <c r="M20" s="3">
        <v>0</v>
      </c>
      <c r="N20" s="3" t="s">
        <v>183</v>
      </c>
      <c r="O20" s="3">
        <v>3</v>
      </c>
      <c r="P20" s="3">
        <v>4.8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1</v>
      </c>
      <c r="W20" s="3" t="s">
        <v>184</v>
      </c>
      <c r="X20" s="3">
        <v>13.59</v>
      </c>
      <c r="Y20" s="3">
        <v>13.59</v>
      </c>
      <c r="Z20" s="3">
        <v>13.59</v>
      </c>
      <c r="AA20" s="3">
        <v>0</v>
      </c>
      <c r="AB20" s="3" t="s">
        <v>191</v>
      </c>
      <c r="AC20" s="3">
        <v>4</v>
      </c>
      <c r="AD20" s="3">
        <v>13.59</v>
      </c>
      <c r="AE20" s="3">
        <v>0</v>
      </c>
      <c r="AF20" s="3">
        <v>0</v>
      </c>
      <c r="AG20" s="3">
        <v>0</v>
      </c>
      <c r="AH20" s="3">
        <v>0.266666666666666</v>
      </c>
      <c r="AI20" s="3" t="s">
        <v>192</v>
      </c>
      <c r="AJ20" s="3" t="s">
        <v>193</v>
      </c>
    </row>
    <row r="21" spans="1:36">
      <c r="A21" s="6">
        <v>43288</v>
      </c>
      <c r="B21" s="3" t="s">
        <v>261</v>
      </c>
      <c r="C21" s="3" t="s">
        <v>262</v>
      </c>
      <c r="D21" s="3" t="s">
        <v>262</v>
      </c>
      <c r="E21" s="3" t="s">
        <v>263</v>
      </c>
      <c r="F21" s="3" t="s">
        <v>182</v>
      </c>
      <c r="G21" s="3">
        <v>10</v>
      </c>
      <c r="H21" s="3">
        <v>0</v>
      </c>
      <c r="I21" s="3">
        <v>10</v>
      </c>
      <c r="J21" s="3">
        <v>0</v>
      </c>
      <c r="K21" s="3">
        <v>0</v>
      </c>
      <c r="L21" s="3">
        <v>0</v>
      </c>
      <c r="M21" s="3">
        <v>0</v>
      </c>
      <c r="N21" s="3" t="s">
        <v>183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3</v>
      </c>
      <c r="W21" s="3" t="s">
        <v>184</v>
      </c>
      <c r="X21" s="3">
        <v>8.99</v>
      </c>
      <c r="Y21" s="3">
        <v>8.99</v>
      </c>
      <c r="Z21" s="3">
        <v>8.99</v>
      </c>
      <c r="AA21" s="3">
        <v>0</v>
      </c>
      <c r="AB21" s="3" t="s">
        <v>191</v>
      </c>
      <c r="AC21" s="3">
        <v>2</v>
      </c>
      <c r="AD21" s="3">
        <v>8.32</v>
      </c>
      <c r="AE21" s="3">
        <v>133</v>
      </c>
      <c r="AF21" s="3">
        <v>0</v>
      </c>
      <c r="AG21" s="3">
        <v>83.568844</v>
      </c>
      <c r="AH21" s="3">
        <v>0.48</v>
      </c>
      <c r="AI21" s="3" t="s">
        <v>264</v>
      </c>
      <c r="AJ21" s="3" t="s">
        <v>187</v>
      </c>
    </row>
    <row r="22" spans="1:36">
      <c r="A22" s="6">
        <v>43288</v>
      </c>
      <c r="B22" s="3" t="s">
        <v>265</v>
      </c>
      <c r="C22" s="3" t="s">
        <v>266</v>
      </c>
      <c r="D22" s="3" t="s">
        <v>267</v>
      </c>
      <c r="E22" s="3" t="s">
        <v>268</v>
      </c>
      <c r="F22" s="3" t="s">
        <v>182</v>
      </c>
      <c r="G22" s="3">
        <v>18</v>
      </c>
      <c r="H22" s="3">
        <v>0</v>
      </c>
      <c r="I22" s="3">
        <v>18</v>
      </c>
      <c r="J22" s="3">
        <v>0</v>
      </c>
      <c r="K22" s="3">
        <v>0</v>
      </c>
      <c r="L22" s="3">
        <v>0</v>
      </c>
      <c r="M22" s="3">
        <v>0</v>
      </c>
      <c r="N22" s="3" t="s">
        <v>183</v>
      </c>
      <c r="O22" s="3">
        <v>0</v>
      </c>
      <c r="P22" s="3">
        <v>0</v>
      </c>
      <c r="Q22" s="3">
        <v>0</v>
      </c>
      <c r="R22" s="3">
        <v>0</v>
      </c>
      <c r="S22" s="3">
        <v>1</v>
      </c>
      <c r="T22" s="3">
        <v>1</v>
      </c>
      <c r="U22" s="3">
        <v>3</v>
      </c>
      <c r="V22" s="3">
        <v>3</v>
      </c>
      <c r="W22" s="3"/>
      <c r="X22" s="3">
        <v>8.99</v>
      </c>
      <c r="Y22" s="3">
        <v>8.99</v>
      </c>
      <c r="Z22" s="3">
        <v>8.99</v>
      </c>
      <c r="AA22" s="3">
        <v>0</v>
      </c>
      <c r="AB22" s="3" t="s">
        <v>185</v>
      </c>
      <c r="AC22" s="3">
        <v>19</v>
      </c>
      <c r="AD22" s="3">
        <v>8.99</v>
      </c>
      <c r="AE22" s="3">
        <v>0</v>
      </c>
      <c r="AF22" s="3">
        <v>0</v>
      </c>
      <c r="AG22" s="3">
        <v>0</v>
      </c>
      <c r="AH22" s="3">
        <v>0.290322580645161</v>
      </c>
      <c r="AI22" s="3" t="s">
        <v>269</v>
      </c>
      <c r="AJ22" s="3" t="s">
        <v>187</v>
      </c>
    </row>
    <row r="23" spans="1:36">
      <c r="A23" s="6">
        <v>43288</v>
      </c>
      <c r="B23" s="3" t="s">
        <v>270</v>
      </c>
      <c r="C23" s="3" t="s">
        <v>271</v>
      </c>
      <c r="D23" s="3" t="s">
        <v>271</v>
      </c>
      <c r="E23" s="3" t="s">
        <v>272</v>
      </c>
      <c r="F23" s="3" t="s">
        <v>182</v>
      </c>
      <c r="G23" s="3">
        <v>1</v>
      </c>
      <c r="H23" s="3">
        <v>0</v>
      </c>
      <c r="I23" s="3">
        <v>0</v>
      </c>
      <c r="J23" s="3">
        <v>0</v>
      </c>
      <c r="K23" s="3">
        <v>1</v>
      </c>
      <c r="L23" s="3">
        <v>0</v>
      </c>
      <c r="M23" s="3">
        <v>0</v>
      </c>
      <c r="N23" s="3" t="s">
        <v>183</v>
      </c>
      <c r="O23" s="3">
        <v>1</v>
      </c>
      <c r="P23" s="3">
        <v>0.99</v>
      </c>
      <c r="Q23" s="3">
        <v>0</v>
      </c>
      <c r="R23" s="3">
        <v>0</v>
      </c>
      <c r="S23" s="3">
        <v>1</v>
      </c>
      <c r="T23" s="3">
        <v>1</v>
      </c>
      <c r="U23" s="3">
        <v>1</v>
      </c>
      <c r="V23" s="3">
        <v>1</v>
      </c>
      <c r="W23" s="3" t="s">
        <v>184</v>
      </c>
      <c r="X23" s="3">
        <v>12.79</v>
      </c>
      <c r="Y23" s="3">
        <v>12.79</v>
      </c>
      <c r="Z23" s="3">
        <v>12.79</v>
      </c>
      <c r="AA23" s="3">
        <v>0</v>
      </c>
      <c r="AB23" s="3" t="s">
        <v>185</v>
      </c>
      <c r="AC23" s="3">
        <v>1</v>
      </c>
      <c r="AD23" s="3">
        <v>12.79</v>
      </c>
      <c r="AE23" s="3">
        <v>0</v>
      </c>
      <c r="AF23" s="3">
        <v>0</v>
      </c>
      <c r="AG23" s="3">
        <v>0</v>
      </c>
      <c r="AH23" s="3">
        <v>0.571428571428571</v>
      </c>
      <c r="AI23" s="3" t="s">
        <v>273</v>
      </c>
      <c r="AJ23" s="3" t="s">
        <v>187</v>
      </c>
    </row>
    <row r="24" spans="1:36">
      <c r="A24" s="6">
        <v>43288</v>
      </c>
      <c r="B24" s="3" t="s">
        <v>274</v>
      </c>
      <c r="C24" s="3" t="s">
        <v>275</v>
      </c>
      <c r="D24" s="3" t="s">
        <v>275</v>
      </c>
      <c r="E24" s="3" t="s">
        <v>276</v>
      </c>
      <c r="F24" s="3" t="s">
        <v>182</v>
      </c>
      <c r="G24" s="3">
        <v>5</v>
      </c>
      <c r="H24" s="3">
        <v>0</v>
      </c>
      <c r="I24" s="3">
        <v>0</v>
      </c>
      <c r="J24" s="3">
        <v>0</v>
      </c>
      <c r="K24" s="3">
        <v>5</v>
      </c>
      <c r="L24" s="3">
        <v>0</v>
      </c>
      <c r="M24" s="3">
        <v>0</v>
      </c>
      <c r="N24" s="3" t="s">
        <v>183</v>
      </c>
      <c r="O24" s="3">
        <v>5</v>
      </c>
      <c r="P24" s="3">
        <v>8.49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 t="s">
        <v>197</v>
      </c>
      <c r="X24" s="3">
        <v>14.39</v>
      </c>
      <c r="Y24" s="3">
        <v>14.39</v>
      </c>
      <c r="Z24" s="3">
        <v>14.39</v>
      </c>
      <c r="AA24" s="3">
        <v>0</v>
      </c>
      <c r="AB24" s="3" t="s">
        <v>185</v>
      </c>
      <c r="AC24" s="3">
        <v>0</v>
      </c>
      <c r="AD24" s="3">
        <v>14.39</v>
      </c>
      <c r="AE24" s="3">
        <v>63</v>
      </c>
      <c r="AF24" s="3">
        <v>0</v>
      </c>
      <c r="AG24" s="3">
        <v>100.228075</v>
      </c>
      <c r="AH24" s="3">
        <v>0</v>
      </c>
      <c r="AI24" s="3" t="s">
        <v>199</v>
      </c>
      <c r="AJ24" s="3" t="s">
        <v>193</v>
      </c>
    </row>
    <row r="25" spans="1:36">
      <c r="A25" s="6">
        <v>43288</v>
      </c>
      <c r="B25" s="3" t="s">
        <v>138</v>
      </c>
      <c r="C25" s="3" t="s">
        <v>139</v>
      </c>
      <c r="D25" s="3" t="s">
        <v>139</v>
      </c>
      <c r="E25" s="3" t="s">
        <v>140</v>
      </c>
      <c r="F25" s="3" t="s">
        <v>182</v>
      </c>
      <c r="G25" s="3">
        <v>18</v>
      </c>
      <c r="H25" s="3">
        <v>0</v>
      </c>
      <c r="I25" s="3">
        <v>18</v>
      </c>
      <c r="J25" s="3">
        <v>0</v>
      </c>
      <c r="K25" s="3">
        <v>0</v>
      </c>
      <c r="L25" s="3">
        <v>0</v>
      </c>
      <c r="M25" s="3">
        <v>0</v>
      </c>
      <c r="N25" s="3" t="s">
        <v>183</v>
      </c>
      <c r="O25" s="3">
        <v>0</v>
      </c>
      <c r="P25" s="3">
        <v>0</v>
      </c>
      <c r="Q25" s="3">
        <v>0</v>
      </c>
      <c r="R25" s="3">
        <v>0</v>
      </c>
      <c r="S25" s="3">
        <v>3</v>
      </c>
      <c r="T25" s="3">
        <v>13</v>
      </c>
      <c r="U25" s="3">
        <v>23</v>
      </c>
      <c r="V25" s="3">
        <v>32</v>
      </c>
      <c r="W25" s="3"/>
      <c r="X25" s="3">
        <v>18.99</v>
      </c>
      <c r="Y25" s="3">
        <v>18.99</v>
      </c>
      <c r="Z25" s="3">
        <v>18.99</v>
      </c>
      <c r="AA25" s="3">
        <v>0</v>
      </c>
      <c r="AB25" s="3" t="s">
        <v>185</v>
      </c>
      <c r="AC25" s="3">
        <v>22</v>
      </c>
      <c r="AD25" s="3">
        <v>18.99</v>
      </c>
      <c r="AE25" s="3">
        <v>0</v>
      </c>
      <c r="AF25" s="3">
        <v>0</v>
      </c>
      <c r="AG25" s="3">
        <v>0</v>
      </c>
      <c r="AH25" s="3">
        <v>1.21904761904761</v>
      </c>
      <c r="AI25" s="3" t="s">
        <v>277</v>
      </c>
      <c r="AJ25" s="3" t="s">
        <v>247</v>
      </c>
    </row>
    <row r="26" spans="1:36">
      <c r="A26" s="6">
        <v>43288</v>
      </c>
      <c r="B26" s="3" t="s">
        <v>278</v>
      </c>
      <c r="C26" s="3" t="s">
        <v>279</v>
      </c>
      <c r="D26" s="3" t="s">
        <v>279</v>
      </c>
      <c r="E26" s="3" t="s">
        <v>280</v>
      </c>
      <c r="F26" s="3" t="s">
        <v>182</v>
      </c>
      <c r="G26" s="3">
        <v>3</v>
      </c>
      <c r="H26" s="3">
        <v>0</v>
      </c>
      <c r="I26" s="3">
        <v>1</v>
      </c>
      <c r="J26" s="3">
        <v>2</v>
      </c>
      <c r="K26" s="3">
        <v>0</v>
      </c>
      <c r="L26" s="3">
        <v>0</v>
      </c>
      <c r="M26" s="3">
        <v>0</v>
      </c>
      <c r="N26" s="3" t="s">
        <v>183</v>
      </c>
      <c r="O26" s="3">
        <v>2</v>
      </c>
      <c r="P26" s="3">
        <v>2.99</v>
      </c>
      <c r="Q26" s="3">
        <v>0</v>
      </c>
      <c r="R26" s="3">
        <v>0</v>
      </c>
      <c r="S26" s="3">
        <v>0</v>
      </c>
      <c r="T26" s="3">
        <v>2</v>
      </c>
      <c r="U26" s="3">
        <v>2</v>
      </c>
      <c r="V26" s="3">
        <v>2</v>
      </c>
      <c r="W26" s="3" t="s">
        <v>184</v>
      </c>
      <c r="X26" s="3">
        <v>21.98</v>
      </c>
      <c r="Y26" s="3">
        <v>21.98</v>
      </c>
      <c r="Z26" s="3">
        <v>21.98</v>
      </c>
      <c r="AA26" s="3">
        <v>0</v>
      </c>
      <c r="AB26" s="3" t="s">
        <v>191</v>
      </c>
      <c r="AC26" s="3">
        <v>2</v>
      </c>
      <c r="AD26" s="3">
        <v>21.98</v>
      </c>
      <c r="AE26" s="3">
        <v>0</v>
      </c>
      <c r="AF26" s="3">
        <v>0</v>
      </c>
      <c r="AG26" s="3">
        <v>0</v>
      </c>
      <c r="AH26" s="3">
        <v>0.571428571428571</v>
      </c>
      <c r="AI26" s="3" t="s">
        <v>251</v>
      </c>
      <c r="AJ26" s="3" t="s">
        <v>193</v>
      </c>
    </row>
    <row r="27" spans="1:36">
      <c r="A27" s="6">
        <v>43288</v>
      </c>
      <c r="B27" s="3" t="s">
        <v>281</v>
      </c>
      <c r="C27" s="3" t="s">
        <v>282</v>
      </c>
      <c r="D27" s="3" t="s">
        <v>282</v>
      </c>
      <c r="E27" s="3" t="s">
        <v>283</v>
      </c>
      <c r="F27" s="3" t="s">
        <v>182</v>
      </c>
      <c r="G27" s="3">
        <v>24</v>
      </c>
      <c r="H27" s="3">
        <v>0</v>
      </c>
      <c r="I27" s="3">
        <v>10</v>
      </c>
      <c r="J27" s="3">
        <v>10</v>
      </c>
      <c r="K27" s="3">
        <v>4</v>
      </c>
      <c r="L27" s="3">
        <v>0</v>
      </c>
      <c r="M27" s="3">
        <v>0</v>
      </c>
      <c r="N27" s="3" t="s">
        <v>183</v>
      </c>
      <c r="O27" s="3">
        <v>4</v>
      </c>
      <c r="P27" s="3">
        <v>1.12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197</v>
      </c>
      <c r="X27" s="3">
        <v>14.99</v>
      </c>
      <c r="Y27" s="3">
        <v>14.99</v>
      </c>
      <c r="Z27" s="3">
        <v>14.99</v>
      </c>
      <c r="AA27" s="3">
        <v>0</v>
      </c>
      <c r="AB27" s="3" t="s">
        <v>198</v>
      </c>
      <c r="AC27" s="3">
        <v>15</v>
      </c>
      <c r="AD27" s="3">
        <v>14.15</v>
      </c>
      <c r="AE27" s="3">
        <v>28</v>
      </c>
      <c r="AF27" s="3">
        <v>0</v>
      </c>
      <c r="AG27" s="3">
        <v>240.835312</v>
      </c>
      <c r="AH27" s="3">
        <v>0</v>
      </c>
      <c r="AI27" s="3" t="s">
        <v>284</v>
      </c>
      <c r="AJ27" s="3" t="s">
        <v>187</v>
      </c>
    </row>
    <row r="28" spans="1:36">
      <c r="A28" s="6">
        <v>43288</v>
      </c>
      <c r="B28" s="3" t="s">
        <v>285</v>
      </c>
      <c r="C28" s="3" t="s">
        <v>286</v>
      </c>
      <c r="D28" s="3" t="s">
        <v>286</v>
      </c>
      <c r="E28" s="3" t="s">
        <v>287</v>
      </c>
      <c r="F28" s="3" t="s">
        <v>182</v>
      </c>
      <c r="G28" s="3">
        <v>5</v>
      </c>
      <c r="H28" s="3">
        <v>0</v>
      </c>
      <c r="I28" s="3">
        <v>0</v>
      </c>
      <c r="J28" s="3">
        <v>0</v>
      </c>
      <c r="K28" s="3">
        <v>5</v>
      </c>
      <c r="L28" s="3">
        <v>0</v>
      </c>
      <c r="M28" s="3">
        <v>0</v>
      </c>
      <c r="N28" s="3" t="s">
        <v>183</v>
      </c>
      <c r="O28" s="3">
        <v>5</v>
      </c>
      <c r="P28" s="3">
        <v>0.3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184</v>
      </c>
      <c r="X28" s="3">
        <v>10</v>
      </c>
      <c r="Y28" s="3">
        <v>10</v>
      </c>
      <c r="Z28" s="3">
        <v>10</v>
      </c>
      <c r="AA28" s="3">
        <v>0</v>
      </c>
      <c r="AB28" s="3" t="s">
        <v>185</v>
      </c>
      <c r="AC28" s="3">
        <v>0</v>
      </c>
      <c r="AD28" s="3">
        <v>10</v>
      </c>
      <c r="AE28" s="3">
        <v>63</v>
      </c>
      <c r="AF28" s="3">
        <v>0</v>
      </c>
      <c r="AG28" s="3">
        <v>4.558669</v>
      </c>
      <c r="AH28" s="3">
        <v>0</v>
      </c>
      <c r="AI28" s="3" t="s">
        <v>288</v>
      </c>
      <c r="AJ28" s="3" t="s">
        <v>187</v>
      </c>
    </row>
    <row r="29" spans="1:36">
      <c r="A29" s="6">
        <v>43288</v>
      </c>
      <c r="B29" s="3" t="s">
        <v>289</v>
      </c>
      <c r="C29" s="3" t="s">
        <v>290</v>
      </c>
      <c r="D29" s="3" t="s">
        <v>290</v>
      </c>
      <c r="E29" s="3" t="s">
        <v>291</v>
      </c>
      <c r="F29" s="3" t="s">
        <v>182</v>
      </c>
      <c r="G29" s="3">
        <v>4</v>
      </c>
      <c r="H29" s="3">
        <v>0</v>
      </c>
      <c r="I29" s="3">
        <v>0</v>
      </c>
      <c r="J29" s="3">
        <v>4</v>
      </c>
      <c r="K29" s="3">
        <v>0</v>
      </c>
      <c r="L29" s="3">
        <v>0</v>
      </c>
      <c r="M29" s="3">
        <v>0</v>
      </c>
      <c r="N29" s="3" t="s">
        <v>183</v>
      </c>
      <c r="O29" s="3">
        <v>4</v>
      </c>
      <c r="P29" s="3">
        <v>6.41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184</v>
      </c>
      <c r="X29" s="3">
        <v>21.98</v>
      </c>
      <c r="Y29" s="3">
        <v>21.98</v>
      </c>
      <c r="Z29" s="3">
        <v>21.98</v>
      </c>
      <c r="AA29" s="3">
        <v>0</v>
      </c>
      <c r="AB29" s="3" t="s">
        <v>191</v>
      </c>
      <c r="AC29" s="3">
        <v>0</v>
      </c>
      <c r="AD29" s="3">
        <v>17.58</v>
      </c>
      <c r="AE29" s="3">
        <v>63</v>
      </c>
      <c r="AF29" s="3">
        <v>0</v>
      </c>
      <c r="AG29" s="3">
        <v>80.419785</v>
      </c>
      <c r="AH29" s="3">
        <v>0</v>
      </c>
      <c r="AI29" s="3" t="s">
        <v>192</v>
      </c>
      <c r="AJ29" s="3" t="s">
        <v>187</v>
      </c>
    </row>
    <row r="30" spans="1:36">
      <c r="A30" s="6">
        <v>43288</v>
      </c>
      <c r="B30" s="3" t="s">
        <v>292</v>
      </c>
      <c r="C30" s="3" t="s">
        <v>293</v>
      </c>
      <c r="D30" s="3" t="s">
        <v>293</v>
      </c>
      <c r="E30" s="3" t="s">
        <v>294</v>
      </c>
      <c r="F30" s="3" t="s">
        <v>182</v>
      </c>
      <c r="G30" s="3">
        <v>4</v>
      </c>
      <c r="H30" s="3">
        <v>0</v>
      </c>
      <c r="I30" s="3">
        <v>0</v>
      </c>
      <c r="J30" s="3">
        <v>4</v>
      </c>
      <c r="K30" s="3">
        <v>0</v>
      </c>
      <c r="L30" s="3">
        <v>0</v>
      </c>
      <c r="M30" s="3">
        <v>0</v>
      </c>
      <c r="N30" s="3" t="s">
        <v>183</v>
      </c>
      <c r="O30" s="3">
        <v>4</v>
      </c>
      <c r="P30" s="3">
        <v>6.41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184</v>
      </c>
      <c r="X30" s="3">
        <v>21.98</v>
      </c>
      <c r="Y30" s="3">
        <v>21.98</v>
      </c>
      <c r="Z30" s="3">
        <v>21.5</v>
      </c>
      <c r="AA30" s="3">
        <v>0</v>
      </c>
      <c r="AB30" s="3" t="s">
        <v>191</v>
      </c>
      <c r="AC30" s="3">
        <v>0</v>
      </c>
      <c r="AD30" s="3">
        <v>17.58</v>
      </c>
      <c r="AE30" s="3">
        <v>63</v>
      </c>
      <c r="AF30" s="3">
        <v>0</v>
      </c>
      <c r="AG30" s="3">
        <v>80.419785</v>
      </c>
      <c r="AH30" s="3">
        <v>0</v>
      </c>
      <c r="AI30" s="3" t="s">
        <v>192</v>
      </c>
      <c r="AJ30" s="3" t="s">
        <v>193</v>
      </c>
    </row>
    <row r="31" spans="1:36">
      <c r="A31" s="6">
        <v>43288</v>
      </c>
      <c r="B31" s="3" t="s">
        <v>295</v>
      </c>
      <c r="C31" s="3" t="s">
        <v>296</v>
      </c>
      <c r="D31" s="3" t="s">
        <v>296</v>
      </c>
      <c r="E31" s="3" t="s">
        <v>297</v>
      </c>
      <c r="F31" s="3" t="s">
        <v>182</v>
      </c>
      <c r="G31" s="3">
        <v>14</v>
      </c>
      <c r="H31" s="3">
        <v>0</v>
      </c>
      <c r="I31" s="3">
        <v>0</v>
      </c>
      <c r="J31" s="3">
        <v>2</v>
      </c>
      <c r="K31" s="3">
        <v>12</v>
      </c>
      <c r="L31" s="3">
        <v>0</v>
      </c>
      <c r="M31" s="3">
        <v>0</v>
      </c>
      <c r="N31" s="3" t="s">
        <v>183</v>
      </c>
      <c r="O31" s="3">
        <v>12</v>
      </c>
      <c r="P31" s="3">
        <v>10.72</v>
      </c>
      <c r="Q31" s="3">
        <v>0</v>
      </c>
      <c r="R31" s="3">
        <v>0</v>
      </c>
      <c r="S31" s="3">
        <v>1</v>
      </c>
      <c r="T31" s="3">
        <v>3</v>
      </c>
      <c r="U31" s="3">
        <v>5</v>
      </c>
      <c r="V31" s="3">
        <v>8</v>
      </c>
      <c r="W31" s="3" t="s">
        <v>184</v>
      </c>
      <c r="X31" s="3">
        <v>16.99</v>
      </c>
      <c r="Y31" s="3">
        <v>15.99</v>
      </c>
      <c r="Z31" s="3">
        <v>15.99</v>
      </c>
      <c r="AA31" s="3">
        <v>0</v>
      </c>
      <c r="AB31" s="3" t="s">
        <v>191</v>
      </c>
      <c r="AC31" s="3">
        <v>12</v>
      </c>
      <c r="AD31" s="3">
        <v>12.79</v>
      </c>
      <c r="AE31" s="3">
        <v>63</v>
      </c>
      <c r="AF31" s="3">
        <v>0</v>
      </c>
      <c r="AG31" s="3">
        <v>1.204871</v>
      </c>
      <c r="AH31" s="3">
        <v>0.444444444444444</v>
      </c>
      <c r="AI31" s="3" t="s">
        <v>298</v>
      </c>
      <c r="AJ31" s="3" t="s">
        <v>247</v>
      </c>
    </row>
    <row r="32" spans="1:36">
      <c r="A32" s="6">
        <v>43288</v>
      </c>
      <c r="B32" s="3" t="s">
        <v>299</v>
      </c>
      <c r="C32" s="3" t="s">
        <v>300</v>
      </c>
      <c r="D32" s="3" t="s">
        <v>300</v>
      </c>
      <c r="E32" s="3" t="s">
        <v>301</v>
      </c>
      <c r="F32" s="3" t="s">
        <v>182</v>
      </c>
      <c r="G32" s="3">
        <v>10</v>
      </c>
      <c r="H32" s="3">
        <v>0</v>
      </c>
      <c r="I32" s="3">
        <v>0</v>
      </c>
      <c r="J32" s="3">
        <v>0</v>
      </c>
      <c r="K32" s="3">
        <v>10</v>
      </c>
      <c r="L32" s="3">
        <v>0</v>
      </c>
      <c r="M32" s="3">
        <v>0</v>
      </c>
      <c r="N32" s="3" t="s">
        <v>183</v>
      </c>
      <c r="O32" s="3">
        <v>10</v>
      </c>
      <c r="P32" s="3">
        <v>35.76</v>
      </c>
      <c r="Q32" s="3">
        <v>0</v>
      </c>
      <c r="R32" s="3">
        <v>0</v>
      </c>
      <c r="S32" s="3">
        <v>3</v>
      </c>
      <c r="T32" s="3">
        <v>3</v>
      </c>
      <c r="U32" s="3">
        <v>4</v>
      </c>
      <c r="V32" s="3">
        <v>11</v>
      </c>
      <c r="W32" s="3" t="s">
        <v>184</v>
      </c>
      <c r="X32" s="3">
        <v>65.99</v>
      </c>
      <c r="Y32" s="3">
        <v>65.99</v>
      </c>
      <c r="Z32" s="3">
        <v>65.99</v>
      </c>
      <c r="AA32" s="3">
        <v>0</v>
      </c>
      <c r="AB32" s="3" t="s">
        <v>191</v>
      </c>
      <c r="AC32" s="3">
        <v>0</v>
      </c>
      <c r="AD32" s="3">
        <v>54</v>
      </c>
      <c r="AE32" s="3">
        <v>336</v>
      </c>
      <c r="AF32" s="3">
        <v>0</v>
      </c>
      <c r="AG32" s="3">
        <v>852.835158</v>
      </c>
      <c r="AH32" s="3">
        <v>0.709677419354838</v>
      </c>
      <c r="AI32" s="3" t="s">
        <v>302</v>
      </c>
      <c r="AJ32" s="3" t="s">
        <v>187</v>
      </c>
    </row>
    <row r="33" spans="1:36">
      <c r="A33" s="6">
        <v>43288</v>
      </c>
      <c r="B33" s="3" t="s">
        <v>303</v>
      </c>
      <c r="C33" s="3" t="s">
        <v>304</v>
      </c>
      <c r="D33" s="3" t="s">
        <v>304</v>
      </c>
      <c r="E33" s="3" t="s">
        <v>305</v>
      </c>
      <c r="F33" s="3" t="s">
        <v>182</v>
      </c>
      <c r="G33" s="3">
        <v>50</v>
      </c>
      <c r="H33" s="3">
        <v>0</v>
      </c>
      <c r="I33" s="3">
        <v>0</v>
      </c>
      <c r="J33" s="3">
        <v>25</v>
      </c>
      <c r="K33" s="3">
        <v>25</v>
      </c>
      <c r="L33" s="3">
        <v>0</v>
      </c>
      <c r="M33" s="3">
        <v>0</v>
      </c>
      <c r="N33" s="3" t="s">
        <v>183</v>
      </c>
      <c r="O33" s="3">
        <v>26</v>
      </c>
      <c r="P33" s="3">
        <v>61.77</v>
      </c>
      <c r="Q33" s="3">
        <v>0</v>
      </c>
      <c r="R33" s="3">
        <v>0</v>
      </c>
      <c r="S33" s="3">
        <v>1</v>
      </c>
      <c r="T33" s="3">
        <v>5</v>
      </c>
      <c r="U33" s="3">
        <v>17</v>
      </c>
      <c r="V33" s="3">
        <v>23</v>
      </c>
      <c r="W33" s="3"/>
      <c r="X33" s="3">
        <v>16.99</v>
      </c>
      <c r="Y33" s="3">
        <v>16.99</v>
      </c>
      <c r="Z33" s="3">
        <v>16.99</v>
      </c>
      <c r="AA33" s="3">
        <v>0</v>
      </c>
      <c r="AB33" s="3" t="s">
        <v>185</v>
      </c>
      <c r="AC33" s="3">
        <v>50</v>
      </c>
      <c r="AD33" s="3">
        <v>15.99</v>
      </c>
      <c r="AE33" s="3">
        <v>0</v>
      </c>
      <c r="AF33" s="3">
        <v>0</v>
      </c>
      <c r="AG33" s="3">
        <v>0</v>
      </c>
      <c r="AH33" s="3">
        <v>0.368</v>
      </c>
      <c r="AI33" s="3" t="s">
        <v>306</v>
      </c>
      <c r="AJ33" s="3" t="s">
        <v>187</v>
      </c>
    </row>
    <row r="34" spans="1:36">
      <c r="A34" s="6">
        <v>43288</v>
      </c>
      <c r="B34" s="3" t="s">
        <v>111</v>
      </c>
      <c r="C34" s="3" t="s">
        <v>112</v>
      </c>
      <c r="D34" s="3" t="s">
        <v>113</v>
      </c>
      <c r="E34" s="3" t="s">
        <v>307</v>
      </c>
      <c r="F34" s="3" t="s">
        <v>182</v>
      </c>
      <c r="G34" s="3">
        <v>2</v>
      </c>
      <c r="H34" s="3">
        <v>0</v>
      </c>
      <c r="I34" s="3">
        <v>0</v>
      </c>
      <c r="J34" s="3">
        <v>2</v>
      </c>
      <c r="K34" s="3">
        <v>0</v>
      </c>
      <c r="L34" s="3">
        <v>0</v>
      </c>
      <c r="M34" s="3">
        <v>0</v>
      </c>
      <c r="N34" s="3" t="s">
        <v>183</v>
      </c>
      <c r="O34" s="3">
        <v>2</v>
      </c>
      <c r="P34" s="3">
        <v>12.38</v>
      </c>
      <c r="Q34" s="3">
        <v>0</v>
      </c>
      <c r="R34" s="3">
        <v>0</v>
      </c>
      <c r="S34" s="3">
        <v>0</v>
      </c>
      <c r="T34" s="3">
        <v>3</v>
      </c>
      <c r="U34" s="3">
        <v>3</v>
      </c>
      <c r="V34" s="3">
        <v>3</v>
      </c>
      <c r="W34" s="3" t="s">
        <v>184</v>
      </c>
      <c r="X34" s="3">
        <v>15.99</v>
      </c>
      <c r="Y34" s="3">
        <v>15.99</v>
      </c>
      <c r="Z34" s="3">
        <v>15.99</v>
      </c>
      <c r="AA34" s="3">
        <v>0</v>
      </c>
      <c r="AB34" s="3" t="s">
        <v>191</v>
      </c>
      <c r="AC34" s="3">
        <v>2</v>
      </c>
      <c r="AD34" s="3">
        <v>15.99</v>
      </c>
      <c r="AE34" s="3">
        <v>0</v>
      </c>
      <c r="AF34" s="3">
        <v>0</v>
      </c>
      <c r="AG34" s="3">
        <v>0</v>
      </c>
      <c r="AH34" s="3">
        <v>0.705882352941176</v>
      </c>
      <c r="AI34" s="3" t="s">
        <v>308</v>
      </c>
      <c r="AJ34" s="3" t="s">
        <v>187</v>
      </c>
    </row>
    <row r="35" spans="1:36">
      <c r="A35" s="6">
        <v>43288</v>
      </c>
      <c r="B35" s="3" t="s">
        <v>309</v>
      </c>
      <c r="C35" s="3" t="s">
        <v>310</v>
      </c>
      <c r="D35" s="3" t="s">
        <v>310</v>
      </c>
      <c r="E35" s="3" t="s">
        <v>311</v>
      </c>
      <c r="F35" s="3" t="s">
        <v>182</v>
      </c>
      <c r="G35" s="3">
        <v>13</v>
      </c>
      <c r="H35" s="3">
        <v>0</v>
      </c>
      <c r="I35" s="3">
        <v>0</v>
      </c>
      <c r="J35" s="3">
        <v>0</v>
      </c>
      <c r="K35" s="3">
        <v>13</v>
      </c>
      <c r="L35" s="3">
        <v>0</v>
      </c>
      <c r="M35" s="3">
        <v>0</v>
      </c>
      <c r="N35" s="3" t="s">
        <v>183</v>
      </c>
      <c r="O35" s="3">
        <v>13</v>
      </c>
      <c r="P35" s="3">
        <v>56.46</v>
      </c>
      <c r="Q35" s="3">
        <v>0</v>
      </c>
      <c r="R35" s="3">
        <v>0</v>
      </c>
      <c r="S35" s="3">
        <v>0</v>
      </c>
      <c r="T35" s="3">
        <v>0</v>
      </c>
      <c r="U35" s="3">
        <v>1</v>
      </c>
      <c r="V35" s="3">
        <v>1</v>
      </c>
      <c r="W35" s="3" t="s">
        <v>184</v>
      </c>
      <c r="X35" s="3">
        <v>35.94</v>
      </c>
      <c r="Y35" s="3">
        <v>35.94</v>
      </c>
      <c r="Z35" s="3">
        <v>35.94</v>
      </c>
      <c r="AA35" s="3">
        <v>0</v>
      </c>
      <c r="AB35" s="3" t="s">
        <v>191</v>
      </c>
      <c r="AC35" s="3">
        <v>9</v>
      </c>
      <c r="AD35" s="3">
        <v>29.44</v>
      </c>
      <c r="AE35" s="3">
        <v>35</v>
      </c>
      <c r="AF35" s="3">
        <v>0</v>
      </c>
      <c r="AG35" s="3">
        <v>12.200991</v>
      </c>
      <c r="AH35" s="3">
        <v>0.0727272727272727</v>
      </c>
      <c r="AI35" s="3" t="s">
        <v>312</v>
      </c>
      <c r="AJ35" s="3" t="s">
        <v>187</v>
      </c>
    </row>
    <row r="36" spans="1:36">
      <c r="A36" s="6">
        <v>43288</v>
      </c>
      <c r="B36" s="3" t="s">
        <v>313</v>
      </c>
      <c r="C36" s="3" t="s">
        <v>314</v>
      </c>
      <c r="D36" s="3" t="s">
        <v>314</v>
      </c>
      <c r="E36" s="3" t="s">
        <v>315</v>
      </c>
      <c r="F36" s="3" t="s">
        <v>182</v>
      </c>
      <c r="G36" s="3">
        <v>4</v>
      </c>
      <c r="H36" s="3">
        <v>0</v>
      </c>
      <c r="I36" s="3">
        <v>0</v>
      </c>
      <c r="J36" s="3">
        <v>1</v>
      </c>
      <c r="K36" s="3">
        <v>3</v>
      </c>
      <c r="L36" s="3">
        <v>0</v>
      </c>
      <c r="M36" s="3">
        <v>0</v>
      </c>
      <c r="N36" s="3" t="s">
        <v>183</v>
      </c>
      <c r="O36" s="3">
        <v>4</v>
      </c>
      <c r="P36" s="3">
        <v>6.79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197</v>
      </c>
      <c r="X36" s="3">
        <v>15.4</v>
      </c>
      <c r="Y36" s="3">
        <v>15.4</v>
      </c>
      <c r="Z36" s="3">
        <v>15.4</v>
      </c>
      <c r="AA36" s="3">
        <v>0</v>
      </c>
      <c r="AB36" s="3" t="s">
        <v>198</v>
      </c>
      <c r="AC36" s="3">
        <v>0</v>
      </c>
      <c r="AD36" s="3">
        <v>13.24</v>
      </c>
      <c r="AE36" s="3">
        <v>182</v>
      </c>
      <c r="AF36" s="3">
        <v>0</v>
      </c>
      <c r="AG36" s="3">
        <v>97.89552</v>
      </c>
      <c r="AH36" s="3">
        <v>0</v>
      </c>
      <c r="AI36" s="3" t="s">
        <v>199</v>
      </c>
      <c r="AJ36" s="3" t="s">
        <v>193</v>
      </c>
    </row>
    <row r="37" spans="1:36">
      <c r="A37" s="6">
        <v>43288</v>
      </c>
      <c r="B37" s="3" t="s">
        <v>316</v>
      </c>
      <c r="C37" s="3" t="s">
        <v>317</v>
      </c>
      <c r="D37" s="3" t="s">
        <v>317</v>
      </c>
      <c r="E37" s="3" t="s">
        <v>318</v>
      </c>
      <c r="F37" s="3" t="s">
        <v>182</v>
      </c>
      <c r="G37" s="3">
        <v>3</v>
      </c>
      <c r="H37" s="3">
        <v>0</v>
      </c>
      <c r="I37" s="3">
        <v>0</v>
      </c>
      <c r="J37" s="3">
        <v>3</v>
      </c>
      <c r="K37" s="3">
        <v>0</v>
      </c>
      <c r="L37" s="3">
        <v>0</v>
      </c>
      <c r="M37" s="3">
        <v>0</v>
      </c>
      <c r="N37" s="3" t="s">
        <v>183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1</v>
      </c>
      <c r="W37" s="3" t="s">
        <v>184</v>
      </c>
      <c r="X37" s="3">
        <v>10</v>
      </c>
      <c r="Y37" s="3">
        <v>10</v>
      </c>
      <c r="Z37" s="3">
        <v>10</v>
      </c>
      <c r="AA37" s="3">
        <v>0</v>
      </c>
      <c r="AB37" s="3" t="s">
        <v>191</v>
      </c>
      <c r="AC37" s="3">
        <v>0</v>
      </c>
      <c r="AD37" s="3">
        <v>9.29</v>
      </c>
      <c r="AE37" s="3">
        <v>91</v>
      </c>
      <c r="AF37" s="3">
        <v>0</v>
      </c>
      <c r="AG37" s="3">
        <v>49.603895</v>
      </c>
      <c r="AH37" s="3">
        <v>0.333333333333333</v>
      </c>
      <c r="AI37" s="3" t="s">
        <v>319</v>
      </c>
      <c r="AJ37" s="3" t="s">
        <v>187</v>
      </c>
    </row>
    <row r="38" spans="1:36">
      <c r="A38" s="6">
        <v>43288</v>
      </c>
      <c r="B38" s="3" t="s">
        <v>320</v>
      </c>
      <c r="C38" s="3" t="s">
        <v>321</v>
      </c>
      <c r="D38" s="3" t="s">
        <v>322</v>
      </c>
      <c r="E38" s="3" t="s">
        <v>323</v>
      </c>
      <c r="F38" s="3" t="s">
        <v>182</v>
      </c>
      <c r="G38" s="3">
        <v>4</v>
      </c>
      <c r="H38" s="3">
        <v>0</v>
      </c>
      <c r="I38" s="3">
        <v>4</v>
      </c>
      <c r="J38" s="3">
        <v>0</v>
      </c>
      <c r="K38" s="3">
        <v>0</v>
      </c>
      <c r="L38" s="3">
        <v>0</v>
      </c>
      <c r="M38" s="3">
        <v>0</v>
      </c>
      <c r="N38" s="3" t="s">
        <v>183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1</v>
      </c>
      <c r="V38" s="3">
        <v>1</v>
      </c>
      <c r="W38" s="3" t="s">
        <v>184</v>
      </c>
      <c r="X38" s="3">
        <v>7.99</v>
      </c>
      <c r="Y38" s="3">
        <v>7.99</v>
      </c>
      <c r="Z38" s="3">
        <v>7.99</v>
      </c>
      <c r="AA38" s="3">
        <v>0</v>
      </c>
      <c r="AB38" s="3" t="s">
        <v>191</v>
      </c>
      <c r="AC38" s="3">
        <v>4</v>
      </c>
      <c r="AD38" s="3">
        <v>7.99</v>
      </c>
      <c r="AE38" s="3">
        <v>0</v>
      </c>
      <c r="AF38" s="3">
        <v>0</v>
      </c>
      <c r="AG38" s="3">
        <v>0</v>
      </c>
      <c r="AH38" s="3">
        <v>0.25</v>
      </c>
      <c r="AI38" s="3" t="s">
        <v>204</v>
      </c>
      <c r="AJ38" s="3" t="s">
        <v>187</v>
      </c>
    </row>
    <row r="39" spans="1:36">
      <c r="A39" s="6">
        <v>43288</v>
      </c>
      <c r="B39" s="3" t="s">
        <v>324</v>
      </c>
      <c r="C39" s="3" t="s">
        <v>325</v>
      </c>
      <c r="D39" s="3" t="s">
        <v>326</v>
      </c>
      <c r="E39" s="3" t="s">
        <v>327</v>
      </c>
      <c r="F39" s="3" t="s">
        <v>182</v>
      </c>
      <c r="G39" s="3">
        <v>3</v>
      </c>
      <c r="H39" s="3">
        <v>0</v>
      </c>
      <c r="I39" s="3">
        <v>3</v>
      </c>
      <c r="J39" s="3">
        <v>0</v>
      </c>
      <c r="K39" s="3">
        <v>0</v>
      </c>
      <c r="L39" s="3">
        <v>0</v>
      </c>
      <c r="M39" s="3">
        <v>0</v>
      </c>
      <c r="N39" s="3" t="s">
        <v>183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184</v>
      </c>
      <c r="X39" s="3">
        <v>10.99</v>
      </c>
      <c r="Y39" s="3">
        <v>10.99</v>
      </c>
      <c r="Z39" s="3">
        <v>10.99</v>
      </c>
      <c r="AA39" s="3">
        <v>0</v>
      </c>
      <c r="AB39" s="3" t="s">
        <v>191</v>
      </c>
      <c r="AC39" s="3">
        <v>0</v>
      </c>
      <c r="AD39" s="3">
        <v>8.79</v>
      </c>
      <c r="AE39" s="3">
        <v>63</v>
      </c>
      <c r="AF39" s="3">
        <v>0</v>
      </c>
      <c r="AG39" s="3">
        <v>0.782316</v>
      </c>
      <c r="AH39" s="3">
        <v>0</v>
      </c>
      <c r="AI39" s="3" t="s">
        <v>328</v>
      </c>
      <c r="AJ39" s="3" t="s">
        <v>187</v>
      </c>
    </row>
    <row r="40" spans="1:36">
      <c r="A40" s="6">
        <v>43288</v>
      </c>
      <c r="B40" s="3" t="s">
        <v>329</v>
      </c>
      <c r="C40" s="3" t="s">
        <v>330</v>
      </c>
      <c r="D40" s="3" t="s">
        <v>331</v>
      </c>
      <c r="E40" s="3" t="s">
        <v>332</v>
      </c>
      <c r="F40" s="3" t="s">
        <v>182</v>
      </c>
      <c r="G40" s="3">
        <v>13</v>
      </c>
      <c r="H40" s="3">
        <v>0</v>
      </c>
      <c r="I40" s="3">
        <v>13</v>
      </c>
      <c r="J40" s="3">
        <v>0</v>
      </c>
      <c r="K40" s="3">
        <v>0</v>
      </c>
      <c r="L40" s="3">
        <v>0</v>
      </c>
      <c r="M40" s="3">
        <v>0</v>
      </c>
      <c r="N40" s="3" t="s">
        <v>183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2</v>
      </c>
      <c r="U40" s="3">
        <v>7</v>
      </c>
      <c r="V40" s="3">
        <v>10</v>
      </c>
      <c r="W40" s="3" t="s">
        <v>197</v>
      </c>
      <c r="X40" s="3">
        <v>9.99</v>
      </c>
      <c r="Y40" s="3">
        <v>9.99</v>
      </c>
      <c r="Z40" s="3">
        <v>9.99</v>
      </c>
      <c r="AA40" s="3">
        <v>0</v>
      </c>
      <c r="AB40" s="3" t="s">
        <v>185</v>
      </c>
      <c r="AC40" s="3">
        <v>13</v>
      </c>
      <c r="AD40" s="3">
        <v>9.99</v>
      </c>
      <c r="AE40" s="3">
        <v>0</v>
      </c>
      <c r="AF40" s="3">
        <v>0</v>
      </c>
      <c r="AG40" s="3">
        <v>0</v>
      </c>
      <c r="AH40" s="3">
        <v>1.5</v>
      </c>
      <c r="AI40" s="3" t="s">
        <v>333</v>
      </c>
      <c r="AJ40" s="3" t="s">
        <v>187</v>
      </c>
    </row>
    <row r="41" spans="1:36">
      <c r="A41" s="6">
        <v>43288</v>
      </c>
      <c r="B41" s="3" t="s">
        <v>334</v>
      </c>
      <c r="C41" s="3" t="s">
        <v>335</v>
      </c>
      <c r="D41" s="3" t="s">
        <v>335</v>
      </c>
      <c r="E41" s="3" t="s">
        <v>336</v>
      </c>
      <c r="F41" s="3" t="s">
        <v>182</v>
      </c>
      <c r="G41" s="3">
        <v>5</v>
      </c>
      <c r="H41" s="3">
        <v>0</v>
      </c>
      <c r="I41" s="3">
        <v>0</v>
      </c>
      <c r="J41" s="3">
        <v>0</v>
      </c>
      <c r="K41" s="3">
        <v>5</v>
      </c>
      <c r="L41" s="3">
        <v>0</v>
      </c>
      <c r="M41" s="3">
        <v>0</v>
      </c>
      <c r="N41" s="3" t="s">
        <v>183</v>
      </c>
      <c r="O41" s="3">
        <v>5</v>
      </c>
      <c r="P41" s="3">
        <v>8.49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197</v>
      </c>
      <c r="X41" s="3">
        <v>14.39</v>
      </c>
      <c r="Y41" s="3">
        <v>14.39</v>
      </c>
      <c r="Z41" s="3">
        <v>14.39</v>
      </c>
      <c r="AA41" s="3">
        <v>0</v>
      </c>
      <c r="AB41" s="3" t="s">
        <v>185</v>
      </c>
      <c r="AC41" s="3">
        <v>0</v>
      </c>
      <c r="AD41" s="3">
        <v>14.39</v>
      </c>
      <c r="AE41" s="3">
        <v>63</v>
      </c>
      <c r="AF41" s="3">
        <v>0</v>
      </c>
      <c r="AG41" s="3">
        <v>100.228075</v>
      </c>
      <c r="AH41" s="3">
        <v>0</v>
      </c>
      <c r="AI41" s="3" t="s">
        <v>199</v>
      </c>
      <c r="AJ41" s="3" t="s">
        <v>193</v>
      </c>
    </row>
    <row r="42" spans="1:36">
      <c r="A42" s="6">
        <v>43288</v>
      </c>
      <c r="B42" s="3" t="s">
        <v>64</v>
      </c>
      <c r="C42" s="3" t="s">
        <v>65</v>
      </c>
      <c r="D42" s="3" t="s">
        <v>65</v>
      </c>
      <c r="E42" s="3" t="s">
        <v>38</v>
      </c>
      <c r="F42" s="3" t="s">
        <v>182</v>
      </c>
      <c r="G42" s="3">
        <v>3</v>
      </c>
      <c r="H42" s="3">
        <v>0</v>
      </c>
      <c r="I42" s="3">
        <v>0</v>
      </c>
      <c r="J42" s="3">
        <v>3</v>
      </c>
      <c r="K42" s="3">
        <v>0</v>
      </c>
      <c r="L42" s="3">
        <v>0</v>
      </c>
      <c r="M42" s="3">
        <v>0</v>
      </c>
      <c r="N42" s="3" t="s">
        <v>183</v>
      </c>
      <c r="O42" s="3">
        <v>3</v>
      </c>
      <c r="P42" s="3">
        <v>7.5</v>
      </c>
      <c r="Q42" s="3">
        <v>0</v>
      </c>
      <c r="R42" s="3">
        <v>0</v>
      </c>
      <c r="S42" s="3">
        <v>0</v>
      </c>
      <c r="T42" s="3">
        <v>2</v>
      </c>
      <c r="U42" s="3">
        <v>3</v>
      </c>
      <c r="V42" s="3">
        <v>6</v>
      </c>
      <c r="W42" s="3"/>
      <c r="X42" s="3">
        <v>11.33</v>
      </c>
      <c r="Y42" s="3">
        <v>11.33</v>
      </c>
      <c r="Z42" s="3">
        <v>11.33</v>
      </c>
      <c r="AA42" s="3">
        <v>0</v>
      </c>
      <c r="AB42" s="3" t="s">
        <v>198</v>
      </c>
      <c r="AC42" s="3">
        <v>1</v>
      </c>
      <c r="AD42" s="3">
        <v>10.42</v>
      </c>
      <c r="AE42" s="3">
        <v>28</v>
      </c>
      <c r="AF42" s="3">
        <v>0</v>
      </c>
      <c r="AG42" s="3">
        <v>0.379795</v>
      </c>
      <c r="AH42" s="3">
        <v>1.04347826086956</v>
      </c>
      <c r="AI42" s="3" t="s">
        <v>337</v>
      </c>
      <c r="AJ42" s="3" t="s">
        <v>187</v>
      </c>
    </row>
    <row r="43" spans="1:36">
      <c r="A43" s="6">
        <v>43288</v>
      </c>
      <c r="B43" s="3" t="s">
        <v>91</v>
      </c>
      <c r="C43" s="3" t="s">
        <v>92</v>
      </c>
      <c r="D43" s="3" t="s">
        <v>78</v>
      </c>
      <c r="E43" s="3" t="s">
        <v>79</v>
      </c>
      <c r="F43" s="3" t="s">
        <v>182</v>
      </c>
      <c r="G43" s="3">
        <v>125</v>
      </c>
      <c r="H43" s="3">
        <v>0</v>
      </c>
      <c r="I43" s="3">
        <v>125</v>
      </c>
      <c r="J43" s="3">
        <v>0</v>
      </c>
      <c r="K43" s="3">
        <v>0</v>
      </c>
      <c r="L43" s="3">
        <v>0</v>
      </c>
      <c r="M43" s="3">
        <v>0</v>
      </c>
      <c r="N43" s="3" t="s">
        <v>183</v>
      </c>
      <c r="O43" s="3">
        <v>0</v>
      </c>
      <c r="P43" s="3">
        <v>0</v>
      </c>
      <c r="Q43" s="3">
        <v>0</v>
      </c>
      <c r="R43" s="3">
        <v>0</v>
      </c>
      <c r="S43" s="3">
        <v>2</v>
      </c>
      <c r="T43" s="3">
        <v>2</v>
      </c>
      <c r="U43" s="3">
        <v>2</v>
      </c>
      <c r="V43" s="3">
        <v>2</v>
      </c>
      <c r="W43" s="3"/>
      <c r="X43" s="3">
        <v>9</v>
      </c>
      <c r="Y43" s="3">
        <v>9</v>
      </c>
      <c r="Z43" s="3">
        <v>8</v>
      </c>
      <c r="AA43" s="3">
        <v>0</v>
      </c>
      <c r="AB43" s="3" t="s">
        <v>185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1.57866666666666</v>
      </c>
      <c r="AI43" s="3" t="s">
        <v>338</v>
      </c>
      <c r="AJ43" s="3" t="s">
        <v>187</v>
      </c>
    </row>
    <row r="44" spans="1:36">
      <c r="A44" s="6">
        <v>43288</v>
      </c>
      <c r="B44" s="3" t="s">
        <v>339</v>
      </c>
      <c r="C44" s="3" t="s">
        <v>340</v>
      </c>
      <c r="D44" s="3" t="s">
        <v>340</v>
      </c>
      <c r="E44" s="3" t="s">
        <v>341</v>
      </c>
      <c r="F44" s="3" t="s">
        <v>182</v>
      </c>
      <c r="G44" s="3">
        <v>9</v>
      </c>
      <c r="H44" s="3">
        <v>0</v>
      </c>
      <c r="I44" s="3">
        <v>0</v>
      </c>
      <c r="J44" s="3">
        <v>0</v>
      </c>
      <c r="K44" s="3">
        <v>9</v>
      </c>
      <c r="L44" s="3">
        <v>0</v>
      </c>
      <c r="M44" s="3">
        <v>0</v>
      </c>
      <c r="N44" s="3" t="s">
        <v>183</v>
      </c>
      <c r="O44" s="3">
        <v>9</v>
      </c>
      <c r="P44" s="3">
        <v>19.54</v>
      </c>
      <c r="Q44" s="3">
        <v>0</v>
      </c>
      <c r="R44" s="3">
        <v>0</v>
      </c>
      <c r="S44" s="3">
        <v>0</v>
      </c>
      <c r="T44" s="3">
        <v>1</v>
      </c>
      <c r="U44" s="3">
        <v>1</v>
      </c>
      <c r="V44" s="3">
        <v>1</v>
      </c>
      <c r="W44" s="3" t="s">
        <v>184</v>
      </c>
      <c r="X44" s="3">
        <v>14.4</v>
      </c>
      <c r="Y44" s="3">
        <v>14.4</v>
      </c>
      <c r="Z44" s="3">
        <v>14.4</v>
      </c>
      <c r="AA44" s="3">
        <v>0</v>
      </c>
      <c r="AB44" s="3" t="s">
        <v>198</v>
      </c>
      <c r="AC44" s="3">
        <v>5</v>
      </c>
      <c r="AD44" s="3">
        <v>11.99</v>
      </c>
      <c r="AE44" s="3">
        <v>35</v>
      </c>
      <c r="AF44" s="3">
        <v>0</v>
      </c>
      <c r="AG44" s="3">
        <v>4.337598</v>
      </c>
      <c r="AH44" s="3">
        <v>0.102564102564102</v>
      </c>
      <c r="AI44" s="3" t="s">
        <v>342</v>
      </c>
      <c r="AJ44" s="3" t="s">
        <v>187</v>
      </c>
    </row>
    <row r="45" spans="1:36">
      <c r="A45" s="6">
        <v>43288</v>
      </c>
      <c r="B45" s="3" t="s">
        <v>343</v>
      </c>
      <c r="C45" s="3" t="s">
        <v>344</v>
      </c>
      <c r="D45" s="3" t="s">
        <v>344</v>
      </c>
      <c r="E45" s="3" t="s">
        <v>345</v>
      </c>
      <c r="F45" s="3" t="s">
        <v>182</v>
      </c>
      <c r="G45" s="3">
        <v>4</v>
      </c>
      <c r="H45" s="3">
        <v>0</v>
      </c>
      <c r="I45" s="3">
        <v>0</v>
      </c>
      <c r="J45" s="3">
        <v>4</v>
      </c>
      <c r="K45" s="3">
        <v>0</v>
      </c>
      <c r="L45" s="3">
        <v>0</v>
      </c>
      <c r="M45" s="3">
        <v>0</v>
      </c>
      <c r="N45" s="3" t="s">
        <v>183</v>
      </c>
      <c r="O45" s="3">
        <v>4</v>
      </c>
      <c r="P45" s="3">
        <v>6.41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184</v>
      </c>
      <c r="X45" s="3">
        <v>21.98</v>
      </c>
      <c r="Y45" s="3">
        <v>21.98</v>
      </c>
      <c r="Z45" s="3">
        <v>21.5</v>
      </c>
      <c r="AA45" s="3">
        <v>0</v>
      </c>
      <c r="AB45" s="3" t="s">
        <v>191</v>
      </c>
      <c r="AC45" s="3">
        <v>0</v>
      </c>
      <c r="AD45" s="3">
        <v>17.58</v>
      </c>
      <c r="AE45" s="3">
        <v>63</v>
      </c>
      <c r="AF45" s="3">
        <v>0</v>
      </c>
      <c r="AG45" s="3">
        <v>80.419785</v>
      </c>
      <c r="AH45" s="3">
        <v>0</v>
      </c>
      <c r="AI45" s="3" t="s">
        <v>192</v>
      </c>
      <c r="AJ45" s="3" t="s">
        <v>193</v>
      </c>
    </row>
    <row r="46" spans="1:36">
      <c r="A46" s="6">
        <v>43288</v>
      </c>
      <c r="B46" s="3" t="s">
        <v>346</v>
      </c>
      <c r="C46" s="3" t="s">
        <v>347</v>
      </c>
      <c r="D46" s="3" t="s">
        <v>347</v>
      </c>
      <c r="E46" s="3" t="s">
        <v>348</v>
      </c>
      <c r="F46" s="3" t="s">
        <v>182</v>
      </c>
      <c r="G46" s="3">
        <v>8</v>
      </c>
      <c r="H46" s="3">
        <v>0</v>
      </c>
      <c r="I46" s="3">
        <v>0</v>
      </c>
      <c r="J46" s="3">
        <v>0</v>
      </c>
      <c r="K46" s="3">
        <v>8</v>
      </c>
      <c r="L46" s="3">
        <v>0</v>
      </c>
      <c r="M46" s="3">
        <v>0</v>
      </c>
      <c r="N46" s="3" t="s">
        <v>183</v>
      </c>
      <c r="O46" s="3">
        <v>8</v>
      </c>
      <c r="P46" s="3">
        <v>23.12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184</v>
      </c>
      <c r="X46" s="3">
        <v>17.28</v>
      </c>
      <c r="Y46" s="3">
        <v>17.28</v>
      </c>
      <c r="Z46" s="3">
        <v>17.28</v>
      </c>
      <c r="AA46" s="3">
        <v>0</v>
      </c>
      <c r="AB46" s="3" t="s">
        <v>191</v>
      </c>
      <c r="AC46" s="3">
        <v>1</v>
      </c>
      <c r="AD46" s="3">
        <v>14.69</v>
      </c>
      <c r="AE46" s="3">
        <v>35</v>
      </c>
      <c r="AF46" s="3">
        <v>0</v>
      </c>
      <c r="AG46" s="3">
        <v>319.262374</v>
      </c>
      <c r="AH46" s="3">
        <v>0</v>
      </c>
      <c r="AI46" s="3" t="s">
        <v>349</v>
      </c>
      <c r="AJ46" s="3" t="s">
        <v>187</v>
      </c>
    </row>
    <row r="47" spans="1:36">
      <c r="A47" s="6">
        <v>43288</v>
      </c>
      <c r="B47" s="3" t="s">
        <v>350</v>
      </c>
      <c r="C47" s="3" t="s">
        <v>351</v>
      </c>
      <c r="D47" s="3" t="s">
        <v>352</v>
      </c>
      <c r="E47" s="3" t="s">
        <v>353</v>
      </c>
      <c r="F47" s="3" t="s">
        <v>182</v>
      </c>
      <c r="G47" s="3">
        <v>5</v>
      </c>
      <c r="H47" s="3">
        <v>0</v>
      </c>
      <c r="I47" s="3">
        <v>5</v>
      </c>
      <c r="J47" s="3">
        <v>0</v>
      </c>
      <c r="K47" s="3">
        <v>0</v>
      </c>
      <c r="L47" s="3">
        <v>0</v>
      </c>
      <c r="M47" s="3">
        <v>0</v>
      </c>
      <c r="N47" s="3" t="s">
        <v>183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184</v>
      </c>
      <c r="X47" s="3">
        <v>17.99</v>
      </c>
      <c r="Y47" s="3">
        <v>17.99</v>
      </c>
      <c r="Z47" s="3">
        <v>17.99</v>
      </c>
      <c r="AA47" s="3">
        <v>0</v>
      </c>
      <c r="AB47" s="3" t="s">
        <v>191</v>
      </c>
      <c r="AC47" s="3">
        <v>0</v>
      </c>
      <c r="AD47" s="3">
        <v>14.39</v>
      </c>
      <c r="AE47" s="3">
        <v>63</v>
      </c>
      <c r="AF47" s="3">
        <v>0</v>
      </c>
      <c r="AG47" s="3">
        <v>20.007933</v>
      </c>
      <c r="AH47" s="3">
        <v>0</v>
      </c>
      <c r="AI47" s="3" t="s">
        <v>354</v>
      </c>
      <c r="AJ47" s="3" t="s">
        <v>187</v>
      </c>
    </row>
    <row r="48" spans="1:36">
      <c r="A48" s="6">
        <v>43288</v>
      </c>
      <c r="B48" s="3" t="s">
        <v>355</v>
      </c>
      <c r="C48" s="3" t="s">
        <v>356</v>
      </c>
      <c r="D48" s="3" t="s">
        <v>356</v>
      </c>
      <c r="E48" s="3" t="s">
        <v>357</v>
      </c>
      <c r="F48" s="3" t="s">
        <v>182</v>
      </c>
      <c r="G48" s="3">
        <v>1</v>
      </c>
      <c r="H48" s="3">
        <v>0</v>
      </c>
      <c r="I48" s="3">
        <v>1</v>
      </c>
      <c r="J48" s="3">
        <v>0</v>
      </c>
      <c r="K48" s="3">
        <v>0</v>
      </c>
      <c r="L48" s="3">
        <v>0</v>
      </c>
      <c r="M48" s="3">
        <v>0</v>
      </c>
      <c r="N48" s="3" t="s">
        <v>183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197</v>
      </c>
      <c r="X48" s="3">
        <v>17.99</v>
      </c>
      <c r="Y48" s="3">
        <v>17.99</v>
      </c>
      <c r="Z48" s="3">
        <v>17.99</v>
      </c>
      <c r="AA48" s="3">
        <v>0</v>
      </c>
      <c r="AB48" s="3" t="s">
        <v>198</v>
      </c>
      <c r="AC48" s="3">
        <v>0</v>
      </c>
      <c r="AD48" s="3">
        <v>16.85</v>
      </c>
      <c r="AE48" s="3">
        <v>42</v>
      </c>
      <c r="AF48" s="3">
        <v>0</v>
      </c>
      <c r="AG48" s="3">
        <v>25.605531</v>
      </c>
      <c r="AH48" s="3">
        <v>0</v>
      </c>
      <c r="AI48" s="3" t="s">
        <v>199</v>
      </c>
      <c r="AJ48" s="3" t="s">
        <v>193</v>
      </c>
    </row>
    <row r="49" spans="1:36">
      <c r="A49" s="6">
        <v>43288</v>
      </c>
      <c r="B49" s="3" t="s">
        <v>358</v>
      </c>
      <c r="C49" s="3" t="s">
        <v>359</v>
      </c>
      <c r="D49" s="3" t="s">
        <v>359</v>
      </c>
      <c r="E49" s="3" t="s">
        <v>360</v>
      </c>
      <c r="F49" s="3" t="s">
        <v>182</v>
      </c>
      <c r="G49" s="3">
        <v>5</v>
      </c>
      <c r="H49" s="3">
        <v>0</v>
      </c>
      <c r="I49" s="3">
        <v>5</v>
      </c>
      <c r="J49" s="3">
        <v>0</v>
      </c>
      <c r="K49" s="3">
        <v>0</v>
      </c>
      <c r="L49" s="3">
        <v>0</v>
      </c>
      <c r="M49" s="3">
        <v>0</v>
      </c>
      <c r="N49" s="3" t="s">
        <v>183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1</v>
      </c>
      <c r="U49" s="3">
        <v>3</v>
      </c>
      <c r="V49" s="3">
        <v>6</v>
      </c>
      <c r="W49" s="3"/>
      <c r="X49" s="3">
        <v>13.99</v>
      </c>
      <c r="Y49" s="3">
        <v>13.99</v>
      </c>
      <c r="Z49" s="3">
        <v>13.99</v>
      </c>
      <c r="AA49" s="3">
        <v>0</v>
      </c>
      <c r="AB49" s="3" t="s">
        <v>198</v>
      </c>
      <c r="AC49" s="3">
        <v>1</v>
      </c>
      <c r="AD49" s="3">
        <v>11.19</v>
      </c>
      <c r="AE49" s="3">
        <v>126</v>
      </c>
      <c r="AF49" s="3">
        <v>0</v>
      </c>
      <c r="AG49" s="3">
        <v>6.896408</v>
      </c>
      <c r="AH49" s="3">
        <v>2.4</v>
      </c>
      <c r="AI49" s="3" t="s">
        <v>361</v>
      </c>
      <c r="AJ49" s="3" t="s">
        <v>187</v>
      </c>
    </row>
    <row r="50" spans="1:36">
      <c r="A50" s="6">
        <v>43288</v>
      </c>
      <c r="B50" s="3" t="s">
        <v>362</v>
      </c>
      <c r="C50" s="3" t="s">
        <v>363</v>
      </c>
      <c r="D50" s="3" t="s">
        <v>364</v>
      </c>
      <c r="E50" s="3" t="s">
        <v>365</v>
      </c>
      <c r="F50" s="3" t="s">
        <v>182</v>
      </c>
      <c r="G50" s="3">
        <v>3</v>
      </c>
      <c r="H50" s="3">
        <v>0</v>
      </c>
      <c r="I50" s="3">
        <v>3</v>
      </c>
      <c r="J50" s="3">
        <v>0</v>
      </c>
      <c r="K50" s="3">
        <v>0</v>
      </c>
      <c r="L50" s="3">
        <v>0</v>
      </c>
      <c r="M50" s="3">
        <v>0</v>
      </c>
      <c r="N50" s="3" t="s">
        <v>183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197</v>
      </c>
      <c r="X50" s="3">
        <v>13.99</v>
      </c>
      <c r="Y50" s="3">
        <v>13.99</v>
      </c>
      <c r="Z50" s="3">
        <v>13.99</v>
      </c>
      <c r="AA50" s="3">
        <v>0</v>
      </c>
      <c r="AB50" s="3" t="s">
        <v>198</v>
      </c>
      <c r="AC50" s="3">
        <v>3</v>
      </c>
      <c r="AD50" s="3">
        <v>9.99</v>
      </c>
      <c r="AE50" s="3">
        <v>0</v>
      </c>
      <c r="AF50" s="3">
        <v>0</v>
      </c>
      <c r="AG50" s="3">
        <v>0</v>
      </c>
      <c r="AH50" s="3">
        <v>0</v>
      </c>
      <c r="AI50" s="3" t="s">
        <v>366</v>
      </c>
      <c r="AJ50" s="3" t="s">
        <v>187</v>
      </c>
    </row>
    <row r="51" spans="1:36">
      <c r="A51" s="6">
        <v>43288</v>
      </c>
      <c r="B51" s="3" t="s">
        <v>367</v>
      </c>
      <c r="C51" s="3" t="s">
        <v>368</v>
      </c>
      <c r="D51" s="3" t="s">
        <v>368</v>
      </c>
      <c r="E51" s="3" t="s">
        <v>369</v>
      </c>
      <c r="F51" s="3" t="s">
        <v>182</v>
      </c>
      <c r="G51" s="3">
        <v>23</v>
      </c>
      <c r="H51" s="3">
        <v>0</v>
      </c>
      <c r="I51" s="3">
        <v>23</v>
      </c>
      <c r="J51" s="3">
        <v>0</v>
      </c>
      <c r="K51" s="3">
        <v>0</v>
      </c>
      <c r="L51" s="3">
        <v>0</v>
      </c>
      <c r="M51" s="3">
        <v>0</v>
      </c>
      <c r="N51" s="3" t="s">
        <v>183</v>
      </c>
      <c r="O51" s="3">
        <v>0</v>
      </c>
      <c r="P51" s="3">
        <v>0</v>
      </c>
      <c r="Q51" s="3">
        <v>0</v>
      </c>
      <c r="R51" s="3">
        <v>0</v>
      </c>
      <c r="S51" s="3">
        <v>1</v>
      </c>
      <c r="T51" s="3">
        <v>2</v>
      </c>
      <c r="U51" s="3">
        <v>3</v>
      </c>
      <c r="V51" s="3">
        <v>8</v>
      </c>
      <c r="W51" s="3" t="s">
        <v>184</v>
      </c>
      <c r="X51" s="3">
        <v>8.99</v>
      </c>
      <c r="Y51" s="3">
        <v>8.99</v>
      </c>
      <c r="Z51" s="3">
        <v>8.99</v>
      </c>
      <c r="AA51" s="3">
        <v>0</v>
      </c>
      <c r="AB51" s="3" t="s">
        <v>191</v>
      </c>
      <c r="AC51" s="3">
        <v>24</v>
      </c>
      <c r="AD51" s="3">
        <v>8.99</v>
      </c>
      <c r="AE51" s="3">
        <v>0</v>
      </c>
      <c r="AF51" s="3">
        <v>0</v>
      </c>
      <c r="AG51" s="3">
        <v>0</v>
      </c>
      <c r="AH51" s="3">
        <v>0.432432432432432</v>
      </c>
      <c r="AI51" s="3" t="s">
        <v>370</v>
      </c>
      <c r="AJ51" s="3" t="s">
        <v>187</v>
      </c>
    </row>
    <row r="52" spans="1:36">
      <c r="A52" s="6">
        <v>43288</v>
      </c>
      <c r="B52" s="3" t="s">
        <v>33</v>
      </c>
      <c r="C52" s="3" t="s">
        <v>34</v>
      </c>
      <c r="D52" s="3" t="s">
        <v>34</v>
      </c>
      <c r="E52" s="3" t="s">
        <v>35</v>
      </c>
      <c r="F52" s="3" t="s">
        <v>182</v>
      </c>
      <c r="G52" s="3">
        <v>12</v>
      </c>
      <c r="H52" s="3">
        <v>0</v>
      </c>
      <c r="I52" s="3">
        <v>10</v>
      </c>
      <c r="J52" s="3">
        <v>0</v>
      </c>
      <c r="K52" s="3">
        <v>2</v>
      </c>
      <c r="L52" s="3">
        <v>0</v>
      </c>
      <c r="M52" s="3">
        <v>0</v>
      </c>
      <c r="N52" s="3" t="s">
        <v>183</v>
      </c>
      <c r="O52" s="3">
        <v>2</v>
      </c>
      <c r="P52" s="3">
        <v>1.68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184</v>
      </c>
      <c r="X52" s="3">
        <v>11.08</v>
      </c>
      <c r="Y52" s="3">
        <v>11.08</v>
      </c>
      <c r="Z52" s="3">
        <v>11.08</v>
      </c>
      <c r="AA52" s="3">
        <v>0</v>
      </c>
      <c r="AB52" s="3" t="s">
        <v>191</v>
      </c>
      <c r="AC52" s="3">
        <v>4</v>
      </c>
      <c r="AD52" s="3">
        <v>10.43</v>
      </c>
      <c r="AE52" s="3">
        <v>77</v>
      </c>
      <c r="AF52" s="3">
        <v>0</v>
      </c>
      <c r="AG52" s="3">
        <v>150.021372</v>
      </c>
      <c r="AH52" s="3">
        <v>0</v>
      </c>
      <c r="AI52" s="3" t="s">
        <v>371</v>
      </c>
      <c r="AJ52" s="3" t="s">
        <v>187</v>
      </c>
    </row>
    <row r="53" spans="1:36">
      <c r="A53" s="6">
        <v>43288</v>
      </c>
      <c r="B53" s="3" t="s">
        <v>27</v>
      </c>
      <c r="C53" s="3" t="s">
        <v>28</v>
      </c>
      <c r="D53" s="3" t="s">
        <v>28</v>
      </c>
      <c r="E53" s="3" t="s">
        <v>29</v>
      </c>
      <c r="F53" s="3" t="s">
        <v>182</v>
      </c>
      <c r="G53" s="3">
        <v>13</v>
      </c>
      <c r="H53" s="3">
        <v>0</v>
      </c>
      <c r="I53" s="3">
        <v>0</v>
      </c>
      <c r="J53" s="3">
        <v>1</v>
      </c>
      <c r="K53" s="3">
        <v>12</v>
      </c>
      <c r="L53" s="3">
        <v>0</v>
      </c>
      <c r="M53" s="3">
        <v>0</v>
      </c>
      <c r="N53" s="3" t="s">
        <v>183</v>
      </c>
      <c r="O53" s="3">
        <v>13</v>
      </c>
      <c r="P53" s="3">
        <v>11.06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197</v>
      </c>
      <c r="X53" s="3">
        <v>9.76</v>
      </c>
      <c r="Y53" s="3">
        <v>9.76</v>
      </c>
      <c r="Z53" s="3">
        <v>9.76</v>
      </c>
      <c r="AA53" s="3">
        <v>0</v>
      </c>
      <c r="AB53" s="3" t="s">
        <v>198</v>
      </c>
      <c r="AC53" s="3">
        <v>2</v>
      </c>
      <c r="AD53" s="3">
        <v>8.85</v>
      </c>
      <c r="AE53" s="3">
        <v>35</v>
      </c>
      <c r="AF53" s="3">
        <v>0</v>
      </c>
      <c r="AG53" s="3">
        <v>161.302409</v>
      </c>
      <c r="AH53" s="3">
        <v>0</v>
      </c>
      <c r="AI53" s="3" t="s">
        <v>372</v>
      </c>
      <c r="AJ53" s="3" t="s">
        <v>187</v>
      </c>
    </row>
    <row r="54" spans="1:36">
      <c r="A54" s="6">
        <v>43288</v>
      </c>
      <c r="B54" s="3" t="s">
        <v>373</v>
      </c>
      <c r="C54" s="3" t="s">
        <v>374</v>
      </c>
      <c r="D54" s="3" t="s">
        <v>374</v>
      </c>
      <c r="E54" s="3" t="s">
        <v>375</v>
      </c>
      <c r="F54" s="3" t="s">
        <v>182</v>
      </c>
      <c r="G54" s="3">
        <v>5</v>
      </c>
      <c r="H54" s="3">
        <v>0</v>
      </c>
      <c r="I54" s="3">
        <v>2</v>
      </c>
      <c r="J54" s="3">
        <v>0</v>
      </c>
      <c r="K54" s="3">
        <v>3</v>
      </c>
      <c r="L54" s="3">
        <v>0</v>
      </c>
      <c r="M54" s="3">
        <v>0</v>
      </c>
      <c r="N54" s="3" t="s">
        <v>183</v>
      </c>
      <c r="O54" s="3">
        <v>3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184</v>
      </c>
      <c r="X54" s="3">
        <v>7.59</v>
      </c>
      <c r="Y54" s="3">
        <v>7.59</v>
      </c>
      <c r="Z54" s="3">
        <v>7.59</v>
      </c>
      <c r="AA54" s="3">
        <v>0</v>
      </c>
      <c r="AB54" s="3" t="s">
        <v>185</v>
      </c>
      <c r="AC54" s="3">
        <v>5</v>
      </c>
      <c r="AD54" s="3">
        <v>7.59</v>
      </c>
      <c r="AE54" s="3">
        <v>0</v>
      </c>
      <c r="AF54" s="3">
        <v>0</v>
      </c>
      <c r="AG54" s="3">
        <v>0</v>
      </c>
      <c r="AH54" s="3">
        <v>0</v>
      </c>
      <c r="AI54" s="3" t="s">
        <v>215</v>
      </c>
      <c r="AJ54" s="3" t="s">
        <v>187</v>
      </c>
    </row>
    <row r="55" spans="1:36">
      <c r="A55" s="6">
        <v>43288</v>
      </c>
      <c r="B55" s="3" t="s">
        <v>376</v>
      </c>
      <c r="C55" s="3" t="s">
        <v>377</v>
      </c>
      <c r="D55" s="3" t="s">
        <v>377</v>
      </c>
      <c r="E55" s="3" t="s">
        <v>378</v>
      </c>
      <c r="F55" s="3" t="s">
        <v>182</v>
      </c>
      <c r="G55" s="3">
        <v>8</v>
      </c>
      <c r="H55" s="3">
        <v>0</v>
      </c>
      <c r="I55" s="3">
        <v>8</v>
      </c>
      <c r="J55" s="3">
        <v>0</v>
      </c>
      <c r="K55" s="3">
        <v>0</v>
      </c>
      <c r="L55" s="3">
        <v>0</v>
      </c>
      <c r="M55" s="3">
        <v>0</v>
      </c>
      <c r="N55" s="3" t="s">
        <v>183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2</v>
      </c>
      <c r="U55" s="3">
        <v>7</v>
      </c>
      <c r="V55" s="3">
        <v>12</v>
      </c>
      <c r="W55" s="3" t="s">
        <v>184</v>
      </c>
      <c r="X55" s="3">
        <v>9.99</v>
      </c>
      <c r="Y55" s="3">
        <v>9.99</v>
      </c>
      <c r="Z55" s="3">
        <v>9.99</v>
      </c>
      <c r="AA55" s="3">
        <v>0</v>
      </c>
      <c r="AB55" s="3" t="s">
        <v>191</v>
      </c>
      <c r="AC55" s="3">
        <v>8</v>
      </c>
      <c r="AD55" s="3">
        <v>9.99</v>
      </c>
      <c r="AE55" s="3">
        <v>0</v>
      </c>
      <c r="AF55" s="3">
        <v>0</v>
      </c>
      <c r="AG55" s="3">
        <v>0</v>
      </c>
      <c r="AH55" s="3">
        <v>6</v>
      </c>
      <c r="AI55" s="3" t="s">
        <v>215</v>
      </c>
      <c r="AJ55" s="3" t="s">
        <v>187</v>
      </c>
    </row>
    <row r="56" spans="1:36">
      <c r="A56" s="6">
        <v>43288</v>
      </c>
      <c r="B56" s="3" t="s">
        <v>42</v>
      </c>
      <c r="C56" s="3" t="s">
        <v>43</v>
      </c>
      <c r="D56" s="3" t="s">
        <v>43</v>
      </c>
      <c r="E56" s="3" t="s">
        <v>38</v>
      </c>
      <c r="F56" s="3" t="s">
        <v>182</v>
      </c>
      <c r="G56" s="3">
        <v>9</v>
      </c>
      <c r="H56" s="3">
        <v>0</v>
      </c>
      <c r="I56" s="3">
        <v>0</v>
      </c>
      <c r="J56" s="3">
        <v>9</v>
      </c>
      <c r="K56" s="3">
        <v>0</v>
      </c>
      <c r="L56" s="3">
        <v>0</v>
      </c>
      <c r="M56" s="3">
        <v>0</v>
      </c>
      <c r="N56" s="3" t="s">
        <v>183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1</v>
      </c>
      <c r="U56" s="3">
        <v>1</v>
      </c>
      <c r="V56" s="3">
        <v>1</v>
      </c>
      <c r="W56" s="3"/>
      <c r="X56" s="3">
        <v>12.99</v>
      </c>
      <c r="Y56" s="3">
        <v>9.99</v>
      </c>
      <c r="Z56" s="3">
        <v>9.99</v>
      </c>
      <c r="AA56" s="3">
        <v>0</v>
      </c>
      <c r="AB56" s="3" t="s">
        <v>198</v>
      </c>
      <c r="AC56" s="3">
        <v>8</v>
      </c>
      <c r="AD56" s="3">
        <v>9.47</v>
      </c>
      <c r="AE56" s="3">
        <v>14</v>
      </c>
      <c r="AF56" s="3">
        <v>0</v>
      </c>
      <c r="AG56" s="3">
        <v>0.443461</v>
      </c>
      <c r="AH56" s="3">
        <v>0.102564102564102</v>
      </c>
      <c r="AI56" s="3" t="s">
        <v>379</v>
      </c>
      <c r="AJ56" s="3" t="s">
        <v>187</v>
      </c>
    </row>
    <row r="57" spans="1:36">
      <c r="A57" s="6">
        <v>43288</v>
      </c>
      <c r="B57" s="3" t="s">
        <v>380</v>
      </c>
      <c r="C57" s="3" t="s">
        <v>381</v>
      </c>
      <c r="D57" s="3" t="s">
        <v>381</v>
      </c>
      <c r="E57" s="3" t="s">
        <v>382</v>
      </c>
      <c r="F57" s="3" t="s">
        <v>182</v>
      </c>
      <c r="G57" s="3">
        <v>4</v>
      </c>
      <c r="H57" s="3">
        <v>0</v>
      </c>
      <c r="I57" s="3">
        <v>1</v>
      </c>
      <c r="J57" s="3">
        <v>0</v>
      </c>
      <c r="K57" s="3">
        <v>3</v>
      </c>
      <c r="L57" s="3">
        <v>0</v>
      </c>
      <c r="M57" s="3">
        <v>0</v>
      </c>
      <c r="N57" s="3" t="s">
        <v>183</v>
      </c>
      <c r="O57" s="3">
        <v>3</v>
      </c>
      <c r="P57" s="3">
        <v>0.87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184</v>
      </c>
      <c r="X57" s="3">
        <v>10</v>
      </c>
      <c r="Y57" s="3">
        <v>10</v>
      </c>
      <c r="Z57" s="3">
        <v>10</v>
      </c>
      <c r="AA57" s="3">
        <v>0</v>
      </c>
      <c r="AB57" s="3" t="s">
        <v>185</v>
      </c>
      <c r="AC57" s="3">
        <v>4</v>
      </c>
      <c r="AD57" s="3">
        <v>10</v>
      </c>
      <c r="AE57" s="3">
        <v>0</v>
      </c>
      <c r="AF57" s="3">
        <v>0</v>
      </c>
      <c r="AG57" s="3">
        <v>0</v>
      </c>
      <c r="AH57" s="3">
        <v>0</v>
      </c>
      <c r="AI57" s="3" t="s">
        <v>383</v>
      </c>
      <c r="AJ57" s="3" t="s">
        <v>187</v>
      </c>
    </row>
    <row r="58" spans="1:36">
      <c r="A58" s="6">
        <v>43288</v>
      </c>
      <c r="B58" s="3" t="s">
        <v>384</v>
      </c>
      <c r="C58" s="3" t="s">
        <v>385</v>
      </c>
      <c r="D58" s="3" t="s">
        <v>385</v>
      </c>
      <c r="E58" s="3" t="s">
        <v>386</v>
      </c>
      <c r="F58" s="3" t="s">
        <v>182</v>
      </c>
      <c r="G58" s="3">
        <v>10</v>
      </c>
      <c r="H58" s="3">
        <v>0</v>
      </c>
      <c r="I58" s="3">
        <v>0</v>
      </c>
      <c r="J58" s="3">
        <v>0</v>
      </c>
      <c r="K58" s="3">
        <v>10</v>
      </c>
      <c r="L58" s="3">
        <v>0</v>
      </c>
      <c r="M58" s="3">
        <v>0</v>
      </c>
      <c r="N58" s="3" t="s">
        <v>183</v>
      </c>
      <c r="O58" s="3">
        <v>10</v>
      </c>
      <c r="P58" s="3">
        <v>12.31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184</v>
      </c>
      <c r="X58" s="3">
        <v>15.46</v>
      </c>
      <c r="Y58" s="3">
        <v>15.46</v>
      </c>
      <c r="Z58" s="3">
        <v>15.46</v>
      </c>
      <c r="AA58" s="3">
        <v>0</v>
      </c>
      <c r="AB58" s="3" t="s">
        <v>198</v>
      </c>
      <c r="AC58" s="3">
        <v>0</v>
      </c>
      <c r="AD58" s="3">
        <v>12.29</v>
      </c>
      <c r="AE58" s="3">
        <v>217</v>
      </c>
      <c r="AF58" s="3">
        <v>0</v>
      </c>
      <c r="AG58" s="3">
        <v>193.763695</v>
      </c>
      <c r="AH58" s="3">
        <v>0</v>
      </c>
      <c r="AI58" s="3" t="s">
        <v>387</v>
      </c>
      <c r="AJ58" s="3" t="s">
        <v>187</v>
      </c>
    </row>
    <row r="59" spans="1:36">
      <c r="A59" s="6">
        <v>43288</v>
      </c>
      <c r="B59" s="3" t="s">
        <v>388</v>
      </c>
      <c r="C59" s="3" t="s">
        <v>389</v>
      </c>
      <c r="D59" s="3" t="s">
        <v>389</v>
      </c>
      <c r="E59" s="3" t="s">
        <v>390</v>
      </c>
      <c r="F59" s="3" t="s">
        <v>182</v>
      </c>
      <c r="G59" s="3">
        <v>4</v>
      </c>
      <c r="H59" s="3">
        <v>0</v>
      </c>
      <c r="I59" s="3">
        <v>0</v>
      </c>
      <c r="J59" s="3">
        <v>0</v>
      </c>
      <c r="K59" s="3">
        <v>4</v>
      </c>
      <c r="L59" s="3">
        <v>0</v>
      </c>
      <c r="M59" s="3">
        <v>0</v>
      </c>
      <c r="N59" s="3" t="s">
        <v>183</v>
      </c>
      <c r="O59" s="3">
        <v>4</v>
      </c>
      <c r="P59" s="3">
        <v>0.24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 t="s">
        <v>184</v>
      </c>
      <c r="X59" s="3">
        <v>10</v>
      </c>
      <c r="Y59" s="3">
        <v>10</v>
      </c>
      <c r="Z59" s="3">
        <v>10</v>
      </c>
      <c r="AA59" s="3">
        <v>0</v>
      </c>
      <c r="AB59" s="3" t="s">
        <v>185</v>
      </c>
      <c r="AC59" s="3">
        <v>4</v>
      </c>
      <c r="AD59" s="3">
        <v>10</v>
      </c>
      <c r="AE59" s="3">
        <v>0</v>
      </c>
      <c r="AF59" s="3">
        <v>0</v>
      </c>
      <c r="AG59" s="3">
        <v>0</v>
      </c>
      <c r="AH59" s="3">
        <v>0</v>
      </c>
      <c r="AI59" s="3" t="s">
        <v>288</v>
      </c>
      <c r="AJ59" s="3" t="s">
        <v>187</v>
      </c>
    </row>
    <row r="60" spans="1:36">
      <c r="A60" s="6">
        <v>43288</v>
      </c>
      <c r="B60" s="3" t="s">
        <v>72</v>
      </c>
      <c r="C60" s="3" t="s">
        <v>73</v>
      </c>
      <c r="D60" s="3" t="s">
        <v>74</v>
      </c>
      <c r="E60" s="3" t="s">
        <v>75</v>
      </c>
      <c r="F60" s="3" t="s">
        <v>182</v>
      </c>
      <c r="G60" s="3">
        <v>22</v>
      </c>
      <c r="H60" s="3">
        <v>0</v>
      </c>
      <c r="I60" s="3">
        <v>22</v>
      </c>
      <c r="J60" s="3">
        <v>0</v>
      </c>
      <c r="K60" s="3">
        <v>0</v>
      </c>
      <c r="L60" s="3">
        <v>0</v>
      </c>
      <c r="M60" s="3">
        <v>0</v>
      </c>
      <c r="N60" s="3" t="s">
        <v>183</v>
      </c>
      <c r="O60" s="3">
        <v>0</v>
      </c>
      <c r="P60" s="3">
        <v>0</v>
      </c>
      <c r="Q60" s="3">
        <v>0</v>
      </c>
      <c r="R60" s="3">
        <v>0</v>
      </c>
      <c r="S60" s="3">
        <v>1</v>
      </c>
      <c r="T60" s="3">
        <v>2</v>
      </c>
      <c r="U60" s="3">
        <v>8</v>
      </c>
      <c r="V60" s="3">
        <v>8</v>
      </c>
      <c r="W60" s="3" t="s">
        <v>197</v>
      </c>
      <c r="X60" s="3">
        <v>9.99</v>
      </c>
      <c r="Y60" s="3">
        <v>9.99</v>
      </c>
      <c r="Z60" s="3">
        <v>9.99</v>
      </c>
      <c r="AA60" s="3">
        <v>0</v>
      </c>
      <c r="AB60" s="3" t="s">
        <v>185</v>
      </c>
      <c r="AC60" s="3">
        <v>22</v>
      </c>
      <c r="AD60" s="3">
        <v>9.99</v>
      </c>
      <c r="AE60" s="3">
        <v>0</v>
      </c>
      <c r="AF60" s="3">
        <v>0</v>
      </c>
      <c r="AG60" s="3">
        <v>0</v>
      </c>
      <c r="AH60" s="3">
        <v>0.827586206896551</v>
      </c>
      <c r="AI60" s="3" t="s">
        <v>391</v>
      </c>
      <c r="AJ60" s="3" t="s">
        <v>187</v>
      </c>
    </row>
    <row r="61" spans="1:36">
      <c r="A61" s="6">
        <v>43288</v>
      </c>
      <c r="B61" s="3" t="s">
        <v>392</v>
      </c>
      <c r="C61" s="3" t="s">
        <v>393</v>
      </c>
      <c r="D61" s="3" t="s">
        <v>394</v>
      </c>
      <c r="E61" s="3" t="s">
        <v>395</v>
      </c>
      <c r="F61" s="3" t="s">
        <v>182</v>
      </c>
      <c r="G61" s="3">
        <v>3</v>
      </c>
      <c r="H61" s="3">
        <v>0</v>
      </c>
      <c r="I61" s="3">
        <v>3</v>
      </c>
      <c r="J61" s="3">
        <v>0</v>
      </c>
      <c r="K61" s="3">
        <v>0</v>
      </c>
      <c r="L61" s="3">
        <v>0</v>
      </c>
      <c r="M61" s="3">
        <v>0</v>
      </c>
      <c r="N61" s="3" t="s">
        <v>183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 t="s">
        <v>184</v>
      </c>
      <c r="X61" s="3">
        <v>10.99</v>
      </c>
      <c r="Y61" s="3">
        <v>10.99</v>
      </c>
      <c r="Z61" s="3">
        <v>10.99</v>
      </c>
      <c r="AA61" s="3">
        <v>0</v>
      </c>
      <c r="AB61" s="3" t="s">
        <v>191</v>
      </c>
      <c r="AC61" s="3">
        <v>0</v>
      </c>
      <c r="AD61" s="3">
        <v>8.79</v>
      </c>
      <c r="AE61" s="3">
        <v>63</v>
      </c>
      <c r="AF61" s="3">
        <v>0</v>
      </c>
      <c r="AG61" s="3">
        <v>0.782316</v>
      </c>
      <c r="AH61" s="3">
        <v>0</v>
      </c>
      <c r="AI61" s="3" t="s">
        <v>396</v>
      </c>
      <c r="AJ61" s="3" t="s">
        <v>187</v>
      </c>
    </row>
    <row r="62" spans="1:36">
      <c r="A62" s="6">
        <v>43288</v>
      </c>
      <c r="B62" s="3" t="s">
        <v>397</v>
      </c>
      <c r="C62" s="3" t="s">
        <v>398</v>
      </c>
      <c r="D62" s="3" t="s">
        <v>398</v>
      </c>
      <c r="E62" s="3" t="s">
        <v>399</v>
      </c>
      <c r="F62" s="3" t="s">
        <v>182</v>
      </c>
      <c r="G62" s="3">
        <v>1</v>
      </c>
      <c r="H62" s="3">
        <v>0</v>
      </c>
      <c r="I62" s="3">
        <v>0</v>
      </c>
      <c r="J62" s="3">
        <v>0</v>
      </c>
      <c r="K62" s="3">
        <v>1</v>
      </c>
      <c r="L62" s="3">
        <v>0</v>
      </c>
      <c r="M62" s="3">
        <v>0</v>
      </c>
      <c r="N62" s="3" t="s">
        <v>183</v>
      </c>
      <c r="O62" s="3">
        <v>1</v>
      </c>
      <c r="P62" s="3">
        <v>0.63</v>
      </c>
      <c r="Q62" s="3">
        <v>0</v>
      </c>
      <c r="R62" s="3">
        <v>0</v>
      </c>
      <c r="S62" s="3">
        <v>0</v>
      </c>
      <c r="T62" s="3">
        <v>1</v>
      </c>
      <c r="U62" s="3">
        <v>1</v>
      </c>
      <c r="V62" s="3">
        <v>1</v>
      </c>
      <c r="W62" s="3" t="s">
        <v>184</v>
      </c>
      <c r="X62" s="3">
        <v>11.99</v>
      </c>
      <c r="Y62" s="3">
        <v>11.99</v>
      </c>
      <c r="Z62" s="3">
        <v>11.99</v>
      </c>
      <c r="AA62" s="3">
        <v>0</v>
      </c>
      <c r="AB62" s="3" t="s">
        <v>185</v>
      </c>
      <c r="AC62" s="3">
        <v>1</v>
      </c>
      <c r="AD62" s="3">
        <v>11.99</v>
      </c>
      <c r="AE62" s="3">
        <v>0</v>
      </c>
      <c r="AF62" s="3">
        <v>0</v>
      </c>
      <c r="AG62" s="3">
        <v>0</v>
      </c>
      <c r="AH62" s="3">
        <v>0.571428571428571</v>
      </c>
      <c r="AI62" s="3" t="s">
        <v>400</v>
      </c>
      <c r="AJ62" s="3" t="s">
        <v>187</v>
      </c>
    </row>
    <row r="63" spans="1:36">
      <c r="A63" s="6">
        <v>43288</v>
      </c>
      <c r="B63" s="3" t="s">
        <v>401</v>
      </c>
      <c r="C63" s="3" t="s">
        <v>402</v>
      </c>
      <c r="D63" s="3" t="s">
        <v>402</v>
      </c>
      <c r="E63" s="3" t="s">
        <v>403</v>
      </c>
      <c r="F63" s="3" t="s">
        <v>182</v>
      </c>
      <c r="G63" s="3">
        <v>4</v>
      </c>
      <c r="H63" s="3">
        <v>0</v>
      </c>
      <c r="I63" s="3">
        <v>0</v>
      </c>
      <c r="J63" s="3">
        <v>4</v>
      </c>
      <c r="K63" s="3">
        <v>0</v>
      </c>
      <c r="L63" s="3">
        <v>0</v>
      </c>
      <c r="M63" s="3">
        <v>0</v>
      </c>
      <c r="N63" s="3" t="s">
        <v>183</v>
      </c>
      <c r="O63" s="3">
        <v>4</v>
      </c>
      <c r="P63" s="3">
        <v>5.99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184</v>
      </c>
      <c r="X63" s="3">
        <v>21.98</v>
      </c>
      <c r="Y63" s="3">
        <v>21.98</v>
      </c>
      <c r="Z63" s="3">
        <v>21.98</v>
      </c>
      <c r="AA63" s="3">
        <v>0</v>
      </c>
      <c r="AB63" s="3" t="s">
        <v>191</v>
      </c>
      <c r="AC63" s="3">
        <v>0</v>
      </c>
      <c r="AD63" s="3">
        <v>17.58</v>
      </c>
      <c r="AE63" s="3">
        <v>63</v>
      </c>
      <c r="AF63" s="3">
        <v>0</v>
      </c>
      <c r="AG63" s="3">
        <v>75.705426</v>
      </c>
      <c r="AH63" s="3">
        <v>0</v>
      </c>
      <c r="AI63" s="3" t="s">
        <v>251</v>
      </c>
      <c r="AJ63" s="3" t="s">
        <v>187</v>
      </c>
    </row>
    <row r="64" spans="1:36">
      <c r="A64" s="6">
        <v>43288</v>
      </c>
      <c r="B64" s="3" t="s">
        <v>404</v>
      </c>
      <c r="C64" s="3" t="s">
        <v>405</v>
      </c>
      <c r="D64" s="3" t="s">
        <v>405</v>
      </c>
      <c r="E64" s="3" t="s">
        <v>406</v>
      </c>
      <c r="F64" s="3" t="s">
        <v>182</v>
      </c>
      <c r="G64" s="3">
        <v>21</v>
      </c>
      <c r="H64" s="3">
        <v>0</v>
      </c>
      <c r="I64" s="3">
        <v>21</v>
      </c>
      <c r="J64" s="3">
        <v>0</v>
      </c>
      <c r="K64" s="3">
        <v>0</v>
      </c>
      <c r="L64" s="3">
        <v>0</v>
      </c>
      <c r="M64" s="3">
        <v>0</v>
      </c>
      <c r="N64" s="3" t="s">
        <v>183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2</v>
      </c>
      <c r="U64" s="3">
        <v>6</v>
      </c>
      <c r="V64" s="3">
        <v>10</v>
      </c>
      <c r="W64" s="3" t="s">
        <v>184</v>
      </c>
      <c r="X64" s="3">
        <v>8.99</v>
      </c>
      <c r="Y64" s="3">
        <v>8.99</v>
      </c>
      <c r="Z64" s="3">
        <v>8.99</v>
      </c>
      <c r="AA64" s="3">
        <v>0</v>
      </c>
      <c r="AB64" s="3" t="s">
        <v>191</v>
      </c>
      <c r="AC64" s="3">
        <v>21</v>
      </c>
      <c r="AD64" s="3">
        <v>8.99</v>
      </c>
      <c r="AE64" s="3">
        <v>0</v>
      </c>
      <c r="AF64" s="3">
        <v>0</v>
      </c>
      <c r="AG64" s="3">
        <v>0</v>
      </c>
      <c r="AH64" s="3">
        <v>0.555555555555555</v>
      </c>
      <c r="AI64" s="3" t="s">
        <v>407</v>
      </c>
      <c r="AJ64" s="3" t="s">
        <v>187</v>
      </c>
    </row>
    <row r="65" spans="1:36">
      <c r="A65" s="6">
        <v>43288</v>
      </c>
      <c r="B65" s="3" t="s">
        <v>408</v>
      </c>
      <c r="C65" s="3" t="s">
        <v>409</v>
      </c>
      <c r="D65" s="3" t="s">
        <v>409</v>
      </c>
      <c r="E65" s="3" t="s">
        <v>410</v>
      </c>
      <c r="F65" s="3" t="s">
        <v>182</v>
      </c>
      <c r="G65" s="3">
        <v>6</v>
      </c>
      <c r="H65" s="3">
        <v>0</v>
      </c>
      <c r="I65" s="3">
        <v>0</v>
      </c>
      <c r="J65" s="3">
        <v>6</v>
      </c>
      <c r="K65" s="3">
        <v>0</v>
      </c>
      <c r="L65" s="3">
        <v>0</v>
      </c>
      <c r="M65" s="3">
        <v>0</v>
      </c>
      <c r="N65" s="3" t="s">
        <v>183</v>
      </c>
      <c r="O65" s="3">
        <v>6</v>
      </c>
      <c r="P65" s="3">
        <v>0</v>
      </c>
      <c r="Q65" s="3">
        <v>0</v>
      </c>
      <c r="R65" s="3">
        <v>0</v>
      </c>
      <c r="S65" s="3">
        <v>0</v>
      </c>
      <c r="T65" s="3">
        <v>1</v>
      </c>
      <c r="U65" s="3">
        <v>2</v>
      </c>
      <c r="V65" s="3">
        <v>3</v>
      </c>
      <c r="W65" s="3"/>
      <c r="X65" s="3">
        <v>10.27</v>
      </c>
      <c r="Y65" s="3">
        <v>10.27</v>
      </c>
      <c r="Z65" s="3">
        <v>10.27</v>
      </c>
      <c r="AA65" s="3">
        <v>0</v>
      </c>
      <c r="AB65" s="3" t="s">
        <v>185</v>
      </c>
      <c r="AC65" s="3">
        <v>6</v>
      </c>
      <c r="AD65" s="3">
        <v>10.27</v>
      </c>
      <c r="AE65" s="3">
        <v>0</v>
      </c>
      <c r="AF65" s="3">
        <v>0</v>
      </c>
      <c r="AG65" s="3">
        <v>0</v>
      </c>
      <c r="AH65" s="3">
        <v>0.375</v>
      </c>
      <c r="AI65" s="3" t="s">
        <v>215</v>
      </c>
      <c r="AJ65" s="3" t="s">
        <v>187</v>
      </c>
    </row>
    <row r="66" spans="1:36">
      <c r="A66" s="6">
        <v>43288</v>
      </c>
      <c r="B66" s="3" t="s">
        <v>411</v>
      </c>
      <c r="C66" s="3" t="s">
        <v>412</v>
      </c>
      <c r="D66" s="3" t="s">
        <v>412</v>
      </c>
      <c r="E66" s="3" t="s">
        <v>413</v>
      </c>
      <c r="F66" s="3" t="s">
        <v>182</v>
      </c>
      <c r="G66" s="3">
        <v>4</v>
      </c>
      <c r="H66" s="3">
        <v>0</v>
      </c>
      <c r="I66" s="3">
        <v>0</v>
      </c>
      <c r="J66" s="3">
        <v>4</v>
      </c>
      <c r="K66" s="3">
        <v>0</v>
      </c>
      <c r="L66" s="3">
        <v>0</v>
      </c>
      <c r="M66" s="3">
        <v>0</v>
      </c>
      <c r="N66" s="3" t="s">
        <v>183</v>
      </c>
      <c r="O66" s="3">
        <v>4</v>
      </c>
      <c r="P66" s="3">
        <v>6.41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 t="s">
        <v>184</v>
      </c>
      <c r="X66" s="3">
        <v>21.98</v>
      </c>
      <c r="Y66" s="3">
        <v>21.98</v>
      </c>
      <c r="Z66" s="3">
        <v>21.5</v>
      </c>
      <c r="AA66" s="3">
        <v>0</v>
      </c>
      <c r="AB66" s="3" t="s">
        <v>191</v>
      </c>
      <c r="AC66" s="3">
        <v>0</v>
      </c>
      <c r="AD66" s="3">
        <v>17.58</v>
      </c>
      <c r="AE66" s="3">
        <v>63</v>
      </c>
      <c r="AF66" s="3">
        <v>0</v>
      </c>
      <c r="AG66" s="3">
        <v>80.419785</v>
      </c>
      <c r="AH66" s="3">
        <v>0</v>
      </c>
      <c r="AI66" s="3" t="s">
        <v>192</v>
      </c>
      <c r="AJ66" s="3" t="s">
        <v>193</v>
      </c>
    </row>
    <row r="67" spans="1:36">
      <c r="A67" s="6">
        <v>43288</v>
      </c>
      <c r="B67" s="3" t="s">
        <v>414</v>
      </c>
      <c r="C67" s="3" t="s">
        <v>415</v>
      </c>
      <c r="D67" s="3" t="s">
        <v>415</v>
      </c>
      <c r="E67" s="3" t="s">
        <v>416</v>
      </c>
      <c r="F67" s="3" t="s">
        <v>182</v>
      </c>
      <c r="G67" s="3">
        <v>16</v>
      </c>
      <c r="H67" s="3">
        <v>0</v>
      </c>
      <c r="I67" s="3">
        <v>16</v>
      </c>
      <c r="J67" s="3">
        <v>0</v>
      </c>
      <c r="K67" s="3">
        <v>0</v>
      </c>
      <c r="L67" s="3">
        <v>0</v>
      </c>
      <c r="M67" s="3">
        <v>0</v>
      </c>
      <c r="N67" s="3" t="s">
        <v>183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4</v>
      </c>
      <c r="U67" s="3">
        <v>4</v>
      </c>
      <c r="V67" s="3">
        <v>7</v>
      </c>
      <c r="W67" s="3" t="s">
        <v>184</v>
      </c>
      <c r="X67" s="3">
        <v>8.99</v>
      </c>
      <c r="Y67" s="3">
        <v>8.99</v>
      </c>
      <c r="Z67" s="3">
        <v>8.99</v>
      </c>
      <c r="AA67" s="3">
        <v>0</v>
      </c>
      <c r="AB67" s="3" t="s">
        <v>191</v>
      </c>
      <c r="AC67" s="3">
        <v>16</v>
      </c>
      <c r="AD67" s="3">
        <v>8.99</v>
      </c>
      <c r="AE67" s="3">
        <v>0</v>
      </c>
      <c r="AF67" s="3">
        <v>0</v>
      </c>
      <c r="AG67" s="3">
        <v>0</v>
      </c>
      <c r="AH67" s="3">
        <v>0.636363636363636</v>
      </c>
      <c r="AI67" s="3" t="s">
        <v>417</v>
      </c>
      <c r="AJ67" s="3" t="s">
        <v>187</v>
      </c>
    </row>
    <row r="68" spans="1:36">
      <c r="A68" s="6">
        <v>43288</v>
      </c>
      <c r="B68" s="3" t="s">
        <v>418</v>
      </c>
      <c r="C68" s="3" t="s">
        <v>419</v>
      </c>
      <c r="D68" s="3" t="s">
        <v>420</v>
      </c>
      <c r="E68" s="3" t="s">
        <v>421</v>
      </c>
      <c r="F68" s="3" t="s">
        <v>182</v>
      </c>
      <c r="G68" s="3">
        <v>2</v>
      </c>
      <c r="H68" s="3">
        <v>0</v>
      </c>
      <c r="I68" s="3">
        <v>2</v>
      </c>
      <c r="J68" s="3">
        <v>0</v>
      </c>
      <c r="K68" s="3">
        <v>0</v>
      </c>
      <c r="L68" s="3">
        <v>0</v>
      </c>
      <c r="M68" s="3">
        <v>0</v>
      </c>
      <c r="N68" s="3" t="s">
        <v>183</v>
      </c>
      <c r="O68" s="3">
        <v>0</v>
      </c>
      <c r="P68" s="3">
        <v>0</v>
      </c>
      <c r="Q68" s="3">
        <v>0</v>
      </c>
      <c r="R68" s="3">
        <v>0</v>
      </c>
      <c r="S68" s="3">
        <v>1</v>
      </c>
      <c r="T68" s="3">
        <v>3</v>
      </c>
      <c r="U68" s="3">
        <v>3</v>
      </c>
      <c r="V68" s="3">
        <v>3</v>
      </c>
      <c r="W68" s="3" t="s">
        <v>197</v>
      </c>
      <c r="X68" s="3">
        <v>7.99</v>
      </c>
      <c r="Y68" s="3">
        <v>7.99</v>
      </c>
      <c r="Z68" s="3">
        <v>7.99</v>
      </c>
      <c r="AA68" s="3">
        <v>0</v>
      </c>
      <c r="AB68" s="3" t="s">
        <v>185</v>
      </c>
      <c r="AC68" s="3">
        <v>3</v>
      </c>
      <c r="AD68" s="3">
        <v>7.99</v>
      </c>
      <c r="AE68" s="3">
        <v>0</v>
      </c>
      <c r="AF68" s="3">
        <v>0</v>
      </c>
      <c r="AG68" s="3">
        <v>0</v>
      </c>
      <c r="AH68" s="3">
        <v>1.5</v>
      </c>
      <c r="AI68" s="3" t="s">
        <v>422</v>
      </c>
      <c r="AJ68" s="3" t="s">
        <v>187</v>
      </c>
    </row>
    <row r="69" spans="1:36">
      <c r="A69" s="6">
        <v>43288</v>
      </c>
      <c r="B69" s="3" t="s">
        <v>423</v>
      </c>
      <c r="C69" s="3" t="s">
        <v>424</v>
      </c>
      <c r="D69" s="3" t="s">
        <v>424</v>
      </c>
      <c r="E69" s="3" t="s">
        <v>425</v>
      </c>
      <c r="F69" s="3" t="s">
        <v>182</v>
      </c>
      <c r="G69" s="3">
        <v>5</v>
      </c>
      <c r="H69" s="3">
        <v>0</v>
      </c>
      <c r="I69" s="3">
        <v>5</v>
      </c>
      <c r="J69" s="3">
        <v>0</v>
      </c>
      <c r="K69" s="3">
        <v>0</v>
      </c>
      <c r="L69" s="3">
        <v>0</v>
      </c>
      <c r="M69" s="3">
        <v>0</v>
      </c>
      <c r="N69" s="3" t="s">
        <v>183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4</v>
      </c>
      <c r="V69" s="3">
        <v>6</v>
      </c>
      <c r="W69" s="3" t="s">
        <v>197</v>
      </c>
      <c r="X69" s="3">
        <v>13.99</v>
      </c>
      <c r="Y69" s="3">
        <v>13.99</v>
      </c>
      <c r="Z69" s="3">
        <v>13.99</v>
      </c>
      <c r="AA69" s="3">
        <v>0</v>
      </c>
      <c r="AB69" s="3" t="s">
        <v>198</v>
      </c>
      <c r="AC69" s="3">
        <v>0</v>
      </c>
      <c r="AD69" s="3">
        <v>10.24</v>
      </c>
      <c r="AE69" s="3">
        <v>140</v>
      </c>
      <c r="AF69" s="3">
        <v>0</v>
      </c>
      <c r="AG69" s="3">
        <v>17.921271</v>
      </c>
      <c r="AH69" s="3">
        <v>3</v>
      </c>
      <c r="AI69" s="3" t="s">
        <v>426</v>
      </c>
      <c r="AJ69" s="3" t="s">
        <v>187</v>
      </c>
    </row>
    <row r="70" spans="1:36">
      <c r="A70" s="6">
        <v>43288</v>
      </c>
      <c r="B70" s="3" t="s">
        <v>427</v>
      </c>
      <c r="C70" s="3" t="s">
        <v>428</v>
      </c>
      <c r="D70" s="3" t="s">
        <v>428</v>
      </c>
      <c r="E70" s="3" t="s">
        <v>429</v>
      </c>
      <c r="F70" s="3" t="s">
        <v>182</v>
      </c>
      <c r="G70" s="3">
        <v>4</v>
      </c>
      <c r="H70" s="3">
        <v>0</v>
      </c>
      <c r="I70" s="3">
        <v>0</v>
      </c>
      <c r="J70" s="3">
        <v>0</v>
      </c>
      <c r="K70" s="3">
        <v>4</v>
      </c>
      <c r="L70" s="3">
        <v>0</v>
      </c>
      <c r="M70" s="3">
        <v>0</v>
      </c>
      <c r="N70" s="3" t="s">
        <v>183</v>
      </c>
      <c r="O70" s="3">
        <v>4</v>
      </c>
      <c r="P70" s="3">
        <v>6.79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 t="s">
        <v>197</v>
      </c>
      <c r="X70" s="3">
        <v>17.99</v>
      </c>
      <c r="Y70" s="3">
        <v>17.99</v>
      </c>
      <c r="Z70" s="3">
        <v>17.99</v>
      </c>
      <c r="AA70" s="3">
        <v>0</v>
      </c>
      <c r="AB70" s="3" t="s">
        <v>185</v>
      </c>
      <c r="AC70" s="3">
        <v>4</v>
      </c>
      <c r="AD70" s="3">
        <v>17.99</v>
      </c>
      <c r="AE70" s="3">
        <v>0</v>
      </c>
      <c r="AF70" s="3">
        <v>0</v>
      </c>
      <c r="AG70" s="3">
        <v>0</v>
      </c>
      <c r="AH70" s="3">
        <v>0</v>
      </c>
      <c r="AI70" s="3" t="s">
        <v>199</v>
      </c>
      <c r="AJ70" s="3" t="s">
        <v>193</v>
      </c>
    </row>
    <row r="71" spans="1:36">
      <c r="A71" s="6">
        <v>43288</v>
      </c>
      <c r="B71" s="3" t="s">
        <v>61</v>
      </c>
      <c r="C71" s="3" t="s">
        <v>62</v>
      </c>
      <c r="D71" s="3" t="s">
        <v>62</v>
      </c>
      <c r="E71" s="3" t="s">
        <v>63</v>
      </c>
      <c r="F71" s="3" t="s">
        <v>182</v>
      </c>
      <c r="G71" s="3">
        <v>3</v>
      </c>
      <c r="H71" s="3">
        <v>0</v>
      </c>
      <c r="I71" s="3">
        <v>0</v>
      </c>
      <c r="J71" s="3">
        <v>0</v>
      </c>
      <c r="K71" s="3">
        <v>3</v>
      </c>
      <c r="L71" s="3">
        <v>0</v>
      </c>
      <c r="M71" s="3">
        <v>0</v>
      </c>
      <c r="N71" s="3" t="s">
        <v>183</v>
      </c>
      <c r="O71" s="3">
        <v>3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2</v>
      </c>
      <c r="V71" s="3">
        <v>2</v>
      </c>
      <c r="W71" s="3" t="s">
        <v>197</v>
      </c>
      <c r="X71" s="3">
        <v>11.19</v>
      </c>
      <c r="Y71" s="3">
        <v>11.19</v>
      </c>
      <c r="Z71" s="3">
        <v>11.19</v>
      </c>
      <c r="AA71" s="3">
        <v>0</v>
      </c>
      <c r="AB71" s="3" t="s">
        <v>185</v>
      </c>
      <c r="AC71" s="3">
        <v>3</v>
      </c>
      <c r="AD71" s="3">
        <v>11.19</v>
      </c>
      <c r="AE71" s="3">
        <v>0</v>
      </c>
      <c r="AF71" s="3">
        <v>0</v>
      </c>
      <c r="AG71" s="3">
        <v>0</v>
      </c>
      <c r="AH71" s="3">
        <v>0.5</v>
      </c>
      <c r="AI71" s="3" t="s">
        <v>215</v>
      </c>
      <c r="AJ71" s="3" t="s">
        <v>187</v>
      </c>
    </row>
    <row r="72" spans="1:36">
      <c r="A72" s="6">
        <v>43288</v>
      </c>
      <c r="B72" s="3" t="s">
        <v>430</v>
      </c>
      <c r="C72" s="3" t="s">
        <v>431</v>
      </c>
      <c r="D72" s="3" t="s">
        <v>431</v>
      </c>
      <c r="E72" s="3" t="s">
        <v>432</v>
      </c>
      <c r="F72" s="3" t="s">
        <v>182</v>
      </c>
      <c r="G72" s="3">
        <v>2</v>
      </c>
      <c r="H72" s="3">
        <v>0</v>
      </c>
      <c r="I72" s="3">
        <v>2</v>
      </c>
      <c r="J72" s="3">
        <v>0</v>
      </c>
      <c r="K72" s="3">
        <v>0</v>
      </c>
      <c r="L72" s="3">
        <v>0</v>
      </c>
      <c r="M72" s="3">
        <v>0</v>
      </c>
      <c r="N72" s="3" t="s">
        <v>183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1</v>
      </c>
      <c r="U72" s="3">
        <v>1</v>
      </c>
      <c r="V72" s="3">
        <v>1</v>
      </c>
      <c r="W72" s="3"/>
      <c r="X72" s="3">
        <v>19.9</v>
      </c>
      <c r="Y72" s="3">
        <v>19.9</v>
      </c>
      <c r="Z72" s="3">
        <v>19.9</v>
      </c>
      <c r="AA72" s="3">
        <v>0</v>
      </c>
      <c r="AB72" s="3" t="s">
        <v>245</v>
      </c>
      <c r="AC72" s="3">
        <v>0</v>
      </c>
      <c r="AD72" s="3">
        <v>19.9</v>
      </c>
      <c r="AE72" s="3">
        <v>0</v>
      </c>
      <c r="AF72" s="3">
        <v>2</v>
      </c>
      <c r="AG72" s="3">
        <v>36.015762</v>
      </c>
      <c r="AH72" s="3">
        <v>0.444444444444444</v>
      </c>
      <c r="AI72" s="3" t="s">
        <v>433</v>
      </c>
      <c r="AJ72" s="3" t="s">
        <v>187</v>
      </c>
    </row>
    <row r="73" spans="1:36">
      <c r="A73" s="6">
        <v>43288</v>
      </c>
      <c r="B73" s="3" t="s">
        <v>434</v>
      </c>
      <c r="C73" s="3" t="s">
        <v>435</v>
      </c>
      <c r="D73" s="3" t="s">
        <v>436</v>
      </c>
      <c r="E73" s="3" t="s">
        <v>437</v>
      </c>
      <c r="F73" s="3" t="s">
        <v>182</v>
      </c>
      <c r="G73" s="3">
        <v>5</v>
      </c>
      <c r="H73" s="3">
        <v>0</v>
      </c>
      <c r="I73" s="3">
        <v>5</v>
      </c>
      <c r="J73" s="3">
        <v>0</v>
      </c>
      <c r="K73" s="3">
        <v>0</v>
      </c>
      <c r="L73" s="3">
        <v>0</v>
      </c>
      <c r="M73" s="3">
        <v>0</v>
      </c>
      <c r="N73" s="3" t="s">
        <v>183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 t="s">
        <v>184</v>
      </c>
      <c r="X73" s="3">
        <v>7.99</v>
      </c>
      <c r="Y73" s="3">
        <v>7.99</v>
      </c>
      <c r="Z73" s="3">
        <v>7.99</v>
      </c>
      <c r="AA73" s="3">
        <v>0</v>
      </c>
      <c r="AB73" s="3" t="s">
        <v>191</v>
      </c>
      <c r="AC73" s="3">
        <v>5</v>
      </c>
      <c r="AD73" s="3">
        <v>7.99</v>
      </c>
      <c r="AE73" s="3">
        <v>0</v>
      </c>
      <c r="AF73" s="3">
        <v>0</v>
      </c>
      <c r="AG73" s="3">
        <v>0</v>
      </c>
      <c r="AH73" s="3">
        <v>0</v>
      </c>
      <c r="AI73" s="3" t="s">
        <v>204</v>
      </c>
      <c r="AJ73" s="3" t="s">
        <v>187</v>
      </c>
    </row>
    <row r="74" spans="1:36">
      <c r="A74" s="6">
        <v>43288</v>
      </c>
      <c r="B74" s="3" t="s">
        <v>21</v>
      </c>
      <c r="C74" s="3" t="s">
        <v>22</v>
      </c>
      <c r="D74" s="3" t="s">
        <v>22</v>
      </c>
      <c r="E74" s="3" t="s">
        <v>23</v>
      </c>
      <c r="F74" s="3" t="s">
        <v>182</v>
      </c>
      <c r="G74" s="3">
        <v>3</v>
      </c>
      <c r="H74" s="3">
        <v>0</v>
      </c>
      <c r="I74" s="3">
        <v>3</v>
      </c>
      <c r="J74" s="3">
        <v>0</v>
      </c>
      <c r="K74" s="3">
        <v>0</v>
      </c>
      <c r="L74" s="3">
        <v>0</v>
      </c>
      <c r="M74" s="3">
        <v>0</v>
      </c>
      <c r="N74" s="3" t="s">
        <v>183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5</v>
      </c>
      <c r="U74" s="3">
        <v>6</v>
      </c>
      <c r="V74" s="3">
        <v>7</v>
      </c>
      <c r="W74" s="3" t="s">
        <v>184</v>
      </c>
      <c r="X74" s="3">
        <v>11.99</v>
      </c>
      <c r="Y74" s="3">
        <v>11.99</v>
      </c>
      <c r="Z74" s="3">
        <v>11.99</v>
      </c>
      <c r="AA74" s="3">
        <v>0</v>
      </c>
      <c r="AB74" s="3" t="s">
        <v>191</v>
      </c>
      <c r="AC74" s="3">
        <v>3</v>
      </c>
      <c r="AD74" s="3">
        <v>11.99</v>
      </c>
      <c r="AE74" s="3">
        <v>0</v>
      </c>
      <c r="AF74" s="3">
        <v>0</v>
      </c>
      <c r="AG74" s="3">
        <v>0</v>
      </c>
      <c r="AH74" s="3">
        <v>1.4</v>
      </c>
      <c r="AI74" s="3" t="s">
        <v>438</v>
      </c>
      <c r="AJ74" s="3" t="s">
        <v>187</v>
      </c>
    </row>
    <row r="75" spans="1:36">
      <c r="A75" s="6">
        <v>43288</v>
      </c>
      <c r="B75" s="3" t="s">
        <v>439</v>
      </c>
      <c r="C75" s="3" t="s">
        <v>440</v>
      </c>
      <c r="D75" s="3" t="s">
        <v>441</v>
      </c>
      <c r="E75" s="3" t="s">
        <v>442</v>
      </c>
      <c r="F75" s="3" t="s">
        <v>182</v>
      </c>
      <c r="G75" s="3">
        <v>3</v>
      </c>
      <c r="H75" s="3">
        <v>0</v>
      </c>
      <c r="I75" s="3">
        <v>3</v>
      </c>
      <c r="J75" s="3">
        <v>0</v>
      </c>
      <c r="K75" s="3">
        <v>0</v>
      </c>
      <c r="L75" s="3">
        <v>0</v>
      </c>
      <c r="M75" s="3">
        <v>0</v>
      </c>
      <c r="N75" s="3" t="s">
        <v>183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184</v>
      </c>
      <c r="X75" s="3">
        <v>10.99</v>
      </c>
      <c r="Y75" s="3">
        <v>10.99</v>
      </c>
      <c r="Z75" s="3">
        <v>10.99</v>
      </c>
      <c r="AA75" s="3">
        <v>0</v>
      </c>
      <c r="AB75" s="3" t="s">
        <v>191</v>
      </c>
      <c r="AC75" s="3">
        <v>0</v>
      </c>
      <c r="AD75" s="3">
        <v>8.79</v>
      </c>
      <c r="AE75" s="3">
        <v>63</v>
      </c>
      <c r="AF75" s="3">
        <v>0</v>
      </c>
      <c r="AG75" s="3">
        <v>21.774845</v>
      </c>
      <c r="AH75" s="3">
        <v>0</v>
      </c>
      <c r="AI75" s="3" t="s">
        <v>443</v>
      </c>
      <c r="AJ75" s="3" t="s">
        <v>187</v>
      </c>
    </row>
    <row r="76" spans="1:36">
      <c r="A76" s="6">
        <v>43288</v>
      </c>
      <c r="B76" s="3" t="s">
        <v>144</v>
      </c>
      <c r="C76" s="3" t="s">
        <v>145</v>
      </c>
      <c r="D76" s="3" t="s">
        <v>145</v>
      </c>
      <c r="E76" s="3" t="s">
        <v>146</v>
      </c>
      <c r="F76" s="3" t="s">
        <v>182</v>
      </c>
      <c r="G76" s="3">
        <v>7</v>
      </c>
      <c r="H76" s="3">
        <v>0</v>
      </c>
      <c r="I76" s="3">
        <v>5</v>
      </c>
      <c r="J76" s="3">
        <v>2</v>
      </c>
      <c r="K76" s="3">
        <v>0</v>
      </c>
      <c r="L76" s="3">
        <v>0</v>
      </c>
      <c r="M76" s="3">
        <v>0</v>
      </c>
      <c r="N76" s="3" t="s">
        <v>183</v>
      </c>
      <c r="O76" s="3">
        <v>0</v>
      </c>
      <c r="P76" s="3">
        <v>0</v>
      </c>
      <c r="Q76" s="3">
        <v>0</v>
      </c>
      <c r="R76" s="3">
        <v>0</v>
      </c>
      <c r="S76" s="3">
        <v>2</v>
      </c>
      <c r="T76" s="3">
        <v>5</v>
      </c>
      <c r="U76" s="3">
        <v>9</v>
      </c>
      <c r="V76" s="3">
        <v>11</v>
      </c>
      <c r="W76" s="3" t="s">
        <v>184</v>
      </c>
      <c r="X76" s="3">
        <v>15.99</v>
      </c>
      <c r="Y76" s="3">
        <v>15.99</v>
      </c>
      <c r="Z76" s="3">
        <v>15.99</v>
      </c>
      <c r="AA76" s="3">
        <v>0</v>
      </c>
      <c r="AB76" s="3" t="s">
        <v>191</v>
      </c>
      <c r="AC76" s="3">
        <v>9</v>
      </c>
      <c r="AD76" s="3">
        <v>15.99</v>
      </c>
      <c r="AE76" s="3">
        <v>0</v>
      </c>
      <c r="AF76" s="3">
        <v>0</v>
      </c>
      <c r="AG76" s="3">
        <v>0</v>
      </c>
      <c r="AH76" s="3">
        <v>1.1578947368421</v>
      </c>
      <c r="AI76" s="3" t="s">
        <v>444</v>
      </c>
      <c r="AJ76" s="3" t="s">
        <v>247</v>
      </c>
    </row>
    <row r="77" spans="1:36">
      <c r="A77" s="6">
        <v>43288</v>
      </c>
      <c r="B77" s="3" t="s">
        <v>445</v>
      </c>
      <c r="C77" s="3" t="s">
        <v>446</v>
      </c>
      <c r="D77" s="3" t="s">
        <v>447</v>
      </c>
      <c r="E77" s="3" t="s">
        <v>448</v>
      </c>
      <c r="F77" s="3" t="s">
        <v>182</v>
      </c>
      <c r="G77" s="3">
        <v>5</v>
      </c>
      <c r="H77" s="3">
        <v>0</v>
      </c>
      <c r="I77" s="3">
        <v>5</v>
      </c>
      <c r="J77" s="3">
        <v>0</v>
      </c>
      <c r="K77" s="3">
        <v>0</v>
      </c>
      <c r="L77" s="3">
        <v>0</v>
      </c>
      <c r="M77" s="3">
        <v>0</v>
      </c>
      <c r="N77" s="3" t="s">
        <v>183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 t="s">
        <v>184</v>
      </c>
      <c r="X77" s="3">
        <v>17.99</v>
      </c>
      <c r="Y77" s="3">
        <v>17.99</v>
      </c>
      <c r="Z77" s="3">
        <v>17.99</v>
      </c>
      <c r="AA77" s="3">
        <v>0</v>
      </c>
      <c r="AB77" s="3" t="s">
        <v>191</v>
      </c>
      <c r="AC77" s="3">
        <v>0</v>
      </c>
      <c r="AD77" s="3">
        <v>14.39</v>
      </c>
      <c r="AE77" s="3">
        <v>63</v>
      </c>
      <c r="AF77" s="3">
        <v>0</v>
      </c>
      <c r="AG77" s="3">
        <v>29.866379</v>
      </c>
      <c r="AH77" s="3">
        <v>0</v>
      </c>
      <c r="AI77" s="3" t="s">
        <v>449</v>
      </c>
      <c r="AJ77" s="3" t="s">
        <v>187</v>
      </c>
    </row>
    <row r="78" spans="1:36">
      <c r="A78" s="6">
        <v>43288</v>
      </c>
      <c r="B78" s="3" t="s">
        <v>450</v>
      </c>
      <c r="C78" s="3" t="s">
        <v>451</v>
      </c>
      <c r="D78" s="3" t="s">
        <v>451</v>
      </c>
      <c r="E78" s="3" t="s">
        <v>452</v>
      </c>
      <c r="F78" s="3" t="s">
        <v>182</v>
      </c>
      <c r="G78" s="3">
        <v>5</v>
      </c>
      <c r="H78" s="3">
        <v>0</v>
      </c>
      <c r="I78" s="3">
        <v>0</v>
      </c>
      <c r="J78" s="3">
        <v>0</v>
      </c>
      <c r="K78" s="3">
        <v>5</v>
      </c>
      <c r="L78" s="3">
        <v>0</v>
      </c>
      <c r="M78" s="3">
        <v>0</v>
      </c>
      <c r="N78" s="3" t="s">
        <v>183</v>
      </c>
      <c r="O78" s="3">
        <v>5</v>
      </c>
      <c r="P78" s="3">
        <v>8.49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 t="s">
        <v>197</v>
      </c>
      <c r="X78" s="3">
        <v>14.39</v>
      </c>
      <c r="Y78" s="3">
        <v>14.39</v>
      </c>
      <c r="Z78" s="3">
        <v>14.39</v>
      </c>
      <c r="AA78" s="3">
        <v>0</v>
      </c>
      <c r="AB78" s="3" t="s">
        <v>185</v>
      </c>
      <c r="AC78" s="3">
        <v>0</v>
      </c>
      <c r="AD78" s="3">
        <v>14.39</v>
      </c>
      <c r="AE78" s="3">
        <v>63</v>
      </c>
      <c r="AF78" s="3">
        <v>0</v>
      </c>
      <c r="AG78" s="3">
        <v>100.228075</v>
      </c>
      <c r="AH78" s="3">
        <v>0</v>
      </c>
      <c r="AI78" s="3" t="s">
        <v>199</v>
      </c>
      <c r="AJ78" s="3" t="s">
        <v>193</v>
      </c>
    </row>
    <row r="79" spans="1:36">
      <c r="A79" s="6">
        <v>43288</v>
      </c>
      <c r="B79" s="3" t="s">
        <v>453</v>
      </c>
      <c r="C79" s="3" t="s">
        <v>454</v>
      </c>
      <c r="D79" s="3" t="s">
        <v>454</v>
      </c>
      <c r="E79" s="3" t="s">
        <v>455</v>
      </c>
      <c r="F79" s="3" t="s">
        <v>182</v>
      </c>
      <c r="G79" s="3">
        <v>3</v>
      </c>
      <c r="H79" s="3">
        <v>0</v>
      </c>
      <c r="I79" s="3">
        <v>0</v>
      </c>
      <c r="J79" s="3">
        <v>0</v>
      </c>
      <c r="K79" s="3">
        <v>3</v>
      </c>
      <c r="L79" s="3">
        <v>0</v>
      </c>
      <c r="M79" s="3">
        <v>0</v>
      </c>
      <c r="N79" s="3" t="s">
        <v>183</v>
      </c>
      <c r="O79" s="3">
        <v>3</v>
      </c>
      <c r="P79" s="3">
        <v>1.35</v>
      </c>
      <c r="Q79" s="3">
        <v>0</v>
      </c>
      <c r="R79" s="3">
        <v>0</v>
      </c>
      <c r="S79" s="3">
        <v>0</v>
      </c>
      <c r="T79" s="3">
        <v>0</v>
      </c>
      <c r="U79" s="3">
        <v>1</v>
      </c>
      <c r="V79" s="3">
        <v>2</v>
      </c>
      <c r="W79" s="3" t="s">
        <v>184</v>
      </c>
      <c r="X79" s="3">
        <v>14.99</v>
      </c>
      <c r="Y79" s="3">
        <v>14.99</v>
      </c>
      <c r="Z79" s="3">
        <v>14.99</v>
      </c>
      <c r="AA79" s="3">
        <v>0</v>
      </c>
      <c r="AB79" s="3" t="s">
        <v>198</v>
      </c>
      <c r="AC79" s="3">
        <v>0</v>
      </c>
      <c r="AD79" s="3">
        <v>13.72</v>
      </c>
      <c r="AE79" s="3">
        <v>126</v>
      </c>
      <c r="AF79" s="3">
        <v>0</v>
      </c>
      <c r="AG79" s="3">
        <v>34.993613</v>
      </c>
      <c r="AH79" s="3">
        <v>0.533333333333333</v>
      </c>
      <c r="AI79" s="3" t="s">
        <v>456</v>
      </c>
      <c r="AJ79" s="3" t="s">
        <v>187</v>
      </c>
    </row>
    <row r="80" spans="1:36">
      <c r="A80" s="6">
        <v>43288</v>
      </c>
      <c r="B80" s="3" t="s">
        <v>457</v>
      </c>
      <c r="C80" s="3" t="s">
        <v>458</v>
      </c>
      <c r="D80" s="3" t="s">
        <v>458</v>
      </c>
      <c r="E80" s="3" t="s">
        <v>459</v>
      </c>
      <c r="F80" s="3" t="s">
        <v>182</v>
      </c>
      <c r="G80" s="3">
        <v>2</v>
      </c>
      <c r="H80" s="3">
        <v>0</v>
      </c>
      <c r="I80" s="3">
        <v>0</v>
      </c>
      <c r="J80" s="3">
        <v>2</v>
      </c>
      <c r="K80" s="3">
        <v>0</v>
      </c>
      <c r="L80" s="3">
        <v>0</v>
      </c>
      <c r="M80" s="3">
        <v>0</v>
      </c>
      <c r="N80" s="3" t="s">
        <v>183</v>
      </c>
      <c r="O80" s="3">
        <v>2</v>
      </c>
      <c r="P80" s="3">
        <v>3.21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 t="s">
        <v>184</v>
      </c>
      <c r="X80" s="3">
        <v>21.98</v>
      </c>
      <c r="Y80" s="3">
        <v>21.98</v>
      </c>
      <c r="Z80" s="3">
        <v>21.5</v>
      </c>
      <c r="AA80" s="3">
        <v>0</v>
      </c>
      <c r="AB80" s="3" t="s">
        <v>191</v>
      </c>
      <c r="AC80" s="3">
        <v>2</v>
      </c>
      <c r="AD80" s="3">
        <v>21.98</v>
      </c>
      <c r="AE80" s="3">
        <v>0</v>
      </c>
      <c r="AF80" s="3">
        <v>0</v>
      </c>
      <c r="AG80" s="3">
        <v>0</v>
      </c>
      <c r="AH80" s="3">
        <v>0</v>
      </c>
      <c r="AI80" s="3" t="s">
        <v>192</v>
      </c>
      <c r="AJ80" s="3" t="s">
        <v>193</v>
      </c>
    </row>
    <row r="81" spans="1:36">
      <c r="A81" s="6">
        <v>43288</v>
      </c>
      <c r="B81" s="3" t="s">
        <v>460</v>
      </c>
      <c r="C81" s="3" t="s">
        <v>461</v>
      </c>
      <c r="D81" s="3" t="s">
        <v>462</v>
      </c>
      <c r="E81" s="3" t="s">
        <v>126</v>
      </c>
      <c r="F81" s="3" t="s">
        <v>182</v>
      </c>
      <c r="G81" s="3">
        <v>20</v>
      </c>
      <c r="H81" s="3">
        <v>0</v>
      </c>
      <c r="I81" s="3">
        <v>20</v>
      </c>
      <c r="J81" s="3">
        <v>0</v>
      </c>
      <c r="K81" s="3">
        <v>0</v>
      </c>
      <c r="L81" s="3">
        <v>0</v>
      </c>
      <c r="M81" s="3">
        <v>0</v>
      </c>
      <c r="N81" s="3" t="s">
        <v>183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1</v>
      </c>
      <c r="U81" s="3">
        <v>4</v>
      </c>
      <c r="V81" s="3">
        <v>4</v>
      </c>
      <c r="W81" s="3"/>
      <c r="X81" s="3">
        <v>13.99</v>
      </c>
      <c r="Y81" s="3">
        <v>13.99</v>
      </c>
      <c r="Z81" s="3">
        <v>13.99</v>
      </c>
      <c r="AA81" s="3">
        <v>0</v>
      </c>
      <c r="AB81" s="3" t="s">
        <v>185</v>
      </c>
      <c r="AC81" s="3">
        <v>20</v>
      </c>
      <c r="AD81" s="3">
        <v>13.99</v>
      </c>
      <c r="AE81" s="3">
        <v>0</v>
      </c>
      <c r="AF81" s="3">
        <v>0</v>
      </c>
      <c r="AG81" s="3">
        <v>0</v>
      </c>
      <c r="AH81" s="3">
        <v>0.4</v>
      </c>
      <c r="AI81" s="3" t="s">
        <v>463</v>
      </c>
      <c r="AJ81" s="3" t="s">
        <v>187</v>
      </c>
    </row>
    <row r="82" spans="1:36">
      <c r="A82" s="6">
        <v>43288</v>
      </c>
      <c r="B82" s="3" t="s">
        <v>15</v>
      </c>
      <c r="C82" s="3" t="s">
        <v>16</v>
      </c>
      <c r="D82" s="3" t="s">
        <v>16</v>
      </c>
      <c r="E82" s="3" t="s">
        <v>17</v>
      </c>
      <c r="F82" s="3" t="s">
        <v>182</v>
      </c>
      <c r="G82" s="3">
        <v>11</v>
      </c>
      <c r="H82" s="3">
        <v>0</v>
      </c>
      <c r="I82" s="3">
        <v>10</v>
      </c>
      <c r="J82" s="3">
        <v>1</v>
      </c>
      <c r="K82" s="3">
        <v>0</v>
      </c>
      <c r="L82" s="3">
        <v>0</v>
      </c>
      <c r="M82" s="3">
        <v>0</v>
      </c>
      <c r="N82" s="3" t="s">
        <v>183</v>
      </c>
      <c r="O82" s="3">
        <v>1</v>
      </c>
      <c r="P82" s="3">
        <v>0.52</v>
      </c>
      <c r="Q82" s="3">
        <v>0</v>
      </c>
      <c r="R82" s="3">
        <v>0</v>
      </c>
      <c r="S82" s="3">
        <v>0</v>
      </c>
      <c r="T82" s="3">
        <v>1</v>
      </c>
      <c r="U82" s="3">
        <v>1</v>
      </c>
      <c r="V82" s="3">
        <v>2</v>
      </c>
      <c r="W82" s="3" t="s">
        <v>184</v>
      </c>
      <c r="X82" s="3">
        <v>10.84</v>
      </c>
      <c r="Y82" s="3">
        <v>10.84</v>
      </c>
      <c r="Z82" s="3">
        <v>10.84</v>
      </c>
      <c r="AA82" s="3">
        <v>0</v>
      </c>
      <c r="AB82" s="3" t="s">
        <v>191</v>
      </c>
      <c r="AC82" s="3">
        <v>11</v>
      </c>
      <c r="AD82" s="3">
        <v>10.84</v>
      </c>
      <c r="AE82" s="3">
        <v>0</v>
      </c>
      <c r="AF82" s="3">
        <v>0</v>
      </c>
      <c r="AG82" s="3">
        <v>0</v>
      </c>
      <c r="AH82" s="3">
        <v>0.266666666666666</v>
      </c>
      <c r="AI82" s="3" t="s">
        <v>464</v>
      </c>
      <c r="AJ82" s="3" t="s">
        <v>187</v>
      </c>
    </row>
    <row r="83" spans="1:36">
      <c r="A83" s="6">
        <v>43288</v>
      </c>
      <c r="B83" s="3" t="s">
        <v>465</v>
      </c>
      <c r="C83" s="3" t="s">
        <v>466</v>
      </c>
      <c r="D83" s="3" t="s">
        <v>466</v>
      </c>
      <c r="E83" s="3" t="s">
        <v>467</v>
      </c>
      <c r="F83" s="3" t="s">
        <v>182</v>
      </c>
      <c r="G83" s="3">
        <v>24</v>
      </c>
      <c r="H83" s="3">
        <v>0</v>
      </c>
      <c r="I83" s="3">
        <v>10</v>
      </c>
      <c r="J83" s="3">
        <v>11</v>
      </c>
      <c r="K83" s="3">
        <v>3</v>
      </c>
      <c r="L83" s="3">
        <v>0</v>
      </c>
      <c r="M83" s="3">
        <v>0</v>
      </c>
      <c r="N83" s="3" t="s">
        <v>183</v>
      </c>
      <c r="O83" s="3">
        <v>4</v>
      </c>
      <c r="P83" s="3">
        <v>1.12</v>
      </c>
      <c r="Q83" s="3">
        <v>0</v>
      </c>
      <c r="R83" s="3">
        <v>0</v>
      </c>
      <c r="S83" s="3">
        <v>0</v>
      </c>
      <c r="T83" s="3">
        <v>1</v>
      </c>
      <c r="U83" s="3">
        <v>1</v>
      </c>
      <c r="V83" s="3">
        <v>1</v>
      </c>
      <c r="W83" s="3"/>
      <c r="X83" s="3">
        <v>14.99</v>
      </c>
      <c r="Y83" s="3">
        <v>14.99</v>
      </c>
      <c r="Z83" s="3">
        <v>14.99</v>
      </c>
      <c r="AA83" s="3">
        <v>0</v>
      </c>
      <c r="AB83" s="3" t="s">
        <v>185</v>
      </c>
      <c r="AC83" s="3">
        <v>22</v>
      </c>
      <c r="AD83" s="3">
        <v>14.99</v>
      </c>
      <c r="AE83" s="3">
        <v>0</v>
      </c>
      <c r="AF83" s="3">
        <v>0</v>
      </c>
      <c r="AG83" s="3">
        <v>0</v>
      </c>
      <c r="AH83" s="3">
        <v>0.0579710144927536</v>
      </c>
      <c r="AI83" s="3" t="s">
        <v>284</v>
      </c>
      <c r="AJ83" s="3" t="s">
        <v>187</v>
      </c>
    </row>
    <row r="84" spans="1:36">
      <c r="A84" s="6">
        <v>43288</v>
      </c>
      <c r="B84" s="3" t="s">
        <v>468</v>
      </c>
      <c r="C84" s="3" t="s">
        <v>469</v>
      </c>
      <c r="D84" s="3" t="s">
        <v>469</v>
      </c>
      <c r="E84" s="3" t="s">
        <v>470</v>
      </c>
      <c r="F84" s="3" t="s">
        <v>182</v>
      </c>
      <c r="G84" s="3">
        <v>6</v>
      </c>
      <c r="H84" s="3">
        <v>0</v>
      </c>
      <c r="I84" s="3">
        <v>1</v>
      </c>
      <c r="J84" s="3">
        <v>0</v>
      </c>
      <c r="K84" s="3">
        <v>5</v>
      </c>
      <c r="L84" s="3">
        <v>0</v>
      </c>
      <c r="M84" s="3">
        <v>0</v>
      </c>
      <c r="N84" s="3" t="s">
        <v>183</v>
      </c>
      <c r="O84" s="3">
        <v>5</v>
      </c>
      <c r="P84" s="3">
        <v>1.24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197</v>
      </c>
      <c r="X84" s="3">
        <v>12.56</v>
      </c>
      <c r="Y84" s="3">
        <v>12.56</v>
      </c>
      <c r="Z84" s="3">
        <v>12.56</v>
      </c>
      <c r="AA84" s="3">
        <v>0</v>
      </c>
      <c r="AB84" s="3" t="s">
        <v>198</v>
      </c>
      <c r="AC84" s="3">
        <v>0</v>
      </c>
      <c r="AD84" s="3">
        <v>11.27</v>
      </c>
      <c r="AE84" s="3">
        <v>252</v>
      </c>
      <c r="AF84" s="3">
        <v>0</v>
      </c>
      <c r="AG84" s="3">
        <v>41.5099</v>
      </c>
      <c r="AH84" s="3">
        <v>0</v>
      </c>
      <c r="AI84" s="3" t="s">
        <v>471</v>
      </c>
      <c r="AJ84" s="3" t="s">
        <v>187</v>
      </c>
    </row>
    <row r="85" spans="1:36">
      <c r="A85" s="6">
        <v>43288</v>
      </c>
      <c r="B85" s="3" t="s">
        <v>472</v>
      </c>
      <c r="C85" s="3" t="s">
        <v>473</v>
      </c>
      <c r="D85" s="3" t="s">
        <v>473</v>
      </c>
      <c r="E85" s="3" t="s">
        <v>474</v>
      </c>
      <c r="F85" s="3" t="s">
        <v>182</v>
      </c>
      <c r="G85" s="3">
        <v>1</v>
      </c>
      <c r="H85" s="3">
        <v>0</v>
      </c>
      <c r="I85" s="3">
        <v>0</v>
      </c>
      <c r="J85" s="3">
        <v>1</v>
      </c>
      <c r="K85" s="3">
        <v>0</v>
      </c>
      <c r="L85" s="3">
        <v>0</v>
      </c>
      <c r="M85" s="3">
        <v>0</v>
      </c>
      <c r="N85" s="3" t="s">
        <v>183</v>
      </c>
      <c r="O85" s="3">
        <v>1</v>
      </c>
      <c r="P85" s="3">
        <v>0.78</v>
      </c>
      <c r="Q85" s="3">
        <v>0</v>
      </c>
      <c r="R85" s="3">
        <v>0</v>
      </c>
      <c r="S85" s="3">
        <v>0</v>
      </c>
      <c r="T85" s="3">
        <v>1</v>
      </c>
      <c r="U85" s="3">
        <v>1</v>
      </c>
      <c r="V85" s="3">
        <v>2</v>
      </c>
      <c r="W85" s="3"/>
      <c r="X85" s="3">
        <v>13.99</v>
      </c>
      <c r="Y85" s="3">
        <v>13.99</v>
      </c>
      <c r="Z85" s="3">
        <v>13.99</v>
      </c>
      <c r="AA85" s="3">
        <v>0</v>
      </c>
      <c r="AB85" s="3" t="s">
        <v>185</v>
      </c>
      <c r="AC85" s="3">
        <v>1</v>
      </c>
      <c r="AD85" s="3">
        <v>13.99</v>
      </c>
      <c r="AE85" s="3">
        <v>0</v>
      </c>
      <c r="AF85" s="3">
        <v>0</v>
      </c>
      <c r="AG85" s="3">
        <v>0</v>
      </c>
      <c r="AH85" s="3">
        <v>1</v>
      </c>
      <c r="AI85" s="3" t="s">
        <v>475</v>
      </c>
      <c r="AJ85" s="3" t="s">
        <v>187</v>
      </c>
    </row>
    <row r="86" spans="1:36">
      <c r="A86" s="6">
        <v>43288</v>
      </c>
      <c r="B86" s="3" t="s">
        <v>476</v>
      </c>
      <c r="C86" s="3" t="s">
        <v>477</v>
      </c>
      <c r="D86" s="3" t="s">
        <v>477</v>
      </c>
      <c r="E86" s="3" t="s">
        <v>478</v>
      </c>
      <c r="F86" s="3" t="s">
        <v>182</v>
      </c>
      <c r="G86" s="3">
        <v>3</v>
      </c>
      <c r="H86" s="3">
        <v>0</v>
      </c>
      <c r="I86" s="3">
        <v>0</v>
      </c>
      <c r="J86" s="3">
        <v>0</v>
      </c>
      <c r="K86" s="3">
        <v>3</v>
      </c>
      <c r="L86" s="3">
        <v>0</v>
      </c>
      <c r="M86" s="3">
        <v>0</v>
      </c>
      <c r="N86" s="3" t="s">
        <v>183</v>
      </c>
      <c r="O86" s="3">
        <v>3</v>
      </c>
      <c r="P86" s="3">
        <v>3.22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184</v>
      </c>
      <c r="X86" s="3">
        <v>10</v>
      </c>
      <c r="Y86" s="3">
        <v>10</v>
      </c>
      <c r="Z86" s="3">
        <v>10</v>
      </c>
      <c r="AA86" s="3">
        <v>0</v>
      </c>
      <c r="AB86" s="3" t="s">
        <v>185</v>
      </c>
      <c r="AC86" s="3">
        <v>3</v>
      </c>
      <c r="AD86" s="3">
        <v>10</v>
      </c>
      <c r="AE86" s="3">
        <v>0</v>
      </c>
      <c r="AF86" s="3">
        <v>0</v>
      </c>
      <c r="AG86" s="3">
        <v>0</v>
      </c>
      <c r="AH86" s="3">
        <v>0</v>
      </c>
      <c r="AI86" s="3" t="s">
        <v>479</v>
      </c>
      <c r="AJ86" s="3" t="s">
        <v>187</v>
      </c>
    </row>
    <row r="87" spans="1:36">
      <c r="A87" s="6">
        <v>43288</v>
      </c>
      <c r="B87" s="3" t="s">
        <v>480</v>
      </c>
      <c r="C87" s="3" t="s">
        <v>481</v>
      </c>
      <c r="D87" s="3" t="s">
        <v>481</v>
      </c>
      <c r="E87" s="3" t="s">
        <v>482</v>
      </c>
      <c r="F87" s="3" t="s">
        <v>182</v>
      </c>
      <c r="G87" s="3">
        <v>3</v>
      </c>
      <c r="H87" s="3">
        <v>0</v>
      </c>
      <c r="I87" s="3">
        <v>0</v>
      </c>
      <c r="J87" s="3">
        <v>3</v>
      </c>
      <c r="K87" s="3">
        <v>0</v>
      </c>
      <c r="L87" s="3">
        <v>0</v>
      </c>
      <c r="M87" s="3">
        <v>0</v>
      </c>
      <c r="N87" s="3" t="s">
        <v>183</v>
      </c>
      <c r="O87" s="3">
        <v>3</v>
      </c>
      <c r="P87" s="3">
        <v>0</v>
      </c>
      <c r="Q87" s="3">
        <v>0</v>
      </c>
      <c r="R87" s="3">
        <v>0</v>
      </c>
      <c r="S87" s="3">
        <v>0</v>
      </c>
      <c r="T87" s="3">
        <v>1</v>
      </c>
      <c r="U87" s="3">
        <v>1</v>
      </c>
      <c r="V87" s="3">
        <v>1</v>
      </c>
      <c r="W87" s="3" t="s">
        <v>184</v>
      </c>
      <c r="X87" s="3">
        <v>18.99</v>
      </c>
      <c r="Y87" s="3">
        <v>18.99</v>
      </c>
      <c r="Z87" s="3">
        <v>18.99</v>
      </c>
      <c r="AA87" s="3">
        <v>0</v>
      </c>
      <c r="AB87" s="3" t="s">
        <v>191</v>
      </c>
      <c r="AC87" s="3">
        <v>3</v>
      </c>
      <c r="AD87" s="3">
        <v>18.99</v>
      </c>
      <c r="AE87" s="3">
        <v>0</v>
      </c>
      <c r="AF87" s="3">
        <v>0</v>
      </c>
      <c r="AG87" s="3">
        <v>0</v>
      </c>
      <c r="AH87" s="3">
        <v>0.266666666666666</v>
      </c>
      <c r="AI87" s="3" t="s">
        <v>215</v>
      </c>
      <c r="AJ87" s="3" t="s">
        <v>187</v>
      </c>
    </row>
    <row r="88" spans="1:36">
      <c r="A88" s="6">
        <v>43288</v>
      </c>
      <c r="B88" s="3" t="s">
        <v>483</v>
      </c>
      <c r="C88" s="3" t="s">
        <v>484</v>
      </c>
      <c r="D88" s="3" t="s">
        <v>484</v>
      </c>
      <c r="E88" s="3" t="s">
        <v>485</v>
      </c>
      <c r="F88" s="3" t="s">
        <v>182</v>
      </c>
      <c r="G88" s="3">
        <v>4</v>
      </c>
      <c r="H88" s="3">
        <v>0</v>
      </c>
      <c r="I88" s="3">
        <v>0</v>
      </c>
      <c r="J88" s="3">
        <v>0</v>
      </c>
      <c r="K88" s="3">
        <v>4</v>
      </c>
      <c r="L88" s="3">
        <v>0</v>
      </c>
      <c r="M88" s="3">
        <v>0</v>
      </c>
      <c r="N88" s="3" t="s">
        <v>183</v>
      </c>
      <c r="O88" s="3">
        <v>4</v>
      </c>
      <c r="P88" s="3">
        <v>1.8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 t="s">
        <v>184</v>
      </c>
      <c r="X88" s="3">
        <v>14.99</v>
      </c>
      <c r="Y88" s="3">
        <v>14.99</v>
      </c>
      <c r="Z88" s="3">
        <v>14.99</v>
      </c>
      <c r="AA88" s="3">
        <v>0</v>
      </c>
      <c r="AB88" s="3" t="s">
        <v>185</v>
      </c>
      <c r="AC88" s="3">
        <v>4</v>
      </c>
      <c r="AD88" s="3">
        <v>14.99</v>
      </c>
      <c r="AE88" s="3">
        <v>0</v>
      </c>
      <c r="AF88" s="3">
        <v>0</v>
      </c>
      <c r="AG88" s="3">
        <v>0</v>
      </c>
      <c r="AH88" s="3">
        <v>0</v>
      </c>
      <c r="AI88" s="3" t="s">
        <v>456</v>
      </c>
      <c r="AJ88" s="3" t="s">
        <v>187</v>
      </c>
    </row>
    <row r="89" spans="1:36">
      <c r="A89" s="6">
        <v>43288</v>
      </c>
      <c r="B89" s="3" t="s">
        <v>127</v>
      </c>
      <c r="C89" s="3" t="s">
        <v>128</v>
      </c>
      <c r="D89" s="3" t="s">
        <v>129</v>
      </c>
      <c r="E89" s="3" t="s">
        <v>130</v>
      </c>
      <c r="F89" s="3" t="s">
        <v>182</v>
      </c>
      <c r="G89" s="3">
        <v>38</v>
      </c>
      <c r="H89" s="3">
        <v>0</v>
      </c>
      <c r="I89" s="3">
        <v>38</v>
      </c>
      <c r="J89" s="3">
        <v>0</v>
      </c>
      <c r="K89" s="3">
        <v>0</v>
      </c>
      <c r="L89" s="3">
        <v>0</v>
      </c>
      <c r="M89" s="3">
        <v>0</v>
      </c>
      <c r="N89" s="3" t="s">
        <v>183</v>
      </c>
      <c r="O89" s="3">
        <v>0</v>
      </c>
      <c r="P89" s="3">
        <v>0</v>
      </c>
      <c r="Q89" s="3">
        <v>0</v>
      </c>
      <c r="R89" s="3">
        <v>0</v>
      </c>
      <c r="S89" s="3">
        <v>7</v>
      </c>
      <c r="T89" s="3">
        <v>15</v>
      </c>
      <c r="U89" s="3">
        <v>15</v>
      </c>
      <c r="V89" s="3">
        <v>15</v>
      </c>
      <c r="W89" s="3"/>
      <c r="X89" s="3">
        <v>30.99</v>
      </c>
      <c r="Y89" s="3">
        <v>15.99</v>
      </c>
      <c r="Z89" s="3">
        <v>15.99</v>
      </c>
      <c r="AA89" s="3">
        <v>0</v>
      </c>
      <c r="AB89" s="3" t="s">
        <v>185</v>
      </c>
      <c r="AC89" s="3">
        <v>16</v>
      </c>
      <c r="AD89" s="3">
        <v>15.99</v>
      </c>
      <c r="AE89" s="3">
        <v>0</v>
      </c>
      <c r="AF89" s="3">
        <v>0</v>
      </c>
      <c r="AG89" s="3">
        <v>0</v>
      </c>
      <c r="AH89" s="3">
        <v>0.681818181818181</v>
      </c>
      <c r="AI89" s="3" t="s">
        <v>486</v>
      </c>
      <c r="AJ89" s="3" t="s">
        <v>187</v>
      </c>
    </row>
    <row r="90" spans="1:36">
      <c r="A90" s="6">
        <v>43288</v>
      </c>
      <c r="B90" s="3" t="s">
        <v>24</v>
      </c>
      <c r="C90" s="3" t="s">
        <v>25</v>
      </c>
      <c r="D90" s="3" t="s">
        <v>25</v>
      </c>
      <c r="E90" s="3" t="s">
        <v>26</v>
      </c>
      <c r="F90" s="3" t="s">
        <v>182</v>
      </c>
      <c r="G90" s="3">
        <v>4</v>
      </c>
      <c r="H90" s="3">
        <v>0</v>
      </c>
      <c r="I90" s="3">
        <v>0</v>
      </c>
      <c r="J90" s="3">
        <v>0</v>
      </c>
      <c r="K90" s="3">
        <v>4</v>
      </c>
      <c r="L90" s="3">
        <v>0</v>
      </c>
      <c r="M90" s="3">
        <v>0</v>
      </c>
      <c r="N90" s="3" t="s">
        <v>183</v>
      </c>
      <c r="O90" s="3">
        <v>4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 t="s">
        <v>197</v>
      </c>
      <c r="X90" s="3">
        <v>13.99</v>
      </c>
      <c r="Y90" s="3">
        <v>13.99</v>
      </c>
      <c r="Z90" s="3">
        <v>13.99</v>
      </c>
      <c r="AA90" s="3">
        <v>0</v>
      </c>
      <c r="AB90" s="3" t="s">
        <v>185</v>
      </c>
      <c r="AC90" s="3">
        <v>4</v>
      </c>
      <c r="AD90" s="3">
        <v>13.99</v>
      </c>
      <c r="AE90" s="3">
        <v>0</v>
      </c>
      <c r="AF90" s="3">
        <v>0</v>
      </c>
      <c r="AG90" s="3">
        <v>0</v>
      </c>
      <c r="AH90" s="3">
        <v>0</v>
      </c>
      <c r="AI90" s="3" t="s">
        <v>215</v>
      </c>
      <c r="AJ90" s="3" t="s">
        <v>187</v>
      </c>
    </row>
    <row r="91" spans="1:36">
      <c r="A91" s="6">
        <v>43288</v>
      </c>
      <c r="B91" s="3" t="s">
        <v>141</v>
      </c>
      <c r="C91" s="3" t="s">
        <v>142</v>
      </c>
      <c r="D91" s="3" t="s">
        <v>142</v>
      </c>
      <c r="E91" s="3" t="s">
        <v>143</v>
      </c>
      <c r="F91" s="3" t="s">
        <v>182</v>
      </c>
      <c r="G91" s="3">
        <v>33</v>
      </c>
      <c r="H91" s="3">
        <v>0</v>
      </c>
      <c r="I91" s="3">
        <v>0</v>
      </c>
      <c r="J91" s="3">
        <v>33</v>
      </c>
      <c r="K91" s="3">
        <v>0</v>
      </c>
      <c r="L91" s="3">
        <v>0</v>
      </c>
      <c r="M91" s="3">
        <v>0</v>
      </c>
      <c r="N91" s="3" t="s">
        <v>183</v>
      </c>
      <c r="O91" s="3">
        <v>2</v>
      </c>
      <c r="P91" s="3">
        <v>2.76</v>
      </c>
      <c r="Q91" s="3">
        <v>0</v>
      </c>
      <c r="R91" s="3">
        <v>0</v>
      </c>
      <c r="S91" s="3">
        <v>0</v>
      </c>
      <c r="T91" s="3">
        <v>2</v>
      </c>
      <c r="U91" s="3">
        <v>2</v>
      </c>
      <c r="V91" s="3">
        <v>3</v>
      </c>
      <c r="W91" s="3"/>
      <c r="X91" s="3">
        <v>15.99</v>
      </c>
      <c r="Y91" s="3">
        <v>9.5</v>
      </c>
      <c r="Z91" s="3">
        <v>9.5</v>
      </c>
      <c r="AA91" s="3">
        <v>0</v>
      </c>
      <c r="AB91" s="3" t="s">
        <v>198</v>
      </c>
      <c r="AC91" s="3">
        <v>8</v>
      </c>
      <c r="AD91" s="3">
        <v>7.14</v>
      </c>
      <c r="AE91" s="3">
        <v>224</v>
      </c>
      <c r="AF91" s="3">
        <v>0</v>
      </c>
      <c r="AG91" s="3">
        <v>84.471642</v>
      </c>
      <c r="AH91" s="3">
        <v>0.0774193548387096</v>
      </c>
      <c r="AI91" s="3" t="s">
        <v>487</v>
      </c>
      <c r="AJ91" s="3" t="s">
        <v>187</v>
      </c>
    </row>
    <row r="92" spans="1:36">
      <c r="A92" s="6">
        <v>43288</v>
      </c>
      <c r="B92" s="3" t="s">
        <v>488</v>
      </c>
      <c r="C92" s="3" t="s">
        <v>489</v>
      </c>
      <c r="D92" s="3" t="s">
        <v>490</v>
      </c>
      <c r="E92" s="3" t="s">
        <v>491</v>
      </c>
      <c r="F92" s="3" t="s">
        <v>182</v>
      </c>
      <c r="G92" s="3">
        <v>7</v>
      </c>
      <c r="H92" s="3">
        <v>0</v>
      </c>
      <c r="I92" s="3">
        <v>7</v>
      </c>
      <c r="J92" s="3">
        <v>0</v>
      </c>
      <c r="K92" s="3">
        <v>0</v>
      </c>
      <c r="L92" s="3">
        <v>0</v>
      </c>
      <c r="M92" s="3">
        <v>0</v>
      </c>
      <c r="N92" s="3" t="s">
        <v>183</v>
      </c>
      <c r="O92" s="3">
        <v>0</v>
      </c>
      <c r="P92" s="3">
        <v>0</v>
      </c>
      <c r="Q92" s="3">
        <v>0</v>
      </c>
      <c r="R92" s="3">
        <v>0</v>
      </c>
      <c r="S92" s="3">
        <v>1</v>
      </c>
      <c r="T92" s="3">
        <v>3</v>
      </c>
      <c r="U92" s="3">
        <v>7</v>
      </c>
      <c r="V92" s="3">
        <v>8</v>
      </c>
      <c r="W92" s="3"/>
      <c r="X92" s="3">
        <v>9.99</v>
      </c>
      <c r="Y92" s="3">
        <v>9.99</v>
      </c>
      <c r="Z92" s="3">
        <v>9.99</v>
      </c>
      <c r="AA92" s="3">
        <v>0</v>
      </c>
      <c r="AB92" s="3" t="s">
        <v>185</v>
      </c>
      <c r="AC92" s="3">
        <v>7</v>
      </c>
      <c r="AD92" s="3">
        <v>9.99</v>
      </c>
      <c r="AE92" s="3">
        <v>0</v>
      </c>
      <c r="AF92" s="3">
        <v>0</v>
      </c>
      <c r="AG92" s="3">
        <v>0</v>
      </c>
      <c r="AH92" s="3">
        <v>2.18181818181818</v>
      </c>
      <c r="AI92" s="3" t="s">
        <v>492</v>
      </c>
      <c r="AJ92" s="3" t="s">
        <v>187</v>
      </c>
    </row>
    <row r="93" spans="1:36">
      <c r="A93" s="6">
        <v>43288</v>
      </c>
      <c r="B93" s="3" t="s">
        <v>493</v>
      </c>
      <c r="C93" s="3" t="s">
        <v>494</v>
      </c>
      <c r="D93" s="3" t="s">
        <v>494</v>
      </c>
      <c r="E93" s="3" t="s">
        <v>495</v>
      </c>
      <c r="F93" s="3" t="s">
        <v>182</v>
      </c>
      <c r="G93" s="3">
        <v>2</v>
      </c>
      <c r="H93" s="3">
        <v>0</v>
      </c>
      <c r="I93" s="3">
        <v>0</v>
      </c>
      <c r="J93" s="3">
        <v>2</v>
      </c>
      <c r="K93" s="3">
        <v>0</v>
      </c>
      <c r="L93" s="3">
        <v>0</v>
      </c>
      <c r="M93" s="3">
        <v>0</v>
      </c>
      <c r="N93" s="3" t="s">
        <v>183</v>
      </c>
      <c r="O93" s="3">
        <v>2</v>
      </c>
      <c r="P93" s="3">
        <v>3.2</v>
      </c>
      <c r="Q93" s="3">
        <v>0</v>
      </c>
      <c r="R93" s="3">
        <v>0</v>
      </c>
      <c r="S93" s="3">
        <v>0</v>
      </c>
      <c r="T93" s="3">
        <v>1</v>
      </c>
      <c r="U93" s="3">
        <v>1</v>
      </c>
      <c r="V93" s="3">
        <v>1</v>
      </c>
      <c r="W93" s="3" t="s">
        <v>184</v>
      </c>
      <c r="X93" s="3">
        <v>21.98</v>
      </c>
      <c r="Y93" s="3">
        <v>21.98</v>
      </c>
      <c r="Z93" s="3">
        <v>21.98</v>
      </c>
      <c r="AA93" s="3">
        <v>0</v>
      </c>
      <c r="AB93" s="3" t="s">
        <v>191</v>
      </c>
      <c r="AC93" s="3">
        <v>0</v>
      </c>
      <c r="AD93" s="3">
        <v>18.51</v>
      </c>
      <c r="AE93" s="3">
        <v>287</v>
      </c>
      <c r="AF93" s="3">
        <v>0</v>
      </c>
      <c r="AG93" s="3">
        <v>45.177188</v>
      </c>
      <c r="AH93" s="3">
        <v>0.363636363636363</v>
      </c>
      <c r="AI93" s="3" t="s">
        <v>192</v>
      </c>
      <c r="AJ93" s="3" t="s">
        <v>187</v>
      </c>
    </row>
    <row r="94" spans="1:36">
      <c r="A94" s="6">
        <v>43288</v>
      </c>
      <c r="B94" s="3" t="s">
        <v>76</v>
      </c>
      <c r="C94" s="3" t="s">
        <v>77</v>
      </c>
      <c r="D94" s="3" t="s">
        <v>78</v>
      </c>
      <c r="E94" s="3" t="s">
        <v>79</v>
      </c>
      <c r="F94" s="3" t="s">
        <v>182</v>
      </c>
      <c r="G94" s="3">
        <v>5</v>
      </c>
      <c r="H94" s="3">
        <v>0</v>
      </c>
      <c r="I94" s="3">
        <v>5</v>
      </c>
      <c r="J94" s="3">
        <v>0</v>
      </c>
      <c r="K94" s="3">
        <v>0</v>
      </c>
      <c r="L94" s="3">
        <v>0</v>
      </c>
      <c r="M94" s="3">
        <v>0</v>
      </c>
      <c r="N94" s="3" t="s">
        <v>183</v>
      </c>
      <c r="O94" s="3">
        <v>0</v>
      </c>
      <c r="P94" s="3">
        <v>0</v>
      </c>
      <c r="Q94" s="3">
        <v>0</v>
      </c>
      <c r="R94" s="3">
        <v>0</v>
      </c>
      <c r="S94" s="3">
        <v>84</v>
      </c>
      <c r="T94" s="3">
        <v>279</v>
      </c>
      <c r="U94" s="3">
        <v>294</v>
      </c>
      <c r="V94" s="3">
        <v>294</v>
      </c>
      <c r="W94" s="3"/>
      <c r="X94" s="3">
        <v>15</v>
      </c>
      <c r="Y94" s="3">
        <v>8</v>
      </c>
      <c r="Z94" s="3">
        <v>8</v>
      </c>
      <c r="AA94" s="3">
        <v>0</v>
      </c>
      <c r="AB94" s="3" t="s">
        <v>185</v>
      </c>
      <c r="AC94" s="3">
        <v>51</v>
      </c>
      <c r="AD94" s="3">
        <v>8</v>
      </c>
      <c r="AE94" s="3">
        <v>0</v>
      </c>
      <c r="AF94" s="3">
        <v>0</v>
      </c>
      <c r="AG94" s="3">
        <v>0</v>
      </c>
      <c r="AH94" s="3">
        <v>1.57866666666666</v>
      </c>
      <c r="AI94" s="3" t="s">
        <v>338</v>
      </c>
      <c r="AJ94" s="3" t="s">
        <v>187</v>
      </c>
    </row>
    <row r="95" spans="1:36">
      <c r="A95" s="6">
        <v>43288</v>
      </c>
      <c r="B95" s="3" t="s">
        <v>496</v>
      </c>
      <c r="C95" s="3" t="s">
        <v>497</v>
      </c>
      <c r="D95" s="3" t="s">
        <v>497</v>
      </c>
      <c r="E95" s="3" t="s">
        <v>498</v>
      </c>
      <c r="F95" s="3" t="s">
        <v>182</v>
      </c>
      <c r="G95" s="3">
        <v>3</v>
      </c>
      <c r="H95" s="3">
        <v>0</v>
      </c>
      <c r="I95" s="3">
        <v>0</v>
      </c>
      <c r="J95" s="3">
        <v>0</v>
      </c>
      <c r="K95" s="3">
        <v>3</v>
      </c>
      <c r="L95" s="3">
        <v>0</v>
      </c>
      <c r="M95" s="3">
        <v>0</v>
      </c>
      <c r="N95" s="3" t="s">
        <v>183</v>
      </c>
      <c r="O95" s="3">
        <v>3</v>
      </c>
      <c r="P95" s="3">
        <v>5.09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 t="s">
        <v>197</v>
      </c>
      <c r="X95" s="3">
        <v>15.8</v>
      </c>
      <c r="Y95" s="3">
        <v>15.8</v>
      </c>
      <c r="Z95" s="3">
        <v>15.8</v>
      </c>
      <c r="AA95" s="3">
        <v>0</v>
      </c>
      <c r="AB95" s="3" t="s">
        <v>198</v>
      </c>
      <c r="AC95" s="3">
        <v>0</v>
      </c>
      <c r="AD95" s="3">
        <v>14.09</v>
      </c>
      <c r="AE95" s="3">
        <v>91</v>
      </c>
      <c r="AF95" s="3">
        <v>0</v>
      </c>
      <c r="AG95" s="3">
        <v>78.048328</v>
      </c>
      <c r="AH95" s="3">
        <v>0</v>
      </c>
      <c r="AI95" s="3" t="s">
        <v>199</v>
      </c>
      <c r="AJ95" s="3" t="s">
        <v>193</v>
      </c>
    </row>
    <row r="96" spans="1:36">
      <c r="A96" s="6">
        <v>43288</v>
      </c>
      <c r="B96" s="3" t="s">
        <v>88</v>
      </c>
      <c r="C96" s="3" t="s">
        <v>89</v>
      </c>
      <c r="D96" s="3" t="s">
        <v>89</v>
      </c>
      <c r="E96" s="3" t="s">
        <v>90</v>
      </c>
      <c r="F96" s="3" t="s">
        <v>182</v>
      </c>
      <c r="G96" s="3">
        <v>4</v>
      </c>
      <c r="H96" s="3">
        <v>0</v>
      </c>
      <c r="I96" s="3">
        <v>0</v>
      </c>
      <c r="J96" s="3">
        <v>4</v>
      </c>
      <c r="K96" s="3">
        <v>0</v>
      </c>
      <c r="L96" s="3">
        <v>0</v>
      </c>
      <c r="M96" s="3">
        <v>0</v>
      </c>
      <c r="N96" s="3" t="s">
        <v>183</v>
      </c>
      <c r="O96" s="3">
        <v>0</v>
      </c>
      <c r="P96" s="3">
        <v>0</v>
      </c>
      <c r="Q96" s="3">
        <v>0</v>
      </c>
      <c r="R96" s="3">
        <v>0</v>
      </c>
      <c r="S96" s="3">
        <v>1</v>
      </c>
      <c r="T96" s="3">
        <v>1</v>
      </c>
      <c r="U96" s="3">
        <v>1</v>
      </c>
      <c r="V96" s="3">
        <v>2</v>
      </c>
      <c r="W96" s="3"/>
      <c r="X96" s="3">
        <v>13.99</v>
      </c>
      <c r="Y96" s="3">
        <v>13.99</v>
      </c>
      <c r="Z96" s="3">
        <v>13.99</v>
      </c>
      <c r="AA96" s="3">
        <v>0</v>
      </c>
      <c r="AB96" s="3" t="s">
        <v>198</v>
      </c>
      <c r="AC96" s="3">
        <v>0</v>
      </c>
      <c r="AD96" s="3">
        <v>12.6</v>
      </c>
      <c r="AE96" s="3">
        <v>329</v>
      </c>
      <c r="AF96" s="3">
        <v>0</v>
      </c>
      <c r="AG96" s="3">
        <v>19.13502</v>
      </c>
      <c r="AH96" s="3">
        <v>0.4</v>
      </c>
      <c r="AI96" s="3" t="s">
        <v>215</v>
      </c>
      <c r="AJ96" s="3" t="s">
        <v>187</v>
      </c>
    </row>
    <row r="97" spans="1:36">
      <c r="A97" s="6">
        <v>43288</v>
      </c>
      <c r="B97" s="3" t="s">
        <v>499</v>
      </c>
      <c r="C97" s="3" t="s">
        <v>500</v>
      </c>
      <c r="D97" s="3" t="s">
        <v>500</v>
      </c>
      <c r="E97" s="3" t="s">
        <v>501</v>
      </c>
      <c r="F97" s="3" t="s">
        <v>182</v>
      </c>
      <c r="G97" s="3">
        <v>10</v>
      </c>
      <c r="H97" s="3">
        <v>0</v>
      </c>
      <c r="I97" s="3">
        <v>10</v>
      </c>
      <c r="J97" s="3">
        <v>0</v>
      </c>
      <c r="K97" s="3">
        <v>0</v>
      </c>
      <c r="L97" s="3">
        <v>0</v>
      </c>
      <c r="M97" s="3">
        <v>0</v>
      </c>
      <c r="N97" s="3" t="s">
        <v>183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 t="s">
        <v>197</v>
      </c>
      <c r="X97" s="3">
        <v>13.99</v>
      </c>
      <c r="Y97" s="3">
        <v>13.99</v>
      </c>
      <c r="Z97" s="3">
        <v>13.99</v>
      </c>
      <c r="AA97" s="3">
        <v>0</v>
      </c>
      <c r="AB97" s="3" t="s">
        <v>198</v>
      </c>
      <c r="AC97" s="3">
        <v>0</v>
      </c>
      <c r="AD97" s="3">
        <v>10.25</v>
      </c>
      <c r="AE97" s="3">
        <v>364</v>
      </c>
      <c r="AF97" s="3">
        <v>0</v>
      </c>
      <c r="AG97" s="3">
        <v>100.418683</v>
      </c>
      <c r="AH97" s="3">
        <v>0</v>
      </c>
      <c r="AI97" s="3" t="s">
        <v>475</v>
      </c>
      <c r="AJ97" s="3" t="s">
        <v>187</v>
      </c>
    </row>
    <row r="98" spans="1:36">
      <c r="A98" s="6">
        <v>43288</v>
      </c>
      <c r="B98" s="3" t="s">
        <v>502</v>
      </c>
      <c r="C98" s="3" t="s">
        <v>503</v>
      </c>
      <c r="D98" s="3" t="s">
        <v>503</v>
      </c>
      <c r="E98" s="3" t="s">
        <v>504</v>
      </c>
      <c r="F98" s="3" t="s">
        <v>182</v>
      </c>
      <c r="G98" s="3">
        <v>10</v>
      </c>
      <c r="H98" s="3">
        <v>0</v>
      </c>
      <c r="I98" s="3">
        <v>0</v>
      </c>
      <c r="J98" s="3">
        <v>10</v>
      </c>
      <c r="K98" s="3">
        <v>0</v>
      </c>
      <c r="L98" s="3">
        <v>0</v>
      </c>
      <c r="M98" s="3">
        <v>0</v>
      </c>
      <c r="N98" s="3" t="s">
        <v>183</v>
      </c>
      <c r="O98" s="3">
        <v>9</v>
      </c>
      <c r="P98" s="3">
        <v>2.5</v>
      </c>
      <c r="Q98" s="3">
        <v>0</v>
      </c>
      <c r="R98" s="3">
        <v>0</v>
      </c>
      <c r="S98" s="3">
        <v>0</v>
      </c>
      <c r="T98" s="3">
        <v>0</v>
      </c>
      <c r="U98" s="3">
        <v>2</v>
      </c>
      <c r="V98" s="3">
        <v>4</v>
      </c>
      <c r="W98" s="3" t="s">
        <v>184</v>
      </c>
      <c r="X98" s="3">
        <v>8.99</v>
      </c>
      <c r="Y98" s="3">
        <v>8.99</v>
      </c>
      <c r="Z98" s="3">
        <v>8.99</v>
      </c>
      <c r="AA98" s="3">
        <v>0</v>
      </c>
      <c r="AB98" s="3" t="s">
        <v>191</v>
      </c>
      <c r="AC98" s="3">
        <v>0</v>
      </c>
      <c r="AD98" s="3">
        <v>5.27</v>
      </c>
      <c r="AE98" s="3">
        <v>70</v>
      </c>
      <c r="AF98" s="3">
        <v>0</v>
      </c>
      <c r="AG98" s="3">
        <v>26.166719</v>
      </c>
      <c r="AH98" s="3">
        <v>0.32</v>
      </c>
      <c r="AI98" s="3" t="s">
        <v>505</v>
      </c>
      <c r="AJ98" s="3" t="s">
        <v>187</v>
      </c>
    </row>
    <row r="99" spans="1:36">
      <c r="A99" s="6">
        <v>43288</v>
      </c>
      <c r="B99" s="3" t="s">
        <v>506</v>
      </c>
      <c r="C99" s="3" t="s">
        <v>507</v>
      </c>
      <c r="D99" s="3" t="s">
        <v>508</v>
      </c>
      <c r="E99" s="3" t="s">
        <v>509</v>
      </c>
      <c r="F99" s="3" t="s">
        <v>182</v>
      </c>
      <c r="G99" s="3">
        <v>3</v>
      </c>
      <c r="H99" s="3">
        <v>0</v>
      </c>
      <c r="I99" s="3">
        <v>3</v>
      </c>
      <c r="J99" s="3">
        <v>0</v>
      </c>
      <c r="K99" s="3">
        <v>0</v>
      </c>
      <c r="L99" s="3">
        <v>0</v>
      </c>
      <c r="M99" s="3">
        <v>0</v>
      </c>
      <c r="N99" s="3" t="s">
        <v>183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184</v>
      </c>
      <c r="X99" s="3">
        <v>10.99</v>
      </c>
      <c r="Y99" s="3">
        <v>10.99</v>
      </c>
      <c r="Z99" s="3">
        <v>10.99</v>
      </c>
      <c r="AA99" s="3">
        <v>0</v>
      </c>
      <c r="AB99" s="3" t="s">
        <v>191</v>
      </c>
      <c r="AC99" s="3">
        <v>0</v>
      </c>
      <c r="AD99" s="3">
        <v>8.79</v>
      </c>
      <c r="AE99" s="3">
        <v>63</v>
      </c>
      <c r="AF99" s="3">
        <v>0</v>
      </c>
      <c r="AG99" s="3">
        <v>19.073325</v>
      </c>
      <c r="AH99" s="3">
        <v>0</v>
      </c>
      <c r="AI99" s="3" t="s">
        <v>510</v>
      </c>
      <c r="AJ99" s="3" t="s">
        <v>187</v>
      </c>
    </row>
    <row r="100" spans="1:36">
      <c r="A100" s="6">
        <v>43288</v>
      </c>
      <c r="B100" s="3" t="s">
        <v>511</v>
      </c>
      <c r="C100" s="3" t="s">
        <v>512</v>
      </c>
      <c r="D100" s="3" t="s">
        <v>513</v>
      </c>
      <c r="E100" s="3" t="s">
        <v>514</v>
      </c>
      <c r="F100" s="3" t="s">
        <v>182</v>
      </c>
      <c r="G100" s="3">
        <v>1</v>
      </c>
      <c r="H100" s="3">
        <v>0</v>
      </c>
      <c r="I100" s="3">
        <v>1</v>
      </c>
      <c r="J100" s="3">
        <v>0</v>
      </c>
      <c r="K100" s="3">
        <v>0</v>
      </c>
      <c r="L100" s="3">
        <v>0</v>
      </c>
      <c r="M100" s="3">
        <v>0</v>
      </c>
      <c r="N100" s="3" t="s">
        <v>183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4</v>
      </c>
      <c r="U100" s="3">
        <v>4</v>
      </c>
      <c r="V100" s="3">
        <v>4</v>
      </c>
      <c r="W100" s="3" t="s">
        <v>184</v>
      </c>
      <c r="X100" s="3">
        <v>9.99</v>
      </c>
      <c r="Y100" s="3">
        <v>9.99</v>
      </c>
      <c r="Z100" s="3">
        <v>9.99</v>
      </c>
      <c r="AA100" s="3">
        <v>0</v>
      </c>
      <c r="AB100" s="3" t="s">
        <v>191</v>
      </c>
      <c r="AC100" s="3">
        <v>1</v>
      </c>
      <c r="AD100" s="3">
        <v>9.99</v>
      </c>
      <c r="AE100" s="3">
        <v>0</v>
      </c>
      <c r="AF100" s="3">
        <v>0</v>
      </c>
      <c r="AG100" s="3">
        <v>0</v>
      </c>
      <c r="AH100" s="3">
        <v>1.33333333333333</v>
      </c>
      <c r="AI100" s="3" t="s">
        <v>515</v>
      </c>
      <c r="AJ100" s="3" t="s">
        <v>187</v>
      </c>
    </row>
    <row r="101" spans="1:36">
      <c r="A101" s="6">
        <v>43288</v>
      </c>
      <c r="B101" s="3" t="s">
        <v>516</v>
      </c>
      <c r="C101" s="3" t="s">
        <v>517</v>
      </c>
      <c r="D101" s="3" t="s">
        <v>517</v>
      </c>
      <c r="E101" s="3" t="s">
        <v>518</v>
      </c>
      <c r="F101" s="3" t="s">
        <v>182</v>
      </c>
      <c r="G101" s="3">
        <v>4</v>
      </c>
      <c r="H101" s="3">
        <v>0</v>
      </c>
      <c r="I101" s="3">
        <v>0</v>
      </c>
      <c r="J101" s="3">
        <v>4</v>
      </c>
      <c r="K101" s="3">
        <v>0</v>
      </c>
      <c r="L101" s="3">
        <v>0</v>
      </c>
      <c r="M101" s="3">
        <v>0</v>
      </c>
      <c r="N101" s="3" t="s">
        <v>183</v>
      </c>
      <c r="O101" s="3">
        <v>4</v>
      </c>
      <c r="P101" s="3">
        <v>6.41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 t="s">
        <v>184</v>
      </c>
      <c r="X101" s="3">
        <v>21.98</v>
      </c>
      <c r="Y101" s="3">
        <v>21.98</v>
      </c>
      <c r="Z101" s="3">
        <v>21.98</v>
      </c>
      <c r="AA101" s="3">
        <v>0</v>
      </c>
      <c r="AB101" s="3" t="s">
        <v>191</v>
      </c>
      <c r="AC101" s="3">
        <v>0</v>
      </c>
      <c r="AD101" s="3">
        <v>17.58</v>
      </c>
      <c r="AE101" s="3">
        <v>63</v>
      </c>
      <c r="AF101" s="3">
        <v>0</v>
      </c>
      <c r="AG101" s="3">
        <v>80.419785</v>
      </c>
      <c r="AH101" s="3">
        <v>0</v>
      </c>
      <c r="AI101" s="3" t="s">
        <v>192</v>
      </c>
      <c r="AJ101" s="3" t="s">
        <v>187</v>
      </c>
    </row>
    <row r="102" spans="1:36">
      <c r="A102" s="6">
        <v>43288</v>
      </c>
      <c r="B102" s="3" t="s">
        <v>519</v>
      </c>
      <c r="C102" s="3" t="s">
        <v>520</v>
      </c>
      <c r="D102" s="3" t="s">
        <v>521</v>
      </c>
      <c r="E102" s="3" t="s">
        <v>522</v>
      </c>
      <c r="F102" s="3" t="s">
        <v>182</v>
      </c>
      <c r="G102" s="3">
        <v>3</v>
      </c>
      <c r="H102" s="3">
        <v>0</v>
      </c>
      <c r="I102" s="3">
        <v>3</v>
      </c>
      <c r="J102" s="3">
        <v>0</v>
      </c>
      <c r="K102" s="3">
        <v>0</v>
      </c>
      <c r="L102" s="3">
        <v>0</v>
      </c>
      <c r="M102" s="3">
        <v>0</v>
      </c>
      <c r="N102" s="3" t="s">
        <v>183</v>
      </c>
      <c r="O102" s="3">
        <v>0</v>
      </c>
      <c r="P102" s="3">
        <v>0</v>
      </c>
      <c r="Q102" s="3">
        <v>0</v>
      </c>
      <c r="R102" s="3">
        <v>0</v>
      </c>
      <c r="S102" s="3">
        <v>1</v>
      </c>
      <c r="T102" s="3">
        <v>1</v>
      </c>
      <c r="U102" s="3">
        <v>1</v>
      </c>
      <c r="V102" s="3">
        <v>1</v>
      </c>
      <c r="W102" s="3" t="s">
        <v>197</v>
      </c>
      <c r="X102" s="3">
        <v>15.99</v>
      </c>
      <c r="Y102" s="3">
        <v>7.99</v>
      </c>
      <c r="Z102" s="3">
        <v>7.99</v>
      </c>
      <c r="AA102" s="3">
        <v>0</v>
      </c>
      <c r="AB102" s="3" t="s">
        <v>198</v>
      </c>
      <c r="AC102" s="3">
        <v>0</v>
      </c>
      <c r="AD102" s="3">
        <v>6.39</v>
      </c>
      <c r="AE102" s="3">
        <v>63</v>
      </c>
      <c r="AF102" s="3">
        <v>0</v>
      </c>
      <c r="AG102" s="3">
        <v>17.379854</v>
      </c>
      <c r="AH102" s="3">
        <v>0.25</v>
      </c>
      <c r="AI102" s="3" t="s">
        <v>523</v>
      </c>
      <c r="AJ102" s="3" t="s">
        <v>187</v>
      </c>
    </row>
    <row r="103" spans="1:36">
      <c r="A103" s="6">
        <v>43288</v>
      </c>
      <c r="B103" s="3" t="s">
        <v>524</v>
      </c>
      <c r="C103" s="3" t="s">
        <v>525</v>
      </c>
      <c r="D103" s="3" t="s">
        <v>526</v>
      </c>
      <c r="E103" s="3" t="s">
        <v>527</v>
      </c>
      <c r="F103" s="3" t="s">
        <v>182</v>
      </c>
      <c r="G103" s="3">
        <v>12</v>
      </c>
      <c r="H103" s="3">
        <v>0</v>
      </c>
      <c r="I103" s="3">
        <v>12</v>
      </c>
      <c r="J103" s="3">
        <v>0</v>
      </c>
      <c r="K103" s="3">
        <v>0</v>
      </c>
      <c r="L103" s="3">
        <v>0</v>
      </c>
      <c r="M103" s="3">
        <v>0</v>
      </c>
      <c r="N103" s="3" t="s">
        <v>183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3</v>
      </c>
      <c r="U103" s="3">
        <v>3</v>
      </c>
      <c r="V103" s="3">
        <v>3</v>
      </c>
      <c r="W103" s="3" t="s">
        <v>184</v>
      </c>
      <c r="X103" s="3">
        <v>32.99</v>
      </c>
      <c r="Y103" s="3">
        <v>15.99</v>
      </c>
      <c r="Z103" s="3">
        <v>15.99</v>
      </c>
      <c r="AA103" s="3">
        <v>0</v>
      </c>
      <c r="AB103" s="3" t="s">
        <v>528</v>
      </c>
      <c r="AC103" s="3">
        <v>12</v>
      </c>
      <c r="AD103" s="3">
        <v>15.99</v>
      </c>
      <c r="AE103" s="3">
        <v>0</v>
      </c>
      <c r="AF103" s="3">
        <v>0</v>
      </c>
      <c r="AG103" s="3">
        <v>0</v>
      </c>
      <c r="AH103" s="3">
        <v>0.25</v>
      </c>
      <c r="AI103" s="3" t="s">
        <v>529</v>
      </c>
      <c r="AJ103" s="3" t="s">
        <v>187</v>
      </c>
    </row>
    <row r="104" spans="1:36">
      <c r="A104" s="6">
        <v>43288</v>
      </c>
      <c r="B104" s="3" t="s">
        <v>530</v>
      </c>
      <c r="C104" s="3" t="s">
        <v>531</v>
      </c>
      <c r="D104" s="3" t="s">
        <v>531</v>
      </c>
      <c r="E104" s="3" t="s">
        <v>532</v>
      </c>
      <c r="F104" s="3" t="s">
        <v>182</v>
      </c>
      <c r="G104" s="3">
        <v>4</v>
      </c>
      <c r="H104" s="3">
        <v>0</v>
      </c>
      <c r="I104" s="3">
        <v>0</v>
      </c>
      <c r="J104" s="3">
        <v>4</v>
      </c>
      <c r="K104" s="3">
        <v>0</v>
      </c>
      <c r="L104" s="3">
        <v>0</v>
      </c>
      <c r="M104" s="3">
        <v>0</v>
      </c>
      <c r="N104" s="3" t="s">
        <v>183</v>
      </c>
      <c r="O104" s="3">
        <v>4</v>
      </c>
      <c r="P104" s="3">
        <v>5.99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184</v>
      </c>
      <c r="X104" s="3">
        <v>21.98</v>
      </c>
      <c r="Y104" s="3">
        <v>21.98</v>
      </c>
      <c r="Z104" s="3">
        <v>21.98</v>
      </c>
      <c r="AA104" s="3">
        <v>0</v>
      </c>
      <c r="AB104" s="3" t="s">
        <v>191</v>
      </c>
      <c r="AC104" s="3">
        <v>0</v>
      </c>
      <c r="AD104" s="3">
        <v>17.58</v>
      </c>
      <c r="AE104" s="3">
        <v>63</v>
      </c>
      <c r="AF104" s="3">
        <v>0</v>
      </c>
      <c r="AG104" s="3">
        <v>75.705426</v>
      </c>
      <c r="AH104" s="3">
        <v>0</v>
      </c>
      <c r="AI104" s="3" t="s">
        <v>251</v>
      </c>
      <c r="AJ104" s="3" t="s">
        <v>193</v>
      </c>
    </row>
    <row r="105" spans="1:36">
      <c r="A105" s="6">
        <v>43288</v>
      </c>
      <c r="B105" s="3" t="s">
        <v>533</v>
      </c>
      <c r="C105" s="3" t="s">
        <v>534</v>
      </c>
      <c r="D105" s="3" t="s">
        <v>534</v>
      </c>
      <c r="E105" s="3" t="s">
        <v>535</v>
      </c>
      <c r="F105" s="3" t="s">
        <v>182</v>
      </c>
      <c r="G105" s="3">
        <v>3</v>
      </c>
      <c r="H105" s="3">
        <v>0</v>
      </c>
      <c r="I105" s="3">
        <v>0</v>
      </c>
      <c r="J105" s="3">
        <v>3</v>
      </c>
      <c r="K105" s="3">
        <v>0</v>
      </c>
      <c r="L105" s="3">
        <v>0</v>
      </c>
      <c r="M105" s="3">
        <v>0</v>
      </c>
      <c r="N105" s="3" t="s">
        <v>183</v>
      </c>
      <c r="O105" s="3">
        <v>3</v>
      </c>
      <c r="P105" s="3">
        <v>0</v>
      </c>
      <c r="Q105" s="3">
        <v>0</v>
      </c>
      <c r="R105" s="3">
        <v>0</v>
      </c>
      <c r="S105" s="3">
        <v>0</v>
      </c>
      <c r="T105" s="3">
        <v>1</v>
      </c>
      <c r="U105" s="3">
        <v>1</v>
      </c>
      <c r="V105" s="3">
        <v>1</v>
      </c>
      <c r="W105" s="3" t="s">
        <v>184</v>
      </c>
      <c r="X105" s="3">
        <v>18.99</v>
      </c>
      <c r="Y105" s="3">
        <v>18.99</v>
      </c>
      <c r="Z105" s="3">
        <v>18.99</v>
      </c>
      <c r="AA105" s="3">
        <v>0</v>
      </c>
      <c r="AB105" s="3" t="s">
        <v>191</v>
      </c>
      <c r="AC105" s="3">
        <v>3</v>
      </c>
      <c r="AD105" s="3">
        <v>18.99</v>
      </c>
      <c r="AE105" s="3">
        <v>0</v>
      </c>
      <c r="AF105" s="3">
        <v>0</v>
      </c>
      <c r="AG105" s="3">
        <v>0</v>
      </c>
      <c r="AH105" s="3">
        <v>0.266666666666666</v>
      </c>
      <c r="AI105" s="3" t="s">
        <v>215</v>
      </c>
      <c r="AJ105" s="3" t="s">
        <v>187</v>
      </c>
    </row>
    <row r="106" spans="1:36">
      <c r="A106" s="6">
        <v>43288</v>
      </c>
      <c r="B106" s="3" t="s">
        <v>536</v>
      </c>
      <c r="C106" s="3" t="s">
        <v>537</v>
      </c>
      <c r="D106" s="3" t="s">
        <v>537</v>
      </c>
      <c r="E106" s="3" t="s">
        <v>538</v>
      </c>
      <c r="F106" s="3" t="s">
        <v>182</v>
      </c>
      <c r="G106" s="3">
        <v>1</v>
      </c>
      <c r="H106" s="3">
        <v>0</v>
      </c>
      <c r="I106" s="3">
        <v>0</v>
      </c>
      <c r="J106" s="3">
        <v>1</v>
      </c>
      <c r="K106" s="3">
        <v>0</v>
      </c>
      <c r="L106" s="3">
        <v>0</v>
      </c>
      <c r="M106" s="3">
        <v>0</v>
      </c>
      <c r="N106" s="3" t="s">
        <v>183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 t="s">
        <v>197</v>
      </c>
      <c r="X106" s="3">
        <v>19.9</v>
      </c>
      <c r="Y106" s="3">
        <v>19.9</v>
      </c>
      <c r="Z106" s="3">
        <v>19.9</v>
      </c>
      <c r="AA106" s="3">
        <v>0</v>
      </c>
      <c r="AB106" s="3" t="s">
        <v>245</v>
      </c>
      <c r="AC106" s="3">
        <v>0</v>
      </c>
      <c r="AD106" s="3">
        <v>19.9</v>
      </c>
      <c r="AE106" s="3">
        <v>0</v>
      </c>
      <c r="AF106" s="3">
        <v>1</v>
      </c>
      <c r="AG106" s="3">
        <v>61.164237</v>
      </c>
      <c r="AH106" s="3">
        <v>0</v>
      </c>
      <c r="AI106" s="3" t="s">
        <v>539</v>
      </c>
      <c r="AJ106" s="3" t="s">
        <v>187</v>
      </c>
    </row>
    <row r="107" spans="1:36">
      <c r="A107" s="6">
        <v>43288</v>
      </c>
      <c r="B107" s="3" t="s">
        <v>540</v>
      </c>
      <c r="C107" s="3" t="s">
        <v>541</v>
      </c>
      <c r="D107" s="3" t="s">
        <v>541</v>
      </c>
      <c r="E107" s="3" t="s">
        <v>542</v>
      </c>
      <c r="F107" s="3" t="s">
        <v>182</v>
      </c>
      <c r="G107" s="3">
        <v>2</v>
      </c>
      <c r="H107" s="3">
        <v>0</v>
      </c>
      <c r="I107" s="3">
        <v>0</v>
      </c>
      <c r="J107" s="3">
        <v>0</v>
      </c>
      <c r="K107" s="3">
        <v>2</v>
      </c>
      <c r="L107" s="3">
        <v>0</v>
      </c>
      <c r="M107" s="3">
        <v>0</v>
      </c>
      <c r="N107" s="3" t="s">
        <v>183</v>
      </c>
      <c r="O107" s="3">
        <v>2</v>
      </c>
      <c r="P107" s="3">
        <v>2.66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184</v>
      </c>
      <c r="X107" s="3">
        <v>13.59</v>
      </c>
      <c r="Y107" s="3">
        <v>13.59</v>
      </c>
      <c r="Z107" s="3">
        <v>13.59</v>
      </c>
      <c r="AA107" s="3">
        <v>0</v>
      </c>
      <c r="AB107" s="3" t="s">
        <v>185</v>
      </c>
      <c r="AC107" s="3">
        <v>0</v>
      </c>
      <c r="AD107" s="3">
        <v>13.59</v>
      </c>
      <c r="AE107" s="3">
        <v>63</v>
      </c>
      <c r="AF107" s="3">
        <v>0</v>
      </c>
      <c r="AG107" s="3">
        <v>31.559437</v>
      </c>
      <c r="AH107" s="3">
        <v>0</v>
      </c>
      <c r="AI107" s="3" t="s">
        <v>543</v>
      </c>
      <c r="AJ107" s="3" t="s">
        <v>187</v>
      </c>
    </row>
    <row r="108" spans="1:36">
      <c r="A108" s="6">
        <v>43288</v>
      </c>
      <c r="B108" s="3" t="s">
        <v>544</v>
      </c>
      <c r="C108" s="3" t="s">
        <v>545</v>
      </c>
      <c r="D108" s="3" t="s">
        <v>545</v>
      </c>
      <c r="E108" s="3" t="s">
        <v>546</v>
      </c>
      <c r="F108" s="3" t="s">
        <v>182</v>
      </c>
      <c r="G108" s="3">
        <v>3</v>
      </c>
      <c r="H108" s="3">
        <v>0</v>
      </c>
      <c r="I108" s="3">
        <v>0</v>
      </c>
      <c r="J108" s="3">
        <v>0</v>
      </c>
      <c r="K108" s="3">
        <v>3</v>
      </c>
      <c r="L108" s="3">
        <v>0</v>
      </c>
      <c r="M108" s="3">
        <v>0</v>
      </c>
      <c r="N108" s="3" t="s">
        <v>183</v>
      </c>
      <c r="O108" s="3">
        <v>3</v>
      </c>
      <c r="P108" s="3">
        <v>5.09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197</v>
      </c>
      <c r="X108" s="3">
        <v>17.99</v>
      </c>
      <c r="Y108" s="3">
        <v>17.99</v>
      </c>
      <c r="Z108" s="3">
        <v>17.99</v>
      </c>
      <c r="AA108" s="3">
        <v>0</v>
      </c>
      <c r="AB108" s="3" t="s">
        <v>185</v>
      </c>
      <c r="AC108" s="3">
        <v>3</v>
      </c>
      <c r="AD108" s="3">
        <v>17.99</v>
      </c>
      <c r="AE108" s="3">
        <v>0</v>
      </c>
      <c r="AF108" s="3">
        <v>0</v>
      </c>
      <c r="AG108" s="3">
        <v>0</v>
      </c>
      <c r="AH108" s="3">
        <v>0</v>
      </c>
      <c r="AI108" s="3" t="s">
        <v>199</v>
      </c>
      <c r="AJ108" s="3" t="s">
        <v>193</v>
      </c>
    </row>
    <row r="109" spans="1:36">
      <c r="A109" s="6">
        <v>43288</v>
      </c>
      <c r="B109" s="3" t="s">
        <v>547</v>
      </c>
      <c r="C109" s="3" t="s">
        <v>548</v>
      </c>
      <c r="D109" s="3" t="s">
        <v>548</v>
      </c>
      <c r="E109" s="3" t="s">
        <v>549</v>
      </c>
      <c r="F109" s="3" t="s">
        <v>182</v>
      </c>
      <c r="G109" s="3">
        <v>1</v>
      </c>
      <c r="H109" s="3">
        <v>0</v>
      </c>
      <c r="I109" s="3">
        <v>0</v>
      </c>
      <c r="J109" s="3">
        <v>1</v>
      </c>
      <c r="K109" s="3">
        <v>0</v>
      </c>
      <c r="L109" s="3">
        <v>0</v>
      </c>
      <c r="M109" s="3">
        <v>0</v>
      </c>
      <c r="N109" s="3" t="s">
        <v>183</v>
      </c>
      <c r="O109" s="3">
        <v>1</v>
      </c>
      <c r="P109" s="3">
        <v>1.5</v>
      </c>
      <c r="Q109" s="3">
        <v>0</v>
      </c>
      <c r="R109" s="3">
        <v>0</v>
      </c>
      <c r="S109" s="3">
        <v>0</v>
      </c>
      <c r="T109" s="3">
        <v>2</v>
      </c>
      <c r="U109" s="3">
        <v>2</v>
      </c>
      <c r="V109" s="3">
        <v>2</v>
      </c>
      <c r="W109" s="3" t="s">
        <v>184</v>
      </c>
      <c r="X109" s="3">
        <v>21.98</v>
      </c>
      <c r="Y109" s="3">
        <v>21.98</v>
      </c>
      <c r="Z109" s="3">
        <v>21.98</v>
      </c>
      <c r="AA109" s="3">
        <v>0</v>
      </c>
      <c r="AB109" s="3" t="s">
        <v>191</v>
      </c>
      <c r="AC109" s="3">
        <v>1</v>
      </c>
      <c r="AD109" s="3">
        <v>21.98</v>
      </c>
      <c r="AE109" s="3">
        <v>0</v>
      </c>
      <c r="AF109" s="3">
        <v>0</v>
      </c>
      <c r="AG109" s="3">
        <v>0</v>
      </c>
      <c r="AH109" s="3">
        <v>0.8</v>
      </c>
      <c r="AI109" s="3" t="s">
        <v>251</v>
      </c>
      <c r="AJ109" s="3" t="s">
        <v>193</v>
      </c>
    </row>
    <row r="110" spans="1:36">
      <c r="A110" s="6">
        <v>43288</v>
      </c>
      <c r="B110" s="3" t="s">
        <v>550</v>
      </c>
      <c r="C110" s="3" t="s">
        <v>551</v>
      </c>
      <c r="D110" s="3" t="s">
        <v>552</v>
      </c>
      <c r="E110" s="3" t="s">
        <v>553</v>
      </c>
      <c r="F110" s="3" t="s">
        <v>182</v>
      </c>
      <c r="G110" s="3">
        <v>15</v>
      </c>
      <c r="H110" s="3">
        <v>0</v>
      </c>
      <c r="I110" s="3">
        <v>15</v>
      </c>
      <c r="J110" s="3">
        <v>0</v>
      </c>
      <c r="K110" s="3">
        <v>0</v>
      </c>
      <c r="L110" s="3">
        <v>0</v>
      </c>
      <c r="M110" s="3">
        <v>0</v>
      </c>
      <c r="N110" s="3" t="s">
        <v>183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184</v>
      </c>
      <c r="X110" s="3">
        <v>18.99</v>
      </c>
      <c r="Y110" s="3">
        <v>10.99</v>
      </c>
      <c r="Z110" s="3">
        <v>10.99</v>
      </c>
      <c r="AA110" s="3">
        <v>0</v>
      </c>
      <c r="AB110" s="3" t="s">
        <v>528</v>
      </c>
      <c r="AC110" s="3">
        <v>15</v>
      </c>
      <c r="AD110" s="3">
        <v>10.99</v>
      </c>
      <c r="AE110" s="3">
        <v>0</v>
      </c>
      <c r="AF110" s="3">
        <v>0</v>
      </c>
      <c r="AG110" s="3">
        <v>0</v>
      </c>
      <c r="AH110" s="3">
        <v>0</v>
      </c>
      <c r="AI110" s="3" t="s">
        <v>554</v>
      </c>
      <c r="AJ110" s="3" t="s">
        <v>187</v>
      </c>
    </row>
    <row r="111" spans="1:36">
      <c r="A111" s="6">
        <v>43288</v>
      </c>
      <c r="B111" s="3" t="s">
        <v>103</v>
      </c>
      <c r="C111" s="3" t="s">
        <v>104</v>
      </c>
      <c r="D111" s="3" t="s">
        <v>105</v>
      </c>
      <c r="E111" s="3" t="s">
        <v>106</v>
      </c>
      <c r="F111" s="3" t="s">
        <v>182</v>
      </c>
      <c r="G111" s="3">
        <v>2</v>
      </c>
      <c r="H111" s="3">
        <v>0</v>
      </c>
      <c r="I111" s="3">
        <v>2</v>
      </c>
      <c r="J111" s="3">
        <v>0</v>
      </c>
      <c r="K111" s="3">
        <v>0</v>
      </c>
      <c r="L111" s="3">
        <v>0</v>
      </c>
      <c r="M111" s="3">
        <v>0</v>
      </c>
      <c r="N111" s="3" t="s">
        <v>183</v>
      </c>
      <c r="O111" s="3">
        <v>0</v>
      </c>
      <c r="P111" s="3">
        <v>0</v>
      </c>
      <c r="Q111" s="3">
        <v>0</v>
      </c>
      <c r="R111" s="3">
        <v>0</v>
      </c>
      <c r="S111" s="3">
        <v>1</v>
      </c>
      <c r="T111" s="3">
        <v>16</v>
      </c>
      <c r="U111" s="3">
        <v>26</v>
      </c>
      <c r="V111" s="3">
        <v>26</v>
      </c>
      <c r="W111" s="3" t="s">
        <v>184</v>
      </c>
      <c r="X111" s="3">
        <v>14.99</v>
      </c>
      <c r="Y111" s="3">
        <v>7.99</v>
      </c>
      <c r="Z111" s="3">
        <v>7.99</v>
      </c>
      <c r="AA111" s="3">
        <v>0</v>
      </c>
      <c r="AB111" s="3" t="s">
        <v>528</v>
      </c>
      <c r="AC111" s="3">
        <v>4</v>
      </c>
      <c r="AD111" s="3">
        <v>7.99</v>
      </c>
      <c r="AE111" s="3">
        <v>0</v>
      </c>
      <c r="AF111" s="3">
        <v>0</v>
      </c>
      <c r="AG111" s="3">
        <v>0</v>
      </c>
      <c r="AH111" s="3">
        <v>5.57142857142857</v>
      </c>
      <c r="AI111" s="3" t="s">
        <v>555</v>
      </c>
      <c r="AJ111" s="3" t="s">
        <v>187</v>
      </c>
    </row>
    <row r="112" spans="1:36">
      <c r="A112" s="6">
        <v>43288</v>
      </c>
      <c r="B112" s="3" t="s">
        <v>556</v>
      </c>
      <c r="C112" s="3" t="s">
        <v>557</v>
      </c>
      <c r="D112" s="3" t="s">
        <v>558</v>
      </c>
      <c r="E112" s="3" t="s">
        <v>559</v>
      </c>
      <c r="F112" s="3" t="s">
        <v>182</v>
      </c>
      <c r="G112" s="3">
        <v>4</v>
      </c>
      <c r="H112" s="3">
        <v>0</v>
      </c>
      <c r="I112" s="3">
        <v>4</v>
      </c>
      <c r="J112" s="3">
        <v>0</v>
      </c>
      <c r="K112" s="3">
        <v>0</v>
      </c>
      <c r="L112" s="3">
        <v>0</v>
      </c>
      <c r="M112" s="3">
        <v>0</v>
      </c>
      <c r="N112" s="3" t="s">
        <v>183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1</v>
      </c>
      <c r="U112" s="3">
        <v>1</v>
      </c>
      <c r="V112" s="3">
        <v>1</v>
      </c>
      <c r="W112" s="3" t="s">
        <v>184</v>
      </c>
      <c r="X112" s="3">
        <v>9.99</v>
      </c>
      <c r="Y112" s="3">
        <v>9.99</v>
      </c>
      <c r="Z112" s="3">
        <v>9.99</v>
      </c>
      <c r="AA112" s="3">
        <v>0</v>
      </c>
      <c r="AB112" s="3" t="s">
        <v>191</v>
      </c>
      <c r="AC112" s="3">
        <v>4</v>
      </c>
      <c r="AD112" s="3">
        <v>9.99</v>
      </c>
      <c r="AE112" s="3">
        <v>0</v>
      </c>
      <c r="AF112" s="3">
        <v>0</v>
      </c>
      <c r="AG112" s="3">
        <v>0</v>
      </c>
      <c r="AH112" s="3">
        <v>0.3</v>
      </c>
      <c r="AI112" s="3" t="s">
        <v>396</v>
      </c>
      <c r="AJ112" s="3" t="s">
        <v>187</v>
      </c>
    </row>
    <row r="113" spans="1:36">
      <c r="A113" s="6">
        <v>43288</v>
      </c>
      <c r="B113" s="3" t="s">
        <v>560</v>
      </c>
      <c r="C113" s="3" t="s">
        <v>561</v>
      </c>
      <c r="D113" s="3" t="s">
        <v>561</v>
      </c>
      <c r="E113" s="3" t="s">
        <v>562</v>
      </c>
      <c r="F113" s="3" t="s">
        <v>182</v>
      </c>
      <c r="G113" s="3">
        <v>4</v>
      </c>
      <c r="H113" s="3">
        <v>0</v>
      </c>
      <c r="I113" s="3">
        <v>0</v>
      </c>
      <c r="J113" s="3">
        <v>0</v>
      </c>
      <c r="K113" s="3">
        <v>4</v>
      </c>
      <c r="L113" s="3">
        <v>0</v>
      </c>
      <c r="M113" s="3">
        <v>0</v>
      </c>
      <c r="N113" s="3" t="s">
        <v>183</v>
      </c>
      <c r="O113" s="3">
        <v>4</v>
      </c>
      <c r="P113" s="3">
        <v>4.36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 t="s">
        <v>184</v>
      </c>
      <c r="X113" s="3">
        <v>17.99</v>
      </c>
      <c r="Y113" s="3">
        <v>17.99</v>
      </c>
      <c r="Z113" s="3">
        <v>17.99</v>
      </c>
      <c r="AA113" s="3">
        <v>0</v>
      </c>
      <c r="AB113" s="3" t="s">
        <v>198</v>
      </c>
      <c r="AC113" s="3">
        <v>0</v>
      </c>
      <c r="AD113" s="3">
        <v>17.06</v>
      </c>
      <c r="AE113" s="3">
        <v>28</v>
      </c>
      <c r="AF113" s="3">
        <v>0</v>
      </c>
      <c r="AG113" s="3">
        <v>88.237209</v>
      </c>
      <c r="AH113" s="3">
        <v>0</v>
      </c>
      <c r="AI113" s="3" t="s">
        <v>563</v>
      </c>
      <c r="AJ113" s="3" t="s">
        <v>187</v>
      </c>
    </row>
    <row r="114" spans="1:36">
      <c r="A114" s="6">
        <v>43288</v>
      </c>
      <c r="B114" s="3" t="s">
        <v>564</v>
      </c>
      <c r="C114" s="3" t="s">
        <v>565</v>
      </c>
      <c r="D114" s="3" t="s">
        <v>565</v>
      </c>
      <c r="E114" s="3" t="s">
        <v>566</v>
      </c>
      <c r="F114" s="3" t="s">
        <v>182</v>
      </c>
      <c r="G114" s="3">
        <v>22</v>
      </c>
      <c r="H114" s="3">
        <v>0</v>
      </c>
      <c r="I114" s="3">
        <v>1</v>
      </c>
      <c r="J114" s="3">
        <v>21</v>
      </c>
      <c r="K114" s="3">
        <v>0</v>
      </c>
      <c r="L114" s="3">
        <v>0</v>
      </c>
      <c r="M114" s="3">
        <v>0</v>
      </c>
      <c r="N114" s="3" t="s">
        <v>183</v>
      </c>
      <c r="O114" s="3">
        <v>11</v>
      </c>
      <c r="P114" s="3">
        <v>19.58</v>
      </c>
      <c r="Q114" s="3">
        <v>0</v>
      </c>
      <c r="R114" s="3">
        <v>0</v>
      </c>
      <c r="S114" s="3">
        <v>0</v>
      </c>
      <c r="T114" s="3">
        <v>7</v>
      </c>
      <c r="U114" s="3">
        <v>8</v>
      </c>
      <c r="V114" s="3">
        <v>11</v>
      </c>
      <c r="W114" s="3"/>
      <c r="X114" s="3">
        <v>13.23</v>
      </c>
      <c r="Y114" s="3">
        <v>13.23</v>
      </c>
      <c r="Z114" s="3">
        <v>13.23</v>
      </c>
      <c r="AA114" s="3">
        <v>0</v>
      </c>
      <c r="AB114" s="3" t="s">
        <v>198</v>
      </c>
      <c r="AC114" s="3">
        <v>21</v>
      </c>
      <c r="AD114" s="3">
        <v>12.13</v>
      </c>
      <c r="AE114" s="3">
        <v>7</v>
      </c>
      <c r="AF114" s="3">
        <v>0</v>
      </c>
      <c r="AG114" s="3">
        <v>0.688667</v>
      </c>
      <c r="AH114" s="3">
        <v>0.389380530973451</v>
      </c>
      <c r="AI114" s="3" t="s">
        <v>567</v>
      </c>
      <c r="AJ114" s="3" t="s">
        <v>187</v>
      </c>
    </row>
    <row r="115" spans="1:36">
      <c r="A115" s="6">
        <v>43288</v>
      </c>
      <c r="B115" s="3" t="s">
        <v>568</v>
      </c>
      <c r="C115" s="3" t="s">
        <v>569</v>
      </c>
      <c r="D115" s="3" t="s">
        <v>570</v>
      </c>
      <c r="E115" s="3" t="s">
        <v>571</v>
      </c>
      <c r="F115" s="3" t="s">
        <v>182</v>
      </c>
      <c r="G115" s="3">
        <v>5</v>
      </c>
      <c r="H115" s="3">
        <v>0</v>
      </c>
      <c r="I115" s="3">
        <v>5</v>
      </c>
      <c r="J115" s="3">
        <v>0</v>
      </c>
      <c r="K115" s="3">
        <v>0</v>
      </c>
      <c r="L115" s="3">
        <v>0</v>
      </c>
      <c r="M115" s="3">
        <v>0</v>
      </c>
      <c r="N115" s="3" t="s">
        <v>183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197</v>
      </c>
      <c r="X115" s="3">
        <v>14.99</v>
      </c>
      <c r="Y115" s="3">
        <v>14.99</v>
      </c>
      <c r="Z115" s="3">
        <v>14.99</v>
      </c>
      <c r="AA115" s="3">
        <v>0</v>
      </c>
      <c r="AB115" s="3" t="s">
        <v>198</v>
      </c>
      <c r="AC115" s="3">
        <v>0</v>
      </c>
      <c r="AD115" s="3">
        <v>11.99</v>
      </c>
      <c r="AE115" s="3">
        <v>63</v>
      </c>
      <c r="AF115" s="3">
        <v>0</v>
      </c>
      <c r="AG115" s="3">
        <v>140.543633</v>
      </c>
      <c r="AH115" s="3">
        <v>0</v>
      </c>
      <c r="AI115" s="3" t="s">
        <v>572</v>
      </c>
      <c r="AJ115" s="3" t="s">
        <v>187</v>
      </c>
    </row>
    <row r="116" spans="1:36">
      <c r="A116" s="6">
        <v>43288</v>
      </c>
      <c r="B116" s="3" t="s">
        <v>573</v>
      </c>
      <c r="C116" s="3" t="s">
        <v>574</v>
      </c>
      <c r="D116" s="3" t="s">
        <v>574</v>
      </c>
      <c r="E116" s="3" t="s">
        <v>575</v>
      </c>
      <c r="F116" s="3" t="s">
        <v>182</v>
      </c>
      <c r="G116" s="3">
        <v>5</v>
      </c>
      <c r="H116" s="3">
        <v>0</v>
      </c>
      <c r="I116" s="3">
        <v>0</v>
      </c>
      <c r="J116" s="3">
        <v>0</v>
      </c>
      <c r="K116" s="3">
        <v>5</v>
      </c>
      <c r="L116" s="3">
        <v>0</v>
      </c>
      <c r="M116" s="3">
        <v>0</v>
      </c>
      <c r="N116" s="3" t="s">
        <v>183</v>
      </c>
      <c r="O116" s="3">
        <v>5</v>
      </c>
      <c r="P116" s="3">
        <v>8.49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197</v>
      </c>
      <c r="X116" s="3">
        <v>14.39</v>
      </c>
      <c r="Y116" s="3">
        <v>14.39</v>
      </c>
      <c r="Z116" s="3">
        <v>14.39</v>
      </c>
      <c r="AA116" s="3">
        <v>0</v>
      </c>
      <c r="AB116" s="3" t="s">
        <v>185</v>
      </c>
      <c r="AC116" s="3">
        <v>0</v>
      </c>
      <c r="AD116" s="3">
        <v>14.39</v>
      </c>
      <c r="AE116" s="3">
        <v>63</v>
      </c>
      <c r="AF116" s="3">
        <v>0</v>
      </c>
      <c r="AG116" s="3">
        <v>100.228075</v>
      </c>
      <c r="AH116" s="3">
        <v>0</v>
      </c>
      <c r="AI116" s="3" t="s">
        <v>199</v>
      </c>
      <c r="AJ116" s="3" t="s">
        <v>193</v>
      </c>
    </row>
    <row r="117" spans="1:36">
      <c r="A117" s="6">
        <v>43288</v>
      </c>
      <c r="B117" s="3" t="s">
        <v>576</v>
      </c>
      <c r="C117" s="3" t="s">
        <v>577</v>
      </c>
      <c r="D117" s="3" t="s">
        <v>578</v>
      </c>
      <c r="E117" s="3" t="s">
        <v>579</v>
      </c>
      <c r="F117" s="3" t="s">
        <v>182</v>
      </c>
      <c r="G117" s="3">
        <v>15</v>
      </c>
      <c r="H117" s="3">
        <v>0</v>
      </c>
      <c r="I117" s="3">
        <v>15</v>
      </c>
      <c r="J117" s="3">
        <v>0</v>
      </c>
      <c r="K117" s="3">
        <v>0</v>
      </c>
      <c r="L117" s="3">
        <v>0</v>
      </c>
      <c r="M117" s="3">
        <v>0</v>
      </c>
      <c r="N117" s="3" t="s">
        <v>183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1</v>
      </c>
      <c r="U117" s="3">
        <v>3</v>
      </c>
      <c r="V117" s="3">
        <v>4</v>
      </c>
      <c r="W117" s="3" t="s">
        <v>197</v>
      </c>
      <c r="X117" s="3">
        <v>9.99</v>
      </c>
      <c r="Y117" s="3">
        <v>9.99</v>
      </c>
      <c r="Z117" s="3">
        <v>9.99</v>
      </c>
      <c r="AA117" s="3">
        <v>0</v>
      </c>
      <c r="AB117" s="3" t="s">
        <v>185</v>
      </c>
      <c r="AC117" s="3">
        <v>15</v>
      </c>
      <c r="AD117" s="3">
        <v>9.99</v>
      </c>
      <c r="AE117" s="3">
        <v>0</v>
      </c>
      <c r="AF117" s="3">
        <v>0</v>
      </c>
      <c r="AG117" s="3">
        <v>0</v>
      </c>
      <c r="AH117" s="3">
        <v>0.5</v>
      </c>
      <c r="AI117" s="3" t="s">
        <v>580</v>
      </c>
      <c r="AJ117" s="3" t="s">
        <v>187</v>
      </c>
    </row>
    <row r="118" spans="1:36">
      <c r="A118" s="6">
        <v>43288</v>
      </c>
      <c r="B118" s="3" t="s">
        <v>581</v>
      </c>
      <c r="C118" s="3" t="s">
        <v>582</v>
      </c>
      <c r="D118" s="3" t="s">
        <v>582</v>
      </c>
      <c r="E118" s="3" t="s">
        <v>583</v>
      </c>
      <c r="F118" s="3" t="s">
        <v>182</v>
      </c>
      <c r="G118" s="3">
        <v>22</v>
      </c>
      <c r="H118" s="3">
        <v>0</v>
      </c>
      <c r="I118" s="3">
        <v>0</v>
      </c>
      <c r="J118" s="3">
        <v>22</v>
      </c>
      <c r="K118" s="3">
        <v>0</v>
      </c>
      <c r="L118" s="3">
        <v>0</v>
      </c>
      <c r="M118" s="3">
        <v>0</v>
      </c>
      <c r="N118" s="3" t="s">
        <v>183</v>
      </c>
      <c r="O118" s="3">
        <v>2</v>
      </c>
      <c r="P118" s="3">
        <v>7.68</v>
      </c>
      <c r="Q118" s="3">
        <v>0</v>
      </c>
      <c r="R118" s="3">
        <v>0</v>
      </c>
      <c r="S118" s="3">
        <v>0</v>
      </c>
      <c r="T118" s="3">
        <v>3</v>
      </c>
      <c r="U118" s="3">
        <v>7</v>
      </c>
      <c r="V118" s="3">
        <v>8</v>
      </c>
      <c r="W118" s="3"/>
      <c r="X118" s="3">
        <v>14.99</v>
      </c>
      <c r="Y118" s="3">
        <v>14.99</v>
      </c>
      <c r="Z118" s="3">
        <v>14.99</v>
      </c>
      <c r="AA118" s="3">
        <v>0</v>
      </c>
      <c r="AB118" s="3" t="s">
        <v>198</v>
      </c>
      <c r="AC118" s="3">
        <v>6</v>
      </c>
      <c r="AD118" s="3">
        <v>13.19</v>
      </c>
      <c r="AE118" s="3">
        <v>105</v>
      </c>
      <c r="AF118" s="3">
        <v>0</v>
      </c>
      <c r="AG118" s="3">
        <v>28.553368</v>
      </c>
      <c r="AH118" s="3">
        <v>0.285714285714285</v>
      </c>
      <c r="AI118" s="3" t="s">
        <v>584</v>
      </c>
      <c r="AJ118" s="3" t="s">
        <v>187</v>
      </c>
    </row>
    <row r="119" spans="1:36">
      <c r="A119" s="6">
        <v>43288</v>
      </c>
      <c r="B119" s="3" t="s">
        <v>585</v>
      </c>
      <c r="C119" s="3" t="s">
        <v>586</v>
      </c>
      <c r="D119" s="3" t="s">
        <v>586</v>
      </c>
      <c r="E119" s="3" t="s">
        <v>587</v>
      </c>
      <c r="F119" s="3" t="s">
        <v>182</v>
      </c>
      <c r="G119" s="3">
        <v>5</v>
      </c>
      <c r="H119" s="3">
        <v>0</v>
      </c>
      <c r="I119" s="3">
        <v>0</v>
      </c>
      <c r="J119" s="3">
        <v>0</v>
      </c>
      <c r="K119" s="3">
        <v>5</v>
      </c>
      <c r="L119" s="3">
        <v>0</v>
      </c>
      <c r="M119" s="3">
        <v>0</v>
      </c>
      <c r="N119" s="3" t="s">
        <v>183</v>
      </c>
      <c r="O119" s="3">
        <v>5</v>
      </c>
      <c r="P119" s="3">
        <v>8.49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197</v>
      </c>
      <c r="X119" s="3">
        <v>14.39</v>
      </c>
      <c r="Y119" s="3">
        <v>14.39</v>
      </c>
      <c r="Z119" s="3">
        <v>14.39</v>
      </c>
      <c r="AA119" s="3">
        <v>0</v>
      </c>
      <c r="AB119" s="3" t="s">
        <v>185</v>
      </c>
      <c r="AC119" s="3">
        <v>0</v>
      </c>
      <c r="AD119" s="3">
        <v>14.39</v>
      </c>
      <c r="AE119" s="3">
        <v>63</v>
      </c>
      <c r="AF119" s="3">
        <v>0</v>
      </c>
      <c r="AG119" s="3">
        <v>100.228075</v>
      </c>
      <c r="AH119" s="3">
        <v>0</v>
      </c>
      <c r="AI119" s="3" t="s">
        <v>199</v>
      </c>
      <c r="AJ119" s="3" t="s">
        <v>193</v>
      </c>
    </row>
    <row r="120" spans="1:36">
      <c r="A120" s="6">
        <v>43288</v>
      </c>
      <c r="B120" s="3" t="s">
        <v>588</v>
      </c>
      <c r="C120" s="3" t="s">
        <v>589</v>
      </c>
      <c r="D120" s="3" t="s">
        <v>589</v>
      </c>
      <c r="E120" s="3" t="s">
        <v>590</v>
      </c>
      <c r="F120" s="3" t="s">
        <v>182</v>
      </c>
      <c r="G120" s="3">
        <v>7</v>
      </c>
      <c r="H120" s="3">
        <v>0</v>
      </c>
      <c r="I120" s="3">
        <v>5</v>
      </c>
      <c r="J120" s="3">
        <v>0</v>
      </c>
      <c r="K120" s="3">
        <v>2</v>
      </c>
      <c r="L120" s="3">
        <v>0</v>
      </c>
      <c r="M120" s="3">
        <v>0</v>
      </c>
      <c r="N120" s="3" t="s">
        <v>183</v>
      </c>
      <c r="O120" s="3">
        <v>2</v>
      </c>
      <c r="P120" s="3">
        <v>1.05</v>
      </c>
      <c r="Q120" s="3">
        <v>0</v>
      </c>
      <c r="R120" s="3">
        <v>0</v>
      </c>
      <c r="S120" s="3">
        <v>0</v>
      </c>
      <c r="T120" s="3">
        <v>1</v>
      </c>
      <c r="U120" s="3">
        <v>2</v>
      </c>
      <c r="V120" s="3">
        <v>2</v>
      </c>
      <c r="W120" s="3"/>
      <c r="X120" s="3">
        <v>13.99</v>
      </c>
      <c r="Y120" s="3">
        <v>13.99</v>
      </c>
      <c r="Z120" s="3">
        <v>13.99</v>
      </c>
      <c r="AA120" s="3">
        <v>0</v>
      </c>
      <c r="AB120" s="3" t="s">
        <v>198</v>
      </c>
      <c r="AC120" s="3">
        <v>0</v>
      </c>
      <c r="AD120" s="3">
        <v>11.59</v>
      </c>
      <c r="AE120" s="3">
        <v>364</v>
      </c>
      <c r="AF120" s="3">
        <v>0</v>
      </c>
      <c r="AG120" s="3">
        <v>70.804416</v>
      </c>
      <c r="AH120" s="3">
        <v>0.444444444444444</v>
      </c>
      <c r="AI120" s="3" t="s">
        <v>591</v>
      </c>
      <c r="AJ120" s="3" t="s">
        <v>187</v>
      </c>
    </row>
    <row r="121" spans="1:36">
      <c r="A121" s="6">
        <v>43288</v>
      </c>
      <c r="B121" s="3" t="s">
        <v>592</v>
      </c>
      <c r="C121" s="3" t="s">
        <v>593</v>
      </c>
      <c r="D121" s="3" t="s">
        <v>593</v>
      </c>
      <c r="E121" s="3" t="s">
        <v>594</v>
      </c>
      <c r="F121" s="3" t="s">
        <v>182</v>
      </c>
      <c r="G121" s="3">
        <v>5</v>
      </c>
      <c r="H121" s="3">
        <v>0</v>
      </c>
      <c r="I121" s="3">
        <v>0</v>
      </c>
      <c r="J121" s="3">
        <v>0</v>
      </c>
      <c r="K121" s="3">
        <v>5</v>
      </c>
      <c r="L121" s="3">
        <v>0</v>
      </c>
      <c r="M121" s="3">
        <v>0</v>
      </c>
      <c r="N121" s="3" t="s">
        <v>183</v>
      </c>
      <c r="O121" s="3">
        <v>5</v>
      </c>
      <c r="P121" s="3">
        <v>0.3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 t="s">
        <v>184</v>
      </c>
      <c r="X121" s="3">
        <v>10</v>
      </c>
      <c r="Y121" s="3">
        <v>10</v>
      </c>
      <c r="Z121" s="3">
        <v>10</v>
      </c>
      <c r="AA121" s="3">
        <v>0</v>
      </c>
      <c r="AB121" s="3" t="s">
        <v>185</v>
      </c>
      <c r="AC121" s="3">
        <v>0</v>
      </c>
      <c r="AD121" s="3">
        <v>10</v>
      </c>
      <c r="AE121" s="3">
        <v>63</v>
      </c>
      <c r="AF121" s="3">
        <v>0</v>
      </c>
      <c r="AG121" s="3">
        <v>4.558669</v>
      </c>
      <c r="AH121" s="3">
        <v>0</v>
      </c>
      <c r="AI121" s="3" t="s">
        <v>288</v>
      </c>
      <c r="AJ121" s="3" t="s">
        <v>187</v>
      </c>
    </row>
    <row r="122" spans="1:36">
      <c r="A122" s="6">
        <v>43288</v>
      </c>
      <c r="B122" s="3" t="s">
        <v>595</v>
      </c>
      <c r="C122" s="3" t="s">
        <v>596</v>
      </c>
      <c r="D122" s="3" t="s">
        <v>596</v>
      </c>
      <c r="E122" s="3" t="s">
        <v>597</v>
      </c>
      <c r="F122" s="3" t="s">
        <v>182</v>
      </c>
      <c r="G122" s="3">
        <v>45</v>
      </c>
      <c r="H122" s="3">
        <v>0</v>
      </c>
      <c r="I122" s="3">
        <v>0</v>
      </c>
      <c r="J122" s="3">
        <v>45</v>
      </c>
      <c r="K122" s="3">
        <v>0</v>
      </c>
      <c r="L122" s="3">
        <v>0</v>
      </c>
      <c r="M122" s="3">
        <v>0</v>
      </c>
      <c r="N122" s="3" t="s">
        <v>183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1</v>
      </c>
      <c r="V122" s="3">
        <v>2</v>
      </c>
      <c r="W122" s="3" t="s">
        <v>197</v>
      </c>
      <c r="X122" s="3">
        <v>14.99</v>
      </c>
      <c r="Y122" s="3">
        <v>14.99</v>
      </c>
      <c r="Z122" s="3">
        <v>14.99</v>
      </c>
      <c r="AA122" s="3">
        <v>0</v>
      </c>
      <c r="AB122" s="3" t="s">
        <v>198</v>
      </c>
      <c r="AC122" s="3">
        <v>0</v>
      </c>
      <c r="AD122" s="3">
        <v>11.53</v>
      </c>
      <c r="AE122" s="3">
        <v>364</v>
      </c>
      <c r="AF122" s="3">
        <v>0</v>
      </c>
      <c r="AG122" s="3">
        <v>803.319479</v>
      </c>
      <c r="AH122" s="3">
        <v>0.0437158469945355</v>
      </c>
      <c r="AI122" s="3" t="s">
        <v>598</v>
      </c>
      <c r="AJ122" s="3" t="s">
        <v>187</v>
      </c>
    </row>
    <row r="123" spans="1:36">
      <c r="A123" s="6">
        <v>43288</v>
      </c>
      <c r="B123" s="3" t="s">
        <v>599</v>
      </c>
      <c r="C123" s="3" t="s">
        <v>600</v>
      </c>
      <c r="D123" s="3" t="s">
        <v>600</v>
      </c>
      <c r="E123" s="3" t="s">
        <v>601</v>
      </c>
      <c r="F123" s="3" t="s">
        <v>182</v>
      </c>
      <c r="G123" s="3">
        <v>26</v>
      </c>
      <c r="H123" s="3">
        <v>0</v>
      </c>
      <c r="I123" s="3">
        <v>26</v>
      </c>
      <c r="J123" s="3">
        <v>0</v>
      </c>
      <c r="K123" s="3">
        <v>0</v>
      </c>
      <c r="L123" s="3">
        <v>0</v>
      </c>
      <c r="M123" s="3">
        <v>0</v>
      </c>
      <c r="N123" s="3" t="s">
        <v>183</v>
      </c>
      <c r="O123" s="3">
        <v>0</v>
      </c>
      <c r="P123" s="3">
        <v>0</v>
      </c>
      <c r="Q123" s="3">
        <v>0</v>
      </c>
      <c r="R123" s="3">
        <v>0</v>
      </c>
      <c r="S123" s="3">
        <v>4</v>
      </c>
      <c r="T123" s="3">
        <v>17</v>
      </c>
      <c r="U123" s="3">
        <v>23</v>
      </c>
      <c r="V123" s="3">
        <v>52</v>
      </c>
      <c r="W123" s="3"/>
      <c r="X123" s="3">
        <v>18.99</v>
      </c>
      <c r="Y123" s="3">
        <v>18.99</v>
      </c>
      <c r="Z123" s="3">
        <v>18.99</v>
      </c>
      <c r="AA123" s="3">
        <v>0</v>
      </c>
      <c r="AB123" s="3" t="s">
        <v>185</v>
      </c>
      <c r="AC123" s="3">
        <v>27</v>
      </c>
      <c r="AD123" s="3">
        <v>18.99</v>
      </c>
      <c r="AE123" s="3">
        <v>0</v>
      </c>
      <c r="AF123" s="3">
        <v>0</v>
      </c>
      <c r="AG123" s="3">
        <v>0</v>
      </c>
      <c r="AH123" s="3">
        <v>1.50724637681159</v>
      </c>
      <c r="AI123" s="3" t="s">
        <v>602</v>
      </c>
      <c r="AJ123" s="3" t="s">
        <v>187</v>
      </c>
    </row>
    <row r="124" spans="1:36">
      <c r="A124" s="6">
        <v>43288</v>
      </c>
      <c r="B124" s="3" t="s">
        <v>603</v>
      </c>
      <c r="C124" s="3" t="s">
        <v>604</v>
      </c>
      <c r="D124" s="3" t="s">
        <v>605</v>
      </c>
      <c r="E124" s="3" t="s">
        <v>606</v>
      </c>
      <c r="F124" s="3" t="s">
        <v>182</v>
      </c>
      <c r="G124" s="3">
        <v>3</v>
      </c>
      <c r="H124" s="3">
        <v>0</v>
      </c>
      <c r="I124" s="3">
        <v>3</v>
      </c>
      <c r="J124" s="3">
        <v>0</v>
      </c>
      <c r="K124" s="3">
        <v>0</v>
      </c>
      <c r="L124" s="3">
        <v>0</v>
      </c>
      <c r="M124" s="3">
        <v>0</v>
      </c>
      <c r="N124" s="3" t="s">
        <v>183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2</v>
      </c>
      <c r="U124" s="3">
        <v>2</v>
      </c>
      <c r="V124" s="3">
        <v>2</v>
      </c>
      <c r="W124" s="3" t="s">
        <v>184</v>
      </c>
      <c r="X124" s="3">
        <v>7.99</v>
      </c>
      <c r="Y124" s="3">
        <v>7.99</v>
      </c>
      <c r="Z124" s="3">
        <v>7.99</v>
      </c>
      <c r="AA124" s="3">
        <v>0</v>
      </c>
      <c r="AB124" s="3" t="s">
        <v>191</v>
      </c>
      <c r="AC124" s="3">
        <v>3</v>
      </c>
      <c r="AD124" s="3">
        <v>7.99</v>
      </c>
      <c r="AE124" s="3">
        <v>0</v>
      </c>
      <c r="AF124" s="3">
        <v>0</v>
      </c>
      <c r="AG124" s="3">
        <v>0</v>
      </c>
      <c r="AH124" s="3">
        <v>0.5</v>
      </c>
      <c r="AI124" s="3" t="s">
        <v>204</v>
      </c>
      <c r="AJ124" s="3" t="s">
        <v>187</v>
      </c>
    </row>
    <row r="125" spans="1:36">
      <c r="A125" s="6">
        <v>43288</v>
      </c>
      <c r="B125" s="3" t="s">
        <v>607</v>
      </c>
      <c r="C125" s="3" t="s">
        <v>608</v>
      </c>
      <c r="D125" s="3" t="s">
        <v>608</v>
      </c>
      <c r="E125" s="3" t="s">
        <v>609</v>
      </c>
      <c r="F125" s="3" t="s">
        <v>182</v>
      </c>
      <c r="G125" s="3">
        <v>3</v>
      </c>
      <c r="H125" s="3">
        <v>0</v>
      </c>
      <c r="I125" s="3">
        <v>0</v>
      </c>
      <c r="J125" s="3">
        <v>0</v>
      </c>
      <c r="K125" s="3">
        <v>3</v>
      </c>
      <c r="L125" s="3">
        <v>0</v>
      </c>
      <c r="M125" s="3">
        <v>0</v>
      </c>
      <c r="N125" s="3" t="s">
        <v>183</v>
      </c>
      <c r="O125" s="3">
        <v>3</v>
      </c>
      <c r="P125" s="3">
        <v>5.09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 t="s">
        <v>197</v>
      </c>
      <c r="X125" s="3">
        <v>16.05</v>
      </c>
      <c r="Y125" s="3">
        <v>16.05</v>
      </c>
      <c r="Z125" s="3">
        <v>16.05</v>
      </c>
      <c r="AA125" s="3">
        <v>0</v>
      </c>
      <c r="AB125" s="3" t="s">
        <v>198</v>
      </c>
      <c r="AC125" s="3">
        <v>0</v>
      </c>
      <c r="AD125" s="3">
        <v>14.3</v>
      </c>
      <c r="AE125" s="3">
        <v>49</v>
      </c>
      <c r="AF125" s="3">
        <v>0</v>
      </c>
      <c r="AG125" s="3">
        <v>80.575508</v>
      </c>
      <c r="AH125" s="3">
        <v>0</v>
      </c>
      <c r="AI125" s="3" t="s">
        <v>199</v>
      </c>
      <c r="AJ125" s="3" t="s">
        <v>193</v>
      </c>
    </row>
    <row r="126" spans="1:36">
      <c r="A126" s="6">
        <v>43288</v>
      </c>
      <c r="B126" s="3" t="s">
        <v>610</v>
      </c>
      <c r="C126" s="3" t="s">
        <v>611</v>
      </c>
      <c r="D126" s="3" t="s">
        <v>612</v>
      </c>
      <c r="E126" s="3" t="s">
        <v>613</v>
      </c>
      <c r="F126" s="3" t="s">
        <v>182</v>
      </c>
      <c r="G126" s="3">
        <v>11</v>
      </c>
      <c r="H126" s="3">
        <v>0</v>
      </c>
      <c r="I126" s="3">
        <v>11</v>
      </c>
      <c r="J126" s="3">
        <v>0</v>
      </c>
      <c r="K126" s="3">
        <v>0</v>
      </c>
      <c r="L126" s="3">
        <v>0</v>
      </c>
      <c r="M126" s="3">
        <v>0</v>
      </c>
      <c r="N126" s="3" t="s">
        <v>183</v>
      </c>
      <c r="O126" s="3">
        <v>0</v>
      </c>
      <c r="P126" s="3">
        <v>0</v>
      </c>
      <c r="Q126" s="3">
        <v>0</v>
      </c>
      <c r="R126" s="3">
        <v>0</v>
      </c>
      <c r="S126" s="3">
        <v>1</v>
      </c>
      <c r="T126" s="3">
        <v>5</v>
      </c>
      <c r="U126" s="3">
        <v>5</v>
      </c>
      <c r="V126" s="3">
        <v>11</v>
      </c>
      <c r="W126" s="3" t="s">
        <v>197</v>
      </c>
      <c r="X126" s="3">
        <v>8.99</v>
      </c>
      <c r="Y126" s="3">
        <v>8.99</v>
      </c>
      <c r="Z126" s="3">
        <v>8.99</v>
      </c>
      <c r="AA126" s="3">
        <v>0</v>
      </c>
      <c r="AB126" s="3" t="s">
        <v>185</v>
      </c>
      <c r="AC126" s="3">
        <v>11</v>
      </c>
      <c r="AD126" s="3">
        <v>8.99</v>
      </c>
      <c r="AE126" s="3">
        <v>0</v>
      </c>
      <c r="AF126" s="3">
        <v>0</v>
      </c>
      <c r="AG126" s="3">
        <v>0</v>
      </c>
      <c r="AH126" s="3">
        <v>0.970588235294117</v>
      </c>
      <c r="AI126" s="3" t="s">
        <v>396</v>
      </c>
      <c r="AJ126" s="3" t="s">
        <v>187</v>
      </c>
    </row>
    <row r="127" spans="1:36">
      <c r="A127" s="6">
        <v>43288</v>
      </c>
      <c r="B127" s="3" t="s">
        <v>69</v>
      </c>
      <c r="C127" s="3" t="s">
        <v>70</v>
      </c>
      <c r="D127" s="3" t="s">
        <v>70</v>
      </c>
      <c r="E127" s="3" t="s">
        <v>71</v>
      </c>
      <c r="F127" s="3" t="s">
        <v>182</v>
      </c>
      <c r="G127" s="3">
        <v>2</v>
      </c>
      <c r="H127" s="3">
        <v>0</v>
      </c>
      <c r="I127" s="3">
        <v>0</v>
      </c>
      <c r="J127" s="3">
        <v>0</v>
      </c>
      <c r="K127" s="3">
        <v>2</v>
      </c>
      <c r="L127" s="3">
        <v>0</v>
      </c>
      <c r="M127" s="3">
        <v>0</v>
      </c>
      <c r="N127" s="3" t="s">
        <v>183</v>
      </c>
      <c r="O127" s="3">
        <v>2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184</v>
      </c>
      <c r="X127" s="3">
        <v>11.99</v>
      </c>
      <c r="Y127" s="3">
        <v>11.99</v>
      </c>
      <c r="Z127" s="3">
        <v>11.99</v>
      </c>
      <c r="AA127" s="3">
        <v>0</v>
      </c>
      <c r="AB127" s="3" t="s">
        <v>185</v>
      </c>
      <c r="AC127" s="3">
        <v>0</v>
      </c>
      <c r="AD127" s="3">
        <v>11.99</v>
      </c>
      <c r="AE127" s="3">
        <v>63</v>
      </c>
      <c r="AF127" s="3">
        <v>0</v>
      </c>
      <c r="AG127" s="3">
        <v>0.555348</v>
      </c>
      <c r="AH127" s="3">
        <v>0</v>
      </c>
      <c r="AI127" s="3" t="s">
        <v>215</v>
      </c>
      <c r="AJ127" s="3" t="s">
        <v>187</v>
      </c>
    </row>
    <row r="128" spans="1:36">
      <c r="A128" s="6">
        <v>43288</v>
      </c>
      <c r="B128" s="3" t="s">
        <v>614</v>
      </c>
      <c r="C128" s="3" t="s">
        <v>615</v>
      </c>
      <c r="D128" s="3" t="s">
        <v>615</v>
      </c>
      <c r="E128" s="3" t="s">
        <v>616</v>
      </c>
      <c r="F128" s="3" t="s">
        <v>182</v>
      </c>
      <c r="G128" s="3">
        <v>42</v>
      </c>
      <c r="H128" s="3">
        <v>0</v>
      </c>
      <c r="I128" s="3">
        <v>0</v>
      </c>
      <c r="J128" s="3">
        <v>42</v>
      </c>
      <c r="K128" s="3">
        <v>0</v>
      </c>
      <c r="L128" s="3">
        <v>0</v>
      </c>
      <c r="M128" s="3">
        <v>0</v>
      </c>
      <c r="N128" s="3" t="s">
        <v>183</v>
      </c>
      <c r="O128" s="3">
        <v>12</v>
      </c>
      <c r="P128" s="3">
        <v>28.46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 t="s">
        <v>197</v>
      </c>
      <c r="X128" s="3">
        <v>10.94</v>
      </c>
      <c r="Y128" s="3">
        <v>10.94</v>
      </c>
      <c r="Z128" s="3">
        <v>10.94</v>
      </c>
      <c r="AA128" s="3">
        <v>0</v>
      </c>
      <c r="AB128" s="3" t="s">
        <v>198</v>
      </c>
      <c r="AC128" s="3">
        <v>0</v>
      </c>
      <c r="AD128" s="3">
        <v>7.95</v>
      </c>
      <c r="AE128" s="3">
        <v>364</v>
      </c>
      <c r="AF128" s="3">
        <v>0</v>
      </c>
      <c r="AG128" s="3">
        <v>1082.389611</v>
      </c>
      <c r="AH128" s="3">
        <v>0</v>
      </c>
      <c r="AI128" s="3" t="s">
        <v>617</v>
      </c>
      <c r="AJ128" s="3" t="s">
        <v>187</v>
      </c>
    </row>
    <row r="129" spans="1:36">
      <c r="A129" s="6">
        <v>43288</v>
      </c>
      <c r="B129" s="3" t="s">
        <v>618</v>
      </c>
      <c r="C129" s="3" t="s">
        <v>619</v>
      </c>
      <c r="D129" s="3" t="s">
        <v>619</v>
      </c>
      <c r="E129" s="3" t="s">
        <v>620</v>
      </c>
      <c r="F129" s="3" t="s">
        <v>182</v>
      </c>
      <c r="G129" s="3">
        <v>5</v>
      </c>
      <c r="H129" s="3">
        <v>0</v>
      </c>
      <c r="I129" s="3">
        <v>0</v>
      </c>
      <c r="J129" s="3">
        <v>0</v>
      </c>
      <c r="K129" s="3">
        <v>5</v>
      </c>
      <c r="L129" s="3">
        <v>0</v>
      </c>
      <c r="M129" s="3">
        <v>0</v>
      </c>
      <c r="N129" s="3" t="s">
        <v>183</v>
      </c>
      <c r="O129" s="3">
        <v>5</v>
      </c>
      <c r="P129" s="3">
        <v>8.49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197</v>
      </c>
      <c r="X129" s="3">
        <v>14.39</v>
      </c>
      <c r="Y129" s="3">
        <v>14.39</v>
      </c>
      <c r="Z129" s="3">
        <v>14.39</v>
      </c>
      <c r="AA129" s="3">
        <v>0</v>
      </c>
      <c r="AB129" s="3" t="s">
        <v>185</v>
      </c>
      <c r="AC129" s="3">
        <v>0</v>
      </c>
      <c r="AD129" s="3">
        <v>14.39</v>
      </c>
      <c r="AE129" s="3">
        <v>63</v>
      </c>
      <c r="AF129" s="3">
        <v>0</v>
      </c>
      <c r="AG129" s="3">
        <v>100.228075</v>
      </c>
      <c r="AH129" s="3">
        <v>0</v>
      </c>
      <c r="AI129" s="3" t="s">
        <v>199</v>
      </c>
      <c r="AJ129" s="3" t="s">
        <v>193</v>
      </c>
    </row>
    <row r="130" spans="1:36">
      <c r="A130" s="6">
        <v>43288</v>
      </c>
      <c r="B130" s="3" t="s">
        <v>39</v>
      </c>
      <c r="C130" s="3" t="s">
        <v>40</v>
      </c>
      <c r="D130" s="3" t="s">
        <v>40</v>
      </c>
      <c r="E130" s="3" t="s">
        <v>41</v>
      </c>
      <c r="F130" s="3" t="s">
        <v>182</v>
      </c>
      <c r="G130" s="3">
        <v>92</v>
      </c>
      <c r="H130" s="3">
        <v>0</v>
      </c>
      <c r="I130" s="3">
        <v>0</v>
      </c>
      <c r="J130" s="3">
        <v>0</v>
      </c>
      <c r="K130" s="3">
        <v>92</v>
      </c>
      <c r="L130" s="3">
        <v>0</v>
      </c>
      <c r="M130" s="3">
        <v>0</v>
      </c>
      <c r="N130" s="3" t="s">
        <v>183</v>
      </c>
      <c r="O130" s="3">
        <v>92</v>
      </c>
      <c r="P130" s="3">
        <v>207.77</v>
      </c>
      <c r="Q130" s="3">
        <v>0</v>
      </c>
      <c r="R130" s="3">
        <v>0</v>
      </c>
      <c r="S130" s="3">
        <v>0</v>
      </c>
      <c r="T130" s="3">
        <v>8</v>
      </c>
      <c r="U130" s="3">
        <v>19</v>
      </c>
      <c r="V130" s="3">
        <v>20</v>
      </c>
      <c r="W130" s="3"/>
      <c r="X130" s="3">
        <v>15.99</v>
      </c>
      <c r="Y130" s="3">
        <v>15.99</v>
      </c>
      <c r="Z130" s="3">
        <v>15.99</v>
      </c>
      <c r="AA130" s="3">
        <v>14.39</v>
      </c>
      <c r="AB130" s="3" t="s">
        <v>185</v>
      </c>
      <c r="AC130" s="3">
        <v>92</v>
      </c>
      <c r="AD130" s="3">
        <v>12.99</v>
      </c>
      <c r="AE130" s="3">
        <v>0</v>
      </c>
      <c r="AF130" s="3">
        <v>0</v>
      </c>
      <c r="AG130" s="3">
        <v>0</v>
      </c>
      <c r="AH130" s="3">
        <v>0.17897091722595</v>
      </c>
      <c r="AI130" s="3" t="s">
        <v>621</v>
      </c>
      <c r="AJ130" s="3" t="s">
        <v>187</v>
      </c>
    </row>
    <row r="131" spans="1:36">
      <c r="A131" s="6">
        <v>43288</v>
      </c>
      <c r="B131" s="3" t="s">
        <v>622</v>
      </c>
      <c r="C131" s="3" t="s">
        <v>623</v>
      </c>
      <c r="D131" s="3" t="s">
        <v>624</v>
      </c>
      <c r="E131" s="3" t="s">
        <v>625</v>
      </c>
      <c r="F131" s="3" t="s">
        <v>182</v>
      </c>
      <c r="G131" s="3">
        <v>16</v>
      </c>
      <c r="H131" s="3">
        <v>0</v>
      </c>
      <c r="I131" s="3">
        <v>16</v>
      </c>
      <c r="J131" s="3">
        <v>0</v>
      </c>
      <c r="K131" s="3">
        <v>0</v>
      </c>
      <c r="L131" s="3">
        <v>0</v>
      </c>
      <c r="M131" s="3">
        <v>0</v>
      </c>
      <c r="N131" s="3" t="s">
        <v>183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2</v>
      </c>
      <c r="V131" s="3">
        <v>3</v>
      </c>
      <c r="W131" s="3" t="s">
        <v>197</v>
      </c>
      <c r="X131" s="3">
        <v>9.99</v>
      </c>
      <c r="Y131" s="3">
        <v>9.99</v>
      </c>
      <c r="Z131" s="3">
        <v>9.99</v>
      </c>
      <c r="AA131" s="3">
        <v>0</v>
      </c>
      <c r="AB131" s="3" t="s">
        <v>185</v>
      </c>
      <c r="AC131" s="3">
        <v>16</v>
      </c>
      <c r="AD131" s="3">
        <v>9.99</v>
      </c>
      <c r="AE131" s="3">
        <v>0</v>
      </c>
      <c r="AF131" s="3">
        <v>0</v>
      </c>
      <c r="AG131" s="3">
        <v>0</v>
      </c>
      <c r="AH131" s="3">
        <v>0.333333333333333</v>
      </c>
      <c r="AI131" s="3" t="s">
        <v>626</v>
      </c>
      <c r="AJ131" s="3" t="s">
        <v>187</v>
      </c>
    </row>
    <row r="132" spans="1:36">
      <c r="A132" s="6">
        <v>43288</v>
      </c>
      <c r="B132" s="3" t="s">
        <v>48</v>
      </c>
      <c r="C132" s="3" t="s">
        <v>49</v>
      </c>
      <c r="D132" s="3" t="s">
        <v>49</v>
      </c>
      <c r="E132" s="3" t="s">
        <v>627</v>
      </c>
      <c r="F132" s="3" t="s">
        <v>182</v>
      </c>
      <c r="G132" s="3">
        <v>11</v>
      </c>
      <c r="H132" s="3">
        <v>0</v>
      </c>
      <c r="I132" s="3">
        <v>11</v>
      </c>
      <c r="J132" s="3">
        <v>0</v>
      </c>
      <c r="K132" s="3">
        <v>0</v>
      </c>
      <c r="L132" s="3">
        <v>0</v>
      </c>
      <c r="M132" s="3">
        <v>0</v>
      </c>
      <c r="N132" s="3" t="s">
        <v>183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1</v>
      </c>
      <c r="U132" s="3">
        <v>1</v>
      </c>
      <c r="V132" s="3">
        <v>4</v>
      </c>
      <c r="W132" s="3"/>
      <c r="X132" s="3">
        <v>15.99</v>
      </c>
      <c r="Y132" s="3">
        <v>15.99</v>
      </c>
      <c r="Z132" s="3">
        <v>15.99</v>
      </c>
      <c r="AA132" s="3">
        <v>0</v>
      </c>
      <c r="AB132" s="3" t="s">
        <v>198</v>
      </c>
      <c r="AC132" s="3">
        <v>1</v>
      </c>
      <c r="AD132" s="3">
        <v>14.53</v>
      </c>
      <c r="AE132" s="3">
        <v>217</v>
      </c>
      <c r="AF132" s="3">
        <v>0</v>
      </c>
      <c r="AG132" s="3">
        <v>144.60429</v>
      </c>
      <c r="AH132" s="3">
        <v>0.470588235294117</v>
      </c>
      <c r="AI132" s="3" t="s">
        <v>628</v>
      </c>
      <c r="AJ132" s="3" t="s">
        <v>187</v>
      </c>
    </row>
    <row r="133" spans="1:36">
      <c r="A133" s="6">
        <v>43288</v>
      </c>
      <c r="B133" s="3" t="s">
        <v>119</v>
      </c>
      <c r="C133" s="3" t="s">
        <v>120</v>
      </c>
      <c r="D133" s="3" t="s">
        <v>121</v>
      </c>
      <c r="E133" s="3" t="s">
        <v>122</v>
      </c>
      <c r="F133" s="3" t="s">
        <v>182</v>
      </c>
      <c r="G133" s="3">
        <v>4</v>
      </c>
      <c r="H133" s="3">
        <v>0</v>
      </c>
      <c r="I133" s="3">
        <v>4</v>
      </c>
      <c r="J133" s="3">
        <v>0</v>
      </c>
      <c r="K133" s="3">
        <v>0</v>
      </c>
      <c r="L133" s="3">
        <v>0</v>
      </c>
      <c r="M133" s="3">
        <v>0</v>
      </c>
      <c r="N133" s="3" t="s">
        <v>183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1</v>
      </c>
      <c r="U133" s="3">
        <v>1</v>
      </c>
      <c r="V133" s="3">
        <v>1</v>
      </c>
      <c r="W133" s="3"/>
      <c r="X133" s="3">
        <v>14.99</v>
      </c>
      <c r="Y133" s="3">
        <v>14.99</v>
      </c>
      <c r="Z133" s="3">
        <v>14.99</v>
      </c>
      <c r="AA133" s="3">
        <v>0</v>
      </c>
      <c r="AB133" s="3" t="s">
        <v>185</v>
      </c>
      <c r="AC133" s="3">
        <v>4</v>
      </c>
      <c r="AD133" s="3">
        <v>14.99</v>
      </c>
      <c r="AE133" s="3">
        <v>0</v>
      </c>
      <c r="AF133" s="3">
        <v>0</v>
      </c>
      <c r="AG133" s="3">
        <v>0</v>
      </c>
      <c r="AH133" s="3">
        <v>0.25</v>
      </c>
      <c r="AI133" s="3" t="s">
        <v>629</v>
      </c>
      <c r="AJ133" s="3" t="s">
        <v>187</v>
      </c>
    </row>
    <row r="134" spans="1:36">
      <c r="A134" s="6">
        <v>43288</v>
      </c>
      <c r="B134" s="3" t="s">
        <v>630</v>
      </c>
      <c r="C134" s="3" t="s">
        <v>631</v>
      </c>
      <c r="D134" s="3" t="s">
        <v>631</v>
      </c>
      <c r="E134" s="3" t="s">
        <v>632</v>
      </c>
      <c r="F134" s="3" t="s">
        <v>182</v>
      </c>
      <c r="G134" s="3">
        <v>4</v>
      </c>
      <c r="H134" s="3">
        <v>0</v>
      </c>
      <c r="I134" s="3">
        <v>0</v>
      </c>
      <c r="J134" s="3">
        <v>4</v>
      </c>
      <c r="K134" s="3">
        <v>0</v>
      </c>
      <c r="L134" s="3">
        <v>0</v>
      </c>
      <c r="M134" s="3">
        <v>0</v>
      </c>
      <c r="N134" s="3" t="s">
        <v>183</v>
      </c>
      <c r="O134" s="3">
        <v>4</v>
      </c>
      <c r="P134" s="3">
        <v>6.41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 t="s">
        <v>184</v>
      </c>
      <c r="X134" s="3">
        <v>21.98</v>
      </c>
      <c r="Y134" s="3">
        <v>21.98</v>
      </c>
      <c r="Z134" s="3">
        <v>21.5</v>
      </c>
      <c r="AA134" s="3">
        <v>0</v>
      </c>
      <c r="AB134" s="3" t="s">
        <v>191</v>
      </c>
      <c r="AC134" s="3">
        <v>0</v>
      </c>
      <c r="AD134" s="3">
        <v>17.58</v>
      </c>
      <c r="AE134" s="3">
        <v>63</v>
      </c>
      <c r="AF134" s="3">
        <v>0</v>
      </c>
      <c r="AG134" s="3">
        <v>80.419785</v>
      </c>
      <c r="AH134" s="3">
        <v>0</v>
      </c>
      <c r="AI134" s="3" t="s">
        <v>192</v>
      </c>
      <c r="AJ134" s="3" t="s">
        <v>193</v>
      </c>
    </row>
    <row r="135" spans="1:36">
      <c r="A135" s="6">
        <v>43288</v>
      </c>
      <c r="B135" s="3" t="s">
        <v>633</v>
      </c>
      <c r="C135" s="3" t="s">
        <v>634</v>
      </c>
      <c r="D135" s="3" t="s">
        <v>634</v>
      </c>
      <c r="E135" s="3" t="s">
        <v>635</v>
      </c>
      <c r="F135" s="3" t="s">
        <v>182</v>
      </c>
      <c r="G135" s="3">
        <v>38</v>
      </c>
      <c r="H135" s="3">
        <v>0</v>
      </c>
      <c r="I135" s="3">
        <v>38</v>
      </c>
      <c r="J135" s="3">
        <v>0</v>
      </c>
      <c r="K135" s="3">
        <v>0</v>
      </c>
      <c r="L135" s="3">
        <v>0</v>
      </c>
      <c r="M135" s="3">
        <v>0</v>
      </c>
      <c r="N135" s="3" t="s">
        <v>183</v>
      </c>
      <c r="O135" s="3">
        <v>0</v>
      </c>
      <c r="P135" s="3">
        <v>0</v>
      </c>
      <c r="Q135" s="3">
        <v>0</v>
      </c>
      <c r="R135" s="3">
        <v>0</v>
      </c>
      <c r="S135" s="3">
        <v>5</v>
      </c>
      <c r="T135" s="3">
        <v>13</v>
      </c>
      <c r="U135" s="3">
        <v>32</v>
      </c>
      <c r="V135" s="3">
        <v>50</v>
      </c>
      <c r="W135" s="3"/>
      <c r="X135" s="3">
        <v>15.99</v>
      </c>
      <c r="Y135" s="3">
        <v>14.99</v>
      </c>
      <c r="Z135" s="3">
        <v>14.99</v>
      </c>
      <c r="AA135" s="3">
        <v>0</v>
      </c>
      <c r="AB135" s="3" t="s">
        <v>185</v>
      </c>
      <c r="AC135" s="3">
        <v>41</v>
      </c>
      <c r="AD135" s="3">
        <v>14.99</v>
      </c>
      <c r="AE135" s="3">
        <v>0</v>
      </c>
      <c r="AF135" s="3">
        <v>0</v>
      </c>
      <c r="AG135" s="3">
        <v>0</v>
      </c>
      <c r="AH135" s="3">
        <v>2.56410256410256</v>
      </c>
      <c r="AI135" s="3" t="s">
        <v>617</v>
      </c>
      <c r="AJ135" s="3" t="s">
        <v>187</v>
      </c>
    </row>
    <row r="136" spans="1:36">
      <c r="A136" s="6">
        <v>43288</v>
      </c>
      <c r="B136" s="3" t="s">
        <v>636</v>
      </c>
      <c r="C136" s="3" t="s">
        <v>637</v>
      </c>
      <c r="D136" s="3" t="s">
        <v>637</v>
      </c>
      <c r="E136" s="3" t="s">
        <v>638</v>
      </c>
      <c r="F136" s="3" t="s">
        <v>182</v>
      </c>
      <c r="G136" s="3">
        <v>4</v>
      </c>
      <c r="H136" s="3">
        <v>0</v>
      </c>
      <c r="I136" s="3">
        <v>0</v>
      </c>
      <c r="J136" s="3">
        <v>0</v>
      </c>
      <c r="K136" s="3">
        <v>4</v>
      </c>
      <c r="L136" s="3">
        <v>0</v>
      </c>
      <c r="M136" s="3">
        <v>0</v>
      </c>
      <c r="N136" s="3" t="s">
        <v>183</v>
      </c>
      <c r="O136" s="3">
        <v>4</v>
      </c>
      <c r="P136" s="3">
        <v>5.03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184</v>
      </c>
      <c r="X136" s="3">
        <v>17.99</v>
      </c>
      <c r="Y136" s="3">
        <v>17.99</v>
      </c>
      <c r="Z136" s="3">
        <v>17.99</v>
      </c>
      <c r="AA136" s="3">
        <v>0</v>
      </c>
      <c r="AB136" s="3" t="s">
        <v>198</v>
      </c>
      <c r="AC136" s="3">
        <v>3</v>
      </c>
      <c r="AD136" s="3">
        <v>17.09</v>
      </c>
      <c r="AE136" s="3">
        <v>7</v>
      </c>
      <c r="AF136" s="3">
        <v>0</v>
      </c>
      <c r="AG136" s="3">
        <v>96.367321</v>
      </c>
      <c r="AH136" s="3">
        <v>0</v>
      </c>
      <c r="AI136" s="3" t="s">
        <v>639</v>
      </c>
      <c r="AJ136" s="3" t="s">
        <v>187</v>
      </c>
    </row>
    <row r="137" spans="1:36">
      <c r="A137" s="6">
        <v>43288</v>
      </c>
      <c r="B137" s="3" t="s">
        <v>640</v>
      </c>
      <c r="C137" s="3" t="s">
        <v>641</v>
      </c>
      <c r="D137" s="3" t="s">
        <v>641</v>
      </c>
      <c r="E137" s="3" t="s">
        <v>642</v>
      </c>
      <c r="F137" s="3" t="s">
        <v>182</v>
      </c>
      <c r="G137" s="3">
        <v>233</v>
      </c>
      <c r="H137" s="3">
        <v>0</v>
      </c>
      <c r="I137" s="3">
        <v>3</v>
      </c>
      <c r="J137" s="3">
        <v>11</v>
      </c>
      <c r="K137" s="3">
        <v>219</v>
      </c>
      <c r="L137" s="3">
        <v>0</v>
      </c>
      <c r="M137" s="3">
        <v>0</v>
      </c>
      <c r="N137" s="3" t="s">
        <v>183</v>
      </c>
      <c r="O137" s="3">
        <v>219</v>
      </c>
      <c r="P137" s="3">
        <v>1839.58</v>
      </c>
      <c r="Q137" s="3">
        <v>0</v>
      </c>
      <c r="R137" s="3">
        <v>0</v>
      </c>
      <c r="S137" s="3">
        <v>0</v>
      </c>
      <c r="T137" s="3">
        <v>1</v>
      </c>
      <c r="U137" s="3">
        <v>1</v>
      </c>
      <c r="V137" s="3">
        <v>1</v>
      </c>
      <c r="W137" s="3" t="s">
        <v>197</v>
      </c>
      <c r="X137" s="3">
        <v>15.92</v>
      </c>
      <c r="Y137" s="3">
        <v>15.92</v>
      </c>
      <c r="Z137" s="3">
        <v>15.92</v>
      </c>
      <c r="AA137" s="3">
        <v>0</v>
      </c>
      <c r="AB137" s="3" t="s">
        <v>245</v>
      </c>
      <c r="AC137" s="3">
        <v>0</v>
      </c>
      <c r="AD137" s="3">
        <v>15.92</v>
      </c>
      <c r="AE137" s="3">
        <v>0</v>
      </c>
      <c r="AF137" s="3">
        <v>233</v>
      </c>
      <c r="AG137" s="3">
        <v>11693.558726</v>
      </c>
      <c r="AH137" s="3">
        <v>0.00428724544480171</v>
      </c>
      <c r="AI137" s="3" t="s">
        <v>643</v>
      </c>
      <c r="AJ137" s="3" t="s">
        <v>187</v>
      </c>
    </row>
    <row r="138" spans="1:36">
      <c r="A138" s="6">
        <v>43288</v>
      </c>
      <c r="B138" s="3" t="s">
        <v>18</v>
      </c>
      <c r="C138" s="3" t="s">
        <v>19</v>
      </c>
      <c r="D138" s="3" t="s">
        <v>19</v>
      </c>
      <c r="E138" s="3" t="s">
        <v>644</v>
      </c>
      <c r="F138" s="3" t="s">
        <v>182</v>
      </c>
      <c r="G138" s="3">
        <v>4</v>
      </c>
      <c r="H138" s="3">
        <v>0</v>
      </c>
      <c r="I138" s="3">
        <v>0</v>
      </c>
      <c r="J138" s="3">
        <v>4</v>
      </c>
      <c r="K138" s="3">
        <v>0</v>
      </c>
      <c r="L138" s="3">
        <v>0</v>
      </c>
      <c r="M138" s="3">
        <v>0</v>
      </c>
      <c r="N138" s="3" t="s">
        <v>183</v>
      </c>
      <c r="O138" s="3">
        <v>4</v>
      </c>
      <c r="P138" s="3">
        <v>5.63</v>
      </c>
      <c r="Q138" s="3">
        <v>0</v>
      </c>
      <c r="R138" s="3">
        <v>0</v>
      </c>
      <c r="S138" s="3">
        <v>0</v>
      </c>
      <c r="T138" s="3">
        <v>2</v>
      </c>
      <c r="U138" s="3">
        <v>5</v>
      </c>
      <c r="V138" s="3">
        <v>8</v>
      </c>
      <c r="W138" s="3"/>
      <c r="X138" s="3">
        <v>15.99</v>
      </c>
      <c r="Y138" s="3">
        <v>15.99</v>
      </c>
      <c r="Z138" s="3">
        <v>15.99</v>
      </c>
      <c r="AA138" s="3">
        <v>8.56</v>
      </c>
      <c r="AB138" s="3" t="s">
        <v>185</v>
      </c>
      <c r="AC138" s="3">
        <v>4</v>
      </c>
      <c r="AD138" s="3">
        <v>15.99</v>
      </c>
      <c r="AE138" s="3">
        <v>0</v>
      </c>
      <c r="AF138" s="3">
        <v>0</v>
      </c>
      <c r="AG138" s="3">
        <v>0</v>
      </c>
      <c r="AH138" s="3">
        <v>1.03225806451612</v>
      </c>
      <c r="AI138" s="3" t="s">
        <v>319</v>
      </c>
      <c r="AJ138" s="3" t="s">
        <v>187</v>
      </c>
    </row>
    <row r="139" spans="1:36">
      <c r="A139" s="6">
        <v>43288</v>
      </c>
      <c r="B139" s="3" t="s">
        <v>645</v>
      </c>
      <c r="C139" s="3" t="s">
        <v>646</v>
      </c>
      <c r="D139" s="3" t="s">
        <v>646</v>
      </c>
      <c r="E139" s="3" t="s">
        <v>647</v>
      </c>
      <c r="F139" s="3" t="s">
        <v>182</v>
      </c>
      <c r="G139" s="3">
        <v>3</v>
      </c>
      <c r="H139" s="3">
        <v>0</v>
      </c>
      <c r="I139" s="3">
        <v>0</v>
      </c>
      <c r="J139" s="3">
        <v>3</v>
      </c>
      <c r="K139" s="3">
        <v>0</v>
      </c>
      <c r="L139" s="3">
        <v>0</v>
      </c>
      <c r="M139" s="3">
        <v>0</v>
      </c>
      <c r="N139" s="3" t="s">
        <v>183</v>
      </c>
      <c r="O139" s="3">
        <v>3</v>
      </c>
      <c r="P139" s="3">
        <v>4.49</v>
      </c>
      <c r="Q139" s="3">
        <v>0</v>
      </c>
      <c r="R139" s="3">
        <v>0</v>
      </c>
      <c r="S139" s="3">
        <v>0</v>
      </c>
      <c r="T139" s="3">
        <v>1</v>
      </c>
      <c r="U139" s="3">
        <v>1</v>
      </c>
      <c r="V139" s="3">
        <v>1</v>
      </c>
      <c r="W139" s="3" t="s">
        <v>184</v>
      </c>
      <c r="X139" s="3">
        <v>21.98</v>
      </c>
      <c r="Y139" s="3">
        <v>21.98</v>
      </c>
      <c r="Z139" s="3">
        <v>21.98</v>
      </c>
      <c r="AA139" s="3">
        <v>0</v>
      </c>
      <c r="AB139" s="3" t="s">
        <v>191</v>
      </c>
      <c r="AC139" s="3">
        <v>3</v>
      </c>
      <c r="AD139" s="3">
        <v>21.98</v>
      </c>
      <c r="AE139" s="3">
        <v>0</v>
      </c>
      <c r="AF139" s="3">
        <v>0</v>
      </c>
      <c r="AG139" s="3">
        <v>0</v>
      </c>
      <c r="AH139" s="3">
        <v>0.266666666666666</v>
      </c>
      <c r="AI139" s="3" t="s">
        <v>251</v>
      </c>
      <c r="AJ139" s="3" t="s">
        <v>193</v>
      </c>
    </row>
    <row r="140" spans="1:36">
      <c r="A140" s="6">
        <v>43288</v>
      </c>
      <c r="B140" s="3" t="s">
        <v>648</v>
      </c>
      <c r="C140" s="3" t="s">
        <v>649</v>
      </c>
      <c r="D140" s="3" t="s">
        <v>649</v>
      </c>
      <c r="E140" s="3" t="s">
        <v>650</v>
      </c>
      <c r="F140" s="3" t="s">
        <v>182</v>
      </c>
      <c r="G140" s="3">
        <v>13</v>
      </c>
      <c r="H140" s="3">
        <v>0</v>
      </c>
      <c r="I140" s="3">
        <v>0</v>
      </c>
      <c r="J140" s="3">
        <v>1</v>
      </c>
      <c r="K140" s="3">
        <v>12</v>
      </c>
      <c r="L140" s="3">
        <v>0</v>
      </c>
      <c r="M140" s="3">
        <v>0</v>
      </c>
      <c r="N140" s="3" t="s">
        <v>183</v>
      </c>
      <c r="O140" s="3">
        <v>12</v>
      </c>
      <c r="P140" s="3">
        <v>51.14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184</v>
      </c>
      <c r="X140" s="3">
        <v>16.66</v>
      </c>
      <c r="Y140" s="3">
        <v>16.66</v>
      </c>
      <c r="Z140" s="3">
        <v>16.66</v>
      </c>
      <c r="AA140" s="3">
        <v>0</v>
      </c>
      <c r="AB140" s="3" t="s">
        <v>191</v>
      </c>
      <c r="AC140" s="3">
        <v>1</v>
      </c>
      <c r="AD140" s="3">
        <v>14.66</v>
      </c>
      <c r="AE140" s="3">
        <v>35</v>
      </c>
      <c r="AF140" s="3">
        <v>0</v>
      </c>
      <c r="AG140" s="3">
        <v>717.160273</v>
      </c>
      <c r="AH140" s="3">
        <v>0</v>
      </c>
      <c r="AI140" s="3" t="s">
        <v>651</v>
      </c>
      <c r="AJ140" s="3" t="s">
        <v>187</v>
      </c>
    </row>
    <row r="141" spans="1:36">
      <c r="A141" s="6">
        <v>43288</v>
      </c>
      <c r="B141" s="3" t="s">
        <v>652</v>
      </c>
      <c r="C141" s="3" t="s">
        <v>653</v>
      </c>
      <c r="D141" s="3" t="s">
        <v>653</v>
      </c>
      <c r="E141" s="3" t="s">
        <v>654</v>
      </c>
      <c r="F141" s="3" t="s">
        <v>182</v>
      </c>
      <c r="G141" s="3">
        <v>3</v>
      </c>
      <c r="H141" s="3">
        <v>0</v>
      </c>
      <c r="I141" s="3">
        <v>0</v>
      </c>
      <c r="J141" s="3">
        <v>1</v>
      </c>
      <c r="K141" s="3">
        <v>2</v>
      </c>
      <c r="L141" s="3">
        <v>0</v>
      </c>
      <c r="M141" s="3">
        <v>0</v>
      </c>
      <c r="N141" s="3" t="s">
        <v>183</v>
      </c>
      <c r="O141" s="3">
        <v>3</v>
      </c>
      <c r="P141" s="3">
        <v>5.1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0</v>
      </c>
      <c r="W141" s="3" t="s">
        <v>197</v>
      </c>
      <c r="X141" s="3">
        <v>15.88</v>
      </c>
      <c r="Y141" s="3">
        <v>15.88</v>
      </c>
      <c r="Z141" s="3">
        <v>15.88</v>
      </c>
      <c r="AA141" s="3">
        <v>0</v>
      </c>
      <c r="AB141" s="3" t="s">
        <v>198</v>
      </c>
      <c r="AC141" s="3">
        <v>0</v>
      </c>
      <c r="AD141" s="3">
        <v>14.24</v>
      </c>
      <c r="AE141" s="3">
        <v>84</v>
      </c>
      <c r="AF141" s="3">
        <v>0</v>
      </c>
      <c r="AG141" s="3">
        <v>78.775681</v>
      </c>
      <c r="AH141" s="3">
        <v>0</v>
      </c>
      <c r="AI141" s="3" t="s">
        <v>655</v>
      </c>
      <c r="AJ141" s="3" t="s">
        <v>193</v>
      </c>
    </row>
    <row r="142" spans="1:36">
      <c r="A142" s="6">
        <v>43288</v>
      </c>
      <c r="B142" s="3" t="s">
        <v>656</v>
      </c>
      <c r="C142" s="3" t="s">
        <v>657</v>
      </c>
      <c r="D142" s="3" t="s">
        <v>657</v>
      </c>
      <c r="E142" s="3" t="s">
        <v>318</v>
      </c>
      <c r="F142" s="3" t="s">
        <v>182</v>
      </c>
      <c r="G142" s="3">
        <v>3</v>
      </c>
      <c r="H142" s="3">
        <v>0</v>
      </c>
      <c r="I142" s="3">
        <v>0</v>
      </c>
      <c r="J142" s="3">
        <v>3</v>
      </c>
      <c r="K142" s="3">
        <v>0</v>
      </c>
      <c r="L142" s="3">
        <v>0</v>
      </c>
      <c r="M142" s="3">
        <v>0</v>
      </c>
      <c r="N142" s="3" t="s">
        <v>183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1</v>
      </c>
      <c r="U142" s="3">
        <v>1</v>
      </c>
      <c r="V142" s="3">
        <v>1</v>
      </c>
      <c r="W142" s="3" t="s">
        <v>184</v>
      </c>
      <c r="X142" s="3">
        <v>10</v>
      </c>
      <c r="Y142" s="3">
        <v>10</v>
      </c>
      <c r="Z142" s="3">
        <v>10</v>
      </c>
      <c r="AA142" s="3">
        <v>0</v>
      </c>
      <c r="AB142" s="3" t="s">
        <v>191</v>
      </c>
      <c r="AC142" s="3">
        <v>3</v>
      </c>
      <c r="AD142" s="3">
        <v>10</v>
      </c>
      <c r="AE142" s="3">
        <v>0</v>
      </c>
      <c r="AF142" s="3">
        <v>0</v>
      </c>
      <c r="AG142" s="3">
        <v>0</v>
      </c>
      <c r="AH142" s="3">
        <v>0.285714285714285</v>
      </c>
      <c r="AI142" s="3" t="s">
        <v>658</v>
      </c>
      <c r="AJ142" s="3" t="s">
        <v>187</v>
      </c>
    </row>
    <row r="143" spans="1:36">
      <c r="A143" s="6">
        <v>43288</v>
      </c>
      <c r="B143" s="3" t="s">
        <v>659</v>
      </c>
      <c r="C143" s="3" t="s">
        <v>660</v>
      </c>
      <c r="D143" s="3" t="s">
        <v>660</v>
      </c>
      <c r="E143" s="3" t="s">
        <v>661</v>
      </c>
      <c r="F143" s="3" t="s">
        <v>182</v>
      </c>
      <c r="G143" s="3">
        <v>20</v>
      </c>
      <c r="H143" s="3">
        <v>0</v>
      </c>
      <c r="I143" s="3">
        <v>20</v>
      </c>
      <c r="J143" s="3">
        <v>0</v>
      </c>
      <c r="K143" s="3">
        <v>0</v>
      </c>
      <c r="L143" s="3">
        <v>0</v>
      </c>
      <c r="M143" s="3">
        <v>0</v>
      </c>
      <c r="N143" s="3" t="s">
        <v>183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8</v>
      </c>
      <c r="U143" s="3">
        <v>18</v>
      </c>
      <c r="V143" s="3">
        <v>40</v>
      </c>
      <c r="W143" s="3" t="s">
        <v>197</v>
      </c>
      <c r="X143" s="3">
        <v>8.99</v>
      </c>
      <c r="Y143" s="3">
        <v>8.99</v>
      </c>
      <c r="Z143" s="3">
        <v>8.99</v>
      </c>
      <c r="AA143" s="3">
        <v>0</v>
      </c>
      <c r="AB143" s="3" t="s">
        <v>198</v>
      </c>
      <c r="AC143" s="3">
        <v>18</v>
      </c>
      <c r="AD143" s="3">
        <v>8.43</v>
      </c>
      <c r="AE143" s="3">
        <v>7</v>
      </c>
      <c r="AF143" s="3">
        <v>0</v>
      </c>
      <c r="AG143" s="3">
        <v>0.19283</v>
      </c>
      <c r="AH143" s="3">
        <v>2.22222222222222</v>
      </c>
      <c r="AI143" s="3" t="s">
        <v>662</v>
      </c>
      <c r="AJ143" s="3" t="s">
        <v>187</v>
      </c>
    </row>
    <row r="144" spans="1:36">
      <c r="A144" s="6">
        <v>43288</v>
      </c>
      <c r="B144" s="3" t="s">
        <v>663</v>
      </c>
      <c r="C144" s="3" t="s">
        <v>664</v>
      </c>
      <c r="D144" s="3" t="s">
        <v>664</v>
      </c>
      <c r="E144" s="3" t="s">
        <v>665</v>
      </c>
      <c r="F144" s="3" t="s">
        <v>182</v>
      </c>
      <c r="G144" s="3">
        <v>1</v>
      </c>
      <c r="H144" s="3">
        <v>0</v>
      </c>
      <c r="I144" s="3">
        <v>0</v>
      </c>
      <c r="J144" s="3">
        <v>0</v>
      </c>
      <c r="K144" s="3">
        <v>1</v>
      </c>
      <c r="L144" s="3">
        <v>0</v>
      </c>
      <c r="M144" s="3">
        <v>0</v>
      </c>
      <c r="N144" s="3" t="s">
        <v>183</v>
      </c>
      <c r="O144" s="3">
        <v>1</v>
      </c>
      <c r="P144" s="3">
        <v>1.7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197</v>
      </c>
      <c r="X144" s="3">
        <v>16.5</v>
      </c>
      <c r="Y144" s="3">
        <v>16.5</v>
      </c>
      <c r="Z144" s="3">
        <v>16.5</v>
      </c>
      <c r="AA144" s="3">
        <v>0</v>
      </c>
      <c r="AB144" s="3" t="s">
        <v>198</v>
      </c>
      <c r="AC144" s="3">
        <v>0</v>
      </c>
      <c r="AD144" s="3">
        <v>14.78</v>
      </c>
      <c r="AE144" s="3">
        <v>35</v>
      </c>
      <c r="AF144" s="3">
        <v>0</v>
      </c>
      <c r="AG144" s="3">
        <v>26.70782</v>
      </c>
      <c r="AH144" s="3">
        <v>0</v>
      </c>
      <c r="AI144" s="3" t="s">
        <v>199</v>
      </c>
      <c r="AJ144" s="3" t="s">
        <v>193</v>
      </c>
    </row>
    <row r="145" spans="1:36">
      <c r="A145" s="6">
        <v>43288</v>
      </c>
      <c r="B145" s="3" t="s">
        <v>666</v>
      </c>
      <c r="C145" s="3" t="s">
        <v>667</v>
      </c>
      <c r="D145" s="3" t="s">
        <v>668</v>
      </c>
      <c r="E145" s="3" t="s">
        <v>669</v>
      </c>
      <c r="F145" s="3" t="s">
        <v>182</v>
      </c>
      <c r="G145" s="3">
        <v>15</v>
      </c>
      <c r="H145" s="3">
        <v>0</v>
      </c>
      <c r="I145" s="3">
        <v>15</v>
      </c>
      <c r="J145" s="3">
        <v>0</v>
      </c>
      <c r="K145" s="3">
        <v>0</v>
      </c>
      <c r="L145" s="3">
        <v>0</v>
      </c>
      <c r="M145" s="3">
        <v>0</v>
      </c>
      <c r="N145" s="3" t="s">
        <v>183</v>
      </c>
      <c r="O145" s="3">
        <v>0</v>
      </c>
      <c r="P145" s="3">
        <v>0</v>
      </c>
      <c r="Q145" s="3">
        <v>0</v>
      </c>
      <c r="R145" s="3">
        <v>0</v>
      </c>
      <c r="S145" s="3">
        <v>3</v>
      </c>
      <c r="T145" s="3">
        <v>5</v>
      </c>
      <c r="U145" s="3">
        <v>7</v>
      </c>
      <c r="V145" s="3">
        <v>7</v>
      </c>
      <c r="W145" s="3" t="s">
        <v>197</v>
      </c>
      <c r="X145" s="3">
        <v>12.99</v>
      </c>
      <c r="Y145" s="3">
        <v>12.99</v>
      </c>
      <c r="Z145" s="3">
        <v>12.99</v>
      </c>
      <c r="AA145" s="3">
        <v>0</v>
      </c>
      <c r="AB145" s="3" t="s">
        <v>185</v>
      </c>
      <c r="AC145" s="3">
        <v>19</v>
      </c>
      <c r="AD145" s="3">
        <v>12.99</v>
      </c>
      <c r="AE145" s="3">
        <v>0</v>
      </c>
      <c r="AF145" s="3">
        <v>0</v>
      </c>
      <c r="AG145" s="3">
        <v>0</v>
      </c>
      <c r="AH145" s="3">
        <v>0.823529411764705</v>
      </c>
      <c r="AI145" s="3" t="s">
        <v>670</v>
      </c>
      <c r="AJ145" s="3" t="s">
        <v>187</v>
      </c>
    </row>
    <row r="146" spans="1:36">
      <c r="A146" s="6">
        <v>43288</v>
      </c>
      <c r="B146" s="3" t="s">
        <v>671</v>
      </c>
      <c r="C146" s="3" t="s">
        <v>672</v>
      </c>
      <c r="D146" s="3" t="s">
        <v>673</v>
      </c>
      <c r="E146" s="3" t="s">
        <v>674</v>
      </c>
      <c r="F146" s="3" t="s">
        <v>182</v>
      </c>
      <c r="G146" s="3">
        <v>3</v>
      </c>
      <c r="H146" s="3">
        <v>0</v>
      </c>
      <c r="I146" s="3">
        <v>3</v>
      </c>
      <c r="J146" s="3">
        <v>0</v>
      </c>
      <c r="K146" s="3">
        <v>0</v>
      </c>
      <c r="L146" s="3">
        <v>0</v>
      </c>
      <c r="M146" s="3">
        <v>0</v>
      </c>
      <c r="N146" s="3" t="s">
        <v>183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1</v>
      </c>
      <c r="U146" s="3">
        <v>2</v>
      </c>
      <c r="V146" s="3">
        <v>2</v>
      </c>
      <c r="W146" s="3" t="s">
        <v>184</v>
      </c>
      <c r="X146" s="3">
        <v>9.99</v>
      </c>
      <c r="Y146" s="3">
        <v>9.99</v>
      </c>
      <c r="Z146" s="3">
        <v>9.99</v>
      </c>
      <c r="AA146" s="3">
        <v>0</v>
      </c>
      <c r="AB146" s="3" t="s">
        <v>191</v>
      </c>
      <c r="AC146" s="3">
        <v>3</v>
      </c>
      <c r="AD146" s="3">
        <v>9.99</v>
      </c>
      <c r="AE146" s="3">
        <v>0</v>
      </c>
      <c r="AF146" s="3">
        <v>0</v>
      </c>
      <c r="AG146" s="3">
        <v>0</v>
      </c>
      <c r="AH146" s="3">
        <v>0.545454545454545</v>
      </c>
      <c r="AI146" s="3" t="s">
        <v>396</v>
      </c>
      <c r="AJ146" s="3" t="s">
        <v>187</v>
      </c>
    </row>
    <row r="147" spans="1:36">
      <c r="A147" s="6">
        <v>43288</v>
      </c>
      <c r="B147" s="3" t="s">
        <v>675</v>
      </c>
      <c r="C147" s="3" t="s">
        <v>676</v>
      </c>
      <c r="D147" s="3" t="s">
        <v>677</v>
      </c>
      <c r="E147" s="3" t="s">
        <v>678</v>
      </c>
      <c r="F147" s="3" t="s">
        <v>182</v>
      </c>
      <c r="G147" s="3">
        <v>3</v>
      </c>
      <c r="H147" s="3">
        <v>0</v>
      </c>
      <c r="I147" s="3">
        <v>3</v>
      </c>
      <c r="J147" s="3">
        <v>0</v>
      </c>
      <c r="K147" s="3">
        <v>0</v>
      </c>
      <c r="L147" s="3">
        <v>0</v>
      </c>
      <c r="M147" s="3">
        <v>0</v>
      </c>
      <c r="N147" s="3" t="s">
        <v>183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197</v>
      </c>
      <c r="X147" s="3">
        <v>17.99</v>
      </c>
      <c r="Y147" s="3">
        <v>17.99</v>
      </c>
      <c r="Z147" s="3">
        <v>17.99</v>
      </c>
      <c r="AA147" s="3">
        <v>0</v>
      </c>
      <c r="AB147" s="3" t="s">
        <v>198</v>
      </c>
      <c r="AC147" s="3">
        <v>0</v>
      </c>
      <c r="AD147" s="3">
        <v>14.39</v>
      </c>
      <c r="AE147" s="3">
        <v>63</v>
      </c>
      <c r="AF147" s="3">
        <v>0</v>
      </c>
      <c r="AG147" s="3">
        <v>1.268518</v>
      </c>
      <c r="AH147" s="3">
        <v>0</v>
      </c>
      <c r="AI147" s="3" t="s">
        <v>396</v>
      </c>
      <c r="AJ147" s="3" t="s">
        <v>193</v>
      </c>
    </row>
    <row r="148" spans="1:36">
      <c r="A148" s="6">
        <v>43288</v>
      </c>
      <c r="B148" s="3" t="s">
        <v>679</v>
      </c>
      <c r="C148" s="3" t="s">
        <v>680</v>
      </c>
      <c r="D148" s="3" t="s">
        <v>681</v>
      </c>
      <c r="E148" s="3" t="s">
        <v>682</v>
      </c>
      <c r="F148" s="3" t="s">
        <v>182</v>
      </c>
      <c r="G148" s="3">
        <v>3</v>
      </c>
      <c r="H148" s="3">
        <v>0</v>
      </c>
      <c r="I148" s="3">
        <v>3</v>
      </c>
      <c r="J148" s="3">
        <v>0</v>
      </c>
      <c r="K148" s="3">
        <v>0</v>
      </c>
      <c r="L148" s="3">
        <v>0</v>
      </c>
      <c r="M148" s="3">
        <v>0</v>
      </c>
      <c r="N148" s="3" t="s">
        <v>183</v>
      </c>
      <c r="O148" s="3">
        <v>0</v>
      </c>
      <c r="P148" s="3">
        <v>0</v>
      </c>
      <c r="Q148" s="3">
        <v>0</v>
      </c>
      <c r="R148" s="3">
        <v>0</v>
      </c>
      <c r="S148" s="3">
        <v>2</v>
      </c>
      <c r="T148" s="3">
        <v>2</v>
      </c>
      <c r="U148" s="3">
        <v>2</v>
      </c>
      <c r="V148" s="3">
        <v>2</v>
      </c>
      <c r="W148" s="3" t="s">
        <v>197</v>
      </c>
      <c r="X148" s="3">
        <v>14.99</v>
      </c>
      <c r="Y148" s="3">
        <v>14.99</v>
      </c>
      <c r="Z148" s="3">
        <v>14.99</v>
      </c>
      <c r="AA148" s="3">
        <v>0</v>
      </c>
      <c r="AB148" s="3" t="s">
        <v>185</v>
      </c>
      <c r="AC148" s="3">
        <v>4</v>
      </c>
      <c r="AD148" s="3">
        <v>14.99</v>
      </c>
      <c r="AE148" s="3">
        <v>0</v>
      </c>
      <c r="AF148" s="3">
        <v>0</v>
      </c>
      <c r="AG148" s="3">
        <v>0</v>
      </c>
      <c r="AH148" s="3">
        <v>0.666666666666666</v>
      </c>
      <c r="AI148" s="3" t="s">
        <v>683</v>
      </c>
      <c r="AJ148" s="3" t="s">
        <v>247</v>
      </c>
    </row>
    <row r="149" spans="1:36">
      <c r="A149" s="6">
        <v>43288</v>
      </c>
      <c r="B149" s="3" t="s">
        <v>84</v>
      </c>
      <c r="C149" s="3" t="s">
        <v>85</v>
      </c>
      <c r="D149" s="3" t="s">
        <v>86</v>
      </c>
      <c r="E149" s="3" t="s">
        <v>684</v>
      </c>
      <c r="F149" s="3" t="s">
        <v>182</v>
      </c>
      <c r="G149" s="3">
        <v>1</v>
      </c>
      <c r="H149" s="3">
        <v>0</v>
      </c>
      <c r="I149" s="3">
        <v>1</v>
      </c>
      <c r="J149" s="3">
        <v>0</v>
      </c>
      <c r="K149" s="3">
        <v>0</v>
      </c>
      <c r="L149" s="3">
        <v>0</v>
      </c>
      <c r="M149" s="3">
        <v>0</v>
      </c>
      <c r="N149" s="3" t="s">
        <v>183</v>
      </c>
      <c r="O149" s="3">
        <v>0</v>
      </c>
      <c r="P149" s="3">
        <v>0</v>
      </c>
      <c r="Q149" s="3">
        <v>0</v>
      </c>
      <c r="R149" s="3">
        <v>0</v>
      </c>
      <c r="S149" s="3">
        <v>1</v>
      </c>
      <c r="T149" s="3">
        <v>2</v>
      </c>
      <c r="U149" s="3">
        <v>2</v>
      </c>
      <c r="V149" s="3">
        <v>2</v>
      </c>
      <c r="W149" s="3" t="s">
        <v>184</v>
      </c>
      <c r="X149" s="3">
        <v>11.99</v>
      </c>
      <c r="Y149" s="3">
        <v>11.99</v>
      </c>
      <c r="Z149" s="3">
        <v>11.99</v>
      </c>
      <c r="AA149" s="3">
        <v>0</v>
      </c>
      <c r="AB149" s="3" t="s">
        <v>191</v>
      </c>
      <c r="AC149" s="3">
        <v>1</v>
      </c>
      <c r="AD149" s="3">
        <v>11.99</v>
      </c>
      <c r="AE149" s="3">
        <v>0</v>
      </c>
      <c r="AF149" s="3">
        <v>0</v>
      </c>
      <c r="AG149" s="3">
        <v>0</v>
      </c>
      <c r="AH149" s="3">
        <v>2</v>
      </c>
      <c r="AI149" s="3" t="s">
        <v>685</v>
      </c>
      <c r="AJ149" s="3" t="s">
        <v>187</v>
      </c>
    </row>
    <row r="150" spans="1:36">
      <c r="A150" s="6">
        <v>43288</v>
      </c>
      <c r="B150" s="3" t="s">
        <v>686</v>
      </c>
      <c r="C150" s="3" t="s">
        <v>687</v>
      </c>
      <c r="D150" s="3" t="s">
        <v>687</v>
      </c>
      <c r="E150" s="3" t="s">
        <v>688</v>
      </c>
      <c r="F150" s="3" t="s">
        <v>182</v>
      </c>
      <c r="G150" s="3">
        <v>3</v>
      </c>
      <c r="H150" s="3">
        <v>0</v>
      </c>
      <c r="I150" s="3">
        <v>0</v>
      </c>
      <c r="J150" s="3">
        <v>3</v>
      </c>
      <c r="K150" s="3">
        <v>0</v>
      </c>
      <c r="L150" s="3">
        <v>0</v>
      </c>
      <c r="M150" s="3">
        <v>0</v>
      </c>
      <c r="N150" s="3" t="s">
        <v>183</v>
      </c>
      <c r="O150" s="3">
        <v>3</v>
      </c>
      <c r="P150" s="3">
        <v>4.49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 t="s">
        <v>184</v>
      </c>
      <c r="X150" s="3">
        <v>21.98</v>
      </c>
      <c r="Y150" s="3">
        <v>21.98</v>
      </c>
      <c r="Z150" s="3">
        <v>21.98</v>
      </c>
      <c r="AA150" s="3">
        <v>0</v>
      </c>
      <c r="AB150" s="3" t="s">
        <v>191</v>
      </c>
      <c r="AC150" s="3">
        <v>3</v>
      </c>
      <c r="AD150" s="3">
        <v>21.98</v>
      </c>
      <c r="AE150" s="3">
        <v>0</v>
      </c>
      <c r="AF150" s="3">
        <v>0</v>
      </c>
      <c r="AG150" s="3">
        <v>0</v>
      </c>
      <c r="AH150" s="3">
        <v>0</v>
      </c>
      <c r="AI150" s="3" t="s">
        <v>251</v>
      </c>
      <c r="AJ150" s="3" t="s">
        <v>193</v>
      </c>
    </row>
    <row r="151" spans="1:36">
      <c r="A151" s="6">
        <v>43288</v>
      </c>
      <c r="B151" s="3" t="s">
        <v>689</v>
      </c>
      <c r="C151" s="3" t="s">
        <v>690</v>
      </c>
      <c r="D151" s="3" t="s">
        <v>691</v>
      </c>
      <c r="E151" s="3" t="s">
        <v>692</v>
      </c>
      <c r="F151" s="3" t="s">
        <v>182</v>
      </c>
      <c r="G151" s="3">
        <v>5</v>
      </c>
      <c r="H151" s="3">
        <v>0</v>
      </c>
      <c r="I151" s="3">
        <v>5</v>
      </c>
      <c r="J151" s="3">
        <v>0</v>
      </c>
      <c r="K151" s="3">
        <v>0</v>
      </c>
      <c r="L151" s="3">
        <v>0</v>
      </c>
      <c r="M151" s="3">
        <v>0</v>
      </c>
      <c r="N151" s="3" t="s">
        <v>183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184</v>
      </c>
      <c r="X151" s="3">
        <v>17.99</v>
      </c>
      <c r="Y151" s="3">
        <v>17.99</v>
      </c>
      <c r="Z151" s="3">
        <v>17.99</v>
      </c>
      <c r="AA151" s="3">
        <v>0</v>
      </c>
      <c r="AB151" s="3" t="s">
        <v>191</v>
      </c>
      <c r="AC151" s="3">
        <v>0</v>
      </c>
      <c r="AD151" s="3">
        <v>14.39</v>
      </c>
      <c r="AE151" s="3">
        <v>63</v>
      </c>
      <c r="AF151" s="3">
        <v>0</v>
      </c>
      <c r="AG151" s="3">
        <v>26.716028</v>
      </c>
      <c r="AH151" s="3">
        <v>0</v>
      </c>
      <c r="AI151" s="3" t="s">
        <v>693</v>
      </c>
      <c r="AJ151" s="3" t="s">
        <v>187</v>
      </c>
    </row>
    <row r="152" spans="1:36">
      <c r="A152" s="6">
        <v>43288</v>
      </c>
      <c r="B152" s="3" t="s">
        <v>694</v>
      </c>
      <c r="C152" s="3" t="s">
        <v>695</v>
      </c>
      <c r="D152" s="3" t="s">
        <v>696</v>
      </c>
      <c r="E152" s="3" t="s">
        <v>697</v>
      </c>
      <c r="F152" s="3" t="s">
        <v>182</v>
      </c>
      <c r="G152" s="3">
        <v>4</v>
      </c>
      <c r="H152" s="3">
        <v>0</v>
      </c>
      <c r="I152" s="3">
        <v>4</v>
      </c>
      <c r="J152" s="3">
        <v>0</v>
      </c>
      <c r="K152" s="3">
        <v>0</v>
      </c>
      <c r="L152" s="3">
        <v>0</v>
      </c>
      <c r="M152" s="3">
        <v>0</v>
      </c>
      <c r="N152" s="3" t="s">
        <v>183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1</v>
      </c>
      <c r="U152" s="3">
        <v>1</v>
      </c>
      <c r="V152" s="3">
        <v>1</v>
      </c>
      <c r="W152" s="3" t="s">
        <v>184</v>
      </c>
      <c r="X152" s="3">
        <v>7.99</v>
      </c>
      <c r="Y152" s="3">
        <v>7.99</v>
      </c>
      <c r="Z152" s="3">
        <v>7.99</v>
      </c>
      <c r="AA152" s="3">
        <v>0</v>
      </c>
      <c r="AB152" s="3" t="s">
        <v>191</v>
      </c>
      <c r="AC152" s="3">
        <v>4</v>
      </c>
      <c r="AD152" s="3">
        <v>7.99</v>
      </c>
      <c r="AE152" s="3">
        <v>0</v>
      </c>
      <c r="AF152" s="3">
        <v>0</v>
      </c>
      <c r="AG152" s="3">
        <v>0</v>
      </c>
      <c r="AH152" s="3">
        <v>0.222222222222222</v>
      </c>
      <c r="AI152" s="3" t="s">
        <v>204</v>
      </c>
      <c r="AJ152" s="3" t="s">
        <v>187</v>
      </c>
    </row>
    <row r="153" spans="1:36">
      <c r="A153" s="6">
        <v>43288</v>
      </c>
      <c r="B153" s="3" t="s">
        <v>115</v>
      </c>
      <c r="C153" s="3" t="s">
        <v>116</v>
      </c>
      <c r="D153" s="3" t="s">
        <v>117</v>
      </c>
      <c r="E153" s="3" t="s">
        <v>118</v>
      </c>
      <c r="F153" s="3" t="s">
        <v>182</v>
      </c>
      <c r="G153" s="3">
        <v>10</v>
      </c>
      <c r="H153" s="3">
        <v>0</v>
      </c>
      <c r="I153" s="3">
        <v>10</v>
      </c>
      <c r="J153" s="3">
        <v>0</v>
      </c>
      <c r="K153" s="3">
        <v>0</v>
      </c>
      <c r="L153" s="3">
        <v>0</v>
      </c>
      <c r="M153" s="3">
        <v>0</v>
      </c>
      <c r="N153" s="3" t="s">
        <v>183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26</v>
      </c>
      <c r="U153" s="3">
        <v>26</v>
      </c>
      <c r="V153" s="3">
        <v>26</v>
      </c>
      <c r="W153" s="3"/>
      <c r="X153" s="3">
        <v>30.99</v>
      </c>
      <c r="Y153" s="3">
        <v>19.99</v>
      </c>
      <c r="Z153" s="3">
        <v>19.99</v>
      </c>
      <c r="AA153" s="3">
        <v>0</v>
      </c>
      <c r="AB153" s="3" t="s">
        <v>185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5.2</v>
      </c>
      <c r="AI153" s="3" t="s">
        <v>698</v>
      </c>
      <c r="AJ153" s="3" t="s">
        <v>187</v>
      </c>
    </row>
    <row r="154" spans="1:36">
      <c r="A154" s="6">
        <v>43288</v>
      </c>
      <c r="B154" s="3" t="s">
        <v>699</v>
      </c>
      <c r="C154" s="3" t="s">
        <v>700</v>
      </c>
      <c r="D154" s="3" t="s">
        <v>700</v>
      </c>
      <c r="E154" s="3" t="s">
        <v>701</v>
      </c>
      <c r="F154" s="3" t="s">
        <v>182</v>
      </c>
      <c r="G154" s="3">
        <v>4</v>
      </c>
      <c r="H154" s="3">
        <v>0</v>
      </c>
      <c r="I154" s="3">
        <v>0</v>
      </c>
      <c r="J154" s="3">
        <v>0</v>
      </c>
      <c r="K154" s="3">
        <v>4</v>
      </c>
      <c r="L154" s="3">
        <v>0</v>
      </c>
      <c r="M154" s="3">
        <v>0</v>
      </c>
      <c r="N154" s="3" t="s">
        <v>183</v>
      </c>
      <c r="O154" s="3">
        <v>4</v>
      </c>
      <c r="P154" s="3">
        <v>6.79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197</v>
      </c>
      <c r="X154" s="3">
        <v>17.99</v>
      </c>
      <c r="Y154" s="3">
        <v>17.99</v>
      </c>
      <c r="Z154" s="3">
        <v>17.99</v>
      </c>
      <c r="AA154" s="3">
        <v>0</v>
      </c>
      <c r="AB154" s="3" t="s">
        <v>185</v>
      </c>
      <c r="AC154" s="3">
        <v>4</v>
      </c>
      <c r="AD154" s="3">
        <v>17.99</v>
      </c>
      <c r="AE154" s="3">
        <v>0</v>
      </c>
      <c r="AF154" s="3">
        <v>0</v>
      </c>
      <c r="AG154" s="3">
        <v>0</v>
      </c>
      <c r="AH154" s="3">
        <v>0</v>
      </c>
      <c r="AI154" s="3" t="s">
        <v>199</v>
      </c>
      <c r="AJ154" s="3" t="s">
        <v>193</v>
      </c>
    </row>
    <row r="155" spans="1:36">
      <c r="A155" s="6">
        <v>43288</v>
      </c>
      <c r="B155" s="3" t="s">
        <v>702</v>
      </c>
      <c r="C155" s="3" t="s">
        <v>703</v>
      </c>
      <c r="D155" s="3" t="s">
        <v>703</v>
      </c>
      <c r="E155" s="3" t="s">
        <v>704</v>
      </c>
      <c r="F155" s="3" t="s">
        <v>182</v>
      </c>
      <c r="G155" s="3">
        <v>4</v>
      </c>
      <c r="H155" s="3">
        <v>0</v>
      </c>
      <c r="I155" s="3">
        <v>4</v>
      </c>
      <c r="J155" s="3">
        <v>0</v>
      </c>
      <c r="K155" s="3">
        <v>0</v>
      </c>
      <c r="L155" s="3">
        <v>0</v>
      </c>
      <c r="M155" s="3">
        <v>0</v>
      </c>
      <c r="N155" s="3" t="s">
        <v>183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1</v>
      </c>
      <c r="W155" s="3" t="s">
        <v>197</v>
      </c>
      <c r="X155" s="3">
        <v>13.99</v>
      </c>
      <c r="Y155" s="3">
        <v>13.99</v>
      </c>
      <c r="Z155" s="3">
        <v>13.99</v>
      </c>
      <c r="AA155" s="3">
        <v>0</v>
      </c>
      <c r="AB155" s="3" t="s">
        <v>198</v>
      </c>
      <c r="AC155" s="3">
        <v>0</v>
      </c>
      <c r="AD155" s="3">
        <v>11.19</v>
      </c>
      <c r="AE155" s="3">
        <v>63</v>
      </c>
      <c r="AF155" s="3">
        <v>0</v>
      </c>
      <c r="AG155" s="3">
        <v>2.083788</v>
      </c>
      <c r="AH155" s="3">
        <v>0.8</v>
      </c>
      <c r="AI155" s="3" t="s">
        <v>215</v>
      </c>
      <c r="AJ155" s="3" t="s">
        <v>187</v>
      </c>
    </row>
    <row r="156" spans="1:36">
      <c r="A156" s="6">
        <v>43288</v>
      </c>
      <c r="B156" s="3" t="s">
        <v>705</v>
      </c>
      <c r="C156" s="3" t="s">
        <v>706</v>
      </c>
      <c r="D156" s="3" t="s">
        <v>707</v>
      </c>
      <c r="E156" s="3" t="s">
        <v>708</v>
      </c>
      <c r="F156" s="3" t="s">
        <v>182</v>
      </c>
      <c r="G156" s="3">
        <v>21</v>
      </c>
      <c r="H156" s="3">
        <v>0</v>
      </c>
      <c r="I156" s="3">
        <v>21</v>
      </c>
      <c r="J156" s="3">
        <v>0</v>
      </c>
      <c r="K156" s="3">
        <v>0</v>
      </c>
      <c r="L156" s="3">
        <v>0</v>
      </c>
      <c r="M156" s="3">
        <v>0</v>
      </c>
      <c r="N156" s="3" t="s">
        <v>183</v>
      </c>
      <c r="O156" s="3">
        <v>0</v>
      </c>
      <c r="P156" s="3">
        <v>0</v>
      </c>
      <c r="Q156" s="3">
        <v>0</v>
      </c>
      <c r="R156" s="3">
        <v>0</v>
      </c>
      <c r="S156" s="3">
        <v>3</v>
      </c>
      <c r="T156" s="3">
        <v>9</v>
      </c>
      <c r="U156" s="3">
        <v>9</v>
      </c>
      <c r="V156" s="3">
        <v>9</v>
      </c>
      <c r="W156" s="3"/>
      <c r="X156" s="3">
        <v>30.99</v>
      </c>
      <c r="Y156" s="3">
        <v>17.99</v>
      </c>
      <c r="Z156" s="3">
        <v>17.99</v>
      </c>
      <c r="AA156" s="3">
        <v>0</v>
      </c>
      <c r="AB156" s="3" t="s">
        <v>185</v>
      </c>
      <c r="AC156" s="3">
        <v>2</v>
      </c>
      <c r="AD156" s="3">
        <v>17.99</v>
      </c>
      <c r="AE156" s="3">
        <v>0</v>
      </c>
      <c r="AF156" s="3">
        <v>0</v>
      </c>
      <c r="AG156" s="3">
        <v>0</v>
      </c>
      <c r="AH156" s="3">
        <v>0.428571428571428</v>
      </c>
      <c r="AI156" s="3" t="s">
        <v>709</v>
      </c>
      <c r="AJ156" s="3" t="s">
        <v>247</v>
      </c>
    </row>
    <row r="157" spans="1:36">
      <c r="A157" s="6">
        <v>43288</v>
      </c>
      <c r="B157" s="3" t="s">
        <v>710</v>
      </c>
      <c r="C157" s="3" t="s">
        <v>711</v>
      </c>
      <c r="D157" s="3" t="s">
        <v>712</v>
      </c>
      <c r="E157" s="3" t="s">
        <v>713</v>
      </c>
      <c r="F157" s="3" t="s">
        <v>182</v>
      </c>
      <c r="G157" s="3">
        <v>4</v>
      </c>
      <c r="H157" s="3">
        <v>0</v>
      </c>
      <c r="I157" s="3">
        <v>0</v>
      </c>
      <c r="J157" s="3">
        <v>4</v>
      </c>
      <c r="K157" s="3">
        <v>0</v>
      </c>
      <c r="L157" s="3">
        <v>0</v>
      </c>
      <c r="M157" s="3">
        <v>0</v>
      </c>
      <c r="N157" s="3" t="s">
        <v>183</v>
      </c>
      <c r="O157" s="3">
        <v>3</v>
      </c>
      <c r="P157" s="3">
        <v>23.94</v>
      </c>
      <c r="Q157" s="3">
        <v>0</v>
      </c>
      <c r="R157" s="3">
        <v>0</v>
      </c>
      <c r="S157" s="3">
        <v>0</v>
      </c>
      <c r="T157" s="3">
        <v>0</v>
      </c>
      <c r="U157" s="3">
        <v>1</v>
      </c>
      <c r="V157" s="3">
        <v>1</v>
      </c>
      <c r="W157" s="3" t="s">
        <v>184</v>
      </c>
      <c r="X157" s="3">
        <v>15.99</v>
      </c>
      <c r="Y157" s="3">
        <v>15.99</v>
      </c>
      <c r="Z157" s="3">
        <v>15.99</v>
      </c>
      <c r="AA157" s="3">
        <v>0</v>
      </c>
      <c r="AB157" s="3" t="s">
        <v>191</v>
      </c>
      <c r="AC157" s="3">
        <v>0</v>
      </c>
      <c r="AD157" s="3">
        <v>15.99</v>
      </c>
      <c r="AE157" s="3">
        <v>63</v>
      </c>
      <c r="AF157" s="3">
        <v>0</v>
      </c>
      <c r="AG157" s="3">
        <v>297.218882</v>
      </c>
      <c r="AH157" s="3">
        <v>0.222222222222222</v>
      </c>
      <c r="AI157" s="3" t="s">
        <v>714</v>
      </c>
      <c r="AJ157" s="3" t="s">
        <v>247</v>
      </c>
    </row>
    <row r="158" spans="1:36">
      <c r="A158" s="6">
        <v>43288</v>
      </c>
      <c r="B158" s="3" t="s">
        <v>715</v>
      </c>
      <c r="C158" s="3" t="s">
        <v>716</v>
      </c>
      <c r="D158" s="3" t="s">
        <v>716</v>
      </c>
      <c r="E158" s="3" t="s">
        <v>717</v>
      </c>
      <c r="F158" s="3" t="s">
        <v>182</v>
      </c>
      <c r="G158" s="3">
        <v>4</v>
      </c>
      <c r="H158" s="3">
        <v>0</v>
      </c>
      <c r="I158" s="3">
        <v>0</v>
      </c>
      <c r="J158" s="3">
        <v>0</v>
      </c>
      <c r="K158" s="3">
        <v>4</v>
      </c>
      <c r="L158" s="3">
        <v>0</v>
      </c>
      <c r="M158" s="3">
        <v>0</v>
      </c>
      <c r="N158" s="3" t="s">
        <v>183</v>
      </c>
      <c r="O158" s="3">
        <v>4</v>
      </c>
      <c r="P158" s="3">
        <v>6.79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197</v>
      </c>
      <c r="X158" s="3">
        <v>17.99</v>
      </c>
      <c r="Y158" s="3">
        <v>17.99</v>
      </c>
      <c r="Z158" s="3">
        <v>17.99</v>
      </c>
      <c r="AA158" s="3">
        <v>0</v>
      </c>
      <c r="AB158" s="3" t="s">
        <v>185</v>
      </c>
      <c r="AC158" s="3">
        <v>4</v>
      </c>
      <c r="AD158" s="3">
        <v>17.99</v>
      </c>
      <c r="AE158" s="3">
        <v>0</v>
      </c>
      <c r="AF158" s="3">
        <v>0</v>
      </c>
      <c r="AG158" s="3">
        <v>0</v>
      </c>
      <c r="AH158" s="3">
        <v>0</v>
      </c>
      <c r="AI158" s="3" t="s">
        <v>199</v>
      </c>
      <c r="AJ158" s="3" t="s">
        <v>193</v>
      </c>
    </row>
    <row r="159" spans="1:36">
      <c r="A159" s="6">
        <v>43288</v>
      </c>
      <c r="B159" s="3" t="s">
        <v>718</v>
      </c>
      <c r="C159" s="3" t="s">
        <v>719</v>
      </c>
      <c r="D159" s="3" t="s">
        <v>719</v>
      </c>
      <c r="E159" s="3" t="s">
        <v>720</v>
      </c>
      <c r="F159" s="3" t="s">
        <v>182</v>
      </c>
      <c r="G159" s="3">
        <v>25</v>
      </c>
      <c r="H159" s="3">
        <v>0</v>
      </c>
      <c r="I159" s="3">
        <v>25</v>
      </c>
      <c r="J159" s="3">
        <v>0</v>
      </c>
      <c r="K159" s="3">
        <v>0</v>
      </c>
      <c r="L159" s="3">
        <v>0</v>
      </c>
      <c r="M159" s="3">
        <v>0</v>
      </c>
      <c r="N159" s="3" t="s">
        <v>183</v>
      </c>
      <c r="O159" s="3">
        <v>0</v>
      </c>
      <c r="P159" s="3">
        <v>0</v>
      </c>
      <c r="Q159" s="3">
        <v>0</v>
      </c>
      <c r="R159" s="3">
        <v>0</v>
      </c>
      <c r="S159" s="3">
        <v>1</v>
      </c>
      <c r="T159" s="3">
        <v>3</v>
      </c>
      <c r="U159" s="3">
        <v>5</v>
      </c>
      <c r="V159" s="3">
        <v>7</v>
      </c>
      <c r="W159" s="3" t="s">
        <v>184</v>
      </c>
      <c r="X159" s="3">
        <v>8.99</v>
      </c>
      <c r="Y159" s="3">
        <v>8.99</v>
      </c>
      <c r="Z159" s="3">
        <v>8.99</v>
      </c>
      <c r="AA159" s="3">
        <v>0</v>
      </c>
      <c r="AB159" s="3" t="s">
        <v>191</v>
      </c>
      <c r="AC159" s="3">
        <v>4</v>
      </c>
      <c r="AD159" s="3">
        <v>5.13</v>
      </c>
      <c r="AE159" s="3">
        <v>77</v>
      </c>
      <c r="AF159" s="3">
        <v>0</v>
      </c>
      <c r="AG159" s="3">
        <v>38.689209</v>
      </c>
      <c r="AH159" s="3">
        <v>0.333333333333333</v>
      </c>
      <c r="AI159" s="3" t="s">
        <v>721</v>
      </c>
      <c r="AJ159" s="3" t="s">
        <v>187</v>
      </c>
    </row>
    <row r="160" spans="1:36">
      <c r="A160" s="6">
        <v>43288</v>
      </c>
      <c r="B160" s="3" t="s">
        <v>722</v>
      </c>
      <c r="C160" s="3" t="s">
        <v>723</v>
      </c>
      <c r="D160" s="3" t="s">
        <v>724</v>
      </c>
      <c r="E160" s="3" t="s">
        <v>725</v>
      </c>
      <c r="F160" s="3" t="s">
        <v>182</v>
      </c>
      <c r="G160" s="3">
        <v>25</v>
      </c>
      <c r="H160" s="3">
        <v>0</v>
      </c>
      <c r="I160" s="3">
        <v>25</v>
      </c>
      <c r="J160" s="3">
        <v>0</v>
      </c>
      <c r="K160" s="3">
        <v>0</v>
      </c>
      <c r="L160" s="3">
        <v>0</v>
      </c>
      <c r="M160" s="3">
        <v>0</v>
      </c>
      <c r="N160" s="3" t="s">
        <v>183</v>
      </c>
      <c r="O160" s="3">
        <v>0</v>
      </c>
      <c r="P160" s="3">
        <v>0</v>
      </c>
      <c r="Q160" s="3">
        <v>0</v>
      </c>
      <c r="R160" s="3">
        <v>0</v>
      </c>
      <c r="S160" s="3">
        <v>2</v>
      </c>
      <c r="T160" s="3">
        <v>2</v>
      </c>
      <c r="U160" s="3">
        <v>2</v>
      </c>
      <c r="V160" s="3">
        <v>2</v>
      </c>
      <c r="W160" s="3" t="s">
        <v>184</v>
      </c>
      <c r="X160" s="3">
        <v>10.99</v>
      </c>
      <c r="Y160" s="3">
        <v>10.99</v>
      </c>
      <c r="Z160" s="3">
        <v>10.99</v>
      </c>
      <c r="AA160" s="3">
        <v>0</v>
      </c>
      <c r="AB160" s="3" t="s">
        <v>191</v>
      </c>
      <c r="AC160" s="3">
        <v>0</v>
      </c>
      <c r="AD160" s="3">
        <v>10.99</v>
      </c>
      <c r="AE160" s="3">
        <v>63</v>
      </c>
      <c r="AF160" s="3">
        <v>0</v>
      </c>
      <c r="AG160" s="3">
        <v>23.427823</v>
      </c>
      <c r="AH160" s="3">
        <v>0.08</v>
      </c>
      <c r="AI160" s="3" t="s">
        <v>396</v>
      </c>
      <c r="AJ160" s="3" t="s">
        <v>187</v>
      </c>
    </row>
    <row r="161" spans="1:36">
      <c r="A161" s="6">
        <v>43288</v>
      </c>
      <c r="B161" s="3" t="s">
        <v>726</v>
      </c>
      <c r="C161" s="3" t="s">
        <v>727</v>
      </c>
      <c r="D161" s="3" t="s">
        <v>727</v>
      </c>
      <c r="E161" s="3" t="s">
        <v>728</v>
      </c>
      <c r="F161" s="3" t="s">
        <v>182</v>
      </c>
      <c r="G161" s="3">
        <v>6</v>
      </c>
      <c r="H161" s="3">
        <v>0</v>
      </c>
      <c r="I161" s="3">
        <v>0</v>
      </c>
      <c r="J161" s="3">
        <v>0</v>
      </c>
      <c r="K161" s="3">
        <v>6</v>
      </c>
      <c r="L161" s="3">
        <v>0</v>
      </c>
      <c r="M161" s="3">
        <v>0</v>
      </c>
      <c r="N161" s="3" t="s">
        <v>183</v>
      </c>
      <c r="O161" s="3">
        <v>6</v>
      </c>
      <c r="P161" s="3">
        <v>17.58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 t="s">
        <v>184</v>
      </c>
      <c r="X161" s="3">
        <v>18.99</v>
      </c>
      <c r="Y161" s="3">
        <v>18.99</v>
      </c>
      <c r="Z161" s="3">
        <v>18.99</v>
      </c>
      <c r="AA161" s="3">
        <v>0</v>
      </c>
      <c r="AB161" s="3" t="s">
        <v>191</v>
      </c>
      <c r="AC161" s="3">
        <v>0</v>
      </c>
      <c r="AD161" s="3">
        <v>17.67</v>
      </c>
      <c r="AE161" s="3">
        <v>35</v>
      </c>
      <c r="AF161" s="3">
        <v>0</v>
      </c>
      <c r="AG161" s="3">
        <v>258.759209</v>
      </c>
      <c r="AH161" s="3">
        <v>0</v>
      </c>
      <c r="AI161" s="3" t="s">
        <v>729</v>
      </c>
      <c r="AJ161" s="3" t="s">
        <v>187</v>
      </c>
    </row>
    <row r="162" spans="1:36">
      <c r="A162" s="6">
        <v>43288</v>
      </c>
      <c r="B162" s="3" t="s">
        <v>131</v>
      </c>
      <c r="C162" s="3" t="s">
        <v>132</v>
      </c>
      <c r="D162" s="3" t="s">
        <v>133</v>
      </c>
      <c r="E162" s="3" t="s">
        <v>134</v>
      </c>
      <c r="F162" s="3" t="s">
        <v>182</v>
      </c>
      <c r="G162" s="3">
        <v>27</v>
      </c>
      <c r="H162" s="3">
        <v>0</v>
      </c>
      <c r="I162" s="3">
        <v>27</v>
      </c>
      <c r="J162" s="3">
        <v>0</v>
      </c>
      <c r="K162" s="3">
        <v>0</v>
      </c>
      <c r="L162" s="3">
        <v>0</v>
      </c>
      <c r="M162" s="3">
        <v>0</v>
      </c>
      <c r="N162" s="3" t="s">
        <v>183</v>
      </c>
      <c r="O162" s="3">
        <v>0</v>
      </c>
      <c r="P162" s="3">
        <v>0</v>
      </c>
      <c r="Q162" s="3">
        <v>0</v>
      </c>
      <c r="R162" s="3">
        <v>0</v>
      </c>
      <c r="S162" s="3">
        <v>1</v>
      </c>
      <c r="T162" s="3">
        <v>27</v>
      </c>
      <c r="U162" s="3">
        <v>27</v>
      </c>
      <c r="V162" s="3">
        <v>27</v>
      </c>
      <c r="W162" s="3"/>
      <c r="X162" s="3">
        <v>30.99</v>
      </c>
      <c r="Y162" s="3">
        <v>21.99</v>
      </c>
      <c r="Z162" s="3">
        <v>21.99</v>
      </c>
      <c r="AA162" s="3">
        <v>0</v>
      </c>
      <c r="AB162" s="3" t="s">
        <v>185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3</v>
      </c>
      <c r="AI162" s="3" t="s">
        <v>698</v>
      </c>
      <c r="AJ162" s="3" t="s">
        <v>187</v>
      </c>
    </row>
    <row r="163" spans="1:36">
      <c r="A163" s="6">
        <v>43288</v>
      </c>
      <c r="B163" s="3" t="s">
        <v>730</v>
      </c>
      <c r="C163" s="3" t="s">
        <v>731</v>
      </c>
      <c r="D163" s="3" t="s">
        <v>731</v>
      </c>
      <c r="E163" s="3" t="s">
        <v>732</v>
      </c>
      <c r="F163" s="3" t="s">
        <v>182</v>
      </c>
      <c r="G163" s="3">
        <v>3</v>
      </c>
      <c r="H163" s="3">
        <v>0</v>
      </c>
      <c r="I163" s="3">
        <v>0</v>
      </c>
      <c r="J163" s="3">
        <v>3</v>
      </c>
      <c r="K163" s="3">
        <v>0</v>
      </c>
      <c r="L163" s="3">
        <v>0</v>
      </c>
      <c r="M163" s="3">
        <v>0</v>
      </c>
      <c r="N163" s="3" t="s">
        <v>183</v>
      </c>
      <c r="O163" s="3">
        <v>3</v>
      </c>
      <c r="P163" s="3">
        <v>4.49</v>
      </c>
      <c r="Q163" s="3">
        <v>0</v>
      </c>
      <c r="R163" s="3">
        <v>0</v>
      </c>
      <c r="S163" s="3">
        <v>0</v>
      </c>
      <c r="T163" s="3">
        <v>1</v>
      </c>
      <c r="U163" s="3">
        <v>1</v>
      </c>
      <c r="V163" s="3">
        <v>1</v>
      </c>
      <c r="W163" s="3" t="s">
        <v>184</v>
      </c>
      <c r="X163" s="3">
        <v>19.19</v>
      </c>
      <c r="Y163" s="3">
        <v>19.19</v>
      </c>
      <c r="Z163" s="3">
        <v>19.19</v>
      </c>
      <c r="AA163" s="3">
        <v>0</v>
      </c>
      <c r="AB163" s="3" t="s">
        <v>191</v>
      </c>
      <c r="AC163" s="3">
        <v>3</v>
      </c>
      <c r="AD163" s="3">
        <v>19.19</v>
      </c>
      <c r="AE163" s="3">
        <v>0</v>
      </c>
      <c r="AF163" s="3">
        <v>0</v>
      </c>
      <c r="AG163" s="3">
        <v>0</v>
      </c>
      <c r="AH163" s="3">
        <v>0.266666666666666</v>
      </c>
      <c r="AI163" s="3" t="s">
        <v>251</v>
      </c>
      <c r="AJ163" s="3" t="s">
        <v>193</v>
      </c>
    </row>
    <row r="164" spans="1:36">
      <c r="A164" s="6">
        <v>43288</v>
      </c>
      <c r="B164" s="3" t="s">
        <v>733</v>
      </c>
      <c r="C164" s="3" t="s">
        <v>734</v>
      </c>
      <c r="D164" s="3" t="s">
        <v>734</v>
      </c>
      <c r="E164" s="3" t="s">
        <v>735</v>
      </c>
      <c r="F164" s="3" t="s">
        <v>182</v>
      </c>
      <c r="G164" s="3">
        <v>6</v>
      </c>
      <c r="H164" s="3">
        <v>0</v>
      </c>
      <c r="I164" s="3">
        <v>6</v>
      </c>
      <c r="J164" s="3">
        <v>0</v>
      </c>
      <c r="K164" s="3">
        <v>0</v>
      </c>
      <c r="L164" s="3">
        <v>0</v>
      </c>
      <c r="M164" s="3">
        <v>0</v>
      </c>
      <c r="N164" s="3" t="s">
        <v>183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2</v>
      </c>
      <c r="U164" s="3">
        <v>7</v>
      </c>
      <c r="V164" s="3">
        <v>10</v>
      </c>
      <c r="W164" s="3" t="s">
        <v>184</v>
      </c>
      <c r="X164" s="3">
        <v>15.99</v>
      </c>
      <c r="Y164" s="3">
        <v>15.99</v>
      </c>
      <c r="Z164" s="3">
        <v>15.99</v>
      </c>
      <c r="AA164" s="3">
        <v>0</v>
      </c>
      <c r="AB164" s="3" t="s">
        <v>191</v>
      </c>
      <c r="AC164" s="3">
        <v>0</v>
      </c>
      <c r="AD164" s="3">
        <v>12.26</v>
      </c>
      <c r="AE164" s="3">
        <v>63</v>
      </c>
      <c r="AF164" s="3">
        <v>0</v>
      </c>
      <c r="AG164" s="3">
        <v>161.611905</v>
      </c>
      <c r="AH164" s="3">
        <v>2</v>
      </c>
      <c r="AI164" s="3" t="s">
        <v>736</v>
      </c>
      <c r="AJ164" s="3" t="s">
        <v>187</v>
      </c>
    </row>
    <row r="165" spans="1:36">
      <c r="A165" s="6">
        <v>43288</v>
      </c>
      <c r="B165" s="3" t="s">
        <v>737</v>
      </c>
      <c r="C165" s="3" t="s">
        <v>738</v>
      </c>
      <c r="D165" s="3" t="s">
        <v>738</v>
      </c>
      <c r="E165" s="3" t="s">
        <v>739</v>
      </c>
      <c r="F165" s="3" t="s">
        <v>182</v>
      </c>
      <c r="G165" s="3">
        <v>2</v>
      </c>
      <c r="H165" s="3">
        <v>0</v>
      </c>
      <c r="I165" s="3">
        <v>0</v>
      </c>
      <c r="J165" s="3">
        <v>0</v>
      </c>
      <c r="K165" s="3">
        <v>2</v>
      </c>
      <c r="L165" s="3">
        <v>0</v>
      </c>
      <c r="M165" s="3">
        <v>0</v>
      </c>
      <c r="N165" s="3" t="s">
        <v>183</v>
      </c>
      <c r="O165" s="3">
        <v>2</v>
      </c>
      <c r="P165" s="3">
        <v>0.12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 t="s">
        <v>184</v>
      </c>
      <c r="X165" s="3">
        <v>10</v>
      </c>
      <c r="Y165" s="3">
        <v>10</v>
      </c>
      <c r="Z165" s="3">
        <v>10</v>
      </c>
      <c r="AA165" s="3">
        <v>0</v>
      </c>
      <c r="AB165" s="3" t="s">
        <v>185</v>
      </c>
      <c r="AC165" s="3">
        <v>2</v>
      </c>
      <c r="AD165" s="3">
        <v>10</v>
      </c>
      <c r="AE165" s="3">
        <v>0</v>
      </c>
      <c r="AF165" s="3">
        <v>0</v>
      </c>
      <c r="AG165" s="3">
        <v>0</v>
      </c>
      <c r="AH165" s="3">
        <v>0</v>
      </c>
      <c r="AI165" s="3" t="s">
        <v>288</v>
      </c>
      <c r="AJ165" s="3" t="s">
        <v>187</v>
      </c>
    </row>
    <row r="166" spans="1:36">
      <c r="A166" s="6">
        <v>43288</v>
      </c>
      <c r="B166" s="3" t="s">
        <v>740</v>
      </c>
      <c r="C166" s="3" t="s">
        <v>741</v>
      </c>
      <c r="D166" s="3" t="s">
        <v>741</v>
      </c>
      <c r="E166" s="3" t="s">
        <v>742</v>
      </c>
      <c r="F166" s="3" t="s">
        <v>182</v>
      </c>
      <c r="G166" s="3">
        <v>4</v>
      </c>
      <c r="H166" s="3">
        <v>0</v>
      </c>
      <c r="I166" s="3">
        <v>0</v>
      </c>
      <c r="J166" s="3">
        <v>4</v>
      </c>
      <c r="K166" s="3">
        <v>0</v>
      </c>
      <c r="L166" s="3">
        <v>0</v>
      </c>
      <c r="M166" s="3">
        <v>0</v>
      </c>
      <c r="N166" s="3" t="s">
        <v>183</v>
      </c>
      <c r="O166" s="3">
        <v>4</v>
      </c>
      <c r="P166" s="3">
        <v>6.41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184</v>
      </c>
      <c r="X166" s="3">
        <v>21.98</v>
      </c>
      <c r="Y166" s="3">
        <v>21.98</v>
      </c>
      <c r="Z166" s="3">
        <v>21.5</v>
      </c>
      <c r="AA166" s="3">
        <v>0</v>
      </c>
      <c r="AB166" s="3" t="s">
        <v>191</v>
      </c>
      <c r="AC166" s="3">
        <v>0</v>
      </c>
      <c r="AD166" s="3">
        <v>17.58</v>
      </c>
      <c r="AE166" s="3">
        <v>63</v>
      </c>
      <c r="AF166" s="3">
        <v>0</v>
      </c>
      <c r="AG166" s="3">
        <v>80.419785</v>
      </c>
      <c r="AH166" s="3">
        <v>0</v>
      </c>
      <c r="AI166" s="3" t="s">
        <v>192</v>
      </c>
      <c r="AJ166" s="3" t="s">
        <v>193</v>
      </c>
    </row>
    <row r="167" spans="1:36">
      <c r="A167" s="6">
        <v>43288</v>
      </c>
      <c r="B167" s="3" t="s">
        <v>743</v>
      </c>
      <c r="C167" s="3" t="s">
        <v>744</v>
      </c>
      <c r="D167" s="3" t="s">
        <v>745</v>
      </c>
      <c r="E167" s="3" t="s">
        <v>746</v>
      </c>
      <c r="F167" s="3" t="s">
        <v>182</v>
      </c>
      <c r="G167" s="3">
        <v>4</v>
      </c>
      <c r="H167" s="3">
        <v>0</v>
      </c>
      <c r="I167" s="3">
        <v>4</v>
      </c>
      <c r="J167" s="3">
        <v>0</v>
      </c>
      <c r="K167" s="3">
        <v>0</v>
      </c>
      <c r="L167" s="3">
        <v>0</v>
      </c>
      <c r="M167" s="3">
        <v>0</v>
      </c>
      <c r="N167" s="3" t="s">
        <v>183</v>
      </c>
      <c r="O167" s="3">
        <v>0</v>
      </c>
      <c r="P167" s="3">
        <v>0</v>
      </c>
      <c r="Q167" s="3">
        <v>0</v>
      </c>
      <c r="R167" s="3">
        <v>0</v>
      </c>
      <c r="S167" s="3">
        <v>1</v>
      </c>
      <c r="T167" s="3">
        <v>1</v>
      </c>
      <c r="U167" s="3">
        <v>1</v>
      </c>
      <c r="V167" s="3">
        <v>1</v>
      </c>
      <c r="W167" s="3" t="s">
        <v>197</v>
      </c>
      <c r="X167" s="3">
        <v>7.99</v>
      </c>
      <c r="Y167" s="3">
        <v>7.99</v>
      </c>
      <c r="Z167" s="3">
        <v>7.99</v>
      </c>
      <c r="AA167" s="3">
        <v>0</v>
      </c>
      <c r="AB167" s="3" t="s">
        <v>185</v>
      </c>
      <c r="AC167" s="3">
        <v>4</v>
      </c>
      <c r="AD167" s="3">
        <v>7.99</v>
      </c>
      <c r="AE167" s="3">
        <v>0</v>
      </c>
      <c r="AF167" s="3">
        <v>0</v>
      </c>
      <c r="AG167" s="3">
        <v>0</v>
      </c>
      <c r="AH167" s="3">
        <v>0.25</v>
      </c>
      <c r="AI167" s="3" t="s">
        <v>747</v>
      </c>
      <c r="AJ167" s="3" t="s">
        <v>187</v>
      </c>
    </row>
    <row r="168" spans="1:36">
      <c r="A168" s="6">
        <v>43288</v>
      </c>
      <c r="B168" s="3" t="s">
        <v>748</v>
      </c>
      <c r="C168" s="3" t="s">
        <v>749</v>
      </c>
      <c r="D168" s="3" t="s">
        <v>750</v>
      </c>
      <c r="E168" s="3" t="s">
        <v>751</v>
      </c>
      <c r="F168" s="3" t="s">
        <v>182</v>
      </c>
      <c r="G168" s="3">
        <v>3</v>
      </c>
      <c r="H168" s="3">
        <v>0</v>
      </c>
      <c r="I168" s="3">
        <v>3</v>
      </c>
      <c r="J168" s="3">
        <v>0</v>
      </c>
      <c r="K168" s="3">
        <v>0</v>
      </c>
      <c r="L168" s="3">
        <v>0</v>
      </c>
      <c r="M168" s="3">
        <v>0</v>
      </c>
      <c r="N168" s="3" t="s">
        <v>183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184</v>
      </c>
      <c r="X168" s="3">
        <v>11.99</v>
      </c>
      <c r="Y168" s="3">
        <v>11.99</v>
      </c>
      <c r="Z168" s="3">
        <v>11.99</v>
      </c>
      <c r="AA168" s="3">
        <v>0</v>
      </c>
      <c r="AB168" s="3" t="s">
        <v>191</v>
      </c>
      <c r="AC168" s="3">
        <v>0</v>
      </c>
      <c r="AD168" s="3">
        <v>11.99</v>
      </c>
      <c r="AE168" s="3">
        <v>0</v>
      </c>
      <c r="AF168" s="3">
        <v>3</v>
      </c>
      <c r="AG168" s="3">
        <v>43.805526</v>
      </c>
      <c r="AH168" s="3">
        <v>0</v>
      </c>
      <c r="AI168" s="3" t="s">
        <v>752</v>
      </c>
      <c r="AJ168" s="3" t="s">
        <v>247</v>
      </c>
    </row>
    <row r="169" spans="1:36">
      <c r="A169" s="6">
        <v>43288</v>
      </c>
      <c r="B169" s="3" t="s">
        <v>753</v>
      </c>
      <c r="C169" s="3" t="s">
        <v>754</v>
      </c>
      <c r="D169" s="3" t="s">
        <v>755</v>
      </c>
      <c r="E169" s="3" t="s">
        <v>669</v>
      </c>
      <c r="F169" s="3" t="s">
        <v>182</v>
      </c>
      <c r="G169" s="3">
        <v>11</v>
      </c>
      <c r="H169" s="3">
        <v>0</v>
      </c>
      <c r="I169" s="3">
        <v>11</v>
      </c>
      <c r="J169" s="3">
        <v>0</v>
      </c>
      <c r="K169" s="3">
        <v>0</v>
      </c>
      <c r="L169" s="3">
        <v>0</v>
      </c>
      <c r="M169" s="3">
        <v>0</v>
      </c>
      <c r="N169" s="3" t="s">
        <v>183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2</v>
      </c>
      <c r="U169" s="3">
        <v>2</v>
      </c>
      <c r="V169" s="3">
        <v>2</v>
      </c>
      <c r="W169" s="3" t="s">
        <v>197</v>
      </c>
      <c r="X169" s="3">
        <v>12.99</v>
      </c>
      <c r="Y169" s="3">
        <v>12.99</v>
      </c>
      <c r="Z169" s="3">
        <v>12.99</v>
      </c>
      <c r="AA169" s="3">
        <v>0</v>
      </c>
      <c r="AB169" s="3" t="s">
        <v>185</v>
      </c>
      <c r="AC169" s="3">
        <v>11</v>
      </c>
      <c r="AD169" s="3">
        <v>12.99</v>
      </c>
      <c r="AE169" s="3">
        <v>0</v>
      </c>
      <c r="AF169" s="3">
        <v>0</v>
      </c>
      <c r="AG169" s="3">
        <v>0</v>
      </c>
      <c r="AH169" s="3">
        <v>0.285714285714285</v>
      </c>
      <c r="AI169" s="3" t="s">
        <v>756</v>
      </c>
      <c r="AJ169" s="3" t="s">
        <v>187</v>
      </c>
    </row>
    <row r="170" spans="1:36">
      <c r="A170" s="6">
        <v>43288</v>
      </c>
      <c r="B170" s="3" t="s">
        <v>757</v>
      </c>
      <c r="C170" s="3" t="s">
        <v>758</v>
      </c>
      <c r="D170" s="3" t="s">
        <v>758</v>
      </c>
      <c r="E170" s="3" t="s">
        <v>759</v>
      </c>
      <c r="F170" s="3" t="s">
        <v>182</v>
      </c>
      <c r="G170" s="3">
        <v>22</v>
      </c>
      <c r="H170" s="3">
        <v>0</v>
      </c>
      <c r="I170" s="3">
        <v>0</v>
      </c>
      <c r="J170" s="3">
        <v>0</v>
      </c>
      <c r="K170" s="3">
        <v>22</v>
      </c>
      <c r="L170" s="3">
        <v>0</v>
      </c>
      <c r="M170" s="3">
        <v>0</v>
      </c>
      <c r="N170" s="3" t="s">
        <v>183</v>
      </c>
      <c r="O170" s="3">
        <v>22</v>
      </c>
      <c r="P170" s="3">
        <v>35.09</v>
      </c>
      <c r="Q170" s="3">
        <v>0</v>
      </c>
      <c r="R170" s="3">
        <v>0</v>
      </c>
      <c r="S170" s="3">
        <v>1</v>
      </c>
      <c r="T170" s="3">
        <v>2</v>
      </c>
      <c r="U170" s="3">
        <v>2</v>
      </c>
      <c r="V170" s="3">
        <v>5</v>
      </c>
      <c r="W170" s="3" t="s">
        <v>184</v>
      </c>
      <c r="X170" s="3">
        <v>15.99</v>
      </c>
      <c r="Y170" s="3">
        <v>15.99</v>
      </c>
      <c r="Z170" s="3">
        <v>15.99</v>
      </c>
      <c r="AA170" s="3">
        <v>0</v>
      </c>
      <c r="AB170" s="3" t="s">
        <v>191</v>
      </c>
      <c r="AC170" s="3">
        <v>8</v>
      </c>
      <c r="AD170" s="3">
        <v>14.16</v>
      </c>
      <c r="AE170" s="3">
        <v>35</v>
      </c>
      <c r="AF170" s="3">
        <v>0</v>
      </c>
      <c r="AG170" s="3">
        <v>455.401984</v>
      </c>
      <c r="AH170" s="3">
        <v>0.2</v>
      </c>
      <c r="AI170" s="3" t="s">
        <v>760</v>
      </c>
      <c r="AJ170" s="3" t="s">
        <v>247</v>
      </c>
    </row>
    <row r="171" spans="1:36">
      <c r="A171" s="6">
        <v>43288</v>
      </c>
      <c r="B171" s="3" t="s">
        <v>761</v>
      </c>
      <c r="C171" s="3" t="s">
        <v>762</v>
      </c>
      <c r="D171" s="3" t="s">
        <v>762</v>
      </c>
      <c r="E171" s="3" t="s">
        <v>763</v>
      </c>
      <c r="F171" s="3" t="s">
        <v>182</v>
      </c>
      <c r="G171" s="3">
        <v>13</v>
      </c>
      <c r="H171" s="3">
        <v>0</v>
      </c>
      <c r="I171" s="3">
        <v>13</v>
      </c>
      <c r="J171" s="3">
        <v>0</v>
      </c>
      <c r="K171" s="3">
        <v>0</v>
      </c>
      <c r="L171" s="3">
        <v>0</v>
      </c>
      <c r="M171" s="3">
        <v>0</v>
      </c>
      <c r="N171" s="3" t="s">
        <v>183</v>
      </c>
      <c r="O171" s="3">
        <v>0</v>
      </c>
      <c r="P171" s="3">
        <v>0</v>
      </c>
      <c r="Q171" s="3">
        <v>0</v>
      </c>
      <c r="R171" s="3">
        <v>0</v>
      </c>
      <c r="S171" s="3">
        <v>1</v>
      </c>
      <c r="T171" s="3">
        <v>5</v>
      </c>
      <c r="U171" s="3">
        <v>16</v>
      </c>
      <c r="V171" s="3">
        <v>16</v>
      </c>
      <c r="W171" s="3"/>
      <c r="X171" s="3">
        <v>13.99</v>
      </c>
      <c r="Y171" s="3">
        <v>13.99</v>
      </c>
      <c r="Z171" s="3">
        <v>13.99</v>
      </c>
      <c r="AA171" s="3">
        <v>0</v>
      </c>
      <c r="AB171" s="3" t="s">
        <v>185</v>
      </c>
      <c r="AC171" s="3">
        <v>13</v>
      </c>
      <c r="AD171" s="3">
        <v>13.99</v>
      </c>
      <c r="AE171" s="3">
        <v>0</v>
      </c>
      <c r="AF171" s="3">
        <v>0</v>
      </c>
      <c r="AG171" s="3">
        <v>0</v>
      </c>
      <c r="AH171" s="3">
        <v>1.68421052631578</v>
      </c>
      <c r="AI171" s="3" t="s">
        <v>764</v>
      </c>
      <c r="AJ171" s="3" t="s">
        <v>187</v>
      </c>
    </row>
    <row r="172" spans="1:36">
      <c r="A172" s="6">
        <v>43288</v>
      </c>
      <c r="B172" s="3" t="s">
        <v>123</v>
      </c>
      <c r="C172" s="3" t="s">
        <v>124</v>
      </c>
      <c r="D172" s="3" t="s">
        <v>125</v>
      </c>
      <c r="E172" s="3" t="s">
        <v>126</v>
      </c>
      <c r="F172" s="3" t="s">
        <v>182</v>
      </c>
      <c r="G172" s="3">
        <v>10</v>
      </c>
      <c r="H172" s="3">
        <v>0</v>
      </c>
      <c r="I172" s="3">
        <v>10</v>
      </c>
      <c r="J172" s="3">
        <v>0</v>
      </c>
      <c r="K172" s="3">
        <v>0</v>
      </c>
      <c r="L172" s="3">
        <v>0</v>
      </c>
      <c r="M172" s="3">
        <v>0</v>
      </c>
      <c r="N172" s="3" t="s">
        <v>183</v>
      </c>
      <c r="O172" s="3">
        <v>0</v>
      </c>
      <c r="P172" s="3">
        <v>0</v>
      </c>
      <c r="Q172" s="3">
        <v>0</v>
      </c>
      <c r="R172" s="3">
        <v>0</v>
      </c>
      <c r="S172" s="3">
        <v>7</v>
      </c>
      <c r="T172" s="3">
        <v>20</v>
      </c>
      <c r="U172" s="3">
        <v>22</v>
      </c>
      <c r="V172" s="3">
        <v>22</v>
      </c>
      <c r="W172" s="3"/>
      <c r="X172" s="3">
        <v>13.99</v>
      </c>
      <c r="Y172" s="3">
        <v>13.99</v>
      </c>
      <c r="Z172" s="3">
        <v>13.99</v>
      </c>
      <c r="AA172" s="3">
        <v>0</v>
      </c>
      <c r="AB172" s="3" t="s">
        <v>185</v>
      </c>
      <c r="AC172" s="3">
        <v>15</v>
      </c>
      <c r="AD172" s="3">
        <v>13.99</v>
      </c>
      <c r="AE172" s="3">
        <v>0</v>
      </c>
      <c r="AF172" s="3">
        <v>0</v>
      </c>
      <c r="AG172" s="3">
        <v>0</v>
      </c>
      <c r="AH172" s="3">
        <v>4</v>
      </c>
      <c r="AI172" s="3" t="s">
        <v>765</v>
      </c>
      <c r="AJ172" s="3" t="s">
        <v>187</v>
      </c>
    </row>
    <row r="173" spans="1:36">
      <c r="A173" s="6">
        <v>43288</v>
      </c>
      <c r="B173" s="3" t="s">
        <v>766</v>
      </c>
      <c r="C173" s="3" t="s">
        <v>767</v>
      </c>
      <c r="D173" s="3" t="s">
        <v>768</v>
      </c>
      <c r="E173" s="3" t="s">
        <v>769</v>
      </c>
      <c r="F173" s="3" t="s">
        <v>182</v>
      </c>
      <c r="G173" s="3">
        <v>3</v>
      </c>
      <c r="H173" s="3">
        <v>0</v>
      </c>
      <c r="I173" s="3">
        <v>3</v>
      </c>
      <c r="J173" s="3">
        <v>0</v>
      </c>
      <c r="K173" s="3">
        <v>0</v>
      </c>
      <c r="L173" s="3">
        <v>0</v>
      </c>
      <c r="M173" s="3">
        <v>0</v>
      </c>
      <c r="N173" s="3" t="s">
        <v>183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197</v>
      </c>
      <c r="X173" s="3">
        <v>12.99</v>
      </c>
      <c r="Y173" s="3">
        <v>12.99</v>
      </c>
      <c r="Z173" s="3">
        <v>12.99</v>
      </c>
      <c r="AA173" s="3">
        <v>0</v>
      </c>
      <c r="AB173" s="3" t="s">
        <v>198</v>
      </c>
      <c r="AC173" s="3">
        <v>3</v>
      </c>
      <c r="AD173" s="3">
        <v>10.99</v>
      </c>
      <c r="AE173" s="3">
        <v>0</v>
      </c>
      <c r="AF173" s="3">
        <v>0</v>
      </c>
      <c r="AG173" s="3">
        <v>0</v>
      </c>
      <c r="AH173" s="3">
        <v>0</v>
      </c>
      <c r="AI173" s="3" t="s">
        <v>770</v>
      </c>
      <c r="AJ173" s="3" t="s">
        <v>187</v>
      </c>
    </row>
    <row r="174" spans="1:36">
      <c r="A174" s="6">
        <v>43288</v>
      </c>
      <c r="B174" s="3" t="s">
        <v>771</v>
      </c>
      <c r="C174" s="3" t="s">
        <v>772</v>
      </c>
      <c r="D174" s="3" t="s">
        <v>772</v>
      </c>
      <c r="E174" s="3" t="s">
        <v>773</v>
      </c>
      <c r="F174" s="3" t="s">
        <v>182</v>
      </c>
      <c r="G174" s="3">
        <v>4</v>
      </c>
      <c r="H174" s="3">
        <v>0</v>
      </c>
      <c r="I174" s="3">
        <v>2</v>
      </c>
      <c r="J174" s="3">
        <v>1</v>
      </c>
      <c r="K174" s="3">
        <v>1</v>
      </c>
      <c r="L174" s="3">
        <v>0</v>
      </c>
      <c r="M174" s="3">
        <v>0</v>
      </c>
      <c r="N174" s="3" t="s">
        <v>183</v>
      </c>
      <c r="O174" s="3">
        <v>2</v>
      </c>
      <c r="P174" s="3">
        <v>1.22</v>
      </c>
      <c r="Q174" s="3">
        <v>0</v>
      </c>
      <c r="R174" s="3">
        <v>0</v>
      </c>
      <c r="S174" s="3">
        <v>0</v>
      </c>
      <c r="T174" s="3">
        <v>1</v>
      </c>
      <c r="U174" s="3">
        <v>1</v>
      </c>
      <c r="V174" s="3">
        <v>2</v>
      </c>
      <c r="W174" s="3" t="s">
        <v>184</v>
      </c>
      <c r="X174" s="3">
        <v>9.77</v>
      </c>
      <c r="Y174" s="3">
        <v>9.77</v>
      </c>
      <c r="Z174" s="3">
        <v>9.77</v>
      </c>
      <c r="AA174" s="3">
        <v>0</v>
      </c>
      <c r="AB174" s="3" t="s">
        <v>191</v>
      </c>
      <c r="AC174" s="3">
        <v>0</v>
      </c>
      <c r="AD174" s="3">
        <v>8.37</v>
      </c>
      <c r="AE174" s="3">
        <v>308</v>
      </c>
      <c r="AF174" s="3">
        <v>0</v>
      </c>
      <c r="AG174" s="3">
        <v>29.31645</v>
      </c>
      <c r="AH174" s="3">
        <v>0.5</v>
      </c>
      <c r="AI174" s="3" t="s">
        <v>774</v>
      </c>
      <c r="AJ174" s="3" t="s">
        <v>187</v>
      </c>
    </row>
    <row r="175" spans="1:36">
      <c r="A175" s="6">
        <v>43288</v>
      </c>
      <c r="B175" s="3" t="s">
        <v>775</v>
      </c>
      <c r="C175" s="3" t="s">
        <v>776</v>
      </c>
      <c r="D175" s="3" t="s">
        <v>777</v>
      </c>
      <c r="E175" s="3" t="s">
        <v>778</v>
      </c>
      <c r="F175" s="3" t="s">
        <v>182</v>
      </c>
      <c r="G175" s="3">
        <v>5</v>
      </c>
      <c r="H175" s="3">
        <v>0</v>
      </c>
      <c r="I175" s="3">
        <v>5</v>
      </c>
      <c r="J175" s="3">
        <v>0</v>
      </c>
      <c r="K175" s="3">
        <v>0</v>
      </c>
      <c r="L175" s="3">
        <v>0</v>
      </c>
      <c r="M175" s="3">
        <v>0</v>
      </c>
      <c r="N175" s="3" t="s">
        <v>183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 t="s">
        <v>184</v>
      </c>
      <c r="X175" s="3">
        <v>17.99</v>
      </c>
      <c r="Y175" s="3">
        <v>17.99</v>
      </c>
      <c r="Z175" s="3">
        <v>17.99</v>
      </c>
      <c r="AA175" s="3">
        <v>0</v>
      </c>
      <c r="AB175" s="3" t="s">
        <v>191</v>
      </c>
      <c r="AC175" s="3">
        <v>0</v>
      </c>
      <c r="AD175" s="3">
        <v>14.39</v>
      </c>
      <c r="AE175" s="3">
        <v>63</v>
      </c>
      <c r="AF175" s="3">
        <v>0</v>
      </c>
      <c r="AG175" s="3">
        <v>27.702885</v>
      </c>
      <c r="AH175" s="3">
        <v>0</v>
      </c>
      <c r="AI175" s="3" t="s">
        <v>779</v>
      </c>
      <c r="AJ175" s="3" t="s">
        <v>187</v>
      </c>
    </row>
    <row r="176" spans="1:36">
      <c r="A176" s="6">
        <v>43288</v>
      </c>
      <c r="B176" s="3" t="s">
        <v>780</v>
      </c>
      <c r="C176" s="3" t="s">
        <v>781</v>
      </c>
      <c r="D176" s="3" t="s">
        <v>781</v>
      </c>
      <c r="E176" s="3" t="s">
        <v>782</v>
      </c>
      <c r="F176" s="3" t="s">
        <v>182</v>
      </c>
      <c r="G176" s="3">
        <v>3</v>
      </c>
      <c r="H176" s="3">
        <v>0</v>
      </c>
      <c r="I176" s="3">
        <v>0</v>
      </c>
      <c r="J176" s="3">
        <v>1</v>
      </c>
      <c r="K176" s="3">
        <v>2</v>
      </c>
      <c r="L176" s="3">
        <v>0</v>
      </c>
      <c r="M176" s="3">
        <v>0</v>
      </c>
      <c r="N176" s="3" t="s">
        <v>183</v>
      </c>
      <c r="O176" s="3">
        <v>3</v>
      </c>
      <c r="P176" s="3">
        <v>5.1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197</v>
      </c>
      <c r="X176" s="3">
        <v>16.28</v>
      </c>
      <c r="Y176" s="3">
        <v>16.28</v>
      </c>
      <c r="Z176" s="3">
        <v>16.28</v>
      </c>
      <c r="AA176" s="3">
        <v>0</v>
      </c>
      <c r="AB176" s="3" t="s">
        <v>198</v>
      </c>
      <c r="AC176" s="3">
        <v>0</v>
      </c>
      <c r="AD176" s="3">
        <v>14.74</v>
      </c>
      <c r="AE176" s="3">
        <v>91</v>
      </c>
      <c r="AF176" s="3">
        <v>0</v>
      </c>
      <c r="AG176" s="3">
        <v>79.58049</v>
      </c>
      <c r="AH176" s="3">
        <v>0</v>
      </c>
      <c r="AI176" s="3" t="s">
        <v>199</v>
      </c>
      <c r="AJ176" s="3" t="s">
        <v>193</v>
      </c>
    </row>
    <row r="177" spans="1:36">
      <c r="A177" s="6">
        <v>43288</v>
      </c>
      <c r="B177" s="3" t="s">
        <v>783</v>
      </c>
      <c r="C177" s="3" t="s">
        <v>784</v>
      </c>
      <c r="D177" s="3" t="s">
        <v>784</v>
      </c>
      <c r="E177" s="3" t="s">
        <v>785</v>
      </c>
      <c r="F177" s="3" t="s">
        <v>182</v>
      </c>
      <c r="G177" s="3">
        <v>4</v>
      </c>
      <c r="H177" s="3">
        <v>0</v>
      </c>
      <c r="I177" s="3">
        <v>0</v>
      </c>
      <c r="J177" s="3">
        <v>4</v>
      </c>
      <c r="K177" s="3">
        <v>0</v>
      </c>
      <c r="L177" s="3">
        <v>0</v>
      </c>
      <c r="M177" s="3">
        <v>0</v>
      </c>
      <c r="N177" s="3" t="s">
        <v>183</v>
      </c>
      <c r="O177" s="3">
        <v>4</v>
      </c>
      <c r="P177" s="3">
        <v>6.41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 t="s">
        <v>184</v>
      </c>
      <c r="X177" s="3">
        <v>21.98</v>
      </c>
      <c r="Y177" s="3">
        <v>21.98</v>
      </c>
      <c r="Z177" s="3">
        <v>21.5</v>
      </c>
      <c r="AA177" s="3">
        <v>0</v>
      </c>
      <c r="AB177" s="3" t="s">
        <v>191</v>
      </c>
      <c r="AC177" s="3">
        <v>0</v>
      </c>
      <c r="AD177" s="3">
        <v>17.58</v>
      </c>
      <c r="AE177" s="3">
        <v>63</v>
      </c>
      <c r="AF177" s="3">
        <v>0</v>
      </c>
      <c r="AG177" s="3">
        <v>80.419785</v>
      </c>
      <c r="AH177" s="3">
        <v>0</v>
      </c>
      <c r="AI177" s="3" t="s">
        <v>192</v>
      </c>
      <c r="AJ177" s="3" t="s">
        <v>193</v>
      </c>
    </row>
    <row r="178" spans="1:36">
      <c r="A178" s="6">
        <v>43288</v>
      </c>
      <c r="B178" s="3" t="s">
        <v>786</v>
      </c>
      <c r="C178" s="3" t="s">
        <v>787</v>
      </c>
      <c r="D178" s="3" t="s">
        <v>787</v>
      </c>
      <c r="E178" s="3" t="s">
        <v>788</v>
      </c>
      <c r="F178" s="3" t="s">
        <v>182</v>
      </c>
      <c r="G178" s="3">
        <v>51</v>
      </c>
      <c r="H178" s="3">
        <v>0</v>
      </c>
      <c r="I178" s="3">
        <v>31</v>
      </c>
      <c r="J178" s="3">
        <v>20</v>
      </c>
      <c r="K178" s="3">
        <v>0</v>
      </c>
      <c r="L178" s="3">
        <v>0</v>
      </c>
      <c r="M178" s="3">
        <v>0</v>
      </c>
      <c r="N178" s="3" t="s">
        <v>183</v>
      </c>
      <c r="O178" s="3">
        <v>0</v>
      </c>
      <c r="P178" s="3">
        <v>0</v>
      </c>
      <c r="Q178" s="3">
        <v>0</v>
      </c>
      <c r="R178" s="3">
        <v>0</v>
      </c>
      <c r="S178" s="3">
        <v>2</v>
      </c>
      <c r="T178" s="3">
        <v>7</v>
      </c>
      <c r="U178" s="3">
        <v>13</v>
      </c>
      <c r="V178" s="3">
        <v>32</v>
      </c>
      <c r="W178" s="3"/>
      <c r="X178" s="3">
        <v>14.99</v>
      </c>
      <c r="Y178" s="3">
        <v>14.99</v>
      </c>
      <c r="Z178" s="3">
        <v>14.99</v>
      </c>
      <c r="AA178" s="3">
        <v>0</v>
      </c>
      <c r="AB178" s="3" t="s">
        <v>185</v>
      </c>
      <c r="AC178" s="3">
        <v>52</v>
      </c>
      <c r="AD178" s="3">
        <v>14.99</v>
      </c>
      <c r="AE178" s="3">
        <v>0</v>
      </c>
      <c r="AF178" s="3">
        <v>0</v>
      </c>
      <c r="AG178" s="3">
        <v>0</v>
      </c>
      <c r="AH178" s="3">
        <v>0.659793814432989</v>
      </c>
      <c r="AI178" s="3" t="s">
        <v>602</v>
      </c>
      <c r="AJ178" s="3" t="s">
        <v>187</v>
      </c>
    </row>
    <row r="179" spans="1:36">
      <c r="A179" s="6">
        <v>43288</v>
      </c>
      <c r="B179" s="3" t="s">
        <v>789</v>
      </c>
      <c r="C179" s="3" t="s">
        <v>790</v>
      </c>
      <c r="D179" s="3" t="s">
        <v>790</v>
      </c>
      <c r="E179" s="3" t="s">
        <v>791</v>
      </c>
      <c r="F179" s="3" t="s">
        <v>182</v>
      </c>
      <c r="G179" s="3">
        <v>8</v>
      </c>
      <c r="H179" s="3">
        <v>0</v>
      </c>
      <c r="I179" s="3">
        <v>8</v>
      </c>
      <c r="J179" s="3">
        <v>0</v>
      </c>
      <c r="K179" s="3">
        <v>0</v>
      </c>
      <c r="L179" s="3">
        <v>0</v>
      </c>
      <c r="M179" s="3">
        <v>0</v>
      </c>
      <c r="N179" s="3" t="s">
        <v>183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1</v>
      </c>
      <c r="U179" s="3">
        <v>5</v>
      </c>
      <c r="V179" s="3">
        <v>6</v>
      </c>
      <c r="W179" s="3" t="s">
        <v>184</v>
      </c>
      <c r="X179" s="3">
        <v>10.99</v>
      </c>
      <c r="Y179" s="3">
        <v>10.99</v>
      </c>
      <c r="Z179" s="3">
        <v>10.99</v>
      </c>
      <c r="AA179" s="3">
        <v>0</v>
      </c>
      <c r="AB179" s="3" t="s">
        <v>528</v>
      </c>
      <c r="AC179" s="3">
        <v>8</v>
      </c>
      <c r="AD179" s="3">
        <v>9.99</v>
      </c>
      <c r="AE179" s="3">
        <v>0</v>
      </c>
      <c r="AF179" s="3">
        <v>0</v>
      </c>
      <c r="AG179" s="3">
        <v>0</v>
      </c>
      <c r="AH179" s="3">
        <v>1.2</v>
      </c>
      <c r="AI179" s="3" t="s">
        <v>215</v>
      </c>
      <c r="AJ179" s="3" t="s">
        <v>187</v>
      </c>
    </row>
    <row r="180" spans="1:36">
      <c r="A180" s="6">
        <v>43288</v>
      </c>
      <c r="B180" s="3" t="s">
        <v>792</v>
      </c>
      <c r="C180" s="3" t="s">
        <v>793</v>
      </c>
      <c r="D180" s="3" t="s">
        <v>793</v>
      </c>
      <c r="E180" s="3" t="s">
        <v>794</v>
      </c>
      <c r="F180" s="3" t="s">
        <v>182</v>
      </c>
      <c r="G180" s="3">
        <v>5</v>
      </c>
      <c r="H180" s="3">
        <v>0</v>
      </c>
      <c r="I180" s="3">
        <v>0</v>
      </c>
      <c r="J180" s="3">
        <v>0</v>
      </c>
      <c r="K180" s="3">
        <v>5</v>
      </c>
      <c r="L180" s="3">
        <v>0</v>
      </c>
      <c r="M180" s="3">
        <v>0</v>
      </c>
      <c r="N180" s="3" t="s">
        <v>183</v>
      </c>
      <c r="O180" s="3">
        <v>5</v>
      </c>
      <c r="P180" s="3">
        <v>8.49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197</v>
      </c>
      <c r="X180" s="3">
        <v>14.39</v>
      </c>
      <c r="Y180" s="3">
        <v>14.39</v>
      </c>
      <c r="Z180" s="3">
        <v>14.39</v>
      </c>
      <c r="AA180" s="3">
        <v>0</v>
      </c>
      <c r="AB180" s="3" t="s">
        <v>185</v>
      </c>
      <c r="AC180" s="3">
        <v>0</v>
      </c>
      <c r="AD180" s="3">
        <v>14.39</v>
      </c>
      <c r="AE180" s="3">
        <v>63</v>
      </c>
      <c r="AF180" s="3">
        <v>0</v>
      </c>
      <c r="AG180" s="3">
        <v>100.228075</v>
      </c>
      <c r="AH180" s="3">
        <v>0</v>
      </c>
      <c r="AI180" s="3" t="s">
        <v>199</v>
      </c>
      <c r="AJ180" s="3" t="s">
        <v>193</v>
      </c>
    </row>
    <row r="181" spans="1:36">
      <c r="A181" s="6">
        <v>43288</v>
      </c>
      <c r="B181" s="3" t="s">
        <v>795</v>
      </c>
      <c r="C181" s="3" t="s">
        <v>796</v>
      </c>
      <c r="D181" s="3" t="s">
        <v>797</v>
      </c>
      <c r="E181" s="3" t="s">
        <v>661</v>
      </c>
      <c r="F181" s="3" t="s">
        <v>182</v>
      </c>
      <c r="G181" s="3">
        <v>2</v>
      </c>
      <c r="H181" s="3">
        <v>0</v>
      </c>
      <c r="I181" s="3">
        <v>2</v>
      </c>
      <c r="J181" s="3">
        <v>0</v>
      </c>
      <c r="K181" s="3">
        <v>0</v>
      </c>
      <c r="L181" s="3">
        <v>0</v>
      </c>
      <c r="M181" s="3">
        <v>0</v>
      </c>
      <c r="N181" s="3" t="s">
        <v>183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184</v>
      </c>
      <c r="X181" s="3">
        <v>8.99</v>
      </c>
      <c r="Y181" s="3">
        <v>8.99</v>
      </c>
      <c r="Z181" s="3">
        <v>8.99</v>
      </c>
      <c r="AA181" s="3">
        <v>0</v>
      </c>
      <c r="AB181" s="3" t="s">
        <v>191</v>
      </c>
      <c r="AC181" s="3">
        <v>0</v>
      </c>
      <c r="AD181" s="3">
        <v>7.19</v>
      </c>
      <c r="AE181" s="3">
        <v>63</v>
      </c>
      <c r="AF181" s="3">
        <v>0</v>
      </c>
      <c r="AG181" s="3">
        <v>0.753069</v>
      </c>
      <c r="AH181" s="3">
        <v>0</v>
      </c>
      <c r="AI181" s="3" t="s">
        <v>396</v>
      </c>
      <c r="AJ181" s="3" t="s">
        <v>187</v>
      </c>
    </row>
    <row r="182" spans="1:36">
      <c r="A182" s="6">
        <v>43288</v>
      </c>
      <c r="B182" s="3" t="s">
        <v>798</v>
      </c>
      <c r="C182" s="3" t="s">
        <v>799</v>
      </c>
      <c r="D182" s="3" t="s">
        <v>799</v>
      </c>
      <c r="E182" s="3" t="s">
        <v>800</v>
      </c>
      <c r="F182" s="3" t="s">
        <v>182</v>
      </c>
      <c r="G182" s="3">
        <v>4</v>
      </c>
      <c r="H182" s="3">
        <v>0</v>
      </c>
      <c r="I182" s="3">
        <v>0</v>
      </c>
      <c r="J182" s="3">
        <v>4</v>
      </c>
      <c r="K182" s="3">
        <v>0</v>
      </c>
      <c r="L182" s="3">
        <v>0</v>
      </c>
      <c r="M182" s="3">
        <v>0</v>
      </c>
      <c r="N182" s="3" t="s">
        <v>183</v>
      </c>
      <c r="O182" s="3">
        <v>4</v>
      </c>
      <c r="P182" s="3">
        <v>6.41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 t="s">
        <v>184</v>
      </c>
      <c r="X182" s="3">
        <v>21.98</v>
      </c>
      <c r="Y182" s="3">
        <v>21.98</v>
      </c>
      <c r="Z182" s="3">
        <v>21.5</v>
      </c>
      <c r="AA182" s="3">
        <v>0</v>
      </c>
      <c r="AB182" s="3" t="s">
        <v>191</v>
      </c>
      <c r="AC182" s="3">
        <v>0</v>
      </c>
      <c r="AD182" s="3">
        <v>17.58</v>
      </c>
      <c r="AE182" s="3">
        <v>63</v>
      </c>
      <c r="AF182" s="3">
        <v>0</v>
      </c>
      <c r="AG182" s="3">
        <v>80.419785</v>
      </c>
      <c r="AH182" s="3">
        <v>0</v>
      </c>
      <c r="AI182" s="3" t="s">
        <v>192</v>
      </c>
      <c r="AJ182" s="3" t="s">
        <v>193</v>
      </c>
    </row>
    <row r="183" spans="1:36">
      <c r="A183" s="6">
        <v>43288</v>
      </c>
      <c r="B183" s="3" t="s">
        <v>801</v>
      </c>
      <c r="C183" s="3" t="s">
        <v>802</v>
      </c>
      <c r="D183" s="3" t="s">
        <v>802</v>
      </c>
      <c r="E183" s="3" t="s">
        <v>803</v>
      </c>
      <c r="F183" s="3" t="s">
        <v>182</v>
      </c>
      <c r="G183" s="3">
        <v>9</v>
      </c>
      <c r="H183" s="3">
        <v>0</v>
      </c>
      <c r="I183" s="3">
        <v>9</v>
      </c>
      <c r="J183" s="3">
        <v>0</v>
      </c>
      <c r="K183" s="3">
        <v>0</v>
      </c>
      <c r="L183" s="3">
        <v>0</v>
      </c>
      <c r="M183" s="3">
        <v>0</v>
      </c>
      <c r="N183" s="3" t="s">
        <v>183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1</v>
      </c>
      <c r="V183" s="3">
        <v>1</v>
      </c>
      <c r="W183" s="3" t="s">
        <v>184</v>
      </c>
      <c r="X183" s="3">
        <v>7.59</v>
      </c>
      <c r="Y183" s="3">
        <v>7.59</v>
      </c>
      <c r="Z183" s="3">
        <v>7.59</v>
      </c>
      <c r="AA183" s="3">
        <v>0</v>
      </c>
      <c r="AB183" s="3" t="s">
        <v>191</v>
      </c>
      <c r="AC183" s="3">
        <v>2</v>
      </c>
      <c r="AD183" s="3">
        <v>6.07</v>
      </c>
      <c r="AE183" s="3">
        <v>364</v>
      </c>
      <c r="AF183" s="3">
        <v>0</v>
      </c>
      <c r="AG183" s="3">
        <v>1.06688</v>
      </c>
      <c r="AH183" s="3">
        <v>0.142857142857142</v>
      </c>
      <c r="AI183" s="3" t="s">
        <v>215</v>
      </c>
      <c r="AJ183" s="3" t="s">
        <v>187</v>
      </c>
    </row>
    <row r="184" spans="1:36">
      <c r="A184" s="6">
        <v>43288</v>
      </c>
      <c r="B184" s="3" t="s">
        <v>804</v>
      </c>
      <c r="C184" s="3" t="s">
        <v>805</v>
      </c>
      <c r="D184" s="3" t="s">
        <v>805</v>
      </c>
      <c r="E184" s="3" t="s">
        <v>806</v>
      </c>
      <c r="F184" s="3" t="s">
        <v>182</v>
      </c>
      <c r="G184" s="3">
        <v>4</v>
      </c>
      <c r="H184" s="3">
        <v>0</v>
      </c>
      <c r="I184" s="3">
        <v>0</v>
      </c>
      <c r="J184" s="3">
        <v>4</v>
      </c>
      <c r="K184" s="3">
        <v>0</v>
      </c>
      <c r="L184" s="3">
        <v>0</v>
      </c>
      <c r="M184" s="3">
        <v>0</v>
      </c>
      <c r="N184" s="3" t="s">
        <v>183</v>
      </c>
      <c r="O184" s="3">
        <v>4</v>
      </c>
      <c r="P184" s="3">
        <v>6.43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184</v>
      </c>
      <c r="X184" s="3">
        <v>21.98</v>
      </c>
      <c r="Y184" s="3">
        <v>21.98</v>
      </c>
      <c r="Z184" s="3">
        <v>21.5</v>
      </c>
      <c r="AA184" s="3">
        <v>0</v>
      </c>
      <c r="AB184" s="3" t="s">
        <v>191</v>
      </c>
      <c r="AC184" s="3">
        <v>0</v>
      </c>
      <c r="AD184" s="3">
        <v>17.58</v>
      </c>
      <c r="AE184" s="3">
        <v>63</v>
      </c>
      <c r="AF184" s="3">
        <v>0</v>
      </c>
      <c r="AG184" s="3">
        <v>80.791351</v>
      </c>
      <c r="AH184" s="3">
        <v>0</v>
      </c>
      <c r="AI184" s="3" t="s">
        <v>807</v>
      </c>
      <c r="AJ184" s="3" t="s">
        <v>193</v>
      </c>
    </row>
    <row r="185" spans="1:36">
      <c r="A185" s="6">
        <v>43288</v>
      </c>
      <c r="B185" s="3" t="s">
        <v>808</v>
      </c>
      <c r="C185" s="3" t="s">
        <v>809</v>
      </c>
      <c r="D185" s="3" t="s">
        <v>810</v>
      </c>
      <c r="E185" s="3" t="s">
        <v>365</v>
      </c>
      <c r="F185" s="3" t="s">
        <v>182</v>
      </c>
      <c r="G185" s="3">
        <v>3</v>
      </c>
      <c r="H185" s="3">
        <v>0</v>
      </c>
      <c r="I185" s="3">
        <v>3</v>
      </c>
      <c r="J185" s="3">
        <v>0</v>
      </c>
      <c r="K185" s="3">
        <v>0</v>
      </c>
      <c r="L185" s="3">
        <v>0</v>
      </c>
      <c r="M185" s="3">
        <v>0</v>
      </c>
      <c r="N185" s="3" t="s">
        <v>183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197</v>
      </c>
      <c r="X185" s="3">
        <v>12.99</v>
      </c>
      <c r="Y185" s="3">
        <v>12.99</v>
      </c>
      <c r="Z185" s="3">
        <v>12.99</v>
      </c>
      <c r="AA185" s="3">
        <v>0</v>
      </c>
      <c r="AB185" s="3" t="s">
        <v>198</v>
      </c>
      <c r="AC185" s="3">
        <v>3</v>
      </c>
      <c r="AD185" s="3">
        <v>11.99</v>
      </c>
      <c r="AE185" s="3">
        <v>0</v>
      </c>
      <c r="AF185" s="3">
        <v>0</v>
      </c>
      <c r="AG185" s="3">
        <v>0</v>
      </c>
      <c r="AH185" s="3">
        <v>0</v>
      </c>
      <c r="AI185" s="3" t="s">
        <v>811</v>
      </c>
      <c r="AJ185" s="3" t="s">
        <v>187</v>
      </c>
    </row>
    <row r="186" spans="1:36">
      <c r="A186" s="6">
        <v>43288</v>
      </c>
      <c r="B186" s="3" t="s">
        <v>812</v>
      </c>
      <c r="C186" s="3" t="s">
        <v>813</v>
      </c>
      <c r="D186" s="3" t="s">
        <v>813</v>
      </c>
      <c r="E186" s="3" t="s">
        <v>814</v>
      </c>
      <c r="F186" s="3" t="s">
        <v>182</v>
      </c>
      <c r="G186" s="3">
        <v>15</v>
      </c>
      <c r="H186" s="3">
        <v>0</v>
      </c>
      <c r="I186" s="3">
        <v>0</v>
      </c>
      <c r="J186" s="3">
        <v>0</v>
      </c>
      <c r="K186" s="3">
        <v>15</v>
      </c>
      <c r="L186" s="3">
        <v>0</v>
      </c>
      <c r="M186" s="3">
        <v>0</v>
      </c>
      <c r="N186" s="3" t="s">
        <v>183</v>
      </c>
      <c r="O186" s="3">
        <v>15</v>
      </c>
      <c r="P186" s="3">
        <v>99.3</v>
      </c>
      <c r="Q186" s="3">
        <v>0</v>
      </c>
      <c r="R186" s="3">
        <v>0</v>
      </c>
      <c r="S186" s="3">
        <v>0</v>
      </c>
      <c r="T186" s="3">
        <v>1</v>
      </c>
      <c r="U186" s="3">
        <v>2</v>
      </c>
      <c r="V186" s="3">
        <v>2</v>
      </c>
      <c r="W186" s="3" t="s">
        <v>184</v>
      </c>
      <c r="X186" s="3">
        <v>15.99</v>
      </c>
      <c r="Y186" s="3">
        <v>15.99</v>
      </c>
      <c r="Z186" s="3">
        <v>15.99</v>
      </c>
      <c r="AA186" s="3">
        <v>0</v>
      </c>
      <c r="AB186" s="3" t="s">
        <v>191</v>
      </c>
      <c r="AC186" s="3">
        <v>0</v>
      </c>
      <c r="AD186" s="3">
        <v>12.79</v>
      </c>
      <c r="AE186" s="3">
        <v>63</v>
      </c>
      <c r="AF186" s="3">
        <v>0</v>
      </c>
      <c r="AG186" s="3">
        <v>955.623249</v>
      </c>
      <c r="AH186" s="3">
        <v>0.123076923076923</v>
      </c>
      <c r="AI186" s="3" t="s">
        <v>815</v>
      </c>
      <c r="AJ186" s="3" t="s">
        <v>247</v>
      </c>
    </row>
    <row r="187" spans="1:36">
      <c r="A187" s="6">
        <v>43288</v>
      </c>
      <c r="B187" s="3" t="s">
        <v>816</v>
      </c>
      <c r="C187" s="3" t="s">
        <v>817</v>
      </c>
      <c r="D187" s="3" t="s">
        <v>817</v>
      </c>
      <c r="E187" s="3" t="s">
        <v>818</v>
      </c>
      <c r="F187" s="3" t="s">
        <v>182</v>
      </c>
      <c r="G187" s="3">
        <v>5</v>
      </c>
      <c r="H187" s="3">
        <v>0</v>
      </c>
      <c r="I187" s="3">
        <v>0</v>
      </c>
      <c r="J187" s="3">
        <v>1</v>
      </c>
      <c r="K187" s="3">
        <v>4</v>
      </c>
      <c r="L187" s="3">
        <v>0</v>
      </c>
      <c r="M187" s="3">
        <v>0</v>
      </c>
      <c r="N187" s="3" t="s">
        <v>183</v>
      </c>
      <c r="O187" s="3">
        <v>4</v>
      </c>
      <c r="P187" s="3">
        <v>6.79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 t="s">
        <v>197</v>
      </c>
      <c r="X187" s="3">
        <v>17.99</v>
      </c>
      <c r="Y187" s="3">
        <v>17.99</v>
      </c>
      <c r="Z187" s="3">
        <v>17.99</v>
      </c>
      <c r="AA187" s="3">
        <v>0</v>
      </c>
      <c r="AB187" s="3" t="s">
        <v>185</v>
      </c>
      <c r="AC187" s="3">
        <v>5</v>
      </c>
      <c r="AD187" s="3">
        <v>17.99</v>
      </c>
      <c r="AE187" s="3">
        <v>0</v>
      </c>
      <c r="AF187" s="3">
        <v>0</v>
      </c>
      <c r="AG187" s="3">
        <v>0</v>
      </c>
      <c r="AH187" s="3">
        <v>0</v>
      </c>
      <c r="AI187" s="3" t="s">
        <v>199</v>
      </c>
      <c r="AJ187" s="3" t="s">
        <v>193</v>
      </c>
    </row>
    <row r="188" spans="1:36">
      <c r="A188" s="6">
        <v>43288</v>
      </c>
      <c r="B188" s="3" t="s">
        <v>819</v>
      </c>
      <c r="C188" s="3" t="s">
        <v>820</v>
      </c>
      <c r="D188" s="3" t="s">
        <v>821</v>
      </c>
      <c r="E188" s="3" t="s">
        <v>822</v>
      </c>
      <c r="F188" s="3" t="s">
        <v>182</v>
      </c>
      <c r="G188" s="3">
        <v>5</v>
      </c>
      <c r="H188" s="3">
        <v>0</v>
      </c>
      <c r="I188" s="3">
        <v>0</v>
      </c>
      <c r="J188" s="3">
        <v>5</v>
      </c>
      <c r="K188" s="3">
        <v>0</v>
      </c>
      <c r="L188" s="3">
        <v>0</v>
      </c>
      <c r="M188" s="3">
        <v>0</v>
      </c>
      <c r="N188" s="3" t="s">
        <v>183</v>
      </c>
      <c r="O188" s="3">
        <v>5</v>
      </c>
      <c r="P188" s="3">
        <v>39.9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184</v>
      </c>
      <c r="X188" s="3">
        <v>15.99</v>
      </c>
      <c r="Y188" s="3">
        <v>15.99</v>
      </c>
      <c r="Z188" s="3">
        <v>15.99</v>
      </c>
      <c r="AA188" s="3">
        <v>0</v>
      </c>
      <c r="AB188" s="3" t="s">
        <v>191</v>
      </c>
      <c r="AC188" s="3">
        <v>0</v>
      </c>
      <c r="AD188" s="3">
        <v>15.99</v>
      </c>
      <c r="AE188" s="3">
        <v>63</v>
      </c>
      <c r="AF188" s="3">
        <v>0</v>
      </c>
      <c r="AG188" s="3">
        <v>417.803596</v>
      </c>
      <c r="AH188" s="3">
        <v>0</v>
      </c>
      <c r="AI188" s="3" t="s">
        <v>714</v>
      </c>
      <c r="AJ188" s="3" t="s">
        <v>247</v>
      </c>
    </row>
    <row r="189" spans="1:36">
      <c r="A189" s="6">
        <v>43288</v>
      </c>
      <c r="B189" s="3" t="s">
        <v>12</v>
      </c>
      <c r="C189" s="3" t="s">
        <v>13</v>
      </c>
      <c r="D189" s="3" t="s">
        <v>13</v>
      </c>
      <c r="E189" s="3" t="s">
        <v>14</v>
      </c>
      <c r="F189" s="3" t="s">
        <v>182</v>
      </c>
      <c r="G189" s="3">
        <v>1</v>
      </c>
      <c r="H189" s="3">
        <v>0</v>
      </c>
      <c r="I189" s="3">
        <v>0</v>
      </c>
      <c r="J189" s="3">
        <v>0</v>
      </c>
      <c r="K189" s="3">
        <v>1</v>
      </c>
      <c r="L189" s="3">
        <v>0</v>
      </c>
      <c r="M189" s="3">
        <v>0</v>
      </c>
      <c r="N189" s="3" t="s">
        <v>183</v>
      </c>
      <c r="O189" s="3">
        <v>1</v>
      </c>
      <c r="P189" s="3">
        <v>1.73</v>
      </c>
      <c r="Q189" s="3">
        <v>0</v>
      </c>
      <c r="R189" s="3">
        <v>0</v>
      </c>
      <c r="S189" s="3">
        <v>0</v>
      </c>
      <c r="T189" s="3">
        <v>1</v>
      </c>
      <c r="U189" s="3">
        <v>1</v>
      </c>
      <c r="V189" s="3">
        <v>1</v>
      </c>
      <c r="W189" s="3" t="s">
        <v>184</v>
      </c>
      <c r="X189" s="3">
        <v>13.59</v>
      </c>
      <c r="Y189" s="3">
        <v>13.59</v>
      </c>
      <c r="Z189" s="3">
        <v>13.59</v>
      </c>
      <c r="AA189" s="3">
        <v>0</v>
      </c>
      <c r="AB189" s="3" t="s">
        <v>185</v>
      </c>
      <c r="AC189" s="3">
        <v>1</v>
      </c>
      <c r="AD189" s="3">
        <v>13.59</v>
      </c>
      <c r="AE189" s="3">
        <v>0</v>
      </c>
      <c r="AF189" s="3">
        <v>0</v>
      </c>
      <c r="AG189" s="3">
        <v>0</v>
      </c>
      <c r="AH189" s="3">
        <v>0.571428571428571</v>
      </c>
      <c r="AI189" s="3" t="s">
        <v>823</v>
      </c>
      <c r="AJ189" s="3" t="s">
        <v>187</v>
      </c>
    </row>
    <row r="190" spans="1:36">
      <c r="A190" s="6">
        <v>43288</v>
      </c>
      <c r="B190" s="3" t="s">
        <v>824</v>
      </c>
      <c r="C190" s="3" t="s">
        <v>825</v>
      </c>
      <c r="D190" s="3" t="s">
        <v>825</v>
      </c>
      <c r="E190" s="3" t="s">
        <v>826</v>
      </c>
      <c r="F190" s="3" t="s">
        <v>182</v>
      </c>
      <c r="G190" s="3">
        <v>3</v>
      </c>
      <c r="H190" s="3">
        <v>0</v>
      </c>
      <c r="I190" s="3">
        <v>0</v>
      </c>
      <c r="J190" s="3">
        <v>0</v>
      </c>
      <c r="K190" s="3">
        <v>3</v>
      </c>
      <c r="L190" s="3">
        <v>0</v>
      </c>
      <c r="M190" s="3">
        <v>0</v>
      </c>
      <c r="N190" s="3" t="s">
        <v>183</v>
      </c>
      <c r="O190" s="3">
        <v>3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 t="s">
        <v>184</v>
      </c>
      <c r="X190" s="3">
        <v>8</v>
      </c>
      <c r="Y190" s="3">
        <v>8</v>
      </c>
      <c r="Z190" s="3">
        <v>8</v>
      </c>
      <c r="AA190" s="3">
        <v>0</v>
      </c>
      <c r="AB190" s="3" t="s">
        <v>198</v>
      </c>
      <c r="AC190" s="3">
        <v>0</v>
      </c>
      <c r="AD190" s="3">
        <v>7.2</v>
      </c>
      <c r="AE190" s="3">
        <v>63</v>
      </c>
      <c r="AF190" s="3">
        <v>0</v>
      </c>
      <c r="AG190" s="3">
        <v>0.500321</v>
      </c>
      <c r="AH190" s="3">
        <v>0</v>
      </c>
      <c r="AI190" s="3" t="s">
        <v>215</v>
      </c>
      <c r="AJ190" s="3" t="s">
        <v>187</v>
      </c>
    </row>
    <row r="191" spans="1:36">
      <c r="A191" s="6">
        <v>43288</v>
      </c>
      <c r="B191" s="3" t="s">
        <v>827</v>
      </c>
      <c r="C191" s="3" t="s">
        <v>828</v>
      </c>
      <c r="D191" s="3" t="s">
        <v>829</v>
      </c>
      <c r="E191" s="3" t="s">
        <v>830</v>
      </c>
      <c r="F191" s="3" t="s">
        <v>182</v>
      </c>
      <c r="G191" s="3">
        <v>14</v>
      </c>
      <c r="H191" s="3">
        <v>0</v>
      </c>
      <c r="I191" s="3">
        <v>14</v>
      </c>
      <c r="J191" s="3">
        <v>0</v>
      </c>
      <c r="K191" s="3">
        <v>0</v>
      </c>
      <c r="L191" s="3">
        <v>0</v>
      </c>
      <c r="M191" s="3">
        <v>0</v>
      </c>
      <c r="N191" s="3" t="s">
        <v>183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4</v>
      </c>
      <c r="U191" s="3">
        <v>7</v>
      </c>
      <c r="V191" s="3">
        <v>10</v>
      </c>
      <c r="W191" s="3" t="s">
        <v>197</v>
      </c>
      <c r="X191" s="3">
        <v>9.99</v>
      </c>
      <c r="Y191" s="3">
        <v>9.99</v>
      </c>
      <c r="Z191" s="3">
        <v>9.99</v>
      </c>
      <c r="AA191" s="3">
        <v>0</v>
      </c>
      <c r="AB191" s="3" t="s">
        <v>185</v>
      </c>
      <c r="AC191" s="3">
        <v>14</v>
      </c>
      <c r="AD191" s="3">
        <v>9.99</v>
      </c>
      <c r="AE191" s="3">
        <v>0</v>
      </c>
      <c r="AF191" s="3">
        <v>0</v>
      </c>
      <c r="AG191" s="3">
        <v>0</v>
      </c>
      <c r="AH191" s="3">
        <v>1.30434782608695</v>
      </c>
      <c r="AI191" s="3" t="s">
        <v>831</v>
      </c>
      <c r="AJ191" s="3" t="s">
        <v>187</v>
      </c>
    </row>
    <row r="192" spans="1:36">
      <c r="A192" s="4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</row>
    <row r="193" spans="1:36">
      <c r="A193" s="4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</row>
    <row r="194" spans="1:36">
      <c r="A194" s="4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</row>
    <row r="195" spans="1:36">
      <c r="A195" s="4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</row>
    <row r="196" spans="1:36">
      <c r="A196" s="4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</row>
    <row r="197" spans="1:33">
      <c r="A197" s="4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</row>
    <row r="198" spans="1:33">
      <c r="A198" s="4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</row>
    <row r="199" spans="1:33">
      <c r="A199" s="4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</row>
    <row r="200" spans="1:33">
      <c r="A200" s="4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</row>
    <row r="201" spans="1:33">
      <c r="A201" s="4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</row>
    <row r="202" spans="1:33">
      <c r="A202" s="4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</row>
    <row r="203" spans="1:33">
      <c r="A203" s="4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</row>
    <row r="204" spans="1:33">
      <c r="A204" s="4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</row>
    <row r="205" spans="1:33">
      <c r="A205" s="4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</row>
    <row r="206" spans="1:33">
      <c r="A206" s="4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</row>
    <row r="207" spans="1:33">
      <c r="A207" s="4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</row>
    <row r="208" spans="1:33">
      <c r="A208" s="4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</row>
    <row r="209" spans="1:33">
      <c r="A209" s="4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</row>
    <row r="210" spans="1:33">
      <c r="A210" s="4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</row>
    <row r="211" spans="1:33">
      <c r="A211" s="4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</row>
    <row r="212" spans="1:33">
      <c r="A212" s="4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</row>
    <row r="213" spans="1:33">
      <c r="A213" s="4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</row>
    <row r="214" spans="1:33">
      <c r="A214" s="4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</row>
    <row r="215" spans="1:33">
      <c r="A215" s="4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</row>
    <row r="216" spans="1:33">
      <c r="A216" s="4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</row>
    <row r="217" spans="1:33">
      <c r="A217" s="4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</row>
    <row r="218" spans="1:33">
      <c r="A218" s="4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</row>
    <row r="219" spans="1:33">
      <c r="A219" s="4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</row>
    <row r="220" spans="1:33">
      <c r="A220" s="4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</row>
    <row r="221" spans="1:33">
      <c r="A221" s="4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</row>
    <row r="222" spans="1:33">
      <c r="A222" s="4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</row>
    <row r="223" spans="1:33">
      <c r="A223" s="4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</row>
    <row r="224" spans="1:33">
      <c r="A224" s="4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</row>
    <row r="225" spans="1:33">
      <c r="A225" s="4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</row>
    <row r="226" spans="1:33">
      <c r="A226" s="4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</row>
    <row r="227" spans="1:33">
      <c r="A227" s="4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</row>
    <row r="228" spans="1:33">
      <c r="A228" s="4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</row>
    <row r="229" spans="1:33">
      <c r="A229" s="4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</row>
    <row r="230" spans="1:33">
      <c r="A230" s="4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</row>
    <row r="231" spans="1:33">
      <c r="A231" s="4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</row>
    <row r="232" spans="1:33">
      <c r="A232" s="4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</row>
    <row r="233" spans="1:33">
      <c r="A233" s="4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</row>
    <row r="234" spans="1:33">
      <c r="A234" s="4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</row>
    <row r="235" spans="1:33">
      <c r="A235" s="4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</row>
    <row r="236" spans="1:33">
      <c r="A236" s="4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</row>
    <row r="237" spans="1:33">
      <c r="A237" s="4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</row>
    <row r="238" spans="1:33">
      <c r="A238" s="4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</row>
    <row r="239" spans="1:33">
      <c r="A239" s="4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</row>
    <row r="240" spans="1:33">
      <c r="A240" s="4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</row>
    <row r="241" spans="1:33">
      <c r="A241" s="4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</row>
    <row r="242" spans="1:33">
      <c r="A242" s="4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</row>
    <row r="243" spans="1:33">
      <c r="A243" s="4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</row>
    <row r="244" spans="1:33">
      <c r="A244" s="4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</row>
    <row r="245" spans="1:33">
      <c r="A245" s="4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</row>
    <row r="246" spans="1:33">
      <c r="A246" s="4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</row>
    <row r="247" spans="1:33">
      <c r="A247" s="4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</row>
    <row r="248" spans="1:33">
      <c r="A248" s="4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</row>
    <row r="249" spans="1:33">
      <c r="A249" s="4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</row>
    <row r="250" spans="1:33">
      <c r="A250" s="4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</row>
    <row r="251" spans="1:33">
      <c r="A251" s="4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</row>
    <row r="252" spans="1:33">
      <c r="A252" s="4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</row>
    <row r="253" spans="1:33">
      <c r="A253" s="4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</row>
    <row r="254" spans="1:33">
      <c r="A254" s="4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</row>
    <row r="255" spans="1:33">
      <c r="A255" s="4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</row>
    <row r="256" spans="1:33">
      <c r="A256" s="4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</row>
    <row r="257" spans="1:33">
      <c r="A257" s="4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</row>
    <row r="258" spans="1:33">
      <c r="A258" s="4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</row>
    <row r="259" spans="1:33">
      <c r="A259" s="4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</row>
    <row r="260" spans="1:33">
      <c r="A260" s="4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</row>
    <row r="261" spans="1:33">
      <c r="A261" s="4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</row>
    <row r="262" spans="1:33">
      <c r="A262" s="4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</row>
    <row r="263" spans="1:33">
      <c r="A263" s="4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</row>
    <row r="264" spans="1:33">
      <c r="A264" s="4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</row>
    <row r="265" spans="1:33">
      <c r="A265" s="4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</row>
    <row r="266" spans="1:33">
      <c r="A266" s="4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</row>
    <row r="267" spans="1:33">
      <c r="A267" s="4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</row>
    <row r="268" spans="1:33">
      <c r="A268" s="4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</row>
    <row r="269" spans="1:33">
      <c r="A269" s="4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</row>
    <row r="270" spans="1:33">
      <c r="A270" s="4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</row>
    <row r="271" spans="1:33">
      <c r="A271" s="4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</row>
    <row r="272" spans="1:33">
      <c r="A272" s="4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</row>
    <row r="273" spans="1:33">
      <c r="A273" s="4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</row>
    <row r="274" spans="1:33">
      <c r="A274" s="4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</row>
    <row r="275" spans="1:33">
      <c r="A275" s="4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</row>
    <row r="276" spans="1:33">
      <c r="A276" s="4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</row>
    <row r="277" spans="1:33">
      <c r="A277" s="4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</row>
    <row r="278" spans="1:33">
      <c r="A278" s="4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</row>
    <row r="279" spans="1:33">
      <c r="A279" s="4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</row>
    <row r="280" spans="1:33">
      <c r="A280" s="4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</row>
    <row r="281" spans="1:33">
      <c r="A281" s="4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</row>
    <row r="282" spans="1:33">
      <c r="A282" s="4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</row>
    <row r="283" spans="1:33">
      <c r="A283" s="4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</row>
    <row r="284" spans="1:33">
      <c r="A284" s="4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</row>
    <row r="285" spans="1:33">
      <c r="A285" s="4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</row>
    <row r="286" spans="1:33">
      <c r="A286" s="4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</row>
    <row r="287" spans="1:33">
      <c r="A287" s="4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</row>
    <row r="288" spans="1:33">
      <c r="A288" s="4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</row>
    <row r="289" spans="1:33">
      <c r="A289" s="4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</row>
    <row r="290" spans="1:33">
      <c r="A290" s="4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</row>
    <row r="291" spans="1:33">
      <c r="A291" s="4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</row>
    <row r="292" spans="1:33">
      <c r="A292" s="4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</row>
    <row r="293" spans="1:33">
      <c r="A293" s="4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</row>
    <row r="294" spans="1:33">
      <c r="A294" s="4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</row>
    <row r="295" spans="1:33">
      <c r="A295" s="4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</row>
    <row r="296" spans="1:33">
      <c r="A296" s="4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</row>
    <row r="297" spans="1:33">
      <c r="A297" s="4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</row>
    <row r="298" spans="1:33">
      <c r="A298" s="4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</row>
    <row r="299" spans="1:33">
      <c r="A299" s="4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</row>
    <row r="300" spans="1:33">
      <c r="A300" s="4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</row>
    <row r="301" spans="1:33">
      <c r="A301" s="4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</row>
    <row r="302" spans="1:33">
      <c r="A302" s="4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</row>
    <row r="303" spans="1:33">
      <c r="A303" s="4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</row>
    <row r="304" spans="1:33">
      <c r="A304" s="4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</row>
    <row r="305" spans="1:33">
      <c r="A305" s="4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</row>
    <row r="306" spans="1:33">
      <c r="A306" s="4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</row>
    <row r="307" spans="1:33">
      <c r="A307" s="4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</row>
    <row r="308" spans="1:33">
      <c r="A308" s="4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</row>
    <row r="309" spans="1:33">
      <c r="A309" s="4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</row>
    <row r="310" spans="1:33">
      <c r="A310" s="4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</row>
    <row r="311" spans="1:33">
      <c r="A311" s="4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</row>
    <row r="312" spans="1:33">
      <c r="A312" s="4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</row>
    <row r="313" spans="1:33">
      <c r="A313" s="4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</row>
    <row r="314" spans="1:33">
      <c r="A314" s="4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</row>
    <row r="315" spans="1:33">
      <c r="A315" s="4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</row>
    <row r="316" spans="1:33">
      <c r="A316" s="4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</row>
    <row r="317" spans="1:33">
      <c r="A317" s="4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</row>
    <row r="318" spans="1:33">
      <c r="A318" s="4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</row>
    <row r="319" spans="1:33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</row>
    <row r="320" spans="1:33">
      <c r="A320" s="4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</row>
    <row r="321" spans="1:33">
      <c r="A321" s="4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</row>
    <row r="322" spans="1:33">
      <c r="A322" s="4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</row>
    <row r="323" spans="1:33">
      <c r="A323" s="4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</row>
    <row r="324" spans="1:33">
      <c r="A324" s="4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</row>
    <row r="325" spans="1:33">
      <c r="A325" s="4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</row>
    <row r="326" spans="1:33">
      <c r="A326" s="4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</row>
    <row r="327" spans="1:33">
      <c r="A327" s="4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</row>
    <row r="328" spans="1:33">
      <c r="A328" s="4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</row>
    <row r="329" spans="1:33">
      <c r="A329" s="4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</row>
    <row r="330" spans="1:33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</row>
    <row r="331" spans="1:33">
      <c r="A331" s="4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</row>
    <row r="332" spans="1:33">
      <c r="A332" s="4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</row>
    <row r="333" spans="1:33">
      <c r="A333" s="4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</row>
    <row r="334" spans="1:33">
      <c r="A334" s="4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</row>
    <row r="335" spans="1:33">
      <c r="A335" s="4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</row>
    <row r="336" spans="1:33">
      <c r="A336" s="4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</row>
    <row r="337" spans="1:33">
      <c r="A337" s="4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</row>
    <row r="338" spans="1:33">
      <c r="A338" s="4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</row>
    <row r="339" spans="1:33">
      <c r="A339" s="4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</row>
    <row r="340" spans="1:33">
      <c r="A340" s="4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</row>
    <row r="341" spans="1:33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</row>
    <row r="342" spans="1:33">
      <c r="A342" s="4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</row>
    <row r="343" spans="1:33">
      <c r="A343" s="4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</row>
    <row r="344" spans="1:33">
      <c r="A344" s="4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</row>
    <row r="345" spans="1:33">
      <c r="A345" s="4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</row>
    <row r="346" spans="1:33">
      <c r="A346" s="4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</row>
    <row r="347" spans="1:33">
      <c r="A347" s="4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</row>
    <row r="348" spans="1:33">
      <c r="A348" s="4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</row>
    <row r="349" spans="1:33">
      <c r="A349" s="4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</row>
    <row r="350" spans="1:33">
      <c r="A350" s="4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</row>
    <row r="351" spans="1:33">
      <c r="A351" s="4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</row>
    <row r="352" spans="1:33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</row>
    <row r="353" spans="1:33">
      <c r="A353" s="4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</row>
    <row r="354" spans="1:33">
      <c r="A354" s="4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</row>
    <row r="355" spans="1:33">
      <c r="A355" s="4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</row>
    <row r="356" spans="1:33">
      <c r="A356" s="4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</row>
    <row r="357" spans="1:33">
      <c r="A357" s="4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</row>
    <row r="358" spans="1:33">
      <c r="A358" s="4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</row>
    <row r="359" spans="1:33">
      <c r="A359" s="4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</row>
    <row r="360" spans="1:33">
      <c r="A360" s="4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</row>
    <row r="361" spans="1:33">
      <c r="A361" s="4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</row>
    <row r="362" spans="1:33">
      <c r="A362" s="4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</row>
    <row r="363" spans="1:33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</row>
    <row r="364" spans="1:33">
      <c r="A364" s="4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</row>
    <row r="365" spans="1:33">
      <c r="A365" s="4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</row>
    <row r="366" spans="1:33">
      <c r="A366" s="4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</row>
    <row r="367" spans="1:33">
      <c r="A367" s="4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</row>
    <row r="368" spans="1:33">
      <c r="A368" s="4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</row>
    <row r="369" spans="1:33">
      <c r="A369" s="4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</row>
    <row r="370" spans="1:33">
      <c r="A370" s="4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</row>
    <row r="371" spans="1:33">
      <c r="A371" s="4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</row>
    <row r="372" spans="1:33">
      <c r="A372" s="4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</row>
    <row r="373" spans="1:33">
      <c r="A373" s="4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A1" sqref="A1:R272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148</v>
      </c>
      <c r="F1" s="3" t="s">
        <v>166</v>
      </c>
      <c r="G1" s="3" t="s">
        <v>832</v>
      </c>
      <c r="H1" s="3" t="s">
        <v>833</v>
      </c>
      <c r="I1" s="3" t="s">
        <v>834</v>
      </c>
      <c r="J1" s="3" t="s">
        <v>835</v>
      </c>
      <c r="K1" s="3" t="s">
        <v>836</v>
      </c>
      <c r="L1" s="3" t="s">
        <v>837</v>
      </c>
      <c r="M1" s="3" t="s">
        <v>838</v>
      </c>
      <c r="N1" s="3" t="s">
        <v>839</v>
      </c>
      <c r="O1" s="3" t="s">
        <v>840</v>
      </c>
      <c r="P1" s="3" t="s">
        <v>841</v>
      </c>
      <c r="Q1" s="3" t="s">
        <v>842</v>
      </c>
      <c r="R1" s="3" t="s">
        <v>843</v>
      </c>
    </row>
    <row r="2" spans="1:18">
      <c r="A2" s="3" t="s">
        <v>303</v>
      </c>
      <c r="B2" s="3" t="s">
        <v>304</v>
      </c>
      <c r="C2" s="3" t="s">
        <v>304</v>
      </c>
      <c r="D2" s="3" t="s">
        <v>305</v>
      </c>
      <c r="E2" s="3" t="s">
        <v>182</v>
      </c>
      <c r="F2" s="3">
        <v>16.99</v>
      </c>
      <c r="G2" s="3" t="s">
        <v>844</v>
      </c>
      <c r="H2" s="3"/>
      <c r="I2" s="3" t="s">
        <v>845</v>
      </c>
      <c r="J2" s="3">
        <v>50</v>
      </c>
      <c r="K2" s="3">
        <v>50</v>
      </c>
      <c r="L2" s="3">
        <v>0</v>
      </c>
      <c r="M2" s="3">
        <v>0</v>
      </c>
      <c r="N2" s="3">
        <v>50</v>
      </c>
      <c r="O2" s="3">
        <v>0.21</v>
      </c>
      <c r="P2" s="3">
        <v>0</v>
      </c>
      <c r="Q2" s="3">
        <v>0</v>
      </c>
      <c r="R2" s="3">
        <v>0</v>
      </c>
    </row>
    <row r="3" spans="1:18">
      <c r="A3" s="3" t="s">
        <v>846</v>
      </c>
      <c r="B3" s="3" t="s">
        <v>847</v>
      </c>
      <c r="C3" s="3" t="s">
        <v>847</v>
      </c>
      <c r="D3" s="3" t="s">
        <v>848</v>
      </c>
      <c r="E3" s="3" t="s">
        <v>182</v>
      </c>
      <c r="F3" s="3">
        <v>11.99</v>
      </c>
      <c r="G3" s="3" t="s">
        <v>844</v>
      </c>
      <c r="H3" s="3"/>
      <c r="I3" s="3" t="s">
        <v>845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0.06</v>
      </c>
      <c r="P3" s="3">
        <v>0</v>
      </c>
      <c r="Q3" s="3">
        <v>0</v>
      </c>
      <c r="R3" s="3">
        <v>0</v>
      </c>
    </row>
    <row r="4" spans="1:18">
      <c r="A4" s="3" t="s">
        <v>849</v>
      </c>
      <c r="B4" s="3" t="s">
        <v>850</v>
      </c>
      <c r="C4" s="3" t="s">
        <v>850</v>
      </c>
      <c r="D4" s="3" t="s">
        <v>851</v>
      </c>
      <c r="E4" s="3" t="s">
        <v>182</v>
      </c>
      <c r="F4" s="3">
        <v>23.99</v>
      </c>
      <c r="G4" s="3" t="s">
        <v>844</v>
      </c>
      <c r="H4" s="3"/>
      <c r="I4" s="3" t="s">
        <v>845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0.21</v>
      </c>
      <c r="P4" s="3">
        <v>0</v>
      </c>
      <c r="Q4" s="3">
        <v>0</v>
      </c>
      <c r="R4" s="3">
        <v>0</v>
      </c>
    </row>
    <row r="5" spans="1:18">
      <c r="A5" s="3" t="s">
        <v>852</v>
      </c>
      <c r="B5" s="3" t="s">
        <v>853</v>
      </c>
      <c r="C5" s="3" t="s">
        <v>853</v>
      </c>
      <c r="D5" s="3" t="s">
        <v>854</v>
      </c>
      <c r="E5" s="3" t="s">
        <v>182</v>
      </c>
      <c r="F5" s="3">
        <v>8.99</v>
      </c>
      <c r="G5" s="3" t="s">
        <v>844</v>
      </c>
      <c r="H5" s="3"/>
      <c r="I5" s="3" t="s">
        <v>845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0.08</v>
      </c>
      <c r="P5" s="3">
        <v>0</v>
      </c>
      <c r="Q5" s="3">
        <v>0</v>
      </c>
      <c r="R5" s="3">
        <v>0</v>
      </c>
    </row>
    <row r="6" spans="1:18">
      <c r="A6" s="3" t="s">
        <v>855</v>
      </c>
      <c r="B6" s="3" t="s">
        <v>856</v>
      </c>
      <c r="C6" s="3" t="s">
        <v>856</v>
      </c>
      <c r="D6" s="3" t="s">
        <v>857</v>
      </c>
      <c r="E6" s="3" t="s">
        <v>182</v>
      </c>
      <c r="F6" s="3">
        <v>23.99</v>
      </c>
      <c r="G6" s="3" t="s">
        <v>844</v>
      </c>
      <c r="H6" s="3"/>
      <c r="I6" s="3" t="s">
        <v>845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0.21</v>
      </c>
      <c r="P6" s="3">
        <v>0</v>
      </c>
      <c r="Q6" s="3">
        <v>0</v>
      </c>
      <c r="R6" s="3">
        <v>0</v>
      </c>
    </row>
    <row r="7" spans="1:18">
      <c r="A7" s="3" t="s">
        <v>858</v>
      </c>
      <c r="B7" s="3" t="s">
        <v>859</v>
      </c>
      <c r="C7" s="3" t="s">
        <v>859</v>
      </c>
      <c r="D7" s="3" t="s">
        <v>860</v>
      </c>
      <c r="E7" s="3" t="s">
        <v>182</v>
      </c>
      <c r="F7" s="3">
        <v>8.99</v>
      </c>
      <c r="G7" s="3" t="s">
        <v>844</v>
      </c>
      <c r="H7" s="3"/>
      <c r="I7" s="3" t="s">
        <v>845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0.06</v>
      </c>
      <c r="P7" s="3">
        <v>0</v>
      </c>
      <c r="Q7" s="3">
        <v>0</v>
      </c>
      <c r="R7" s="3">
        <v>0</v>
      </c>
    </row>
    <row r="8" spans="1:18">
      <c r="A8" s="3" t="s">
        <v>39</v>
      </c>
      <c r="B8" s="3" t="s">
        <v>40</v>
      </c>
      <c r="C8" s="3" t="s">
        <v>40</v>
      </c>
      <c r="D8" s="3" t="s">
        <v>41</v>
      </c>
      <c r="E8" s="3" t="s">
        <v>182</v>
      </c>
      <c r="F8" s="3">
        <v>20.99</v>
      </c>
      <c r="G8" s="3" t="s">
        <v>844</v>
      </c>
      <c r="H8" s="3"/>
      <c r="I8" s="3" t="s">
        <v>845</v>
      </c>
      <c r="J8" s="3">
        <v>98</v>
      </c>
      <c r="K8" s="3">
        <v>92</v>
      </c>
      <c r="L8" s="3">
        <v>0</v>
      </c>
      <c r="M8" s="3">
        <v>6</v>
      </c>
      <c r="N8" s="3">
        <v>98</v>
      </c>
      <c r="O8" s="3">
        <v>0.2</v>
      </c>
      <c r="P8" s="3">
        <v>0</v>
      </c>
      <c r="Q8" s="3">
        <v>0</v>
      </c>
      <c r="R8" s="3">
        <v>0</v>
      </c>
    </row>
    <row r="9" spans="1:18">
      <c r="A9" s="3" t="s">
        <v>511</v>
      </c>
      <c r="B9" s="3" t="s">
        <v>512</v>
      </c>
      <c r="C9" s="3" t="s">
        <v>513</v>
      </c>
      <c r="D9" s="3" t="s">
        <v>514</v>
      </c>
      <c r="E9" s="3" t="s">
        <v>182</v>
      </c>
      <c r="F9" s="3">
        <v>21.99</v>
      </c>
      <c r="G9" s="3" t="s">
        <v>844</v>
      </c>
      <c r="H9" s="3"/>
      <c r="I9" s="3" t="s">
        <v>845</v>
      </c>
      <c r="J9" s="3">
        <v>1</v>
      </c>
      <c r="K9" s="3">
        <v>1</v>
      </c>
      <c r="L9" s="3">
        <v>0</v>
      </c>
      <c r="M9" s="3">
        <v>0</v>
      </c>
      <c r="N9" s="3">
        <v>1</v>
      </c>
      <c r="O9" s="3">
        <v>0.01</v>
      </c>
      <c r="P9" s="3">
        <v>0</v>
      </c>
      <c r="Q9" s="3">
        <v>0</v>
      </c>
      <c r="R9" s="3">
        <v>0</v>
      </c>
    </row>
    <row r="10" spans="1:18">
      <c r="A10" s="3" t="s">
        <v>324</v>
      </c>
      <c r="B10" s="3" t="s">
        <v>325</v>
      </c>
      <c r="C10" s="3" t="s">
        <v>326</v>
      </c>
      <c r="D10" s="3" t="s">
        <v>327</v>
      </c>
      <c r="E10" s="3" t="s">
        <v>182</v>
      </c>
      <c r="F10" s="3">
        <v>20.99</v>
      </c>
      <c r="G10" s="3" t="s">
        <v>844</v>
      </c>
      <c r="H10" s="3"/>
      <c r="I10" s="3" t="s">
        <v>845</v>
      </c>
      <c r="J10" s="3">
        <v>3</v>
      </c>
      <c r="K10" s="3">
        <v>3</v>
      </c>
      <c r="L10" s="3">
        <v>0</v>
      </c>
      <c r="M10" s="3">
        <v>0</v>
      </c>
      <c r="N10" s="3">
        <v>3</v>
      </c>
      <c r="O10" s="3">
        <v>0.04</v>
      </c>
      <c r="P10" s="3">
        <v>0</v>
      </c>
      <c r="Q10" s="3">
        <v>0</v>
      </c>
      <c r="R10" s="3">
        <v>0</v>
      </c>
    </row>
    <row r="11" spans="1:18">
      <c r="A11" s="3" t="s">
        <v>439</v>
      </c>
      <c r="B11" s="3" t="s">
        <v>440</v>
      </c>
      <c r="C11" s="3" t="s">
        <v>441</v>
      </c>
      <c r="D11" s="3" t="s">
        <v>442</v>
      </c>
      <c r="E11" s="3" t="s">
        <v>182</v>
      </c>
      <c r="F11" s="3">
        <v>20.99</v>
      </c>
      <c r="G11" s="3" t="s">
        <v>844</v>
      </c>
      <c r="H11" s="3"/>
      <c r="I11" s="3" t="s">
        <v>845</v>
      </c>
      <c r="J11" s="3">
        <v>3</v>
      </c>
      <c r="K11" s="3">
        <v>3</v>
      </c>
      <c r="L11" s="3">
        <v>0</v>
      </c>
      <c r="M11" s="3">
        <v>0</v>
      </c>
      <c r="N11" s="3">
        <v>3</v>
      </c>
      <c r="O11" s="3">
        <v>0.06</v>
      </c>
      <c r="P11" s="3">
        <v>0</v>
      </c>
      <c r="Q11" s="3">
        <v>0</v>
      </c>
      <c r="R11" s="3">
        <v>0</v>
      </c>
    </row>
    <row r="12" spans="1:18">
      <c r="A12" s="3" t="s">
        <v>221</v>
      </c>
      <c r="B12" s="3" t="s">
        <v>222</v>
      </c>
      <c r="C12" s="3" t="s">
        <v>223</v>
      </c>
      <c r="D12" s="3" t="s">
        <v>224</v>
      </c>
      <c r="E12" s="3" t="s">
        <v>182</v>
      </c>
      <c r="F12" s="3">
        <v>20.99</v>
      </c>
      <c r="G12" s="3" t="s">
        <v>844</v>
      </c>
      <c r="H12" s="3"/>
      <c r="I12" s="3" t="s">
        <v>845</v>
      </c>
      <c r="J12" s="3">
        <v>2</v>
      </c>
      <c r="K12" s="3">
        <v>2</v>
      </c>
      <c r="L12" s="3">
        <v>0</v>
      </c>
      <c r="M12" s="3">
        <v>0</v>
      </c>
      <c r="N12" s="3">
        <v>2</v>
      </c>
      <c r="O12" s="3">
        <v>0.05</v>
      </c>
      <c r="P12" s="3">
        <v>0</v>
      </c>
      <c r="Q12" s="3">
        <v>0</v>
      </c>
      <c r="R12" s="3">
        <v>0</v>
      </c>
    </row>
    <row r="13" spans="1:18">
      <c r="A13" s="3" t="s">
        <v>392</v>
      </c>
      <c r="B13" s="3" t="s">
        <v>393</v>
      </c>
      <c r="C13" s="3" t="s">
        <v>394</v>
      </c>
      <c r="D13" s="3" t="s">
        <v>395</v>
      </c>
      <c r="E13" s="3" t="s">
        <v>182</v>
      </c>
      <c r="F13" s="3">
        <v>20.99</v>
      </c>
      <c r="G13" s="3" t="s">
        <v>844</v>
      </c>
      <c r="H13" s="3"/>
      <c r="I13" s="3" t="s">
        <v>845</v>
      </c>
      <c r="J13" s="3">
        <v>3</v>
      </c>
      <c r="K13" s="3">
        <v>3</v>
      </c>
      <c r="L13" s="3">
        <v>0</v>
      </c>
      <c r="M13" s="3">
        <v>0</v>
      </c>
      <c r="N13" s="3">
        <v>3</v>
      </c>
      <c r="O13" s="3">
        <v>0</v>
      </c>
      <c r="P13" s="3">
        <v>0</v>
      </c>
      <c r="Q13" s="3">
        <v>0</v>
      </c>
      <c r="R13" s="3">
        <v>0</v>
      </c>
    </row>
    <row r="14" spans="1:18">
      <c r="A14" s="3" t="s">
        <v>506</v>
      </c>
      <c r="B14" s="3" t="s">
        <v>507</v>
      </c>
      <c r="C14" s="3" t="s">
        <v>508</v>
      </c>
      <c r="D14" s="3" t="s">
        <v>509</v>
      </c>
      <c r="E14" s="3" t="s">
        <v>182</v>
      </c>
      <c r="F14" s="3">
        <v>20.99</v>
      </c>
      <c r="G14" s="3" t="s">
        <v>844</v>
      </c>
      <c r="H14" s="3"/>
      <c r="I14" s="3" t="s">
        <v>845</v>
      </c>
      <c r="J14" s="3">
        <v>3</v>
      </c>
      <c r="K14" s="3">
        <v>3</v>
      </c>
      <c r="L14" s="3">
        <v>0</v>
      </c>
      <c r="M14" s="3">
        <v>0</v>
      </c>
      <c r="N14" s="3">
        <v>3</v>
      </c>
      <c r="O14" s="3">
        <v>0.06</v>
      </c>
      <c r="P14" s="3">
        <v>0</v>
      </c>
      <c r="Q14" s="3">
        <v>0</v>
      </c>
      <c r="R14" s="3">
        <v>0</v>
      </c>
    </row>
    <row r="15" spans="1:18">
      <c r="A15" s="3" t="s">
        <v>861</v>
      </c>
      <c r="B15" s="3" t="s">
        <v>862</v>
      </c>
      <c r="C15" s="3" t="s">
        <v>863</v>
      </c>
      <c r="D15" s="3" t="s">
        <v>864</v>
      </c>
      <c r="E15" s="3" t="s">
        <v>182</v>
      </c>
      <c r="F15" s="3">
        <v>20.99</v>
      </c>
      <c r="G15" s="3" t="s">
        <v>844</v>
      </c>
      <c r="H15" s="3"/>
      <c r="I15" s="3" t="s">
        <v>845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</row>
    <row r="16" spans="1:18">
      <c r="A16" s="3" t="s">
        <v>789</v>
      </c>
      <c r="B16" s="3" t="s">
        <v>790</v>
      </c>
      <c r="C16" s="3" t="s">
        <v>790</v>
      </c>
      <c r="D16" s="3" t="s">
        <v>791</v>
      </c>
      <c r="E16" s="3" t="s">
        <v>182</v>
      </c>
      <c r="F16" s="3">
        <v>10.99</v>
      </c>
      <c r="G16" s="3" t="s">
        <v>844</v>
      </c>
      <c r="H16" s="3"/>
      <c r="I16" s="3" t="s">
        <v>845</v>
      </c>
      <c r="J16" s="3">
        <v>8</v>
      </c>
      <c r="K16" s="3">
        <v>8</v>
      </c>
      <c r="L16" s="3">
        <v>0</v>
      </c>
      <c r="M16" s="3">
        <v>0</v>
      </c>
      <c r="N16" s="3">
        <v>8</v>
      </c>
      <c r="O16" s="3">
        <v>0</v>
      </c>
      <c r="P16" s="3">
        <v>0</v>
      </c>
      <c r="Q16" s="3">
        <v>0</v>
      </c>
      <c r="R16" s="3">
        <v>0</v>
      </c>
    </row>
    <row r="17" spans="1:18">
      <c r="A17" s="3" t="s">
        <v>414</v>
      </c>
      <c r="B17" s="3" t="s">
        <v>415</v>
      </c>
      <c r="C17" s="3" t="s">
        <v>415</v>
      </c>
      <c r="D17" s="3" t="s">
        <v>416</v>
      </c>
      <c r="E17" s="3" t="s">
        <v>182</v>
      </c>
      <c r="F17" s="3">
        <v>9.99</v>
      </c>
      <c r="G17" s="3" t="s">
        <v>844</v>
      </c>
      <c r="H17" s="3"/>
      <c r="I17" s="3" t="s">
        <v>845</v>
      </c>
      <c r="J17" s="3">
        <v>16</v>
      </c>
      <c r="K17" s="3">
        <v>16</v>
      </c>
      <c r="L17" s="3">
        <v>0</v>
      </c>
      <c r="M17" s="3">
        <v>0</v>
      </c>
      <c r="N17" s="3">
        <v>16</v>
      </c>
      <c r="O17" s="3">
        <v>0.06</v>
      </c>
      <c r="P17" s="3">
        <v>0</v>
      </c>
      <c r="Q17" s="3">
        <v>0</v>
      </c>
      <c r="R17" s="3">
        <v>0</v>
      </c>
    </row>
    <row r="18" spans="1:18">
      <c r="A18" s="3" t="s">
        <v>376</v>
      </c>
      <c r="B18" s="3" t="s">
        <v>377</v>
      </c>
      <c r="C18" s="3" t="s">
        <v>377</v>
      </c>
      <c r="D18" s="3" t="s">
        <v>378</v>
      </c>
      <c r="E18" s="3" t="s">
        <v>182</v>
      </c>
      <c r="F18" s="3">
        <v>9.99</v>
      </c>
      <c r="G18" s="3" t="s">
        <v>844</v>
      </c>
      <c r="H18" s="3"/>
      <c r="I18" s="3" t="s">
        <v>845</v>
      </c>
      <c r="J18" s="3">
        <v>8</v>
      </c>
      <c r="K18" s="3">
        <v>8</v>
      </c>
      <c r="L18" s="3">
        <v>0</v>
      </c>
      <c r="M18" s="3">
        <v>0</v>
      </c>
      <c r="N18" s="3">
        <v>8</v>
      </c>
      <c r="O18" s="3">
        <v>0</v>
      </c>
      <c r="P18" s="3">
        <v>0</v>
      </c>
      <c r="Q18" s="3">
        <v>0</v>
      </c>
      <c r="R18" s="3">
        <v>0</v>
      </c>
    </row>
    <row r="19" spans="1:18">
      <c r="A19" s="3" t="s">
        <v>261</v>
      </c>
      <c r="B19" s="3" t="s">
        <v>262</v>
      </c>
      <c r="C19" s="3" t="s">
        <v>262</v>
      </c>
      <c r="D19" s="3" t="s">
        <v>263</v>
      </c>
      <c r="E19" s="3" t="s">
        <v>182</v>
      </c>
      <c r="F19" s="3">
        <v>9.99</v>
      </c>
      <c r="G19" s="3" t="s">
        <v>844</v>
      </c>
      <c r="H19" s="3"/>
      <c r="I19" s="3" t="s">
        <v>845</v>
      </c>
      <c r="J19" s="3">
        <v>10</v>
      </c>
      <c r="K19" s="3">
        <v>10</v>
      </c>
      <c r="L19" s="3">
        <v>0</v>
      </c>
      <c r="M19" s="3">
        <v>0</v>
      </c>
      <c r="N19" s="3">
        <v>10</v>
      </c>
      <c r="O19" s="3">
        <v>0.04</v>
      </c>
      <c r="P19" s="3">
        <v>0</v>
      </c>
      <c r="Q19" s="3">
        <v>0</v>
      </c>
      <c r="R19" s="3">
        <v>0</v>
      </c>
    </row>
    <row r="20" spans="1:18">
      <c r="A20" s="3" t="s">
        <v>771</v>
      </c>
      <c r="B20" s="3" t="s">
        <v>772</v>
      </c>
      <c r="C20" s="3" t="s">
        <v>772</v>
      </c>
      <c r="D20" s="3" t="s">
        <v>773</v>
      </c>
      <c r="E20" s="3" t="s">
        <v>182</v>
      </c>
      <c r="F20" s="3">
        <v>9.77</v>
      </c>
      <c r="G20" s="3" t="s">
        <v>844</v>
      </c>
      <c r="H20" s="3"/>
      <c r="I20" s="3" t="s">
        <v>845</v>
      </c>
      <c r="J20" s="3">
        <v>4</v>
      </c>
      <c r="K20" s="3">
        <v>4</v>
      </c>
      <c r="L20" s="3">
        <v>0</v>
      </c>
      <c r="M20" s="3">
        <v>0</v>
      </c>
      <c r="N20" s="3">
        <v>4</v>
      </c>
      <c r="O20" s="3">
        <v>0.05</v>
      </c>
      <c r="P20" s="3">
        <v>0</v>
      </c>
      <c r="Q20" s="3">
        <v>0</v>
      </c>
      <c r="R20" s="3">
        <v>0</v>
      </c>
    </row>
    <row r="21" spans="1:18">
      <c r="A21" s="3" t="s">
        <v>576</v>
      </c>
      <c r="B21" s="3" t="s">
        <v>577</v>
      </c>
      <c r="C21" s="3" t="s">
        <v>578</v>
      </c>
      <c r="D21" s="3" t="s">
        <v>579</v>
      </c>
      <c r="E21" s="3" t="s">
        <v>182</v>
      </c>
      <c r="F21" s="3">
        <v>13.99</v>
      </c>
      <c r="G21" s="3" t="s">
        <v>844</v>
      </c>
      <c r="H21" s="3"/>
      <c r="I21" s="3" t="s">
        <v>845</v>
      </c>
      <c r="J21" s="3">
        <v>15</v>
      </c>
      <c r="K21" s="3">
        <v>15</v>
      </c>
      <c r="L21" s="3">
        <v>0</v>
      </c>
      <c r="M21" s="3">
        <v>0</v>
      </c>
      <c r="N21" s="3">
        <v>15</v>
      </c>
      <c r="O21" s="3">
        <v>0.01</v>
      </c>
      <c r="P21" s="3">
        <v>0</v>
      </c>
      <c r="Q21" s="3">
        <v>0</v>
      </c>
      <c r="R21" s="3">
        <v>0</v>
      </c>
    </row>
    <row r="22" spans="1:18">
      <c r="A22" s="3" t="s">
        <v>488</v>
      </c>
      <c r="B22" s="3" t="s">
        <v>489</v>
      </c>
      <c r="C22" s="3" t="s">
        <v>490</v>
      </c>
      <c r="D22" s="3" t="s">
        <v>491</v>
      </c>
      <c r="E22" s="3" t="s">
        <v>182</v>
      </c>
      <c r="F22" s="3">
        <v>13.99</v>
      </c>
      <c r="G22" s="3" t="s">
        <v>844</v>
      </c>
      <c r="H22" s="3"/>
      <c r="I22" s="3" t="s">
        <v>845</v>
      </c>
      <c r="J22" s="3">
        <v>7</v>
      </c>
      <c r="K22" s="3">
        <v>7</v>
      </c>
      <c r="L22" s="3">
        <v>0</v>
      </c>
      <c r="M22" s="3">
        <v>0</v>
      </c>
      <c r="N22" s="3">
        <v>7</v>
      </c>
      <c r="O22" s="3">
        <v>0</v>
      </c>
      <c r="P22" s="3">
        <v>0</v>
      </c>
      <c r="Q22" s="3">
        <v>0</v>
      </c>
      <c r="R22" s="3">
        <v>0</v>
      </c>
    </row>
    <row r="23" spans="1:18">
      <c r="A23" s="3" t="s">
        <v>827</v>
      </c>
      <c r="B23" s="3" t="s">
        <v>828</v>
      </c>
      <c r="C23" s="3" t="s">
        <v>829</v>
      </c>
      <c r="D23" s="3" t="s">
        <v>830</v>
      </c>
      <c r="E23" s="3" t="s">
        <v>182</v>
      </c>
      <c r="F23" s="3">
        <v>13.99</v>
      </c>
      <c r="G23" s="3" t="s">
        <v>844</v>
      </c>
      <c r="H23" s="3"/>
      <c r="I23" s="3" t="s">
        <v>845</v>
      </c>
      <c r="J23" s="3">
        <v>14</v>
      </c>
      <c r="K23" s="3">
        <v>14</v>
      </c>
      <c r="L23" s="3">
        <v>0</v>
      </c>
      <c r="M23" s="3">
        <v>0</v>
      </c>
      <c r="N23" s="3">
        <v>14</v>
      </c>
      <c r="O23" s="3">
        <v>0.01</v>
      </c>
      <c r="P23" s="3">
        <v>0</v>
      </c>
      <c r="Q23" s="3">
        <v>0</v>
      </c>
      <c r="R23" s="3">
        <v>0</v>
      </c>
    </row>
    <row r="24" spans="1:18">
      <c r="A24" s="3" t="s">
        <v>329</v>
      </c>
      <c r="B24" s="3" t="s">
        <v>330</v>
      </c>
      <c r="C24" s="3" t="s">
        <v>331</v>
      </c>
      <c r="D24" s="3" t="s">
        <v>332</v>
      </c>
      <c r="E24" s="3" t="s">
        <v>182</v>
      </c>
      <c r="F24" s="3">
        <v>13.99</v>
      </c>
      <c r="G24" s="3" t="s">
        <v>844</v>
      </c>
      <c r="H24" s="3"/>
      <c r="I24" s="3" t="s">
        <v>845</v>
      </c>
      <c r="J24" s="3">
        <v>13</v>
      </c>
      <c r="K24" s="3">
        <v>13</v>
      </c>
      <c r="L24" s="3">
        <v>0</v>
      </c>
      <c r="M24" s="3">
        <v>0</v>
      </c>
      <c r="N24" s="3">
        <v>13</v>
      </c>
      <c r="O24" s="3">
        <v>0.01</v>
      </c>
      <c r="P24" s="3">
        <v>0</v>
      </c>
      <c r="Q24" s="3">
        <v>0</v>
      </c>
      <c r="R24" s="3">
        <v>0</v>
      </c>
    </row>
    <row r="25" spans="1:18">
      <c r="A25" s="3" t="s">
        <v>265</v>
      </c>
      <c r="B25" s="3" t="s">
        <v>266</v>
      </c>
      <c r="C25" s="3" t="s">
        <v>267</v>
      </c>
      <c r="D25" s="3" t="s">
        <v>268</v>
      </c>
      <c r="E25" s="3" t="s">
        <v>182</v>
      </c>
      <c r="F25" s="3">
        <v>13.99</v>
      </c>
      <c r="G25" s="3" t="s">
        <v>844</v>
      </c>
      <c r="H25" s="3"/>
      <c r="I25" s="3" t="s">
        <v>845</v>
      </c>
      <c r="J25" s="3">
        <v>18</v>
      </c>
      <c r="K25" s="3">
        <v>18</v>
      </c>
      <c r="L25" s="3">
        <v>0</v>
      </c>
      <c r="M25" s="3">
        <v>0</v>
      </c>
      <c r="N25" s="3">
        <v>18</v>
      </c>
      <c r="O25" s="3">
        <v>0</v>
      </c>
      <c r="P25" s="3">
        <v>0</v>
      </c>
      <c r="Q25" s="3">
        <v>0</v>
      </c>
      <c r="R25" s="3">
        <v>0</v>
      </c>
    </row>
    <row r="26" spans="1:18">
      <c r="A26" s="3" t="s">
        <v>622</v>
      </c>
      <c r="B26" s="3" t="s">
        <v>623</v>
      </c>
      <c r="C26" s="3" t="s">
        <v>624</v>
      </c>
      <c r="D26" s="3" t="s">
        <v>625</v>
      </c>
      <c r="E26" s="3" t="s">
        <v>182</v>
      </c>
      <c r="F26" s="3">
        <v>13.99</v>
      </c>
      <c r="G26" s="3" t="s">
        <v>844</v>
      </c>
      <c r="H26" s="3"/>
      <c r="I26" s="3" t="s">
        <v>845</v>
      </c>
      <c r="J26" s="3">
        <v>16</v>
      </c>
      <c r="K26" s="3">
        <v>16</v>
      </c>
      <c r="L26" s="3">
        <v>0</v>
      </c>
      <c r="M26" s="3">
        <v>0</v>
      </c>
      <c r="N26" s="3">
        <v>16</v>
      </c>
      <c r="O26" s="3">
        <v>0.01</v>
      </c>
      <c r="P26" s="3">
        <v>0</v>
      </c>
      <c r="Q26" s="3">
        <v>0</v>
      </c>
      <c r="R26" s="3">
        <v>0</v>
      </c>
    </row>
    <row r="27" spans="1:18">
      <c r="A27" s="3" t="s">
        <v>610</v>
      </c>
      <c r="B27" s="3" t="s">
        <v>611</v>
      </c>
      <c r="C27" s="3" t="s">
        <v>612</v>
      </c>
      <c r="D27" s="3" t="s">
        <v>613</v>
      </c>
      <c r="E27" s="3" t="s">
        <v>182</v>
      </c>
      <c r="F27" s="3">
        <v>15.99</v>
      </c>
      <c r="G27" s="3" t="s">
        <v>844</v>
      </c>
      <c r="H27" s="3"/>
      <c r="I27" s="3" t="s">
        <v>845</v>
      </c>
      <c r="J27" s="3">
        <v>11</v>
      </c>
      <c r="K27" s="3">
        <v>11</v>
      </c>
      <c r="L27" s="3">
        <v>0</v>
      </c>
      <c r="M27" s="3">
        <v>0</v>
      </c>
      <c r="N27" s="3">
        <v>11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865</v>
      </c>
      <c r="B28" s="3" t="s">
        <v>866</v>
      </c>
      <c r="C28" s="3" t="s">
        <v>867</v>
      </c>
      <c r="D28" s="3" t="s">
        <v>406</v>
      </c>
      <c r="E28" s="3" t="s">
        <v>182</v>
      </c>
      <c r="F28" s="3">
        <v>15.99</v>
      </c>
      <c r="G28" s="3" t="s">
        <v>844</v>
      </c>
      <c r="H28" s="3"/>
      <c r="I28" s="3" t="s">
        <v>845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795</v>
      </c>
      <c r="B29" s="3" t="s">
        <v>796</v>
      </c>
      <c r="C29" s="3" t="s">
        <v>797</v>
      </c>
      <c r="D29" s="3" t="s">
        <v>661</v>
      </c>
      <c r="E29" s="3" t="s">
        <v>182</v>
      </c>
      <c r="F29" s="3">
        <v>15.99</v>
      </c>
      <c r="G29" s="3" t="s">
        <v>844</v>
      </c>
      <c r="H29" s="3"/>
      <c r="I29" s="3" t="s">
        <v>845</v>
      </c>
      <c r="J29" s="3">
        <v>2</v>
      </c>
      <c r="K29" s="3">
        <v>2</v>
      </c>
      <c r="L29" s="3">
        <v>0</v>
      </c>
      <c r="M29" s="3">
        <v>0</v>
      </c>
      <c r="N29" s="3">
        <v>2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404</v>
      </c>
      <c r="B30" s="3" t="s">
        <v>405</v>
      </c>
      <c r="C30" s="3" t="s">
        <v>405</v>
      </c>
      <c r="D30" s="3" t="s">
        <v>406</v>
      </c>
      <c r="E30" s="3" t="s">
        <v>182</v>
      </c>
      <c r="F30" s="3">
        <v>9.99</v>
      </c>
      <c r="G30" s="3" t="s">
        <v>844</v>
      </c>
      <c r="H30" s="3"/>
      <c r="I30" s="3" t="s">
        <v>845</v>
      </c>
      <c r="J30" s="3">
        <v>21</v>
      </c>
      <c r="K30" s="3">
        <v>21</v>
      </c>
      <c r="L30" s="3">
        <v>0</v>
      </c>
      <c r="M30" s="3">
        <v>0</v>
      </c>
      <c r="N30" s="3">
        <v>21</v>
      </c>
      <c r="O30" s="3">
        <v>0.01</v>
      </c>
      <c r="P30" s="3">
        <v>0</v>
      </c>
      <c r="Q30" s="3">
        <v>0</v>
      </c>
      <c r="R30" s="3">
        <v>0</v>
      </c>
    </row>
    <row r="31" spans="1:18">
      <c r="A31" s="3" t="s">
        <v>367</v>
      </c>
      <c r="B31" s="3" t="s">
        <v>368</v>
      </c>
      <c r="C31" s="3" t="s">
        <v>368</v>
      </c>
      <c r="D31" s="3" t="s">
        <v>369</v>
      </c>
      <c r="E31" s="3" t="s">
        <v>182</v>
      </c>
      <c r="F31" s="3">
        <v>20</v>
      </c>
      <c r="G31" s="3" t="s">
        <v>844</v>
      </c>
      <c r="H31" s="3"/>
      <c r="I31" s="3" t="s">
        <v>845</v>
      </c>
      <c r="J31" s="3">
        <v>23</v>
      </c>
      <c r="K31" s="3">
        <v>23</v>
      </c>
      <c r="L31" s="3">
        <v>0</v>
      </c>
      <c r="M31" s="3">
        <v>0</v>
      </c>
      <c r="N31" s="3">
        <v>23</v>
      </c>
      <c r="O31" s="3">
        <v>0</v>
      </c>
      <c r="P31" s="3">
        <v>0</v>
      </c>
      <c r="Q31" s="3">
        <v>0</v>
      </c>
      <c r="R31" s="3">
        <v>0</v>
      </c>
    </row>
    <row r="32" spans="1:18">
      <c r="A32" s="3" t="s">
        <v>718</v>
      </c>
      <c r="B32" s="3" t="s">
        <v>719</v>
      </c>
      <c r="C32" s="3" t="s">
        <v>719</v>
      </c>
      <c r="D32" s="3" t="s">
        <v>720</v>
      </c>
      <c r="E32" s="3" t="s">
        <v>182</v>
      </c>
      <c r="F32" s="3">
        <v>20</v>
      </c>
      <c r="G32" s="3" t="s">
        <v>844</v>
      </c>
      <c r="H32" s="3"/>
      <c r="I32" s="3" t="s">
        <v>845</v>
      </c>
      <c r="J32" s="3">
        <v>25</v>
      </c>
      <c r="K32" s="3">
        <v>25</v>
      </c>
      <c r="L32" s="3">
        <v>0</v>
      </c>
      <c r="M32" s="3">
        <v>0</v>
      </c>
      <c r="N32" s="3">
        <v>25</v>
      </c>
      <c r="O32" s="3">
        <v>0.01</v>
      </c>
      <c r="P32" s="3">
        <v>0</v>
      </c>
      <c r="Q32" s="3">
        <v>0</v>
      </c>
      <c r="R32" s="3">
        <v>0</v>
      </c>
    </row>
    <row r="33" spans="1:18">
      <c r="A33" s="3" t="s">
        <v>659</v>
      </c>
      <c r="B33" s="3" t="s">
        <v>660</v>
      </c>
      <c r="C33" s="3" t="s">
        <v>660</v>
      </c>
      <c r="D33" s="3" t="s">
        <v>661</v>
      </c>
      <c r="E33" s="3" t="s">
        <v>182</v>
      </c>
      <c r="F33" s="3">
        <v>9.99</v>
      </c>
      <c r="G33" s="3" t="s">
        <v>844</v>
      </c>
      <c r="H33" s="3"/>
      <c r="I33" s="3" t="s">
        <v>845</v>
      </c>
      <c r="J33" s="3">
        <v>20</v>
      </c>
      <c r="K33" s="3">
        <v>19</v>
      </c>
      <c r="L33" s="3">
        <v>1</v>
      </c>
      <c r="M33" s="3">
        <v>0</v>
      </c>
      <c r="N33" s="3">
        <v>20</v>
      </c>
      <c r="O33" s="3">
        <v>0.01</v>
      </c>
      <c r="P33" s="3">
        <v>0</v>
      </c>
      <c r="Q33" s="3">
        <v>0</v>
      </c>
      <c r="R33" s="3">
        <v>0</v>
      </c>
    </row>
    <row r="34" spans="1:18">
      <c r="A34" s="3" t="s">
        <v>868</v>
      </c>
      <c r="B34" s="3" t="s">
        <v>869</v>
      </c>
      <c r="C34" s="3" t="s">
        <v>869</v>
      </c>
      <c r="D34" s="3" t="s">
        <v>870</v>
      </c>
      <c r="E34" s="3" t="s">
        <v>182</v>
      </c>
      <c r="F34" s="3">
        <v>30</v>
      </c>
      <c r="G34" s="3" t="s">
        <v>844</v>
      </c>
      <c r="H34" s="3"/>
      <c r="I34" s="3" t="s">
        <v>845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0.67</v>
      </c>
      <c r="P34" s="3">
        <v>0</v>
      </c>
      <c r="Q34" s="3">
        <v>0</v>
      </c>
      <c r="R34" s="3">
        <v>0</v>
      </c>
    </row>
    <row r="35" spans="1:18">
      <c r="A35" s="3" t="s">
        <v>871</v>
      </c>
      <c r="B35" s="3" t="s">
        <v>872</v>
      </c>
      <c r="C35" s="3" t="s">
        <v>873</v>
      </c>
      <c r="D35" s="3" t="s">
        <v>870</v>
      </c>
      <c r="E35" s="3" t="s">
        <v>182</v>
      </c>
      <c r="F35" s="3">
        <v>80</v>
      </c>
      <c r="G35" s="3" t="s">
        <v>844</v>
      </c>
      <c r="H35" s="3"/>
      <c r="I35" s="3" t="s">
        <v>845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</row>
    <row r="36" spans="1:18">
      <c r="A36" s="3" t="s">
        <v>874</v>
      </c>
      <c r="B36" s="3" t="s">
        <v>875</v>
      </c>
      <c r="C36" s="3" t="s">
        <v>875</v>
      </c>
      <c r="D36" s="3"/>
      <c r="E36" s="3" t="s">
        <v>876</v>
      </c>
      <c r="F36" s="3"/>
      <c r="G36" s="3"/>
      <c r="H36" s="3"/>
      <c r="I36" s="3"/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/>
      <c r="P36" s="3">
        <v>0</v>
      </c>
      <c r="Q36" s="3">
        <v>0</v>
      </c>
      <c r="R36" s="3">
        <v>0</v>
      </c>
    </row>
    <row r="37" spans="1:18">
      <c r="A37" s="3" t="s">
        <v>877</v>
      </c>
      <c r="B37" s="3" t="s">
        <v>878</v>
      </c>
      <c r="C37" s="3" t="s">
        <v>878</v>
      </c>
      <c r="D37" s="3"/>
      <c r="E37" s="3" t="s">
        <v>876</v>
      </c>
      <c r="F37" s="3"/>
      <c r="G37" s="3"/>
      <c r="H37" s="3"/>
      <c r="I37" s="3"/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/>
      <c r="P37" s="3">
        <v>0</v>
      </c>
      <c r="Q37" s="3">
        <v>0</v>
      </c>
      <c r="R37" s="3">
        <v>0</v>
      </c>
    </row>
    <row r="38" spans="1:18">
      <c r="A38" s="3" t="s">
        <v>21</v>
      </c>
      <c r="B38" s="3" t="s">
        <v>22</v>
      </c>
      <c r="C38" s="3" t="s">
        <v>22</v>
      </c>
      <c r="D38" s="3" t="s">
        <v>23</v>
      </c>
      <c r="E38" s="3" t="s">
        <v>182</v>
      </c>
      <c r="F38" s="3">
        <v>11.99</v>
      </c>
      <c r="G38" s="3" t="s">
        <v>844</v>
      </c>
      <c r="H38" s="3"/>
      <c r="I38" s="3" t="s">
        <v>845</v>
      </c>
      <c r="J38" s="3">
        <v>3</v>
      </c>
      <c r="K38" s="3">
        <v>0</v>
      </c>
      <c r="L38" s="3">
        <v>0</v>
      </c>
      <c r="M38" s="3">
        <v>3</v>
      </c>
      <c r="N38" s="3">
        <v>3</v>
      </c>
      <c r="O38" s="3">
        <v>0.07</v>
      </c>
      <c r="P38" s="3">
        <v>0</v>
      </c>
      <c r="Q38" s="3">
        <v>0</v>
      </c>
      <c r="R38" s="3">
        <v>0</v>
      </c>
    </row>
    <row r="39" spans="1:18">
      <c r="A39" s="3" t="s">
        <v>33</v>
      </c>
      <c r="B39" s="3" t="s">
        <v>34</v>
      </c>
      <c r="C39" s="3" t="s">
        <v>34</v>
      </c>
      <c r="D39" s="3" t="s">
        <v>35</v>
      </c>
      <c r="E39" s="3" t="s">
        <v>182</v>
      </c>
      <c r="F39" s="3">
        <v>11.08</v>
      </c>
      <c r="G39" s="3" t="s">
        <v>844</v>
      </c>
      <c r="H39" s="3"/>
      <c r="I39" s="3" t="s">
        <v>845</v>
      </c>
      <c r="J39" s="3">
        <v>6</v>
      </c>
      <c r="K39" s="3">
        <v>2</v>
      </c>
      <c r="L39" s="3">
        <v>0</v>
      </c>
      <c r="M39" s="3">
        <v>4</v>
      </c>
      <c r="N39" s="3">
        <v>6</v>
      </c>
      <c r="O39" s="3">
        <v>0.08</v>
      </c>
      <c r="P39" s="3">
        <v>0</v>
      </c>
      <c r="Q39" s="3">
        <v>0</v>
      </c>
      <c r="R39" s="3">
        <v>0</v>
      </c>
    </row>
    <row r="40" spans="1:18">
      <c r="A40" s="3" t="s">
        <v>15</v>
      </c>
      <c r="B40" s="3" t="s">
        <v>16</v>
      </c>
      <c r="C40" s="3" t="s">
        <v>16</v>
      </c>
      <c r="D40" s="3" t="s">
        <v>17</v>
      </c>
      <c r="E40" s="3" t="s">
        <v>182</v>
      </c>
      <c r="F40" s="3">
        <v>11.99</v>
      </c>
      <c r="G40" s="3" t="s">
        <v>844</v>
      </c>
      <c r="H40" s="3"/>
      <c r="I40" s="3" t="s">
        <v>845</v>
      </c>
      <c r="J40" s="3">
        <v>7</v>
      </c>
      <c r="K40" s="3">
        <v>0</v>
      </c>
      <c r="L40" s="3">
        <v>0</v>
      </c>
      <c r="M40" s="3">
        <v>7</v>
      </c>
      <c r="N40" s="3">
        <v>7</v>
      </c>
      <c r="O40" s="3">
        <v>0.05</v>
      </c>
      <c r="P40" s="3">
        <v>0</v>
      </c>
      <c r="Q40" s="3">
        <v>0</v>
      </c>
      <c r="R40" s="3">
        <v>0</v>
      </c>
    </row>
    <row r="41" spans="1:18">
      <c r="A41" s="3" t="s">
        <v>27</v>
      </c>
      <c r="B41" s="3" t="s">
        <v>28</v>
      </c>
      <c r="C41" s="3" t="s">
        <v>28</v>
      </c>
      <c r="D41" s="3" t="s">
        <v>29</v>
      </c>
      <c r="E41" s="3" t="s">
        <v>182</v>
      </c>
      <c r="F41" s="3">
        <v>10.79</v>
      </c>
      <c r="G41" s="3" t="s">
        <v>844</v>
      </c>
      <c r="H41" s="3"/>
      <c r="I41" s="3" t="s">
        <v>845</v>
      </c>
      <c r="J41" s="3">
        <v>4</v>
      </c>
      <c r="K41" s="3">
        <v>0</v>
      </c>
      <c r="L41" s="3">
        <v>0</v>
      </c>
      <c r="M41" s="3">
        <v>4</v>
      </c>
      <c r="N41" s="3">
        <v>4</v>
      </c>
      <c r="O41" s="3">
        <v>0.08</v>
      </c>
      <c r="P41" s="3">
        <v>0</v>
      </c>
      <c r="Q41" s="3">
        <v>0</v>
      </c>
      <c r="R41" s="3">
        <v>0</v>
      </c>
    </row>
    <row r="42" spans="1:18">
      <c r="A42" s="3" t="s">
        <v>42</v>
      </c>
      <c r="B42" s="3" t="s">
        <v>43</v>
      </c>
      <c r="C42" s="3" t="s">
        <v>43</v>
      </c>
      <c r="D42" s="3" t="s">
        <v>879</v>
      </c>
      <c r="E42" s="3" t="s">
        <v>182</v>
      </c>
      <c r="F42" s="3">
        <v>12.99</v>
      </c>
      <c r="G42" s="3" t="s">
        <v>844</v>
      </c>
      <c r="H42" s="3"/>
      <c r="I42" s="3" t="s">
        <v>845</v>
      </c>
      <c r="J42" s="3">
        <v>7</v>
      </c>
      <c r="K42" s="3">
        <v>0</v>
      </c>
      <c r="L42" s="3">
        <v>0</v>
      </c>
      <c r="M42" s="3">
        <v>7</v>
      </c>
      <c r="N42" s="3">
        <v>7</v>
      </c>
      <c r="O42" s="3">
        <v>0.23</v>
      </c>
      <c r="P42" s="3">
        <v>0</v>
      </c>
      <c r="Q42" s="3">
        <v>0</v>
      </c>
      <c r="R42" s="3">
        <v>0</v>
      </c>
    </row>
    <row r="43" spans="1:18">
      <c r="A43" s="3" t="s">
        <v>880</v>
      </c>
      <c r="B43" s="3" t="s">
        <v>881</v>
      </c>
      <c r="C43" s="3" t="s">
        <v>881</v>
      </c>
      <c r="D43" s="3" t="s">
        <v>38</v>
      </c>
      <c r="E43" s="3" t="s">
        <v>182</v>
      </c>
      <c r="F43" s="3">
        <v>12.99</v>
      </c>
      <c r="G43" s="3" t="s">
        <v>844</v>
      </c>
      <c r="H43" s="3"/>
      <c r="I43" s="3" t="s">
        <v>845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0.19</v>
      </c>
      <c r="P43" s="3">
        <v>0</v>
      </c>
      <c r="Q43" s="3">
        <v>0</v>
      </c>
      <c r="R43" s="3">
        <v>0</v>
      </c>
    </row>
    <row r="44" spans="1:18">
      <c r="A44" s="3" t="s">
        <v>36</v>
      </c>
      <c r="B44" s="3" t="s">
        <v>37</v>
      </c>
      <c r="C44" s="3" t="s">
        <v>37</v>
      </c>
      <c r="D44" s="3" t="s">
        <v>38</v>
      </c>
      <c r="E44" s="3" t="s">
        <v>182</v>
      </c>
      <c r="F44" s="3">
        <v>12.99</v>
      </c>
      <c r="G44" s="3" t="s">
        <v>844</v>
      </c>
      <c r="H44" s="3"/>
      <c r="I44" s="3" t="s">
        <v>845</v>
      </c>
      <c r="J44" s="3">
        <v>3</v>
      </c>
      <c r="K44" s="3">
        <v>0</v>
      </c>
      <c r="L44" s="3">
        <v>0</v>
      </c>
      <c r="M44" s="3">
        <v>3</v>
      </c>
      <c r="N44" s="3">
        <v>3</v>
      </c>
      <c r="O44" s="3">
        <v>0.19</v>
      </c>
      <c r="P44" s="3">
        <v>0</v>
      </c>
      <c r="Q44" s="3">
        <v>0</v>
      </c>
      <c r="R44" s="3">
        <v>0</v>
      </c>
    </row>
    <row r="45" spans="1:18">
      <c r="A45" s="3" t="s">
        <v>882</v>
      </c>
      <c r="B45" s="3" t="s">
        <v>883</v>
      </c>
      <c r="C45" s="3" t="s">
        <v>883</v>
      </c>
      <c r="D45" s="3" t="s">
        <v>725</v>
      </c>
      <c r="E45" s="3" t="s">
        <v>182</v>
      </c>
      <c r="F45" s="3">
        <v>20.99</v>
      </c>
      <c r="G45" s="3" t="s">
        <v>844</v>
      </c>
      <c r="H45" s="3"/>
      <c r="I45" s="3" t="s">
        <v>845</v>
      </c>
      <c r="J45" s="3">
        <v>1</v>
      </c>
      <c r="K45" s="3">
        <v>0</v>
      </c>
      <c r="L45" s="3">
        <v>1</v>
      </c>
      <c r="M45" s="3">
        <v>0</v>
      </c>
      <c r="N45" s="3">
        <v>1</v>
      </c>
      <c r="O45" s="3">
        <v>0.08</v>
      </c>
      <c r="P45" s="3">
        <v>0</v>
      </c>
      <c r="Q45" s="3">
        <v>0</v>
      </c>
      <c r="R45" s="3">
        <v>0</v>
      </c>
    </row>
    <row r="46" spans="1:18">
      <c r="A46" s="3" t="s">
        <v>64</v>
      </c>
      <c r="B46" s="3" t="s">
        <v>65</v>
      </c>
      <c r="C46" s="3" t="s">
        <v>65</v>
      </c>
      <c r="D46" s="3" t="s">
        <v>38</v>
      </c>
      <c r="E46" s="3" t="s">
        <v>182</v>
      </c>
      <c r="F46" s="3">
        <v>12.99</v>
      </c>
      <c r="G46" s="3" t="s">
        <v>844</v>
      </c>
      <c r="H46" s="3"/>
      <c r="I46" s="3" t="s">
        <v>845</v>
      </c>
      <c r="J46" s="3">
        <v>2</v>
      </c>
      <c r="K46" s="3">
        <v>0</v>
      </c>
      <c r="L46" s="3">
        <v>0</v>
      </c>
      <c r="M46" s="3">
        <v>2</v>
      </c>
      <c r="N46" s="3">
        <v>2</v>
      </c>
      <c r="O46" s="3">
        <v>0.22</v>
      </c>
      <c r="P46" s="3">
        <v>0</v>
      </c>
      <c r="Q46" s="3">
        <v>0</v>
      </c>
      <c r="R46" s="3">
        <v>0</v>
      </c>
    </row>
    <row r="47" spans="1:18">
      <c r="A47" s="3" t="s">
        <v>884</v>
      </c>
      <c r="B47" s="3" t="s">
        <v>885</v>
      </c>
      <c r="C47" s="3" t="s">
        <v>885</v>
      </c>
      <c r="D47" s="3"/>
      <c r="E47" s="3" t="s">
        <v>876</v>
      </c>
      <c r="F47" s="3"/>
      <c r="G47" s="3"/>
      <c r="H47" s="3"/>
      <c r="I47" s="3"/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/>
      <c r="P47" s="3">
        <v>0</v>
      </c>
      <c r="Q47" s="3">
        <v>0</v>
      </c>
      <c r="R47" s="3">
        <v>0</v>
      </c>
    </row>
    <row r="48" spans="1:18">
      <c r="A48" s="3" t="s">
        <v>48</v>
      </c>
      <c r="B48" s="3" t="s">
        <v>49</v>
      </c>
      <c r="C48" s="3" t="s">
        <v>49</v>
      </c>
      <c r="D48" s="3" t="s">
        <v>627</v>
      </c>
      <c r="E48" s="3" t="s">
        <v>182</v>
      </c>
      <c r="F48" s="3">
        <v>55</v>
      </c>
      <c r="G48" s="3" t="s">
        <v>844</v>
      </c>
      <c r="H48" s="3"/>
      <c r="I48" s="3" t="s">
        <v>845</v>
      </c>
      <c r="J48" s="3">
        <v>11</v>
      </c>
      <c r="K48" s="3">
        <v>0</v>
      </c>
      <c r="L48" s="3">
        <v>0</v>
      </c>
      <c r="M48" s="3">
        <v>11</v>
      </c>
      <c r="N48" s="3">
        <v>11</v>
      </c>
      <c r="O48" s="3">
        <v>0.05</v>
      </c>
      <c r="P48" s="3">
        <v>0</v>
      </c>
      <c r="Q48" s="3">
        <v>0</v>
      </c>
      <c r="R48" s="3">
        <v>0</v>
      </c>
    </row>
    <row r="49" spans="1:18">
      <c r="A49" s="3" t="s">
        <v>18</v>
      </c>
      <c r="B49" s="3" t="s">
        <v>19</v>
      </c>
      <c r="C49" s="3" t="s">
        <v>19</v>
      </c>
      <c r="D49" s="3" t="s">
        <v>644</v>
      </c>
      <c r="E49" s="3" t="s">
        <v>182</v>
      </c>
      <c r="F49" s="3">
        <v>15.99</v>
      </c>
      <c r="G49" s="3" t="s">
        <v>844</v>
      </c>
      <c r="H49" s="3"/>
      <c r="I49" s="3" t="s">
        <v>845</v>
      </c>
      <c r="J49" s="3">
        <v>4</v>
      </c>
      <c r="K49" s="3">
        <v>0</v>
      </c>
      <c r="L49" s="3">
        <v>0</v>
      </c>
      <c r="M49" s="3">
        <v>4</v>
      </c>
      <c r="N49" s="3">
        <v>4</v>
      </c>
      <c r="O49" s="3">
        <v>0.12</v>
      </c>
      <c r="P49" s="3">
        <v>0</v>
      </c>
      <c r="Q49" s="3">
        <v>0</v>
      </c>
      <c r="R49" s="3">
        <v>0</v>
      </c>
    </row>
    <row r="50" spans="1:18">
      <c r="A50" s="3" t="s">
        <v>886</v>
      </c>
      <c r="B50" s="3" t="s">
        <v>25</v>
      </c>
      <c r="C50" s="3" t="s">
        <v>25</v>
      </c>
      <c r="D50" s="3"/>
      <c r="E50" s="3" t="s">
        <v>876</v>
      </c>
      <c r="F50" s="3"/>
      <c r="G50" s="3"/>
      <c r="H50" s="3"/>
      <c r="I50" s="3"/>
      <c r="J50" s="3">
        <v>4</v>
      </c>
      <c r="K50" s="3">
        <v>0</v>
      </c>
      <c r="L50" s="3">
        <v>0</v>
      </c>
      <c r="M50" s="3">
        <v>4</v>
      </c>
      <c r="N50" s="3">
        <v>4</v>
      </c>
      <c r="O50" s="3"/>
      <c r="P50" s="3">
        <v>0</v>
      </c>
      <c r="Q50" s="3">
        <v>0</v>
      </c>
      <c r="R50" s="3">
        <v>0</v>
      </c>
    </row>
    <row r="51" spans="1:18">
      <c r="A51" s="3" t="s">
        <v>24</v>
      </c>
      <c r="B51" s="3" t="s">
        <v>25</v>
      </c>
      <c r="C51" s="3" t="s">
        <v>25</v>
      </c>
      <c r="D51" s="3" t="s">
        <v>26</v>
      </c>
      <c r="E51" s="3" t="s">
        <v>182</v>
      </c>
      <c r="F51" s="3">
        <v>13.99</v>
      </c>
      <c r="G51" s="3" t="s">
        <v>844</v>
      </c>
      <c r="H51" s="3"/>
      <c r="I51" s="3" t="s">
        <v>845</v>
      </c>
      <c r="J51" s="3">
        <v>4</v>
      </c>
      <c r="K51" s="3">
        <v>0</v>
      </c>
      <c r="L51" s="3">
        <v>0</v>
      </c>
      <c r="M51" s="3">
        <v>4</v>
      </c>
      <c r="N51" s="3">
        <v>4</v>
      </c>
      <c r="O51" s="3">
        <v>0</v>
      </c>
      <c r="P51" s="3">
        <v>0</v>
      </c>
      <c r="Q51" s="3">
        <v>0</v>
      </c>
      <c r="R51" s="3">
        <v>0</v>
      </c>
    </row>
    <row r="52" spans="1:18">
      <c r="A52" s="3" t="s">
        <v>887</v>
      </c>
      <c r="B52" s="3" t="s">
        <v>62</v>
      </c>
      <c r="C52" s="3" t="s">
        <v>62</v>
      </c>
      <c r="D52" s="3"/>
      <c r="E52" s="3" t="s">
        <v>876</v>
      </c>
      <c r="F52" s="3"/>
      <c r="G52" s="3"/>
      <c r="H52" s="3"/>
      <c r="I52" s="3"/>
      <c r="J52" s="3">
        <v>3</v>
      </c>
      <c r="K52" s="3">
        <v>0</v>
      </c>
      <c r="L52" s="3">
        <v>0</v>
      </c>
      <c r="M52" s="3">
        <v>3</v>
      </c>
      <c r="N52" s="3">
        <v>3</v>
      </c>
      <c r="O52" s="3"/>
      <c r="P52" s="3">
        <v>0</v>
      </c>
      <c r="Q52" s="3">
        <v>0</v>
      </c>
      <c r="R52" s="3">
        <v>0</v>
      </c>
    </row>
    <row r="53" spans="1:18">
      <c r="A53" s="3" t="s">
        <v>61</v>
      </c>
      <c r="B53" s="3" t="s">
        <v>62</v>
      </c>
      <c r="C53" s="3" t="s">
        <v>62</v>
      </c>
      <c r="D53" s="3" t="s">
        <v>63</v>
      </c>
      <c r="E53" s="3" t="s">
        <v>182</v>
      </c>
      <c r="F53" s="3">
        <v>11.19</v>
      </c>
      <c r="G53" s="3" t="s">
        <v>844</v>
      </c>
      <c r="H53" s="3"/>
      <c r="I53" s="3" t="s">
        <v>845</v>
      </c>
      <c r="J53" s="3">
        <v>3</v>
      </c>
      <c r="K53" s="3">
        <v>0</v>
      </c>
      <c r="L53" s="3">
        <v>0</v>
      </c>
      <c r="M53" s="3">
        <v>3</v>
      </c>
      <c r="N53" s="3">
        <v>3</v>
      </c>
      <c r="O53" s="3">
        <v>0</v>
      </c>
      <c r="P53" s="3">
        <v>0</v>
      </c>
      <c r="Q53" s="3">
        <v>0</v>
      </c>
      <c r="R53" s="3">
        <v>0</v>
      </c>
    </row>
    <row r="54" spans="1:18">
      <c r="A54" s="3" t="s">
        <v>888</v>
      </c>
      <c r="B54" s="3" t="s">
        <v>889</v>
      </c>
      <c r="C54" s="3" t="s">
        <v>889</v>
      </c>
      <c r="D54" s="3"/>
      <c r="E54" s="3" t="s">
        <v>876</v>
      </c>
      <c r="F54" s="3"/>
      <c r="G54" s="3"/>
      <c r="H54" s="3"/>
      <c r="I54" s="3"/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/>
      <c r="P54" s="3">
        <v>0</v>
      </c>
      <c r="Q54" s="3">
        <v>0</v>
      </c>
      <c r="R54" s="3">
        <v>0</v>
      </c>
    </row>
    <row r="55" spans="1:18">
      <c r="A55" s="3" t="s">
        <v>890</v>
      </c>
      <c r="B55" s="3" t="s">
        <v>889</v>
      </c>
      <c r="C55" s="3" t="s">
        <v>889</v>
      </c>
      <c r="D55" s="3" t="s">
        <v>891</v>
      </c>
      <c r="E55" s="3" t="s">
        <v>182</v>
      </c>
      <c r="F55" s="3">
        <v>13.99</v>
      </c>
      <c r="G55" s="3" t="s">
        <v>844</v>
      </c>
      <c r="H55" s="3"/>
      <c r="I55" s="3" t="s">
        <v>845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</row>
    <row r="56" spans="1:18">
      <c r="A56" s="3" t="s">
        <v>299</v>
      </c>
      <c r="B56" s="3" t="s">
        <v>300</v>
      </c>
      <c r="C56" s="3" t="s">
        <v>300</v>
      </c>
      <c r="D56" s="3" t="s">
        <v>301</v>
      </c>
      <c r="E56" s="3" t="s">
        <v>182</v>
      </c>
      <c r="F56" s="3">
        <v>65.99</v>
      </c>
      <c r="G56" s="3" t="s">
        <v>844</v>
      </c>
      <c r="H56" s="3"/>
      <c r="I56" s="3" t="s">
        <v>845</v>
      </c>
      <c r="J56" s="3">
        <v>9</v>
      </c>
      <c r="K56" s="3">
        <v>9</v>
      </c>
      <c r="L56" s="3">
        <v>0</v>
      </c>
      <c r="M56" s="3">
        <v>0</v>
      </c>
      <c r="N56" s="3">
        <v>9</v>
      </c>
      <c r="O56" s="3">
        <v>0.32</v>
      </c>
      <c r="P56" s="3">
        <v>0</v>
      </c>
      <c r="Q56" s="3">
        <v>0</v>
      </c>
      <c r="R56" s="3">
        <v>0</v>
      </c>
    </row>
    <row r="57" spans="1:18">
      <c r="A57" s="3" t="s">
        <v>309</v>
      </c>
      <c r="B57" s="3" t="s">
        <v>310</v>
      </c>
      <c r="C57" s="3" t="s">
        <v>310</v>
      </c>
      <c r="D57" s="3" t="s">
        <v>311</v>
      </c>
      <c r="E57" s="3" t="s">
        <v>182</v>
      </c>
      <c r="F57" s="3">
        <v>35.94</v>
      </c>
      <c r="G57" s="3" t="s">
        <v>844</v>
      </c>
      <c r="H57" s="3"/>
      <c r="I57" s="3" t="s">
        <v>845</v>
      </c>
      <c r="J57" s="3">
        <v>13</v>
      </c>
      <c r="K57" s="3">
        <v>13</v>
      </c>
      <c r="L57" s="3">
        <v>0</v>
      </c>
      <c r="M57" s="3">
        <v>0</v>
      </c>
      <c r="N57" s="3">
        <v>13</v>
      </c>
      <c r="O57" s="3">
        <v>0.39</v>
      </c>
      <c r="P57" s="3">
        <v>0</v>
      </c>
      <c r="Q57" s="3">
        <v>0</v>
      </c>
      <c r="R57" s="3">
        <v>0</v>
      </c>
    </row>
    <row r="58" spans="1:18">
      <c r="A58" s="3" t="s">
        <v>892</v>
      </c>
      <c r="B58" s="3" t="s">
        <v>893</v>
      </c>
      <c r="C58" s="3" t="s">
        <v>893</v>
      </c>
      <c r="D58" s="3"/>
      <c r="E58" s="3" t="s">
        <v>876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894</v>
      </c>
      <c r="B59" s="3" t="s">
        <v>895</v>
      </c>
      <c r="C59" s="3" t="s">
        <v>895</v>
      </c>
      <c r="D59" s="3"/>
      <c r="E59" s="3" t="s">
        <v>876</v>
      </c>
      <c r="F59" s="3"/>
      <c r="G59" s="3"/>
      <c r="H59" s="3"/>
      <c r="I59" s="3"/>
      <c r="J59" s="3">
        <v>1</v>
      </c>
      <c r="K59" s="3">
        <v>0</v>
      </c>
      <c r="L59" s="3">
        <v>1</v>
      </c>
      <c r="M59" s="3">
        <v>0</v>
      </c>
      <c r="N59" s="3">
        <v>1</v>
      </c>
      <c r="O59" s="3"/>
      <c r="P59" s="3">
        <v>0</v>
      </c>
      <c r="Q59" s="3">
        <v>0</v>
      </c>
      <c r="R59" s="3">
        <v>0</v>
      </c>
    </row>
    <row r="60" spans="1:18">
      <c r="A60" s="3" t="s">
        <v>896</v>
      </c>
      <c r="B60" s="3" t="s">
        <v>897</v>
      </c>
      <c r="C60" s="3" t="s">
        <v>897</v>
      </c>
      <c r="D60" s="3"/>
      <c r="E60" s="3" t="s">
        <v>876</v>
      </c>
      <c r="F60" s="3"/>
      <c r="G60" s="3"/>
      <c r="H60" s="3"/>
      <c r="I60" s="3"/>
      <c r="J60" s="3">
        <v>1</v>
      </c>
      <c r="K60" s="3">
        <v>0</v>
      </c>
      <c r="L60" s="3">
        <v>1</v>
      </c>
      <c r="M60" s="3">
        <v>0</v>
      </c>
      <c r="N60" s="3">
        <v>1</v>
      </c>
      <c r="O60" s="3"/>
      <c r="P60" s="3">
        <v>0</v>
      </c>
      <c r="Q60" s="3">
        <v>0</v>
      </c>
      <c r="R60" s="3">
        <v>0</v>
      </c>
    </row>
    <row r="61" spans="1:18">
      <c r="A61" s="3" t="s">
        <v>898</v>
      </c>
      <c r="B61" s="3" t="s">
        <v>899</v>
      </c>
      <c r="C61" s="3" t="s">
        <v>899</v>
      </c>
      <c r="D61" s="3" t="s">
        <v>900</v>
      </c>
      <c r="E61" s="3" t="s">
        <v>182</v>
      </c>
      <c r="F61" s="3">
        <v>20</v>
      </c>
      <c r="G61" s="3" t="s">
        <v>844</v>
      </c>
      <c r="H61" s="3"/>
      <c r="I61" s="3" t="s">
        <v>845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0.28</v>
      </c>
      <c r="P61" s="3">
        <v>0</v>
      </c>
      <c r="Q61" s="3">
        <v>0</v>
      </c>
      <c r="R61" s="3">
        <v>0</v>
      </c>
    </row>
    <row r="62" spans="1:18">
      <c r="A62" s="3" t="s">
        <v>901</v>
      </c>
      <c r="B62" s="3" t="s">
        <v>902</v>
      </c>
      <c r="C62" s="3" t="s">
        <v>902</v>
      </c>
      <c r="D62" s="3" t="s">
        <v>903</v>
      </c>
      <c r="E62" s="3" t="s">
        <v>182</v>
      </c>
      <c r="F62" s="3">
        <v>66.99</v>
      </c>
      <c r="G62" s="3" t="s">
        <v>844</v>
      </c>
      <c r="H62" s="3"/>
      <c r="I62" s="3" t="s">
        <v>845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0.19</v>
      </c>
      <c r="P62" s="3">
        <v>0</v>
      </c>
      <c r="Q62" s="3">
        <v>0</v>
      </c>
      <c r="R62" s="3">
        <v>0</v>
      </c>
    </row>
    <row r="63" spans="1:18">
      <c r="A63" s="3" t="s">
        <v>540</v>
      </c>
      <c r="B63" s="3" t="s">
        <v>541</v>
      </c>
      <c r="C63" s="3" t="s">
        <v>541</v>
      </c>
      <c r="D63" s="3" t="s">
        <v>542</v>
      </c>
      <c r="E63" s="3" t="s">
        <v>182</v>
      </c>
      <c r="F63" s="3">
        <v>16.99</v>
      </c>
      <c r="G63" s="3" t="s">
        <v>844</v>
      </c>
      <c r="H63" s="3"/>
      <c r="I63" s="3" t="s">
        <v>845</v>
      </c>
      <c r="J63" s="3">
        <v>2</v>
      </c>
      <c r="K63" s="3">
        <v>2</v>
      </c>
      <c r="L63" s="3">
        <v>0</v>
      </c>
      <c r="M63" s="3">
        <v>0</v>
      </c>
      <c r="N63" s="3">
        <v>2</v>
      </c>
      <c r="O63" s="3">
        <v>0.12</v>
      </c>
      <c r="P63" s="3">
        <v>0</v>
      </c>
      <c r="Q63" s="3">
        <v>0</v>
      </c>
      <c r="R63" s="3">
        <v>0</v>
      </c>
    </row>
    <row r="64" spans="1:18">
      <c r="A64" s="3" t="s">
        <v>270</v>
      </c>
      <c r="B64" s="3" t="s">
        <v>271</v>
      </c>
      <c r="C64" s="3" t="s">
        <v>271</v>
      </c>
      <c r="D64" s="3" t="s">
        <v>272</v>
      </c>
      <c r="E64" s="3" t="s">
        <v>182</v>
      </c>
      <c r="F64" s="3">
        <v>12.79</v>
      </c>
      <c r="G64" s="3" t="s">
        <v>844</v>
      </c>
      <c r="H64" s="3"/>
      <c r="I64" s="3" t="s">
        <v>845</v>
      </c>
      <c r="J64" s="3">
        <v>1</v>
      </c>
      <c r="K64" s="3">
        <v>1</v>
      </c>
      <c r="L64" s="3">
        <v>0</v>
      </c>
      <c r="M64" s="3">
        <v>0</v>
      </c>
      <c r="N64" s="3">
        <v>1</v>
      </c>
      <c r="O64" s="3">
        <v>0.09</v>
      </c>
      <c r="P64" s="3">
        <v>0</v>
      </c>
      <c r="Q64" s="3">
        <v>0</v>
      </c>
      <c r="R64" s="3">
        <v>0</v>
      </c>
    </row>
    <row r="65" spans="1:18">
      <c r="A65" s="3" t="s">
        <v>397</v>
      </c>
      <c r="B65" s="3" t="s">
        <v>398</v>
      </c>
      <c r="C65" s="3" t="s">
        <v>398</v>
      </c>
      <c r="D65" s="3" t="s">
        <v>399</v>
      </c>
      <c r="E65" s="3" t="s">
        <v>182</v>
      </c>
      <c r="F65" s="3">
        <v>11.99</v>
      </c>
      <c r="G65" s="3" t="s">
        <v>844</v>
      </c>
      <c r="H65" s="3"/>
      <c r="I65" s="3" t="s">
        <v>845</v>
      </c>
      <c r="J65" s="3">
        <v>1</v>
      </c>
      <c r="K65" s="3">
        <v>1</v>
      </c>
      <c r="L65" s="3">
        <v>0</v>
      </c>
      <c r="M65" s="3">
        <v>0</v>
      </c>
      <c r="N65" s="3">
        <v>1</v>
      </c>
      <c r="O65" s="3">
        <v>0.06</v>
      </c>
      <c r="P65" s="3">
        <v>0</v>
      </c>
      <c r="Q65" s="3">
        <v>0</v>
      </c>
      <c r="R65" s="3">
        <v>0</v>
      </c>
    </row>
    <row r="66" spans="1:18">
      <c r="A66" s="3" t="s">
        <v>384</v>
      </c>
      <c r="B66" s="3" t="s">
        <v>385</v>
      </c>
      <c r="C66" s="3" t="s">
        <v>385</v>
      </c>
      <c r="D66" s="3" t="s">
        <v>386</v>
      </c>
      <c r="E66" s="3" t="s">
        <v>182</v>
      </c>
      <c r="F66" s="3">
        <v>15.46</v>
      </c>
      <c r="G66" s="3" t="s">
        <v>844</v>
      </c>
      <c r="H66" s="3"/>
      <c r="I66" s="3" t="s">
        <v>845</v>
      </c>
      <c r="J66" s="3">
        <v>10</v>
      </c>
      <c r="K66" s="3">
        <v>10</v>
      </c>
      <c r="L66" s="3">
        <v>0</v>
      </c>
      <c r="M66" s="3">
        <v>0</v>
      </c>
      <c r="N66" s="3">
        <v>10</v>
      </c>
      <c r="O66" s="3">
        <v>0.11</v>
      </c>
      <c r="P66" s="3">
        <v>0</v>
      </c>
      <c r="Q66" s="3">
        <v>0</v>
      </c>
      <c r="R66" s="3">
        <v>0</v>
      </c>
    </row>
    <row r="67" spans="1:18">
      <c r="A67" s="3" t="s">
        <v>12</v>
      </c>
      <c r="B67" s="3" t="s">
        <v>13</v>
      </c>
      <c r="C67" s="3" t="s">
        <v>13</v>
      </c>
      <c r="D67" s="3" t="s">
        <v>14</v>
      </c>
      <c r="E67" s="3" t="s">
        <v>182</v>
      </c>
      <c r="F67" s="3">
        <v>13.59</v>
      </c>
      <c r="G67" s="3" t="s">
        <v>844</v>
      </c>
      <c r="H67" s="3"/>
      <c r="I67" s="3" t="s">
        <v>845</v>
      </c>
      <c r="J67" s="3">
        <v>5</v>
      </c>
      <c r="K67" s="3">
        <v>3</v>
      </c>
      <c r="L67" s="3">
        <v>0</v>
      </c>
      <c r="M67" s="3">
        <v>2</v>
      </c>
      <c r="N67" s="3">
        <v>5</v>
      </c>
      <c r="O67" s="3">
        <v>0.15</v>
      </c>
      <c r="P67" s="3">
        <v>0</v>
      </c>
      <c r="Q67" s="3">
        <v>0</v>
      </c>
      <c r="R67" s="3">
        <v>0</v>
      </c>
    </row>
    <row r="68" spans="1:18">
      <c r="A68" s="3" t="s">
        <v>51</v>
      </c>
      <c r="B68" s="3" t="s">
        <v>52</v>
      </c>
      <c r="C68" s="3" t="s">
        <v>52</v>
      </c>
      <c r="D68" s="3" t="s">
        <v>53</v>
      </c>
      <c r="E68" s="3" t="s">
        <v>182</v>
      </c>
      <c r="F68" s="3">
        <v>12.79</v>
      </c>
      <c r="G68" s="3" t="s">
        <v>844</v>
      </c>
      <c r="H68" s="3"/>
      <c r="I68" s="3" t="s">
        <v>845</v>
      </c>
      <c r="J68" s="3">
        <v>6</v>
      </c>
      <c r="K68" s="3">
        <v>1</v>
      </c>
      <c r="L68" s="3">
        <v>1</v>
      </c>
      <c r="M68" s="3">
        <v>4</v>
      </c>
      <c r="N68" s="3">
        <v>6</v>
      </c>
      <c r="O68" s="3">
        <v>0.1</v>
      </c>
      <c r="P68" s="3">
        <v>0</v>
      </c>
      <c r="Q68" s="3">
        <v>0</v>
      </c>
      <c r="R68" s="3">
        <v>0</v>
      </c>
    </row>
    <row r="69" spans="1:18">
      <c r="A69" s="3" t="s">
        <v>58</v>
      </c>
      <c r="B69" s="3" t="s">
        <v>59</v>
      </c>
      <c r="C69" s="3" t="s">
        <v>59</v>
      </c>
      <c r="D69" s="3" t="s">
        <v>60</v>
      </c>
      <c r="E69" s="3" t="s">
        <v>182</v>
      </c>
      <c r="F69" s="3">
        <v>11.99</v>
      </c>
      <c r="G69" s="3" t="s">
        <v>844</v>
      </c>
      <c r="H69" s="3"/>
      <c r="I69" s="3" t="s">
        <v>845</v>
      </c>
      <c r="J69" s="3">
        <v>5</v>
      </c>
      <c r="K69" s="3">
        <v>1</v>
      </c>
      <c r="L69" s="3">
        <v>0</v>
      </c>
      <c r="M69" s="3">
        <v>4</v>
      </c>
      <c r="N69" s="3">
        <v>5</v>
      </c>
      <c r="O69" s="3">
        <v>0.05</v>
      </c>
      <c r="P69" s="3">
        <v>0</v>
      </c>
      <c r="Q69" s="3">
        <v>0</v>
      </c>
      <c r="R69" s="3">
        <v>0</v>
      </c>
    </row>
    <row r="70" spans="1:18">
      <c r="A70" s="3" t="s">
        <v>904</v>
      </c>
      <c r="B70" s="3" t="s">
        <v>905</v>
      </c>
      <c r="C70" s="3" t="s">
        <v>905</v>
      </c>
      <c r="D70" s="3" t="s">
        <v>906</v>
      </c>
      <c r="E70" s="3" t="s">
        <v>182</v>
      </c>
      <c r="F70" s="3">
        <v>15.35</v>
      </c>
      <c r="G70" s="3" t="s">
        <v>844</v>
      </c>
      <c r="H70" s="3"/>
      <c r="I70" s="3" t="s">
        <v>845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0.15</v>
      </c>
      <c r="P70" s="3">
        <v>0</v>
      </c>
      <c r="Q70" s="3">
        <v>0</v>
      </c>
      <c r="R70" s="3">
        <v>0</v>
      </c>
    </row>
    <row r="71" spans="1:18">
      <c r="A71" s="3" t="s">
        <v>30</v>
      </c>
      <c r="B71" s="3" t="s">
        <v>31</v>
      </c>
      <c r="C71" s="3" t="s">
        <v>31</v>
      </c>
      <c r="D71" s="3" t="s">
        <v>32</v>
      </c>
      <c r="E71" s="3" t="s">
        <v>182</v>
      </c>
      <c r="F71" s="3">
        <v>16.99</v>
      </c>
      <c r="G71" s="3" t="s">
        <v>844</v>
      </c>
      <c r="H71" s="3"/>
      <c r="I71" s="3" t="s">
        <v>845</v>
      </c>
      <c r="J71" s="3">
        <v>5</v>
      </c>
      <c r="K71" s="3">
        <v>2</v>
      </c>
      <c r="L71" s="3">
        <v>0</v>
      </c>
      <c r="M71" s="3">
        <v>3</v>
      </c>
      <c r="N71" s="3">
        <v>5</v>
      </c>
      <c r="O71" s="3">
        <v>0.03</v>
      </c>
      <c r="P71" s="3">
        <v>0</v>
      </c>
      <c r="Q71" s="3">
        <v>0</v>
      </c>
      <c r="R71" s="3">
        <v>0</v>
      </c>
    </row>
    <row r="72" spans="1:18">
      <c r="A72" s="3" t="s">
        <v>66</v>
      </c>
      <c r="B72" s="3" t="s">
        <v>67</v>
      </c>
      <c r="C72" s="3" t="s">
        <v>67</v>
      </c>
      <c r="D72" s="3" t="s">
        <v>68</v>
      </c>
      <c r="E72" s="3" t="s">
        <v>182</v>
      </c>
      <c r="F72" s="3">
        <v>30</v>
      </c>
      <c r="G72" s="3" t="s">
        <v>844</v>
      </c>
      <c r="H72" s="3"/>
      <c r="I72" s="3" t="s">
        <v>845</v>
      </c>
      <c r="J72" s="3">
        <v>5</v>
      </c>
      <c r="K72" s="3">
        <v>0</v>
      </c>
      <c r="L72" s="3">
        <v>0</v>
      </c>
      <c r="M72" s="3">
        <v>5</v>
      </c>
      <c r="N72" s="3">
        <v>5</v>
      </c>
      <c r="O72" s="3">
        <v>0.11</v>
      </c>
      <c r="P72" s="3">
        <v>0</v>
      </c>
      <c r="Q72" s="3">
        <v>0</v>
      </c>
      <c r="R72" s="3">
        <v>0</v>
      </c>
    </row>
    <row r="73" spans="1:18">
      <c r="A73" s="3" t="s">
        <v>69</v>
      </c>
      <c r="B73" s="3" t="s">
        <v>70</v>
      </c>
      <c r="C73" s="3" t="s">
        <v>70</v>
      </c>
      <c r="D73" s="3" t="s">
        <v>71</v>
      </c>
      <c r="E73" s="3" t="s">
        <v>182</v>
      </c>
      <c r="F73" s="3">
        <v>11.99</v>
      </c>
      <c r="G73" s="3" t="s">
        <v>844</v>
      </c>
      <c r="H73" s="3"/>
      <c r="I73" s="3" t="s">
        <v>845</v>
      </c>
      <c r="J73" s="3">
        <v>7</v>
      </c>
      <c r="K73" s="3">
        <v>3</v>
      </c>
      <c r="L73" s="3">
        <v>0</v>
      </c>
      <c r="M73" s="3">
        <v>4</v>
      </c>
      <c r="N73" s="3">
        <v>7</v>
      </c>
      <c r="O73" s="3">
        <v>0</v>
      </c>
      <c r="P73" s="3">
        <v>0</v>
      </c>
      <c r="Q73" s="3">
        <v>0</v>
      </c>
      <c r="R73" s="3">
        <v>0</v>
      </c>
    </row>
    <row r="74" spans="1:18">
      <c r="A74" s="3" t="s">
        <v>339</v>
      </c>
      <c r="B74" s="3" t="s">
        <v>340</v>
      </c>
      <c r="C74" s="3" t="s">
        <v>340</v>
      </c>
      <c r="D74" s="3" t="s">
        <v>341</v>
      </c>
      <c r="E74" s="3" t="s">
        <v>182</v>
      </c>
      <c r="F74" s="3">
        <v>14.4</v>
      </c>
      <c r="G74" s="3" t="s">
        <v>844</v>
      </c>
      <c r="H74" s="3"/>
      <c r="I74" s="3" t="s">
        <v>845</v>
      </c>
      <c r="J74" s="3">
        <v>9</v>
      </c>
      <c r="K74" s="3">
        <v>9</v>
      </c>
      <c r="L74" s="3">
        <v>0</v>
      </c>
      <c r="M74" s="3">
        <v>0</v>
      </c>
      <c r="N74" s="3">
        <v>9</v>
      </c>
      <c r="O74" s="3">
        <v>0.19</v>
      </c>
      <c r="P74" s="3">
        <v>0</v>
      </c>
      <c r="Q74" s="3">
        <v>0</v>
      </c>
      <c r="R74" s="3">
        <v>0</v>
      </c>
    </row>
    <row r="75" spans="1:18">
      <c r="A75" s="3" t="s">
        <v>8</v>
      </c>
      <c r="B75" s="3" t="s">
        <v>9</v>
      </c>
      <c r="C75" s="3" t="s">
        <v>10</v>
      </c>
      <c r="D75" s="3" t="s">
        <v>11</v>
      </c>
      <c r="E75" s="3" t="s">
        <v>182</v>
      </c>
      <c r="F75" s="3">
        <v>30.99</v>
      </c>
      <c r="G75" s="3" t="s">
        <v>844</v>
      </c>
      <c r="H75" s="3"/>
      <c r="I75" s="3" t="s">
        <v>845</v>
      </c>
      <c r="J75" s="3">
        <v>3</v>
      </c>
      <c r="K75" s="3">
        <v>0</v>
      </c>
      <c r="L75" s="3">
        <v>0</v>
      </c>
      <c r="M75" s="3">
        <v>3</v>
      </c>
      <c r="N75" s="3">
        <v>3</v>
      </c>
      <c r="O75" s="3">
        <v>0</v>
      </c>
      <c r="P75" s="3">
        <v>0</v>
      </c>
      <c r="Q75" s="3">
        <v>0</v>
      </c>
      <c r="R75" s="3">
        <v>0</v>
      </c>
    </row>
    <row r="76" spans="1:18">
      <c r="A76" s="3" t="s">
        <v>54</v>
      </c>
      <c r="B76" s="3" t="s">
        <v>55</v>
      </c>
      <c r="C76" s="3" t="s">
        <v>56</v>
      </c>
      <c r="D76" s="3" t="s">
        <v>57</v>
      </c>
      <c r="E76" s="3" t="s">
        <v>182</v>
      </c>
      <c r="F76" s="3">
        <v>30.99</v>
      </c>
      <c r="G76" s="3" t="s">
        <v>844</v>
      </c>
      <c r="H76" s="3"/>
      <c r="I76" s="3" t="s">
        <v>845</v>
      </c>
      <c r="J76" s="3">
        <v>3</v>
      </c>
      <c r="K76" s="3">
        <v>0</v>
      </c>
      <c r="L76" s="3">
        <v>0</v>
      </c>
      <c r="M76" s="3">
        <v>3</v>
      </c>
      <c r="N76" s="3">
        <v>3</v>
      </c>
      <c r="O76" s="3">
        <v>0</v>
      </c>
      <c r="P76" s="3">
        <v>0</v>
      </c>
      <c r="Q76" s="3">
        <v>0</v>
      </c>
      <c r="R76" s="3">
        <v>0</v>
      </c>
    </row>
    <row r="77" spans="1:18">
      <c r="A77" s="3" t="s">
        <v>44</v>
      </c>
      <c r="B77" s="3" t="s">
        <v>45</v>
      </c>
      <c r="C77" s="3" t="s">
        <v>46</v>
      </c>
      <c r="D77" s="3" t="s">
        <v>47</v>
      </c>
      <c r="E77" s="3" t="s">
        <v>182</v>
      </c>
      <c r="F77" s="3">
        <v>30.99</v>
      </c>
      <c r="G77" s="3" t="s">
        <v>844</v>
      </c>
      <c r="H77" s="3"/>
      <c r="I77" s="3" t="s">
        <v>845</v>
      </c>
      <c r="J77" s="3">
        <v>3</v>
      </c>
      <c r="K77" s="3">
        <v>1</v>
      </c>
      <c r="L77" s="3">
        <v>0</v>
      </c>
      <c r="M77" s="3">
        <v>2</v>
      </c>
      <c r="N77" s="3">
        <v>3</v>
      </c>
      <c r="O77" s="3">
        <v>0</v>
      </c>
      <c r="P77" s="3">
        <v>0</v>
      </c>
      <c r="Q77" s="3">
        <v>0</v>
      </c>
      <c r="R77" s="3">
        <v>0</v>
      </c>
    </row>
    <row r="78" spans="1:18">
      <c r="A78" s="3" t="s">
        <v>502</v>
      </c>
      <c r="B78" s="3" t="s">
        <v>503</v>
      </c>
      <c r="C78" s="3" t="s">
        <v>503</v>
      </c>
      <c r="D78" s="3" t="s">
        <v>504</v>
      </c>
      <c r="E78" s="3" t="s">
        <v>182</v>
      </c>
      <c r="F78" s="3">
        <v>8.99</v>
      </c>
      <c r="G78" s="3" t="s">
        <v>844</v>
      </c>
      <c r="H78" s="3"/>
      <c r="I78" s="3" t="s">
        <v>845</v>
      </c>
      <c r="J78" s="3">
        <v>11</v>
      </c>
      <c r="K78" s="3">
        <v>10</v>
      </c>
      <c r="L78" s="3">
        <v>1</v>
      </c>
      <c r="M78" s="3">
        <v>0</v>
      </c>
      <c r="N78" s="3">
        <v>11</v>
      </c>
      <c r="O78" s="3">
        <v>0.02</v>
      </c>
      <c r="P78" s="3">
        <v>0</v>
      </c>
      <c r="Q78" s="3">
        <v>0</v>
      </c>
      <c r="R78" s="3">
        <v>0</v>
      </c>
    </row>
    <row r="79" spans="1:18">
      <c r="A79" s="3" t="s">
        <v>408</v>
      </c>
      <c r="B79" s="3" t="s">
        <v>409</v>
      </c>
      <c r="C79" s="3" t="s">
        <v>409</v>
      </c>
      <c r="D79" s="3" t="s">
        <v>410</v>
      </c>
      <c r="E79" s="3" t="s">
        <v>182</v>
      </c>
      <c r="F79" s="3">
        <v>13.18</v>
      </c>
      <c r="G79" s="3" t="s">
        <v>844</v>
      </c>
      <c r="H79" s="3"/>
      <c r="I79" s="3" t="s">
        <v>845</v>
      </c>
      <c r="J79" s="3">
        <v>6</v>
      </c>
      <c r="K79" s="3">
        <v>6</v>
      </c>
      <c r="L79" s="3">
        <v>0</v>
      </c>
      <c r="M79" s="3">
        <v>0</v>
      </c>
      <c r="N79" s="3">
        <v>6</v>
      </c>
      <c r="O79" s="3">
        <v>0</v>
      </c>
      <c r="P79" s="3">
        <v>0</v>
      </c>
      <c r="Q79" s="3">
        <v>0</v>
      </c>
      <c r="R79" s="3">
        <v>0</v>
      </c>
    </row>
    <row r="80" spans="1:18">
      <c r="A80" s="3" t="s">
        <v>907</v>
      </c>
      <c r="B80" s="3" t="s">
        <v>908</v>
      </c>
      <c r="C80" s="3" t="s">
        <v>908</v>
      </c>
      <c r="D80" s="3" t="s">
        <v>909</v>
      </c>
      <c r="E80" s="3" t="s">
        <v>182</v>
      </c>
      <c r="F80" s="3">
        <v>30</v>
      </c>
      <c r="G80" s="3" t="s">
        <v>844</v>
      </c>
      <c r="H80" s="3"/>
      <c r="I80" s="3" t="s">
        <v>845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0.07</v>
      </c>
      <c r="P80" s="3">
        <v>0</v>
      </c>
      <c r="Q80" s="3">
        <v>0</v>
      </c>
      <c r="R80" s="3">
        <v>0</v>
      </c>
    </row>
    <row r="81" spans="1:18">
      <c r="A81" s="3" t="s">
        <v>226</v>
      </c>
      <c r="B81" s="3" t="s">
        <v>227</v>
      </c>
      <c r="C81" s="3" t="s">
        <v>227</v>
      </c>
      <c r="D81" s="3" t="s">
        <v>228</v>
      </c>
      <c r="E81" s="3" t="s">
        <v>182</v>
      </c>
      <c r="F81" s="3">
        <v>30</v>
      </c>
      <c r="G81" s="3" t="s">
        <v>844</v>
      </c>
      <c r="H81" s="3"/>
      <c r="I81" s="3" t="s">
        <v>845</v>
      </c>
      <c r="J81" s="3">
        <v>4</v>
      </c>
      <c r="K81" s="3">
        <v>4</v>
      </c>
      <c r="L81" s="3">
        <v>0</v>
      </c>
      <c r="M81" s="3">
        <v>0</v>
      </c>
      <c r="N81" s="3">
        <v>4</v>
      </c>
      <c r="O81" s="3">
        <v>0.04</v>
      </c>
      <c r="P81" s="3">
        <v>0</v>
      </c>
      <c r="Q81" s="3">
        <v>0</v>
      </c>
      <c r="R81" s="3">
        <v>0</v>
      </c>
    </row>
    <row r="82" spans="1:18">
      <c r="A82" s="3" t="s">
        <v>702</v>
      </c>
      <c r="B82" s="3" t="s">
        <v>703</v>
      </c>
      <c r="C82" s="3" t="s">
        <v>703</v>
      </c>
      <c r="D82" s="3" t="s">
        <v>704</v>
      </c>
      <c r="E82" s="3" t="s">
        <v>182</v>
      </c>
      <c r="F82" s="3">
        <v>30</v>
      </c>
      <c r="G82" s="3" t="s">
        <v>844</v>
      </c>
      <c r="H82" s="3"/>
      <c r="I82" s="3" t="s">
        <v>845</v>
      </c>
      <c r="J82" s="3">
        <v>4</v>
      </c>
      <c r="K82" s="3">
        <v>4</v>
      </c>
      <c r="L82" s="3">
        <v>0</v>
      </c>
      <c r="M82" s="3">
        <v>0</v>
      </c>
      <c r="N82" s="3">
        <v>4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468</v>
      </c>
      <c r="B83" s="3" t="s">
        <v>469</v>
      </c>
      <c r="C83" s="3" t="s">
        <v>469</v>
      </c>
      <c r="D83" s="3" t="s">
        <v>470</v>
      </c>
      <c r="E83" s="3" t="s">
        <v>182</v>
      </c>
      <c r="F83" s="3">
        <v>12.56</v>
      </c>
      <c r="G83" s="3" t="s">
        <v>844</v>
      </c>
      <c r="H83" s="3"/>
      <c r="I83" s="3" t="s">
        <v>845</v>
      </c>
      <c r="J83" s="3">
        <v>6</v>
      </c>
      <c r="K83" s="3">
        <v>6</v>
      </c>
      <c r="L83" s="3">
        <v>0</v>
      </c>
      <c r="M83" s="3">
        <v>0</v>
      </c>
      <c r="N83" s="3">
        <v>6</v>
      </c>
      <c r="O83" s="3">
        <v>0.02</v>
      </c>
      <c r="P83" s="3">
        <v>0</v>
      </c>
      <c r="Q83" s="3">
        <v>0</v>
      </c>
      <c r="R83" s="3">
        <v>0</v>
      </c>
    </row>
    <row r="84" spans="1:18">
      <c r="A84" s="3" t="s">
        <v>761</v>
      </c>
      <c r="B84" s="3" t="s">
        <v>762</v>
      </c>
      <c r="C84" s="3" t="s">
        <v>762</v>
      </c>
      <c r="D84" s="3" t="s">
        <v>763</v>
      </c>
      <c r="E84" s="3" t="s">
        <v>182</v>
      </c>
      <c r="F84" s="3">
        <v>15.99</v>
      </c>
      <c r="G84" s="3" t="s">
        <v>844</v>
      </c>
      <c r="H84" s="3"/>
      <c r="I84" s="3" t="s">
        <v>845</v>
      </c>
      <c r="J84" s="3">
        <v>13</v>
      </c>
      <c r="K84" s="3">
        <v>13</v>
      </c>
      <c r="L84" s="3">
        <v>0</v>
      </c>
      <c r="M84" s="3">
        <v>0</v>
      </c>
      <c r="N84" s="3">
        <v>13</v>
      </c>
      <c r="O84" s="3">
        <v>0.06</v>
      </c>
      <c r="P84" s="3">
        <v>0</v>
      </c>
      <c r="Q84" s="3">
        <v>0</v>
      </c>
      <c r="R84" s="3">
        <v>0</v>
      </c>
    </row>
    <row r="85" spans="1:18">
      <c r="A85" s="3" t="s">
        <v>212</v>
      </c>
      <c r="B85" s="3" t="s">
        <v>213</v>
      </c>
      <c r="C85" s="3" t="s">
        <v>213</v>
      </c>
      <c r="D85" s="3" t="s">
        <v>214</v>
      </c>
      <c r="E85" s="3" t="s">
        <v>182</v>
      </c>
      <c r="F85" s="3">
        <v>13.99</v>
      </c>
      <c r="G85" s="3" t="s">
        <v>844</v>
      </c>
      <c r="H85" s="3"/>
      <c r="I85" s="3" t="s">
        <v>845</v>
      </c>
      <c r="J85" s="3">
        <v>4</v>
      </c>
      <c r="K85" s="3">
        <v>4</v>
      </c>
      <c r="L85" s="3">
        <v>0</v>
      </c>
      <c r="M85" s="3">
        <v>0</v>
      </c>
      <c r="N85" s="3">
        <v>4</v>
      </c>
      <c r="O85" s="3">
        <v>0</v>
      </c>
      <c r="P85" s="3">
        <v>0</v>
      </c>
      <c r="Q85" s="3">
        <v>0</v>
      </c>
      <c r="R85" s="3">
        <v>0</v>
      </c>
    </row>
    <row r="86" spans="1:18">
      <c r="A86" s="3" t="s">
        <v>499</v>
      </c>
      <c r="B86" s="3" t="s">
        <v>500</v>
      </c>
      <c r="C86" s="3" t="s">
        <v>500</v>
      </c>
      <c r="D86" s="3" t="s">
        <v>501</v>
      </c>
      <c r="E86" s="3" t="s">
        <v>182</v>
      </c>
      <c r="F86" s="3">
        <v>13.99</v>
      </c>
      <c r="G86" s="3" t="s">
        <v>844</v>
      </c>
      <c r="H86" s="3"/>
      <c r="I86" s="3" t="s">
        <v>845</v>
      </c>
      <c r="J86" s="3">
        <v>10</v>
      </c>
      <c r="K86" s="3">
        <v>10</v>
      </c>
      <c r="L86" s="3">
        <v>0</v>
      </c>
      <c r="M86" s="3">
        <v>0</v>
      </c>
      <c r="N86" s="3">
        <v>10</v>
      </c>
      <c r="O86" s="3">
        <v>0.07</v>
      </c>
      <c r="P86" s="3">
        <v>0</v>
      </c>
      <c r="Q86" s="3">
        <v>0</v>
      </c>
      <c r="R86" s="3">
        <v>0</v>
      </c>
    </row>
    <row r="87" spans="1:18">
      <c r="A87" s="3" t="s">
        <v>472</v>
      </c>
      <c r="B87" s="3" t="s">
        <v>473</v>
      </c>
      <c r="C87" s="3" t="s">
        <v>473</v>
      </c>
      <c r="D87" s="3" t="s">
        <v>474</v>
      </c>
      <c r="E87" s="3" t="s">
        <v>182</v>
      </c>
      <c r="F87" s="3">
        <v>13.99</v>
      </c>
      <c r="G87" s="3" t="s">
        <v>844</v>
      </c>
      <c r="H87" s="3"/>
      <c r="I87" s="3" t="s">
        <v>845</v>
      </c>
      <c r="J87" s="3">
        <v>1</v>
      </c>
      <c r="K87" s="3">
        <v>1</v>
      </c>
      <c r="L87" s="3">
        <v>0</v>
      </c>
      <c r="M87" s="3">
        <v>0</v>
      </c>
      <c r="N87" s="3">
        <v>1</v>
      </c>
      <c r="O87" s="3">
        <v>0.07</v>
      </c>
      <c r="P87" s="3">
        <v>0</v>
      </c>
      <c r="Q87" s="3">
        <v>0</v>
      </c>
      <c r="R87" s="3">
        <v>0</v>
      </c>
    </row>
    <row r="88" spans="1:18">
      <c r="A88" s="3" t="s">
        <v>423</v>
      </c>
      <c r="B88" s="3" t="s">
        <v>424</v>
      </c>
      <c r="C88" s="3" t="s">
        <v>424</v>
      </c>
      <c r="D88" s="3" t="s">
        <v>425</v>
      </c>
      <c r="E88" s="3" t="s">
        <v>182</v>
      </c>
      <c r="F88" s="3">
        <v>13.99</v>
      </c>
      <c r="G88" s="3" t="s">
        <v>844</v>
      </c>
      <c r="H88" s="3"/>
      <c r="I88" s="3" t="s">
        <v>845</v>
      </c>
      <c r="J88" s="3">
        <v>5</v>
      </c>
      <c r="K88" s="3">
        <v>5</v>
      </c>
      <c r="L88" s="3">
        <v>0</v>
      </c>
      <c r="M88" s="3">
        <v>0</v>
      </c>
      <c r="N88" s="3">
        <v>5</v>
      </c>
      <c r="O88" s="3">
        <v>0.06</v>
      </c>
      <c r="P88" s="3">
        <v>0</v>
      </c>
      <c r="Q88" s="3">
        <v>0</v>
      </c>
      <c r="R88" s="3">
        <v>0</v>
      </c>
    </row>
    <row r="89" spans="1:18">
      <c r="A89" s="3" t="s">
        <v>588</v>
      </c>
      <c r="B89" s="3" t="s">
        <v>589</v>
      </c>
      <c r="C89" s="3" t="s">
        <v>589</v>
      </c>
      <c r="D89" s="3" t="s">
        <v>590</v>
      </c>
      <c r="E89" s="3" t="s">
        <v>182</v>
      </c>
      <c r="F89" s="3">
        <v>13.99</v>
      </c>
      <c r="G89" s="3" t="s">
        <v>844</v>
      </c>
      <c r="H89" s="3"/>
      <c r="I89" s="3" t="s">
        <v>845</v>
      </c>
      <c r="J89" s="3">
        <v>7</v>
      </c>
      <c r="K89" s="3">
        <v>7</v>
      </c>
      <c r="L89" s="3">
        <v>0</v>
      </c>
      <c r="M89" s="3">
        <v>0</v>
      </c>
      <c r="N89" s="3">
        <v>7</v>
      </c>
      <c r="O89" s="3">
        <v>0.05</v>
      </c>
      <c r="P89" s="3">
        <v>0</v>
      </c>
      <c r="Q89" s="3">
        <v>0</v>
      </c>
      <c r="R89" s="3">
        <v>0</v>
      </c>
    </row>
    <row r="90" spans="1:18">
      <c r="A90" s="3" t="s">
        <v>88</v>
      </c>
      <c r="B90" s="3" t="s">
        <v>89</v>
      </c>
      <c r="C90" s="3" t="s">
        <v>89</v>
      </c>
      <c r="D90" s="3" t="s">
        <v>90</v>
      </c>
      <c r="E90" s="3" t="s">
        <v>182</v>
      </c>
      <c r="F90" s="3">
        <v>13.99</v>
      </c>
      <c r="G90" s="3" t="s">
        <v>844</v>
      </c>
      <c r="H90" s="3"/>
      <c r="I90" s="3" t="s">
        <v>845</v>
      </c>
      <c r="J90" s="3">
        <v>4</v>
      </c>
      <c r="K90" s="3">
        <v>2</v>
      </c>
      <c r="L90" s="3">
        <v>0</v>
      </c>
      <c r="M90" s="3">
        <v>2</v>
      </c>
      <c r="N90" s="3">
        <v>4</v>
      </c>
      <c r="O90" s="3">
        <v>0</v>
      </c>
      <c r="P90" s="3">
        <v>0</v>
      </c>
      <c r="Q90" s="3">
        <v>0</v>
      </c>
      <c r="R90" s="3">
        <v>0</v>
      </c>
    </row>
    <row r="91" spans="1:18">
      <c r="A91" s="3" t="s">
        <v>358</v>
      </c>
      <c r="B91" s="3" t="s">
        <v>359</v>
      </c>
      <c r="C91" s="3" t="s">
        <v>359</v>
      </c>
      <c r="D91" s="3" t="s">
        <v>360</v>
      </c>
      <c r="E91" s="3" t="s">
        <v>182</v>
      </c>
      <c r="F91" s="3">
        <v>13.99</v>
      </c>
      <c r="G91" s="3" t="s">
        <v>844</v>
      </c>
      <c r="H91" s="3"/>
      <c r="I91" s="3" t="s">
        <v>845</v>
      </c>
      <c r="J91" s="3">
        <v>5</v>
      </c>
      <c r="K91" s="3">
        <v>5</v>
      </c>
      <c r="L91" s="3">
        <v>0</v>
      </c>
      <c r="M91" s="3">
        <v>0</v>
      </c>
      <c r="N91" s="3">
        <v>5</v>
      </c>
      <c r="O91" s="3">
        <v>0.05</v>
      </c>
      <c r="P91" s="3">
        <v>0</v>
      </c>
      <c r="Q91" s="3">
        <v>0</v>
      </c>
      <c r="R91" s="3">
        <v>0</v>
      </c>
    </row>
    <row r="92" spans="1:18">
      <c r="A92" s="3" t="s">
        <v>656</v>
      </c>
      <c r="B92" s="3" t="s">
        <v>657</v>
      </c>
      <c r="C92" s="3" t="s">
        <v>657</v>
      </c>
      <c r="D92" s="3" t="s">
        <v>318</v>
      </c>
      <c r="E92" s="3" t="s">
        <v>182</v>
      </c>
      <c r="F92" s="3">
        <v>14.99</v>
      </c>
      <c r="G92" s="3" t="s">
        <v>844</v>
      </c>
      <c r="H92" s="3"/>
      <c r="I92" s="3" t="s">
        <v>845</v>
      </c>
      <c r="J92" s="3">
        <v>3</v>
      </c>
      <c r="K92" s="3">
        <v>3</v>
      </c>
      <c r="L92" s="3">
        <v>0</v>
      </c>
      <c r="M92" s="3">
        <v>0</v>
      </c>
      <c r="N92" s="3">
        <v>3</v>
      </c>
      <c r="O92" s="3">
        <v>0.17</v>
      </c>
      <c r="P92" s="3">
        <v>0</v>
      </c>
      <c r="Q92" s="3">
        <v>0</v>
      </c>
      <c r="R92" s="3">
        <v>0</v>
      </c>
    </row>
    <row r="93" spans="1:18">
      <c r="A93" s="3" t="s">
        <v>316</v>
      </c>
      <c r="B93" s="3" t="s">
        <v>317</v>
      </c>
      <c r="C93" s="3" t="s">
        <v>317</v>
      </c>
      <c r="D93" s="3" t="s">
        <v>318</v>
      </c>
      <c r="E93" s="3" t="s">
        <v>182</v>
      </c>
      <c r="F93" s="3">
        <v>14.99</v>
      </c>
      <c r="G93" s="3" t="s">
        <v>844</v>
      </c>
      <c r="H93" s="3"/>
      <c r="I93" s="3" t="s">
        <v>845</v>
      </c>
      <c r="J93" s="3">
        <v>3</v>
      </c>
      <c r="K93" s="3">
        <v>3</v>
      </c>
      <c r="L93" s="3">
        <v>0</v>
      </c>
      <c r="M93" s="3">
        <v>0</v>
      </c>
      <c r="N93" s="3">
        <v>3</v>
      </c>
      <c r="O93" s="3">
        <v>0.12</v>
      </c>
      <c r="P93" s="3">
        <v>0</v>
      </c>
      <c r="Q93" s="3">
        <v>0</v>
      </c>
      <c r="R93" s="3">
        <v>0</v>
      </c>
    </row>
    <row r="94" spans="1:18">
      <c r="A94" s="3" t="s">
        <v>910</v>
      </c>
      <c r="B94" s="3" t="s">
        <v>911</v>
      </c>
      <c r="C94" s="3" t="s">
        <v>912</v>
      </c>
      <c r="D94" s="3" t="s">
        <v>913</v>
      </c>
      <c r="E94" s="3" t="s">
        <v>182</v>
      </c>
      <c r="F94" s="3">
        <v>50.99</v>
      </c>
      <c r="G94" s="3" t="s">
        <v>844</v>
      </c>
      <c r="H94" s="3"/>
      <c r="I94" s="3" t="s">
        <v>845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</row>
    <row r="95" spans="1:18">
      <c r="A95" s="3" t="s">
        <v>914</v>
      </c>
      <c r="B95" s="3" t="s">
        <v>915</v>
      </c>
      <c r="C95" s="3" t="s">
        <v>916</v>
      </c>
      <c r="D95" s="3" t="s">
        <v>917</v>
      </c>
      <c r="E95" s="3" t="s">
        <v>182</v>
      </c>
      <c r="F95" s="3">
        <v>50.99</v>
      </c>
      <c r="G95" s="3" t="s">
        <v>844</v>
      </c>
      <c r="H95" s="3"/>
      <c r="I95" s="3" t="s">
        <v>845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</row>
    <row r="96" spans="1:18">
      <c r="A96" s="3" t="s">
        <v>918</v>
      </c>
      <c r="B96" s="3" t="s">
        <v>919</v>
      </c>
      <c r="C96" s="3" t="s">
        <v>920</v>
      </c>
      <c r="D96" s="3" t="s">
        <v>921</v>
      </c>
      <c r="E96" s="3" t="s">
        <v>182</v>
      </c>
      <c r="F96" s="3">
        <v>50.99</v>
      </c>
      <c r="G96" s="3" t="s">
        <v>844</v>
      </c>
      <c r="H96" s="3"/>
      <c r="I96" s="3" t="s">
        <v>845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</row>
    <row r="97" spans="1:18">
      <c r="A97" s="3" t="s">
        <v>922</v>
      </c>
      <c r="B97" s="3" t="s">
        <v>923</v>
      </c>
      <c r="C97" s="3" t="s">
        <v>924</v>
      </c>
      <c r="D97" s="3" t="s">
        <v>925</v>
      </c>
      <c r="E97" s="3" t="s">
        <v>182</v>
      </c>
      <c r="F97" s="3">
        <v>50.99</v>
      </c>
      <c r="G97" s="3" t="s">
        <v>844</v>
      </c>
      <c r="H97" s="3"/>
      <c r="I97" s="3" t="s">
        <v>845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</row>
    <row r="98" spans="1:18">
      <c r="A98" s="3" t="s">
        <v>926</v>
      </c>
      <c r="B98" s="3" t="s">
        <v>927</v>
      </c>
      <c r="C98" s="3" t="s">
        <v>928</v>
      </c>
      <c r="D98" s="3" t="s">
        <v>929</v>
      </c>
      <c r="E98" s="3" t="s">
        <v>182</v>
      </c>
      <c r="F98" s="3">
        <v>50.99</v>
      </c>
      <c r="G98" s="3" t="s">
        <v>844</v>
      </c>
      <c r="H98" s="3"/>
      <c r="I98" s="3" t="s">
        <v>845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</row>
    <row r="99" spans="1:18">
      <c r="A99" s="3" t="s">
        <v>930</v>
      </c>
      <c r="B99" s="3" t="s">
        <v>931</v>
      </c>
      <c r="C99" s="3" t="s">
        <v>932</v>
      </c>
      <c r="D99" s="3" t="s">
        <v>933</v>
      </c>
      <c r="E99" s="3" t="s">
        <v>182</v>
      </c>
      <c r="F99" s="3">
        <v>50.99</v>
      </c>
      <c r="G99" s="3" t="s">
        <v>844</v>
      </c>
      <c r="H99" s="3"/>
      <c r="I99" s="3" t="s">
        <v>845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</row>
    <row r="100" spans="1:18">
      <c r="A100" s="3" t="s">
        <v>934</v>
      </c>
      <c r="B100" s="3" t="s">
        <v>935</v>
      </c>
      <c r="C100" s="3" t="s">
        <v>936</v>
      </c>
      <c r="D100" s="3"/>
      <c r="E100" s="3" t="s">
        <v>876</v>
      </c>
      <c r="F100" s="3"/>
      <c r="G100" s="3"/>
      <c r="H100" s="3"/>
      <c r="I100" s="3"/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/>
      <c r="P100" s="3">
        <v>0</v>
      </c>
      <c r="Q100" s="3">
        <v>0</v>
      </c>
      <c r="R100" s="3">
        <v>0</v>
      </c>
    </row>
    <row r="101" spans="1:18">
      <c r="A101" s="3" t="s">
        <v>937</v>
      </c>
      <c r="B101" s="3" t="s">
        <v>938</v>
      </c>
      <c r="C101" s="3" t="s">
        <v>939</v>
      </c>
      <c r="D101" s="3"/>
      <c r="E101" s="3" t="s">
        <v>876</v>
      </c>
      <c r="F101" s="3"/>
      <c r="G101" s="3"/>
      <c r="H101" s="3"/>
      <c r="I101" s="3"/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/>
      <c r="P101" s="3">
        <v>0</v>
      </c>
      <c r="Q101" s="3">
        <v>0</v>
      </c>
      <c r="R101" s="3">
        <v>0</v>
      </c>
    </row>
    <row r="102" spans="1:18">
      <c r="A102" s="3" t="s">
        <v>940</v>
      </c>
      <c r="B102" s="3" t="s">
        <v>941</v>
      </c>
      <c r="C102" s="3" t="s">
        <v>942</v>
      </c>
      <c r="D102" s="3"/>
      <c r="E102" s="3" t="s">
        <v>876</v>
      </c>
      <c r="F102" s="3"/>
      <c r="G102" s="3"/>
      <c r="H102" s="3"/>
      <c r="I102" s="3"/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/>
      <c r="P102" s="3">
        <v>0</v>
      </c>
      <c r="Q102" s="3">
        <v>0</v>
      </c>
      <c r="R102" s="3">
        <v>0</v>
      </c>
    </row>
    <row r="103" spans="1:18">
      <c r="A103" s="3" t="s">
        <v>943</v>
      </c>
      <c r="B103" s="3" t="s">
        <v>944</v>
      </c>
      <c r="C103" s="3" t="s">
        <v>945</v>
      </c>
      <c r="D103" s="3"/>
      <c r="E103" s="3" t="s">
        <v>876</v>
      </c>
      <c r="F103" s="3"/>
      <c r="G103" s="3"/>
      <c r="H103" s="3"/>
      <c r="I103" s="3"/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/>
      <c r="P103" s="3">
        <v>0</v>
      </c>
      <c r="Q103" s="3">
        <v>0</v>
      </c>
      <c r="R103" s="3">
        <v>0</v>
      </c>
    </row>
    <row r="104" spans="1:18">
      <c r="A104" s="3" t="s">
        <v>946</v>
      </c>
      <c r="B104" s="3" t="s">
        <v>947</v>
      </c>
      <c r="C104" s="3" t="s">
        <v>948</v>
      </c>
      <c r="D104" s="3"/>
      <c r="E104" s="3" t="s">
        <v>876</v>
      </c>
      <c r="F104" s="3"/>
      <c r="G104" s="3"/>
      <c r="H104" s="3"/>
      <c r="I104" s="3"/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/>
      <c r="P104" s="3">
        <v>0</v>
      </c>
      <c r="Q104" s="3">
        <v>0</v>
      </c>
      <c r="R104" s="3">
        <v>0</v>
      </c>
    </row>
    <row r="105" spans="1:18">
      <c r="A105" s="3" t="s">
        <v>949</v>
      </c>
      <c r="B105" s="3" t="s">
        <v>950</v>
      </c>
      <c r="C105" s="3" t="s">
        <v>951</v>
      </c>
      <c r="D105" s="3"/>
      <c r="E105" s="3" t="s">
        <v>876</v>
      </c>
      <c r="F105" s="3"/>
      <c r="G105" s="3"/>
      <c r="H105" s="3"/>
      <c r="I105" s="3"/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/>
      <c r="P105" s="3">
        <v>0</v>
      </c>
      <c r="Q105" s="3">
        <v>0</v>
      </c>
      <c r="R105" s="3">
        <v>0</v>
      </c>
    </row>
    <row r="106" spans="1:18">
      <c r="A106" s="3" t="s">
        <v>952</v>
      </c>
      <c r="B106" s="3" t="s">
        <v>953</v>
      </c>
      <c r="C106" s="3" t="s">
        <v>954</v>
      </c>
      <c r="D106" s="3"/>
      <c r="E106" s="3" t="s">
        <v>876</v>
      </c>
      <c r="F106" s="3"/>
      <c r="G106" s="3"/>
      <c r="H106" s="3"/>
      <c r="I106" s="3"/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/>
      <c r="P106" s="3">
        <v>0</v>
      </c>
      <c r="Q106" s="3">
        <v>0</v>
      </c>
      <c r="R106" s="3">
        <v>0</v>
      </c>
    </row>
    <row r="107" spans="1:18">
      <c r="A107" s="3" t="s">
        <v>955</v>
      </c>
      <c r="B107" s="3" t="s">
        <v>956</v>
      </c>
      <c r="C107" s="3" t="s">
        <v>957</v>
      </c>
      <c r="D107" s="3"/>
      <c r="E107" s="3" t="s">
        <v>876</v>
      </c>
      <c r="F107" s="3"/>
      <c r="G107" s="3"/>
      <c r="H107" s="3"/>
      <c r="I107" s="3"/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/>
      <c r="P107" s="3">
        <v>0</v>
      </c>
      <c r="Q107" s="3">
        <v>0</v>
      </c>
      <c r="R107" s="3">
        <v>0</v>
      </c>
    </row>
    <row r="108" spans="1:18">
      <c r="A108" s="3" t="s">
        <v>958</v>
      </c>
      <c r="B108" s="3" t="s">
        <v>959</v>
      </c>
      <c r="C108" s="3" t="s">
        <v>960</v>
      </c>
      <c r="D108" s="3"/>
      <c r="E108" s="3" t="s">
        <v>876</v>
      </c>
      <c r="F108" s="3"/>
      <c r="G108" s="3"/>
      <c r="H108" s="3"/>
      <c r="I108" s="3"/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/>
      <c r="P108" s="3">
        <v>0</v>
      </c>
      <c r="Q108" s="3">
        <v>0</v>
      </c>
      <c r="R108" s="3">
        <v>0</v>
      </c>
    </row>
    <row r="109" spans="1:18">
      <c r="A109" s="3" t="s">
        <v>961</v>
      </c>
      <c r="B109" s="3" t="s">
        <v>962</v>
      </c>
      <c r="C109" s="3" t="s">
        <v>963</v>
      </c>
      <c r="D109" s="3"/>
      <c r="E109" s="3" t="s">
        <v>876</v>
      </c>
      <c r="F109" s="3"/>
      <c r="G109" s="3"/>
      <c r="H109" s="3"/>
      <c r="I109" s="3"/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/>
      <c r="P109" s="3">
        <v>0</v>
      </c>
      <c r="Q109" s="3">
        <v>0</v>
      </c>
      <c r="R109" s="3">
        <v>0</v>
      </c>
    </row>
    <row r="110" spans="1:18">
      <c r="A110" s="3" t="s">
        <v>964</v>
      </c>
      <c r="B110" s="3" t="s">
        <v>965</v>
      </c>
      <c r="C110" s="3" t="s">
        <v>966</v>
      </c>
      <c r="D110" s="3"/>
      <c r="E110" s="3" t="s">
        <v>876</v>
      </c>
      <c r="F110" s="3"/>
      <c r="G110" s="3"/>
      <c r="H110" s="3"/>
      <c r="I110" s="3"/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/>
      <c r="P110" s="3">
        <v>0</v>
      </c>
      <c r="Q110" s="3">
        <v>0</v>
      </c>
      <c r="R110" s="3">
        <v>0</v>
      </c>
    </row>
    <row r="111" spans="1:18">
      <c r="A111" s="3" t="s">
        <v>967</v>
      </c>
      <c r="B111" s="3" t="s">
        <v>968</v>
      </c>
      <c r="C111" s="3" t="s">
        <v>969</v>
      </c>
      <c r="D111" s="3"/>
      <c r="E111" s="3" t="s">
        <v>876</v>
      </c>
      <c r="F111" s="3"/>
      <c r="G111" s="3"/>
      <c r="H111" s="3"/>
      <c r="I111" s="3"/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970</v>
      </c>
      <c r="B112" s="3" t="s">
        <v>971</v>
      </c>
      <c r="C112" s="3" t="s">
        <v>972</v>
      </c>
      <c r="D112" s="3"/>
      <c r="E112" s="3" t="s">
        <v>876</v>
      </c>
      <c r="F112" s="3"/>
      <c r="G112" s="3"/>
      <c r="H112" s="3"/>
      <c r="I112" s="3"/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/>
      <c r="P112" s="3">
        <v>0</v>
      </c>
      <c r="Q112" s="3">
        <v>0</v>
      </c>
      <c r="R112" s="3">
        <v>0</v>
      </c>
    </row>
    <row r="113" spans="1:18">
      <c r="A113" s="3" t="s">
        <v>973</v>
      </c>
      <c r="B113" s="3" t="s">
        <v>974</v>
      </c>
      <c r="C113" s="3" t="s">
        <v>975</v>
      </c>
      <c r="D113" s="3"/>
      <c r="E113" s="3" t="s">
        <v>876</v>
      </c>
      <c r="F113" s="3"/>
      <c r="G113" s="3"/>
      <c r="H113" s="3"/>
      <c r="I113" s="3"/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976</v>
      </c>
      <c r="B114" s="3" t="s">
        <v>977</v>
      </c>
      <c r="C114" s="3" t="s">
        <v>978</v>
      </c>
      <c r="D114" s="3"/>
      <c r="E114" s="3" t="s">
        <v>876</v>
      </c>
      <c r="F114" s="3"/>
      <c r="G114" s="3"/>
      <c r="H114" s="3"/>
      <c r="I114" s="3"/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675</v>
      </c>
      <c r="B115" s="3" t="s">
        <v>676</v>
      </c>
      <c r="C115" s="3" t="s">
        <v>677</v>
      </c>
      <c r="D115" s="3" t="s">
        <v>678</v>
      </c>
      <c r="E115" s="3" t="s">
        <v>182</v>
      </c>
      <c r="F115" s="3">
        <v>35</v>
      </c>
      <c r="G115" s="3" t="s">
        <v>844</v>
      </c>
      <c r="H115" s="3"/>
      <c r="I115" s="3" t="s">
        <v>845</v>
      </c>
      <c r="J115" s="3">
        <v>3</v>
      </c>
      <c r="K115" s="3">
        <v>3</v>
      </c>
      <c r="L115" s="3">
        <v>0</v>
      </c>
      <c r="M115" s="3">
        <v>0</v>
      </c>
      <c r="N115" s="3">
        <v>3</v>
      </c>
      <c r="O115" s="3">
        <v>0</v>
      </c>
      <c r="P115" s="3">
        <v>0</v>
      </c>
      <c r="Q115" s="3">
        <v>0</v>
      </c>
      <c r="R115" s="3">
        <v>0</v>
      </c>
    </row>
    <row r="116" spans="1:18">
      <c r="A116" s="3" t="s">
        <v>450</v>
      </c>
      <c r="B116" s="3" t="s">
        <v>451</v>
      </c>
      <c r="C116" s="3" t="s">
        <v>451</v>
      </c>
      <c r="D116" s="3" t="s">
        <v>979</v>
      </c>
      <c r="E116" s="3" t="s">
        <v>182</v>
      </c>
      <c r="F116" s="3">
        <v>35</v>
      </c>
      <c r="G116" s="3" t="s">
        <v>844</v>
      </c>
      <c r="H116" s="3"/>
      <c r="I116" s="3" t="s">
        <v>845</v>
      </c>
      <c r="J116" s="3">
        <v>5</v>
      </c>
      <c r="K116" s="3">
        <v>5</v>
      </c>
      <c r="L116" s="3">
        <v>0</v>
      </c>
      <c r="M116" s="3">
        <v>0</v>
      </c>
      <c r="N116" s="3">
        <v>5</v>
      </c>
      <c r="O116" s="3">
        <v>0.15</v>
      </c>
      <c r="P116" s="3">
        <v>0</v>
      </c>
      <c r="Q116" s="3">
        <v>0</v>
      </c>
      <c r="R116" s="3">
        <v>0</v>
      </c>
    </row>
    <row r="117" spans="1:18">
      <c r="A117" s="3" t="s">
        <v>715</v>
      </c>
      <c r="B117" s="3" t="s">
        <v>716</v>
      </c>
      <c r="C117" s="3" t="s">
        <v>716</v>
      </c>
      <c r="D117" s="3" t="s">
        <v>717</v>
      </c>
      <c r="E117" s="3" t="s">
        <v>182</v>
      </c>
      <c r="F117" s="3">
        <v>35</v>
      </c>
      <c r="G117" s="3" t="s">
        <v>844</v>
      </c>
      <c r="H117" s="3"/>
      <c r="I117" s="3" t="s">
        <v>845</v>
      </c>
      <c r="J117" s="3">
        <v>4</v>
      </c>
      <c r="K117" s="3">
        <v>4</v>
      </c>
      <c r="L117" s="3">
        <v>0</v>
      </c>
      <c r="M117" s="3">
        <v>0</v>
      </c>
      <c r="N117" s="3">
        <v>4</v>
      </c>
      <c r="O117" s="3">
        <v>0.15</v>
      </c>
      <c r="P117" s="3">
        <v>0</v>
      </c>
      <c r="Q117" s="3">
        <v>0</v>
      </c>
      <c r="R117" s="3">
        <v>0</v>
      </c>
    </row>
    <row r="118" spans="1:18">
      <c r="A118" s="3" t="s">
        <v>573</v>
      </c>
      <c r="B118" s="3" t="s">
        <v>574</v>
      </c>
      <c r="C118" s="3" t="s">
        <v>574</v>
      </c>
      <c r="D118" s="3" t="s">
        <v>575</v>
      </c>
      <c r="E118" s="3" t="s">
        <v>182</v>
      </c>
      <c r="F118" s="3">
        <v>35</v>
      </c>
      <c r="G118" s="3" t="s">
        <v>844</v>
      </c>
      <c r="H118" s="3"/>
      <c r="I118" s="3" t="s">
        <v>845</v>
      </c>
      <c r="J118" s="3">
        <v>5</v>
      </c>
      <c r="K118" s="3">
        <v>5</v>
      </c>
      <c r="L118" s="3">
        <v>0</v>
      </c>
      <c r="M118" s="3">
        <v>0</v>
      </c>
      <c r="N118" s="3">
        <v>5</v>
      </c>
      <c r="O118" s="3">
        <v>0.15</v>
      </c>
      <c r="P118" s="3">
        <v>0</v>
      </c>
      <c r="Q118" s="3">
        <v>0</v>
      </c>
      <c r="R118" s="3">
        <v>0</v>
      </c>
    </row>
    <row r="119" spans="1:18">
      <c r="A119" s="3" t="s">
        <v>618</v>
      </c>
      <c r="B119" s="3" t="s">
        <v>619</v>
      </c>
      <c r="C119" s="3" t="s">
        <v>619</v>
      </c>
      <c r="D119" s="3" t="s">
        <v>980</v>
      </c>
      <c r="E119" s="3" t="s">
        <v>182</v>
      </c>
      <c r="F119" s="3">
        <v>35</v>
      </c>
      <c r="G119" s="3" t="s">
        <v>844</v>
      </c>
      <c r="H119" s="3"/>
      <c r="I119" s="3" t="s">
        <v>845</v>
      </c>
      <c r="J119" s="3">
        <v>5</v>
      </c>
      <c r="K119" s="3">
        <v>5</v>
      </c>
      <c r="L119" s="3">
        <v>0</v>
      </c>
      <c r="M119" s="3">
        <v>0</v>
      </c>
      <c r="N119" s="3">
        <v>5</v>
      </c>
      <c r="O119" s="3">
        <v>0.15</v>
      </c>
      <c r="P119" s="3">
        <v>0</v>
      </c>
      <c r="Q119" s="3">
        <v>0</v>
      </c>
      <c r="R119" s="3">
        <v>0</v>
      </c>
    </row>
    <row r="120" spans="1:18">
      <c r="A120" s="3" t="s">
        <v>585</v>
      </c>
      <c r="B120" s="3" t="s">
        <v>586</v>
      </c>
      <c r="C120" s="3" t="s">
        <v>586</v>
      </c>
      <c r="D120" s="3" t="s">
        <v>587</v>
      </c>
      <c r="E120" s="3" t="s">
        <v>182</v>
      </c>
      <c r="F120" s="3">
        <v>35</v>
      </c>
      <c r="G120" s="3" t="s">
        <v>844</v>
      </c>
      <c r="H120" s="3"/>
      <c r="I120" s="3" t="s">
        <v>845</v>
      </c>
      <c r="J120" s="3">
        <v>5</v>
      </c>
      <c r="K120" s="3">
        <v>5</v>
      </c>
      <c r="L120" s="3">
        <v>0</v>
      </c>
      <c r="M120" s="3">
        <v>0</v>
      </c>
      <c r="N120" s="3">
        <v>5</v>
      </c>
      <c r="O120" s="3">
        <v>0.15</v>
      </c>
      <c r="P120" s="3">
        <v>0</v>
      </c>
      <c r="Q120" s="3">
        <v>0</v>
      </c>
      <c r="R120" s="3">
        <v>0</v>
      </c>
    </row>
    <row r="121" spans="1:18">
      <c r="A121" s="3" t="s">
        <v>427</v>
      </c>
      <c r="B121" s="3" t="s">
        <v>428</v>
      </c>
      <c r="C121" s="3" t="s">
        <v>428</v>
      </c>
      <c r="D121" s="3" t="s">
        <v>981</v>
      </c>
      <c r="E121" s="3" t="s">
        <v>182</v>
      </c>
      <c r="F121" s="3">
        <v>35</v>
      </c>
      <c r="G121" s="3" t="s">
        <v>844</v>
      </c>
      <c r="H121" s="3"/>
      <c r="I121" s="3" t="s">
        <v>845</v>
      </c>
      <c r="J121" s="3">
        <v>4</v>
      </c>
      <c r="K121" s="3">
        <v>4</v>
      </c>
      <c r="L121" s="3">
        <v>0</v>
      </c>
      <c r="M121" s="3">
        <v>0</v>
      </c>
      <c r="N121" s="3">
        <v>4</v>
      </c>
      <c r="O121" s="3">
        <v>0.15</v>
      </c>
      <c r="P121" s="3">
        <v>0</v>
      </c>
      <c r="Q121" s="3">
        <v>0</v>
      </c>
      <c r="R121" s="3">
        <v>0</v>
      </c>
    </row>
    <row r="122" spans="1:18">
      <c r="A122" s="3" t="s">
        <v>699</v>
      </c>
      <c r="B122" s="3" t="s">
        <v>700</v>
      </c>
      <c r="C122" s="3" t="s">
        <v>700</v>
      </c>
      <c r="D122" s="3" t="s">
        <v>701</v>
      </c>
      <c r="E122" s="3" t="s">
        <v>182</v>
      </c>
      <c r="F122" s="3">
        <v>35</v>
      </c>
      <c r="G122" s="3" t="s">
        <v>844</v>
      </c>
      <c r="H122" s="3"/>
      <c r="I122" s="3" t="s">
        <v>845</v>
      </c>
      <c r="J122" s="3">
        <v>4</v>
      </c>
      <c r="K122" s="3">
        <v>4</v>
      </c>
      <c r="L122" s="3">
        <v>0</v>
      </c>
      <c r="M122" s="3">
        <v>0</v>
      </c>
      <c r="N122" s="3">
        <v>4</v>
      </c>
      <c r="O122" s="3">
        <v>0.15</v>
      </c>
      <c r="P122" s="3">
        <v>0</v>
      </c>
      <c r="Q122" s="3">
        <v>0</v>
      </c>
      <c r="R122" s="3">
        <v>0</v>
      </c>
    </row>
    <row r="123" spans="1:18">
      <c r="A123" s="3" t="s">
        <v>334</v>
      </c>
      <c r="B123" s="3" t="s">
        <v>335</v>
      </c>
      <c r="C123" s="3" t="s">
        <v>335</v>
      </c>
      <c r="D123" s="3" t="s">
        <v>982</v>
      </c>
      <c r="E123" s="3" t="s">
        <v>182</v>
      </c>
      <c r="F123" s="3">
        <v>35</v>
      </c>
      <c r="G123" s="3" t="s">
        <v>844</v>
      </c>
      <c r="H123" s="3"/>
      <c r="I123" s="3" t="s">
        <v>845</v>
      </c>
      <c r="J123" s="3">
        <v>5</v>
      </c>
      <c r="K123" s="3">
        <v>5</v>
      </c>
      <c r="L123" s="3">
        <v>0</v>
      </c>
      <c r="M123" s="3">
        <v>0</v>
      </c>
      <c r="N123" s="3">
        <v>5</v>
      </c>
      <c r="O123" s="3">
        <v>0.15</v>
      </c>
      <c r="P123" s="3">
        <v>0</v>
      </c>
      <c r="Q123" s="3">
        <v>0</v>
      </c>
      <c r="R123" s="3">
        <v>0</v>
      </c>
    </row>
    <row r="124" spans="1:18">
      <c r="A124" s="3" t="s">
        <v>983</v>
      </c>
      <c r="B124" s="3" t="s">
        <v>984</v>
      </c>
      <c r="C124" s="3" t="s">
        <v>984</v>
      </c>
      <c r="D124" s="3"/>
      <c r="E124" s="3" t="s">
        <v>876</v>
      </c>
      <c r="F124" s="3"/>
      <c r="G124" s="3"/>
      <c r="H124" s="3"/>
      <c r="I124" s="3"/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/>
      <c r="P124" s="3">
        <v>0</v>
      </c>
      <c r="Q124" s="3">
        <v>0</v>
      </c>
      <c r="R124" s="3">
        <v>0</v>
      </c>
    </row>
    <row r="125" spans="1:18">
      <c r="A125" s="3" t="s">
        <v>194</v>
      </c>
      <c r="B125" s="3" t="s">
        <v>195</v>
      </c>
      <c r="C125" s="3" t="s">
        <v>195</v>
      </c>
      <c r="D125" s="3" t="s">
        <v>196</v>
      </c>
      <c r="E125" s="3" t="s">
        <v>182</v>
      </c>
      <c r="F125" s="3">
        <v>35</v>
      </c>
      <c r="G125" s="3" t="s">
        <v>844</v>
      </c>
      <c r="H125" s="3"/>
      <c r="I125" s="3" t="s">
        <v>845</v>
      </c>
      <c r="J125" s="3">
        <v>4</v>
      </c>
      <c r="K125" s="3">
        <v>4</v>
      </c>
      <c r="L125" s="3">
        <v>0</v>
      </c>
      <c r="M125" s="3">
        <v>0</v>
      </c>
      <c r="N125" s="3">
        <v>4</v>
      </c>
      <c r="O125" s="3">
        <v>0.15</v>
      </c>
      <c r="P125" s="3">
        <v>0</v>
      </c>
      <c r="Q125" s="3">
        <v>0</v>
      </c>
      <c r="R125" s="3">
        <v>0</v>
      </c>
    </row>
    <row r="126" spans="1:18">
      <c r="A126" s="3" t="s">
        <v>792</v>
      </c>
      <c r="B126" s="3" t="s">
        <v>793</v>
      </c>
      <c r="C126" s="3" t="s">
        <v>793</v>
      </c>
      <c r="D126" s="3" t="s">
        <v>985</v>
      </c>
      <c r="E126" s="3" t="s">
        <v>182</v>
      </c>
      <c r="F126" s="3">
        <v>35</v>
      </c>
      <c r="G126" s="3" t="s">
        <v>844</v>
      </c>
      <c r="H126" s="3"/>
      <c r="I126" s="3" t="s">
        <v>845</v>
      </c>
      <c r="J126" s="3">
        <v>5</v>
      </c>
      <c r="K126" s="3">
        <v>5</v>
      </c>
      <c r="L126" s="3">
        <v>0</v>
      </c>
      <c r="M126" s="3">
        <v>0</v>
      </c>
      <c r="N126" s="3">
        <v>5</v>
      </c>
      <c r="O126" s="3">
        <v>0.15</v>
      </c>
      <c r="P126" s="3">
        <v>0</v>
      </c>
      <c r="Q126" s="3">
        <v>0</v>
      </c>
      <c r="R126" s="3">
        <v>0</v>
      </c>
    </row>
    <row r="127" spans="1:18">
      <c r="A127" s="3" t="s">
        <v>652</v>
      </c>
      <c r="B127" s="3" t="s">
        <v>653</v>
      </c>
      <c r="C127" s="3" t="s">
        <v>653</v>
      </c>
      <c r="D127" s="3" t="s">
        <v>986</v>
      </c>
      <c r="E127" s="3" t="s">
        <v>182</v>
      </c>
      <c r="F127" s="3">
        <v>35</v>
      </c>
      <c r="G127" s="3" t="s">
        <v>844</v>
      </c>
      <c r="H127" s="3"/>
      <c r="I127" s="3" t="s">
        <v>845</v>
      </c>
      <c r="J127" s="3">
        <v>3</v>
      </c>
      <c r="K127" s="3">
        <v>3</v>
      </c>
      <c r="L127" s="3">
        <v>0</v>
      </c>
      <c r="M127" s="3">
        <v>0</v>
      </c>
      <c r="N127" s="3">
        <v>3</v>
      </c>
      <c r="O127" s="3">
        <v>0.15</v>
      </c>
      <c r="P127" s="3">
        <v>0</v>
      </c>
      <c r="Q127" s="3">
        <v>0</v>
      </c>
      <c r="R127" s="3">
        <v>0</v>
      </c>
    </row>
    <row r="128" spans="1:18">
      <c r="A128" s="3" t="s">
        <v>252</v>
      </c>
      <c r="B128" s="3" t="s">
        <v>253</v>
      </c>
      <c r="C128" s="3" t="s">
        <v>253</v>
      </c>
      <c r="D128" s="3" t="s">
        <v>254</v>
      </c>
      <c r="E128" s="3" t="s">
        <v>182</v>
      </c>
      <c r="F128" s="3">
        <v>35</v>
      </c>
      <c r="G128" s="3" t="s">
        <v>844</v>
      </c>
      <c r="H128" s="3"/>
      <c r="I128" s="3" t="s">
        <v>845</v>
      </c>
      <c r="J128" s="3">
        <v>3</v>
      </c>
      <c r="K128" s="3">
        <v>3</v>
      </c>
      <c r="L128" s="3">
        <v>0</v>
      </c>
      <c r="M128" s="3">
        <v>0</v>
      </c>
      <c r="N128" s="3">
        <v>3</v>
      </c>
      <c r="O128" s="3">
        <v>0.15</v>
      </c>
      <c r="P128" s="3">
        <v>0</v>
      </c>
      <c r="Q128" s="3">
        <v>0</v>
      </c>
      <c r="R128" s="3">
        <v>0</v>
      </c>
    </row>
    <row r="129" spans="1:18">
      <c r="A129" s="3" t="s">
        <v>255</v>
      </c>
      <c r="B129" s="3" t="s">
        <v>256</v>
      </c>
      <c r="C129" s="3" t="s">
        <v>256</v>
      </c>
      <c r="D129" s="3" t="s">
        <v>257</v>
      </c>
      <c r="E129" s="3" t="s">
        <v>182</v>
      </c>
      <c r="F129" s="3">
        <v>35</v>
      </c>
      <c r="G129" s="3" t="s">
        <v>844</v>
      </c>
      <c r="H129" s="3"/>
      <c r="I129" s="3" t="s">
        <v>845</v>
      </c>
      <c r="J129" s="3">
        <v>3</v>
      </c>
      <c r="K129" s="3">
        <v>3</v>
      </c>
      <c r="L129" s="3">
        <v>0</v>
      </c>
      <c r="M129" s="3">
        <v>0</v>
      </c>
      <c r="N129" s="3">
        <v>3</v>
      </c>
      <c r="O129" s="3">
        <v>0.15</v>
      </c>
      <c r="P129" s="3">
        <v>0</v>
      </c>
      <c r="Q129" s="3">
        <v>0</v>
      </c>
      <c r="R129" s="3">
        <v>0</v>
      </c>
    </row>
    <row r="130" spans="1:18">
      <c r="A130" s="3" t="s">
        <v>780</v>
      </c>
      <c r="B130" s="3" t="s">
        <v>781</v>
      </c>
      <c r="C130" s="3" t="s">
        <v>781</v>
      </c>
      <c r="D130" s="3" t="s">
        <v>782</v>
      </c>
      <c r="E130" s="3" t="s">
        <v>182</v>
      </c>
      <c r="F130" s="3">
        <v>35</v>
      </c>
      <c r="G130" s="3" t="s">
        <v>844</v>
      </c>
      <c r="H130" s="3"/>
      <c r="I130" s="3" t="s">
        <v>845</v>
      </c>
      <c r="J130" s="3">
        <v>3</v>
      </c>
      <c r="K130" s="3">
        <v>3</v>
      </c>
      <c r="L130" s="3">
        <v>0</v>
      </c>
      <c r="M130" s="3">
        <v>0</v>
      </c>
      <c r="N130" s="3">
        <v>3</v>
      </c>
      <c r="O130" s="3">
        <v>0.15</v>
      </c>
      <c r="P130" s="3">
        <v>0</v>
      </c>
      <c r="Q130" s="3">
        <v>0</v>
      </c>
      <c r="R130" s="3">
        <v>0</v>
      </c>
    </row>
    <row r="131" spans="1:18">
      <c r="A131" s="3" t="s">
        <v>816</v>
      </c>
      <c r="B131" s="3" t="s">
        <v>817</v>
      </c>
      <c r="C131" s="3" t="s">
        <v>817</v>
      </c>
      <c r="D131" s="3" t="s">
        <v>818</v>
      </c>
      <c r="E131" s="3" t="s">
        <v>182</v>
      </c>
      <c r="F131" s="3">
        <v>35</v>
      </c>
      <c r="G131" s="3" t="s">
        <v>844</v>
      </c>
      <c r="H131" s="3"/>
      <c r="I131" s="3" t="s">
        <v>845</v>
      </c>
      <c r="J131" s="3">
        <v>5</v>
      </c>
      <c r="K131" s="3">
        <v>5</v>
      </c>
      <c r="L131" s="3">
        <v>0</v>
      </c>
      <c r="M131" s="3">
        <v>0</v>
      </c>
      <c r="N131" s="3">
        <v>5</v>
      </c>
      <c r="O131" s="3">
        <v>0.15</v>
      </c>
      <c r="P131" s="3">
        <v>0</v>
      </c>
      <c r="Q131" s="3">
        <v>0</v>
      </c>
      <c r="R131" s="3">
        <v>0</v>
      </c>
    </row>
    <row r="132" spans="1:18">
      <c r="A132" s="3" t="s">
        <v>544</v>
      </c>
      <c r="B132" s="3" t="s">
        <v>545</v>
      </c>
      <c r="C132" s="3" t="s">
        <v>545</v>
      </c>
      <c r="D132" s="3" t="s">
        <v>546</v>
      </c>
      <c r="E132" s="3" t="s">
        <v>182</v>
      </c>
      <c r="F132" s="3">
        <v>35</v>
      </c>
      <c r="G132" s="3" t="s">
        <v>844</v>
      </c>
      <c r="H132" s="3"/>
      <c r="I132" s="3" t="s">
        <v>845</v>
      </c>
      <c r="J132" s="3">
        <v>3</v>
      </c>
      <c r="K132" s="3">
        <v>3</v>
      </c>
      <c r="L132" s="3">
        <v>0</v>
      </c>
      <c r="M132" s="3">
        <v>0</v>
      </c>
      <c r="N132" s="3">
        <v>3</v>
      </c>
      <c r="O132" s="3">
        <v>0.15</v>
      </c>
      <c r="P132" s="3">
        <v>0</v>
      </c>
      <c r="Q132" s="3">
        <v>0</v>
      </c>
      <c r="R132" s="3">
        <v>0</v>
      </c>
    </row>
    <row r="133" spans="1:18">
      <c r="A133" s="3" t="s">
        <v>496</v>
      </c>
      <c r="B133" s="3" t="s">
        <v>497</v>
      </c>
      <c r="C133" s="3" t="s">
        <v>497</v>
      </c>
      <c r="D133" s="3" t="s">
        <v>987</v>
      </c>
      <c r="E133" s="3" t="s">
        <v>182</v>
      </c>
      <c r="F133" s="3">
        <v>35</v>
      </c>
      <c r="G133" s="3" t="s">
        <v>844</v>
      </c>
      <c r="H133" s="3"/>
      <c r="I133" s="3" t="s">
        <v>845</v>
      </c>
      <c r="J133" s="3">
        <v>3</v>
      </c>
      <c r="K133" s="3">
        <v>3</v>
      </c>
      <c r="L133" s="3">
        <v>0</v>
      </c>
      <c r="M133" s="3">
        <v>0</v>
      </c>
      <c r="N133" s="3">
        <v>3</v>
      </c>
      <c r="O133" s="3">
        <v>0.15</v>
      </c>
      <c r="P133" s="3">
        <v>0</v>
      </c>
      <c r="Q133" s="3">
        <v>0</v>
      </c>
      <c r="R133" s="3">
        <v>0</v>
      </c>
    </row>
    <row r="134" spans="1:18">
      <c r="A134" s="3" t="s">
        <v>313</v>
      </c>
      <c r="B134" s="3" t="s">
        <v>314</v>
      </c>
      <c r="C134" s="3" t="s">
        <v>314</v>
      </c>
      <c r="D134" s="3" t="s">
        <v>988</v>
      </c>
      <c r="E134" s="3" t="s">
        <v>182</v>
      </c>
      <c r="F134" s="3">
        <v>35</v>
      </c>
      <c r="G134" s="3" t="s">
        <v>844</v>
      </c>
      <c r="H134" s="3"/>
      <c r="I134" s="3" t="s">
        <v>845</v>
      </c>
      <c r="J134" s="3">
        <v>4</v>
      </c>
      <c r="K134" s="3">
        <v>4</v>
      </c>
      <c r="L134" s="3">
        <v>0</v>
      </c>
      <c r="M134" s="3">
        <v>0</v>
      </c>
      <c r="N134" s="3">
        <v>4</v>
      </c>
      <c r="O134" s="3">
        <v>0.15</v>
      </c>
      <c r="P134" s="3">
        <v>0</v>
      </c>
      <c r="Q134" s="3">
        <v>0</v>
      </c>
      <c r="R134" s="3">
        <v>0</v>
      </c>
    </row>
    <row r="135" spans="1:18">
      <c r="A135" s="3" t="s">
        <v>274</v>
      </c>
      <c r="B135" s="3" t="s">
        <v>275</v>
      </c>
      <c r="C135" s="3" t="s">
        <v>275</v>
      </c>
      <c r="D135" s="3" t="s">
        <v>276</v>
      </c>
      <c r="E135" s="3" t="s">
        <v>182</v>
      </c>
      <c r="F135" s="3">
        <v>35</v>
      </c>
      <c r="G135" s="3" t="s">
        <v>844</v>
      </c>
      <c r="H135" s="3"/>
      <c r="I135" s="3" t="s">
        <v>845</v>
      </c>
      <c r="J135" s="3">
        <v>5</v>
      </c>
      <c r="K135" s="3">
        <v>5</v>
      </c>
      <c r="L135" s="3">
        <v>0</v>
      </c>
      <c r="M135" s="3">
        <v>0</v>
      </c>
      <c r="N135" s="3">
        <v>5</v>
      </c>
      <c r="O135" s="3">
        <v>0.15</v>
      </c>
      <c r="P135" s="3">
        <v>0</v>
      </c>
      <c r="Q135" s="3">
        <v>0</v>
      </c>
      <c r="R135" s="3">
        <v>0</v>
      </c>
    </row>
    <row r="136" spans="1:18">
      <c r="A136" s="3" t="s">
        <v>607</v>
      </c>
      <c r="B136" s="3" t="s">
        <v>608</v>
      </c>
      <c r="C136" s="3" t="s">
        <v>608</v>
      </c>
      <c r="D136" s="3" t="s">
        <v>989</v>
      </c>
      <c r="E136" s="3" t="s">
        <v>182</v>
      </c>
      <c r="F136" s="3">
        <v>35</v>
      </c>
      <c r="G136" s="3" t="s">
        <v>844</v>
      </c>
      <c r="H136" s="3"/>
      <c r="I136" s="3" t="s">
        <v>845</v>
      </c>
      <c r="J136" s="3">
        <v>3</v>
      </c>
      <c r="K136" s="3">
        <v>3</v>
      </c>
      <c r="L136" s="3">
        <v>0</v>
      </c>
      <c r="M136" s="3">
        <v>0</v>
      </c>
      <c r="N136" s="3">
        <v>3</v>
      </c>
      <c r="O136" s="3">
        <v>0.15</v>
      </c>
      <c r="P136" s="3">
        <v>0</v>
      </c>
      <c r="Q136" s="3">
        <v>0</v>
      </c>
      <c r="R136" s="3">
        <v>0</v>
      </c>
    </row>
    <row r="137" spans="1:18">
      <c r="A137" s="3" t="s">
        <v>355</v>
      </c>
      <c r="B137" s="3" t="s">
        <v>356</v>
      </c>
      <c r="C137" s="3" t="s">
        <v>356</v>
      </c>
      <c r="D137" s="3" t="s">
        <v>357</v>
      </c>
      <c r="E137" s="3" t="s">
        <v>182</v>
      </c>
      <c r="F137" s="3">
        <v>35</v>
      </c>
      <c r="G137" s="3" t="s">
        <v>844</v>
      </c>
      <c r="H137" s="3"/>
      <c r="I137" s="3" t="s">
        <v>845</v>
      </c>
      <c r="J137" s="3">
        <v>1</v>
      </c>
      <c r="K137" s="3">
        <v>1</v>
      </c>
      <c r="L137" s="3">
        <v>0</v>
      </c>
      <c r="M137" s="3">
        <v>0</v>
      </c>
      <c r="N137" s="3">
        <v>1</v>
      </c>
      <c r="O137" s="3">
        <v>0.15</v>
      </c>
      <c r="P137" s="3">
        <v>0</v>
      </c>
      <c r="Q137" s="3">
        <v>0</v>
      </c>
      <c r="R137" s="3">
        <v>0</v>
      </c>
    </row>
    <row r="138" spans="1:18">
      <c r="A138" s="3" t="s">
        <v>663</v>
      </c>
      <c r="B138" s="3" t="s">
        <v>664</v>
      </c>
      <c r="C138" s="3" t="s">
        <v>664</v>
      </c>
      <c r="D138" s="3" t="s">
        <v>665</v>
      </c>
      <c r="E138" s="3" t="s">
        <v>182</v>
      </c>
      <c r="F138" s="3">
        <v>35</v>
      </c>
      <c r="G138" s="3" t="s">
        <v>844</v>
      </c>
      <c r="H138" s="3"/>
      <c r="I138" s="3" t="s">
        <v>845</v>
      </c>
      <c r="J138" s="3">
        <v>1</v>
      </c>
      <c r="K138" s="3">
        <v>1</v>
      </c>
      <c r="L138" s="3">
        <v>0</v>
      </c>
      <c r="M138" s="3">
        <v>0</v>
      </c>
      <c r="N138" s="3">
        <v>1</v>
      </c>
      <c r="O138" s="3">
        <v>0.15</v>
      </c>
      <c r="P138" s="3">
        <v>0</v>
      </c>
      <c r="Q138" s="3">
        <v>0</v>
      </c>
      <c r="R138" s="3">
        <v>0</v>
      </c>
    </row>
    <row r="139" spans="1:18">
      <c r="A139" s="3" t="s">
        <v>990</v>
      </c>
      <c r="B139" s="3" t="s">
        <v>991</v>
      </c>
      <c r="C139" s="3" t="s">
        <v>992</v>
      </c>
      <c r="D139" s="3" t="s">
        <v>993</v>
      </c>
      <c r="E139" s="3" t="s">
        <v>182</v>
      </c>
      <c r="F139" s="3">
        <v>9.99</v>
      </c>
      <c r="G139" s="3" t="s">
        <v>844</v>
      </c>
      <c r="H139" s="3"/>
      <c r="I139" s="3" t="s">
        <v>845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</row>
    <row r="140" spans="1:18">
      <c r="A140" s="3" t="s">
        <v>97</v>
      </c>
      <c r="B140" s="3" t="s">
        <v>98</v>
      </c>
      <c r="C140" s="3" t="s">
        <v>78</v>
      </c>
      <c r="D140" s="3" t="s">
        <v>79</v>
      </c>
      <c r="E140" s="3" t="s">
        <v>182</v>
      </c>
      <c r="F140" s="3">
        <v>10</v>
      </c>
      <c r="G140" s="3" t="s">
        <v>844</v>
      </c>
      <c r="H140" s="3"/>
      <c r="I140" s="3" t="s">
        <v>845</v>
      </c>
      <c r="J140" s="3">
        <v>100</v>
      </c>
      <c r="K140" s="3">
        <v>40</v>
      </c>
      <c r="L140" s="3">
        <v>0</v>
      </c>
      <c r="M140" s="3">
        <v>60</v>
      </c>
      <c r="N140" s="3">
        <v>250</v>
      </c>
      <c r="O140" s="3">
        <v>0.02</v>
      </c>
      <c r="P140" s="3">
        <v>0</v>
      </c>
      <c r="Q140" s="3">
        <v>150</v>
      </c>
      <c r="R140" s="3">
        <v>0</v>
      </c>
    </row>
    <row r="141" spans="1:18">
      <c r="A141" s="3" t="s">
        <v>91</v>
      </c>
      <c r="B141" s="3" t="s">
        <v>92</v>
      </c>
      <c r="C141" s="3" t="s">
        <v>78</v>
      </c>
      <c r="D141" s="3" t="s">
        <v>79</v>
      </c>
      <c r="E141" s="3" t="s">
        <v>182</v>
      </c>
      <c r="F141" s="3">
        <v>8</v>
      </c>
      <c r="G141" s="3" t="s">
        <v>844</v>
      </c>
      <c r="H141" s="3"/>
      <c r="I141" s="3" t="s">
        <v>845</v>
      </c>
      <c r="J141" s="3">
        <v>127</v>
      </c>
      <c r="K141" s="3">
        <v>108</v>
      </c>
      <c r="L141" s="3">
        <v>0</v>
      </c>
      <c r="M141" s="3">
        <v>19</v>
      </c>
      <c r="N141" s="3">
        <v>127</v>
      </c>
      <c r="O141" s="3">
        <v>0.02</v>
      </c>
      <c r="P141" s="3">
        <v>0</v>
      </c>
      <c r="Q141" s="3">
        <v>0</v>
      </c>
      <c r="R141" s="3">
        <v>0</v>
      </c>
    </row>
    <row r="142" spans="1:18">
      <c r="A142" s="3" t="s">
        <v>76</v>
      </c>
      <c r="B142" s="3" t="s">
        <v>77</v>
      </c>
      <c r="C142" s="3" t="s">
        <v>78</v>
      </c>
      <c r="D142" s="3" t="s">
        <v>79</v>
      </c>
      <c r="E142" s="3" t="s">
        <v>182</v>
      </c>
      <c r="F142" s="3">
        <v>15</v>
      </c>
      <c r="G142" s="3" t="s">
        <v>844</v>
      </c>
      <c r="H142" s="3"/>
      <c r="I142" s="3" t="s">
        <v>845</v>
      </c>
      <c r="J142" s="3">
        <v>3</v>
      </c>
      <c r="K142" s="3">
        <v>0</v>
      </c>
      <c r="L142" s="3">
        <v>0</v>
      </c>
      <c r="M142" s="3">
        <v>3</v>
      </c>
      <c r="N142" s="3">
        <v>3</v>
      </c>
      <c r="O142" s="3">
        <v>0.02</v>
      </c>
      <c r="P142" s="3">
        <v>0</v>
      </c>
      <c r="Q142" s="3">
        <v>0</v>
      </c>
      <c r="R142" s="3">
        <v>0</v>
      </c>
    </row>
    <row r="143" spans="1:18">
      <c r="A143" s="3" t="s">
        <v>994</v>
      </c>
      <c r="B143" s="3" t="s">
        <v>995</v>
      </c>
      <c r="C143" s="3" t="s">
        <v>78</v>
      </c>
      <c r="D143" s="3"/>
      <c r="E143" s="3" t="s">
        <v>876</v>
      </c>
      <c r="F143" s="3"/>
      <c r="G143" s="3"/>
      <c r="H143" s="3"/>
      <c r="I143" s="3"/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996</v>
      </c>
      <c r="B144" s="3" t="s">
        <v>997</v>
      </c>
      <c r="C144" s="3" t="s">
        <v>997</v>
      </c>
      <c r="D144" s="3"/>
      <c r="E144" s="3" t="s">
        <v>876</v>
      </c>
      <c r="F144" s="3"/>
      <c r="G144" s="3"/>
      <c r="H144" s="3"/>
      <c r="I144" s="3"/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/>
      <c r="P144" s="3">
        <v>0</v>
      </c>
      <c r="Q144" s="3">
        <v>0</v>
      </c>
      <c r="R144" s="3">
        <v>0</v>
      </c>
    </row>
    <row r="145" spans="1:18">
      <c r="A145" s="3" t="s">
        <v>72</v>
      </c>
      <c r="B145" s="3" t="s">
        <v>73</v>
      </c>
      <c r="C145" s="3" t="s">
        <v>74</v>
      </c>
      <c r="D145" s="3" t="s">
        <v>75</v>
      </c>
      <c r="E145" s="3" t="s">
        <v>182</v>
      </c>
      <c r="F145" s="3">
        <v>18.99</v>
      </c>
      <c r="G145" s="3" t="s">
        <v>844</v>
      </c>
      <c r="H145" s="3"/>
      <c r="I145" s="3" t="s">
        <v>845</v>
      </c>
      <c r="J145" s="3">
        <v>22</v>
      </c>
      <c r="K145" s="3">
        <v>21</v>
      </c>
      <c r="L145" s="3">
        <v>0</v>
      </c>
      <c r="M145" s="3">
        <v>1</v>
      </c>
      <c r="N145" s="3">
        <v>22</v>
      </c>
      <c r="O145" s="3">
        <v>0.05</v>
      </c>
      <c r="P145" s="3">
        <v>0</v>
      </c>
      <c r="Q145" s="3">
        <v>0</v>
      </c>
      <c r="R145" s="3">
        <v>0</v>
      </c>
    </row>
    <row r="146" spans="1:18">
      <c r="A146" s="3" t="s">
        <v>648</v>
      </c>
      <c r="B146" s="3" t="s">
        <v>649</v>
      </c>
      <c r="C146" s="3" t="s">
        <v>649</v>
      </c>
      <c r="D146" s="3" t="s">
        <v>650</v>
      </c>
      <c r="E146" s="3" t="s">
        <v>182</v>
      </c>
      <c r="F146" s="3">
        <v>39.99</v>
      </c>
      <c r="G146" s="3" t="s">
        <v>844</v>
      </c>
      <c r="H146" s="3"/>
      <c r="I146" s="3" t="s">
        <v>845</v>
      </c>
      <c r="J146" s="3">
        <v>13</v>
      </c>
      <c r="K146" s="3">
        <v>13</v>
      </c>
      <c r="L146" s="3">
        <v>0</v>
      </c>
      <c r="M146" s="3">
        <v>0</v>
      </c>
      <c r="N146" s="3">
        <v>13</v>
      </c>
      <c r="O146" s="3">
        <v>0.38</v>
      </c>
      <c r="P146" s="3">
        <v>0</v>
      </c>
      <c r="Q146" s="3">
        <v>0</v>
      </c>
      <c r="R146" s="3">
        <v>0</v>
      </c>
    </row>
    <row r="147" spans="1:18">
      <c r="A147" s="3" t="s">
        <v>346</v>
      </c>
      <c r="B147" s="3" t="s">
        <v>347</v>
      </c>
      <c r="C147" s="3" t="s">
        <v>347</v>
      </c>
      <c r="D147" s="3" t="s">
        <v>348</v>
      </c>
      <c r="E147" s="3" t="s">
        <v>182</v>
      </c>
      <c r="F147" s="3">
        <v>39.99</v>
      </c>
      <c r="G147" s="3" t="s">
        <v>844</v>
      </c>
      <c r="H147" s="3"/>
      <c r="I147" s="3" t="s">
        <v>845</v>
      </c>
      <c r="J147" s="3">
        <v>8</v>
      </c>
      <c r="K147" s="3">
        <v>8</v>
      </c>
      <c r="L147" s="3">
        <v>0</v>
      </c>
      <c r="M147" s="3">
        <v>0</v>
      </c>
      <c r="N147" s="3">
        <v>8</v>
      </c>
      <c r="O147" s="3">
        <v>0.26</v>
      </c>
      <c r="P147" s="3">
        <v>0</v>
      </c>
      <c r="Q147" s="3">
        <v>0</v>
      </c>
      <c r="R147" s="3">
        <v>0</v>
      </c>
    </row>
    <row r="148" spans="1:18">
      <c r="A148" s="3" t="s">
        <v>726</v>
      </c>
      <c r="B148" s="3" t="s">
        <v>727</v>
      </c>
      <c r="C148" s="3" t="s">
        <v>727</v>
      </c>
      <c r="D148" s="3" t="s">
        <v>728</v>
      </c>
      <c r="E148" s="3" t="s">
        <v>182</v>
      </c>
      <c r="F148" s="3">
        <v>39.99</v>
      </c>
      <c r="G148" s="3" t="s">
        <v>844</v>
      </c>
      <c r="H148" s="3"/>
      <c r="I148" s="3" t="s">
        <v>845</v>
      </c>
      <c r="J148" s="3">
        <v>6</v>
      </c>
      <c r="K148" s="3">
        <v>6</v>
      </c>
      <c r="L148" s="3">
        <v>0</v>
      </c>
      <c r="M148" s="3">
        <v>0</v>
      </c>
      <c r="N148" s="3">
        <v>6</v>
      </c>
      <c r="O148" s="3">
        <v>0.26</v>
      </c>
      <c r="P148" s="3">
        <v>0</v>
      </c>
      <c r="Q148" s="3">
        <v>0</v>
      </c>
      <c r="R148" s="3">
        <v>0</v>
      </c>
    </row>
    <row r="149" spans="1:18">
      <c r="A149" s="3" t="s">
        <v>84</v>
      </c>
      <c r="B149" s="3" t="s">
        <v>85</v>
      </c>
      <c r="C149" s="3" t="s">
        <v>86</v>
      </c>
      <c r="D149" s="3" t="s">
        <v>87</v>
      </c>
      <c r="E149" s="3" t="s">
        <v>876</v>
      </c>
      <c r="F149" s="3"/>
      <c r="G149" s="3"/>
      <c r="H149" s="3"/>
      <c r="I149" s="3"/>
      <c r="J149" s="3">
        <v>1</v>
      </c>
      <c r="K149" s="3">
        <v>0</v>
      </c>
      <c r="L149" s="3">
        <v>0</v>
      </c>
      <c r="M149" s="3">
        <v>1</v>
      </c>
      <c r="N149" s="3">
        <v>1</v>
      </c>
      <c r="O149" s="3">
        <v>0.13</v>
      </c>
      <c r="P149" s="3">
        <v>0</v>
      </c>
      <c r="Q149" s="3">
        <v>0</v>
      </c>
      <c r="R149" s="3">
        <v>0</v>
      </c>
    </row>
    <row r="150" spans="1:18">
      <c r="A150" s="3" t="s">
        <v>748</v>
      </c>
      <c r="B150" s="3" t="s">
        <v>749</v>
      </c>
      <c r="C150" s="3" t="s">
        <v>750</v>
      </c>
      <c r="D150" s="3" t="s">
        <v>751</v>
      </c>
      <c r="E150" s="3" t="s">
        <v>182</v>
      </c>
      <c r="F150" s="3">
        <v>20.99</v>
      </c>
      <c r="G150" s="3" t="s">
        <v>844</v>
      </c>
      <c r="H150" s="3"/>
      <c r="I150" s="3" t="s">
        <v>845</v>
      </c>
      <c r="J150" s="3">
        <v>3</v>
      </c>
      <c r="K150" s="3">
        <v>3</v>
      </c>
      <c r="L150" s="3">
        <v>0</v>
      </c>
      <c r="M150" s="3">
        <v>0</v>
      </c>
      <c r="N150" s="3">
        <v>3</v>
      </c>
      <c r="O150" s="3">
        <v>0.14</v>
      </c>
      <c r="P150" s="3">
        <v>0</v>
      </c>
      <c r="Q150" s="3">
        <v>0</v>
      </c>
      <c r="R150" s="3">
        <v>0</v>
      </c>
    </row>
    <row r="151" spans="1:18">
      <c r="A151" s="3" t="s">
        <v>998</v>
      </c>
      <c r="B151" s="3" t="s">
        <v>999</v>
      </c>
      <c r="C151" s="3" t="s">
        <v>1000</v>
      </c>
      <c r="D151" s="3" t="s">
        <v>1001</v>
      </c>
      <c r="E151" s="3" t="s">
        <v>182</v>
      </c>
      <c r="F151" s="3">
        <v>20.99</v>
      </c>
      <c r="G151" s="3" t="s">
        <v>844</v>
      </c>
      <c r="H151" s="3"/>
      <c r="I151" s="3" t="s">
        <v>845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0.12</v>
      </c>
      <c r="P151" s="3">
        <v>0</v>
      </c>
      <c r="Q151" s="3">
        <v>0</v>
      </c>
      <c r="R151" s="3">
        <v>0</v>
      </c>
    </row>
    <row r="152" spans="1:18">
      <c r="A152" s="3" t="s">
        <v>230</v>
      </c>
      <c r="B152" s="3" t="s">
        <v>231</v>
      </c>
      <c r="C152" s="3" t="s">
        <v>232</v>
      </c>
      <c r="D152" s="3" t="s">
        <v>233</v>
      </c>
      <c r="E152" s="3" t="s">
        <v>182</v>
      </c>
      <c r="F152" s="3">
        <v>20.99</v>
      </c>
      <c r="G152" s="3" t="s">
        <v>844</v>
      </c>
      <c r="H152" s="3"/>
      <c r="I152" s="3" t="s">
        <v>845</v>
      </c>
      <c r="J152" s="3">
        <v>3</v>
      </c>
      <c r="K152" s="3">
        <v>3</v>
      </c>
      <c r="L152" s="3">
        <v>0</v>
      </c>
      <c r="M152" s="3">
        <v>0</v>
      </c>
      <c r="N152" s="3">
        <v>3</v>
      </c>
      <c r="O152" s="3">
        <v>0.15</v>
      </c>
      <c r="P152" s="3">
        <v>0</v>
      </c>
      <c r="Q152" s="3">
        <v>0</v>
      </c>
      <c r="R152" s="3">
        <v>0</v>
      </c>
    </row>
    <row r="153" spans="1:18">
      <c r="A153" s="3" t="s">
        <v>1002</v>
      </c>
      <c r="B153" s="3" t="s">
        <v>1003</v>
      </c>
      <c r="C153" s="3" t="s">
        <v>1004</v>
      </c>
      <c r="D153" s="3" t="s">
        <v>684</v>
      </c>
      <c r="E153" s="3" t="s">
        <v>182</v>
      </c>
      <c r="F153" s="3">
        <v>20.99</v>
      </c>
      <c r="G153" s="3" t="s">
        <v>844</v>
      </c>
      <c r="H153" s="3"/>
      <c r="I153" s="3" t="s">
        <v>845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</row>
    <row r="154" spans="1:18">
      <c r="A154" s="3" t="s">
        <v>434</v>
      </c>
      <c r="B154" s="3" t="s">
        <v>435</v>
      </c>
      <c r="C154" s="3" t="s">
        <v>436</v>
      </c>
      <c r="D154" s="3" t="s">
        <v>437</v>
      </c>
      <c r="E154" s="3" t="s">
        <v>182</v>
      </c>
      <c r="F154" s="3">
        <v>7.99</v>
      </c>
      <c r="G154" s="3" t="s">
        <v>844</v>
      </c>
      <c r="H154" s="3"/>
      <c r="I154" s="3" t="s">
        <v>845</v>
      </c>
      <c r="J154" s="3">
        <v>5</v>
      </c>
      <c r="K154" s="3">
        <v>5</v>
      </c>
      <c r="L154" s="3">
        <v>0</v>
      </c>
      <c r="M154" s="3">
        <v>0</v>
      </c>
      <c r="N154" s="3">
        <v>5</v>
      </c>
      <c r="O154" s="3">
        <v>0.06</v>
      </c>
      <c r="P154" s="3">
        <v>0</v>
      </c>
      <c r="Q154" s="3">
        <v>0</v>
      </c>
      <c r="R154" s="3">
        <v>0</v>
      </c>
    </row>
    <row r="155" spans="1:18">
      <c r="A155" s="3" t="s">
        <v>1005</v>
      </c>
      <c r="B155" s="3" t="s">
        <v>1006</v>
      </c>
      <c r="C155" s="3" t="s">
        <v>1007</v>
      </c>
      <c r="D155" s="3"/>
      <c r="E155" s="3" t="s">
        <v>876</v>
      </c>
      <c r="F155" s="3"/>
      <c r="G155" s="3"/>
      <c r="H155" s="3"/>
      <c r="I155" s="3"/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694</v>
      </c>
      <c r="B156" s="3" t="s">
        <v>695</v>
      </c>
      <c r="C156" s="3" t="s">
        <v>696</v>
      </c>
      <c r="D156" s="3" t="s">
        <v>697</v>
      </c>
      <c r="E156" s="3" t="s">
        <v>182</v>
      </c>
      <c r="F156" s="3">
        <v>7.99</v>
      </c>
      <c r="G156" s="3" t="s">
        <v>844</v>
      </c>
      <c r="H156" s="3"/>
      <c r="I156" s="3" t="s">
        <v>845</v>
      </c>
      <c r="J156" s="3">
        <v>4</v>
      </c>
      <c r="K156" s="3">
        <v>4</v>
      </c>
      <c r="L156" s="3">
        <v>0</v>
      </c>
      <c r="M156" s="3">
        <v>0</v>
      </c>
      <c r="N156" s="3">
        <v>4</v>
      </c>
      <c r="O156" s="3">
        <v>0.06</v>
      </c>
      <c r="P156" s="3">
        <v>0</v>
      </c>
      <c r="Q156" s="3">
        <v>0</v>
      </c>
      <c r="R156" s="3">
        <v>0</v>
      </c>
    </row>
    <row r="157" spans="1:18">
      <c r="A157" s="3" t="s">
        <v>603</v>
      </c>
      <c r="B157" s="3" t="s">
        <v>604</v>
      </c>
      <c r="C157" s="3" t="s">
        <v>605</v>
      </c>
      <c r="D157" s="3" t="s">
        <v>606</v>
      </c>
      <c r="E157" s="3" t="s">
        <v>182</v>
      </c>
      <c r="F157" s="3">
        <v>7.99</v>
      </c>
      <c r="G157" s="3" t="s">
        <v>844</v>
      </c>
      <c r="H157" s="3"/>
      <c r="I157" s="3" t="s">
        <v>845</v>
      </c>
      <c r="J157" s="3">
        <v>3</v>
      </c>
      <c r="K157" s="3">
        <v>3</v>
      </c>
      <c r="L157" s="3">
        <v>0</v>
      </c>
      <c r="M157" s="3">
        <v>0</v>
      </c>
      <c r="N157" s="3">
        <v>3</v>
      </c>
      <c r="O157" s="3">
        <v>0.06</v>
      </c>
      <c r="P157" s="3">
        <v>0</v>
      </c>
      <c r="Q157" s="3">
        <v>0</v>
      </c>
      <c r="R157" s="3">
        <v>0</v>
      </c>
    </row>
    <row r="158" spans="1:18">
      <c r="A158" s="3" t="s">
        <v>200</v>
      </c>
      <c r="B158" s="3" t="s">
        <v>201</v>
      </c>
      <c r="C158" s="3" t="s">
        <v>202</v>
      </c>
      <c r="D158" s="3" t="s">
        <v>203</v>
      </c>
      <c r="E158" s="3" t="s">
        <v>182</v>
      </c>
      <c r="F158" s="3">
        <v>12.99</v>
      </c>
      <c r="G158" s="3" t="s">
        <v>844</v>
      </c>
      <c r="H158" s="3"/>
      <c r="I158" s="3" t="s">
        <v>845</v>
      </c>
      <c r="J158" s="3">
        <v>2</v>
      </c>
      <c r="K158" s="3">
        <v>2</v>
      </c>
      <c r="L158" s="3">
        <v>0</v>
      </c>
      <c r="M158" s="3">
        <v>0</v>
      </c>
      <c r="N158" s="3">
        <v>2</v>
      </c>
      <c r="O158" s="3">
        <v>0.06</v>
      </c>
      <c r="P158" s="3">
        <v>0</v>
      </c>
      <c r="Q158" s="3">
        <v>0</v>
      </c>
      <c r="R158" s="3">
        <v>0</v>
      </c>
    </row>
    <row r="159" spans="1:18">
      <c r="A159" s="3" t="s">
        <v>320</v>
      </c>
      <c r="B159" s="3" t="s">
        <v>321</v>
      </c>
      <c r="C159" s="3" t="s">
        <v>322</v>
      </c>
      <c r="D159" s="3" t="s">
        <v>323</v>
      </c>
      <c r="E159" s="3" t="s">
        <v>182</v>
      </c>
      <c r="F159" s="3">
        <v>7.99</v>
      </c>
      <c r="G159" s="3" t="s">
        <v>844</v>
      </c>
      <c r="H159" s="3"/>
      <c r="I159" s="3" t="s">
        <v>845</v>
      </c>
      <c r="J159" s="3">
        <v>4</v>
      </c>
      <c r="K159" s="3">
        <v>4</v>
      </c>
      <c r="L159" s="3">
        <v>0</v>
      </c>
      <c r="M159" s="3">
        <v>0</v>
      </c>
      <c r="N159" s="3">
        <v>4</v>
      </c>
      <c r="O159" s="3">
        <v>0.06</v>
      </c>
      <c r="P159" s="3">
        <v>0</v>
      </c>
      <c r="Q159" s="3">
        <v>0</v>
      </c>
      <c r="R159" s="3">
        <v>0</v>
      </c>
    </row>
    <row r="160" spans="1:18">
      <c r="A160" s="3" t="s">
        <v>430</v>
      </c>
      <c r="B160" s="3" t="s">
        <v>431</v>
      </c>
      <c r="C160" s="3" t="s">
        <v>431</v>
      </c>
      <c r="D160" s="3" t="s">
        <v>432</v>
      </c>
      <c r="E160" s="3" t="s">
        <v>182</v>
      </c>
      <c r="F160" s="3">
        <v>99.9</v>
      </c>
      <c r="G160" s="3" t="s">
        <v>844</v>
      </c>
      <c r="H160" s="3"/>
      <c r="I160" s="3" t="s">
        <v>845</v>
      </c>
      <c r="J160" s="3">
        <v>2</v>
      </c>
      <c r="K160" s="3">
        <v>2</v>
      </c>
      <c r="L160" s="3">
        <v>0</v>
      </c>
      <c r="M160" s="3">
        <v>0</v>
      </c>
      <c r="N160" s="3">
        <v>2</v>
      </c>
      <c r="O160" s="3">
        <v>0.98</v>
      </c>
      <c r="P160" s="3">
        <v>0</v>
      </c>
      <c r="Q160" s="3">
        <v>0</v>
      </c>
      <c r="R160" s="3">
        <v>0</v>
      </c>
    </row>
    <row r="161" spans="1:18">
      <c r="A161" s="3" t="s">
        <v>640</v>
      </c>
      <c r="B161" s="3" t="s">
        <v>641</v>
      </c>
      <c r="C161" s="3" t="s">
        <v>641</v>
      </c>
      <c r="D161" s="3" t="s">
        <v>642</v>
      </c>
      <c r="E161" s="3" t="s">
        <v>182</v>
      </c>
      <c r="F161" s="3">
        <v>99.9</v>
      </c>
      <c r="G161" s="3" t="s">
        <v>844</v>
      </c>
      <c r="H161" s="3"/>
      <c r="I161" s="3" t="s">
        <v>845</v>
      </c>
      <c r="J161" s="3">
        <v>234</v>
      </c>
      <c r="K161" s="3">
        <v>233</v>
      </c>
      <c r="L161" s="3">
        <v>1</v>
      </c>
      <c r="M161" s="3">
        <v>0</v>
      </c>
      <c r="N161" s="3">
        <v>234</v>
      </c>
      <c r="O161" s="3">
        <v>0.75</v>
      </c>
      <c r="P161" s="3">
        <v>0</v>
      </c>
      <c r="Q161" s="3">
        <v>0</v>
      </c>
      <c r="R161" s="3">
        <v>0</v>
      </c>
    </row>
    <row r="162" spans="1:18">
      <c r="A162" s="3" t="s">
        <v>1008</v>
      </c>
      <c r="B162" s="3" t="s">
        <v>1009</v>
      </c>
      <c r="C162" s="3" t="s">
        <v>1009</v>
      </c>
      <c r="D162" s="3" t="s">
        <v>538</v>
      </c>
      <c r="E162" s="3" t="s">
        <v>182</v>
      </c>
      <c r="F162" s="3">
        <v>89.9</v>
      </c>
      <c r="G162" s="3" t="s">
        <v>844</v>
      </c>
      <c r="H162" s="3"/>
      <c r="I162" s="3" t="s">
        <v>845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0.49</v>
      </c>
      <c r="P162" s="3">
        <v>0</v>
      </c>
      <c r="Q162" s="3">
        <v>0</v>
      </c>
      <c r="R162" s="3">
        <v>0</v>
      </c>
    </row>
    <row r="163" spans="1:18">
      <c r="A163" s="3" t="s">
        <v>536</v>
      </c>
      <c r="B163" s="3" t="s">
        <v>537</v>
      </c>
      <c r="C163" s="3" t="s">
        <v>537</v>
      </c>
      <c r="D163" s="3" t="s">
        <v>538</v>
      </c>
      <c r="E163" s="3" t="s">
        <v>182</v>
      </c>
      <c r="F163" s="3">
        <v>89.9</v>
      </c>
      <c r="G163" s="3" t="s">
        <v>844</v>
      </c>
      <c r="H163" s="3"/>
      <c r="I163" s="3" t="s">
        <v>845</v>
      </c>
      <c r="J163" s="3">
        <v>1</v>
      </c>
      <c r="K163" s="3">
        <v>1</v>
      </c>
      <c r="L163" s="3">
        <v>0</v>
      </c>
      <c r="M163" s="3">
        <v>0</v>
      </c>
      <c r="N163" s="3">
        <v>1</v>
      </c>
      <c r="O163" s="3">
        <v>0.48</v>
      </c>
      <c r="P163" s="3">
        <v>0</v>
      </c>
      <c r="Q163" s="3">
        <v>0</v>
      </c>
      <c r="R163" s="3">
        <v>0</v>
      </c>
    </row>
    <row r="164" spans="1:18">
      <c r="A164" s="3" t="s">
        <v>80</v>
      </c>
      <c r="B164" s="3" t="s">
        <v>81</v>
      </c>
      <c r="C164" s="3" t="s">
        <v>82</v>
      </c>
      <c r="D164" s="3" t="s">
        <v>83</v>
      </c>
      <c r="E164" s="3" t="s">
        <v>182</v>
      </c>
      <c r="F164" s="3">
        <v>65.99</v>
      </c>
      <c r="G164" s="3" t="s">
        <v>844</v>
      </c>
      <c r="H164" s="3"/>
      <c r="I164" s="3" t="s">
        <v>845</v>
      </c>
      <c r="J164" s="3">
        <v>10</v>
      </c>
      <c r="K164" s="3">
        <v>2</v>
      </c>
      <c r="L164" s="3">
        <v>0</v>
      </c>
      <c r="M164" s="3">
        <v>8</v>
      </c>
      <c r="N164" s="3">
        <v>20</v>
      </c>
      <c r="O164" s="3">
        <v>0.16</v>
      </c>
      <c r="P164" s="3">
        <v>0</v>
      </c>
      <c r="Q164" s="3">
        <v>0</v>
      </c>
      <c r="R164" s="3">
        <v>10</v>
      </c>
    </row>
    <row r="165" spans="1:18">
      <c r="A165" s="3" t="s">
        <v>93</v>
      </c>
      <c r="B165" s="3" t="s">
        <v>94</v>
      </c>
      <c r="C165" s="3" t="s">
        <v>95</v>
      </c>
      <c r="D165" s="3" t="s">
        <v>96</v>
      </c>
      <c r="E165" s="3" t="s">
        <v>182</v>
      </c>
      <c r="F165" s="3">
        <v>66.99</v>
      </c>
      <c r="G165" s="3" t="s">
        <v>844</v>
      </c>
      <c r="H165" s="3"/>
      <c r="I165" s="3" t="s">
        <v>845</v>
      </c>
      <c r="J165" s="3">
        <v>6</v>
      </c>
      <c r="K165" s="3">
        <v>1</v>
      </c>
      <c r="L165" s="3">
        <v>0</v>
      </c>
      <c r="M165" s="3">
        <v>5</v>
      </c>
      <c r="N165" s="3">
        <v>20</v>
      </c>
      <c r="O165" s="3">
        <v>0.3</v>
      </c>
      <c r="P165" s="3">
        <v>0</v>
      </c>
      <c r="Q165" s="3">
        <v>0</v>
      </c>
      <c r="R165" s="3">
        <v>14</v>
      </c>
    </row>
    <row r="166" spans="1:18">
      <c r="A166" s="3" t="s">
        <v>1010</v>
      </c>
      <c r="B166" s="3" t="s">
        <v>1011</v>
      </c>
      <c r="C166" s="3" t="s">
        <v>1011</v>
      </c>
      <c r="D166" s="3"/>
      <c r="E166" s="3" t="s">
        <v>876</v>
      </c>
      <c r="F166" s="3"/>
      <c r="G166" s="3"/>
      <c r="H166" s="3"/>
      <c r="I166" s="3"/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/>
      <c r="P166" s="3">
        <v>0</v>
      </c>
      <c r="Q166" s="3">
        <v>0</v>
      </c>
      <c r="R166" s="3">
        <v>0</v>
      </c>
    </row>
    <row r="167" spans="1:18">
      <c r="A167" s="3" t="s">
        <v>111</v>
      </c>
      <c r="B167" s="3" t="s">
        <v>112</v>
      </c>
      <c r="C167" s="3" t="s">
        <v>113</v>
      </c>
      <c r="D167" s="3" t="s">
        <v>307</v>
      </c>
      <c r="E167" s="3" t="s">
        <v>182</v>
      </c>
      <c r="F167" s="3">
        <v>18.99</v>
      </c>
      <c r="G167" s="3" t="s">
        <v>844</v>
      </c>
      <c r="H167" s="3"/>
      <c r="I167" s="3" t="s">
        <v>845</v>
      </c>
      <c r="J167" s="3">
        <v>2</v>
      </c>
      <c r="K167" s="3">
        <v>1</v>
      </c>
      <c r="L167" s="3">
        <v>0</v>
      </c>
      <c r="M167" s="3">
        <v>1</v>
      </c>
      <c r="N167" s="3">
        <v>2</v>
      </c>
      <c r="O167" s="3">
        <v>0.55</v>
      </c>
      <c r="P167" s="3">
        <v>0</v>
      </c>
      <c r="Q167" s="3">
        <v>0</v>
      </c>
      <c r="R167" s="3">
        <v>0</v>
      </c>
    </row>
    <row r="168" spans="1:18">
      <c r="A168" s="3" t="s">
        <v>819</v>
      </c>
      <c r="B168" s="3" t="s">
        <v>820</v>
      </c>
      <c r="C168" s="3" t="s">
        <v>821</v>
      </c>
      <c r="D168" s="3" t="s">
        <v>822</v>
      </c>
      <c r="E168" s="3" t="s">
        <v>182</v>
      </c>
      <c r="F168" s="3">
        <v>15.99</v>
      </c>
      <c r="G168" s="3" t="s">
        <v>844</v>
      </c>
      <c r="H168" s="3"/>
      <c r="I168" s="3" t="s">
        <v>845</v>
      </c>
      <c r="J168" s="3">
        <v>5</v>
      </c>
      <c r="K168" s="3">
        <v>5</v>
      </c>
      <c r="L168" s="3">
        <v>0</v>
      </c>
      <c r="M168" s="3">
        <v>0</v>
      </c>
      <c r="N168" s="3">
        <v>5</v>
      </c>
      <c r="O168" s="3">
        <v>0.71</v>
      </c>
      <c r="P168" s="3">
        <v>0</v>
      </c>
      <c r="Q168" s="3">
        <v>0</v>
      </c>
      <c r="R168" s="3">
        <v>0</v>
      </c>
    </row>
    <row r="169" spans="1:18">
      <c r="A169" s="3" t="s">
        <v>1012</v>
      </c>
      <c r="B169" s="3" t="s">
        <v>1011</v>
      </c>
      <c r="C169" s="3" t="s">
        <v>1011</v>
      </c>
      <c r="D169" s="3" t="s">
        <v>1013</v>
      </c>
      <c r="E169" s="3" t="s">
        <v>182</v>
      </c>
      <c r="F169" s="3">
        <v>27.99</v>
      </c>
      <c r="G169" s="3" t="s">
        <v>844</v>
      </c>
      <c r="H169" s="3"/>
      <c r="I169" s="3" t="s">
        <v>845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0.89</v>
      </c>
      <c r="P169" s="3">
        <v>0</v>
      </c>
      <c r="Q169" s="3">
        <v>0</v>
      </c>
      <c r="R169" s="3">
        <v>0</v>
      </c>
    </row>
    <row r="170" spans="1:18">
      <c r="A170" s="3" t="s">
        <v>710</v>
      </c>
      <c r="B170" s="3" t="s">
        <v>711</v>
      </c>
      <c r="C170" s="3" t="s">
        <v>712</v>
      </c>
      <c r="D170" s="3" t="s">
        <v>713</v>
      </c>
      <c r="E170" s="3" t="s">
        <v>182</v>
      </c>
      <c r="F170" s="3">
        <v>15.99</v>
      </c>
      <c r="G170" s="3" t="s">
        <v>844</v>
      </c>
      <c r="H170" s="3"/>
      <c r="I170" s="3" t="s">
        <v>845</v>
      </c>
      <c r="J170" s="3">
        <v>4</v>
      </c>
      <c r="K170" s="3">
        <v>4</v>
      </c>
      <c r="L170" s="3">
        <v>0</v>
      </c>
      <c r="M170" s="3">
        <v>0</v>
      </c>
      <c r="N170" s="3">
        <v>4</v>
      </c>
      <c r="O170" s="3">
        <v>0.71</v>
      </c>
      <c r="P170" s="3">
        <v>0</v>
      </c>
      <c r="Q170" s="3">
        <v>0</v>
      </c>
      <c r="R170" s="3">
        <v>0</v>
      </c>
    </row>
    <row r="171" spans="1:18">
      <c r="A171" s="3" t="s">
        <v>1014</v>
      </c>
      <c r="B171" s="3" t="s">
        <v>1015</v>
      </c>
      <c r="C171" s="3" t="s">
        <v>1015</v>
      </c>
      <c r="D171" s="3"/>
      <c r="E171" s="3" t="s">
        <v>876</v>
      </c>
      <c r="F171" s="3"/>
      <c r="G171" s="3"/>
      <c r="H171" s="3"/>
      <c r="I171" s="3"/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/>
      <c r="P171" s="3">
        <v>0</v>
      </c>
      <c r="Q171" s="3">
        <v>0</v>
      </c>
      <c r="R171" s="3">
        <v>0</v>
      </c>
    </row>
    <row r="172" spans="1:18">
      <c r="A172" s="3" t="s">
        <v>476</v>
      </c>
      <c r="B172" s="3" t="s">
        <v>477</v>
      </c>
      <c r="C172" s="3" t="s">
        <v>477</v>
      </c>
      <c r="D172" s="3" t="s">
        <v>478</v>
      </c>
      <c r="E172" s="3" t="s">
        <v>182</v>
      </c>
      <c r="F172" s="3">
        <v>10</v>
      </c>
      <c r="G172" s="3" t="s">
        <v>844</v>
      </c>
      <c r="H172" s="3"/>
      <c r="I172" s="3" t="s">
        <v>845</v>
      </c>
      <c r="J172" s="3">
        <v>3</v>
      </c>
      <c r="K172" s="3">
        <v>3</v>
      </c>
      <c r="L172" s="3">
        <v>0</v>
      </c>
      <c r="M172" s="3">
        <v>0</v>
      </c>
      <c r="N172" s="3">
        <v>3</v>
      </c>
      <c r="O172" s="3">
        <v>0.1</v>
      </c>
      <c r="P172" s="3">
        <v>0</v>
      </c>
      <c r="Q172" s="3">
        <v>0</v>
      </c>
      <c r="R172" s="3">
        <v>0</v>
      </c>
    </row>
    <row r="173" spans="1:18">
      <c r="A173" s="3" t="s">
        <v>1016</v>
      </c>
      <c r="B173" s="3" t="s">
        <v>1017</v>
      </c>
      <c r="C173" s="3" t="s">
        <v>1017</v>
      </c>
      <c r="D173" s="3"/>
      <c r="E173" s="3" t="s">
        <v>876</v>
      </c>
      <c r="F173" s="3"/>
      <c r="G173" s="3"/>
      <c r="H173" s="3"/>
      <c r="I173" s="3"/>
      <c r="J173" s="3">
        <v>1</v>
      </c>
      <c r="K173" s="3">
        <v>0</v>
      </c>
      <c r="L173" s="3">
        <v>1</v>
      </c>
      <c r="M173" s="3">
        <v>0</v>
      </c>
      <c r="N173" s="3">
        <v>1</v>
      </c>
      <c r="O173" s="3"/>
      <c r="P173" s="3">
        <v>0</v>
      </c>
      <c r="Q173" s="3">
        <v>0</v>
      </c>
      <c r="R173" s="3">
        <v>0</v>
      </c>
    </row>
    <row r="174" spans="1:18">
      <c r="A174" s="3" t="s">
        <v>801</v>
      </c>
      <c r="B174" s="3" t="s">
        <v>802</v>
      </c>
      <c r="C174" s="3" t="s">
        <v>802</v>
      </c>
      <c r="D174" s="3" t="s">
        <v>803</v>
      </c>
      <c r="E174" s="3" t="s">
        <v>182</v>
      </c>
      <c r="F174" s="3">
        <v>7.59</v>
      </c>
      <c r="G174" s="3" t="s">
        <v>844</v>
      </c>
      <c r="H174" s="3"/>
      <c r="I174" s="3" t="s">
        <v>845</v>
      </c>
      <c r="J174" s="3">
        <v>9</v>
      </c>
      <c r="K174" s="3">
        <v>9</v>
      </c>
      <c r="L174" s="3">
        <v>0</v>
      </c>
      <c r="M174" s="3">
        <v>0</v>
      </c>
      <c r="N174" s="3">
        <v>9</v>
      </c>
      <c r="O174" s="3">
        <v>0</v>
      </c>
      <c r="P174" s="3">
        <v>0</v>
      </c>
      <c r="Q174" s="3">
        <v>0</v>
      </c>
      <c r="R174" s="3">
        <v>0</v>
      </c>
    </row>
    <row r="175" spans="1:18">
      <c r="A175" s="3" t="s">
        <v>373</v>
      </c>
      <c r="B175" s="3" t="s">
        <v>374</v>
      </c>
      <c r="C175" s="3" t="s">
        <v>374</v>
      </c>
      <c r="D175" s="3" t="s">
        <v>375</v>
      </c>
      <c r="E175" s="3" t="s">
        <v>182</v>
      </c>
      <c r="F175" s="3">
        <v>7.59</v>
      </c>
      <c r="G175" s="3" t="s">
        <v>844</v>
      </c>
      <c r="H175" s="3"/>
      <c r="I175" s="3" t="s">
        <v>845</v>
      </c>
      <c r="J175" s="3">
        <v>5</v>
      </c>
      <c r="K175" s="3">
        <v>5</v>
      </c>
      <c r="L175" s="3">
        <v>0</v>
      </c>
      <c r="M175" s="3">
        <v>0</v>
      </c>
      <c r="N175" s="3">
        <v>5</v>
      </c>
      <c r="O175" s="3">
        <v>0</v>
      </c>
      <c r="P175" s="3">
        <v>0</v>
      </c>
      <c r="Q175" s="3">
        <v>0</v>
      </c>
      <c r="R175" s="3">
        <v>0</v>
      </c>
    </row>
    <row r="176" spans="1:18">
      <c r="A176" s="3" t="s">
        <v>205</v>
      </c>
      <c r="B176" s="3" t="s">
        <v>206</v>
      </c>
      <c r="C176" s="3" t="s">
        <v>207</v>
      </c>
      <c r="D176" s="3" t="s">
        <v>208</v>
      </c>
      <c r="E176" s="3" t="s">
        <v>182</v>
      </c>
      <c r="F176" s="3">
        <v>15.99</v>
      </c>
      <c r="G176" s="3" t="s">
        <v>844</v>
      </c>
      <c r="H176" s="3"/>
      <c r="I176" s="3" t="s">
        <v>845</v>
      </c>
      <c r="J176" s="3">
        <v>4</v>
      </c>
      <c r="K176" s="3">
        <v>4</v>
      </c>
      <c r="L176" s="3">
        <v>0</v>
      </c>
      <c r="M176" s="3">
        <v>0</v>
      </c>
      <c r="N176" s="3">
        <v>4</v>
      </c>
      <c r="O176" s="3">
        <v>0.03</v>
      </c>
      <c r="P176" s="3">
        <v>0</v>
      </c>
      <c r="Q176" s="3">
        <v>0</v>
      </c>
      <c r="R176" s="3">
        <v>0</v>
      </c>
    </row>
    <row r="177" spans="1:18">
      <c r="A177" s="3" t="s">
        <v>519</v>
      </c>
      <c r="B177" s="3" t="s">
        <v>520</v>
      </c>
      <c r="C177" s="3" t="s">
        <v>521</v>
      </c>
      <c r="D177" s="3" t="s">
        <v>522</v>
      </c>
      <c r="E177" s="3" t="s">
        <v>182</v>
      </c>
      <c r="F177" s="3">
        <v>15.99</v>
      </c>
      <c r="G177" s="3" t="s">
        <v>844</v>
      </c>
      <c r="H177" s="3"/>
      <c r="I177" s="3" t="s">
        <v>845</v>
      </c>
      <c r="J177" s="3">
        <v>3</v>
      </c>
      <c r="K177" s="3">
        <v>3</v>
      </c>
      <c r="L177" s="3">
        <v>0</v>
      </c>
      <c r="M177" s="3">
        <v>0</v>
      </c>
      <c r="N177" s="3">
        <v>3</v>
      </c>
      <c r="O177" s="3">
        <v>0.04</v>
      </c>
      <c r="P177" s="3">
        <v>0</v>
      </c>
      <c r="Q177" s="3">
        <v>0</v>
      </c>
      <c r="R177" s="3">
        <v>0</v>
      </c>
    </row>
    <row r="178" spans="1:18">
      <c r="A178" s="3" t="s">
        <v>743</v>
      </c>
      <c r="B178" s="3" t="s">
        <v>744</v>
      </c>
      <c r="C178" s="3" t="s">
        <v>745</v>
      </c>
      <c r="D178" s="3" t="s">
        <v>746</v>
      </c>
      <c r="E178" s="3" t="s">
        <v>182</v>
      </c>
      <c r="F178" s="3">
        <v>15.99</v>
      </c>
      <c r="G178" s="3" t="s">
        <v>844</v>
      </c>
      <c r="H178" s="3"/>
      <c r="I178" s="3" t="s">
        <v>845</v>
      </c>
      <c r="J178" s="3">
        <v>4</v>
      </c>
      <c r="K178" s="3">
        <v>4</v>
      </c>
      <c r="L178" s="3">
        <v>0</v>
      </c>
      <c r="M178" s="3">
        <v>0</v>
      </c>
      <c r="N178" s="3">
        <v>4</v>
      </c>
      <c r="O178" s="3">
        <v>0.03</v>
      </c>
      <c r="P178" s="3">
        <v>0</v>
      </c>
      <c r="Q178" s="3">
        <v>0</v>
      </c>
      <c r="R178" s="3">
        <v>0</v>
      </c>
    </row>
    <row r="179" spans="1:18">
      <c r="A179" s="3" t="s">
        <v>418</v>
      </c>
      <c r="B179" s="3" t="s">
        <v>419</v>
      </c>
      <c r="C179" s="3" t="s">
        <v>420</v>
      </c>
      <c r="D179" s="3" t="s">
        <v>421</v>
      </c>
      <c r="E179" s="3" t="s">
        <v>182</v>
      </c>
      <c r="F179" s="3">
        <v>15.99</v>
      </c>
      <c r="G179" s="3" t="s">
        <v>844</v>
      </c>
      <c r="H179" s="3"/>
      <c r="I179" s="3" t="s">
        <v>845</v>
      </c>
      <c r="J179" s="3">
        <v>1</v>
      </c>
      <c r="K179" s="3">
        <v>1</v>
      </c>
      <c r="L179" s="3">
        <v>0</v>
      </c>
      <c r="M179" s="3">
        <v>0</v>
      </c>
      <c r="N179" s="3">
        <v>1</v>
      </c>
      <c r="O179" s="3">
        <v>0.03</v>
      </c>
      <c r="P179" s="3">
        <v>0</v>
      </c>
      <c r="Q179" s="3">
        <v>0</v>
      </c>
      <c r="R179" s="3">
        <v>0</v>
      </c>
    </row>
    <row r="180" spans="1:18">
      <c r="A180" s="3" t="s">
        <v>1018</v>
      </c>
      <c r="B180" s="3" t="s">
        <v>1019</v>
      </c>
      <c r="C180" s="3" t="s">
        <v>1020</v>
      </c>
      <c r="D180" s="3" t="s">
        <v>1021</v>
      </c>
      <c r="E180" s="3" t="s">
        <v>182</v>
      </c>
      <c r="F180" s="3">
        <v>15.99</v>
      </c>
      <c r="G180" s="3" t="s">
        <v>844</v>
      </c>
      <c r="H180" s="3"/>
      <c r="I180" s="3" t="s">
        <v>845</v>
      </c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>
        <v>0.04</v>
      </c>
      <c r="P180" s="3">
        <v>0</v>
      </c>
      <c r="Q180" s="3">
        <v>0</v>
      </c>
      <c r="R180" s="3">
        <v>0</v>
      </c>
    </row>
    <row r="181" spans="1:18">
      <c r="A181" s="3" t="s">
        <v>568</v>
      </c>
      <c r="B181" s="3" t="s">
        <v>569</v>
      </c>
      <c r="C181" s="3" t="s">
        <v>570</v>
      </c>
      <c r="D181" s="3" t="s">
        <v>571</v>
      </c>
      <c r="E181" s="3" t="s">
        <v>182</v>
      </c>
      <c r="F181" s="3">
        <v>25.99</v>
      </c>
      <c r="G181" s="3" t="s">
        <v>844</v>
      </c>
      <c r="H181" s="3"/>
      <c r="I181" s="3" t="s">
        <v>845</v>
      </c>
      <c r="J181" s="3">
        <v>5</v>
      </c>
      <c r="K181" s="3">
        <v>5</v>
      </c>
      <c r="L181" s="3">
        <v>0</v>
      </c>
      <c r="M181" s="3">
        <v>0</v>
      </c>
      <c r="N181" s="3">
        <v>5</v>
      </c>
      <c r="O181" s="3">
        <v>0.24</v>
      </c>
      <c r="P181" s="3">
        <v>0</v>
      </c>
      <c r="Q181" s="3">
        <v>0</v>
      </c>
      <c r="R181" s="3">
        <v>0</v>
      </c>
    </row>
    <row r="182" spans="1:18">
      <c r="A182" s="3" t="s">
        <v>1022</v>
      </c>
      <c r="B182" s="3" t="s">
        <v>1023</v>
      </c>
      <c r="C182" s="3" t="s">
        <v>1024</v>
      </c>
      <c r="D182" s="3" t="s">
        <v>1025</v>
      </c>
      <c r="E182" s="3" t="s">
        <v>182</v>
      </c>
      <c r="F182" s="3">
        <v>14.99</v>
      </c>
      <c r="G182" s="3" t="s">
        <v>844</v>
      </c>
      <c r="H182" s="3"/>
      <c r="I182" s="3" t="s">
        <v>845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0.23</v>
      </c>
      <c r="P182" s="3">
        <v>0</v>
      </c>
      <c r="Q182" s="3">
        <v>0</v>
      </c>
      <c r="R182" s="3">
        <v>0</v>
      </c>
    </row>
    <row r="183" spans="1:18">
      <c r="A183" s="3" t="s">
        <v>679</v>
      </c>
      <c r="B183" s="3" t="s">
        <v>680</v>
      </c>
      <c r="C183" s="3" t="s">
        <v>681</v>
      </c>
      <c r="D183" s="3" t="s">
        <v>682</v>
      </c>
      <c r="E183" s="3" t="s">
        <v>182</v>
      </c>
      <c r="F183" s="3">
        <v>14.99</v>
      </c>
      <c r="G183" s="3" t="s">
        <v>844</v>
      </c>
      <c r="H183" s="3"/>
      <c r="I183" s="3" t="s">
        <v>845</v>
      </c>
      <c r="J183" s="3">
        <v>3</v>
      </c>
      <c r="K183" s="3">
        <v>3</v>
      </c>
      <c r="L183" s="3">
        <v>0</v>
      </c>
      <c r="M183" s="3">
        <v>0</v>
      </c>
      <c r="N183" s="3">
        <v>3</v>
      </c>
      <c r="O183" s="3">
        <v>0.26</v>
      </c>
      <c r="P183" s="3">
        <v>0</v>
      </c>
      <c r="Q183" s="3">
        <v>0</v>
      </c>
      <c r="R183" s="3">
        <v>0</v>
      </c>
    </row>
    <row r="184" spans="1:18">
      <c r="A184" s="3" t="s">
        <v>119</v>
      </c>
      <c r="B184" s="3" t="s">
        <v>120</v>
      </c>
      <c r="C184" s="3" t="s">
        <v>121</v>
      </c>
      <c r="D184" s="3" t="s">
        <v>122</v>
      </c>
      <c r="E184" s="3" t="s">
        <v>182</v>
      </c>
      <c r="F184" s="3">
        <v>25.99</v>
      </c>
      <c r="G184" s="3" t="s">
        <v>844</v>
      </c>
      <c r="H184" s="3"/>
      <c r="I184" s="3" t="s">
        <v>845</v>
      </c>
      <c r="J184" s="3">
        <v>4</v>
      </c>
      <c r="K184" s="3">
        <v>3</v>
      </c>
      <c r="L184" s="3">
        <v>0</v>
      </c>
      <c r="M184" s="3">
        <v>1</v>
      </c>
      <c r="N184" s="3">
        <v>4</v>
      </c>
      <c r="O184" s="3">
        <v>0.12</v>
      </c>
      <c r="P184" s="3">
        <v>0</v>
      </c>
      <c r="Q184" s="3">
        <v>0</v>
      </c>
      <c r="R184" s="3">
        <v>0</v>
      </c>
    </row>
    <row r="185" spans="1:18">
      <c r="A185" s="3" t="s">
        <v>1026</v>
      </c>
      <c r="B185" s="3" t="s">
        <v>1027</v>
      </c>
      <c r="C185" s="3" t="s">
        <v>1028</v>
      </c>
      <c r="D185" s="3" t="s">
        <v>1029</v>
      </c>
      <c r="E185" s="3" t="s">
        <v>182</v>
      </c>
      <c r="F185" s="3">
        <v>25.99</v>
      </c>
      <c r="G185" s="3" t="s">
        <v>844</v>
      </c>
      <c r="H185" s="3"/>
      <c r="I185" s="3" t="s">
        <v>845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</row>
    <row r="186" spans="1:18">
      <c r="A186" s="3" t="s">
        <v>107</v>
      </c>
      <c r="B186" s="3" t="s">
        <v>108</v>
      </c>
      <c r="C186" s="3" t="s">
        <v>109</v>
      </c>
      <c r="D186" s="3" t="s">
        <v>110</v>
      </c>
      <c r="E186" s="3" t="s">
        <v>182</v>
      </c>
      <c r="F186" s="3">
        <v>25.99</v>
      </c>
      <c r="G186" s="3" t="s">
        <v>844</v>
      </c>
      <c r="H186" s="3"/>
      <c r="I186" s="3" t="s">
        <v>845</v>
      </c>
      <c r="J186" s="3">
        <v>5</v>
      </c>
      <c r="K186" s="3">
        <v>0</v>
      </c>
      <c r="L186" s="3">
        <v>0</v>
      </c>
      <c r="M186" s="3">
        <v>5</v>
      </c>
      <c r="N186" s="3">
        <v>5</v>
      </c>
      <c r="O186" s="3">
        <v>0.24</v>
      </c>
      <c r="P186" s="3">
        <v>0</v>
      </c>
      <c r="Q186" s="3">
        <v>0</v>
      </c>
      <c r="R186" s="3">
        <v>0</v>
      </c>
    </row>
    <row r="187" spans="1:18">
      <c r="A187" s="3" t="s">
        <v>241</v>
      </c>
      <c r="B187" s="3" t="s">
        <v>242</v>
      </c>
      <c r="C187" s="3" t="s">
        <v>243</v>
      </c>
      <c r="D187" s="3" t="s">
        <v>244</v>
      </c>
      <c r="E187" s="3" t="s">
        <v>182</v>
      </c>
      <c r="F187" s="3">
        <v>25.99</v>
      </c>
      <c r="G187" s="3" t="s">
        <v>844</v>
      </c>
      <c r="H187" s="3"/>
      <c r="I187" s="3" t="s">
        <v>845</v>
      </c>
      <c r="J187" s="3">
        <v>5</v>
      </c>
      <c r="K187" s="3">
        <v>5</v>
      </c>
      <c r="L187" s="3">
        <v>0</v>
      </c>
      <c r="M187" s="3">
        <v>0</v>
      </c>
      <c r="N187" s="3">
        <v>5</v>
      </c>
      <c r="O187" s="3">
        <v>0.29</v>
      </c>
      <c r="P187" s="3">
        <v>0</v>
      </c>
      <c r="Q187" s="3">
        <v>0</v>
      </c>
      <c r="R187" s="3">
        <v>0</v>
      </c>
    </row>
    <row r="188" spans="1:18">
      <c r="A188" s="3" t="s">
        <v>1030</v>
      </c>
      <c r="B188" s="3" t="s">
        <v>1031</v>
      </c>
      <c r="C188" s="3" t="s">
        <v>1032</v>
      </c>
      <c r="D188" s="3" t="s">
        <v>1033</v>
      </c>
      <c r="E188" s="3" t="s">
        <v>182</v>
      </c>
      <c r="F188" s="3">
        <v>25.99</v>
      </c>
      <c r="G188" s="3" t="s">
        <v>844</v>
      </c>
      <c r="H188" s="3"/>
      <c r="I188" s="3" t="s">
        <v>845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</row>
    <row r="189" spans="1:18">
      <c r="A189" s="3" t="s">
        <v>127</v>
      </c>
      <c r="B189" s="3" t="s">
        <v>128</v>
      </c>
      <c r="C189" s="3" t="s">
        <v>129</v>
      </c>
      <c r="D189" s="3" t="s">
        <v>130</v>
      </c>
      <c r="E189" s="3" t="s">
        <v>182</v>
      </c>
      <c r="F189" s="3">
        <v>30.99</v>
      </c>
      <c r="G189" s="3" t="s">
        <v>844</v>
      </c>
      <c r="H189" s="3"/>
      <c r="I189" s="3" t="s">
        <v>845</v>
      </c>
      <c r="J189" s="3">
        <v>38</v>
      </c>
      <c r="K189" s="3">
        <v>25</v>
      </c>
      <c r="L189" s="3">
        <v>0</v>
      </c>
      <c r="M189" s="3">
        <v>13</v>
      </c>
      <c r="N189" s="3">
        <v>44</v>
      </c>
      <c r="O189" s="3">
        <v>0.1</v>
      </c>
      <c r="P189" s="3">
        <v>6</v>
      </c>
      <c r="Q189" s="3">
        <v>0</v>
      </c>
      <c r="R189" s="3">
        <v>0</v>
      </c>
    </row>
    <row r="190" spans="1:18">
      <c r="A190" s="3" t="s">
        <v>99</v>
      </c>
      <c r="B190" s="3" t="s">
        <v>100</v>
      </c>
      <c r="C190" s="3" t="s">
        <v>101</v>
      </c>
      <c r="D190" s="3" t="s">
        <v>102</v>
      </c>
      <c r="E190" s="3" t="s">
        <v>182</v>
      </c>
      <c r="F190" s="3">
        <v>30.99</v>
      </c>
      <c r="G190" s="3" t="s">
        <v>844</v>
      </c>
      <c r="H190" s="3"/>
      <c r="I190" s="3" t="s">
        <v>845</v>
      </c>
      <c r="J190" s="3">
        <v>20</v>
      </c>
      <c r="K190" s="3">
        <v>11</v>
      </c>
      <c r="L190" s="3">
        <v>0</v>
      </c>
      <c r="M190" s="3">
        <v>9</v>
      </c>
      <c r="N190" s="3">
        <v>39</v>
      </c>
      <c r="O190" s="3">
        <v>0.15</v>
      </c>
      <c r="P190" s="3">
        <v>6</v>
      </c>
      <c r="Q190" s="3">
        <v>0</v>
      </c>
      <c r="R190" s="3">
        <v>13</v>
      </c>
    </row>
    <row r="191" spans="1:18">
      <c r="A191" s="3" t="s">
        <v>115</v>
      </c>
      <c r="B191" s="3" t="s">
        <v>116</v>
      </c>
      <c r="C191" s="3" t="s">
        <v>117</v>
      </c>
      <c r="D191" s="3" t="s">
        <v>118</v>
      </c>
      <c r="E191" s="3" t="s">
        <v>182</v>
      </c>
      <c r="F191" s="3">
        <v>30.99</v>
      </c>
      <c r="G191" s="3" t="s">
        <v>844</v>
      </c>
      <c r="H191" s="3"/>
      <c r="I191" s="3" t="s">
        <v>845</v>
      </c>
      <c r="J191" s="3">
        <v>10</v>
      </c>
      <c r="K191" s="3">
        <v>0</v>
      </c>
      <c r="L191" s="3">
        <v>0</v>
      </c>
      <c r="M191" s="3">
        <v>10</v>
      </c>
      <c r="N191" s="3">
        <v>60</v>
      </c>
      <c r="O191" s="3">
        <v>0.18</v>
      </c>
      <c r="P191" s="3">
        <v>6</v>
      </c>
      <c r="Q191" s="3">
        <v>27</v>
      </c>
      <c r="R191" s="3">
        <v>17</v>
      </c>
    </row>
    <row r="192" spans="1:18">
      <c r="A192" s="3" t="s">
        <v>131</v>
      </c>
      <c r="B192" s="3" t="s">
        <v>132</v>
      </c>
      <c r="C192" s="3" t="s">
        <v>133</v>
      </c>
      <c r="D192" s="3" t="s">
        <v>134</v>
      </c>
      <c r="E192" s="3" t="s">
        <v>182</v>
      </c>
      <c r="F192" s="3">
        <v>30.99</v>
      </c>
      <c r="G192" s="3" t="s">
        <v>844</v>
      </c>
      <c r="H192" s="3"/>
      <c r="I192" s="3" t="s">
        <v>845</v>
      </c>
      <c r="J192" s="3">
        <v>23</v>
      </c>
      <c r="K192" s="3">
        <v>5</v>
      </c>
      <c r="L192" s="3">
        <v>0</v>
      </c>
      <c r="M192" s="3">
        <v>18</v>
      </c>
      <c r="N192" s="3">
        <v>56</v>
      </c>
      <c r="O192" s="3">
        <v>0.18</v>
      </c>
      <c r="P192" s="3">
        <v>6</v>
      </c>
      <c r="Q192" s="3">
        <v>27</v>
      </c>
      <c r="R192" s="3">
        <v>0</v>
      </c>
    </row>
    <row r="193" spans="1:18">
      <c r="A193" s="3" t="s">
        <v>705</v>
      </c>
      <c r="B193" s="3" t="s">
        <v>706</v>
      </c>
      <c r="C193" s="3" t="s">
        <v>707</v>
      </c>
      <c r="D193" s="3" t="s">
        <v>708</v>
      </c>
      <c r="E193" s="3" t="s">
        <v>182</v>
      </c>
      <c r="F193" s="3">
        <v>30.99</v>
      </c>
      <c r="G193" s="3" t="s">
        <v>844</v>
      </c>
      <c r="H193" s="3"/>
      <c r="I193" s="3" t="s">
        <v>845</v>
      </c>
      <c r="J193" s="3">
        <v>20</v>
      </c>
      <c r="K193" s="3">
        <v>20</v>
      </c>
      <c r="L193" s="3">
        <v>0</v>
      </c>
      <c r="M193" s="3">
        <v>0</v>
      </c>
      <c r="N193" s="3">
        <v>20</v>
      </c>
      <c r="O193" s="3">
        <v>0.09</v>
      </c>
      <c r="P193" s="3">
        <v>0</v>
      </c>
      <c r="Q193" s="3">
        <v>0</v>
      </c>
      <c r="R193" s="3">
        <v>0</v>
      </c>
    </row>
    <row r="194" spans="1:18">
      <c r="A194" s="3" t="s">
        <v>179</v>
      </c>
      <c r="B194" s="3" t="s">
        <v>180</v>
      </c>
      <c r="C194" s="3" t="s">
        <v>180</v>
      </c>
      <c r="D194" s="3" t="s">
        <v>181</v>
      </c>
      <c r="E194" s="3" t="s">
        <v>182</v>
      </c>
      <c r="F194" s="3">
        <v>12.99</v>
      </c>
      <c r="G194" s="3" t="s">
        <v>844</v>
      </c>
      <c r="H194" s="3"/>
      <c r="I194" s="3" t="s">
        <v>845</v>
      </c>
      <c r="J194" s="3">
        <v>5</v>
      </c>
      <c r="K194" s="3">
        <v>5</v>
      </c>
      <c r="L194" s="3">
        <v>0</v>
      </c>
      <c r="M194" s="3">
        <v>0</v>
      </c>
      <c r="N194" s="3">
        <v>5</v>
      </c>
      <c r="O194" s="3">
        <v>0.02</v>
      </c>
      <c r="P194" s="3">
        <v>0</v>
      </c>
      <c r="Q194" s="3">
        <v>0</v>
      </c>
      <c r="R194" s="3">
        <v>0</v>
      </c>
    </row>
    <row r="195" spans="1:18">
      <c r="A195" s="3" t="s">
        <v>388</v>
      </c>
      <c r="B195" s="3" t="s">
        <v>389</v>
      </c>
      <c r="C195" s="3" t="s">
        <v>389</v>
      </c>
      <c r="D195" s="3" t="s">
        <v>390</v>
      </c>
      <c r="E195" s="3" t="s">
        <v>182</v>
      </c>
      <c r="F195" s="3">
        <v>12.99</v>
      </c>
      <c r="G195" s="3" t="s">
        <v>844</v>
      </c>
      <c r="H195" s="3"/>
      <c r="I195" s="3" t="s">
        <v>845</v>
      </c>
      <c r="J195" s="3">
        <v>4</v>
      </c>
      <c r="K195" s="3">
        <v>4</v>
      </c>
      <c r="L195" s="3">
        <v>0</v>
      </c>
      <c r="M195" s="3">
        <v>0</v>
      </c>
      <c r="N195" s="3">
        <v>4</v>
      </c>
      <c r="O195" s="3">
        <v>0.01</v>
      </c>
      <c r="P195" s="3">
        <v>0</v>
      </c>
      <c r="Q195" s="3">
        <v>0</v>
      </c>
      <c r="R195" s="3">
        <v>0</v>
      </c>
    </row>
    <row r="196" spans="1:18">
      <c r="A196" s="3" t="s">
        <v>592</v>
      </c>
      <c r="B196" s="3" t="s">
        <v>593</v>
      </c>
      <c r="C196" s="3" t="s">
        <v>593</v>
      </c>
      <c r="D196" s="3" t="s">
        <v>594</v>
      </c>
      <c r="E196" s="3" t="s">
        <v>182</v>
      </c>
      <c r="F196" s="3">
        <v>12.99</v>
      </c>
      <c r="G196" s="3" t="s">
        <v>844</v>
      </c>
      <c r="H196" s="3"/>
      <c r="I196" s="3" t="s">
        <v>845</v>
      </c>
      <c r="J196" s="3">
        <v>5</v>
      </c>
      <c r="K196" s="3">
        <v>5</v>
      </c>
      <c r="L196" s="3">
        <v>0</v>
      </c>
      <c r="M196" s="3">
        <v>0</v>
      </c>
      <c r="N196" s="3">
        <v>5</v>
      </c>
      <c r="O196" s="3">
        <v>0.01</v>
      </c>
      <c r="P196" s="3">
        <v>0</v>
      </c>
      <c r="Q196" s="3">
        <v>0</v>
      </c>
      <c r="R196" s="3">
        <v>0</v>
      </c>
    </row>
    <row r="197" spans="1:18">
      <c r="A197" s="3" t="s">
        <v>285</v>
      </c>
      <c r="B197" s="3" t="s">
        <v>286</v>
      </c>
      <c r="C197" s="3" t="s">
        <v>286</v>
      </c>
      <c r="D197" s="3" t="s">
        <v>287</v>
      </c>
      <c r="E197" s="3" t="s">
        <v>182</v>
      </c>
      <c r="F197" s="3">
        <v>12.99</v>
      </c>
      <c r="G197" s="3" t="s">
        <v>844</v>
      </c>
      <c r="H197" s="3"/>
      <c r="I197" s="3" t="s">
        <v>845</v>
      </c>
      <c r="J197" s="3">
        <v>5</v>
      </c>
      <c r="K197" s="3">
        <v>5</v>
      </c>
      <c r="L197" s="3">
        <v>0</v>
      </c>
      <c r="M197" s="3">
        <v>0</v>
      </c>
      <c r="N197" s="3">
        <v>5</v>
      </c>
      <c r="O197" s="3">
        <v>0.01</v>
      </c>
      <c r="P197" s="3">
        <v>0</v>
      </c>
      <c r="Q197" s="3">
        <v>0</v>
      </c>
      <c r="R197" s="3">
        <v>0</v>
      </c>
    </row>
    <row r="198" spans="1:18">
      <c r="A198" s="3" t="s">
        <v>737</v>
      </c>
      <c r="B198" s="3" t="s">
        <v>738</v>
      </c>
      <c r="C198" s="3" t="s">
        <v>738</v>
      </c>
      <c r="D198" s="3" t="s">
        <v>739</v>
      </c>
      <c r="E198" s="3" t="s">
        <v>182</v>
      </c>
      <c r="F198" s="3">
        <v>12.99</v>
      </c>
      <c r="G198" s="3" t="s">
        <v>844</v>
      </c>
      <c r="H198" s="3"/>
      <c r="I198" s="3" t="s">
        <v>845</v>
      </c>
      <c r="J198" s="3">
        <v>2</v>
      </c>
      <c r="K198" s="3">
        <v>2</v>
      </c>
      <c r="L198" s="3">
        <v>0</v>
      </c>
      <c r="M198" s="3">
        <v>0</v>
      </c>
      <c r="N198" s="3">
        <v>2</v>
      </c>
      <c r="O198" s="3">
        <v>0.01</v>
      </c>
      <c r="P198" s="3">
        <v>0</v>
      </c>
      <c r="Q198" s="3">
        <v>0</v>
      </c>
      <c r="R198" s="3">
        <v>0</v>
      </c>
    </row>
    <row r="199" spans="1:18">
      <c r="A199" s="3" t="s">
        <v>380</v>
      </c>
      <c r="B199" s="3" t="s">
        <v>381</v>
      </c>
      <c r="C199" s="3" t="s">
        <v>381</v>
      </c>
      <c r="D199" s="3" t="s">
        <v>382</v>
      </c>
      <c r="E199" s="3" t="s">
        <v>182</v>
      </c>
      <c r="F199" s="3">
        <v>12.99</v>
      </c>
      <c r="G199" s="3" t="s">
        <v>844</v>
      </c>
      <c r="H199" s="3"/>
      <c r="I199" s="3" t="s">
        <v>845</v>
      </c>
      <c r="J199" s="3">
        <v>4</v>
      </c>
      <c r="K199" s="3">
        <v>4</v>
      </c>
      <c r="L199" s="3">
        <v>0</v>
      </c>
      <c r="M199" s="3">
        <v>0</v>
      </c>
      <c r="N199" s="3">
        <v>4</v>
      </c>
      <c r="O199" s="3">
        <v>0.03</v>
      </c>
      <c r="P199" s="3">
        <v>0</v>
      </c>
      <c r="Q199" s="3">
        <v>0</v>
      </c>
      <c r="R199" s="3">
        <v>0</v>
      </c>
    </row>
    <row r="200" spans="1:18">
      <c r="A200" s="3" t="s">
        <v>722</v>
      </c>
      <c r="B200" s="3" t="s">
        <v>723</v>
      </c>
      <c r="C200" s="3" t="s">
        <v>724</v>
      </c>
      <c r="D200" s="3" t="s">
        <v>725</v>
      </c>
      <c r="E200" s="3" t="s">
        <v>182</v>
      </c>
      <c r="F200" s="3">
        <v>20.99</v>
      </c>
      <c r="G200" s="3" t="s">
        <v>844</v>
      </c>
      <c r="H200" s="3"/>
      <c r="I200" s="3" t="s">
        <v>845</v>
      </c>
      <c r="J200" s="3">
        <v>24</v>
      </c>
      <c r="K200" s="3">
        <v>24</v>
      </c>
      <c r="L200" s="3">
        <v>0</v>
      </c>
      <c r="M200" s="3">
        <v>0</v>
      </c>
      <c r="N200" s="3">
        <v>24</v>
      </c>
      <c r="O200" s="3">
        <v>0</v>
      </c>
      <c r="P200" s="3">
        <v>0</v>
      </c>
      <c r="Q200" s="3">
        <v>0</v>
      </c>
      <c r="R200" s="3">
        <v>0</v>
      </c>
    </row>
    <row r="201" spans="1:18">
      <c r="A201" s="3" t="s">
        <v>1034</v>
      </c>
      <c r="B201" s="3" t="s">
        <v>1035</v>
      </c>
      <c r="C201" s="3" t="s">
        <v>1036</v>
      </c>
      <c r="D201" s="3"/>
      <c r="E201" s="3" t="s">
        <v>876</v>
      </c>
      <c r="F201" s="3"/>
      <c r="G201" s="3"/>
      <c r="H201" s="3"/>
      <c r="I201" s="3"/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1037</v>
      </c>
      <c r="B202" s="3" t="s">
        <v>1038</v>
      </c>
      <c r="C202" s="3" t="s">
        <v>1039</v>
      </c>
      <c r="D202" s="3"/>
      <c r="E202" s="3" t="s">
        <v>876</v>
      </c>
      <c r="F202" s="3"/>
      <c r="G202" s="3"/>
      <c r="H202" s="3"/>
      <c r="I202" s="3"/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1040</v>
      </c>
      <c r="B203" s="3" t="s">
        <v>1041</v>
      </c>
      <c r="C203" s="3" t="s">
        <v>1042</v>
      </c>
      <c r="D203" s="3"/>
      <c r="E203" s="3" t="s">
        <v>876</v>
      </c>
      <c r="F203" s="3"/>
      <c r="G203" s="3"/>
      <c r="H203" s="3"/>
      <c r="I203" s="3"/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/>
      <c r="P203" s="3">
        <v>0</v>
      </c>
      <c r="Q203" s="3">
        <v>0</v>
      </c>
      <c r="R203" s="3">
        <v>0</v>
      </c>
    </row>
    <row r="204" spans="1:18">
      <c r="A204" s="3" t="s">
        <v>689</v>
      </c>
      <c r="B204" s="3" t="s">
        <v>690</v>
      </c>
      <c r="C204" s="3" t="s">
        <v>691</v>
      </c>
      <c r="D204" s="3" t="s">
        <v>692</v>
      </c>
      <c r="E204" s="3" t="s">
        <v>182</v>
      </c>
      <c r="F204" s="3">
        <v>25.99</v>
      </c>
      <c r="G204" s="3" t="s">
        <v>844</v>
      </c>
      <c r="H204" s="3"/>
      <c r="I204" s="3" t="s">
        <v>845</v>
      </c>
      <c r="J204" s="3">
        <v>5</v>
      </c>
      <c r="K204" s="3">
        <v>5</v>
      </c>
      <c r="L204" s="3">
        <v>0</v>
      </c>
      <c r="M204" s="3">
        <v>0</v>
      </c>
      <c r="N204" s="3">
        <v>5</v>
      </c>
      <c r="O204" s="3">
        <v>0.05</v>
      </c>
      <c r="P204" s="3">
        <v>0</v>
      </c>
      <c r="Q204" s="3">
        <v>0</v>
      </c>
      <c r="R204" s="3">
        <v>0</v>
      </c>
    </row>
    <row r="205" spans="1:18">
      <c r="A205" s="3" t="s">
        <v>445</v>
      </c>
      <c r="B205" s="3" t="s">
        <v>446</v>
      </c>
      <c r="C205" s="3" t="s">
        <v>447</v>
      </c>
      <c r="D205" s="3" t="s">
        <v>448</v>
      </c>
      <c r="E205" s="3" t="s">
        <v>182</v>
      </c>
      <c r="F205" s="3">
        <v>25.99</v>
      </c>
      <c r="G205" s="3" t="s">
        <v>844</v>
      </c>
      <c r="H205" s="3"/>
      <c r="I205" s="3" t="s">
        <v>845</v>
      </c>
      <c r="J205" s="3">
        <v>5</v>
      </c>
      <c r="K205" s="3">
        <v>5</v>
      </c>
      <c r="L205" s="3">
        <v>0</v>
      </c>
      <c r="M205" s="3">
        <v>0</v>
      </c>
      <c r="N205" s="3">
        <v>5</v>
      </c>
      <c r="O205" s="3">
        <v>0.05</v>
      </c>
      <c r="P205" s="3">
        <v>0</v>
      </c>
      <c r="Q205" s="3">
        <v>0</v>
      </c>
      <c r="R205" s="3">
        <v>0</v>
      </c>
    </row>
    <row r="206" spans="1:18">
      <c r="A206" s="3" t="s">
        <v>350</v>
      </c>
      <c r="B206" s="3" t="s">
        <v>351</v>
      </c>
      <c r="C206" s="3" t="s">
        <v>352</v>
      </c>
      <c r="D206" s="3" t="s">
        <v>353</v>
      </c>
      <c r="E206" s="3" t="s">
        <v>182</v>
      </c>
      <c r="F206" s="3">
        <v>25.99</v>
      </c>
      <c r="G206" s="3" t="s">
        <v>844</v>
      </c>
      <c r="H206" s="3"/>
      <c r="I206" s="3" t="s">
        <v>845</v>
      </c>
      <c r="J206" s="3">
        <v>5</v>
      </c>
      <c r="K206" s="3">
        <v>5</v>
      </c>
      <c r="L206" s="3">
        <v>0</v>
      </c>
      <c r="M206" s="3">
        <v>0</v>
      </c>
      <c r="N206" s="3">
        <v>5</v>
      </c>
      <c r="O206" s="3">
        <v>0.03</v>
      </c>
      <c r="P206" s="3">
        <v>0</v>
      </c>
      <c r="Q206" s="3">
        <v>0</v>
      </c>
      <c r="R206" s="3">
        <v>0</v>
      </c>
    </row>
    <row r="207" spans="1:18">
      <c r="A207" s="3" t="s">
        <v>775</v>
      </c>
      <c r="B207" s="3" t="s">
        <v>776</v>
      </c>
      <c r="C207" s="3" t="s">
        <v>777</v>
      </c>
      <c r="D207" s="3" t="s">
        <v>778</v>
      </c>
      <c r="E207" s="3" t="s">
        <v>182</v>
      </c>
      <c r="F207" s="3">
        <v>25.99</v>
      </c>
      <c r="G207" s="3" t="s">
        <v>844</v>
      </c>
      <c r="H207" s="3"/>
      <c r="I207" s="3" t="s">
        <v>845</v>
      </c>
      <c r="J207" s="3">
        <v>5</v>
      </c>
      <c r="K207" s="3">
        <v>5</v>
      </c>
      <c r="L207" s="3">
        <v>0</v>
      </c>
      <c r="M207" s="3">
        <v>0</v>
      </c>
      <c r="N207" s="3">
        <v>5</v>
      </c>
      <c r="O207" s="3">
        <v>0.05</v>
      </c>
      <c r="P207" s="3">
        <v>0</v>
      </c>
      <c r="Q207" s="3">
        <v>0</v>
      </c>
      <c r="R207" s="3">
        <v>0</v>
      </c>
    </row>
    <row r="208" spans="1:18">
      <c r="A208" s="3" t="s">
        <v>1043</v>
      </c>
      <c r="B208" s="3" t="s">
        <v>1044</v>
      </c>
      <c r="C208" s="3" t="s">
        <v>1044</v>
      </c>
      <c r="D208" s="3" t="s">
        <v>1045</v>
      </c>
      <c r="E208" s="3" t="s">
        <v>182</v>
      </c>
      <c r="F208" s="3">
        <v>79.99</v>
      </c>
      <c r="G208" s="3" t="s">
        <v>844</v>
      </c>
      <c r="H208" s="3"/>
      <c r="I208" s="3" t="s">
        <v>845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1.46</v>
      </c>
      <c r="P208" s="3">
        <v>0</v>
      </c>
      <c r="Q208" s="3">
        <v>0</v>
      </c>
      <c r="R208" s="3">
        <v>0</v>
      </c>
    </row>
    <row r="209" spans="1:18">
      <c r="A209" s="3" t="s">
        <v>289</v>
      </c>
      <c r="B209" s="3" t="s">
        <v>290</v>
      </c>
      <c r="C209" s="3" t="s">
        <v>290</v>
      </c>
      <c r="D209" s="3" t="s">
        <v>291</v>
      </c>
      <c r="E209" s="3" t="s">
        <v>182</v>
      </c>
      <c r="F209" s="3">
        <v>21.98</v>
      </c>
      <c r="G209" s="3" t="s">
        <v>844</v>
      </c>
      <c r="H209" s="3"/>
      <c r="I209" s="3" t="s">
        <v>845</v>
      </c>
      <c r="J209" s="3">
        <v>4</v>
      </c>
      <c r="K209" s="3">
        <v>4</v>
      </c>
      <c r="L209" s="3">
        <v>0</v>
      </c>
      <c r="M209" s="3">
        <v>0</v>
      </c>
      <c r="N209" s="3">
        <v>4</v>
      </c>
      <c r="O209" s="3">
        <v>0.14</v>
      </c>
      <c r="P209" s="3">
        <v>0</v>
      </c>
      <c r="Q209" s="3">
        <v>0</v>
      </c>
      <c r="R209" s="3">
        <v>0</v>
      </c>
    </row>
    <row r="210" spans="1:18">
      <c r="A210" s="3" t="s">
        <v>740</v>
      </c>
      <c r="B210" s="3" t="s">
        <v>741</v>
      </c>
      <c r="C210" s="3" t="s">
        <v>741</v>
      </c>
      <c r="D210" s="3" t="s">
        <v>742</v>
      </c>
      <c r="E210" s="3" t="s">
        <v>182</v>
      </c>
      <c r="F210" s="3">
        <v>21.98</v>
      </c>
      <c r="G210" s="3" t="s">
        <v>844</v>
      </c>
      <c r="H210" s="3"/>
      <c r="I210" s="3" t="s">
        <v>845</v>
      </c>
      <c r="J210" s="3">
        <v>4</v>
      </c>
      <c r="K210" s="3">
        <v>4</v>
      </c>
      <c r="L210" s="3">
        <v>0</v>
      </c>
      <c r="M210" s="3">
        <v>0</v>
      </c>
      <c r="N210" s="3">
        <v>4</v>
      </c>
      <c r="O210" s="3">
        <v>0.14</v>
      </c>
      <c r="P210" s="3">
        <v>0</v>
      </c>
      <c r="Q210" s="3">
        <v>0</v>
      </c>
      <c r="R210" s="3">
        <v>0</v>
      </c>
    </row>
    <row r="211" spans="1:18">
      <c r="A211" s="3" t="s">
        <v>235</v>
      </c>
      <c r="B211" s="3" t="s">
        <v>236</v>
      </c>
      <c r="C211" s="3" t="s">
        <v>236</v>
      </c>
      <c r="D211" s="3" t="s">
        <v>237</v>
      </c>
      <c r="E211" s="3" t="s">
        <v>182</v>
      </c>
      <c r="F211" s="3">
        <v>21.98</v>
      </c>
      <c r="G211" s="3" t="s">
        <v>844</v>
      </c>
      <c r="H211" s="3"/>
      <c r="I211" s="3" t="s">
        <v>845</v>
      </c>
      <c r="J211" s="3">
        <v>4</v>
      </c>
      <c r="K211" s="3">
        <v>4</v>
      </c>
      <c r="L211" s="3">
        <v>0</v>
      </c>
      <c r="M211" s="3">
        <v>0</v>
      </c>
      <c r="N211" s="3">
        <v>4</v>
      </c>
      <c r="O211" s="3">
        <v>0.14</v>
      </c>
      <c r="P211" s="3">
        <v>0</v>
      </c>
      <c r="Q211" s="3">
        <v>0</v>
      </c>
      <c r="R211" s="3">
        <v>0</v>
      </c>
    </row>
    <row r="212" spans="1:18">
      <c r="A212" s="3" t="s">
        <v>411</v>
      </c>
      <c r="B212" s="3" t="s">
        <v>412</v>
      </c>
      <c r="C212" s="3" t="s">
        <v>412</v>
      </c>
      <c r="D212" s="3" t="s">
        <v>413</v>
      </c>
      <c r="E212" s="3" t="s">
        <v>182</v>
      </c>
      <c r="F212" s="3">
        <v>21.98</v>
      </c>
      <c r="G212" s="3" t="s">
        <v>844</v>
      </c>
      <c r="H212" s="3"/>
      <c r="I212" s="3" t="s">
        <v>845</v>
      </c>
      <c r="J212" s="3">
        <v>4</v>
      </c>
      <c r="K212" s="3">
        <v>4</v>
      </c>
      <c r="L212" s="3">
        <v>0</v>
      </c>
      <c r="M212" s="3">
        <v>0</v>
      </c>
      <c r="N212" s="3">
        <v>4</v>
      </c>
      <c r="O212" s="3">
        <v>0.14</v>
      </c>
      <c r="P212" s="3">
        <v>0</v>
      </c>
      <c r="Q212" s="3">
        <v>0</v>
      </c>
      <c r="R212" s="3">
        <v>0</v>
      </c>
    </row>
    <row r="213" spans="1:18">
      <c r="A213" s="3" t="s">
        <v>493</v>
      </c>
      <c r="B213" s="3" t="s">
        <v>494</v>
      </c>
      <c r="C213" s="3" t="s">
        <v>494</v>
      </c>
      <c r="D213" s="3" t="s">
        <v>495</v>
      </c>
      <c r="E213" s="3" t="s">
        <v>182</v>
      </c>
      <c r="F213" s="3">
        <v>21.98</v>
      </c>
      <c r="G213" s="3" t="s">
        <v>844</v>
      </c>
      <c r="H213" s="3"/>
      <c r="I213" s="3" t="s">
        <v>845</v>
      </c>
      <c r="J213" s="3">
        <v>2</v>
      </c>
      <c r="K213" s="3">
        <v>2</v>
      </c>
      <c r="L213" s="3">
        <v>0</v>
      </c>
      <c r="M213" s="3">
        <v>0</v>
      </c>
      <c r="N213" s="3">
        <v>2</v>
      </c>
      <c r="O213" s="3">
        <v>0.14</v>
      </c>
      <c r="P213" s="3">
        <v>0</v>
      </c>
      <c r="Q213" s="3">
        <v>0</v>
      </c>
      <c r="R213" s="3">
        <v>0</v>
      </c>
    </row>
    <row r="214" spans="1:18">
      <c r="A214" s="3" t="s">
        <v>292</v>
      </c>
      <c r="B214" s="3" t="s">
        <v>293</v>
      </c>
      <c r="C214" s="3" t="s">
        <v>293</v>
      </c>
      <c r="D214" s="3" t="s">
        <v>294</v>
      </c>
      <c r="E214" s="3" t="s">
        <v>182</v>
      </c>
      <c r="F214" s="3">
        <v>21.98</v>
      </c>
      <c r="G214" s="3" t="s">
        <v>844</v>
      </c>
      <c r="H214" s="3"/>
      <c r="I214" s="3" t="s">
        <v>845</v>
      </c>
      <c r="J214" s="3">
        <v>4</v>
      </c>
      <c r="K214" s="3">
        <v>4</v>
      </c>
      <c r="L214" s="3">
        <v>0</v>
      </c>
      <c r="M214" s="3">
        <v>0</v>
      </c>
      <c r="N214" s="3">
        <v>4</v>
      </c>
      <c r="O214" s="3">
        <v>0.14</v>
      </c>
      <c r="P214" s="3">
        <v>0</v>
      </c>
      <c r="Q214" s="3">
        <v>0</v>
      </c>
      <c r="R214" s="3">
        <v>0</v>
      </c>
    </row>
    <row r="215" spans="1:18">
      <c r="A215" s="3" t="s">
        <v>630</v>
      </c>
      <c r="B215" s="3" t="s">
        <v>631</v>
      </c>
      <c r="C215" s="3" t="s">
        <v>631</v>
      </c>
      <c r="D215" s="3" t="s">
        <v>632</v>
      </c>
      <c r="E215" s="3" t="s">
        <v>182</v>
      </c>
      <c r="F215" s="3">
        <v>21.98</v>
      </c>
      <c r="G215" s="3" t="s">
        <v>844</v>
      </c>
      <c r="H215" s="3"/>
      <c r="I215" s="3" t="s">
        <v>845</v>
      </c>
      <c r="J215" s="3">
        <v>4</v>
      </c>
      <c r="K215" s="3">
        <v>4</v>
      </c>
      <c r="L215" s="3">
        <v>0</v>
      </c>
      <c r="M215" s="3">
        <v>0</v>
      </c>
      <c r="N215" s="3">
        <v>4</v>
      </c>
      <c r="O215" s="3">
        <v>0.14</v>
      </c>
      <c r="P215" s="3">
        <v>0</v>
      </c>
      <c r="Q215" s="3">
        <v>0</v>
      </c>
      <c r="R215" s="3">
        <v>0</v>
      </c>
    </row>
    <row r="216" spans="1:18">
      <c r="A216" s="3" t="s">
        <v>516</v>
      </c>
      <c r="B216" s="3" t="s">
        <v>517</v>
      </c>
      <c r="C216" s="3" t="s">
        <v>517</v>
      </c>
      <c r="D216" s="3" t="s">
        <v>518</v>
      </c>
      <c r="E216" s="3" t="s">
        <v>182</v>
      </c>
      <c r="F216" s="3">
        <v>21.98</v>
      </c>
      <c r="G216" s="3" t="s">
        <v>844</v>
      </c>
      <c r="H216" s="3"/>
      <c r="I216" s="3" t="s">
        <v>845</v>
      </c>
      <c r="J216" s="3">
        <v>4</v>
      </c>
      <c r="K216" s="3">
        <v>4</v>
      </c>
      <c r="L216" s="3">
        <v>0</v>
      </c>
      <c r="M216" s="3">
        <v>0</v>
      </c>
      <c r="N216" s="3">
        <v>4</v>
      </c>
      <c r="O216" s="3">
        <v>0.14</v>
      </c>
      <c r="P216" s="3">
        <v>0</v>
      </c>
      <c r="Q216" s="3">
        <v>0</v>
      </c>
      <c r="R216" s="3">
        <v>0</v>
      </c>
    </row>
    <row r="217" spans="1:18">
      <c r="A217" s="3" t="s">
        <v>238</v>
      </c>
      <c r="B217" s="3" t="s">
        <v>239</v>
      </c>
      <c r="C217" s="3" t="s">
        <v>239</v>
      </c>
      <c r="D217" s="3" t="s">
        <v>240</v>
      </c>
      <c r="E217" s="3" t="s">
        <v>182</v>
      </c>
      <c r="F217" s="3">
        <v>21.98</v>
      </c>
      <c r="G217" s="3" t="s">
        <v>844</v>
      </c>
      <c r="H217" s="3"/>
      <c r="I217" s="3" t="s">
        <v>845</v>
      </c>
      <c r="J217" s="3">
        <v>5</v>
      </c>
      <c r="K217" s="3">
        <v>5</v>
      </c>
      <c r="L217" s="3">
        <v>0</v>
      </c>
      <c r="M217" s="3">
        <v>0</v>
      </c>
      <c r="N217" s="3">
        <v>5</v>
      </c>
      <c r="O217" s="3">
        <v>0.14</v>
      </c>
      <c r="P217" s="3">
        <v>0</v>
      </c>
      <c r="Q217" s="3">
        <v>0</v>
      </c>
      <c r="R217" s="3">
        <v>0</v>
      </c>
    </row>
    <row r="218" spans="1:18">
      <c r="A218" s="3" t="s">
        <v>804</v>
      </c>
      <c r="B218" s="3" t="s">
        <v>805</v>
      </c>
      <c r="C218" s="3" t="s">
        <v>805</v>
      </c>
      <c r="D218" s="3" t="s">
        <v>806</v>
      </c>
      <c r="E218" s="3" t="s">
        <v>182</v>
      </c>
      <c r="F218" s="3">
        <v>21.98</v>
      </c>
      <c r="G218" s="3" t="s">
        <v>844</v>
      </c>
      <c r="H218" s="3"/>
      <c r="I218" s="3" t="s">
        <v>845</v>
      </c>
      <c r="J218" s="3">
        <v>4</v>
      </c>
      <c r="K218" s="3">
        <v>4</v>
      </c>
      <c r="L218" s="3">
        <v>0</v>
      </c>
      <c r="M218" s="3">
        <v>0</v>
      </c>
      <c r="N218" s="3">
        <v>4</v>
      </c>
      <c r="O218" s="3">
        <v>0.14</v>
      </c>
      <c r="P218" s="3">
        <v>0</v>
      </c>
      <c r="Q218" s="3">
        <v>0</v>
      </c>
      <c r="R218" s="3">
        <v>0</v>
      </c>
    </row>
    <row r="219" spans="1:18">
      <c r="A219" s="3" t="s">
        <v>457</v>
      </c>
      <c r="B219" s="3" t="s">
        <v>458</v>
      </c>
      <c r="C219" s="3" t="s">
        <v>458</v>
      </c>
      <c r="D219" s="3" t="s">
        <v>459</v>
      </c>
      <c r="E219" s="3" t="s">
        <v>182</v>
      </c>
      <c r="F219" s="3">
        <v>21.98</v>
      </c>
      <c r="G219" s="3" t="s">
        <v>844</v>
      </c>
      <c r="H219" s="3"/>
      <c r="I219" s="3" t="s">
        <v>845</v>
      </c>
      <c r="J219" s="3">
        <v>2</v>
      </c>
      <c r="K219" s="3">
        <v>2</v>
      </c>
      <c r="L219" s="3">
        <v>0</v>
      </c>
      <c r="M219" s="3">
        <v>0</v>
      </c>
      <c r="N219" s="3">
        <v>2</v>
      </c>
      <c r="O219" s="3">
        <v>0.14</v>
      </c>
      <c r="P219" s="3">
        <v>0</v>
      </c>
      <c r="Q219" s="3">
        <v>0</v>
      </c>
      <c r="R219" s="3">
        <v>0</v>
      </c>
    </row>
    <row r="220" spans="1:18">
      <c r="A220" s="3" t="s">
        <v>798</v>
      </c>
      <c r="B220" s="3" t="s">
        <v>799</v>
      </c>
      <c r="C220" s="3" t="s">
        <v>799</v>
      </c>
      <c r="D220" s="3" t="s">
        <v>800</v>
      </c>
      <c r="E220" s="3" t="s">
        <v>182</v>
      </c>
      <c r="F220" s="3">
        <v>21.98</v>
      </c>
      <c r="G220" s="3" t="s">
        <v>844</v>
      </c>
      <c r="H220" s="3"/>
      <c r="I220" s="3" t="s">
        <v>845</v>
      </c>
      <c r="J220" s="3">
        <v>4</v>
      </c>
      <c r="K220" s="3">
        <v>4</v>
      </c>
      <c r="L220" s="3">
        <v>0</v>
      </c>
      <c r="M220" s="3">
        <v>0</v>
      </c>
      <c r="N220" s="3">
        <v>4</v>
      </c>
      <c r="O220" s="3">
        <v>0.14</v>
      </c>
      <c r="P220" s="3">
        <v>0</v>
      </c>
      <c r="Q220" s="3">
        <v>0</v>
      </c>
      <c r="R220" s="3">
        <v>0</v>
      </c>
    </row>
    <row r="221" spans="1:18">
      <c r="A221" s="3" t="s">
        <v>783</v>
      </c>
      <c r="B221" s="3" t="s">
        <v>784</v>
      </c>
      <c r="C221" s="3" t="s">
        <v>784</v>
      </c>
      <c r="D221" s="3" t="s">
        <v>785</v>
      </c>
      <c r="E221" s="3" t="s">
        <v>182</v>
      </c>
      <c r="F221" s="3">
        <v>21.98</v>
      </c>
      <c r="G221" s="3" t="s">
        <v>844</v>
      </c>
      <c r="H221" s="3"/>
      <c r="I221" s="3" t="s">
        <v>845</v>
      </c>
      <c r="J221" s="3">
        <v>4</v>
      </c>
      <c r="K221" s="3">
        <v>4</v>
      </c>
      <c r="L221" s="3">
        <v>0</v>
      </c>
      <c r="M221" s="3">
        <v>0</v>
      </c>
      <c r="N221" s="3">
        <v>4</v>
      </c>
      <c r="O221" s="3">
        <v>0.14</v>
      </c>
      <c r="P221" s="3">
        <v>0</v>
      </c>
      <c r="Q221" s="3">
        <v>0</v>
      </c>
      <c r="R221" s="3">
        <v>0</v>
      </c>
    </row>
    <row r="222" spans="1:18">
      <c r="A222" s="3" t="s">
        <v>258</v>
      </c>
      <c r="B222" s="3" t="s">
        <v>259</v>
      </c>
      <c r="C222" s="3" t="s">
        <v>259</v>
      </c>
      <c r="D222" s="3" t="s">
        <v>260</v>
      </c>
      <c r="E222" s="3" t="s">
        <v>182</v>
      </c>
      <c r="F222" s="3">
        <v>21.98</v>
      </c>
      <c r="G222" s="3" t="s">
        <v>844</v>
      </c>
      <c r="H222" s="3"/>
      <c r="I222" s="3" t="s">
        <v>845</v>
      </c>
      <c r="J222" s="3">
        <v>4</v>
      </c>
      <c r="K222" s="3">
        <v>4</v>
      </c>
      <c r="L222" s="3">
        <v>0</v>
      </c>
      <c r="M222" s="3">
        <v>0</v>
      </c>
      <c r="N222" s="3">
        <v>4</v>
      </c>
      <c r="O222" s="3">
        <v>0.14</v>
      </c>
      <c r="P222" s="3">
        <v>0</v>
      </c>
      <c r="Q222" s="3">
        <v>0</v>
      </c>
      <c r="R222" s="3">
        <v>0</v>
      </c>
    </row>
    <row r="223" spans="1:18">
      <c r="A223" s="3" t="s">
        <v>343</v>
      </c>
      <c r="B223" s="3" t="s">
        <v>344</v>
      </c>
      <c r="C223" s="3" t="s">
        <v>344</v>
      </c>
      <c r="D223" s="3" t="s">
        <v>345</v>
      </c>
      <c r="E223" s="3" t="s">
        <v>182</v>
      </c>
      <c r="F223" s="3">
        <v>21.98</v>
      </c>
      <c r="G223" s="3" t="s">
        <v>844</v>
      </c>
      <c r="H223" s="3"/>
      <c r="I223" s="3" t="s">
        <v>845</v>
      </c>
      <c r="J223" s="3">
        <v>4</v>
      </c>
      <c r="K223" s="3">
        <v>4</v>
      </c>
      <c r="L223" s="3">
        <v>0</v>
      </c>
      <c r="M223" s="3">
        <v>0</v>
      </c>
      <c r="N223" s="3">
        <v>4</v>
      </c>
      <c r="O223" s="3">
        <v>0.14</v>
      </c>
      <c r="P223" s="3">
        <v>0</v>
      </c>
      <c r="Q223" s="3">
        <v>0</v>
      </c>
      <c r="R223" s="3">
        <v>0</v>
      </c>
    </row>
    <row r="224" spans="1:18">
      <c r="A224" s="3" t="s">
        <v>188</v>
      </c>
      <c r="B224" s="3" t="s">
        <v>189</v>
      </c>
      <c r="C224" s="3" t="s">
        <v>189</v>
      </c>
      <c r="D224" s="3" t="s">
        <v>190</v>
      </c>
      <c r="E224" s="3" t="s">
        <v>182</v>
      </c>
      <c r="F224" s="3">
        <v>21.98</v>
      </c>
      <c r="G224" s="3" t="s">
        <v>844</v>
      </c>
      <c r="H224" s="3"/>
      <c r="I224" s="3" t="s">
        <v>845</v>
      </c>
      <c r="J224" s="3">
        <v>4</v>
      </c>
      <c r="K224" s="3">
        <v>4</v>
      </c>
      <c r="L224" s="3">
        <v>0</v>
      </c>
      <c r="M224" s="3">
        <v>0</v>
      </c>
      <c r="N224" s="3">
        <v>4</v>
      </c>
      <c r="O224" s="3">
        <v>0.14</v>
      </c>
      <c r="P224" s="3">
        <v>0</v>
      </c>
      <c r="Q224" s="3">
        <v>0</v>
      </c>
      <c r="R224" s="3">
        <v>0</v>
      </c>
    </row>
    <row r="225" spans="1:18">
      <c r="A225" s="3" t="s">
        <v>686</v>
      </c>
      <c r="B225" s="3" t="s">
        <v>687</v>
      </c>
      <c r="C225" s="3" t="s">
        <v>687</v>
      </c>
      <c r="D225" s="3" t="s">
        <v>688</v>
      </c>
      <c r="E225" s="3" t="s">
        <v>182</v>
      </c>
      <c r="F225" s="3">
        <v>21.98</v>
      </c>
      <c r="G225" s="3" t="s">
        <v>844</v>
      </c>
      <c r="H225" s="3"/>
      <c r="I225" s="3" t="s">
        <v>845</v>
      </c>
      <c r="J225" s="3">
        <v>3</v>
      </c>
      <c r="K225" s="3">
        <v>3</v>
      </c>
      <c r="L225" s="3">
        <v>0</v>
      </c>
      <c r="M225" s="3">
        <v>0</v>
      </c>
      <c r="N225" s="3">
        <v>3</v>
      </c>
      <c r="O225" s="3">
        <v>0.13</v>
      </c>
      <c r="P225" s="3">
        <v>0</v>
      </c>
      <c r="Q225" s="3">
        <v>0</v>
      </c>
      <c r="R225" s="3">
        <v>0</v>
      </c>
    </row>
    <row r="226" spans="1:18">
      <c r="A226" s="3" t="s">
        <v>547</v>
      </c>
      <c r="B226" s="3" t="s">
        <v>548</v>
      </c>
      <c r="C226" s="3" t="s">
        <v>548</v>
      </c>
      <c r="D226" s="3" t="s">
        <v>549</v>
      </c>
      <c r="E226" s="3" t="s">
        <v>182</v>
      </c>
      <c r="F226" s="3">
        <v>21.98</v>
      </c>
      <c r="G226" s="3" t="s">
        <v>844</v>
      </c>
      <c r="H226" s="3"/>
      <c r="I226" s="3" t="s">
        <v>845</v>
      </c>
      <c r="J226" s="3">
        <v>1</v>
      </c>
      <c r="K226" s="3">
        <v>1</v>
      </c>
      <c r="L226" s="3">
        <v>0</v>
      </c>
      <c r="M226" s="3">
        <v>0</v>
      </c>
      <c r="N226" s="3">
        <v>1</v>
      </c>
      <c r="O226" s="3">
        <v>0.13</v>
      </c>
      <c r="P226" s="3">
        <v>0</v>
      </c>
      <c r="Q226" s="3">
        <v>0</v>
      </c>
      <c r="R226" s="3">
        <v>0</v>
      </c>
    </row>
    <row r="227" spans="1:18">
      <c r="A227" s="3" t="s">
        <v>730</v>
      </c>
      <c r="B227" s="3" t="s">
        <v>731</v>
      </c>
      <c r="C227" s="3" t="s">
        <v>731</v>
      </c>
      <c r="D227" s="3" t="s">
        <v>732</v>
      </c>
      <c r="E227" s="3" t="s">
        <v>182</v>
      </c>
      <c r="F227" s="3">
        <v>21.98</v>
      </c>
      <c r="G227" s="3" t="s">
        <v>844</v>
      </c>
      <c r="H227" s="3"/>
      <c r="I227" s="3" t="s">
        <v>845</v>
      </c>
      <c r="J227" s="3">
        <v>3</v>
      </c>
      <c r="K227" s="3">
        <v>3</v>
      </c>
      <c r="L227" s="3">
        <v>0</v>
      </c>
      <c r="M227" s="3">
        <v>0</v>
      </c>
      <c r="N227" s="3">
        <v>3</v>
      </c>
      <c r="O227" s="3">
        <v>0.13</v>
      </c>
      <c r="P227" s="3">
        <v>0</v>
      </c>
      <c r="Q227" s="3">
        <v>0</v>
      </c>
      <c r="R227" s="3">
        <v>0</v>
      </c>
    </row>
    <row r="228" spans="1:18">
      <c r="A228" s="3" t="s">
        <v>278</v>
      </c>
      <c r="B228" s="3" t="s">
        <v>279</v>
      </c>
      <c r="C228" s="3" t="s">
        <v>279</v>
      </c>
      <c r="D228" s="3" t="s">
        <v>280</v>
      </c>
      <c r="E228" s="3" t="s">
        <v>182</v>
      </c>
      <c r="F228" s="3">
        <v>21.98</v>
      </c>
      <c r="G228" s="3" t="s">
        <v>844</v>
      </c>
      <c r="H228" s="3"/>
      <c r="I228" s="3" t="s">
        <v>845</v>
      </c>
      <c r="J228" s="3">
        <v>3</v>
      </c>
      <c r="K228" s="3">
        <v>3</v>
      </c>
      <c r="L228" s="3">
        <v>0</v>
      </c>
      <c r="M228" s="3">
        <v>0</v>
      </c>
      <c r="N228" s="3">
        <v>3</v>
      </c>
      <c r="O228" s="3">
        <v>0.13</v>
      </c>
      <c r="P228" s="3">
        <v>0</v>
      </c>
      <c r="Q228" s="3">
        <v>0</v>
      </c>
      <c r="R228" s="3">
        <v>0</v>
      </c>
    </row>
    <row r="229" spans="1:18">
      <c r="A229" s="3" t="s">
        <v>530</v>
      </c>
      <c r="B229" s="3" t="s">
        <v>531</v>
      </c>
      <c r="C229" s="3" t="s">
        <v>531</v>
      </c>
      <c r="D229" s="3" t="s">
        <v>532</v>
      </c>
      <c r="E229" s="3" t="s">
        <v>182</v>
      </c>
      <c r="F229" s="3">
        <v>21.98</v>
      </c>
      <c r="G229" s="3" t="s">
        <v>844</v>
      </c>
      <c r="H229" s="3"/>
      <c r="I229" s="3" t="s">
        <v>845</v>
      </c>
      <c r="J229" s="3">
        <v>4</v>
      </c>
      <c r="K229" s="3">
        <v>4</v>
      </c>
      <c r="L229" s="3">
        <v>0</v>
      </c>
      <c r="M229" s="3">
        <v>0</v>
      </c>
      <c r="N229" s="3">
        <v>4</v>
      </c>
      <c r="O229" s="3">
        <v>0.13</v>
      </c>
      <c r="P229" s="3">
        <v>0</v>
      </c>
      <c r="Q229" s="3">
        <v>0</v>
      </c>
      <c r="R229" s="3">
        <v>0</v>
      </c>
    </row>
    <row r="230" spans="1:18">
      <c r="A230" s="3" t="s">
        <v>645</v>
      </c>
      <c r="B230" s="3" t="s">
        <v>646</v>
      </c>
      <c r="C230" s="3" t="s">
        <v>646</v>
      </c>
      <c r="D230" s="3" t="s">
        <v>647</v>
      </c>
      <c r="E230" s="3" t="s">
        <v>182</v>
      </c>
      <c r="F230" s="3">
        <v>21.98</v>
      </c>
      <c r="G230" s="3" t="s">
        <v>844</v>
      </c>
      <c r="H230" s="3"/>
      <c r="I230" s="3" t="s">
        <v>845</v>
      </c>
      <c r="J230" s="3">
        <v>3</v>
      </c>
      <c r="K230" s="3">
        <v>3</v>
      </c>
      <c r="L230" s="3">
        <v>0</v>
      </c>
      <c r="M230" s="3">
        <v>0</v>
      </c>
      <c r="N230" s="3">
        <v>3</v>
      </c>
      <c r="O230" s="3">
        <v>0.13</v>
      </c>
      <c r="P230" s="3">
        <v>0</v>
      </c>
      <c r="Q230" s="3">
        <v>0</v>
      </c>
      <c r="R230" s="3">
        <v>0</v>
      </c>
    </row>
    <row r="231" spans="1:18">
      <c r="A231" s="3" t="s">
        <v>401</v>
      </c>
      <c r="B231" s="3" t="s">
        <v>402</v>
      </c>
      <c r="C231" s="3" t="s">
        <v>402</v>
      </c>
      <c r="D231" s="3" t="s">
        <v>403</v>
      </c>
      <c r="E231" s="3" t="s">
        <v>182</v>
      </c>
      <c r="F231" s="3">
        <v>21.98</v>
      </c>
      <c r="G231" s="3" t="s">
        <v>844</v>
      </c>
      <c r="H231" s="3"/>
      <c r="I231" s="3" t="s">
        <v>845</v>
      </c>
      <c r="J231" s="3">
        <v>4</v>
      </c>
      <c r="K231" s="3">
        <v>4</v>
      </c>
      <c r="L231" s="3">
        <v>0</v>
      </c>
      <c r="M231" s="3">
        <v>0</v>
      </c>
      <c r="N231" s="3">
        <v>4</v>
      </c>
      <c r="O231" s="3">
        <v>0.13</v>
      </c>
      <c r="P231" s="3">
        <v>0</v>
      </c>
      <c r="Q231" s="3">
        <v>0</v>
      </c>
      <c r="R231" s="3">
        <v>0</v>
      </c>
    </row>
    <row r="232" spans="1:18">
      <c r="A232" s="3" t="s">
        <v>248</v>
      </c>
      <c r="B232" s="3" t="s">
        <v>249</v>
      </c>
      <c r="C232" s="3" t="s">
        <v>249</v>
      </c>
      <c r="D232" s="3" t="s">
        <v>250</v>
      </c>
      <c r="E232" s="3" t="s">
        <v>182</v>
      </c>
      <c r="F232" s="3">
        <v>21.98</v>
      </c>
      <c r="G232" s="3" t="s">
        <v>844</v>
      </c>
      <c r="H232" s="3"/>
      <c r="I232" s="3" t="s">
        <v>845</v>
      </c>
      <c r="J232" s="3">
        <v>4</v>
      </c>
      <c r="K232" s="3">
        <v>4</v>
      </c>
      <c r="L232" s="3">
        <v>0</v>
      </c>
      <c r="M232" s="3">
        <v>0</v>
      </c>
      <c r="N232" s="3">
        <v>4</v>
      </c>
      <c r="O232" s="3">
        <v>0.13</v>
      </c>
      <c r="P232" s="3">
        <v>0</v>
      </c>
      <c r="Q232" s="3">
        <v>0</v>
      </c>
      <c r="R232" s="3">
        <v>0</v>
      </c>
    </row>
    <row r="233" spans="1:18">
      <c r="A233" s="3" t="s">
        <v>1046</v>
      </c>
      <c r="B233" s="3" t="s">
        <v>1047</v>
      </c>
      <c r="C233" s="3" t="s">
        <v>1048</v>
      </c>
      <c r="D233" s="3" t="s">
        <v>769</v>
      </c>
      <c r="E233" s="3" t="s">
        <v>182</v>
      </c>
      <c r="F233" s="3">
        <v>30.99</v>
      </c>
      <c r="G233" s="3" t="s">
        <v>844</v>
      </c>
      <c r="H233" s="3"/>
      <c r="I233" s="3" t="s">
        <v>845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0.07</v>
      </c>
      <c r="P233" s="3">
        <v>0</v>
      </c>
      <c r="Q233" s="3">
        <v>0</v>
      </c>
      <c r="R233" s="3">
        <v>0</v>
      </c>
    </row>
    <row r="234" spans="1:18">
      <c r="A234" s="3" t="s">
        <v>362</v>
      </c>
      <c r="B234" s="3" t="s">
        <v>363</v>
      </c>
      <c r="C234" s="3" t="s">
        <v>364</v>
      </c>
      <c r="D234" s="3" t="s">
        <v>365</v>
      </c>
      <c r="E234" s="3" t="s">
        <v>182</v>
      </c>
      <c r="F234" s="3">
        <v>30.99</v>
      </c>
      <c r="G234" s="3" t="s">
        <v>844</v>
      </c>
      <c r="H234" s="3"/>
      <c r="I234" s="3" t="s">
        <v>845</v>
      </c>
      <c r="J234" s="3">
        <v>3</v>
      </c>
      <c r="K234" s="3">
        <v>3</v>
      </c>
      <c r="L234" s="3">
        <v>0</v>
      </c>
      <c r="M234" s="3">
        <v>0</v>
      </c>
      <c r="N234" s="3">
        <v>3</v>
      </c>
      <c r="O234" s="3">
        <v>0.15</v>
      </c>
      <c r="P234" s="3">
        <v>0</v>
      </c>
      <c r="Q234" s="3">
        <v>0</v>
      </c>
      <c r="R234" s="3">
        <v>0</v>
      </c>
    </row>
    <row r="235" spans="1:18">
      <c r="A235" s="3" t="s">
        <v>1049</v>
      </c>
      <c r="B235" s="3" t="s">
        <v>1050</v>
      </c>
      <c r="C235" s="3" t="s">
        <v>1051</v>
      </c>
      <c r="D235" s="3" t="s">
        <v>1052</v>
      </c>
      <c r="E235" s="3" t="s">
        <v>182</v>
      </c>
      <c r="F235" s="3">
        <v>30.99</v>
      </c>
      <c r="G235" s="3" t="s">
        <v>844</v>
      </c>
      <c r="H235" s="3"/>
      <c r="I235" s="3" t="s">
        <v>845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0.01</v>
      </c>
      <c r="P235" s="3">
        <v>0</v>
      </c>
      <c r="Q235" s="3">
        <v>0</v>
      </c>
      <c r="R235" s="3">
        <v>0</v>
      </c>
    </row>
    <row r="236" spans="1:18">
      <c r="A236" s="3" t="s">
        <v>766</v>
      </c>
      <c r="B236" s="3" t="s">
        <v>767</v>
      </c>
      <c r="C236" s="3" t="s">
        <v>768</v>
      </c>
      <c r="D236" s="3" t="s">
        <v>769</v>
      </c>
      <c r="E236" s="3" t="s">
        <v>182</v>
      </c>
      <c r="F236" s="3">
        <v>30.99</v>
      </c>
      <c r="G236" s="3" t="s">
        <v>844</v>
      </c>
      <c r="H236" s="3"/>
      <c r="I236" s="3" t="s">
        <v>845</v>
      </c>
      <c r="J236" s="3">
        <v>3</v>
      </c>
      <c r="K236" s="3">
        <v>3</v>
      </c>
      <c r="L236" s="3">
        <v>0</v>
      </c>
      <c r="M236" s="3">
        <v>0</v>
      </c>
      <c r="N236" s="3">
        <v>3</v>
      </c>
      <c r="O236" s="3">
        <v>0.1</v>
      </c>
      <c r="P236" s="3">
        <v>0</v>
      </c>
      <c r="Q236" s="3">
        <v>0</v>
      </c>
      <c r="R236" s="3">
        <v>0</v>
      </c>
    </row>
    <row r="237" spans="1:18">
      <c r="A237" s="3" t="s">
        <v>808</v>
      </c>
      <c r="B237" s="3" t="s">
        <v>809</v>
      </c>
      <c r="C237" s="3" t="s">
        <v>810</v>
      </c>
      <c r="D237" s="3" t="s">
        <v>365</v>
      </c>
      <c r="E237" s="3" t="s">
        <v>182</v>
      </c>
      <c r="F237" s="3">
        <v>30.99</v>
      </c>
      <c r="G237" s="3" t="s">
        <v>844</v>
      </c>
      <c r="H237" s="3"/>
      <c r="I237" s="3" t="s">
        <v>845</v>
      </c>
      <c r="J237" s="3">
        <v>3</v>
      </c>
      <c r="K237" s="3">
        <v>3</v>
      </c>
      <c r="L237" s="3">
        <v>0</v>
      </c>
      <c r="M237" s="3">
        <v>0</v>
      </c>
      <c r="N237" s="3">
        <v>3</v>
      </c>
      <c r="O237" s="3">
        <v>0.15</v>
      </c>
      <c r="P237" s="3">
        <v>0</v>
      </c>
      <c r="Q237" s="3">
        <v>0</v>
      </c>
      <c r="R237" s="3">
        <v>0</v>
      </c>
    </row>
    <row r="238" spans="1:18">
      <c r="A238" s="3" t="s">
        <v>666</v>
      </c>
      <c r="B238" s="3" t="s">
        <v>667</v>
      </c>
      <c r="C238" s="3" t="s">
        <v>668</v>
      </c>
      <c r="D238" s="3" t="s">
        <v>669</v>
      </c>
      <c r="E238" s="3" t="s">
        <v>182</v>
      </c>
      <c r="F238" s="3">
        <v>30.99</v>
      </c>
      <c r="G238" s="3" t="s">
        <v>844</v>
      </c>
      <c r="H238" s="3"/>
      <c r="I238" s="3" t="s">
        <v>845</v>
      </c>
      <c r="J238" s="3">
        <v>15</v>
      </c>
      <c r="K238" s="3">
        <v>15</v>
      </c>
      <c r="L238" s="3">
        <v>0</v>
      </c>
      <c r="M238" s="3">
        <v>0</v>
      </c>
      <c r="N238" s="3">
        <v>15</v>
      </c>
      <c r="O238" s="3">
        <v>0.2</v>
      </c>
      <c r="P238" s="3">
        <v>0</v>
      </c>
      <c r="Q238" s="3">
        <v>0</v>
      </c>
      <c r="R238" s="3">
        <v>0</v>
      </c>
    </row>
    <row r="239" spans="1:18">
      <c r="A239" s="3" t="s">
        <v>123</v>
      </c>
      <c r="B239" s="3" t="s">
        <v>124</v>
      </c>
      <c r="C239" s="3" t="s">
        <v>125</v>
      </c>
      <c r="D239" s="3" t="s">
        <v>126</v>
      </c>
      <c r="E239" s="3" t="s">
        <v>182</v>
      </c>
      <c r="F239" s="3">
        <v>30.99</v>
      </c>
      <c r="G239" s="3" t="s">
        <v>844</v>
      </c>
      <c r="H239" s="3"/>
      <c r="I239" s="3" t="s">
        <v>845</v>
      </c>
      <c r="J239" s="3">
        <v>11</v>
      </c>
      <c r="K239" s="3">
        <v>10</v>
      </c>
      <c r="L239" s="3">
        <v>0</v>
      </c>
      <c r="M239" s="3">
        <v>1</v>
      </c>
      <c r="N239" s="3">
        <v>11</v>
      </c>
      <c r="O239" s="3">
        <v>0.17</v>
      </c>
      <c r="P239" s="3">
        <v>0</v>
      </c>
      <c r="Q239" s="3">
        <v>0</v>
      </c>
      <c r="R239" s="3">
        <v>0</v>
      </c>
    </row>
    <row r="240" spans="1:18">
      <c r="A240" s="3" t="s">
        <v>1053</v>
      </c>
      <c r="B240" s="3" t="s">
        <v>1054</v>
      </c>
      <c r="C240" s="3" t="s">
        <v>1055</v>
      </c>
      <c r="D240" s="3" t="s">
        <v>1056</v>
      </c>
      <c r="E240" s="3" t="s">
        <v>182</v>
      </c>
      <c r="F240" s="3">
        <v>30.99</v>
      </c>
      <c r="G240" s="3" t="s">
        <v>844</v>
      </c>
      <c r="H240" s="3"/>
      <c r="I240" s="3" t="s">
        <v>845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0.04</v>
      </c>
      <c r="P240" s="3">
        <v>0</v>
      </c>
      <c r="Q240" s="3">
        <v>0</v>
      </c>
      <c r="R240" s="3">
        <v>0</v>
      </c>
    </row>
    <row r="241" spans="1:18">
      <c r="A241" s="3" t="s">
        <v>753</v>
      </c>
      <c r="B241" s="3" t="s">
        <v>754</v>
      </c>
      <c r="C241" s="3" t="s">
        <v>755</v>
      </c>
      <c r="D241" s="3" t="s">
        <v>669</v>
      </c>
      <c r="E241" s="3" t="s">
        <v>182</v>
      </c>
      <c r="F241" s="3">
        <v>30.99</v>
      </c>
      <c r="G241" s="3" t="s">
        <v>844</v>
      </c>
      <c r="H241" s="3"/>
      <c r="I241" s="3" t="s">
        <v>845</v>
      </c>
      <c r="J241" s="3">
        <v>11</v>
      </c>
      <c r="K241" s="3">
        <v>11</v>
      </c>
      <c r="L241" s="3">
        <v>0</v>
      </c>
      <c r="M241" s="3">
        <v>0</v>
      </c>
      <c r="N241" s="3">
        <v>11</v>
      </c>
      <c r="O241" s="3">
        <v>0.16</v>
      </c>
      <c r="P241" s="3">
        <v>0</v>
      </c>
      <c r="Q241" s="3">
        <v>0</v>
      </c>
      <c r="R241" s="3">
        <v>0</v>
      </c>
    </row>
    <row r="242" spans="1:18">
      <c r="A242" s="3" t="s">
        <v>460</v>
      </c>
      <c r="B242" s="3" t="s">
        <v>461</v>
      </c>
      <c r="C242" s="3" t="s">
        <v>462</v>
      </c>
      <c r="D242" s="3" t="s">
        <v>126</v>
      </c>
      <c r="E242" s="3" t="s">
        <v>182</v>
      </c>
      <c r="F242" s="3">
        <v>30.99</v>
      </c>
      <c r="G242" s="3" t="s">
        <v>844</v>
      </c>
      <c r="H242" s="3"/>
      <c r="I242" s="3" t="s">
        <v>845</v>
      </c>
      <c r="J242" s="3">
        <v>20</v>
      </c>
      <c r="K242" s="3">
        <v>20</v>
      </c>
      <c r="L242" s="3">
        <v>0</v>
      </c>
      <c r="M242" s="3">
        <v>0</v>
      </c>
      <c r="N242" s="3">
        <v>20</v>
      </c>
      <c r="O242" s="3">
        <v>0.16</v>
      </c>
      <c r="P242" s="3">
        <v>0</v>
      </c>
      <c r="Q242" s="3">
        <v>0</v>
      </c>
      <c r="R242" s="3">
        <v>0</v>
      </c>
    </row>
    <row r="243" spans="1:18">
      <c r="A243" s="3" t="s">
        <v>671</v>
      </c>
      <c r="B243" s="3" t="s">
        <v>672</v>
      </c>
      <c r="C243" s="3" t="s">
        <v>673</v>
      </c>
      <c r="D243" s="3" t="s">
        <v>674</v>
      </c>
      <c r="E243" s="3" t="s">
        <v>182</v>
      </c>
      <c r="F243" s="3">
        <v>9.99</v>
      </c>
      <c r="G243" s="3" t="s">
        <v>844</v>
      </c>
      <c r="H243" s="3"/>
      <c r="I243" s="3" t="s">
        <v>845</v>
      </c>
      <c r="J243" s="3">
        <v>3</v>
      </c>
      <c r="K243" s="3">
        <v>3</v>
      </c>
      <c r="L243" s="3">
        <v>0</v>
      </c>
      <c r="M243" s="3">
        <v>0</v>
      </c>
      <c r="N243" s="3">
        <v>4</v>
      </c>
      <c r="O243" s="3">
        <v>0</v>
      </c>
      <c r="P243" s="3">
        <v>0</v>
      </c>
      <c r="Q243" s="3">
        <v>0</v>
      </c>
      <c r="R243" s="3">
        <v>1</v>
      </c>
    </row>
    <row r="244" spans="1:18">
      <c r="A244" s="3" t="s">
        <v>556</v>
      </c>
      <c r="B244" s="3" t="s">
        <v>557</v>
      </c>
      <c r="C244" s="3" t="s">
        <v>558</v>
      </c>
      <c r="D244" s="3" t="s">
        <v>559</v>
      </c>
      <c r="E244" s="3" t="s">
        <v>182</v>
      </c>
      <c r="F244" s="3">
        <v>9.99</v>
      </c>
      <c r="G244" s="3" t="s">
        <v>844</v>
      </c>
      <c r="H244" s="3"/>
      <c r="I244" s="3" t="s">
        <v>845</v>
      </c>
      <c r="J244" s="3">
        <v>4</v>
      </c>
      <c r="K244" s="3">
        <v>4</v>
      </c>
      <c r="L244" s="3">
        <v>0</v>
      </c>
      <c r="M244" s="3">
        <v>0</v>
      </c>
      <c r="N244" s="3">
        <v>4</v>
      </c>
      <c r="O244" s="3">
        <v>0</v>
      </c>
      <c r="P244" s="3">
        <v>0</v>
      </c>
      <c r="Q244" s="3">
        <v>0</v>
      </c>
      <c r="R244" s="3">
        <v>0</v>
      </c>
    </row>
    <row r="245" spans="1:18">
      <c r="A245" s="3" t="s">
        <v>216</v>
      </c>
      <c r="B245" s="3" t="s">
        <v>217</v>
      </c>
      <c r="C245" s="3" t="s">
        <v>218</v>
      </c>
      <c r="D245" s="3" t="s">
        <v>219</v>
      </c>
      <c r="E245" s="3" t="s">
        <v>182</v>
      </c>
      <c r="F245" s="3">
        <v>9.99</v>
      </c>
      <c r="G245" s="3" t="s">
        <v>844</v>
      </c>
      <c r="H245" s="3"/>
      <c r="I245" s="3" t="s">
        <v>845</v>
      </c>
      <c r="J245" s="3">
        <v>3</v>
      </c>
      <c r="K245" s="3">
        <v>3</v>
      </c>
      <c r="L245" s="3">
        <v>0</v>
      </c>
      <c r="M245" s="3">
        <v>0</v>
      </c>
      <c r="N245" s="3">
        <v>3</v>
      </c>
      <c r="O245" s="3">
        <v>0.01</v>
      </c>
      <c r="P245" s="3">
        <v>0</v>
      </c>
      <c r="Q245" s="3">
        <v>0</v>
      </c>
      <c r="R245" s="3">
        <v>0</v>
      </c>
    </row>
    <row r="246" spans="1:18">
      <c r="A246" s="3" t="s">
        <v>824</v>
      </c>
      <c r="B246" s="3" t="s">
        <v>825</v>
      </c>
      <c r="C246" s="3" t="s">
        <v>825</v>
      </c>
      <c r="D246" s="3" t="s">
        <v>826</v>
      </c>
      <c r="E246" s="3" t="s">
        <v>182</v>
      </c>
      <c r="F246" s="3">
        <v>9</v>
      </c>
      <c r="G246" s="3" t="s">
        <v>844</v>
      </c>
      <c r="H246" s="3"/>
      <c r="I246" s="3" t="s">
        <v>845</v>
      </c>
      <c r="J246" s="3">
        <v>3</v>
      </c>
      <c r="K246" s="3">
        <v>3</v>
      </c>
      <c r="L246" s="3">
        <v>0</v>
      </c>
      <c r="M246" s="3">
        <v>0</v>
      </c>
      <c r="N246" s="3">
        <v>3</v>
      </c>
      <c r="O246" s="3">
        <v>0</v>
      </c>
      <c r="P246" s="3">
        <v>0</v>
      </c>
      <c r="Q246" s="3">
        <v>0</v>
      </c>
      <c r="R246" s="3">
        <v>0</v>
      </c>
    </row>
    <row r="247" spans="1:18">
      <c r="A247" s="3" t="s">
        <v>103</v>
      </c>
      <c r="B247" s="3" t="s">
        <v>104</v>
      </c>
      <c r="C247" s="3" t="s">
        <v>105</v>
      </c>
      <c r="D247" s="3" t="s">
        <v>106</v>
      </c>
      <c r="E247" s="3" t="s">
        <v>182</v>
      </c>
      <c r="F247" s="3">
        <v>14.99</v>
      </c>
      <c r="G247" s="3" t="s">
        <v>844</v>
      </c>
      <c r="H247" s="3"/>
      <c r="I247" s="3" t="s">
        <v>845</v>
      </c>
      <c r="J247" s="3">
        <v>31</v>
      </c>
      <c r="K247" s="3">
        <v>2</v>
      </c>
      <c r="L247" s="3">
        <v>0</v>
      </c>
      <c r="M247" s="3">
        <v>29</v>
      </c>
      <c r="N247" s="3">
        <v>31</v>
      </c>
      <c r="O247" s="3">
        <v>0.07</v>
      </c>
      <c r="P247" s="3">
        <v>0</v>
      </c>
      <c r="Q247" s="3">
        <v>0</v>
      </c>
      <c r="R247" s="3">
        <v>0</v>
      </c>
    </row>
    <row r="248" spans="1:18">
      <c r="A248" s="3" t="s">
        <v>550</v>
      </c>
      <c r="B248" s="3" t="s">
        <v>551</v>
      </c>
      <c r="C248" s="3" t="s">
        <v>552</v>
      </c>
      <c r="D248" s="3" t="s">
        <v>553</v>
      </c>
      <c r="E248" s="3" t="s">
        <v>182</v>
      </c>
      <c r="F248" s="3">
        <v>18.99</v>
      </c>
      <c r="G248" s="3" t="s">
        <v>844</v>
      </c>
      <c r="H248" s="3"/>
      <c r="I248" s="3" t="s">
        <v>845</v>
      </c>
      <c r="J248" s="3">
        <v>15</v>
      </c>
      <c r="K248" s="3">
        <v>15</v>
      </c>
      <c r="L248" s="3">
        <v>0</v>
      </c>
      <c r="M248" s="3">
        <v>0</v>
      </c>
      <c r="N248" s="3">
        <v>15</v>
      </c>
      <c r="O248" s="3">
        <v>0.03</v>
      </c>
      <c r="P248" s="3">
        <v>0</v>
      </c>
      <c r="Q248" s="3">
        <v>0</v>
      </c>
      <c r="R248" s="3">
        <v>0</v>
      </c>
    </row>
    <row r="249" spans="1:18">
      <c r="A249" s="3" t="s">
        <v>524</v>
      </c>
      <c r="B249" s="3" t="s">
        <v>525</v>
      </c>
      <c r="C249" s="3" t="s">
        <v>526</v>
      </c>
      <c r="D249" s="3" t="s">
        <v>527</v>
      </c>
      <c r="E249" s="3" t="s">
        <v>182</v>
      </c>
      <c r="F249" s="3">
        <v>32.99</v>
      </c>
      <c r="G249" s="3" t="s">
        <v>844</v>
      </c>
      <c r="H249" s="3"/>
      <c r="I249" s="3" t="s">
        <v>845</v>
      </c>
      <c r="J249" s="3">
        <v>12</v>
      </c>
      <c r="K249" s="3">
        <v>12</v>
      </c>
      <c r="L249" s="3">
        <v>0</v>
      </c>
      <c r="M249" s="3">
        <v>0</v>
      </c>
      <c r="N249" s="3">
        <v>12</v>
      </c>
      <c r="O249" s="3">
        <v>0.04</v>
      </c>
      <c r="P249" s="3">
        <v>0</v>
      </c>
      <c r="Q249" s="3">
        <v>0</v>
      </c>
      <c r="R249" s="3">
        <v>0</v>
      </c>
    </row>
    <row r="250" spans="1:18">
      <c r="A250" s="3" t="s">
        <v>636</v>
      </c>
      <c r="B250" s="3" t="s">
        <v>637</v>
      </c>
      <c r="C250" s="3" t="s">
        <v>637</v>
      </c>
      <c r="D250" s="3" t="s">
        <v>638</v>
      </c>
      <c r="E250" s="3" t="s">
        <v>182</v>
      </c>
      <c r="F250" s="3">
        <v>30</v>
      </c>
      <c r="G250" s="3" t="s">
        <v>844</v>
      </c>
      <c r="H250" s="3"/>
      <c r="I250" s="3" t="s">
        <v>845</v>
      </c>
      <c r="J250" s="3">
        <v>4</v>
      </c>
      <c r="K250" s="3">
        <v>4</v>
      </c>
      <c r="L250" s="3">
        <v>0</v>
      </c>
      <c r="M250" s="3">
        <v>0</v>
      </c>
      <c r="N250" s="3">
        <v>4</v>
      </c>
      <c r="O250" s="3">
        <v>0.11</v>
      </c>
      <c r="P250" s="3">
        <v>0</v>
      </c>
      <c r="Q250" s="3">
        <v>0</v>
      </c>
      <c r="R250" s="3">
        <v>0</v>
      </c>
    </row>
    <row r="251" spans="1:18">
      <c r="A251" s="3" t="s">
        <v>483</v>
      </c>
      <c r="B251" s="3" t="s">
        <v>484</v>
      </c>
      <c r="C251" s="3" t="s">
        <v>484</v>
      </c>
      <c r="D251" s="3" t="s">
        <v>485</v>
      </c>
      <c r="E251" s="3" t="s">
        <v>182</v>
      </c>
      <c r="F251" s="3">
        <v>30</v>
      </c>
      <c r="G251" s="3" t="s">
        <v>844</v>
      </c>
      <c r="H251" s="3"/>
      <c r="I251" s="3" t="s">
        <v>845</v>
      </c>
      <c r="J251" s="3">
        <v>4</v>
      </c>
      <c r="K251" s="3">
        <v>4</v>
      </c>
      <c r="L251" s="3">
        <v>0</v>
      </c>
      <c r="M251" s="3">
        <v>0</v>
      </c>
      <c r="N251" s="3">
        <v>4</v>
      </c>
      <c r="O251" s="3">
        <v>0.04</v>
      </c>
      <c r="P251" s="3">
        <v>0</v>
      </c>
      <c r="Q251" s="3">
        <v>0</v>
      </c>
      <c r="R251" s="3">
        <v>0</v>
      </c>
    </row>
    <row r="252" spans="1:18">
      <c r="A252" s="3" t="s">
        <v>560</v>
      </c>
      <c r="B252" s="3" t="s">
        <v>561</v>
      </c>
      <c r="C252" s="3" t="s">
        <v>561</v>
      </c>
      <c r="D252" s="3" t="s">
        <v>1057</v>
      </c>
      <c r="E252" s="3" t="s">
        <v>182</v>
      </c>
      <c r="F252" s="3">
        <v>30</v>
      </c>
      <c r="G252" s="3" t="s">
        <v>844</v>
      </c>
      <c r="H252" s="3"/>
      <c r="I252" s="3" t="s">
        <v>845</v>
      </c>
      <c r="J252" s="3">
        <v>4</v>
      </c>
      <c r="K252" s="3">
        <v>4</v>
      </c>
      <c r="L252" s="3">
        <v>0</v>
      </c>
      <c r="M252" s="3">
        <v>0</v>
      </c>
      <c r="N252" s="3">
        <v>4</v>
      </c>
      <c r="O252" s="3">
        <v>0.1</v>
      </c>
      <c r="P252" s="3">
        <v>0</v>
      </c>
      <c r="Q252" s="3">
        <v>0</v>
      </c>
      <c r="R252" s="3">
        <v>0</v>
      </c>
    </row>
    <row r="253" spans="1:18">
      <c r="A253" s="3" t="s">
        <v>453</v>
      </c>
      <c r="B253" s="3" t="s">
        <v>454</v>
      </c>
      <c r="C253" s="3" t="s">
        <v>454</v>
      </c>
      <c r="D253" s="3" t="s">
        <v>1058</v>
      </c>
      <c r="E253" s="3" t="s">
        <v>182</v>
      </c>
      <c r="F253" s="3">
        <v>30</v>
      </c>
      <c r="G253" s="3" t="s">
        <v>844</v>
      </c>
      <c r="H253" s="3"/>
      <c r="I253" s="3" t="s">
        <v>845</v>
      </c>
      <c r="J253" s="3">
        <v>3</v>
      </c>
      <c r="K253" s="3">
        <v>3</v>
      </c>
      <c r="L253" s="3">
        <v>0</v>
      </c>
      <c r="M253" s="3">
        <v>0</v>
      </c>
      <c r="N253" s="3">
        <v>3</v>
      </c>
      <c r="O253" s="3">
        <v>0.04</v>
      </c>
      <c r="P253" s="3">
        <v>0</v>
      </c>
      <c r="Q253" s="3">
        <v>0</v>
      </c>
      <c r="R253" s="3">
        <v>0</v>
      </c>
    </row>
    <row r="254" spans="1:18">
      <c r="A254" s="3" t="s">
        <v>733</v>
      </c>
      <c r="B254" s="3" t="s">
        <v>734</v>
      </c>
      <c r="C254" s="3" t="s">
        <v>734</v>
      </c>
      <c r="D254" s="3" t="s">
        <v>735</v>
      </c>
      <c r="E254" s="3" t="s">
        <v>182</v>
      </c>
      <c r="F254" s="3">
        <v>16.99</v>
      </c>
      <c r="G254" s="3" t="s">
        <v>844</v>
      </c>
      <c r="H254" s="3"/>
      <c r="I254" s="3" t="s">
        <v>845</v>
      </c>
      <c r="J254" s="3">
        <v>6</v>
      </c>
      <c r="K254" s="3">
        <v>6</v>
      </c>
      <c r="L254" s="3">
        <v>0</v>
      </c>
      <c r="M254" s="3">
        <v>0</v>
      </c>
      <c r="N254" s="3">
        <v>6</v>
      </c>
      <c r="O254" s="3">
        <v>0.41</v>
      </c>
      <c r="P254" s="3">
        <v>0</v>
      </c>
      <c r="Q254" s="3">
        <v>0</v>
      </c>
      <c r="R254" s="3">
        <v>0</v>
      </c>
    </row>
    <row r="255" spans="1:18">
      <c r="A255" s="3" t="s">
        <v>295</v>
      </c>
      <c r="B255" s="3" t="s">
        <v>296</v>
      </c>
      <c r="C255" s="3" t="s">
        <v>296</v>
      </c>
      <c r="D255" s="3" t="s">
        <v>297</v>
      </c>
      <c r="E255" s="3" t="s">
        <v>182</v>
      </c>
      <c r="F255" s="3">
        <v>16.99</v>
      </c>
      <c r="G255" s="3" t="s">
        <v>844</v>
      </c>
      <c r="H255" s="3"/>
      <c r="I255" s="3" t="s">
        <v>845</v>
      </c>
      <c r="J255" s="3">
        <v>14</v>
      </c>
      <c r="K255" s="3">
        <v>14</v>
      </c>
      <c r="L255" s="3">
        <v>0</v>
      </c>
      <c r="M255" s="3">
        <v>0</v>
      </c>
      <c r="N255" s="3">
        <v>14</v>
      </c>
      <c r="O255" s="3">
        <v>0.08</v>
      </c>
      <c r="P255" s="3">
        <v>0</v>
      </c>
      <c r="Q255" s="3">
        <v>0</v>
      </c>
      <c r="R255" s="3">
        <v>0</v>
      </c>
    </row>
    <row r="256" spans="1:18">
      <c r="A256" s="3" t="s">
        <v>812</v>
      </c>
      <c r="B256" s="3" t="s">
        <v>813</v>
      </c>
      <c r="C256" s="3" t="s">
        <v>813</v>
      </c>
      <c r="D256" s="3" t="s">
        <v>814</v>
      </c>
      <c r="E256" s="3" t="s">
        <v>182</v>
      </c>
      <c r="F256" s="3">
        <v>16.99</v>
      </c>
      <c r="G256" s="3" t="s">
        <v>844</v>
      </c>
      <c r="H256" s="3"/>
      <c r="I256" s="3" t="s">
        <v>845</v>
      </c>
      <c r="J256" s="3">
        <v>15</v>
      </c>
      <c r="K256" s="3">
        <v>15</v>
      </c>
      <c r="L256" s="3">
        <v>0</v>
      </c>
      <c r="M256" s="3">
        <v>0</v>
      </c>
      <c r="N256" s="3">
        <v>15</v>
      </c>
      <c r="O256" s="3">
        <v>0.59</v>
      </c>
      <c r="P256" s="3">
        <v>0</v>
      </c>
      <c r="Q256" s="3">
        <v>0</v>
      </c>
      <c r="R256" s="3">
        <v>0</v>
      </c>
    </row>
    <row r="257" spans="1:18">
      <c r="A257" s="3" t="s">
        <v>144</v>
      </c>
      <c r="B257" s="3" t="s">
        <v>145</v>
      </c>
      <c r="C257" s="3" t="s">
        <v>145</v>
      </c>
      <c r="D257" s="3" t="s">
        <v>146</v>
      </c>
      <c r="E257" s="3" t="s">
        <v>182</v>
      </c>
      <c r="F257" s="3">
        <v>16.99</v>
      </c>
      <c r="G257" s="3" t="s">
        <v>844</v>
      </c>
      <c r="H257" s="3"/>
      <c r="I257" s="3" t="s">
        <v>845</v>
      </c>
      <c r="J257" s="3">
        <v>7</v>
      </c>
      <c r="K257" s="3">
        <v>6</v>
      </c>
      <c r="L257" s="3">
        <v>0</v>
      </c>
      <c r="M257" s="3">
        <v>1</v>
      </c>
      <c r="N257" s="3">
        <v>7</v>
      </c>
      <c r="O257" s="3">
        <v>0.13</v>
      </c>
      <c r="P257" s="3">
        <v>0</v>
      </c>
      <c r="Q257" s="3">
        <v>0</v>
      </c>
      <c r="R257" s="3">
        <v>0</v>
      </c>
    </row>
    <row r="258" spans="1:18">
      <c r="A258" s="3" t="s">
        <v>757</v>
      </c>
      <c r="B258" s="3" t="s">
        <v>758</v>
      </c>
      <c r="C258" s="3" t="s">
        <v>758</v>
      </c>
      <c r="D258" s="3" t="s">
        <v>759</v>
      </c>
      <c r="E258" s="3" t="s">
        <v>182</v>
      </c>
      <c r="F258" s="3">
        <v>16.99</v>
      </c>
      <c r="G258" s="3" t="s">
        <v>844</v>
      </c>
      <c r="H258" s="3"/>
      <c r="I258" s="3" t="s">
        <v>845</v>
      </c>
      <c r="J258" s="3">
        <v>22</v>
      </c>
      <c r="K258" s="3">
        <v>22</v>
      </c>
      <c r="L258" s="3">
        <v>0</v>
      </c>
      <c r="M258" s="3">
        <v>0</v>
      </c>
      <c r="N258" s="3">
        <v>22</v>
      </c>
      <c r="O258" s="3">
        <v>0.14</v>
      </c>
      <c r="P258" s="3">
        <v>0</v>
      </c>
      <c r="Q258" s="3">
        <v>0</v>
      </c>
      <c r="R258" s="3">
        <v>0</v>
      </c>
    </row>
    <row r="259" spans="1:18">
      <c r="A259" s="3" t="s">
        <v>480</v>
      </c>
      <c r="B259" s="3" t="s">
        <v>481</v>
      </c>
      <c r="C259" s="3" t="s">
        <v>481</v>
      </c>
      <c r="D259" s="3" t="s">
        <v>482</v>
      </c>
      <c r="E259" s="3" t="s">
        <v>182</v>
      </c>
      <c r="F259" s="3">
        <v>60</v>
      </c>
      <c r="G259" s="3" t="s">
        <v>844</v>
      </c>
      <c r="H259" s="3"/>
      <c r="I259" s="3" t="s">
        <v>845</v>
      </c>
      <c r="J259" s="3">
        <v>3</v>
      </c>
      <c r="K259" s="3">
        <v>3</v>
      </c>
      <c r="L259" s="3">
        <v>0</v>
      </c>
      <c r="M259" s="3">
        <v>0</v>
      </c>
      <c r="N259" s="3">
        <v>3</v>
      </c>
      <c r="O259" s="3">
        <v>0</v>
      </c>
      <c r="P259" s="3">
        <v>0</v>
      </c>
      <c r="Q259" s="3">
        <v>0</v>
      </c>
      <c r="R259" s="3">
        <v>0</v>
      </c>
    </row>
    <row r="260" spans="1:18">
      <c r="A260" s="3" t="s">
        <v>533</v>
      </c>
      <c r="B260" s="3" t="s">
        <v>534</v>
      </c>
      <c r="C260" s="3" t="s">
        <v>534</v>
      </c>
      <c r="D260" s="3" t="s">
        <v>535</v>
      </c>
      <c r="E260" s="3" t="s">
        <v>182</v>
      </c>
      <c r="F260" s="3">
        <v>60</v>
      </c>
      <c r="G260" s="3" t="s">
        <v>844</v>
      </c>
      <c r="H260" s="3"/>
      <c r="I260" s="3" t="s">
        <v>845</v>
      </c>
      <c r="J260" s="3">
        <v>3</v>
      </c>
      <c r="K260" s="3">
        <v>3</v>
      </c>
      <c r="L260" s="3">
        <v>0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</row>
    <row r="261" spans="1:18">
      <c r="A261" s="3" t="s">
        <v>135</v>
      </c>
      <c r="B261" s="3" t="s">
        <v>136</v>
      </c>
      <c r="C261" s="3" t="s">
        <v>136</v>
      </c>
      <c r="D261" s="3" t="s">
        <v>137</v>
      </c>
      <c r="E261" s="3" t="s">
        <v>182</v>
      </c>
      <c r="F261" s="3">
        <v>15.99</v>
      </c>
      <c r="G261" s="3" t="s">
        <v>844</v>
      </c>
      <c r="H261" s="3"/>
      <c r="I261" s="3" t="s">
        <v>845</v>
      </c>
      <c r="J261" s="3">
        <v>50</v>
      </c>
      <c r="K261" s="3">
        <v>6</v>
      </c>
      <c r="L261" s="3">
        <v>0</v>
      </c>
      <c r="M261" s="3">
        <v>44</v>
      </c>
      <c r="N261" s="3">
        <v>50</v>
      </c>
      <c r="O261" s="3">
        <v>0.19</v>
      </c>
      <c r="P261" s="3">
        <v>0</v>
      </c>
      <c r="Q261" s="3">
        <v>0</v>
      </c>
      <c r="R261" s="3">
        <v>0</v>
      </c>
    </row>
    <row r="262" spans="1:18">
      <c r="A262" s="3" t="s">
        <v>138</v>
      </c>
      <c r="B262" s="3" t="s">
        <v>139</v>
      </c>
      <c r="C262" s="3" t="s">
        <v>139</v>
      </c>
      <c r="D262" s="3" t="s">
        <v>140</v>
      </c>
      <c r="E262" s="3" t="s">
        <v>182</v>
      </c>
      <c r="F262" s="3">
        <v>18.99</v>
      </c>
      <c r="G262" s="3" t="s">
        <v>844</v>
      </c>
      <c r="H262" s="3"/>
      <c r="I262" s="3" t="s">
        <v>845</v>
      </c>
      <c r="J262" s="3">
        <v>20</v>
      </c>
      <c r="K262" s="3">
        <v>18</v>
      </c>
      <c r="L262" s="3">
        <v>0</v>
      </c>
      <c r="M262" s="3">
        <v>2</v>
      </c>
      <c r="N262" s="3">
        <v>20</v>
      </c>
      <c r="O262" s="3">
        <v>0.47</v>
      </c>
      <c r="P262" s="3">
        <v>0</v>
      </c>
      <c r="Q262" s="3">
        <v>0</v>
      </c>
      <c r="R262" s="3">
        <v>0</v>
      </c>
    </row>
    <row r="263" spans="1:18">
      <c r="A263" s="3" t="s">
        <v>599</v>
      </c>
      <c r="B263" s="3" t="s">
        <v>600</v>
      </c>
      <c r="C263" s="3" t="s">
        <v>600</v>
      </c>
      <c r="D263" s="3" t="s">
        <v>601</v>
      </c>
      <c r="E263" s="3" t="s">
        <v>182</v>
      </c>
      <c r="F263" s="3">
        <v>18.99</v>
      </c>
      <c r="G263" s="3" t="s">
        <v>844</v>
      </c>
      <c r="H263" s="3"/>
      <c r="I263" s="3" t="s">
        <v>845</v>
      </c>
      <c r="J263" s="3">
        <v>25</v>
      </c>
      <c r="K263" s="3">
        <v>25</v>
      </c>
      <c r="L263" s="3">
        <v>0</v>
      </c>
      <c r="M263" s="3">
        <v>0</v>
      </c>
      <c r="N263" s="3">
        <v>25</v>
      </c>
      <c r="O263" s="3">
        <v>0.19</v>
      </c>
      <c r="P263" s="3">
        <v>0</v>
      </c>
      <c r="Q263" s="3">
        <v>0</v>
      </c>
      <c r="R263" s="3">
        <v>0</v>
      </c>
    </row>
    <row r="264" spans="1:18">
      <c r="A264" s="3" t="s">
        <v>786</v>
      </c>
      <c r="B264" s="3" t="s">
        <v>787</v>
      </c>
      <c r="C264" s="3" t="s">
        <v>787</v>
      </c>
      <c r="D264" s="3" t="s">
        <v>788</v>
      </c>
      <c r="E264" s="3" t="s">
        <v>182</v>
      </c>
      <c r="F264" s="3">
        <v>15.99</v>
      </c>
      <c r="G264" s="3" t="s">
        <v>844</v>
      </c>
      <c r="H264" s="3"/>
      <c r="I264" s="3" t="s">
        <v>845</v>
      </c>
      <c r="J264" s="3">
        <v>51</v>
      </c>
      <c r="K264" s="3">
        <v>51</v>
      </c>
      <c r="L264" s="3">
        <v>0</v>
      </c>
      <c r="M264" s="3">
        <v>0</v>
      </c>
      <c r="N264" s="3">
        <v>51</v>
      </c>
      <c r="O264" s="3">
        <v>0.19</v>
      </c>
      <c r="P264" s="3">
        <v>0</v>
      </c>
      <c r="Q264" s="3">
        <v>0</v>
      </c>
      <c r="R264" s="3">
        <v>0</v>
      </c>
    </row>
    <row r="265" spans="1:18">
      <c r="A265" s="3" t="s">
        <v>581</v>
      </c>
      <c r="B265" s="3" t="s">
        <v>582</v>
      </c>
      <c r="C265" s="3" t="s">
        <v>582</v>
      </c>
      <c r="D265" s="3" t="s">
        <v>583</v>
      </c>
      <c r="E265" s="3" t="s">
        <v>182</v>
      </c>
      <c r="F265" s="3">
        <v>15.99</v>
      </c>
      <c r="G265" s="3" t="s">
        <v>844</v>
      </c>
      <c r="H265" s="3"/>
      <c r="I265" s="3" t="s">
        <v>845</v>
      </c>
      <c r="J265" s="3">
        <v>23</v>
      </c>
      <c r="K265" s="3">
        <v>22</v>
      </c>
      <c r="L265" s="3">
        <v>1</v>
      </c>
      <c r="M265" s="3">
        <v>0</v>
      </c>
      <c r="N265" s="3">
        <v>23</v>
      </c>
      <c r="O265" s="3">
        <v>0.34</v>
      </c>
      <c r="P265" s="3">
        <v>0</v>
      </c>
      <c r="Q265" s="3">
        <v>0</v>
      </c>
      <c r="R265" s="3">
        <v>0</v>
      </c>
    </row>
    <row r="266" spans="1:18">
      <c r="A266" s="3" t="s">
        <v>281</v>
      </c>
      <c r="B266" s="3" t="s">
        <v>282</v>
      </c>
      <c r="C266" s="3" t="s">
        <v>282</v>
      </c>
      <c r="D266" s="3" t="s">
        <v>283</v>
      </c>
      <c r="E266" s="3" t="s">
        <v>182</v>
      </c>
      <c r="F266" s="3">
        <v>15.99</v>
      </c>
      <c r="G266" s="3" t="s">
        <v>844</v>
      </c>
      <c r="H266" s="3"/>
      <c r="I266" s="3" t="s">
        <v>845</v>
      </c>
      <c r="J266" s="3">
        <v>24</v>
      </c>
      <c r="K266" s="3">
        <v>24</v>
      </c>
      <c r="L266" s="3">
        <v>0</v>
      </c>
      <c r="M266" s="3">
        <v>0</v>
      </c>
      <c r="N266" s="3">
        <v>24</v>
      </c>
      <c r="O266" s="3">
        <v>0.03</v>
      </c>
      <c r="P266" s="3">
        <v>0</v>
      </c>
      <c r="Q266" s="3">
        <v>0</v>
      </c>
      <c r="R266" s="3">
        <v>0</v>
      </c>
    </row>
    <row r="267" spans="1:18">
      <c r="A267" s="3" t="s">
        <v>465</v>
      </c>
      <c r="B267" s="3" t="s">
        <v>466</v>
      </c>
      <c r="C267" s="3" t="s">
        <v>466</v>
      </c>
      <c r="D267" s="3" t="s">
        <v>467</v>
      </c>
      <c r="E267" s="3" t="s">
        <v>182</v>
      </c>
      <c r="F267" s="3">
        <v>15.99</v>
      </c>
      <c r="G267" s="3" t="s">
        <v>844</v>
      </c>
      <c r="H267" s="3"/>
      <c r="I267" s="3" t="s">
        <v>845</v>
      </c>
      <c r="J267" s="3">
        <v>24</v>
      </c>
      <c r="K267" s="3">
        <v>24</v>
      </c>
      <c r="L267" s="3">
        <v>0</v>
      </c>
      <c r="M267" s="3">
        <v>0</v>
      </c>
      <c r="N267" s="3">
        <v>24</v>
      </c>
      <c r="O267" s="3">
        <v>0.03</v>
      </c>
      <c r="P267" s="3">
        <v>0</v>
      </c>
      <c r="Q267" s="3">
        <v>0</v>
      </c>
      <c r="R267" s="3">
        <v>0</v>
      </c>
    </row>
    <row r="268" spans="1:18">
      <c r="A268" s="3" t="s">
        <v>633</v>
      </c>
      <c r="B268" s="3" t="s">
        <v>634</v>
      </c>
      <c r="C268" s="3" t="s">
        <v>634</v>
      </c>
      <c r="D268" s="3" t="s">
        <v>635</v>
      </c>
      <c r="E268" s="3" t="s">
        <v>182</v>
      </c>
      <c r="F268" s="3">
        <v>15.99</v>
      </c>
      <c r="G268" s="3" t="s">
        <v>844</v>
      </c>
      <c r="H268" s="3"/>
      <c r="I268" s="3" t="s">
        <v>845</v>
      </c>
      <c r="J268" s="3">
        <v>38</v>
      </c>
      <c r="K268" s="3">
        <v>38</v>
      </c>
      <c r="L268" s="3">
        <v>0</v>
      </c>
      <c r="M268" s="3">
        <v>0</v>
      </c>
      <c r="N268" s="3">
        <v>38</v>
      </c>
      <c r="O268" s="3">
        <v>0.21</v>
      </c>
      <c r="P268" s="3">
        <v>0</v>
      </c>
      <c r="Q268" s="3">
        <v>0</v>
      </c>
      <c r="R268" s="3">
        <v>0</v>
      </c>
    </row>
    <row r="269" spans="1:18">
      <c r="A269" s="3" t="s">
        <v>141</v>
      </c>
      <c r="B269" s="3" t="s">
        <v>142</v>
      </c>
      <c r="C269" s="3" t="s">
        <v>142</v>
      </c>
      <c r="D269" s="3" t="s">
        <v>143</v>
      </c>
      <c r="E269" s="3" t="s">
        <v>182</v>
      </c>
      <c r="F269" s="3">
        <v>15.99</v>
      </c>
      <c r="G269" s="3" t="s">
        <v>844</v>
      </c>
      <c r="H269" s="3"/>
      <c r="I269" s="3" t="s">
        <v>845</v>
      </c>
      <c r="J269" s="3">
        <v>37</v>
      </c>
      <c r="K269" s="3">
        <v>33</v>
      </c>
      <c r="L269" s="3">
        <v>0</v>
      </c>
      <c r="M269" s="3">
        <v>4</v>
      </c>
      <c r="N269" s="3">
        <v>37</v>
      </c>
      <c r="O269" s="3">
        <v>0.12</v>
      </c>
      <c r="P269" s="3">
        <v>0</v>
      </c>
      <c r="Q269" s="3">
        <v>0</v>
      </c>
      <c r="R269" s="3">
        <v>0</v>
      </c>
    </row>
    <row r="270" spans="1:18">
      <c r="A270" s="3" t="s">
        <v>564</v>
      </c>
      <c r="B270" s="3" t="s">
        <v>565</v>
      </c>
      <c r="C270" s="3" t="s">
        <v>565</v>
      </c>
      <c r="D270" s="3" t="s">
        <v>566</v>
      </c>
      <c r="E270" s="3" t="s">
        <v>182</v>
      </c>
      <c r="F270" s="3">
        <v>15.99</v>
      </c>
      <c r="G270" s="3" t="s">
        <v>844</v>
      </c>
      <c r="H270" s="3"/>
      <c r="I270" s="3" t="s">
        <v>845</v>
      </c>
      <c r="J270" s="3">
        <v>22</v>
      </c>
      <c r="K270" s="3">
        <v>22</v>
      </c>
      <c r="L270" s="3">
        <v>0</v>
      </c>
      <c r="M270" s="3">
        <v>0</v>
      </c>
      <c r="N270" s="3">
        <v>22</v>
      </c>
      <c r="O270" s="3">
        <v>0.16</v>
      </c>
      <c r="P270" s="3">
        <v>0</v>
      </c>
      <c r="Q270" s="3">
        <v>0</v>
      </c>
      <c r="R270" s="3">
        <v>0</v>
      </c>
    </row>
    <row r="271" spans="1:18">
      <c r="A271" s="3" t="s">
        <v>595</v>
      </c>
      <c r="B271" s="3" t="s">
        <v>596</v>
      </c>
      <c r="C271" s="3" t="s">
        <v>596</v>
      </c>
      <c r="D271" s="3" t="s">
        <v>597</v>
      </c>
      <c r="E271" s="3" t="s">
        <v>182</v>
      </c>
      <c r="F271" s="3">
        <v>15.99</v>
      </c>
      <c r="G271" s="3" t="s">
        <v>844</v>
      </c>
      <c r="H271" s="3"/>
      <c r="I271" s="3" t="s">
        <v>845</v>
      </c>
      <c r="J271" s="3">
        <v>45</v>
      </c>
      <c r="K271" s="3">
        <v>45</v>
      </c>
      <c r="L271" s="3">
        <v>0</v>
      </c>
      <c r="M271" s="3">
        <v>0</v>
      </c>
      <c r="N271" s="3">
        <v>45</v>
      </c>
      <c r="O271" s="3">
        <v>0.12</v>
      </c>
      <c r="P271" s="3">
        <v>0</v>
      </c>
      <c r="Q271" s="3">
        <v>0</v>
      </c>
      <c r="R271" s="3">
        <v>0</v>
      </c>
    </row>
    <row r="272" spans="1:18">
      <c r="A272" s="3" t="s">
        <v>614</v>
      </c>
      <c r="B272" s="3" t="s">
        <v>615</v>
      </c>
      <c r="C272" s="3" t="s">
        <v>615</v>
      </c>
      <c r="D272" s="3" t="s">
        <v>616</v>
      </c>
      <c r="E272" s="3" t="s">
        <v>182</v>
      </c>
      <c r="F272" s="3">
        <v>15.99</v>
      </c>
      <c r="G272" s="3" t="s">
        <v>844</v>
      </c>
      <c r="H272" s="3"/>
      <c r="I272" s="3" t="s">
        <v>845</v>
      </c>
      <c r="J272" s="3">
        <v>42</v>
      </c>
      <c r="K272" s="3">
        <v>42</v>
      </c>
      <c r="L272" s="3">
        <v>0</v>
      </c>
      <c r="M272" s="3">
        <v>0</v>
      </c>
      <c r="N272" s="3">
        <v>42</v>
      </c>
      <c r="O272" s="3">
        <v>0.21</v>
      </c>
      <c r="P272" s="3">
        <v>0</v>
      </c>
      <c r="Q272" s="3">
        <v>0</v>
      </c>
      <c r="R272" s="3">
        <v>0</v>
      </c>
    </row>
    <row r="273" spans="1:18">
      <c r="A273" s="4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</row>
    <row r="274" spans="1:18">
      <c r="A274" s="4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</row>
    <row r="275" spans="1:18">
      <c r="A275" s="4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</row>
    <row r="276" spans="1:18">
      <c r="A276" s="4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</row>
    <row r="277" spans="1:18">
      <c r="A277" s="4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</row>
    <row r="278" spans="1:18">
      <c r="A278" s="4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</row>
    <row r="279" spans="1:18">
      <c r="A279" s="4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</row>
    <row r="280" spans="1:18">
      <c r="A280" s="4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</row>
    <row r="281" spans="1:18">
      <c r="A281" s="4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</row>
    <row r="282" spans="1:18">
      <c r="A282" s="4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</row>
    <row r="283" spans="1:18">
      <c r="A283" s="4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</row>
    <row r="284" spans="1:18">
      <c r="A284" s="4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</row>
    <row r="285" spans="1:18">
      <c r="A285" s="4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</row>
    <row r="286" spans="1:18">
      <c r="A286" s="4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</row>
    <row r="287" spans="1:18">
      <c r="A287" s="4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</row>
    <row r="288" spans="1:18">
      <c r="A288" s="4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</row>
    <row r="289" spans="1:18">
      <c r="A289" s="4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</row>
    <row r="290" spans="1:18">
      <c r="A290" s="4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</row>
    <row r="291" spans="1:18">
      <c r="A291" s="4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</row>
    <row r="292" spans="1:18">
      <c r="A292" s="4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</row>
    <row r="293" spans="1:18">
      <c r="A293" s="4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</row>
    <row r="294" spans="1:18">
      <c r="A294" s="4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</row>
    <row r="295" spans="1:18">
      <c r="A295" s="4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</row>
    <row r="296" spans="1:18">
      <c r="A296" s="4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</row>
    <row r="297" spans="1:18">
      <c r="A297" s="4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</row>
    <row r="298" spans="1:18">
      <c r="A298" s="4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</row>
    <row r="299" spans="1:18">
      <c r="A299" s="4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</row>
    <row r="300" spans="1:18">
      <c r="A300" s="4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</row>
    <row r="301" spans="1:18">
      <c r="A301" s="4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</row>
    <row r="302" spans="1:18">
      <c r="A302" s="4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</row>
    <row r="303" spans="1:18">
      <c r="A303" s="4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</row>
    <row r="304" spans="1:18">
      <c r="A304" s="4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</row>
    <row r="305" spans="1:18">
      <c r="A305" s="4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</row>
    <row r="306" spans="1:18">
      <c r="A306" s="4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</row>
    <row r="307" spans="1:18">
      <c r="A307" s="4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</row>
    <row r="308" spans="1:18">
      <c r="A308" s="4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</row>
    <row r="309" spans="1:18">
      <c r="A309" s="4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</row>
    <row r="310" spans="1:18">
      <c r="A310" s="4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</row>
    <row r="311" spans="1:18">
      <c r="A311" s="4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</row>
    <row r="312" spans="1:18">
      <c r="A312" s="4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</row>
    <row r="313" spans="1:18">
      <c r="A313" s="4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</row>
    <row r="314" spans="1:18">
      <c r="A314" s="4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</row>
    <row r="315" spans="1:18">
      <c r="A315" s="4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</row>
    <row r="316" spans="1:18">
      <c r="A316" s="4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</row>
    <row r="317" spans="1:18">
      <c r="A317" s="4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</row>
    <row r="318" spans="1:18">
      <c r="A318" s="4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</row>
    <row r="319" spans="1:18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</row>
    <row r="320" spans="1:18">
      <c r="A320" s="4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</row>
    <row r="321" spans="1:18">
      <c r="A321" s="4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</row>
    <row r="322" spans="1:18">
      <c r="A322" s="4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</row>
    <row r="323" spans="1:18">
      <c r="A323" s="4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</row>
    <row r="324" spans="1:18">
      <c r="A324" s="4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</row>
    <row r="325" spans="1:18">
      <c r="A325" s="4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</row>
    <row r="326" spans="1:18">
      <c r="A326" s="4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</row>
    <row r="327" spans="1:18">
      <c r="A327" s="4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</row>
    <row r="328" spans="1:18">
      <c r="A328" s="4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</row>
    <row r="329" spans="1:18">
      <c r="A329" s="4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</row>
    <row r="330" spans="1:18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</row>
    <row r="331" spans="1:18">
      <c r="A331" s="4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</row>
    <row r="332" spans="1:18">
      <c r="A332" s="4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</row>
    <row r="333" spans="1:18">
      <c r="A333" s="4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</row>
    <row r="334" spans="1:18">
      <c r="A334" s="4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</row>
    <row r="335" spans="1:18">
      <c r="A335" s="4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</row>
    <row r="336" spans="1:18">
      <c r="A336" s="4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</row>
    <row r="337" spans="1:18">
      <c r="A337" s="4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</row>
    <row r="338" spans="1:18">
      <c r="A338" s="4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</row>
    <row r="339" spans="1:18">
      <c r="A339" s="4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</row>
    <row r="340" spans="1:18">
      <c r="A340" s="4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</row>
    <row r="341" spans="1:18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</row>
    <row r="342" spans="1:18">
      <c r="A342" s="4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</row>
    <row r="343" spans="1:18">
      <c r="A343" s="4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</row>
    <row r="344" spans="1:18">
      <c r="A344" s="4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</row>
    <row r="345" spans="1:18">
      <c r="A345" s="4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</row>
    <row r="346" spans="1:18">
      <c r="A346" s="4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</row>
    <row r="347" spans="1:18">
      <c r="A347" s="4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</row>
    <row r="348" spans="1:18">
      <c r="A348" s="4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</row>
    <row r="349" spans="1:18">
      <c r="A349" s="4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</row>
    <row r="350" spans="1:18">
      <c r="A350" s="4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</row>
    <row r="351" spans="1:18">
      <c r="A351" s="4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</row>
    <row r="352" spans="1:18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</row>
    <row r="353" spans="1:18">
      <c r="A353" s="4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</row>
    <row r="354" spans="1:18">
      <c r="A354" s="4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</row>
    <row r="355" spans="1:18">
      <c r="A355" s="4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</row>
    <row r="356" spans="1:18">
      <c r="A356" s="4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</row>
    <row r="357" spans="1:18">
      <c r="A357" s="4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</row>
    <row r="358" spans="1:18">
      <c r="A358" s="4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</row>
    <row r="359" spans="1:18">
      <c r="A359" s="4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</row>
    <row r="360" spans="1:18">
      <c r="A360" s="4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</row>
    <row r="361" spans="1:18">
      <c r="A361" s="4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</row>
    <row r="362" spans="1:18">
      <c r="A362" s="4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</row>
    <row r="363" spans="1:18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</row>
    <row r="364" spans="1:18">
      <c r="A364" s="4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</row>
    <row r="365" spans="1:18">
      <c r="A365" s="4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</row>
    <row r="366" spans="1:18">
      <c r="A366" s="4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</row>
    <row r="367" spans="1:18">
      <c r="A367" s="4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</row>
    <row r="368" spans="1:18">
      <c r="A368" s="4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</row>
    <row r="369" spans="1:18">
      <c r="A369" s="4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</row>
    <row r="370" spans="1:18">
      <c r="A370" s="4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</row>
    <row r="371" spans="1:18">
      <c r="A371" s="4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</row>
    <row r="372" spans="1:18">
      <c r="A372" s="4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</row>
    <row r="373" spans="1:18">
      <c r="A373" s="4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</row>
    <row r="374" spans="1: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</row>
    <row r="375" spans="1: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</row>
    <row r="376" spans="1: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</row>
    <row r="377" spans="1: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</row>
    <row r="378" spans="1: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</row>
    <row r="379" spans="1: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</row>
    <row r="380" spans="1: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</row>
    <row r="381" spans="1: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</row>
    <row r="382" spans="1: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</row>
    <row r="383" spans="1: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</row>
    <row r="384" spans="1: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</row>
    <row r="385" spans="1: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</row>
    <row r="386" spans="1: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</row>
    <row r="387" spans="1: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</row>
    <row r="388" spans="1: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</row>
    <row r="389" spans="1: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</row>
    <row r="390" spans="1: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</row>
    <row r="391" spans="1: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</row>
    <row r="392" spans="1: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</row>
    <row r="393" spans="1: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</row>
    <row r="394" spans="1: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</row>
    <row r="395" spans="1: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</row>
    <row r="396" spans="1: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</row>
    <row r="397" spans="1: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</row>
    <row r="398" spans="1: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</row>
    <row r="399" spans="1: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</row>
    <row r="400" spans="1: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</row>
    <row r="401" spans="1: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</row>
    <row r="402" spans="1: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</row>
    <row r="403" spans="1: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</row>
    <row r="404" spans="1: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</row>
    <row r="405" spans="1: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</row>
    <row r="406" spans="1: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</row>
    <row r="407" spans="1: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</row>
    <row r="408" spans="1: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</row>
    <row r="409" spans="1: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</row>
    <row r="410" spans="1: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</row>
    <row r="411" spans="1: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</row>
    <row r="412" spans="1: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616"/>
  <sheetViews>
    <sheetView tabSelected="1" workbookViewId="0">
      <selection activeCell="B3" sqref="B3:N273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1059</v>
      </c>
      <c r="C1" t="s">
        <v>1060</v>
      </c>
      <c r="D1" t="s">
        <v>1061</v>
      </c>
      <c r="E1" t="s">
        <v>1062</v>
      </c>
      <c r="F1" t="s">
        <v>1063</v>
      </c>
      <c r="G1" t="s">
        <v>6</v>
      </c>
      <c r="H1" s="2" t="s">
        <v>7</v>
      </c>
      <c r="I1" t="s">
        <v>5</v>
      </c>
      <c r="J1" t="s">
        <v>152</v>
      </c>
      <c r="K1" t="s">
        <v>153</v>
      </c>
      <c r="L1" t="s">
        <v>154</v>
      </c>
      <c r="M1" t="s">
        <v>155</v>
      </c>
      <c r="N1" t="s">
        <v>1064</v>
      </c>
    </row>
    <row r="2" s="1" customFormat="1" spans="1:14">
      <c r="A2" s="1" t="s">
        <v>1065</v>
      </c>
      <c r="B2" s="1">
        <f t="shared" ref="B2:N2" si="0">SUM(B3:B2543)</f>
        <v>1885</v>
      </c>
      <c r="C2" s="1">
        <f t="shared" si="0"/>
        <v>9</v>
      </c>
      <c r="D2" s="1">
        <f t="shared" si="0"/>
        <v>204</v>
      </c>
      <c r="E2" s="1">
        <f t="shared" si="0"/>
        <v>55</v>
      </c>
      <c r="F2" s="1">
        <f t="shared" si="0"/>
        <v>259</v>
      </c>
      <c r="G2" s="1">
        <f t="shared" si="0"/>
        <v>221</v>
      </c>
      <c r="H2" s="1">
        <f t="shared" si="0"/>
        <v>89</v>
      </c>
      <c r="I2" s="1">
        <f t="shared" si="0"/>
        <v>15</v>
      </c>
      <c r="J2" s="1">
        <f t="shared" si="0"/>
        <v>397</v>
      </c>
      <c r="K2" s="1">
        <f t="shared" si="0"/>
        <v>626</v>
      </c>
      <c r="L2" s="1">
        <f t="shared" si="0"/>
        <v>0</v>
      </c>
      <c r="M2" s="1">
        <f t="shared" si="0"/>
        <v>0</v>
      </c>
      <c r="N2" s="1">
        <f t="shared" si="0"/>
        <v>1023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3</v>
      </c>
      <c r="H3">
        <f>IFERROR(VLOOKUP(A3,预留库存!A:H,8,0),0)</f>
        <v>0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3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2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1</v>
      </c>
      <c r="L4">
        <f>IFERROR(VLOOKUP(A4,库龄!B:M,11,0),0)</f>
        <v>0</v>
      </c>
      <c r="M4">
        <f>IFERROR(VLOOKUP(A4,库龄!B:N,12,0),0)</f>
        <v>0</v>
      </c>
      <c r="N4">
        <f t="shared" si="2"/>
        <v>1</v>
      </c>
    </row>
    <row r="5" spans="1:14">
      <c r="A5" s="3" t="s">
        <v>15</v>
      </c>
      <c r="B5">
        <f>IFERROR(VLOOKUP(A5,管理亚马逊库存!A:K,11,0),"")</f>
        <v>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7</v>
      </c>
      <c r="I5">
        <f>IFERROR(VLOOKUP(A5,预留库存!A:F,6,0),0)</f>
        <v>0</v>
      </c>
      <c r="J5">
        <f>IFERROR(VLOOKUP(A5,库龄!B:K,9,0),0)</f>
        <v>1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1</v>
      </c>
    </row>
    <row r="6" spans="1:14">
      <c r="A6" s="3" t="s">
        <v>18</v>
      </c>
      <c r="B6">
        <f>IFERROR(VLOOKUP(A6,管理亚马逊库存!A:K,11,0),"")</f>
        <v>0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4</v>
      </c>
      <c r="I6">
        <f>IFERROR(VLOOKUP(A6,预留库存!A:F,6,0),0)</f>
        <v>0</v>
      </c>
      <c r="J6">
        <f>IFERROR(VLOOKUP(A6,库龄!B:K,9,0),0)</f>
        <v>4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4</v>
      </c>
    </row>
    <row r="7" spans="1:14">
      <c r="A7" s="3" t="s">
        <v>21</v>
      </c>
      <c r="B7">
        <f>IFERROR(VLOOKUP(A7,管理亚马逊库存!A:K,11,0),"")</f>
        <v>0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3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24</v>
      </c>
      <c r="B8">
        <f>IFERROR(VLOOKUP(A8,管理亚马逊库存!A:K,11,0),"")</f>
        <v>0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4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4</v>
      </c>
      <c r="L8">
        <f>IFERROR(VLOOKUP(A8,库龄!B:M,11,0),0)</f>
        <v>0</v>
      </c>
      <c r="M8">
        <f>IFERROR(VLOOKUP(A8,库龄!B:N,12,0),0)</f>
        <v>0</v>
      </c>
      <c r="N8">
        <f t="shared" si="2"/>
        <v>4</v>
      </c>
    </row>
    <row r="9" spans="1:14">
      <c r="A9" s="3" t="s">
        <v>27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4</v>
      </c>
      <c r="I9">
        <f>IFERROR(VLOOKUP(A9,预留库存!A:F,6,0),0)</f>
        <v>0</v>
      </c>
      <c r="J9">
        <f>IFERROR(VLOOKUP(A9,库龄!B:K,9,0),0)</f>
        <v>1</v>
      </c>
      <c r="K9">
        <f>IFERROR(VLOOKUP(A9,库龄!B:L,10,0),0)</f>
        <v>12</v>
      </c>
      <c r="L9">
        <f>IFERROR(VLOOKUP(A9,库龄!B:M,11,0),0)</f>
        <v>0</v>
      </c>
      <c r="M9">
        <f>IFERROR(VLOOKUP(A9,库龄!B:N,12,0),0)</f>
        <v>0</v>
      </c>
      <c r="N9">
        <f t="shared" si="2"/>
        <v>13</v>
      </c>
    </row>
    <row r="10" spans="1:14">
      <c r="A10" s="3" t="s">
        <v>30</v>
      </c>
      <c r="B10">
        <f>IFERROR(VLOOKUP(A10,管理亚马逊库存!A:K,11,0),"")</f>
        <v>2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3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33</v>
      </c>
      <c r="B11">
        <f>IFERROR(VLOOKUP(A11,管理亚马逊库存!A:K,11,0),"")</f>
        <v>2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4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2</v>
      </c>
      <c r="L11">
        <f>IFERROR(VLOOKUP(A11,库龄!B:M,11,0),0)</f>
        <v>0</v>
      </c>
      <c r="M11">
        <f>IFERROR(VLOOKUP(A11,库龄!B:N,12,0),0)</f>
        <v>0</v>
      </c>
      <c r="N11">
        <f t="shared" si="2"/>
        <v>2</v>
      </c>
    </row>
    <row r="12" spans="1:14">
      <c r="A12" s="3" t="s">
        <v>36</v>
      </c>
      <c r="B12">
        <f>IFERROR(VLOOKUP(A12,管理亚马逊库存!A:K,11,0),"")</f>
        <v>0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3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39</v>
      </c>
      <c r="B13">
        <f>IFERROR(VLOOKUP(A13,管理亚马逊库存!A:K,11,0),"")</f>
        <v>92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6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92</v>
      </c>
      <c r="L13">
        <f>IFERROR(VLOOKUP(A13,库龄!B:M,11,0),0)</f>
        <v>0</v>
      </c>
      <c r="M13">
        <f>IFERROR(VLOOKUP(A13,库龄!B:N,12,0),0)</f>
        <v>0</v>
      </c>
      <c r="N13">
        <f t="shared" si="2"/>
        <v>92</v>
      </c>
    </row>
    <row r="14" spans="1:14">
      <c r="A14" s="3" t="s">
        <v>42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7</v>
      </c>
      <c r="I14">
        <f>IFERROR(VLOOKUP(A14,预留库存!A:F,6,0),0)</f>
        <v>0</v>
      </c>
      <c r="J14">
        <f>IFERROR(VLOOKUP(A14,库龄!B:K,9,0),0)</f>
        <v>9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9</v>
      </c>
    </row>
    <row r="15" spans="1:14">
      <c r="A15" s="3" t="s">
        <v>44</v>
      </c>
      <c r="B15">
        <f>IFERROR(VLOOKUP(A15,管理亚马逊库存!A:K,11,0),"")</f>
        <v>1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2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48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11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51</v>
      </c>
      <c r="B17">
        <f>IFERROR(VLOOKUP(A17,管理亚马逊库存!A:K,11,0),"")</f>
        <v>1</v>
      </c>
      <c r="C17">
        <f>IFERROR(VLOOKUP(A17,管理亚马逊库存!A:L,12,0),"")</f>
        <v>1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4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54</v>
      </c>
      <c r="B18">
        <f>IFERROR(VLOOKUP(A18,管理亚马逊库存!A:K,11,0),"")</f>
        <v>0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3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58</v>
      </c>
      <c r="B19">
        <f>IFERROR(VLOOKUP(A19,管理亚马逊库存!A:K,11,0),"")</f>
        <v>1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4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61</v>
      </c>
      <c r="B20">
        <f>IFERROR(VLOOKUP(A20,管理亚马逊库存!A:K,11,0),"")</f>
        <v>0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3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3</v>
      </c>
      <c r="L20">
        <f>IFERROR(VLOOKUP(A20,库龄!B:M,11,0),0)</f>
        <v>0</v>
      </c>
      <c r="M20">
        <f>IFERROR(VLOOKUP(A20,库龄!B:N,12,0),0)</f>
        <v>0</v>
      </c>
      <c r="N20">
        <f t="shared" si="2"/>
        <v>3</v>
      </c>
    </row>
    <row r="21" spans="1:14">
      <c r="A21" s="3" t="s">
        <v>64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2</v>
      </c>
      <c r="I21">
        <f>IFERROR(VLOOKUP(A21,预留库存!A:F,6,0),0)</f>
        <v>0</v>
      </c>
      <c r="J21">
        <f>IFERROR(VLOOKUP(A21,库龄!B:K,9,0),0)</f>
        <v>3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3</v>
      </c>
    </row>
    <row r="22" spans="1:14">
      <c r="A22" s="3" t="s">
        <v>66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5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69</v>
      </c>
      <c r="B23">
        <f>IFERROR(VLOOKUP(A23,管理亚马逊库存!A:K,11,0),"")</f>
        <v>3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4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2</v>
      </c>
      <c r="L23">
        <f>IFERROR(VLOOKUP(A23,库龄!B:M,11,0),0)</f>
        <v>0</v>
      </c>
      <c r="M23">
        <f>IFERROR(VLOOKUP(A23,库龄!B:N,12,0),0)</f>
        <v>0</v>
      </c>
      <c r="N23">
        <f t="shared" si="2"/>
        <v>2</v>
      </c>
    </row>
    <row r="24" spans="1:14">
      <c r="A24" s="3" t="s">
        <v>72</v>
      </c>
      <c r="B24">
        <f>IFERROR(VLOOKUP(A24,管理亚马逊库存!A:K,11,0),"")</f>
        <v>21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76</v>
      </c>
      <c r="B25">
        <f>IFERROR(VLOOKUP(A25,管理亚马逊库存!A:K,11,0),"")</f>
        <v>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2</v>
      </c>
      <c r="I25">
        <f>IFERROR(VLOOKUP(A25,预留库存!A:F,6,0),0)</f>
        <v>1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80</v>
      </c>
      <c r="B26">
        <f>IFERROR(VLOOKUP(A26,管理亚马逊库存!A:K,11,0),"")</f>
        <v>2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10</v>
      </c>
      <c r="F26">
        <f t="shared" si="1"/>
        <v>10</v>
      </c>
      <c r="G26">
        <f>IFERROR(VLOOKUP(A26,预留库存!A:G,7,0),0)</f>
        <v>8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84</v>
      </c>
      <c r="B27">
        <f>IFERROR(VLOOKUP(A27,管理亚马逊库存!A:K,11,0),"")</f>
        <v>0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1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88</v>
      </c>
      <c r="B28">
        <f>IFERROR(VLOOKUP(A28,管理亚马逊库存!A:K,11,0),"")</f>
        <v>2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1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IFERROR(VLOOKUP(A28,库龄!B:K,9,0),0)</f>
        <v>4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4</v>
      </c>
    </row>
    <row r="29" spans="1:14">
      <c r="A29" s="3" t="s">
        <v>91</v>
      </c>
      <c r="B29">
        <f>IFERROR(VLOOKUP(A29,管理亚马逊库存!A:K,11,0),"")</f>
        <v>108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3</v>
      </c>
      <c r="H29">
        <f>IFERROR(VLOOKUP(A29,预留库存!A:H,8,0),0)</f>
        <v>12</v>
      </c>
      <c r="I29">
        <f>IFERROR(VLOOKUP(A29,预留库存!A:F,6,0),0)</f>
        <v>4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93</v>
      </c>
      <c r="B30">
        <f>IFERROR(VLOOKUP(A30,管理亚马逊库存!A:K,11,0),"")</f>
        <v>1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14</v>
      </c>
      <c r="F30">
        <f t="shared" si="1"/>
        <v>14</v>
      </c>
      <c r="G30">
        <f>IFERROR(VLOOKUP(A30,预留库存!A:G,7,0),0)</f>
        <v>5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97</v>
      </c>
      <c r="B31">
        <f>IFERROR(VLOOKUP(A31,管理亚马逊库存!A:K,11,0),"")</f>
        <v>40</v>
      </c>
      <c r="C31">
        <f>IFERROR(VLOOKUP(A31,管理亚马逊库存!A:L,12,0),"")</f>
        <v>0</v>
      </c>
      <c r="D31">
        <f>IFERROR(VLOOKUP(A31,管理亚马逊库存!A:Q,17,0),"")</f>
        <v>150</v>
      </c>
      <c r="E31">
        <f>IFERROR(VLOOKUP(A31,管理亚马逊库存!A:R,18,0),"")</f>
        <v>0</v>
      </c>
      <c r="F31">
        <f t="shared" si="1"/>
        <v>150</v>
      </c>
      <c r="G31">
        <f>IFERROR(VLOOKUP(A31,预留库存!A:G,7,0),0)</f>
        <v>60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99</v>
      </c>
      <c r="B32">
        <f>IFERROR(VLOOKUP(A32,管理亚马逊库存!A:K,11,0),"")</f>
        <v>11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13</v>
      </c>
      <c r="F32">
        <f t="shared" si="1"/>
        <v>13</v>
      </c>
      <c r="G32">
        <f>IFERROR(VLOOKUP(A32,预留库存!A:G,7,0),0)</f>
        <v>9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103</v>
      </c>
      <c r="B33">
        <f>IFERROR(VLOOKUP(A33,管理亚马逊库存!A:K,11,0),"")</f>
        <v>2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26</v>
      </c>
      <c r="H33">
        <f>IFERROR(VLOOKUP(A33,预留库存!A:H,8,0),0)</f>
        <v>2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107</v>
      </c>
      <c r="B34">
        <f>IFERROR(VLOOKUP(A34,管理亚马逊库存!A:K,11,0),"")</f>
        <v>0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4</v>
      </c>
      <c r="H34">
        <f>IFERROR(VLOOKUP(A34,预留库存!A:H,8,0),0)</f>
        <v>0</v>
      </c>
      <c r="I34">
        <f>IFERROR(VLOOKUP(A34,预留库存!A:F,6,0),0)</f>
        <v>1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111</v>
      </c>
      <c r="B35">
        <f>IFERROR(VLOOKUP(A35,管理亚马逊库存!A:K,11,0),"")</f>
        <v>1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2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2</v>
      </c>
    </row>
    <row r="36" spans="1:14">
      <c r="A36" s="3" t="s">
        <v>115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27</v>
      </c>
      <c r="E36">
        <f>IFERROR(VLOOKUP(A36,管理亚马逊库存!A:R,18,0),"")</f>
        <v>17</v>
      </c>
      <c r="F36">
        <f t="shared" si="1"/>
        <v>44</v>
      </c>
      <c r="G36">
        <f>IFERROR(VLOOKUP(A36,预留库存!A:G,7,0),0)</f>
        <v>6</v>
      </c>
      <c r="H36">
        <f>IFERROR(VLOOKUP(A36,预留库存!A:H,8,0),0)</f>
        <v>4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119</v>
      </c>
      <c r="B37">
        <f>IFERROR(VLOOKUP(A37,管理亚马逊库存!A:K,11,0),"")</f>
        <v>3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1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123</v>
      </c>
      <c r="B38">
        <f>IFERROR(VLOOKUP(A38,管理亚马逊库存!A:K,11,0),"")</f>
        <v>10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127</v>
      </c>
      <c r="B39">
        <f>IFERROR(VLOOKUP(A39,管理亚马逊库存!A:K,11,0),"")</f>
        <v>25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13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131</v>
      </c>
      <c r="B40">
        <f>IFERROR(VLOOKUP(A40,管理亚马逊库存!A:K,11,0),"")</f>
        <v>5</v>
      </c>
      <c r="C40">
        <f>IFERROR(VLOOKUP(A40,管理亚马逊库存!A:L,12,0),"")</f>
        <v>0</v>
      </c>
      <c r="D40">
        <f>IFERROR(VLOOKUP(A40,管理亚马逊库存!A:Q,17,0),"")</f>
        <v>27</v>
      </c>
      <c r="E40">
        <f>IFERROR(VLOOKUP(A40,管理亚马逊库存!A:R,18,0),"")</f>
        <v>0</v>
      </c>
      <c r="F40">
        <f t="shared" si="1"/>
        <v>27</v>
      </c>
      <c r="G40">
        <f>IFERROR(VLOOKUP(A40,预留库存!A:G,7,0),0)</f>
        <v>18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135</v>
      </c>
      <c r="B41">
        <f>IFERROR(VLOOKUP(A41,管理亚马逊库存!A:K,11,0),"")</f>
        <v>6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38</v>
      </c>
      <c r="H41">
        <f>IFERROR(VLOOKUP(A41,预留库存!A:H,8,0),0)</f>
        <v>3</v>
      </c>
      <c r="I41">
        <f>IFERROR(VLOOKUP(A41,预留库存!A:F,6,0),0)</f>
        <v>3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138</v>
      </c>
      <c r="B42">
        <f>IFERROR(VLOOKUP(A42,管理亚马逊库存!A:K,11,0),"")</f>
        <v>18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2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141</v>
      </c>
      <c r="B43">
        <f>IFERROR(VLOOKUP(A43,管理亚马逊库存!A:K,11,0),"")</f>
        <v>33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4</v>
      </c>
      <c r="I43">
        <f>IFERROR(VLOOKUP(A43,预留库存!A:F,6,0),0)</f>
        <v>0</v>
      </c>
      <c r="J43">
        <f>IFERROR(VLOOKUP(A43,库龄!B:K,9,0),0)</f>
        <v>33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33</v>
      </c>
    </row>
    <row r="44" spans="1:14">
      <c r="A44" s="3" t="s">
        <v>144</v>
      </c>
      <c r="B44">
        <f>IFERROR(VLOOKUP(A44,管理亚马逊库存!A:K,11,0),"")</f>
        <v>6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1</v>
      </c>
      <c r="J44">
        <f>IFERROR(VLOOKUP(A44,库龄!B:K,9,0),0)</f>
        <v>2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2</v>
      </c>
    </row>
    <row r="45" spans="1:14">
      <c r="A45" s="3" t="s">
        <v>179</v>
      </c>
      <c r="B45">
        <f>IFERROR(VLOOKUP(A45,管理亚马逊库存!A:K,11,0),"")</f>
        <v>5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5</v>
      </c>
      <c r="L45">
        <f>IFERROR(VLOOKUP(A45,库龄!B:M,11,0),0)</f>
        <v>0</v>
      </c>
      <c r="M45">
        <f>IFERROR(VLOOKUP(A45,库龄!B:N,12,0),0)</f>
        <v>0</v>
      </c>
      <c r="N45">
        <f t="shared" si="2"/>
        <v>5</v>
      </c>
    </row>
    <row r="46" spans="1:14">
      <c r="A46" s="3" t="s">
        <v>188</v>
      </c>
      <c r="B46">
        <f>IFERROR(VLOOKUP(A46,管理亚马逊库存!A:K,11,0),"")</f>
        <v>4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4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4</v>
      </c>
    </row>
    <row r="47" spans="1:14">
      <c r="A47" s="3" t="s">
        <v>194</v>
      </c>
      <c r="B47">
        <f>IFERROR(VLOOKUP(A47,管理亚马逊库存!A:K,11,0),"")</f>
        <v>4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4</v>
      </c>
      <c r="L47">
        <f>IFERROR(VLOOKUP(A47,库龄!B:M,11,0),0)</f>
        <v>0</v>
      </c>
      <c r="M47">
        <f>IFERROR(VLOOKUP(A47,库龄!B:N,12,0),0)</f>
        <v>0</v>
      </c>
      <c r="N47">
        <f t="shared" si="2"/>
        <v>4</v>
      </c>
    </row>
    <row r="48" spans="1:14">
      <c r="A48" s="3" t="s">
        <v>200</v>
      </c>
      <c r="B48">
        <f>IFERROR(VLOOKUP(A48,管理亚马逊库存!A:K,11,0),"")</f>
        <v>2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205</v>
      </c>
      <c r="B49">
        <f>IFERROR(VLOOKUP(A49,管理亚马逊库存!A:K,11,0),"")</f>
        <v>4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212</v>
      </c>
      <c r="B50">
        <f>IFERROR(VLOOKUP(A50,管理亚马逊库存!A:K,11,0),"")</f>
        <v>4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4</v>
      </c>
      <c r="L50">
        <f>IFERROR(VLOOKUP(A50,库龄!B:M,11,0),0)</f>
        <v>0</v>
      </c>
      <c r="M50">
        <f>IFERROR(VLOOKUP(A50,库龄!B:N,12,0),0)</f>
        <v>0</v>
      </c>
      <c r="N50">
        <f t="shared" si="2"/>
        <v>4</v>
      </c>
    </row>
    <row r="51" spans="1:14">
      <c r="A51" s="3" t="s">
        <v>216</v>
      </c>
      <c r="B51">
        <f>IFERROR(VLOOKUP(A51,管理亚马逊库存!A:K,11,0),"")</f>
        <v>3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221</v>
      </c>
      <c r="B52">
        <f>IFERROR(VLOOKUP(A52,管理亚马逊库存!A:K,11,0),"")</f>
        <v>2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226</v>
      </c>
      <c r="B53">
        <f>IFERROR(VLOOKUP(A53,管理亚马逊库存!A:K,11,0),"")</f>
        <v>4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230</v>
      </c>
      <c r="B54">
        <f>IFERROR(VLOOKUP(A54,管理亚马逊库存!A:K,11,0),"")</f>
        <v>3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235</v>
      </c>
      <c r="B55">
        <f>IFERROR(VLOOKUP(A55,管理亚马逊库存!A:K,11,0),"")</f>
        <v>4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4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4</v>
      </c>
    </row>
    <row r="56" spans="1:14">
      <c r="A56" s="3" t="s">
        <v>238</v>
      </c>
      <c r="B56">
        <f>IFERROR(VLOOKUP(A56,管理亚马逊库存!A:K,11,0),"")</f>
        <v>5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5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5</v>
      </c>
    </row>
    <row r="57" spans="1:14">
      <c r="A57" s="3" t="s">
        <v>241</v>
      </c>
      <c r="B57">
        <f>IFERROR(VLOOKUP(A57,管理亚马逊库存!A:K,11,0),"")</f>
        <v>5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248</v>
      </c>
      <c r="B58">
        <f>IFERROR(VLOOKUP(A58,管理亚马逊库存!A:K,11,0),"")</f>
        <v>4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4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4</v>
      </c>
    </row>
    <row r="59" spans="1:14">
      <c r="A59" s="3" t="s">
        <v>252</v>
      </c>
      <c r="B59">
        <f>IFERROR(VLOOKUP(A59,管理亚马逊库存!A:K,11,0),"")</f>
        <v>3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3</v>
      </c>
      <c r="L59">
        <f>IFERROR(VLOOKUP(A59,库龄!B:M,11,0),0)</f>
        <v>0</v>
      </c>
      <c r="M59">
        <f>IFERROR(VLOOKUP(A59,库龄!B:N,12,0),0)</f>
        <v>0</v>
      </c>
      <c r="N59">
        <f t="shared" si="2"/>
        <v>3</v>
      </c>
    </row>
    <row r="60" spans="1:14">
      <c r="A60" s="3" t="s">
        <v>255</v>
      </c>
      <c r="B60">
        <f>IFERROR(VLOOKUP(A60,管理亚马逊库存!A:K,11,0),"")</f>
        <v>3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3</v>
      </c>
      <c r="L60">
        <f>IFERROR(VLOOKUP(A60,库龄!B:M,11,0),0)</f>
        <v>0</v>
      </c>
      <c r="M60">
        <f>IFERROR(VLOOKUP(A60,库龄!B:N,12,0),0)</f>
        <v>0</v>
      </c>
      <c r="N60">
        <f t="shared" si="2"/>
        <v>3</v>
      </c>
    </row>
    <row r="61" spans="1:14">
      <c r="A61" s="3" t="s">
        <v>258</v>
      </c>
      <c r="B61">
        <f>IFERROR(VLOOKUP(A61,管理亚马逊库存!A:K,11,0),"")</f>
        <v>4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3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3</v>
      </c>
    </row>
    <row r="62" spans="1:14">
      <c r="A62" s="3" t="s">
        <v>261</v>
      </c>
      <c r="B62">
        <f>IFERROR(VLOOKUP(A62,管理亚马逊库存!A:K,11,0),"")</f>
        <v>10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265</v>
      </c>
      <c r="B63">
        <f>IFERROR(VLOOKUP(A63,管理亚马逊库存!A:K,11,0),"")</f>
        <v>18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270</v>
      </c>
      <c r="B64">
        <f>IFERROR(VLOOKUP(A64,管理亚马逊库存!A:K,11,0),"")</f>
        <v>1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1</v>
      </c>
      <c r="L64">
        <f>IFERROR(VLOOKUP(A64,库龄!B:M,11,0),0)</f>
        <v>0</v>
      </c>
      <c r="M64">
        <f>IFERROR(VLOOKUP(A64,库龄!B:N,12,0),0)</f>
        <v>0</v>
      </c>
      <c r="N64">
        <f t="shared" si="2"/>
        <v>1</v>
      </c>
    </row>
    <row r="65" spans="1:14">
      <c r="A65" s="3" t="s">
        <v>274</v>
      </c>
      <c r="B65">
        <f>IFERROR(VLOOKUP(A65,管理亚马逊库存!A:K,11,0),"")</f>
        <v>5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5</v>
      </c>
      <c r="L65">
        <f>IFERROR(VLOOKUP(A65,库龄!B:M,11,0),0)</f>
        <v>0</v>
      </c>
      <c r="M65">
        <f>IFERROR(VLOOKUP(A65,库龄!B:N,12,0),0)</f>
        <v>0</v>
      </c>
      <c r="N65">
        <f t="shared" si="2"/>
        <v>5</v>
      </c>
    </row>
    <row r="66" spans="1:14">
      <c r="A66" s="3" t="s">
        <v>278</v>
      </c>
      <c r="B66">
        <f>IFERROR(VLOOKUP(A66,管理亚马逊库存!A:K,11,0),"")</f>
        <v>3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2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2</v>
      </c>
    </row>
    <row r="67" spans="1:14">
      <c r="A67" s="3" t="s">
        <v>281</v>
      </c>
      <c r="B67">
        <f>IFERROR(VLOOKUP(A67,管理亚马逊库存!A:K,11,0),"")</f>
        <v>24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10</v>
      </c>
      <c r="K67">
        <f>IFERROR(VLOOKUP(A67,库龄!B:L,10,0),0)</f>
        <v>4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14</v>
      </c>
    </row>
    <row r="68" spans="1:14">
      <c r="A68" s="3" t="s">
        <v>285</v>
      </c>
      <c r="B68">
        <f>IFERROR(VLOOKUP(A68,管理亚马逊库存!A:K,11,0),"")</f>
        <v>5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5</v>
      </c>
      <c r="L68">
        <f>IFERROR(VLOOKUP(A68,库龄!B:M,11,0),0)</f>
        <v>0</v>
      </c>
      <c r="M68">
        <f>IFERROR(VLOOKUP(A68,库龄!B:N,12,0),0)</f>
        <v>0</v>
      </c>
      <c r="N68">
        <f t="shared" si="4"/>
        <v>5</v>
      </c>
    </row>
    <row r="69" spans="1:14">
      <c r="A69" s="3" t="s">
        <v>289</v>
      </c>
      <c r="B69">
        <f>IFERROR(VLOOKUP(A69,管理亚马逊库存!A:K,11,0),"")</f>
        <v>4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4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4</v>
      </c>
    </row>
    <row r="70" spans="1:14">
      <c r="A70" s="3" t="s">
        <v>292</v>
      </c>
      <c r="B70">
        <f>IFERROR(VLOOKUP(A70,管理亚马逊库存!A:K,11,0),"")</f>
        <v>4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4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4</v>
      </c>
    </row>
    <row r="71" spans="1:14">
      <c r="A71" s="3" t="s">
        <v>295</v>
      </c>
      <c r="B71">
        <f>IFERROR(VLOOKUP(A71,管理亚马逊库存!A:K,11,0),"")</f>
        <v>14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2</v>
      </c>
      <c r="K71">
        <f>IFERROR(VLOOKUP(A71,库龄!B:L,10,0),0)</f>
        <v>12</v>
      </c>
      <c r="L71">
        <f>IFERROR(VLOOKUP(A71,库龄!B:M,11,0),0)</f>
        <v>0</v>
      </c>
      <c r="M71">
        <f>IFERROR(VLOOKUP(A71,库龄!B:N,12,0),0)</f>
        <v>0</v>
      </c>
      <c r="N71">
        <f t="shared" si="4"/>
        <v>14</v>
      </c>
    </row>
    <row r="72" spans="1:14">
      <c r="A72" s="3" t="s">
        <v>299</v>
      </c>
      <c r="B72">
        <f>IFERROR(VLOOKUP(A72,管理亚马逊库存!A:K,11,0),"")</f>
        <v>9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10</v>
      </c>
      <c r="L72">
        <f>IFERROR(VLOOKUP(A72,库龄!B:M,11,0),0)</f>
        <v>0</v>
      </c>
      <c r="M72">
        <f>IFERROR(VLOOKUP(A72,库龄!B:N,12,0),0)</f>
        <v>0</v>
      </c>
      <c r="N72">
        <f t="shared" si="4"/>
        <v>10</v>
      </c>
    </row>
    <row r="73" spans="1:14">
      <c r="A73" s="3" t="s">
        <v>303</v>
      </c>
      <c r="B73">
        <f>IFERROR(VLOOKUP(A73,管理亚马逊库存!A:K,11,0),"")</f>
        <v>50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25</v>
      </c>
      <c r="K73">
        <f>IFERROR(VLOOKUP(A73,库龄!B:L,10,0),0)</f>
        <v>25</v>
      </c>
      <c r="L73">
        <f>IFERROR(VLOOKUP(A73,库龄!B:M,11,0),0)</f>
        <v>0</v>
      </c>
      <c r="M73">
        <f>IFERROR(VLOOKUP(A73,库龄!B:N,12,0),0)</f>
        <v>0</v>
      </c>
      <c r="N73">
        <f t="shared" si="4"/>
        <v>50</v>
      </c>
    </row>
    <row r="74" spans="1:14">
      <c r="A74" s="3" t="s">
        <v>309</v>
      </c>
      <c r="B74">
        <f>IFERROR(VLOOKUP(A74,管理亚马逊库存!A:K,11,0),"")</f>
        <v>13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13</v>
      </c>
      <c r="L74">
        <f>IFERROR(VLOOKUP(A74,库龄!B:M,11,0),0)</f>
        <v>0</v>
      </c>
      <c r="M74">
        <f>IFERROR(VLOOKUP(A74,库龄!B:N,12,0),0)</f>
        <v>0</v>
      </c>
      <c r="N74">
        <f t="shared" si="4"/>
        <v>13</v>
      </c>
    </row>
    <row r="75" spans="1:14">
      <c r="A75" s="3" t="s">
        <v>313</v>
      </c>
      <c r="B75">
        <f>IFERROR(VLOOKUP(A75,管理亚马逊库存!A:K,11,0),"")</f>
        <v>4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1</v>
      </c>
      <c r="K75">
        <f>IFERROR(VLOOKUP(A75,库龄!B:L,10,0),0)</f>
        <v>3</v>
      </c>
      <c r="L75">
        <f>IFERROR(VLOOKUP(A75,库龄!B:M,11,0),0)</f>
        <v>0</v>
      </c>
      <c r="M75">
        <f>IFERROR(VLOOKUP(A75,库龄!B:N,12,0),0)</f>
        <v>0</v>
      </c>
      <c r="N75">
        <f t="shared" si="4"/>
        <v>4</v>
      </c>
    </row>
    <row r="76" spans="1:14">
      <c r="A76" s="3" t="s">
        <v>316</v>
      </c>
      <c r="B76">
        <f>IFERROR(VLOOKUP(A76,管理亚马逊库存!A:K,11,0),"")</f>
        <v>3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3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3</v>
      </c>
    </row>
    <row r="77" spans="1:14">
      <c r="A77" s="3" t="s">
        <v>320</v>
      </c>
      <c r="B77">
        <f>IFERROR(VLOOKUP(A77,管理亚马逊库存!A:K,11,0),"")</f>
        <v>4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324</v>
      </c>
      <c r="B78">
        <f>IFERROR(VLOOKUP(A78,管理亚马逊库存!A:K,11,0),"")</f>
        <v>3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329</v>
      </c>
      <c r="B79">
        <f>IFERROR(VLOOKUP(A79,管理亚马逊库存!A:K,11,0),"")</f>
        <v>13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334</v>
      </c>
      <c r="B80">
        <f>IFERROR(VLOOKUP(A80,管理亚马逊库存!A:K,11,0),"")</f>
        <v>5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5</v>
      </c>
      <c r="L80">
        <f>IFERROR(VLOOKUP(A80,库龄!B:M,11,0),0)</f>
        <v>0</v>
      </c>
      <c r="M80">
        <f>IFERROR(VLOOKUP(A80,库龄!B:N,12,0),0)</f>
        <v>0</v>
      </c>
      <c r="N80">
        <f t="shared" si="4"/>
        <v>5</v>
      </c>
    </row>
    <row r="81" spans="1:14">
      <c r="A81" s="3" t="s">
        <v>339</v>
      </c>
      <c r="B81">
        <f>IFERROR(VLOOKUP(A81,管理亚马逊库存!A:K,11,0),"")</f>
        <v>9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9</v>
      </c>
      <c r="L81">
        <f>IFERROR(VLOOKUP(A81,库龄!B:M,11,0),0)</f>
        <v>0</v>
      </c>
      <c r="M81">
        <f>IFERROR(VLOOKUP(A81,库龄!B:N,12,0),0)</f>
        <v>0</v>
      </c>
      <c r="N81">
        <f t="shared" si="4"/>
        <v>9</v>
      </c>
    </row>
    <row r="82" spans="1:14">
      <c r="A82" s="3" t="s">
        <v>343</v>
      </c>
      <c r="B82">
        <f>IFERROR(VLOOKUP(A82,管理亚马逊库存!A:K,11,0),"")</f>
        <v>4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4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4</v>
      </c>
    </row>
    <row r="83" spans="1:14">
      <c r="A83" s="3" t="s">
        <v>346</v>
      </c>
      <c r="B83">
        <f>IFERROR(VLOOKUP(A83,管理亚马逊库存!A:K,11,0),"")</f>
        <v>8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8</v>
      </c>
      <c r="L83">
        <f>IFERROR(VLOOKUP(A83,库龄!B:M,11,0),0)</f>
        <v>0</v>
      </c>
      <c r="M83">
        <f>IFERROR(VLOOKUP(A83,库龄!B:N,12,0),0)</f>
        <v>0</v>
      </c>
      <c r="N83">
        <f t="shared" si="4"/>
        <v>8</v>
      </c>
    </row>
    <row r="84" spans="1:14">
      <c r="A84" s="3" t="s">
        <v>350</v>
      </c>
      <c r="B84">
        <f>IFERROR(VLOOKUP(A84,管理亚马逊库存!A:K,11,0),"")</f>
        <v>5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355</v>
      </c>
      <c r="B85">
        <f>IFERROR(VLOOKUP(A85,管理亚马逊库存!A:K,11,0),"")</f>
        <v>1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358</v>
      </c>
      <c r="B86">
        <f>IFERROR(VLOOKUP(A86,管理亚马逊库存!A:K,11,0),"")</f>
        <v>5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362</v>
      </c>
      <c r="B87">
        <f>IFERROR(VLOOKUP(A87,管理亚马逊库存!A:K,11,0),"")</f>
        <v>3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367</v>
      </c>
      <c r="B88">
        <f>IFERROR(VLOOKUP(A88,管理亚马逊库存!A:K,11,0),"")</f>
        <v>23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373</v>
      </c>
      <c r="B89">
        <f>IFERROR(VLOOKUP(A89,管理亚马逊库存!A:K,11,0),"")</f>
        <v>5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3</v>
      </c>
      <c r="L89">
        <f>IFERROR(VLOOKUP(A89,库龄!B:M,11,0),0)</f>
        <v>0</v>
      </c>
      <c r="M89">
        <f>IFERROR(VLOOKUP(A89,库龄!B:N,12,0),0)</f>
        <v>0</v>
      </c>
      <c r="N89">
        <f t="shared" si="4"/>
        <v>3</v>
      </c>
    </row>
    <row r="90" spans="1:14">
      <c r="A90" s="3" t="s">
        <v>376</v>
      </c>
      <c r="B90">
        <f>IFERROR(VLOOKUP(A90,管理亚马逊库存!A:K,11,0),"")</f>
        <v>8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380</v>
      </c>
      <c r="B91">
        <f>IFERROR(VLOOKUP(A91,管理亚马逊库存!A:K,11,0),"")</f>
        <v>4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3</v>
      </c>
      <c r="L91">
        <f>IFERROR(VLOOKUP(A91,库龄!B:M,11,0),0)</f>
        <v>0</v>
      </c>
      <c r="M91">
        <f>IFERROR(VLOOKUP(A91,库龄!B:N,12,0),0)</f>
        <v>0</v>
      </c>
      <c r="N91">
        <f t="shared" si="4"/>
        <v>3</v>
      </c>
    </row>
    <row r="92" spans="1:14">
      <c r="A92" s="3" t="s">
        <v>384</v>
      </c>
      <c r="B92">
        <f>IFERROR(VLOOKUP(A92,管理亚马逊库存!A:K,11,0),"")</f>
        <v>10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10</v>
      </c>
      <c r="L92">
        <f>IFERROR(VLOOKUP(A92,库龄!B:M,11,0),0)</f>
        <v>0</v>
      </c>
      <c r="M92">
        <f>IFERROR(VLOOKUP(A92,库龄!B:N,12,0),0)</f>
        <v>0</v>
      </c>
      <c r="N92">
        <f t="shared" si="4"/>
        <v>10</v>
      </c>
    </row>
    <row r="93" spans="1:14">
      <c r="A93" s="3" t="s">
        <v>388</v>
      </c>
      <c r="B93">
        <f>IFERROR(VLOOKUP(A93,管理亚马逊库存!A:K,11,0),"")</f>
        <v>4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4</v>
      </c>
      <c r="L93">
        <f>IFERROR(VLOOKUP(A93,库龄!B:M,11,0),0)</f>
        <v>0</v>
      </c>
      <c r="M93">
        <f>IFERROR(VLOOKUP(A93,库龄!B:N,12,0),0)</f>
        <v>0</v>
      </c>
      <c r="N93">
        <f t="shared" si="4"/>
        <v>4</v>
      </c>
    </row>
    <row r="94" spans="1:14">
      <c r="A94" s="3" t="s">
        <v>392</v>
      </c>
      <c r="B94">
        <f>IFERROR(VLOOKUP(A94,管理亚马逊库存!A:K,11,0),"")</f>
        <v>3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397</v>
      </c>
      <c r="B95">
        <f>IFERROR(VLOOKUP(A95,管理亚马逊库存!A:K,11,0),"")</f>
        <v>1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1</v>
      </c>
      <c r="L95">
        <f>IFERROR(VLOOKUP(A95,库龄!B:M,11,0),0)</f>
        <v>0</v>
      </c>
      <c r="M95">
        <f>IFERROR(VLOOKUP(A95,库龄!B:N,12,0),0)</f>
        <v>0</v>
      </c>
      <c r="N95">
        <f t="shared" si="4"/>
        <v>1</v>
      </c>
    </row>
    <row r="96" spans="1:14">
      <c r="A96" s="3" t="s">
        <v>401</v>
      </c>
      <c r="B96">
        <f>IFERROR(VLOOKUP(A96,管理亚马逊库存!A:K,11,0),"")</f>
        <v>4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4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4</v>
      </c>
    </row>
    <row r="97" spans="1:14">
      <c r="A97" s="3" t="s">
        <v>404</v>
      </c>
      <c r="B97">
        <f>IFERROR(VLOOKUP(A97,管理亚马逊库存!A:K,11,0),"")</f>
        <v>21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408</v>
      </c>
      <c r="B98">
        <f>IFERROR(VLOOKUP(A98,管理亚马逊库存!A:K,11,0),"")</f>
        <v>6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6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6</v>
      </c>
    </row>
    <row r="99" spans="1:14">
      <c r="A99" s="3" t="s">
        <v>411</v>
      </c>
      <c r="B99">
        <f>IFERROR(VLOOKUP(A99,管理亚马逊库存!A:K,11,0),"")</f>
        <v>4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4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4</v>
      </c>
    </row>
    <row r="100" spans="1:14">
      <c r="A100" s="3" t="s">
        <v>414</v>
      </c>
      <c r="B100">
        <f>IFERROR(VLOOKUP(A100,管理亚马逊库存!A:K,11,0),"")</f>
        <v>16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418</v>
      </c>
      <c r="B101">
        <f>IFERROR(VLOOKUP(A101,管理亚马逊库存!A:K,11,0),"")</f>
        <v>1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423</v>
      </c>
      <c r="B102">
        <f>IFERROR(VLOOKUP(A102,管理亚马逊库存!A:K,11,0),"")</f>
        <v>5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427</v>
      </c>
      <c r="B103">
        <f>IFERROR(VLOOKUP(A103,管理亚马逊库存!A:K,11,0),"")</f>
        <v>4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4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4</v>
      </c>
    </row>
    <row r="104" spans="1:14">
      <c r="A104" s="3" t="s">
        <v>430</v>
      </c>
      <c r="B104">
        <f>IFERROR(VLOOKUP(A104,管理亚马逊库存!A:K,11,0),"")</f>
        <v>2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434</v>
      </c>
      <c r="B105">
        <f>IFERROR(VLOOKUP(A105,管理亚马逊库存!A:K,11,0),"")</f>
        <v>5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439</v>
      </c>
      <c r="B106">
        <f>IFERROR(VLOOKUP(A106,管理亚马逊库存!A:K,11,0),"")</f>
        <v>3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445</v>
      </c>
      <c r="B107">
        <f>IFERROR(VLOOKUP(A107,管理亚马逊库存!A:K,11,0),"")</f>
        <v>5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450</v>
      </c>
      <c r="B108">
        <f>IFERROR(VLOOKUP(A108,管理亚马逊库存!A:K,11,0),"")</f>
        <v>5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5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5</v>
      </c>
    </row>
    <row r="109" spans="1:14">
      <c r="A109" s="3" t="s">
        <v>453</v>
      </c>
      <c r="B109">
        <f>IFERROR(VLOOKUP(A109,管理亚马逊库存!A:K,11,0),"")</f>
        <v>3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3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3</v>
      </c>
    </row>
    <row r="110" spans="1:14">
      <c r="A110" s="3" t="s">
        <v>457</v>
      </c>
      <c r="B110">
        <f>IFERROR(VLOOKUP(A110,管理亚马逊库存!A:K,11,0),"")</f>
        <v>2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2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2</v>
      </c>
    </row>
    <row r="111" spans="1:14">
      <c r="A111" s="3" t="s">
        <v>460</v>
      </c>
      <c r="B111">
        <f>IFERROR(VLOOKUP(A111,管理亚马逊库存!A:K,11,0),"")</f>
        <v>20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465</v>
      </c>
      <c r="B112">
        <f>IFERROR(VLOOKUP(A112,管理亚马逊库存!A:K,11,0),"")</f>
        <v>24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11</v>
      </c>
      <c r="K112">
        <f>IFERROR(VLOOKUP(A112,库龄!B:L,10,0),0)</f>
        <v>3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14</v>
      </c>
    </row>
    <row r="113" spans="1:14">
      <c r="A113" s="3" t="s">
        <v>468</v>
      </c>
      <c r="B113">
        <f>IFERROR(VLOOKUP(A113,管理亚马逊库存!A:K,11,0),"")</f>
        <v>6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5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5</v>
      </c>
    </row>
    <row r="114" spans="1:14">
      <c r="A114" s="3" t="s">
        <v>472</v>
      </c>
      <c r="B114">
        <f>IFERROR(VLOOKUP(A114,管理亚马逊库存!A:K,11,0),"")</f>
        <v>1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1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1</v>
      </c>
    </row>
    <row r="115" spans="1:14">
      <c r="A115" s="3" t="s">
        <v>476</v>
      </c>
      <c r="B115">
        <f>IFERROR(VLOOKUP(A115,管理亚马逊库存!A:K,11,0),"")</f>
        <v>3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3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3</v>
      </c>
    </row>
    <row r="116" spans="1:14">
      <c r="A116" s="3" t="s">
        <v>480</v>
      </c>
      <c r="B116">
        <f>IFERROR(VLOOKUP(A116,管理亚马逊库存!A:K,11,0),"")</f>
        <v>3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3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3</v>
      </c>
    </row>
    <row r="117" spans="1:14">
      <c r="A117" s="3" t="s">
        <v>483</v>
      </c>
      <c r="B117">
        <f>IFERROR(VLOOKUP(A117,管理亚马逊库存!A:K,11,0),"")</f>
        <v>4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4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4</v>
      </c>
    </row>
    <row r="118" spans="1:14">
      <c r="A118" s="3" t="s">
        <v>488</v>
      </c>
      <c r="B118">
        <f>IFERROR(VLOOKUP(A118,管理亚马逊库存!A:K,11,0),"")</f>
        <v>7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493</v>
      </c>
      <c r="B119">
        <f>IFERROR(VLOOKUP(A119,管理亚马逊库存!A:K,11,0),"")</f>
        <v>2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2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2</v>
      </c>
    </row>
    <row r="120" spans="1:14">
      <c r="A120" s="3" t="s">
        <v>496</v>
      </c>
      <c r="B120">
        <f>IFERROR(VLOOKUP(A120,管理亚马逊库存!A:K,11,0),"")</f>
        <v>3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3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3</v>
      </c>
    </row>
    <row r="121" spans="1:14">
      <c r="A121" s="3" t="s">
        <v>499</v>
      </c>
      <c r="B121">
        <f>IFERROR(VLOOKUP(A121,管理亚马逊库存!A:K,11,0),"")</f>
        <v>10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502</v>
      </c>
      <c r="B122">
        <f>IFERROR(VLOOKUP(A122,管理亚马逊库存!A:K,11,0),"")</f>
        <v>10</v>
      </c>
      <c r="C122">
        <f>IFERROR(VLOOKUP(A122,管理亚马逊库存!A:L,12,0),"")</f>
        <v>1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10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10</v>
      </c>
    </row>
    <row r="123" spans="1:14">
      <c r="A123" s="3" t="s">
        <v>506</v>
      </c>
      <c r="B123">
        <f>IFERROR(VLOOKUP(A123,管理亚马逊库存!A:K,11,0),"")</f>
        <v>3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511</v>
      </c>
      <c r="B124">
        <f>IFERROR(VLOOKUP(A124,管理亚马逊库存!A:K,11,0),"")</f>
        <v>1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516</v>
      </c>
      <c r="B125">
        <f>IFERROR(VLOOKUP(A125,管理亚马逊库存!A:K,11,0),"")</f>
        <v>4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4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4</v>
      </c>
    </row>
    <row r="126" spans="1:14">
      <c r="A126" s="3" t="s">
        <v>519</v>
      </c>
      <c r="B126">
        <f>IFERROR(VLOOKUP(A126,管理亚马逊库存!A:K,11,0),"")</f>
        <v>3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524</v>
      </c>
      <c r="B127">
        <f>IFERROR(VLOOKUP(A127,管理亚马逊库存!A:K,11,0),"")</f>
        <v>12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530</v>
      </c>
      <c r="B128">
        <f>IFERROR(VLOOKUP(A128,管理亚马逊库存!A:K,11,0),"")</f>
        <v>4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4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4</v>
      </c>
    </row>
    <row r="129" spans="1:14">
      <c r="A129" s="3" t="s">
        <v>533</v>
      </c>
      <c r="B129">
        <f>IFERROR(VLOOKUP(A129,管理亚马逊库存!A:K,11,0),"")</f>
        <v>3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3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3</v>
      </c>
    </row>
    <row r="130" spans="1:14">
      <c r="A130" s="3" t="s">
        <v>536</v>
      </c>
      <c r="B130">
        <f>IFERROR(VLOOKUP(A130,管理亚马逊库存!A:K,11,0),"")</f>
        <v>1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1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1</v>
      </c>
    </row>
    <row r="131" spans="1:14">
      <c r="A131" s="3" t="s">
        <v>540</v>
      </c>
      <c r="B131">
        <f>IFERROR(VLOOKUP(A131,管理亚马逊库存!A:K,11,0),"")</f>
        <v>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2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2</v>
      </c>
    </row>
    <row r="132" spans="1:14">
      <c r="A132" s="3" t="s">
        <v>544</v>
      </c>
      <c r="B132">
        <f>IFERROR(VLOOKUP(A132,管理亚马逊库存!A:K,11,0),"")</f>
        <v>3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3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3</v>
      </c>
    </row>
    <row r="133" spans="1:14">
      <c r="A133" s="3" t="s">
        <v>547</v>
      </c>
      <c r="B133">
        <f>IFERROR(VLOOKUP(A133,管理亚马逊库存!A:K,11,0),"")</f>
        <v>1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1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1</v>
      </c>
    </row>
    <row r="134" spans="1:14">
      <c r="A134" s="3" t="s">
        <v>550</v>
      </c>
      <c r="B134">
        <f>IFERROR(VLOOKUP(A134,管理亚马逊库存!A:K,11,0),"")</f>
        <v>15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556</v>
      </c>
      <c r="B135">
        <f>IFERROR(VLOOKUP(A135,管理亚马逊库存!A:K,11,0),"")</f>
        <v>4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560</v>
      </c>
      <c r="B136">
        <f>IFERROR(VLOOKUP(A136,管理亚马逊库存!A:K,11,0),"")</f>
        <v>4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4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4</v>
      </c>
    </row>
    <row r="137" spans="1:14">
      <c r="A137" s="3" t="s">
        <v>564</v>
      </c>
      <c r="B137">
        <f>IFERROR(VLOOKUP(A137,管理亚马逊库存!A:K,11,0),"")</f>
        <v>22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21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21</v>
      </c>
    </row>
    <row r="138" spans="1:14">
      <c r="A138" s="3" t="s">
        <v>568</v>
      </c>
      <c r="B138">
        <f>IFERROR(VLOOKUP(A138,管理亚马逊库存!A:K,11,0),"")</f>
        <v>5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573</v>
      </c>
      <c r="B139">
        <f>IFERROR(VLOOKUP(A139,管理亚马逊库存!A:K,11,0),"")</f>
        <v>5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5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5</v>
      </c>
    </row>
    <row r="140" spans="1:14">
      <c r="A140" s="3" t="s">
        <v>576</v>
      </c>
      <c r="B140">
        <f>IFERROR(VLOOKUP(A140,管理亚马逊库存!A:K,11,0),"")</f>
        <v>15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581</v>
      </c>
      <c r="B141">
        <f>IFERROR(VLOOKUP(A141,管理亚马逊库存!A:K,11,0),"")</f>
        <v>22</v>
      </c>
      <c r="C141">
        <f>IFERROR(VLOOKUP(A141,管理亚马逊库存!A:L,12,0),"")</f>
        <v>1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22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22</v>
      </c>
    </row>
    <row r="142" spans="1:14">
      <c r="A142" s="3" t="s">
        <v>585</v>
      </c>
      <c r="B142">
        <f>IFERROR(VLOOKUP(A142,管理亚马逊库存!A:K,11,0),"")</f>
        <v>5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5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5</v>
      </c>
    </row>
    <row r="143" spans="1:14">
      <c r="A143" s="3" t="s">
        <v>588</v>
      </c>
      <c r="B143">
        <f>IFERROR(VLOOKUP(A143,管理亚马逊库存!A:K,11,0),"")</f>
        <v>7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2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2</v>
      </c>
    </row>
    <row r="144" spans="1:14">
      <c r="A144" s="3" t="s">
        <v>592</v>
      </c>
      <c r="B144">
        <f>IFERROR(VLOOKUP(A144,管理亚马逊库存!A:K,11,0),"")</f>
        <v>5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5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5</v>
      </c>
    </row>
    <row r="145" spans="1:14">
      <c r="A145" s="3" t="s">
        <v>595</v>
      </c>
      <c r="B145">
        <f>IFERROR(VLOOKUP(A145,管理亚马逊库存!A:K,11,0),"")</f>
        <v>45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45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45</v>
      </c>
    </row>
    <row r="146" spans="1:14">
      <c r="A146" s="3" t="s">
        <v>599</v>
      </c>
      <c r="B146">
        <f>IFERROR(VLOOKUP(A146,管理亚马逊库存!A:K,11,0),"")</f>
        <v>25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603</v>
      </c>
      <c r="B147">
        <f>IFERROR(VLOOKUP(A147,管理亚马逊库存!A:K,11,0),"")</f>
        <v>3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607</v>
      </c>
      <c r="B148">
        <f>IFERROR(VLOOKUP(A148,管理亚马逊库存!A:K,11,0),"")</f>
        <v>3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3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3</v>
      </c>
    </row>
    <row r="149" spans="1:14">
      <c r="A149" s="3" t="s">
        <v>610</v>
      </c>
      <c r="B149">
        <f>IFERROR(VLOOKUP(A149,管理亚马逊库存!A:K,11,0),"")</f>
        <v>11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614</v>
      </c>
      <c r="B150">
        <f>IFERROR(VLOOKUP(A150,管理亚马逊库存!A:K,11,0),"")</f>
        <v>42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42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42</v>
      </c>
    </row>
    <row r="151" spans="1:14">
      <c r="A151" s="3" t="s">
        <v>618</v>
      </c>
      <c r="B151">
        <f>IFERROR(VLOOKUP(A151,管理亚马逊库存!A:K,11,0),"")</f>
        <v>5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5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5</v>
      </c>
    </row>
    <row r="152" spans="1:14">
      <c r="A152" s="3" t="s">
        <v>622</v>
      </c>
      <c r="B152">
        <f>IFERROR(VLOOKUP(A152,管理亚马逊库存!A:K,11,0),"")</f>
        <v>16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630</v>
      </c>
      <c r="B153">
        <f>IFERROR(VLOOKUP(A153,管理亚马逊库存!A:K,11,0),"")</f>
        <v>4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4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4</v>
      </c>
    </row>
    <row r="154" spans="1:14">
      <c r="A154" s="3" t="s">
        <v>633</v>
      </c>
      <c r="B154">
        <f>IFERROR(VLOOKUP(A154,管理亚马逊库存!A:K,11,0),"")</f>
        <v>38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636</v>
      </c>
      <c r="B155">
        <f>IFERROR(VLOOKUP(A155,管理亚马逊库存!A:K,11,0),"")</f>
        <v>4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4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4</v>
      </c>
    </row>
    <row r="156" spans="1:14">
      <c r="A156" s="3" t="s">
        <v>640</v>
      </c>
      <c r="B156">
        <f>IFERROR(VLOOKUP(A156,管理亚马逊库存!A:K,11,0),"")</f>
        <v>233</v>
      </c>
      <c r="C156">
        <f>IFERROR(VLOOKUP(A156,管理亚马逊库存!A:L,12,0),"")</f>
        <v>1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11</v>
      </c>
      <c r="K156">
        <f>IFERROR(VLOOKUP(A156,库龄!B:L,10,0),0)</f>
        <v>219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230</v>
      </c>
    </row>
    <row r="157" spans="1:14">
      <c r="A157" s="3" t="s">
        <v>645</v>
      </c>
      <c r="B157">
        <f>IFERROR(VLOOKUP(A157,管理亚马逊库存!A:K,11,0),"")</f>
        <v>3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3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3</v>
      </c>
    </row>
    <row r="158" spans="1:14">
      <c r="A158" s="3" t="s">
        <v>648</v>
      </c>
      <c r="B158">
        <f>IFERROR(VLOOKUP(A158,管理亚马逊库存!A:K,11,0),"")</f>
        <v>13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1</v>
      </c>
      <c r="K158">
        <f>IFERROR(VLOOKUP(A158,库龄!B:L,10,0),0)</f>
        <v>12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13</v>
      </c>
    </row>
    <row r="159" spans="1:14">
      <c r="A159" s="3" t="s">
        <v>652</v>
      </c>
      <c r="B159">
        <f>IFERROR(VLOOKUP(A159,管理亚马逊库存!A:K,11,0),"")</f>
        <v>3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1</v>
      </c>
      <c r="K159">
        <f>IFERROR(VLOOKUP(A159,库龄!B:L,10,0),0)</f>
        <v>2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3</v>
      </c>
    </row>
    <row r="160" spans="1:14">
      <c r="A160" s="3" t="s">
        <v>656</v>
      </c>
      <c r="B160">
        <f>IFERROR(VLOOKUP(A160,管理亚马逊库存!A:K,11,0),"")</f>
        <v>3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3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3</v>
      </c>
    </row>
    <row r="161" spans="1:14">
      <c r="A161" s="3" t="s">
        <v>659</v>
      </c>
      <c r="B161">
        <f>IFERROR(VLOOKUP(A161,管理亚马逊库存!A:K,11,0),"")</f>
        <v>19</v>
      </c>
      <c r="C161">
        <f>IFERROR(VLOOKUP(A161,管理亚马逊库存!A:L,12,0),"")</f>
        <v>1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663</v>
      </c>
      <c r="B162">
        <f>IFERROR(VLOOKUP(A162,管理亚马逊库存!A:K,11,0),"")</f>
        <v>1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1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1</v>
      </c>
    </row>
    <row r="163" spans="1:14">
      <c r="A163" s="3" t="s">
        <v>666</v>
      </c>
      <c r="B163">
        <f>IFERROR(VLOOKUP(A163,管理亚马逊库存!A:K,11,0),"")</f>
        <v>15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671</v>
      </c>
      <c r="B164">
        <f>IFERROR(VLOOKUP(A164,管理亚马逊库存!A:K,11,0),"")</f>
        <v>3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1</v>
      </c>
      <c r="F164">
        <f t="shared" si="5"/>
        <v>1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675</v>
      </c>
      <c r="B165">
        <f>IFERROR(VLOOKUP(A165,管理亚马逊库存!A:K,11,0),"")</f>
        <v>3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679</v>
      </c>
      <c r="B166">
        <f>IFERROR(VLOOKUP(A166,管理亚马逊库存!A:K,11,0),"")</f>
        <v>3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686</v>
      </c>
      <c r="B167">
        <f>IFERROR(VLOOKUP(A167,管理亚马逊库存!A:K,11,0),"")</f>
        <v>3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3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3</v>
      </c>
    </row>
    <row r="168" spans="1:14">
      <c r="A168" s="3" t="s">
        <v>689</v>
      </c>
      <c r="B168">
        <f>IFERROR(VLOOKUP(A168,管理亚马逊库存!A:K,11,0),"")</f>
        <v>5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694</v>
      </c>
      <c r="B169">
        <f>IFERROR(VLOOKUP(A169,管理亚马逊库存!A:K,11,0),"")</f>
        <v>4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699</v>
      </c>
      <c r="B170">
        <f>IFERROR(VLOOKUP(A170,管理亚马逊库存!A:K,11,0),"")</f>
        <v>4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4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4</v>
      </c>
    </row>
    <row r="171" spans="1:14">
      <c r="A171" s="3" t="s">
        <v>702</v>
      </c>
      <c r="B171">
        <f>IFERROR(VLOOKUP(A171,管理亚马逊库存!A:K,11,0),"")</f>
        <v>4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705</v>
      </c>
      <c r="B172">
        <f>IFERROR(VLOOKUP(A172,管理亚马逊库存!A:K,11,0),"")</f>
        <v>20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710</v>
      </c>
      <c r="B173">
        <f>IFERROR(VLOOKUP(A173,管理亚马逊库存!A:K,11,0),"")</f>
        <v>4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4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4</v>
      </c>
    </row>
    <row r="174" spans="1:14">
      <c r="A174" s="3" t="s">
        <v>715</v>
      </c>
      <c r="B174">
        <f>IFERROR(VLOOKUP(A174,管理亚马逊库存!A:K,11,0),"")</f>
        <v>4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4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4</v>
      </c>
    </row>
    <row r="175" spans="1:14">
      <c r="A175" s="3" t="s">
        <v>718</v>
      </c>
      <c r="B175">
        <f>IFERROR(VLOOKUP(A175,管理亚马逊库存!A:K,11,0),"")</f>
        <v>25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722</v>
      </c>
      <c r="B176">
        <f>IFERROR(VLOOKUP(A176,管理亚马逊库存!A:K,11,0),"")</f>
        <v>24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726</v>
      </c>
      <c r="B177">
        <f>IFERROR(VLOOKUP(A177,管理亚马逊库存!A:K,11,0),"")</f>
        <v>6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6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6</v>
      </c>
    </row>
    <row r="178" spans="1:14">
      <c r="A178" s="3" t="s">
        <v>730</v>
      </c>
      <c r="B178">
        <f>IFERROR(VLOOKUP(A178,管理亚马逊库存!A:K,11,0),"")</f>
        <v>3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3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3</v>
      </c>
    </row>
    <row r="179" spans="1:14">
      <c r="A179" s="3" t="s">
        <v>733</v>
      </c>
      <c r="B179">
        <f>IFERROR(VLOOKUP(A179,管理亚马逊库存!A:K,11,0),"")</f>
        <v>6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737</v>
      </c>
      <c r="B180">
        <f>IFERROR(VLOOKUP(A180,管理亚马逊库存!A:K,11,0),"")</f>
        <v>2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2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2</v>
      </c>
    </row>
    <row r="181" spans="1:14">
      <c r="A181" s="3" t="s">
        <v>740</v>
      </c>
      <c r="B181">
        <f>IFERROR(VLOOKUP(A181,管理亚马逊库存!A:K,11,0),"")</f>
        <v>4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4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4</v>
      </c>
    </row>
    <row r="182" spans="1:14">
      <c r="A182" s="3" t="s">
        <v>743</v>
      </c>
      <c r="B182">
        <f>IFERROR(VLOOKUP(A182,管理亚马逊库存!A:K,11,0),"")</f>
        <v>4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748</v>
      </c>
      <c r="B183">
        <f>IFERROR(VLOOKUP(A183,管理亚马逊库存!A:K,11,0),"")</f>
        <v>3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753</v>
      </c>
      <c r="B184">
        <f>IFERROR(VLOOKUP(A184,管理亚马逊库存!A:K,11,0),"")</f>
        <v>11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757</v>
      </c>
      <c r="B185">
        <f>IFERROR(VLOOKUP(A185,管理亚马逊库存!A:K,11,0),"")</f>
        <v>22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22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22</v>
      </c>
    </row>
    <row r="186" spans="1:14">
      <c r="A186" s="3" t="s">
        <v>761</v>
      </c>
      <c r="B186">
        <f>IFERROR(VLOOKUP(A186,管理亚马逊库存!A:K,11,0),"")</f>
        <v>13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766</v>
      </c>
      <c r="B187">
        <f>IFERROR(VLOOKUP(A187,管理亚马逊库存!A:K,11,0),"")</f>
        <v>3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771</v>
      </c>
      <c r="B188">
        <f>IFERROR(VLOOKUP(A188,管理亚马逊库存!A:K,11,0),"")</f>
        <v>4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1</v>
      </c>
      <c r="K188">
        <f>IFERROR(VLOOKUP(A188,库龄!B:L,10,0),0)</f>
        <v>1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2</v>
      </c>
    </row>
    <row r="189" spans="1:14">
      <c r="A189" s="3" t="s">
        <v>775</v>
      </c>
      <c r="B189">
        <f>IFERROR(VLOOKUP(A189,管理亚马逊库存!A:K,11,0),"")</f>
        <v>5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780</v>
      </c>
      <c r="B190">
        <f>IFERROR(VLOOKUP(A190,管理亚马逊库存!A:K,11,0),"")</f>
        <v>3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1</v>
      </c>
      <c r="K190">
        <f>IFERROR(VLOOKUP(A190,库龄!B:L,10,0),0)</f>
        <v>2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3</v>
      </c>
    </row>
    <row r="191" spans="1:14">
      <c r="A191" s="3" t="s">
        <v>783</v>
      </c>
      <c r="B191">
        <f>IFERROR(VLOOKUP(A191,管理亚马逊库存!A:K,11,0),"")</f>
        <v>4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4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4</v>
      </c>
    </row>
    <row r="192" spans="1:14">
      <c r="A192" s="3" t="s">
        <v>786</v>
      </c>
      <c r="B192">
        <f>IFERROR(VLOOKUP(A192,管理亚马逊库存!A:K,11,0),"")</f>
        <v>51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20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20</v>
      </c>
    </row>
    <row r="193" spans="1:14">
      <c r="A193" s="3" t="s">
        <v>789</v>
      </c>
      <c r="B193">
        <f>IFERROR(VLOOKUP(A193,管理亚马逊库存!A:K,11,0),"")</f>
        <v>8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792</v>
      </c>
      <c r="B194">
        <f>IFERROR(VLOOKUP(A194,管理亚马逊库存!A:K,11,0),"")</f>
        <v>5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5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5</v>
      </c>
    </row>
    <row r="195" spans="1:14">
      <c r="A195" s="3" t="s">
        <v>795</v>
      </c>
      <c r="B195">
        <f>IFERROR(VLOOKUP(A195,管理亚马逊库存!A:K,11,0),"")</f>
        <v>2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798</v>
      </c>
      <c r="B196">
        <f>IFERROR(VLOOKUP(A196,管理亚马逊库存!A:K,11,0),"")</f>
        <v>4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4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4</v>
      </c>
    </row>
    <row r="197" spans="1:14">
      <c r="A197" s="3" t="s">
        <v>801</v>
      </c>
      <c r="B197">
        <f>IFERROR(VLOOKUP(A197,管理亚马逊库存!A:K,11,0),"")</f>
        <v>9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804</v>
      </c>
      <c r="B198">
        <f>IFERROR(VLOOKUP(A198,管理亚马逊库存!A:K,11,0),"")</f>
        <v>4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4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4</v>
      </c>
    </row>
    <row r="199" spans="1:14">
      <c r="A199" s="3" t="s">
        <v>808</v>
      </c>
      <c r="B199">
        <f>IFERROR(VLOOKUP(A199,管理亚马逊库存!A:K,11,0),"")</f>
        <v>3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812</v>
      </c>
      <c r="B200">
        <f>IFERROR(VLOOKUP(A200,管理亚马逊库存!A:K,11,0),"")</f>
        <v>15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15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15</v>
      </c>
    </row>
    <row r="201" spans="1:14">
      <c r="A201" s="3" t="s">
        <v>816</v>
      </c>
      <c r="B201">
        <f>IFERROR(VLOOKUP(A201,管理亚马逊库存!A:K,11,0),"")</f>
        <v>5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1</v>
      </c>
      <c r="K201">
        <f>IFERROR(VLOOKUP(A201,库龄!B:L,10,0),0)</f>
        <v>4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5</v>
      </c>
    </row>
    <row r="202" spans="1:14">
      <c r="A202" s="3" t="s">
        <v>819</v>
      </c>
      <c r="B202">
        <f>IFERROR(VLOOKUP(A202,管理亚马逊库存!A:K,11,0),"")</f>
        <v>5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5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5</v>
      </c>
    </row>
    <row r="203" spans="1:14">
      <c r="A203" s="3" t="s">
        <v>824</v>
      </c>
      <c r="B203">
        <f>IFERROR(VLOOKUP(A203,管理亚马逊库存!A:K,11,0),"")</f>
        <v>3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3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3</v>
      </c>
    </row>
    <row r="204" spans="1:14">
      <c r="A204" s="3" t="s">
        <v>827</v>
      </c>
      <c r="B204">
        <f>IFERROR(VLOOKUP(A204,管理亚马逊库存!A:K,11,0),"")</f>
        <v>14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846</v>
      </c>
      <c r="B205">
        <f>IFERROR(VLOOKUP(A205,管理亚马逊库存!A:K,11,0),"")</f>
        <v>0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849</v>
      </c>
      <c r="B206">
        <f>IFERROR(VLOOKUP(A206,管理亚马逊库存!A:K,11,0),"")</f>
        <v>0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852</v>
      </c>
      <c r="B207">
        <f>IFERROR(VLOOKUP(A207,管理亚马逊库存!A:K,11,0),"")</f>
        <v>0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855</v>
      </c>
      <c r="B208">
        <f>IFERROR(VLOOKUP(A208,管理亚马逊库存!A:K,11,0),"")</f>
        <v>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858</v>
      </c>
      <c r="B209">
        <f>IFERROR(VLOOKUP(A209,管理亚马逊库存!A:K,11,0),"")</f>
        <v>0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861</v>
      </c>
      <c r="B210">
        <f>IFERROR(VLOOKUP(A210,管理亚马逊库存!A:K,11,0),"")</f>
        <v>0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865</v>
      </c>
      <c r="B211">
        <f>IFERROR(VLOOKUP(A211,管理亚马逊库存!A:K,11,0),"")</f>
        <v>0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868</v>
      </c>
      <c r="B212">
        <f>IFERROR(VLOOKUP(A212,管理亚马逊库存!A:K,11,0),"")</f>
        <v>0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871</v>
      </c>
      <c r="B213">
        <f>IFERROR(VLOOKUP(A213,管理亚马逊库存!A:K,11,0),"")</f>
        <v>0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874</v>
      </c>
      <c r="B214">
        <f>IFERROR(VLOOKUP(A214,管理亚马逊库存!A:K,11,0),"")</f>
        <v>0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877</v>
      </c>
      <c r="B215">
        <f>IFERROR(VLOOKUP(A215,管理亚马逊库存!A:K,11,0),"")</f>
        <v>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880</v>
      </c>
      <c r="B216">
        <f>IFERROR(VLOOKUP(A216,管理亚马逊库存!A:K,11,0),"")</f>
        <v>0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882</v>
      </c>
      <c r="B217">
        <f>IFERROR(VLOOKUP(A217,管理亚马逊库存!A:K,11,0),"")</f>
        <v>0</v>
      </c>
      <c r="C217">
        <f>IFERROR(VLOOKUP(A217,管理亚马逊库存!A:L,12,0),"")</f>
        <v>1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884</v>
      </c>
      <c r="B218">
        <f>IFERROR(VLOOKUP(A218,管理亚马逊库存!A:K,11,0),"")</f>
        <v>0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886</v>
      </c>
      <c r="B219">
        <f>IFERROR(VLOOKUP(A219,管理亚马逊库存!A:K,11,0),"")</f>
        <v>0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887</v>
      </c>
      <c r="B220">
        <f>IFERROR(VLOOKUP(A220,管理亚马逊库存!A:K,11,0),"")</f>
        <v>0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888</v>
      </c>
      <c r="B221">
        <f>IFERROR(VLOOKUP(A221,管理亚马逊库存!A:K,11,0),"")</f>
        <v>0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890</v>
      </c>
      <c r="B222">
        <f>IFERROR(VLOOKUP(A222,管理亚马逊库存!A:K,11,0),"")</f>
        <v>0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892</v>
      </c>
      <c r="B223">
        <f>IFERROR(VLOOKUP(A223,管理亚马逊库存!A:K,11,0),"")</f>
        <v>0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894</v>
      </c>
      <c r="B224">
        <f>IFERROR(VLOOKUP(A224,管理亚马逊库存!A:K,11,0),"")</f>
        <v>0</v>
      </c>
      <c r="C224">
        <f>IFERROR(VLOOKUP(A224,管理亚马逊库存!A:L,12,0),"")</f>
        <v>1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896</v>
      </c>
      <c r="B225">
        <f>IFERROR(VLOOKUP(A225,管理亚马逊库存!A:K,11,0),"")</f>
        <v>0</v>
      </c>
      <c r="C225">
        <f>IFERROR(VLOOKUP(A225,管理亚马逊库存!A:L,12,0),"")</f>
        <v>1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898</v>
      </c>
      <c r="B226">
        <f>IFERROR(VLOOKUP(A226,管理亚马逊库存!A:K,11,0),"")</f>
        <v>0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901</v>
      </c>
      <c r="B227">
        <f>IFERROR(VLOOKUP(A227,管理亚马逊库存!A:K,11,0),"")</f>
        <v>0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904</v>
      </c>
      <c r="B228">
        <f>IFERROR(VLOOKUP(A228,管理亚马逊库存!A:K,11,0),"")</f>
        <v>0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907</v>
      </c>
      <c r="B229">
        <f>IFERROR(VLOOKUP(A229,管理亚马逊库存!A:K,11,0),"")</f>
        <v>0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910</v>
      </c>
      <c r="B230">
        <f>IFERROR(VLOOKUP(A230,管理亚马逊库存!A:K,11,0),"")</f>
        <v>0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914</v>
      </c>
      <c r="B231">
        <f>IFERROR(VLOOKUP(A231,管理亚马逊库存!A:K,11,0),"")</f>
        <v>0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918</v>
      </c>
      <c r="B232">
        <f>IFERROR(VLOOKUP(A232,管理亚马逊库存!A:K,11,0),"")</f>
        <v>0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922</v>
      </c>
      <c r="B233">
        <f>IFERROR(VLOOKUP(A233,管理亚马逊库存!A:K,11,0),"")</f>
        <v>0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926</v>
      </c>
      <c r="B234">
        <f>IFERROR(VLOOKUP(A234,管理亚马逊库存!A:K,11,0),"")</f>
        <v>0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930</v>
      </c>
      <c r="B235">
        <f>IFERROR(VLOOKUP(A235,管理亚马逊库存!A:K,11,0),"")</f>
        <v>0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934</v>
      </c>
      <c r="B236">
        <f>IFERROR(VLOOKUP(A236,管理亚马逊库存!A:K,11,0),"")</f>
        <v>0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937</v>
      </c>
      <c r="B237">
        <f>IFERROR(VLOOKUP(A237,管理亚马逊库存!A:K,11,0),"")</f>
        <v>0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940</v>
      </c>
      <c r="B238">
        <f>IFERROR(VLOOKUP(A238,管理亚马逊库存!A:K,11,0),"")</f>
        <v>0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943</v>
      </c>
      <c r="B239">
        <f>IFERROR(VLOOKUP(A239,管理亚马逊库存!A:K,11,0),"")</f>
        <v>0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946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949</v>
      </c>
      <c r="B241">
        <f>IFERROR(VLOOKUP(A241,管理亚马逊库存!A:K,11,0),"")</f>
        <v>0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952</v>
      </c>
      <c r="B242">
        <f>IFERROR(VLOOKUP(A242,管理亚马逊库存!A:K,11,0),"")</f>
        <v>0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955</v>
      </c>
      <c r="B243">
        <f>IFERROR(VLOOKUP(A243,管理亚马逊库存!A:K,11,0),"")</f>
        <v>0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958</v>
      </c>
      <c r="B244">
        <f>IFERROR(VLOOKUP(A244,管理亚马逊库存!A:K,11,0),"")</f>
        <v>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961</v>
      </c>
      <c r="B245">
        <f>IFERROR(VLOOKUP(A245,管理亚马逊库存!A:K,11,0),"")</f>
        <v>0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0</v>
      </c>
    </row>
    <row r="246" spans="1:14">
      <c r="A246" s="3" t="s">
        <v>964</v>
      </c>
      <c r="B246">
        <f>IFERROR(VLOOKUP(A246,管理亚马逊库存!A:K,11,0),"")</f>
        <v>0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967</v>
      </c>
      <c r="B247">
        <f>IFERROR(VLOOKUP(A247,管理亚马逊库存!A:K,11,0),"")</f>
        <v>0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970</v>
      </c>
      <c r="B248">
        <f>IFERROR(VLOOKUP(A248,管理亚马逊库存!A:K,11,0),"")</f>
        <v>0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973</v>
      </c>
      <c r="B249">
        <f>IFERROR(VLOOKUP(A249,管理亚马逊库存!A:K,11,0),"")</f>
        <v>0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976</v>
      </c>
      <c r="B250">
        <f>IFERROR(VLOOKUP(A250,管理亚马逊库存!A:K,11,0),"")</f>
        <v>0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983</v>
      </c>
      <c r="B251">
        <f>IFERROR(VLOOKUP(A251,管理亚马逊库存!A:K,11,0),"")</f>
        <v>0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990</v>
      </c>
      <c r="B252">
        <f>IFERROR(VLOOKUP(A252,管理亚马逊库存!A:K,11,0),"")</f>
        <v>0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994</v>
      </c>
      <c r="B253">
        <f>IFERROR(VLOOKUP(A253,管理亚马逊库存!A:K,11,0),"")</f>
        <v>0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996</v>
      </c>
      <c r="B254">
        <f>IFERROR(VLOOKUP(A254,管理亚马逊库存!A:K,11,0),"")</f>
        <v>0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998</v>
      </c>
      <c r="B255">
        <f>IFERROR(VLOOKUP(A255,管理亚马逊库存!A:K,11,0),"")</f>
        <v>0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1002</v>
      </c>
      <c r="B256">
        <f>IFERROR(VLOOKUP(A256,管理亚马逊库存!A:K,11,0),"")</f>
        <v>0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1005</v>
      </c>
      <c r="B257">
        <f>IFERROR(VLOOKUP(A257,管理亚马逊库存!A:K,11,0),"")</f>
        <v>0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1008</v>
      </c>
      <c r="B258">
        <f>IFERROR(VLOOKUP(A258,管理亚马逊库存!A:K,11,0),"")</f>
        <v>0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1010</v>
      </c>
      <c r="B259">
        <f>IFERROR(VLOOKUP(A259,管理亚马逊库存!A:K,11,0),"")</f>
        <v>0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273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273" si="10">SUM(J259:M259)</f>
        <v>0</v>
      </c>
    </row>
    <row r="260" spans="1:14">
      <c r="A260" s="3" t="s">
        <v>1012</v>
      </c>
      <c r="B260">
        <f>IFERROR(VLOOKUP(A260,管理亚马逊库存!A:K,11,0),"")</f>
        <v>0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1014</v>
      </c>
      <c r="B261">
        <f>IFERROR(VLOOKUP(A261,管理亚马逊库存!A:K,11,0),"")</f>
        <v>0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1016</v>
      </c>
      <c r="B262">
        <f>IFERROR(VLOOKUP(A262,管理亚马逊库存!A:K,11,0),"")</f>
        <v>0</v>
      </c>
      <c r="C262">
        <f>IFERROR(VLOOKUP(A262,管理亚马逊库存!A:L,12,0),"")</f>
        <v>1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1018</v>
      </c>
      <c r="B263">
        <f>IFERROR(VLOOKUP(A263,管理亚马逊库存!A:K,11,0),"")</f>
        <v>0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1022</v>
      </c>
      <c r="B264">
        <f>IFERROR(VLOOKUP(A264,管理亚马逊库存!A:K,11,0),"")</f>
        <v>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1026</v>
      </c>
      <c r="B265">
        <f>IFERROR(VLOOKUP(A265,管理亚马逊库存!A:K,11,0),"")</f>
        <v>0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1030</v>
      </c>
      <c r="B266">
        <f>IFERROR(VLOOKUP(A266,管理亚马逊库存!A:K,11,0),"")</f>
        <v>0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1034</v>
      </c>
      <c r="B267">
        <f>IFERROR(VLOOKUP(A267,管理亚马逊库存!A:K,11,0),"")</f>
        <v>0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1037</v>
      </c>
      <c r="B268">
        <f>IFERROR(VLOOKUP(A268,管理亚马逊库存!A:K,11,0),"")</f>
        <v>0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1040</v>
      </c>
      <c r="B269">
        <f>IFERROR(VLOOKUP(A269,管理亚马逊库存!A:K,11,0),"")</f>
        <v>0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1043</v>
      </c>
      <c r="B270">
        <f>IFERROR(VLOOKUP(A270,管理亚马逊库存!A:K,11,0),"")</f>
        <v>0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1046</v>
      </c>
      <c r="B271">
        <f>IFERROR(VLOOKUP(A271,管理亚马逊库存!A:K,11,0),"")</f>
        <v>0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1049</v>
      </c>
      <c r="B272">
        <f>IFERROR(VLOOKUP(A272,管理亚马逊库存!A:K,11,0),"")</f>
        <v>0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1053</v>
      </c>
      <c r="B273">
        <f>IFERROR(VLOOKUP(A273,管理亚马逊库存!A:K,11,0),"")</f>
        <v>0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2:14">
      <c r="B274" t="str">
        <f>IFERROR(VLOOKUP(A274,管理亚马逊库存!A:K,11,0),"")</f>
        <v/>
      </c>
      <c r="C274" t="str">
        <f>IFERROR(VLOOKUP(A274,管理亚马逊库存!A:L,12,0),"")</f>
        <v/>
      </c>
      <c r="D274" t="str">
        <f>IFERROR(VLOOKUP(A274,管理亚马逊库存!A:Q,17,0),"")</f>
        <v/>
      </c>
      <c r="E274" t="str">
        <f>IFERROR(VLOOKUP(A274,管理亚马逊库存!A:R,18,0),"")</f>
        <v/>
      </c>
      <c r="F274">
        <f>SUM(D274:E274)</f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>SUM(J274:M274)</f>
        <v>0</v>
      </c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5"/>
    </row>
    <row r="533" spans="1:1">
      <c r="A533" s="5"/>
    </row>
    <row r="534" spans="1:1">
      <c r="A534" s="5"/>
    </row>
    <row r="535" spans="1:1">
      <c r="A535" s="5"/>
    </row>
    <row r="536" spans="1:1">
      <c r="A536" s="5"/>
    </row>
    <row r="537" spans="1:1">
      <c r="A537" s="5"/>
    </row>
    <row r="538" spans="1:1">
      <c r="A538" s="5"/>
    </row>
    <row r="539" spans="1:1">
      <c r="A539" s="5"/>
    </row>
    <row r="540" spans="1:1">
      <c r="A540" s="5"/>
    </row>
    <row r="541" spans="1:1">
      <c r="A541" s="5"/>
    </row>
    <row r="542" spans="1:1">
      <c r="A542" s="5"/>
    </row>
    <row r="543" spans="1:1">
      <c r="A543" s="5"/>
    </row>
    <row r="544" spans="1:1">
      <c r="A544" s="5"/>
    </row>
    <row r="545" spans="1:1">
      <c r="A545" s="5"/>
    </row>
    <row r="546" spans="1:1">
      <c r="A546" s="5"/>
    </row>
    <row r="547" spans="1:1">
      <c r="A547" s="5"/>
    </row>
    <row r="548" spans="1:1">
      <c r="A548" s="5"/>
    </row>
    <row r="549" spans="1:1">
      <c r="A549" s="5"/>
    </row>
    <row r="550" spans="1:1">
      <c r="A550" s="5"/>
    </row>
    <row r="551" spans="1:1">
      <c r="A551" s="5"/>
    </row>
    <row r="552" spans="1:1">
      <c r="A552" s="5"/>
    </row>
    <row r="553" spans="1:1">
      <c r="A553" s="5"/>
    </row>
    <row r="554" spans="1:1">
      <c r="A554" s="5"/>
    </row>
    <row r="555" spans="1:1">
      <c r="A555" s="5"/>
    </row>
    <row r="556" spans="1:1">
      <c r="A556" s="5"/>
    </row>
    <row r="557" spans="1:1">
      <c r="A557" s="5"/>
    </row>
    <row r="558" spans="1:1">
      <c r="A558" s="5"/>
    </row>
    <row r="559" spans="1:1">
      <c r="A559" s="5"/>
    </row>
    <row r="560" spans="1:1">
      <c r="A560" s="5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1</xdr:row>
                <xdr:rowOff>171450</xdr:rowOff>
              </from>
              <to>
                <xdr:col>16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2018-07-10T02:56:02Z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