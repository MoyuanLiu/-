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'库存（父sku）'!$A$4:$AT$246</definedName>
    <definedName name="_xlnm._FilterDatabase" localSheetId="0" hidden="1">'库存（子SKU）'!$C$6:$C$253</definedName>
  </definedNames>
  <calcPr calcId="144525" concurrentCalc="0"/>
</workbook>
</file>

<file path=xl/sharedStrings.xml><?xml version="1.0" encoding="utf-8"?>
<sst xmlns="http://schemas.openxmlformats.org/spreadsheetml/2006/main" count="663">
  <si>
    <t>Lastia</t>
  </si>
  <si>
    <t>销售情况</t>
  </si>
  <si>
    <t>库存</t>
  </si>
  <si>
    <t>广告曝光量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</si>
  <si>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</si>
  <si>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</si>
  <si>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</si>
  <si>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</si>
  <si>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</si>
  <si>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</si>
  <si>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</si>
  <si>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
亚马逊更新时间6.13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</si>
  <si>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</si>
  <si>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</si>
  <si>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</si>
  <si>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</si>
  <si>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</si>
  <si>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</si>
  <si>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</si>
  <si>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</si>
  <si>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</si>
  <si>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</si>
  <si>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</si>
  <si>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</si>
  <si>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</si>
  <si>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</si>
  <si>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</si>
  <si>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</si>
  <si>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</si>
  <si>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</si>
  <si>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</si>
  <si>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</si>
  <si>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</si>
  <si>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</si>
  <si>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</si>
  <si>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</si>
  <si>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</si>
  <si>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</si>
  <si>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</si>
  <si>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</si>
  <si>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</si>
  <si>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</si>
  <si>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</si>
  <si>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</si>
  <si>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</si>
  <si>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</si>
  <si>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</si>
  <si>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</si>
  <si>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</si>
  <si>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</si>
  <si>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BA-FLQ02-BO-6</t>
  </si>
  <si>
    <t>B075N3N55V</t>
  </si>
  <si>
    <t>BA-FLQ02</t>
  </si>
  <si>
    <t/>
  </si>
  <si>
    <t>BA-FLQ02-GD-4</t>
  </si>
  <si>
    <t>B075N2WFMS</t>
  </si>
  <si>
    <t>BA-FLQ02-GD-6</t>
  </si>
  <si>
    <t>B075N3K3P1</t>
  </si>
  <si>
    <t>BA-FLQ02-R2-4</t>
  </si>
  <si>
    <t>B075N7VCYM</t>
  </si>
  <si>
    <t>BA-FLQ02-R2-6</t>
  </si>
  <si>
    <t>B075N2WNCP</t>
  </si>
  <si>
    <t>BA-FLQ02-SI-4</t>
  </si>
  <si>
    <t>B075N4YGPD</t>
  </si>
  <si>
    <t>BA-FLQ02-SI-6</t>
  </si>
  <si>
    <t>B075N1KNHS</t>
  </si>
  <si>
    <t>BD-LUHM001-X0</t>
  </si>
  <si>
    <t>B07CVDNT4J</t>
  </si>
  <si>
    <t>BD-LUHM001</t>
  </si>
  <si>
    <t>BDB-LUHM001-B0</t>
  </si>
  <si>
    <t>B07DQS5YP2</t>
  </si>
  <si>
    <t>BDB-LUHM001</t>
  </si>
  <si>
    <t>无销量广告费为0.34</t>
  </si>
  <si>
    <t>BDB-LUHM001-G0</t>
  </si>
  <si>
    <t>B07DQLVNSH</t>
  </si>
  <si>
    <t>BDB-LUHM001-K0</t>
  </si>
  <si>
    <t>B07DQL77MR</t>
  </si>
  <si>
    <t>无销量广告费为0.8</t>
  </si>
  <si>
    <t>无销量广告费为0.67</t>
  </si>
  <si>
    <t>BDB-LUHM001-R0</t>
  </si>
  <si>
    <t>B07DQMJRJG</t>
  </si>
  <si>
    <t>BDB-LUHM001-Y0</t>
  </si>
  <si>
    <t>B07DQPGWNM</t>
  </si>
  <si>
    <t>BDB-LUHM001-ZL</t>
  </si>
  <si>
    <t>B07DQT2DCN</t>
  </si>
  <si>
    <t>BDB-WF212-BJX-M</t>
  </si>
  <si>
    <t>B0772TKSHM</t>
  </si>
  <si>
    <t>BDB-WF212</t>
  </si>
  <si>
    <t>BDB-WF212-CW-M</t>
  </si>
  <si>
    <t>B0772JDLB6</t>
  </si>
  <si>
    <t>BDB-WF212-JY-M</t>
  </si>
  <si>
    <t>B0772QKV4C</t>
  </si>
  <si>
    <t>BDB-WF212-SH-M</t>
  </si>
  <si>
    <t>B0772934HW</t>
  </si>
  <si>
    <t>BDB-WF212-SJS-M</t>
  </si>
  <si>
    <t>B0772JJ5YH</t>
  </si>
  <si>
    <t>BLT-LUHM000-CL</t>
  </si>
  <si>
    <t>B07BV8R441</t>
  </si>
  <si>
    <t>BLT-LUHM000</t>
  </si>
  <si>
    <t>BLT-LUHM000-CR</t>
  </si>
  <si>
    <t>B07CDD7CHN</t>
  </si>
  <si>
    <t>BLT-LUHM000-GL</t>
  </si>
  <si>
    <t>B07BVMP1DH</t>
  </si>
  <si>
    <t>BLT-LUHM000-GR</t>
  </si>
  <si>
    <t>B07BVL6R55</t>
  </si>
  <si>
    <t>BLT-LUHM000-LB</t>
  </si>
  <si>
    <t>B07BVLBRWM</t>
  </si>
  <si>
    <t>BLT-LUHM000-RB</t>
  </si>
  <si>
    <t>B07BVMRJRX</t>
  </si>
  <si>
    <t>BLT-LUHM819-W0</t>
  </si>
  <si>
    <t>B07BV73Z4Q</t>
  </si>
  <si>
    <t>BLT-LUHM819</t>
  </si>
  <si>
    <t>BLT-NWF125-Cat</t>
  </si>
  <si>
    <t>B07F1QWXYV</t>
  </si>
  <si>
    <t>BLT-NWF125</t>
  </si>
  <si>
    <t>BLT-NWF125-Panda</t>
  </si>
  <si>
    <t>B07F1RBPYT</t>
  </si>
  <si>
    <t>BLT-WF125-CAT</t>
  </si>
  <si>
    <t>B078955T7Y</t>
  </si>
  <si>
    <t>BLT-WF125</t>
  </si>
  <si>
    <t>BLT-WF125-COW</t>
  </si>
  <si>
    <t>B0788KQVVG</t>
  </si>
  <si>
    <t>BLT-WF125-LION</t>
  </si>
  <si>
    <t>B0788M5K8H</t>
  </si>
  <si>
    <t>BLT-WF125-PANDA</t>
  </si>
  <si>
    <t>B0788PS6BD</t>
  </si>
  <si>
    <t>BZ-WF211-BO</t>
  </si>
  <si>
    <t>B077SBYB2D</t>
  </si>
  <si>
    <t>BZ-WF211</t>
  </si>
  <si>
    <t>BZ-WF211-GR</t>
  </si>
  <si>
    <t>B0784Q7224</t>
  </si>
  <si>
    <t>CD-WF-CF</t>
  </si>
  <si>
    <t>B076J9MFHW</t>
  </si>
  <si>
    <t>CD-WF</t>
  </si>
  <si>
    <t>CD-WF-GD</t>
  </si>
  <si>
    <t>B076J8X97G</t>
  </si>
  <si>
    <t>CD-WF-KK</t>
  </si>
  <si>
    <t>B076J6VD3L</t>
  </si>
  <si>
    <t>CD-WF-SG</t>
  </si>
  <si>
    <t>B076J988J5</t>
  </si>
  <si>
    <t>CD-WF001-CF-1</t>
  </si>
  <si>
    <t>B077TH83RP</t>
  </si>
  <si>
    <t>CD-WF001</t>
  </si>
  <si>
    <t>CD-WF001-GO-1</t>
  </si>
  <si>
    <t>B077TDZTMC</t>
  </si>
  <si>
    <t>CD-WF001-GR-1</t>
  </si>
  <si>
    <t>B077TGMRGP</t>
  </si>
  <si>
    <t>CD-WF001-KK-1</t>
  </si>
  <si>
    <t>B077TDWD7Z</t>
  </si>
  <si>
    <t>CD-WF001-RO-1</t>
  </si>
  <si>
    <t>B077TSGJTH</t>
  </si>
  <si>
    <t>CD-WF0728-4C</t>
  </si>
  <si>
    <t>B077PZHCFT</t>
  </si>
  <si>
    <t>CD-WF0728</t>
  </si>
  <si>
    <t>CD-WF117-GR-1</t>
  </si>
  <si>
    <t>B0784DMK97</t>
  </si>
  <si>
    <t>CD-WF117</t>
  </si>
  <si>
    <t>CD-WF117-WM-1</t>
  </si>
  <si>
    <t>B077QD1DQN</t>
  </si>
  <si>
    <t>CD-WF482-BO</t>
  </si>
  <si>
    <t>B077D32DC6</t>
  </si>
  <si>
    <t>CD-WF482</t>
  </si>
  <si>
    <t>CD-WF482-BO-1</t>
  </si>
  <si>
    <t>CD-WF482-CB</t>
  </si>
  <si>
    <t>B077D4N51C</t>
  </si>
  <si>
    <t>CD-WF482-CB-1</t>
  </si>
  <si>
    <t>CD-WF482-RO</t>
  </si>
  <si>
    <t>B077D67N2B</t>
  </si>
  <si>
    <t>CD-WF482-RO-1</t>
  </si>
  <si>
    <t>CLP-FLQ43-CS100-100</t>
  </si>
  <si>
    <t>B0776NWKMG</t>
  </si>
  <si>
    <t>CLP-FLQ43</t>
  </si>
  <si>
    <t>CLP-FLQ43-CS60-60</t>
  </si>
  <si>
    <t>B0776Q1PQP</t>
  </si>
  <si>
    <t>CQC-WF6346-BO</t>
  </si>
  <si>
    <t>B077GN6JWN</t>
  </si>
  <si>
    <t>CQC-WF6346</t>
  </si>
  <si>
    <t>CQC-WF6346-GO</t>
  </si>
  <si>
    <t>B077GN3FGY</t>
  </si>
  <si>
    <t>CQC-WF6346-PO</t>
  </si>
  <si>
    <t>B077GLWQYT</t>
  </si>
  <si>
    <t>CWB-FLQ1703-GR-47</t>
  </si>
  <si>
    <t>B078GKCYT6</t>
  </si>
  <si>
    <t>CWB-FLQ1703</t>
  </si>
  <si>
    <t>CWB-WF021-CF-L</t>
  </si>
  <si>
    <t>B0779QX5JV</t>
  </si>
  <si>
    <t>CWB-WF021</t>
  </si>
  <si>
    <t>CWB-WF021-CF-M</t>
  </si>
  <si>
    <t>B0779W8MFG</t>
  </si>
  <si>
    <t>CWB-WF021-CF-S</t>
  </si>
  <si>
    <t>B0779W68GS</t>
  </si>
  <si>
    <t>CWB-WF021-CF-XL</t>
  </si>
  <si>
    <t>B0779YRGR1</t>
  </si>
  <si>
    <t>CWB-WF021-QB-L</t>
  </si>
  <si>
    <t>B0779RFXY2</t>
  </si>
  <si>
    <t>CWB-WF021-QB-M</t>
  </si>
  <si>
    <t>B0779RT3RQ</t>
  </si>
  <si>
    <t>CWB-WF021-QB-S</t>
  </si>
  <si>
    <t>B0779V1KQL</t>
  </si>
  <si>
    <t>CWB-WF021-QB-XL</t>
  </si>
  <si>
    <t>B0779RQ56M</t>
  </si>
  <si>
    <t>CWB-WF021-RB-L</t>
  </si>
  <si>
    <t>B077B51CYY</t>
  </si>
  <si>
    <t>CWB-WF021-RB-M</t>
  </si>
  <si>
    <t>B0779ZRTZ3</t>
  </si>
  <si>
    <t>CWB-WF021-RB-S</t>
  </si>
  <si>
    <t>B0779RQHWK</t>
  </si>
  <si>
    <t>CWB-WF021-RB-XL</t>
  </si>
  <si>
    <t>B0779Z2TS6</t>
  </si>
  <si>
    <t>GB-LUHM035-B0</t>
  </si>
  <si>
    <t>B07F6546YQ</t>
  </si>
  <si>
    <t>GB-LUHM035</t>
  </si>
  <si>
    <t>GB-LUHM035-BE</t>
  </si>
  <si>
    <t>B07F64BTCD</t>
  </si>
  <si>
    <t>GB-LUHM035-P0</t>
  </si>
  <si>
    <t>B07F68CBMK</t>
  </si>
  <si>
    <t>无销量广告费为11.84</t>
  </si>
  <si>
    <t>GSQPQ-WF2012-GO</t>
  </si>
  <si>
    <t>B077264LR6</t>
  </si>
  <si>
    <t>GSQPQ-WF2012</t>
  </si>
  <si>
    <t>GT-WFTFGT200-209</t>
  </si>
  <si>
    <t>B076J6K8RL</t>
  </si>
  <si>
    <t>GT-WFTFGT200</t>
  </si>
  <si>
    <t>GT-WFTFGT200-213</t>
  </si>
  <si>
    <t>B0787XKBRG</t>
  </si>
  <si>
    <t>GT-WFTFGT200-214</t>
  </si>
  <si>
    <t>B076JBP5ZS</t>
  </si>
  <si>
    <t>GT-WFTFGT200-216</t>
  </si>
  <si>
    <t>B076J67W43</t>
  </si>
  <si>
    <t>GT-WFTFGT200-220</t>
  </si>
  <si>
    <t>B076J6VFSP</t>
  </si>
  <si>
    <t>GT-WFTFGT200-221</t>
  </si>
  <si>
    <t>B076J2DG1R</t>
  </si>
  <si>
    <t>GT-WFTFGT200-223</t>
  </si>
  <si>
    <t>B076J61QFW</t>
  </si>
  <si>
    <t>GT-WFTFGT200-224</t>
  </si>
  <si>
    <t>B076J5DWFM</t>
  </si>
  <si>
    <t>GT-WFY1-E1</t>
  </si>
  <si>
    <t>B077NVWPQW</t>
  </si>
  <si>
    <t>GT-WFY1</t>
  </si>
  <si>
    <t>GT-WFY1-E2</t>
  </si>
  <si>
    <t>B07842F5P9</t>
  </si>
  <si>
    <t>GT-WFY1-E3</t>
  </si>
  <si>
    <t>B077NZLTQX</t>
  </si>
  <si>
    <t>GT-WFY1-E4</t>
  </si>
  <si>
    <t>B077NVQNC9</t>
  </si>
  <si>
    <t>HYD-WF7995-BO-XL</t>
  </si>
  <si>
    <t>B077STZV9Y</t>
  </si>
  <si>
    <t>HYD-WF7995</t>
  </si>
  <si>
    <t>HYD-WF7995-RO-XL</t>
  </si>
  <si>
    <t>B077SZ4KTN</t>
  </si>
  <si>
    <t>JS-LUHM100-AX</t>
  </si>
  <si>
    <t>B07FCJN97Z</t>
  </si>
  <si>
    <t>JS-LUHM100</t>
  </si>
  <si>
    <t>无销量广告费为11.61</t>
  </si>
  <si>
    <t>无销量广告费为23.37</t>
  </si>
  <si>
    <t>无销量广告费为11.6</t>
  </si>
  <si>
    <t>JS-LUHM100-JSZFX</t>
  </si>
  <si>
    <t>B07FCH27G9</t>
  </si>
  <si>
    <t>无销量广告费为2.76</t>
  </si>
  <si>
    <t>无销量广告费为14.88</t>
  </si>
  <si>
    <t>无销量广告费为9.14</t>
  </si>
  <si>
    <t>JS-LUHM100-KLT</t>
  </si>
  <si>
    <t>B07FCHZRK5</t>
  </si>
  <si>
    <t>JS-LUHM100-LBX</t>
  </si>
  <si>
    <t>B07FCFK3BH</t>
  </si>
  <si>
    <t>无销量广告费为0.07</t>
  </si>
  <si>
    <t>无销量广告费为9.02</t>
  </si>
  <si>
    <t>无销量广告费为8.02</t>
  </si>
  <si>
    <t>JS-LUHM100-LX</t>
  </si>
  <si>
    <t>B07FCHT1T1</t>
  </si>
  <si>
    <t>JS-LUHM100-XJQ</t>
  </si>
  <si>
    <t>B07FZZH8SL</t>
  </si>
  <si>
    <t>无销量广告费为0.08</t>
  </si>
  <si>
    <t>无销量广告费为1.01</t>
  </si>
  <si>
    <t>JS-LUHM100-ZFX</t>
  </si>
  <si>
    <t>B07FCJN913</t>
  </si>
  <si>
    <t>LYQ-NWF10-KO-S</t>
  </si>
  <si>
    <t>B07DXFH8CW</t>
  </si>
  <si>
    <t>LYQ-NWF10</t>
  </si>
  <si>
    <t>LYQ-WF1010-BO-2X</t>
  </si>
  <si>
    <t>B077XNMC3N</t>
  </si>
  <si>
    <t>LYQ-WF1010</t>
  </si>
  <si>
    <t>无销量广告费为74.98</t>
  </si>
  <si>
    <t>LYQ-WF1010-BO-L</t>
  </si>
  <si>
    <t>B077XNM9W2</t>
  </si>
  <si>
    <t>LYQ-WF1010-BO-M</t>
  </si>
  <si>
    <t>B077XSWR8G</t>
  </si>
  <si>
    <t>LYQ-WF1010-BO-S</t>
  </si>
  <si>
    <t>B077XRSRNP</t>
  </si>
  <si>
    <t>LYQ-WF1010-BO-XL</t>
  </si>
  <si>
    <t>B077XQ8ZN5</t>
  </si>
  <si>
    <t>LYQ-WF1010-K0-2L</t>
  </si>
  <si>
    <t>B077XQ78NB</t>
  </si>
  <si>
    <t>LYQ-WF1010-KO-L</t>
  </si>
  <si>
    <t>B077XNFWVP</t>
  </si>
  <si>
    <t>LYQ-WF1010-KO-M</t>
  </si>
  <si>
    <t>B077XQ5D11</t>
  </si>
  <si>
    <t>无销量广告费为47.09</t>
  </si>
  <si>
    <t>LYQ-WF1010-KO-S</t>
  </si>
  <si>
    <t>B077XV7J5K</t>
  </si>
  <si>
    <t>LYQ-WF1010-KO-XL</t>
  </si>
  <si>
    <t>B0785H4FV1</t>
  </si>
  <si>
    <t>LYQ-WF1010-NO-2L</t>
  </si>
  <si>
    <t>B077XQ2P1L</t>
  </si>
  <si>
    <t>LYQ-WF1010-NO-L</t>
  </si>
  <si>
    <t>B077XV7BG7</t>
  </si>
  <si>
    <t>LYQ-WF1010-NO-S</t>
  </si>
  <si>
    <t>B077XRVLTN</t>
  </si>
  <si>
    <t>LYQ-WF1010-NO-XL</t>
  </si>
  <si>
    <t>B077XSTXHJ</t>
  </si>
  <si>
    <t>LYQ-WF1010-NO-XS</t>
  </si>
  <si>
    <t>B077XRZGV1</t>
  </si>
  <si>
    <t>LYQ-WF1010-PO-2L</t>
  </si>
  <si>
    <t>B077XNK3T5</t>
  </si>
  <si>
    <t>LYQ-WF1010-PO-L</t>
  </si>
  <si>
    <t>B077XSLVZ5</t>
  </si>
  <si>
    <t>LYQ-WF1010-PO-M</t>
  </si>
  <si>
    <t>B077XV49XF</t>
  </si>
  <si>
    <t>LYQ-WF1010-PO-S</t>
  </si>
  <si>
    <t>B077XVBFB9</t>
  </si>
  <si>
    <t>LYQ-WF1010-PO-XL</t>
  </si>
  <si>
    <t>B077XSTXHF</t>
  </si>
  <si>
    <t>LYQ-WF1010-WO-2L</t>
  </si>
  <si>
    <t>B0785HJVGH</t>
  </si>
  <si>
    <t>LYQ-WF1010-WO-M</t>
  </si>
  <si>
    <t>B0785HJVGG</t>
  </si>
  <si>
    <t>无销量广告费为2.62</t>
  </si>
  <si>
    <t>LYQ-WF1010-WO-XL</t>
  </si>
  <si>
    <t>B077XSZ4FT</t>
  </si>
  <si>
    <t>无销量广告费为90.76</t>
  </si>
  <si>
    <t>ND-LUHM027-PI</t>
  </si>
  <si>
    <t>B07C73R2XN</t>
  </si>
  <si>
    <t>ND-LUHM027</t>
  </si>
  <si>
    <t>QLQ-LUHM121-G0</t>
  </si>
  <si>
    <t>B07CXM3QD3</t>
  </si>
  <si>
    <t>QLQ-LUHM121</t>
  </si>
  <si>
    <t>QLQ-LUHM121-GM</t>
  </si>
  <si>
    <t>QLQ-LUHM121-WO</t>
  </si>
  <si>
    <t>QLQ-LUHM121-WT</t>
  </si>
  <si>
    <t>QLQ-WF121-WO</t>
  </si>
  <si>
    <t>B077YTH6KB</t>
  </si>
  <si>
    <t>QLQ-WF121</t>
  </si>
  <si>
    <t>QQ-LUHM-801-B0</t>
  </si>
  <si>
    <t>B07CPW1TRS</t>
  </si>
  <si>
    <t>RYMT-WF712-GO-L</t>
  </si>
  <si>
    <t>B0785GYYL8</t>
  </si>
  <si>
    <t>RYMT-WF712</t>
  </si>
  <si>
    <t>无销量广告费为6.03</t>
  </si>
  <si>
    <t>无销量广告费为22.8</t>
  </si>
  <si>
    <t>RYMT-WF712-PI-L</t>
  </si>
  <si>
    <t>B077X8RLVJ</t>
  </si>
  <si>
    <t>RYMT-WF712-PO-L</t>
  </si>
  <si>
    <t>B077XB44XX</t>
  </si>
  <si>
    <t>无销量广告费为9.73</t>
  </si>
  <si>
    <t>SB-LUHM100-B0</t>
  </si>
  <si>
    <t>B07DVH33X4</t>
  </si>
  <si>
    <t>SB-LUHM100</t>
  </si>
  <si>
    <t>SB-LUHM100-G0</t>
  </si>
  <si>
    <t>B07DVLM761</t>
  </si>
  <si>
    <t>SB-LUHM100-K0</t>
  </si>
  <si>
    <t>B07DVBN2KT</t>
  </si>
  <si>
    <t>SB-LUHM100-R0</t>
  </si>
  <si>
    <t>B07DVK4HKX</t>
  </si>
  <si>
    <t>无销量广告费为31.31</t>
  </si>
  <si>
    <t>SB-LUHM101-B0</t>
  </si>
  <si>
    <t>B07FJQJ4XP</t>
  </si>
  <si>
    <t>SB-LUHM101</t>
  </si>
  <si>
    <t>SD-LUHM202-B0</t>
  </si>
  <si>
    <t>B07CVDZCBW</t>
  </si>
  <si>
    <t>SD-LUHM202</t>
  </si>
  <si>
    <t>SD-LUHM202-G0-X</t>
  </si>
  <si>
    <t>B07BRL2Y1L</t>
  </si>
  <si>
    <t>SD-LUHM202-PI</t>
  </si>
  <si>
    <t>B07CVDVW47</t>
  </si>
  <si>
    <t>SD-LUHM202-X0</t>
  </si>
  <si>
    <t>B07CVDJ9S8</t>
  </si>
  <si>
    <t>SD-LUHM202-Y0</t>
  </si>
  <si>
    <t>B07CVGZCHZ</t>
  </si>
  <si>
    <t>SDSZH-BS</t>
  </si>
  <si>
    <t>B076P8MNVV</t>
  </si>
  <si>
    <t>SDSZH</t>
  </si>
  <si>
    <t>SDSZH-RG</t>
  </si>
  <si>
    <t>B076PCPP68</t>
  </si>
  <si>
    <t>SDSZH-TS-2</t>
  </si>
  <si>
    <t>B076P7DYB9</t>
  </si>
  <si>
    <t>SG-LUHM050-K0</t>
  </si>
  <si>
    <t>B07F63TBYG</t>
  </si>
  <si>
    <t>SG-LUHM050</t>
  </si>
  <si>
    <t>无销量广告费为0.72</t>
  </si>
  <si>
    <t>无销量广告费为0.84</t>
  </si>
  <si>
    <t>SG-LUHM100-K0</t>
  </si>
  <si>
    <t>B07F634TZ1</t>
  </si>
  <si>
    <t>SG-LUHM100</t>
  </si>
  <si>
    <t>SL-LULW812-PI-M</t>
  </si>
  <si>
    <t>B078RNFX6F</t>
  </si>
  <si>
    <t>SL-LULW812</t>
  </si>
  <si>
    <t>SL-LULW818-BO-L</t>
  </si>
  <si>
    <t>B078RNM8V8</t>
  </si>
  <si>
    <t>SL-LULW818-PI-L</t>
  </si>
  <si>
    <t>B078RN1CC8</t>
  </si>
  <si>
    <t>无销量广告费为7.91</t>
  </si>
  <si>
    <t>SL-LULW818-PI-M</t>
  </si>
  <si>
    <t>SL-LULW818-RO-L</t>
  </si>
  <si>
    <t>B078RMPL65</t>
  </si>
  <si>
    <t>无销量广告费为7.06</t>
  </si>
  <si>
    <t>SND-FLQ17-NO-108</t>
  </si>
  <si>
    <t>B075ZV778Y</t>
  </si>
  <si>
    <t>SND-FLQ17</t>
  </si>
  <si>
    <t>SND-FLQ18-SJ-74</t>
  </si>
  <si>
    <t>B0761KKJCB</t>
  </si>
  <si>
    <t>SND-FLQ18</t>
  </si>
  <si>
    <t>SND-FLQ18-SJ-80</t>
  </si>
  <si>
    <t>B0761KLYSS</t>
  </si>
  <si>
    <t>SND-WF5150-WO</t>
  </si>
  <si>
    <t>B076ZJHNKM</t>
  </si>
  <si>
    <t>SND-WF5150</t>
  </si>
  <si>
    <t>SND-WF5150-WO2</t>
  </si>
  <si>
    <t>B076ZKPLVZ</t>
  </si>
  <si>
    <t>SNH-LUHM001-E0</t>
  </si>
  <si>
    <t>B07DQM6N3W</t>
  </si>
  <si>
    <t>SNH-LUHM001</t>
  </si>
  <si>
    <t>SNH-LUHM001-G0</t>
  </si>
  <si>
    <t>B07DQMT2TL</t>
  </si>
  <si>
    <t>SNH-LUHM001-K0</t>
  </si>
  <si>
    <t>B07DQLZ5KK</t>
  </si>
  <si>
    <t>SNH-LUHM001-W0</t>
  </si>
  <si>
    <t>B07DQLKY6N</t>
  </si>
  <si>
    <t>SNH-LUHM001-Y0</t>
  </si>
  <si>
    <t>B07DQL4VVL</t>
  </si>
  <si>
    <t>SNT-LUHM001-BS</t>
  </si>
  <si>
    <t>B07DQN9ZJT</t>
  </si>
  <si>
    <t>SNT-LUHM001-DX</t>
  </si>
  <si>
    <t>B07DQPRJPR</t>
  </si>
  <si>
    <t>SNT-LUHM001-GQ</t>
  </si>
  <si>
    <t>B07DQL4VVH</t>
  </si>
  <si>
    <t>SNT-LUHM001-HW</t>
  </si>
  <si>
    <t>B07DQP8MPM</t>
  </si>
  <si>
    <t>SNT-LUHM001-HY</t>
  </si>
  <si>
    <t>B07DQMV7N9</t>
  </si>
  <si>
    <t>SNT-LUHM001-KT</t>
  </si>
  <si>
    <t>B07DQN92XD</t>
  </si>
  <si>
    <t>SNT-LUHM001-WX</t>
  </si>
  <si>
    <t>B07DQLKY6T</t>
  </si>
  <si>
    <t>SNT-LUHM001-ZX</t>
  </si>
  <si>
    <t>B07DQVJFGS</t>
  </si>
  <si>
    <t>SQ-LUHM204</t>
  </si>
  <si>
    <t>B07DKXSV9P</t>
  </si>
  <si>
    <t>SQ-LUHM</t>
  </si>
  <si>
    <t>无销量广告费为11.64</t>
  </si>
  <si>
    <t>无销量广告费为3.19</t>
  </si>
  <si>
    <t>SQ-LUHM304</t>
  </si>
  <si>
    <t>B07DKWSJ1Z</t>
  </si>
  <si>
    <t>SQ-LUHM354</t>
  </si>
  <si>
    <t>B07DKV16HS</t>
  </si>
  <si>
    <t>无销量广告费为5.48</t>
  </si>
  <si>
    <t>无销量广告费为52.11</t>
  </si>
  <si>
    <t>SQ-LUHM404</t>
  </si>
  <si>
    <t>B07DKT41YL</t>
  </si>
  <si>
    <t>SQ-LUHM90A</t>
  </si>
  <si>
    <t>B07DKXGT8H</t>
  </si>
  <si>
    <t>ST-FLQ110-KO-L</t>
  </si>
  <si>
    <t>B077N6WYM2</t>
  </si>
  <si>
    <t>ST-FLQ110</t>
  </si>
  <si>
    <t>ST-FLQ110-KO-M</t>
  </si>
  <si>
    <t>B077N289VS</t>
  </si>
  <si>
    <t>ST-FLQ110-KO-XL</t>
  </si>
  <si>
    <t>B077N9TG25</t>
  </si>
  <si>
    <t>ST-FLQ110-PI-L</t>
  </si>
  <si>
    <t>B077NCHFV2</t>
  </si>
  <si>
    <t>ST-FLQ110-PI-M</t>
  </si>
  <si>
    <t>B077NCS1K2</t>
  </si>
  <si>
    <t>ST-FLQ110-PI-S</t>
  </si>
  <si>
    <t>B077NDNLBD</t>
  </si>
  <si>
    <t>ST-LAHM-LG-001</t>
  </si>
  <si>
    <t>B07DVJW5HD</t>
  </si>
  <si>
    <t>ST-LAHM</t>
  </si>
  <si>
    <t>无销量广告费为2.73</t>
  </si>
  <si>
    <t>无销量广告费为2.97</t>
  </si>
  <si>
    <t>无销量广告费为2.51</t>
  </si>
  <si>
    <t>WB-LUHM002-B0</t>
  </si>
  <si>
    <t>B07DVLSHLK</t>
  </si>
  <si>
    <t>WB-LUHM002</t>
  </si>
  <si>
    <t>WB-LUHM002-E0</t>
  </si>
  <si>
    <t>B07DVHDT1N</t>
  </si>
  <si>
    <t>WB-LUHM002-G0</t>
  </si>
  <si>
    <t>B07DVGSHDP</t>
  </si>
  <si>
    <t>无销量广告费为30.05</t>
  </si>
  <si>
    <t>WB-LUHM002-R0</t>
  </si>
  <si>
    <t>B07DVK765T</t>
  </si>
  <si>
    <t>无销量广告费为0.73</t>
  </si>
  <si>
    <t>WY-WF1217-GR-L</t>
  </si>
  <si>
    <t>B078MRF99V</t>
  </si>
  <si>
    <t>WY-WF1217</t>
  </si>
  <si>
    <t>WY-WF1217-GR-M</t>
  </si>
  <si>
    <t>B078MG4VLQ</t>
  </si>
  <si>
    <t>WY-WF1217-GR-S</t>
  </si>
  <si>
    <t>B078MMFTHW</t>
  </si>
  <si>
    <t>WY-WF1217-GR-XL</t>
  </si>
  <si>
    <t>B078MLVDZV</t>
  </si>
  <si>
    <t>WY-WF1217-KO-L</t>
  </si>
  <si>
    <t>B078MJZZZN</t>
  </si>
  <si>
    <t>WY-WF1217-KO-M</t>
  </si>
  <si>
    <t>B078MP2N3B</t>
  </si>
  <si>
    <t>WY-WF1217-KO-S</t>
  </si>
  <si>
    <t>B078MKNJN1</t>
  </si>
  <si>
    <t>WY-WF1217-KO-XL</t>
  </si>
  <si>
    <t>B078MNWK8Y</t>
  </si>
  <si>
    <t>WY-WF1217-RO-L</t>
  </si>
  <si>
    <t>B078MK4N19</t>
  </si>
  <si>
    <t>WY-WF1217-RO-M</t>
  </si>
  <si>
    <t>B078MLCPHX</t>
  </si>
  <si>
    <t>WY-WF1217-RO-S</t>
  </si>
  <si>
    <t>B078MPPY1Z</t>
  </si>
  <si>
    <t>WY-WF1217-RO-XL</t>
  </si>
  <si>
    <t>B078MLS36P</t>
  </si>
  <si>
    <t>WY-WF1217-YO-L</t>
  </si>
  <si>
    <t>B078MLPP7Z</t>
  </si>
  <si>
    <t>WY-WF1217-YO-M</t>
  </si>
  <si>
    <t>B078MQZ7XF</t>
  </si>
  <si>
    <t>WY-WF1217-YO-S</t>
  </si>
  <si>
    <t>B078MLVF8D</t>
  </si>
  <si>
    <t>WY-WF1217-YO-XL</t>
  </si>
  <si>
    <t>B078MLVFZH</t>
  </si>
  <si>
    <t>WY-WF1225-BO-L</t>
  </si>
  <si>
    <t>B078MFHH1V</t>
  </si>
  <si>
    <t>WY-WF1225</t>
  </si>
  <si>
    <t>WY-WF1225-BO-M</t>
  </si>
  <si>
    <t>B078MFWG5N</t>
  </si>
  <si>
    <t>WY-WF1225-BO-S</t>
  </si>
  <si>
    <t>B078MNG1TG</t>
  </si>
  <si>
    <t>WY-WF1225-BO-XL</t>
  </si>
  <si>
    <t>B078MPBBKH</t>
  </si>
  <si>
    <t>WY-WF1225-GR-L</t>
  </si>
  <si>
    <t>B078MMXYGL</t>
  </si>
  <si>
    <t>WY-WF1225-GR-M</t>
  </si>
  <si>
    <t>B078MFPDLS</t>
  </si>
  <si>
    <t>WY-WF1225-GR-S</t>
  </si>
  <si>
    <t>B078MNGZXT</t>
  </si>
  <si>
    <t>WY-WF1225-GR-XL</t>
  </si>
  <si>
    <t>B078ML71RF</t>
  </si>
  <si>
    <t>XK-YIWUJS-GY-6IN</t>
  </si>
  <si>
    <t>B07D4GQKTL</t>
  </si>
  <si>
    <t>XK-YIWUJS</t>
  </si>
  <si>
    <t>XK-YIWUJS-GY-7IN</t>
  </si>
  <si>
    <t>B07D4FV711</t>
  </si>
  <si>
    <t>XK-YIWUJS-PJ</t>
  </si>
  <si>
    <t>B001B52VSW</t>
  </si>
  <si>
    <t>XK-YIWUJS-Y0-6IN</t>
  </si>
  <si>
    <t>B07D4GBBQB</t>
  </si>
  <si>
    <t>XK-YIWUJS-Y0-7IN</t>
  </si>
  <si>
    <t>B07D4FQCYC</t>
  </si>
  <si>
    <t>XK-YIWUJS2-BR-6IN</t>
  </si>
  <si>
    <t>B07D4FWK6H</t>
  </si>
  <si>
    <t>XK-YIWUJS2</t>
  </si>
  <si>
    <t>无销量广告费为0.75</t>
  </si>
  <si>
    <t>XK-YIWUJS2-BR-7IN</t>
  </si>
  <si>
    <t>B07D4GDZTQ</t>
  </si>
  <si>
    <t>XK-YIWUJS2-PJ</t>
  </si>
  <si>
    <t>B00VGTGHS8</t>
  </si>
  <si>
    <t>XK-YIWUJS2-Y0-6IN</t>
  </si>
  <si>
    <t>B07D4GSD2Q</t>
  </si>
  <si>
    <t>XK-YIWUJS2-Y0-7IN</t>
  </si>
  <si>
    <t>B07D4GT945</t>
  </si>
  <si>
    <t>无销量广告费为0.74</t>
  </si>
  <si>
    <t>XM-LUHM111-HMG</t>
  </si>
  <si>
    <t>B07GNGV9CS</t>
  </si>
  <si>
    <t>XM-LUHM111</t>
  </si>
  <si>
    <t>XM-LUHM111-X0</t>
  </si>
  <si>
    <t>B07C76QF92</t>
  </si>
  <si>
    <t>XQ-LUHM034-X0</t>
  </si>
  <si>
    <t>B07C76QGLV</t>
  </si>
  <si>
    <t>XQ-LUHM034</t>
  </si>
  <si>
    <t>XQ-LUHM089-PI</t>
  </si>
  <si>
    <t>B07CG51FRQ</t>
  </si>
  <si>
    <t>XQ-LUHM089</t>
  </si>
  <si>
    <t>XYD-F02-3C-3S</t>
  </si>
  <si>
    <t>B077277SF1</t>
  </si>
  <si>
    <t>XYD-F02</t>
  </si>
  <si>
    <t>YQ-LUHM-F111</t>
  </si>
  <si>
    <t>B07CQJ8G3M</t>
  </si>
  <si>
    <t>YQ-LUHM</t>
  </si>
  <si>
    <t>无销量广告费为4.33</t>
  </si>
  <si>
    <t>无销量广告费为10.64</t>
  </si>
  <si>
    <t>YQ-LUHM-F112</t>
  </si>
  <si>
    <t>B07DLX7V45</t>
  </si>
  <si>
    <t>YQ-LUHM-F114</t>
  </si>
  <si>
    <t>B07DLTWN39</t>
  </si>
  <si>
    <t>ZB-WF029-CF-L</t>
  </si>
  <si>
    <t>B077SSC1TH</t>
  </si>
  <si>
    <t>ZB-WF029</t>
  </si>
  <si>
    <t>ZB-WF029-CF-M</t>
  </si>
  <si>
    <t>B078C7BGZR</t>
  </si>
  <si>
    <t>ZB-WF029-WO-L</t>
  </si>
  <si>
    <t>B0784WBNX9</t>
  </si>
  <si>
    <t>ZB-WF029-WO-M</t>
  </si>
  <si>
    <t>B0784WC6TX</t>
  </si>
  <si>
    <t>ZDD-FLQ07-MC-28</t>
  </si>
  <si>
    <t>B075QF56L3</t>
  </si>
  <si>
    <t>ZDD-FLQ07</t>
  </si>
  <si>
    <t>ZDD-FLQ08-BO-28</t>
  </si>
  <si>
    <t>B075QFP51N</t>
  </si>
  <si>
    <t>ZDD-FLQ08</t>
  </si>
  <si>
    <t>ZDD-FLQ08-GR-28</t>
  </si>
  <si>
    <t>B075QG33T1</t>
  </si>
  <si>
    <t>ZDD-FLQ08-PO-28</t>
  </si>
  <si>
    <t>B075R92YGF</t>
  </si>
  <si>
    <t>ZDD-FLQ08-RO-28</t>
  </si>
  <si>
    <t>B075QFMG4P</t>
  </si>
  <si>
    <t>ZQ-WF002-BO-M</t>
  </si>
  <si>
    <t>B078HGJSND</t>
  </si>
  <si>
    <t>ZQ-WF002</t>
  </si>
  <si>
    <t>ZQ-WF002-PI-M</t>
  </si>
  <si>
    <t>B078H85Y7H</t>
  </si>
  <si>
    <t>ZYL-FLQ06-BF-40</t>
  </si>
  <si>
    <t>B076P8S1LC</t>
  </si>
  <si>
    <t>ZYL-FLQ06</t>
  </si>
  <si>
    <t>无销量广告费为2.43</t>
  </si>
  <si>
    <t>ZYL-FLQ06-BG-40</t>
  </si>
  <si>
    <t>B075RCQD9P</t>
  </si>
  <si>
    <t>ZYL-FLQ06-HG-40</t>
  </si>
  <si>
    <t>B075R4XJZV</t>
  </si>
  <si>
    <t>ZYL-FLQ06-TZ-40</t>
  </si>
  <si>
    <t>B075R4RWDL</t>
  </si>
  <si>
    <t>ZYL-FLQ2013-DX-36</t>
  </si>
  <si>
    <t>B078JK429P</t>
  </si>
  <si>
    <t>ZYL-FLQ2013</t>
  </si>
  <si>
    <t>ZYL-FLQ2013-RO-36</t>
  </si>
  <si>
    <t>B078JQ7B7M</t>
  </si>
  <si>
    <t>ZYL-FLQ2013-YO-36</t>
  </si>
  <si>
    <t>B078JQVN4Q</t>
  </si>
  <si>
    <t>ZYL-FLQ59-BF-32</t>
  </si>
  <si>
    <t>B078JQ3KLW</t>
  </si>
  <si>
    <t>ZYL-FLQ59</t>
  </si>
  <si>
    <t>ZYL-FLQ59-BY-32</t>
  </si>
  <si>
    <t>B078JNY8M1</t>
  </si>
  <si>
    <t>ZYL-FLQ59-TW-32</t>
  </si>
  <si>
    <t>B078JJ7KDP</t>
  </si>
  <si>
    <t>ZYL-FLQ59-TZ-32</t>
  </si>
  <si>
    <t>B078JQXPDD</t>
  </si>
  <si>
    <t>ZYL-FLQ59-YD-32</t>
  </si>
  <si>
    <t>B078JHC2WQ</t>
  </si>
  <si>
    <t>广告曝光</t>
  </si>
  <si>
    <t>广告点击量</t>
  </si>
  <si>
    <t>页面浏览次数</t>
  </si>
  <si>
    <t>转化率（销量/页面浏览次数）</t>
  </si>
  <si>
    <t>货龄报告下载日期6.19，
亚马逊更新时间6.13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</si>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</sst>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3" fillId="10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24" borderId="7" applyNumberFormat="0" applyFont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24" fillId="18" borderId="8" applyNumberFormat="0" applyAlignment="0" applyProtection="0">
      <alignment vertical="center"/>
    </xf>
    <xf numFmtId="0" fontId="18" fillId="18" borderId="3" applyNumberFormat="0" applyAlignment="0" applyProtection="0">
      <alignment vertical="center"/>
    </xf>
    <xf numFmtId="0" fontId="9" fillId="7" borderId="1" applyNumberFormat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21" fillId="0" borderId="5" applyNumberFormat="0" applyFill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</cellStyleXfs>
  <cellXfs count="4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Alignment="1"/>
    <xf numFmtId="14" fontId="0" fillId="0" borderId="0" xfId="0" applyNumberFormat="1" applyFill="1" applyAlignment="1">
      <alignment vertical="center"/>
    </xf>
    <xf numFmtId="0" fontId="0" fillId="0" borderId="0" xfId="0" applyFill="1" applyAlignment="1"/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799981688894314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0</xdr:row>
          <xdr:rowOff>295275</xdr:rowOff>
        </xdr:from>
        <xdr:to>
          <xdr:col>46</xdr:col>
          <xdr:colOff>676275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295275"/>
              <a:ext cx="676275" cy="3359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676275</xdr:colOff>
          <xdr:row>3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524250" y="180975"/>
              <a:ext cx="1362075" cy="3810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liuliang\Lastia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Lastia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AQD-IUYL330-BK</v>
          </cell>
          <cell r="B2" t="str">
            <v>AQD-IUYL330</v>
          </cell>
        </row>
        <row r="3">
          <cell r="A3" t="str">
            <v>AQD-IUYL330-CF</v>
          </cell>
          <cell r="B3" t="str">
            <v>AQD-IUYL330</v>
          </cell>
        </row>
        <row r="4">
          <cell r="A4" t="str">
            <v>AQD-IUYL330-DB</v>
          </cell>
          <cell r="B4" t="str">
            <v>AQD-IUYL330</v>
          </cell>
        </row>
        <row r="5">
          <cell r="A5" t="str">
            <v>AQD-IUYL330-GR</v>
          </cell>
          <cell r="B5" t="str">
            <v>AQD-IUYL330</v>
          </cell>
        </row>
        <row r="6">
          <cell r="A6" t="str">
            <v>AQD-IUYL330-LB</v>
          </cell>
          <cell r="B6" t="str">
            <v>AQD-IUYL330</v>
          </cell>
        </row>
        <row r="7">
          <cell r="A7" t="str">
            <v>AQD-IUYL330-OR</v>
          </cell>
          <cell r="B7" t="str">
            <v>AQD-IUYL330</v>
          </cell>
        </row>
        <row r="8">
          <cell r="A8" t="str">
            <v>AQD-IUYL330-PK</v>
          </cell>
          <cell r="B8" t="str">
            <v>AQD-IUYL330</v>
          </cell>
        </row>
        <row r="9">
          <cell r="A9" t="str">
            <v>AQD-IUYL330-PP</v>
          </cell>
          <cell r="B9" t="str">
            <v>AQD-IUYL330</v>
          </cell>
        </row>
        <row r="10">
          <cell r="A10" t="str">
            <v>AQD-IUYL330-RD</v>
          </cell>
          <cell r="B10" t="str">
            <v>AQD-IUYL330</v>
          </cell>
        </row>
        <row r="11">
          <cell r="A11" t="str">
            <v>AQD-IUYL330-YL</v>
          </cell>
          <cell r="B11" t="str">
            <v>AQD-IUYL330</v>
          </cell>
        </row>
        <row r="12">
          <cell r="A12" t="str">
            <v>AQD-IUYL340-DP</v>
          </cell>
          <cell r="B12" t="str">
            <v>AQD-IUYL340</v>
          </cell>
        </row>
        <row r="13">
          <cell r="A13" t="str">
            <v>AQD-IUYL340-LP</v>
          </cell>
          <cell r="B13" t="str">
            <v>AQD-IUYL340</v>
          </cell>
        </row>
        <row r="14">
          <cell r="A14" t="str">
            <v>AQD-IUYL340-OR</v>
          </cell>
          <cell r="B14" t="str">
            <v>AQD-IUYL340</v>
          </cell>
        </row>
        <row r="15">
          <cell r="A15" t="str">
            <v>AQD-IUYL340-PK</v>
          </cell>
          <cell r="B15" t="str">
            <v>AQD-IUYL340</v>
          </cell>
        </row>
        <row r="16">
          <cell r="A16" t="str">
            <v>AQD-IUYL340-YL</v>
          </cell>
          <cell r="B16" t="str">
            <v>AQD-IUYL340</v>
          </cell>
        </row>
        <row r="17">
          <cell r="A17" t="str">
            <v>BA-FLQ02-BO-4</v>
          </cell>
          <cell r="B17" t="str">
            <v>BA-FLQ02</v>
          </cell>
        </row>
        <row r="18">
          <cell r="A18" t="str">
            <v>BA-FLQ02-BO-6</v>
          </cell>
          <cell r="B18" t="str">
            <v>BA-FLQ02</v>
          </cell>
        </row>
        <row r="19">
          <cell r="A19" t="str">
            <v>BA-FLQ02-BO-6</v>
          </cell>
          <cell r="B19" t="str">
            <v>BA-FLQ02</v>
          </cell>
        </row>
        <row r="20">
          <cell r="A20" t="str">
            <v>BA-FLQ02-BO-6</v>
          </cell>
          <cell r="B20" t="str">
            <v>BA-FLQ02</v>
          </cell>
        </row>
        <row r="21">
          <cell r="A21" t="str">
            <v>BA-FLQ02-GD-4</v>
          </cell>
          <cell r="B21" t="str">
            <v>BA-FLQ02</v>
          </cell>
        </row>
        <row r="22">
          <cell r="A22" t="str">
            <v>BA-FLQ02-GD-6</v>
          </cell>
          <cell r="B22" t="str">
            <v>BA-FLQ02</v>
          </cell>
        </row>
        <row r="23">
          <cell r="A23" t="str">
            <v>BA-FLQ02-LB-4</v>
          </cell>
          <cell r="B23" t="str">
            <v>BA-FLQ02</v>
          </cell>
        </row>
        <row r="24">
          <cell r="A24" t="str">
            <v>BA-FLQ02-LB-6</v>
          </cell>
          <cell r="B24" t="str">
            <v>BA-FLQ02</v>
          </cell>
        </row>
        <row r="25">
          <cell r="A25" t="str">
            <v>BA-FLQ02-R2-4</v>
          </cell>
          <cell r="B25" t="str">
            <v>BA-FLQ02</v>
          </cell>
        </row>
        <row r="26">
          <cell r="A26" t="str">
            <v>BA-FLQ02-R2-6</v>
          </cell>
          <cell r="B26" t="str">
            <v>BA-FLQ02</v>
          </cell>
        </row>
        <row r="27">
          <cell r="A27" t="str">
            <v>BA-FLQ02-RO-4</v>
          </cell>
          <cell r="B27" t="str">
            <v>BA-FLQ02</v>
          </cell>
        </row>
        <row r="28">
          <cell r="A28" t="str">
            <v>BA-FLQ02-RO-6</v>
          </cell>
          <cell r="B28" t="str">
            <v>BA-FLQ02</v>
          </cell>
        </row>
        <row r="29">
          <cell r="A29" t="str">
            <v>BA-FLQ02-SI-4</v>
          </cell>
          <cell r="B29" t="str">
            <v>BA-FLQ02</v>
          </cell>
        </row>
        <row r="30">
          <cell r="A30" t="str">
            <v>BA-FLQ02-SI-6</v>
          </cell>
          <cell r="B30" t="str">
            <v>BA-FLQ02</v>
          </cell>
        </row>
        <row r="31">
          <cell r="A31" t="str">
            <v>BA-FLQ03-CS-6</v>
          </cell>
          <cell r="B31" t="str">
            <v>BA-FLQ03</v>
          </cell>
        </row>
        <row r="32">
          <cell r="A32" t="str">
            <v>BA-FLQ03-RD-6</v>
          </cell>
          <cell r="B32" t="str">
            <v>BA-FLQ03</v>
          </cell>
        </row>
        <row r="33">
          <cell r="A33" t="str">
            <v>BA-FLQ32-BO-6</v>
          </cell>
          <cell r="B33" t="str">
            <v>BA-FLQ32</v>
          </cell>
        </row>
        <row r="34">
          <cell r="A34" t="str">
            <v>BBBD-1605A-BL</v>
          </cell>
          <cell r="B34" t="str">
            <v>BBBD-1605A</v>
          </cell>
        </row>
        <row r="35">
          <cell r="A35" t="str">
            <v>BBBD-1605A-RD</v>
          </cell>
          <cell r="B35" t="str">
            <v>BBBD-1605A</v>
          </cell>
        </row>
        <row r="36">
          <cell r="A36" t="str">
            <v>BBBD-BUSB1605A-BL</v>
          </cell>
          <cell r="B36" t="str">
            <v>BBBD-BUSB1605A</v>
          </cell>
        </row>
        <row r="37">
          <cell r="A37" t="str">
            <v>BBBD-BUSB1605A-CF</v>
          </cell>
          <cell r="B37" t="str">
            <v>BBBD-BUSB1605A</v>
          </cell>
        </row>
        <row r="38">
          <cell r="A38" t="str">
            <v>BBBD-BUSB1605A-PK</v>
          </cell>
          <cell r="B38" t="str">
            <v>BBBD-BUSB1605A</v>
          </cell>
        </row>
        <row r="39">
          <cell r="A39" t="str">
            <v>BBBD-BUSB1605A-RD</v>
          </cell>
          <cell r="B39" t="str">
            <v>BBBD-BUSB1605A</v>
          </cell>
        </row>
        <row r="40">
          <cell r="A40" t="str">
            <v>BBBD-BUSB1605B-BL</v>
          </cell>
          <cell r="B40" t="str">
            <v>BBBD-BUSB1605B</v>
          </cell>
        </row>
        <row r="41">
          <cell r="A41" t="str">
            <v>BBBD-BUSB1605B-PK</v>
          </cell>
          <cell r="B41" t="str">
            <v>BBBD-BUSB1605B</v>
          </cell>
        </row>
        <row r="42">
          <cell r="A42" t="str">
            <v>BBBD-BUSB1605B-RD</v>
          </cell>
          <cell r="B42" t="str">
            <v>BBBD-BUSB1605B</v>
          </cell>
        </row>
        <row r="43">
          <cell r="A43" t="str">
            <v>BDB-LUHM001-B0</v>
          </cell>
          <cell r="B43" t="str">
            <v>BDB-LUHM001</v>
          </cell>
        </row>
        <row r="44">
          <cell r="A44" t="str">
            <v>BDB-LUHM001-G0</v>
          </cell>
          <cell r="B44" t="str">
            <v>BDB-LUHM001</v>
          </cell>
        </row>
        <row r="45">
          <cell r="A45" t="str">
            <v>BDB-LUHM001-K0</v>
          </cell>
          <cell r="B45" t="str">
            <v>BDB-LUHM001</v>
          </cell>
        </row>
        <row r="46">
          <cell r="A46" t="str">
            <v>BDB-LUHM001-R0</v>
          </cell>
          <cell r="B46" t="str">
            <v>BDB-LUHM001</v>
          </cell>
        </row>
        <row r="47">
          <cell r="A47" t="str">
            <v>BDB-LUHM001-Y0</v>
          </cell>
          <cell r="B47" t="str">
            <v>BDB-LUHM001</v>
          </cell>
        </row>
        <row r="48">
          <cell r="A48" t="str">
            <v>BDB-LUHM001-ZL</v>
          </cell>
          <cell r="B48" t="str">
            <v>BDB-LUHM001</v>
          </cell>
        </row>
        <row r="49">
          <cell r="A49" t="str">
            <v>BDB-WF212-BJX-M</v>
          </cell>
          <cell r="B49" t="str">
            <v>BDB-WF212</v>
          </cell>
        </row>
        <row r="50">
          <cell r="A50" t="str">
            <v>BDB-WF212-CW-M</v>
          </cell>
          <cell r="B50" t="str">
            <v>BDB-WF212</v>
          </cell>
        </row>
        <row r="51">
          <cell r="A51" t="str">
            <v>BDB-WF212-JY-M</v>
          </cell>
          <cell r="B51" t="str">
            <v>BDB-WF212</v>
          </cell>
        </row>
        <row r="52">
          <cell r="A52" t="str">
            <v>BDB-WF212-SH-M</v>
          </cell>
          <cell r="B52" t="str">
            <v>BDB-WF212</v>
          </cell>
        </row>
        <row r="53">
          <cell r="A53" t="str">
            <v>BDB-WF212-SJS-M</v>
          </cell>
          <cell r="B53" t="str">
            <v>BDB-WF212</v>
          </cell>
        </row>
        <row r="54">
          <cell r="A54" t="str">
            <v>BD-LUHM001-X0</v>
          </cell>
          <cell r="B54" t="str">
            <v>BD-LUHM001</v>
          </cell>
        </row>
        <row r="55">
          <cell r="A55" t="str">
            <v>BD-LUHM010</v>
          </cell>
          <cell r="B55" t="str">
            <v>BD-LUHM010</v>
          </cell>
        </row>
        <row r="56">
          <cell r="A56" t="str">
            <v>BD-PUHM101-B0-L</v>
          </cell>
          <cell r="B56" t="str">
            <v>BD-LUHM010</v>
          </cell>
        </row>
        <row r="57">
          <cell r="A57" t="str">
            <v>BD-PUHM101-B0-M</v>
          </cell>
          <cell r="B57" t="str">
            <v>BD-LUHM010</v>
          </cell>
        </row>
        <row r="58">
          <cell r="A58" t="str">
            <v>BD-PUHM101-B0-S</v>
          </cell>
          <cell r="B58" t="str">
            <v>BD-LUHM010</v>
          </cell>
        </row>
        <row r="59">
          <cell r="A59" t="str">
            <v>BD-PUHM101-B0-XL</v>
          </cell>
          <cell r="B59" t="str">
            <v>BD-LUHM010</v>
          </cell>
        </row>
        <row r="60">
          <cell r="A60" t="str">
            <v>BD-PUHM101-G0-L</v>
          </cell>
          <cell r="B60" t="str">
            <v>BD-LUHM010</v>
          </cell>
        </row>
        <row r="61">
          <cell r="A61" t="str">
            <v>BD-PUHM101-G0-M</v>
          </cell>
          <cell r="B61" t="str">
            <v>BD-LUHM010</v>
          </cell>
        </row>
        <row r="62">
          <cell r="A62" t="str">
            <v>BD-PUHM101-G0-S</v>
          </cell>
          <cell r="B62" t="str">
            <v>BD-LUHM010</v>
          </cell>
        </row>
        <row r="63">
          <cell r="A63" t="str">
            <v>BD-PUHM101-G0-XL</v>
          </cell>
          <cell r="B63" t="str">
            <v>BD-LUHM010</v>
          </cell>
        </row>
        <row r="64">
          <cell r="A64" t="str">
            <v>BD-PUHM101-K0-L</v>
          </cell>
          <cell r="B64" t="str">
            <v>BD-LUHM010</v>
          </cell>
        </row>
        <row r="65">
          <cell r="A65" t="str">
            <v>BD-PUHM101-K0-M</v>
          </cell>
          <cell r="B65" t="str">
            <v>BD-LUHM010</v>
          </cell>
        </row>
        <row r="66">
          <cell r="A66" t="str">
            <v>BD-PUHM101-K0-S</v>
          </cell>
          <cell r="B66" t="str">
            <v>BD-LUHM010</v>
          </cell>
        </row>
        <row r="67">
          <cell r="A67" t="str">
            <v>BD-PUHM101-K0-XL</v>
          </cell>
          <cell r="B67" t="str">
            <v>BD-LUHM010</v>
          </cell>
        </row>
        <row r="68">
          <cell r="A68" t="str">
            <v>BD-PUHM101-R0-L</v>
          </cell>
          <cell r="B68" t="str">
            <v>BD-LUHM010</v>
          </cell>
        </row>
        <row r="69">
          <cell r="A69" t="str">
            <v>BD-PUHM101-R0-M</v>
          </cell>
          <cell r="B69" t="str">
            <v>BD-LUHM010</v>
          </cell>
        </row>
        <row r="70">
          <cell r="A70" t="str">
            <v>BD-PUHM101-R0-S</v>
          </cell>
          <cell r="B70" t="str">
            <v>BD-LUHM010</v>
          </cell>
        </row>
        <row r="71">
          <cell r="A71" t="str">
            <v>BD-PUHM101-R0-XL</v>
          </cell>
          <cell r="B71" t="str">
            <v>BD-LUHM010</v>
          </cell>
        </row>
        <row r="72">
          <cell r="A72" t="str">
            <v>BLT-LUHM000-CL</v>
          </cell>
          <cell r="B72" t="str">
            <v>BLT-LUHM000</v>
          </cell>
        </row>
        <row r="73">
          <cell r="A73" t="str">
            <v>BLT-LUHM000-CR</v>
          </cell>
          <cell r="B73" t="str">
            <v>BLT-LUHM000</v>
          </cell>
        </row>
        <row r="74">
          <cell r="A74" t="str">
            <v>BLT-LUHM000-GL</v>
          </cell>
          <cell r="B74" t="str">
            <v>BLT-LUHM000</v>
          </cell>
        </row>
        <row r="75">
          <cell r="A75" t="str">
            <v>BLT-LUHM000-GR</v>
          </cell>
          <cell r="B75" t="str">
            <v>BLT-LUHM000</v>
          </cell>
        </row>
        <row r="76">
          <cell r="A76" t="str">
            <v>BLT-LUHM000-LB</v>
          </cell>
          <cell r="B76" t="str">
            <v>BLT-LUHM000</v>
          </cell>
        </row>
        <row r="77">
          <cell r="A77" t="str">
            <v>BLT-LUHM000-RB</v>
          </cell>
          <cell r="B77" t="str">
            <v>BLT-LUHM000</v>
          </cell>
        </row>
        <row r="78">
          <cell r="A78" t="str">
            <v>BLT-LUHM819-W0</v>
          </cell>
          <cell r="B78" t="str">
            <v>BLT-LUHM819</v>
          </cell>
        </row>
        <row r="79">
          <cell r="A79" t="str">
            <v>BLT-NWF125-Cat</v>
          </cell>
          <cell r="B79" t="str">
            <v>BLT-NWF125</v>
          </cell>
        </row>
        <row r="80">
          <cell r="A80" t="str">
            <v>BLT-NWF125-Panda</v>
          </cell>
          <cell r="B80" t="str">
            <v>BLT-NWF125</v>
          </cell>
        </row>
        <row r="81">
          <cell r="A81" t="str">
            <v>BLT-WF125-CAT</v>
          </cell>
          <cell r="B81" t="str">
            <v>BLT-WF125</v>
          </cell>
        </row>
        <row r="82">
          <cell r="A82" t="str">
            <v>BLT-WF125-COW</v>
          </cell>
          <cell r="B82" t="str">
            <v>BLT-WF125</v>
          </cell>
        </row>
        <row r="83">
          <cell r="A83" t="str">
            <v>BLT-WF125-LION</v>
          </cell>
          <cell r="B83" t="str">
            <v>BLT-WF125</v>
          </cell>
        </row>
        <row r="84">
          <cell r="A84" t="str">
            <v>BLT-WF125-PANDA</v>
          </cell>
          <cell r="B84" t="str">
            <v>BLT-WF125</v>
          </cell>
        </row>
        <row r="85">
          <cell r="A85" t="str">
            <v>BX-PUHM000-G0-2XL</v>
          </cell>
          <cell r="B85" t="str">
            <v>BX-PUHM000</v>
          </cell>
        </row>
        <row r="86">
          <cell r="A86" t="str">
            <v>BX-PUHM000-G0-3XL</v>
          </cell>
          <cell r="B86" t="str">
            <v>BX-PUHM000</v>
          </cell>
        </row>
        <row r="87">
          <cell r="A87" t="str">
            <v>BX-PUHM000-G0-4XL</v>
          </cell>
          <cell r="B87" t="str">
            <v>BX-PUHM000</v>
          </cell>
        </row>
        <row r="88">
          <cell r="A88" t="str">
            <v>BX-PUHM000-G0-5XL</v>
          </cell>
          <cell r="B88" t="str">
            <v>BX-PUHM000</v>
          </cell>
        </row>
        <row r="89">
          <cell r="A89" t="str">
            <v>BX-PUHM000-G0-L</v>
          </cell>
          <cell r="B89" t="str">
            <v>BX-PUHM000</v>
          </cell>
        </row>
        <row r="90">
          <cell r="A90" t="str">
            <v>BX-PUHM000-G0-M</v>
          </cell>
          <cell r="B90" t="str">
            <v>BX-PUHM000</v>
          </cell>
        </row>
        <row r="91">
          <cell r="A91" t="str">
            <v>BX-PUHM000-G0-S</v>
          </cell>
          <cell r="B91" t="str">
            <v>BX-PUHM000</v>
          </cell>
        </row>
        <row r="92">
          <cell r="A92" t="str">
            <v>BX-PUHM000-G0-XL</v>
          </cell>
          <cell r="B92" t="str">
            <v>BX-PUHM000</v>
          </cell>
        </row>
        <row r="93">
          <cell r="A93" t="str">
            <v>BX-PUHM000-OR-2XL</v>
          </cell>
          <cell r="B93" t="str">
            <v>BX-PUHM000</v>
          </cell>
        </row>
        <row r="94">
          <cell r="A94" t="str">
            <v>BX-PUHM000-OR-3XL</v>
          </cell>
          <cell r="B94" t="str">
            <v>BX-PUHM000</v>
          </cell>
        </row>
        <row r="95">
          <cell r="A95" t="str">
            <v>BX-PUHM000-OR-4XL</v>
          </cell>
          <cell r="B95" t="str">
            <v>BX-PUHM000</v>
          </cell>
        </row>
        <row r="96">
          <cell r="A96" t="str">
            <v>BX-PUHM000-OR-5XL</v>
          </cell>
          <cell r="B96" t="str">
            <v>BX-PUHM000</v>
          </cell>
        </row>
        <row r="97">
          <cell r="A97" t="str">
            <v>BX-PUHM000-OR-L</v>
          </cell>
          <cell r="B97" t="str">
            <v>BX-PUHM000</v>
          </cell>
        </row>
        <row r="98">
          <cell r="A98" t="str">
            <v>BX-PUHM000-OR-M</v>
          </cell>
          <cell r="B98" t="str">
            <v>BX-PUHM000</v>
          </cell>
        </row>
        <row r="99">
          <cell r="A99" t="str">
            <v>BX-PUHM000-OR-S</v>
          </cell>
          <cell r="B99" t="str">
            <v>BX-PUHM000</v>
          </cell>
        </row>
        <row r="100">
          <cell r="A100" t="str">
            <v>BX-PUHM000-OR-XL</v>
          </cell>
          <cell r="B100" t="str">
            <v>BX-PUHM000</v>
          </cell>
        </row>
        <row r="101">
          <cell r="A101" t="str">
            <v>BX-PUHM000-P0-2XL</v>
          </cell>
          <cell r="B101" t="str">
            <v>BX-PUHM000</v>
          </cell>
        </row>
        <row r="102">
          <cell r="A102" t="str">
            <v>BX-PUHM000-P0-3XL</v>
          </cell>
          <cell r="B102" t="str">
            <v>BX-PUHM000</v>
          </cell>
        </row>
        <row r="103">
          <cell r="A103" t="str">
            <v>BX-PUHM000-P0-4XL</v>
          </cell>
          <cell r="B103" t="str">
            <v>BX-PUHM000</v>
          </cell>
        </row>
        <row r="104">
          <cell r="A104" t="str">
            <v>BX-PUHM000-P0-5XL</v>
          </cell>
          <cell r="B104" t="str">
            <v>BX-PUHM000</v>
          </cell>
        </row>
        <row r="105">
          <cell r="A105" t="str">
            <v>BX-PUHM000-P0-L</v>
          </cell>
          <cell r="B105" t="str">
            <v>BX-PUHM000</v>
          </cell>
        </row>
        <row r="106">
          <cell r="A106" t="str">
            <v>BX-PUHM000-P0-M</v>
          </cell>
          <cell r="B106" t="str">
            <v>BX-PUHM000</v>
          </cell>
        </row>
        <row r="107">
          <cell r="A107" t="str">
            <v>BX-PUHM000-P0-S</v>
          </cell>
          <cell r="B107" t="str">
            <v>BX-PUHM000</v>
          </cell>
        </row>
        <row r="108">
          <cell r="A108" t="str">
            <v>BX-PUHM000-P0-XL</v>
          </cell>
          <cell r="B108" t="str">
            <v>BX-PUHM000</v>
          </cell>
        </row>
        <row r="109">
          <cell r="A109" t="str">
            <v>BX-PUHM000-PI-2XL</v>
          </cell>
          <cell r="B109" t="str">
            <v>BX-PUHM000</v>
          </cell>
        </row>
        <row r="110">
          <cell r="A110" t="str">
            <v>BX-PUHM000-PI-3XL</v>
          </cell>
          <cell r="B110" t="str">
            <v>BX-PUHM000</v>
          </cell>
        </row>
        <row r="111">
          <cell r="A111" t="str">
            <v>BX-PUHM000-PI-4XL</v>
          </cell>
          <cell r="B111" t="str">
            <v>BX-PUHM000</v>
          </cell>
        </row>
        <row r="112">
          <cell r="A112" t="str">
            <v>BX-PUHM000-PI-5XL</v>
          </cell>
          <cell r="B112" t="str">
            <v>BX-PUHM000</v>
          </cell>
        </row>
        <row r="113">
          <cell r="A113" t="str">
            <v>BX-PUHM000-PI-L</v>
          </cell>
          <cell r="B113" t="str">
            <v>BX-PUHM000</v>
          </cell>
        </row>
        <row r="114">
          <cell r="A114" t="str">
            <v>BX-PUHM000-PI-M</v>
          </cell>
          <cell r="B114" t="str">
            <v>BX-PUHM000</v>
          </cell>
        </row>
        <row r="115">
          <cell r="A115" t="str">
            <v>BX-PUHM000-PI-S</v>
          </cell>
          <cell r="B115" t="str">
            <v>BX-PUHM000</v>
          </cell>
        </row>
        <row r="116">
          <cell r="A116" t="str">
            <v>BX-PUHM000-PI-XL</v>
          </cell>
          <cell r="B116" t="str">
            <v>BX-PUHM000</v>
          </cell>
        </row>
        <row r="117">
          <cell r="A117" t="str">
            <v>BX-PUHM000-R0-2XL</v>
          </cell>
          <cell r="B117" t="str">
            <v>BX-PUHM000</v>
          </cell>
        </row>
        <row r="118">
          <cell r="A118" t="str">
            <v>BX-PUHM000-R0-3XL</v>
          </cell>
          <cell r="B118" t="str">
            <v>BX-PUHM000</v>
          </cell>
        </row>
        <row r="119">
          <cell r="A119" t="str">
            <v>BX-PUHM000-R0-4XL</v>
          </cell>
          <cell r="B119" t="str">
            <v>BX-PUHM000</v>
          </cell>
        </row>
        <row r="120">
          <cell r="A120" t="str">
            <v>BX-PUHM000-R0-5XL</v>
          </cell>
          <cell r="B120" t="str">
            <v>BX-PUHM000</v>
          </cell>
        </row>
        <row r="121">
          <cell r="A121" t="str">
            <v>BX-PUHM000-R0-L</v>
          </cell>
          <cell r="B121" t="str">
            <v>BX-PUHM000</v>
          </cell>
        </row>
        <row r="122">
          <cell r="A122" t="str">
            <v>BX-PUHM000-R0-M</v>
          </cell>
          <cell r="B122" t="str">
            <v>BX-PUHM000</v>
          </cell>
        </row>
        <row r="123">
          <cell r="A123" t="str">
            <v>BX-PUHM000-R0-S</v>
          </cell>
          <cell r="B123" t="str">
            <v>BX-PUHM000</v>
          </cell>
        </row>
        <row r="124">
          <cell r="A124" t="str">
            <v>BX-PUHM000-R0-XL</v>
          </cell>
          <cell r="B124" t="str">
            <v>BX-PUHM000</v>
          </cell>
        </row>
        <row r="125">
          <cell r="A125" t="str">
            <v>BX-PUHM001-B0-L</v>
          </cell>
          <cell r="B125" t="str">
            <v>BX-PUHM001</v>
          </cell>
        </row>
        <row r="126">
          <cell r="A126" t="str">
            <v>BX-PUHM001-B0-M</v>
          </cell>
          <cell r="B126" t="str">
            <v>BX-PUHM001</v>
          </cell>
        </row>
        <row r="127">
          <cell r="A127" t="str">
            <v>BX-PUHM001-B0-S</v>
          </cell>
          <cell r="B127" t="str">
            <v>BX-PUHM001</v>
          </cell>
        </row>
        <row r="128">
          <cell r="A128" t="str">
            <v>BX-PUHM001-B0-XL</v>
          </cell>
          <cell r="B128" t="str">
            <v>BX-PUHM001</v>
          </cell>
        </row>
        <row r="129">
          <cell r="A129" t="str">
            <v>BX-PUHM001-B0-XS</v>
          </cell>
          <cell r="B129" t="str">
            <v>BX-PUHM001</v>
          </cell>
        </row>
        <row r="130">
          <cell r="A130" t="str">
            <v>BX-PUHM001-OR-L</v>
          </cell>
          <cell r="B130" t="str">
            <v>BX-PUHM001</v>
          </cell>
        </row>
        <row r="131">
          <cell r="A131" t="str">
            <v>BX-PUHM001-OR-M</v>
          </cell>
          <cell r="B131" t="str">
            <v>BX-PUHM001</v>
          </cell>
        </row>
        <row r="132">
          <cell r="A132" t="str">
            <v>BX-PUHM001-OR-S</v>
          </cell>
          <cell r="B132" t="str">
            <v>BX-PUHM001</v>
          </cell>
        </row>
        <row r="133">
          <cell r="A133" t="str">
            <v>BX-PUHM001-OR-XL</v>
          </cell>
          <cell r="B133" t="str">
            <v>BX-PUHM001</v>
          </cell>
        </row>
        <row r="134">
          <cell r="A134" t="str">
            <v>BX-PUHM001-OR-XS</v>
          </cell>
          <cell r="B134" t="str">
            <v>BX-PUHM001</v>
          </cell>
        </row>
        <row r="135">
          <cell r="A135" t="str">
            <v>BX-PUHM001-R0-L</v>
          </cell>
          <cell r="B135" t="str">
            <v>BX-PUHM001</v>
          </cell>
        </row>
        <row r="136">
          <cell r="A136" t="str">
            <v>BX-PUHM001-R0-M</v>
          </cell>
          <cell r="B136" t="str">
            <v>BX-PUHM001</v>
          </cell>
        </row>
        <row r="137">
          <cell r="A137" t="str">
            <v>BX-PUHM001-R0-S</v>
          </cell>
          <cell r="B137" t="str">
            <v>BX-PUHM001</v>
          </cell>
        </row>
        <row r="138">
          <cell r="A138" t="str">
            <v>BX-PUHM001-R0-XL</v>
          </cell>
          <cell r="B138" t="str">
            <v>BX-PUHM001</v>
          </cell>
        </row>
        <row r="139">
          <cell r="A139" t="str">
            <v>BX-PUHM001-R0-XS</v>
          </cell>
          <cell r="B139" t="str">
            <v>BX-PUHM001</v>
          </cell>
        </row>
        <row r="140">
          <cell r="A140" t="str">
            <v>BZ-WF211-BO</v>
          </cell>
          <cell r="B140" t="str">
            <v>BZ-WF211</v>
          </cell>
        </row>
        <row r="141">
          <cell r="A141" t="str">
            <v>BZ-WF211-BO-3M</v>
          </cell>
          <cell r="B141" t="str">
            <v>BZ-WF211</v>
          </cell>
        </row>
        <row r="142">
          <cell r="A142" t="str">
            <v>BZ-WF211-GR</v>
          </cell>
          <cell r="B142" t="str">
            <v>BZ-WF211</v>
          </cell>
        </row>
        <row r="143">
          <cell r="A143" t="str">
            <v>BZ-WF211-GR-3M</v>
          </cell>
          <cell r="B143" t="str">
            <v>BZ-WF211</v>
          </cell>
        </row>
        <row r="144">
          <cell r="A144" t="str">
            <v>BZ-WF211-PI</v>
          </cell>
          <cell r="B144" t="str">
            <v>BZ-WF211</v>
          </cell>
        </row>
        <row r="145">
          <cell r="A145" t="str">
            <v>BZ-WF211-PI-3M</v>
          </cell>
          <cell r="B145" t="str">
            <v>BZ-WF211</v>
          </cell>
        </row>
        <row r="146">
          <cell r="A146" t="str">
            <v>BZ-WF211-WO</v>
          </cell>
          <cell r="B146" t="str">
            <v>BZ-WF211</v>
          </cell>
        </row>
        <row r="147">
          <cell r="A147" t="str">
            <v>BZ-WF211-WO-3M</v>
          </cell>
          <cell r="B147" t="str">
            <v>BZ-WF211</v>
          </cell>
        </row>
        <row r="148">
          <cell r="A148" t="str">
            <v>CD-WF001-CF-1</v>
          </cell>
          <cell r="B148" t="str">
            <v>CD-WF001</v>
          </cell>
        </row>
        <row r="149">
          <cell r="A149" t="str">
            <v>CD-WF001-GO-1</v>
          </cell>
          <cell r="B149" t="str">
            <v>CD-WF001</v>
          </cell>
        </row>
        <row r="150">
          <cell r="A150" t="str">
            <v>CD-WF001-GR-1</v>
          </cell>
          <cell r="B150" t="str">
            <v>CD-WF001</v>
          </cell>
        </row>
        <row r="151">
          <cell r="A151" t="str">
            <v>CD-WF001-KK-1</v>
          </cell>
          <cell r="B151" t="str">
            <v>CD-WF001</v>
          </cell>
        </row>
        <row r="152">
          <cell r="A152" t="str">
            <v>CD-WF001-RO-1</v>
          </cell>
          <cell r="B152" t="str">
            <v>CD-WF001</v>
          </cell>
        </row>
        <row r="153">
          <cell r="A153" t="str">
            <v>CD-WF0728-4C</v>
          </cell>
          <cell r="B153" t="str">
            <v>CD-WF0728</v>
          </cell>
        </row>
        <row r="154">
          <cell r="A154" t="str">
            <v>CD-WF0728-4C-GM</v>
          </cell>
          <cell r="B154" t="str">
            <v>CD-WF0728</v>
          </cell>
        </row>
        <row r="155">
          <cell r="A155" t="str">
            <v>CD-WF117-GR-1</v>
          </cell>
          <cell r="B155" t="str">
            <v>CD-WF117</v>
          </cell>
        </row>
        <row r="156">
          <cell r="A156" t="str">
            <v>CD-WF117-WM-1</v>
          </cell>
          <cell r="B156" t="str">
            <v>CD-WF117</v>
          </cell>
        </row>
        <row r="157">
          <cell r="A157" t="str">
            <v>CD-WF482-BO</v>
          </cell>
          <cell r="B157" t="str">
            <v>CD-WF482</v>
          </cell>
        </row>
        <row r="158">
          <cell r="A158" t="str">
            <v>CD-WF482-BO-1</v>
          </cell>
          <cell r="B158" t="str">
            <v>CD-WF482</v>
          </cell>
        </row>
        <row r="159">
          <cell r="A159" t="str">
            <v>CD-WF482-CB</v>
          </cell>
          <cell r="B159" t="str">
            <v>CD-WF482</v>
          </cell>
        </row>
        <row r="160">
          <cell r="A160" t="str">
            <v>CD-WF482-CB-1</v>
          </cell>
          <cell r="B160" t="str">
            <v>CD-WF482</v>
          </cell>
        </row>
        <row r="161">
          <cell r="A161" t="str">
            <v>CD-WF482-RO</v>
          </cell>
          <cell r="B161" t="str">
            <v>CD-WF482</v>
          </cell>
        </row>
        <row r="162">
          <cell r="A162" t="str">
            <v>CD-WF482-RO-1</v>
          </cell>
          <cell r="B162" t="str">
            <v>CD-WF482</v>
          </cell>
        </row>
        <row r="163">
          <cell r="A163" t="str">
            <v>CD-WF-CF</v>
          </cell>
          <cell r="B163" t="str">
            <v>CD-WF</v>
          </cell>
        </row>
        <row r="164">
          <cell r="A164" t="str">
            <v>CD-WF-GD</v>
          </cell>
          <cell r="B164" t="str">
            <v>CD-WF</v>
          </cell>
        </row>
        <row r="165">
          <cell r="A165" t="str">
            <v>CD-WF-KK</v>
          </cell>
          <cell r="B165" t="str">
            <v>CD-WF</v>
          </cell>
        </row>
        <row r="166">
          <cell r="A166" t="str">
            <v>CD-WF-SG</v>
          </cell>
          <cell r="B166" t="str">
            <v>CD-WF</v>
          </cell>
        </row>
        <row r="167">
          <cell r="A167" t="str">
            <v>CD-WF-WO</v>
          </cell>
          <cell r="B167" t="str">
            <v>CD-WF</v>
          </cell>
        </row>
        <row r="168">
          <cell r="A168" t="str">
            <v>CLP-FLQ43-CS100-100</v>
          </cell>
          <cell r="B168" t="str">
            <v>CLP-FLQ43</v>
          </cell>
        </row>
        <row r="169">
          <cell r="A169" t="str">
            <v>CLP-FLQ43-CS60-60</v>
          </cell>
          <cell r="B169" t="str">
            <v>CLP-FLQ43</v>
          </cell>
        </row>
        <row r="170">
          <cell r="A170" t="str">
            <v>CQC-WF6346-BO</v>
          </cell>
          <cell r="B170" t="str">
            <v>CQC-WF6346</v>
          </cell>
        </row>
        <row r="171">
          <cell r="A171" t="str">
            <v>CQC-WF6346-GO</v>
          </cell>
          <cell r="B171" t="str">
            <v>CQC-WF6346</v>
          </cell>
        </row>
        <row r="172">
          <cell r="A172" t="str">
            <v>CQC-WF6346-PO</v>
          </cell>
          <cell r="B172" t="str">
            <v>CQC-WF6346</v>
          </cell>
        </row>
        <row r="173">
          <cell r="A173" t="str">
            <v>CWB-FLQ1703-GR-47</v>
          </cell>
          <cell r="B173" t="str">
            <v>CWB-FLQ1703</v>
          </cell>
        </row>
        <row r="174">
          <cell r="A174" t="str">
            <v>CWB-FLQ1703-LP-47</v>
          </cell>
          <cell r="B174" t="str">
            <v>CWB-FLQ1703</v>
          </cell>
        </row>
        <row r="175">
          <cell r="A175" t="str">
            <v>CWB-FLQ1703-NO-47</v>
          </cell>
          <cell r="B175" t="str">
            <v>CWB-FLQ1703</v>
          </cell>
        </row>
        <row r="176">
          <cell r="A176" t="str">
            <v>CWB-FLQ1703-PI-47</v>
          </cell>
          <cell r="B176" t="str">
            <v>CWB-FLQ1703</v>
          </cell>
        </row>
        <row r="177">
          <cell r="A177" t="str">
            <v>CWB-WF021-CF-L</v>
          </cell>
          <cell r="B177" t="str">
            <v>CWB-WF021</v>
          </cell>
        </row>
        <row r="178">
          <cell r="A178" t="str">
            <v>CWB-WF021-CF-M</v>
          </cell>
          <cell r="B178" t="str">
            <v>CWB-WF021</v>
          </cell>
        </row>
        <row r="179">
          <cell r="A179" t="str">
            <v>CWB-WF021-CF-S</v>
          </cell>
          <cell r="B179" t="str">
            <v>CWB-WF021</v>
          </cell>
        </row>
        <row r="180">
          <cell r="A180" t="str">
            <v>CWB-WF021-CF-XL</v>
          </cell>
          <cell r="B180" t="str">
            <v>CWB-WF021</v>
          </cell>
        </row>
        <row r="181">
          <cell r="A181" t="str">
            <v>CWB-WF021-QB-L</v>
          </cell>
          <cell r="B181" t="str">
            <v>CWB-WF021</v>
          </cell>
        </row>
        <row r="182">
          <cell r="A182" t="str">
            <v>CWB-WF021-QB-M</v>
          </cell>
          <cell r="B182" t="str">
            <v>CWB-WF021</v>
          </cell>
        </row>
        <row r="183">
          <cell r="A183" t="str">
            <v>CWB-WF021-QB-S</v>
          </cell>
          <cell r="B183" t="str">
            <v>CWB-WF021</v>
          </cell>
        </row>
        <row r="184">
          <cell r="A184" t="str">
            <v>CWB-WF021-QB-XL</v>
          </cell>
          <cell r="B184" t="str">
            <v>CWB-WF021</v>
          </cell>
        </row>
        <row r="185">
          <cell r="A185" t="str">
            <v>CWB-WF021-RB-L</v>
          </cell>
          <cell r="B185" t="str">
            <v>CWB-WF021</v>
          </cell>
        </row>
        <row r="186">
          <cell r="A186" t="str">
            <v>CWB-WF021-RB-M</v>
          </cell>
          <cell r="B186" t="str">
            <v>CWB-WF021</v>
          </cell>
        </row>
        <row r="187">
          <cell r="A187" t="str">
            <v>CWB-WF021-RB-S</v>
          </cell>
          <cell r="B187" t="str">
            <v>CWB-WF021</v>
          </cell>
        </row>
        <row r="188">
          <cell r="A188" t="str">
            <v>CWB-WF021-RB-XL</v>
          </cell>
          <cell r="B188" t="str">
            <v>CWB-WF021</v>
          </cell>
        </row>
        <row r="189">
          <cell r="A189" t="str">
            <v>DZ-IUYL200-BK</v>
          </cell>
          <cell r="B189" t="str">
            <v>DZ-IUYL200</v>
          </cell>
        </row>
        <row r="190">
          <cell r="A190" t="str">
            <v>DZ-IUYL200-GR</v>
          </cell>
          <cell r="B190" t="str">
            <v>DZ-IUYL200</v>
          </cell>
        </row>
        <row r="191">
          <cell r="A191" t="str">
            <v>DZ-IUYL210-BK</v>
          </cell>
          <cell r="B191" t="str">
            <v>DZ-IUYL210</v>
          </cell>
        </row>
        <row r="192">
          <cell r="A192" t="str">
            <v>DZ-IUYL210-GR</v>
          </cell>
          <cell r="B192" t="str">
            <v>DZ-IUYL210</v>
          </cell>
        </row>
        <row r="193">
          <cell r="A193" t="str">
            <v>DZ-IUYL220-BK</v>
          </cell>
          <cell r="B193" t="str">
            <v>DZ-IUYL220</v>
          </cell>
        </row>
        <row r="194">
          <cell r="A194" t="str">
            <v>DZ-IUYL220-GR</v>
          </cell>
          <cell r="B194" t="str">
            <v>DZ-IUYL220</v>
          </cell>
        </row>
        <row r="195">
          <cell r="A195" t="str">
            <v>GB-LUHM035-B0</v>
          </cell>
          <cell r="B195" t="str">
            <v>GB-LUHM035</v>
          </cell>
        </row>
        <row r="196">
          <cell r="A196" t="str">
            <v>GB-LUHM035-BE</v>
          </cell>
          <cell r="B196" t="str">
            <v>GB-LUHM035</v>
          </cell>
        </row>
        <row r="197">
          <cell r="A197" t="str">
            <v>GB-LUHM035-P0</v>
          </cell>
          <cell r="B197" t="str">
            <v>GB-LUHM035</v>
          </cell>
        </row>
        <row r="198">
          <cell r="A198" t="str">
            <v>GS-IUYL270</v>
          </cell>
          <cell r="B198" t="str">
            <v>GS-IUYL270</v>
          </cell>
        </row>
        <row r="199">
          <cell r="A199" t="str">
            <v>GS-IUYL280-1</v>
          </cell>
          <cell r="B199" t="str">
            <v>GS-IUYL280</v>
          </cell>
        </row>
        <row r="200">
          <cell r="A200" t="str">
            <v>GS-IUYL280-2</v>
          </cell>
          <cell r="B200" t="str">
            <v>GS-IUYL280</v>
          </cell>
        </row>
        <row r="201">
          <cell r="A201" t="str">
            <v>GS-IUYL280-3</v>
          </cell>
          <cell r="B201" t="str">
            <v>GS-IUYL280</v>
          </cell>
        </row>
        <row r="202">
          <cell r="A202" t="str">
            <v>GS-PUHM019-B0-L</v>
          </cell>
          <cell r="B202" t="str">
            <v>GS-PUHM019</v>
          </cell>
        </row>
        <row r="203">
          <cell r="A203" t="str">
            <v>GS-PUHM019-B0-M</v>
          </cell>
          <cell r="B203" t="str">
            <v>GS-PUHM019</v>
          </cell>
        </row>
        <row r="204">
          <cell r="A204" t="str">
            <v>GS-PUHM019-B0-S</v>
          </cell>
          <cell r="B204" t="str">
            <v>GS-PUHM019</v>
          </cell>
        </row>
        <row r="205">
          <cell r="A205" t="str">
            <v>GS-PUHM019-B0-XL</v>
          </cell>
          <cell r="B205" t="str">
            <v>GS-PUHM019</v>
          </cell>
        </row>
        <row r="206">
          <cell r="A206" t="str">
            <v>GS-PUHM019-K0-L</v>
          </cell>
          <cell r="B206" t="str">
            <v>GS-PUHM019</v>
          </cell>
        </row>
        <row r="207">
          <cell r="A207" t="str">
            <v>GS-PUHM019-K0-M</v>
          </cell>
          <cell r="B207" t="str">
            <v>GS-PUHM019</v>
          </cell>
        </row>
        <row r="208">
          <cell r="A208" t="str">
            <v>GS-PUHM019-K0-S</v>
          </cell>
          <cell r="B208" t="str">
            <v>GS-PUHM019</v>
          </cell>
        </row>
        <row r="209">
          <cell r="A209" t="str">
            <v>GS-PUHM019-K0-XL</v>
          </cell>
          <cell r="B209" t="str">
            <v>GS-PUHM019</v>
          </cell>
        </row>
        <row r="210">
          <cell r="A210" t="str">
            <v>GS-PUHM019-R0-L</v>
          </cell>
          <cell r="B210" t="str">
            <v>GS-PUHM019</v>
          </cell>
        </row>
        <row r="211">
          <cell r="A211" t="str">
            <v>GS-PUHM019-R0-M</v>
          </cell>
          <cell r="B211" t="str">
            <v>GS-PUHM019</v>
          </cell>
        </row>
        <row r="212">
          <cell r="A212" t="str">
            <v>GS-PUHM019-R0-S</v>
          </cell>
          <cell r="B212" t="str">
            <v>GS-PUHM019</v>
          </cell>
        </row>
        <row r="213">
          <cell r="A213" t="str">
            <v>GS-PUHM019-R0-XL</v>
          </cell>
          <cell r="B213" t="str">
            <v>GS-PUHM019</v>
          </cell>
        </row>
        <row r="214">
          <cell r="A214" t="str">
            <v>GSQPQ-WF2012-GO</v>
          </cell>
          <cell r="B214" t="str">
            <v>GSQPQ-WF2012</v>
          </cell>
        </row>
        <row r="215">
          <cell r="A215" t="str">
            <v>GT-WFTFGT200-209</v>
          </cell>
          <cell r="B215" t="str">
            <v>GT-WFTFGT200</v>
          </cell>
        </row>
        <row r="216">
          <cell r="A216" t="str">
            <v>GT-WFTFGT200-211</v>
          </cell>
          <cell r="B216" t="str">
            <v>GT-WFTFGT200</v>
          </cell>
        </row>
        <row r="217">
          <cell r="A217" t="str">
            <v>GT-WFTFGT200-213</v>
          </cell>
          <cell r="B217" t="str">
            <v>GT-WFTFGT200</v>
          </cell>
        </row>
        <row r="218">
          <cell r="A218" t="str">
            <v>GT-WFTFGT200-214</v>
          </cell>
          <cell r="B218" t="str">
            <v>GT-WFTFGT200</v>
          </cell>
        </row>
        <row r="219">
          <cell r="A219" t="str">
            <v>GT-WFTFGT200-216</v>
          </cell>
          <cell r="B219" t="str">
            <v>GT-WFTFGT200</v>
          </cell>
        </row>
        <row r="220">
          <cell r="A220" t="str">
            <v>GT-WFTFGT200-220</v>
          </cell>
          <cell r="B220" t="str">
            <v>GT-WFTFGT200</v>
          </cell>
        </row>
        <row r="221">
          <cell r="A221" t="str">
            <v>GT-WFTFGT200-221</v>
          </cell>
          <cell r="B221" t="str">
            <v>GT-WFTFGT200</v>
          </cell>
        </row>
        <row r="222">
          <cell r="A222" t="str">
            <v>GT-WFTFGT200-223</v>
          </cell>
          <cell r="B222" t="str">
            <v>GT-WFTFGT200</v>
          </cell>
        </row>
        <row r="223">
          <cell r="A223" t="str">
            <v>GT-WFTFGT200-224</v>
          </cell>
          <cell r="B223" t="str">
            <v>GT-WFTFGT200</v>
          </cell>
        </row>
        <row r="224">
          <cell r="A224" t="str">
            <v>GT-WFY1-E1</v>
          </cell>
          <cell r="B224" t="str">
            <v>GT-WFY1</v>
          </cell>
        </row>
        <row r="225">
          <cell r="A225" t="str">
            <v>GT-WFY1-E2</v>
          </cell>
          <cell r="B225" t="str">
            <v>GT-WFY1</v>
          </cell>
        </row>
        <row r="226">
          <cell r="A226" t="str">
            <v>GT-WFY1-E3</v>
          </cell>
          <cell r="B226" t="str">
            <v>GT-WFY1</v>
          </cell>
        </row>
        <row r="227">
          <cell r="A227" t="str">
            <v>GT-WFY1-E4</v>
          </cell>
          <cell r="B227" t="str">
            <v>GT-WFY1</v>
          </cell>
        </row>
        <row r="228">
          <cell r="A228" t="str">
            <v>GW-LULHY-10</v>
          </cell>
          <cell r="B228" t="str">
            <v>GW-LULHY</v>
          </cell>
        </row>
        <row r="229">
          <cell r="A229" t="str">
            <v>GW-LULHY-4.5</v>
          </cell>
          <cell r="B229" t="str">
            <v>GW-LULHY</v>
          </cell>
        </row>
        <row r="230">
          <cell r="A230" t="str">
            <v>GW-LULHY-5.1</v>
          </cell>
          <cell r="B230" t="str">
            <v>GW-LULHY</v>
          </cell>
        </row>
        <row r="231">
          <cell r="A231" t="str">
            <v>GW-LULHY-6.2</v>
          </cell>
          <cell r="B231" t="str">
            <v>GW-LULHY</v>
          </cell>
        </row>
        <row r="232">
          <cell r="A232" t="str">
            <v>GW-LULHY-7.6</v>
          </cell>
          <cell r="B232" t="str">
            <v>GW-LULHY</v>
          </cell>
        </row>
        <row r="233">
          <cell r="A233" t="str">
            <v>GW-LULHY-8.8</v>
          </cell>
          <cell r="B233" t="str">
            <v>GW-LULHY</v>
          </cell>
        </row>
        <row r="234">
          <cell r="A234" t="str">
            <v>HYD-WF7995-BO-XL</v>
          </cell>
          <cell r="B234" t="str">
            <v>HYD-WF7995</v>
          </cell>
        </row>
        <row r="235">
          <cell r="A235" t="str">
            <v>HYD-WF7995-RO-XL</v>
          </cell>
          <cell r="B235" t="str">
            <v>HYD-WF7995</v>
          </cell>
        </row>
        <row r="236">
          <cell r="A236" t="str">
            <v>HZB-QJTZ-IUYL300310</v>
          </cell>
          <cell r="B236" t="str">
            <v>HZB-QJTZ</v>
          </cell>
        </row>
        <row r="237">
          <cell r="A237" t="str">
            <v>JPTZH-FLQ10-XR-32</v>
          </cell>
          <cell r="B237" t="str">
            <v>JPTZH-FLQ10</v>
          </cell>
        </row>
        <row r="238">
          <cell r="A238" t="str">
            <v>JPTZH-FLQ11-GO-30</v>
          </cell>
          <cell r="B238" t="str">
            <v>JPTZH-FLQ11</v>
          </cell>
        </row>
        <row r="239">
          <cell r="A239" t="str">
            <v>JPTZH-FLQ13XZ</v>
          </cell>
          <cell r="B239" t="str">
            <v>JPTZH-FLQ13</v>
          </cell>
        </row>
        <row r="240">
          <cell r="A240" t="str">
            <v>JPTZH-FLQ14ML-RO-18</v>
          </cell>
          <cell r="B240" t="str">
            <v>JPTZH-FLQ14ML</v>
          </cell>
        </row>
        <row r="241">
          <cell r="A241" t="str">
            <v>JS-LUHM100-AX</v>
          </cell>
          <cell r="B241" t="str">
            <v>JS-LUHM100</v>
          </cell>
        </row>
        <row r="242">
          <cell r="A242" t="str">
            <v>JS-LUHM100-JSZFX</v>
          </cell>
          <cell r="B242" t="str">
            <v>JS-LUHM100</v>
          </cell>
        </row>
        <row r="243">
          <cell r="A243" t="str">
            <v>JS-LUHM100-KLT</v>
          </cell>
          <cell r="B243" t="str">
            <v>JS-LUHM100</v>
          </cell>
        </row>
        <row r="244">
          <cell r="A244" t="str">
            <v>JS-LUHM100-LBX</v>
          </cell>
          <cell r="B244" t="str">
            <v>JS-LUHM100</v>
          </cell>
        </row>
        <row r="245">
          <cell r="A245" t="str">
            <v>JS-LUHM100-LX</v>
          </cell>
          <cell r="B245" t="str">
            <v>JS-LUHM100</v>
          </cell>
        </row>
        <row r="246">
          <cell r="A246" t="str">
            <v>JS-LUHM100-XJQ</v>
          </cell>
          <cell r="B246" t="str">
            <v>JS-LUHM100</v>
          </cell>
        </row>
        <row r="247">
          <cell r="A247" t="str">
            <v>JS-LUHM100-ZFX</v>
          </cell>
          <cell r="B247" t="str">
            <v>JS-LUHM100</v>
          </cell>
        </row>
        <row r="248">
          <cell r="A248" t="str">
            <v>KZ-LUHM000-E0-L</v>
          </cell>
          <cell r="B248" t="str">
            <v>KZ-LUHM000</v>
          </cell>
        </row>
        <row r="249">
          <cell r="A249" t="str">
            <v>KZ-LUHM000-E0-M</v>
          </cell>
          <cell r="B249" t="str">
            <v>KZ-LUHM000</v>
          </cell>
        </row>
        <row r="250">
          <cell r="A250" t="str">
            <v>KZ-LUHM000-E0-XL</v>
          </cell>
          <cell r="B250" t="str">
            <v>KZ-LUHM000</v>
          </cell>
        </row>
        <row r="251">
          <cell r="A251" t="str">
            <v>KZ-LUHM000-K0-L</v>
          </cell>
          <cell r="B251" t="str">
            <v>KZ-LUHM000</v>
          </cell>
        </row>
        <row r="252">
          <cell r="A252" t="str">
            <v>KZ-LUHM000-K0-M</v>
          </cell>
          <cell r="B252" t="str">
            <v>KZ-LUHM000</v>
          </cell>
        </row>
        <row r="253">
          <cell r="A253" t="str">
            <v>KZ-LUHM000-K0-XL</v>
          </cell>
          <cell r="B253" t="str">
            <v>KZ-LUHM000</v>
          </cell>
        </row>
        <row r="254">
          <cell r="A254" t="str">
            <v>KZ-LUHM000-R0-L</v>
          </cell>
          <cell r="B254" t="str">
            <v>KZ-LUHM000</v>
          </cell>
        </row>
        <row r="255">
          <cell r="A255" t="str">
            <v>KZ-LUHM000-R0-M</v>
          </cell>
          <cell r="B255" t="str">
            <v>KZ-LUHM000</v>
          </cell>
        </row>
        <row r="256">
          <cell r="A256" t="str">
            <v>KZ-LUHM000-R0-XL</v>
          </cell>
          <cell r="B256" t="str">
            <v>KZ-LUHM000</v>
          </cell>
        </row>
        <row r="257">
          <cell r="A257" t="str">
            <v>KZ-LUHM000-W0-L</v>
          </cell>
          <cell r="B257" t="str">
            <v>KZ-LUHM000</v>
          </cell>
        </row>
        <row r="258">
          <cell r="A258" t="str">
            <v>KZ-LUHM000-W0-M</v>
          </cell>
          <cell r="B258" t="str">
            <v>KZ-LUHM000</v>
          </cell>
        </row>
        <row r="259">
          <cell r="A259" t="str">
            <v>KZ-LUHM000-W0-XL</v>
          </cell>
          <cell r="B259" t="str">
            <v>KZ-LUHM000</v>
          </cell>
        </row>
        <row r="260">
          <cell r="A260" t="str">
            <v>KZ-LUHM000-Y0-L</v>
          </cell>
          <cell r="B260" t="str">
            <v>KZ-LUHM000</v>
          </cell>
        </row>
        <row r="261">
          <cell r="A261" t="str">
            <v>KZ-LUHM000-Y0-M</v>
          </cell>
          <cell r="B261" t="str">
            <v>KZ-LUHM000</v>
          </cell>
        </row>
        <row r="262">
          <cell r="A262" t="str">
            <v>KZ-LUHM000-Y0-XL</v>
          </cell>
          <cell r="B262" t="str">
            <v>KZ-LUHM000</v>
          </cell>
        </row>
        <row r="263">
          <cell r="A263" t="str">
            <v>KZ-LY021-BK-32</v>
          </cell>
          <cell r="B263" t="str">
            <v>KZ-LY021</v>
          </cell>
        </row>
        <row r="264">
          <cell r="A264" t="str">
            <v>KZ-LY021-BK-34</v>
          </cell>
          <cell r="B264" t="str">
            <v>KZ-LY021</v>
          </cell>
        </row>
        <row r="265">
          <cell r="A265" t="str">
            <v>KZ-LY021-BK-36</v>
          </cell>
          <cell r="B265" t="str">
            <v>KZ-LY021</v>
          </cell>
        </row>
        <row r="266">
          <cell r="A266" t="str">
            <v>KZ-LY021-BK-38</v>
          </cell>
          <cell r="B266" t="str">
            <v>KZ-LY021</v>
          </cell>
        </row>
        <row r="267">
          <cell r="A267" t="str">
            <v>KZ-LY021-BK-40</v>
          </cell>
          <cell r="B267" t="str">
            <v>KZ-LY021</v>
          </cell>
        </row>
        <row r="268">
          <cell r="A268" t="str">
            <v>KZ-LY021-BL-32</v>
          </cell>
          <cell r="B268" t="str">
            <v>KZ-LY021</v>
          </cell>
        </row>
        <row r="269">
          <cell r="A269" t="str">
            <v>KZ-LY021-BL-34</v>
          </cell>
          <cell r="B269" t="str">
            <v>KZ-LY021</v>
          </cell>
        </row>
        <row r="270">
          <cell r="A270" t="str">
            <v>KZ-LY021-BL-36</v>
          </cell>
          <cell r="B270" t="str">
            <v>KZ-LY021</v>
          </cell>
        </row>
        <row r="271">
          <cell r="A271" t="str">
            <v>KZ-LY021-BL-38</v>
          </cell>
          <cell r="B271" t="str">
            <v>KZ-LY021</v>
          </cell>
        </row>
        <row r="272">
          <cell r="A272" t="str">
            <v>KZ-LY021-BL-40</v>
          </cell>
          <cell r="B272" t="str">
            <v>KZ-LY021</v>
          </cell>
        </row>
        <row r="273">
          <cell r="A273" t="str">
            <v>KZ-LY021-GY-32</v>
          </cell>
          <cell r="B273" t="str">
            <v>KZ-LY021</v>
          </cell>
        </row>
        <row r="274">
          <cell r="A274" t="str">
            <v>KZ-LY021-GY-34</v>
          </cell>
          <cell r="B274" t="str">
            <v>KZ-LY021</v>
          </cell>
        </row>
        <row r="275">
          <cell r="A275" t="str">
            <v>KZ-LY021-GY-36</v>
          </cell>
          <cell r="B275" t="str">
            <v>KZ-LY021</v>
          </cell>
        </row>
        <row r="276">
          <cell r="A276" t="str">
            <v>KZ-LY021-GY-38</v>
          </cell>
          <cell r="B276" t="str">
            <v>KZ-LY021</v>
          </cell>
        </row>
        <row r="277">
          <cell r="A277" t="str">
            <v>KZ-LY021-GY-40</v>
          </cell>
          <cell r="B277" t="str">
            <v>KZ-LY021</v>
          </cell>
        </row>
        <row r="278">
          <cell r="A278" t="str">
            <v>KZ-LY021-KK-32</v>
          </cell>
          <cell r="B278" t="str">
            <v>KZ-LY021</v>
          </cell>
        </row>
        <row r="279">
          <cell r="A279" t="str">
            <v>KZ-LY021-KK-34</v>
          </cell>
          <cell r="B279" t="str">
            <v>KZ-LY021</v>
          </cell>
        </row>
        <row r="280">
          <cell r="A280" t="str">
            <v>KZ-LY021-KK-38</v>
          </cell>
          <cell r="B280" t="str">
            <v>KZ-LY021</v>
          </cell>
        </row>
        <row r="281">
          <cell r="A281" t="str">
            <v>KZ-LY021-KK-40</v>
          </cell>
          <cell r="B281" t="str">
            <v>KZ-LY021</v>
          </cell>
        </row>
        <row r="282">
          <cell r="A282" t="str">
            <v>KZ-LY021-NY-32</v>
          </cell>
          <cell r="B282" t="str">
            <v>KZ-LY021</v>
          </cell>
        </row>
        <row r="283">
          <cell r="A283" t="str">
            <v>KZ-LY021-NY-34</v>
          </cell>
          <cell r="B283" t="str">
            <v>KZ-LY021</v>
          </cell>
        </row>
        <row r="284">
          <cell r="A284" t="str">
            <v>KZ-LY021-NY-36</v>
          </cell>
          <cell r="B284" t="str">
            <v>KZ-LY021</v>
          </cell>
        </row>
        <row r="285">
          <cell r="A285" t="str">
            <v>KZ-LY021-NY-38</v>
          </cell>
          <cell r="B285" t="str">
            <v>KZ-LY021</v>
          </cell>
        </row>
        <row r="286">
          <cell r="A286" t="str">
            <v>KZ-LY021-NY-40</v>
          </cell>
          <cell r="B286" t="str">
            <v>KZ-LY021</v>
          </cell>
        </row>
        <row r="287">
          <cell r="A287" t="str">
            <v>KZ-LY021-WR-32</v>
          </cell>
          <cell r="B287" t="str">
            <v>KZ-LY021</v>
          </cell>
        </row>
        <row r="288">
          <cell r="A288" t="str">
            <v>KZ-LY021-WR-34</v>
          </cell>
          <cell r="B288" t="str">
            <v>KZ-LY021</v>
          </cell>
        </row>
        <row r="289">
          <cell r="A289" t="str">
            <v>KZ-LY021-WR-36</v>
          </cell>
          <cell r="B289" t="str">
            <v>KZ-LY021</v>
          </cell>
        </row>
        <row r="290">
          <cell r="A290" t="str">
            <v>KZ-LY021-WR-38</v>
          </cell>
          <cell r="B290" t="str">
            <v>KZ-LY021</v>
          </cell>
        </row>
        <row r="291">
          <cell r="A291" t="str">
            <v>KZ-LY021-WR-40</v>
          </cell>
          <cell r="B291" t="str">
            <v>KZ-LY021</v>
          </cell>
        </row>
        <row r="292">
          <cell r="A292" t="str">
            <v>LGQ-IUYL100-BL</v>
          </cell>
          <cell r="B292" t="str">
            <v>LGQ-IUYL100</v>
          </cell>
        </row>
        <row r="293">
          <cell r="A293" t="str">
            <v>LGQ-IUYL100-GN</v>
          </cell>
          <cell r="B293" t="str">
            <v>LGQ-IUYL100</v>
          </cell>
        </row>
        <row r="294">
          <cell r="A294" t="str">
            <v>LGQ-IUYL100-PK</v>
          </cell>
          <cell r="B294" t="str">
            <v>LGQ-IUYL100</v>
          </cell>
        </row>
        <row r="295">
          <cell r="A295" t="str">
            <v>LGQ-IUYL100-RD</v>
          </cell>
          <cell r="B295" t="str">
            <v>LGQ-IUYL100</v>
          </cell>
        </row>
        <row r="296">
          <cell r="A296" t="str">
            <v>LGQ-IUYL100-WT</v>
          </cell>
          <cell r="B296" t="str">
            <v>LGQ-IUYL100</v>
          </cell>
        </row>
        <row r="297">
          <cell r="A297" t="str">
            <v>LGQ-IUYL100-YL</v>
          </cell>
          <cell r="B297" t="str">
            <v>LGQ-IUYL100</v>
          </cell>
        </row>
        <row r="298">
          <cell r="A298" t="str">
            <v>LYQ-NWF10-KO-S</v>
          </cell>
          <cell r="B298" t="str">
            <v>LYQ-NWF10</v>
          </cell>
        </row>
        <row r="299">
          <cell r="A299" t="str">
            <v>LYQ-WF1010-BO-2X</v>
          </cell>
          <cell r="B299" t="str">
            <v>LYQ-WF1010</v>
          </cell>
        </row>
        <row r="300">
          <cell r="A300" t="str">
            <v>LYQ-WF1010-BO-L</v>
          </cell>
          <cell r="B300" t="str">
            <v>LYQ-WF1010</v>
          </cell>
        </row>
        <row r="301">
          <cell r="A301" t="str">
            <v>LYQ-WF1010-BO-M</v>
          </cell>
          <cell r="B301" t="str">
            <v>LYQ-WF1010</v>
          </cell>
        </row>
        <row r="302">
          <cell r="A302" t="str">
            <v>LYQ-WF1010-BO-S</v>
          </cell>
          <cell r="B302" t="str">
            <v>LYQ-WF1010</v>
          </cell>
        </row>
        <row r="303">
          <cell r="A303" t="str">
            <v>LYQ-WF1010-BO-XL</v>
          </cell>
          <cell r="B303" t="str">
            <v>LYQ-WF1010</v>
          </cell>
        </row>
        <row r="304">
          <cell r="A304" t="str">
            <v>LYQ-WF1010-K0-2L</v>
          </cell>
          <cell r="B304" t="str">
            <v>LYQ-WF1010</v>
          </cell>
        </row>
        <row r="305">
          <cell r="A305" t="str">
            <v>LYQ-WF1010-KO-L</v>
          </cell>
          <cell r="B305" t="str">
            <v>LYQ-WF1010</v>
          </cell>
        </row>
        <row r="306">
          <cell r="A306" t="str">
            <v>LYQ-WF1010-KO-M</v>
          </cell>
          <cell r="B306" t="str">
            <v>LYQ-WF1010</v>
          </cell>
        </row>
        <row r="307">
          <cell r="A307" t="str">
            <v>LYQ-WF1010-KO-S</v>
          </cell>
          <cell r="B307" t="str">
            <v>LYQ-WF1010</v>
          </cell>
        </row>
        <row r="308">
          <cell r="A308" t="str">
            <v>LYQ-WF1010-KO-XL</v>
          </cell>
          <cell r="B308" t="str">
            <v>LYQ-WF1010</v>
          </cell>
        </row>
        <row r="309">
          <cell r="A309" t="str">
            <v>LYQ-WF1010-NO-2L</v>
          </cell>
          <cell r="B309" t="str">
            <v>LYQ-WF1010</v>
          </cell>
        </row>
        <row r="310">
          <cell r="A310" t="str">
            <v>LYQ-WF1010-NO-L</v>
          </cell>
          <cell r="B310" t="str">
            <v>LYQ-WF1010</v>
          </cell>
        </row>
        <row r="311">
          <cell r="A311" t="str">
            <v>LYQ-WF1010-NO-S</v>
          </cell>
          <cell r="B311" t="str">
            <v>LYQ-WF1010</v>
          </cell>
        </row>
        <row r="312">
          <cell r="A312" t="str">
            <v>LYQ-WF1010-NO-XL</v>
          </cell>
          <cell r="B312" t="str">
            <v>LYQ-WF1010</v>
          </cell>
        </row>
        <row r="313">
          <cell r="A313" t="str">
            <v>LYQ-WF1010-NO-XS</v>
          </cell>
          <cell r="B313" t="str">
            <v>LYQ-WF1010</v>
          </cell>
        </row>
        <row r="314">
          <cell r="A314" t="str">
            <v>LYQ-WF1010-PO-2L</v>
          </cell>
          <cell r="B314" t="str">
            <v>LYQ-WF1010</v>
          </cell>
        </row>
        <row r="315">
          <cell r="A315" t="str">
            <v>LYQ-WF1010-PO-L</v>
          </cell>
          <cell r="B315" t="str">
            <v>LYQ-WF1010</v>
          </cell>
        </row>
        <row r="316">
          <cell r="A316" t="str">
            <v>LYQ-WF1010-PO-M</v>
          </cell>
          <cell r="B316" t="str">
            <v>LYQ-WF1010</v>
          </cell>
        </row>
        <row r="317">
          <cell r="A317" t="str">
            <v>LYQ-WF1010-PO-S</v>
          </cell>
          <cell r="B317" t="str">
            <v>LYQ-WF1010</v>
          </cell>
        </row>
        <row r="318">
          <cell r="A318" t="str">
            <v>LYQ-WF1010-PO-XL</v>
          </cell>
          <cell r="B318" t="str">
            <v>LYQ-WF1010</v>
          </cell>
        </row>
        <row r="319">
          <cell r="A319" t="str">
            <v>LYQ-WF1010-PO-XS</v>
          </cell>
          <cell r="B319" t="str">
            <v>LYQ-WF1010</v>
          </cell>
        </row>
        <row r="320">
          <cell r="A320" t="str">
            <v>LYQ-WF1010-WO-2L</v>
          </cell>
          <cell r="B320" t="str">
            <v>LYQ-WF1010</v>
          </cell>
        </row>
        <row r="321">
          <cell r="A321" t="str">
            <v>LYQ-WF1010-WO-M</v>
          </cell>
          <cell r="B321" t="str">
            <v>LYQ-WF1010</v>
          </cell>
        </row>
        <row r="322">
          <cell r="A322" t="str">
            <v>LYQ-WF1010-WO-XL</v>
          </cell>
          <cell r="B322" t="str">
            <v>LYQ-WF1010</v>
          </cell>
        </row>
        <row r="323">
          <cell r="A323" t="str">
            <v>LYQ-WF1010-WO-XS</v>
          </cell>
          <cell r="B323" t="str">
            <v>LYQ-WF1010</v>
          </cell>
        </row>
        <row r="324">
          <cell r="A324" t="str">
            <v>LYQ-WF7125-BO-2X</v>
          </cell>
          <cell r="B324" t="str">
            <v>LYQ-WF7125</v>
          </cell>
        </row>
        <row r="325">
          <cell r="A325" t="str">
            <v>LYQ-WF7125-BO-L</v>
          </cell>
          <cell r="B325" t="str">
            <v>LYQ-WF7125</v>
          </cell>
        </row>
        <row r="326">
          <cell r="A326" t="str">
            <v>LYQ-WF7125-BO-M</v>
          </cell>
          <cell r="B326" t="str">
            <v>LYQ-WF7125</v>
          </cell>
        </row>
        <row r="327">
          <cell r="A327" t="str">
            <v>LYQ-WF7125-BO-S</v>
          </cell>
          <cell r="B327" t="str">
            <v>LYQ-WF7125</v>
          </cell>
        </row>
        <row r="328">
          <cell r="A328" t="str">
            <v>LYQ-WF7125-BO-XL</v>
          </cell>
          <cell r="B328" t="str">
            <v>LYQ-WF7125</v>
          </cell>
        </row>
        <row r="329">
          <cell r="A329" t="str">
            <v>LYQ-WF7125-K0-2L</v>
          </cell>
          <cell r="B329" t="str">
            <v>LYQ-WF7125</v>
          </cell>
        </row>
        <row r="330">
          <cell r="A330" t="str">
            <v>LYQ-WF7125-KO-L</v>
          </cell>
          <cell r="B330" t="str">
            <v>LYQ-WF7125</v>
          </cell>
        </row>
        <row r="331">
          <cell r="A331" t="str">
            <v>LYQ-WF7125-KO-M</v>
          </cell>
          <cell r="B331" t="str">
            <v>LYQ-WF7125</v>
          </cell>
        </row>
        <row r="332">
          <cell r="A332" t="str">
            <v>LYQ-WF7125-KO-S</v>
          </cell>
          <cell r="B332" t="str">
            <v>LYQ-WF7125</v>
          </cell>
        </row>
        <row r="333">
          <cell r="A333" t="str">
            <v>LYQ-WF7125-KO-XL</v>
          </cell>
          <cell r="B333" t="str">
            <v>LYQ-WF7125</v>
          </cell>
        </row>
        <row r="334">
          <cell r="A334" t="str">
            <v>LYQ-WF7125-NO-2L</v>
          </cell>
          <cell r="B334" t="str">
            <v>LYQ-WF7125</v>
          </cell>
        </row>
        <row r="335">
          <cell r="A335" t="str">
            <v>LYQ-WF7125-NO-L</v>
          </cell>
          <cell r="B335" t="str">
            <v>LYQ-WF7125</v>
          </cell>
        </row>
        <row r="336">
          <cell r="A336" t="str">
            <v>LYQ-WF7125-NO-S</v>
          </cell>
          <cell r="B336" t="str">
            <v>LYQ-WF7125</v>
          </cell>
        </row>
        <row r="337">
          <cell r="A337" t="str">
            <v>LYQ-WF7125-NO-XL</v>
          </cell>
          <cell r="B337" t="str">
            <v>LYQ-WF7125</v>
          </cell>
        </row>
        <row r="338">
          <cell r="A338" t="str">
            <v>LYQ-WF7125-NO-XS</v>
          </cell>
          <cell r="B338" t="str">
            <v>LYQ-WF7125</v>
          </cell>
        </row>
        <row r="339">
          <cell r="A339" t="str">
            <v>LYQ-WF7125-PO-2L</v>
          </cell>
          <cell r="B339" t="str">
            <v>LYQ-WF7125</v>
          </cell>
        </row>
        <row r="340">
          <cell r="A340" t="str">
            <v>LYQ-WF7125-PO-L</v>
          </cell>
          <cell r="B340" t="str">
            <v>LYQ-WF7125</v>
          </cell>
        </row>
        <row r="341">
          <cell r="A341" t="str">
            <v>LYQ-WF7125-PO-M</v>
          </cell>
          <cell r="B341" t="str">
            <v>LYQ-WF7125</v>
          </cell>
        </row>
        <row r="342">
          <cell r="A342" t="str">
            <v>LYQ-WF7125-PO-S</v>
          </cell>
          <cell r="B342" t="str">
            <v>LYQ-WF7125</v>
          </cell>
        </row>
        <row r="343">
          <cell r="A343" t="str">
            <v>LYQ-WF7125-PO-XL</v>
          </cell>
          <cell r="B343" t="str">
            <v>LYQ-WF7125</v>
          </cell>
        </row>
        <row r="344">
          <cell r="A344" t="str">
            <v>LYQ-WF7125-PO-XS</v>
          </cell>
          <cell r="B344" t="str">
            <v>LYQ-WF7125</v>
          </cell>
        </row>
        <row r="345">
          <cell r="A345" t="str">
            <v>LYQ-WF7125-WO-2L</v>
          </cell>
          <cell r="B345" t="str">
            <v>LYQ-WF7125</v>
          </cell>
        </row>
        <row r="346">
          <cell r="A346" t="str">
            <v>LYQ-WF7125-WO-M</v>
          </cell>
          <cell r="B346" t="str">
            <v>LYQ-WF7125</v>
          </cell>
        </row>
        <row r="347">
          <cell r="A347" t="str">
            <v>LYQ-WF7125-WO-XL</v>
          </cell>
          <cell r="B347" t="str">
            <v>LYQ-WF7125</v>
          </cell>
        </row>
        <row r="348">
          <cell r="A348" t="str">
            <v>LYQ-WF7125-WO-XS</v>
          </cell>
          <cell r="B348" t="str">
            <v>LYQ-WF7125</v>
          </cell>
        </row>
        <row r="349">
          <cell r="A349" t="str">
            <v>MJ-IUYL230-BL-L</v>
          </cell>
          <cell r="B349" t="str">
            <v>MJ-IUYL230</v>
          </cell>
        </row>
        <row r="350">
          <cell r="A350" t="str">
            <v>MJ-IUYL230-BL-S</v>
          </cell>
          <cell r="B350" t="str">
            <v>MJ-IUYL230</v>
          </cell>
        </row>
        <row r="351">
          <cell r="A351" t="str">
            <v>MJ-IUYL230-CF-L</v>
          </cell>
          <cell r="B351" t="str">
            <v>MJ-IUYL230</v>
          </cell>
        </row>
        <row r="352">
          <cell r="A352" t="str">
            <v>MJ-IUYL230-CF-S</v>
          </cell>
          <cell r="B352" t="str">
            <v>MJ-IUYL230</v>
          </cell>
        </row>
        <row r="353">
          <cell r="A353" t="str">
            <v>MJ-IUYL230-PK-L</v>
          </cell>
          <cell r="B353" t="str">
            <v>MJ-IUYL230</v>
          </cell>
        </row>
        <row r="354">
          <cell r="A354" t="str">
            <v>MJ-IUYL230-PK-S</v>
          </cell>
          <cell r="B354" t="str">
            <v>MJ-IUYL230</v>
          </cell>
        </row>
        <row r="355">
          <cell r="A355" t="str">
            <v>MTT-WF04-JL-M</v>
          </cell>
          <cell r="B355" t="str">
            <v>MTT-WF04</v>
          </cell>
        </row>
        <row r="356">
          <cell r="A356" t="str">
            <v>MTT-WF04-LR-M</v>
          </cell>
          <cell r="B356" t="str">
            <v>MTT-WF04</v>
          </cell>
        </row>
        <row r="357">
          <cell r="A357" t="str">
            <v>MTT-WF04-ML-M</v>
          </cell>
          <cell r="B357" t="str">
            <v>MTT-WF04</v>
          </cell>
        </row>
        <row r="358">
          <cell r="A358" t="str">
            <v>MTT-WF04-XR-M</v>
          </cell>
          <cell r="B358" t="str">
            <v>MTT-WF04</v>
          </cell>
        </row>
        <row r="359">
          <cell r="A359" t="str">
            <v>MY-PUHM001-OR-10</v>
          </cell>
          <cell r="B359" t="str">
            <v>MY-PUHM001</v>
          </cell>
        </row>
        <row r="360">
          <cell r="A360" t="str">
            <v>MY-PUHM001-OR-12</v>
          </cell>
          <cell r="B360" t="str">
            <v>MY-PUHM001</v>
          </cell>
        </row>
        <row r="361">
          <cell r="A361" t="str">
            <v>MY-PUHM001-OR-14</v>
          </cell>
          <cell r="B361" t="str">
            <v>MY-PUHM001</v>
          </cell>
        </row>
        <row r="362">
          <cell r="A362" t="str">
            <v>MY-PUHM001-OR-16</v>
          </cell>
          <cell r="B362" t="str">
            <v>MY-PUHM001</v>
          </cell>
        </row>
        <row r="363">
          <cell r="A363" t="str">
            <v>MY-PUHM001-OR-20</v>
          </cell>
          <cell r="B363" t="str">
            <v>MY-PUHM001</v>
          </cell>
        </row>
        <row r="364">
          <cell r="A364" t="str">
            <v>MY-PUHM001-OR-24</v>
          </cell>
          <cell r="B364" t="str">
            <v>MY-PUHM001</v>
          </cell>
        </row>
        <row r="365">
          <cell r="A365" t="str">
            <v>MY-PUHM001-OR-28</v>
          </cell>
          <cell r="B365" t="str">
            <v>MY-PUHM001</v>
          </cell>
        </row>
        <row r="366">
          <cell r="A366" t="str">
            <v>MY-PUHM001-OR-8</v>
          </cell>
          <cell r="B366" t="str">
            <v>MY-PUHM001</v>
          </cell>
        </row>
        <row r="367">
          <cell r="A367" t="str">
            <v>MY-PUHM001-R0-10</v>
          </cell>
          <cell r="B367" t="str">
            <v>MY-PUHM001</v>
          </cell>
        </row>
        <row r="368">
          <cell r="A368" t="str">
            <v>MY-PUHM001-R0-12</v>
          </cell>
          <cell r="B368" t="str">
            <v>MY-PUHM001</v>
          </cell>
        </row>
        <row r="369">
          <cell r="A369" t="str">
            <v>MY-PUHM001-R0-14</v>
          </cell>
          <cell r="B369" t="str">
            <v>MY-PUHM001</v>
          </cell>
        </row>
        <row r="370">
          <cell r="A370" t="str">
            <v>MY-PUHM001-R0-16</v>
          </cell>
          <cell r="B370" t="str">
            <v>MY-PUHM001</v>
          </cell>
        </row>
        <row r="371">
          <cell r="A371" t="str">
            <v>MY-PUHM001-R0-20</v>
          </cell>
          <cell r="B371" t="str">
            <v>MY-PUHM001</v>
          </cell>
        </row>
        <row r="372">
          <cell r="A372" t="str">
            <v>MY-PUHM001-R0-24</v>
          </cell>
          <cell r="B372" t="str">
            <v>MY-PUHM001</v>
          </cell>
        </row>
        <row r="373">
          <cell r="A373" t="str">
            <v>MY-PUHM001-R0-28</v>
          </cell>
          <cell r="B373" t="str">
            <v>MY-PUHM001</v>
          </cell>
        </row>
        <row r="374">
          <cell r="A374" t="str">
            <v>MY-PUHM001-R0-8</v>
          </cell>
          <cell r="B374" t="str">
            <v>MY-PUHM001</v>
          </cell>
        </row>
        <row r="375">
          <cell r="A375" t="str">
            <v>MY-PUHM001-ZL-10</v>
          </cell>
          <cell r="B375" t="str">
            <v>MY-PUHM001</v>
          </cell>
        </row>
        <row r="376">
          <cell r="A376" t="str">
            <v>MY-PUHM001-ZL-12</v>
          </cell>
          <cell r="B376" t="str">
            <v>MY-PUHM001</v>
          </cell>
        </row>
        <row r="377">
          <cell r="A377" t="str">
            <v>MY-PUHM001-ZL-14</v>
          </cell>
          <cell r="B377" t="str">
            <v>MY-PUHM001</v>
          </cell>
        </row>
        <row r="378">
          <cell r="A378" t="str">
            <v>MY-PUHM001-ZL-16</v>
          </cell>
          <cell r="B378" t="str">
            <v>MY-PUHM001</v>
          </cell>
        </row>
        <row r="379">
          <cell r="A379" t="str">
            <v>MY-PUHM001-ZL-20</v>
          </cell>
          <cell r="B379" t="str">
            <v>MY-PUHM001</v>
          </cell>
        </row>
        <row r="380">
          <cell r="A380" t="str">
            <v>MY-PUHM001-ZL-24</v>
          </cell>
          <cell r="B380" t="str">
            <v>MY-PUHM001</v>
          </cell>
        </row>
        <row r="381">
          <cell r="A381" t="str">
            <v>MY-PUHM001-ZL-28</v>
          </cell>
          <cell r="B381" t="str">
            <v>MY-PUHM001</v>
          </cell>
        </row>
        <row r="382">
          <cell r="A382" t="str">
            <v>MY-PUHM001-ZL-8</v>
          </cell>
          <cell r="B382" t="str">
            <v>MY-PUHM001</v>
          </cell>
        </row>
        <row r="383">
          <cell r="A383" t="str">
            <v>MY-PUHM035-R0-L</v>
          </cell>
          <cell r="B383" t="str">
            <v>MY-PUHM035</v>
          </cell>
        </row>
        <row r="384">
          <cell r="A384" t="str">
            <v>MY-PUHM035-R0-M</v>
          </cell>
          <cell r="B384" t="str">
            <v>MY-PUHM035</v>
          </cell>
        </row>
        <row r="385">
          <cell r="A385" t="str">
            <v>MY-PUHM035-R0-S</v>
          </cell>
          <cell r="B385" t="str">
            <v>MY-PUHM035</v>
          </cell>
        </row>
        <row r="386">
          <cell r="A386" t="str">
            <v>MY-PUHM035-R0-XL</v>
          </cell>
          <cell r="B386" t="str">
            <v>MY-PUHM035</v>
          </cell>
        </row>
        <row r="387">
          <cell r="A387" t="str">
            <v>MY-PUHM035-R0-XXL</v>
          </cell>
          <cell r="B387" t="str">
            <v>MY-PUHM035</v>
          </cell>
        </row>
        <row r="388">
          <cell r="A388" t="str">
            <v>MY-PUHM036-B0-L</v>
          </cell>
          <cell r="B388" t="str">
            <v>MY-PUHM036</v>
          </cell>
        </row>
        <row r="389">
          <cell r="A389" t="str">
            <v>MY-PUHM036-B0-M</v>
          </cell>
          <cell r="B389" t="str">
            <v>MY-PUHM036</v>
          </cell>
        </row>
        <row r="390">
          <cell r="A390" t="str">
            <v>MY-PUHM036-B0-S</v>
          </cell>
          <cell r="B390" t="str">
            <v>MY-PUHM036</v>
          </cell>
        </row>
        <row r="391">
          <cell r="A391" t="str">
            <v>MY-PUHM036-B0-XL</v>
          </cell>
          <cell r="B391" t="str">
            <v>MY-PUHM036</v>
          </cell>
        </row>
        <row r="392">
          <cell r="A392" t="str">
            <v>MY-PUHM036-B0-XXL</v>
          </cell>
          <cell r="B392" t="str">
            <v>MY-PUHM036</v>
          </cell>
        </row>
        <row r="393">
          <cell r="A393" t="str">
            <v>MY-PUHM582-B0-L</v>
          </cell>
          <cell r="B393" t="str">
            <v>MY-PUHM582</v>
          </cell>
        </row>
        <row r="394">
          <cell r="A394" t="str">
            <v>MY-PUHM582-B0-M</v>
          </cell>
          <cell r="B394" t="str">
            <v>MY-PUHM582</v>
          </cell>
        </row>
        <row r="395">
          <cell r="A395" t="str">
            <v>MY-PUHM582-B0-S</v>
          </cell>
          <cell r="B395" t="str">
            <v>MY-PUHM582</v>
          </cell>
        </row>
        <row r="396">
          <cell r="A396" t="str">
            <v>MY-PUHM582-B0-XL</v>
          </cell>
          <cell r="B396" t="str">
            <v>MY-PUHM582</v>
          </cell>
        </row>
        <row r="397">
          <cell r="A397" t="str">
            <v>MY-PUHM582-B0-XS</v>
          </cell>
          <cell r="B397" t="str">
            <v>MY-PUHM582</v>
          </cell>
        </row>
        <row r="398">
          <cell r="A398" t="str">
            <v>MY-PUHM582-R0-L</v>
          </cell>
          <cell r="B398" t="str">
            <v>MY-PUHM582</v>
          </cell>
        </row>
        <row r="399">
          <cell r="A399" t="str">
            <v>MY-PUHM582-R0-M</v>
          </cell>
          <cell r="B399" t="str">
            <v>MY-PUHM582</v>
          </cell>
        </row>
        <row r="400">
          <cell r="A400" t="str">
            <v>MY-PUHM582-R0-S</v>
          </cell>
          <cell r="B400" t="str">
            <v>MY-PUHM582</v>
          </cell>
        </row>
        <row r="401">
          <cell r="A401" t="str">
            <v>MY-PUHM582-R0-XL</v>
          </cell>
          <cell r="B401" t="str">
            <v>MY-PUHM582</v>
          </cell>
        </row>
        <row r="402">
          <cell r="A402" t="str">
            <v>MY-PUHM582-R0-XS</v>
          </cell>
          <cell r="B402" t="str">
            <v>MY-PUHM582</v>
          </cell>
        </row>
        <row r="403">
          <cell r="A403" t="str">
            <v>ND-LUHM027-PI</v>
          </cell>
          <cell r="B403" t="str">
            <v>ND-LUHM027</v>
          </cell>
        </row>
        <row r="404">
          <cell r="A404" t="str">
            <v>Pajamas-sb001-GR-L</v>
          </cell>
          <cell r="B404" t="str">
            <v>Pajamas-sb001</v>
          </cell>
        </row>
        <row r="405">
          <cell r="A405" t="str">
            <v>Pajamas-sb001-GR-M</v>
          </cell>
          <cell r="B405" t="str">
            <v>Pajamas-sb001</v>
          </cell>
        </row>
        <row r="406">
          <cell r="A406" t="str">
            <v>Pajamas-sb001-GR-XL</v>
          </cell>
          <cell r="B406" t="str">
            <v>Pajamas-sb001</v>
          </cell>
        </row>
        <row r="407">
          <cell r="A407" t="str">
            <v>Pajamas-sb001-KK-L</v>
          </cell>
          <cell r="B407" t="str">
            <v>Pajamas-sb001</v>
          </cell>
        </row>
        <row r="408">
          <cell r="A408" t="str">
            <v>Pajamas-sb001-KK-M</v>
          </cell>
          <cell r="B408" t="str">
            <v>Pajamas-sb001</v>
          </cell>
        </row>
        <row r="409">
          <cell r="A409" t="str">
            <v>Pajamas-sb001-KK-XL</v>
          </cell>
          <cell r="B409" t="str">
            <v>Pajamas-sb001</v>
          </cell>
        </row>
        <row r="410">
          <cell r="A410" t="str">
            <v>Pajamas-sb001-NY-L</v>
          </cell>
          <cell r="B410" t="str">
            <v>Pajamas-sb001</v>
          </cell>
        </row>
        <row r="411">
          <cell r="A411" t="str">
            <v>Pajamas-sb001-NY-M</v>
          </cell>
          <cell r="B411" t="str">
            <v>Pajamas-sb001</v>
          </cell>
        </row>
        <row r="412">
          <cell r="A412" t="str">
            <v>Pajamas-sb001-NY-XL</v>
          </cell>
          <cell r="B412" t="str">
            <v>Pajamas-sb001</v>
          </cell>
        </row>
        <row r="413">
          <cell r="A413" t="str">
            <v>Pajamas-sb001-WT-M</v>
          </cell>
          <cell r="B413" t="str">
            <v>Pajamas-sb001</v>
          </cell>
        </row>
        <row r="414">
          <cell r="A414" t="str">
            <v>Pajamas-sb001-WT-XL</v>
          </cell>
          <cell r="B414" t="str">
            <v>Pajamas-sb001</v>
          </cell>
        </row>
        <row r="415">
          <cell r="A415" t="str">
            <v>QLQ-LUHM121-G0</v>
          </cell>
          <cell r="B415" t="str">
            <v>QLQ-LUHM121</v>
          </cell>
        </row>
        <row r="416">
          <cell r="A416" t="str">
            <v>QLQ-LUHM121-GM</v>
          </cell>
          <cell r="B416" t="str">
            <v>QLQ-LUHM121</v>
          </cell>
        </row>
        <row r="417">
          <cell r="A417" t="str">
            <v>QLQ-LUHM121-WO</v>
          </cell>
          <cell r="B417" t="str">
            <v>QLQ-LUHM121</v>
          </cell>
        </row>
        <row r="418">
          <cell r="A418" t="str">
            <v>QLQ-LUHM121-WT</v>
          </cell>
          <cell r="B418" t="str">
            <v>QLQ-LUHM121</v>
          </cell>
        </row>
        <row r="419">
          <cell r="A419" t="str">
            <v>QLQ-WF121-WO</v>
          </cell>
          <cell r="B419" t="str">
            <v>QLQ-WF121</v>
          </cell>
        </row>
        <row r="420">
          <cell r="A420" t="str">
            <v>QQ-LUHM-801-B0</v>
          </cell>
          <cell r="B420" t="str">
            <v>QQ-LUHM-801-B0</v>
          </cell>
        </row>
        <row r="421">
          <cell r="A421" t="str">
            <v>RYMT-WF712-GO-L</v>
          </cell>
          <cell r="B421" t="str">
            <v>RYMT-WF712</v>
          </cell>
        </row>
        <row r="422">
          <cell r="A422" t="str">
            <v>RYMT-WF712-PI-L</v>
          </cell>
          <cell r="B422" t="str">
            <v>RYMT-WF712</v>
          </cell>
        </row>
        <row r="423">
          <cell r="A423" t="str">
            <v>RYMT-WF712-PO-L</v>
          </cell>
          <cell r="B423" t="str">
            <v>RYMT-WF712</v>
          </cell>
        </row>
        <row r="424">
          <cell r="A424" t="str">
            <v>RY-PUHM716-B0-L</v>
          </cell>
          <cell r="B424" t="str">
            <v>RY-PUHM716</v>
          </cell>
        </row>
        <row r="425">
          <cell r="A425" t="str">
            <v>RY-PUHM716-B0-M</v>
          </cell>
          <cell r="B425" t="str">
            <v>RY-PUHM716</v>
          </cell>
        </row>
        <row r="426">
          <cell r="A426" t="str">
            <v>RY-PUHM716-B0-S</v>
          </cell>
          <cell r="B426" t="str">
            <v>RY-PUHM716</v>
          </cell>
        </row>
        <row r="427">
          <cell r="A427" t="str">
            <v>RY-PUHM716-B0-XL</v>
          </cell>
          <cell r="B427" t="str">
            <v>RY-PUHM716</v>
          </cell>
        </row>
        <row r="428">
          <cell r="A428" t="str">
            <v>RY-PUHM716-B0-XXL</v>
          </cell>
          <cell r="B428" t="str">
            <v>RY-PUHM716</v>
          </cell>
        </row>
        <row r="429">
          <cell r="A429" t="str">
            <v>RY-PUHM716-KQ-L</v>
          </cell>
          <cell r="B429" t="str">
            <v>RY-PUHM716</v>
          </cell>
        </row>
        <row r="430">
          <cell r="A430" t="str">
            <v>RY-PUHM716-KQ-M</v>
          </cell>
          <cell r="B430" t="str">
            <v>RY-PUHM716</v>
          </cell>
        </row>
        <row r="431">
          <cell r="A431" t="str">
            <v>RY-PUHM716-KQ-S</v>
          </cell>
          <cell r="B431" t="str">
            <v>RY-PUHM716</v>
          </cell>
        </row>
        <row r="432">
          <cell r="A432" t="str">
            <v>RY-PUHM716-KQ-XL</v>
          </cell>
          <cell r="B432" t="str">
            <v>RY-PUHM716</v>
          </cell>
        </row>
        <row r="433">
          <cell r="A433" t="str">
            <v>RY-PUHM716-KQ-XXL</v>
          </cell>
          <cell r="B433" t="str">
            <v>RY-PUHM716</v>
          </cell>
        </row>
        <row r="434">
          <cell r="A434" t="str">
            <v>RY-PUHM716-PI-L</v>
          </cell>
          <cell r="B434" t="str">
            <v>RY-PUHM716</v>
          </cell>
        </row>
        <row r="435">
          <cell r="A435" t="str">
            <v>RY-PUHM716-PI-M</v>
          </cell>
          <cell r="B435" t="str">
            <v>RY-PUHM716</v>
          </cell>
        </row>
        <row r="436">
          <cell r="A436" t="str">
            <v>RY-PUHM716-PI-S</v>
          </cell>
          <cell r="B436" t="str">
            <v>RY-PUHM716</v>
          </cell>
        </row>
        <row r="437">
          <cell r="A437" t="str">
            <v>RY-PUHM716-PI-XL</v>
          </cell>
          <cell r="B437" t="str">
            <v>RY-PUHM716</v>
          </cell>
        </row>
        <row r="438">
          <cell r="A438" t="str">
            <v>RY-PUHM716-PI-XXL</v>
          </cell>
          <cell r="B438" t="str">
            <v>RY-PUHM716</v>
          </cell>
        </row>
        <row r="439">
          <cell r="A439" t="str">
            <v>SB-LUHM100-B0</v>
          </cell>
          <cell r="B439" t="str">
            <v>SB-LUHM100</v>
          </cell>
        </row>
        <row r="440">
          <cell r="A440" t="str">
            <v>SB-LUHM100-G0</v>
          </cell>
          <cell r="B440" t="str">
            <v>SB-LUHM100</v>
          </cell>
        </row>
        <row r="441">
          <cell r="A441" t="str">
            <v>SB-LUHM100-K0</v>
          </cell>
          <cell r="B441" t="str">
            <v>SB-LUHM100</v>
          </cell>
        </row>
        <row r="442">
          <cell r="A442" t="str">
            <v>SB-LUHM100-R0</v>
          </cell>
          <cell r="B442" t="str">
            <v>SB-LUHM100</v>
          </cell>
        </row>
        <row r="443">
          <cell r="A443" t="str">
            <v>SB-LUHM101-B0</v>
          </cell>
          <cell r="B443" t="str">
            <v>SB-LUHM101</v>
          </cell>
        </row>
        <row r="444">
          <cell r="A444" t="str">
            <v>scarf-0001-Blue</v>
          </cell>
          <cell r="B444" t="str">
            <v>scarf-0001</v>
          </cell>
        </row>
        <row r="445">
          <cell r="A445" t="str">
            <v>scarf-0001-Peony</v>
          </cell>
          <cell r="B445" t="str">
            <v>scarf-0001</v>
          </cell>
        </row>
        <row r="446">
          <cell r="A446" t="str">
            <v>scarf-0001-Plum</v>
          </cell>
          <cell r="B446" t="str">
            <v>scarf-0001</v>
          </cell>
        </row>
        <row r="447">
          <cell r="A447" t="str">
            <v>scarf-001-blueheart</v>
          </cell>
          <cell r="B447" t="str">
            <v>scarf-00</v>
          </cell>
        </row>
        <row r="448">
          <cell r="A448" t="str">
            <v>SCF010-A01</v>
          </cell>
          <cell r="B448" t="str">
            <v>SCF010</v>
          </cell>
        </row>
        <row r="449">
          <cell r="A449" t="str">
            <v>SCF010-A02</v>
          </cell>
          <cell r="B449" t="str">
            <v>SCF010</v>
          </cell>
        </row>
        <row r="450">
          <cell r="A450" t="str">
            <v>SCF010-A04</v>
          </cell>
          <cell r="B450" t="str">
            <v>SCF010</v>
          </cell>
        </row>
        <row r="451">
          <cell r="A451" t="str">
            <v>SCF010-A05</v>
          </cell>
          <cell r="B451" t="str">
            <v>SCF010</v>
          </cell>
        </row>
        <row r="452">
          <cell r="A452" t="str">
            <v>SCF010-A06</v>
          </cell>
          <cell r="B452" t="str">
            <v>SCF010</v>
          </cell>
        </row>
        <row r="453">
          <cell r="A453" t="str">
            <v>SCF010-A08</v>
          </cell>
          <cell r="B453" t="str">
            <v>SCF010</v>
          </cell>
        </row>
        <row r="454">
          <cell r="A454" t="str">
            <v>SCF010-A09</v>
          </cell>
          <cell r="B454" t="str">
            <v>SCF010</v>
          </cell>
        </row>
        <row r="455">
          <cell r="A455" t="str">
            <v>SCF-A01-007</v>
          </cell>
          <cell r="B455" t="str">
            <v>SCF-A01</v>
          </cell>
        </row>
        <row r="456">
          <cell r="A456" t="str">
            <v>SCF-A01-008</v>
          </cell>
          <cell r="B456" t="str">
            <v>SCF-A01</v>
          </cell>
        </row>
        <row r="457">
          <cell r="A457" t="str">
            <v>SCF-A01-009</v>
          </cell>
          <cell r="B457" t="str">
            <v>SCF-A01</v>
          </cell>
        </row>
        <row r="458">
          <cell r="A458" t="str">
            <v>SCF-A01-010</v>
          </cell>
          <cell r="B458" t="str">
            <v>SCF-A01</v>
          </cell>
        </row>
        <row r="459">
          <cell r="A459" t="str">
            <v>SCF-A01-011</v>
          </cell>
          <cell r="B459" t="str">
            <v>SCF-A01</v>
          </cell>
        </row>
        <row r="460">
          <cell r="A460" t="str">
            <v>SCF-A01-012</v>
          </cell>
          <cell r="B460" t="str">
            <v>SCF-A01</v>
          </cell>
        </row>
        <row r="461">
          <cell r="A461" t="str">
            <v>SCF-A01-013</v>
          </cell>
          <cell r="B461" t="str">
            <v>SCF-A01</v>
          </cell>
        </row>
        <row r="462">
          <cell r="A462" t="str">
            <v>SCF-B01-001</v>
          </cell>
          <cell r="B462" t="str">
            <v>SCF-B01</v>
          </cell>
        </row>
        <row r="463">
          <cell r="A463" t="str">
            <v>SCF-B01-002</v>
          </cell>
          <cell r="B463" t="str">
            <v>SCF-B01</v>
          </cell>
        </row>
        <row r="464">
          <cell r="A464" t="str">
            <v>SCF-B01-003</v>
          </cell>
          <cell r="B464" t="str">
            <v>SCF-B01</v>
          </cell>
        </row>
        <row r="465">
          <cell r="A465" t="str">
            <v>SCF-B01-004</v>
          </cell>
          <cell r="B465" t="str">
            <v>SCF-B01</v>
          </cell>
        </row>
        <row r="466">
          <cell r="A466" t="str">
            <v>SCF-B01-005</v>
          </cell>
          <cell r="B466" t="str">
            <v>SCF-B01</v>
          </cell>
        </row>
        <row r="467">
          <cell r="A467" t="str">
            <v>SCF-B01-006</v>
          </cell>
          <cell r="B467" t="str">
            <v>SCF-B01</v>
          </cell>
        </row>
        <row r="468">
          <cell r="A468" t="str">
            <v>SCF-B01-007</v>
          </cell>
          <cell r="B468" t="str">
            <v>SCF-B01</v>
          </cell>
        </row>
        <row r="469">
          <cell r="A469" t="str">
            <v>SCF-B01-008</v>
          </cell>
          <cell r="B469" t="str">
            <v>SCF-B01</v>
          </cell>
        </row>
        <row r="470">
          <cell r="A470" t="str">
            <v>SCF-B01-009</v>
          </cell>
          <cell r="B470" t="str">
            <v>SCF-B01</v>
          </cell>
        </row>
        <row r="471">
          <cell r="A471" t="str">
            <v>SCF-B01-011</v>
          </cell>
          <cell r="B471" t="str">
            <v>SCF-B01</v>
          </cell>
        </row>
        <row r="472">
          <cell r="A472" t="str">
            <v>SCF-B01-012</v>
          </cell>
          <cell r="B472" t="str">
            <v>SCF-B01</v>
          </cell>
        </row>
        <row r="473">
          <cell r="A473" t="str">
            <v>SCF-B01-013</v>
          </cell>
          <cell r="B473" t="str">
            <v>SCF-B01</v>
          </cell>
        </row>
        <row r="474">
          <cell r="A474" t="str">
            <v>SCF-B01-014</v>
          </cell>
          <cell r="B474" t="str">
            <v>SCF-B01</v>
          </cell>
        </row>
        <row r="475">
          <cell r="A475" t="str">
            <v>SCF-B01-015</v>
          </cell>
          <cell r="B475" t="str">
            <v>SCF-B01</v>
          </cell>
        </row>
        <row r="476">
          <cell r="A476" t="str">
            <v>SCF-B01-016</v>
          </cell>
          <cell r="B476" t="str">
            <v>SCF-B01</v>
          </cell>
        </row>
        <row r="477">
          <cell r="A477" t="str">
            <v>SCF-B01-017</v>
          </cell>
          <cell r="B477" t="str">
            <v>SCF-B01</v>
          </cell>
        </row>
        <row r="478">
          <cell r="A478" t="str">
            <v>SCF-B01-018</v>
          </cell>
          <cell r="B478" t="str">
            <v>SCF-B01</v>
          </cell>
        </row>
        <row r="479">
          <cell r="A479" t="str">
            <v>SCF-B01-019</v>
          </cell>
          <cell r="B479" t="str">
            <v>SCF-B01</v>
          </cell>
        </row>
        <row r="480">
          <cell r="A480" t="str">
            <v>SCF-B01-020</v>
          </cell>
          <cell r="B480" t="str">
            <v>SCF-B01</v>
          </cell>
        </row>
        <row r="481">
          <cell r="A481" t="str">
            <v>SCF-B01-021</v>
          </cell>
          <cell r="B481" t="str">
            <v>SCF-B01</v>
          </cell>
        </row>
        <row r="482">
          <cell r="A482" t="str">
            <v>SCF-B01-022</v>
          </cell>
          <cell r="B482" t="str">
            <v>SCF-B01</v>
          </cell>
        </row>
        <row r="483">
          <cell r="A483" t="str">
            <v>SCF-C01-002</v>
          </cell>
          <cell r="B483" t="str">
            <v>SCF-C01</v>
          </cell>
        </row>
        <row r="484">
          <cell r="A484" t="str">
            <v>SCF-C01-003</v>
          </cell>
          <cell r="B484" t="str">
            <v>SCF-C01</v>
          </cell>
        </row>
        <row r="485">
          <cell r="A485" t="str">
            <v>SCF-C01-005</v>
          </cell>
          <cell r="B485" t="str">
            <v>SCF-C01</v>
          </cell>
        </row>
        <row r="486">
          <cell r="A486" t="str">
            <v>SCF-C01-006</v>
          </cell>
          <cell r="B486" t="str">
            <v>SCF-C01</v>
          </cell>
        </row>
        <row r="487">
          <cell r="A487" t="str">
            <v>SCF-C01-007</v>
          </cell>
          <cell r="B487" t="str">
            <v>SCF-C01</v>
          </cell>
        </row>
        <row r="488">
          <cell r="A488" t="str">
            <v>SCF-C01-008</v>
          </cell>
          <cell r="B488" t="str">
            <v>SCF-C01</v>
          </cell>
        </row>
        <row r="489">
          <cell r="A489" t="str">
            <v>SCF-C01-009</v>
          </cell>
          <cell r="B489" t="str">
            <v>SCF-C01</v>
          </cell>
        </row>
        <row r="490">
          <cell r="A490" t="str">
            <v>SCF-C01-010</v>
          </cell>
          <cell r="B490" t="str">
            <v>SCF-C01</v>
          </cell>
        </row>
        <row r="491">
          <cell r="A491" t="str">
            <v>SCF-C01-011</v>
          </cell>
          <cell r="B491" t="str">
            <v>SCF-C01</v>
          </cell>
        </row>
        <row r="492">
          <cell r="A492" t="str">
            <v>SCF-C01-012</v>
          </cell>
          <cell r="B492" t="str">
            <v>SCF-C01</v>
          </cell>
        </row>
        <row r="493">
          <cell r="A493" t="str">
            <v>SCF-C01-013</v>
          </cell>
          <cell r="B493" t="str">
            <v>SCF-C01</v>
          </cell>
        </row>
        <row r="494">
          <cell r="A494" t="str">
            <v>SCF-C01-014</v>
          </cell>
          <cell r="B494" t="str">
            <v>SCF-C01</v>
          </cell>
        </row>
        <row r="495">
          <cell r="A495" t="str">
            <v>SCF-C01-016</v>
          </cell>
          <cell r="B495" t="str">
            <v>SCF-C01</v>
          </cell>
        </row>
        <row r="496">
          <cell r="A496" t="str">
            <v>SCF-C01-017</v>
          </cell>
          <cell r="B496" t="str">
            <v>SCF-C01</v>
          </cell>
        </row>
        <row r="497">
          <cell r="A497" t="str">
            <v>SCF-C01-018</v>
          </cell>
          <cell r="B497" t="str">
            <v>SCF-C01</v>
          </cell>
        </row>
        <row r="498">
          <cell r="A498" t="str">
            <v>SCF-C01-019</v>
          </cell>
          <cell r="B498" t="str">
            <v>SCF-C01</v>
          </cell>
        </row>
        <row r="499">
          <cell r="A499" t="str">
            <v>SCF-C01-020</v>
          </cell>
          <cell r="B499" t="str">
            <v>SCF-C01</v>
          </cell>
        </row>
        <row r="500">
          <cell r="A500" t="str">
            <v>SCF-D01-004</v>
          </cell>
          <cell r="B500" t="str">
            <v>SCF-D01</v>
          </cell>
        </row>
        <row r="501">
          <cell r="A501" t="str">
            <v>SCF-D01-006</v>
          </cell>
          <cell r="B501" t="str">
            <v>SCF-D01</v>
          </cell>
        </row>
        <row r="502">
          <cell r="A502" t="str">
            <v>SCF-D01-007</v>
          </cell>
          <cell r="B502" t="str">
            <v>SCF-D01</v>
          </cell>
        </row>
        <row r="503">
          <cell r="A503" t="str">
            <v>SCF-D01-009</v>
          </cell>
          <cell r="B503" t="str">
            <v>SCF-D01</v>
          </cell>
        </row>
        <row r="504">
          <cell r="A504" t="str">
            <v>SCF-D01-011</v>
          </cell>
          <cell r="B504" t="str">
            <v>SCF-D01</v>
          </cell>
        </row>
        <row r="505">
          <cell r="A505" t="str">
            <v>SCF-D01-012</v>
          </cell>
          <cell r="B505" t="str">
            <v>SCF-D01</v>
          </cell>
        </row>
        <row r="506">
          <cell r="A506" t="str">
            <v>SCF-D01-015</v>
          </cell>
          <cell r="B506" t="str">
            <v>SCF-D01</v>
          </cell>
        </row>
        <row r="507">
          <cell r="A507" t="str">
            <v>SCF-D01-017</v>
          </cell>
          <cell r="B507" t="str">
            <v>SCF-D01</v>
          </cell>
        </row>
        <row r="508">
          <cell r="A508" t="str">
            <v>SCF-SJ006-Navystar-OS</v>
          </cell>
          <cell r="B508" t="str">
            <v>SCF-SJ006</v>
          </cell>
        </row>
        <row r="509">
          <cell r="A509" t="str">
            <v>SCF-SJ008-KH-OS</v>
          </cell>
          <cell r="B509" t="str">
            <v>SCF-SJ006</v>
          </cell>
        </row>
        <row r="510">
          <cell r="A510" t="str">
            <v>SDCQZH-FLQ12</v>
          </cell>
          <cell r="B510" t="str">
            <v>SDCQZH-FLQ12</v>
          </cell>
        </row>
        <row r="511">
          <cell r="A511" t="str">
            <v>SD-LUHM202-B0</v>
          </cell>
          <cell r="B511" t="str">
            <v>SD-LUHM202</v>
          </cell>
        </row>
        <row r="512">
          <cell r="A512" t="str">
            <v>SD-LUHM202-G0</v>
          </cell>
          <cell r="B512" t="str">
            <v>SD-LUHM202</v>
          </cell>
        </row>
        <row r="513">
          <cell r="A513" t="str">
            <v>SD-LUHM202-G0-X</v>
          </cell>
          <cell r="B513" t="str">
            <v>SD-LUHM202</v>
          </cell>
        </row>
        <row r="514">
          <cell r="A514" t="str">
            <v>SD-LUHM202-PI</v>
          </cell>
          <cell r="B514" t="str">
            <v>SD-LUHM202</v>
          </cell>
        </row>
        <row r="515">
          <cell r="A515" t="str">
            <v>SD-LUHM202-X0</v>
          </cell>
          <cell r="B515" t="str">
            <v>SD-LUHM202</v>
          </cell>
        </row>
        <row r="516">
          <cell r="A516" t="str">
            <v>SD-LUHM202-Y0</v>
          </cell>
          <cell r="B516" t="str">
            <v>SD-LUHM202</v>
          </cell>
        </row>
        <row r="517">
          <cell r="A517" t="str">
            <v>SDMZH-FLQ09WFB-RO-30</v>
          </cell>
          <cell r="B517" t="str">
            <v>SDMZH-FLQ09WFB</v>
          </cell>
        </row>
        <row r="518">
          <cell r="A518" t="str">
            <v>SDMZH-FLQ09WFB-RO-37</v>
          </cell>
          <cell r="B518" t="str">
            <v>SDMZH-FLQ09WFB</v>
          </cell>
        </row>
        <row r="519">
          <cell r="A519" t="str">
            <v>SDMZH-FLQ10RM-RO-30</v>
          </cell>
          <cell r="B519" t="str">
            <v>SDMZH-FLQ10RM</v>
          </cell>
        </row>
        <row r="520">
          <cell r="A520" t="str">
            <v>SDMZH-FLQ10RM-RO-37</v>
          </cell>
          <cell r="B520" t="str">
            <v>SDMZH-FLQ10RM</v>
          </cell>
        </row>
        <row r="521">
          <cell r="A521" t="str">
            <v>SDSZH-BS</v>
          </cell>
          <cell r="B521" t="str">
            <v>SDSZH</v>
          </cell>
        </row>
        <row r="522">
          <cell r="A522" t="str">
            <v>SDSZH-RG</v>
          </cell>
          <cell r="B522" t="str">
            <v>SDSZH</v>
          </cell>
        </row>
        <row r="523">
          <cell r="A523" t="str">
            <v>SDSZH-TS-1</v>
          </cell>
          <cell r="B523" t="str">
            <v>SDSZH</v>
          </cell>
        </row>
        <row r="524">
          <cell r="A524" t="str">
            <v>SDSZH-TS-2</v>
          </cell>
          <cell r="B524" t="str">
            <v>SDSZH</v>
          </cell>
        </row>
        <row r="525">
          <cell r="A525" t="str">
            <v>SDSZH-TS-3</v>
          </cell>
          <cell r="B525" t="str">
            <v>SDSZH</v>
          </cell>
        </row>
        <row r="526">
          <cell r="A526" t="str">
            <v>SDSZH-TS-4</v>
          </cell>
          <cell r="B526" t="str">
            <v>SDSZH</v>
          </cell>
        </row>
        <row r="527">
          <cell r="A527" t="str">
            <v>SDSZH-TS-5</v>
          </cell>
          <cell r="B527" t="str">
            <v>SDSZH</v>
          </cell>
        </row>
        <row r="528">
          <cell r="A528" t="str">
            <v>SDSZH-TS-6</v>
          </cell>
          <cell r="B528" t="str">
            <v>SDSZH</v>
          </cell>
        </row>
        <row r="529">
          <cell r="A529" t="str">
            <v>SDWZH-FLQ15FG-ML-50</v>
          </cell>
          <cell r="B529" t="str">
            <v>SDWZH-FLQ15</v>
          </cell>
        </row>
        <row r="530">
          <cell r="A530" t="str">
            <v>SDWZH-FLQ16-XR-60</v>
          </cell>
          <cell r="B530" t="str">
            <v>SDWZH-FLQ16</v>
          </cell>
        </row>
        <row r="531">
          <cell r="A531" t="str">
            <v>SG-LUHM050-K0</v>
          </cell>
          <cell r="B531" t="str">
            <v>SG-LUHM050</v>
          </cell>
        </row>
        <row r="532">
          <cell r="A532" t="str">
            <v>SG-LUHM100-K0</v>
          </cell>
          <cell r="B532" t="str">
            <v>SG-LUHM100</v>
          </cell>
        </row>
        <row r="533">
          <cell r="A533" t="str">
            <v>SJZP-FLQ19-CYH30-100</v>
          </cell>
          <cell r="B533" t="str">
            <v>SJZP-FLQ19</v>
          </cell>
        </row>
        <row r="534">
          <cell r="A534" t="str">
            <v>SJZP-FLQ19-CYV30-100</v>
          </cell>
          <cell r="B534" t="str">
            <v>SJZP-FLQ19</v>
          </cell>
        </row>
        <row r="535">
          <cell r="A535" t="str">
            <v>SJZP-FLQ19-CYXL-50*30</v>
          </cell>
          <cell r="B535" t="str">
            <v>SJZP-FLQ19</v>
          </cell>
        </row>
        <row r="536">
          <cell r="A536" t="str">
            <v>SJZP-FLQ19-SJ-100</v>
          </cell>
          <cell r="B536" t="str">
            <v>SJZP-FLQ19</v>
          </cell>
        </row>
        <row r="537">
          <cell r="A537" t="str">
            <v>SJZP-FLQ19-SJH30-100</v>
          </cell>
          <cell r="B537" t="str">
            <v>SJZP-FLQ19</v>
          </cell>
        </row>
        <row r="538">
          <cell r="A538" t="str">
            <v>SJZP-FLQ19-SJV30-100</v>
          </cell>
          <cell r="B538" t="str">
            <v>SJZP-FLQ19</v>
          </cell>
        </row>
        <row r="539">
          <cell r="A539" t="str">
            <v>SJZP-FLQ19-SJV40-100</v>
          </cell>
          <cell r="B539" t="str">
            <v>SJZP-FLQ19</v>
          </cell>
        </row>
        <row r="540">
          <cell r="A540" t="str">
            <v>SJZP-FLQ19-SJXL-50*30</v>
          </cell>
          <cell r="B540" t="str">
            <v>SJZP-FLQ19</v>
          </cell>
        </row>
        <row r="541">
          <cell r="A541" t="str">
            <v>SJZP-FLQ19-SJYX-140</v>
          </cell>
          <cell r="B541" t="str">
            <v>SJZP-FLQ19</v>
          </cell>
        </row>
        <row r="542">
          <cell r="A542" t="str">
            <v>SJZP-FLQ19-YXCY-140</v>
          </cell>
          <cell r="B542" t="str">
            <v>SJZP-FLQ19</v>
          </cell>
        </row>
        <row r="543">
          <cell r="A543" t="str">
            <v>SKS-B334</v>
          </cell>
          <cell r="B543" t="str">
            <v>SKS-B334</v>
          </cell>
        </row>
        <row r="544">
          <cell r="A544" t="str">
            <v>SL-LULW812-BO-L</v>
          </cell>
          <cell r="B544" t="str">
            <v>SL-LULW812</v>
          </cell>
        </row>
        <row r="545">
          <cell r="A545" t="str">
            <v>SL-LULW812-BO-M</v>
          </cell>
          <cell r="B545" t="str">
            <v>SL-LULW812</v>
          </cell>
        </row>
        <row r="546">
          <cell r="A546" t="str">
            <v>SL-LULW812-PI-L</v>
          </cell>
          <cell r="B546" t="str">
            <v>SL-LULW812</v>
          </cell>
        </row>
        <row r="547">
          <cell r="A547" t="str">
            <v>SL-LULW812-PI-M</v>
          </cell>
          <cell r="B547" t="str">
            <v>SL-LULW812</v>
          </cell>
        </row>
        <row r="548">
          <cell r="A548" t="str">
            <v>SL-LULW812-RO-L</v>
          </cell>
          <cell r="B548" t="str">
            <v>SL-LULW812</v>
          </cell>
        </row>
        <row r="549">
          <cell r="A549" t="str">
            <v>SL-LULW812-RO-M</v>
          </cell>
          <cell r="B549" t="str">
            <v>SL-LULW812</v>
          </cell>
        </row>
        <row r="550">
          <cell r="A550" t="str">
            <v>SL-LULW818-BO-L</v>
          </cell>
          <cell r="B550" t="str">
            <v>SL-LULW812</v>
          </cell>
        </row>
        <row r="551">
          <cell r="A551" t="str">
            <v>SL-LULW818-BO-M</v>
          </cell>
          <cell r="B551" t="str">
            <v>SL-LULW812</v>
          </cell>
        </row>
        <row r="552">
          <cell r="A552" t="str">
            <v>SL-LULW818-PI-L</v>
          </cell>
          <cell r="B552" t="str">
            <v>SL-LULW812</v>
          </cell>
        </row>
        <row r="553">
          <cell r="A553" t="str">
            <v>SL-LULW818-PI-M</v>
          </cell>
          <cell r="B553" t="str">
            <v>SL-LULW812</v>
          </cell>
        </row>
        <row r="554">
          <cell r="A554" t="str">
            <v>SL-LULW818-RO-L</v>
          </cell>
          <cell r="B554" t="str">
            <v>SL-LULW812</v>
          </cell>
        </row>
        <row r="555">
          <cell r="A555" t="str">
            <v>SL-LULW818-RO-M</v>
          </cell>
          <cell r="B555" t="str">
            <v>SL-LULW812</v>
          </cell>
        </row>
        <row r="556">
          <cell r="A556" t="str">
            <v>SND-FLQ17-GR-108</v>
          </cell>
          <cell r="B556" t="str">
            <v>SND-FLQ17</v>
          </cell>
        </row>
        <row r="557">
          <cell r="A557" t="str">
            <v>SND-FLQ17-NO-108</v>
          </cell>
          <cell r="B557" t="str">
            <v>SND-FLQ17</v>
          </cell>
        </row>
        <row r="558">
          <cell r="A558" t="str">
            <v>SND-FLQ18-SJ-74</v>
          </cell>
          <cell r="B558" t="str">
            <v>SND-FLQ18</v>
          </cell>
        </row>
        <row r="559">
          <cell r="A559" t="str">
            <v>SND-FLQ18-SJ-80</v>
          </cell>
          <cell r="B559" t="str">
            <v>SND-FLQ18</v>
          </cell>
        </row>
        <row r="560">
          <cell r="A560" t="str">
            <v>SND-WF5150-WO</v>
          </cell>
          <cell r="B560" t="str">
            <v>SND-WF5150</v>
          </cell>
        </row>
        <row r="561">
          <cell r="A561" t="str">
            <v>SND-WF5150-WO2</v>
          </cell>
          <cell r="B561" t="str">
            <v>SND-WF5150</v>
          </cell>
        </row>
        <row r="562">
          <cell r="A562" t="str">
            <v>SNH-LUHM001-E0</v>
          </cell>
          <cell r="B562" t="str">
            <v>SNH-LUHM001</v>
          </cell>
        </row>
        <row r="563">
          <cell r="A563" t="str">
            <v>SNH-LUHM001-G0</v>
          </cell>
          <cell r="B563" t="str">
            <v>SNH-LUHM001</v>
          </cell>
        </row>
        <row r="564">
          <cell r="A564" t="str">
            <v>SNH-LUHM001-K0</v>
          </cell>
          <cell r="B564" t="str">
            <v>SNH-LUHM001</v>
          </cell>
        </row>
        <row r="565">
          <cell r="A565" t="str">
            <v>SNH-LUHM001-W0</v>
          </cell>
          <cell r="B565" t="str">
            <v>SNH-LUHM001</v>
          </cell>
        </row>
        <row r="566">
          <cell r="A566" t="str">
            <v>SNH-LUHM001-Y0</v>
          </cell>
          <cell r="B566" t="str">
            <v>SNH-LUHM001</v>
          </cell>
        </row>
        <row r="567">
          <cell r="A567" t="str">
            <v>SNT-LUHM001-BS</v>
          </cell>
          <cell r="B567" t="str">
            <v>SNH-LUHM001</v>
          </cell>
        </row>
        <row r="568">
          <cell r="A568" t="str">
            <v>SNT-LUHM001-DX</v>
          </cell>
          <cell r="B568" t="str">
            <v>SNH-LUHM001</v>
          </cell>
        </row>
        <row r="569">
          <cell r="A569" t="str">
            <v>SNT-LUHM001-GQ</v>
          </cell>
          <cell r="B569" t="str">
            <v>SNH-LUHM001</v>
          </cell>
        </row>
        <row r="570">
          <cell r="A570" t="str">
            <v>SNT-LUHM001-HW</v>
          </cell>
          <cell r="B570" t="str">
            <v>SNH-LUHM001</v>
          </cell>
        </row>
        <row r="571">
          <cell r="A571" t="str">
            <v>SNT-LUHM001-HY</v>
          </cell>
          <cell r="B571" t="str">
            <v>SNH-LUHM001</v>
          </cell>
        </row>
        <row r="572">
          <cell r="A572" t="str">
            <v>SNT-LUHM001-KT</v>
          </cell>
          <cell r="B572" t="str">
            <v>SNH-LUHM001</v>
          </cell>
        </row>
        <row r="573">
          <cell r="A573" t="str">
            <v>SNT-LUHM001-WX</v>
          </cell>
          <cell r="B573" t="str">
            <v>SNH-LUHM001</v>
          </cell>
        </row>
        <row r="574">
          <cell r="A574" t="str">
            <v>SNT-LUHM001-ZX</v>
          </cell>
          <cell r="B574" t="str">
            <v>SNH-LUHM001</v>
          </cell>
        </row>
        <row r="575">
          <cell r="A575" t="str">
            <v>SQ-LUHM204</v>
          </cell>
          <cell r="B575" t="str">
            <v>SQ-LUHM</v>
          </cell>
        </row>
        <row r="576">
          <cell r="A576" t="str">
            <v>SQ-LUHM304</v>
          </cell>
          <cell r="B576" t="str">
            <v>SQ-LUHM</v>
          </cell>
        </row>
        <row r="577">
          <cell r="A577" t="str">
            <v>SQ-LUHM354</v>
          </cell>
          <cell r="B577" t="str">
            <v>SQ-LUHM</v>
          </cell>
        </row>
        <row r="578">
          <cell r="A578" t="str">
            <v>SQ-LUHM404</v>
          </cell>
          <cell r="B578" t="str">
            <v>SQ-LUHM</v>
          </cell>
        </row>
        <row r="579">
          <cell r="A579" t="str">
            <v>SQ-LUHM90A</v>
          </cell>
          <cell r="B579" t="str">
            <v>SQ-LUHM</v>
          </cell>
        </row>
        <row r="580">
          <cell r="A580" t="str">
            <v>ST005-BK-S</v>
          </cell>
          <cell r="B580" t="str">
            <v>ST005-BK</v>
          </cell>
        </row>
        <row r="581">
          <cell r="A581" t="str">
            <v>ST005-BL1-L</v>
          </cell>
          <cell r="B581" t="str">
            <v>ST005-BL1</v>
          </cell>
        </row>
        <row r="582">
          <cell r="A582" t="str">
            <v>ST005-BL2-S</v>
          </cell>
          <cell r="B582" t="str">
            <v>ST005-BL2</v>
          </cell>
        </row>
        <row r="583">
          <cell r="A583" t="str">
            <v>ST005-GN-S</v>
          </cell>
          <cell r="B583" t="str">
            <v>ST005-GN</v>
          </cell>
        </row>
        <row r="584">
          <cell r="A584" t="str">
            <v>ST005-RD1-M</v>
          </cell>
          <cell r="B584" t="str">
            <v>ST005-RD1</v>
          </cell>
        </row>
        <row r="585">
          <cell r="A585" t="str">
            <v>ST005-RD1-S</v>
          </cell>
          <cell r="B585" t="str">
            <v>ST005-RD1</v>
          </cell>
        </row>
        <row r="586">
          <cell r="A586" t="str">
            <v>ST005-RD-S</v>
          </cell>
          <cell r="B586" t="str">
            <v>ST005-RD</v>
          </cell>
        </row>
        <row r="587">
          <cell r="A587" t="str">
            <v>ST006-BK-XL</v>
          </cell>
          <cell r="B587" t="str">
            <v>ST006-BK</v>
          </cell>
        </row>
        <row r="588">
          <cell r="A588" t="str">
            <v>ST006-BL2-S</v>
          </cell>
          <cell r="B588" t="str">
            <v>ST006-BL2</v>
          </cell>
        </row>
        <row r="589">
          <cell r="A589" t="str">
            <v>ST006-BL-S</v>
          </cell>
          <cell r="B589" t="str">
            <v>ST006-BL</v>
          </cell>
        </row>
        <row r="590">
          <cell r="A590" t="str">
            <v>ST006-CF-M</v>
          </cell>
          <cell r="B590" t="str">
            <v>ST006-CF</v>
          </cell>
        </row>
        <row r="591">
          <cell r="A591" t="str">
            <v>ST006-CF-S</v>
          </cell>
          <cell r="B591" t="str">
            <v>ST006-CF</v>
          </cell>
        </row>
        <row r="592">
          <cell r="A592" t="str">
            <v>ST006-GN-M</v>
          </cell>
          <cell r="B592" t="str">
            <v>ST006-GN</v>
          </cell>
        </row>
        <row r="593">
          <cell r="A593" t="str">
            <v>ST006-GN-S</v>
          </cell>
          <cell r="B593" t="str">
            <v>ST006-GN</v>
          </cell>
        </row>
        <row r="594">
          <cell r="A594" t="str">
            <v>ST006-RD1-S</v>
          </cell>
          <cell r="B594" t="str">
            <v>ST006-RD1</v>
          </cell>
        </row>
        <row r="595">
          <cell r="A595" t="str">
            <v>ST006-RD2-XL</v>
          </cell>
          <cell r="B595" t="str">
            <v>ST006-RD2</v>
          </cell>
        </row>
        <row r="596">
          <cell r="A596" t="str">
            <v>ST084-H15-S</v>
          </cell>
          <cell r="B596" t="str">
            <v>ST084-H15</v>
          </cell>
        </row>
        <row r="597">
          <cell r="A597" t="str">
            <v>ST084-H15-XXL</v>
          </cell>
          <cell r="B597" t="str">
            <v>ST084-H15</v>
          </cell>
        </row>
        <row r="598">
          <cell r="A598" t="str">
            <v>ST085-LB916-M</v>
          </cell>
          <cell r="B598" t="str">
            <v>ST085-LB916</v>
          </cell>
        </row>
        <row r="599">
          <cell r="A599" t="str">
            <v>ST085-LB916-S</v>
          </cell>
          <cell r="B599" t="str">
            <v>ST085-LB916</v>
          </cell>
        </row>
        <row r="600">
          <cell r="A600" t="str">
            <v>ST122-N0-2XL</v>
          </cell>
          <cell r="B600" t="str">
            <v>ST122-N0</v>
          </cell>
        </row>
        <row r="601">
          <cell r="A601" t="str">
            <v>ST122-WR-S</v>
          </cell>
          <cell r="B601" t="str">
            <v>ST122-WR</v>
          </cell>
        </row>
        <row r="602">
          <cell r="A602" t="str">
            <v>ST155-AG-30</v>
          </cell>
          <cell r="B602" t="str">
            <v>ST155-AG</v>
          </cell>
        </row>
        <row r="603">
          <cell r="A603" t="str">
            <v>ST155-AG-32</v>
          </cell>
          <cell r="B603" t="str">
            <v>ST155-AG</v>
          </cell>
        </row>
        <row r="604">
          <cell r="A604" t="str">
            <v>ST155-AG-38</v>
          </cell>
          <cell r="B604" t="str">
            <v>ST155-AG</v>
          </cell>
        </row>
        <row r="605">
          <cell r="A605" t="str">
            <v>ST166-B28-4-L</v>
          </cell>
          <cell r="B605" t="str">
            <v>ST166-B28</v>
          </cell>
        </row>
        <row r="606">
          <cell r="A606" t="str">
            <v>ST166-B28-4-S</v>
          </cell>
          <cell r="B606" t="str">
            <v>ST166-B28</v>
          </cell>
        </row>
        <row r="607">
          <cell r="A607" t="str">
            <v>ST166-B28-4-XXL</v>
          </cell>
          <cell r="B607" t="str">
            <v>ST166-B28</v>
          </cell>
        </row>
        <row r="608">
          <cell r="A608" t="str">
            <v>ST166-K33-1-L</v>
          </cell>
          <cell r="B608" t="str">
            <v>ST166-K33</v>
          </cell>
        </row>
        <row r="609">
          <cell r="A609" t="str">
            <v>ST166-K33-1-S</v>
          </cell>
          <cell r="B609" t="str">
            <v>ST166-K33</v>
          </cell>
        </row>
        <row r="610">
          <cell r="A610" t="str">
            <v>ST166-K33-1-XL</v>
          </cell>
          <cell r="B610" t="str">
            <v>ST166-K33</v>
          </cell>
        </row>
        <row r="611">
          <cell r="A611" t="str">
            <v>ST166-K33-1-XXL</v>
          </cell>
          <cell r="B611" t="str">
            <v>ST166-K33</v>
          </cell>
        </row>
        <row r="612">
          <cell r="A612" t="str">
            <v>ST166-K33-4-L</v>
          </cell>
          <cell r="B612" t="str">
            <v>ST166-K33</v>
          </cell>
        </row>
        <row r="613">
          <cell r="A613" t="str">
            <v>ST166-K33-4-M</v>
          </cell>
          <cell r="B613" t="str">
            <v>ST166-K33</v>
          </cell>
        </row>
        <row r="614">
          <cell r="A614" t="str">
            <v>ST166-K33-4-S</v>
          </cell>
          <cell r="B614" t="str">
            <v>ST166-K33</v>
          </cell>
        </row>
        <row r="615">
          <cell r="A615" t="str">
            <v>ST167-BK-XXL</v>
          </cell>
          <cell r="B615" t="str">
            <v>ST167-BK</v>
          </cell>
        </row>
        <row r="616">
          <cell r="A616" t="str">
            <v>ST167-K0-XXL</v>
          </cell>
          <cell r="B616" t="str">
            <v>ST167-K0</v>
          </cell>
        </row>
        <row r="617">
          <cell r="A617" t="str">
            <v>ST168-K77-4-XL</v>
          </cell>
          <cell r="B617" t="str">
            <v>ST168-K77</v>
          </cell>
        </row>
        <row r="618">
          <cell r="A618" t="str">
            <v>ST170-LB-L</v>
          </cell>
          <cell r="B618" t="str">
            <v>ST170-LB</v>
          </cell>
        </row>
        <row r="619">
          <cell r="A619" t="str">
            <v>ST170-LB-M</v>
          </cell>
          <cell r="B619" t="str">
            <v>ST170-LB</v>
          </cell>
        </row>
        <row r="620">
          <cell r="A620" t="str">
            <v>ST170-LB-S</v>
          </cell>
          <cell r="B620" t="str">
            <v>ST170-LB</v>
          </cell>
        </row>
        <row r="621">
          <cell r="A621" t="str">
            <v>ST170-LB-XL</v>
          </cell>
          <cell r="B621" t="str">
            <v>ST170-LB</v>
          </cell>
        </row>
        <row r="622">
          <cell r="A622" t="str">
            <v>ST170-LB-XXL</v>
          </cell>
          <cell r="B622" t="str">
            <v>ST170-LB</v>
          </cell>
        </row>
        <row r="623">
          <cell r="A623" t="str">
            <v>ST170-LG-L</v>
          </cell>
          <cell r="B623" t="str">
            <v>ST170-LG</v>
          </cell>
        </row>
        <row r="624">
          <cell r="A624" t="str">
            <v>ST170-LG-M</v>
          </cell>
          <cell r="B624" t="str">
            <v>ST170-LG</v>
          </cell>
        </row>
        <row r="625">
          <cell r="A625" t="str">
            <v>ST170-LG-S</v>
          </cell>
          <cell r="B625" t="str">
            <v>ST170-LG</v>
          </cell>
        </row>
        <row r="626">
          <cell r="A626" t="str">
            <v>ST170-LG-XXL</v>
          </cell>
          <cell r="B626" t="str">
            <v>ST170-LG</v>
          </cell>
        </row>
        <row r="627">
          <cell r="A627" t="str">
            <v>ST170-PK-M</v>
          </cell>
          <cell r="B627" t="str">
            <v>ST170-PK</v>
          </cell>
        </row>
        <row r="628">
          <cell r="A628" t="str">
            <v>ST170-PK-XL</v>
          </cell>
          <cell r="B628" t="str">
            <v>ST170-PK</v>
          </cell>
        </row>
        <row r="629">
          <cell r="A629" t="str">
            <v>ST170-PK-XXL</v>
          </cell>
          <cell r="B629" t="str">
            <v>ST170-PK</v>
          </cell>
        </row>
        <row r="630">
          <cell r="A630" t="str">
            <v>ST170-SA-M</v>
          </cell>
          <cell r="B630" t="str">
            <v>ST170-SA</v>
          </cell>
        </row>
        <row r="631">
          <cell r="A631" t="str">
            <v>ST170-SA-S</v>
          </cell>
          <cell r="B631" t="str">
            <v>ST170-SA</v>
          </cell>
        </row>
        <row r="632">
          <cell r="A632" t="str">
            <v>ST170-SA-XL</v>
          </cell>
          <cell r="B632" t="str">
            <v>ST170-SA</v>
          </cell>
        </row>
        <row r="633">
          <cell r="A633" t="str">
            <v>ST170-SA-XXL</v>
          </cell>
          <cell r="B633" t="str">
            <v>ST170-SA</v>
          </cell>
        </row>
        <row r="634">
          <cell r="A634" t="str">
            <v>ST170-WR-L</v>
          </cell>
          <cell r="B634" t="str">
            <v>ST170-WR</v>
          </cell>
        </row>
        <row r="635">
          <cell r="A635" t="str">
            <v>ST170-WR-S</v>
          </cell>
          <cell r="B635" t="str">
            <v>ST170-WR</v>
          </cell>
        </row>
        <row r="636">
          <cell r="A636" t="str">
            <v>ST170-WR-XL</v>
          </cell>
          <cell r="B636" t="str">
            <v>ST170-WR</v>
          </cell>
        </row>
        <row r="637">
          <cell r="A637" t="str">
            <v>ST170-WT-M</v>
          </cell>
          <cell r="B637" t="str">
            <v>ST170-WT</v>
          </cell>
        </row>
        <row r="638">
          <cell r="A638" t="str">
            <v>ST170-WT-S</v>
          </cell>
          <cell r="B638" t="str">
            <v>ST170-WT</v>
          </cell>
        </row>
        <row r="639">
          <cell r="A639" t="str">
            <v>ST170-ZL-L</v>
          </cell>
          <cell r="B639" t="str">
            <v>ST170-ZL</v>
          </cell>
        </row>
        <row r="640">
          <cell r="A640" t="str">
            <v>ST170-ZL-M</v>
          </cell>
          <cell r="B640" t="str">
            <v>ST170-ZL</v>
          </cell>
        </row>
        <row r="641">
          <cell r="A641" t="str">
            <v>ST170-ZL-S</v>
          </cell>
          <cell r="B641" t="str">
            <v>ST170-ZL</v>
          </cell>
        </row>
        <row r="642">
          <cell r="A642" t="str">
            <v>ST170-ZL-XL</v>
          </cell>
          <cell r="B642" t="str">
            <v>ST170-ZL</v>
          </cell>
        </row>
        <row r="643">
          <cell r="A643" t="str">
            <v>ST171-LB916-M</v>
          </cell>
          <cell r="B643" t="str">
            <v>ST171-LB916</v>
          </cell>
        </row>
        <row r="644">
          <cell r="A644" t="str">
            <v>ST171-LB916-S</v>
          </cell>
          <cell r="B644" t="str">
            <v>ST171-LB916</v>
          </cell>
        </row>
        <row r="645">
          <cell r="A645" t="str">
            <v>ST171-LB916-XXL</v>
          </cell>
          <cell r="B645" t="str">
            <v>ST171-LB916</v>
          </cell>
        </row>
        <row r="646">
          <cell r="A646" t="str">
            <v>ST171-Sa911-L</v>
          </cell>
          <cell r="B646" t="str">
            <v>ST171-Sa911</v>
          </cell>
        </row>
        <row r="647">
          <cell r="A647" t="str">
            <v>ST171-Sa911-M</v>
          </cell>
          <cell r="B647" t="str">
            <v>ST171-Sa911</v>
          </cell>
        </row>
        <row r="648">
          <cell r="A648" t="str">
            <v>ST171-Sa911-S</v>
          </cell>
          <cell r="B648" t="str">
            <v>ST171-Sa911</v>
          </cell>
        </row>
        <row r="649">
          <cell r="A649" t="str">
            <v>ST171-Sa911-XL</v>
          </cell>
          <cell r="B649" t="str">
            <v>ST171-Sa911</v>
          </cell>
        </row>
        <row r="650">
          <cell r="A650" t="str">
            <v>ST171-W902-M</v>
          </cell>
          <cell r="B650" t="str">
            <v>ST171-W902</v>
          </cell>
        </row>
        <row r="651">
          <cell r="A651" t="str">
            <v>ST171-W902-XL</v>
          </cell>
          <cell r="B651" t="str">
            <v>ST171-W902</v>
          </cell>
        </row>
        <row r="652">
          <cell r="A652" t="str">
            <v>ST172-BK-L</v>
          </cell>
          <cell r="B652" t="str">
            <v>ST172-BK</v>
          </cell>
        </row>
        <row r="653">
          <cell r="A653" t="str">
            <v>ST172-BK-M</v>
          </cell>
          <cell r="B653" t="str">
            <v>ST172-BK</v>
          </cell>
        </row>
        <row r="654">
          <cell r="A654" t="str">
            <v>ST172-BK-S</v>
          </cell>
          <cell r="B654" t="str">
            <v>ST172-BK</v>
          </cell>
        </row>
        <row r="655">
          <cell r="A655" t="str">
            <v>ST172-BK-XL</v>
          </cell>
          <cell r="B655" t="str">
            <v>ST172-BK</v>
          </cell>
        </row>
        <row r="656">
          <cell r="A656" t="str">
            <v>ST172-BL-L</v>
          </cell>
          <cell r="B656" t="str">
            <v>ST172-BL</v>
          </cell>
        </row>
        <row r="657">
          <cell r="A657" t="str">
            <v>ST172-BL-M</v>
          </cell>
          <cell r="B657" t="str">
            <v>ST172-BL</v>
          </cell>
        </row>
        <row r="658">
          <cell r="A658" t="str">
            <v>ST172-BL-S</v>
          </cell>
          <cell r="B658" t="str">
            <v>ST172-BL</v>
          </cell>
        </row>
        <row r="659">
          <cell r="A659" t="str">
            <v>ST172-BL-XL</v>
          </cell>
          <cell r="B659" t="str">
            <v>ST172-BL</v>
          </cell>
        </row>
        <row r="660">
          <cell r="A660" t="str">
            <v>ST172-BL-XXL</v>
          </cell>
          <cell r="B660" t="str">
            <v>ST172-BL</v>
          </cell>
        </row>
        <row r="661">
          <cell r="A661" t="str">
            <v>ST172-GR-L</v>
          </cell>
          <cell r="B661" t="str">
            <v>ST172-GR</v>
          </cell>
        </row>
        <row r="662">
          <cell r="A662" t="str">
            <v>ST172-GR-M</v>
          </cell>
          <cell r="B662" t="str">
            <v>ST172-GR</v>
          </cell>
        </row>
        <row r="663">
          <cell r="A663" t="str">
            <v>ST172-GR-S</v>
          </cell>
          <cell r="B663" t="str">
            <v>ST172-GR</v>
          </cell>
        </row>
        <row r="664">
          <cell r="A664" t="str">
            <v>ST172-GR-XL</v>
          </cell>
          <cell r="B664" t="str">
            <v>ST172-GR</v>
          </cell>
        </row>
        <row r="665">
          <cell r="A665" t="str">
            <v>ST172-GR-XXL</v>
          </cell>
          <cell r="B665" t="str">
            <v>ST172-GR</v>
          </cell>
        </row>
        <row r="666">
          <cell r="A666" t="str">
            <v>ST172-NY-L</v>
          </cell>
          <cell r="B666" t="str">
            <v>ST172-NY</v>
          </cell>
        </row>
        <row r="667">
          <cell r="A667" t="str">
            <v>ST172-NY-M</v>
          </cell>
          <cell r="B667" t="str">
            <v>ST172-NY</v>
          </cell>
        </row>
        <row r="668">
          <cell r="A668" t="str">
            <v>ST172-NY-S</v>
          </cell>
          <cell r="B668" t="str">
            <v>ST172-NY</v>
          </cell>
        </row>
        <row r="669">
          <cell r="A669" t="str">
            <v>ST172-NY-XL</v>
          </cell>
          <cell r="B669" t="str">
            <v>ST172-NY</v>
          </cell>
        </row>
        <row r="670">
          <cell r="A670" t="str">
            <v>ST172-NY-XXL</v>
          </cell>
          <cell r="B670" t="str">
            <v>ST172-NY</v>
          </cell>
        </row>
        <row r="671">
          <cell r="A671" t="str">
            <v>ST172-PK-L</v>
          </cell>
          <cell r="B671" t="str">
            <v>ST172-PK</v>
          </cell>
        </row>
        <row r="672">
          <cell r="A672" t="str">
            <v>ST172-PK-M</v>
          </cell>
          <cell r="B672" t="str">
            <v>ST172-PK</v>
          </cell>
        </row>
        <row r="673">
          <cell r="A673" t="str">
            <v>ST172-PK-S</v>
          </cell>
          <cell r="B673" t="str">
            <v>ST172-PK</v>
          </cell>
        </row>
        <row r="674">
          <cell r="A674" t="str">
            <v>ST172-PK-XL</v>
          </cell>
          <cell r="B674" t="str">
            <v>ST172-PK</v>
          </cell>
        </row>
        <row r="675">
          <cell r="A675" t="str">
            <v>ST172-PK-XXL</v>
          </cell>
          <cell r="B675" t="str">
            <v>ST172-PK</v>
          </cell>
        </row>
        <row r="676">
          <cell r="A676" t="str">
            <v>ST172-PP-L</v>
          </cell>
          <cell r="B676" t="str">
            <v>ST172-PP</v>
          </cell>
        </row>
        <row r="677">
          <cell r="A677" t="str">
            <v>ST172-PP-M</v>
          </cell>
          <cell r="B677" t="str">
            <v>ST172-PP</v>
          </cell>
        </row>
        <row r="678">
          <cell r="A678" t="str">
            <v>ST172-PP-S</v>
          </cell>
          <cell r="B678" t="str">
            <v>ST172-PP</v>
          </cell>
        </row>
        <row r="679">
          <cell r="A679" t="str">
            <v>ST172-PP-XL</v>
          </cell>
          <cell r="B679" t="str">
            <v>ST172-PP</v>
          </cell>
        </row>
        <row r="680">
          <cell r="A680" t="str">
            <v>ST172-WR-L</v>
          </cell>
          <cell r="B680" t="str">
            <v>ST172-WR</v>
          </cell>
        </row>
        <row r="681">
          <cell r="A681" t="str">
            <v>ST172-WR-M</v>
          </cell>
          <cell r="B681" t="str">
            <v>ST172-WR</v>
          </cell>
        </row>
        <row r="682">
          <cell r="A682" t="str">
            <v>ST172-WR-S</v>
          </cell>
          <cell r="B682" t="str">
            <v>ST172-WR</v>
          </cell>
        </row>
        <row r="683">
          <cell r="A683" t="str">
            <v>ST172-WR-XL</v>
          </cell>
          <cell r="B683" t="str">
            <v>ST172-WR</v>
          </cell>
        </row>
        <row r="684">
          <cell r="A684" t="str">
            <v>ST172-WR-XXL</v>
          </cell>
          <cell r="B684" t="str">
            <v>ST172-WR</v>
          </cell>
        </row>
        <row r="685">
          <cell r="A685" t="str">
            <v>ST172-WT1-L</v>
          </cell>
          <cell r="B685" t="str">
            <v>ST172-WT1</v>
          </cell>
        </row>
        <row r="686">
          <cell r="A686" t="str">
            <v>ST172-WT1-M</v>
          </cell>
          <cell r="B686" t="str">
            <v>ST172-WT1</v>
          </cell>
        </row>
        <row r="687">
          <cell r="A687" t="str">
            <v>ST172-WT1-S</v>
          </cell>
          <cell r="B687" t="str">
            <v>ST172-WT1</v>
          </cell>
        </row>
        <row r="688">
          <cell r="A688" t="str">
            <v>ST172-WT1-XL</v>
          </cell>
          <cell r="B688" t="str">
            <v>ST172-WT1</v>
          </cell>
        </row>
        <row r="689">
          <cell r="A689" t="str">
            <v>ST172-WT1-XXL</v>
          </cell>
          <cell r="B689" t="str">
            <v>ST172-WT1</v>
          </cell>
        </row>
        <row r="690">
          <cell r="A690" t="str">
            <v>ST172-WT2-L</v>
          </cell>
          <cell r="B690" t="str">
            <v>ST172-WT2</v>
          </cell>
        </row>
        <row r="691">
          <cell r="A691" t="str">
            <v>ST172-WT2-M</v>
          </cell>
          <cell r="B691" t="str">
            <v>ST172-WT2</v>
          </cell>
        </row>
        <row r="692">
          <cell r="A692" t="str">
            <v>ST172-WT2-S</v>
          </cell>
          <cell r="B692" t="str">
            <v>ST172-WT2</v>
          </cell>
        </row>
        <row r="693">
          <cell r="A693" t="str">
            <v>ST172-WT2-XL</v>
          </cell>
          <cell r="B693" t="str">
            <v>ST172-WT2</v>
          </cell>
        </row>
        <row r="694">
          <cell r="A694" t="str">
            <v>ST172-WT2-XXL</v>
          </cell>
          <cell r="B694" t="str">
            <v>ST172-WT2</v>
          </cell>
        </row>
        <row r="695">
          <cell r="A695" t="str">
            <v>ST173-BK-L</v>
          </cell>
          <cell r="B695" t="str">
            <v>ST173-BK</v>
          </cell>
        </row>
        <row r="696">
          <cell r="A696" t="str">
            <v>ST173-BK-S</v>
          </cell>
          <cell r="B696" t="str">
            <v>ST173-BK</v>
          </cell>
        </row>
        <row r="697">
          <cell r="A697" t="str">
            <v>ST173-BK-XL</v>
          </cell>
          <cell r="B697" t="str">
            <v>ST173-BK</v>
          </cell>
        </row>
        <row r="698">
          <cell r="A698" t="str">
            <v>ST173-BK-XXL</v>
          </cell>
          <cell r="B698" t="str">
            <v>ST173-BK</v>
          </cell>
        </row>
        <row r="699">
          <cell r="A699" t="str">
            <v>ST173-BL-L</v>
          </cell>
          <cell r="B699" t="str">
            <v>ST173-BL</v>
          </cell>
        </row>
        <row r="700">
          <cell r="A700" t="str">
            <v>ST173-BL-M</v>
          </cell>
          <cell r="B700" t="str">
            <v>ST173-BL</v>
          </cell>
        </row>
        <row r="701">
          <cell r="A701" t="str">
            <v>ST173-BL-S</v>
          </cell>
          <cell r="B701" t="str">
            <v>ST173-BL</v>
          </cell>
        </row>
        <row r="702">
          <cell r="A702" t="str">
            <v>ST173-BL-XL</v>
          </cell>
          <cell r="B702" t="str">
            <v>ST173-BL</v>
          </cell>
        </row>
        <row r="703">
          <cell r="A703" t="str">
            <v>ST173-BL-XXL</v>
          </cell>
          <cell r="B703" t="str">
            <v>ST173-BL</v>
          </cell>
        </row>
        <row r="704">
          <cell r="A704" t="str">
            <v>ST173-GR-L</v>
          </cell>
          <cell r="B704" t="str">
            <v>ST173-GR</v>
          </cell>
        </row>
        <row r="705">
          <cell r="A705" t="str">
            <v>ST173-GR-M</v>
          </cell>
          <cell r="B705" t="str">
            <v>ST173-GR</v>
          </cell>
        </row>
        <row r="706">
          <cell r="A706" t="str">
            <v>ST173-GR-S</v>
          </cell>
          <cell r="B706" t="str">
            <v>ST173-GR</v>
          </cell>
        </row>
        <row r="707">
          <cell r="A707" t="str">
            <v>ST173-GR-XL</v>
          </cell>
          <cell r="B707" t="str">
            <v>ST173-GR</v>
          </cell>
        </row>
        <row r="708">
          <cell r="A708" t="str">
            <v>ST173-GR-XXL</v>
          </cell>
          <cell r="B708" t="str">
            <v>ST173-GR</v>
          </cell>
        </row>
        <row r="709">
          <cell r="A709" t="str">
            <v>ST173-NY-L</v>
          </cell>
          <cell r="B709" t="str">
            <v>ST173-NY</v>
          </cell>
        </row>
        <row r="710">
          <cell r="A710" t="str">
            <v>ST173-NY-M</v>
          </cell>
          <cell r="B710" t="str">
            <v>ST173-NY</v>
          </cell>
        </row>
        <row r="711">
          <cell r="A711" t="str">
            <v>ST173-NY-S</v>
          </cell>
          <cell r="B711" t="str">
            <v>ST173-NY</v>
          </cell>
        </row>
        <row r="712">
          <cell r="A712" t="str">
            <v>ST173-NY-XL</v>
          </cell>
          <cell r="B712" t="str">
            <v>ST173-NY</v>
          </cell>
        </row>
        <row r="713">
          <cell r="A713" t="str">
            <v>ST173-NY-XXL</v>
          </cell>
          <cell r="B713" t="str">
            <v>ST173-NY</v>
          </cell>
        </row>
        <row r="714">
          <cell r="A714" t="str">
            <v>ST173-PK-L</v>
          </cell>
          <cell r="B714" t="str">
            <v>ST173-PK</v>
          </cell>
        </row>
        <row r="715">
          <cell r="A715" t="str">
            <v>ST173-PK-M</v>
          </cell>
          <cell r="B715" t="str">
            <v>ST173-PK</v>
          </cell>
        </row>
        <row r="716">
          <cell r="A716" t="str">
            <v>ST173-PK-S</v>
          </cell>
          <cell r="B716" t="str">
            <v>ST173-PK</v>
          </cell>
        </row>
        <row r="717">
          <cell r="A717" t="str">
            <v>ST173-PK-XL</v>
          </cell>
          <cell r="B717" t="str">
            <v>ST173-PK</v>
          </cell>
        </row>
        <row r="718">
          <cell r="A718" t="str">
            <v>ST173-PK-XXL</v>
          </cell>
          <cell r="B718" t="str">
            <v>ST173-PK</v>
          </cell>
        </row>
        <row r="719">
          <cell r="A719" t="str">
            <v>ST173-PP-L</v>
          </cell>
          <cell r="B719" t="str">
            <v>ST173-PP</v>
          </cell>
        </row>
        <row r="720">
          <cell r="A720" t="str">
            <v>ST173-PP-S</v>
          </cell>
          <cell r="B720" t="str">
            <v>ST173-PP</v>
          </cell>
        </row>
        <row r="721">
          <cell r="A721" t="str">
            <v>ST173-WR-L</v>
          </cell>
          <cell r="B721" t="str">
            <v>ST173-WR</v>
          </cell>
        </row>
        <row r="722">
          <cell r="A722" t="str">
            <v>ST173-WR-M</v>
          </cell>
          <cell r="B722" t="str">
            <v>ST173-WR</v>
          </cell>
        </row>
        <row r="723">
          <cell r="A723" t="str">
            <v>ST173-WR-S</v>
          </cell>
          <cell r="B723" t="str">
            <v>ST173-WR</v>
          </cell>
        </row>
        <row r="724">
          <cell r="A724" t="str">
            <v>ST173-WR-XL</v>
          </cell>
          <cell r="B724" t="str">
            <v>ST173-WR</v>
          </cell>
        </row>
        <row r="725">
          <cell r="A725" t="str">
            <v>ST173-WR-XXL</v>
          </cell>
          <cell r="B725" t="str">
            <v>ST173-WR</v>
          </cell>
        </row>
        <row r="726">
          <cell r="A726" t="str">
            <v>ST173-WT1-L</v>
          </cell>
          <cell r="B726" t="str">
            <v>ST173-WT1</v>
          </cell>
        </row>
        <row r="727">
          <cell r="A727" t="str">
            <v>ST173-WT1-M</v>
          </cell>
          <cell r="B727" t="str">
            <v>ST173-WT1</v>
          </cell>
        </row>
        <row r="728">
          <cell r="A728" t="str">
            <v>ST173-WT1-S</v>
          </cell>
          <cell r="B728" t="str">
            <v>ST173-WT1</v>
          </cell>
        </row>
        <row r="729">
          <cell r="A729" t="str">
            <v>ST173-WT1-XXL</v>
          </cell>
          <cell r="B729" t="str">
            <v>ST173-WT1</v>
          </cell>
        </row>
        <row r="730">
          <cell r="A730" t="str">
            <v>ST173-WT2-L</v>
          </cell>
          <cell r="B730" t="str">
            <v>ST173-WT2</v>
          </cell>
        </row>
        <row r="731">
          <cell r="A731" t="str">
            <v>ST173-WT2-S</v>
          </cell>
          <cell r="B731" t="str">
            <v>ST173-WT2</v>
          </cell>
        </row>
        <row r="732">
          <cell r="A732" t="str">
            <v>ST173-WT2-XL</v>
          </cell>
          <cell r="B732" t="str">
            <v>ST173-WT2</v>
          </cell>
        </row>
        <row r="733">
          <cell r="A733" t="str">
            <v>ST-FLQ110-KO-L</v>
          </cell>
          <cell r="B733" t="str">
            <v>ST-FLQ110</v>
          </cell>
        </row>
        <row r="734">
          <cell r="A734" t="str">
            <v>ST-FLQ110-KO-M</v>
          </cell>
          <cell r="B734" t="str">
            <v>ST-FLQ110</v>
          </cell>
        </row>
        <row r="735">
          <cell r="A735" t="str">
            <v>ST-FLQ110-KO-XL</v>
          </cell>
          <cell r="B735" t="str">
            <v>ST-FLQ110</v>
          </cell>
        </row>
        <row r="736">
          <cell r="A736" t="str">
            <v>ST-FLQ110-PI-L</v>
          </cell>
          <cell r="B736" t="str">
            <v>ST-FLQ110</v>
          </cell>
        </row>
        <row r="737">
          <cell r="A737" t="str">
            <v>ST-FLQ110-PI-M</v>
          </cell>
          <cell r="B737" t="str">
            <v>ST-FLQ110</v>
          </cell>
        </row>
        <row r="738">
          <cell r="A738" t="str">
            <v>ST-FLQ110-PI-S</v>
          </cell>
          <cell r="B738" t="str">
            <v>ST-FLQ110</v>
          </cell>
        </row>
        <row r="739">
          <cell r="A739" t="str">
            <v>ST-K157-B0-32</v>
          </cell>
          <cell r="B739" t="str">
            <v>ST-K157</v>
          </cell>
        </row>
        <row r="740">
          <cell r="A740" t="str">
            <v>ST-K157-KQ-32</v>
          </cell>
          <cell r="B740" t="str">
            <v>ST-K157</v>
          </cell>
        </row>
        <row r="741">
          <cell r="A741" t="str">
            <v>ST-K157-KQ-34</v>
          </cell>
          <cell r="B741" t="str">
            <v>ST-K157</v>
          </cell>
        </row>
        <row r="742">
          <cell r="A742" t="str">
            <v>ST-K559-K0-44</v>
          </cell>
          <cell r="B742" t="str">
            <v>ST-K559</v>
          </cell>
        </row>
        <row r="743">
          <cell r="A743" t="str">
            <v>ST-K559-KQ-32</v>
          </cell>
          <cell r="B743" t="str">
            <v>ST-K559</v>
          </cell>
        </row>
        <row r="744">
          <cell r="A744" t="str">
            <v>ST-K559-KQ-34</v>
          </cell>
          <cell r="B744" t="str">
            <v>ST-K559</v>
          </cell>
        </row>
        <row r="745">
          <cell r="A745" t="str">
            <v>ST-K559-KQ-44</v>
          </cell>
          <cell r="B745" t="str">
            <v>ST-K559</v>
          </cell>
        </row>
        <row r="746">
          <cell r="A746" t="str">
            <v>ST-K559-OR-32</v>
          </cell>
          <cell r="B746" t="str">
            <v>ST-K559</v>
          </cell>
        </row>
        <row r="747">
          <cell r="A747" t="str">
            <v>ST-LAHM-LG-001</v>
          </cell>
          <cell r="B747" t="str">
            <v>ST-LAHM</v>
          </cell>
        </row>
        <row r="748">
          <cell r="A748" t="str">
            <v>SZ-IUYL002</v>
          </cell>
          <cell r="B748" t="str">
            <v>SZ-IUYL002</v>
          </cell>
        </row>
        <row r="749">
          <cell r="A749" t="str">
            <v>TEST-BR-6IN</v>
          </cell>
          <cell r="B749" t="str">
            <v>TEST-BR-6IN</v>
          </cell>
        </row>
        <row r="750">
          <cell r="A750" t="str">
            <v>TESTY0-6IN</v>
          </cell>
          <cell r="B750" t="str">
            <v>TEST-Y0</v>
          </cell>
        </row>
        <row r="751">
          <cell r="A751" t="str">
            <v>TEST-Y0-7IN</v>
          </cell>
          <cell r="B751" t="str">
            <v>TEST-Y0</v>
          </cell>
        </row>
        <row r="752">
          <cell r="A752" t="str">
            <v>TZ-IUYL240-BEAR-L</v>
          </cell>
          <cell r="B752" t="str">
            <v>TZ-IUYL240</v>
          </cell>
        </row>
        <row r="753">
          <cell r="A753" t="str">
            <v>TZ-IUYL240-BEAR-M</v>
          </cell>
          <cell r="B753" t="str">
            <v>TZ-IUYL240</v>
          </cell>
        </row>
        <row r="754">
          <cell r="A754" t="str">
            <v>TZ-IUYL240-BEAR-S</v>
          </cell>
          <cell r="B754" t="str">
            <v>TZ-IUYL240</v>
          </cell>
        </row>
        <row r="755">
          <cell r="A755" t="str">
            <v>TZ-IUYL240-BONE-L</v>
          </cell>
          <cell r="B755" t="str">
            <v>TZ-IUYL240</v>
          </cell>
        </row>
        <row r="756">
          <cell r="A756" t="str">
            <v>TZ-IUYL240-BONE-M</v>
          </cell>
          <cell r="B756" t="str">
            <v>TZ-IUYL240</v>
          </cell>
        </row>
        <row r="757">
          <cell r="A757" t="str">
            <v>TZ-IUYL240-BONE-S</v>
          </cell>
          <cell r="B757" t="str">
            <v>TZ-IUYL240</v>
          </cell>
        </row>
        <row r="758">
          <cell r="A758" t="str">
            <v>TZ-IUYL240-DOT2-L</v>
          </cell>
          <cell r="B758" t="str">
            <v>TZ-IUYL240</v>
          </cell>
        </row>
        <row r="759">
          <cell r="A759" t="str">
            <v>TZ-IUYL240-DOT2-M</v>
          </cell>
          <cell r="B759" t="str">
            <v>TZ-IUYL240</v>
          </cell>
        </row>
        <row r="760">
          <cell r="A760" t="str">
            <v>TZ-IUYL240-DOT2-S</v>
          </cell>
          <cell r="B760" t="str">
            <v>TZ-IUYL240</v>
          </cell>
        </row>
        <row r="761">
          <cell r="A761" t="str">
            <v>TZ-IUYL240-DOT-L</v>
          </cell>
          <cell r="B761" t="str">
            <v>TZ-IUYL240</v>
          </cell>
        </row>
        <row r="762">
          <cell r="A762" t="str">
            <v>TZ-IUYL240-DOT-M</v>
          </cell>
          <cell r="B762" t="str">
            <v>TZ-IUYL240</v>
          </cell>
        </row>
        <row r="763">
          <cell r="A763" t="str">
            <v>TZ-IUYL240-DOT-S</v>
          </cell>
          <cell r="B763" t="str">
            <v>TZ-IUYL240</v>
          </cell>
        </row>
        <row r="764">
          <cell r="A764" t="str">
            <v>TZ-IUYL240-ELPH-L</v>
          </cell>
          <cell r="B764" t="str">
            <v>TZ-IUYL240</v>
          </cell>
        </row>
        <row r="765">
          <cell r="A765" t="str">
            <v>TZ-IUYL240-ELPH-M</v>
          </cell>
          <cell r="B765" t="str">
            <v>TZ-IUYL240</v>
          </cell>
        </row>
        <row r="766">
          <cell r="A766" t="str">
            <v>TZ-IUYL240-ELPH-S</v>
          </cell>
          <cell r="B766" t="str">
            <v>TZ-IUYL240</v>
          </cell>
        </row>
        <row r="767">
          <cell r="A767" t="str">
            <v>TZ-IUYL240LHY-BONE-L</v>
          </cell>
          <cell r="B767" t="str">
            <v>TZ-IUYL240LHY</v>
          </cell>
        </row>
        <row r="768">
          <cell r="A768" t="str">
            <v>TZ-IUYL240LHY-BONE-M</v>
          </cell>
          <cell r="B768" t="str">
            <v>TZ-IUYL240LHY</v>
          </cell>
        </row>
        <row r="769">
          <cell r="A769" t="str">
            <v>TZ-IUYL240LHY-BONE-S</v>
          </cell>
          <cell r="B769" t="str">
            <v>TZ-IUYL240LHY</v>
          </cell>
        </row>
        <row r="770">
          <cell r="A770" t="str">
            <v>TZ-IUYL240LHY-DOT-L</v>
          </cell>
          <cell r="B770" t="str">
            <v>TZ-IUYL240LHY</v>
          </cell>
        </row>
        <row r="771">
          <cell r="A771" t="str">
            <v>TZ-IUYL240LHY-DOT-M</v>
          </cell>
          <cell r="B771" t="str">
            <v>TZ-IUYL240LHY</v>
          </cell>
        </row>
        <row r="772">
          <cell r="A772" t="str">
            <v>TZ-IUYL240LHY-DOT-S</v>
          </cell>
          <cell r="B772" t="str">
            <v>TZ-IUYL240LHY</v>
          </cell>
        </row>
        <row r="773">
          <cell r="A773" t="str">
            <v>TZ-IUYL240LHY-ELPH-L</v>
          </cell>
          <cell r="B773" t="str">
            <v>TZ-IUYL240LHY</v>
          </cell>
        </row>
        <row r="774">
          <cell r="A774" t="str">
            <v>TZ-IUYL240LHY-ELPH-M</v>
          </cell>
          <cell r="B774" t="str">
            <v>TZ-IUYL240LHY</v>
          </cell>
        </row>
        <row r="775">
          <cell r="A775" t="str">
            <v>TZ-IUYL240LHY-ELPH-S</v>
          </cell>
          <cell r="B775" t="str">
            <v>TZ-IUYL240LHY</v>
          </cell>
        </row>
        <row r="776">
          <cell r="A776" t="str">
            <v>TZ-IUYL240LHY-PAW-L</v>
          </cell>
          <cell r="B776" t="str">
            <v>TZ-IUYL240LHY</v>
          </cell>
        </row>
        <row r="777">
          <cell r="A777" t="str">
            <v>TZ-IUYL240LHY-PAW-M</v>
          </cell>
          <cell r="B777" t="str">
            <v>TZ-IUYL240LHY</v>
          </cell>
        </row>
        <row r="778">
          <cell r="A778" t="str">
            <v>TZ-IUYL240LHY-PAW-S</v>
          </cell>
          <cell r="B778" t="str">
            <v>TZ-IUYL240LHY</v>
          </cell>
        </row>
        <row r="779">
          <cell r="A779" t="str">
            <v>TZ-IUYL240LHY-STAR-L</v>
          </cell>
          <cell r="B779" t="str">
            <v>TZ-IUYL240LHY</v>
          </cell>
        </row>
        <row r="780">
          <cell r="A780" t="str">
            <v>TZ-IUYL240LHY-STAR-M</v>
          </cell>
          <cell r="B780" t="str">
            <v>TZ-IUYL240LHY</v>
          </cell>
        </row>
        <row r="781">
          <cell r="A781" t="str">
            <v>TZ-IUYL240LHY-STAR-S</v>
          </cell>
          <cell r="B781" t="str">
            <v>TZ-IUYL240LHY</v>
          </cell>
        </row>
        <row r="782">
          <cell r="A782" t="str">
            <v>TZ-IUYL240LHY-STRAWBERRY-L</v>
          </cell>
          <cell r="B782" t="str">
            <v>TZ-IUYL240LHY</v>
          </cell>
        </row>
        <row r="783">
          <cell r="A783" t="str">
            <v>TZ-IUYL240LHY-STRAWBERRY-M</v>
          </cell>
          <cell r="B783" t="str">
            <v>TZ-IUYL240LHY</v>
          </cell>
        </row>
        <row r="784">
          <cell r="A784" t="str">
            <v>TZ-IUYL240LHY-STRAWBERRY-S</v>
          </cell>
          <cell r="B784" t="str">
            <v>TZ-IUYL240LHY</v>
          </cell>
        </row>
        <row r="785">
          <cell r="A785" t="str">
            <v>TZ-IUYL240-LOVE-L</v>
          </cell>
          <cell r="B785" t="str">
            <v>TZ-IUYL240</v>
          </cell>
        </row>
        <row r="786">
          <cell r="A786" t="str">
            <v>TZ-IUYL240-LOVE-M</v>
          </cell>
          <cell r="B786" t="str">
            <v>TZ-IUYL240</v>
          </cell>
        </row>
        <row r="787">
          <cell r="A787" t="str">
            <v>TZ-IUYL240-LOVE-S</v>
          </cell>
          <cell r="B787" t="str">
            <v>TZ-IUYL240</v>
          </cell>
        </row>
        <row r="788">
          <cell r="A788" t="str">
            <v>TZ-IUYL240-PAW-L</v>
          </cell>
          <cell r="B788" t="str">
            <v>TZ-IUYL240</v>
          </cell>
        </row>
        <row r="789">
          <cell r="A789" t="str">
            <v>TZ-IUYL240-PAW-M</v>
          </cell>
          <cell r="B789" t="str">
            <v>TZ-IUYL240</v>
          </cell>
        </row>
        <row r="790">
          <cell r="A790" t="str">
            <v>TZ-IUYL240-PAW-S</v>
          </cell>
          <cell r="B790" t="str">
            <v>TZ-IUYL240</v>
          </cell>
        </row>
        <row r="791">
          <cell r="A791" t="str">
            <v>TZ-IUYL240-RABBIT-L</v>
          </cell>
          <cell r="B791" t="str">
            <v>TZ-IUYL240</v>
          </cell>
        </row>
        <row r="792">
          <cell r="A792" t="str">
            <v>TZ-IUYL240-RABBIT-M</v>
          </cell>
          <cell r="B792" t="str">
            <v>TZ-IUYL240</v>
          </cell>
        </row>
        <row r="793">
          <cell r="A793" t="str">
            <v>TZ-IUYL240-RABBIT-S</v>
          </cell>
          <cell r="B793" t="str">
            <v>TZ-IUYL240</v>
          </cell>
        </row>
        <row r="794">
          <cell r="A794" t="str">
            <v>TZ-IUYL240-STAR-L</v>
          </cell>
          <cell r="B794" t="str">
            <v>TZ-IUYL240</v>
          </cell>
        </row>
        <row r="795">
          <cell r="A795" t="str">
            <v>TZ-IUYL240-STAR-M</v>
          </cell>
          <cell r="B795" t="str">
            <v>TZ-IUYL240</v>
          </cell>
        </row>
        <row r="796">
          <cell r="A796" t="str">
            <v>TZ-IUYL240-STAR-S</v>
          </cell>
          <cell r="B796" t="str">
            <v>TZ-IUYL240</v>
          </cell>
        </row>
        <row r="797">
          <cell r="A797" t="str">
            <v>TZ-IUYL240-STRAWBERRY-L</v>
          </cell>
          <cell r="B797" t="str">
            <v>TZ-IUYL240</v>
          </cell>
        </row>
        <row r="798">
          <cell r="A798" t="str">
            <v>TZ-IUYL240-STRAWBERRY-M</v>
          </cell>
          <cell r="B798" t="str">
            <v>TZ-IUYL240</v>
          </cell>
        </row>
        <row r="799">
          <cell r="A799" t="str">
            <v>TZ-IUYL240-STRAWBERRY-S</v>
          </cell>
          <cell r="B799" t="str">
            <v>TZ-IUYL240</v>
          </cell>
        </row>
        <row r="800">
          <cell r="A800" t="str">
            <v>TZ-SY240-BONE-S</v>
          </cell>
          <cell r="B800" t="str">
            <v>TZ-SY240</v>
          </cell>
        </row>
        <row r="801">
          <cell r="A801" t="str">
            <v>TZ-SY240-ELPH-S</v>
          </cell>
          <cell r="B801" t="str">
            <v>TZ-SY240</v>
          </cell>
        </row>
        <row r="802">
          <cell r="A802" t="str">
            <v>TZ-SY240-STRAWBERRY-S</v>
          </cell>
          <cell r="B802" t="str">
            <v>TZ-SY240</v>
          </cell>
        </row>
        <row r="803">
          <cell r="A803" t="str">
            <v>WB-LUHM002-B0</v>
          </cell>
          <cell r="B803" t="str">
            <v>WB-LUHM002</v>
          </cell>
        </row>
        <row r="804">
          <cell r="A804" t="str">
            <v>WB-LUHM002-E0</v>
          </cell>
          <cell r="B804" t="str">
            <v>WB-LUHM002</v>
          </cell>
        </row>
        <row r="805">
          <cell r="A805" t="str">
            <v>WB-LUHM002-G0</v>
          </cell>
          <cell r="B805" t="str">
            <v>WB-LUHM002</v>
          </cell>
        </row>
        <row r="806">
          <cell r="A806" t="str">
            <v>WB-LUHM002-R0</v>
          </cell>
          <cell r="B806" t="str">
            <v>WB-LUHM002</v>
          </cell>
        </row>
        <row r="807">
          <cell r="A807" t="str">
            <v>WR-FLQ01-HJ-60</v>
          </cell>
          <cell r="B807" t="str">
            <v>WR-FLQ01</v>
          </cell>
        </row>
        <row r="808">
          <cell r="A808" t="str">
            <v>WR-FLQ01-HZ-60</v>
          </cell>
          <cell r="B808" t="str">
            <v>WR-FLQ01</v>
          </cell>
        </row>
        <row r="809">
          <cell r="A809" t="str">
            <v>WR-FLQ01-LD-60</v>
          </cell>
          <cell r="B809" t="str">
            <v>WR-FLQ01</v>
          </cell>
        </row>
        <row r="810">
          <cell r="A810" t="str">
            <v>WR-FLQ01-RO-60</v>
          </cell>
          <cell r="B810" t="str">
            <v>WR-FLQ01</v>
          </cell>
        </row>
        <row r="811">
          <cell r="A811" t="str">
            <v>WR-FLQ01-YO-60</v>
          </cell>
          <cell r="B811" t="str">
            <v>WR-FLQ01</v>
          </cell>
        </row>
        <row r="812">
          <cell r="A812" t="str">
            <v>WY-WF1217-GR-L</v>
          </cell>
          <cell r="B812" t="str">
            <v>WY-WF1217</v>
          </cell>
        </row>
        <row r="813">
          <cell r="A813" t="str">
            <v>WY-WF1217-GR-M</v>
          </cell>
          <cell r="B813" t="str">
            <v>WY-WF1217</v>
          </cell>
        </row>
        <row r="814">
          <cell r="A814" t="str">
            <v>WY-WF1217-GR-S</v>
          </cell>
          <cell r="B814" t="str">
            <v>WY-WF1217</v>
          </cell>
        </row>
        <row r="815">
          <cell r="A815" t="str">
            <v>WY-WF1217-GR-XL</v>
          </cell>
          <cell r="B815" t="str">
            <v>WY-WF1217</v>
          </cell>
        </row>
        <row r="816">
          <cell r="A816" t="str">
            <v>WY-WF1217-KO-L</v>
          </cell>
          <cell r="B816" t="str">
            <v>WY-WF1217</v>
          </cell>
        </row>
        <row r="817">
          <cell r="A817" t="str">
            <v>WY-WF1217-KO-M</v>
          </cell>
          <cell r="B817" t="str">
            <v>WY-WF1217</v>
          </cell>
        </row>
        <row r="818">
          <cell r="A818" t="str">
            <v>WY-WF1217-KO-S</v>
          </cell>
          <cell r="B818" t="str">
            <v>WY-WF1217</v>
          </cell>
        </row>
        <row r="819">
          <cell r="A819" t="str">
            <v>WY-WF1217-KO-XL</v>
          </cell>
          <cell r="B819" t="str">
            <v>WY-WF1217</v>
          </cell>
        </row>
        <row r="820">
          <cell r="A820" t="str">
            <v>WY-WF1217-RO-L</v>
          </cell>
          <cell r="B820" t="str">
            <v>WY-WF1217</v>
          </cell>
        </row>
        <row r="821">
          <cell r="A821" t="str">
            <v>WY-WF1217-RO-M</v>
          </cell>
          <cell r="B821" t="str">
            <v>WY-WF1217</v>
          </cell>
        </row>
        <row r="822">
          <cell r="A822" t="str">
            <v>WY-WF1217-RO-S</v>
          </cell>
          <cell r="B822" t="str">
            <v>WY-WF1217</v>
          </cell>
        </row>
        <row r="823">
          <cell r="A823" t="str">
            <v>WY-WF1217-RO-XL</v>
          </cell>
          <cell r="B823" t="str">
            <v>WY-WF1217</v>
          </cell>
        </row>
        <row r="824">
          <cell r="A824" t="str">
            <v>WY-WF1217-YO-L</v>
          </cell>
          <cell r="B824" t="str">
            <v>WY-WF1217</v>
          </cell>
        </row>
        <row r="825">
          <cell r="A825" t="str">
            <v>WY-WF1217-YO-M</v>
          </cell>
          <cell r="B825" t="str">
            <v>WY-WF1217</v>
          </cell>
        </row>
        <row r="826">
          <cell r="A826" t="str">
            <v>WY-WF1217-YO-S</v>
          </cell>
          <cell r="B826" t="str">
            <v>WY-WF1217</v>
          </cell>
        </row>
        <row r="827">
          <cell r="A827" t="str">
            <v>WY-WF1217-YO-XL</v>
          </cell>
          <cell r="B827" t="str">
            <v>WY-WF1217</v>
          </cell>
        </row>
        <row r="828">
          <cell r="A828" t="str">
            <v>WY-WF1225-BO-L</v>
          </cell>
          <cell r="B828" t="str">
            <v>WY-WF1225</v>
          </cell>
        </row>
        <row r="829">
          <cell r="A829" t="str">
            <v>WY-WF1225-BO-M</v>
          </cell>
          <cell r="B829" t="str">
            <v>WY-WF1225</v>
          </cell>
        </row>
        <row r="830">
          <cell r="A830" t="str">
            <v>WY-WF1225-BO-S</v>
          </cell>
          <cell r="B830" t="str">
            <v>WY-WF1225</v>
          </cell>
        </row>
        <row r="831">
          <cell r="A831" t="str">
            <v>WY-WF1225-BO-XL</v>
          </cell>
          <cell r="B831" t="str">
            <v>WY-WF1225</v>
          </cell>
        </row>
        <row r="832">
          <cell r="A832" t="str">
            <v>WY-WF1225-GR-L</v>
          </cell>
          <cell r="B832" t="str">
            <v>WY-WF1225</v>
          </cell>
        </row>
        <row r="833">
          <cell r="A833" t="str">
            <v>WY-WF1225-GR-M</v>
          </cell>
          <cell r="B833" t="str">
            <v>WY-WF1225</v>
          </cell>
        </row>
        <row r="834">
          <cell r="A834" t="str">
            <v>WY-WF1225-GR-S</v>
          </cell>
          <cell r="B834" t="str">
            <v>WY-WF1225</v>
          </cell>
        </row>
        <row r="835">
          <cell r="A835" t="str">
            <v>WY-WF1225-GR-XL</v>
          </cell>
          <cell r="B835" t="str">
            <v>WY-WF1225</v>
          </cell>
        </row>
        <row r="836">
          <cell r="A836" t="str">
            <v>XK-YIWUJS2-BR-6IN</v>
          </cell>
          <cell r="B836" t="str">
            <v>XK-YIWUJS2</v>
          </cell>
        </row>
        <row r="837">
          <cell r="A837" t="str">
            <v>XK-YIWUJS2-BR-7IN</v>
          </cell>
          <cell r="B837" t="str">
            <v>XK-YIWUJS2</v>
          </cell>
        </row>
        <row r="838">
          <cell r="A838" t="str">
            <v>XK-YIWUJS2-PJ</v>
          </cell>
          <cell r="B838" t="str">
            <v>XK-YIWUJS2</v>
          </cell>
        </row>
        <row r="839">
          <cell r="A839" t="str">
            <v>XK-YIWUJS2-Y0-6IN</v>
          </cell>
          <cell r="B839" t="str">
            <v>XK-YIWUJS2</v>
          </cell>
        </row>
        <row r="840">
          <cell r="A840" t="str">
            <v>XK-YIWUJS2-Y0-7IN</v>
          </cell>
          <cell r="B840" t="str">
            <v>XK-YIWUJS2</v>
          </cell>
        </row>
        <row r="841">
          <cell r="A841" t="str">
            <v>XK-YIWUJS-GY-6IN</v>
          </cell>
          <cell r="B841" t="str">
            <v>XK-YIWUJS</v>
          </cell>
        </row>
        <row r="842">
          <cell r="A842" t="str">
            <v>XK-YIWUJS-GY-7IN</v>
          </cell>
          <cell r="B842" t="str">
            <v>XK-YIWUJS</v>
          </cell>
        </row>
        <row r="843">
          <cell r="A843" t="str">
            <v>XK-YIWUJS-PJ</v>
          </cell>
          <cell r="B843" t="str">
            <v>XK-YIWUJS</v>
          </cell>
        </row>
        <row r="844">
          <cell r="A844" t="str">
            <v>XK-YIWUJS-Y0-6IN</v>
          </cell>
          <cell r="B844" t="str">
            <v>XK-YIWUJS</v>
          </cell>
        </row>
        <row r="845">
          <cell r="A845" t="str">
            <v>XK-YIWUJS-Y0-7IN</v>
          </cell>
          <cell r="B845" t="str">
            <v>XK-YIWUJS</v>
          </cell>
        </row>
        <row r="846">
          <cell r="A846" t="str">
            <v>XM-LUHM111-HMG</v>
          </cell>
          <cell r="B846" t="str">
            <v>XM-LUHM111</v>
          </cell>
        </row>
        <row r="847">
          <cell r="A847" t="str">
            <v>XM-LUHM111-X0</v>
          </cell>
          <cell r="B847" t="str">
            <v>XM-LUHM111</v>
          </cell>
        </row>
        <row r="848">
          <cell r="A848" t="str">
            <v>XQ-IUYL260-BK-M</v>
          </cell>
          <cell r="B848" t="str">
            <v>XQ-IUYL260</v>
          </cell>
        </row>
        <row r="849">
          <cell r="A849" t="str">
            <v>XQ-IUYL260-BK-S</v>
          </cell>
          <cell r="B849" t="str">
            <v>XQ-IUYL260</v>
          </cell>
        </row>
        <row r="850">
          <cell r="A850" t="str">
            <v>XQ-IUYL260-BL1-M</v>
          </cell>
          <cell r="B850" t="str">
            <v>XQ-IUYL260</v>
          </cell>
        </row>
        <row r="851">
          <cell r="A851" t="str">
            <v>XQ-IUYL260-BL1-S</v>
          </cell>
          <cell r="B851" t="str">
            <v>XQ-IUYL260</v>
          </cell>
        </row>
        <row r="852">
          <cell r="A852" t="str">
            <v>XQ-IUYL260-BL2-M</v>
          </cell>
          <cell r="B852" t="str">
            <v>XQ-IUYL260</v>
          </cell>
        </row>
        <row r="853">
          <cell r="A853" t="str">
            <v>XQ-IUYL260-BL2-S</v>
          </cell>
          <cell r="B853" t="str">
            <v>XQ-IUYL260</v>
          </cell>
        </row>
        <row r="854">
          <cell r="A854" t="str">
            <v>XQ-IUYL260-GN-M</v>
          </cell>
          <cell r="B854" t="str">
            <v>XQ-IUYL260</v>
          </cell>
        </row>
        <row r="855">
          <cell r="A855" t="str">
            <v>XQ-IUYL260-GN-S</v>
          </cell>
          <cell r="B855" t="str">
            <v>XQ-IUYL260</v>
          </cell>
        </row>
        <row r="856">
          <cell r="A856" t="str">
            <v>XQ-IUYL260-PK-M</v>
          </cell>
          <cell r="B856" t="str">
            <v>XQ-IUYL260</v>
          </cell>
        </row>
        <row r="857">
          <cell r="A857" t="str">
            <v>XQ-IUYL260-PK-S</v>
          </cell>
          <cell r="B857" t="str">
            <v>XQ-IUYL260</v>
          </cell>
        </row>
        <row r="858">
          <cell r="A858" t="str">
            <v>XQ-IUYL260-PP-M</v>
          </cell>
          <cell r="B858" t="str">
            <v>XQ-IUYL260</v>
          </cell>
        </row>
        <row r="859">
          <cell r="A859" t="str">
            <v>XQ-IUYL260-PP-S</v>
          </cell>
          <cell r="B859" t="str">
            <v>XQ-IUYL260</v>
          </cell>
        </row>
        <row r="860">
          <cell r="A860" t="str">
            <v>XQ-IUYL260-RD-M</v>
          </cell>
          <cell r="B860" t="str">
            <v>XQ-IUYL260</v>
          </cell>
        </row>
        <row r="861">
          <cell r="A861" t="str">
            <v>XQ-IUYL260-RD-S</v>
          </cell>
          <cell r="B861" t="str">
            <v>XQ-IUYL260</v>
          </cell>
        </row>
        <row r="862">
          <cell r="A862" t="str">
            <v>XQ-IUYL260-YL-M</v>
          </cell>
          <cell r="B862" t="str">
            <v>XQ-IUYL260</v>
          </cell>
        </row>
        <row r="863">
          <cell r="A863" t="str">
            <v>XQ-IUYL260-YL-S</v>
          </cell>
          <cell r="B863" t="str">
            <v>XQ-IUYL260</v>
          </cell>
        </row>
        <row r="864">
          <cell r="A864" t="str">
            <v>XQ-IUYL320-BK-L</v>
          </cell>
          <cell r="B864" t="str">
            <v>XQ-IUYL320</v>
          </cell>
        </row>
        <row r="865">
          <cell r="A865" t="str">
            <v>XQ-IUYL320-BK-M</v>
          </cell>
          <cell r="B865" t="str">
            <v>XQ-IUYL320</v>
          </cell>
        </row>
        <row r="866">
          <cell r="A866" t="str">
            <v>XQ-IUYL320-BK-S</v>
          </cell>
          <cell r="B866" t="str">
            <v>XQ-IUYL320</v>
          </cell>
        </row>
        <row r="867">
          <cell r="A867" t="str">
            <v>XQ-IUYL320-BK-XL</v>
          </cell>
          <cell r="B867" t="str">
            <v>XQ-IUYL320</v>
          </cell>
        </row>
        <row r="868">
          <cell r="A868" t="str">
            <v>XQ-IUYL320-BL-L</v>
          </cell>
          <cell r="B868" t="str">
            <v>XQ-IUYL320</v>
          </cell>
        </row>
        <row r="869">
          <cell r="A869" t="str">
            <v>XQ-IUYL320-BL-M</v>
          </cell>
          <cell r="B869" t="str">
            <v>XQ-IUYL320</v>
          </cell>
        </row>
        <row r="870">
          <cell r="A870" t="str">
            <v>XQ-IUYL320-BL-S</v>
          </cell>
          <cell r="B870" t="str">
            <v>XQ-IUYL320</v>
          </cell>
        </row>
        <row r="871">
          <cell r="A871" t="str">
            <v>XQ-IUYL320-BL-XL</v>
          </cell>
          <cell r="B871" t="str">
            <v>XQ-IUYL320</v>
          </cell>
        </row>
        <row r="872">
          <cell r="A872" t="str">
            <v>XQ-IUYL320-CF-L</v>
          </cell>
          <cell r="B872" t="str">
            <v>XQ-IUYL320</v>
          </cell>
        </row>
        <row r="873">
          <cell r="A873" t="str">
            <v>XQ-IUYL320-CF-M</v>
          </cell>
          <cell r="B873" t="str">
            <v>XQ-IUYL320</v>
          </cell>
        </row>
        <row r="874">
          <cell r="A874" t="str">
            <v>XQ-IUYL320-CF-S</v>
          </cell>
          <cell r="B874" t="str">
            <v>XQ-IUYL320</v>
          </cell>
        </row>
        <row r="875">
          <cell r="A875" t="str">
            <v>XQ-IUYL320-CF-XL</v>
          </cell>
          <cell r="B875" t="str">
            <v>XQ-IUYL320</v>
          </cell>
        </row>
        <row r="876">
          <cell r="A876" t="str">
            <v>XQ-IUYL320-DB-L</v>
          </cell>
          <cell r="B876" t="str">
            <v>XQ-IUYL320</v>
          </cell>
        </row>
        <row r="877">
          <cell r="A877" t="str">
            <v>XQ-IUYL320-DB-M</v>
          </cell>
          <cell r="B877" t="str">
            <v>XQ-IUYL320</v>
          </cell>
        </row>
        <row r="878">
          <cell r="A878" t="str">
            <v>XQ-IUYL320-DB-S</v>
          </cell>
          <cell r="B878" t="str">
            <v>XQ-IUYL320</v>
          </cell>
        </row>
        <row r="879">
          <cell r="A879" t="str">
            <v>XQ-IUYL320-DB-XL</v>
          </cell>
          <cell r="B879" t="str">
            <v>XQ-IUYL320</v>
          </cell>
        </row>
        <row r="880">
          <cell r="A880" t="str">
            <v>XQ-IUYL320-GN-L</v>
          </cell>
          <cell r="B880" t="str">
            <v>XQ-IUYL320</v>
          </cell>
        </row>
        <row r="881">
          <cell r="A881" t="str">
            <v>XQ-IUYL320-GN-M</v>
          </cell>
          <cell r="B881" t="str">
            <v>XQ-IUYL320</v>
          </cell>
        </row>
        <row r="882">
          <cell r="A882" t="str">
            <v>XQ-IUYL320-GN-S</v>
          </cell>
          <cell r="B882" t="str">
            <v>XQ-IUYL320</v>
          </cell>
        </row>
        <row r="883">
          <cell r="A883" t="str">
            <v>XQ-IUYL320-GN-XL</v>
          </cell>
          <cell r="B883" t="str">
            <v>XQ-IUYL320</v>
          </cell>
        </row>
        <row r="884">
          <cell r="A884" t="str">
            <v>XQ-IUYL320-PK-L</v>
          </cell>
          <cell r="B884" t="str">
            <v>XQ-IUYL320</v>
          </cell>
        </row>
        <row r="885">
          <cell r="A885" t="str">
            <v>XQ-IUYL320-PK-M</v>
          </cell>
          <cell r="B885" t="str">
            <v>XQ-IUYL320</v>
          </cell>
        </row>
        <row r="886">
          <cell r="A886" t="str">
            <v>XQ-IUYL320-PK-S</v>
          </cell>
          <cell r="B886" t="str">
            <v>XQ-IUYL320</v>
          </cell>
        </row>
        <row r="887">
          <cell r="A887" t="str">
            <v>XQ-IUYL320-PK-XL</v>
          </cell>
          <cell r="B887" t="str">
            <v>XQ-IUYL320</v>
          </cell>
        </row>
        <row r="888">
          <cell r="A888" t="str">
            <v>XQ-IUYL320-PP-L</v>
          </cell>
          <cell r="B888" t="str">
            <v>XQ-IUYL320</v>
          </cell>
        </row>
        <row r="889">
          <cell r="A889" t="str">
            <v>XQ-IUYL320-PP-M</v>
          </cell>
          <cell r="B889" t="str">
            <v>XQ-IUYL320</v>
          </cell>
        </row>
        <row r="890">
          <cell r="A890" t="str">
            <v>XQ-IUYL320-PP-S</v>
          </cell>
          <cell r="B890" t="str">
            <v>XQ-IUYL320</v>
          </cell>
        </row>
        <row r="891">
          <cell r="A891" t="str">
            <v>XQ-IUYL320-PP-XL</v>
          </cell>
          <cell r="B891" t="str">
            <v>XQ-IUYL320</v>
          </cell>
        </row>
        <row r="892">
          <cell r="A892" t="str">
            <v>XQ-IUYL320-RD-L</v>
          </cell>
          <cell r="B892" t="str">
            <v>XQ-IUYL320</v>
          </cell>
        </row>
        <row r="893">
          <cell r="A893" t="str">
            <v>XQ-IUYL320-RD-M</v>
          </cell>
          <cell r="B893" t="str">
            <v>XQ-IUYL320</v>
          </cell>
        </row>
        <row r="894">
          <cell r="A894" t="str">
            <v>XQ-IUYL320-RD-S</v>
          </cell>
          <cell r="B894" t="str">
            <v>XQ-IUYL320</v>
          </cell>
        </row>
        <row r="895">
          <cell r="A895" t="str">
            <v>XQ-IUYL320-RD-XL</v>
          </cell>
          <cell r="B895" t="str">
            <v>XQ-IUYL320</v>
          </cell>
        </row>
        <row r="896">
          <cell r="A896" t="str">
            <v>XQ-IUYL320-YL-L</v>
          </cell>
          <cell r="B896" t="str">
            <v>XQ-IUYL320</v>
          </cell>
        </row>
        <row r="897">
          <cell r="A897" t="str">
            <v>XQ-IUYL320-YL-M</v>
          </cell>
          <cell r="B897" t="str">
            <v>XQ-IUYL320</v>
          </cell>
        </row>
        <row r="898">
          <cell r="A898" t="str">
            <v>XQ-IUYL320-YL-S</v>
          </cell>
          <cell r="B898" t="str">
            <v>XQ-IUYL320</v>
          </cell>
        </row>
        <row r="899">
          <cell r="A899" t="str">
            <v>XQ-IUYL320-YL-XL</v>
          </cell>
          <cell r="B899" t="str">
            <v>XQ-IUYL320</v>
          </cell>
        </row>
        <row r="900">
          <cell r="A900" t="str">
            <v>XQ-LUHM034-X0</v>
          </cell>
          <cell r="B900" t="str">
            <v>XQ-LUHM034</v>
          </cell>
        </row>
        <row r="901">
          <cell r="A901" t="str">
            <v>XQ-LUHM089-PI</v>
          </cell>
          <cell r="B901" t="str">
            <v>XQ-LUHM089</v>
          </cell>
        </row>
        <row r="902">
          <cell r="A902" t="str">
            <v>XYD-F02-3C-3S</v>
          </cell>
          <cell r="B902" t="str">
            <v>XYD-F02</v>
          </cell>
        </row>
        <row r="903">
          <cell r="A903" t="str">
            <v>YQ-LUHM-F111</v>
          </cell>
          <cell r="B903" t="str">
            <v>YQ-LUHM</v>
          </cell>
        </row>
        <row r="904">
          <cell r="A904" t="str">
            <v>YQ-LUHM-F112</v>
          </cell>
          <cell r="B904" t="str">
            <v>YQ-LUHM</v>
          </cell>
        </row>
        <row r="905">
          <cell r="A905" t="str">
            <v>YQ-LUHM-F114</v>
          </cell>
          <cell r="B905" t="str">
            <v>YQ-LUHM</v>
          </cell>
        </row>
        <row r="906">
          <cell r="A906" t="str">
            <v>ZB-WF029-CF-L</v>
          </cell>
          <cell r="B906" t="str">
            <v>ZB-WF029</v>
          </cell>
        </row>
        <row r="907">
          <cell r="A907" t="str">
            <v>ZB-WF029-CF-M</v>
          </cell>
          <cell r="B907" t="str">
            <v>ZB-WF029</v>
          </cell>
        </row>
        <row r="908">
          <cell r="A908" t="str">
            <v>ZB-WF029-WO-L</v>
          </cell>
          <cell r="B908" t="str">
            <v>ZB-WF029</v>
          </cell>
        </row>
        <row r="909">
          <cell r="A909" t="str">
            <v>ZB-WF029-WO-M</v>
          </cell>
          <cell r="B909" t="str">
            <v>ZB-WF029</v>
          </cell>
        </row>
        <row r="910">
          <cell r="A910" t="str">
            <v>ZDD-FLQ07-MC-28</v>
          </cell>
          <cell r="B910" t="str">
            <v>ZDD-FLQ07</v>
          </cell>
        </row>
        <row r="911">
          <cell r="A911" t="str">
            <v>ZDD-FLQ08-BO-28</v>
          </cell>
          <cell r="B911" t="str">
            <v>ZDD-FLQ08</v>
          </cell>
        </row>
        <row r="912">
          <cell r="A912" t="str">
            <v>ZDD-FLQ08-GR-28</v>
          </cell>
          <cell r="B912" t="str">
            <v>ZDD-FLQ08</v>
          </cell>
        </row>
        <row r="913">
          <cell r="A913" t="str">
            <v>ZDD-FLQ08-PO-28</v>
          </cell>
          <cell r="B913" t="str">
            <v>ZDD-FLQ08</v>
          </cell>
        </row>
        <row r="914">
          <cell r="A914" t="str">
            <v>ZDD-FLQ08-R2-28</v>
          </cell>
          <cell r="B914" t="str">
            <v>ZDD-FLQ08</v>
          </cell>
        </row>
        <row r="915">
          <cell r="A915" t="str">
            <v>ZDD-FLQ08-RO-28</v>
          </cell>
          <cell r="B915" t="str">
            <v>ZDD-FLQ08</v>
          </cell>
        </row>
        <row r="916">
          <cell r="A916" t="str">
            <v>ZQ-WF002-BO-M</v>
          </cell>
          <cell r="B916" t="str">
            <v>ZQ-WF002</v>
          </cell>
        </row>
        <row r="917">
          <cell r="A917" t="str">
            <v>ZQ-WF002-PI-M</v>
          </cell>
          <cell r="B917" t="str">
            <v>ZQ-WF002</v>
          </cell>
        </row>
        <row r="918">
          <cell r="A918" t="str">
            <v>ZYL-FLQ06-BF-40</v>
          </cell>
          <cell r="B918" t="str">
            <v>ZYL-FLQ06</v>
          </cell>
        </row>
        <row r="919">
          <cell r="A919" t="str">
            <v>ZYL-FLQ06-BG-40</v>
          </cell>
          <cell r="B919" t="str">
            <v>ZYL-FLQ06</v>
          </cell>
        </row>
        <row r="920">
          <cell r="A920" t="str">
            <v>ZYL-FLQ06-BY-40</v>
          </cell>
          <cell r="B920" t="str">
            <v>ZYL-FLQ06</v>
          </cell>
        </row>
        <row r="921">
          <cell r="A921" t="str">
            <v>ZYL-FLQ06-HG-40</v>
          </cell>
          <cell r="B921" t="str">
            <v>ZYL-FLQ06</v>
          </cell>
        </row>
        <row r="922">
          <cell r="A922" t="str">
            <v>ZYL-FLQ06-TZ-40</v>
          </cell>
          <cell r="B922" t="str">
            <v>ZYL-FLQ06</v>
          </cell>
        </row>
        <row r="923">
          <cell r="A923" t="str">
            <v>ZYL-FLQ06-WZ-40</v>
          </cell>
          <cell r="B923" t="str">
            <v>ZYL-FLQ06</v>
          </cell>
        </row>
        <row r="924">
          <cell r="A924" t="str">
            <v>ZYL-FLQ06-ZM-40</v>
          </cell>
          <cell r="B924" t="str">
            <v>ZYL-FLQ06</v>
          </cell>
        </row>
        <row r="925">
          <cell r="A925" t="str">
            <v>ZYL-FLQ2013-DX-36</v>
          </cell>
          <cell r="B925" t="str">
            <v>ZYL-FLQ2013</v>
          </cell>
        </row>
        <row r="926">
          <cell r="A926" t="str">
            <v>ZYL-FLQ2013-RO-36</v>
          </cell>
          <cell r="B926" t="str">
            <v>ZYL-FLQ2013</v>
          </cell>
        </row>
        <row r="927">
          <cell r="A927" t="str">
            <v>ZYL-FLQ2013-YO-36</v>
          </cell>
          <cell r="B927" t="str">
            <v>ZYL-FLQ2013</v>
          </cell>
        </row>
        <row r="928">
          <cell r="A928" t="str">
            <v>ZYL-FLQ59-BF-32</v>
          </cell>
          <cell r="B928" t="str">
            <v>ZYL-FLQ59</v>
          </cell>
        </row>
        <row r="929">
          <cell r="A929" t="str">
            <v>ZYL-FLQ59-BY-32</v>
          </cell>
          <cell r="B929" t="str">
            <v>ZYL-FLQ59</v>
          </cell>
        </row>
        <row r="930">
          <cell r="A930" t="str">
            <v>ZYL-FLQ59-TW-32</v>
          </cell>
          <cell r="B930" t="str">
            <v>ZYL-FLQ59</v>
          </cell>
        </row>
        <row r="931">
          <cell r="A931" t="str">
            <v>ZYL-FLQ59-TZ-32</v>
          </cell>
          <cell r="B931" t="str">
            <v>ZYL-FLQ59</v>
          </cell>
        </row>
        <row r="932">
          <cell r="A932" t="str">
            <v>ZYL-FLQ59-YD-32</v>
          </cell>
          <cell r="B932" t="str">
            <v>ZYL-FLQ59</v>
          </cell>
        </row>
      </sheetData>
      <sheetData sheetId="1"/>
      <sheetData sheetId="2">
        <row r="1">
          <cell r="A1" t="str">
            <v>sku</v>
          </cell>
          <cell r="B1" t="str">
            <v>asin</v>
          </cell>
        </row>
        <row r="2">
          <cell r="A2" t="str">
            <v>BA-FLQ02-BO-6</v>
          </cell>
          <cell r="B2" t="str">
            <v>B075N3N55V</v>
          </cell>
        </row>
        <row r="3">
          <cell r="A3" t="str">
            <v>BA-FLQ02-GD-4</v>
          </cell>
          <cell r="B3" t="str">
            <v>B075N2WFMS</v>
          </cell>
        </row>
        <row r="4">
          <cell r="A4" t="str">
            <v>BA-FLQ02-GD-6</v>
          </cell>
          <cell r="B4" t="str">
            <v>B075N3K3P1</v>
          </cell>
        </row>
        <row r="5">
          <cell r="A5" t="str">
            <v>BA-FLQ02-R2-4</v>
          </cell>
          <cell r="B5" t="str">
            <v>B075N7VCYM</v>
          </cell>
        </row>
        <row r="6">
          <cell r="A6" t="str">
            <v>BA-FLQ02-R2-6</v>
          </cell>
          <cell r="B6" t="str">
            <v>B075N2WNCP</v>
          </cell>
        </row>
        <row r="7">
          <cell r="A7" t="str">
            <v>BA-FLQ02-SI-4</v>
          </cell>
          <cell r="B7" t="str">
            <v>B075N4YGPD</v>
          </cell>
        </row>
        <row r="8">
          <cell r="A8" t="str">
            <v>BA-FLQ02-SI-6</v>
          </cell>
          <cell r="B8" t="str">
            <v>B075N1KNHS</v>
          </cell>
        </row>
        <row r="9">
          <cell r="A9" t="str">
            <v>BD-LUHM001-X0</v>
          </cell>
          <cell r="B9" t="str">
            <v>B07CVDNT4J</v>
          </cell>
        </row>
        <row r="10">
          <cell r="A10" t="str">
            <v>BDB-LUHM001-B0</v>
          </cell>
          <cell r="B10" t="str">
            <v>B07DQS5YP2</v>
          </cell>
        </row>
        <row r="11">
          <cell r="A11" t="str">
            <v>BDB-LUHM001-G0</v>
          </cell>
          <cell r="B11" t="str">
            <v>B07DQLVNSH</v>
          </cell>
        </row>
        <row r="12">
          <cell r="A12" t="str">
            <v>BDB-LUHM001-K0</v>
          </cell>
          <cell r="B12" t="str">
            <v>B07DQL77MR</v>
          </cell>
        </row>
        <row r="13">
          <cell r="A13" t="str">
            <v>BDB-LUHM001-R0</v>
          </cell>
          <cell r="B13" t="str">
            <v>B07DQMJRJG</v>
          </cell>
        </row>
        <row r="14">
          <cell r="A14" t="str">
            <v>BDB-LUHM001-Y0</v>
          </cell>
          <cell r="B14" t="str">
            <v>B07DQPGWNM</v>
          </cell>
        </row>
        <row r="15">
          <cell r="A15" t="str">
            <v>BDB-LUHM001-ZL</v>
          </cell>
          <cell r="B15" t="str">
            <v>B07DQT2DCN</v>
          </cell>
        </row>
        <row r="16">
          <cell r="A16" t="str">
            <v>BDB-WF212-BJX-M</v>
          </cell>
          <cell r="B16" t="str">
            <v>B0772TKSHM</v>
          </cell>
        </row>
        <row r="17">
          <cell r="A17" t="str">
            <v>BDB-WF212-CW-M</v>
          </cell>
          <cell r="B17" t="str">
            <v>B0772JDLB6</v>
          </cell>
        </row>
        <row r="18">
          <cell r="A18" t="str">
            <v>BDB-WF212-JY-M</v>
          </cell>
          <cell r="B18" t="str">
            <v>B0772QKV4C</v>
          </cell>
        </row>
        <row r="19">
          <cell r="A19" t="str">
            <v>BDB-WF212-SH-M</v>
          </cell>
          <cell r="B19" t="str">
            <v>B0772934HW</v>
          </cell>
        </row>
        <row r="20">
          <cell r="A20" t="str">
            <v>BDB-WF212-SJS-M</v>
          </cell>
          <cell r="B20" t="str">
            <v>B0772JJ5YH</v>
          </cell>
        </row>
        <row r="21">
          <cell r="A21" t="str">
            <v>BLT-LUHM000-CL</v>
          </cell>
          <cell r="B21" t="str">
            <v>B07BV8R441</v>
          </cell>
        </row>
        <row r="22">
          <cell r="A22" t="str">
            <v>BLT-LUHM000-CR</v>
          </cell>
          <cell r="B22" t="str">
            <v>B07CDD7CHN</v>
          </cell>
        </row>
        <row r="23">
          <cell r="A23" t="str">
            <v>BLT-LUHM000-GL</v>
          </cell>
          <cell r="B23" t="str">
            <v>B07BVMP1DH</v>
          </cell>
        </row>
        <row r="24">
          <cell r="A24" t="str">
            <v>BLT-LUHM000-GR</v>
          </cell>
          <cell r="B24" t="str">
            <v>B07BVL6R55</v>
          </cell>
        </row>
        <row r="25">
          <cell r="A25" t="str">
            <v>BLT-LUHM000-LB</v>
          </cell>
          <cell r="B25" t="str">
            <v>B07BVLBRWM</v>
          </cell>
        </row>
        <row r="26">
          <cell r="A26" t="str">
            <v>BLT-LUHM000-RB</v>
          </cell>
          <cell r="B26" t="str">
            <v>B07BVMRJRX</v>
          </cell>
        </row>
        <row r="27">
          <cell r="A27" t="str">
            <v>BLT-LUHM819-W0</v>
          </cell>
          <cell r="B27" t="str">
            <v>B07BV73Z4Q</v>
          </cell>
        </row>
        <row r="28">
          <cell r="A28" t="str">
            <v>BLT-NWF125-Cat</v>
          </cell>
          <cell r="B28" t="str">
            <v>B07F1QWXYV</v>
          </cell>
        </row>
        <row r="29">
          <cell r="A29" t="str">
            <v>BLT-NWF125-Panda</v>
          </cell>
          <cell r="B29" t="str">
            <v>B07F1RBPYT</v>
          </cell>
        </row>
        <row r="30">
          <cell r="A30" t="str">
            <v>BLT-WF125-CAT</v>
          </cell>
          <cell r="B30" t="str">
            <v>B078955T7Y</v>
          </cell>
        </row>
        <row r="31">
          <cell r="A31" t="str">
            <v>BLT-WF125-COW</v>
          </cell>
          <cell r="B31" t="str">
            <v>B0788KQVVG</v>
          </cell>
        </row>
        <row r="32">
          <cell r="A32" t="str">
            <v>BLT-WF125-LION</v>
          </cell>
          <cell r="B32" t="str">
            <v>B0788M5K8H</v>
          </cell>
        </row>
        <row r="33">
          <cell r="A33" t="str">
            <v>BLT-WF125-PANDA</v>
          </cell>
          <cell r="B33" t="str">
            <v>B0788PS6BD</v>
          </cell>
        </row>
        <row r="34">
          <cell r="A34" t="str">
            <v>BZ-WF211-BO</v>
          </cell>
          <cell r="B34" t="str">
            <v>B077SBYB2D</v>
          </cell>
        </row>
        <row r="35">
          <cell r="A35" t="str">
            <v>BZ-WF211-GR</v>
          </cell>
          <cell r="B35" t="str">
            <v>B0784Q7224</v>
          </cell>
        </row>
        <row r="36">
          <cell r="A36" t="str">
            <v>CD-WF-CF</v>
          </cell>
          <cell r="B36" t="str">
            <v>B076J9MFHW</v>
          </cell>
        </row>
        <row r="37">
          <cell r="A37" t="str">
            <v>CD-WF-GD</v>
          </cell>
          <cell r="B37" t="str">
            <v>B076J8X97G</v>
          </cell>
        </row>
        <row r="38">
          <cell r="A38" t="str">
            <v>CD-WF-KK</v>
          </cell>
          <cell r="B38" t="str">
            <v>B076J6VD3L</v>
          </cell>
        </row>
        <row r="39">
          <cell r="A39" t="str">
            <v>CD-WF-SG</v>
          </cell>
          <cell r="B39" t="str">
            <v>B076J988J5</v>
          </cell>
        </row>
        <row r="40">
          <cell r="A40" t="str">
            <v>CD-WF001-CF-1</v>
          </cell>
          <cell r="B40" t="str">
            <v>B077TH83RP</v>
          </cell>
        </row>
        <row r="41">
          <cell r="A41" t="str">
            <v>CD-WF001-GO-1</v>
          </cell>
          <cell r="B41" t="str">
            <v>B077TDZTMC</v>
          </cell>
        </row>
        <row r="42">
          <cell r="A42" t="str">
            <v>CD-WF001-GR-1</v>
          </cell>
          <cell r="B42" t="str">
            <v>B077TGMRGP</v>
          </cell>
        </row>
        <row r="43">
          <cell r="A43" t="str">
            <v>CD-WF001-KK-1</v>
          </cell>
          <cell r="B43" t="str">
            <v>B077TDWD7Z</v>
          </cell>
        </row>
        <row r="44">
          <cell r="A44" t="str">
            <v>CD-WF001-RO-1</v>
          </cell>
          <cell r="B44" t="str">
            <v>B077TSGJTH</v>
          </cell>
        </row>
        <row r="45">
          <cell r="A45" t="str">
            <v>CD-WF0728-4C</v>
          </cell>
          <cell r="B45" t="str">
            <v>B077PZHCFT</v>
          </cell>
        </row>
        <row r="46">
          <cell r="A46" t="str">
            <v>CD-WF117-GR-1</v>
          </cell>
          <cell r="B46" t="str">
            <v>B0784DMK97</v>
          </cell>
        </row>
        <row r="47">
          <cell r="A47" t="str">
            <v>CD-WF117-WM-1</v>
          </cell>
          <cell r="B47" t="str">
            <v>B077QD1DQN</v>
          </cell>
        </row>
        <row r="48">
          <cell r="A48" t="str">
            <v>CD-WF482-BO</v>
          </cell>
          <cell r="B48" t="str">
            <v>B077D32DC6</v>
          </cell>
        </row>
        <row r="49">
          <cell r="A49" t="str">
            <v>CD-WF482-BO-1</v>
          </cell>
          <cell r="B49" t="str">
            <v>B077D32DC6</v>
          </cell>
        </row>
        <row r="50">
          <cell r="A50" t="str">
            <v>CD-WF482-CB</v>
          </cell>
          <cell r="B50" t="str">
            <v>B077D4N51C</v>
          </cell>
        </row>
        <row r="51">
          <cell r="A51" t="str">
            <v>CD-WF482-CB-1</v>
          </cell>
          <cell r="B51" t="str">
            <v>B077D4N51C</v>
          </cell>
        </row>
        <row r="52">
          <cell r="A52" t="str">
            <v>CD-WF482-RO</v>
          </cell>
          <cell r="B52" t="str">
            <v>B077D67N2B</v>
          </cell>
        </row>
        <row r="53">
          <cell r="A53" t="str">
            <v>CD-WF482-RO-1</v>
          </cell>
          <cell r="B53" t="str">
            <v>B077D67N2B</v>
          </cell>
        </row>
        <row r="54">
          <cell r="A54" t="str">
            <v>CLP-FLQ43-CS100-100</v>
          </cell>
          <cell r="B54" t="str">
            <v>B0776NWKMG</v>
          </cell>
        </row>
        <row r="55">
          <cell r="A55" t="str">
            <v>CLP-FLQ43-CS60-60</v>
          </cell>
          <cell r="B55" t="str">
            <v>B0776Q1PQP</v>
          </cell>
        </row>
        <row r="56">
          <cell r="A56" t="str">
            <v>CQC-WF6346-BO</v>
          </cell>
          <cell r="B56" t="str">
            <v>B077GN6JWN</v>
          </cell>
        </row>
        <row r="57">
          <cell r="A57" t="str">
            <v>CQC-WF6346-GO</v>
          </cell>
          <cell r="B57" t="str">
            <v>B077GN3FGY</v>
          </cell>
        </row>
        <row r="58">
          <cell r="A58" t="str">
            <v>CQC-WF6346-PO</v>
          </cell>
          <cell r="B58" t="str">
            <v>B077GLWQYT</v>
          </cell>
        </row>
        <row r="59">
          <cell r="A59" t="str">
            <v>CWB-FLQ1703-GR-47</v>
          </cell>
          <cell r="B59" t="str">
            <v>B078GKCYT6</v>
          </cell>
        </row>
        <row r="60">
          <cell r="A60" t="str">
            <v>CWB-WF021-CF-L</v>
          </cell>
          <cell r="B60" t="str">
            <v>B0779QX5JV</v>
          </cell>
        </row>
        <row r="61">
          <cell r="A61" t="str">
            <v>CWB-WF021-CF-M</v>
          </cell>
          <cell r="B61" t="str">
            <v>B0779W8MFG</v>
          </cell>
        </row>
        <row r="62">
          <cell r="A62" t="str">
            <v>CWB-WF021-CF-S</v>
          </cell>
          <cell r="B62" t="str">
            <v>B0779W68GS</v>
          </cell>
        </row>
        <row r="63">
          <cell r="A63" t="str">
            <v>CWB-WF021-CF-XL</v>
          </cell>
          <cell r="B63" t="str">
            <v>B0779YRGR1</v>
          </cell>
        </row>
        <row r="64">
          <cell r="A64" t="str">
            <v>CWB-WF021-QB-L</v>
          </cell>
          <cell r="B64" t="str">
            <v>B0779RFXY2</v>
          </cell>
        </row>
        <row r="65">
          <cell r="A65" t="str">
            <v>CWB-WF021-QB-M</v>
          </cell>
          <cell r="B65" t="str">
            <v>B0779RT3RQ</v>
          </cell>
        </row>
        <row r="66">
          <cell r="A66" t="str">
            <v>CWB-WF021-QB-S</v>
          </cell>
          <cell r="B66" t="str">
            <v>B0779V1KQL</v>
          </cell>
        </row>
        <row r="67">
          <cell r="A67" t="str">
            <v>CWB-WF021-QB-XL</v>
          </cell>
          <cell r="B67" t="str">
            <v>B0779RQ56M</v>
          </cell>
        </row>
        <row r="68">
          <cell r="A68" t="str">
            <v>CWB-WF021-RB-L</v>
          </cell>
          <cell r="B68" t="str">
            <v>B077B51CYY</v>
          </cell>
        </row>
        <row r="69">
          <cell r="A69" t="str">
            <v>CWB-WF021-RB-M</v>
          </cell>
          <cell r="B69" t="str">
            <v>B0779ZRTZ3</v>
          </cell>
        </row>
        <row r="70">
          <cell r="A70" t="str">
            <v>CWB-WF021-RB-S</v>
          </cell>
          <cell r="B70" t="str">
            <v>B0779RQHWK</v>
          </cell>
        </row>
        <row r="71">
          <cell r="A71" t="str">
            <v>CWB-WF021-RB-XL</v>
          </cell>
          <cell r="B71" t="str">
            <v>B0779Z2TS6</v>
          </cell>
        </row>
        <row r="72">
          <cell r="A72" t="str">
            <v>GB-LUHM035-B0</v>
          </cell>
          <cell r="B72" t="str">
            <v>B07F6546YQ</v>
          </cell>
        </row>
        <row r="73">
          <cell r="A73" t="str">
            <v>GB-LUHM035-BE</v>
          </cell>
          <cell r="B73" t="str">
            <v>B07F64BTCD</v>
          </cell>
        </row>
        <row r="74">
          <cell r="A74" t="str">
            <v>GB-LUHM035-P0</v>
          </cell>
          <cell r="B74" t="str">
            <v>B07F68CBMK</v>
          </cell>
        </row>
        <row r="75">
          <cell r="A75" t="str">
            <v>GSQPQ-WF2012-GO</v>
          </cell>
          <cell r="B75" t="str">
            <v>B077264LR6</v>
          </cell>
        </row>
        <row r="76">
          <cell r="A76" t="str">
            <v>GT-WFTFGT200-209</v>
          </cell>
          <cell r="B76" t="str">
            <v>B076J6K8RL</v>
          </cell>
        </row>
        <row r="77">
          <cell r="A77" t="str">
            <v>GT-WFTFGT200-213</v>
          </cell>
          <cell r="B77" t="str">
            <v>B0787XKBRG</v>
          </cell>
        </row>
        <row r="78">
          <cell r="A78" t="str">
            <v>GT-WFTFGT200-214</v>
          </cell>
          <cell r="B78" t="str">
            <v>B076JBP5ZS</v>
          </cell>
        </row>
        <row r="79">
          <cell r="A79" t="str">
            <v>GT-WFTFGT200-216</v>
          </cell>
          <cell r="B79" t="str">
            <v>B076J67W43</v>
          </cell>
        </row>
        <row r="80">
          <cell r="A80" t="str">
            <v>GT-WFTFGT200-220</v>
          </cell>
          <cell r="B80" t="str">
            <v>B076J6VFSP</v>
          </cell>
        </row>
        <row r="81">
          <cell r="A81" t="str">
            <v>GT-WFTFGT200-221</v>
          </cell>
          <cell r="B81" t="str">
            <v>B076J2DG1R</v>
          </cell>
        </row>
        <row r="82">
          <cell r="A82" t="str">
            <v>GT-WFTFGT200-223</v>
          </cell>
          <cell r="B82" t="str">
            <v>B076J61QFW</v>
          </cell>
        </row>
        <row r="83">
          <cell r="A83" t="str">
            <v>GT-WFTFGT200-224</v>
          </cell>
          <cell r="B83" t="str">
            <v>B076J5DWFM</v>
          </cell>
        </row>
        <row r="84">
          <cell r="A84" t="str">
            <v>GT-WFY1-E1</v>
          </cell>
          <cell r="B84" t="str">
            <v>B077NVWPQW</v>
          </cell>
        </row>
        <row r="85">
          <cell r="A85" t="str">
            <v>GT-WFY1-E2</v>
          </cell>
          <cell r="B85" t="str">
            <v>B07842F5P9</v>
          </cell>
        </row>
        <row r="86">
          <cell r="A86" t="str">
            <v>GT-WFY1-E3</v>
          </cell>
          <cell r="B86" t="str">
            <v>B077NZLTQX</v>
          </cell>
        </row>
        <row r="87">
          <cell r="A87" t="str">
            <v>GT-WFY1-E4</v>
          </cell>
          <cell r="B87" t="str">
            <v>B077NVQNC9</v>
          </cell>
        </row>
        <row r="88">
          <cell r="A88" t="str">
            <v>HYD-WF7995-BO-XL</v>
          </cell>
          <cell r="B88" t="str">
            <v>B077STZV9Y</v>
          </cell>
        </row>
        <row r="89">
          <cell r="A89" t="str">
            <v>HYD-WF7995-RO-XL</v>
          </cell>
          <cell r="B89" t="str">
            <v>B077SZ4KTN</v>
          </cell>
        </row>
        <row r="90">
          <cell r="A90" t="str">
            <v>JS-LUHM100-AX</v>
          </cell>
          <cell r="B90" t="str">
            <v>B07FCJN97Z</v>
          </cell>
        </row>
        <row r="91">
          <cell r="A91" t="str">
            <v>JS-LUHM100-JSZFX</v>
          </cell>
          <cell r="B91" t="str">
            <v>B07FCH27G9</v>
          </cell>
        </row>
        <row r="92">
          <cell r="A92" t="str">
            <v>JS-LUHM100-KLT</v>
          </cell>
          <cell r="B92" t="str">
            <v>B07FCHZRK5</v>
          </cell>
        </row>
        <row r="93">
          <cell r="A93" t="str">
            <v>JS-LUHM100-LBX</v>
          </cell>
          <cell r="B93" t="str">
            <v>B07FCFK3BH</v>
          </cell>
        </row>
        <row r="94">
          <cell r="A94" t="str">
            <v>JS-LUHM100-LX</v>
          </cell>
          <cell r="B94" t="str">
            <v>B07FCHT1T1</v>
          </cell>
        </row>
        <row r="95">
          <cell r="A95" t="str">
            <v>JS-LUHM100-XJQ</v>
          </cell>
          <cell r="B95" t="str">
            <v>B07FZZH8SL</v>
          </cell>
        </row>
        <row r="96">
          <cell r="A96" t="str">
            <v>JS-LUHM100-ZFX</v>
          </cell>
          <cell r="B96" t="str">
            <v>B07FCJN913</v>
          </cell>
        </row>
        <row r="97">
          <cell r="A97" t="str">
            <v>LYQ-NWF10-KO-S</v>
          </cell>
          <cell r="B97" t="str">
            <v>B07DXFH8CW</v>
          </cell>
        </row>
        <row r="98">
          <cell r="A98" t="str">
            <v>LYQ-WF1010-BO-2X</v>
          </cell>
          <cell r="B98" t="str">
            <v>B077XNMC3N</v>
          </cell>
        </row>
        <row r="99">
          <cell r="A99" t="str">
            <v>LYQ-WF1010-BO-L</v>
          </cell>
          <cell r="B99" t="str">
            <v>B077XNM9W2</v>
          </cell>
        </row>
        <row r="100">
          <cell r="A100" t="str">
            <v>LYQ-WF1010-BO-M</v>
          </cell>
          <cell r="B100" t="str">
            <v>B077XSWR8G</v>
          </cell>
        </row>
        <row r="101">
          <cell r="A101" t="str">
            <v>LYQ-WF1010-BO-S</v>
          </cell>
          <cell r="B101" t="str">
            <v>B077XRSRNP</v>
          </cell>
        </row>
        <row r="102">
          <cell r="A102" t="str">
            <v>LYQ-WF1010-BO-XL</v>
          </cell>
          <cell r="B102" t="str">
            <v>B077XQ8ZN5</v>
          </cell>
        </row>
        <row r="103">
          <cell r="A103" t="str">
            <v>LYQ-WF1010-K0-2L</v>
          </cell>
          <cell r="B103" t="str">
            <v>B077XQ78NB</v>
          </cell>
        </row>
        <row r="104">
          <cell r="A104" t="str">
            <v>LYQ-WF1010-KO-L</v>
          </cell>
          <cell r="B104" t="str">
            <v>B077XNFWVP</v>
          </cell>
        </row>
        <row r="105">
          <cell r="A105" t="str">
            <v>LYQ-WF1010-KO-M</v>
          </cell>
          <cell r="B105" t="str">
            <v>B077XQ5D11</v>
          </cell>
        </row>
        <row r="106">
          <cell r="A106" t="str">
            <v>LYQ-WF1010-KO-S</v>
          </cell>
          <cell r="B106" t="str">
            <v>B077XV7J5K</v>
          </cell>
        </row>
        <row r="107">
          <cell r="A107" t="str">
            <v>LYQ-WF1010-KO-XL</v>
          </cell>
          <cell r="B107" t="str">
            <v>B0785H4FV1</v>
          </cell>
        </row>
        <row r="108">
          <cell r="A108" t="str">
            <v>LYQ-WF1010-NO-2L</v>
          </cell>
          <cell r="B108" t="str">
            <v>B077XQ2P1L</v>
          </cell>
        </row>
        <row r="109">
          <cell r="A109" t="str">
            <v>LYQ-WF1010-NO-L</v>
          </cell>
          <cell r="B109" t="str">
            <v>B077XV7BG7</v>
          </cell>
        </row>
        <row r="110">
          <cell r="A110" t="str">
            <v>LYQ-WF1010-NO-S</v>
          </cell>
          <cell r="B110" t="str">
            <v>B077XRVLTN</v>
          </cell>
        </row>
        <row r="111">
          <cell r="A111" t="str">
            <v>LYQ-WF1010-NO-XL</v>
          </cell>
          <cell r="B111" t="str">
            <v>B077XSTXHJ</v>
          </cell>
        </row>
        <row r="112">
          <cell r="A112" t="str">
            <v>LYQ-WF1010-NO-XS</v>
          </cell>
          <cell r="B112" t="str">
            <v>B077XRZGV1</v>
          </cell>
        </row>
        <row r="113">
          <cell r="A113" t="str">
            <v>LYQ-WF1010-PO-2L</v>
          </cell>
          <cell r="B113" t="str">
            <v>B077XNK3T5</v>
          </cell>
        </row>
        <row r="114">
          <cell r="A114" t="str">
            <v>LYQ-WF1010-PO-L</v>
          </cell>
          <cell r="B114" t="str">
            <v>B077XSLVZ5</v>
          </cell>
        </row>
        <row r="115">
          <cell r="A115" t="str">
            <v>LYQ-WF1010-PO-M</v>
          </cell>
          <cell r="B115" t="str">
            <v>B077XV49XF</v>
          </cell>
        </row>
        <row r="116">
          <cell r="A116" t="str">
            <v>LYQ-WF1010-PO-S</v>
          </cell>
          <cell r="B116" t="str">
            <v>B077XVBFB9</v>
          </cell>
        </row>
        <row r="117">
          <cell r="A117" t="str">
            <v>LYQ-WF1010-PO-XL</v>
          </cell>
          <cell r="B117" t="str">
            <v>B077XSTXHF</v>
          </cell>
        </row>
        <row r="118">
          <cell r="A118" t="str">
            <v>LYQ-WF1010-WO-2L</v>
          </cell>
          <cell r="B118" t="str">
            <v>B0785HJVGH</v>
          </cell>
        </row>
        <row r="119">
          <cell r="A119" t="str">
            <v>LYQ-WF1010-WO-M</v>
          </cell>
          <cell r="B119" t="str">
            <v>B0785HJVGG</v>
          </cell>
        </row>
        <row r="120">
          <cell r="A120" t="str">
            <v>LYQ-WF1010-WO-XL</v>
          </cell>
          <cell r="B120" t="str">
            <v>B077XSZ4FT</v>
          </cell>
        </row>
        <row r="121">
          <cell r="A121" t="str">
            <v>ND-LUHM027-PI</v>
          </cell>
          <cell r="B121" t="str">
            <v>B07C73R2XN</v>
          </cell>
        </row>
        <row r="122">
          <cell r="A122" t="str">
            <v>QLQ-LUHM121-G0</v>
          </cell>
          <cell r="B122" t="str">
            <v>B07CXM3QD3</v>
          </cell>
        </row>
        <row r="123">
          <cell r="A123" t="str">
            <v>QLQ-LUHM121-GM</v>
          </cell>
          <cell r="B123" t="str">
            <v>B07CXM3QD3</v>
          </cell>
        </row>
        <row r="124">
          <cell r="A124" t="str">
            <v>QLQ-LUHM121-WO</v>
          </cell>
          <cell r="B124" t="str">
            <v>B07CXM3QD3</v>
          </cell>
        </row>
        <row r="125">
          <cell r="A125" t="str">
            <v>QLQ-LUHM121-WT</v>
          </cell>
          <cell r="B125" t="str">
            <v>B07CXM3QD3</v>
          </cell>
        </row>
        <row r="126">
          <cell r="A126" t="str">
            <v>QLQ-WF121-WO</v>
          </cell>
          <cell r="B126" t="str">
            <v>B077YTH6KB</v>
          </cell>
        </row>
        <row r="127">
          <cell r="A127" t="str">
            <v>QQ-LUHM-801-B0</v>
          </cell>
          <cell r="B127" t="str">
            <v>B07CPW1TRS</v>
          </cell>
        </row>
        <row r="128">
          <cell r="A128" t="str">
            <v>RYMT-WF712-GO-L</v>
          </cell>
          <cell r="B128" t="str">
            <v>B0785GYYL8</v>
          </cell>
        </row>
        <row r="129">
          <cell r="A129" t="str">
            <v>RYMT-WF712-PI-L</v>
          </cell>
          <cell r="B129" t="str">
            <v>B077X8RLVJ</v>
          </cell>
        </row>
        <row r="130">
          <cell r="A130" t="str">
            <v>RYMT-WF712-PO-L</v>
          </cell>
          <cell r="B130" t="str">
            <v>B077XB44XX</v>
          </cell>
        </row>
        <row r="131">
          <cell r="A131" t="str">
            <v>SB-LUHM100-B0</v>
          </cell>
          <cell r="B131" t="str">
            <v>B07DVH33X4</v>
          </cell>
        </row>
        <row r="132">
          <cell r="A132" t="str">
            <v>SB-LUHM100-G0</v>
          </cell>
          <cell r="B132" t="str">
            <v>B07DVLM761</v>
          </cell>
        </row>
        <row r="133">
          <cell r="A133" t="str">
            <v>SB-LUHM100-K0</v>
          </cell>
          <cell r="B133" t="str">
            <v>B07DVBN2KT</v>
          </cell>
        </row>
        <row r="134">
          <cell r="A134" t="str">
            <v>SB-LUHM100-R0</v>
          </cell>
          <cell r="B134" t="str">
            <v>B07DVK4HKX</v>
          </cell>
        </row>
        <row r="135">
          <cell r="A135" t="str">
            <v>SB-LUHM101-B0</v>
          </cell>
          <cell r="B135" t="str">
            <v>B07FJQJ4XP</v>
          </cell>
        </row>
        <row r="136">
          <cell r="A136" t="str">
            <v>SD-LUHM202-B0</v>
          </cell>
          <cell r="B136" t="str">
            <v>B07CVDZCBW</v>
          </cell>
        </row>
        <row r="137">
          <cell r="A137" t="str">
            <v>SD-LUHM202-G0-X</v>
          </cell>
          <cell r="B137" t="str">
            <v>B07BRL2Y1L</v>
          </cell>
        </row>
        <row r="138">
          <cell r="A138" t="str">
            <v>SD-LUHM202-PI</v>
          </cell>
          <cell r="B138" t="str">
            <v>B07CVDVW47</v>
          </cell>
        </row>
        <row r="139">
          <cell r="A139" t="str">
            <v>SD-LUHM202-X0</v>
          </cell>
          <cell r="B139" t="str">
            <v>B07CVDJ9S8</v>
          </cell>
        </row>
        <row r="140">
          <cell r="A140" t="str">
            <v>SD-LUHM202-Y0</v>
          </cell>
          <cell r="B140" t="str">
            <v>B07CVGZCHZ</v>
          </cell>
        </row>
        <row r="141">
          <cell r="A141" t="str">
            <v>SDSZH-BS</v>
          </cell>
          <cell r="B141" t="str">
            <v>B076P8MNVV</v>
          </cell>
        </row>
        <row r="142">
          <cell r="A142" t="str">
            <v>SDSZH-RG</v>
          </cell>
          <cell r="B142" t="str">
            <v>B076PCPP68</v>
          </cell>
        </row>
        <row r="143">
          <cell r="A143" t="str">
            <v>SDSZH-TS-2</v>
          </cell>
          <cell r="B143" t="str">
            <v>B076P7DYB9</v>
          </cell>
        </row>
        <row r="144">
          <cell r="A144" t="str">
            <v>SG-LUHM050-K0</v>
          </cell>
          <cell r="B144" t="str">
            <v>B07F63TBYG</v>
          </cell>
        </row>
        <row r="145">
          <cell r="A145" t="str">
            <v>SG-LUHM100-K0</v>
          </cell>
          <cell r="B145" t="str">
            <v>B07F634TZ1</v>
          </cell>
        </row>
        <row r="146">
          <cell r="A146" t="str">
            <v>SL-LULW812-PI-M</v>
          </cell>
          <cell r="B146" t="str">
            <v>B078RNFX6F</v>
          </cell>
        </row>
        <row r="147">
          <cell r="A147" t="str">
            <v>SL-LULW818-BO-L</v>
          </cell>
          <cell r="B147" t="str">
            <v>B078RNM8V8</v>
          </cell>
        </row>
        <row r="148">
          <cell r="A148" t="str">
            <v>SL-LULW818-PI-L</v>
          </cell>
          <cell r="B148" t="str">
            <v>B078RN1CC8</v>
          </cell>
        </row>
        <row r="149">
          <cell r="A149" t="str">
            <v>SL-LULW818-PI-M</v>
          </cell>
          <cell r="B149" t="str">
            <v>B078RNFX6F</v>
          </cell>
        </row>
        <row r="150">
          <cell r="A150" t="str">
            <v>SL-LULW818-RO-L</v>
          </cell>
          <cell r="B150" t="str">
            <v>B078RMPL65</v>
          </cell>
        </row>
        <row r="151">
          <cell r="A151" t="str">
            <v>SND-FLQ17-NO-108</v>
          </cell>
          <cell r="B151" t="str">
            <v>B075ZV778Y</v>
          </cell>
        </row>
        <row r="152">
          <cell r="A152" t="str">
            <v>SND-FLQ18-SJ-74</v>
          </cell>
          <cell r="B152" t="str">
            <v>B0761KKJCB</v>
          </cell>
        </row>
        <row r="153">
          <cell r="A153" t="str">
            <v>SND-FLQ18-SJ-80</v>
          </cell>
          <cell r="B153" t="str">
            <v>B0761KLYSS</v>
          </cell>
        </row>
        <row r="154">
          <cell r="A154" t="str">
            <v>SND-WF5150-WO</v>
          </cell>
          <cell r="B154" t="str">
            <v>B076ZJHNKM</v>
          </cell>
        </row>
        <row r="155">
          <cell r="A155" t="str">
            <v>SND-WF5150-WO2</v>
          </cell>
          <cell r="B155" t="str">
            <v>B076ZKPLVZ</v>
          </cell>
        </row>
        <row r="156">
          <cell r="A156" t="str">
            <v>SNH-LUHM001-E0</v>
          </cell>
          <cell r="B156" t="str">
            <v>B07DQM6N3W</v>
          </cell>
        </row>
        <row r="157">
          <cell r="A157" t="str">
            <v>SNH-LUHM001-G0</v>
          </cell>
          <cell r="B157" t="str">
            <v>B07DQMT2TL</v>
          </cell>
        </row>
        <row r="158">
          <cell r="A158" t="str">
            <v>SNH-LUHM001-K0</v>
          </cell>
          <cell r="B158" t="str">
            <v>B07DQLZ5KK</v>
          </cell>
        </row>
        <row r="159">
          <cell r="A159" t="str">
            <v>SNH-LUHM001-W0</v>
          </cell>
          <cell r="B159" t="str">
            <v>B07DQLKY6N</v>
          </cell>
        </row>
        <row r="160">
          <cell r="A160" t="str">
            <v>SNH-LUHM001-Y0</v>
          </cell>
          <cell r="B160" t="str">
            <v>B07DQL4VVL</v>
          </cell>
        </row>
        <row r="161">
          <cell r="A161" t="str">
            <v>SNT-LUHM001-BS</v>
          </cell>
          <cell r="B161" t="str">
            <v>B07DQN9ZJT</v>
          </cell>
        </row>
        <row r="162">
          <cell r="A162" t="str">
            <v>SNT-LUHM001-DX</v>
          </cell>
          <cell r="B162" t="str">
            <v>B07DQPRJPR</v>
          </cell>
        </row>
        <row r="163">
          <cell r="A163" t="str">
            <v>SNT-LUHM001-GQ</v>
          </cell>
          <cell r="B163" t="str">
            <v>B07DQL4VVH</v>
          </cell>
        </row>
        <row r="164">
          <cell r="A164" t="str">
            <v>SNT-LUHM001-HW</v>
          </cell>
          <cell r="B164" t="str">
            <v>B07DQP8MPM</v>
          </cell>
        </row>
        <row r="165">
          <cell r="A165" t="str">
            <v>SNT-LUHM001-HY</v>
          </cell>
          <cell r="B165" t="str">
            <v>B07DQMV7N9</v>
          </cell>
        </row>
        <row r="166">
          <cell r="A166" t="str">
            <v>SNT-LUHM001-KT</v>
          </cell>
          <cell r="B166" t="str">
            <v>B07DQN92XD</v>
          </cell>
        </row>
        <row r="167">
          <cell r="A167" t="str">
            <v>SNT-LUHM001-WX</v>
          </cell>
          <cell r="B167" t="str">
            <v>B07DQLKY6T</v>
          </cell>
        </row>
        <row r="168">
          <cell r="A168" t="str">
            <v>SNT-LUHM001-ZX</v>
          </cell>
          <cell r="B168" t="str">
            <v>B07DQVJFGS</v>
          </cell>
        </row>
        <row r="169">
          <cell r="A169" t="str">
            <v>SQ-LUHM204</v>
          </cell>
          <cell r="B169" t="str">
            <v>B07DKXSV9P</v>
          </cell>
        </row>
        <row r="170">
          <cell r="A170" t="str">
            <v>SQ-LUHM304</v>
          </cell>
          <cell r="B170" t="str">
            <v>B07DKWSJ1Z</v>
          </cell>
        </row>
        <row r="171">
          <cell r="A171" t="str">
            <v>SQ-LUHM354</v>
          </cell>
          <cell r="B171" t="str">
            <v>B07DKV16HS</v>
          </cell>
        </row>
        <row r="172">
          <cell r="A172" t="str">
            <v>SQ-LUHM404</v>
          </cell>
          <cell r="B172" t="str">
            <v>B07DKT41YL</v>
          </cell>
        </row>
        <row r="173">
          <cell r="A173" t="str">
            <v>SQ-LUHM90A</v>
          </cell>
          <cell r="B173" t="str">
            <v>B07DKXGT8H</v>
          </cell>
        </row>
        <row r="174">
          <cell r="A174" t="str">
            <v>ST-FLQ110-KO-L</v>
          </cell>
          <cell r="B174" t="str">
            <v>B077N6WYM2</v>
          </cell>
        </row>
        <row r="175">
          <cell r="A175" t="str">
            <v>ST-FLQ110-KO-M</v>
          </cell>
          <cell r="B175" t="str">
            <v>B077N289VS</v>
          </cell>
        </row>
        <row r="176">
          <cell r="A176" t="str">
            <v>ST-FLQ110-KO-XL</v>
          </cell>
          <cell r="B176" t="str">
            <v>B077N9TG25</v>
          </cell>
        </row>
        <row r="177">
          <cell r="A177" t="str">
            <v>ST-FLQ110-PI-L</v>
          </cell>
          <cell r="B177" t="str">
            <v>B077NCHFV2</v>
          </cell>
        </row>
        <row r="178">
          <cell r="A178" t="str">
            <v>ST-FLQ110-PI-M</v>
          </cell>
          <cell r="B178" t="str">
            <v>B077NCS1K2</v>
          </cell>
        </row>
        <row r="179">
          <cell r="A179" t="str">
            <v>ST-FLQ110-PI-S</v>
          </cell>
          <cell r="B179" t="str">
            <v>B077NDNLBD</v>
          </cell>
        </row>
        <row r="180">
          <cell r="A180" t="str">
            <v>ST-LAHM-LG-001</v>
          </cell>
          <cell r="B180" t="str">
            <v>B07DVJW5HD</v>
          </cell>
        </row>
        <row r="181">
          <cell r="A181" t="str">
            <v>WB-LUHM002-B0</v>
          </cell>
          <cell r="B181" t="str">
            <v>B07DVLSHLK</v>
          </cell>
        </row>
        <row r="182">
          <cell r="A182" t="str">
            <v>WB-LUHM002-E0</v>
          </cell>
          <cell r="B182" t="str">
            <v>B07DVHDT1N</v>
          </cell>
        </row>
        <row r="183">
          <cell r="A183" t="str">
            <v>WB-LUHM002-G0</v>
          </cell>
          <cell r="B183" t="str">
            <v>B07DVGSHDP</v>
          </cell>
        </row>
        <row r="184">
          <cell r="A184" t="str">
            <v>WB-LUHM002-R0</v>
          </cell>
          <cell r="B184" t="str">
            <v>B07DVK765T</v>
          </cell>
        </row>
        <row r="185">
          <cell r="A185" t="str">
            <v>WY-WF1217-GR-L</v>
          </cell>
          <cell r="B185" t="str">
            <v>B078MRF99V</v>
          </cell>
        </row>
        <row r="186">
          <cell r="A186" t="str">
            <v>WY-WF1217-GR-M</v>
          </cell>
          <cell r="B186" t="str">
            <v>B078MG4VLQ</v>
          </cell>
        </row>
        <row r="187">
          <cell r="A187" t="str">
            <v>WY-WF1217-GR-S</v>
          </cell>
          <cell r="B187" t="str">
            <v>B078MMFTHW</v>
          </cell>
        </row>
        <row r="188">
          <cell r="A188" t="str">
            <v>WY-WF1217-GR-XL</v>
          </cell>
          <cell r="B188" t="str">
            <v>B078MLVDZV</v>
          </cell>
        </row>
        <row r="189">
          <cell r="A189" t="str">
            <v>WY-WF1217-KO-L</v>
          </cell>
          <cell r="B189" t="str">
            <v>B078MJZZZN</v>
          </cell>
        </row>
        <row r="190">
          <cell r="A190" t="str">
            <v>WY-WF1217-KO-M</v>
          </cell>
          <cell r="B190" t="str">
            <v>B078MP2N3B</v>
          </cell>
        </row>
        <row r="191">
          <cell r="A191" t="str">
            <v>WY-WF1217-KO-S</v>
          </cell>
          <cell r="B191" t="str">
            <v>B078MKNJN1</v>
          </cell>
        </row>
        <row r="192">
          <cell r="A192" t="str">
            <v>WY-WF1217-KO-XL</v>
          </cell>
          <cell r="B192" t="str">
            <v>B078MNWK8Y</v>
          </cell>
        </row>
        <row r="193">
          <cell r="A193" t="str">
            <v>WY-WF1217-RO-L</v>
          </cell>
          <cell r="B193" t="str">
            <v>B078MK4N19</v>
          </cell>
        </row>
        <row r="194">
          <cell r="A194" t="str">
            <v>WY-WF1217-RO-M</v>
          </cell>
          <cell r="B194" t="str">
            <v>B078MLCPHX</v>
          </cell>
        </row>
        <row r="195">
          <cell r="A195" t="str">
            <v>WY-WF1217-RO-S</v>
          </cell>
          <cell r="B195" t="str">
            <v>B078MPPY1Z</v>
          </cell>
        </row>
        <row r="196">
          <cell r="A196" t="str">
            <v>WY-WF1217-RO-XL</v>
          </cell>
          <cell r="B196" t="str">
            <v>B078MLS36P</v>
          </cell>
        </row>
        <row r="197">
          <cell r="A197" t="str">
            <v>WY-WF1217-YO-L</v>
          </cell>
          <cell r="B197" t="str">
            <v>B078MLPP7Z</v>
          </cell>
        </row>
        <row r="198">
          <cell r="A198" t="str">
            <v>WY-WF1217-YO-M</v>
          </cell>
          <cell r="B198" t="str">
            <v>B078MQZ7XF</v>
          </cell>
        </row>
        <row r="199">
          <cell r="A199" t="str">
            <v>WY-WF1217-YO-S</v>
          </cell>
          <cell r="B199" t="str">
            <v>B078MLVF8D</v>
          </cell>
        </row>
        <row r="200">
          <cell r="A200" t="str">
            <v>WY-WF1217-YO-XL</v>
          </cell>
          <cell r="B200" t="str">
            <v>B078MLVFZH</v>
          </cell>
        </row>
        <row r="201">
          <cell r="A201" t="str">
            <v>WY-WF1225-BO-L</v>
          </cell>
          <cell r="B201" t="str">
            <v>B078MFHH1V</v>
          </cell>
        </row>
        <row r="202">
          <cell r="A202" t="str">
            <v>WY-WF1225-BO-M</v>
          </cell>
          <cell r="B202" t="str">
            <v>B078MFWG5N</v>
          </cell>
        </row>
        <row r="203">
          <cell r="A203" t="str">
            <v>WY-WF1225-BO-S</v>
          </cell>
          <cell r="B203" t="str">
            <v>B078MNG1TG</v>
          </cell>
        </row>
        <row r="204">
          <cell r="A204" t="str">
            <v>WY-WF1225-BO-XL</v>
          </cell>
          <cell r="B204" t="str">
            <v>B078MPBBKH</v>
          </cell>
        </row>
        <row r="205">
          <cell r="A205" t="str">
            <v>WY-WF1225-GR-L</v>
          </cell>
          <cell r="B205" t="str">
            <v>B078MMXYGL</v>
          </cell>
        </row>
        <row r="206">
          <cell r="A206" t="str">
            <v>WY-WF1225-GR-M</v>
          </cell>
          <cell r="B206" t="str">
            <v>B078MFPDLS</v>
          </cell>
        </row>
        <row r="207">
          <cell r="A207" t="str">
            <v>WY-WF1225-GR-S</v>
          </cell>
          <cell r="B207" t="str">
            <v>B078MNGZXT</v>
          </cell>
        </row>
        <row r="208">
          <cell r="A208" t="str">
            <v>WY-WF1225-GR-XL</v>
          </cell>
          <cell r="B208" t="str">
            <v>B078ML71RF</v>
          </cell>
        </row>
        <row r="209">
          <cell r="A209" t="str">
            <v>XK-YIWUJS-GY-6IN</v>
          </cell>
          <cell r="B209" t="str">
            <v>B07D4GQKTL</v>
          </cell>
        </row>
        <row r="210">
          <cell r="A210" t="str">
            <v>XK-YIWUJS-GY-7IN</v>
          </cell>
          <cell r="B210" t="str">
            <v>B07D4FV711</v>
          </cell>
        </row>
        <row r="211">
          <cell r="A211" t="str">
            <v>XK-YIWUJS-PJ</v>
          </cell>
          <cell r="B211" t="str">
            <v>B001B52VSW</v>
          </cell>
        </row>
        <row r="212">
          <cell r="A212" t="str">
            <v>XK-YIWUJS-Y0-6IN</v>
          </cell>
          <cell r="B212" t="str">
            <v>B07D4GBBQB</v>
          </cell>
        </row>
        <row r="213">
          <cell r="A213" t="str">
            <v>XK-YIWUJS-Y0-7IN</v>
          </cell>
          <cell r="B213" t="str">
            <v>B07D4FQCYC</v>
          </cell>
        </row>
        <row r="214">
          <cell r="A214" t="str">
            <v>XK-YIWUJS2-BR-6IN</v>
          </cell>
          <cell r="B214" t="str">
            <v>B07D4FWK6H</v>
          </cell>
        </row>
        <row r="215">
          <cell r="A215" t="str">
            <v>XK-YIWUJS2-BR-7IN</v>
          </cell>
          <cell r="B215" t="str">
            <v>B07D4GDZTQ</v>
          </cell>
        </row>
        <row r="216">
          <cell r="A216" t="str">
            <v>XK-YIWUJS2-PJ</v>
          </cell>
          <cell r="B216" t="str">
            <v>B00VGTGHS8</v>
          </cell>
        </row>
        <row r="217">
          <cell r="A217" t="str">
            <v>XK-YIWUJS2-Y0-6IN</v>
          </cell>
          <cell r="B217" t="str">
            <v>B07D4GSD2Q</v>
          </cell>
        </row>
        <row r="218">
          <cell r="A218" t="str">
            <v>XK-YIWUJS2-Y0-7IN</v>
          </cell>
          <cell r="B218" t="str">
            <v>B07D4GT945</v>
          </cell>
        </row>
        <row r="219">
          <cell r="A219" t="str">
            <v>XM-LUHM111-HMG</v>
          </cell>
          <cell r="B219" t="str">
            <v>B07GNGV9CS</v>
          </cell>
        </row>
        <row r="220">
          <cell r="A220" t="str">
            <v>XM-LUHM111-X0</v>
          </cell>
          <cell r="B220" t="str">
            <v>B07C76QF92</v>
          </cell>
        </row>
        <row r="221">
          <cell r="A221" t="str">
            <v>XQ-LUHM034-X0</v>
          </cell>
          <cell r="B221" t="str">
            <v>B07C76QGLV</v>
          </cell>
        </row>
        <row r="222">
          <cell r="A222" t="str">
            <v>XQ-LUHM089-PI</v>
          </cell>
          <cell r="B222" t="str">
            <v>B07CG51FRQ</v>
          </cell>
        </row>
        <row r="223">
          <cell r="A223" t="str">
            <v>XYD-F02-3C-3S</v>
          </cell>
          <cell r="B223" t="str">
            <v>B077277SF1</v>
          </cell>
        </row>
        <row r="224">
          <cell r="A224" t="str">
            <v>YQ-LUHM-F111</v>
          </cell>
          <cell r="B224" t="str">
            <v>B07CQJ8G3M</v>
          </cell>
        </row>
        <row r="225">
          <cell r="A225" t="str">
            <v>YQ-LUHM-F112</v>
          </cell>
          <cell r="B225" t="str">
            <v>B07DLX7V45</v>
          </cell>
        </row>
        <row r="226">
          <cell r="A226" t="str">
            <v>YQ-LUHM-F114</v>
          </cell>
          <cell r="B226" t="str">
            <v>B07DLTWN39</v>
          </cell>
        </row>
        <row r="227">
          <cell r="A227" t="str">
            <v>ZB-WF029-CF-L</v>
          </cell>
          <cell r="B227" t="str">
            <v>B077SSC1TH</v>
          </cell>
        </row>
        <row r="228">
          <cell r="A228" t="str">
            <v>ZB-WF029-CF-M</v>
          </cell>
          <cell r="B228" t="str">
            <v>B078C7BGZR</v>
          </cell>
        </row>
        <row r="229">
          <cell r="A229" t="str">
            <v>ZB-WF029-WO-L</v>
          </cell>
          <cell r="B229" t="str">
            <v>B0784WBNX9</v>
          </cell>
        </row>
        <row r="230">
          <cell r="A230" t="str">
            <v>ZB-WF029-WO-M</v>
          </cell>
          <cell r="B230" t="str">
            <v>B0784WC6TX</v>
          </cell>
        </row>
        <row r="231">
          <cell r="A231" t="str">
            <v>ZDD-FLQ07-MC-28</v>
          </cell>
          <cell r="B231" t="str">
            <v>B075QF56L3</v>
          </cell>
        </row>
        <row r="232">
          <cell r="A232" t="str">
            <v>ZDD-FLQ08-BO-28</v>
          </cell>
          <cell r="B232" t="str">
            <v>B075QFP51N</v>
          </cell>
        </row>
        <row r="233">
          <cell r="A233" t="str">
            <v>ZDD-FLQ08-GR-28</v>
          </cell>
          <cell r="B233" t="str">
            <v>B075QG33T1</v>
          </cell>
        </row>
        <row r="234">
          <cell r="A234" t="str">
            <v>ZDD-FLQ08-PO-28</v>
          </cell>
          <cell r="B234" t="str">
            <v>B075R92YGF</v>
          </cell>
        </row>
        <row r="235">
          <cell r="A235" t="str">
            <v>ZDD-FLQ08-RO-28</v>
          </cell>
          <cell r="B235" t="str">
            <v>B075QFMG4P</v>
          </cell>
        </row>
        <row r="236">
          <cell r="A236" t="str">
            <v>ZQ-WF002-BO-M</v>
          </cell>
          <cell r="B236" t="str">
            <v>B078HGJSND</v>
          </cell>
        </row>
        <row r="237">
          <cell r="A237" t="str">
            <v>ZQ-WF002-PI-M</v>
          </cell>
          <cell r="B237" t="str">
            <v>B078H85Y7H</v>
          </cell>
        </row>
        <row r="238">
          <cell r="A238" t="str">
            <v>ZYL-FLQ06-BF-40</v>
          </cell>
          <cell r="B238" t="str">
            <v>B076P8S1LC</v>
          </cell>
        </row>
        <row r="239">
          <cell r="A239" t="str">
            <v>ZYL-FLQ06-BG-40</v>
          </cell>
          <cell r="B239" t="str">
            <v>B075RCQD9P</v>
          </cell>
        </row>
        <row r="240">
          <cell r="A240" t="str">
            <v>ZYL-FLQ06-HG-40</v>
          </cell>
          <cell r="B240" t="str">
            <v>B075R4XJZV</v>
          </cell>
        </row>
        <row r="241">
          <cell r="A241" t="str">
            <v>ZYL-FLQ06-TZ-40</v>
          </cell>
          <cell r="B241" t="str">
            <v>B075R4RWDL</v>
          </cell>
        </row>
        <row r="242">
          <cell r="A242" t="str">
            <v>ZYL-FLQ2013-DX-36</v>
          </cell>
          <cell r="B242" t="str">
            <v>B078JK429P</v>
          </cell>
        </row>
        <row r="243">
          <cell r="A243" t="str">
            <v>ZYL-FLQ2013-RO-36</v>
          </cell>
          <cell r="B243" t="str">
            <v>B078JQ7B7M</v>
          </cell>
        </row>
        <row r="244">
          <cell r="A244" t="str">
            <v>ZYL-FLQ2013-YO-36</v>
          </cell>
          <cell r="B244" t="str">
            <v>B078JQVN4Q</v>
          </cell>
        </row>
        <row r="245">
          <cell r="A245" t="str">
            <v>ZYL-FLQ59-BF-32</v>
          </cell>
          <cell r="B245" t="str">
            <v>B078JQ3KLW</v>
          </cell>
        </row>
        <row r="246">
          <cell r="A246" t="str">
            <v>ZYL-FLQ59-BY-32</v>
          </cell>
          <cell r="B246" t="str">
            <v>B078JNY8M1</v>
          </cell>
        </row>
        <row r="247">
          <cell r="A247" t="str">
            <v>ZYL-FLQ59-TW-32</v>
          </cell>
          <cell r="B247" t="str">
            <v>B078JJ7KDP</v>
          </cell>
        </row>
        <row r="248">
          <cell r="A248" t="str">
            <v>ZYL-FLQ59-TZ-32</v>
          </cell>
          <cell r="B248" t="str">
            <v>B078JQXPDD</v>
          </cell>
        </row>
        <row r="249">
          <cell r="A249" t="str">
            <v>ZYL-FLQ59-YD-32</v>
          </cell>
          <cell r="B249" t="str">
            <v>B078JHC2WQ</v>
          </cell>
        </row>
      </sheetData>
      <sheetData sheetId="3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53</v>
          </cell>
          <cell r="D2">
            <v>66</v>
          </cell>
          <cell r="E2">
            <v>91</v>
          </cell>
          <cell r="F2">
            <v>109</v>
          </cell>
        </row>
        <row r="3">
          <cell r="A3" t="str">
            <v>HYD-WF7995-RO-XL</v>
          </cell>
          <cell r="B3" t="str">
            <v>HYD-WF7995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10</v>
          </cell>
        </row>
        <row r="4">
          <cell r="A4" t="str">
            <v>SQ-LUHM354</v>
          </cell>
          <cell r="B4" t="str">
            <v>SQ-LUHM</v>
          </cell>
          <cell r="C4">
            <v>0</v>
          </cell>
          <cell r="D4">
            <v>1</v>
          </cell>
          <cell r="E4">
            <v>0</v>
          </cell>
          <cell r="F4">
            <v>9</v>
          </cell>
          <cell r="G4">
            <v>19.99</v>
          </cell>
        </row>
        <row r="5">
          <cell r="A5" t="str">
            <v>ZYL-FLQ06-TZ-40</v>
          </cell>
          <cell r="B5" t="str">
            <v>ZYL-FLQ06</v>
          </cell>
          <cell r="C5">
            <v>9</v>
          </cell>
          <cell r="D5">
            <v>5</v>
          </cell>
          <cell r="E5">
            <v>5</v>
          </cell>
          <cell r="F5">
            <v>10</v>
          </cell>
          <cell r="G5">
            <v>10.99</v>
          </cell>
        </row>
        <row r="6">
          <cell r="A6" t="str">
            <v>ZYL-FLQ59-BF-32</v>
          </cell>
          <cell r="B6" t="str">
            <v>ZYL-FLQ59</v>
          </cell>
          <cell r="C6">
            <v>6</v>
          </cell>
          <cell r="D6">
            <v>6</v>
          </cell>
          <cell r="E6">
            <v>9</v>
          </cell>
          <cell r="F6">
            <v>1</v>
          </cell>
          <cell r="G6">
            <v>13.99</v>
          </cell>
        </row>
        <row r="7">
          <cell r="A7" t="str">
            <v>SB-LUHM100-R0</v>
          </cell>
          <cell r="B7" t="str">
            <v>SB-LUHM100</v>
          </cell>
          <cell r="C7">
            <v>0</v>
          </cell>
          <cell r="D7">
            <v>0</v>
          </cell>
          <cell r="E7">
            <v>0</v>
          </cell>
          <cell r="F7">
            <v>6</v>
          </cell>
          <cell r="G7">
            <v>13.99</v>
          </cell>
        </row>
        <row r="8">
          <cell r="A8" t="str">
            <v>SB-LUHM100-K0</v>
          </cell>
          <cell r="B8" t="str">
            <v>SB-LUHM100</v>
          </cell>
          <cell r="C8">
            <v>0</v>
          </cell>
          <cell r="D8">
            <v>2</v>
          </cell>
          <cell r="E8">
            <v>10</v>
          </cell>
          <cell r="F8">
            <v>3</v>
          </cell>
          <cell r="G8">
            <v>13</v>
          </cell>
        </row>
        <row r="9">
          <cell r="A9" t="str">
            <v>BDB-WF212-BJX-M</v>
          </cell>
          <cell r="B9" t="str">
            <v>BDB-WF212</v>
          </cell>
          <cell r="C9">
            <v>0</v>
          </cell>
          <cell r="D9">
            <v>0</v>
          </cell>
          <cell r="E9">
            <v>0</v>
          </cell>
          <cell r="F9">
            <v>1</v>
          </cell>
          <cell r="G9">
            <v>10.99</v>
          </cell>
        </row>
        <row r="10">
          <cell r="A10" t="str">
            <v>YQ-LUHM-F111</v>
          </cell>
          <cell r="B10" t="str">
            <v>YQ-LUHM</v>
          </cell>
          <cell r="C10">
            <v>0</v>
          </cell>
          <cell r="D10">
            <v>0</v>
          </cell>
          <cell r="E10">
            <v>0</v>
          </cell>
          <cell r="F10">
            <v>2</v>
          </cell>
          <cell r="G10">
            <v>7.99</v>
          </cell>
        </row>
        <row r="11">
          <cell r="A11" t="str">
            <v>GT-WFTFGT200-220</v>
          </cell>
          <cell r="B11" t="str">
            <v>GT-WFTFGT200</v>
          </cell>
          <cell r="C11">
            <v>0</v>
          </cell>
          <cell r="D11">
            <v>2</v>
          </cell>
          <cell r="E11">
            <v>2</v>
          </cell>
          <cell r="F11">
            <v>2</v>
          </cell>
          <cell r="G11">
            <v>13.99</v>
          </cell>
        </row>
        <row r="12">
          <cell r="A12" t="str">
            <v>SB-LUHM101-B0</v>
          </cell>
          <cell r="B12" t="str">
            <v>SB-LUHM101</v>
          </cell>
          <cell r="C12">
            <v>0</v>
          </cell>
          <cell r="D12">
            <v>0</v>
          </cell>
          <cell r="E12">
            <v>4</v>
          </cell>
          <cell r="F12">
            <v>5</v>
          </cell>
          <cell r="G12">
            <v>13.99</v>
          </cell>
        </row>
        <row r="13">
          <cell r="A13" t="str">
            <v>SQ-LUHM304</v>
          </cell>
          <cell r="B13" t="str">
            <v>SQ-LUHM</v>
          </cell>
          <cell r="C13">
            <v>9</v>
          </cell>
          <cell r="D13">
            <v>0</v>
          </cell>
          <cell r="E13">
            <v>3</v>
          </cell>
          <cell r="F13">
            <v>3</v>
          </cell>
          <cell r="G13">
            <v>18.99</v>
          </cell>
        </row>
        <row r="14">
          <cell r="A14" t="str">
            <v>BA-FLQ02-SI-6</v>
          </cell>
          <cell r="B14" t="str">
            <v>BA-FLQ02</v>
          </cell>
          <cell r="C14">
            <v>0</v>
          </cell>
          <cell r="D14">
            <v>0</v>
          </cell>
          <cell r="E14">
            <v>0</v>
          </cell>
          <cell r="F14">
            <v>2</v>
          </cell>
          <cell r="G14">
            <v>15.99</v>
          </cell>
        </row>
        <row r="15">
          <cell r="A15" t="str">
            <v>BA-FLQ02-BO-6</v>
          </cell>
          <cell r="B15" t="str">
            <v>BA-FLQ02</v>
          </cell>
          <cell r="C15">
            <v>0</v>
          </cell>
          <cell r="D15">
            <v>1</v>
          </cell>
          <cell r="E15">
            <v>0</v>
          </cell>
          <cell r="F15">
            <v>2</v>
          </cell>
          <cell r="G15">
            <v>16.99</v>
          </cell>
        </row>
        <row r="16">
          <cell r="A16" t="str">
            <v>BDB-WF212-JY-M</v>
          </cell>
          <cell r="B16" t="str">
            <v>BDB-WF212</v>
          </cell>
          <cell r="C16">
            <v>0</v>
          </cell>
          <cell r="D16">
            <v>0</v>
          </cell>
          <cell r="E16">
            <v>2</v>
          </cell>
          <cell r="F16">
            <v>4</v>
          </cell>
          <cell r="G16">
            <v>9.99</v>
          </cell>
        </row>
        <row r="17">
          <cell r="A17" t="str">
            <v>ZYL-FLQ2013-DX-36</v>
          </cell>
          <cell r="B17" t="str">
            <v>ZYL-FLQ2013</v>
          </cell>
          <cell r="C17">
            <v>0</v>
          </cell>
          <cell r="D17">
            <v>0</v>
          </cell>
          <cell r="E17">
            <v>2</v>
          </cell>
          <cell r="F17">
            <v>3</v>
          </cell>
          <cell r="G17">
            <v>14.99</v>
          </cell>
        </row>
        <row r="18">
          <cell r="A18" t="str">
            <v>GSQPQ-WF2012-GO</v>
          </cell>
          <cell r="B18" t="str">
            <v>GSQPQ-WF2012</v>
          </cell>
          <cell r="C18">
            <v>0</v>
          </cell>
          <cell r="D18">
            <v>1</v>
          </cell>
          <cell r="E18">
            <v>0</v>
          </cell>
          <cell r="F18">
            <v>1</v>
          </cell>
          <cell r="G18">
            <v>8.99</v>
          </cell>
        </row>
        <row r="19">
          <cell r="A19" t="str">
            <v>BLT-WF125-LION</v>
          </cell>
          <cell r="B19" t="str">
            <v>BLT-WF125</v>
          </cell>
          <cell r="C19">
            <v>0</v>
          </cell>
          <cell r="D19">
            <v>0</v>
          </cell>
          <cell r="E19">
            <v>0</v>
          </cell>
          <cell r="F19">
            <v>1</v>
          </cell>
          <cell r="G19">
            <v>8.99</v>
          </cell>
        </row>
        <row r="20">
          <cell r="A20" t="str">
            <v>ZYL-FLQ06-HG-40</v>
          </cell>
          <cell r="B20" t="str">
            <v>ZYL-FLQ06</v>
          </cell>
          <cell r="C20">
            <v>3</v>
          </cell>
          <cell r="D20">
            <v>1</v>
          </cell>
          <cell r="E20">
            <v>1</v>
          </cell>
          <cell r="F20">
            <v>2</v>
          </cell>
          <cell r="G20">
            <v>18.99</v>
          </cell>
        </row>
        <row r="21">
          <cell r="A21" t="str">
            <v>ZYL-FLQ06-BG-40</v>
          </cell>
          <cell r="B21" t="str">
            <v>ZYL-FLQ06</v>
          </cell>
          <cell r="C21">
            <v>2</v>
          </cell>
          <cell r="D21">
            <v>0</v>
          </cell>
          <cell r="E21">
            <v>2</v>
          </cell>
          <cell r="F21">
            <v>3</v>
          </cell>
          <cell r="G21">
            <v>18.99</v>
          </cell>
        </row>
        <row r="22">
          <cell r="A22" t="str">
            <v>XK-YIWUJS2-BR-7IN</v>
          </cell>
          <cell r="B22" t="str">
            <v>XK-YIWUJS2</v>
          </cell>
          <cell r="C22">
            <v>1</v>
          </cell>
          <cell r="D22">
            <v>1</v>
          </cell>
          <cell r="E22">
            <v>0</v>
          </cell>
          <cell r="F22">
            <v>4</v>
          </cell>
          <cell r="G22">
            <v>13.99</v>
          </cell>
        </row>
        <row r="23">
          <cell r="A23" t="str">
            <v>CWB-WF021-RB-L</v>
          </cell>
          <cell r="B23" t="str">
            <v>CWB-WF021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14.99</v>
          </cell>
        </row>
        <row r="24">
          <cell r="A24" t="str">
            <v>BDB-WF212-CW-M</v>
          </cell>
          <cell r="B24" t="str">
            <v>BDB-WF212</v>
          </cell>
          <cell r="C24">
            <v>0</v>
          </cell>
          <cell r="D24">
            <v>2</v>
          </cell>
          <cell r="E24">
            <v>3</v>
          </cell>
          <cell r="F24">
            <v>5</v>
          </cell>
          <cell r="G24">
            <v>8.99</v>
          </cell>
        </row>
        <row r="25">
          <cell r="A25" t="str">
            <v>ZYL-FLQ59-YD-32</v>
          </cell>
          <cell r="B25" t="str">
            <v>ZYL-FLQ59</v>
          </cell>
          <cell r="C25">
            <v>0</v>
          </cell>
          <cell r="D25">
            <v>1</v>
          </cell>
          <cell r="E25">
            <v>1</v>
          </cell>
          <cell r="F25">
            <v>2</v>
          </cell>
          <cell r="G25">
            <v>8.81</v>
          </cell>
        </row>
        <row r="26">
          <cell r="A26" t="str">
            <v>WB-LUHM002-R0</v>
          </cell>
          <cell r="B26" t="str">
            <v>WB-LUHM002</v>
          </cell>
          <cell r="C26">
            <v>0</v>
          </cell>
          <cell r="D26">
            <v>0</v>
          </cell>
          <cell r="E26">
            <v>2</v>
          </cell>
          <cell r="F26">
            <v>2</v>
          </cell>
          <cell r="G26">
            <v>11</v>
          </cell>
        </row>
        <row r="27">
          <cell r="A27" t="str">
            <v>WB-LUHM002-E0</v>
          </cell>
          <cell r="B27" t="str">
            <v>WB-LUHM002</v>
          </cell>
          <cell r="C27">
            <v>0</v>
          </cell>
          <cell r="D27">
            <v>1</v>
          </cell>
          <cell r="E27">
            <v>1</v>
          </cell>
          <cell r="F27">
            <v>2</v>
          </cell>
          <cell r="G27">
            <v>11</v>
          </cell>
        </row>
        <row r="28">
          <cell r="A28" t="str">
            <v>SNT-LUHM001-GQ</v>
          </cell>
          <cell r="B28" t="str">
            <v>SNH-LUHM001</v>
          </cell>
          <cell r="C28">
            <v>0</v>
          </cell>
          <cell r="D28">
            <v>0</v>
          </cell>
          <cell r="E28">
            <v>0</v>
          </cell>
          <cell r="F28">
            <v>1</v>
          </cell>
          <cell r="G28">
            <v>14.99</v>
          </cell>
        </row>
        <row r="29">
          <cell r="A29" t="str">
            <v>BLT-LUHM000-CL</v>
          </cell>
          <cell r="B29" t="str">
            <v>BLT-LUHM000</v>
          </cell>
          <cell r="C29">
            <v>0</v>
          </cell>
          <cell r="D29">
            <v>1</v>
          </cell>
          <cell r="E29">
            <v>0</v>
          </cell>
          <cell r="F29">
            <v>2</v>
          </cell>
          <cell r="G29">
            <v>9.99</v>
          </cell>
        </row>
        <row r="30">
          <cell r="A30" t="str">
            <v>WB-LUHM002-G0</v>
          </cell>
          <cell r="B30" t="str">
            <v>WB-LUHM002</v>
          </cell>
          <cell r="C30">
            <v>0</v>
          </cell>
          <cell r="D30">
            <v>0</v>
          </cell>
          <cell r="E30">
            <v>2</v>
          </cell>
          <cell r="F30">
            <v>2</v>
          </cell>
          <cell r="G30">
            <v>11</v>
          </cell>
        </row>
        <row r="31">
          <cell r="A31" t="str">
            <v>RYMT-WF712-GO-L</v>
          </cell>
          <cell r="B31" t="str">
            <v>RYMT-WF712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  <cell r="G31">
            <v>16.66</v>
          </cell>
        </row>
        <row r="32">
          <cell r="A32" t="str">
            <v>LYQ-WF1010-BO-L</v>
          </cell>
          <cell r="B32" t="str">
            <v>LYQ-WF1010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9.99</v>
          </cell>
        </row>
        <row r="33">
          <cell r="A33" t="str">
            <v>CWB-WF021-QB-M</v>
          </cell>
          <cell r="B33" t="str">
            <v>CWB-WF021</v>
          </cell>
          <cell r="C33">
            <v>0</v>
          </cell>
          <cell r="D33">
            <v>0</v>
          </cell>
          <cell r="E33">
            <v>1</v>
          </cell>
          <cell r="F33">
            <v>1</v>
          </cell>
          <cell r="G33">
            <v>13.99</v>
          </cell>
        </row>
        <row r="34">
          <cell r="A34" t="str">
            <v>LYQ-WF1010-WO-M</v>
          </cell>
          <cell r="B34" t="str">
            <v>LYQ-WF1010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  <cell r="G34">
            <v>9.99</v>
          </cell>
        </row>
        <row r="35">
          <cell r="A35" t="str">
            <v>SNH-LUHM001-W0</v>
          </cell>
          <cell r="B35" t="str">
            <v>SNH-LUHM001</v>
          </cell>
          <cell r="C35">
            <v>0</v>
          </cell>
          <cell r="D35">
            <v>4</v>
          </cell>
          <cell r="E35">
            <v>3</v>
          </cell>
          <cell r="F35">
            <v>1</v>
          </cell>
          <cell r="G35">
            <v>7.99</v>
          </cell>
        </row>
        <row r="36">
          <cell r="A36" t="str">
            <v>BLT-WF125-COW</v>
          </cell>
          <cell r="B36" t="str">
            <v>BLT-WF125</v>
          </cell>
          <cell r="C36">
            <v>2</v>
          </cell>
          <cell r="D36">
            <v>0</v>
          </cell>
          <cell r="E36">
            <v>0</v>
          </cell>
          <cell r="F36">
            <v>1</v>
          </cell>
          <cell r="G36">
            <v>8.99</v>
          </cell>
        </row>
        <row r="37">
          <cell r="A37" t="str">
            <v>BDB-LUHM001-B0</v>
          </cell>
          <cell r="B37" t="str">
            <v>BDB-LUHM001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9.9</v>
          </cell>
        </row>
        <row r="38">
          <cell r="A38" t="str">
            <v>ZYL-FLQ2013-YO-36</v>
          </cell>
          <cell r="B38" t="str">
            <v>ZYL-FLQ2013</v>
          </cell>
          <cell r="C38">
            <v>0</v>
          </cell>
          <cell r="D38">
            <v>0</v>
          </cell>
          <cell r="E38">
            <v>0</v>
          </cell>
          <cell r="F38">
            <v>1</v>
          </cell>
          <cell r="G38">
            <v>14.99</v>
          </cell>
        </row>
        <row r="39">
          <cell r="A39" t="str">
            <v>ZYL-FLQ2013-RO-36</v>
          </cell>
          <cell r="B39" t="str">
            <v>ZYL-FLQ2013</v>
          </cell>
          <cell r="C39">
            <v>0</v>
          </cell>
          <cell r="D39">
            <v>0</v>
          </cell>
          <cell r="E39">
            <v>0</v>
          </cell>
          <cell r="F39">
            <v>1</v>
          </cell>
          <cell r="G39">
            <v>14.99</v>
          </cell>
        </row>
        <row r="40">
          <cell r="A40" t="str">
            <v>BLT-LUHM000-CR</v>
          </cell>
          <cell r="B40" t="str">
            <v>BLT-LUHM000</v>
          </cell>
          <cell r="C40">
            <v>0</v>
          </cell>
          <cell r="D40">
            <v>1</v>
          </cell>
          <cell r="E40">
            <v>1</v>
          </cell>
          <cell r="F40">
            <v>1</v>
          </cell>
          <cell r="G40">
            <v>9.99</v>
          </cell>
        </row>
        <row r="41">
          <cell r="A41" t="str">
            <v>LYQ-WF1010-PO-S</v>
          </cell>
          <cell r="B41" t="str">
            <v>LYQ-WF1010</v>
          </cell>
          <cell r="C41">
            <v>0</v>
          </cell>
          <cell r="D41">
            <v>0</v>
          </cell>
          <cell r="E41">
            <v>0</v>
          </cell>
          <cell r="F41">
            <v>2</v>
          </cell>
          <cell r="G41">
            <v>9.99</v>
          </cell>
        </row>
        <row r="42">
          <cell r="A42" t="str">
            <v>LYQ-WF1010-WO-2L</v>
          </cell>
          <cell r="B42" t="str">
            <v>LYQ-WF1010</v>
          </cell>
          <cell r="C42">
            <v>0</v>
          </cell>
          <cell r="D42">
            <v>0</v>
          </cell>
          <cell r="E42">
            <v>1</v>
          </cell>
          <cell r="F42">
            <v>2</v>
          </cell>
          <cell r="G42">
            <v>9.99</v>
          </cell>
        </row>
        <row r="43">
          <cell r="A43" t="str">
            <v>SQ-LUHM404</v>
          </cell>
          <cell r="B43" t="str">
            <v>SQ-LUHM</v>
          </cell>
          <cell r="C43">
            <v>5</v>
          </cell>
          <cell r="D43">
            <v>16</v>
          </cell>
          <cell r="E43">
            <v>7</v>
          </cell>
          <cell r="F43">
            <v>2</v>
          </cell>
          <cell r="G43">
            <v>21.99</v>
          </cell>
        </row>
        <row r="44">
          <cell r="A44" t="str">
            <v>LYQ-WF1010-BO-M</v>
          </cell>
          <cell r="B44" t="str">
            <v>LYQ-WF1010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 t="e">
            <v>#DIV/0!</v>
          </cell>
        </row>
        <row r="45">
          <cell r="A45" t="str">
            <v>LYQ-WF1010-KO-XL</v>
          </cell>
          <cell r="B45" t="str">
            <v>LYQ-WF1010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9.99</v>
          </cell>
        </row>
        <row r="46">
          <cell r="A46" t="str">
            <v>WB-LUHM002-B0</v>
          </cell>
          <cell r="B46" t="str">
            <v>WB-LUHM002</v>
          </cell>
          <cell r="C46">
            <v>1</v>
          </cell>
          <cell r="D46">
            <v>0</v>
          </cell>
          <cell r="E46">
            <v>2</v>
          </cell>
          <cell r="F46">
            <v>1</v>
          </cell>
          <cell r="G46">
            <v>11</v>
          </cell>
        </row>
        <row r="47">
          <cell r="A47" t="str">
            <v>LYQ-WF1010-BO-2X</v>
          </cell>
          <cell r="B47" t="str">
            <v>LYQ-WF1010</v>
          </cell>
          <cell r="C47">
            <v>0</v>
          </cell>
          <cell r="D47">
            <v>0</v>
          </cell>
          <cell r="E47">
            <v>0</v>
          </cell>
          <cell r="F47">
            <v>1</v>
          </cell>
          <cell r="G47">
            <v>9.99</v>
          </cell>
        </row>
        <row r="48">
          <cell r="A48" t="str">
            <v>QQ-LUHM-801-B0</v>
          </cell>
          <cell r="B48" t="str">
            <v>QQ-LUHM-801-B0</v>
          </cell>
          <cell r="C48">
            <v>0</v>
          </cell>
          <cell r="D48">
            <v>1</v>
          </cell>
          <cell r="E48">
            <v>0</v>
          </cell>
          <cell r="F48">
            <v>1</v>
          </cell>
          <cell r="G48">
            <v>8.99</v>
          </cell>
        </row>
        <row r="49">
          <cell r="A49" t="str">
            <v>BDB-LUHM001-Y0</v>
          </cell>
          <cell r="B49" t="str">
            <v>BDB-LUHM001</v>
          </cell>
          <cell r="C49">
            <v>0</v>
          </cell>
          <cell r="D49">
            <v>0</v>
          </cell>
          <cell r="E49">
            <v>2</v>
          </cell>
          <cell r="F49">
            <v>1</v>
          </cell>
          <cell r="G49">
            <v>9.9</v>
          </cell>
        </row>
        <row r="50">
          <cell r="A50" t="str">
            <v>LYQ-WF1010-NO-XS</v>
          </cell>
          <cell r="B50" t="str">
            <v>LYQ-WF1010</v>
          </cell>
          <cell r="C50">
            <v>0</v>
          </cell>
          <cell r="D50">
            <v>0</v>
          </cell>
          <cell r="E50">
            <v>0</v>
          </cell>
          <cell r="F50">
            <v>1</v>
          </cell>
          <cell r="G50">
            <v>9.99</v>
          </cell>
        </row>
        <row r="51">
          <cell r="A51" t="str">
            <v>RYMT-WF712-PO-L</v>
          </cell>
          <cell r="B51" t="str">
            <v>RYMT-WF712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13</v>
          </cell>
        </row>
        <row r="52">
          <cell r="A52" t="str">
            <v>SG-LUHM050-K0</v>
          </cell>
          <cell r="B52" t="str">
            <v>SG-LUHM050</v>
          </cell>
          <cell r="C52">
            <v>0</v>
          </cell>
          <cell r="D52">
            <v>0</v>
          </cell>
          <cell r="E52">
            <v>1</v>
          </cell>
          <cell r="F52">
            <v>1</v>
          </cell>
          <cell r="G52">
            <v>28</v>
          </cell>
        </row>
        <row r="53">
          <cell r="A53" t="str">
            <v>JS-LUHM100-KLT</v>
          </cell>
          <cell r="B53" t="str">
            <v>JS-LUHM100</v>
          </cell>
          <cell r="C53">
            <v>2</v>
          </cell>
          <cell r="D53">
            <v>2</v>
          </cell>
          <cell r="E53">
            <v>2</v>
          </cell>
          <cell r="F53">
            <v>2</v>
          </cell>
          <cell r="G53">
            <v>20</v>
          </cell>
        </row>
        <row r="54">
          <cell r="A54" t="str">
            <v>BDB-WF212-SH-M</v>
          </cell>
          <cell r="B54" t="str">
            <v>BDB-WF212</v>
          </cell>
          <cell r="C54">
            <v>0</v>
          </cell>
          <cell r="D54">
            <v>0</v>
          </cell>
          <cell r="E54">
            <v>3</v>
          </cell>
          <cell r="F54">
            <v>0</v>
          </cell>
          <cell r="G54">
            <v>8.99</v>
          </cell>
        </row>
        <row r="55">
          <cell r="A55" t="str">
            <v>ZYL-FLQ59-BY-32</v>
          </cell>
          <cell r="B55" t="str">
            <v>ZYL-FLQ59</v>
          </cell>
          <cell r="C55">
            <v>1</v>
          </cell>
          <cell r="D55">
            <v>1</v>
          </cell>
          <cell r="E55">
            <v>2</v>
          </cell>
          <cell r="F55">
            <v>0</v>
          </cell>
          <cell r="G55">
            <v>11.99</v>
          </cell>
        </row>
        <row r="56">
          <cell r="A56" t="str">
            <v>ZYL-FLQ59-TW-32</v>
          </cell>
          <cell r="B56" t="str">
            <v>ZYL-FLQ59</v>
          </cell>
          <cell r="C56">
            <v>1</v>
          </cell>
          <cell r="D56">
            <v>1</v>
          </cell>
          <cell r="E56">
            <v>2</v>
          </cell>
          <cell r="F56">
            <v>0</v>
          </cell>
          <cell r="G56">
            <v>13.23</v>
          </cell>
        </row>
        <row r="57">
          <cell r="A57" t="str">
            <v>ZDD-FLQ07-MC-28</v>
          </cell>
          <cell r="B57" t="str">
            <v>ZDD-FLQ07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15.99</v>
          </cell>
        </row>
        <row r="58">
          <cell r="A58" t="str">
            <v>SL-LULW818-PI-L</v>
          </cell>
          <cell r="B58" t="str">
            <v>SL-LULW812</v>
          </cell>
          <cell r="C58">
            <v>0</v>
          </cell>
          <cell r="D58">
            <v>0</v>
          </cell>
          <cell r="E58">
            <v>1</v>
          </cell>
          <cell r="F58">
            <v>0</v>
          </cell>
          <cell r="G58">
            <v>15.99</v>
          </cell>
        </row>
        <row r="59">
          <cell r="A59" t="str">
            <v>CWB-WF021-CF-S</v>
          </cell>
          <cell r="B59" t="str">
            <v>CWB-WF021</v>
          </cell>
          <cell r="C59">
            <v>0</v>
          </cell>
          <cell r="D59">
            <v>1</v>
          </cell>
          <cell r="E59">
            <v>2</v>
          </cell>
          <cell r="F59">
            <v>0</v>
          </cell>
          <cell r="G59">
            <v>11.99</v>
          </cell>
        </row>
        <row r="60">
          <cell r="A60" t="str">
            <v>ZDD-FLQ08-PO-28</v>
          </cell>
          <cell r="B60" t="str">
            <v>ZDD-FLQ08</v>
          </cell>
          <cell r="C60">
            <v>0</v>
          </cell>
          <cell r="D60">
            <v>2</v>
          </cell>
          <cell r="E60">
            <v>1</v>
          </cell>
          <cell r="F60">
            <v>0</v>
          </cell>
          <cell r="G60">
            <v>15.99</v>
          </cell>
        </row>
        <row r="61">
          <cell r="A61" t="str">
            <v>SL-LULW818-RO-L</v>
          </cell>
          <cell r="B61" t="str">
            <v>SL-LULW812</v>
          </cell>
          <cell r="C61">
            <v>2</v>
          </cell>
          <cell r="D61">
            <v>0</v>
          </cell>
          <cell r="E61">
            <v>1</v>
          </cell>
          <cell r="F61">
            <v>0</v>
          </cell>
          <cell r="G61">
            <v>11.9966666666667</v>
          </cell>
        </row>
        <row r="62">
          <cell r="A62" t="str">
            <v>CWB-WF021-RB-M</v>
          </cell>
          <cell r="B62" t="str">
            <v>CWB-WF021</v>
          </cell>
          <cell r="C62">
            <v>0</v>
          </cell>
          <cell r="D62">
            <v>0</v>
          </cell>
          <cell r="E62">
            <v>1</v>
          </cell>
          <cell r="F62">
            <v>0</v>
          </cell>
          <cell r="G62">
            <v>13.99</v>
          </cell>
        </row>
        <row r="63">
          <cell r="A63" t="str">
            <v>ZDD-FLQ08-GR-28</v>
          </cell>
          <cell r="B63" t="str">
            <v>ZDD-FLQ08</v>
          </cell>
          <cell r="C63">
            <v>0</v>
          </cell>
          <cell r="D63">
            <v>0</v>
          </cell>
          <cell r="E63">
            <v>1</v>
          </cell>
          <cell r="F63">
            <v>0</v>
          </cell>
          <cell r="G63">
            <v>10</v>
          </cell>
        </row>
        <row r="64">
          <cell r="A64" t="str">
            <v>SND-FLQ18-SJ-80</v>
          </cell>
          <cell r="B64" t="str">
            <v>SND-FLQ18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 t="e">
            <v>#DIV/0!</v>
          </cell>
        </row>
        <row r="65">
          <cell r="A65" t="str">
            <v>RYMT-WF712-PI-L</v>
          </cell>
          <cell r="B65" t="str">
            <v>RYMT-WF712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10</v>
          </cell>
        </row>
        <row r="66">
          <cell r="A66" t="str">
            <v>LYQ-WF1010-PO-M</v>
          </cell>
          <cell r="B66" t="str">
            <v>LYQ-WF1010</v>
          </cell>
          <cell r="C66">
            <v>0</v>
          </cell>
          <cell r="D66">
            <v>0</v>
          </cell>
          <cell r="E66">
            <v>1</v>
          </cell>
          <cell r="F66">
            <v>0</v>
          </cell>
          <cell r="G66">
            <v>9.99</v>
          </cell>
        </row>
        <row r="67">
          <cell r="A67" t="str">
            <v>GT-WFY1-E1</v>
          </cell>
          <cell r="B67" t="str">
            <v>GT-WFY1</v>
          </cell>
          <cell r="C67">
            <v>0</v>
          </cell>
          <cell r="D67">
            <v>1</v>
          </cell>
          <cell r="E67">
            <v>1</v>
          </cell>
          <cell r="F67">
            <v>0</v>
          </cell>
          <cell r="G67">
            <v>13.99</v>
          </cell>
        </row>
        <row r="68">
          <cell r="A68" t="str">
            <v>JS-LUHM100-XJQ</v>
          </cell>
          <cell r="B68" t="str">
            <v>JS-LUHM100</v>
          </cell>
          <cell r="C68">
            <v>0</v>
          </cell>
          <cell r="D68">
            <v>0</v>
          </cell>
          <cell r="E68">
            <v>1</v>
          </cell>
          <cell r="F68">
            <v>0</v>
          </cell>
          <cell r="G68">
            <v>15</v>
          </cell>
        </row>
        <row r="69">
          <cell r="A69" t="str">
            <v>ZDD-FLQ08-RO-28</v>
          </cell>
          <cell r="B69" t="str">
            <v>ZDD-FLQ08</v>
          </cell>
          <cell r="C69">
            <v>0</v>
          </cell>
          <cell r="D69">
            <v>0</v>
          </cell>
          <cell r="E69">
            <v>1</v>
          </cell>
          <cell r="F69">
            <v>0</v>
          </cell>
          <cell r="G69">
            <v>10</v>
          </cell>
        </row>
        <row r="70">
          <cell r="A70" t="str">
            <v>LYQ-WF1010-BO-S</v>
          </cell>
          <cell r="B70" t="str">
            <v>LYQ-WF1010</v>
          </cell>
          <cell r="C70">
            <v>0</v>
          </cell>
          <cell r="D70">
            <v>0</v>
          </cell>
          <cell r="E70">
            <v>1</v>
          </cell>
          <cell r="F70">
            <v>0</v>
          </cell>
          <cell r="G70">
            <v>9.99</v>
          </cell>
        </row>
        <row r="71">
          <cell r="A71" t="str">
            <v>BDB-WF212-SJS-M</v>
          </cell>
          <cell r="B71" t="str">
            <v>BDB-WF212</v>
          </cell>
          <cell r="C71">
            <v>0</v>
          </cell>
          <cell r="D71">
            <v>0</v>
          </cell>
          <cell r="E71">
            <v>1</v>
          </cell>
          <cell r="F71">
            <v>0</v>
          </cell>
          <cell r="G71">
            <v>9.77</v>
          </cell>
        </row>
        <row r="72">
          <cell r="A72" t="str">
            <v>WY-WF1225-BO-S</v>
          </cell>
          <cell r="B72" t="str">
            <v>WY-WF1225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 t="e">
            <v>#DIV/0!</v>
          </cell>
        </row>
        <row r="73">
          <cell r="A73" t="str">
            <v>YQ-LUHM-F114</v>
          </cell>
          <cell r="B73" t="str">
            <v>YQ-LUHM</v>
          </cell>
          <cell r="C73">
            <v>1</v>
          </cell>
          <cell r="D73">
            <v>2</v>
          </cell>
          <cell r="E73">
            <v>0</v>
          </cell>
          <cell r="F73">
            <v>0</v>
          </cell>
          <cell r="G73">
            <v>15.99</v>
          </cell>
        </row>
        <row r="74">
          <cell r="A74" t="str">
            <v>WY-WF1217-GR-L</v>
          </cell>
          <cell r="B74" t="str">
            <v>WY-WF1217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 t="e">
            <v>#DIV/0!</v>
          </cell>
        </row>
        <row r="75">
          <cell r="A75" t="str">
            <v>WY-WF1217-GR-S</v>
          </cell>
          <cell r="B75" t="str">
            <v>WY-WF1217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 t="e">
            <v>#DIV/0!</v>
          </cell>
        </row>
        <row r="76">
          <cell r="A76" t="str">
            <v>WY-WF1217-GR-M</v>
          </cell>
          <cell r="B76" t="str">
            <v>WY-WF1217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 t="e">
            <v>#DIV/0!</v>
          </cell>
        </row>
        <row r="77">
          <cell r="A77" t="str">
            <v>WY-WF1217-GR-XL</v>
          </cell>
          <cell r="B77" t="str">
            <v>WY-WF1217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 t="e">
            <v>#DIV/0!</v>
          </cell>
        </row>
        <row r="78">
          <cell r="A78" t="str">
            <v>WY-WF1217-KO-L</v>
          </cell>
          <cell r="B78" t="str">
            <v>WY-WF1217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 t="e">
            <v>#DIV/0!</v>
          </cell>
        </row>
        <row r="79">
          <cell r="A79" t="str">
            <v>WY-WF1217-KO-M</v>
          </cell>
          <cell r="B79" t="str">
            <v>WY-WF1217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 t="e">
            <v>#DIV/0!</v>
          </cell>
        </row>
        <row r="80">
          <cell r="A80" t="str">
            <v>WY-WF1217-KO-S</v>
          </cell>
          <cell r="B80" t="str">
            <v>WY-WF1217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 t="e">
            <v>#DIV/0!</v>
          </cell>
        </row>
        <row r="81">
          <cell r="A81" t="str">
            <v>WY-WF1217-KO-XL</v>
          </cell>
          <cell r="B81" t="str">
            <v>WY-WF1217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 t="e">
            <v>#DIV/0!</v>
          </cell>
        </row>
        <row r="82">
          <cell r="A82" t="str">
            <v>WY-WF1217-RO-M</v>
          </cell>
          <cell r="B82" t="str">
            <v>WY-WF1217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 t="e">
            <v>#DIV/0!</v>
          </cell>
        </row>
        <row r="83">
          <cell r="A83" t="str">
            <v>WY-WF1217-RO-S</v>
          </cell>
          <cell r="B83" t="str">
            <v>WY-WF1217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 t="e">
            <v>#DIV/0!</v>
          </cell>
        </row>
        <row r="84">
          <cell r="A84" t="str">
            <v>WY-WF1217-RO-XL</v>
          </cell>
          <cell r="B84" t="str">
            <v>WY-WF1217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 t="e">
            <v>#DIV/0!</v>
          </cell>
        </row>
        <row r="85">
          <cell r="A85" t="str">
            <v>WY-WF1217-YO-L</v>
          </cell>
          <cell r="B85" t="str">
            <v>WY-WF1217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 t="e">
            <v>#DIV/0!</v>
          </cell>
        </row>
        <row r="86">
          <cell r="A86" t="str">
            <v>WY-WF1217-YO-M</v>
          </cell>
          <cell r="B86" t="str">
            <v>WY-WF1217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e">
            <v>#DIV/0!</v>
          </cell>
        </row>
        <row r="87">
          <cell r="A87" t="str">
            <v>WY-WF1217-YO-S</v>
          </cell>
          <cell r="B87" t="str">
            <v>WY-WF1217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e">
            <v>#DIV/0!</v>
          </cell>
        </row>
        <row r="88">
          <cell r="A88" t="str">
            <v>WY-WF1217-YO-XL</v>
          </cell>
          <cell r="B88" t="str">
            <v>WY-WF1217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 t="e">
            <v>#DIV/0!</v>
          </cell>
        </row>
        <row r="89">
          <cell r="A89" t="str">
            <v>WY-WF1225-BO-L</v>
          </cell>
          <cell r="B89" t="str">
            <v>WY-WF1225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e">
            <v>#DIV/0!</v>
          </cell>
        </row>
        <row r="90">
          <cell r="A90" t="str">
            <v>WY-WF1225-BO-M</v>
          </cell>
          <cell r="B90" t="str">
            <v>WY-WF1225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 t="e">
            <v>#DIV/0!</v>
          </cell>
        </row>
        <row r="91">
          <cell r="A91" t="str">
            <v>WY-WF1225-BO-XL</v>
          </cell>
          <cell r="B91" t="str">
            <v>WY-WF1225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 t="e">
            <v>#DIV/0!</v>
          </cell>
        </row>
        <row r="92">
          <cell r="A92" t="str">
            <v>WY-WF1225-GR-L</v>
          </cell>
          <cell r="B92" t="str">
            <v>WY-WF1225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 t="e">
            <v>#DIV/0!</v>
          </cell>
        </row>
        <row r="93">
          <cell r="A93" t="str">
            <v>WY-WF1225-GR-M</v>
          </cell>
          <cell r="B93" t="str">
            <v>WY-WF1225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 t="e">
            <v>#DIV/0!</v>
          </cell>
        </row>
        <row r="94">
          <cell r="A94" t="str">
            <v>WY-WF1225-GR-S</v>
          </cell>
          <cell r="B94" t="str">
            <v>WY-WF1225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e">
            <v>#DIV/0!</v>
          </cell>
        </row>
        <row r="95">
          <cell r="A95" t="str">
            <v>WY-WF1225-GR-XL</v>
          </cell>
          <cell r="B95" t="str">
            <v>WY-WF1225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 t="e">
            <v>#DIV/0!</v>
          </cell>
        </row>
        <row r="96">
          <cell r="A96" t="str">
            <v>CWB-WF021-CF-XL</v>
          </cell>
          <cell r="B96" t="str">
            <v>CWB-WF021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e">
            <v>#DIV/0!</v>
          </cell>
        </row>
        <row r="97">
          <cell r="A97" t="str">
            <v>CWB-WF021-CF-L</v>
          </cell>
          <cell r="B97" t="str">
            <v>CWB-WF021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 t="e">
            <v>#DIV/0!</v>
          </cell>
        </row>
        <row r="98">
          <cell r="A98" t="str">
            <v>CWB-WF021-CF-M</v>
          </cell>
          <cell r="B98" t="str">
            <v>CWB-WF021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e">
            <v>#DIV/0!</v>
          </cell>
        </row>
        <row r="99">
          <cell r="A99" t="str">
            <v>CWB-WF021-RB-XL</v>
          </cell>
          <cell r="B99" t="str">
            <v>CWB-WF021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e">
            <v>#DIV/0!</v>
          </cell>
        </row>
        <row r="100">
          <cell r="A100" t="str">
            <v>CWB-WF021-RB-S</v>
          </cell>
          <cell r="B100" t="str">
            <v>CWB-WF021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 t="e">
            <v>#DIV/0!</v>
          </cell>
        </row>
        <row r="101">
          <cell r="A101" t="str">
            <v>CWB-WF021-QB-XL</v>
          </cell>
          <cell r="B101" t="str">
            <v>CWB-WF021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e">
            <v>#DIV/0!</v>
          </cell>
        </row>
        <row r="102">
          <cell r="A102" t="str">
            <v>CWB-WF021-QB-L</v>
          </cell>
          <cell r="B102" t="str">
            <v>CWB-WF021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e">
            <v>#DIV/0!</v>
          </cell>
        </row>
        <row r="103">
          <cell r="A103" t="str">
            <v>CWB-WF021-QB-S</v>
          </cell>
          <cell r="B103" t="str">
            <v>CWB-WF021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e">
            <v>#DIV/0!</v>
          </cell>
        </row>
        <row r="104">
          <cell r="A104" t="str">
            <v>ZDD-FLQ08-BO-28</v>
          </cell>
          <cell r="B104" t="str">
            <v>ZDD-FLQ08</v>
          </cell>
          <cell r="C104">
            <v>0</v>
          </cell>
          <cell r="D104">
            <v>1</v>
          </cell>
          <cell r="E104">
            <v>0</v>
          </cell>
          <cell r="F104">
            <v>0</v>
          </cell>
          <cell r="G104">
            <v>10</v>
          </cell>
        </row>
        <row r="105">
          <cell r="A105" t="str">
            <v>LYQ-WF1010-BO-XL</v>
          </cell>
          <cell r="B105" t="str">
            <v>LYQ-WF1010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e">
            <v>#DIV/0!</v>
          </cell>
        </row>
        <row r="106">
          <cell r="A106" t="str">
            <v>LYQ-WF1010-K0-2L</v>
          </cell>
          <cell r="B106" t="str">
            <v>LYQ-WF1010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e">
            <v>#DIV/0!</v>
          </cell>
        </row>
        <row r="107">
          <cell r="A107" t="str">
            <v>LYQ-WF1010-KO-L</v>
          </cell>
          <cell r="B107" t="str">
            <v>LYQ-WF1010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e">
            <v>#DIV/0!</v>
          </cell>
        </row>
        <row r="108">
          <cell r="A108" t="str">
            <v>LYQ-WF1010-KO-M</v>
          </cell>
          <cell r="B108" t="str">
            <v>LYQ-WF1010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e">
            <v>#DIV/0!</v>
          </cell>
        </row>
        <row r="109">
          <cell r="A109" t="str">
            <v>LYQ-WF1010-NO-2L</v>
          </cell>
          <cell r="B109" t="str">
            <v>LYQ-WF1010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e">
            <v>#DIV/0!</v>
          </cell>
        </row>
        <row r="110">
          <cell r="A110" t="str">
            <v>LYQ-WF1010-NO-L</v>
          </cell>
          <cell r="B110" t="str">
            <v>LYQ-WF1010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 t="e">
            <v>#DIV/0!</v>
          </cell>
        </row>
        <row r="111">
          <cell r="A111" t="str">
            <v>LYQ-WF1010-NO-S</v>
          </cell>
          <cell r="B111" t="str">
            <v>LYQ-WF1010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 t="e">
            <v>#DIV/0!</v>
          </cell>
        </row>
        <row r="112">
          <cell r="A112" t="str">
            <v>LYQ-WF1010-NO-XL</v>
          </cell>
          <cell r="B112" t="str">
            <v>LYQ-WF1010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e">
            <v>#DIV/0!</v>
          </cell>
        </row>
        <row r="113">
          <cell r="A113" t="str">
            <v>LYQ-WF1010-PO-2L</v>
          </cell>
          <cell r="B113" t="str">
            <v>LYQ-WF1010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 t="e">
            <v>#DIV/0!</v>
          </cell>
        </row>
        <row r="114">
          <cell r="A114" t="str">
            <v>LYQ-WF1010-PO-L</v>
          </cell>
          <cell r="B114" t="str">
            <v>LYQ-WF1010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e">
            <v>#DIV/0!</v>
          </cell>
        </row>
        <row r="115">
          <cell r="A115" t="str">
            <v>LYQ-WF1010-PO-XL</v>
          </cell>
          <cell r="B115" t="str">
            <v>LYQ-WF1010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e">
            <v>#DIV/0!</v>
          </cell>
        </row>
        <row r="116">
          <cell r="A116" t="str">
            <v>LYQ-WF1010-WO-XL</v>
          </cell>
          <cell r="B116" t="str">
            <v>LYQ-WF1010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e">
            <v>#DIV/0!</v>
          </cell>
        </row>
        <row r="117">
          <cell r="A117" t="str">
            <v>QLQ-LUHM121-WO</v>
          </cell>
          <cell r="B117" t="str">
            <v>QLQ-LUHM121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QLQ-LUHM121-GM</v>
          </cell>
          <cell r="B118" t="str">
            <v>QLQ-LUHM121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e">
            <v>#DIV/0!</v>
          </cell>
        </row>
        <row r="119">
          <cell r="A119" t="str">
            <v>QLQ-LUHM121-G0</v>
          </cell>
          <cell r="B119" t="str">
            <v>QLQ-LUHM121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e">
            <v>#DIV/0!</v>
          </cell>
        </row>
        <row r="120">
          <cell r="A120" t="str">
            <v>CLP-FLQ43-CS100-100</v>
          </cell>
          <cell r="B120" t="str">
            <v>CLP-FLQ43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e">
            <v>#DIV/0!</v>
          </cell>
        </row>
        <row r="121">
          <cell r="A121" t="str">
            <v>CLP-FLQ43-CS60-60</v>
          </cell>
          <cell r="B121" t="str">
            <v>CLP-FLQ43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 t="e">
            <v>#DIV/0!</v>
          </cell>
        </row>
        <row r="122">
          <cell r="A122" t="str">
            <v>SDSZH-RG</v>
          </cell>
          <cell r="B122" t="str">
            <v>SDSZH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 t="e">
            <v>#DIV/0!</v>
          </cell>
        </row>
        <row r="123">
          <cell r="A123" t="str">
            <v>SQ-LUHM204</v>
          </cell>
          <cell r="B123" t="str">
            <v>SQ-LUHM</v>
          </cell>
          <cell r="C123">
            <v>0</v>
          </cell>
          <cell r="D123">
            <v>1</v>
          </cell>
          <cell r="E123">
            <v>0</v>
          </cell>
          <cell r="F123">
            <v>0</v>
          </cell>
          <cell r="G123">
            <v>15.99</v>
          </cell>
        </row>
        <row r="124">
          <cell r="A124" t="str">
            <v>ZB-WF029-WO-L</v>
          </cell>
          <cell r="B124" t="str">
            <v>ZB-WF029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 t="e">
            <v>#DIV/0!</v>
          </cell>
        </row>
        <row r="125">
          <cell r="A125" t="str">
            <v>ZB-WF029-CF-L</v>
          </cell>
          <cell r="B125" t="str">
            <v>ZB-WF029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 t="e">
            <v>#DIV/0!</v>
          </cell>
        </row>
        <row r="126">
          <cell r="A126" t="str">
            <v>XK-YIWUJS2-BR-6IN</v>
          </cell>
          <cell r="B126" t="str">
            <v>XK-YIWUJS2</v>
          </cell>
          <cell r="C126">
            <v>0</v>
          </cell>
          <cell r="D126">
            <v>1</v>
          </cell>
          <cell r="E126">
            <v>0</v>
          </cell>
          <cell r="F126">
            <v>0</v>
          </cell>
          <cell r="G126">
            <v>12.99</v>
          </cell>
        </row>
        <row r="127">
          <cell r="A127" t="str">
            <v>BLT-LUHM000-GL</v>
          </cell>
          <cell r="B127" t="str">
            <v>BLT-LUHM000</v>
          </cell>
          <cell r="C127">
            <v>0</v>
          </cell>
          <cell r="D127">
            <v>1</v>
          </cell>
          <cell r="E127">
            <v>0</v>
          </cell>
          <cell r="F127">
            <v>0</v>
          </cell>
          <cell r="G127">
            <v>9.99</v>
          </cell>
        </row>
        <row r="128">
          <cell r="A128" t="str">
            <v>BLT-LUHM819-W0</v>
          </cell>
          <cell r="B128" t="str">
            <v>BLT-LUHM819</v>
          </cell>
          <cell r="C128">
            <v>0</v>
          </cell>
          <cell r="D128">
            <v>1</v>
          </cell>
          <cell r="E128">
            <v>0</v>
          </cell>
          <cell r="F128">
            <v>0</v>
          </cell>
          <cell r="G128">
            <v>8.99</v>
          </cell>
        </row>
        <row r="129">
          <cell r="A129" t="str">
            <v>GT-WFY1-E3</v>
          </cell>
          <cell r="B129" t="str">
            <v>GT-WFY1</v>
          </cell>
          <cell r="C129">
            <v>0</v>
          </cell>
          <cell r="D129">
            <v>1</v>
          </cell>
          <cell r="E129">
            <v>0</v>
          </cell>
          <cell r="F129">
            <v>0</v>
          </cell>
          <cell r="G129">
            <v>13.99</v>
          </cell>
        </row>
        <row r="130">
          <cell r="A130" t="str">
            <v>GT-WFTFGT200-213</v>
          </cell>
          <cell r="B130" t="str">
            <v>GT-WFTFGT200</v>
          </cell>
          <cell r="C130">
            <v>3</v>
          </cell>
          <cell r="D130">
            <v>1</v>
          </cell>
          <cell r="E130">
            <v>0</v>
          </cell>
          <cell r="F130">
            <v>0</v>
          </cell>
          <cell r="G130">
            <v>10</v>
          </cell>
        </row>
        <row r="131">
          <cell r="A131" t="str">
            <v>GT-WFTFGT200-216</v>
          </cell>
          <cell r="B131" t="str">
            <v>GT-WFTFGT200</v>
          </cell>
          <cell r="C131">
            <v>0</v>
          </cell>
          <cell r="D131">
            <v>1</v>
          </cell>
          <cell r="E131">
            <v>0</v>
          </cell>
          <cell r="F131">
            <v>0</v>
          </cell>
          <cell r="G131">
            <v>10</v>
          </cell>
        </row>
        <row r="132">
          <cell r="A132" t="str">
            <v>SG-LUHM100-K0</v>
          </cell>
          <cell r="B132" t="str">
            <v>SG-LUHM100</v>
          </cell>
          <cell r="C132">
            <v>0</v>
          </cell>
          <cell r="D132">
            <v>1</v>
          </cell>
          <cell r="E132">
            <v>0</v>
          </cell>
          <cell r="F132">
            <v>0</v>
          </cell>
          <cell r="G132">
            <v>40</v>
          </cell>
        </row>
        <row r="133">
          <cell r="A133" t="str">
            <v>ZYL-FLQ59-TZ-32</v>
          </cell>
          <cell r="B133" t="str">
            <v>ZYL-FLQ59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13.99</v>
          </cell>
        </row>
        <row r="134">
          <cell r="A134" t="str">
            <v>HYD-WF7995-BO-XL</v>
          </cell>
          <cell r="B134" t="str">
            <v>HYD-WF7995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10</v>
          </cell>
        </row>
        <row r="135">
          <cell r="A135" t="str">
            <v>BLT-LUHM000-GR</v>
          </cell>
          <cell r="B135" t="str">
            <v>BLT-LUHM000</v>
          </cell>
          <cell r="C135">
            <v>1</v>
          </cell>
          <cell r="D135">
            <v>0</v>
          </cell>
          <cell r="E135">
            <v>0</v>
          </cell>
          <cell r="F135">
            <v>0</v>
          </cell>
          <cell r="G135">
            <v>9.99</v>
          </cell>
        </row>
        <row r="136">
          <cell r="A136" t="str">
            <v>GT-WFTFGT200-214</v>
          </cell>
          <cell r="B136" t="str">
            <v>GT-WFTFGT200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13.99</v>
          </cell>
        </row>
        <row r="137">
          <cell r="A137" t="str">
            <v>ZYL-FLQ06-BF-40</v>
          </cell>
          <cell r="B137" t="str">
            <v>ZYL-FLQ06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e">
            <v>#DIV/0!</v>
          </cell>
        </row>
        <row r="138">
          <cell r="A138" t="str">
            <v>GT-WFY1-E2</v>
          </cell>
          <cell r="B138" t="str">
            <v>GT-WFY1</v>
          </cell>
          <cell r="C138">
            <v>1</v>
          </cell>
          <cell r="D138">
            <v>0</v>
          </cell>
          <cell r="E138">
            <v>0</v>
          </cell>
          <cell r="F138">
            <v>0</v>
          </cell>
          <cell r="G138">
            <v>10</v>
          </cell>
        </row>
        <row r="139">
          <cell r="A139" t="str">
            <v>JS-LUHM100-ZFX</v>
          </cell>
          <cell r="B139" t="str">
            <v>JS-LUHM100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 t="e">
            <v>#DIV/0!</v>
          </cell>
        </row>
        <row r="368">
          <cell r="A368" t="str">
            <v>ZYL-FLQ59-BF-32</v>
          </cell>
        </row>
        <row r="408">
          <cell r="A408" t="str">
            <v>ZYL-FLQ59-BF-32</v>
          </cell>
        </row>
        <row r="450">
          <cell r="A450" t="str">
            <v>ZYL-FLQ06-TZ-40</v>
          </cell>
        </row>
        <row r="502">
          <cell r="A502" t="str">
            <v>GT-WFTFGT200-220</v>
          </cell>
        </row>
        <row r="610">
          <cell r="A610" t="str">
            <v>CWB-WF021-QB-M</v>
          </cell>
        </row>
        <row r="613">
          <cell r="A613" t="str">
            <v>ZDD-FLQ08-GR-28</v>
          </cell>
        </row>
        <row r="646">
          <cell r="A646" t="str">
            <v>SNH-LUHM001-G0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HYD-WF7995</v>
          </cell>
          <cell r="B2">
            <v>10</v>
          </cell>
        </row>
        <row r="3">
          <cell r="A3" t="str">
            <v>SQ-LUHM</v>
          </cell>
          <cell r="B3">
            <v>20.7221428571429</v>
          </cell>
        </row>
        <row r="4">
          <cell r="A4" t="str">
            <v>ZYL-FLQ06</v>
          </cell>
          <cell r="B4">
            <v>13.5946511627907</v>
          </cell>
        </row>
        <row r="5">
          <cell r="A5" t="str">
            <v>ZYL-FLQ59</v>
          </cell>
          <cell r="B5">
            <v>13.0825714285714</v>
          </cell>
        </row>
        <row r="6">
          <cell r="A6" t="str">
            <v>SB-LUHM100</v>
          </cell>
          <cell r="B6">
            <v>13.2828571428571</v>
          </cell>
        </row>
        <row r="7">
          <cell r="A7" t="str">
            <v>BDB-WF212</v>
          </cell>
          <cell r="B7">
            <v>9.40809523809524</v>
          </cell>
        </row>
        <row r="8">
          <cell r="A8" t="str">
            <v>YQ-LUHM</v>
          </cell>
          <cell r="B8">
            <v>12.79</v>
          </cell>
        </row>
        <row r="9">
          <cell r="A9" t="str">
            <v>GT-WFTFGT200</v>
          </cell>
          <cell r="B9">
            <v>12.3275</v>
          </cell>
        </row>
        <row r="10">
          <cell r="A10" t="str">
            <v>SB-LUHM101</v>
          </cell>
          <cell r="B10">
            <v>13.99</v>
          </cell>
        </row>
        <row r="11">
          <cell r="A11" t="str">
            <v>BA-FLQ02</v>
          </cell>
          <cell r="B11">
            <v>16.59</v>
          </cell>
        </row>
        <row r="12">
          <cell r="A12" t="str">
            <v>ZYL-FLQ2013</v>
          </cell>
          <cell r="B12">
            <v>14.99</v>
          </cell>
        </row>
        <row r="13">
          <cell r="A13" t="str">
            <v>GSQPQ-WF2012</v>
          </cell>
          <cell r="B13">
            <v>8.99</v>
          </cell>
        </row>
        <row r="14">
          <cell r="A14" t="str">
            <v>BLT-WF125</v>
          </cell>
          <cell r="B14">
            <v>8.99</v>
          </cell>
        </row>
        <row r="15">
          <cell r="A15" t="str">
            <v>XK-YIWUJS2</v>
          </cell>
          <cell r="B15">
            <v>13.8471428571429</v>
          </cell>
        </row>
        <row r="16">
          <cell r="A16" t="str">
            <v>CWB-WF021</v>
          </cell>
          <cell r="B16">
            <v>13.2757142857143</v>
          </cell>
        </row>
        <row r="17">
          <cell r="A17" t="str">
            <v>WB-LUHM002</v>
          </cell>
          <cell r="B17">
            <v>11</v>
          </cell>
        </row>
        <row r="18">
          <cell r="A18" t="str">
            <v>SNH-LUHM001</v>
          </cell>
          <cell r="B18">
            <v>8.76777777777778</v>
          </cell>
        </row>
        <row r="19">
          <cell r="A19" t="str">
            <v>BLT-LUHM000</v>
          </cell>
          <cell r="B19">
            <v>9.99</v>
          </cell>
        </row>
        <row r="20">
          <cell r="A20" t="str">
            <v>RYMT-WF712</v>
          </cell>
          <cell r="B20">
            <v>14.08</v>
          </cell>
        </row>
        <row r="21">
          <cell r="A21" t="str">
            <v>LYQ-WF1010</v>
          </cell>
          <cell r="B21">
            <v>9.99</v>
          </cell>
        </row>
        <row r="22">
          <cell r="A22" t="str">
            <v>BDB-LUHM001</v>
          </cell>
          <cell r="B22">
            <v>9.9</v>
          </cell>
        </row>
        <row r="23">
          <cell r="A23" t="str">
            <v>QQ-LUHM-801-B0</v>
          </cell>
          <cell r="B23">
            <v>8.99</v>
          </cell>
        </row>
        <row r="24">
          <cell r="A24" t="str">
            <v>SG-LUHM050</v>
          </cell>
          <cell r="B24">
            <v>28</v>
          </cell>
        </row>
        <row r="25">
          <cell r="A25" t="str">
            <v>JS-LUHM100</v>
          </cell>
          <cell r="B25">
            <v>19.4444444444444</v>
          </cell>
        </row>
        <row r="26">
          <cell r="A26" t="str">
            <v>ZDD-FLQ07</v>
          </cell>
          <cell r="B26">
            <v>15.99</v>
          </cell>
        </row>
        <row r="27">
          <cell r="A27" t="str">
            <v>SL-LULW812</v>
          </cell>
          <cell r="B27">
            <v>12.995</v>
          </cell>
        </row>
        <row r="28">
          <cell r="A28" t="str">
            <v>ZDD-FLQ08</v>
          </cell>
          <cell r="B28">
            <v>12.995</v>
          </cell>
        </row>
        <row r="29">
          <cell r="A29" t="str">
            <v>SND-FLQ18</v>
          </cell>
          <cell r="B29" t="e">
            <v>#DIV/0!</v>
          </cell>
        </row>
        <row r="30">
          <cell r="A30" t="str">
            <v>GT-WFY1</v>
          </cell>
          <cell r="B30">
            <v>12.9925</v>
          </cell>
        </row>
        <row r="31">
          <cell r="A31" t="str">
            <v>WY-WF1225</v>
          </cell>
          <cell r="B31" t="e">
            <v>#DIV/0!</v>
          </cell>
        </row>
        <row r="32">
          <cell r="A32" t="str">
            <v>WY-WF1217</v>
          </cell>
          <cell r="B32" t="e">
            <v>#DIV/0!</v>
          </cell>
        </row>
        <row r="33">
          <cell r="A33" t="str">
            <v>QLQ-LUHM121</v>
          </cell>
          <cell r="B33" t="e">
            <v>#DIV/0!</v>
          </cell>
        </row>
        <row r="34">
          <cell r="A34" t="str">
            <v>CLP-FLQ43</v>
          </cell>
          <cell r="B34" t="e">
            <v>#DIV/0!</v>
          </cell>
        </row>
        <row r="35">
          <cell r="A35" t="str">
            <v>SDSZH</v>
          </cell>
          <cell r="B35" t="e">
            <v>#DIV/0!</v>
          </cell>
        </row>
        <row r="36">
          <cell r="A36" t="str">
            <v>ZB-WF029</v>
          </cell>
          <cell r="B36" t="e">
            <v>#DIV/0!</v>
          </cell>
        </row>
        <row r="37">
          <cell r="A37" t="str">
            <v>BLT-LUHM819</v>
          </cell>
          <cell r="B37">
            <v>8.99</v>
          </cell>
        </row>
        <row r="38">
          <cell r="A38" t="str">
            <v>SG-LUHM100</v>
          </cell>
          <cell r="B38">
            <v>40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B075R4RWDL</v>
          </cell>
          <cell r="B2">
            <v>75</v>
          </cell>
          <cell r="C2">
            <v>89</v>
          </cell>
          <cell r="D2">
            <v>63</v>
          </cell>
          <cell r="E2">
            <v>58</v>
          </cell>
        </row>
        <row r="3">
          <cell r="A3" t="str">
            <v>B0772JDLB6</v>
          </cell>
          <cell r="B3">
            <v>1</v>
          </cell>
          <cell r="C3">
            <v>5</v>
          </cell>
          <cell r="D3">
            <v>31</v>
          </cell>
          <cell r="E3">
            <v>31</v>
          </cell>
        </row>
        <row r="4">
          <cell r="A4" t="str">
            <v>B07DVK4HKX</v>
          </cell>
          <cell r="B4">
            <v>0</v>
          </cell>
          <cell r="C4">
            <v>0</v>
          </cell>
          <cell r="D4">
            <v>0</v>
          </cell>
          <cell r="E4">
            <v>42</v>
          </cell>
        </row>
        <row r="5">
          <cell r="A5" t="str">
            <v>B0772QKV4C</v>
          </cell>
          <cell r="B5">
            <v>0</v>
          </cell>
          <cell r="C5">
            <v>0</v>
          </cell>
          <cell r="D5">
            <v>16</v>
          </cell>
          <cell r="E5">
            <v>42</v>
          </cell>
        </row>
        <row r="6">
          <cell r="A6" t="str">
            <v>B07DKV16HS</v>
          </cell>
          <cell r="B6">
            <v>0</v>
          </cell>
          <cell r="C6">
            <v>7</v>
          </cell>
          <cell r="D6">
            <v>10</v>
          </cell>
          <cell r="E6">
            <v>45</v>
          </cell>
        </row>
        <row r="7">
          <cell r="A7" t="str">
            <v>B078JK429P</v>
          </cell>
          <cell r="B7">
            <v>27</v>
          </cell>
          <cell r="C7">
            <v>27</v>
          </cell>
          <cell r="D7">
            <v>16</v>
          </cell>
          <cell r="E7">
            <v>23</v>
          </cell>
        </row>
        <row r="8">
          <cell r="A8" t="str">
            <v>B07D4GDZTQ</v>
          </cell>
          <cell r="B8">
            <v>12</v>
          </cell>
          <cell r="C8">
            <v>6</v>
          </cell>
          <cell r="D8">
            <v>12</v>
          </cell>
          <cell r="E8">
            <v>9</v>
          </cell>
        </row>
        <row r="9">
          <cell r="A9" t="str">
            <v>B075N3N55V</v>
          </cell>
          <cell r="B9">
            <v>5</v>
          </cell>
          <cell r="C9">
            <v>18</v>
          </cell>
          <cell r="D9">
            <v>38</v>
          </cell>
          <cell r="E9">
            <v>50</v>
          </cell>
        </row>
        <row r="10">
          <cell r="A10" t="str">
            <v>B075R4XJZV</v>
          </cell>
          <cell r="B10">
            <v>43</v>
          </cell>
          <cell r="C10">
            <v>48</v>
          </cell>
          <cell r="D10">
            <v>42</v>
          </cell>
          <cell r="E10">
            <v>19</v>
          </cell>
        </row>
        <row r="11">
          <cell r="A11" t="str">
            <v>B075RCQD9P</v>
          </cell>
          <cell r="B11">
            <v>32</v>
          </cell>
          <cell r="C11">
            <v>37</v>
          </cell>
          <cell r="D11">
            <v>29</v>
          </cell>
          <cell r="E11">
            <v>39</v>
          </cell>
        </row>
        <row r="12">
          <cell r="A12" t="str">
            <v>B076J6VFSP</v>
          </cell>
          <cell r="B12">
            <v>24</v>
          </cell>
          <cell r="C12">
            <v>57</v>
          </cell>
          <cell r="D12">
            <v>32</v>
          </cell>
          <cell r="E12">
            <v>26</v>
          </cell>
        </row>
        <row r="13">
          <cell r="A13" t="str">
            <v>B077XVBFB9</v>
          </cell>
          <cell r="B13">
            <v>0</v>
          </cell>
          <cell r="C13">
            <v>0</v>
          </cell>
          <cell r="D13">
            <v>5</v>
          </cell>
          <cell r="E13">
            <v>6</v>
          </cell>
        </row>
        <row r="14">
          <cell r="A14" t="str">
            <v>B0785GYYL8</v>
          </cell>
          <cell r="B14">
            <v>0</v>
          </cell>
          <cell r="C14">
            <v>0</v>
          </cell>
          <cell r="D14">
            <v>13</v>
          </cell>
          <cell r="E14">
            <v>21</v>
          </cell>
        </row>
        <row r="15">
          <cell r="A15" t="str">
            <v>B0785HJVGH</v>
          </cell>
          <cell r="B15">
            <v>0</v>
          </cell>
          <cell r="C15">
            <v>0</v>
          </cell>
          <cell r="D15">
            <v>8</v>
          </cell>
          <cell r="E15">
            <v>14</v>
          </cell>
        </row>
        <row r="16">
          <cell r="A16" t="str">
            <v>B078JHC2WQ</v>
          </cell>
          <cell r="B16">
            <v>8</v>
          </cell>
          <cell r="C16">
            <v>7</v>
          </cell>
          <cell r="D16">
            <v>18</v>
          </cell>
          <cell r="E16">
            <v>15</v>
          </cell>
        </row>
        <row r="17">
          <cell r="A17" t="str">
            <v>B078JQ3KLW</v>
          </cell>
          <cell r="B17">
            <v>36</v>
          </cell>
          <cell r="C17">
            <v>48</v>
          </cell>
          <cell r="D17">
            <v>64</v>
          </cell>
          <cell r="E17">
            <v>65</v>
          </cell>
        </row>
        <row r="18">
          <cell r="A18" t="str">
            <v>B07BV8R441</v>
          </cell>
          <cell r="B18">
            <v>24</v>
          </cell>
          <cell r="C18">
            <v>30</v>
          </cell>
          <cell r="D18">
            <v>17</v>
          </cell>
          <cell r="E18">
            <v>13</v>
          </cell>
        </row>
        <row r="19">
          <cell r="A19" t="str">
            <v>B07CQJ8G3M</v>
          </cell>
          <cell r="B19">
            <v>12</v>
          </cell>
          <cell r="C19">
            <v>7</v>
          </cell>
          <cell r="D19">
            <v>11</v>
          </cell>
          <cell r="E19">
            <v>11</v>
          </cell>
        </row>
        <row r="20">
          <cell r="A20" t="str">
            <v>B07DKT41YL</v>
          </cell>
          <cell r="B20">
            <v>43</v>
          </cell>
          <cell r="C20">
            <v>52</v>
          </cell>
          <cell r="D20">
            <v>18</v>
          </cell>
          <cell r="E20">
            <v>11</v>
          </cell>
        </row>
        <row r="21">
          <cell r="A21" t="str">
            <v>B07DKWSJ1Z</v>
          </cell>
          <cell r="B21">
            <v>6</v>
          </cell>
          <cell r="C21">
            <v>21</v>
          </cell>
          <cell r="D21">
            <v>12</v>
          </cell>
          <cell r="E21">
            <v>11</v>
          </cell>
        </row>
        <row r="22">
          <cell r="A22" t="str">
            <v>B07DVBN2KT</v>
          </cell>
          <cell r="B22">
            <v>0</v>
          </cell>
          <cell r="C22">
            <v>7</v>
          </cell>
          <cell r="D22">
            <v>53</v>
          </cell>
          <cell r="E22">
            <v>26</v>
          </cell>
        </row>
        <row r="23">
          <cell r="A23" t="str">
            <v>B07DVGSHDP</v>
          </cell>
          <cell r="B23">
            <v>12</v>
          </cell>
          <cell r="C23">
            <v>9</v>
          </cell>
          <cell r="D23">
            <v>86</v>
          </cell>
          <cell r="E23">
            <v>82</v>
          </cell>
        </row>
        <row r="24">
          <cell r="A24" t="str">
            <v>B07DVHDT1N</v>
          </cell>
          <cell r="B24">
            <v>0</v>
          </cell>
          <cell r="C24">
            <v>0</v>
          </cell>
          <cell r="D24">
            <v>14</v>
          </cell>
          <cell r="E24">
            <v>19</v>
          </cell>
        </row>
        <row r="25">
          <cell r="A25" t="str">
            <v>B07DVK765T</v>
          </cell>
          <cell r="B25">
            <v>14</v>
          </cell>
          <cell r="C25">
            <v>11</v>
          </cell>
          <cell r="D25">
            <v>15</v>
          </cell>
          <cell r="E25">
            <v>16</v>
          </cell>
        </row>
        <row r="26">
          <cell r="A26" t="str">
            <v>B07F63TBYG</v>
          </cell>
          <cell r="B26">
            <v>8</v>
          </cell>
          <cell r="C26">
            <v>10</v>
          </cell>
          <cell r="D26">
            <v>15</v>
          </cell>
          <cell r="E26">
            <v>2</v>
          </cell>
        </row>
        <row r="27">
          <cell r="A27" t="str">
            <v>B07FJQJ4XP</v>
          </cell>
          <cell r="B27">
            <v>0</v>
          </cell>
          <cell r="C27">
            <v>0</v>
          </cell>
          <cell r="D27">
            <v>18</v>
          </cell>
          <cell r="E27">
            <v>21</v>
          </cell>
        </row>
        <row r="28">
          <cell r="A28" t="str">
            <v>B075N1KNHS</v>
          </cell>
          <cell r="B28">
            <v>8</v>
          </cell>
          <cell r="C28">
            <v>1</v>
          </cell>
          <cell r="D28">
            <v>11</v>
          </cell>
          <cell r="E28">
            <v>5</v>
          </cell>
        </row>
        <row r="29">
          <cell r="A29" t="str">
            <v>B077264LR6</v>
          </cell>
          <cell r="B29">
            <v>14</v>
          </cell>
          <cell r="C29">
            <v>12</v>
          </cell>
          <cell r="D29">
            <v>22</v>
          </cell>
          <cell r="E29">
            <v>4</v>
          </cell>
        </row>
        <row r="30">
          <cell r="A30" t="str">
            <v>B0772934HW</v>
          </cell>
          <cell r="B30">
            <v>14</v>
          </cell>
          <cell r="C30">
            <v>21</v>
          </cell>
          <cell r="D30">
            <v>9</v>
          </cell>
          <cell r="E30">
            <v>7</v>
          </cell>
        </row>
        <row r="31">
          <cell r="A31" t="str">
            <v>B0772TKSHM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</row>
        <row r="32">
          <cell r="A32" t="str">
            <v>B0779RT3RQ</v>
          </cell>
          <cell r="B32">
            <v>0</v>
          </cell>
          <cell r="C32">
            <v>1</v>
          </cell>
          <cell r="D32">
            <v>5</v>
          </cell>
          <cell r="E32">
            <v>6</v>
          </cell>
        </row>
        <row r="33">
          <cell r="A33" t="str">
            <v>B077B51CYY</v>
          </cell>
          <cell r="B33">
            <v>0</v>
          </cell>
          <cell r="C33">
            <v>0</v>
          </cell>
          <cell r="D33">
            <v>11</v>
          </cell>
          <cell r="E33">
            <v>5</v>
          </cell>
        </row>
        <row r="34">
          <cell r="A34" t="str">
            <v>B077SZ4KTN</v>
          </cell>
          <cell r="B34">
            <v>8</v>
          </cell>
          <cell r="C34">
            <v>7</v>
          </cell>
          <cell r="D34">
            <v>11</v>
          </cell>
          <cell r="E34">
            <v>8</v>
          </cell>
        </row>
        <row r="35">
          <cell r="A35" t="str">
            <v>B077XB44XX</v>
          </cell>
          <cell r="B35">
            <v>0</v>
          </cell>
          <cell r="C35">
            <v>0</v>
          </cell>
          <cell r="D35">
            <v>13</v>
          </cell>
          <cell r="E35">
            <v>17</v>
          </cell>
        </row>
        <row r="36">
          <cell r="A36" t="str">
            <v>B077XNM9W2</v>
          </cell>
          <cell r="B36">
            <v>0</v>
          </cell>
          <cell r="C36">
            <v>0</v>
          </cell>
          <cell r="D36">
            <v>12</v>
          </cell>
          <cell r="E36">
            <v>9</v>
          </cell>
        </row>
        <row r="37">
          <cell r="A37" t="str">
            <v>B077XNMC3N</v>
          </cell>
          <cell r="B37">
            <v>0</v>
          </cell>
          <cell r="C37">
            <v>0</v>
          </cell>
          <cell r="D37">
            <v>8</v>
          </cell>
          <cell r="E37">
            <v>55</v>
          </cell>
        </row>
        <row r="38">
          <cell r="A38" t="str">
            <v>B077XRZGV1</v>
          </cell>
          <cell r="B38">
            <v>0</v>
          </cell>
          <cell r="C38">
            <v>1</v>
          </cell>
          <cell r="D38">
            <v>7</v>
          </cell>
          <cell r="E38">
            <v>8</v>
          </cell>
        </row>
        <row r="39">
          <cell r="A39" t="str">
            <v>B077XSWR8G</v>
          </cell>
          <cell r="B39">
            <v>0</v>
          </cell>
          <cell r="C39">
            <v>0</v>
          </cell>
          <cell r="D39">
            <v>6</v>
          </cell>
          <cell r="E39">
            <v>9</v>
          </cell>
        </row>
        <row r="40">
          <cell r="A40" t="str">
            <v>B0785H4FV1</v>
          </cell>
          <cell r="B40">
            <v>0</v>
          </cell>
          <cell r="C40">
            <v>0</v>
          </cell>
          <cell r="D40">
            <v>13</v>
          </cell>
          <cell r="E40">
            <v>5</v>
          </cell>
        </row>
        <row r="41">
          <cell r="A41" t="str">
            <v>B0785HJVGG</v>
          </cell>
          <cell r="B41">
            <v>1</v>
          </cell>
          <cell r="C41">
            <v>0</v>
          </cell>
          <cell r="D41">
            <v>0</v>
          </cell>
          <cell r="E41">
            <v>6</v>
          </cell>
        </row>
        <row r="42">
          <cell r="A42" t="str">
            <v>B0788KQVVG</v>
          </cell>
          <cell r="B42">
            <v>22</v>
          </cell>
          <cell r="C42">
            <v>16</v>
          </cell>
          <cell r="D42">
            <v>21</v>
          </cell>
          <cell r="E42">
            <v>10</v>
          </cell>
        </row>
        <row r="43">
          <cell r="A43" t="str">
            <v>B0788M5K8H</v>
          </cell>
          <cell r="B43">
            <v>15</v>
          </cell>
          <cell r="C43">
            <v>10</v>
          </cell>
          <cell r="D43">
            <v>10</v>
          </cell>
          <cell r="E43">
            <v>7</v>
          </cell>
        </row>
        <row r="44">
          <cell r="A44" t="str">
            <v>B078JQ7B7M</v>
          </cell>
          <cell r="B44">
            <v>19</v>
          </cell>
          <cell r="C44">
            <v>13</v>
          </cell>
          <cell r="D44">
            <v>15</v>
          </cell>
          <cell r="E44">
            <v>16</v>
          </cell>
        </row>
        <row r="45">
          <cell r="A45" t="str">
            <v>B078JQVN4Q</v>
          </cell>
          <cell r="B45">
            <v>10</v>
          </cell>
          <cell r="C45">
            <v>12</v>
          </cell>
          <cell r="D45">
            <v>16</v>
          </cell>
          <cell r="E45">
            <v>11</v>
          </cell>
        </row>
        <row r="46">
          <cell r="A46" t="str">
            <v>B07CDD7CHN</v>
          </cell>
          <cell r="B46">
            <v>0</v>
          </cell>
          <cell r="C46">
            <v>6</v>
          </cell>
          <cell r="D46">
            <v>16</v>
          </cell>
          <cell r="E46">
            <v>8</v>
          </cell>
        </row>
        <row r="47">
          <cell r="A47" t="str">
            <v>B07CPW1TRS</v>
          </cell>
          <cell r="B47">
            <v>17</v>
          </cell>
          <cell r="C47">
            <v>20</v>
          </cell>
          <cell r="D47">
            <v>11</v>
          </cell>
          <cell r="E47">
            <v>7</v>
          </cell>
        </row>
        <row r="48">
          <cell r="A48" t="str">
            <v>B07DQL4VVH</v>
          </cell>
          <cell r="B48">
            <v>15</v>
          </cell>
          <cell r="C48">
            <v>11</v>
          </cell>
          <cell r="D48">
            <v>14</v>
          </cell>
          <cell r="E48">
            <v>12</v>
          </cell>
        </row>
        <row r="49">
          <cell r="A49" t="str">
            <v>B07DQLKY6N</v>
          </cell>
          <cell r="B49">
            <v>0</v>
          </cell>
          <cell r="C49">
            <v>0</v>
          </cell>
          <cell r="D49">
            <v>41</v>
          </cell>
          <cell r="E49">
            <v>20</v>
          </cell>
        </row>
        <row r="50">
          <cell r="A50" t="str">
            <v>B07DQPGWNM</v>
          </cell>
          <cell r="B50">
            <v>0</v>
          </cell>
          <cell r="C50">
            <v>0</v>
          </cell>
          <cell r="D50">
            <v>7</v>
          </cell>
          <cell r="E50">
            <v>11</v>
          </cell>
        </row>
        <row r="51">
          <cell r="A51" t="str">
            <v>B07DQS5YP2</v>
          </cell>
          <cell r="B51">
            <v>15</v>
          </cell>
          <cell r="C51">
            <v>8</v>
          </cell>
          <cell r="D51">
            <v>8</v>
          </cell>
          <cell r="E51">
            <v>12</v>
          </cell>
        </row>
        <row r="52">
          <cell r="A52" t="str">
            <v>B07DVLSHLK</v>
          </cell>
          <cell r="B52">
            <v>5</v>
          </cell>
          <cell r="C52">
            <v>14</v>
          </cell>
          <cell r="D52">
            <v>19</v>
          </cell>
          <cell r="E52">
            <v>17</v>
          </cell>
        </row>
        <row r="53">
          <cell r="A53" t="str">
            <v>B07FCHZRK5</v>
          </cell>
          <cell r="B53">
            <v>39</v>
          </cell>
          <cell r="C53">
            <v>37</v>
          </cell>
          <cell r="D53">
            <v>28</v>
          </cell>
          <cell r="E53">
            <v>4</v>
          </cell>
        </row>
        <row r="54">
          <cell r="A54" t="str">
            <v>B075QF56L3</v>
          </cell>
          <cell r="B54">
            <v>13</v>
          </cell>
          <cell r="C54">
            <v>9</v>
          </cell>
          <cell r="D54">
            <v>13</v>
          </cell>
          <cell r="E54">
            <v>5</v>
          </cell>
        </row>
        <row r="55">
          <cell r="A55" t="str">
            <v>B075QFMG4P</v>
          </cell>
          <cell r="B55">
            <v>0</v>
          </cell>
          <cell r="C55">
            <v>4</v>
          </cell>
          <cell r="D55">
            <v>12</v>
          </cell>
          <cell r="E55">
            <v>1</v>
          </cell>
        </row>
        <row r="56">
          <cell r="A56" t="str">
            <v>B075QFP51N</v>
          </cell>
          <cell r="B56">
            <v>0</v>
          </cell>
          <cell r="C56">
            <v>11</v>
          </cell>
          <cell r="D56">
            <v>8</v>
          </cell>
          <cell r="E56">
            <v>2</v>
          </cell>
        </row>
        <row r="57">
          <cell r="A57" t="str">
            <v>B075QG33T1</v>
          </cell>
          <cell r="B57">
            <v>0</v>
          </cell>
          <cell r="C57">
            <v>9</v>
          </cell>
          <cell r="D57">
            <v>14</v>
          </cell>
          <cell r="E57">
            <v>4</v>
          </cell>
        </row>
        <row r="58">
          <cell r="A58" t="str">
            <v>B075R92YGF</v>
          </cell>
          <cell r="B58">
            <v>4</v>
          </cell>
          <cell r="C58">
            <v>20</v>
          </cell>
          <cell r="D58">
            <v>5</v>
          </cell>
          <cell r="E58">
            <v>4</v>
          </cell>
        </row>
        <row r="59">
          <cell r="A59" t="str">
            <v>B076J2DG1R</v>
          </cell>
          <cell r="B59">
            <v>10</v>
          </cell>
          <cell r="C59">
            <v>3</v>
          </cell>
          <cell r="D59">
            <v>3</v>
          </cell>
          <cell r="E59">
            <v>4</v>
          </cell>
        </row>
        <row r="60">
          <cell r="A60" t="str">
            <v>B076J61QFW</v>
          </cell>
          <cell r="B60">
            <v>6</v>
          </cell>
          <cell r="C60">
            <v>3</v>
          </cell>
          <cell r="D60">
            <v>3</v>
          </cell>
          <cell r="E60">
            <v>3</v>
          </cell>
        </row>
        <row r="61">
          <cell r="A61" t="str">
            <v>B076J67W43</v>
          </cell>
          <cell r="B61">
            <v>25</v>
          </cell>
          <cell r="C61">
            <v>9</v>
          </cell>
          <cell r="D61">
            <v>1</v>
          </cell>
          <cell r="E61">
            <v>5</v>
          </cell>
        </row>
        <row r="62">
          <cell r="A62" t="str">
            <v>B076J6K8RL</v>
          </cell>
          <cell r="B62">
            <v>8</v>
          </cell>
          <cell r="C62">
            <v>6</v>
          </cell>
          <cell r="D62">
            <v>4</v>
          </cell>
          <cell r="E62">
            <v>6</v>
          </cell>
        </row>
        <row r="63">
          <cell r="A63" t="str">
            <v>B076J8X97G</v>
          </cell>
          <cell r="B63">
            <v>3</v>
          </cell>
          <cell r="C63">
            <v>4</v>
          </cell>
          <cell r="D63">
            <v>10</v>
          </cell>
          <cell r="E63">
            <v>1</v>
          </cell>
        </row>
        <row r="64">
          <cell r="A64" t="str">
            <v>B076JBP5ZS</v>
          </cell>
          <cell r="B64">
            <v>14</v>
          </cell>
          <cell r="C64">
            <v>8</v>
          </cell>
          <cell r="D64">
            <v>7</v>
          </cell>
          <cell r="E64">
            <v>5</v>
          </cell>
        </row>
        <row r="65">
          <cell r="A65" t="str">
            <v>B076P7DYB9</v>
          </cell>
          <cell r="B65">
            <v>3</v>
          </cell>
          <cell r="C65">
            <v>5</v>
          </cell>
          <cell r="D65">
            <v>4</v>
          </cell>
          <cell r="E65">
            <v>1</v>
          </cell>
        </row>
        <row r="66">
          <cell r="A66" t="str">
            <v>B076P8MNVV</v>
          </cell>
          <cell r="B66">
            <v>4</v>
          </cell>
          <cell r="C66">
            <v>4</v>
          </cell>
          <cell r="D66">
            <v>8</v>
          </cell>
          <cell r="E66">
            <v>2</v>
          </cell>
        </row>
        <row r="67">
          <cell r="A67" t="str">
            <v>B076PCPP68</v>
          </cell>
          <cell r="B67">
            <v>1</v>
          </cell>
          <cell r="C67">
            <v>1</v>
          </cell>
          <cell r="D67">
            <v>7</v>
          </cell>
          <cell r="E67">
            <v>3</v>
          </cell>
        </row>
        <row r="68">
          <cell r="A68" t="str">
            <v>B0772JJ5YH</v>
          </cell>
          <cell r="B68">
            <v>11</v>
          </cell>
          <cell r="C68">
            <v>13</v>
          </cell>
          <cell r="D68">
            <v>17</v>
          </cell>
          <cell r="E68">
            <v>13</v>
          </cell>
        </row>
        <row r="69">
          <cell r="A69" t="str">
            <v>B0776Q1PQP</v>
          </cell>
          <cell r="B69">
            <v>0</v>
          </cell>
          <cell r="C69">
            <v>0</v>
          </cell>
          <cell r="D69">
            <v>8</v>
          </cell>
          <cell r="E69">
            <v>1</v>
          </cell>
        </row>
        <row r="70">
          <cell r="A70" t="str">
            <v>B0779QX5JV</v>
          </cell>
          <cell r="B70">
            <v>0</v>
          </cell>
          <cell r="C70">
            <v>0</v>
          </cell>
          <cell r="D70">
            <v>5</v>
          </cell>
          <cell r="E70">
            <v>4</v>
          </cell>
        </row>
        <row r="71">
          <cell r="A71" t="str">
            <v>B0779RFXY2</v>
          </cell>
          <cell r="B71">
            <v>0</v>
          </cell>
          <cell r="C71">
            <v>0</v>
          </cell>
          <cell r="D71">
            <v>3</v>
          </cell>
          <cell r="E71">
            <v>7</v>
          </cell>
        </row>
        <row r="72">
          <cell r="A72" t="str">
            <v>B0779RQ56M</v>
          </cell>
          <cell r="B72">
            <v>22</v>
          </cell>
          <cell r="C72">
            <v>13</v>
          </cell>
          <cell r="D72">
            <v>8</v>
          </cell>
          <cell r="E72">
            <v>6</v>
          </cell>
        </row>
        <row r="73">
          <cell r="A73" t="str">
            <v>B0779RQHWK</v>
          </cell>
          <cell r="B73">
            <v>0</v>
          </cell>
          <cell r="C73">
            <v>0</v>
          </cell>
          <cell r="D73">
            <v>4</v>
          </cell>
          <cell r="E73">
            <v>4</v>
          </cell>
        </row>
        <row r="74">
          <cell r="A74" t="str">
            <v>B0779V1KQL</v>
          </cell>
          <cell r="B74">
            <v>0</v>
          </cell>
          <cell r="C74">
            <v>1</v>
          </cell>
          <cell r="D74">
            <v>16</v>
          </cell>
          <cell r="E74">
            <v>13</v>
          </cell>
        </row>
        <row r="75">
          <cell r="A75" t="str">
            <v>B0779W68GS</v>
          </cell>
          <cell r="B75">
            <v>0</v>
          </cell>
          <cell r="C75">
            <v>4</v>
          </cell>
          <cell r="D75">
            <v>9</v>
          </cell>
          <cell r="E75">
            <v>10</v>
          </cell>
        </row>
        <row r="76">
          <cell r="A76" t="str">
            <v>B0779W8MFG</v>
          </cell>
          <cell r="B76">
            <v>0</v>
          </cell>
          <cell r="C76">
            <v>1</v>
          </cell>
          <cell r="D76">
            <v>8</v>
          </cell>
          <cell r="E76">
            <v>5</v>
          </cell>
        </row>
        <row r="77">
          <cell r="A77" t="str">
            <v>B0779YRGR1</v>
          </cell>
          <cell r="B77">
            <v>0</v>
          </cell>
          <cell r="C77">
            <v>1</v>
          </cell>
          <cell r="D77">
            <v>7</v>
          </cell>
          <cell r="E77">
            <v>10</v>
          </cell>
        </row>
        <row r="78">
          <cell r="A78" t="str">
            <v>B0779Z2TS6</v>
          </cell>
          <cell r="B78">
            <v>0</v>
          </cell>
          <cell r="C78">
            <v>0</v>
          </cell>
          <cell r="D78">
            <v>8</v>
          </cell>
          <cell r="E78">
            <v>6</v>
          </cell>
        </row>
        <row r="79">
          <cell r="A79" t="str">
            <v>B0779ZRTZ3</v>
          </cell>
          <cell r="B79">
            <v>0</v>
          </cell>
          <cell r="C79">
            <v>0</v>
          </cell>
          <cell r="D79">
            <v>8</v>
          </cell>
          <cell r="E79">
            <v>7</v>
          </cell>
        </row>
        <row r="80">
          <cell r="A80" t="str">
            <v>B077N289VS</v>
          </cell>
          <cell r="B80">
            <v>2</v>
          </cell>
          <cell r="C80">
            <v>2</v>
          </cell>
          <cell r="D80">
            <v>4</v>
          </cell>
          <cell r="E80">
            <v>4</v>
          </cell>
        </row>
        <row r="81">
          <cell r="A81" t="str">
            <v>B077N6WYM2</v>
          </cell>
          <cell r="B81">
            <v>2</v>
          </cell>
          <cell r="C81">
            <v>2</v>
          </cell>
          <cell r="D81">
            <v>4</v>
          </cell>
          <cell r="E81">
            <v>3</v>
          </cell>
        </row>
        <row r="82">
          <cell r="A82" t="str">
            <v>B077N9TG25</v>
          </cell>
          <cell r="B82">
            <v>2</v>
          </cell>
          <cell r="C82">
            <v>1</v>
          </cell>
          <cell r="D82">
            <v>5</v>
          </cell>
          <cell r="E82">
            <v>3</v>
          </cell>
        </row>
        <row r="83">
          <cell r="A83" t="str">
            <v>B077NCHFV2</v>
          </cell>
          <cell r="B83">
            <v>2</v>
          </cell>
          <cell r="C83">
            <v>1</v>
          </cell>
          <cell r="D83">
            <v>5</v>
          </cell>
          <cell r="E83">
            <v>3</v>
          </cell>
        </row>
        <row r="84">
          <cell r="A84" t="str">
            <v>B077NCS1K2</v>
          </cell>
          <cell r="B84">
            <v>2</v>
          </cell>
          <cell r="C84">
            <v>1</v>
          </cell>
          <cell r="D84">
            <v>1</v>
          </cell>
          <cell r="E84">
            <v>1</v>
          </cell>
        </row>
        <row r="85">
          <cell r="A85" t="str">
            <v>B077NDNLBD</v>
          </cell>
          <cell r="B85">
            <v>3</v>
          </cell>
          <cell r="C85">
            <v>1</v>
          </cell>
          <cell r="D85">
            <v>5</v>
          </cell>
          <cell r="E85">
            <v>3</v>
          </cell>
        </row>
        <row r="86">
          <cell r="A86" t="str">
            <v>B077NVQNC9</v>
          </cell>
          <cell r="B86">
            <v>18</v>
          </cell>
          <cell r="C86">
            <v>10</v>
          </cell>
          <cell r="D86">
            <v>13</v>
          </cell>
          <cell r="E86">
            <v>11</v>
          </cell>
        </row>
        <row r="87">
          <cell r="A87" t="str">
            <v>B077NVWPQW</v>
          </cell>
          <cell r="B87">
            <v>7</v>
          </cell>
          <cell r="C87">
            <v>4</v>
          </cell>
          <cell r="D87">
            <v>6</v>
          </cell>
          <cell r="E87">
            <v>7</v>
          </cell>
        </row>
        <row r="88">
          <cell r="A88" t="str">
            <v>B077NZLTQX</v>
          </cell>
          <cell r="B88">
            <v>16</v>
          </cell>
          <cell r="C88">
            <v>9</v>
          </cell>
          <cell r="D88">
            <v>8</v>
          </cell>
          <cell r="E88">
            <v>9</v>
          </cell>
        </row>
        <row r="89">
          <cell r="A89" t="str">
            <v>B077SSC1TH</v>
          </cell>
          <cell r="B89">
            <v>0</v>
          </cell>
          <cell r="C89">
            <v>0</v>
          </cell>
          <cell r="D89">
            <v>5</v>
          </cell>
          <cell r="E89">
            <v>4</v>
          </cell>
        </row>
        <row r="90">
          <cell r="A90" t="str">
            <v>B077STZV9Y</v>
          </cell>
          <cell r="B90">
            <v>6</v>
          </cell>
          <cell r="C90">
            <v>2</v>
          </cell>
          <cell r="D90">
            <v>4</v>
          </cell>
          <cell r="E90">
            <v>4</v>
          </cell>
        </row>
        <row r="91">
          <cell r="A91" t="str">
            <v>B077X8RLVJ</v>
          </cell>
          <cell r="B91">
            <v>0</v>
          </cell>
          <cell r="C91">
            <v>0</v>
          </cell>
          <cell r="D91">
            <v>11</v>
          </cell>
          <cell r="E91">
            <v>17</v>
          </cell>
        </row>
        <row r="92">
          <cell r="A92" t="str">
            <v>B077XNFWVP</v>
          </cell>
          <cell r="B92">
            <v>0</v>
          </cell>
          <cell r="C92">
            <v>0</v>
          </cell>
          <cell r="D92">
            <v>3</v>
          </cell>
          <cell r="E92">
            <v>7</v>
          </cell>
        </row>
        <row r="93">
          <cell r="A93" t="str">
            <v>B077XNK3T5</v>
          </cell>
          <cell r="B93">
            <v>0</v>
          </cell>
          <cell r="C93">
            <v>0</v>
          </cell>
          <cell r="D93">
            <v>3</v>
          </cell>
          <cell r="E93">
            <v>8</v>
          </cell>
        </row>
        <row r="94">
          <cell r="A94" t="str">
            <v>B077XQ2P1L</v>
          </cell>
          <cell r="B94">
            <v>0</v>
          </cell>
          <cell r="C94">
            <v>1</v>
          </cell>
          <cell r="D94">
            <v>4</v>
          </cell>
          <cell r="E94">
            <v>9</v>
          </cell>
        </row>
        <row r="95">
          <cell r="A95" t="str">
            <v>B077XQ5D11</v>
          </cell>
          <cell r="B95">
            <v>0</v>
          </cell>
          <cell r="C95">
            <v>1</v>
          </cell>
          <cell r="D95">
            <v>7</v>
          </cell>
          <cell r="E95">
            <v>48</v>
          </cell>
        </row>
        <row r="96">
          <cell r="A96" t="str">
            <v>B077XQ78NB</v>
          </cell>
          <cell r="B96">
            <v>0</v>
          </cell>
          <cell r="C96">
            <v>1</v>
          </cell>
          <cell r="D96">
            <v>6</v>
          </cell>
          <cell r="E96">
            <v>11</v>
          </cell>
        </row>
        <row r="97">
          <cell r="A97" t="str">
            <v>B077XQ8ZN5</v>
          </cell>
          <cell r="B97">
            <v>0</v>
          </cell>
          <cell r="C97">
            <v>1</v>
          </cell>
          <cell r="D97">
            <v>19</v>
          </cell>
          <cell r="E97">
            <v>7</v>
          </cell>
        </row>
        <row r="98">
          <cell r="A98" t="str">
            <v>B077XRSRNP</v>
          </cell>
          <cell r="B98">
            <v>0</v>
          </cell>
          <cell r="C98">
            <v>1</v>
          </cell>
          <cell r="D98">
            <v>5</v>
          </cell>
          <cell r="E98">
            <v>10</v>
          </cell>
        </row>
        <row r="99">
          <cell r="A99" t="str">
            <v>B077XRVLTN</v>
          </cell>
          <cell r="B99">
            <v>0</v>
          </cell>
          <cell r="C99">
            <v>1</v>
          </cell>
          <cell r="D99">
            <v>1</v>
          </cell>
          <cell r="E99">
            <v>3</v>
          </cell>
        </row>
        <row r="100">
          <cell r="A100" t="str">
            <v>B077XSLDHX</v>
          </cell>
          <cell r="B100">
            <v>1</v>
          </cell>
          <cell r="C100">
            <v>1</v>
          </cell>
          <cell r="D100">
            <v>21</v>
          </cell>
          <cell r="E100">
            <v>3</v>
          </cell>
        </row>
        <row r="101">
          <cell r="A101" t="str">
            <v>B077XSLVZ5</v>
          </cell>
          <cell r="B101">
            <v>0</v>
          </cell>
          <cell r="C101">
            <v>0</v>
          </cell>
          <cell r="D101">
            <v>5</v>
          </cell>
          <cell r="E101">
            <v>7</v>
          </cell>
        </row>
        <row r="102">
          <cell r="A102" t="str">
            <v>B077XSTXHF</v>
          </cell>
          <cell r="B102">
            <v>0</v>
          </cell>
          <cell r="C102">
            <v>0</v>
          </cell>
          <cell r="D102">
            <v>19</v>
          </cell>
          <cell r="E102">
            <v>5</v>
          </cell>
        </row>
        <row r="103">
          <cell r="A103" t="str">
            <v>B077XSTXHJ</v>
          </cell>
          <cell r="B103">
            <v>0</v>
          </cell>
          <cell r="C103">
            <v>0</v>
          </cell>
          <cell r="D103">
            <v>14</v>
          </cell>
          <cell r="E103">
            <v>5</v>
          </cell>
        </row>
        <row r="104">
          <cell r="A104" t="str">
            <v>B077XSZ4FT</v>
          </cell>
          <cell r="B104">
            <v>0</v>
          </cell>
          <cell r="C104">
            <v>1</v>
          </cell>
          <cell r="D104">
            <v>102</v>
          </cell>
          <cell r="E104">
            <v>6</v>
          </cell>
        </row>
        <row r="105">
          <cell r="A105" t="str">
            <v>B077XV49XF</v>
          </cell>
          <cell r="B105">
            <v>0</v>
          </cell>
          <cell r="C105">
            <v>0</v>
          </cell>
          <cell r="D105">
            <v>4</v>
          </cell>
          <cell r="E105">
            <v>13</v>
          </cell>
        </row>
        <row r="106">
          <cell r="A106" t="str">
            <v>B077XV7BG7</v>
          </cell>
          <cell r="B106">
            <v>0</v>
          </cell>
          <cell r="C106">
            <v>0</v>
          </cell>
          <cell r="D106">
            <v>5</v>
          </cell>
          <cell r="E106">
            <v>4</v>
          </cell>
        </row>
        <row r="107">
          <cell r="A107" t="str">
            <v>B07842F5P9</v>
          </cell>
          <cell r="B107">
            <v>10</v>
          </cell>
          <cell r="C107">
            <v>3</v>
          </cell>
          <cell r="D107">
            <v>6</v>
          </cell>
          <cell r="E107">
            <v>10</v>
          </cell>
        </row>
        <row r="108">
          <cell r="A108" t="str">
            <v>B0784WBNX9</v>
          </cell>
          <cell r="B108">
            <v>0</v>
          </cell>
          <cell r="C108">
            <v>0</v>
          </cell>
          <cell r="D108">
            <v>5</v>
          </cell>
          <cell r="E108">
            <v>4</v>
          </cell>
        </row>
        <row r="109">
          <cell r="A109" t="str">
            <v>B0784WC6TX</v>
          </cell>
          <cell r="B109">
            <v>6</v>
          </cell>
          <cell r="C109">
            <v>1</v>
          </cell>
          <cell r="D109">
            <v>5</v>
          </cell>
          <cell r="E109">
            <v>3</v>
          </cell>
        </row>
        <row r="110">
          <cell r="A110" t="str">
            <v>B0787XKBRG</v>
          </cell>
          <cell r="B110">
            <v>24</v>
          </cell>
          <cell r="C110">
            <v>22</v>
          </cell>
          <cell r="D110">
            <v>7</v>
          </cell>
          <cell r="E110">
            <v>13</v>
          </cell>
        </row>
        <row r="111">
          <cell r="A111" t="str">
            <v>B0788PS6BD</v>
          </cell>
          <cell r="B111">
            <v>28</v>
          </cell>
          <cell r="C111">
            <v>28</v>
          </cell>
          <cell r="D111">
            <v>31</v>
          </cell>
          <cell r="E111">
            <v>20</v>
          </cell>
        </row>
        <row r="112">
          <cell r="A112" t="str">
            <v>B078955T7Y</v>
          </cell>
          <cell r="B112">
            <v>1</v>
          </cell>
          <cell r="C112">
            <v>3</v>
          </cell>
          <cell r="D112">
            <v>15</v>
          </cell>
          <cell r="E112">
            <v>7</v>
          </cell>
        </row>
        <row r="113">
          <cell r="A113" t="str">
            <v>B078C7BGZR</v>
          </cell>
          <cell r="B113">
            <v>4</v>
          </cell>
          <cell r="C113">
            <v>3</v>
          </cell>
          <cell r="D113">
            <v>3</v>
          </cell>
          <cell r="E113">
            <v>1</v>
          </cell>
        </row>
        <row r="114">
          <cell r="A114" t="str">
            <v>B078H85Y7H</v>
          </cell>
          <cell r="B114">
            <v>5</v>
          </cell>
          <cell r="C114">
            <v>5</v>
          </cell>
          <cell r="D114">
            <v>0</v>
          </cell>
          <cell r="E114">
            <v>4</v>
          </cell>
        </row>
        <row r="115">
          <cell r="A115" t="str">
            <v>B078HGJSND</v>
          </cell>
          <cell r="B115">
            <v>5</v>
          </cell>
          <cell r="C115">
            <v>6</v>
          </cell>
          <cell r="D115">
            <v>2</v>
          </cell>
          <cell r="E115">
            <v>1</v>
          </cell>
        </row>
        <row r="116">
          <cell r="A116" t="str">
            <v>B078JJ7KDP</v>
          </cell>
          <cell r="B116">
            <v>17</v>
          </cell>
          <cell r="C116">
            <v>23</v>
          </cell>
          <cell r="D116">
            <v>26</v>
          </cell>
          <cell r="E116">
            <v>14</v>
          </cell>
        </row>
        <row r="117">
          <cell r="A117" t="str">
            <v>B078JNY8M1</v>
          </cell>
          <cell r="B117">
            <v>14</v>
          </cell>
          <cell r="C117">
            <v>11</v>
          </cell>
          <cell r="D117">
            <v>19</v>
          </cell>
          <cell r="E117">
            <v>14</v>
          </cell>
        </row>
        <row r="118">
          <cell r="A118" t="str">
            <v>B078JQXPDD</v>
          </cell>
          <cell r="B118">
            <v>6</v>
          </cell>
          <cell r="C118">
            <v>15</v>
          </cell>
          <cell r="D118">
            <v>20</v>
          </cell>
          <cell r="E118">
            <v>14</v>
          </cell>
        </row>
        <row r="119">
          <cell r="A119" t="str">
            <v>B078MFHH1V</v>
          </cell>
          <cell r="B119">
            <v>0</v>
          </cell>
          <cell r="C119">
            <v>0</v>
          </cell>
          <cell r="D119">
            <v>5</v>
          </cell>
          <cell r="E119">
            <v>1</v>
          </cell>
        </row>
        <row r="120">
          <cell r="A120" t="str">
            <v>B078MFPDLS</v>
          </cell>
          <cell r="B120">
            <v>0</v>
          </cell>
          <cell r="C120">
            <v>0</v>
          </cell>
          <cell r="D120">
            <v>5</v>
          </cell>
          <cell r="E120">
            <v>1</v>
          </cell>
        </row>
        <row r="121">
          <cell r="A121" t="str">
            <v>B078MFWG5N</v>
          </cell>
          <cell r="B121">
            <v>0</v>
          </cell>
          <cell r="C121">
            <v>0</v>
          </cell>
          <cell r="D121">
            <v>5</v>
          </cell>
          <cell r="E121">
            <v>1</v>
          </cell>
        </row>
        <row r="122">
          <cell r="A122" t="str">
            <v>B078MG4VLQ</v>
          </cell>
          <cell r="B122">
            <v>0</v>
          </cell>
          <cell r="C122">
            <v>1</v>
          </cell>
          <cell r="D122">
            <v>5</v>
          </cell>
          <cell r="E122">
            <v>1</v>
          </cell>
        </row>
        <row r="123">
          <cell r="A123" t="str">
            <v>B078MJZZZN</v>
          </cell>
          <cell r="B123">
            <v>0</v>
          </cell>
          <cell r="C123">
            <v>0</v>
          </cell>
          <cell r="D123">
            <v>5</v>
          </cell>
          <cell r="E123">
            <v>1</v>
          </cell>
        </row>
        <row r="124">
          <cell r="A124" t="str">
            <v>B078MK4N19</v>
          </cell>
          <cell r="B124">
            <v>3</v>
          </cell>
          <cell r="C124">
            <v>3</v>
          </cell>
          <cell r="D124">
            <v>8</v>
          </cell>
          <cell r="E124">
            <v>2</v>
          </cell>
        </row>
        <row r="125">
          <cell r="A125" t="str">
            <v>B078MKNJN1</v>
          </cell>
          <cell r="B125">
            <v>0</v>
          </cell>
          <cell r="C125">
            <v>0</v>
          </cell>
          <cell r="D125">
            <v>8</v>
          </cell>
          <cell r="E125">
            <v>2</v>
          </cell>
        </row>
        <row r="126">
          <cell r="A126" t="str">
            <v>B078ML71RF</v>
          </cell>
          <cell r="B126">
            <v>0</v>
          </cell>
          <cell r="C126">
            <v>0</v>
          </cell>
          <cell r="D126">
            <v>8</v>
          </cell>
          <cell r="E126">
            <v>2</v>
          </cell>
        </row>
        <row r="127">
          <cell r="A127" t="str">
            <v>B078MLCPHX</v>
          </cell>
          <cell r="B127">
            <v>0</v>
          </cell>
          <cell r="C127">
            <v>1</v>
          </cell>
          <cell r="D127">
            <v>7</v>
          </cell>
          <cell r="E127">
            <v>3</v>
          </cell>
        </row>
        <row r="128">
          <cell r="A128" t="str">
            <v>B078MLPP7Z</v>
          </cell>
          <cell r="B128">
            <v>0</v>
          </cell>
          <cell r="C128">
            <v>0</v>
          </cell>
          <cell r="D128">
            <v>6</v>
          </cell>
          <cell r="E128">
            <v>2</v>
          </cell>
        </row>
        <row r="129">
          <cell r="A129" t="str">
            <v>B078MLS36P</v>
          </cell>
          <cell r="B129">
            <v>0</v>
          </cell>
          <cell r="C129">
            <v>0</v>
          </cell>
          <cell r="D129">
            <v>4</v>
          </cell>
          <cell r="E129">
            <v>3</v>
          </cell>
        </row>
        <row r="130">
          <cell r="A130" t="str">
            <v>B078MLVDZV</v>
          </cell>
          <cell r="B130">
            <v>0</v>
          </cell>
          <cell r="C130">
            <v>0</v>
          </cell>
          <cell r="D130">
            <v>3</v>
          </cell>
          <cell r="E130">
            <v>3</v>
          </cell>
        </row>
        <row r="131">
          <cell r="A131" t="str">
            <v>B078MLVF8D</v>
          </cell>
          <cell r="B131">
            <v>0</v>
          </cell>
          <cell r="C131">
            <v>0</v>
          </cell>
          <cell r="D131">
            <v>3</v>
          </cell>
          <cell r="E131">
            <v>3</v>
          </cell>
        </row>
        <row r="132">
          <cell r="A132" t="str">
            <v>B078MLVFZH</v>
          </cell>
          <cell r="B132">
            <v>0</v>
          </cell>
          <cell r="C132">
            <v>0</v>
          </cell>
          <cell r="D132">
            <v>3</v>
          </cell>
          <cell r="E132">
            <v>1</v>
          </cell>
        </row>
        <row r="133">
          <cell r="A133" t="str">
            <v>B078MMFTHW</v>
          </cell>
          <cell r="B133">
            <v>0</v>
          </cell>
          <cell r="C133">
            <v>0</v>
          </cell>
          <cell r="D133">
            <v>2</v>
          </cell>
          <cell r="E133">
            <v>1</v>
          </cell>
        </row>
        <row r="134">
          <cell r="A134" t="str">
            <v>B078MMXYGL</v>
          </cell>
          <cell r="B134">
            <v>0</v>
          </cell>
          <cell r="C134">
            <v>0</v>
          </cell>
          <cell r="D134">
            <v>4</v>
          </cell>
          <cell r="E134">
            <v>1</v>
          </cell>
        </row>
        <row r="135">
          <cell r="A135" t="str">
            <v>B078MNG1TG</v>
          </cell>
          <cell r="B135">
            <v>0</v>
          </cell>
          <cell r="C135">
            <v>0</v>
          </cell>
          <cell r="D135">
            <v>2</v>
          </cell>
          <cell r="E135">
            <v>1</v>
          </cell>
        </row>
        <row r="136">
          <cell r="A136" t="str">
            <v>B078MNGZXT</v>
          </cell>
          <cell r="B136">
            <v>0</v>
          </cell>
          <cell r="C136">
            <v>0</v>
          </cell>
          <cell r="D136">
            <v>5</v>
          </cell>
          <cell r="E136">
            <v>2</v>
          </cell>
        </row>
        <row r="137">
          <cell r="A137" t="str">
            <v>B078MNWK8Y</v>
          </cell>
          <cell r="B137">
            <v>0</v>
          </cell>
          <cell r="C137">
            <v>0</v>
          </cell>
          <cell r="D137">
            <v>4</v>
          </cell>
          <cell r="E137">
            <v>1</v>
          </cell>
        </row>
        <row r="138">
          <cell r="A138" t="str">
            <v>B078MP2N3B</v>
          </cell>
          <cell r="B138">
            <v>0</v>
          </cell>
          <cell r="C138">
            <v>1</v>
          </cell>
          <cell r="D138">
            <v>3</v>
          </cell>
          <cell r="E138">
            <v>2</v>
          </cell>
        </row>
        <row r="139">
          <cell r="A139" t="str">
            <v>B078MPBBKH</v>
          </cell>
          <cell r="B139">
            <v>0</v>
          </cell>
          <cell r="C139">
            <v>0</v>
          </cell>
          <cell r="D139">
            <v>1</v>
          </cell>
          <cell r="E139">
            <v>1</v>
          </cell>
        </row>
        <row r="140">
          <cell r="A140" t="str">
            <v>B078MPPY1Z</v>
          </cell>
          <cell r="B140">
            <v>0</v>
          </cell>
          <cell r="C140">
            <v>1</v>
          </cell>
          <cell r="D140">
            <v>1</v>
          </cell>
          <cell r="E140">
            <v>1</v>
          </cell>
        </row>
        <row r="141">
          <cell r="A141" t="str">
            <v>B078MQZ7XF</v>
          </cell>
          <cell r="B141">
            <v>0</v>
          </cell>
          <cell r="C141">
            <v>1</v>
          </cell>
          <cell r="D141">
            <v>2</v>
          </cell>
          <cell r="E141">
            <v>2</v>
          </cell>
        </row>
        <row r="142">
          <cell r="A142" t="str">
            <v>B078RMPL65</v>
          </cell>
          <cell r="B142">
            <v>0</v>
          </cell>
          <cell r="C142">
            <v>10</v>
          </cell>
          <cell r="D142">
            <v>12</v>
          </cell>
          <cell r="E142">
            <v>8</v>
          </cell>
        </row>
        <row r="143">
          <cell r="A143" t="str">
            <v>B078RN1CC8</v>
          </cell>
          <cell r="B143">
            <v>0</v>
          </cell>
          <cell r="C143">
            <v>2</v>
          </cell>
          <cell r="D143">
            <v>22</v>
          </cell>
          <cell r="E143">
            <v>11</v>
          </cell>
        </row>
        <row r="144">
          <cell r="A144" t="str">
            <v>B07BRL2Y1L</v>
          </cell>
          <cell r="B144">
            <v>3</v>
          </cell>
          <cell r="C144">
            <v>3</v>
          </cell>
          <cell r="D144">
            <v>2</v>
          </cell>
          <cell r="E144">
            <v>2</v>
          </cell>
        </row>
        <row r="145">
          <cell r="A145" t="str">
            <v>B07BV73Z4Q</v>
          </cell>
          <cell r="B145">
            <v>14</v>
          </cell>
          <cell r="C145">
            <v>25</v>
          </cell>
          <cell r="D145">
            <v>6</v>
          </cell>
          <cell r="E145">
            <v>10</v>
          </cell>
        </row>
        <row r="146">
          <cell r="A146" t="str">
            <v>B07BVL6R55</v>
          </cell>
          <cell r="B146">
            <v>12</v>
          </cell>
          <cell r="C146">
            <v>12</v>
          </cell>
          <cell r="D146">
            <v>8</v>
          </cell>
          <cell r="E146">
            <v>6</v>
          </cell>
        </row>
        <row r="147">
          <cell r="A147" t="str">
            <v>B07BVLBRWM</v>
          </cell>
          <cell r="B147">
            <v>6</v>
          </cell>
          <cell r="C147">
            <v>13</v>
          </cell>
          <cell r="D147">
            <v>8</v>
          </cell>
          <cell r="E147">
            <v>6</v>
          </cell>
        </row>
        <row r="148">
          <cell r="A148" t="str">
            <v>B07BVMP1DH</v>
          </cell>
          <cell r="B148">
            <v>9</v>
          </cell>
          <cell r="C148">
            <v>18</v>
          </cell>
          <cell r="D148">
            <v>13</v>
          </cell>
          <cell r="E148">
            <v>15</v>
          </cell>
        </row>
        <row r="149">
          <cell r="A149" t="str">
            <v>B07BVMRJRX</v>
          </cell>
          <cell r="B149">
            <v>6</v>
          </cell>
          <cell r="C149">
            <v>10</v>
          </cell>
          <cell r="D149">
            <v>7</v>
          </cell>
          <cell r="E149">
            <v>4</v>
          </cell>
        </row>
        <row r="150">
          <cell r="A150" t="str">
            <v>B07CVDJ9S8</v>
          </cell>
          <cell r="B150">
            <v>5</v>
          </cell>
          <cell r="C150">
            <v>3</v>
          </cell>
          <cell r="D150">
            <v>4</v>
          </cell>
          <cell r="E150">
            <v>4</v>
          </cell>
        </row>
        <row r="151">
          <cell r="A151" t="str">
            <v>B07CVDVW47</v>
          </cell>
          <cell r="B151">
            <v>4</v>
          </cell>
          <cell r="C151">
            <v>2</v>
          </cell>
          <cell r="D151">
            <v>3</v>
          </cell>
          <cell r="E151">
            <v>4</v>
          </cell>
        </row>
        <row r="152">
          <cell r="A152" t="str">
            <v>B07CVDZCBW</v>
          </cell>
          <cell r="B152">
            <v>4</v>
          </cell>
          <cell r="C152">
            <v>1</v>
          </cell>
          <cell r="D152">
            <v>2</v>
          </cell>
          <cell r="E152">
            <v>3</v>
          </cell>
        </row>
        <row r="153">
          <cell r="A153" t="str">
            <v>B07CVGZCHZ</v>
          </cell>
          <cell r="B153">
            <v>4</v>
          </cell>
          <cell r="C153">
            <v>1</v>
          </cell>
          <cell r="D153">
            <v>3</v>
          </cell>
          <cell r="E153">
            <v>3</v>
          </cell>
        </row>
        <row r="154">
          <cell r="A154" t="str">
            <v>B07D4FQCYC</v>
          </cell>
          <cell r="B154">
            <v>5</v>
          </cell>
          <cell r="C154">
            <v>3</v>
          </cell>
          <cell r="D154">
            <v>1</v>
          </cell>
          <cell r="E154">
            <v>3</v>
          </cell>
        </row>
        <row r="155">
          <cell r="A155" t="str">
            <v>B07D4FV711</v>
          </cell>
          <cell r="B155">
            <v>4</v>
          </cell>
          <cell r="C155">
            <v>2</v>
          </cell>
          <cell r="D155">
            <v>1</v>
          </cell>
          <cell r="E155">
            <v>2</v>
          </cell>
        </row>
        <row r="156">
          <cell r="A156" t="str">
            <v>B07D4FWK6H</v>
          </cell>
          <cell r="B156">
            <v>2</v>
          </cell>
          <cell r="C156">
            <v>3</v>
          </cell>
          <cell r="D156">
            <v>5</v>
          </cell>
          <cell r="E156">
            <v>7</v>
          </cell>
        </row>
        <row r="157">
          <cell r="A157" t="str">
            <v>B07D4GBBQB</v>
          </cell>
          <cell r="B157">
            <v>2</v>
          </cell>
          <cell r="C157">
            <v>2</v>
          </cell>
          <cell r="D157">
            <v>3</v>
          </cell>
          <cell r="E157">
            <v>1</v>
          </cell>
        </row>
        <row r="158">
          <cell r="A158" t="str">
            <v>B07D4GSD2Q</v>
          </cell>
          <cell r="B158">
            <v>2</v>
          </cell>
          <cell r="C158">
            <v>1</v>
          </cell>
          <cell r="D158">
            <v>2</v>
          </cell>
          <cell r="E158">
            <v>3</v>
          </cell>
        </row>
        <row r="159">
          <cell r="A159" t="str">
            <v>B07D4GT945</v>
          </cell>
          <cell r="B159">
            <v>4</v>
          </cell>
          <cell r="C159">
            <v>0</v>
          </cell>
          <cell r="D159">
            <v>3</v>
          </cell>
          <cell r="E159">
            <v>4</v>
          </cell>
        </row>
        <row r="160">
          <cell r="A160" t="str">
            <v>B07DK58WLF</v>
          </cell>
          <cell r="B160">
            <v>0</v>
          </cell>
          <cell r="C160">
            <v>1</v>
          </cell>
          <cell r="D160">
            <v>12</v>
          </cell>
          <cell r="E160">
            <v>1</v>
          </cell>
        </row>
        <row r="161">
          <cell r="A161" t="str">
            <v>B07DKXGT8H</v>
          </cell>
          <cell r="B161">
            <v>4</v>
          </cell>
          <cell r="C161">
            <v>21</v>
          </cell>
          <cell r="D161">
            <v>7</v>
          </cell>
          <cell r="E161">
            <v>3</v>
          </cell>
        </row>
        <row r="162">
          <cell r="A162" t="str">
            <v>B07DKXSV9P</v>
          </cell>
          <cell r="B162">
            <v>7</v>
          </cell>
          <cell r="C162">
            <v>33</v>
          </cell>
          <cell r="D162">
            <v>18</v>
          </cell>
          <cell r="E162">
            <v>13</v>
          </cell>
        </row>
        <row r="163">
          <cell r="A163" t="str">
            <v>B07DLTWN39</v>
          </cell>
          <cell r="B163">
            <v>7</v>
          </cell>
          <cell r="C163">
            <v>9</v>
          </cell>
          <cell r="D163">
            <v>6</v>
          </cell>
          <cell r="E163">
            <v>11</v>
          </cell>
        </row>
        <row r="164">
          <cell r="A164" t="str">
            <v>B07DLX7V45</v>
          </cell>
          <cell r="B164">
            <v>6</v>
          </cell>
          <cell r="C164">
            <v>7</v>
          </cell>
          <cell r="D164">
            <v>6</v>
          </cell>
          <cell r="E164">
            <v>3</v>
          </cell>
        </row>
        <row r="165">
          <cell r="A165" t="str">
            <v>B07DQL77MR</v>
          </cell>
          <cell r="B165">
            <v>16</v>
          </cell>
          <cell r="C165">
            <v>18</v>
          </cell>
          <cell r="D165">
            <v>23</v>
          </cell>
          <cell r="E165">
            <v>16</v>
          </cell>
        </row>
        <row r="166">
          <cell r="A166" t="str">
            <v>B07DQLKY6T</v>
          </cell>
          <cell r="B166">
            <v>13</v>
          </cell>
          <cell r="C166">
            <v>15</v>
          </cell>
          <cell r="D166">
            <v>8</v>
          </cell>
          <cell r="E166">
            <v>15</v>
          </cell>
        </row>
        <row r="167">
          <cell r="A167" t="str">
            <v>B07DQLVNSH</v>
          </cell>
          <cell r="B167">
            <v>8</v>
          </cell>
          <cell r="C167">
            <v>7</v>
          </cell>
          <cell r="D167">
            <v>6</v>
          </cell>
          <cell r="E167">
            <v>5</v>
          </cell>
        </row>
        <row r="168">
          <cell r="A168" t="str">
            <v>B07DQMJRJG</v>
          </cell>
          <cell r="B168">
            <v>9</v>
          </cell>
          <cell r="C168">
            <v>12</v>
          </cell>
          <cell r="D168">
            <v>9</v>
          </cell>
          <cell r="E168">
            <v>6</v>
          </cell>
        </row>
        <row r="169">
          <cell r="A169" t="str">
            <v>B07DQN92XD</v>
          </cell>
          <cell r="B169">
            <v>70</v>
          </cell>
          <cell r="C169">
            <v>58</v>
          </cell>
          <cell r="D169">
            <v>31</v>
          </cell>
          <cell r="E169">
            <v>23</v>
          </cell>
        </row>
        <row r="170">
          <cell r="A170" t="str">
            <v>B07DQP8MPM</v>
          </cell>
          <cell r="B170">
            <v>19</v>
          </cell>
          <cell r="C170">
            <v>18</v>
          </cell>
          <cell r="D170">
            <v>14</v>
          </cell>
          <cell r="E170">
            <v>10</v>
          </cell>
        </row>
        <row r="171">
          <cell r="A171" t="str">
            <v>B07DVJW5HD</v>
          </cell>
          <cell r="B171">
            <v>12</v>
          </cell>
          <cell r="C171">
            <v>4</v>
          </cell>
          <cell r="D171">
            <v>18</v>
          </cell>
          <cell r="E171">
            <v>7</v>
          </cell>
        </row>
        <row r="172">
          <cell r="A172" t="str">
            <v>B07DXFH8CW</v>
          </cell>
          <cell r="B172">
            <v>8</v>
          </cell>
          <cell r="C172">
            <v>5</v>
          </cell>
          <cell r="D172">
            <v>4</v>
          </cell>
          <cell r="E172">
            <v>4</v>
          </cell>
        </row>
        <row r="173">
          <cell r="A173" t="str">
            <v>B07F634TZ1</v>
          </cell>
          <cell r="B173">
            <v>9</v>
          </cell>
          <cell r="C173">
            <v>0</v>
          </cell>
          <cell r="D173">
            <v>5</v>
          </cell>
          <cell r="E173">
            <v>5</v>
          </cell>
        </row>
        <row r="174">
          <cell r="A174" t="str">
            <v>B07F64BTCD</v>
          </cell>
          <cell r="B174">
            <v>7</v>
          </cell>
          <cell r="C174">
            <v>1</v>
          </cell>
          <cell r="D174">
            <v>2</v>
          </cell>
          <cell r="E174">
            <v>5</v>
          </cell>
        </row>
        <row r="175">
          <cell r="A175" t="str">
            <v>B07F6546YQ</v>
          </cell>
          <cell r="B175">
            <v>7</v>
          </cell>
          <cell r="C175">
            <v>1</v>
          </cell>
          <cell r="D175">
            <v>3</v>
          </cell>
          <cell r="E175">
            <v>2</v>
          </cell>
        </row>
        <row r="176">
          <cell r="A176" t="str">
            <v>B07F68CBMK</v>
          </cell>
          <cell r="B176">
            <v>18</v>
          </cell>
          <cell r="C176">
            <v>9</v>
          </cell>
          <cell r="D176">
            <v>19</v>
          </cell>
          <cell r="E176">
            <v>8</v>
          </cell>
        </row>
        <row r="177">
          <cell r="A177" t="str">
            <v>B07FCFK3BH</v>
          </cell>
          <cell r="B177">
            <v>8</v>
          </cell>
          <cell r="C177">
            <v>1</v>
          </cell>
          <cell r="D177">
            <v>4</v>
          </cell>
          <cell r="E177">
            <v>9</v>
          </cell>
        </row>
        <row r="178">
          <cell r="A178" t="str">
            <v>B07FCH27G9</v>
          </cell>
          <cell r="B178">
            <v>18</v>
          </cell>
          <cell r="C178">
            <v>14</v>
          </cell>
          <cell r="D178">
            <v>21</v>
          </cell>
          <cell r="E178">
            <v>20</v>
          </cell>
        </row>
        <row r="179">
          <cell r="A179" t="str">
            <v>B07FCHT1T1</v>
          </cell>
          <cell r="B179">
            <v>10</v>
          </cell>
          <cell r="C179">
            <v>3</v>
          </cell>
          <cell r="D179">
            <v>4</v>
          </cell>
          <cell r="E179">
            <v>4</v>
          </cell>
        </row>
        <row r="180">
          <cell r="A180" t="str">
            <v>B07FCJN913</v>
          </cell>
          <cell r="B180">
            <v>7</v>
          </cell>
          <cell r="C180">
            <v>6</v>
          </cell>
          <cell r="D180">
            <v>4</v>
          </cell>
          <cell r="E180">
            <v>8</v>
          </cell>
        </row>
        <row r="181">
          <cell r="A181" t="str">
            <v>B07FCJN97Z</v>
          </cell>
          <cell r="B181">
            <v>7</v>
          </cell>
          <cell r="C181">
            <v>8</v>
          </cell>
          <cell r="D181">
            <v>25</v>
          </cell>
          <cell r="E181">
            <v>17</v>
          </cell>
        </row>
        <row r="182">
          <cell r="A182" t="str">
            <v>B07FZZH8SL</v>
          </cell>
          <cell r="B182">
            <v>11</v>
          </cell>
          <cell r="C182">
            <v>4</v>
          </cell>
          <cell r="D182">
            <v>14</v>
          </cell>
          <cell r="E182">
            <v>0</v>
          </cell>
        </row>
        <row r="183">
          <cell r="A183" t="str">
            <v>B0776NWKMG</v>
          </cell>
          <cell r="B183">
            <v>0</v>
          </cell>
          <cell r="C183">
            <v>1</v>
          </cell>
          <cell r="D183">
            <v>11</v>
          </cell>
          <cell r="E183">
            <v>0</v>
          </cell>
        </row>
        <row r="184">
          <cell r="A184" t="str">
            <v>B077NC4276</v>
          </cell>
          <cell r="B184">
            <v>2</v>
          </cell>
          <cell r="C184">
            <v>2</v>
          </cell>
          <cell r="D184">
            <v>2</v>
          </cell>
          <cell r="E184">
            <v>0</v>
          </cell>
        </row>
        <row r="185">
          <cell r="A185" t="str">
            <v>B078MRF99V</v>
          </cell>
          <cell r="B185">
            <v>0</v>
          </cell>
          <cell r="C185">
            <v>0</v>
          </cell>
          <cell r="D185">
            <v>1</v>
          </cell>
          <cell r="E185">
            <v>0</v>
          </cell>
        </row>
        <row r="186">
          <cell r="A186" t="str">
            <v>B07CXR59ZM</v>
          </cell>
          <cell r="B186">
            <v>4</v>
          </cell>
          <cell r="C186">
            <v>3</v>
          </cell>
          <cell r="D186">
            <v>2</v>
          </cell>
          <cell r="E186">
            <v>0</v>
          </cell>
        </row>
        <row r="187">
          <cell r="A187" t="str">
            <v>B07DK8XH42</v>
          </cell>
          <cell r="B187">
            <v>0</v>
          </cell>
          <cell r="C187">
            <v>4</v>
          </cell>
          <cell r="D187">
            <v>4</v>
          </cell>
          <cell r="E187">
            <v>0</v>
          </cell>
        </row>
        <row r="188">
          <cell r="A188" t="str">
            <v>B07DQLD39H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850</v>
          </cell>
          <cell r="C2">
            <v>14</v>
          </cell>
          <cell r="D2">
            <v>50</v>
          </cell>
          <cell r="E2">
            <v>1</v>
          </cell>
          <cell r="F2">
            <v>51</v>
          </cell>
          <cell r="G2">
            <v>12</v>
          </cell>
          <cell r="H2">
            <v>60</v>
          </cell>
          <cell r="I2">
            <v>3</v>
          </cell>
          <cell r="J2">
            <v>340</v>
          </cell>
          <cell r="K2">
            <v>41</v>
          </cell>
          <cell r="L2">
            <v>27</v>
          </cell>
          <cell r="M2">
            <v>0</v>
          </cell>
        </row>
        <row r="3">
          <cell r="A3" t="str">
            <v>GT-WFTFGT200-220</v>
          </cell>
          <cell r="B3">
            <v>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2</v>
          </cell>
          <cell r="I3">
            <v>0</v>
          </cell>
          <cell r="J3">
            <v>5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BDB-WF212-CW-M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2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BLT-WF125-COW</v>
          </cell>
          <cell r="B5">
            <v>16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1</v>
          </cell>
          <cell r="I5">
            <v>0</v>
          </cell>
          <cell r="J5">
            <v>19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SG-LUHM050-K0</v>
          </cell>
          <cell r="B6">
            <v>15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3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JS-LUHM100-ZFX</v>
          </cell>
          <cell r="B7">
            <v>5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1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JS-LUHM100-KLT</v>
          </cell>
          <cell r="B8">
            <v>9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3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SDSZH-RG</v>
          </cell>
          <cell r="B9">
            <v>1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47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JS-LUHM100-JSZFX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SQ-LUHM304</v>
          </cell>
          <cell r="B11">
            <v>38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SL-LULW818-PI-L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YQ-LUHM-F111</v>
          </cell>
          <cell r="B13">
            <v>13</v>
          </cell>
          <cell r="C13">
            <v>0</v>
          </cell>
          <cell r="D13">
            <v>50</v>
          </cell>
          <cell r="E13">
            <v>1</v>
          </cell>
          <cell r="F13">
            <v>51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SG-LUHM100-K0</v>
          </cell>
          <cell r="B14">
            <v>17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XK-YIWUJS2-BR-6IN</v>
          </cell>
          <cell r="B15">
            <v>12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XK-YIWUJS2-BR-7IN</v>
          </cell>
          <cell r="B16">
            <v>7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1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ZB-WF029-CF-L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SQ-LUHM404</v>
          </cell>
          <cell r="B18">
            <v>18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1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ZYL-FLQ59-BF-32</v>
          </cell>
          <cell r="B19">
            <v>4</v>
          </cell>
          <cell r="C19">
            <v>1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ZYL-FLQ06-BG-40</v>
          </cell>
          <cell r="B20">
            <v>5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2</v>
          </cell>
          <cell r="I20">
            <v>0</v>
          </cell>
          <cell r="J20">
            <v>5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ZB-WF029-WO-L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2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ZYL-FLQ06-TZ-40</v>
          </cell>
          <cell r="B22">
            <v>12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11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ZQ-WF002-PI-M</v>
          </cell>
          <cell r="B23">
            <v>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3</v>
          </cell>
          <cell r="L23">
            <v>0</v>
          </cell>
          <cell r="M23">
            <v>0</v>
          </cell>
        </row>
        <row r="24">
          <cell r="A24" t="str">
            <v>GT-WFTFGT200-221</v>
          </cell>
          <cell r="B24">
            <v>4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4</v>
          </cell>
          <cell r="M24">
            <v>0</v>
          </cell>
        </row>
        <row r="25">
          <cell r="A25" t="str">
            <v>WB-LUHM002-R0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BA-FLQ02-SI-6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2</v>
          </cell>
          <cell r="L26">
            <v>0</v>
          </cell>
          <cell r="M26">
            <v>0</v>
          </cell>
        </row>
        <row r="27">
          <cell r="A27" t="str">
            <v>GT-WFTFGT200-209</v>
          </cell>
          <cell r="B27">
            <v>5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5</v>
          </cell>
          <cell r="L27">
            <v>0</v>
          </cell>
          <cell r="M27">
            <v>0</v>
          </cell>
        </row>
        <row r="28">
          <cell r="A28" t="str">
            <v>SDSZH-TS-2</v>
          </cell>
          <cell r="B28">
            <v>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1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SQ-LUHM90A</v>
          </cell>
          <cell r="B29">
            <v>15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XK-YIWUJS2-Y0-7IN</v>
          </cell>
          <cell r="B30">
            <v>20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SQ-LUHM204</v>
          </cell>
          <cell r="B31">
            <v>31</v>
          </cell>
          <cell r="C31">
            <v>1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ZYL-FLQ59-YD-32</v>
          </cell>
          <cell r="B32">
            <v>30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30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GT-WFY1-E2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1</v>
          </cell>
          <cell r="L33">
            <v>0</v>
          </cell>
          <cell r="M33">
            <v>0</v>
          </cell>
        </row>
        <row r="34">
          <cell r="A34" t="str">
            <v>BDB-LUHM001-K0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HYD-WF7995-BO-XL</v>
          </cell>
          <cell r="B35">
            <v>2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2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GT-WFY1-E3</v>
          </cell>
          <cell r="B36">
            <v>2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2</v>
          </cell>
          <cell r="L36">
            <v>0</v>
          </cell>
          <cell r="M36">
            <v>0</v>
          </cell>
        </row>
        <row r="37">
          <cell r="A37" t="str">
            <v>BLT-LUHM000-LB</v>
          </cell>
          <cell r="B37">
            <v>18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7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HYD-WF7995-RO-XL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1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CD-WF-GD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2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ZB-WF029-WO-M</v>
          </cell>
          <cell r="B40">
            <v>3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</v>
          </cell>
          <cell r="L40">
            <v>0</v>
          </cell>
          <cell r="M40">
            <v>0</v>
          </cell>
        </row>
        <row r="41">
          <cell r="A41" t="str">
            <v>SNT-LUHM001-HW</v>
          </cell>
          <cell r="B41">
            <v>3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XK-YIWUJS2-Y0-6IN</v>
          </cell>
          <cell r="B42">
            <v>11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1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BLT-LUHM000-GL</v>
          </cell>
          <cell r="B43">
            <v>9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GT-WFY1-E4</v>
          </cell>
          <cell r="B44">
            <v>4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GT-WFTFGT200-213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BLT-LUHM819-W0</v>
          </cell>
          <cell r="B46">
            <v>7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7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XK-YIWUJS-GY-7IN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2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CWB-WF021-QB-XL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ST-FLQ110-PI-M</v>
          </cell>
          <cell r="B49">
            <v>2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2</v>
          </cell>
          <cell r="M49">
            <v>0</v>
          </cell>
        </row>
        <row r="50">
          <cell r="A50" t="str">
            <v>ST-FLQ110-PI-L</v>
          </cell>
          <cell r="B50">
            <v>5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5</v>
          </cell>
          <cell r="M50">
            <v>0</v>
          </cell>
        </row>
        <row r="51">
          <cell r="A51" t="str">
            <v>JS-LUHM100-LX</v>
          </cell>
          <cell r="B51">
            <v>7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GSQPQ-WF2012-GO</v>
          </cell>
          <cell r="B52">
            <v>7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1</v>
          </cell>
          <cell r="K52">
            <v>6</v>
          </cell>
          <cell r="L52">
            <v>0</v>
          </cell>
          <cell r="M52">
            <v>0</v>
          </cell>
        </row>
        <row r="53">
          <cell r="A53" t="str">
            <v>BLT-LUHM000-GR</v>
          </cell>
          <cell r="B53">
            <v>11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SNT-LUHM001-KT</v>
          </cell>
          <cell r="B54">
            <v>4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GT-WFTFGT200-214</v>
          </cell>
          <cell r="B55">
            <v>3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GB-LUHM035-BE</v>
          </cell>
          <cell r="B56">
            <v>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BDB-LUHM001-G0</v>
          </cell>
          <cell r="B57">
            <v>2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ST-FLQ110-KO-L</v>
          </cell>
          <cell r="B58">
            <v>5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5</v>
          </cell>
          <cell r="M58">
            <v>0</v>
          </cell>
        </row>
        <row r="59">
          <cell r="A59" t="str">
            <v>GT-WFY1-E1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BLT-WF125-LION</v>
          </cell>
          <cell r="B60">
            <v>24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22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ZYL-FLQ59-BY-32</v>
          </cell>
          <cell r="B61">
            <v>29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29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JS-LUHM100-LBX</v>
          </cell>
          <cell r="B62">
            <v>7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SD-LUHM202-PI</v>
          </cell>
          <cell r="B63">
            <v>3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3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BDB-LUHM001-B0</v>
          </cell>
          <cell r="B64">
            <v>2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BDB-LUHM001-R0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ZDD-FLQ07-MC-28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BLT-NWF125-Panda</v>
          </cell>
          <cell r="B67">
            <v>2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YQ-LUHM-F114</v>
          </cell>
          <cell r="B68">
            <v>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GB-LUHM035-P0</v>
          </cell>
          <cell r="B69">
            <v>1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JS-LUHM100-XJQ</v>
          </cell>
          <cell r="B70">
            <v>18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BLT-WF125-PANDA</v>
          </cell>
          <cell r="B71">
            <v>16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16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GT-WFTFGT200-223</v>
          </cell>
          <cell r="B72">
            <v>10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10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SD-LUHM202-Y0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4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ZYL-FLQ59-TZ-32</v>
          </cell>
          <cell r="B74">
            <v>42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42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SNT-LUHM001-GQ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BLT-WF125-CAT</v>
          </cell>
          <cell r="B76">
            <v>21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21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XK-YIWUJS-Y0-7IN</v>
          </cell>
          <cell r="B77">
            <v>3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3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ZYL-FLQ2013-RO-36</v>
          </cell>
          <cell r="B78">
            <v>20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ZYL-FLQ2013-DX-36</v>
          </cell>
          <cell r="B79">
            <v>16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16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WY-WF1217-RO-L</v>
          </cell>
          <cell r="B80">
            <v>5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5</v>
          </cell>
          <cell r="L80">
            <v>0</v>
          </cell>
          <cell r="M80">
            <v>0</v>
          </cell>
        </row>
        <row r="81">
          <cell r="A81" t="str">
            <v>ZB-WF029-CF-M</v>
          </cell>
          <cell r="B81">
            <v>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4</v>
          </cell>
          <cell r="L81">
            <v>0</v>
          </cell>
          <cell r="M81">
            <v>0</v>
          </cell>
        </row>
        <row r="82">
          <cell r="A82" t="str">
            <v>BLT-LUHM000-RB</v>
          </cell>
          <cell r="B82">
            <v>17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5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QQ-LUHM-801-B0</v>
          </cell>
          <cell r="B83">
            <v>15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QLQ-LUHM121-G0</v>
          </cell>
          <cell r="B84">
            <v>1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ST-LAHM-LG-001</v>
          </cell>
          <cell r="B85">
            <v>24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ZQ-WF002-BO-M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3</v>
          </cell>
          <cell r="L86">
            <v>0</v>
          </cell>
          <cell r="M86">
            <v>0</v>
          </cell>
        </row>
        <row r="87">
          <cell r="A87" t="str">
            <v>SD-LUHM202-B0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LYQ-WF1010-WO-M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GB-LUHM035-B0</v>
          </cell>
          <cell r="B89">
            <v>3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BDB-WF212-SJS-M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</v>
          </cell>
          <cell r="K90">
            <v>1</v>
          </cell>
          <cell r="L90">
            <v>0</v>
          </cell>
          <cell r="M90">
            <v>0</v>
          </cell>
        </row>
        <row r="91">
          <cell r="A91" t="str">
            <v>SDSZH-BS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2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BLT-LUHM000-CL</v>
          </cell>
          <cell r="B92">
            <v>12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2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ZYL-FLQ2013-YO-36</v>
          </cell>
          <cell r="B93">
            <v>20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10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SD-LUHM202-X0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2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ZDD-FLQ08-PO-28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WB-LUHM002-G0</v>
          </cell>
          <cell r="B96">
            <v>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BDB-WF212-SH-M</v>
          </cell>
          <cell r="B97">
            <v>7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7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XK-YIWUJS-Y0-6IN</v>
          </cell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3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ST-FLQ110-KO-M</v>
          </cell>
          <cell r="B99">
            <v>4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4</v>
          </cell>
          <cell r="M99">
            <v>0</v>
          </cell>
        </row>
        <row r="100">
          <cell r="A100" t="str">
            <v>GT-WFTFGT200-216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4</v>
          </cell>
          <cell r="L100">
            <v>0</v>
          </cell>
          <cell r="M100">
            <v>0</v>
          </cell>
        </row>
        <row r="101">
          <cell r="A101" t="str">
            <v>ST-FLQ110-KO-XL</v>
          </cell>
          <cell r="B101">
            <v>5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5</v>
          </cell>
          <cell r="M101">
            <v>0</v>
          </cell>
        </row>
        <row r="102">
          <cell r="A102" t="str">
            <v>LYQ-NWF10-KO-S</v>
          </cell>
          <cell r="B102">
            <v>3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ST-FLQ110-PI-S</v>
          </cell>
          <cell r="B103">
            <v>4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1</v>
          </cell>
          <cell r="K103">
            <v>1</v>
          </cell>
          <cell r="L103">
            <v>2</v>
          </cell>
          <cell r="M103">
            <v>0</v>
          </cell>
        </row>
        <row r="104">
          <cell r="A104" t="str">
            <v>YQ-LUHM-F112</v>
          </cell>
          <cell r="B104">
            <v>12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ZYL-FLQ06-HG-40</v>
          </cell>
          <cell r="B105">
            <v>17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13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SNT-LUHM001-WX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ZYL-FLQ59-TW-32</v>
          </cell>
          <cell r="B107">
            <v>12</v>
          </cell>
          <cell r="C107">
            <v>3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11</v>
          </cell>
          <cell r="K107">
            <v>1</v>
          </cell>
          <cell r="L107">
            <v>0</v>
          </cell>
          <cell r="M107">
            <v>0</v>
          </cell>
        </row>
        <row r="108">
          <cell r="A108" t="str">
            <v>JS-LUHM100-AX</v>
          </cell>
          <cell r="B108">
            <v>6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SD-LUHM202-G0-X</v>
          </cell>
          <cell r="B109">
            <v>4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4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BA-FLQ02-BO-6</v>
          </cell>
          <cell r="B110">
            <v>0</v>
          </cell>
          <cell r="C110">
            <v>3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BA-FLQ02-GD-4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BA-FLQ02-GD-6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BA-FLQ02-R2-4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BA-FLQ02-R2-6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BA-FLQ02-SI-4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BD-LUHM001-X0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BDB-LUHM001-Y0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BDB-LUHM001-ZL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BDB-WF212-BJX-M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BDB-WF212-JY-M</v>
          </cell>
          <cell r="B120">
            <v>0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BLT-LUHM000-CR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BLT-NWF125-Cat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BZ-WF211-BO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BZ-WF211-GR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CD-WF-CF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CD-WF-KK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CD-WF-SG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CD-WF001-CF-1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CD-WF001-GO-1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CD-WF001-GR-1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CD-WF001-KK-1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CD-WF001-RO-1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CD-WF0728-4C</v>
          </cell>
          <cell r="B133">
            <v>0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CD-WF117-GR-1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CD-WF117-WM-1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CD-WF482-BO</v>
          </cell>
          <cell r="B136">
            <v>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CD-WF482-BO-1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CD-WF482-CB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CD-WF482-CB-1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CD-WF482-RO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CD-WF482-RO-1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CLP-FLQ43-CS100-100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CLP-FLQ43-CS60-60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CQC-WF6346-BO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CQC-WF6346-GO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CQC-WF6346-PO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CWB-FLQ1703-GR-47</v>
          </cell>
          <cell r="B147">
            <v>0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CWB-WF021-CF-L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CWB-WF021-CF-M</v>
          </cell>
          <cell r="B149">
            <v>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CWB-WF021-CF-S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CWB-WF021-CF-XL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CWB-WF021-QB-L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CWB-WF021-QB-M</v>
          </cell>
          <cell r="B153">
            <v>0</v>
          </cell>
          <cell r="C153">
            <v>2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CWB-WF021-QB-S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CWB-WF021-RB-L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CWB-WF021-RB-M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CWB-WF021-RB-S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CWB-WF021-RB-XL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GT-WFTFGT200-224</v>
          </cell>
          <cell r="B159">
            <v>0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LYQ-WF1010-BO-2X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LYQ-WF1010-BO-L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LYQ-WF1010-BO-M</v>
          </cell>
          <cell r="B162">
            <v>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LYQ-WF1010-BO-S</v>
          </cell>
          <cell r="B163">
            <v>0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LYQ-WF1010-BO-XL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LYQ-WF1010-K0-2L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LYQ-WF1010-KO-L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LYQ-WF1010-KO-M</v>
          </cell>
          <cell r="B167">
            <v>0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LYQ-WF1010-KO-S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LYQ-WF1010-KO-XL</v>
          </cell>
          <cell r="B169">
            <v>0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LYQ-WF1010-NO-2L</v>
          </cell>
          <cell r="B170">
            <v>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LYQ-WF1010-NO-L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LYQ-WF1010-NO-S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LYQ-WF1010-NO-XL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LYQ-WF1010-NO-XS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LYQ-WF1010-PO-2L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LYQ-WF1010-PO-L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LYQ-WF1010-PO-M</v>
          </cell>
          <cell r="B177">
            <v>1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LYQ-WF1010-PO-S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LYQ-WF1010-PO-XL</v>
          </cell>
          <cell r="B179">
            <v>0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LYQ-WF1010-WO-2L</v>
          </cell>
          <cell r="B180">
            <v>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LYQ-WF1010-WO-XL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ND-LUHM027-PI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QLQ-LUHM121-GM</v>
          </cell>
          <cell r="B183">
            <v>0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QLQ-LUHM121-WO</v>
          </cell>
          <cell r="B184">
            <v>0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QLQ-LUHM121-WT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QLQ-WF121-WO</v>
          </cell>
          <cell r="B186">
            <v>0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RYMT-WF712-GO-L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RYMT-WF712-PI-L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RYMT-WF712-PO-L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SB-LUHM100-B0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SB-LUHM100-G0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SB-LUHM100-K0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SB-LUHM100-R0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SB-LUHM101-B0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SL-LULW812-PI-M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SL-LULW818-BO-L</v>
          </cell>
          <cell r="B196">
            <v>0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SL-LULW818-PI-M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SL-LULW818-RO-L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SND-FLQ17-NO-108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SND-FLQ18-SJ-74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SND-FLQ18-SJ-80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SND-WF5150-WO</v>
          </cell>
          <cell r="B202">
            <v>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SND-WF5150-WO2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SNH-LUHM001-E0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SNH-LUHM001-G0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SNH-LUHM001-K0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SNH-LUHM001-W0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SNH-LUHM001-Y0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SNT-LUHM001-BS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SNT-LUHM001-DX</v>
          </cell>
          <cell r="B210">
            <v>0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SNT-LUHM001-HY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SNT-LUHM001-ZX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SQ-LUHM354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WB-LUHM002-B0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WB-LUHM002-E0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WY-WF1217-GR-L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WY-WF1217-GR-M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WY-WF1217-GR-S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WY-WF1217-GR-XL</v>
          </cell>
          <cell r="B219">
            <v>0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WY-WF1217-KO-L</v>
          </cell>
          <cell r="B220">
            <v>0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WY-WF1217-KO-M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WY-WF1217-KO-S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WY-WF1217-KO-XL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WY-WF1217-RO-M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WY-WF1217-RO-S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WY-WF1217-RO-XL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WY-WF1217-YO-L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WY-WF1217-YO-M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WY-WF1217-YO-S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WY-WF1217-YO-XL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WY-WF1225-BO-L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WY-WF1225-BO-M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WY-WF1225-BO-S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WY-WF1225-BO-XL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WY-WF1225-GR-L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WY-WF1225-GR-M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WY-WF1225-GR-S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WY-WF1225-GR-XL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XK-YIWUJS-GY-6IN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XK-YIWUJS-PJ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XK-YIWUJS2-PJ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XM-LUHM111-HMG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XM-LUHM111-X0</v>
          </cell>
          <cell r="B243">
            <v>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XQ-LUHM034-X0</v>
          </cell>
          <cell r="B244">
            <v>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XQ-LUHM089-PI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XYD-F02-3C-3S</v>
          </cell>
          <cell r="B246">
            <v>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ZDD-FLQ08-BO-28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ZDD-FLQ08-GR-28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ZDD-FLQ08-RO-28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ZYL-FLQ06-BF-40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22.77</v>
          </cell>
        </row>
        <row r="3">
          <cell r="G3">
            <v>260.11</v>
          </cell>
        </row>
        <row r="3">
          <cell r="J3">
            <v>443.18</v>
          </cell>
        </row>
        <row r="3">
          <cell r="M3">
            <v>225.47</v>
          </cell>
        </row>
        <row r="4">
          <cell r="A4" t="str">
            <v>SQ-LUHM354</v>
          </cell>
          <cell r="B4">
            <v>5392</v>
          </cell>
          <cell r="C4">
            <v>9</v>
          </cell>
          <cell r="D4">
            <v>5.48</v>
          </cell>
          <cell r="E4">
            <v>7804</v>
          </cell>
          <cell r="F4">
            <v>13</v>
          </cell>
          <cell r="G4">
            <v>7.44</v>
          </cell>
          <cell r="H4">
            <v>40839</v>
          </cell>
          <cell r="I4">
            <v>78</v>
          </cell>
          <cell r="J4">
            <v>52.11</v>
          </cell>
          <cell r="K4">
            <v>49045</v>
          </cell>
          <cell r="L4">
            <v>118</v>
          </cell>
          <cell r="M4">
            <v>79.11</v>
          </cell>
        </row>
        <row r="5">
          <cell r="A5" t="str">
            <v>ST-LAHM-LG-001</v>
          </cell>
          <cell r="B5">
            <v>0</v>
          </cell>
          <cell r="C5">
            <v>0</v>
          </cell>
          <cell r="D5">
            <v>0</v>
          </cell>
          <cell r="E5">
            <v>1585</v>
          </cell>
          <cell r="F5">
            <v>5</v>
          </cell>
          <cell r="G5">
            <v>2.73</v>
          </cell>
          <cell r="H5">
            <v>1815</v>
          </cell>
          <cell r="I5">
            <v>7</v>
          </cell>
          <cell r="J5">
            <v>2.97</v>
          </cell>
          <cell r="K5">
            <v>1699</v>
          </cell>
          <cell r="L5">
            <v>7</v>
          </cell>
          <cell r="M5">
            <v>2.51</v>
          </cell>
        </row>
        <row r="6">
          <cell r="A6" t="str">
            <v>SB-LUHM100-K0</v>
          </cell>
          <cell r="B6">
            <v>0</v>
          </cell>
          <cell r="C6">
            <v>0</v>
          </cell>
          <cell r="D6">
            <v>0</v>
          </cell>
          <cell r="E6">
            <v>570</v>
          </cell>
          <cell r="F6">
            <v>7</v>
          </cell>
          <cell r="G6">
            <v>3.91</v>
          </cell>
          <cell r="H6">
            <v>189</v>
          </cell>
          <cell r="I6">
            <v>0</v>
          </cell>
          <cell r="J6">
            <v>0</v>
          </cell>
          <cell r="K6">
            <v>88</v>
          </cell>
          <cell r="L6">
            <v>0</v>
          </cell>
          <cell r="M6">
            <v>0</v>
          </cell>
        </row>
        <row r="7">
          <cell r="A7" t="str">
            <v>SB-LUHM100-R0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20124</v>
          </cell>
          <cell r="I7">
            <v>77</v>
          </cell>
          <cell r="J7">
            <v>31.31</v>
          </cell>
          <cell r="K7">
            <v>28310</v>
          </cell>
          <cell r="L7">
            <v>152</v>
          </cell>
          <cell r="M7">
            <v>56.73</v>
          </cell>
        </row>
        <row r="8">
          <cell r="A8" t="str">
            <v>WB-LUHM002-G0</v>
          </cell>
          <cell r="B8">
            <v>0</v>
          </cell>
          <cell r="C8">
            <v>0</v>
          </cell>
          <cell r="D8">
            <v>0</v>
          </cell>
          <cell r="E8">
            <v>5031</v>
          </cell>
          <cell r="F8">
            <v>97</v>
          </cell>
          <cell r="G8">
            <v>30.05</v>
          </cell>
          <cell r="H8">
            <v>16768</v>
          </cell>
          <cell r="I8">
            <v>174</v>
          </cell>
          <cell r="J8">
            <v>48.76</v>
          </cell>
          <cell r="K8">
            <v>10298</v>
          </cell>
          <cell r="L8">
            <v>34</v>
          </cell>
          <cell r="M8">
            <v>8.1</v>
          </cell>
        </row>
        <row r="9">
          <cell r="A9" t="str">
            <v>WB-LUHM002-R0</v>
          </cell>
          <cell r="B9">
            <v>0</v>
          </cell>
          <cell r="C9">
            <v>0</v>
          </cell>
          <cell r="D9">
            <v>0</v>
          </cell>
          <cell r="E9">
            <v>899</v>
          </cell>
          <cell r="F9">
            <v>2</v>
          </cell>
          <cell r="G9">
            <v>0.73</v>
          </cell>
          <cell r="H9">
            <v>5459</v>
          </cell>
          <cell r="I9">
            <v>24</v>
          </cell>
          <cell r="J9">
            <v>5.57</v>
          </cell>
          <cell r="K9">
            <v>1476</v>
          </cell>
          <cell r="L9">
            <v>7</v>
          </cell>
          <cell r="M9">
            <v>1.39</v>
          </cell>
        </row>
        <row r="10">
          <cell r="A10" t="str">
            <v>YQ-LUHM-F111</v>
          </cell>
          <cell r="B10">
            <v>0</v>
          </cell>
          <cell r="C10">
            <v>0</v>
          </cell>
          <cell r="D10">
            <v>0</v>
          </cell>
          <cell r="E10">
            <v>2123</v>
          </cell>
          <cell r="F10">
            <v>5</v>
          </cell>
          <cell r="G10">
            <v>4.33</v>
          </cell>
          <cell r="H10">
            <v>4110</v>
          </cell>
          <cell r="I10">
            <v>11</v>
          </cell>
          <cell r="J10">
            <v>10.64</v>
          </cell>
          <cell r="K10">
            <v>3222</v>
          </cell>
          <cell r="L10">
            <v>7</v>
          </cell>
          <cell r="M10">
            <v>6.68</v>
          </cell>
        </row>
        <row r="11">
          <cell r="A11" t="str">
            <v>ZYL-FLQ06-BF-40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1360</v>
          </cell>
          <cell r="L11">
            <v>9</v>
          </cell>
          <cell r="M11">
            <v>2.43</v>
          </cell>
        </row>
        <row r="12">
          <cell r="A12" t="str">
            <v>ZYL-FLQ59-BF-32</v>
          </cell>
          <cell r="B12">
            <v>0</v>
          </cell>
          <cell r="C12">
            <v>0</v>
          </cell>
          <cell r="D12">
            <v>0</v>
          </cell>
          <cell r="E12">
            <v>25109</v>
          </cell>
          <cell r="F12">
            <v>105</v>
          </cell>
          <cell r="G12">
            <v>63.68</v>
          </cell>
          <cell r="H12">
            <v>71415</v>
          </cell>
          <cell r="I12">
            <v>106</v>
          </cell>
          <cell r="J12">
            <v>58.56</v>
          </cell>
          <cell r="K12">
            <v>7443</v>
          </cell>
          <cell r="L12">
            <v>43</v>
          </cell>
          <cell r="M12">
            <v>23.72</v>
          </cell>
        </row>
        <row r="13">
          <cell r="A13" t="str">
            <v>XK-YIWUJS-GY-7IN</v>
          </cell>
          <cell r="B13">
            <v>0</v>
          </cell>
          <cell r="C13">
            <v>0</v>
          </cell>
          <cell r="D13">
            <v>0</v>
          </cell>
          <cell r="E13">
            <v>3</v>
          </cell>
          <cell r="F13">
            <v>0</v>
          </cell>
          <cell r="G13">
            <v>0</v>
          </cell>
          <cell r="H13">
            <v>7</v>
          </cell>
          <cell r="I13">
            <v>0</v>
          </cell>
          <cell r="J13">
            <v>0</v>
          </cell>
          <cell r="K13">
            <v>4</v>
          </cell>
          <cell r="L13">
            <v>0</v>
          </cell>
          <cell r="M13">
            <v>0</v>
          </cell>
        </row>
        <row r="14">
          <cell r="A14" t="str">
            <v>XK-YIWUJS-Y0-7IN</v>
          </cell>
          <cell r="B14">
            <v>0</v>
          </cell>
          <cell r="C14">
            <v>0</v>
          </cell>
          <cell r="D14">
            <v>0</v>
          </cell>
          <cell r="E14">
            <v>3</v>
          </cell>
          <cell r="F14">
            <v>0</v>
          </cell>
          <cell r="G14">
            <v>0</v>
          </cell>
          <cell r="H14">
            <v>7</v>
          </cell>
          <cell r="I14">
            <v>0</v>
          </cell>
          <cell r="J14">
            <v>0</v>
          </cell>
          <cell r="K14">
            <v>4</v>
          </cell>
          <cell r="L14">
            <v>0</v>
          </cell>
          <cell r="M14">
            <v>0</v>
          </cell>
        </row>
        <row r="15">
          <cell r="A15" t="str">
            <v>XK-YIWUJS2-BR-6IN</v>
          </cell>
          <cell r="B15">
            <v>0</v>
          </cell>
          <cell r="C15">
            <v>0</v>
          </cell>
          <cell r="D15">
            <v>0</v>
          </cell>
          <cell r="E15">
            <v>21</v>
          </cell>
          <cell r="F15">
            <v>1</v>
          </cell>
          <cell r="G15">
            <v>0.75</v>
          </cell>
          <cell r="H15">
            <v>117</v>
          </cell>
          <cell r="I15">
            <v>0</v>
          </cell>
          <cell r="J15">
            <v>0</v>
          </cell>
          <cell r="K15">
            <v>188</v>
          </cell>
          <cell r="L15">
            <v>1</v>
          </cell>
          <cell r="M15">
            <v>0.75</v>
          </cell>
        </row>
        <row r="16">
          <cell r="A16" t="str">
            <v>XK-YIWUJS2-BR-7IN</v>
          </cell>
          <cell r="B16">
            <v>0</v>
          </cell>
          <cell r="C16">
            <v>0</v>
          </cell>
          <cell r="D16">
            <v>0</v>
          </cell>
          <cell r="E16">
            <v>63</v>
          </cell>
          <cell r="F16">
            <v>1</v>
          </cell>
          <cell r="G16">
            <v>0.63</v>
          </cell>
          <cell r="H16">
            <v>135</v>
          </cell>
          <cell r="I16">
            <v>0</v>
          </cell>
          <cell r="J16">
            <v>0</v>
          </cell>
          <cell r="K16">
            <v>74</v>
          </cell>
          <cell r="L16">
            <v>1</v>
          </cell>
          <cell r="M16">
            <v>0.58</v>
          </cell>
        </row>
        <row r="17">
          <cell r="A17" t="str">
            <v>XK-YIWUJS2-Y0-6IN</v>
          </cell>
          <cell r="B17">
            <v>0</v>
          </cell>
          <cell r="C17">
            <v>0</v>
          </cell>
          <cell r="D17">
            <v>0</v>
          </cell>
          <cell r="E17">
            <v>33</v>
          </cell>
          <cell r="F17">
            <v>0</v>
          </cell>
          <cell r="G17">
            <v>0</v>
          </cell>
          <cell r="H17">
            <v>48</v>
          </cell>
          <cell r="I17">
            <v>0</v>
          </cell>
          <cell r="J17">
            <v>0</v>
          </cell>
          <cell r="K17">
            <v>50</v>
          </cell>
          <cell r="L17">
            <v>0</v>
          </cell>
          <cell r="M17">
            <v>0</v>
          </cell>
        </row>
        <row r="18">
          <cell r="A18" t="str">
            <v>XK-YIWUJS2-Y0-7IN</v>
          </cell>
          <cell r="B18">
            <v>0</v>
          </cell>
          <cell r="C18">
            <v>0</v>
          </cell>
          <cell r="D18">
            <v>0</v>
          </cell>
          <cell r="E18">
            <v>31</v>
          </cell>
          <cell r="F18">
            <v>2</v>
          </cell>
          <cell r="G18">
            <v>0.74</v>
          </cell>
          <cell r="H18">
            <v>68</v>
          </cell>
          <cell r="I18">
            <v>1</v>
          </cell>
          <cell r="J18">
            <v>0.75</v>
          </cell>
          <cell r="K18">
            <v>40</v>
          </cell>
          <cell r="L18">
            <v>0</v>
          </cell>
          <cell r="M18">
            <v>0</v>
          </cell>
        </row>
        <row r="19">
          <cell r="A19" t="str">
            <v>GB-LUHM035-P0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11742</v>
          </cell>
          <cell r="L19">
            <v>39</v>
          </cell>
          <cell r="M19">
            <v>11.84</v>
          </cell>
        </row>
        <row r="20">
          <cell r="A20" t="str">
            <v>BDB-LUHM001-B0</v>
          </cell>
          <cell r="B20">
            <v>0</v>
          </cell>
          <cell r="C20">
            <v>0</v>
          </cell>
          <cell r="D20">
            <v>0</v>
          </cell>
          <cell r="E20">
            <v>126</v>
          </cell>
          <cell r="F20">
            <v>0</v>
          </cell>
          <cell r="G20">
            <v>0</v>
          </cell>
          <cell r="H20">
            <v>772</v>
          </cell>
          <cell r="I20">
            <v>1</v>
          </cell>
          <cell r="J20">
            <v>0.34</v>
          </cell>
          <cell r="K20">
            <v>335</v>
          </cell>
          <cell r="L20">
            <v>4</v>
          </cell>
          <cell r="M20">
            <v>0.98</v>
          </cell>
        </row>
        <row r="21">
          <cell r="A21" t="str">
            <v>SG-LUHM050-K0</v>
          </cell>
          <cell r="B21">
            <v>1524</v>
          </cell>
          <cell r="C21">
            <v>2</v>
          </cell>
          <cell r="D21">
            <v>0.72</v>
          </cell>
          <cell r="E21">
            <v>2075</v>
          </cell>
          <cell r="F21">
            <v>1</v>
          </cell>
          <cell r="G21">
            <v>0.84</v>
          </cell>
          <cell r="H21">
            <v>2053</v>
          </cell>
          <cell r="I21">
            <v>3</v>
          </cell>
          <cell r="J21">
            <v>3.11</v>
          </cell>
          <cell r="K21">
            <v>1710</v>
          </cell>
          <cell r="L21">
            <v>1</v>
          </cell>
          <cell r="M21">
            <v>1.22</v>
          </cell>
        </row>
        <row r="22">
          <cell r="A22" t="str">
            <v>BDB-LUHM001-K0</v>
          </cell>
          <cell r="B22">
            <v>0</v>
          </cell>
          <cell r="C22">
            <v>0</v>
          </cell>
          <cell r="D22">
            <v>0</v>
          </cell>
          <cell r="E22">
            <v>76</v>
          </cell>
          <cell r="F22">
            <v>0</v>
          </cell>
          <cell r="G22">
            <v>0</v>
          </cell>
          <cell r="H22">
            <v>101</v>
          </cell>
          <cell r="I22">
            <v>3</v>
          </cell>
          <cell r="J22">
            <v>0.8</v>
          </cell>
          <cell r="K22">
            <v>202</v>
          </cell>
          <cell r="L22">
            <v>3</v>
          </cell>
          <cell r="M22">
            <v>0.67</v>
          </cell>
        </row>
        <row r="23">
          <cell r="A23" t="str">
            <v>JS-LUHM100-LBX</v>
          </cell>
          <cell r="B23">
            <v>21</v>
          </cell>
          <cell r="C23">
            <v>0</v>
          </cell>
          <cell r="D23">
            <v>0</v>
          </cell>
          <cell r="E23">
            <v>126</v>
          </cell>
          <cell r="F23">
            <v>1</v>
          </cell>
          <cell r="G23">
            <v>0.07</v>
          </cell>
          <cell r="H23">
            <v>1650</v>
          </cell>
          <cell r="I23">
            <v>9</v>
          </cell>
          <cell r="J23">
            <v>9.02</v>
          </cell>
          <cell r="K23">
            <v>3527</v>
          </cell>
          <cell r="L23">
            <v>5</v>
          </cell>
          <cell r="M23">
            <v>8.02</v>
          </cell>
        </row>
        <row r="24">
          <cell r="A24" t="str">
            <v>JS-LUHM100-JSZFX</v>
          </cell>
          <cell r="B24">
            <v>0</v>
          </cell>
          <cell r="C24">
            <v>0</v>
          </cell>
          <cell r="D24">
            <v>0</v>
          </cell>
          <cell r="E24">
            <v>3698</v>
          </cell>
          <cell r="F24">
            <v>3</v>
          </cell>
          <cell r="G24">
            <v>2.76</v>
          </cell>
          <cell r="H24">
            <v>3790</v>
          </cell>
          <cell r="I24">
            <v>14</v>
          </cell>
          <cell r="J24">
            <v>14.88</v>
          </cell>
          <cell r="K24">
            <v>5566</v>
          </cell>
          <cell r="L24">
            <v>8</v>
          </cell>
          <cell r="M24">
            <v>9.14</v>
          </cell>
        </row>
        <row r="25">
          <cell r="A25" t="str">
            <v>JS-LUHM100-AX</v>
          </cell>
          <cell r="B25">
            <v>60</v>
          </cell>
          <cell r="C25">
            <v>0</v>
          </cell>
          <cell r="D25">
            <v>0</v>
          </cell>
          <cell r="E25">
            <v>3116</v>
          </cell>
          <cell r="F25">
            <v>10</v>
          </cell>
          <cell r="G25">
            <v>11.61</v>
          </cell>
          <cell r="H25">
            <v>8153</v>
          </cell>
          <cell r="I25">
            <v>21</v>
          </cell>
          <cell r="J25">
            <v>23.37</v>
          </cell>
          <cell r="K25">
            <v>2043</v>
          </cell>
          <cell r="L25">
            <v>9</v>
          </cell>
          <cell r="M25">
            <v>11.6</v>
          </cell>
        </row>
        <row r="26">
          <cell r="A26" t="str">
            <v>SQ-LUHM204</v>
          </cell>
          <cell r="B26">
            <v>587</v>
          </cell>
          <cell r="C26">
            <v>13</v>
          </cell>
          <cell r="D26">
            <v>11.64</v>
          </cell>
          <cell r="E26">
            <v>996</v>
          </cell>
          <cell r="F26">
            <v>18</v>
          </cell>
          <cell r="G26">
            <v>16.24</v>
          </cell>
          <cell r="H26">
            <v>270</v>
          </cell>
          <cell r="I26">
            <v>3</v>
          </cell>
          <cell r="J26">
            <v>3.19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XK-YIWUJS-Y0-6IN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LYQ-WF1010-KO-M</v>
          </cell>
          <cell r="B28">
            <v>0</v>
          </cell>
          <cell r="C28">
            <v>0</v>
          </cell>
          <cell r="D28">
            <v>0</v>
          </cell>
          <cell r="E28">
            <v>4</v>
          </cell>
          <cell r="F28">
            <v>0</v>
          </cell>
          <cell r="G28">
            <v>0</v>
          </cell>
          <cell r="H28">
            <v>17380</v>
          </cell>
          <cell r="I28">
            <v>85</v>
          </cell>
          <cell r="J28">
            <v>47.09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LYQ-WF1010-WO-M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528</v>
          </cell>
          <cell r="I29">
            <v>6</v>
          </cell>
          <cell r="J29">
            <v>2.62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LYQ-WF1010-BO-2X</v>
          </cell>
          <cell r="B30">
            <v>0</v>
          </cell>
          <cell r="C30">
            <v>0</v>
          </cell>
          <cell r="D30">
            <v>0</v>
          </cell>
          <cell r="E30">
            <v>24</v>
          </cell>
          <cell r="F30">
            <v>0</v>
          </cell>
          <cell r="G30">
            <v>0</v>
          </cell>
          <cell r="H30">
            <v>45521</v>
          </cell>
          <cell r="I30">
            <v>126</v>
          </cell>
          <cell r="J30">
            <v>74.98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SL-LULW818-PI-L</v>
          </cell>
          <cell r="B31">
            <v>0</v>
          </cell>
          <cell r="C31">
            <v>0</v>
          </cell>
          <cell r="D31">
            <v>0</v>
          </cell>
          <cell r="E31">
            <v>2035</v>
          </cell>
          <cell r="F31">
            <v>24</v>
          </cell>
          <cell r="G31">
            <v>7.91</v>
          </cell>
          <cell r="H31">
            <v>1278</v>
          </cell>
          <cell r="I31">
            <v>12</v>
          </cell>
          <cell r="J31">
            <v>5.2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SL-LULW818-RO-L</v>
          </cell>
          <cell r="B32">
            <v>0</v>
          </cell>
          <cell r="C32">
            <v>0</v>
          </cell>
          <cell r="D32">
            <v>0</v>
          </cell>
          <cell r="E32">
            <v>5884</v>
          </cell>
          <cell r="F32">
            <v>17</v>
          </cell>
          <cell r="G32">
            <v>7.06</v>
          </cell>
          <cell r="H32">
            <v>3406</v>
          </cell>
          <cell r="I32">
            <v>10</v>
          </cell>
          <cell r="J32">
            <v>3.09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RYMT-WF712-PI-L</v>
          </cell>
          <cell r="B33">
            <v>0</v>
          </cell>
          <cell r="C33">
            <v>0</v>
          </cell>
          <cell r="D33">
            <v>0</v>
          </cell>
          <cell r="E33">
            <v>57</v>
          </cell>
          <cell r="F33">
            <v>0</v>
          </cell>
          <cell r="G33">
            <v>0</v>
          </cell>
          <cell r="H33">
            <v>4980</v>
          </cell>
          <cell r="I33">
            <v>20</v>
          </cell>
          <cell r="J33">
            <v>10.67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RYMT-WF712-PO-L</v>
          </cell>
          <cell r="B34">
            <v>0</v>
          </cell>
          <cell r="C34">
            <v>0</v>
          </cell>
          <cell r="D34">
            <v>0</v>
          </cell>
          <cell r="E34">
            <v>7</v>
          </cell>
          <cell r="F34">
            <v>0</v>
          </cell>
          <cell r="G34">
            <v>0</v>
          </cell>
          <cell r="H34">
            <v>1557</v>
          </cell>
          <cell r="I34">
            <v>14</v>
          </cell>
          <cell r="J34">
            <v>9.73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RYMT-WF712-GO-L</v>
          </cell>
          <cell r="B35">
            <v>0</v>
          </cell>
          <cell r="C35">
            <v>0</v>
          </cell>
          <cell r="D35">
            <v>0</v>
          </cell>
          <cell r="E35">
            <v>15565</v>
          </cell>
          <cell r="F35">
            <v>9</v>
          </cell>
          <cell r="G35">
            <v>6.03</v>
          </cell>
          <cell r="H35">
            <v>18655</v>
          </cell>
          <cell r="I35">
            <v>32</v>
          </cell>
          <cell r="J35">
            <v>22.8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SQ-LUHM404</v>
          </cell>
          <cell r="B36">
            <v>143</v>
          </cell>
          <cell r="C36">
            <v>1</v>
          </cell>
          <cell r="D36">
            <v>0.82</v>
          </cell>
          <cell r="E36">
            <v>93</v>
          </cell>
          <cell r="F36">
            <v>1</v>
          </cell>
          <cell r="G36">
            <v>0.83</v>
          </cell>
          <cell r="H36">
            <v>89</v>
          </cell>
          <cell r="I36">
            <v>3</v>
          </cell>
          <cell r="J36">
            <v>1.62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JS-LUHM100-KLT</v>
          </cell>
          <cell r="B37">
            <v>636</v>
          </cell>
          <cell r="C37">
            <v>7</v>
          </cell>
          <cell r="D37">
            <v>4.03</v>
          </cell>
          <cell r="E37">
            <v>150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LYQ-WF1010-WO-XL</v>
          </cell>
          <cell r="B38">
            <v>0</v>
          </cell>
          <cell r="C38">
            <v>0</v>
          </cell>
          <cell r="D38">
            <v>0</v>
          </cell>
          <cell r="E38">
            <v>15247</v>
          </cell>
          <cell r="F38">
            <v>139</v>
          </cell>
          <cell r="G38">
            <v>90.76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JS-LUHM100-XJQ</v>
          </cell>
          <cell r="B39">
            <v>2324</v>
          </cell>
          <cell r="C39">
            <v>1</v>
          </cell>
          <cell r="D39">
            <v>0.08</v>
          </cell>
          <cell r="E39">
            <v>123</v>
          </cell>
          <cell r="F39">
            <v>2</v>
          </cell>
          <cell r="G39">
            <v>1.01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JS-LUHM100-LX</v>
          </cell>
          <cell r="B40">
            <v>34</v>
          </cell>
          <cell r="C40">
            <v>0</v>
          </cell>
          <cell r="D40">
            <v>0</v>
          </cell>
          <cell r="E40">
            <v>39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60"/>
  <sheetViews>
    <sheetView zoomScale="115" zoomScaleNormal="115" workbookViewId="0">
      <pane xSplit="15" ySplit="5" topLeftCell="P6" activePane="bottomRight" state="frozen"/>
      <selection/>
      <selection pane="topRight"/>
      <selection pane="bottomLeft"/>
      <selection pane="bottomRight" activeCell="A6" sqref="A6:AT253"/>
    </sheetView>
  </sheetViews>
  <sheetFormatPr defaultColWidth="9" defaultRowHeight="14.25"/>
  <cols>
    <col min="1" max="1" width="18.625" customWidth="1"/>
    <col min="2" max="2" width="16" customWidth="1"/>
    <col min="3" max="3" width="13.625" customWidth="1"/>
    <col min="4" max="15" width="5.625" customWidth="1"/>
    <col min="16" max="16" width="11.0833333333333" customWidth="1"/>
    <col min="17" max="17" width="11.2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4</v>
      </c>
      <c r="Y1" s="29"/>
      <c r="Z1" s="29"/>
      <c r="AA1" s="29"/>
      <c r="AB1" s="29" t="s">
        <v>5</v>
      </c>
      <c r="AC1" s="29"/>
      <c r="AD1" s="29"/>
      <c r="AE1" s="29"/>
      <c r="AF1" s="29" t="s">
        <v>6</v>
      </c>
      <c r="AG1" s="29"/>
      <c r="AH1" s="29"/>
      <c r="AI1" s="29"/>
      <c r="AJ1" s="29" t="s">
        <v>7</v>
      </c>
      <c r="AK1" s="29"/>
      <c r="AL1" s="29"/>
      <c r="AM1" s="29"/>
      <c r="AN1" s="29" t="s">
        <v>8</v>
      </c>
      <c r="AO1" s="29"/>
      <c r="AP1" s="29"/>
      <c r="AQ1" s="29"/>
      <c r="AR1" s="29" t="s">
        <v>9</v>
      </c>
      <c r="AS1" s="29"/>
      <c r="AT1" s="29"/>
      <c r="AU1" s="29"/>
      <c r="AV1" s="29"/>
    </row>
    <row r="2" s="26" customFormat="1" hidden="1" spans="1:49">
      <c r="A2" s="30">
        <f>时间!$B$1</f>
        <v>43311</v>
      </c>
      <c r="B2" t="e">
        <f>VLOOKUP(A2,'[1]sku-asin（子）'!$A:$B,2,0)</f>
        <v>#N/A</v>
      </c>
      <c r="C2" t="e">
        <f>VLOOKUP(A2,'[1]子sku-父sku'!$A:$B,2,0)</f>
        <v>#N/A</v>
      </c>
      <c r="D2" s="31">
        <f>IFERROR(VLOOKUP(A2,[2]库存报告使用数据处理!$A:$C,3,0),0)</f>
        <v>0</v>
      </c>
      <c r="E2" s="31">
        <f>IFERROR(VLOOKUP(A2,[2]库存报告使用数据处理!$A:$D,4,0),0)</f>
        <v>0</v>
      </c>
      <c r="F2" s="31">
        <f>IFERROR(VLOOKUP(A2,[2]库存报告使用数据处理!$A:$E,5,0),0)</f>
        <v>0</v>
      </c>
      <c r="G2" s="31">
        <f>IFERROR(VLOOKUP(A2,[2]库存报告使用数据处理!$A:$F,6,0),0)</f>
        <v>0</v>
      </c>
      <c r="H2" s="32">
        <f>IFERROR(VLOOKUP(A2,[2]库存报告使用数据处理!$A:$G,7,0),0)</f>
        <v>0</v>
      </c>
      <c r="I2">
        <f>IFERROR(VLOOKUP(A2,[4]数据处理!$A:$B,2,0),0)</f>
        <v>0</v>
      </c>
      <c r="J2" s="33">
        <f>IFERROR(VLOOKUP(A2,[4]数据处理!$A:$D,4,0),0)</f>
        <v>0</v>
      </c>
      <c r="K2" s="33">
        <f>IFERROR(VLOOKUP(A2,[4]数据处理!$A:$E,5,0),0)</f>
        <v>0</v>
      </c>
      <c r="L2" s="33">
        <f>IFERROR(VLOOKUP(A2,[4]数据处理!$A:$G,7,0),0)</f>
        <v>0</v>
      </c>
      <c r="M2">
        <f>SUM(I2:L2)</f>
        <v>0</v>
      </c>
      <c r="N2">
        <f>IFERROR(VLOOKUP(A2,[4]数据处理!$A:$C,3,0),0)</f>
        <v>0</v>
      </c>
      <c r="O2">
        <f>IFERROR(VLOOKUP($A2,[4]数据处理!$A:$M,13,0),0)</f>
        <v>0</v>
      </c>
      <c r="P2" t="str">
        <f>IFERROR(VLOOKUP($A2,[5]库存使用数据!$A:$B,2,0),"")</f>
        <v/>
      </c>
      <c r="Q2" t="str">
        <f>IFERROR(VLOOKUP($A2,[5]库存使用数据!$A:$E,5,0),"")</f>
        <v/>
      </c>
      <c r="R2" t="str">
        <f>IFERROR(VLOOKUP($A2,[5]库存使用数据!$A:$H,8,0),"")</f>
        <v/>
      </c>
      <c r="S2" t="str">
        <f>IFERROR(VLOOKUP($A2,[5]库存使用数据!$A:$K,11,0),"")</f>
        <v/>
      </c>
      <c r="T2" t="str">
        <f>IFERROR(VLOOKUP($A2,[5]库存使用数据!$A:$C,3,0),"")</f>
        <v/>
      </c>
      <c r="U2" t="str">
        <f>IFERROR(VLOOKUP($A2,[5]库存使用数据!$A:$F,6,0),"")</f>
        <v/>
      </c>
      <c r="V2" t="str">
        <f>IFERROR(VLOOKUP($A2,[5]库存使用数据!$A:$I,9,0),"")</f>
        <v/>
      </c>
      <c r="W2" t="str">
        <f>IFERROR(VLOOKUP($A2,[5]库存使用数据!$A:$L,12,0),"")</f>
        <v/>
      </c>
      <c r="X2" s="22" t="e">
        <f t="shared" ref="X2:AA2" si="0">T2/P2</f>
        <v>#VALUE!</v>
      </c>
      <c r="Y2" s="22" t="e">
        <f t="shared" si="0"/>
        <v>#VALUE!</v>
      </c>
      <c r="Z2" s="22" t="e">
        <f t="shared" si="0"/>
        <v>#VALUE!</v>
      </c>
      <c r="AA2" s="22" t="e">
        <f t="shared" si="0"/>
        <v>#VALUE!</v>
      </c>
      <c r="AB2" t="str">
        <f>IFERROR(VLOOKUP($A2,[5]库存使用数据!$A:$D,4,0),"")</f>
        <v/>
      </c>
      <c r="AC2" t="str">
        <f>IFERROR(VLOOKUP($A2,[5]库存使用数据!$A:$G,7,0),"")</f>
        <v/>
      </c>
      <c r="AD2" t="str">
        <f>IFERROR(VLOOKUP($A2,[5]库存使用数据!$A:$J,10,0),"")</f>
        <v/>
      </c>
      <c r="AE2" t="str">
        <f>IFERROR(VLOOKUP($A2,[5]库存使用数据!$A:$M,13,0),"")</f>
        <v/>
      </c>
      <c r="AF2" s="22" t="str">
        <f t="shared" ref="AF2:AI2" si="1">IF(OR(AB2="",AB2=0),"",IF(AND(D2*$H2=0,AB2&gt;0),"无销量广告费为"&amp;AB2,AB2/(D2*$H2)))</f>
        <v/>
      </c>
      <c r="AG2" s="22" t="str">
        <f t="shared" si="1"/>
        <v/>
      </c>
      <c r="AH2" s="22" t="str">
        <f t="shared" si="1"/>
        <v/>
      </c>
      <c r="AI2" s="22" t="str">
        <f t="shared" si="1"/>
        <v/>
      </c>
      <c r="AJ2">
        <f>IFERROR(VLOOKUP($B2,[3]库存报告使用数据!$A$1:$B$65536,2,0),0)</f>
        <v>0</v>
      </c>
      <c r="AK2">
        <f>IFERROR(VLOOKUP($B2,[3]库存报告使用数据!$A$1:$C$65536,3,0),0)</f>
        <v>0</v>
      </c>
      <c r="AL2">
        <f>IFERROR(VLOOKUP($B2,[3]库存报告使用数据!$A$1:$D$65536,4,0),0)</f>
        <v>0</v>
      </c>
      <c r="AM2">
        <f>IFERROR(VLOOKUP($B2,[3]库存报告使用数据!$A$1:$E$65536,5,0),0)</f>
        <v>0</v>
      </c>
      <c r="AN2" s="22" t="str">
        <f t="shared" ref="AN2:AQ2" si="2">IFERROR(D2/AJ2,"")</f>
        <v/>
      </c>
      <c r="AO2" s="22" t="str">
        <f t="shared" si="2"/>
        <v/>
      </c>
      <c r="AP2" s="22" t="str">
        <f t="shared" si="2"/>
        <v/>
      </c>
      <c r="AQ2" s="22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27" customFormat="1" ht="24.95" customHeight="1" spans="1:61">
      <c r="A3" s="13" t="s">
        <v>10</v>
      </c>
      <c r="B3" s="13"/>
      <c r="C3" s="13"/>
      <c r="D3" s="13" t="str">
        <f>TEXT(时间!$B$6,"yyyy/M/d")&amp;"-"&amp;TEXT(时间!$B$5,"yyyy/M/d")</f>
        <v>2018/8/20-2018/8/26</v>
      </c>
      <c r="E3" s="13" t="str">
        <f>TEXT(时间!$B$8,"yyyy/M/d")&amp;"-"&amp;TEXT(时间!$B$7,"yyyy/Md")</f>
        <v>2018/8/13-2018/819</v>
      </c>
      <c r="F3" s="13" t="str">
        <f>TEXT(时间!$B$10,"yyyy/M/d")&amp;"-"&amp;TEXT(时间!$B$9,"yyyy/M/d")</f>
        <v>2018/8/6-2018/8/12</v>
      </c>
      <c r="G3" s="13" t="str">
        <f>TEXT(时间!$B$12,"yyyy/M/d")&amp;"-"&amp;TEXT(时间!$B$11,"yyyy/M/d")</f>
        <v>2018/7/30-2018/8/5</v>
      </c>
      <c r="I3" s="13"/>
      <c r="J3" s="13"/>
      <c r="K3" s="13"/>
      <c r="L3" s="13"/>
      <c r="M3" s="13"/>
      <c r="N3" s="13"/>
      <c r="O3" s="18" t="s">
        <v>11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12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 t="s">
        <v>18</v>
      </c>
      <c r="H4" t="s">
        <v>19</v>
      </c>
      <c r="I4" t="s">
        <v>20</v>
      </c>
      <c r="J4" t="s">
        <v>21</v>
      </c>
      <c r="K4" t="s">
        <v>22</v>
      </c>
      <c r="L4" t="s">
        <v>23</v>
      </c>
      <c r="M4" t="s">
        <v>24</v>
      </c>
      <c r="N4" t="s">
        <v>25</v>
      </c>
      <c r="O4" t="s">
        <v>26</v>
      </c>
      <c r="P4" s="20" t="s">
        <v>27</v>
      </c>
      <c r="Q4" s="20" t="s">
        <v>28</v>
      </c>
      <c r="R4" s="20" t="s">
        <v>29</v>
      </c>
      <c r="S4" s="20" t="s">
        <v>30</v>
      </c>
      <c r="T4" s="20" t="s">
        <v>31</v>
      </c>
      <c r="U4" s="20" t="s">
        <v>32</v>
      </c>
      <c r="V4" s="20" t="s">
        <v>33</v>
      </c>
      <c r="W4" s="20" t="s">
        <v>34</v>
      </c>
      <c r="X4" s="20" t="s">
        <v>35</v>
      </c>
      <c r="Y4" s="20" t="s">
        <v>36</v>
      </c>
      <c r="Z4" s="20" t="s">
        <v>37</v>
      </c>
      <c r="AA4" s="20" t="s">
        <v>38</v>
      </c>
      <c r="AB4" s="20" t="s">
        <v>39</v>
      </c>
      <c r="AC4" s="20" t="s">
        <v>40</v>
      </c>
      <c r="AD4" s="20" t="s">
        <v>41</v>
      </c>
      <c r="AE4" s="20" t="s">
        <v>42</v>
      </c>
      <c r="AF4" s="20">
        <f>时间!$B$6</f>
        <v>43332</v>
      </c>
      <c r="AG4" s="20">
        <f>时间!$B$7</f>
        <v>43331</v>
      </c>
      <c r="AH4" s="20">
        <f>时间!$B$8</f>
        <v>43325</v>
      </c>
      <c r="AI4" s="20">
        <f>时间!$B$9</f>
        <v>43324</v>
      </c>
      <c r="AJ4" s="20">
        <f>时间!$B$6</f>
        <v>43332</v>
      </c>
      <c r="AK4" s="20">
        <f>时间!$B$7</f>
        <v>43331</v>
      </c>
      <c r="AL4" s="20">
        <f>时间!$B$8</f>
        <v>43325</v>
      </c>
      <c r="AM4" s="20">
        <f>时间!$B$9</f>
        <v>43324</v>
      </c>
      <c r="AN4" s="20">
        <f>时间!$B$6</f>
        <v>43332</v>
      </c>
      <c r="AO4" s="20">
        <f>时间!$B$7</f>
        <v>43331</v>
      </c>
      <c r="AP4" s="20">
        <f>时间!$B$8</f>
        <v>43325</v>
      </c>
      <c r="AQ4" s="20">
        <f>时间!$B$9</f>
        <v>43324</v>
      </c>
      <c r="AR4" s="7" t="s">
        <v>43</v>
      </c>
      <c r="AS4" s="7" t="s">
        <v>44</v>
      </c>
      <c r="AT4" s="7" t="s">
        <v>45</v>
      </c>
      <c r="AU4" t="s">
        <v>46</v>
      </c>
      <c r="AV4" t="s">
        <v>47</v>
      </c>
    </row>
    <row r="5" spans="1:48">
      <c r="A5" s="4" t="s">
        <v>48</v>
      </c>
      <c r="B5" s="4"/>
      <c r="C5" s="4"/>
      <c r="D5" s="4">
        <f>SUM(D6:D19921)</f>
        <v>53</v>
      </c>
      <c r="E5" s="4">
        <f>SUM(E6:E19921)</f>
        <v>66</v>
      </c>
      <c r="F5" s="4">
        <f>SUM(F6:F19921)</f>
        <v>91</v>
      </c>
      <c r="G5" s="4">
        <f>SUM(G6:G19921)</f>
        <v>109</v>
      </c>
      <c r="I5" s="4">
        <f t="shared" ref="I5:O5" si="4">SUM(I6:I2921)</f>
        <v>850</v>
      </c>
      <c r="J5" s="4">
        <f t="shared" si="4"/>
        <v>50</v>
      </c>
      <c r="K5" s="4">
        <f t="shared" si="4"/>
        <v>1</v>
      </c>
      <c r="L5" s="4">
        <f t="shared" si="4"/>
        <v>12</v>
      </c>
      <c r="M5" s="4">
        <f t="shared" si="4"/>
        <v>913</v>
      </c>
      <c r="N5" s="4">
        <f t="shared" si="4"/>
        <v>14</v>
      </c>
      <c r="O5" s="4">
        <f t="shared" si="4"/>
        <v>408</v>
      </c>
      <c r="AB5" s="4">
        <f>SUM(AB6:AB2021)</f>
        <v>22.77</v>
      </c>
      <c r="AC5" s="4">
        <f>SUM(AC6:AC2021)</f>
        <v>260.11</v>
      </c>
      <c r="AD5" s="4">
        <f>SUM(AD6:AD2021)</f>
        <v>443.18</v>
      </c>
      <c r="AE5" s="4">
        <f>SUM(AE6:AE2021)</f>
        <v>225.47</v>
      </c>
      <c r="AF5" s="4" t="s">
        <v>49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20" t="s">
        <v>50</v>
      </c>
      <c r="B6" t="s">
        <v>51</v>
      </c>
      <c r="C6" t="s">
        <v>52</v>
      </c>
      <c r="D6" s="31">
        <v>0</v>
      </c>
      <c r="E6" s="31">
        <v>1</v>
      </c>
      <c r="F6" s="31">
        <v>0</v>
      </c>
      <c r="G6" s="31">
        <v>2</v>
      </c>
      <c r="H6" s="32">
        <v>16.99</v>
      </c>
      <c r="I6">
        <v>0</v>
      </c>
      <c r="J6" s="33">
        <v>0</v>
      </c>
      <c r="K6" s="33">
        <v>0</v>
      </c>
      <c r="L6" s="33">
        <v>0</v>
      </c>
      <c r="M6">
        <v>0</v>
      </c>
      <c r="N6">
        <v>3</v>
      </c>
      <c r="O6">
        <v>0</v>
      </c>
      <c r="P6" t="s">
        <v>53</v>
      </c>
      <c r="Q6" t="s">
        <v>53</v>
      </c>
      <c r="R6" t="s">
        <v>53</v>
      </c>
      <c r="S6" t="s">
        <v>53</v>
      </c>
      <c r="T6" t="s">
        <v>53</v>
      </c>
      <c r="U6" t="s">
        <v>53</v>
      </c>
      <c r="V6" t="s">
        <v>53</v>
      </c>
      <c r="W6" t="s">
        <v>53</v>
      </c>
      <c r="X6" s="22" t="s">
        <v>53</v>
      </c>
      <c r="Y6" s="22" t="s">
        <v>53</v>
      </c>
      <c r="Z6" s="22" t="s">
        <v>53</v>
      </c>
      <c r="AA6" s="22" t="s">
        <v>53</v>
      </c>
      <c r="AB6" t="s">
        <v>53</v>
      </c>
      <c r="AC6" t="s">
        <v>53</v>
      </c>
      <c r="AD6" t="s">
        <v>53</v>
      </c>
      <c r="AE6" t="s">
        <v>53</v>
      </c>
      <c r="AF6" s="22" t="s">
        <v>53</v>
      </c>
      <c r="AG6" s="22" t="s">
        <v>53</v>
      </c>
      <c r="AH6" s="22" t="s">
        <v>53</v>
      </c>
      <c r="AI6" s="22" t="s">
        <v>53</v>
      </c>
      <c r="AJ6">
        <v>5</v>
      </c>
      <c r="AK6">
        <v>18</v>
      </c>
      <c r="AL6">
        <v>38</v>
      </c>
      <c r="AM6">
        <v>50</v>
      </c>
      <c r="AN6" s="22">
        <v>0</v>
      </c>
      <c r="AO6" s="22">
        <v>0.0555555555555556</v>
      </c>
      <c r="AP6" s="22">
        <v>0</v>
      </c>
      <c r="AQ6" s="22">
        <v>0.04</v>
      </c>
      <c r="AR6" s="35">
        <v>0</v>
      </c>
      <c r="AS6" s="35">
        <v>0</v>
      </c>
      <c r="AT6" s="35">
        <v>0</v>
      </c>
      <c r="AU6" s="31" t="str">
        <f t="shared" si="3"/>
        <v>库存为0</v>
      </c>
      <c r="AV6" s="36" t="str">
        <f>IFERROR(时间!$B$4+AU6,"上周无销量")</f>
        <v>上周无销量</v>
      </c>
    </row>
    <row r="7" spans="1:48">
      <c r="A7" s="20" t="s">
        <v>54</v>
      </c>
      <c r="B7" t="s">
        <v>55</v>
      </c>
      <c r="C7" t="s">
        <v>52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0</v>
      </c>
      <c r="J7" s="33">
        <v>0</v>
      </c>
      <c r="K7" s="33">
        <v>0</v>
      </c>
      <c r="L7" s="33">
        <v>0</v>
      </c>
      <c r="M7">
        <v>0</v>
      </c>
      <c r="N7">
        <v>0</v>
      </c>
      <c r="O7">
        <v>0</v>
      </c>
      <c r="P7" t="s">
        <v>53</v>
      </c>
      <c r="Q7" t="s">
        <v>53</v>
      </c>
      <c r="R7" t="s">
        <v>53</v>
      </c>
      <c r="S7" t="s">
        <v>53</v>
      </c>
      <c r="T7" t="s">
        <v>53</v>
      </c>
      <c r="U7" t="s">
        <v>53</v>
      </c>
      <c r="V7" t="s">
        <v>53</v>
      </c>
      <c r="W7" t="s">
        <v>53</v>
      </c>
      <c r="X7" s="22" t="s">
        <v>53</v>
      </c>
      <c r="Y7" s="22" t="s">
        <v>53</v>
      </c>
      <c r="Z7" s="22" t="s">
        <v>53</v>
      </c>
      <c r="AA7" s="22" t="s">
        <v>53</v>
      </c>
      <c r="AB7" t="s">
        <v>53</v>
      </c>
      <c r="AC7" t="s">
        <v>53</v>
      </c>
      <c r="AD7" t="s">
        <v>53</v>
      </c>
      <c r="AE7" t="s">
        <v>53</v>
      </c>
      <c r="AF7" s="22" t="s">
        <v>53</v>
      </c>
      <c r="AG7" s="22" t="s">
        <v>53</v>
      </c>
      <c r="AH7" s="22" t="s">
        <v>53</v>
      </c>
      <c r="AI7" s="22" t="s">
        <v>53</v>
      </c>
      <c r="AJ7">
        <v>0</v>
      </c>
      <c r="AK7">
        <v>0</v>
      </c>
      <c r="AL7">
        <v>0</v>
      </c>
      <c r="AM7">
        <v>0</v>
      </c>
      <c r="AN7" s="22" t="s">
        <v>53</v>
      </c>
      <c r="AO7" s="22" t="s">
        <v>53</v>
      </c>
      <c r="AP7" s="22" t="s">
        <v>53</v>
      </c>
      <c r="AQ7" s="22" t="s">
        <v>53</v>
      </c>
      <c r="AR7" s="35">
        <v>0</v>
      </c>
      <c r="AS7" s="35">
        <v>0</v>
      </c>
      <c r="AT7" s="35">
        <v>0</v>
      </c>
      <c r="AU7" s="31" t="str">
        <f t="shared" si="3"/>
        <v>库存为0</v>
      </c>
      <c r="AV7" s="36" t="str">
        <f>IFERROR(时间!$B$4+AU7,"上周无销量")</f>
        <v>上周无销量</v>
      </c>
    </row>
    <row r="8" spans="1:48">
      <c r="A8" s="20" t="s">
        <v>56</v>
      </c>
      <c r="B8" t="s">
        <v>57</v>
      </c>
      <c r="C8" t="s">
        <v>52</v>
      </c>
      <c r="D8" s="31">
        <v>0</v>
      </c>
      <c r="E8" s="31">
        <v>0</v>
      </c>
      <c r="F8" s="31">
        <v>0</v>
      </c>
      <c r="G8" s="31">
        <v>0</v>
      </c>
      <c r="H8" s="32">
        <v>0</v>
      </c>
      <c r="I8">
        <v>0</v>
      </c>
      <c r="J8" s="33">
        <v>0</v>
      </c>
      <c r="K8" s="33">
        <v>0</v>
      </c>
      <c r="L8" s="33">
        <v>0</v>
      </c>
      <c r="M8">
        <v>0</v>
      </c>
      <c r="N8">
        <v>0</v>
      </c>
      <c r="O8">
        <v>0</v>
      </c>
      <c r="P8" t="s">
        <v>53</v>
      </c>
      <c r="Q8" t="s">
        <v>53</v>
      </c>
      <c r="R8" t="s">
        <v>53</v>
      </c>
      <c r="S8" t="s">
        <v>53</v>
      </c>
      <c r="T8" t="s">
        <v>53</v>
      </c>
      <c r="U8" t="s">
        <v>53</v>
      </c>
      <c r="V8" t="s">
        <v>53</v>
      </c>
      <c r="W8" t="s">
        <v>53</v>
      </c>
      <c r="X8" s="22" t="s">
        <v>53</v>
      </c>
      <c r="Y8" s="22" t="s">
        <v>53</v>
      </c>
      <c r="Z8" s="22" t="s">
        <v>53</v>
      </c>
      <c r="AA8" s="22" t="s">
        <v>53</v>
      </c>
      <c r="AB8" t="s">
        <v>53</v>
      </c>
      <c r="AC8" t="s">
        <v>53</v>
      </c>
      <c r="AD8" t="s">
        <v>53</v>
      </c>
      <c r="AE8" t="s">
        <v>53</v>
      </c>
      <c r="AF8" s="22" t="s">
        <v>53</v>
      </c>
      <c r="AG8" s="22" t="s">
        <v>53</v>
      </c>
      <c r="AH8" s="22" t="s">
        <v>53</v>
      </c>
      <c r="AI8" s="22" t="s">
        <v>53</v>
      </c>
      <c r="AJ8">
        <v>0</v>
      </c>
      <c r="AK8">
        <v>0</v>
      </c>
      <c r="AL8">
        <v>0</v>
      </c>
      <c r="AM8">
        <v>0</v>
      </c>
      <c r="AN8" s="22" t="s">
        <v>53</v>
      </c>
      <c r="AO8" s="22" t="s">
        <v>53</v>
      </c>
      <c r="AP8" s="22" t="s">
        <v>53</v>
      </c>
      <c r="AQ8" s="22" t="s">
        <v>53</v>
      </c>
      <c r="AR8" s="35">
        <v>0</v>
      </c>
      <c r="AS8" s="35">
        <v>0</v>
      </c>
      <c r="AT8" s="35">
        <v>0</v>
      </c>
      <c r="AU8" s="31" t="str">
        <f t="shared" si="3"/>
        <v>库存为0</v>
      </c>
      <c r="AV8" s="36" t="str">
        <f>IFERROR(时间!$B$4+AU8,"上周无销量")</f>
        <v>上周无销量</v>
      </c>
    </row>
    <row r="9" spans="1:48">
      <c r="A9" s="20" t="s">
        <v>58</v>
      </c>
      <c r="B9" t="s">
        <v>59</v>
      </c>
      <c r="C9" t="s">
        <v>52</v>
      </c>
      <c r="D9" s="31">
        <v>0</v>
      </c>
      <c r="E9" s="31">
        <v>0</v>
      </c>
      <c r="F9" s="31">
        <v>0</v>
      </c>
      <c r="G9" s="31">
        <v>0</v>
      </c>
      <c r="H9" s="32">
        <v>0</v>
      </c>
      <c r="I9">
        <v>0</v>
      </c>
      <c r="J9" s="33">
        <v>0</v>
      </c>
      <c r="K9" s="33">
        <v>0</v>
      </c>
      <c r="L9" s="33">
        <v>0</v>
      </c>
      <c r="M9">
        <v>0</v>
      </c>
      <c r="N9">
        <v>0</v>
      </c>
      <c r="O9">
        <v>0</v>
      </c>
      <c r="P9" t="s">
        <v>53</v>
      </c>
      <c r="Q9" t="s">
        <v>53</v>
      </c>
      <c r="R9" t="s">
        <v>53</v>
      </c>
      <c r="S9" t="s">
        <v>53</v>
      </c>
      <c r="T9" t="s">
        <v>53</v>
      </c>
      <c r="U9" t="s">
        <v>53</v>
      </c>
      <c r="V9" t="s">
        <v>53</v>
      </c>
      <c r="W9" t="s">
        <v>53</v>
      </c>
      <c r="X9" s="22" t="s">
        <v>53</v>
      </c>
      <c r="Y9" s="22" t="s">
        <v>53</v>
      </c>
      <c r="Z9" s="22" t="s">
        <v>53</v>
      </c>
      <c r="AA9" s="22" t="s">
        <v>53</v>
      </c>
      <c r="AB9" t="s">
        <v>53</v>
      </c>
      <c r="AC9" t="s">
        <v>53</v>
      </c>
      <c r="AD9" t="s">
        <v>53</v>
      </c>
      <c r="AE9" t="s">
        <v>53</v>
      </c>
      <c r="AF9" s="22" t="s">
        <v>53</v>
      </c>
      <c r="AG9" s="22" t="s">
        <v>53</v>
      </c>
      <c r="AH9" s="22" t="s">
        <v>53</v>
      </c>
      <c r="AI9" s="22" t="s">
        <v>53</v>
      </c>
      <c r="AJ9">
        <v>0</v>
      </c>
      <c r="AK9">
        <v>0</v>
      </c>
      <c r="AL9">
        <v>0</v>
      </c>
      <c r="AM9">
        <v>0</v>
      </c>
      <c r="AN9" s="22" t="s">
        <v>53</v>
      </c>
      <c r="AO9" s="22" t="s">
        <v>53</v>
      </c>
      <c r="AP9" s="22" t="s">
        <v>53</v>
      </c>
      <c r="AQ9" s="22" t="s">
        <v>53</v>
      </c>
      <c r="AR9" s="35">
        <v>0</v>
      </c>
      <c r="AS9" s="35">
        <v>0</v>
      </c>
      <c r="AT9" s="35">
        <v>0</v>
      </c>
      <c r="AU9" s="31" t="str">
        <f t="shared" si="3"/>
        <v>库存为0</v>
      </c>
      <c r="AV9" s="36" t="str">
        <f>IFERROR(时间!$B$4+AU9,"上周无销量")</f>
        <v>上周无销量</v>
      </c>
    </row>
    <row r="10" spans="1:48">
      <c r="A10" s="20" t="s">
        <v>60</v>
      </c>
      <c r="B10" t="s">
        <v>61</v>
      </c>
      <c r="C10" t="s">
        <v>52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0</v>
      </c>
      <c r="J10" s="33">
        <v>0</v>
      </c>
      <c r="K10" s="33">
        <v>0</v>
      </c>
      <c r="L10" s="33">
        <v>0</v>
      </c>
      <c r="M10">
        <v>0</v>
      </c>
      <c r="N10">
        <v>0</v>
      </c>
      <c r="O10">
        <v>0</v>
      </c>
      <c r="P10" t="s">
        <v>53</v>
      </c>
      <c r="Q10" t="s">
        <v>53</v>
      </c>
      <c r="R10" t="s">
        <v>53</v>
      </c>
      <c r="S10" t="s">
        <v>53</v>
      </c>
      <c r="T10" t="s">
        <v>53</v>
      </c>
      <c r="U10" t="s">
        <v>53</v>
      </c>
      <c r="V10" t="s">
        <v>53</v>
      </c>
      <c r="W10" t="s">
        <v>53</v>
      </c>
      <c r="X10" s="22" t="s">
        <v>53</v>
      </c>
      <c r="Y10" s="22" t="s">
        <v>53</v>
      </c>
      <c r="Z10" s="22" t="s">
        <v>53</v>
      </c>
      <c r="AA10" s="22" t="s">
        <v>53</v>
      </c>
      <c r="AB10" t="s">
        <v>53</v>
      </c>
      <c r="AC10" t="s">
        <v>53</v>
      </c>
      <c r="AD10" t="s">
        <v>53</v>
      </c>
      <c r="AE10" t="s">
        <v>53</v>
      </c>
      <c r="AF10" s="22" t="s">
        <v>53</v>
      </c>
      <c r="AG10" s="22" t="s">
        <v>53</v>
      </c>
      <c r="AH10" s="22" t="s">
        <v>53</v>
      </c>
      <c r="AI10" s="22" t="s">
        <v>53</v>
      </c>
      <c r="AJ10">
        <v>0</v>
      </c>
      <c r="AK10">
        <v>0</v>
      </c>
      <c r="AL10">
        <v>0</v>
      </c>
      <c r="AM10">
        <v>0</v>
      </c>
      <c r="AN10" s="22" t="s">
        <v>53</v>
      </c>
      <c r="AO10" s="22" t="s">
        <v>53</v>
      </c>
      <c r="AP10" s="22" t="s">
        <v>53</v>
      </c>
      <c r="AQ10" s="22" t="s">
        <v>53</v>
      </c>
      <c r="AR10" s="35">
        <v>0</v>
      </c>
      <c r="AS10" s="35">
        <v>0</v>
      </c>
      <c r="AT10" s="35">
        <v>0</v>
      </c>
      <c r="AU10" s="31" t="str">
        <f t="shared" si="3"/>
        <v>库存为0</v>
      </c>
      <c r="AV10" s="36" t="str">
        <f>IFERROR(时间!$B$4+AU10,"上周无销量")</f>
        <v>上周无销量</v>
      </c>
    </row>
    <row r="11" spans="1:48">
      <c r="A11" s="20" t="s">
        <v>62</v>
      </c>
      <c r="B11" t="s">
        <v>63</v>
      </c>
      <c r="C11" t="s">
        <v>52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0</v>
      </c>
      <c r="J11" s="33">
        <v>0</v>
      </c>
      <c r="K11" s="33">
        <v>0</v>
      </c>
      <c r="L11" s="33">
        <v>0</v>
      </c>
      <c r="M11">
        <v>0</v>
      </c>
      <c r="N11">
        <v>0</v>
      </c>
      <c r="O11">
        <v>0</v>
      </c>
      <c r="P11" t="s">
        <v>53</v>
      </c>
      <c r="Q11" t="s">
        <v>53</v>
      </c>
      <c r="R11" t="s">
        <v>53</v>
      </c>
      <c r="S11" t="s">
        <v>53</v>
      </c>
      <c r="T11" t="s">
        <v>53</v>
      </c>
      <c r="U11" t="s">
        <v>53</v>
      </c>
      <c r="V11" t="s">
        <v>53</v>
      </c>
      <c r="W11" t="s">
        <v>53</v>
      </c>
      <c r="X11" s="22" t="s">
        <v>53</v>
      </c>
      <c r="Y11" s="22" t="s">
        <v>53</v>
      </c>
      <c r="Z11" s="22" t="s">
        <v>53</v>
      </c>
      <c r="AA11" s="22" t="s">
        <v>53</v>
      </c>
      <c r="AB11" t="s">
        <v>53</v>
      </c>
      <c r="AC11" t="s">
        <v>53</v>
      </c>
      <c r="AD11" t="s">
        <v>53</v>
      </c>
      <c r="AE11" t="s">
        <v>53</v>
      </c>
      <c r="AF11" s="22" t="s">
        <v>53</v>
      </c>
      <c r="AG11" s="22" t="s">
        <v>53</v>
      </c>
      <c r="AH11" s="22" t="s">
        <v>53</v>
      </c>
      <c r="AI11" s="22" t="s">
        <v>53</v>
      </c>
      <c r="AJ11">
        <v>0</v>
      </c>
      <c r="AK11">
        <v>0</v>
      </c>
      <c r="AL11">
        <v>0</v>
      </c>
      <c r="AM11">
        <v>0</v>
      </c>
      <c r="AN11" s="22" t="s">
        <v>53</v>
      </c>
      <c r="AO11" s="22" t="s">
        <v>53</v>
      </c>
      <c r="AP11" s="22" t="s">
        <v>53</v>
      </c>
      <c r="AQ11" s="22" t="s">
        <v>53</v>
      </c>
      <c r="AR11" s="35">
        <v>0</v>
      </c>
      <c r="AS11" s="35">
        <v>0</v>
      </c>
      <c r="AT11" s="35">
        <v>0</v>
      </c>
      <c r="AU11" s="31" t="str">
        <f t="shared" si="3"/>
        <v>库存为0</v>
      </c>
      <c r="AV11" s="36" t="str">
        <f>IFERROR(时间!$B$4+AU11,"上周无销量")</f>
        <v>上周无销量</v>
      </c>
    </row>
    <row r="12" spans="1:48">
      <c r="A12" s="20" t="s">
        <v>64</v>
      </c>
      <c r="B12" t="s">
        <v>65</v>
      </c>
      <c r="C12" t="s">
        <v>52</v>
      </c>
      <c r="D12" s="31">
        <v>0</v>
      </c>
      <c r="E12" s="31">
        <v>0</v>
      </c>
      <c r="F12" s="31">
        <v>0</v>
      </c>
      <c r="G12" s="31">
        <v>2</v>
      </c>
      <c r="H12" s="32">
        <v>15.99</v>
      </c>
      <c r="I12">
        <v>2</v>
      </c>
      <c r="J12" s="33">
        <v>0</v>
      </c>
      <c r="K12" s="33">
        <v>0</v>
      </c>
      <c r="L12" s="33">
        <v>0</v>
      </c>
      <c r="M12">
        <v>2</v>
      </c>
      <c r="N12">
        <v>0</v>
      </c>
      <c r="O12">
        <v>2</v>
      </c>
      <c r="P12" t="s">
        <v>53</v>
      </c>
      <c r="Q12" t="s">
        <v>53</v>
      </c>
      <c r="R12" t="s">
        <v>53</v>
      </c>
      <c r="S12" t="s">
        <v>53</v>
      </c>
      <c r="T12" t="s">
        <v>53</v>
      </c>
      <c r="U12" t="s">
        <v>53</v>
      </c>
      <c r="V12" t="s">
        <v>53</v>
      </c>
      <c r="W12" t="s">
        <v>53</v>
      </c>
      <c r="X12" s="22" t="s">
        <v>53</v>
      </c>
      <c r="Y12" s="22" t="s">
        <v>53</v>
      </c>
      <c r="Z12" s="22" t="s">
        <v>53</v>
      </c>
      <c r="AA12" s="22" t="s">
        <v>53</v>
      </c>
      <c r="AB12" t="s">
        <v>53</v>
      </c>
      <c r="AC12" t="s">
        <v>53</v>
      </c>
      <c r="AD12" t="s">
        <v>53</v>
      </c>
      <c r="AE12" t="s">
        <v>53</v>
      </c>
      <c r="AF12" s="22" t="s">
        <v>53</v>
      </c>
      <c r="AG12" s="22" t="s">
        <v>53</v>
      </c>
      <c r="AH12" s="22" t="s">
        <v>53</v>
      </c>
      <c r="AI12" s="22" t="s">
        <v>53</v>
      </c>
      <c r="AJ12">
        <v>8</v>
      </c>
      <c r="AK12">
        <v>1</v>
      </c>
      <c r="AL12">
        <v>11</v>
      </c>
      <c r="AM12">
        <v>5</v>
      </c>
      <c r="AN12" s="22">
        <v>0</v>
      </c>
      <c r="AO12" s="22">
        <v>0</v>
      </c>
      <c r="AP12" s="22">
        <v>0</v>
      </c>
      <c r="AQ12" s="22">
        <v>0.4</v>
      </c>
      <c r="AR12" s="35">
        <v>0</v>
      </c>
      <c r="AS12" s="35">
        <v>0</v>
      </c>
      <c r="AT12" s="35">
        <v>2</v>
      </c>
      <c r="AU12" s="31" t="str">
        <f t="shared" si="3"/>
        <v>库存为2</v>
      </c>
      <c r="AV12" s="36" t="str">
        <f>IFERROR(时间!$B$4+AU12,"上周无销量")</f>
        <v>上周无销量</v>
      </c>
    </row>
    <row r="13" spans="1:48">
      <c r="A13" s="20" t="s">
        <v>66</v>
      </c>
      <c r="B13" t="s">
        <v>67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0</v>
      </c>
      <c r="J13" s="33">
        <v>0</v>
      </c>
      <c r="K13" s="33">
        <v>0</v>
      </c>
      <c r="L13" s="33">
        <v>0</v>
      </c>
      <c r="M13">
        <v>0</v>
      </c>
      <c r="N13">
        <v>0</v>
      </c>
      <c r="O13">
        <v>0</v>
      </c>
      <c r="P13" t="s">
        <v>53</v>
      </c>
      <c r="Q13" t="s">
        <v>53</v>
      </c>
      <c r="R13" t="s">
        <v>53</v>
      </c>
      <c r="S13" t="s">
        <v>53</v>
      </c>
      <c r="T13" t="s">
        <v>53</v>
      </c>
      <c r="U13" t="s">
        <v>53</v>
      </c>
      <c r="V13" t="s">
        <v>53</v>
      </c>
      <c r="W13" t="s">
        <v>53</v>
      </c>
      <c r="X13" s="22" t="s">
        <v>53</v>
      </c>
      <c r="Y13" s="22" t="s">
        <v>53</v>
      </c>
      <c r="Z13" s="22" t="s">
        <v>53</v>
      </c>
      <c r="AA13" s="22" t="s">
        <v>53</v>
      </c>
      <c r="AB13" t="s">
        <v>53</v>
      </c>
      <c r="AC13" t="s">
        <v>53</v>
      </c>
      <c r="AD13" t="s">
        <v>53</v>
      </c>
      <c r="AE13" t="s">
        <v>53</v>
      </c>
      <c r="AF13" s="22" t="s">
        <v>53</v>
      </c>
      <c r="AG13" s="22" t="s">
        <v>53</v>
      </c>
      <c r="AH13" s="22" t="s">
        <v>53</v>
      </c>
      <c r="AI13" s="22" t="s">
        <v>53</v>
      </c>
      <c r="AJ13">
        <v>0</v>
      </c>
      <c r="AK13">
        <v>0</v>
      </c>
      <c r="AL13">
        <v>0</v>
      </c>
      <c r="AM13">
        <v>0</v>
      </c>
      <c r="AN13" s="22" t="s">
        <v>53</v>
      </c>
      <c r="AO13" s="22" t="s">
        <v>53</v>
      </c>
      <c r="AP13" s="22" t="s">
        <v>53</v>
      </c>
      <c r="AQ13" s="22" t="s">
        <v>53</v>
      </c>
      <c r="AR13" s="35">
        <v>0</v>
      </c>
      <c r="AS13" s="35">
        <v>0</v>
      </c>
      <c r="AT13" s="35">
        <v>0</v>
      </c>
      <c r="AU13" s="31" t="str">
        <f t="shared" si="3"/>
        <v>库存为0</v>
      </c>
      <c r="AV13" s="36" t="str">
        <f>IFERROR(时间!$B$4+AU13,"上周无销量")</f>
        <v>上周无销量</v>
      </c>
    </row>
    <row r="14" spans="1:48">
      <c r="A14" s="20" t="s">
        <v>69</v>
      </c>
      <c r="B14" t="s">
        <v>70</v>
      </c>
      <c r="C14" t="s">
        <v>71</v>
      </c>
      <c r="D14" s="31">
        <v>0</v>
      </c>
      <c r="E14" s="31">
        <v>0</v>
      </c>
      <c r="F14" s="31">
        <v>0</v>
      </c>
      <c r="G14" s="31">
        <v>1</v>
      </c>
      <c r="H14" s="32">
        <v>9.9</v>
      </c>
      <c r="I14">
        <v>2</v>
      </c>
      <c r="J14" s="33">
        <v>0</v>
      </c>
      <c r="K14" s="33">
        <v>0</v>
      </c>
      <c r="L14" s="33">
        <v>0</v>
      </c>
      <c r="M14">
        <v>2</v>
      </c>
      <c r="N14">
        <v>0</v>
      </c>
      <c r="O14">
        <v>0</v>
      </c>
      <c r="P14">
        <v>0</v>
      </c>
      <c r="Q14">
        <v>126</v>
      </c>
      <c r="R14">
        <v>772</v>
      </c>
      <c r="S14">
        <v>335</v>
      </c>
      <c r="T14">
        <v>0</v>
      </c>
      <c r="U14">
        <v>0</v>
      </c>
      <c r="V14">
        <v>1</v>
      </c>
      <c r="W14">
        <v>4</v>
      </c>
      <c r="X14" s="22" t="s">
        <v>53</v>
      </c>
      <c r="Y14" s="22">
        <v>0</v>
      </c>
      <c r="Z14" s="22">
        <v>0.00129533678756477</v>
      </c>
      <c r="AA14" s="22">
        <v>0.0119402985074627</v>
      </c>
      <c r="AB14">
        <v>0</v>
      </c>
      <c r="AC14">
        <v>0</v>
      </c>
      <c r="AD14">
        <v>0.34</v>
      </c>
      <c r="AE14">
        <v>0.98</v>
      </c>
      <c r="AF14" s="22" t="s">
        <v>53</v>
      </c>
      <c r="AG14" s="22" t="s">
        <v>53</v>
      </c>
      <c r="AH14" s="22" t="s">
        <v>72</v>
      </c>
      <c r="AI14" s="22">
        <v>0.098989898989899</v>
      </c>
      <c r="AJ14">
        <v>15</v>
      </c>
      <c r="AK14">
        <v>8</v>
      </c>
      <c r="AL14">
        <v>8</v>
      </c>
      <c r="AM14">
        <v>12</v>
      </c>
      <c r="AN14" s="22">
        <v>0</v>
      </c>
      <c r="AO14" s="22">
        <v>0</v>
      </c>
      <c r="AP14" s="22">
        <v>0</v>
      </c>
      <c r="AQ14" s="22">
        <v>0.0833333333333333</v>
      </c>
      <c r="AR14" s="35">
        <v>0</v>
      </c>
      <c r="AS14" s="35">
        <v>0</v>
      </c>
      <c r="AT14" s="35">
        <v>2</v>
      </c>
      <c r="AU14" s="31" t="str">
        <f t="shared" si="3"/>
        <v>库存为2</v>
      </c>
      <c r="AV14" s="36" t="str">
        <f>IFERROR(时间!$B$4+AU14,"上周无销量")</f>
        <v>上周无销量</v>
      </c>
    </row>
    <row r="15" spans="1:48">
      <c r="A15" s="20" t="s">
        <v>73</v>
      </c>
      <c r="B15" t="s">
        <v>74</v>
      </c>
      <c r="C15" t="s">
        <v>71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</v>
      </c>
      <c r="J15" s="33">
        <v>0</v>
      </c>
      <c r="K15" s="33">
        <v>0</v>
      </c>
      <c r="L15" s="33">
        <v>0</v>
      </c>
      <c r="M15">
        <v>2</v>
      </c>
      <c r="N15">
        <v>0</v>
      </c>
      <c r="O15">
        <v>0</v>
      </c>
      <c r="P15" t="s">
        <v>53</v>
      </c>
      <c r="Q15" t="s">
        <v>53</v>
      </c>
      <c r="R15" t="s">
        <v>53</v>
      </c>
      <c r="S15" t="s">
        <v>53</v>
      </c>
      <c r="T15" t="s">
        <v>53</v>
      </c>
      <c r="U15" t="s">
        <v>53</v>
      </c>
      <c r="V15" t="s">
        <v>53</v>
      </c>
      <c r="W15" t="s">
        <v>53</v>
      </c>
      <c r="X15" s="22" t="s">
        <v>53</v>
      </c>
      <c r="Y15" s="22" t="s">
        <v>53</v>
      </c>
      <c r="Z15" s="22" t="s">
        <v>53</v>
      </c>
      <c r="AA15" s="22" t="s">
        <v>53</v>
      </c>
      <c r="AB15" t="s">
        <v>53</v>
      </c>
      <c r="AC15" t="s">
        <v>53</v>
      </c>
      <c r="AD15" t="s">
        <v>53</v>
      </c>
      <c r="AE15" t="s">
        <v>53</v>
      </c>
      <c r="AF15" s="22" t="s">
        <v>53</v>
      </c>
      <c r="AG15" s="22" t="s">
        <v>53</v>
      </c>
      <c r="AH15" s="22" t="s">
        <v>53</v>
      </c>
      <c r="AI15" s="22" t="s">
        <v>53</v>
      </c>
      <c r="AJ15">
        <v>8</v>
      </c>
      <c r="AK15">
        <v>7</v>
      </c>
      <c r="AL15">
        <v>6</v>
      </c>
      <c r="AM15">
        <v>5</v>
      </c>
      <c r="AN15" s="22">
        <v>0</v>
      </c>
      <c r="AO15" s="22">
        <v>0</v>
      </c>
      <c r="AP15" s="22">
        <v>0</v>
      </c>
      <c r="AQ15" s="22">
        <v>0</v>
      </c>
      <c r="AR15" s="35">
        <v>0</v>
      </c>
      <c r="AS15" s="35">
        <v>0</v>
      </c>
      <c r="AT15" s="35">
        <v>2</v>
      </c>
      <c r="AU15" s="31" t="str">
        <f t="shared" si="3"/>
        <v>库存为2</v>
      </c>
      <c r="AV15" s="36" t="str">
        <f>IFERROR(时间!$B$4+AU15,"上周无销量")</f>
        <v>上周无销量</v>
      </c>
    </row>
    <row r="16" spans="1:48">
      <c r="A16" s="20" t="s">
        <v>75</v>
      </c>
      <c r="B16" t="s">
        <v>76</v>
      </c>
      <c r="C16" t="s">
        <v>71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0</v>
      </c>
      <c r="K16" s="33">
        <v>0</v>
      </c>
      <c r="L16" s="33">
        <v>0</v>
      </c>
      <c r="M16">
        <v>0</v>
      </c>
      <c r="N16">
        <v>0</v>
      </c>
      <c r="O16">
        <v>0</v>
      </c>
      <c r="P16">
        <v>0</v>
      </c>
      <c r="Q16">
        <v>76</v>
      </c>
      <c r="R16">
        <v>101</v>
      </c>
      <c r="S16">
        <v>202</v>
      </c>
      <c r="T16">
        <v>0</v>
      </c>
      <c r="U16">
        <v>0</v>
      </c>
      <c r="V16">
        <v>3</v>
      </c>
      <c r="W16">
        <v>3</v>
      </c>
      <c r="X16" s="22" t="s">
        <v>53</v>
      </c>
      <c r="Y16" s="22">
        <v>0</v>
      </c>
      <c r="Z16" s="22">
        <v>0.0297029702970297</v>
      </c>
      <c r="AA16" s="22">
        <v>0.0148514851485149</v>
      </c>
      <c r="AB16">
        <v>0</v>
      </c>
      <c r="AC16">
        <v>0</v>
      </c>
      <c r="AD16">
        <v>0.8</v>
      </c>
      <c r="AE16">
        <v>0.67</v>
      </c>
      <c r="AF16" s="22" t="s">
        <v>53</v>
      </c>
      <c r="AG16" s="22" t="s">
        <v>53</v>
      </c>
      <c r="AH16" s="22" t="s">
        <v>77</v>
      </c>
      <c r="AI16" s="22" t="s">
        <v>78</v>
      </c>
      <c r="AJ16">
        <v>16</v>
      </c>
      <c r="AK16">
        <v>18</v>
      </c>
      <c r="AL16">
        <v>23</v>
      </c>
      <c r="AM16">
        <v>16</v>
      </c>
      <c r="AN16" s="22">
        <v>0</v>
      </c>
      <c r="AO16" s="22">
        <v>0</v>
      </c>
      <c r="AP16" s="22">
        <v>0</v>
      </c>
      <c r="AQ16" s="22">
        <v>0</v>
      </c>
      <c r="AR16" s="35">
        <v>0</v>
      </c>
      <c r="AS16" s="35">
        <v>0</v>
      </c>
      <c r="AT16" s="35">
        <v>0</v>
      </c>
      <c r="AU16" s="31" t="str">
        <f t="shared" si="3"/>
        <v>库存为0</v>
      </c>
      <c r="AV16" s="36" t="str">
        <f>IFERROR(时间!$B$4+AU16,"上周无销量")</f>
        <v>上周无销量</v>
      </c>
    </row>
    <row r="17" spans="1:48">
      <c r="A17" s="20" t="s">
        <v>79</v>
      </c>
      <c r="B17" t="s">
        <v>80</v>
      </c>
      <c r="C17" t="s">
        <v>71</v>
      </c>
      <c r="D17" s="31">
        <v>0</v>
      </c>
      <c r="E17" s="31">
        <v>0</v>
      </c>
      <c r="F17" s="31">
        <v>0</v>
      </c>
      <c r="G17" s="31">
        <v>0</v>
      </c>
      <c r="H17" s="32">
        <v>0</v>
      </c>
      <c r="I17">
        <v>3</v>
      </c>
      <c r="J17" s="33">
        <v>0</v>
      </c>
      <c r="K17" s="33">
        <v>0</v>
      </c>
      <c r="L17" s="33">
        <v>0</v>
      </c>
      <c r="M17">
        <v>3</v>
      </c>
      <c r="N17">
        <v>0</v>
      </c>
      <c r="O17">
        <v>0</v>
      </c>
      <c r="P17" t="s">
        <v>53</v>
      </c>
      <c r="Q17" t="s">
        <v>53</v>
      </c>
      <c r="R17" t="s">
        <v>53</v>
      </c>
      <c r="S17" t="s">
        <v>53</v>
      </c>
      <c r="T17" t="s">
        <v>53</v>
      </c>
      <c r="U17" t="s">
        <v>53</v>
      </c>
      <c r="V17" t="s">
        <v>53</v>
      </c>
      <c r="W17" t="s">
        <v>53</v>
      </c>
      <c r="X17" s="22" t="s">
        <v>53</v>
      </c>
      <c r="Y17" s="22" t="s">
        <v>53</v>
      </c>
      <c r="Z17" s="22" t="s">
        <v>53</v>
      </c>
      <c r="AA17" s="22" t="s">
        <v>53</v>
      </c>
      <c r="AB17" t="s">
        <v>53</v>
      </c>
      <c r="AC17" t="s">
        <v>53</v>
      </c>
      <c r="AD17" t="s">
        <v>53</v>
      </c>
      <c r="AE17" t="s">
        <v>53</v>
      </c>
      <c r="AF17" s="22" t="s">
        <v>53</v>
      </c>
      <c r="AG17" s="22" t="s">
        <v>53</v>
      </c>
      <c r="AH17" s="22" t="s">
        <v>53</v>
      </c>
      <c r="AI17" s="22" t="s">
        <v>53</v>
      </c>
      <c r="AJ17">
        <v>9</v>
      </c>
      <c r="AK17">
        <v>12</v>
      </c>
      <c r="AL17">
        <v>9</v>
      </c>
      <c r="AM17">
        <v>6</v>
      </c>
      <c r="AN17" s="22">
        <v>0</v>
      </c>
      <c r="AO17" s="22">
        <v>0</v>
      </c>
      <c r="AP17" s="22">
        <v>0</v>
      </c>
      <c r="AQ17" s="22">
        <v>0</v>
      </c>
      <c r="AR17" s="35">
        <v>0</v>
      </c>
      <c r="AS17" s="35">
        <v>0</v>
      </c>
      <c r="AT17" s="35">
        <v>3</v>
      </c>
      <c r="AU17" s="31" t="str">
        <f t="shared" si="3"/>
        <v>库存为3</v>
      </c>
      <c r="AV17" s="36" t="str">
        <f>IFERROR(时间!$B$4+AU17,"上周无销量")</f>
        <v>上周无销量</v>
      </c>
    </row>
    <row r="18" spans="1:48">
      <c r="A18" s="20" t="s">
        <v>81</v>
      </c>
      <c r="B18" t="s">
        <v>82</v>
      </c>
      <c r="C18" t="s">
        <v>71</v>
      </c>
      <c r="D18" s="31">
        <v>0</v>
      </c>
      <c r="E18" s="31">
        <v>0</v>
      </c>
      <c r="F18" s="31">
        <v>2</v>
      </c>
      <c r="G18" s="31">
        <v>1</v>
      </c>
      <c r="H18" s="32">
        <v>9.9</v>
      </c>
      <c r="I18">
        <v>0</v>
      </c>
      <c r="J18" s="33">
        <v>0</v>
      </c>
      <c r="K18" s="33">
        <v>0</v>
      </c>
      <c r="L18" s="33">
        <v>0</v>
      </c>
      <c r="M18">
        <v>0</v>
      </c>
      <c r="N18">
        <v>0</v>
      </c>
      <c r="O18">
        <v>0</v>
      </c>
      <c r="P18" t="s">
        <v>53</v>
      </c>
      <c r="Q18" t="s">
        <v>53</v>
      </c>
      <c r="R18" t="s">
        <v>53</v>
      </c>
      <c r="S18" t="s">
        <v>53</v>
      </c>
      <c r="T18" t="s">
        <v>53</v>
      </c>
      <c r="U18" t="s">
        <v>53</v>
      </c>
      <c r="V18" t="s">
        <v>53</v>
      </c>
      <c r="W18" t="s">
        <v>53</v>
      </c>
      <c r="X18" s="22" t="s">
        <v>53</v>
      </c>
      <c r="Y18" s="22" t="s">
        <v>53</v>
      </c>
      <c r="Z18" s="22" t="s">
        <v>53</v>
      </c>
      <c r="AA18" s="22" t="s">
        <v>53</v>
      </c>
      <c r="AB18" t="s">
        <v>53</v>
      </c>
      <c r="AC18" t="s">
        <v>53</v>
      </c>
      <c r="AD18" t="s">
        <v>53</v>
      </c>
      <c r="AE18" t="s">
        <v>53</v>
      </c>
      <c r="AF18" s="22" t="s">
        <v>53</v>
      </c>
      <c r="AG18" s="22" t="s">
        <v>53</v>
      </c>
      <c r="AH18" s="22" t="s">
        <v>53</v>
      </c>
      <c r="AI18" s="22" t="s">
        <v>53</v>
      </c>
      <c r="AJ18">
        <v>0</v>
      </c>
      <c r="AK18">
        <v>0</v>
      </c>
      <c r="AL18">
        <v>7</v>
      </c>
      <c r="AM18">
        <v>11</v>
      </c>
      <c r="AN18" s="22" t="s">
        <v>53</v>
      </c>
      <c r="AO18" s="22" t="s">
        <v>53</v>
      </c>
      <c r="AP18" s="22">
        <v>0.285714285714286</v>
      </c>
      <c r="AQ18" s="22">
        <v>0.0909090909090909</v>
      </c>
      <c r="AR18" s="35">
        <v>0</v>
      </c>
      <c r="AS18" s="35">
        <v>0</v>
      </c>
      <c r="AT18" s="35">
        <v>0</v>
      </c>
      <c r="AU18" s="31" t="str">
        <f t="shared" si="3"/>
        <v>库存为0</v>
      </c>
      <c r="AV18" s="36" t="str">
        <f>IFERROR(时间!$B$4+AU18,"上周无销量")</f>
        <v>上周无销量</v>
      </c>
    </row>
    <row r="19" spans="1:48">
      <c r="A19" s="20" t="s">
        <v>83</v>
      </c>
      <c r="B19" t="s">
        <v>84</v>
      </c>
      <c r="C19" t="s">
        <v>71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0</v>
      </c>
      <c r="J19" s="33">
        <v>0</v>
      </c>
      <c r="K19" s="33">
        <v>0</v>
      </c>
      <c r="L19" s="33">
        <v>0</v>
      </c>
      <c r="M19">
        <v>0</v>
      </c>
      <c r="N19">
        <v>0</v>
      </c>
      <c r="O19">
        <v>0</v>
      </c>
      <c r="P19" t="s">
        <v>53</v>
      </c>
      <c r="Q19" t="s">
        <v>53</v>
      </c>
      <c r="R19" t="s">
        <v>53</v>
      </c>
      <c r="S19" t="s">
        <v>53</v>
      </c>
      <c r="T19" t="s">
        <v>53</v>
      </c>
      <c r="U19" t="s">
        <v>53</v>
      </c>
      <c r="V19" t="s">
        <v>53</v>
      </c>
      <c r="W19" t="s">
        <v>53</v>
      </c>
      <c r="X19" s="22" t="s">
        <v>53</v>
      </c>
      <c r="Y19" s="22" t="s">
        <v>53</v>
      </c>
      <c r="Z19" s="22" t="s">
        <v>53</v>
      </c>
      <c r="AA19" s="22" t="s">
        <v>53</v>
      </c>
      <c r="AB19" t="s">
        <v>53</v>
      </c>
      <c r="AC19" t="s">
        <v>53</v>
      </c>
      <c r="AD19" t="s">
        <v>53</v>
      </c>
      <c r="AE19" t="s">
        <v>53</v>
      </c>
      <c r="AF19" s="22" t="s">
        <v>53</v>
      </c>
      <c r="AG19" s="22" t="s">
        <v>53</v>
      </c>
      <c r="AH19" s="22" t="s">
        <v>53</v>
      </c>
      <c r="AI19" s="22" t="s">
        <v>53</v>
      </c>
      <c r="AJ19">
        <v>0</v>
      </c>
      <c r="AK19">
        <v>0</v>
      </c>
      <c r="AL19">
        <v>0</v>
      </c>
      <c r="AM19">
        <v>0</v>
      </c>
      <c r="AN19" s="22" t="s">
        <v>53</v>
      </c>
      <c r="AO19" s="22" t="s">
        <v>53</v>
      </c>
      <c r="AP19" s="22" t="s">
        <v>53</v>
      </c>
      <c r="AQ19" s="22" t="s">
        <v>53</v>
      </c>
      <c r="AR19" s="35">
        <v>0</v>
      </c>
      <c r="AS19" s="35">
        <v>0</v>
      </c>
      <c r="AT19" s="35">
        <v>0</v>
      </c>
      <c r="AU19" s="31" t="str">
        <f t="shared" si="3"/>
        <v>库存为0</v>
      </c>
      <c r="AV19" s="36" t="str">
        <f>IFERROR(时间!$B$4+AU19,"上周无销量")</f>
        <v>上周无销量</v>
      </c>
    </row>
    <row r="20" spans="1:48">
      <c r="A20" s="20" t="s">
        <v>85</v>
      </c>
      <c r="B20" t="s">
        <v>86</v>
      </c>
      <c r="C20" t="s">
        <v>87</v>
      </c>
      <c r="D20" s="31">
        <v>0</v>
      </c>
      <c r="E20" s="31">
        <v>0</v>
      </c>
      <c r="F20" s="31">
        <v>0</v>
      </c>
      <c r="G20" s="31">
        <v>1</v>
      </c>
      <c r="H20" s="32">
        <v>10.99</v>
      </c>
      <c r="I20">
        <v>0</v>
      </c>
      <c r="J20" s="33">
        <v>0</v>
      </c>
      <c r="K20" s="33">
        <v>0</v>
      </c>
      <c r="L20" s="33">
        <v>0</v>
      </c>
      <c r="M20">
        <v>0</v>
      </c>
      <c r="N20">
        <v>0</v>
      </c>
      <c r="O20">
        <v>0</v>
      </c>
      <c r="P20" t="s">
        <v>53</v>
      </c>
      <c r="Q20" t="s">
        <v>53</v>
      </c>
      <c r="R20" t="s">
        <v>53</v>
      </c>
      <c r="S20" t="s">
        <v>53</v>
      </c>
      <c r="T20" t="s">
        <v>53</v>
      </c>
      <c r="U20" t="s">
        <v>53</v>
      </c>
      <c r="V20" t="s">
        <v>53</v>
      </c>
      <c r="W20" t="s">
        <v>53</v>
      </c>
      <c r="X20" s="22" t="s">
        <v>53</v>
      </c>
      <c r="Y20" s="22" t="s">
        <v>53</v>
      </c>
      <c r="Z20" s="22" t="s">
        <v>53</v>
      </c>
      <c r="AA20" s="22" t="s">
        <v>53</v>
      </c>
      <c r="AB20" t="s">
        <v>53</v>
      </c>
      <c r="AC20" t="s">
        <v>53</v>
      </c>
      <c r="AD20" t="s">
        <v>53</v>
      </c>
      <c r="AE20" t="s">
        <v>53</v>
      </c>
      <c r="AF20" s="22" t="s">
        <v>53</v>
      </c>
      <c r="AG20" s="22" t="s">
        <v>53</v>
      </c>
      <c r="AH20" s="22" t="s">
        <v>53</v>
      </c>
      <c r="AI20" s="22" t="s">
        <v>53</v>
      </c>
      <c r="AJ20">
        <v>0</v>
      </c>
      <c r="AK20">
        <v>0</v>
      </c>
      <c r="AL20">
        <v>0</v>
      </c>
      <c r="AM20">
        <v>0</v>
      </c>
      <c r="AN20" s="22" t="s">
        <v>53</v>
      </c>
      <c r="AO20" s="22" t="s">
        <v>53</v>
      </c>
      <c r="AP20" s="22" t="s">
        <v>53</v>
      </c>
      <c r="AQ20" s="22" t="s">
        <v>53</v>
      </c>
      <c r="AR20" s="35">
        <v>0</v>
      </c>
      <c r="AS20" s="35">
        <v>0</v>
      </c>
      <c r="AT20" s="35">
        <v>0</v>
      </c>
      <c r="AU20" s="31" t="str">
        <f t="shared" si="3"/>
        <v>库存为0</v>
      </c>
      <c r="AV20" s="36" t="str">
        <f>IFERROR(时间!$B$4+AU20,"上周无销量")</f>
        <v>上周无销量</v>
      </c>
    </row>
    <row r="21" spans="1:48">
      <c r="A21" s="20" t="s">
        <v>88</v>
      </c>
      <c r="B21" t="s">
        <v>89</v>
      </c>
      <c r="C21" t="s">
        <v>87</v>
      </c>
      <c r="D21" s="31">
        <v>0</v>
      </c>
      <c r="E21" s="31">
        <v>2</v>
      </c>
      <c r="F21" s="31">
        <v>3</v>
      </c>
      <c r="G21" s="31">
        <v>5</v>
      </c>
      <c r="H21" s="32">
        <v>8.99</v>
      </c>
      <c r="I21">
        <v>0</v>
      </c>
      <c r="J21" s="33">
        <v>0</v>
      </c>
      <c r="K21" s="33">
        <v>0</v>
      </c>
      <c r="L21" s="33">
        <v>2</v>
      </c>
      <c r="M21">
        <v>2</v>
      </c>
      <c r="N21">
        <v>0</v>
      </c>
      <c r="O21">
        <v>0</v>
      </c>
      <c r="P21" t="s">
        <v>53</v>
      </c>
      <c r="Q21" t="s">
        <v>53</v>
      </c>
      <c r="R21" t="s">
        <v>53</v>
      </c>
      <c r="S21" t="s">
        <v>53</v>
      </c>
      <c r="T21" t="s">
        <v>53</v>
      </c>
      <c r="U21" t="s">
        <v>53</v>
      </c>
      <c r="V21" t="s">
        <v>53</v>
      </c>
      <c r="W21" t="s">
        <v>53</v>
      </c>
      <c r="X21" s="22" t="s">
        <v>53</v>
      </c>
      <c r="Y21" s="22" t="s">
        <v>53</v>
      </c>
      <c r="Z21" s="22" t="s">
        <v>53</v>
      </c>
      <c r="AA21" s="22" t="s">
        <v>53</v>
      </c>
      <c r="AB21" t="s">
        <v>53</v>
      </c>
      <c r="AC21" t="s">
        <v>53</v>
      </c>
      <c r="AD21" t="s">
        <v>53</v>
      </c>
      <c r="AE21" t="s">
        <v>53</v>
      </c>
      <c r="AF21" s="22" t="s">
        <v>53</v>
      </c>
      <c r="AG21" s="22" t="s">
        <v>53</v>
      </c>
      <c r="AH21" s="22" t="s">
        <v>53</v>
      </c>
      <c r="AI21" s="22" t="s">
        <v>53</v>
      </c>
      <c r="AJ21">
        <v>1</v>
      </c>
      <c r="AK21">
        <v>5</v>
      </c>
      <c r="AL21">
        <v>31</v>
      </c>
      <c r="AM21">
        <v>31</v>
      </c>
      <c r="AN21" s="22">
        <v>0</v>
      </c>
      <c r="AO21" s="22">
        <v>0.4</v>
      </c>
      <c r="AP21" s="22">
        <v>0.0967741935483871</v>
      </c>
      <c r="AQ21" s="22">
        <v>0.161290322580645</v>
      </c>
      <c r="AR21" s="35">
        <v>0</v>
      </c>
      <c r="AS21" s="35">
        <v>0</v>
      </c>
      <c r="AT21" s="35">
        <v>2</v>
      </c>
      <c r="AU21" s="31" t="str">
        <f t="shared" si="3"/>
        <v>库存为2</v>
      </c>
      <c r="AV21" s="36" t="str">
        <f>IFERROR(时间!$B$4+AU21,"上周无销量")</f>
        <v>上周无销量</v>
      </c>
    </row>
    <row r="22" spans="1:48">
      <c r="A22" s="20" t="s">
        <v>90</v>
      </c>
      <c r="B22" t="s">
        <v>91</v>
      </c>
      <c r="C22" t="s">
        <v>87</v>
      </c>
      <c r="D22" s="31">
        <v>0</v>
      </c>
      <c r="E22" s="31">
        <v>0</v>
      </c>
      <c r="F22" s="31">
        <v>2</v>
      </c>
      <c r="G22" s="31">
        <v>4</v>
      </c>
      <c r="H22" s="32">
        <v>9.99</v>
      </c>
      <c r="I22">
        <v>0</v>
      </c>
      <c r="J22" s="33">
        <v>0</v>
      </c>
      <c r="K22" s="33">
        <v>0</v>
      </c>
      <c r="L22" s="33">
        <v>0</v>
      </c>
      <c r="M22">
        <v>0</v>
      </c>
      <c r="N22">
        <v>1</v>
      </c>
      <c r="O22">
        <v>0</v>
      </c>
      <c r="P22" t="s">
        <v>53</v>
      </c>
      <c r="Q22" t="s">
        <v>53</v>
      </c>
      <c r="R22" t="s">
        <v>53</v>
      </c>
      <c r="S22" t="s">
        <v>53</v>
      </c>
      <c r="T22" t="s">
        <v>53</v>
      </c>
      <c r="U22" t="s">
        <v>53</v>
      </c>
      <c r="V22" t="s">
        <v>53</v>
      </c>
      <c r="W22" t="s">
        <v>53</v>
      </c>
      <c r="X22" s="22" t="s">
        <v>53</v>
      </c>
      <c r="Y22" s="22" t="s">
        <v>53</v>
      </c>
      <c r="Z22" s="22" t="s">
        <v>53</v>
      </c>
      <c r="AA22" s="22" t="s">
        <v>53</v>
      </c>
      <c r="AB22" t="s">
        <v>53</v>
      </c>
      <c r="AC22" t="s">
        <v>53</v>
      </c>
      <c r="AD22" t="s">
        <v>53</v>
      </c>
      <c r="AE22" t="s">
        <v>53</v>
      </c>
      <c r="AF22" s="22" t="s">
        <v>53</v>
      </c>
      <c r="AG22" s="22" t="s">
        <v>53</v>
      </c>
      <c r="AH22" s="22" t="s">
        <v>53</v>
      </c>
      <c r="AI22" s="22" t="s">
        <v>53</v>
      </c>
      <c r="AJ22">
        <v>0</v>
      </c>
      <c r="AK22">
        <v>0</v>
      </c>
      <c r="AL22">
        <v>16</v>
      </c>
      <c r="AM22">
        <v>42</v>
      </c>
      <c r="AN22" s="22" t="s">
        <v>53</v>
      </c>
      <c r="AO22" s="22" t="s">
        <v>53</v>
      </c>
      <c r="AP22" s="22">
        <v>0.125</v>
      </c>
      <c r="AQ22" s="22">
        <v>0.0952380952380952</v>
      </c>
      <c r="AR22" s="35">
        <v>0</v>
      </c>
      <c r="AS22" s="35">
        <v>0</v>
      </c>
      <c r="AT22" s="35">
        <v>0</v>
      </c>
      <c r="AU22" s="31" t="str">
        <f t="shared" si="3"/>
        <v>库存为0</v>
      </c>
      <c r="AV22" s="36" t="str">
        <f>IFERROR(时间!$B$4+AU22,"上周无销量")</f>
        <v>上周无销量</v>
      </c>
    </row>
    <row r="23" spans="1:48">
      <c r="A23" s="20" t="s">
        <v>92</v>
      </c>
      <c r="B23" t="s">
        <v>93</v>
      </c>
      <c r="C23" t="s">
        <v>87</v>
      </c>
      <c r="D23" s="31">
        <v>0</v>
      </c>
      <c r="E23" s="31">
        <v>0</v>
      </c>
      <c r="F23" s="31">
        <v>3</v>
      </c>
      <c r="G23" s="31">
        <v>0</v>
      </c>
      <c r="H23" s="32">
        <v>8.99</v>
      </c>
      <c r="I23">
        <v>7</v>
      </c>
      <c r="J23" s="33">
        <v>0</v>
      </c>
      <c r="K23" s="33">
        <v>0</v>
      </c>
      <c r="L23" s="33">
        <v>0</v>
      </c>
      <c r="M23">
        <v>7</v>
      </c>
      <c r="N23">
        <v>0</v>
      </c>
      <c r="O23">
        <v>7</v>
      </c>
      <c r="P23" t="s">
        <v>53</v>
      </c>
      <c r="Q23" t="s">
        <v>53</v>
      </c>
      <c r="R23" t="s">
        <v>53</v>
      </c>
      <c r="S23" t="s">
        <v>53</v>
      </c>
      <c r="T23" t="s">
        <v>53</v>
      </c>
      <c r="U23" t="s">
        <v>53</v>
      </c>
      <c r="V23" t="s">
        <v>53</v>
      </c>
      <c r="W23" t="s">
        <v>53</v>
      </c>
      <c r="X23" s="22" t="s">
        <v>53</v>
      </c>
      <c r="Y23" s="22" t="s">
        <v>53</v>
      </c>
      <c r="Z23" s="22" t="s">
        <v>53</v>
      </c>
      <c r="AA23" s="22" t="s">
        <v>53</v>
      </c>
      <c r="AB23" t="s">
        <v>53</v>
      </c>
      <c r="AC23" t="s">
        <v>53</v>
      </c>
      <c r="AD23" t="s">
        <v>53</v>
      </c>
      <c r="AE23" t="s">
        <v>53</v>
      </c>
      <c r="AF23" s="22" t="s">
        <v>53</v>
      </c>
      <c r="AG23" s="22" t="s">
        <v>53</v>
      </c>
      <c r="AH23" s="22" t="s">
        <v>53</v>
      </c>
      <c r="AI23" s="22" t="s">
        <v>53</v>
      </c>
      <c r="AJ23">
        <v>14</v>
      </c>
      <c r="AK23">
        <v>21</v>
      </c>
      <c r="AL23">
        <v>9</v>
      </c>
      <c r="AM23">
        <v>7</v>
      </c>
      <c r="AN23" s="22">
        <v>0</v>
      </c>
      <c r="AO23" s="22">
        <v>0</v>
      </c>
      <c r="AP23" s="22">
        <v>0.333333333333333</v>
      </c>
      <c r="AQ23" s="22">
        <v>0</v>
      </c>
      <c r="AR23" s="35">
        <v>0</v>
      </c>
      <c r="AS23" s="35">
        <v>0</v>
      </c>
      <c r="AT23" s="35">
        <v>7</v>
      </c>
      <c r="AU23" s="31" t="str">
        <f t="shared" si="3"/>
        <v>库存为7</v>
      </c>
      <c r="AV23" s="36" t="str">
        <f>IFERROR(时间!$B$4+AU23,"上周无销量")</f>
        <v>上周无销量</v>
      </c>
    </row>
    <row r="24" spans="1:48">
      <c r="A24" s="20" t="s">
        <v>94</v>
      </c>
      <c r="B24" t="s">
        <v>95</v>
      </c>
      <c r="C24" t="s">
        <v>87</v>
      </c>
      <c r="D24" s="31">
        <v>0</v>
      </c>
      <c r="E24" s="31">
        <v>0</v>
      </c>
      <c r="F24" s="31">
        <v>1</v>
      </c>
      <c r="G24" s="31">
        <v>0</v>
      </c>
      <c r="H24" s="32">
        <v>9.77</v>
      </c>
      <c r="I24">
        <v>3</v>
      </c>
      <c r="J24" s="33">
        <v>0</v>
      </c>
      <c r="K24" s="33">
        <v>0</v>
      </c>
      <c r="L24" s="33">
        <v>0</v>
      </c>
      <c r="M24">
        <v>3</v>
      </c>
      <c r="N24">
        <v>0</v>
      </c>
      <c r="O24">
        <v>3</v>
      </c>
      <c r="P24" t="s">
        <v>53</v>
      </c>
      <c r="Q24" t="s">
        <v>53</v>
      </c>
      <c r="R24" t="s">
        <v>53</v>
      </c>
      <c r="S24" t="s">
        <v>53</v>
      </c>
      <c r="T24" t="s">
        <v>53</v>
      </c>
      <c r="U24" t="s">
        <v>53</v>
      </c>
      <c r="V24" t="s">
        <v>53</v>
      </c>
      <c r="W24" t="s">
        <v>53</v>
      </c>
      <c r="X24" s="22" t="s">
        <v>53</v>
      </c>
      <c r="Y24" s="22" t="s">
        <v>53</v>
      </c>
      <c r="Z24" s="22" t="s">
        <v>53</v>
      </c>
      <c r="AA24" s="22" t="s">
        <v>53</v>
      </c>
      <c r="AB24" t="s">
        <v>53</v>
      </c>
      <c r="AC24" t="s">
        <v>53</v>
      </c>
      <c r="AD24" t="s">
        <v>53</v>
      </c>
      <c r="AE24" t="s">
        <v>53</v>
      </c>
      <c r="AF24" s="22" t="s">
        <v>53</v>
      </c>
      <c r="AG24" s="22" t="s">
        <v>53</v>
      </c>
      <c r="AH24" s="22" t="s">
        <v>53</v>
      </c>
      <c r="AI24" s="22" t="s">
        <v>53</v>
      </c>
      <c r="AJ24">
        <v>11</v>
      </c>
      <c r="AK24">
        <v>13</v>
      </c>
      <c r="AL24">
        <v>17</v>
      </c>
      <c r="AM24">
        <v>13</v>
      </c>
      <c r="AN24" s="22">
        <v>0</v>
      </c>
      <c r="AO24" s="22">
        <v>0</v>
      </c>
      <c r="AP24" s="22">
        <v>0.0588235294117647</v>
      </c>
      <c r="AQ24" s="22">
        <v>0</v>
      </c>
      <c r="AR24" s="35">
        <v>0</v>
      </c>
      <c r="AS24" s="35">
        <v>0</v>
      </c>
      <c r="AT24" s="35">
        <v>3</v>
      </c>
      <c r="AU24" s="31" t="str">
        <f t="shared" si="3"/>
        <v>库存为3</v>
      </c>
      <c r="AV24" s="36" t="str">
        <f>IFERROR(时间!$B$4+AU24,"上周无销量")</f>
        <v>上周无销量</v>
      </c>
    </row>
    <row r="25" spans="1:48">
      <c r="A25" s="20" t="s">
        <v>96</v>
      </c>
      <c r="B25" t="s">
        <v>97</v>
      </c>
      <c r="C25" t="s">
        <v>98</v>
      </c>
      <c r="D25" s="31">
        <v>0</v>
      </c>
      <c r="E25" s="31">
        <v>1</v>
      </c>
      <c r="F25" s="31">
        <v>0</v>
      </c>
      <c r="G25" s="31">
        <v>2</v>
      </c>
      <c r="H25" s="32">
        <v>9.99</v>
      </c>
      <c r="I25">
        <v>12</v>
      </c>
      <c r="J25" s="33">
        <v>0</v>
      </c>
      <c r="K25" s="33">
        <v>0</v>
      </c>
      <c r="L25" s="33">
        <v>0</v>
      </c>
      <c r="M25">
        <v>12</v>
      </c>
      <c r="N25">
        <v>0</v>
      </c>
      <c r="O25">
        <v>2</v>
      </c>
      <c r="P25" t="s">
        <v>53</v>
      </c>
      <c r="Q25" t="s">
        <v>53</v>
      </c>
      <c r="R25" t="s">
        <v>53</v>
      </c>
      <c r="S25" t="s">
        <v>53</v>
      </c>
      <c r="T25" t="s">
        <v>53</v>
      </c>
      <c r="U25" t="s">
        <v>53</v>
      </c>
      <c r="V25" t="s">
        <v>53</v>
      </c>
      <c r="W25" t="s">
        <v>53</v>
      </c>
      <c r="X25" s="22" t="s">
        <v>53</v>
      </c>
      <c r="Y25" s="22" t="s">
        <v>53</v>
      </c>
      <c r="Z25" s="22" t="s">
        <v>53</v>
      </c>
      <c r="AA25" s="22" t="s">
        <v>53</v>
      </c>
      <c r="AB25" t="s">
        <v>53</v>
      </c>
      <c r="AC25" t="s">
        <v>53</v>
      </c>
      <c r="AD25" t="s">
        <v>53</v>
      </c>
      <c r="AE25" t="s">
        <v>53</v>
      </c>
      <c r="AF25" s="22" t="s">
        <v>53</v>
      </c>
      <c r="AG25" s="22" t="s">
        <v>53</v>
      </c>
      <c r="AH25" s="22" t="s">
        <v>53</v>
      </c>
      <c r="AI25" s="22" t="s">
        <v>53</v>
      </c>
      <c r="AJ25">
        <v>24</v>
      </c>
      <c r="AK25">
        <v>30</v>
      </c>
      <c r="AL25">
        <v>17</v>
      </c>
      <c r="AM25">
        <v>13</v>
      </c>
      <c r="AN25" s="22">
        <v>0</v>
      </c>
      <c r="AO25" s="22">
        <v>0.0333333333333333</v>
      </c>
      <c r="AP25" s="22">
        <v>0</v>
      </c>
      <c r="AQ25" s="22">
        <v>0.153846153846154</v>
      </c>
      <c r="AR25" s="35">
        <v>0</v>
      </c>
      <c r="AS25" s="35">
        <v>0</v>
      </c>
      <c r="AT25" s="35">
        <v>12</v>
      </c>
      <c r="AU25" s="31" t="str">
        <f t="shared" si="3"/>
        <v>库存为12</v>
      </c>
      <c r="AV25" s="36" t="str">
        <f>IFERROR(时间!$B$4+AU25,"上周无销量")</f>
        <v>上周无销量</v>
      </c>
    </row>
    <row r="26" spans="1:48">
      <c r="A26" s="20" t="s">
        <v>99</v>
      </c>
      <c r="B26" t="s">
        <v>100</v>
      </c>
      <c r="C26" t="s">
        <v>98</v>
      </c>
      <c r="D26" s="31">
        <v>0</v>
      </c>
      <c r="E26" s="31">
        <v>1</v>
      </c>
      <c r="F26" s="31">
        <v>1</v>
      </c>
      <c r="G26" s="31">
        <v>1</v>
      </c>
      <c r="H26" s="32">
        <v>9.99</v>
      </c>
      <c r="I26">
        <v>0</v>
      </c>
      <c r="J26" s="33">
        <v>0</v>
      </c>
      <c r="K26" s="33">
        <v>0</v>
      </c>
      <c r="L26" s="33">
        <v>0</v>
      </c>
      <c r="M26">
        <v>0</v>
      </c>
      <c r="N26">
        <v>0</v>
      </c>
      <c r="O26">
        <v>0</v>
      </c>
      <c r="P26" t="s">
        <v>53</v>
      </c>
      <c r="Q26" t="s">
        <v>53</v>
      </c>
      <c r="R26" t="s">
        <v>53</v>
      </c>
      <c r="S26" t="s">
        <v>53</v>
      </c>
      <c r="T26" t="s">
        <v>53</v>
      </c>
      <c r="U26" t="s">
        <v>53</v>
      </c>
      <c r="V26" t="s">
        <v>53</v>
      </c>
      <c r="W26" t="s">
        <v>53</v>
      </c>
      <c r="X26" s="22" t="s">
        <v>53</v>
      </c>
      <c r="Y26" s="22" t="s">
        <v>53</v>
      </c>
      <c r="Z26" s="22" t="s">
        <v>53</v>
      </c>
      <c r="AA26" s="22" t="s">
        <v>53</v>
      </c>
      <c r="AB26" t="s">
        <v>53</v>
      </c>
      <c r="AC26" t="s">
        <v>53</v>
      </c>
      <c r="AD26" t="s">
        <v>53</v>
      </c>
      <c r="AE26" t="s">
        <v>53</v>
      </c>
      <c r="AF26" s="22" t="s">
        <v>53</v>
      </c>
      <c r="AG26" s="22" t="s">
        <v>53</v>
      </c>
      <c r="AH26" s="22" t="s">
        <v>53</v>
      </c>
      <c r="AI26" s="22" t="s">
        <v>53</v>
      </c>
      <c r="AJ26">
        <v>0</v>
      </c>
      <c r="AK26">
        <v>6</v>
      </c>
      <c r="AL26">
        <v>16</v>
      </c>
      <c r="AM26">
        <v>8</v>
      </c>
      <c r="AN26" s="22" t="s">
        <v>53</v>
      </c>
      <c r="AO26" s="22">
        <v>0.166666666666667</v>
      </c>
      <c r="AP26" s="22">
        <v>0.0625</v>
      </c>
      <c r="AQ26" s="22">
        <v>0.125</v>
      </c>
      <c r="AR26" s="35">
        <v>0</v>
      </c>
      <c r="AS26" s="35">
        <v>0</v>
      </c>
      <c r="AT26" s="35">
        <v>0</v>
      </c>
      <c r="AU26" s="31" t="str">
        <f t="shared" si="3"/>
        <v>库存为0</v>
      </c>
      <c r="AV26" s="36" t="str">
        <f>IFERROR(时间!$B$4+AU26,"上周无销量")</f>
        <v>上周无销量</v>
      </c>
    </row>
    <row r="27" spans="1:48">
      <c r="A27" s="20" t="s">
        <v>101</v>
      </c>
      <c r="B27" t="s">
        <v>102</v>
      </c>
      <c r="C27" t="s">
        <v>98</v>
      </c>
      <c r="D27" s="31">
        <v>0</v>
      </c>
      <c r="E27" s="31">
        <v>1</v>
      </c>
      <c r="F27" s="31">
        <v>0</v>
      </c>
      <c r="G27" s="31">
        <v>0</v>
      </c>
      <c r="H27" s="32">
        <v>9.99</v>
      </c>
      <c r="I27">
        <v>9</v>
      </c>
      <c r="J27" s="33">
        <v>0</v>
      </c>
      <c r="K27" s="33">
        <v>0</v>
      </c>
      <c r="L27" s="33">
        <v>0</v>
      </c>
      <c r="M27">
        <v>9</v>
      </c>
      <c r="N27">
        <v>0</v>
      </c>
      <c r="O27">
        <v>0</v>
      </c>
      <c r="P27" t="s">
        <v>53</v>
      </c>
      <c r="Q27" t="s">
        <v>53</v>
      </c>
      <c r="R27" t="s">
        <v>53</v>
      </c>
      <c r="S27" t="s">
        <v>53</v>
      </c>
      <c r="T27" t="s">
        <v>53</v>
      </c>
      <c r="U27" t="s">
        <v>53</v>
      </c>
      <c r="V27" t="s">
        <v>53</v>
      </c>
      <c r="W27" t="s">
        <v>53</v>
      </c>
      <c r="X27" s="22" t="s">
        <v>53</v>
      </c>
      <c r="Y27" s="22" t="s">
        <v>53</v>
      </c>
      <c r="Z27" s="22" t="s">
        <v>53</v>
      </c>
      <c r="AA27" s="22" t="s">
        <v>53</v>
      </c>
      <c r="AB27" t="s">
        <v>53</v>
      </c>
      <c r="AC27" t="s">
        <v>53</v>
      </c>
      <c r="AD27" t="s">
        <v>53</v>
      </c>
      <c r="AE27" t="s">
        <v>53</v>
      </c>
      <c r="AF27" s="22" t="s">
        <v>53</v>
      </c>
      <c r="AG27" s="22" t="s">
        <v>53</v>
      </c>
      <c r="AH27" s="22" t="s">
        <v>53</v>
      </c>
      <c r="AI27" s="22" t="s">
        <v>53</v>
      </c>
      <c r="AJ27">
        <v>9</v>
      </c>
      <c r="AK27">
        <v>18</v>
      </c>
      <c r="AL27">
        <v>13</v>
      </c>
      <c r="AM27">
        <v>15</v>
      </c>
      <c r="AN27" s="22">
        <v>0</v>
      </c>
      <c r="AO27" s="22">
        <v>0.0555555555555556</v>
      </c>
      <c r="AP27" s="22">
        <v>0</v>
      </c>
      <c r="AQ27" s="22">
        <v>0</v>
      </c>
      <c r="AR27" s="35">
        <v>0</v>
      </c>
      <c r="AS27" s="35">
        <v>0</v>
      </c>
      <c r="AT27" s="35">
        <v>9</v>
      </c>
      <c r="AU27" s="31" t="str">
        <f t="shared" si="3"/>
        <v>库存为9</v>
      </c>
      <c r="AV27" s="36" t="str">
        <f>IFERROR(时间!$B$4+AU27,"上周无销量")</f>
        <v>上周无销量</v>
      </c>
    </row>
    <row r="28" spans="1:48">
      <c r="A28" s="20" t="s">
        <v>103</v>
      </c>
      <c r="B28" t="s">
        <v>104</v>
      </c>
      <c r="C28" t="s">
        <v>98</v>
      </c>
      <c r="D28" s="31">
        <v>1</v>
      </c>
      <c r="E28" s="31">
        <v>0</v>
      </c>
      <c r="F28" s="31">
        <v>0</v>
      </c>
      <c r="G28" s="31">
        <v>0</v>
      </c>
      <c r="H28" s="32">
        <v>9.99</v>
      </c>
      <c r="I28">
        <v>11</v>
      </c>
      <c r="J28" s="33">
        <v>0</v>
      </c>
      <c r="K28" s="33">
        <v>0</v>
      </c>
      <c r="L28" s="33">
        <v>0</v>
      </c>
      <c r="M28">
        <v>11</v>
      </c>
      <c r="N28">
        <v>0</v>
      </c>
      <c r="O28">
        <v>1</v>
      </c>
      <c r="P28" t="s">
        <v>53</v>
      </c>
      <c r="Q28" t="s">
        <v>53</v>
      </c>
      <c r="R28" t="s">
        <v>53</v>
      </c>
      <c r="S28" t="s">
        <v>53</v>
      </c>
      <c r="T28" t="s">
        <v>53</v>
      </c>
      <c r="U28" t="s">
        <v>53</v>
      </c>
      <c r="V28" t="s">
        <v>53</v>
      </c>
      <c r="W28" t="s">
        <v>53</v>
      </c>
      <c r="X28" s="22" t="s">
        <v>53</v>
      </c>
      <c r="Y28" s="22" t="s">
        <v>53</v>
      </c>
      <c r="Z28" s="22" t="s">
        <v>53</v>
      </c>
      <c r="AA28" s="22" t="s">
        <v>53</v>
      </c>
      <c r="AB28" t="s">
        <v>53</v>
      </c>
      <c r="AC28" t="s">
        <v>53</v>
      </c>
      <c r="AD28" t="s">
        <v>53</v>
      </c>
      <c r="AE28" t="s">
        <v>53</v>
      </c>
      <c r="AF28" s="22" t="s">
        <v>53</v>
      </c>
      <c r="AG28" s="22" t="s">
        <v>53</v>
      </c>
      <c r="AH28" s="22" t="s">
        <v>53</v>
      </c>
      <c r="AI28" s="22" t="s">
        <v>53</v>
      </c>
      <c r="AJ28">
        <v>12</v>
      </c>
      <c r="AK28">
        <v>12</v>
      </c>
      <c r="AL28">
        <v>8</v>
      </c>
      <c r="AM28">
        <v>6</v>
      </c>
      <c r="AN28" s="22">
        <v>0.0833333333333333</v>
      </c>
      <c r="AO28" s="22">
        <v>0</v>
      </c>
      <c r="AP28" s="22">
        <v>0</v>
      </c>
      <c r="AQ28" s="22">
        <v>0</v>
      </c>
      <c r="AR28" s="35">
        <v>0.142857142857143</v>
      </c>
      <c r="AS28" s="35">
        <v>8.57142857142857</v>
      </c>
      <c r="AT28" s="35">
        <v>2.42857142857143</v>
      </c>
      <c r="AU28" s="31">
        <f t="shared" si="3"/>
        <v>77</v>
      </c>
      <c r="AV28" s="36">
        <f>IFERROR(时间!$B$4+AU28,"上周无销量")</f>
        <v>43416</v>
      </c>
    </row>
    <row r="29" spans="1:48">
      <c r="A29" s="20" t="s">
        <v>105</v>
      </c>
      <c r="B29" t="s">
        <v>106</v>
      </c>
      <c r="C29" t="s">
        <v>98</v>
      </c>
      <c r="D29" s="31">
        <v>0</v>
      </c>
      <c r="E29" s="31">
        <v>0</v>
      </c>
      <c r="F29" s="31">
        <v>0</v>
      </c>
      <c r="G29" s="31">
        <v>0</v>
      </c>
      <c r="H29" s="32">
        <v>0</v>
      </c>
      <c r="I29">
        <v>18</v>
      </c>
      <c r="J29" s="33">
        <v>0</v>
      </c>
      <c r="K29" s="33">
        <v>0</v>
      </c>
      <c r="L29" s="33">
        <v>0</v>
      </c>
      <c r="M29">
        <v>18</v>
      </c>
      <c r="N29">
        <v>0</v>
      </c>
      <c r="O29">
        <v>7</v>
      </c>
      <c r="P29" t="s">
        <v>53</v>
      </c>
      <c r="Q29" t="s">
        <v>53</v>
      </c>
      <c r="R29" t="s">
        <v>53</v>
      </c>
      <c r="S29" t="s">
        <v>53</v>
      </c>
      <c r="T29" t="s">
        <v>53</v>
      </c>
      <c r="U29" t="s">
        <v>53</v>
      </c>
      <c r="V29" t="s">
        <v>53</v>
      </c>
      <c r="W29" t="s">
        <v>53</v>
      </c>
      <c r="X29" s="22" t="s">
        <v>53</v>
      </c>
      <c r="Y29" s="22" t="s">
        <v>53</v>
      </c>
      <c r="Z29" s="22" t="s">
        <v>53</v>
      </c>
      <c r="AA29" s="22" t="s">
        <v>53</v>
      </c>
      <c r="AB29" t="s">
        <v>53</v>
      </c>
      <c r="AC29" t="s">
        <v>53</v>
      </c>
      <c r="AD29" t="s">
        <v>53</v>
      </c>
      <c r="AE29" t="s">
        <v>53</v>
      </c>
      <c r="AF29" s="22" t="s">
        <v>53</v>
      </c>
      <c r="AG29" s="22" t="s">
        <v>53</v>
      </c>
      <c r="AH29" s="22" t="s">
        <v>53</v>
      </c>
      <c r="AI29" s="22" t="s">
        <v>53</v>
      </c>
      <c r="AJ29">
        <v>6</v>
      </c>
      <c r="AK29">
        <v>13</v>
      </c>
      <c r="AL29">
        <v>8</v>
      </c>
      <c r="AM29">
        <v>6</v>
      </c>
      <c r="AN29" s="22">
        <v>0</v>
      </c>
      <c r="AO29" s="22">
        <v>0</v>
      </c>
      <c r="AP29" s="22">
        <v>0</v>
      </c>
      <c r="AQ29" s="22">
        <v>0</v>
      </c>
      <c r="AR29" s="35">
        <v>0</v>
      </c>
      <c r="AS29" s="35">
        <v>0</v>
      </c>
      <c r="AT29" s="35">
        <v>18</v>
      </c>
      <c r="AU29" s="31" t="str">
        <f t="shared" si="3"/>
        <v>库存为18</v>
      </c>
      <c r="AV29" s="36" t="str">
        <f>IFERROR(时间!$B$4+AU29,"上周无销量")</f>
        <v>上周无销量</v>
      </c>
    </row>
    <row r="30" spans="1:48">
      <c r="A30" s="20" t="s">
        <v>107</v>
      </c>
      <c r="B30" t="s">
        <v>108</v>
      </c>
      <c r="C30" t="s">
        <v>98</v>
      </c>
      <c r="D30" s="31">
        <v>0</v>
      </c>
      <c r="E30" s="31">
        <v>0</v>
      </c>
      <c r="F30" s="31">
        <v>0</v>
      </c>
      <c r="G30" s="31">
        <v>0</v>
      </c>
      <c r="H30" s="32">
        <v>0</v>
      </c>
      <c r="I30">
        <v>17</v>
      </c>
      <c r="J30" s="33">
        <v>0</v>
      </c>
      <c r="K30" s="33">
        <v>0</v>
      </c>
      <c r="L30" s="33">
        <v>0</v>
      </c>
      <c r="M30">
        <v>17</v>
      </c>
      <c r="N30">
        <v>0</v>
      </c>
      <c r="O30">
        <v>5</v>
      </c>
      <c r="P30" t="s">
        <v>53</v>
      </c>
      <c r="Q30" t="s">
        <v>53</v>
      </c>
      <c r="R30" t="s">
        <v>53</v>
      </c>
      <c r="S30" t="s">
        <v>53</v>
      </c>
      <c r="T30" t="s">
        <v>53</v>
      </c>
      <c r="U30" t="s">
        <v>53</v>
      </c>
      <c r="V30" t="s">
        <v>53</v>
      </c>
      <c r="W30" t="s">
        <v>53</v>
      </c>
      <c r="X30" s="22" t="s">
        <v>53</v>
      </c>
      <c r="Y30" s="22" t="s">
        <v>53</v>
      </c>
      <c r="Z30" s="22" t="s">
        <v>53</v>
      </c>
      <c r="AA30" s="22" t="s">
        <v>53</v>
      </c>
      <c r="AB30" t="s">
        <v>53</v>
      </c>
      <c r="AC30" t="s">
        <v>53</v>
      </c>
      <c r="AD30" t="s">
        <v>53</v>
      </c>
      <c r="AE30" t="s">
        <v>53</v>
      </c>
      <c r="AF30" s="22" t="s">
        <v>53</v>
      </c>
      <c r="AG30" s="22" t="s">
        <v>53</v>
      </c>
      <c r="AH30" s="22" t="s">
        <v>53</v>
      </c>
      <c r="AI30" s="22" t="s">
        <v>53</v>
      </c>
      <c r="AJ30">
        <v>6</v>
      </c>
      <c r="AK30">
        <v>10</v>
      </c>
      <c r="AL30">
        <v>7</v>
      </c>
      <c r="AM30">
        <v>4</v>
      </c>
      <c r="AN30" s="22">
        <v>0</v>
      </c>
      <c r="AO30" s="22">
        <v>0</v>
      </c>
      <c r="AP30" s="22">
        <v>0</v>
      </c>
      <c r="AQ30" s="22">
        <v>0</v>
      </c>
      <c r="AR30" s="35">
        <v>0</v>
      </c>
      <c r="AS30" s="35">
        <v>0</v>
      </c>
      <c r="AT30" s="35">
        <v>17</v>
      </c>
      <c r="AU30" s="31" t="str">
        <f t="shared" si="3"/>
        <v>库存为17</v>
      </c>
      <c r="AV30" s="36" t="str">
        <f>IFERROR(时间!$B$4+AU30,"上周无销量")</f>
        <v>上周无销量</v>
      </c>
    </row>
    <row r="31" spans="1:48">
      <c r="A31" s="20" t="s">
        <v>109</v>
      </c>
      <c r="B31" t="s">
        <v>110</v>
      </c>
      <c r="C31" t="s">
        <v>111</v>
      </c>
      <c r="D31" s="31">
        <v>0</v>
      </c>
      <c r="E31" s="31">
        <v>1</v>
      </c>
      <c r="F31" s="31">
        <v>0</v>
      </c>
      <c r="G31" s="31">
        <v>0</v>
      </c>
      <c r="H31" s="32">
        <v>8.99</v>
      </c>
      <c r="I31">
        <v>7</v>
      </c>
      <c r="J31" s="33">
        <v>0</v>
      </c>
      <c r="K31" s="33">
        <v>0</v>
      </c>
      <c r="L31" s="33">
        <v>0</v>
      </c>
      <c r="M31">
        <v>7</v>
      </c>
      <c r="N31">
        <v>0</v>
      </c>
      <c r="O31">
        <v>7</v>
      </c>
      <c r="P31" t="s">
        <v>53</v>
      </c>
      <c r="Q31" t="s">
        <v>53</v>
      </c>
      <c r="R31" t="s">
        <v>53</v>
      </c>
      <c r="S31" t="s">
        <v>53</v>
      </c>
      <c r="T31" t="s">
        <v>53</v>
      </c>
      <c r="U31" t="s">
        <v>53</v>
      </c>
      <c r="V31" t="s">
        <v>53</v>
      </c>
      <c r="W31" t="s">
        <v>53</v>
      </c>
      <c r="X31" s="22" t="s">
        <v>53</v>
      </c>
      <c r="Y31" s="22" t="s">
        <v>53</v>
      </c>
      <c r="Z31" s="22" t="s">
        <v>53</v>
      </c>
      <c r="AA31" s="22" t="s">
        <v>53</v>
      </c>
      <c r="AB31" t="s">
        <v>53</v>
      </c>
      <c r="AC31" t="s">
        <v>53</v>
      </c>
      <c r="AD31" t="s">
        <v>53</v>
      </c>
      <c r="AE31" t="s">
        <v>53</v>
      </c>
      <c r="AF31" s="22" t="s">
        <v>53</v>
      </c>
      <c r="AG31" s="22" t="s">
        <v>53</v>
      </c>
      <c r="AH31" s="22" t="s">
        <v>53</v>
      </c>
      <c r="AI31" s="22" t="s">
        <v>53</v>
      </c>
      <c r="AJ31">
        <v>14</v>
      </c>
      <c r="AK31">
        <v>25</v>
      </c>
      <c r="AL31">
        <v>6</v>
      </c>
      <c r="AM31">
        <v>10</v>
      </c>
      <c r="AN31" s="22">
        <v>0</v>
      </c>
      <c r="AO31" s="22">
        <v>0.04</v>
      </c>
      <c r="AP31" s="22">
        <v>0</v>
      </c>
      <c r="AQ31" s="22">
        <v>0</v>
      </c>
      <c r="AR31" s="35">
        <v>0</v>
      </c>
      <c r="AS31" s="35">
        <v>0</v>
      </c>
      <c r="AT31" s="35">
        <v>7</v>
      </c>
      <c r="AU31" s="31" t="str">
        <f t="shared" si="3"/>
        <v>库存为7</v>
      </c>
      <c r="AV31" s="36" t="str">
        <f>IFERROR(时间!$B$4+AU31,"上周无销量")</f>
        <v>上周无销量</v>
      </c>
    </row>
    <row r="32" spans="1:48">
      <c r="A32" s="20" t="s">
        <v>112</v>
      </c>
      <c r="B32" t="s">
        <v>113</v>
      </c>
      <c r="C32" t="s">
        <v>114</v>
      </c>
      <c r="D32" s="31">
        <v>0</v>
      </c>
      <c r="E32" s="31">
        <v>0</v>
      </c>
      <c r="F32" s="31">
        <v>0</v>
      </c>
      <c r="G32" s="31">
        <v>0</v>
      </c>
      <c r="H32" s="32">
        <v>0</v>
      </c>
      <c r="I32">
        <v>0</v>
      </c>
      <c r="J32" s="33">
        <v>0</v>
      </c>
      <c r="K32" s="33">
        <v>0</v>
      </c>
      <c r="L32" s="33">
        <v>0</v>
      </c>
      <c r="M32">
        <v>0</v>
      </c>
      <c r="N32">
        <v>0</v>
      </c>
      <c r="O32">
        <v>0</v>
      </c>
      <c r="P32" t="s">
        <v>53</v>
      </c>
      <c r="Q32" t="s">
        <v>53</v>
      </c>
      <c r="R32" t="s">
        <v>53</v>
      </c>
      <c r="S32" t="s">
        <v>53</v>
      </c>
      <c r="T32" t="s">
        <v>53</v>
      </c>
      <c r="U32" t="s">
        <v>53</v>
      </c>
      <c r="V32" t="s">
        <v>53</v>
      </c>
      <c r="W32" t="s">
        <v>53</v>
      </c>
      <c r="X32" s="22" t="s">
        <v>53</v>
      </c>
      <c r="Y32" s="22" t="s">
        <v>53</v>
      </c>
      <c r="Z32" s="22" t="s">
        <v>53</v>
      </c>
      <c r="AA32" s="22" t="s">
        <v>53</v>
      </c>
      <c r="AB32" t="s">
        <v>53</v>
      </c>
      <c r="AC32" t="s">
        <v>53</v>
      </c>
      <c r="AD32" t="s">
        <v>53</v>
      </c>
      <c r="AE32" t="s">
        <v>53</v>
      </c>
      <c r="AF32" s="22" t="s">
        <v>53</v>
      </c>
      <c r="AG32" s="22" t="s">
        <v>53</v>
      </c>
      <c r="AH32" s="22" t="s">
        <v>53</v>
      </c>
      <c r="AI32" s="22" t="s">
        <v>53</v>
      </c>
      <c r="AJ32">
        <v>0</v>
      </c>
      <c r="AK32">
        <v>0</v>
      </c>
      <c r="AL32">
        <v>0</v>
      </c>
      <c r="AM32">
        <v>0</v>
      </c>
      <c r="AN32" s="22" t="s">
        <v>53</v>
      </c>
      <c r="AO32" s="22" t="s">
        <v>53</v>
      </c>
      <c r="AP32" s="22" t="s">
        <v>53</v>
      </c>
      <c r="AQ32" s="22" t="s">
        <v>53</v>
      </c>
      <c r="AR32" s="35">
        <v>0</v>
      </c>
      <c r="AS32" s="35">
        <v>0</v>
      </c>
      <c r="AT32" s="35">
        <v>0</v>
      </c>
      <c r="AU32" s="31" t="str">
        <f t="shared" si="3"/>
        <v>库存为0</v>
      </c>
      <c r="AV32" s="36" t="str">
        <f>IFERROR(时间!$B$4+AU32,"上周无销量")</f>
        <v>上周无销量</v>
      </c>
    </row>
    <row r="33" spans="1:48">
      <c r="A33" s="20" t="s">
        <v>115</v>
      </c>
      <c r="B33" t="s">
        <v>116</v>
      </c>
      <c r="C33" t="s">
        <v>114</v>
      </c>
      <c r="D33" s="31">
        <v>0</v>
      </c>
      <c r="E33" s="31">
        <v>0</v>
      </c>
      <c r="F33" s="31">
        <v>0</v>
      </c>
      <c r="G33" s="31">
        <v>0</v>
      </c>
      <c r="H33" s="32">
        <v>0</v>
      </c>
      <c r="I33">
        <v>2</v>
      </c>
      <c r="J33" s="33">
        <v>0</v>
      </c>
      <c r="K33" s="33">
        <v>0</v>
      </c>
      <c r="L33" s="33">
        <v>0</v>
      </c>
      <c r="M33">
        <v>2</v>
      </c>
      <c r="N33">
        <v>0</v>
      </c>
      <c r="O33">
        <v>0</v>
      </c>
      <c r="P33" t="s">
        <v>53</v>
      </c>
      <c r="Q33" t="s">
        <v>53</v>
      </c>
      <c r="R33" t="s">
        <v>53</v>
      </c>
      <c r="S33" t="s">
        <v>53</v>
      </c>
      <c r="T33" t="s">
        <v>53</v>
      </c>
      <c r="U33" t="s">
        <v>53</v>
      </c>
      <c r="V33" t="s">
        <v>53</v>
      </c>
      <c r="W33" t="s">
        <v>53</v>
      </c>
      <c r="X33" s="22" t="s">
        <v>53</v>
      </c>
      <c r="Y33" s="22" t="s">
        <v>53</v>
      </c>
      <c r="Z33" s="22" t="s">
        <v>53</v>
      </c>
      <c r="AA33" s="22" t="s">
        <v>53</v>
      </c>
      <c r="AB33" t="s">
        <v>53</v>
      </c>
      <c r="AC33" t="s">
        <v>53</v>
      </c>
      <c r="AD33" t="s">
        <v>53</v>
      </c>
      <c r="AE33" t="s">
        <v>53</v>
      </c>
      <c r="AF33" s="22" t="s">
        <v>53</v>
      </c>
      <c r="AG33" s="22" t="s">
        <v>53</v>
      </c>
      <c r="AH33" s="22" t="s">
        <v>53</v>
      </c>
      <c r="AI33" s="22" t="s">
        <v>53</v>
      </c>
      <c r="AJ33">
        <v>0</v>
      </c>
      <c r="AK33">
        <v>0</v>
      </c>
      <c r="AL33">
        <v>0</v>
      </c>
      <c r="AM33">
        <v>0</v>
      </c>
      <c r="AN33" s="22" t="s">
        <v>53</v>
      </c>
      <c r="AO33" s="22" t="s">
        <v>53</v>
      </c>
      <c r="AP33" s="22" t="s">
        <v>53</v>
      </c>
      <c r="AQ33" s="22" t="s">
        <v>53</v>
      </c>
      <c r="AR33" s="35">
        <v>0</v>
      </c>
      <c r="AS33" s="35">
        <v>0</v>
      </c>
      <c r="AT33" s="35">
        <v>2</v>
      </c>
      <c r="AU33" s="31" t="str">
        <f t="shared" si="3"/>
        <v>库存为2</v>
      </c>
      <c r="AV33" s="36" t="str">
        <f>IFERROR(时间!$B$4+AU33,"上周无销量")</f>
        <v>上周无销量</v>
      </c>
    </row>
    <row r="34" spans="1:48">
      <c r="A34" s="20" t="s">
        <v>117</v>
      </c>
      <c r="B34" t="s">
        <v>118</v>
      </c>
      <c r="C34" t="s">
        <v>119</v>
      </c>
      <c r="D34" s="31">
        <v>0</v>
      </c>
      <c r="E34" s="31">
        <v>0</v>
      </c>
      <c r="F34" s="31">
        <v>0</v>
      </c>
      <c r="G34" s="31">
        <v>0</v>
      </c>
      <c r="H34" s="32">
        <v>0</v>
      </c>
      <c r="I34">
        <v>21</v>
      </c>
      <c r="J34" s="33">
        <v>0</v>
      </c>
      <c r="K34" s="33">
        <v>0</v>
      </c>
      <c r="L34" s="33">
        <v>0</v>
      </c>
      <c r="M34">
        <v>21</v>
      </c>
      <c r="N34">
        <v>0</v>
      </c>
      <c r="O34">
        <v>21</v>
      </c>
      <c r="P34" t="s">
        <v>53</v>
      </c>
      <c r="Q34" t="s">
        <v>53</v>
      </c>
      <c r="R34" t="s">
        <v>53</v>
      </c>
      <c r="S34" t="s">
        <v>53</v>
      </c>
      <c r="T34" t="s">
        <v>53</v>
      </c>
      <c r="U34" t="s">
        <v>53</v>
      </c>
      <c r="V34" t="s">
        <v>53</v>
      </c>
      <c r="W34" t="s">
        <v>53</v>
      </c>
      <c r="X34" s="22" t="s">
        <v>53</v>
      </c>
      <c r="Y34" s="22" t="s">
        <v>53</v>
      </c>
      <c r="Z34" s="22" t="s">
        <v>53</v>
      </c>
      <c r="AA34" s="22" t="s">
        <v>53</v>
      </c>
      <c r="AB34" t="s">
        <v>53</v>
      </c>
      <c r="AC34" t="s">
        <v>53</v>
      </c>
      <c r="AD34" t="s">
        <v>53</v>
      </c>
      <c r="AE34" t="s">
        <v>53</v>
      </c>
      <c r="AF34" s="22" t="s">
        <v>53</v>
      </c>
      <c r="AG34" s="22" t="s">
        <v>53</v>
      </c>
      <c r="AH34" s="22" t="s">
        <v>53</v>
      </c>
      <c r="AI34" s="22" t="s">
        <v>53</v>
      </c>
      <c r="AJ34">
        <v>1</v>
      </c>
      <c r="AK34">
        <v>3</v>
      </c>
      <c r="AL34">
        <v>15</v>
      </c>
      <c r="AM34">
        <v>7</v>
      </c>
      <c r="AN34" s="22">
        <v>0</v>
      </c>
      <c r="AO34" s="22">
        <v>0</v>
      </c>
      <c r="AP34" s="22">
        <v>0</v>
      </c>
      <c r="AQ34" s="22">
        <v>0</v>
      </c>
      <c r="AR34" s="35">
        <v>0</v>
      </c>
      <c r="AS34" s="35">
        <v>0</v>
      </c>
      <c r="AT34" s="35">
        <v>21</v>
      </c>
      <c r="AU34" s="31" t="str">
        <f t="shared" si="3"/>
        <v>库存为21</v>
      </c>
      <c r="AV34" s="36" t="str">
        <f>IFERROR(时间!$B$4+AU34,"上周无销量")</f>
        <v>上周无销量</v>
      </c>
    </row>
    <row r="35" spans="1:48">
      <c r="A35" s="20" t="s">
        <v>120</v>
      </c>
      <c r="B35" t="s">
        <v>121</v>
      </c>
      <c r="C35" t="s">
        <v>119</v>
      </c>
      <c r="D35" s="31">
        <v>2</v>
      </c>
      <c r="E35" s="31">
        <v>0</v>
      </c>
      <c r="F35" s="31">
        <v>0</v>
      </c>
      <c r="G35" s="31">
        <v>1</v>
      </c>
      <c r="H35" s="32">
        <v>8.99</v>
      </c>
      <c r="I35">
        <v>16</v>
      </c>
      <c r="J35" s="33">
        <v>0</v>
      </c>
      <c r="K35" s="33">
        <v>0</v>
      </c>
      <c r="L35" s="33">
        <v>1</v>
      </c>
      <c r="M35">
        <v>17</v>
      </c>
      <c r="N35">
        <v>0</v>
      </c>
      <c r="O35">
        <v>19</v>
      </c>
      <c r="P35" t="s">
        <v>53</v>
      </c>
      <c r="Q35" t="s">
        <v>53</v>
      </c>
      <c r="R35" t="s">
        <v>53</v>
      </c>
      <c r="S35" t="s">
        <v>53</v>
      </c>
      <c r="T35" t="s">
        <v>53</v>
      </c>
      <c r="U35" t="s">
        <v>53</v>
      </c>
      <c r="V35" t="s">
        <v>53</v>
      </c>
      <c r="W35" t="s">
        <v>53</v>
      </c>
      <c r="X35" s="22" t="s">
        <v>53</v>
      </c>
      <c r="Y35" s="22" t="s">
        <v>53</v>
      </c>
      <c r="Z35" s="22" t="s">
        <v>53</v>
      </c>
      <c r="AA35" s="22" t="s">
        <v>53</v>
      </c>
      <c r="AB35" t="s">
        <v>53</v>
      </c>
      <c r="AC35" t="s">
        <v>53</v>
      </c>
      <c r="AD35" t="s">
        <v>53</v>
      </c>
      <c r="AE35" t="s">
        <v>53</v>
      </c>
      <c r="AF35" s="22" t="s">
        <v>53</v>
      </c>
      <c r="AG35" s="22" t="s">
        <v>53</v>
      </c>
      <c r="AH35" s="22" t="s">
        <v>53</v>
      </c>
      <c r="AI35" s="22" t="s">
        <v>53</v>
      </c>
      <c r="AJ35">
        <v>22</v>
      </c>
      <c r="AK35">
        <v>16</v>
      </c>
      <c r="AL35">
        <v>21</v>
      </c>
      <c r="AM35">
        <v>10</v>
      </c>
      <c r="AN35" s="22">
        <v>0.0909090909090909</v>
      </c>
      <c r="AO35" s="22">
        <v>0</v>
      </c>
      <c r="AP35" s="22">
        <v>0</v>
      </c>
      <c r="AQ35" s="22">
        <v>0.1</v>
      </c>
      <c r="AR35" s="35">
        <v>0.285714285714286</v>
      </c>
      <c r="AS35" s="35">
        <v>17.1428571428571</v>
      </c>
      <c r="AT35" s="35">
        <v>-0.142857142857142</v>
      </c>
      <c r="AU35" s="31">
        <f t="shared" si="3"/>
        <v>59</v>
      </c>
      <c r="AV35" s="36">
        <f>IFERROR(时间!$B$4+AU35,"上周无销量")</f>
        <v>43398</v>
      </c>
    </row>
    <row r="36" spans="1:48">
      <c r="A36" s="20" t="s">
        <v>122</v>
      </c>
      <c r="B36" t="s">
        <v>123</v>
      </c>
      <c r="C36" t="s">
        <v>119</v>
      </c>
      <c r="D36" s="31">
        <v>0</v>
      </c>
      <c r="E36" s="31">
        <v>0</v>
      </c>
      <c r="F36" s="31">
        <v>0</v>
      </c>
      <c r="G36" s="31">
        <v>1</v>
      </c>
      <c r="H36" s="32">
        <v>8.99</v>
      </c>
      <c r="I36">
        <v>24</v>
      </c>
      <c r="J36" s="33">
        <v>0</v>
      </c>
      <c r="K36" s="33">
        <v>0</v>
      </c>
      <c r="L36" s="33">
        <v>0</v>
      </c>
      <c r="M36">
        <v>24</v>
      </c>
      <c r="N36">
        <v>0</v>
      </c>
      <c r="O36">
        <v>22</v>
      </c>
      <c r="P36" t="s">
        <v>53</v>
      </c>
      <c r="Q36" t="s">
        <v>53</v>
      </c>
      <c r="R36" t="s">
        <v>53</v>
      </c>
      <c r="S36" t="s">
        <v>53</v>
      </c>
      <c r="T36" t="s">
        <v>53</v>
      </c>
      <c r="U36" t="s">
        <v>53</v>
      </c>
      <c r="V36" t="s">
        <v>53</v>
      </c>
      <c r="W36" t="s">
        <v>53</v>
      </c>
      <c r="X36" s="22" t="s">
        <v>53</v>
      </c>
      <c r="Y36" s="22" t="s">
        <v>53</v>
      </c>
      <c r="Z36" s="22" t="s">
        <v>53</v>
      </c>
      <c r="AA36" s="22" t="s">
        <v>53</v>
      </c>
      <c r="AB36" t="s">
        <v>53</v>
      </c>
      <c r="AC36" t="s">
        <v>53</v>
      </c>
      <c r="AD36" t="s">
        <v>53</v>
      </c>
      <c r="AE36" t="s">
        <v>53</v>
      </c>
      <c r="AF36" s="22" t="s">
        <v>53</v>
      </c>
      <c r="AG36" s="22" t="s">
        <v>53</v>
      </c>
      <c r="AH36" s="22" t="s">
        <v>53</v>
      </c>
      <c r="AI36" s="22" t="s">
        <v>53</v>
      </c>
      <c r="AJ36">
        <v>15</v>
      </c>
      <c r="AK36">
        <v>10</v>
      </c>
      <c r="AL36">
        <v>10</v>
      </c>
      <c r="AM36">
        <v>7</v>
      </c>
      <c r="AN36" s="22">
        <v>0</v>
      </c>
      <c r="AO36" s="22">
        <v>0</v>
      </c>
      <c r="AP36" s="22">
        <v>0</v>
      </c>
      <c r="AQ36" s="22">
        <v>0.142857142857143</v>
      </c>
      <c r="AR36" s="35">
        <v>0</v>
      </c>
      <c r="AS36" s="35">
        <v>0</v>
      </c>
      <c r="AT36" s="35">
        <v>24</v>
      </c>
      <c r="AU36" s="31" t="str">
        <f t="shared" si="3"/>
        <v>库存为24</v>
      </c>
      <c r="AV36" s="36" t="str">
        <f>IFERROR(时间!$B$4+AU36,"上周无销量")</f>
        <v>上周无销量</v>
      </c>
    </row>
    <row r="37" spans="1:48">
      <c r="A37" s="20" t="s">
        <v>124</v>
      </c>
      <c r="B37" t="s">
        <v>125</v>
      </c>
      <c r="C37" t="s">
        <v>119</v>
      </c>
      <c r="D37" s="31">
        <v>0</v>
      </c>
      <c r="E37" s="31">
        <v>0</v>
      </c>
      <c r="F37" s="31">
        <v>0</v>
      </c>
      <c r="G37" s="31">
        <v>0</v>
      </c>
      <c r="H37" s="32">
        <v>0</v>
      </c>
      <c r="I37">
        <v>16</v>
      </c>
      <c r="J37" s="33">
        <v>0</v>
      </c>
      <c r="K37" s="33">
        <v>0</v>
      </c>
      <c r="L37" s="33">
        <v>0</v>
      </c>
      <c r="M37">
        <v>16</v>
      </c>
      <c r="N37">
        <v>0</v>
      </c>
      <c r="O37">
        <v>16</v>
      </c>
      <c r="P37" t="s">
        <v>53</v>
      </c>
      <c r="Q37" t="s">
        <v>53</v>
      </c>
      <c r="R37" t="s">
        <v>53</v>
      </c>
      <c r="S37" t="s">
        <v>53</v>
      </c>
      <c r="T37" t="s">
        <v>53</v>
      </c>
      <c r="U37" t="s">
        <v>53</v>
      </c>
      <c r="V37" t="s">
        <v>53</v>
      </c>
      <c r="W37" t="s">
        <v>53</v>
      </c>
      <c r="X37" s="22" t="s">
        <v>53</v>
      </c>
      <c r="Y37" s="22" t="s">
        <v>53</v>
      </c>
      <c r="Z37" s="22" t="s">
        <v>53</v>
      </c>
      <c r="AA37" s="22" t="s">
        <v>53</v>
      </c>
      <c r="AB37" t="s">
        <v>53</v>
      </c>
      <c r="AC37" t="s">
        <v>53</v>
      </c>
      <c r="AD37" t="s">
        <v>53</v>
      </c>
      <c r="AE37" t="s">
        <v>53</v>
      </c>
      <c r="AF37" s="22" t="s">
        <v>53</v>
      </c>
      <c r="AG37" s="22" t="s">
        <v>53</v>
      </c>
      <c r="AH37" s="22" t="s">
        <v>53</v>
      </c>
      <c r="AI37" s="22" t="s">
        <v>53</v>
      </c>
      <c r="AJ37">
        <v>28</v>
      </c>
      <c r="AK37">
        <v>28</v>
      </c>
      <c r="AL37">
        <v>31</v>
      </c>
      <c r="AM37">
        <v>20</v>
      </c>
      <c r="AN37" s="22">
        <v>0</v>
      </c>
      <c r="AO37" s="22">
        <v>0</v>
      </c>
      <c r="AP37" s="22">
        <v>0</v>
      </c>
      <c r="AQ37" s="22">
        <v>0</v>
      </c>
      <c r="AR37" s="35">
        <v>0</v>
      </c>
      <c r="AS37" s="35">
        <v>0</v>
      </c>
      <c r="AT37" s="35">
        <v>16</v>
      </c>
      <c r="AU37" s="31" t="str">
        <f t="shared" si="3"/>
        <v>库存为16</v>
      </c>
      <c r="AV37" s="36" t="str">
        <f>IFERROR(时间!$B$4+AU37,"上周无销量")</f>
        <v>上周无销量</v>
      </c>
    </row>
    <row r="38" spans="1:48">
      <c r="A38" s="20" t="s">
        <v>126</v>
      </c>
      <c r="B38" t="s">
        <v>127</v>
      </c>
      <c r="C38" t="s">
        <v>128</v>
      </c>
      <c r="D38" s="31">
        <v>0</v>
      </c>
      <c r="E38" s="31">
        <v>0</v>
      </c>
      <c r="F38" s="31">
        <v>0</v>
      </c>
      <c r="G38" s="31">
        <v>0</v>
      </c>
      <c r="H38" s="32">
        <v>0</v>
      </c>
      <c r="I38">
        <v>0</v>
      </c>
      <c r="J38" s="33">
        <v>0</v>
      </c>
      <c r="K38" s="33">
        <v>0</v>
      </c>
      <c r="L38" s="33">
        <v>0</v>
      </c>
      <c r="M38">
        <v>0</v>
      </c>
      <c r="N38">
        <v>0</v>
      </c>
      <c r="O38">
        <v>0</v>
      </c>
      <c r="P38" t="s">
        <v>53</v>
      </c>
      <c r="Q38" t="s">
        <v>53</v>
      </c>
      <c r="R38" t="s">
        <v>53</v>
      </c>
      <c r="S38" t="s">
        <v>53</v>
      </c>
      <c r="T38" t="s">
        <v>53</v>
      </c>
      <c r="U38" t="s">
        <v>53</v>
      </c>
      <c r="V38" t="s">
        <v>53</v>
      </c>
      <c r="W38" t="s">
        <v>53</v>
      </c>
      <c r="X38" s="22" t="s">
        <v>53</v>
      </c>
      <c r="Y38" s="22" t="s">
        <v>53</v>
      </c>
      <c r="Z38" s="22" t="s">
        <v>53</v>
      </c>
      <c r="AA38" s="22" t="s">
        <v>53</v>
      </c>
      <c r="AB38" t="s">
        <v>53</v>
      </c>
      <c r="AC38" t="s">
        <v>53</v>
      </c>
      <c r="AD38" t="s">
        <v>53</v>
      </c>
      <c r="AE38" t="s">
        <v>53</v>
      </c>
      <c r="AF38" s="22" t="s">
        <v>53</v>
      </c>
      <c r="AG38" s="22" t="s">
        <v>53</v>
      </c>
      <c r="AH38" s="22" t="s">
        <v>53</v>
      </c>
      <c r="AI38" s="22" t="s">
        <v>53</v>
      </c>
      <c r="AJ38">
        <v>0</v>
      </c>
      <c r="AK38">
        <v>0</v>
      </c>
      <c r="AL38">
        <v>0</v>
      </c>
      <c r="AM38">
        <v>0</v>
      </c>
      <c r="AN38" s="22" t="s">
        <v>53</v>
      </c>
      <c r="AO38" s="22" t="s">
        <v>53</v>
      </c>
      <c r="AP38" s="22" t="s">
        <v>53</v>
      </c>
      <c r="AQ38" s="22" t="s">
        <v>53</v>
      </c>
      <c r="AR38" s="35">
        <v>0</v>
      </c>
      <c r="AS38" s="35">
        <v>0</v>
      </c>
      <c r="AT38" s="35">
        <v>0</v>
      </c>
      <c r="AU38" s="31" t="str">
        <f t="shared" si="3"/>
        <v>库存为0</v>
      </c>
      <c r="AV38" s="36" t="str">
        <f>IFERROR(时间!$B$4+AU38,"上周无销量")</f>
        <v>上周无销量</v>
      </c>
    </row>
    <row r="39" spans="1:48">
      <c r="A39" s="20" t="s">
        <v>129</v>
      </c>
      <c r="B39" t="s">
        <v>130</v>
      </c>
      <c r="C39" t="s">
        <v>128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0</v>
      </c>
      <c r="J39" s="33">
        <v>0</v>
      </c>
      <c r="K39" s="33">
        <v>0</v>
      </c>
      <c r="L39" s="33">
        <v>0</v>
      </c>
      <c r="M39">
        <v>0</v>
      </c>
      <c r="N39">
        <v>0</v>
      </c>
      <c r="O39">
        <v>0</v>
      </c>
      <c r="P39" t="s">
        <v>53</v>
      </c>
      <c r="Q39" t="s">
        <v>53</v>
      </c>
      <c r="R39" t="s">
        <v>53</v>
      </c>
      <c r="S39" t="s">
        <v>53</v>
      </c>
      <c r="T39" t="s">
        <v>53</v>
      </c>
      <c r="U39" t="s">
        <v>53</v>
      </c>
      <c r="V39" t="s">
        <v>53</v>
      </c>
      <c r="W39" t="s">
        <v>53</v>
      </c>
      <c r="X39" s="22" t="s">
        <v>53</v>
      </c>
      <c r="Y39" s="22" t="s">
        <v>53</v>
      </c>
      <c r="Z39" s="22" t="s">
        <v>53</v>
      </c>
      <c r="AA39" s="22" t="s">
        <v>53</v>
      </c>
      <c r="AB39" t="s">
        <v>53</v>
      </c>
      <c r="AC39" t="s">
        <v>53</v>
      </c>
      <c r="AD39" t="s">
        <v>53</v>
      </c>
      <c r="AE39" t="s">
        <v>53</v>
      </c>
      <c r="AF39" s="22" t="s">
        <v>53</v>
      </c>
      <c r="AG39" s="22" t="s">
        <v>53</v>
      </c>
      <c r="AH39" s="22" t="s">
        <v>53</v>
      </c>
      <c r="AI39" s="22" t="s">
        <v>53</v>
      </c>
      <c r="AJ39">
        <v>0</v>
      </c>
      <c r="AK39">
        <v>0</v>
      </c>
      <c r="AL39">
        <v>0</v>
      </c>
      <c r="AM39">
        <v>0</v>
      </c>
      <c r="AN39" s="22" t="s">
        <v>53</v>
      </c>
      <c r="AO39" s="22" t="s">
        <v>53</v>
      </c>
      <c r="AP39" s="22" t="s">
        <v>53</v>
      </c>
      <c r="AQ39" s="22" t="s">
        <v>53</v>
      </c>
      <c r="AR39" s="35">
        <v>0</v>
      </c>
      <c r="AS39" s="35">
        <v>0</v>
      </c>
      <c r="AT39" s="35">
        <v>0</v>
      </c>
      <c r="AU39" s="31" t="str">
        <f t="shared" si="3"/>
        <v>库存为0</v>
      </c>
      <c r="AV39" s="36" t="str">
        <f>IFERROR(时间!$B$4+AU39,"上周无销量")</f>
        <v>上周无销量</v>
      </c>
    </row>
    <row r="40" spans="1:48">
      <c r="A40" s="20" t="s">
        <v>131</v>
      </c>
      <c r="B40" t="s">
        <v>132</v>
      </c>
      <c r="C40" t="s">
        <v>133</v>
      </c>
      <c r="D40" s="31">
        <v>0</v>
      </c>
      <c r="E40" s="31">
        <v>0</v>
      </c>
      <c r="F40" s="31">
        <v>0</v>
      </c>
      <c r="G40" s="31">
        <v>0</v>
      </c>
      <c r="H40" s="32">
        <v>0</v>
      </c>
      <c r="I40">
        <v>0</v>
      </c>
      <c r="J40" s="33">
        <v>0</v>
      </c>
      <c r="K40" s="33">
        <v>0</v>
      </c>
      <c r="L40" s="33">
        <v>0</v>
      </c>
      <c r="M40">
        <v>0</v>
      </c>
      <c r="N40">
        <v>0</v>
      </c>
      <c r="O40">
        <v>0</v>
      </c>
      <c r="P40" t="s">
        <v>53</v>
      </c>
      <c r="Q40" t="s">
        <v>53</v>
      </c>
      <c r="R40" t="s">
        <v>53</v>
      </c>
      <c r="S40" t="s">
        <v>53</v>
      </c>
      <c r="T40" t="s">
        <v>53</v>
      </c>
      <c r="U40" t="s">
        <v>53</v>
      </c>
      <c r="V40" t="s">
        <v>53</v>
      </c>
      <c r="W40" t="s">
        <v>53</v>
      </c>
      <c r="X40" s="22" t="s">
        <v>53</v>
      </c>
      <c r="Y40" s="22" t="s">
        <v>53</v>
      </c>
      <c r="Z40" s="22" t="s">
        <v>53</v>
      </c>
      <c r="AA40" s="22" t="s">
        <v>53</v>
      </c>
      <c r="AB40" t="s">
        <v>53</v>
      </c>
      <c r="AC40" t="s">
        <v>53</v>
      </c>
      <c r="AD40" t="s">
        <v>53</v>
      </c>
      <c r="AE40" t="s">
        <v>53</v>
      </c>
      <c r="AF40" s="22" t="s">
        <v>53</v>
      </c>
      <c r="AG40" s="22" t="s">
        <v>53</v>
      </c>
      <c r="AH40" s="22" t="s">
        <v>53</v>
      </c>
      <c r="AI40" s="22" t="s">
        <v>53</v>
      </c>
      <c r="AJ40">
        <v>0</v>
      </c>
      <c r="AK40">
        <v>0</v>
      </c>
      <c r="AL40">
        <v>0</v>
      </c>
      <c r="AM40">
        <v>0</v>
      </c>
      <c r="AN40" s="22" t="s">
        <v>53</v>
      </c>
      <c r="AO40" s="22" t="s">
        <v>53</v>
      </c>
      <c r="AP40" s="22" t="s">
        <v>53</v>
      </c>
      <c r="AQ40" s="22" t="s">
        <v>53</v>
      </c>
      <c r="AR40" s="35">
        <v>0</v>
      </c>
      <c r="AS40" s="35">
        <v>0</v>
      </c>
      <c r="AT40" s="35">
        <v>0</v>
      </c>
      <c r="AU40" s="31" t="str">
        <f t="shared" si="3"/>
        <v>库存为0</v>
      </c>
      <c r="AV40" s="36" t="str">
        <f>IFERROR(时间!$B$4+AU40,"上周无销量")</f>
        <v>上周无销量</v>
      </c>
    </row>
    <row r="41" spans="1:48">
      <c r="A41" s="20" t="s">
        <v>134</v>
      </c>
      <c r="B41" t="s">
        <v>135</v>
      </c>
      <c r="C41" t="s">
        <v>133</v>
      </c>
      <c r="D41" s="31">
        <v>0</v>
      </c>
      <c r="E41" s="31">
        <v>0</v>
      </c>
      <c r="F41" s="31">
        <v>0</v>
      </c>
      <c r="G41" s="31">
        <v>0</v>
      </c>
      <c r="H41" s="32">
        <v>0</v>
      </c>
      <c r="I41">
        <v>2</v>
      </c>
      <c r="J41" s="33">
        <v>0</v>
      </c>
      <c r="K41" s="33">
        <v>0</v>
      </c>
      <c r="L41" s="33">
        <v>0</v>
      </c>
      <c r="M41">
        <v>2</v>
      </c>
      <c r="N41">
        <v>0</v>
      </c>
      <c r="O41">
        <v>2</v>
      </c>
      <c r="P41" t="s">
        <v>53</v>
      </c>
      <c r="Q41" t="s">
        <v>53</v>
      </c>
      <c r="R41" t="s">
        <v>53</v>
      </c>
      <c r="S41" t="s">
        <v>53</v>
      </c>
      <c r="T41" t="s">
        <v>53</v>
      </c>
      <c r="U41" t="s">
        <v>53</v>
      </c>
      <c r="V41" t="s">
        <v>53</v>
      </c>
      <c r="W41" t="s">
        <v>53</v>
      </c>
      <c r="X41" s="22" t="s">
        <v>53</v>
      </c>
      <c r="Y41" s="22" t="s">
        <v>53</v>
      </c>
      <c r="Z41" s="22" t="s">
        <v>53</v>
      </c>
      <c r="AA41" s="22" t="s">
        <v>53</v>
      </c>
      <c r="AB41" t="s">
        <v>53</v>
      </c>
      <c r="AC41" t="s">
        <v>53</v>
      </c>
      <c r="AD41" t="s">
        <v>53</v>
      </c>
      <c r="AE41" t="s">
        <v>53</v>
      </c>
      <c r="AF41" s="22" t="s">
        <v>53</v>
      </c>
      <c r="AG41" s="22" t="s">
        <v>53</v>
      </c>
      <c r="AH41" s="22" t="s">
        <v>53</v>
      </c>
      <c r="AI41" s="22" t="s">
        <v>53</v>
      </c>
      <c r="AJ41">
        <v>3</v>
      </c>
      <c r="AK41">
        <v>4</v>
      </c>
      <c r="AL41">
        <v>10</v>
      </c>
      <c r="AM41">
        <v>1</v>
      </c>
      <c r="AN41" s="22">
        <v>0</v>
      </c>
      <c r="AO41" s="22">
        <v>0</v>
      </c>
      <c r="AP41" s="22">
        <v>0</v>
      </c>
      <c r="AQ41" s="22">
        <v>0</v>
      </c>
      <c r="AR41" s="35">
        <v>0</v>
      </c>
      <c r="AS41" s="35">
        <v>0</v>
      </c>
      <c r="AT41" s="35">
        <v>2</v>
      </c>
      <c r="AU41" s="31" t="str">
        <f t="shared" si="3"/>
        <v>库存为2</v>
      </c>
      <c r="AV41" s="36" t="str">
        <f>IFERROR(时间!$B$4+AU41,"上周无销量")</f>
        <v>上周无销量</v>
      </c>
    </row>
    <row r="42" spans="1:48">
      <c r="A42" s="20" t="s">
        <v>136</v>
      </c>
      <c r="B42" t="s">
        <v>137</v>
      </c>
      <c r="C42" t="s">
        <v>133</v>
      </c>
      <c r="D42" s="31">
        <v>0</v>
      </c>
      <c r="E42" s="31">
        <v>0</v>
      </c>
      <c r="F42" s="31">
        <v>0</v>
      </c>
      <c r="G42" s="31">
        <v>0</v>
      </c>
      <c r="H42" s="32">
        <v>0</v>
      </c>
      <c r="I42">
        <v>0</v>
      </c>
      <c r="J42" s="33">
        <v>0</v>
      </c>
      <c r="K42" s="33">
        <v>0</v>
      </c>
      <c r="L42" s="33">
        <v>0</v>
      </c>
      <c r="M42">
        <v>0</v>
      </c>
      <c r="N42">
        <v>0</v>
      </c>
      <c r="O42">
        <v>0</v>
      </c>
      <c r="P42" t="s">
        <v>53</v>
      </c>
      <c r="Q42" t="s">
        <v>53</v>
      </c>
      <c r="R42" t="s">
        <v>53</v>
      </c>
      <c r="S42" t="s">
        <v>53</v>
      </c>
      <c r="T42" t="s">
        <v>53</v>
      </c>
      <c r="U42" t="s">
        <v>53</v>
      </c>
      <c r="V42" t="s">
        <v>53</v>
      </c>
      <c r="W42" t="s">
        <v>53</v>
      </c>
      <c r="X42" s="22" t="s">
        <v>53</v>
      </c>
      <c r="Y42" s="22" t="s">
        <v>53</v>
      </c>
      <c r="Z42" s="22" t="s">
        <v>53</v>
      </c>
      <c r="AA42" s="22" t="s">
        <v>53</v>
      </c>
      <c r="AB42" t="s">
        <v>53</v>
      </c>
      <c r="AC42" t="s">
        <v>53</v>
      </c>
      <c r="AD42" t="s">
        <v>53</v>
      </c>
      <c r="AE42" t="s">
        <v>53</v>
      </c>
      <c r="AF42" s="22" t="s">
        <v>53</v>
      </c>
      <c r="AG42" s="22" t="s">
        <v>53</v>
      </c>
      <c r="AH42" s="22" t="s">
        <v>53</v>
      </c>
      <c r="AI42" s="22" t="s">
        <v>53</v>
      </c>
      <c r="AJ42">
        <v>0</v>
      </c>
      <c r="AK42">
        <v>0</v>
      </c>
      <c r="AL42">
        <v>0</v>
      </c>
      <c r="AM42">
        <v>0</v>
      </c>
      <c r="AN42" s="22" t="s">
        <v>53</v>
      </c>
      <c r="AO42" s="22" t="s">
        <v>53</v>
      </c>
      <c r="AP42" s="22" t="s">
        <v>53</v>
      </c>
      <c r="AQ42" s="22" t="s">
        <v>53</v>
      </c>
      <c r="AR42" s="35">
        <v>0</v>
      </c>
      <c r="AS42" s="35">
        <v>0</v>
      </c>
      <c r="AT42" s="35">
        <v>0</v>
      </c>
      <c r="AU42" s="31" t="str">
        <f t="shared" si="3"/>
        <v>库存为0</v>
      </c>
      <c r="AV42" s="36" t="str">
        <f>IFERROR(时间!$B$4+AU42,"上周无销量")</f>
        <v>上周无销量</v>
      </c>
    </row>
    <row r="43" spans="1:48">
      <c r="A43" s="20" t="s">
        <v>138</v>
      </c>
      <c r="B43" t="s">
        <v>139</v>
      </c>
      <c r="C43" t="s">
        <v>133</v>
      </c>
      <c r="D43" s="31">
        <v>0</v>
      </c>
      <c r="E43" s="31">
        <v>0</v>
      </c>
      <c r="F43" s="31">
        <v>0</v>
      </c>
      <c r="G43" s="31">
        <v>0</v>
      </c>
      <c r="H43" s="32">
        <v>0</v>
      </c>
      <c r="I43">
        <v>0</v>
      </c>
      <c r="J43" s="33">
        <v>0</v>
      </c>
      <c r="K43" s="33">
        <v>0</v>
      </c>
      <c r="L43" s="33">
        <v>0</v>
      </c>
      <c r="M43">
        <v>0</v>
      </c>
      <c r="N43">
        <v>0</v>
      </c>
      <c r="O43">
        <v>0</v>
      </c>
      <c r="P43" t="s">
        <v>53</v>
      </c>
      <c r="Q43" t="s">
        <v>53</v>
      </c>
      <c r="R43" t="s">
        <v>53</v>
      </c>
      <c r="S43" t="s">
        <v>53</v>
      </c>
      <c r="T43" t="s">
        <v>53</v>
      </c>
      <c r="U43" t="s">
        <v>53</v>
      </c>
      <c r="V43" t="s">
        <v>53</v>
      </c>
      <c r="W43" t="s">
        <v>53</v>
      </c>
      <c r="X43" s="22" t="s">
        <v>53</v>
      </c>
      <c r="Y43" s="22" t="s">
        <v>53</v>
      </c>
      <c r="Z43" s="22" t="s">
        <v>53</v>
      </c>
      <c r="AA43" s="22" t="s">
        <v>53</v>
      </c>
      <c r="AB43" t="s">
        <v>53</v>
      </c>
      <c r="AC43" t="s">
        <v>53</v>
      </c>
      <c r="AD43" t="s">
        <v>53</v>
      </c>
      <c r="AE43" t="s">
        <v>53</v>
      </c>
      <c r="AF43" s="22" t="s">
        <v>53</v>
      </c>
      <c r="AG43" s="22" t="s">
        <v>53</v>
      </c>
      <c r="AH43" s="22" t="s">
        <v>53</v>
      </c>
      <c r="AI43" s="22" t="s">
        <v>53</v>
      </c>
      <c r="AJ43">
        <v>0</v>
      </c>
      <c r="AK43">
        <v>0</v>
      </c>
      <c r="AL43">
        <v>0</v>
      </c>
      <c r="AM43">
        <v>0</v>
      </c>
      <c r="AN43" s="22" t="s">
        <v>53</v>
      </c>
      <c r="AO43" s="22" t="s">
        <v>53</v>
      </c>
      <c r="AP43" s="22" t="s">
        <v>53</v>
      </c>
      <c r="AQ43" s="22" t="s">
        <v>53</v>
      </c>
      <c r="AR43" s="35">
        <v>0</v>
      </c>
      <c r="AS43" s="35">
        <v>0</v>
      </c>
      <c r="AT43" s="35">
        <v>0</v>
      </c>
      <c r="AU43" s="31" t="str">
        <f t="shared" si="3"/>
        <v>库存为0</v>
      </c>
      <c r="AV43" s="36" t="str">
        <f>IFERROR(时间!$B$4+AU43,"上周无销量")</f>
        <v>上周无销量</v>
      </c>
    </row>
    <row r="44" spans="1:48">
      <c r="A44" s="20" t="s">
        <v>140</v>
      </c>
      <c r="B44" t="s">
        <v>141</v>
      </c>
      <c r="C44" t="s">
        <v>142</v>
      </c>
      <c r="D44" s="31">
        <v>0</v>
      </c>
      <c r="E44" s="31">
        <v>0</v>
      </c>
      <c r="F44" s="31">
        <v>0</v>
      </c>
      <c r="G44" s="31">
        <v>0</v>
      </c>
      <c r="H44" s="32">
        <v>0</v>
      </c>
      <c r="I44">
        <v>0</v>
      </c>
      <c r="J44" s="33">
        <v>0</v>
      </c>
      <c r="K44" s="33">
        <v>0</v>
      </c>
      <c r="L44" s="33">
        <v>0</v>
      </c>
      <c r="M44">
        <v>0</v>
      </c>
      <c r="N44">
        <v>0</v>
      </c>
      <c r="O44">
        <v>0</v>
      </c>
      <c r="P44" t="s">
        <v>53</v>
      </c>
      <c r="Q44" t="s">
        <v>53</v>
      </c>
      <c r="R44" t="s">
        <v>53</v>
      </c>
      <c r="S44" t="s">
        <v>53</v>
      </c>
      <c r="T44" t="s">
        <v>53</v>
      </c>
      <c r="U44" t="s">
        <v>53</v>
      </c>
      <c r="V44" t="s">
        <v>53</v>
      </c>
      <c r="W44" t="s">
        <v>53</v>
      </c>
      <c r="X44" s="22" t="s">
        <v>53</v>
      </c>
      <c r="Y44" s="22" t="s">
        <v>53</v>
      </c>
      <c r="Z44" s="22" t="s">
        <v>53</v>
      </c>
      <c r="AA44" s="22" t="s">
        <v>53</v>
      </c>
      <c r="AB44" t="s">
        <v>53</v>
      </c>
      <c r="AC44" t="s">
        <v>53</v>
      </c>
      <c r="AD44" t="s">
        <v>53</v>
      </c>
      <c r="AE44" t="s">
        <v>53</v>
      </c>
      <c r="AF44" s="22" t="s">
        <v>53</v>
      </c>
      <c r="AG44" s="22" t="s">
        <v>53</v>
      </c>
      <c r="AH44" s="22" t="s">
        <v>53</v>
      </c>
      <c r="AI44" s="22" t="s">
        <v>53</v>
      </c>
      <c r="AJ44">
        <v>0</v>
      </c>
      <c r="AK44">
        <v>0</v>
      </c>
      <c r="AL44">
        <v>0</v>
      </c>
      <c r="AM44">
        <v>0</v>
      </c>
      <c r="AN44" s="22" t="s">
        <v>53</v>
      </c>
      <c r="AO44" s="22" t="s">
        <v>53</v>
      </c>
      <c r="AP44" s="22" t="s">
        <v>53</v>
      </c>
      <c r="AQ44" s="22" t="s">
        <v>53</v>
      </c>
      <c r="AR44" s="35">
        <v>0</v>
      </c>
      <c r="AS44" s="35">
        <v>0</v>
      </c>
      <c r="AT44" s="35">
        <v>0</v>
      </c>
      <c r="AU44" s="31" t="str">
        <f t="shared" si="3"/>
        <v>库存为0</v>
      </c>
      <c r="AV44" s="36" t="str">
        <f>IFERROR(时间!$B$4+AU44,"上周无销量")</f>
        <v>上周无销量</v>
      </c>
    </row>
    <row r="45" spans="1:48">
      <c r="A45" s="20" t="s">
        <v>143</v>
      </c>
      <c r="B45" t="s">
        <v>144</v>
      </c>
      <c r="C45" t="s">
        <v>142</v>
      </c>
      <c r="D45" s="31">
        <v>0</v>
      </c>
      <c r="E45" s="31">
        <v>0</v>
      </c>
      <c r="F45" s="31">
        <v>0</v>
      </c>
      <c r="G45" s="31">
        <v>0</v>
      </c>
      <c r="H45" s="32">
        <v>0</v>
      </c>
      <c r="I45">
        <v>0</v>
      </c>
      <c r="J45" s="33">
        <v>0</v>
      </c>
      <c r="K45" s="33">
        <v>0</v>
      </c>
      <c r="L45" s="33">
        <v>0</v>
      </c>
      <c r="M45">
        <v>0</v>
      </c>
      <c r="N45">
        <v>0</v>
      </c>
      <c r="O45">
        <v>0</v>
      </c>
      <c r="P45" t="s">
        <v>53</v>
      </c>
      <c r="Q45" t="s">
        <v>53</v>
      </c>
      <c r="R45" t="s">
        <v>53</v>
      </c>
      <c r="S45" t="s">
        <v>53</v>
      </c>
      <c r="T45" t="s">
        <v>53</v>
      </c>
      <c r="U45" t="s">
        <v>53</v>
      </c>
      <c r="V45" t="s">
        <v>53</v>
      </c>
      <c r="W45" t="s">
        <v>53</v>
      </c>
      <c r="X45" s="22" t="s">
        <v>53</v>
      </c>
      <c r="Y45" s="22" t="s">
        <v>53</v>
      </c>
      <c r="Z45" s="22" t="s">
        <v>53</v>
      </c>
      <c r="AA45" s="22" t="s">
        <v>53</v>
      </c>
      <c r="AB45" t="s">
        <v>53</v>
      </c>
      <c r="AC45" t="s">
        <v>53</v>
      </c>
      <c r="AD45" t="s">
        <v>53</v>
      </c>
      <c r="AE45" t="s">
        <v>53</v>
      </c>
      <c r="AF45" s="22" t="s">
        <v>53</v>
      </c>
      <c r="AG45" s="22" t="s">
        <v>53</v>
      </c>
      <c r="AH45" s="22" t="s">
        <v>53</v>
      </c>
      <c r="AI45" s="22" t="s">
        <v>53</v>
      </c>
      <c r="AJ45">
        <v>0</v>
      </c>
      <c r="AK45">
        <v>0</v>
      </c>
      <c r="AL45">
        <v>0</v>
      </c>
      <c r="AM45">
        <v>0</v>
      </c>
      <c r="AN45" s="22" t="s">
        <v>53</v>
      </c>
      <c r="AO45" s="22" t="s">
        <v>53</v>
      </c>
      <c r="AP45" s="22" t="s">
        <v>53</v>
      </c>
      <c r="AQ45" s="22" t="s">
        <v>53</v>
      </c>
      <c r="AR45" s="35">
        <v>0</v>
      </c>
      <c r="AS45" s="35">
        <v>0</v>
      </c>
      <c r="AT45" s="35">
        <v>0</v>
      </c>
      <c r="AU45" s="31" t="str">
        <f t="shared" si="3"/>
        <v>库存为0</v>
      </c>
      <c r="AV45" s="36" t="str">
        <f>IFERROR(时间!$B$4+AU45,"上周无销量")</f>
        <v>上周无销量</v>
      </c>
    </row>
    <row r="46" spans="1:48">
      <c r="A46" s="20" t="s">
        <v>145</v>
      </c>
      <c r="B46" t="s">
        <v>146</v>
      </c>
      <c r="C46" t="s">
        <v>142</v>
      </c>
      <c r="D46" s="31">
        <v>0</v>
      </c>
      <c r="E46" s="31">
        <v>0</v>
      </c>
      <c r="F46" s="31">
        <v>0</v>
      </c>
      <c r="G46" s="31">
        <v>0</v>
      </c>
      <c r="H46" s="32">
        <v>0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 t="s">
        <v>53</v>
      </c>
      <c r="Q46" t="s">
        <v>53</v>
      </c>
      <c r="R46" t="s">
        <v>53</v>
      </c>
      <c r="S46" t="s">
        <v>53</v>
      </c>
      <c r="T46" t="s">
        <v>53</v>
      </c>
      <c r="U46" t="s">
        <v>53</v>
      </c>
      <c r="V46" t="s">
        <v>53</v>
      </c>
      <c r="W46" t="s">
        <v>53</v>
      </c>
      <c r="X46" s="22" t="s">
        <v>53</v>
      </c>
      <c r="Y46" s="22" t="s">
        <v>53</v>
      </c>
      <c r="Z46" s="22" t="s">
        <v>53</v>
      </c>
      <c r="AA46" s="22" t="s">
        <v>53</v>
      </c>
      <c r="AB46" t="s">
        <v>53</v>
      </c>
      <c r="AC46" t="s">
        <v>53</v>
      </c>
      <c r="AD46" t="s">
        <v>53</v>
      </c>
      <c r="AE46" t="s">
        <v>53</v>
      </c>
      <c r="AF46" s="22" t="s">
        <v>53</v>
      </c>
      <c r="AG46" s="22" t="s">
        <v>53</v>
      </c>
      <c r="AH46" s="22" t="s">
        <v>53</v>
      </c>
      <c r="AI46" s="22" t="s">
        <v>53</v>
      </c>
      <c r="AJ46">
        <v>0</v>
      </c>
      <c r="AK46">
        <v>0</v>
      </c>
      <c r="AL46">
        <v>0</v>
      </c>
      <c r="AM46">
        <v>0</v>
      </c>
      <c r="AN46" s="22" t="s">
        <v>53</v>
      </c>
      <c r="AO46" s="22" t="s">
        <v>53</v>
      </c>
      <c r="AP46" s="22" t="s">
        <v>53</v>
      </c>
      <c r="AQ46" s="22" t="s">
        <v>53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20" t="s">
        <v>147</v>
      </c>
      <c r="B47" t="s">
        <v>148</v>
      </c>
      <c r="C47" t="s">
        <v>142</v>
      </c>
      <c r="D47" s="31">
        <v>0</v>
      </c>
      <c r="E47" s="31">
        <v>0</v>
      </c>
      <c r="F47" s="31">
        <v>0</v>
      </c>
      <c r="G47" s="31">
        <v>0</v>
      </c>
      <c r="H47" s="32">
        <v>0</v>
      </c>
      <c r="I47">
        <v>0</v>
      </c>
      <c r="J47" s="33">
        <v>0</v>
      </c>
      <c r="K47" s="33">
        <v>0</v>
      </c>
      <c r="L47" s="33">
        <v>0</v>
      </c>
      <c r="M47">
        <v>0</v>
      </c>
      <c r="N47">
        <v>0</v>
      </c>
      <c r="O47">
        <v>0</v>
      </c>
      <c r="P47" t="s">
        <v>53</v>
      </c>
      <c r="Q47" t="s">
        <v>53</v>
      </c>
      <c r="R47" t="s">
        <v>53</v>
      </c>
      <c r="S47" t="s">
        <v>53</v>
      </c>
      <c r="T47" t="s">
        <v>53</v>
      </c>
      <c r="U47" t="s">
        <v>53</v>
      </c>
      <c r="V47" t="s">
        <v>53</v>
      </c>
      <c r="W47" t="s">
        <v>53</v>
      </c>
      <c r="X47" s="22" t="s">
        <v>53</v>
      </c>
      <c r="Y47" s="22" t="s">
        <v>53</v>
      </c>
      <c r="Z47" s="22" t="s">
        <v>53</v>
      </c>
      <c r="AA47" s="22" t="s">
        <v>53</v>
      </c>
      <c r="AB47" t="s">
        <v>53</v>
      </c>
      <c r="AC47" t="s">
        <v>53</v>
      </c>
      <c r="AD47" t="s">
        <v>53</v>
      </c>
      <c r="AE47" t="s">
        <v>53</v>
      </c>
      <c r="AF47" s="22" t="s">
        <v>53</v>
      </c>
      <c r="AG47" s="22" t="s">
        <v>53</v>
      </c>
      <c r="AH47" s="22" t="s">
        <v>53</v>
      </c>
      <c r="AI47" s="22" t="s">
        <v>53</v>
      </c>
      <c r="AJ47">
        <v>0</v>
      </c>
      <c r="AK47">
        <v>0</v>
      </c>
      <c r="AL47">
        <v>0</v>
      </c>
      <c r="AM47">
        <v>0</v>
      </c>
      <c r="AN47" s="22" t="s">
        <v>53</v>
      </c>
      <c r="AO47" s="22" t="s">
        <v>53</v>
      </c>
      <c r="AP47" s="22" t="s">
        <v>53</v>
      </c>
      <c r="AQ47" s="22" t="s">
        <v>53</v>
      </c>
      <c r="AR47" s="35">
        <v>0</v>
      </c>
      <c r="AS47" s="35">
        <v>0</v>
      </c>
      <c r="AT47" s="35">
        <v>0</v>
      </c>
      <c r="AU47" s="31" t="str">
        <f t="shared" si="3"/>
        <v>库存为0</v>
      </c>
      <c r="AV47" s="36" t="str">
        <f>IFERROR(时间!$B$4+AU47,"上周无销量")</f>
        <v>上周无销量</v>
      </c>
    </row>
    <row r="48" spans="1:48">
      <c r="A48" s="20" t="s">
        <v>149</v>
      </c>
      <c r="B48" t="s">
        <v>150</v>
      </c>
      <c r="C48" t="s">
        <v>142</v>
      </c>
      <c r="D48" s="31">
        <v>0</v>
      </c>
      <c r="E48" s="31">
        <v>0</v>
      </c>
      <c r="F48" s="31">
        <v>0</v>
      </c>
      <c r="G48" s="31">
        <v>0</v>
      </c>
      <c r="H48" s="32">
        <v>0</v>
      </c>
      <c r="I48">
        <v>0</v>
      </c>
      <c r="J48" s="33">
        <v>0</v>
      </c>
      <c r="K48" s="33">
        <v>0</v>
      </c>
      <c r="L48" s="33">
        <v>0</v>
      </c>
      <c r="M48">
        <v>0</v>
      </c>
      <c r="N48">
        <v>0</v>
      </c>
      <c r="O48">
        <v>0</v>
      </c>
      <c r="P48" t="s">
        <v>53</v>
      </c>
      <c r="Q48" t="s">
        <v>53</v>
      </c>
      <c r="R48" t="s">
        <v>53</v>
      </c>
      <c r="S48" t="s">
        <v>53</v>
      </c>
      <c r="T48" t="s">
        <v>53</v>
      </c>
      <c r="U48" t="s">
        <v>53</v>
      </c>
      <c r="V48" t="s">
        <v>53</v>
      </c>
      <c r="W48" t="s">
        <v>53</v>
      </c>
      <c r="X48" s="22" t="s">
        <v>53</v>
      </c>
      <c r="Y48" s="22" t="s">
        <v>53</v>
      </c>
      <c r="Z48" s="22" t="s">
        <v>53</v>
      </c>
      <c r="AA48" s="22" t="s">
        <v>53</v>
      </c>
      <c r="AB48" t="s">
        <v>53</v>
      </c>
      <c r="AC48" t="s">
        <v>53</v>
      </c>
      <c r="AD48" t="s">
        <v>53</v>
      </c>
      <c r="AE48" t="s">
        <v>53</v>
      </c>
      <c r="AF48" s="22" t="s">
        <v>53</v>
      </c>
      <c r="AG48" s="22" t="s">
        <v>53</v>
      </c>
      <c r="AH48" s="22" t="s">
        <v>53</v>
      </c>
      <c r="AI48" s="22" t="s">
        <v>53</v>
      </c>
      <c r="AJ48">
        <v>0</v>
      </c>
      <c r="AK48">
        <v>0</v>
      </c>
      <c r="AL48">
        <v>0</v>
      </c>
      <c r="AM48">
        <v>0</v>
      </c>
      <c r="AN48" s="22" t="s">
        <v>53</v>
      </c>
      <c r="AO48" s="22" t="s">
        <v>53</v>
      </c>
      <c r="AP48" s="22" t="s">
        <v>53</v>
      </c>
      <c r="AQ48" s="22" t="s">
        <v>53</v>
      </c>
      <c r="AR48" s="35">
        <v>0</v>
      </c>
      <c r="AS48" s="35">
        <v>0</v>
      </c>
      <c r="AT48" s="35">
        <v>0</v>
      </c>
      <c r="AU48" s="31" t="str">
        <f t="shared" si="3"/>
        <v>库存为0</v>
      </c>
      <c r="AV48" s="36" t="str">
        <f>IFERROR(时间!$B$4+AU48,"上周无销量")</f>
        <v>上周无销量</v>
      </c>
    </row>
    <row r="49" spans="1:48">
      <c r="A49" s="20" t="s">
        <v>151</v>
      </c>
      <c r="B49" t="s">
        <v>152</v>
      </c>
      <c r="C49" t="s">
        <v>153</v>
      </c>
      <c r="D49" s="31">
        <v>0</v>
      </c>
      <c r="E49" s="31">
        <v>0</v>
      </c>
      <c r="F49" s="31">
        <v>0</v>
      </c>
      <c r="G49" s="31">
        <v>0</v>
      </c>
      <c r="H49" s="32">
        <v>0</v>
      </c>
      <c r="I49">
        <v>0</v>
      </c>
      <c r="J49" s="33">
        <v>0</v>
      </c>
      <c r="K49" s="33">
        <v>0</v>
      </c>
      <c r="L49" s="33">
        <v>0</v>
      </c>
      <c r="M49">
        <v>0</v>
      </c>
      <c r="N49">
        <v>0</v>
      </c>
      <c r="O49">
        <v>0</v>
      </c>
      <c r="P49" t="s">
        <v>53</v>
      </c>
      <c r="Q49" t="s">
        <v>53</v>
      </c>
      <c r="R49" t="s">
        <v>53</v>
      </c>
      <c r="S49" t="s">
        <v>53</v>
      </c>
      <c r="T49" t="s">
        <v>53</v>
      </c>
      <c r="U49" t="s">
        <v>53</v>
      </c>
      <c r="V49" t="s">
        <v>53</v>
      </c>
      <c r="W49" t="s">
        <v>53</v>
      </c>
      <c r="X49" s="22" t="s">
        <v>53</v>
      </c>
      <c r="Y49" s="22" t="s">
        <v>53</v>
      </c>
      <c r="Z49" s="22" t="s">
        <v>53</v>
      </c>
      <c r="AA49" s="22" t="s">
        <v>53</v>
      </c>
      <c r="AB49" t="s">
        <v>53</v>
      </c>
      <c r="AC49" t="s">
        <v>53</v>
      </c>
      <c r="AD49" t="s">
        <v>53</v>
      </c>
      <c r="AE49" t="s">
        <v>53</v>
      </c>
      <c r="AF49" s="22" t="s">
        <v>53</v>
      </c>
      <c r="AG49" s="22" t="s">
        <v>53</v>
      </c>
      <c r="AH49" s="22" t="s">
        <v>53</v>
      </c>
      <c r="AI49" s="22" t="s">
        <v>53</v>
      </c>
      <c r="AJ49">
        <v>0</v>
      </c>
      <c r="AK49">
        <v>0</v>
      </c>
      <c r="AL49">
        <v>0</v>
      </c>
      <c r="AM49">
        <v>0</v>
      </c>
      <c r="AN49" s="22" t="s">
        <v>53</v>
      </c>
      <c r="AO49" s="22" t="s">
        <v>53</v>
      </c>
      <c r="AP49" s="22" t="s">
        <v>53</v>
      </c>
      <c r="AQ49" s="22" t="s">
        <v>53</v>
      </c>
      <c r="AR49" s="35">
        <v>0</v>
      </c>
      <c r="AS49" s="35">
        <v>0</v>
      </c>
      <c r="AT49" s="35">
        <v>0</v>
      </c>
      <c r="AU49" s="31" t="str">
        <f t="shared" si="3"/>
        <v>库存为0</v>
      </c>
      <c r="AV49" s="36" t="str">
        <f>IFERROR(时间!$B$4+AU49,"上周无销量")</f>
        <v>上周无销量</v>
      </c>
    </row>
    <row r="50" spans="1:48">
      <c r="A50" s="20" t="s">
        <v>154</v>
      </c>
      <c r="B50" t="s">
        <v>155</v>
      </c>
      <c r="C50" t="s">
        <v>156</v>
      </c>
      <c r="D50" s="31">
        <v>0</v>
      </c>
      <c r="E50" s="31">
        <v>0</v>
      </c>
      <c r="F50" s="31">
        <v>0</v>
      </c>
      <c r="G50" s="31">
        <v>0</v>
      </c>
      <c r="H50" s="32">
        <v>0</v>
      </c>
      <c r="I50">
        <v>0</v>
      </c>
      <c r="J50" s="33">
        <v>0</v>
      </c>
      <c r="K50" s="33">
        <v>0</v>
      </c>
      <c r="L50" s="33">
        <v>0</v>
      </c>
      <c r="M50">
        <v>0</v>
      </c>
      <c r="N50">
        <v>0</v>
      </c>
      <c r="O50">
        <v>0</v>
      </c>
      <c r="P50" t="s">
        <v>53</v>
      </c>
      <c r="Q50" t="s">
        <v>53</v>
      </c>
      <c r="R50" t="s">
        <v>53</v>
      </c>
      <c r="S50" t="s">
        <v>53</v>
      </c>
      <c r="T50" t="s">
        <v>53</v>
      </c>
      <c r="U50" t="s">
        <v>53</v>
      </c>
      <c r="V50" t="s">
        <v>53</v>
      </c>
      <c r="W50" t="s">
        <v>53</v>
      </c>
      <c r="X50" s="22" t="s">
        <v>53</v>
      </c>
      <c r="Y50" s="22" t="s">
        <v>53</v>
      </c>
      <c r="Z50" s="22" t="s">
        <v>53</v>
      </c>
      <c r="AA50" s="22" t="s">
        <v>53</v>
      </c>
      <c r="AB50" t="s">
        <v>53</v>
      </c>
      <c r="AC50" t="s">
        <v>53</v>
      </c>
      <c r="AD50" t="s">
        <v>53</v>
      </c>
      <c r="AE50" t="s">
        <v>53</v>
      </c>
      <c r="AF50" s="22" t="s">
        <v>53</v>
      </c>
      <c r="AG50" s="22" t="s">
        <v>53</v>
      </c>
      <c r="AH50" s="22" t="s">
        <v>53</v>
      </c>
      <c r="AI50" s="22" t="s">
        <v>53</v>
      </c>
      <c r="AJ50">
        <v>0</v>
      </c>
      <c r="AK50">
        <v>0</v>
      </c>
      <c r="AL50">
        <v>0</v>
      </c>
      <c r="AM50">
        <v>0</v>
      </c>
      <c r="AN50" s="22" t="s">
        <v>53</v>
      </c>
      <c r="AO50" s="22" t="s">
        <v>53</v>
      </c>
      <c r="AP50" s="22" t="s">
        <v>53</v>
      </c>
      <c r="AQ50" s="22" t="s">
        <v>53</v>
      </c>
      <c r="AR50" s="35">
        <v>0</v>
      </c>
      <c r="AS50" s="35">
        <v>0</v>
      </c>
      <c r="AT50" s="35">
        <v>0</v>
      </c>
      <c r="AU50" s="31" t="str">
        <f t="shared" si="3"/>
        <v>库存为0</v>
      </c>
      <c r="AV50" s="36" t="str">
        <f>IFERROR(时间!$B$4+AU50,"上周无销量")</f>
        <v>上周无销量</v>
      </c>
    </row>
    <row r="51" spans="1:48">
      <c r="A51" s="20" t="s">
        <v>157</v>
      </c>
      <c r="B51" t="s">
        <v>158</v>
      </c>
      <c r="C51" t="s">
        <v>156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0</v>
      </c>
      <c r="J51" s="33">
        <v>0</v>
      </c>
      <c r="K51" s="33">
        <v>0</v>
      </c>
      <c r="L51" s="33">
        <v>0</v>
      </c>
      <c r="M51">
        <v>0</v>
      </c>
      <c r="N51">
        <v>0</v>
      </c>
      <c r="O51">
        <v>0</v>
      </c>
      <c r="P51" t="s">
        <v>53</v>
      </c>
      <c r="Q51" t="s">
        <v>53</v>
      </c>
      <c r="R51" t="s">
        <v>53</v>
      </c>
      <c r="S51" t="s">
        <v>53</v>
      </c>
      <c r="T51" t="s">
        <v>53</v>
      </c>
      <c r="U51" t="s">
        <v>53</v>
      </c>
      <c r="V51" t="s">
        <v>53</v>
      </c>
      <c r="W51" t="s">
        <v>53</v>
      </c>
      <c r="X51" s="22" t="s">
        <v>53</v>
      </c>
      <c r="Y51" s="22" t="s">
        <v>53</v>
      </c>
      <c r="Z51" s="22" t="s">
        <v>53</v>
      </c>
      <c r="AA51" s="22" t="s">
        <v>53</v>
      </c>
      <c r="AB51" t="s">
        <v>53</v>
      </c>
      <c r="AC51" t="s">
        <v>53</v>
      </c>
      <c r="AD51" t="s">
        <v>53</v>
      </c>
      <c r="AE51" t="s">
        <v>53</v>
      </c>
      <c r="AF51" s="22" t="s">
        <v>53</v>
      </c>
      <c r="AG51" s="22" t="s">
        <v>53</v>
      </c>
      <c r="AH51" s="22" t="s">
        <v>53</v>
      </c>
      <c r="AI51" s="22" t="s">
        <v>53</v>
      </c>
      <c r="AJ51">
        <v>0</v>
      </c>
      <c r="AK51">
        <v>0</v>
      </c>
      <c r="AL51">
        <v>0</v>
      </c>
      <c r="AM51">
        <v>0</v>
      </c>
      <c r="AN51" s="22" t="s">
        <v>53</v>
      </c>
      <c r="AO51" s="22" t="s">
        <v>53</v>
      </c>
      <c r="AP51" s="22" t="s">
        <v>53</v>
      </c>
      <c r="AQ51" s="22" t="s">
        <v>53</v>
      </c>
      <c r="AR51" s="35">
        <v>0</v>
      </c>
      <c r="AS51" s="35">
        <v>0</v>
      </c>
      <c r="AT51" s="35">
        <v>0</v>
      </c>
      <c r="AU51" s="31" t="str">
        <f t="shared" si="3"/>
        <v>库存为0</v>
      </c>
      <c r="AV51" s="36" t="str">
        <f>IFERROR(时间!$B$4+AU51,"上周无销量")</f>
        <v>上周无销量</v>
      </c>
    </row>
    <row r="52" spans="1:48">
      <c r="A52" s="20" t="s">
        <v>159</v>
      </c>
      <c r="B52" t="s">
        <v>160</v>
      </c>
      <c r="C52" t="s">
        <v>161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0</v>
      </c>
      <c r="J52" s="33">
        <v>0</v>
      </c>
      <c r="K52" s="33">
        <v>0</v>
      </c>
      <c r="L52" s="33">
        <v>0</v>
      </c>
      <c r="M52">
        <v>0</v>
      </c>
      <c r="N52">
        <v>0</v>
      </c>
      <c r="O52">
        <v>0</v>
      </c>
      <c r="P52" t="s">
        <v>53</v>
      </c>
      <c r="Q52" t="s">
        <v>53</v>
      </c>
      <c r="R52" t="s">
        <v>53</v>
      </c>
      <c r="S52" t="s">
        <v>53</v>
      </c>
      <c r="T52" t="s">
        <v>53</v>
      </c>
      <c r="U52" t="s">
        <v>53</v>
      </c>
      <c r="V52" t="s">
        <v>53</v>
      </c>
      <c r="W52" t="s">
        <v>53</v>
      </c>
      <c r="X52" s="22" t="s">
        <v>53</v>
      </c>
      <c r="Y52" s="22" t="s">
        <v>53</v>
      </c>
      <c r="Z52" s="22" t="s">
        <v>53</v>
      </c>
      <c r="AA52" s="22" t="s">
        <v>53</v>
      </c>
      <c r="AB52" t="s">
        <v>53</v>
      </c>
      <c r="AC52" t="s">
        <v>53</v>
      </c>
      <c r="AD52" t="s">
        <v>53</v>
      </c>
      <c r="AE52" t="s">
        <v>53</v>
      </c>
      <c r="AF52" s="22" t="s">
        <v>53</v>
      </c>
      <c r="AG52" s="22" t="s">
        <v>53</v>
      </c>
      <c r="AH52" s="22" t="s">
        <v>53</v>
      </c>
      <c r="AI52" s="22" t="s">
        <v>53</v>
      </c>
      <c r="AJ52">
        <v>0</v>
      </c>
      <c r="AK52">
        <v>0</v>
      </c>
      <c r="AL52">
        <v>0</v>
      </c>
      <c r="AM52">
        <v>0</v>
      </c>
      <c r="AN52" s="22" t="s">
        <v>53</v>
      </c>
      <c r="AO52" s="22" t="s">
        <v>53</v>
      </c>
      <c r="AP52" s="22" t="s">
        <v>53</v>
      </c>
      <c r="AQ52" s="22" t="s">
        <v>53</v>
      </c>
      <c r="AR52" s="35">
        <v>0</v>
      </c>
      <c r="AS52" s="35">
        <v>0</v>
      </c>
      <c r="AT52" s="35">
        <v>0</v>
      </c>
      <c r="AU52" s="31" t="str">
        <f t="shared" si="3"/>
        <v>库存为0</v>
      </c>
      <c r="AV52" s="36" t="str">
        <f>IFERROR(时间!$B$4+AU52,"上周无销量")</f>
        <v>上周无销量</v>
      </c>
    </row>
    <row r="53" spans="1:48">
      <c r="A53" s="20" t="s">
        <v>162</v>
      </c>
      <c r="B53" t="s">
        <v>160</v>
      </c>
      <c r="C53" t="s">
        <v>161</v>
      </c>
      <c r="D53" s="31">
        <v>0</v>
      </c>
      <c r="E53" s="31">
        <v>0</v>
      </c>
      <c r="F53" s="31">
        <v>0</v>
      </c>
      <c r="G53" s="31">
        <v>0</v>
      </c>
      <c r="H53" s="32">
        <v>0</v>
      </c>
      <c r="I53">
        <v>0</v>
      </c>
      <c r="J53" s="33">
        <v>0</v>
      </c>
      <c r="K53" s="33">
        <v>0</v>
      </c>
      <c r="L53" s="33">
        <v>0</v>
      </c>
      <c r="M53">
        <v>0</v>
      </c>
      <c r="N53">
        <v>0</v>
      </c>
      <c r="O53">
        <v>0</v>
      </c>
      <c r="P53" t="s">
        <v>53</v>
      </c>
      <c r="Q53" t="s">
        <v>53</v>
      </c>
      <c r="R53" t="s">
        <v>53</v>
      </c>
      <c r="S53" t="s">
        <v>53</v>
      </c>
      <c r="T53" t="s">
        <v>53</v>
      </c>
      <c r="U53" t="s">
        <v>53</v>
      </c>
      <c r="V53" t="s">
        <v>53</v>
      </c>
      <c r="W53" t="s">
        <v>53</v>
      </c>
      <c r="X53" s="22" t="s">
        <v>53</v>
      </c>
      <c r="Y53" s="22" t="s">
        <v>53</v>
      </c>
      <c r="Z53" s="22" t="s">
        <v>53</v>
      </c>
      <c r="AA53" s="22" t="s">
        <v>53</v>
      </c>
      <c r="AB53" t="s">
        <v>53</v>
      </c>
      <c r="AC53" t="s">
        <v>53</v>
      </c>
      <c r="AD53" t="s">
        <v>53</v>
      </c>
      <c r="AE53" t="s">
        <v>53</v>
      </c>
      <c r="AF53" s="22" t="s">
        <v>53</v>
      </c>
      <c r="AG53" s="22" t="s">
        <v>53</v>
      </c>
      <c r="AH53" s="22" t="s">
        <v>53</v>
      </c>
      <c r="AI53" s="22" t="s">
        <v>53</v>
      </c>
      <c r="AJ53">
        <v>0</v>
      </c>
      <c r="AK53">
        <v>0</v>
      </c>
      <c r="AL53">
        <v>0</v>
      </c>
      <c r="AM53">
        <v>0</v>
      </c>
      <c r="AN53" s="22" t="s">
        <v>53</v>
      </c>
      <c r="AO53" s="22" t="s">
        <v>53</v>
      </c>
      <c r="AP53" s="22" t="s">
        <v>53</v>
      </c>
      <c r="AQ53" s="22" t="s">
        <v>53</v>
      </c>
      <c r="AR53" s="35">
        <v>0</v>
      </c>
      <c r="AS53" s="35">
        <v>0</v>
      </c>
      <c r="AT53" s="35">
        <v>0</v>
      </c>
      <c r="AU53" s="31" t="str">
        <f t="shared" si="3"/>
        <v>库存为0</v>
      </c>
      <c r="AV53" s="36" t="str">
        <f>IFERROR(时间!$B$4+AU53,"上周无销量")</f>
        <v>上周无销量</v>
      </c>
    </row>
    <row r="54" spans="1:48">
      <c r="A54" s="20" t="s">
        <v>163</v>
      </c>
      <c r="B54" t="s">
        <v>164</v>
      </c>
      <c r="C54" t="s">
        <v>161</v>
      </c>
      <c r="D54" s="31">
        <v>0</v>
      </c>
      <c r="E54" s="31">
        <v>0</v>
      </c>
      <c r="F54" s="31">
        <v>0</v>
      </c>
      <c r="G54" s="31">
        <v>0</v>
      </c>
      <c r="H54" s="32">
        <v>0</v>
      </c>
      <c r="I54">
        <v>0</v>
      </c>
      <c r="J54" s="33">
        <v>0</v>
      </c>
      <c r="K54" s="33">
        <v>0</v>
      </c>
      <c r="L54" s="33">
        <v>0</v>
      </c>
      <c r="M54">
        <v>0</v>
      </c>
      <c r="N54">
        <v>0</v>
      </c>
      <c r="O54">
        <v>0</v>
      </c>
      <c r="P54" t="s">
        <v>53</v>
      </c>
      <c r="Q54" t="s">
        <v>53</v>
      </c>
      <c r="R54" t="s">
        <v>53</v>
      </c>
      <c r="S54" t="s">
        <v>53</v>
      </c>
      <c r="T54" t="s">
        <v>53</v>
      </c>
      <c r="U54" t="s">
        <v>53</v>
      </c>
      <c r="V54" t="s">
        <v>53</v>
      </c>
      <c r="W54" t="s">
        <v>53</v>
      </c>
      <c r="X54" s="22" t="s">
        <v>53</v>
      </c>
      <c r="Y54" s="22" t="s">
        <v>53</v>
      </c>
      <c r="Z54" s="22" t="s">
        <v>53</v>
      </c>
      <c r="AA54" s="22" t="s">
        <v>53</v>
      </c>
      <c r="AB54" t="s">
        <v>53</v>
      </c>
      <c r="AC54" t="s">
        <v>53</v>
      </c>
      <c r="AD54" t="s">
        <v>53</v>
      </c>
      <c r="AE54" t="s">
        <v>53</v>
      </c>
      <c r="AF54" s="22" t="s">
        <v>53</v>
      </c>
      <c r="AG54" s="22" t="s">
        <v>53</v>
      </c>
      <c r="AH54" s="22" t="s">
        <v>53</v>
      </c>
      <c r="AI54" s="22" t="s">
        <v>53</v>
      </c>
      <c r="AJ54">
        <v>0</v>
      </c>
      <c r="AK54">
        <v>0</v>
      </c>
      <c r="AL54">
        <v>0</v>
      </c>
      <c r="AM54">
        <v>0</v>
      </c>
      <c r="AN54" s="22" t="s">
        <v>53</v>
      </c>
      <c r="AO54" s="22" t="s">
        <v>53</v>
      </c>
      <c r="AP54" s="22" t="s">
        <v>53</v>
      </c>
      <c r="AQ54" s="22" t="s">
        <v>53</v>
      </c>
      <c r="AR54" s="35">
        <v>0</v>
      </c>
      <c r="AS54" s="35">
        <v>0</v>
      </c>
      <c r="AT54" s="35">
        <v>0</v>
      </c>
      <c r="AU54" s="31" t="str">
        <f t="shared" si="3"/>
        <v>库存为0</v>
      </c>
      <c r="AV54" s="36" t="str">
        <f>IFERROR(时间!$B$4+AU54,"上周无销量")</f>
        <v>上周无销量</v>
      </c>
    </row>
    <row r="55" spans="1:48">
      <c r="A55" s="20" t="s">
        <v>165</v>
      </c>
      <c r="B55" t="s">
        <v>164</v>
      </c>
      <c r="C55" t="s">
        <v>161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0</v>
      </c>
      <c r="J55" s="33">
        <v>0</v>
      </c>
      <c r="K55" s="33">
        <v>0</v>
      </c>
      <c r="L55" s="33">
        <v>0</v>
      </c>
      <c r="M55">
        <v>0</v>
      </c>
      <c r="N55">
        <v>0</v>
      </c>
      <c r="O55">
        <v>0</v>
      </c>
      <c r="P55" t="s">
        <v>53</v>
      </c>
      <c r="Q55" t="s">
        <v>53</v>
      </c>
      <c r="R55" t="s">
        <v>53</v>
      </c>
      <c r="S55" t="s">
        <v>53</v>
      </c>
      <c r="T55" t="s">
        <v>53</v>
      </c>
      <c r="U55" t="s">
        <v>53</v>
      </c>
      <c r="V55" t="s">
        <v>53</v>
      </c>
      <c r="W55" t="s">
        <v>53</v>
      </c>
      <c r="X55" s="22" t="s">
        <v>53</v>
      </c>
      <c r="Y55" s="22" t="s">
        <v>53</v>
      </c>
      <c r="Z55" s="22" t="s">
        <v>53</v>
      </c>
      <c r="AA55" s="22" t="s">
        <v>53</v>
      </c>
      <c r="AB55" t="s">
        <v>53</v>
      </c>
      <c r="AC55" t="s">
        <v>53</v>
      </c>
      <c r="AD55" t="s">
        <v>53</v>
      </c>
      <c r="AE55" t="s">
        <v>53</v>
      </c>
      <c r="AF55" s="22" t="s">
        <v>53</v>
      </c>
      <c r="AG55" s="22" t="s">
        <v>53</v>
      </c>
      <c r="AH55" s="22" t="s">
        <v>53</v>
      </c>
      <c r="AI55" s="22" t="s">
        <v>53</v>
      </c>
      <c r="AJ55">
        <v>0</v>
      </c>
      <c r="AK55">
        <v>0</v>
      </c>
      <c r="AL55">
        <v>0</v>
      </c>
      <c r="AM55">
        <v>0</v>
      </c>
      <c r="AN55" s="22" t="s">
        <v>53</v>
      </c>
      <c r="AO55" s="22" t="s">
        <v>53</v>
      </c>
      <c r="AP55" s="22" t="s">
        <v>53</v>
      </c>
      <c r="AQ55" s="22" t="s">
        <v>53</v>
      </c>
      <c r="AR55" s="35">
        <v>0</v>
      </c>
      <c r="AS55" s="35">
        <v>0</v>
      </c>
      <c r="AT55" s="35">
        <v>0</v>
      </c>
      <c r="AU55" s="31" t="str">
        <f t="shared" si="3"/>
        <v>库存为0</v>
      </c>
      <c r="AV55" s="36" t="str">
        <f>IFERROR(时间!$B$4+AU55,"上周无销量")</f>
        <v>上周无销量</v>
      </c>
    </row>
    <row r="56" spans="1:48">
      <c r="A56" s="20" t="s">
        <v>166</v>
      </c>
      <c r="B56" t="s">
        <v>167</v>
      </c>
      <c r="C56" t="s">
        <v>161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0</v>
      </c>
      <c r="J56" s="33">
        <v>0</v>
      </c>
      <c r="K56" s="33">
        <v>0</v>
      </c>
      <c r="L56" s="33">
        <v>0</v>
      </c>
      <c r="M56">
        <v>0</v>
      </c>
      <c r="N56">
        <v>0</v>
      </c>
      <c r="O56">
        <v>0</v>
      </c>
      <c r="P56" t="s">
        <v>53</v>
      </c>
      <c r="Q56" t="s">
        <v>53</v>
      </c>
      <c r="R56" t="s">
        <v>53</v>
      </c>
      <c r="S56" t="s">
        <v>53</v>
      </c>
      <c r="T56" t="s">
        <v>53</v>
      </c>
      <c r="U56" t="s">
        <v>53</v>
      </c>
      <c r="V56" t="s">
        <v>53</v>
      </c>
      <c r="W56" t="s">
        <v>53</v>
      </c>
      <c r="X56" s="22" t="s">
        <v>53</v>
      </c>
      <c r="Y56" s="22" t="s">
        <v>53</v>
      </c>
      <c r="Z56" s="22" t="s">
        <v>53</v>
      </c>
      <c r="AA56" s="22" t="s">
        <v>53</v>
      </c>
      <c r="AB56" t="s">
        <v>53</v>
      </c>
      <c r="AC56" t="s">
        <v>53</v>
      </c>
      <c r="AD56" t="s">
        <v>53</v>
      </c>
      <c r="AE56" t="s">
        <v>53</v>
      </c>
      <c r="AF56" s="22" t="s">
        <v>53</v>
      </c>
      <c r="AG56" s="22" t="s">
        <v>53</v>
      </c>
      <c r="AH56" s="22" t="s">
        <v>53</v>
      </c>
      <c r="AI56" s="22" t="s">
        <v>53</v>
      </c>
      <c r="AJ56">
        <v>0</v>
      </c>
      <c r="AK56">
        <v>0</v>
      </c>
      <c r="AL56">
        <v>0</v>
      </c>
      <c r="AM56">
        <v>0</v>
      </c>
      <c r="AN56" s="22" t="s">
        <v>53</v>
      </c>
      <c r="AO56" s="22" t="s">
        <v>53</v>
      </c>
      <c r="AP56" s="22" t="s">
        <v>53</v>
      </c>
      <c r="AQ56" s="22" t="s">
        <v>53</v>
      </c>
      <c r="AR56" s="35">
        <v>0</v>
      </c>
      <c r="AS56" s="35">
        <v>0</v>
      </c>
      <c r="AT56" s="35">
        <v>0</v>
      </c>
      <c r="AU56" s="31" t="str">
        <f t="shared" si="3"/>
        <v>库存为0</v>
      </c>
      <c r="AV56" s="36" t="str">
        <f>IFERROR(时间!$B$4+AU56,"上周无销量")</f>
        <v>上周无销量</v>
      </c>
    </row>
    <row r="57" spans="1:48">
      <c r="A57" s="20" t="s">
        <v>168</v>
      </c>
      <c r="B57" t="s">
        <v>167</v>
      </c>
      <c r="C57" t="s">
        <v>161</v>
      </c>
      <c r="D57" s="31">
        <v>0</v>
      </c>
      <c r="E57" s="31">
        <v>0</v>
      </c>
      <c r="F57" s="31">
        <v>0</v>
      </c>
      <c r="G57" s="31">
        <v>0</v>
      </c>
      <c r="H57" s="32">
        <v>0</v>
      </c>
      <c r="I57">
        <v>0</v>
      </c>
      <c r="J57" s="33">
        <v>0</v>
      </c>
      <c r="K57" s="33">
        <v>0</v>
      </c>
      <c r="L57" s="33">
        <v>0</v>
      </c>
      <c r="M57">
        <v>0</v>
      </c>
      <c r="N57">
        <v>0</v>
      </c>
      <c r="O57">
        <v>0</v>
      </c>
      <c r="P57" t="s">
        <v>53</v>
      </c>
      <c r="Q57" t="s">
        <v>53</v>
      </c>
      <c r="R57" t="s">
        <v>53</v>
      </c>
      <c r="S57" t="s">
        <v>53</v>
      </c>
      <c r="T57" t="s">
        <v>53</v>
      </c>
      <c r="U57" t="s">
        <v>53</v>
      </c>
      <c r="V57" t="s">
        <v>53</v>
      </c>
      <c r="W57" t="s">
        <v>53</v>
      </c>
      <c r="X57" s="22" t="s">
        <v>53</v>
      </c>
      <c r="Y57" s="22" t="s">
        <v>53</v>
      </c>
      <c r="Z57" s="22" t="s">
        <v>53</v>
      </c>
      <c r="AA57" s="22" t="s">
        <v>53</v>
      </c>
      <c r="AB57" t="s">
        <v>53</v>
      </c>
      <c r="AC57" t="s">
        <v>53</v>
      </c>
      <c r="AD57" t="s">
        <v>53</v>
      </c>
      <c r="AE57" t="s">
        <v>53</v>
      </c>
      <c r="AF57" s="22" t="s">
        <v>53</v>
      </c>
      <c r="AG57" s="22" t="s">
        <v>53</v>
      </c>
      <c r="AH57" s="22" t="s">
        <v>53</v>
      </c>
      <c r="AI57" s="22" t="s">
        <v>53</v>
      </c>
      <c r="AJ57">
        <v>0</v>
      </c>
      <c r="AK57">
        <v>0</v>
      </c>
      <c r="AL57">
        <v>0</v>
      </c>
      <c r="AM57">
        <v>0</v>
      </c>
      <c r="AN57" s="22" t="s">
        <v>53</v>
      </c>
      <c r="AO57" s="22" t="s">
        <v>53</v>
      </c>
      <c r="AP57" s="22" t="s">
        <v>53</v>
      </c>
      <c r="AQ57" s="22" t="s">
        <v>53</v>
      </c>
      <c r="AR57" s="35">
        <v>0</v>
      </c>
      <c r="AS57" s="35">
        <v>0</v>
      </c>
      <c r="AT57" s="35">
        <v>0</v>
      </c>
      <c r="AU57" s="31" t="str">
        <f t="shared" si="3"/>
        <v>库存为0</v>
      </c>
      <c r="AV57" s="36" t="str">
        <f>IFERROR(时间!$B$4+AU57,"上周无销量")</f>
        <v>上周无销量</v>
      </c>
    </row>
    <row r="58" spans="1:48">
      <c r="A58" s="20" t="s">
        <v>169</v>
      </c>
      <c r="B58" t="s">
        <v>170</v>
      </c>
      <c r="C58" t="s">
        <v>171</v>
      </c>
      <c r="D58" s="31">
        <v>0</v>
      </c>
      <c r="E58" s="31">
        <v>0</v>
      </c>
      <c r="F58" s="31">
        <v>0</v>
      </c>
      <c r="G58" s="31">
        <v>0</v>
      </c>
      <c r="H58" s="32">
        <v>0</v>
      </c>
      <c r="I58">
        <v>0</v>
      </c>
      <c r="J58" s="33">
        <v>0</v>
      </c>
      <c r="K58" s="33">
        <v>0</v>
      </c>
      <c r="L58" s="33">
        <v>0</v>
      </c>
      <c r="M58">
        <v>0</v>
      </c>
      <c r="N58">
        <v>0</v>
      </c>
      <c r="O58">
        <v>0</v>
      </c>
      <c r="P58" t="s">
        <v>53</v>
      </c>
      <c r="Q58" t="s">
        <v>53</v>
      </c>
      <c r="R58" t="s">
        <v>53</v>
      </c>
      <c r="S58" t="s">
        <v>53</v>
      </c>
      <c r="T58" t="s">
        <v>53</v>
      </c>
      <c r="U58" t="s">
        <v>53</v>
      </c>
      <c r="V58" t="s">
        <v>53</v>
      </c>
      <c r="W58" t="s">
        <v>53</v>
      </c>
      <c r="X58" s="22" t="s">
        <v>53</v>
      </c>
      <c r="Y58" s="22" t="s">
        <v>53</v>
      </c>
      <c r="Z58" s="22" t="s">
        <v>53</v>
      </c>
      <c r="AA58" s="22" t="s">
        <v>53</v>
      </c>
      <c r="AB58" t="s">
        <v>53</v>
      </c>
      <c r="AC58" t="s">
        <v>53</v>
      </c>
      <c r="AD58" t="s">
        <v>53</v>
      </c>
      <c r="AE58" t="s">
        <v>53</v>
      </c>
      <c r="AF58" s="22" t="s">
        <v>53</v>
      </c>
      <c r="AG58" s="22" t="s">
        <v>53</v>
      </c>
      <c r="AH58" s="22" t="s">
        <v>53</v>
      </c>
      <c r="AI58" s="22" t="s">
        <v>53</v>
      </c>
      <c r="AJ58">
        <v>0</v>
      </c>
      <c r="AK58">
        <v>1</v>
      </c>
      <c r="AL58">
        <v>11</v>
      </c>
      <c r="AM58">
        <v>0</v>
      </c>
      <c r="AN58" s="22" t="s">
        <v>53</v>
      </c>
      <c r="AO58" s="22">
        <v>0</v>
      </c>
      <c r="AP58" s="22">
        <v>0</v>
      </c>
      <c r="AQ58" s="22" t="s">
        <v>53</v>
      </c>
      <c r="AR58" s="35">
        <v>0</v>
      </c>
      <c r="AS58" s="35">
        <v>0</v>
      </c>
      <c r="AT58" s="35">
        <v>0</v>
      </c>
      <c r="AU58" s="31" t="str">
        <f t="shared" si="3"/>
        <v>库存为0</v>
      </c>
      <c r="AV58" s="36" t="str">
        <f>IFERROR(时间!$B$4+AU58,"上周无销量")</f>
        <v>上周无销量</v>
      </c>
    </row>
    <row r="59" spans="1:48">
      <c r="A59" s="20" t="s">
        <v>172</v>
      </c>
      <c r="B59" t="s">
        <v>173</v>
      </c>
      <c r="C59" t="s">
        <v>171</v>
      </c>
      <c r="D59" s="31">
        <v>0</v>
      </c>
      <c r="E59" s="31">
        <v>0</v>
      </c>
      <c r="F59" s="31">
        <v>0</v>
      </c>
      <c r="G59" s="31">
        <v>0</v>
      </c>
      <c r="H59" s="32">
        <v>0</v>
      </c>
      <c r="I59">
        <v>0</v>
      </c>
      <c r="J59" s="33">
        <v>0</v>
      </c>
      <c r="K59" s="33">
        <v>0</v>
      </c>
      <c r="L59" s="33">
        <v>0</v>
      </c>
      <c r="M59">
        <v>0</v>
      </c>
      <c r="N59">
        <v>0</v>
      </c>
      <c r="O59">
        <v>0</v>
      </c>
      <c r="P59" t="s">
        <v>53</v>
      </c>
      <c r="Q59" t="s">
        <v>53</v>
      </c>
      <c r="R59" t="s">
        <v>53</v>
      </c>
      <c r="S59" t="s">
        <v>53</v>
      </c>
      <c r="T59" t="s">
        <v>53</v>
      </c>
      <c r="U59" t="s">
        <v>53</v>
      </c>
      <c r="V59" t="s">
        <v>53</v>
      </c>
      <c r="W59" t="s">
        <v>53</v>
      </c>
      <c r="X59" s="22" t="s">
        <v>53</v>
      </c>
      <c r="Y59" s="22" t="s">
        <v>53</v>
      </c>
      <c r="Z59" s="22" t="s">
        <v>53</v>
      </c>
      <c r="AA59" s="22" t="s">
        <v>53</v>
      </c>
      <c r="AB59" t="s">
        <v>53</v>
      </c>
      <c r="AC59" t="s">
        <v>53</v>
      </c>
      <c r="AD59" t="s">
        <v>53</v>
      </c>
      <c r="AE59" t="s">
        <v>53</v>
      </c>
      <c r="AF59" s="22" t="s">
        <v>53</v>
      </c>
      <c r="AG59" s="22" t="s">
        <v>53</v>
      </c>
      <c r="AH59" s="22" t="s">
        <v>53</v>
      </c>
      <c r="AI59" s="22" t="s">
        <v>53</v>
      </c>
      <c r="AJ59">
        <v>0</v>
      </c>
      <c r="AK59">
        <v>0</v>
      </c>
      <c r="AL59">
        <v>8</v>
      </c>
      <c r="AM59">
        <v>1</v>
      </c>
      <c r="AN59" s="22" t="s">
        <v>53</v>
      </c>
      <c r="AO59" s="22" t="s">
        <v>53</v>
      </c>
      <c r="AP59" s="22">
        <v>0</v>
      </c>
      <c r="AQ59" s="22">
        <v>0</v>
      </c>
      <c r="AR59" s="35">
        <v>0</v>
      </c>
      <c r="AS59" s="35">
        <v>0</v>
      </c>
      <c r="AT59" s="35">
        <v>0</v>
      </c>
      <c r="AU59" s="31" t="str">
        <f t="shared" si="3"/>
        <v>库存为0</v>
      </c>
      <c r="AV59" s="36" t="str">
        <f>IFERROR(时间!$B$4+AU59,"上周无销量")</f>
        <v>上周无销量</v>
      </c>
    </row>
    <row r="60" spans="1:48">
      <c r="A60" s="20" t="s">
        <v>174</v>
      </c>
      <c r="B60" t="s">
        <v>175</v>
      </c>
      <c r="C60" t="s">
        <v>176</v>
      </c>
      <c r="D60" s="31">
        <v>0</v>
      </c>
      <c r="E60" s="31">
        <v>0</v>
      </c>
      <c r="F60" s="31">
        <v>0</v>
      </c>
      <c r="G60" s="31">
        <v>0</v>
      </c>
      <c r="H60" s="32">
        <v>0</v>
      </c>
      <c r="I60">
        <v>0</v>
      </c>
      <c r="J60" s="33">
        <v>0</v>
      </c>
      <c r="K60" s="33">
        <v>0</v>
      </c>
      <c r="L60" s="33">
        <v>0</v>
      </c>
      <c r="M60">
        <v>0</v>
      </c>
      <c r="N60">
        <v>0</v>
      </c>
      <c r="O60">
        <v>0</v>
      </c>
      <c r="P60" t="s">
        <v>53</v>
      </c>
      <c r="Q60" t="s">
        <v>53</v>
      </c>
      <c r="R60" t="s">
        <v>53</v>
      </c>
      <c r="S60" t="s">
        <v>53</v>
      </c>
      <c r="T60" t="s">
        <v>53</v>
      </c>
      <c r="U60" t="s">
        <v>53</v>
      </c>
      <c r="V60" t="s">
        <v>53</v>
      </c>
      <c r="W60" t="s">
        <v>53</v>
      </c>
      <c r="X60" s="22" t="s">
        <v>53</v>
      </c>
      <c r="Y60" s="22" t="s">
        <v>53</v>
      </c>
      <c r="Z60" s="22" t="s">
        <v>53</v>
      </c>
      <c r="AA60" s="22" t="s">
        <v>53</v>
      </c>
      <c r="AB60" t="s">
        <v>53</v>
      </c>
      <c r="AC60" t="s">
        <v>53</v>
      </c>
      <c r="AD60" t="s">
        <v>53</v>
      </c>
      <c r="AE60" t="s">
        <v>53</v>
      </c>
      <c r="AF60" s="22" t="s">
        <v>53</v>
      </c>
      <c r="AG60" s="22" t="s">
        <v>53</v>
      </c>
      <c r="AH60" s="22" t="s">
        <v>53</v>
      </c>
      <c r="AI60" s="22" t="s">
        <v>53</v>
      </c>
      <c r="AJ60">
        <v>0</v>
      </c>
      <c r="AK60">
        <v>0</v>
      </c>
      <c r="AL60">
        <v>0</v>
      </c>
      <c r="AM60">
        <v>0</v>
      </c>
      <c r="AN60" s="22" t="s">
        <v>53</v>
      </c>
      <c r="AO60" s="22" t="s">
        <v>53</v>
      </c>
      <c r="AP60" s="22" t="s">
        <v>53</v>
      </c>
      <c r="AQ60" s="22" t="s">
        <v>53</v>
      </c>
      <c r="AR60" s="35">
        <v>0</v>
      </c>
      <c r="AS60" s="35">
        <v>0</v>
      </c>
      <c r="AT60" s="35">
        <v>0</v>
      </c>
      <c r="AU60" s="31" t="str">
        <f t="shared" si="3"/>
        <v>库存为0</v>
      </c>
      <c r="AV60" s="36" t="str">
        <f>IFERROR(时间!$B$4+AU60,"上周无销量")</f>
        <v>上周无销量</v>
      </c>
    </row>
    <row r="61" spans="1:48">
      <c r="A61" s="20" t="s">
        <v>177</v>
      </c>
      <c r="B61" t="s">
        <v>178</v>
      </c>
      <c r="C61" t="s">
        <v>176</v>
      </c>
      <c r="D61" s="31">
        <v>0</v>
      </c>
      <c r="E61" s="31">
        <v>0</v>
      </c>
      <c r="F61" s="31">
        <v>0</v>
      </c>
      <c r="G61" s="31">
        <v>0</v>
      </c>
      <c r="H61" s="32">
        <v>0</v>
      </c>
      <c r="I61">
        <v>0</v>
      </c>
      <c r="J61" s="33">
        <v>0</v>
      </c>
      <c r="K61" s="33">
        <v>0</v>
      </c>
      <c r="L61" s="33">
        <v>0</v>
      </c>
      <c r="M61">
        <v>0</v>
      </c>
      <c r="N61">
        <v>0</v>
      </c>
      <c r="O61">
        <v>0</v>
      </c>
      <c r="P61" t="s">
        <v>53</v>
      </c>
      <c r="Q61" t="s">
        <v>53</v>
      </c>
      <c r="R61" t="s">
        <v>53</v>
      </c>
      <c r="S61" t="s">
        <v>53</v>
      </c>
      <c r="T61" t="s">
        <v>53</v>
      </c>
      <c r="U61" t="s">
        <v>53</v>
      </c>
      <c r="V61" t="s">
        <v>53</v>
      </c>
      <c r="W61" t="s">
        <v>53</v>
      </c>
      <c r="X61" s="22" t="s">
        <v>53</v>
      </c>
      <c r="Y61" s="22" t="s">
        <v>53</v>
      </c>
      <c r="Z61" s="22" t="s">
        <v>53</v>
      </c>
      <c r="AA61" s="22" t="s">
        <v>53</v>
      </c>
      <c r="AB61" t="s">
        <v>53</v>
      </c>
      <c r="AC61" t="s">
        <v>53</v>
      </c>
      <c r="AD61" t="s">
        <v>53</v>
      </c>
      <c r="AE61" t="s">
        <v>53</v>
      </c>
      <c r="AF61" s="22" t="s">
        <v>53</v>
      </c>
      <c r="AG61" s="22" t="s">
        <v>53</v>
      </c>
      <c r="AH61" s="22" t="s">
        <v>53</v>
      </c>
      <c r="AI61" s="22" t="s">
        <v>53</v>
      </c>
      <c r="AJ61">
        <v>0</v>
      </c>
      <c r="AK61">
        <v>0</v>
      </c>
      <c r="AL61">
        <v>0</v>
      </c>
      <c r="AM61">
        <v>0</v>
      </c>
      <c r="AN61" s="22" t="s">
        <v>53</v>
      </c>
      <c r="AO61" s="22" t="s">
        <v>53</v>
      </c>
      <c r="AP61" s="22" t="s">
        <v>53</v>
      </c>
      <c r="AQ61" s="22" t="s">
        <v>53</v>
      </c>
      <c r="AR61" s="35">
        <v>0</v>
      </c>
      <c r="AS61" s="35">
        <v>0</v>
      </c>
      <c r="AT61" s="35">
        <v>0</v>
      </c>
      <c r="AU61" s="31" t="str">
        <f t="shared" si="3"/>
        <v>库存为0</v>
      </c>
      <c r="AV61" s="36" t="str">
        <f>IFERROR(时间!$B$4+AU61,"上周无销量")</f>
        <v>上周无销量</v>
      </c>
    </row>
    <row r="62" spans="1:48">
      <c r="A62" s="20" t="s">
        <v>179</v>
      </c>
      <c r="B62" t="s">
        <v>180</v>
      </c>
      <c r="C62" t="s">
        <v>176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0</v>
      </c>
      <c r="J62" s="33">
        <v>0</v>
      </c>
      <c r="K62" s="33">
        <v>0</v>
      </c>
      <c r="L62" s="33">
        <v>0</v>
      </c>
      <c r="M62">
        <v>0</v>
      </c>
      <c r="N62">
        <v>0</v>
      </c>
      <c r="O62">
        <v>0</v>
      </c>
      <c r="P62" t="s">
        <v>53</v>
      </c>
      <c r="Q62" t="s">
        <v>53</v>
      </c>
      <c r="R62" t="s">
        <v>53</v>
      </c>
      <c r="S62" t="s">
        <v>53</v>
      </c>
      <c r="T62" t="s">
        <v>53</v>
      </c>
      <c r="U62" t="s">
        <v>53</v>
      </c>
      <c r="V62" t="s">
        <v>53</v>
      </c>
      <c r="W62" t="s">
        <v>53</v>
      </c>
      <c r="X62" s="22" t="s">
        <v>53</v>
      </c>
      <c r="Y62" s="22" t="s">
        <v>53</v>
      </c>
      <c r="Z62" s="22" t="s">
        <v>53</v>
      </c>
      <c r="AA62" s="22" t="s">
        <v>53</v>
      </c>
      <c r="AB62" t="s">
        <v>53</v>
      </c>
      <c r="AC62" t="s">
        <v>53</v>
      </c>
      <c r="AD62" t="s">
        <v>53</v>
      </c>
      <c r="AE62" t="s">
        <v>53</v>
      </c>
      <c r="AF62" s="22" t="s">
        <v>53</v>
      </c>
      <c r="AG62" s="22" t="s">
        <v>53</v>
      </c>
      <c r="AH62" s="22" t="s">
        <v>53</v>
      </c>
      <c r="AI62" s="22" t="s">
        <v>53</v>
      </c>
      <c r="AJ62">
        <v>0</v>
      </c>
      <c r="AK62">
        <v>0</v>
      </c>
      <c r="AL62">
        <v>0</v>
      </c>
      <c r="AM62">
        <v>0</v>
      </c>
      <c r="AN62" s="22" t="s">
        <v>53</v>
      </c>
      <c r="AO62" s="22" t="s">
        <v>53</v>
      </c>
      <c r="AP62" s="22" t="s">
        <v>53</v>
      </c>
      <c r="AQ62" s="22" t="s">
        <v>53</v>
      </c>
      <c r="AR62" s="35">
        <v>0</v>
      </c>
      <c r="AS62" s="35">
        <v>0</v>
      </c>
      <c r="AT62" s="35">
        <v>0</v>
      </c>
      <c r="AU62" s="31" t="str">
        <f t="shared" si="3"/>
        <v>库存为0</v>
      </c>
      <c r="AV62" s="36" t="str">
        <f>IFERROR(时间!$B$4+AU62,"上周无销量")</f>
        <v>上周无销量</v>
      </c>
    </row>
    <row r="63" spans="1:48">
      <c r="A63" s="20" t="s">
        <v>181</v>
      </c>
      <c r="B63" t="s">
        <v>182</v>
      </c>
      <c r="C63" t="s">
        <v>183</v>
      </c>
      <c r="D63" s="31">
        <v>0</v>
      </c>
      <c r="E63" s="31">
        <v>0</v>
      </c>
      <c r="F63" s="31">
        <v>0</v>
      </c>
      <c r="G63" s="31">
        <v>0</v>
      </c>
      <c r="H63" s="32">
        <v>0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 t="s">
        <v>53</v>
      </c>
      <c r="Q63" t="s">
        <v>53</v>
      </c>
      <c r="R63" t="s">
        <v>53</v>
      </c>
      <c r="S63" t="s">
        <v>53</v>
      </c>
      <c r="T63" t="s">
        <v>53</v>
      </c>
      <c r="U63" t="s">
        <v>53</v>
      </c>
      <c r="V63" t="s">
        <v>53</v>
      </c>
      <c r="W63" t="s">
        <v>53</v>
      </c>
      <c r="X63" s="22" t="s">
        <v>53</v>
      </c>
      <c r="Y63" s="22" t="s">
        <v>53</v>
      </c>
      <c r="Z63" s="22" t="s">
        <v>53</v>
      </c>
      <c r="AA63" s="22" t="s">
        <v>53</v>
      </c>
      <c r="AB63" t="s">
        <v>53</v>
      </c>
      <c r="AC63" t="s">
        <v>53</v>
      </c>
      <c r="AD63" t="s">
        <v>53</v>
      </c>
      <c r="AE63" t="s">
        <v>53</v>
      </c>
      <c r="AF63" s="22" t="s">
        <v>53</v>
      </c>
      <c r="AG63" s="22" t="s">
        <v>53</v>
      </c>
      <c r="AH63" s="22" t="s">
        <v>53</v>
      </c>
      <c r="AI63" s="22" t="s">
        <v>53</v>
      </c>
      <c r="AJ63">
        <v>0</v>
      </c>
      <c r="AK63">
        <v>0</v>
      </c>
      <c r="AL63">
        <v>0</v>
      </c>
      <c r="AM63">
        <v>0</v>
      </c>
      <c r="AN63" s="22" t="s">
        <v>53</v>
      </c>
      <c r="AO63" s="22" t="s">
        <v>53</v>
      </c>
      <c r="AP63" s="22" t="s">
        <v>53</v>
      </c>
      <c r="AQ63" s="22" t="s">
        <v>53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20" t="s">
        <v>184</v>
      </c>
      <c r="B64" t="s">
        <v>185</v>
      </c>
      <c r="C64" t="s">
        <v>186</v>
      </c>
      <c r="D64" s="31">
        <v>0</v>
      </c>
      <c r="E64" s="31">
        <v>0</v>
      </c>
      <c r="F64" s="31">
        <v>0</v>
      </c>
      <c r="G64" s="31">
        <v>0</v>
      </c>
      <c r="H64" s="32">
        <v>0</v>
      </c>
      <c r="I64">
        <v>0</v>
      </c>
      <c r="J64" s="33">
        <v>0</v>
      </c>
      <c r="K64" s="33">
        <v>0</v>
      </c>
      <c r="L64" s="33">
        <v>0</v>
      </c>
      <c r="M64">
        <v>0</v>
      </c>
      <c r="N64">
        <v>0</v>
      </c>
      <c r="O64">
        <v>0</v>
      </c>
      <c r="P64" t="s">
        <v>53</v>
      </c>
      <c r="Q64" t="s">
        <v>53</v>
      </c>
      <c r="R64" t="s">
        <v>53</v>
      </c>
      <c r="S64" t="s">
        <v>53</v>
      </c>
      <c r="T64" t="s">
        <v>53</v>
      </c>
      <c r="U64" t="s">
        <v>53</v>
      </c>
      <c r="V64" t="s">
        <v>53</v>
      </c>
      <c r="W64" t="s">
        <v>53</v>
      </c>
      <c r="X64" s="22" t="s">
        <v>53</v>
      </c>
      <c r="Y64" s="22" t="s">
        <v>53</v>
      </c>
      <c r="Z64" s="22" t="s">
        <v>53</v>
      </c>
      <c r="AA64" s="22" t="s">
        <v>53</v>
      </c>
      <c r="AB64" t="s">
        <v>53</v>
      </c>
      <c r="AC64" t="s">
        <v>53</v>
      </c>
      <c r="AD64" t="s">
        <v>53</v>
      </c>
      <c r="AE64" t="s">
        <v>53</v>
      </c>
      <c r="AF64" s="22" t="s">
        <v>53</v>
      </c>
      <c r="AG64" s="22" t="s">
        <v>53</v>
      </c>
      <c r="AH64" s="22" t="s">
        <v>53</v>
      </c>
      <c r="AI64" s="22" t="s">
        <v>53</v>
      </c>
      <c r="AJ64">
        <v>0</v>
      </c>
      <c r="AK64">
        <v>0</v>
      </c>
      <c r="AL64">
        <v>5</v>
      </c>
      <c r="AM64">
        <v>4</v>
      </c>
      <c r="AN64" s="22" t="s">
        <v>53</v>
      </c>
      <c r="AO64" s="22" t="s">
        <v>53</v>
      </c>
      <c r="AP64" s="22">
        <v>0</v>
      </c>
      <c r="AQ64" s="22">
        <v>0</v>
      </c>
      <c r="AR64" s="35">
        <v>0</v>
      </c>
      <c r="AS64" s="35">
        <v>0</v>
      </c>
      <c r="AT64" s="35">
        <v>0</v>
      </c>
      <c r="AU64" s="31" t="str">
        <f t="shared" si="3"/>
        <v>库存为0</v>
      </c>
      <c r="AV64" s="36" t="str">
        <f>IFERROR(时间!$B$4+AU64,"上周无销量")</f>
        <v>上周无销量</v>
      </c>
    </row>
    <row r="65" spans="1:48">
      <c r="A65" s="20" t="s">
        <v>187</v>
      </c>
      <c r="B65" t="s">
        <v>188</v>
      </c>
      <c r="C65" t="s">
        <v>186</v>
      </c>
      <c r="D65" s="31">
        <v>0</v>
      </c>
      <c r="E65" s="31">
        <v>0</v>
      </c>
      <c r="F65" s="31">
        <v>0</v>
      </c>
      <c r="G65" s="31">
        <v>0</v>
      </c>
      <c r="H65" s="32">
        <v>0</v>
      </c>
      <c r="I65">
        <v>0</v>
      </c>
      <c r="J65" s="33">
        <v>0</v>
      </c>
      <c r="K65" s="33">
        <v>0</v>
      </c>
      <c r="L65" s="33">
        <v>0</v>
      </c>
      <c r="M65">
        <v>0</v>
      </c>
      <c r="N65">
        <v>0</v>
      </c>
      <c r="O65">
        <v>0</v>
      </c>
      <c r="P65" t="s">
        <v>53</v>
      </c>
      <c r="Q65" t="s">
        <v>53</v>
      </c>
      <c r="R65" t="s">
        <v>53</v>
      </c>
      <c r="S65" t="s">
        <v>53</v>
      </c>
      <c r="T65" t="s">
        <v>53</v>
      </c>
      <c r="U65" t="s">
        <v>53</v>
      </c>
      <c r="V65" t="s">
        <v>53</v>
      </c>
      <c r="W65" t="s">
        <v>53</v>
      </c>
      <c r="X65" s="22" t="s">
        <v>53</v>
      </c>
      <c r="Y65" s="22" t="s">
        <v>53</v>
      </c>
      <c r="Z65" s="22" t="s">
        <v>53</v>
      </c>
      <c r="AA65" s="22" t="s">
        <v>53</v>
      </c>
      <c r="AB65" t="s">
        <v>53</v>
      </c>
      <c r="AC65" t="s">
        <v>53</v>
      </c>
      <c r="AD65" t="s">
        <v>53</v>
      </c>
      <c r="AE65" t="s">
        <v>53</v>
      </c>
      <c r="AF65" s="22" t="s">
        <v>53</v>
      </c>
      <c r="AG65" s="22" t="s">
        <v>53</v>
      </c>
      <c r="AH65" s="22" t="s">
        <v>53</v>
      </c>
      <c r="AI65" s="22" t="s">
        <v>53</v>
      </c>
      <c r="AJ65">
        <v>0</v>
      </c>
      <c r="AK65">
        <v>1</v>
      </c>
      <c r="AL65">
        <v>8</v>
      </c>
      <c r="AM65">
        <v>5</v>
      </c>
      <c r="AN65" s="22" t="s">
        <v>53</v>
      </c>
      <c r="AO65" s="22">
        <v>0</v>
      </c>
      <c r="AP65" s="22">
        <v>0</v>
      </c>
      <c r="AQ65" s="22">
        <v>0</v>
      </c>
      <c r="AR65" s="35">
        <v>0</v>
      </c>
      <c r="AS65" s="35">
        <v>0</v>
      </c>
      <c r="AT65" s="35">
        <v>0</v>
      </c>
      <c r="AU65" s="31" t="str">
        <f t="shared" si="3"/>
        <v>库存为0</v>
      </c>
      <c r="AV65" s="36" t="str">
        <f>IFERROR(时间!$B$4+AU65,"上周无销量")</f>
        <v>上周无销量</v>
      </c>
    </row>
    <row r="66" spans="1:48">
      <c r="A66" s="20" t="s">
        <v>189</v>
      </c>
      <c r="B66" t="s">
        <v>190</v>
      </c>
      <c r="C66" t="s">
        <v>186</v>
      </c>
      <c r="D66" s="31">
        <v>0</v>
      </c>
      <c r="E66" s="31">
        <v>1</v>
      </c>
      <c r="F66" s="31">
        <v>2</v>
      </c>
      <c r="G66" s="31">
        <v>0</v>
      </c>
      <c r="H66" s="32">
        <v>11.99</v>
      </c>
      <c r="I66">
        <v>0</v>
      </c>
      <c r="J66" s="33">
        <v>0</v>
      </c>
      <c r="K66" s="33">
        <v>0</v>
      </c>
      <c r="L66" s="33">
        <v>0</v>
      </c>
      <c r="M66">
        <v>0</v>
      </c>
      <c r="N66">
        <v>0</v>
      </c>
      <c r="O66">
        <v>0</v>
      </c>
      <c r="P66" t="s">
        <v>53</v>
      </c>
      <c r="Q66" t="s">
        <v>53</v>
      </c>
      <c r="R66" t="s">
        <v>53</v>
      </c>
      <c r="S66" t="s">
        <v>53</v>
      </c>
      <c r="T66" t="s">
        <v>53</v>
      </c>
      <c r="U66" t="s">
        <v>53</v>
      </c>
      <c r="V66" t="s">
        <v>53</v>
      </c>
      <c r="W66" t="s">
        <v>53</v>
      </c>
      <c r="X66" s="22" t="s">
        <v>53</v>
      </c>
      <c r="Y66" s="22" t="s">
        <v>53</v>
      </c>
      <c r="Z66" s="22" t="s">
        <v>53</v>
      </c>
      <c r="AA66" s="22" t="s">
        <v>53</v>
      </c>
      <c r="AB66" t="s">
        <v>53</v>
      </c>
      <c r="AC66" t="s">
        <v>53</v>
      </c>
      <c r="AD66" t="s">
        <v>53</v>
      </c>
      <c r="AE66" t="s">
        <v>53</v>
      </c>
      <c r="AF66" s="22" t="s">
        <v>53</v>
      </c>
      <c r="AG66" s="22" t="s">
        <v>53</v>
      </c>
      <c r="AH66" s="22" t="s">
        <v>53</v>
      </c>
      <c r="AI66" s="22" t="s">
        <v>53</v>
      </c>
      <c r="AJ66">
        <v>0</v>
      </c>
      <c r="AK66">
        <v>4</v>
      </c>
      <c r="AL66">
        <v>9</v>
      </c>
      <c r="AM66">
        <v>10</v>
      </c>
      <c r="AN66" s="22" t="s">
        <v>53</v>
      </c>
      <c r="AO66" s="22">
        <v>0.25</v>
      </c>
      <c r="AP66" s="22">
        <v>0.222222222222222</v>
      </c>
      <c r="AQ66" s="22">
        <v>0</v>
      </c>
      <c r="AR66" s="35">
        <v>0</v>
      </c>
      <c r="AS66" s="35">
        <v>0</v>
      </c>
      <c r="AT66" s="35">
        <v>0</v>
      </c>
      <c r="AU66" s="31" t="str">
        <f t="shared" si="3"/>
        <v>库存为0</v>
      </c>
      <c r="AV66" s="36" t="str">
        <f>IFERROR(时间!$B$4+AU66,"上周无销量")</f>
        <v>上周无销量</v>
      </c>
    </row>
    <row r="67" spans="1:48">
      <c r="A67" s="20" t="s">
        <v>191</v>
      </c>
      <c r="B67" t="s">
        <v>192</v>
      </c>
      <c r="C67" t="s">
        <v>186</v>
      </c>
      <c r="D67" s="31">
        <v>0</v>
      </c>
      <c r="E67" s="31">
        <v>0</v>
      </c>
      <c r="F67" s="31">
        <v>0</v>
      </c>
      <c r="G67" s="31">
        <v>0</v>
      </c>
      <c r="H67" s="32">
        <v>0</v>
      </c>
      <c r="I67">
        <v>0</v>
      </c>
      <c r="J67" s="33">
        <v>0</v>
      </c>
      <c r="K67" s="33">
        <v>0</v>
      </c>
      <c r="L67" s="33">
        <v>0</v>
      </c>
      <c r="M67">
        <v>0</v>
      </c>
      <c r="N67">
        <v>0</v>
      </c>
      <c r="O67">
        <v>0</v>
      </c>
      <c r="P67" t="s">
        <v>53</v>
      </c>
      <c r="Q67" t="s">
        <v>53</v>
      </c>
      <c r="R67" t="s">
        <v>53</v>
      </c>
      <c r="S67" t="s">
        <v>53</v>
      </c>
      <c r="T67" t="s">
        <v>53</v>
      </c>
      <c r="U67" t="s">
        <v>53</v>
      </c>
      <c r="V67" t="s">
        <v>53</v>
      </c>
      <c r="W67" t="s">
        <v>53</v>
      </c>
      <c r="X67" s="22" t="s">
        <v>53</v>
      </c>
      <c r="Y67" s="22" t="s">
        <v>53</v>
      </c>
      <c r="Z67" s="22" t="s">
        <v>53</v>
      </c>
      <c r="AA67" s="22" t="s">
        <v>53</v>
      </c>
      <c r="AB67" t="s">
        <v>53</v>
      </c>
      <c r="AC67" t="s">
        <v>53</v>
      </c>
      <c r="AD67" t="s">
        <v>53</v>
      </c>
      <c r="AE67" t="s">
        <v>53</v>
      </c>
      <c r="AF67" s="22" t="s">
        <v>53</v>
      </c>
      <c r="AG67" s="22" t="s">
        <v>53</v>
      </c>
      <c r="AH67" s="22" t="s">
        <v>53</v>
      </c>
      <c r="AI67" s="22" t="s">
        <v>53</v>
      </c>
      <c r="AJ67">
        <v>0</v>
      </c>
      <c r="AK67">
        <v>1</v>
      </c>
      <c r="AL67">
        <v>7</v>
      </c>
      <c r="AM67">
        <v>10</v>
      </c>
      <c r="AN67" s="22" t="s">
        <v>53</v>
      </c>
      <c r="AO67" s="22">
        <v>0</v>
      </c>
      <c r="AP67" s="22">
        <v>0</v>
      </c>
      <c r="AQ67" s="22">
        <v>0</v>
      </c>
      <c r="AR67" s="35">
        <v>0</v>
      </c>
      <c r="AS67" s="35">
        <v>0</v>
      </c>
      <c r="AT67" s="35">
        <v>0</v>
      </c>
      <c r="AU67" s="31" t="str">
        <f t="shared" si="3"/>
        <v>库存为0</v>
      </c>
      <c r="AV67" s="36" t="str">
        <f>IFERROR(时间!$B$4+AU67,"上周无销量")</f>
        <v>上周无销量</v>
      </c>
    </row>
    <row r="68" spans="1:48">
      <c r="A68" s="20" t="s">
        <v>193</v>
      </c>
      <c r="B68" t="s">
        <v>194</v>
      </c>
      <c r="C68" t="s">
        <v>186</v>
      </c>
      <c r="D68" s="31">
        <v>0</v>
      </c>
      <c r="E68" s="31">
        <v>0</v>
      </c>
      <c r="F68" s="31">
        <v>0</v>
      </c>
      <c r="G68" s="31">
        <v>0</v>
      </c>
      <c r="H68" s="32">
        <v>0</v>
      </c>
      <c r="I68">
        <v>0</v>
      </c>
      <c r="J68" s="33">
        <v>0</v>
      </c>
      <c r="K68" s="33">
        <v>0</v>
      </c>
      <c r="L68" s="33">
        <v>0</v>
      </c>
      <c r="M68">
        <v>0</v>
      </c>
      <c r="N68">
        <v>0</v>
      </c>
      <c r="O68">
        <v>0</v>
      </c>
      <c r="P68" t="s">
        <v>53</v>
      </c>
      <c r="Q68" t="s">
        <v>53</v>
      </c>
      <c r="R68" t="s">
        <v>53</v>
      </c>
      <c r="S68" t="s">
        <v>53</v>
      </c>
      <c r="T68" t="s">
        <v>53</v>
      </c>
      <c r="U68" t="s">
        <v>53</v>
      </c>
      <c r="V68" t="s">
        <v>53</v>
      </c>
      <c r="W68" t="s">
        <v>53</v>
      </c>
      <c r="X68" s="22" t="s">
        <v>53</v>
      </c>
      <c r="Y68" s="22" t="s">
        <v>53</v>
      </c>
      <c r="Z68" s="22" t="s">
        <v>53</v>
      </c>
      <c r="AA68" s="22" t="s">
        <v>53</v>
      </c>
      <c r="AB68" t="s">
        <v>53</v>
      </c>
      <c r="AC68" t="s">
        <v>53</v>
      </c>
      <c r="AD68" t="s">
        <v>53</v>
      </c>
      <c r="AE68" t="s">
        <v>53</v>
      </c>
      <c r="AF68" s="22" t="s">
        <v>53</v>
      </c>
      <c r="AG68" s="22" t="s">
        <v>53</v>
      </c>
      <c r="AH68" s="22" t="s">
        <v>53</v>
      </c>
      <c r="AI68" s="22" t="s">
        <v>53</v>
      </c>
      <c r="AJ68">
        <v>0</v>
      </c>
      <c r="AK68">
        <v>0</v>
      </c>
      <c r="AL68">
        <v>3</v>
      </c>
      <c r="AM68">
        <v>7</v>
      </c>
      <c r="AN68" s="22" t="s">
        <v>53</v>
      </c>
      <c r="AO68" s="22" t="s">
        <v>53</v>
      </c>
      <c r="AP68" s="22">
        <v>0</v>
      </c>
      <c r="AQ68" s="22">
        <v>0</v>
      </c>
      <c r="AR68" s="35">
        <v>0</v>
      </c>
      <c r="AS68" s="35">
        <v>0</v>
      </c>
      <c r="AT68" s="35">
        <v>0</v>
      </c>
      <c r="AU68" s="31" t="str">
        <f t="shared" si="3"/>
        <v>库存为0</v>
      </c>
      <c r="AV68" s="36" t="str">
        <f>IFERROR(时间!$B$4+AU68,"上周无销量")</f>
        <v>上周无销量</v>
      </c>
    </row>
    <row r="69" spans="1:48">
      <c r="A69" s="20" t="s">
        <v>195</v>
      </c>
      <c r="B69" t="s">
        <v>196</v>
      </c>
      <c r="C69" t="s">
        <v>186</v>
      </c>
      <c r="D69" s="31">
        <v>0</v>
      </c>
      <c r="E69" s="31">
        <v>0</v>
      </c>
      <c r="F69" s="31">
        <v>1</v>
      </c>
      <c r="G69" s="31">
        <v>1</v>
      </c>
      <c r="H69" s="32">
        <v>13.99</v>
      </c>
      <c r="I69">
        <v>0</v>
      </c>
      <c r="J69" s="33">
        <v>0</v>
      </c>
      <c r="K69" s="33">
        <v>0</v>
      </c>
      <c r="L69" s="33">
        <v>0</v>
      </c>
      <c r="M69">
        <v>0</v>
      </c>
      <c r="N69">
        <v>2</v>
      </c>
      <c r="O69">
        <v>0</v>
      </c>
      <c r="P69" t="s">
        <v>53</v>
      </c>
      <c r="Q69" t="s">
        <v>53</v>
      </c>
      <c r="R69" t="s">
        <v>53</v>
      </c>
      <c r="S69" t="s">
        <v>53</v>
      </c>
      <c r="T69" t="s">
        <v>53</v>
      </c>
      <c r="U69" t="s">
        <v>53</v>
      </c>
      <c r="V69" t="s">
        <v>53</v>
      </c>
      <c r="W69" t="s">
        <v>53</v>
      </c>
      <c r="X69" s="22" t="s">
        <v>53</v>
      </c>
      <c r="Y69" s="22" t="s">
        <v>53</v>
      </c>
      <c r="Z69" s="22" t="s">
        <v>53</v>
      </c>
      <c r="AA69" s="22" t="s">
        <v>53</v>
      </c>
      <c r="AB69" t="s">
        <v>53</v>
      </c>
      <c r="AC69" t="s">
        <v>53</v>
      </c>
      <c r="AD69" t="s">
        <v>53</v>
      </c>
      <c r="AE69" t="s">
        <v>53</v>
      </c>
      <c r="AF69" s="22" t="s">
        <v>53</v>
      </c>
      <c r="AG69" s="22" t="s">
        <v>53</v>
      </c>
      <c r="AH69" s="22" t="s">
        <v>53</v>
      </c>
      <c r="AI69" s="22" t="s">
        <v>53</v>
      </c>
      <c r="AJ69">
        <v>0</v>
      </c>
      <c r="AK69">
        <v>1</v>
      </c>
      <c r="AL69">
        <v>5</v>
      </c>
      <c r="AM69">
        <v>6</v>
      </c>
      <c r="AN69" s="22" t="s">
        <v>53</v>
      </c>
      <c r="AO69" s="22">
        <v>0</v>
      </c>
      <c r="AP69" s="22">
        <v>0.2</v>
      </c>
      <c r="AQ69" s="22">
        <v>0.166666666666667</v>
      </c>
      <c r="AR69" s="35">
        <v>0</v>
      </c>
      <c r="AS69" s="35">
        <v>0</v>
      </c>
      <c r="AT69" s="35">
        <v>0</v>
      </c>
      <c r="AU69" s="31" t="str">
        <f t="shared" ref="AU69:AU132" si="5">IF(AR69="","库存为"&amp;M69,IF(AS69=0,"库存为"&amp;M69,INT(M69/AR69)))</f>
        <v>库存为0</v>
      </c>
      <c r="AV69" s="36" t="str">
        <f>IFERROR(时间!$B$4+AU69,"上周无销量")</f>
        <v>上周无销量</v>
      </c>
    </row>
    <row r="70" spans="1:48">
      <c r="A70" s="20" t="s">
        <v>197</v>
      </c>
      <c r="B70" t="s">
        <v>198</v>
      </c>
      <c r="C70" t="s">
        <v>186</v>
      </c>
      <c r="D70" s="31">
        <v>0</v>
      </c>
      <c r="E70" s="31">
        <v>0</v>
      </c>
      <c r="F70" s="31">
        <v>0</v>
      </c>
      <c r="G70" s="31">
        <v>0</v>
      </c>
      <c r="H70" s="32">
        <v>0</v>
      </c>
      <c r="I70">
        <v>0</v>
      </c>
      <c r="J70" s="33">
        <v>0</v>
      </c>
      <c r="K70" s="33">
        <v>0</v>
      </c>
      <c r="L70" s="33">
        <v>0</v>
      </c>
      <c r="M70">
        <v>0</v>
      </c>
      <c r="N70">
        <v>0</v>
      </c>
      <c r="O70">
        <v>0</v>
      </c>
      <c r="P70" t="s">
        <v>53</v>
      </c>
      <c r="Q70" t="s">
        <v>53</v>
      </c>
      <c r="R70" t="s">
        <v>53</v>
      </c>
      <c r="S70" t="s">
        <v>53</v>
      </c>
      <c r="T70" t="s">
        <v>53</v>
      </c>
      <c r="U70" t="s">
        <v>53</v>
      </c>
      <c r="V70" t="s">
        <v>53</v>
      </c>
      <c r="W70" t="s">
        <v>53</v>
      </c>
      <c r="X70" s="22" t="s">
        <v>53</v>
      </c>
      <c r="Y70" s="22" t="s">
        <v>53</v>
      </c>
      <c r="Z70" s="22" t="s">
        <v>53</v>
      </c>
      <c r="AA70" s="22" t="s">
        <v>53</v>
      </c>
      <c r="AB70" t="s">
        <v>53</v>
      </c>
      <c r="AC70" t="s">
        <v>53</v>
      </c>
      <c r="AD70" t="s">
        <v>53</v>
      </c>
      <c r="AE70" t="s">
        <v>53</v>
      </c>
      <c r="AF70" s="22" t="s">
        <v>53</v>
      </c>
      <c r="AG70" s="22" t="s">
        <v>53</v>
      </c>
      <c r="AH70" s="22" t="s">
        <v>53</v>
      </c>
      <c r="AI70" s="22" t="s">
        <v>53</v>
      </c>
      <c r="AJ70">
        <v>0</v>
      </c>
      <c r="AK70">
        <v>1</v>
      </c>
      <c r="AL70">
        <v>16</v>
      </c>
      <c r="AM70">
        <v>13</v>
      </c>
      <c r="AN70" s="22" t="s">
        <v>53</v>
      </c>
      <c r="AO70" s="22">
        <v>0</v>
      </c>
      <c r="AP70" s="22">
        <v>0</v>
      </c>
      <c r="AQ70" s="22">
        <v>0</v>
      </c>
      <c r="AR70" s="35">
        <v>0</v>
      </c>
      <c r="AS70" s="35">
        <v>0</v>
      </c>
      <c r="AT70" s="35">
        <v>0</v>
      </c>
      <c r="AU70" s="31" t="str">
        <f t="shared" si="5"/>
        <v>库存为0</v>
      </c>
      <c r="AV70" s="36" t="str">
        <f>IFERROR(时间!$B$4+AU70,"上周无销量")</f>
        <v>上周无销量</v>
      </c>
    </row>
    <row r="71" spans="1:48">
      <c r="A71" s="20" t="s">
        <v>199</v>
      </c>
      <c r="B71" t="s">
        <v>200</v>
      </c>
      <c r="C71" t="s">
        <v>186</v>
      </c>
      <c r="D71" s="31">
        <v>0</v>
      </c>
      <c r="E71" s="31">
        <v>0</v>
      </c>
      <c r="F71" s="31">
        <v>0</v>
      </c>
      <c r="G71" s="31">
        <v>0</v>
      </c>
      <c r="H71" s="32">
        <v>0</v>
      </c>
      <c r="I71">
        <v>1</v>
      </c>
      <c r="J71" s="33">
        <v>0</v>
      </c>
      <c r="K71" s="33">
        <v>0</v>
      </c>
      <c r="L71" s="33">
        <v>0</v>
      </c>
      <c r="M71">
        <v>1</v>
      </c>
      <c r="N71">
        <v>0</v>
      </c>
      <c r="O71">
        <v>0</v>
      </c>
      <c r="P71" t="s">
        <v>53</v>
      </c>
      <c r="Q71" t="s">
        <v>53</v>
      </c>
      <c r="R71" t="s">
        <v>53</v>
      </c>
      <c r="S71" t="s">
        <v>53</v>
      </c>
      <c r="T71" t="s">
        <v>53</v>
      </c>
      <c r="U71" t="s">
        <v>53</v>
      </c>
      <c r="V71" t="s">
        <v>53</v>
      </c>
      <c r="W71" t="s">
        <v>53</v>
      </c>
      <c r="X71" s="22" t="s">
        <v>53</v>
      </c>
      <c r="Y71" s="22" t="s">
        <v>53</v>
      </c>
      <c r="Z71" s="22" t="s">
        <v>53</v>
      </c>
      <c r="AA71" s="22" t="s">
        <v>53</v>
      </c>
      <c r="AB71" t="s">
        <v>53</v>
      </c>
      <c r="AC71" t="s">
        <v>53</v>
      </c>
      <c r="AD71" t="s">
        <v>53</v>
      </c>
      <c r="AE71" t="s">
        <v>53</v>
      </c>
      <c r="AF71" s="22" t="s">
        <v>53</v>
      </c>
      <c r="AG71" s="22" t="s">
        <v>53</v>
      </c>
      <c r="AH71" s="22" t="s">
        <v>53</v>
      </c>
      <c r="AI71" s="22" t="s">
        <v>53</v>
      </c>
      <c r="AJ71">
        <v>22</v>
      </c>
      <c r="AK71">
        <v>13</v>
      </c>
      <c r="AL71">
        <v>8</v>
      </c>
      <c r="AM71">
        <v>6</v>
      </c>
      <c r="AN71" s="22">
        <v>0</v>
      </c>
      <c r="AO71" s="22">
        <v>0</v>
      </c>
      <c r="AP71" s="22">
        <v>0</v>
      </c>
      <c r="AQ71" s="22">
        <v>0</v>
      </c>
      <c r="AR71" s="35">
        <v>0</v>
      </c>
      <c r="AS71" s="35">
        <v>0</v>
      </c>
      <c r="AT71" s="35">
        <v>1</v>
      </c>
      <c r="AU71" s="31" t="str">
        <f t="shared" si="5"/>
        <v>库存为1</v>
      </c>
      <c r="AV71" s="36" t="str">
        <f>IFERROR(时间!$B$4+AU71,"上周无销量")</f>
        <v>上周无销量</v>
      </c>
    </row>
    <row r="72" spans="1:48">
      <c r="A72" s="20" t="s">
        <v>201</v>
      </c>
      <c r="B72" t="s">
        <v>202</v>
      </c>
      <c r="C72" t="s">
        <v>186</v>
      </c>
      <c r="D72" s="31">
        <v>0</v>
      </c>
      <c r="E72" s="31">
        <v>0</v>
      </c>
      <c r="F72" s="31">
        <v>0</v>
      </c>
      <c r="G72" s="31">
        <v>1</v>
      </c>
      <c r="H72" s="32">
        <v>14.99</v>
      </c>
      <c r="I72">
        <v>0</v>
      </c>
      <c r="J72" s="33">
        <v>0</v>
      </c>
      <c r="K72" s="33">
        <v>0</v>
      </c>
      <c r="L72" s="33">
        <v>0</v>
      </c>
      <c r="M72">
        <v>0</v>
      </c>
      <c r="N72">
        <v>0</v>
      </c>
      <c r="O72">
        <v>0</v>
      </c>
      <c r="P72" t="s">
        <v>53</v>
      </c>
      <c r="Q72" t="s">
        <v>53</v>
      </c>
      <c r="R72" t="s">
        <v>53</v>
      </c>
      <c r="S72" t="s">
        <v>53</v>
      </c>
      <c r="T72" t="s">
        <v>53</v>
      </c>
      <c r="U72" t="s">
        <v>53</v>
      </c>
      <c r="V72" t="s">
        <v>53</v>
      </c>
      <c r="W72" t="s">
        <v>53</v>
      </c>
      <c r="X72" s="22" t="s">
        <v>53</v>
      </c>
      <c r="Y72" s="22" t="s">
        <v>53</v>
      </c>
      <c r="Z72" s="22" t="s">
        <v>53</v>
      </c>
      <c r="AA72" s="22" t="s">
        <v>53</v>
      </c>
      <c r="AB72" t="s">
        <v>53</v>
      </c>
      <c r="AC72" t="s">
        <v>53</v>
      </c>
      <c r="AD72" t="s">
        <v>53</v>
      </c>
      <c r="AE72" t="s">
        <v>53</v>
      </c>
      <c r="AF72" s="22" t="s">
        <v>53</v>
      </c>
      <c r="AG72" s="22" t="s">
        <v>53</v>
      </c>
      <c r="AH72" s="22" t="s">
        <v>53</v>
      </c>
      <c r="AI72" s="22" t="s">
        <v>53</v>
      </c>
      <c r="AJ72">
        <v>0</v>
      </c>
      <c r="AK72">
        <v>0</v>
      </c>
      <c r="AL72">
        <v>11</v>
      </c>
      <c r="AM72">
        <v>5</v>
      </c>
      <c r="AN72" s="22" t="s">
        <v>53</v>
      </c>
      <c r="AO72" s="22" t="s">
        <v>53</v>
      </c>
      <c r="AP72" s="22">
        <v>0</v>
      </c>
      <c r="AQ72" s="22">
        <v>0.2</v>
      </c>
      <c r="AR72" s="35">
        <v>0</v>
      </c>
      <c r="AS72" s="35">
        <v>0</v>
      </c>
      <c r="AT72" s="35">
        <v>0</v>
      </c>
      <c r="AU72" s="31" t="str">
        <f t="shared" si="5"/>
        <v>库存为0</v>
      </c>
      <c r="AV72" s="36" t="str">
        <f>IFERROR(时间!$B$4+AU72,"上周无销量")</f>
        <v>上周无销量</v>
      </c>
    </row>
    <row r="73" spans="1:48">
      <c r="A73" s="20" t="s">
        <v>203</v>
      </c>
      <c r="B73" t="s">
        <v>204</v>
      </c>
      <c r="C73" t="s">
        <v>186</v>
      </c>
      <c r="D73" s="31">
        <v>0</v>
      </c>
      <c r="E73" s="31">
        <v>0</v>
      </c>
      <c r="F73" s="31">
        <v>1</v>
      </c>
      <c r="G73" s="31">
        <v>0</v>
      </c>
      <c r="H73" s="32">
        <v>13.99</v>
      </c>
      <c r="I73">
        <v>0</v>
      </c>
      <c r="J73" s="33">
        <v>0</v>
      </c>
      <c r="K73" s="33">
        <v>0</v>
      </c>
      <c r="L73" s="33">
        <v>0</v>
      </c>
      <c r="M73">
        <v>0</v>
      </c>
      <c r="N73">
        <v>0</v>
      </c>
      <c r="O73">
        <v>0</v>
      </c>
      <c r="P73" t="s">
        <v>53</v>
      </c>
      <c r="Q73" t="s">
        <v>53</v>
      </c>
      <c r="R73" t="s">
        <v>53</v>
      </c>
      <c r="S73" t="s">
        <v>53</v>
      </c>
      <c r="T73" t="s">
        <v>53</v>
      </c>
      <c r="U73" t="s">
        <v>53</v>
      </c>
      <c r="V73" t="s">
        <v>53</v>
      </c>
      <c r="W73" t="s">
        <v>53</v>
      </c>
      <c r="X73" s="22" t="s">
        <v>53</v>
      </c>
      <c r="Y73" s="22" t="s">
        <v>53</v>
      </c>
      <c r="Z73" s="22" t="s">
        <v>53</v>
      </c>
      <c r="AA73" s="22" t="s">
        <v>53</v>
      </c>
      <c r="AB73" t="s">
        <v>53</v>
      </c>
      <c r="AC73" t="s">
        <v>53</v>
      </c>
      <c r="AD73" t="s">
        <v>53</v>
      </c>
      <c r="AE73" t="s">
        <v>53</v>
      </c>
      <c r="AF73" s="22" t="s">
        <v>53</v>
      </c>
      <c r="AG73" s="22" t="s">
        <v>53</v>
      </c>
      <c r="AH73" s="22" t="s">
        <v>53</v>
      </c>
      <c r="AI73" s="22" t="s">
        <v>53</v>
      </c>
      <c r="AJ73">
        <v>0</v>
      </c>
      <c r="AK73">
        <v>0</v>
      </c>
      <c r="AL73">
        <v>8</v>
      </c>
      <c r="AM73">
        <v>7</v>
      </c>
      <c r="AN73" s="22" t="s">
        <v>53</v>
      </c>
      <c r="AO73" s="22" t="s">
        <v>53</v>
      </c>
      <c r="AP73" s="22">
        <v>0.125</v>
      </c>
      <c r="AQ73" s="22">
        <v>0</v>
      </c>
      <c r="AR73" s="35">
        <v>0</v>
      </c>
      <c r="AS73" s="35">
        <v>0</v>
      </c>
      <c r="AT73" s="35">
        <v>0</v>
      </c>
      <c r="AU73" s="31" t="str">
        <f t="shared" si="5"/>
        <v>库存为0</v>
      </c>
      <c r="AV73" s="36" t="str">
        <f>IFERROR(时间!$B$4+AU73,"上周无销量")</f>
        <v>上周无销量</v>
      </c>
    </row>
    <row r="74" spans="1:48">
      <c r="A74" s="20" t="s">
        <v>205</v>
      </c>
      <c r="B74" t="s">
        <v>206</v>
      </c>
      <c r="C74" t="s">
        <v>186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0</v>
      </c>
      <c r="J74" s="33">
        <v>0</v>
      </c>
      <c r="K74" s="33">
        <v>0</v>
      </c>
      <c r="L74" s="33">
        <v>0</v>
      </c>
      <c r="M74">
        <v>0</v>
      </c>
      <c r="N74">
        <v>0</v>
      </c>
      <c r="O74">
        <v>0</v>
      </c>
      <c r="P74" t="s">
        <v>53</v>
      </c>
      <c r="Q74" t="s">
        <v>53</v>
      </c>
      <c r="R74" t="s">
        <v>53</v>
      </c>
      <c r="S74" t="s">
        <v>53</v>
      </c>
      <c r="T74" t="s">
        <v>53</v>
      </c>
      <c r="U74" t="s">
        <v>53</v>
      </c>
      <c r="V74" t="s">
        <v>53</v>
      </c>
      <c r="W74" t="s">
        <v>53</v>
      </c>
      <c r="X74" s="22" t="s">
        <v>53</v>
      </c>
      <c r="Y74" s="22" t="s">
        <v>53</v>
      </c>
      <c r="Z74" s="22" t="s">
        <v>53</v>
      </c>
      <c r="AA74" s="22" t="s">
        <v>53</v>
      </c>
      <c r="AB74" t="s">
        <v>53</v>
      </c>
      <c r="AC74" t="s">
        <v>53</v>
      </c>
      <c r="AD74" t="s">
        <v>53</v>
      </c>
      <c r="AE74" t="s">
        <v>53</v>
      </c>
      <c r="AF74" s="22" t="s">
        <v>53</v>
      </c>
      <c r="AG74" s="22" t="s">
        <v>53</v>
      </c>
      <c r="AH74" s="22" t="s">
        <v>53</v>
      </c>
      <c r="AI74" s="22" t="s">
        <v>53</v>
      </c>
      <c r="AJ74">
        <v>0</v>
      </c>
      <c r="AK74">
        <v>0</v>
      </c>
      <c r="AL74">
        <v>4</v>
      </c>
      <c r="AM74">
        <v>4</v>
      </c>
      <c r="AN74" s="22" t="s">
        <v>53</v>
      </c>
      <c r="AO74" s="22" t="s">
        <v>53</v>
      </c>
      <c r="AP74" s="22">
        <v>0</v>
      </c>
      <c r="AQ74" s="22">
        <v>0</v>
      </c>
      <c r="AR74" s="35">
        <v>0</v>
      </c>
      <c r="AS74" s="35">
        <v>0</v>
      </c>
      <c r="AT74" s="35">
        <v>0</v>
      </c>
      <c r="AU74" s="31" t="str">
        <f t="shared" si="5"/>
        <v>库存为0</v>
      </c>
      <c r="AV74" s="36" t="str">
        <f>IFERROR(时间!$B$4+AU74,"上周无销量")</f>
        <v>上周无销量</v>
      </c>
    </row>
    <row r="75" spans="1:48">
      <c r="A75" s="20" t="s">
        <v>207</v>
      </c>
      <c r="B75" t="s">
        <v>208</v>
      </c>
      <c r="C75" t="s">
        <v>186</v>
      </c>
      <c r="D75" s="31">
        <v>0</v>
      </c>
      <c r="E75" s="31">
        <v>0</v>
      </c>
      <c r="F75" s="31">
        <v>0</v>
      </c>
      <c r="G75" s="31">
        <v>0</v>
      </c>
      <c r="H75" s="32">
        <v>0</v>
      </c>
      <c r="I75">
        <v>0</v>
      </c>
      <c r="J75" s="33">
        <v>0</v>
      </c>
      <c r="K75" s="33">
        <v>0</v>
      </c>
      <c r="L75" s="33">
        <v>0</v>
      </c>
      <c r="M75">
        <v>0</v>
      </c>
      <c r="N75">
        <v>0</v>
      </c>
      <c r="O75">
        <v>0</v>
      </c>
      <c r="P75" t="s">
        <v>53</v>
      </c>
      <c r="Q75" t="s">
        <v>53</v>
      </c>
      <c r="R75" t="s">
        <v>53</v>
      </c>
      <c r="S75" t="s">
        <v>53</v>
      </c>
      <c r="T75" t="s">
        <v>53</v>
      </c>
      <c r="U75" t="s">
        <v>53</v>
      </c>
      <c r="V75" t="s">
        <v>53</v>
      </c>
      <c r="W75" t="s">
        <v>53</v>
      </c>
      <c r="X75" s="22" t="s">
        <v>53</v>
      </c>
      <c r="Y75" s="22" t="s">
        <v>53</v>
      </c>
      <c r="Z75" s="22" t="s">
        <v>53</v>
      </c>
      <c r="AA75" s="22" t="s">
        <v>53</v>
      </c>
      <c r="AB75" t="s">
        <v>53</v>
      </c>
      <c r="AC75" t="s">
        <v>53</v>
      </c>
      <c r="AD75" t="s">
        <v>53</v>
      </c>
      <c r="AE75" t="s">
        <v>53</v>
      </c>
      <c r="AF75" s="22" t="s">
        <v>53</v>
      </c>
      <c r="AG75" s="22" t="s">
        <v>53</v>
      </c>
      <c r="AH75" s="22" t="s">
        <v>53</v>
      </c>
      <c r="AI75" s="22" t="s">
        <v>53</v>
      </c>
      <c r="AJ75">
        <v>0</v>
      </c>
      <c r="AK75">
        <v>0</v>
      </c>
      <c r="AL75">
        <v>8</v>
      </c>
      <c r="AM75">
        <v>6</v>
      </c>
      <c r="AN75" s="22" t="s">
        <v>53</v>
      </c>
      <c r="AO75" s="22" t="s">
        <v>53</v>
      </c>
      <c r="AP75" s="22">
        <v>0</v>
      </c>
      <c r="AQ75" s="22">
        <v>0</v>
      </c>
      <c r="AR75" s="35">
        <v>0</v>
      </c>
      <c r="AS75" s="35">
        <v>0</v>
      </c>
      <c r="AT75" s="35">
        <v>0</v>
      </c>
      <c r="AU75" s="31" t="str">
        <f t="shared" si="5"/>
        <v>库存为0</v>
      </c>
      <c r="AV75" s="36" t="str">
        <f>IFERROR(时间!$B$4+AU75,"上周无销量")</f>
        <v>上周无销量</v>
      </c>
    </row>
    <row r="76" spans="1:48">
      <c r="A76" s="20" t="s">
        <v>209</v>
      </c>
      <c r="B76" t="s">
        <v>210</v>
      </c>
      <c r="C76" t="s">
        <v>211</v>
      </c>
      <c r="D76" s="31">
        <v>0</v>
      </c>
      <c r="E76" s="31">
        <v>0</v>
      </c>
      <c r="F76" s="31">
        <v>0</v>
      </c>
      <c r="G76" s="31">
        <v>0</v>
      </c>
      <c r="H76" s="32">
        <v>0</v>
      </c>
      <c r="I76">
        <v>3</v>
      </c>
      <c r="J76" s="33">
        <v>0</v>
      </c>
      <c r="K76" s="33">
        <v>0</v>
      </c>
      <c r="L76" s="33">
        <v>0</v>
      </c>
      <c r="M76">
        <v>3</v>
      </c>
      <c r="N76">
        <v>0</v>
      </c>
      <c r="O76">
        <v>0</v>
      </c>
      <c r="P76" t="s">
        <v>53</v>
      </c>
      <c r="Q76" t="s">
        <v>53</v>
      </c>
      <c r="R76" t="s">
        <v>53</v>
      </c>
      <c r="S76" t="s">
        <v>53</v>
      </c>
      <c r="T76" t="s">
        <v>53</v>
      </c>
      <c r="U76" t="s">
        <v>53</v>
      </c>
      <c r="V76" t="s">
        <v>53</v>
      </c>
      <c r="W76" t="s">
        <v>53</v>
      </c>
      <c r="X76" s="22" t="s">
        <v>53</v>
      </c>
      <c r="Y76" s="22" t="s">
        <v>53</v>
      </c>
      <c r="Z76" s="22" t="s">
        <v>53</v>
      </c>
      <c r="AA76" s="22" t="s">
        <v>53</v>
      </c>
      <c r="AB76" t="s">
        <v>53</v>
      </c>
      <c r="AC76" t="s">
        <v>53</v>
      </c>
      <c r="AD76" t="s">
        <v>53</v>
      </c>
      <c r="AE76" t="s">
        <v>53</v>
      </c>
      <c r="AF76" s="22" t="s">
        <v>53</v>
      </c>
      <c r="AG76" s="22" t="s">
        <v>53</v>
      </c>
      <c r="AH76" s="22" t="s">
        <v>53</v>
      </c>
      <c r="AI76" s="22" t="s">
        <v>53</v>
      </c>
      <c r="AJ76">
        <v>7</v>
      </c>
      <c r="AK76">
        <v>1</v>
      </c>
      <c r="AL76">
        <v>3</v>
      </c>
      <c r="AM76">
        <v>2</v>
      </c>
      <c r="AN76" s="22">
        <v>0</v>
      </c>
      <c r="AO76" s="22">
        <v>0</v>
      </c>
      <c r="AP76" s="22">
        <v>0</v>
      </c>
      <c r="AQ76" s="22">
        <v>0</v>
      </c>
      <c r="AR76" s="35">
        <v>0</v>
      </c>
      <c r="AS76" s="35">
        <v>0</v>
      </c>
      <c r="AT76" s="35">
        <v>3</v>
      </c>
      <c r="AU76" s="31" t="str">
        <f t="shared" si="5"/>
        <v>库存为3</v>
      </c>
      <c r="AV76" s="36" t="str">
        <f>IFERROR(时间!$B$4+AU76,"上周无销量")</f>
        <v>上周无销量</v>
      </c>
    </row>
    <row r="77" spans="1:48">
      <c r="A77" s="20" t="s">
        <v>212</v>
      </c>
      <c r="B77" t="s">
        <v>213</v>
      </c>
      <c r="C77" t="s">
        <v>211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2</v>
      </c>
      <c r="J77" s="33">
        <v>0</v>
      </c>
      <c r="K77" s="33">
        <v>0</v>
      </c>
      <c r="L77" s="33">
        <v>0</v>
      </c>
      <c r="M77">
        <v>2</v>
      </c>
      <c r="N77">
        <v>0</v>
      </c>
      <c r="O77">
        <v>0</v>
      </c>
      <c r="P77" t="s">
        <v>53</v>
      </c>
      <c r="Q77" t="s">
        <v>53</v>
      </c>
      <c r="R77" t="s">
        <v>53</v>
      </c>
      <c r="S77" t="s">
        <v>53</v>
      </c>
      <c r="T77" t="s">
        <v>53</v>
      </c>
      <c r="U77" t="s">
        <v>53</v>
      </c>
      <c r="V77" t="s">
        <v>53</v>
      </c>
      <c r="W77" t="s">
        <v>53</v>
      </c>
      <c r="X77" s="22" t="s">
        <v>53</v>
      </c>
      <c r="Y77" s="22" t="s">
        <v>53</v>
      </c>
      <c r="Z77" s="22" t="s">
        <v>53</v>
      </c>
      <c r="AA77" s="22" t="s">
        <v>53</v>
      </c>
      <c r="AB77" t="s">
        <v>53</v>
      </c>
      <c r="AC77" t="s">
        <v>53</v>
      </c>
      <c r="AD77" t="s">
        <v>53</v>
      </c>
      <c r="AE77" t="s">
        <v>53</v>
      </c>
      <c r="AF77" s="22" t="s">
        <v>53</v>
      </c>
      <c r="AG77" s="22" t="s">
        <v>53</v>
      </c>
      <c r="AH77" s="22" t="s">
        <v>53</v>
      </c>
      <c r="AI77" s="22" t="s">
        <v>53</v>
      </c>
      <c r="AJ77">
        <v>7</v>
      </c>
      <c r="AK77">
        <v>1</v>
      </c>
      <c r="AL77">
        <v>2</v>
      </c>
      <c r="AM77">
        <v>5</v>
      </c>
      <c r="AN77" s="22">
        <v>0</v>
      </c>
      <c r="AO77" s="22">
        <v>0</v>
      </c>
      <c r="AP77" s="22">
        <v>0</v>
      </c>
      <c r="AQ77" s="22">
        <v>0</v>
      </c>
      <c r="AR77" s="35">
        <v>0</v>
      </c>
      <c r="AS77" s="35">
        <v>0</v>
      </c>
      <c r="AT77" s="35">
        <v>2</v>
      </c>
      <c r="AU77" s="31" t="str">
        <f t="shared" si="5"/>
        <v>库存为2</v>
      </c>
      <c r="AV77" s="36" t="str">
        <f>IFERROR(时间!$B$4+AU77,"上周无销量")</f>
        <v>上周无销量</v>
      </c>
    </row>
    <row r="78" spans="1:48">
      <c r="A78" s="20" t="s">
        <v>214</v>
      </c>
      <c r="B78" t="s">
        <v>215</v>
      </c>
      <c r="C78" t="s">
        <v>211</v>
      </c>
      <c r="D78" s="31">
        <v>0</v>
      </c>
      <c r="E78" s="31">
        <v>0</v>
      </c>
      <c r="F78" s="31">
        <v>0</v>
      </c>
      <c r="G78" s="31">
        <v>0</v>
      </c>
      <c r="H78" s="32">
        <v>0</v>
      </c>
      <c r="I78">
        <v>1</v>
      </c>
      <c r="J78" s="33">
        <v>0</v>
      </c>
      <c r="K78" s="33">
        <v>0</v>
      </c>
      <c r="L78" s="33">
        <v>0</v>
      </c>
      <c r="M78">
        <v>1</v>
      </c>
      <c r="N78">
        <v>0</v>
      </c>
      <c r="O78">
        <v>0</v>
      </c>
      <c r="P78">
        <v>0</v>
      </c>
      <c r="Q78">
        <v>0</v>
      </c>
      <c r="R78">
        <v>0</v>
      </c>
      <c r="S78">
        <v>11742</v>
      </c>
      <c r="T78">
        <v>0</v>
      </c>
      <c r="U78">
        <v>0</v>
      </c>
      <c r="V78">
        <v>0</v>
      </c>
      <c r="W78">
        <v>39</v>
      </c>
      <c r="X78" s="22" t="s">
        <v>53</v>
      </c>
      <c r="Y78" s="22" t="s">
        <v>53</v>
      </c>
      <c r="Z78" s="22" t="s">
        <v>53</v>
      </c>
      <c r="AA78" s="22">
        <v>0.00332141032192131</v>
      </c>
      <c r="AB78">
        <v>0</v>
      </c>
      <c r="AC78">
        <v>0</v>
      </c>
      <c r="AD78">
        <v>0</v>
      </c>
      <c r="AE78">
        <v>11.84</v>
      </c>
      <c r="AF78" s="22" t="s">
        <v>53</v>
      </c>
      <c r="AG78" s="22" t="s">
        <v>53</v>
      </c>
      <c r="AH78" s="22" t="s">
        <v>53</v>
      </c>
      <c r="AI78" s="22" t="s">
        <v>216</v>
      </c>
      <c r="AJ78">
        <v>18</v>
      </c>
      <c r="AK78">
        <v>9</v>
      </c>
      <c r="AL78">
        <v>19</v>
      </c>
      <c r="AM78">
        <v>8</v>
      </c>
      <c r="AN78" s="22">
        <v>0</v>
      </c>
      <c r="AO78" s="22">
        <v>0</v>
      </c>
      <c r="AP78" s="22">
        <v>0</v>
      </c>
      <c r="AQ78" s="22">
        <v>0</v>
      </c>
      <c r="AR78" s="35">
        <v>0</v>
      </c>
      <c r="AS78" s="35">
        <v>0</v>
      </c>
      <c r="AT78" s="35">
        <v>1</v>
      </c>
      <c r="AU78" s="31" t="str">
        <f t="shared" si="5"/>
        <v>库存为1</v>
      </c>
      <c r="AV78" s="36" t="str">
        <f>IFERROR(时间!$B$4+AU78,"上周无销量")</f>
        <v>上周无销量</v>
      </c>
    </row>
    <row r="79" spans="1:48">
      <c r="A79" s="20" t="s">
        <v>217</v>
      </c>
      <c r="B79" t="s">
        <v>218</v>
      </c>
      <c r="C79" t="s">
        <v>219</v>
      </c>
      <c r="D79" s="31">
        <v>0</v>
      </c>
      <c r="E79" s="31">
        <v>1</v>
      </c>
      <c r="F79" s="31">
        <v>0</v>
      </c>
      <c r="G79" s="31">
        <v>1</v>
      </c>
      <c r="H79" s="32">
        <v>8.99</v>
      </c>
      <c r="I79">
        <v>7</v>
      </c>
      <c r="J79" s="33">
        <v>0</v>
      </c>
      <c r="K79" s="33">
        <v>0</v>
      </c>
      <c r="L79" s="33">
        <v>0</v>
      </c>
      <c r="M79">
        <v>7</v>
      </c>
      <c r="N79">
        <v>0</v>
      </c>
      <c r="O79">
        <v>7</v>
      </c>
      <c r="P79" t="s">
        <v>53</v>
      </c>
      <c r="Q79" t="s">
        <v>53</v>
      </c>
      <c r="R79" t="s">
        <v>53</v>
      </c>
      <c r="S79" t="s">
        <v>53</v>
      </c>
      <c r="T79" t="s">
        <v>53</v>
      </c>
      <c r="U79" t="s">
        <v>53</v>
      </c>
      <c r="V79" t="s">
        <v>53</v>
      </c>
      <c r="W79" t="s">
        <v>53</v>
      </c>
      <c r="X79" s="22" t="s">
        <v>53</v>
      </c>
      <c r="Y79" s="22" t="s">
        <v>53</v>
      </c>
      <c r="Z79" s="22" t="s">
        <v>53</v>
      </c>
      <c r="AA79" s="22" t="s">
        <v>53</v>
      </c>
      <c r="AB79" t="s">
        <v>53</v>
      </c>
      <c r="AC79" t="s">
        <v>53</v>
      </c>
      <c r="AD79" t="s">
        <v>53</v>
      </c>
      <c r="AE79" t="s">
        <v>53</v>
      </c>
      <c r="AF79" s="22" t="s">
        <v>53</v>
      </c>
      <c r="AG79" s="22" t="s">
        <v>53</v>
      </c>
      <c r="AH79" s="22" t="s">
        <v>53</v>
      </c>
      <c r="AI79" s="22" t="s">
        <v>53</v>
      </c>
      <c r="AJ79">
        <v>14</v>
      </c>
      <c r="AK79">
        <v>12</v>
      </c>
      <c r="AL79">
        <v>22</v>
      </c>
      <c r="AM79">
        <v>4</v>
      </c>
      <c r="AN79" s="22">
        <v>0</v>
      </c>
      <c r="AO79" s="22">
        <v>0.0833333333333333</v>
      </c>
      <c r="AP79" s="22">
        <v>0</v>
      </c>
      <c r="AQ79" s="22">
        <v>0.25</v>
      </c>
      <c r="AR79" s="35">
        <v>0</v>
      </c>
      <c r="AS79" s="35">
        <v>0</v>
      </c>
      <c r="AT79" s="35">
        <v>7</v>
      </c>
      <c r="AU79" s="31" t="str">
        <f t="shared" si="5"/>
        <v>库存为7</v>
      </c>
      <c r="AV79" s="36" t="str">
        <f>IFERROR(时间!$B$4+AU79,"上周无销量")</f>
        <v>上周无销量</v>
      </c>
    </row>
    <row r="80" spans="1:48">
      <c r="A80" s="20" t="s">
        <v>220</v>
      </c>
      <c r="B80" t="s">
        <v>221</v>
      </c>
      <c r="C80" t="s">
        <v>222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5</v>
      </c>
      <c r="J80" s="33">
        <v>0</v>
      </c>
      <c r="K80" s="33">
        <v>0</v>
      </c>
      <c r="L80" s="33">
        <v>0</v>
      </c>
      <c r="M80">
        <v>5</v>
      </c>
      <c r="N80">
        <v>0</v>
      </c>
      <c r="O80">
        <v>5</v>
      </c>
      <c r="P80" t="s">
        <v>53</v>
      </c>
      <c r="Q80" t="s">
        <v>53</v>
      </c>
      <c r="R80" t="s">
        <v>53</v>
      </c>
      <c r="S80" t="s">
        <v>53</v>
      </c>
      <c r="T80" t="s">
        <v>53</v>
      </c>
      <c r="U80" t="s">
        <v>53</v>
      </c>
      <c r="V80" t="s">
        <v>53</v>
      </c>
      <c r="W80" t="s">
        <v>53</v>
      </c>
      <c r="X80" s="22" t="s">
        <v>53</v>
      </c>
      <c r="Y80" s="22" t="s">
        <v>53</v>
      </c>
      <c r="Z80" s="22" t="s">
        <v>53</v>
      </c>
      <c r="AA80" s="22" t="s">
        <v>53</v>
      </c>
      <c r="AB80" t="s">
        <v>53</v>
      </c>
      <c r="AC80" t="s">
        <v>53</v>
      </c>
      <c r="AD80" t="s">
        <v>53</v>
      </c>
      <c r="AE80" t="s">
        <v>53</v>
      </c>
      <c r="AF80" s="22" t="s">
        <v>53</v>
      </c>
      <c r="AG80" s="22" t="s">
        <v>53</v>
      </c>
      <c r="AH80" s="22" t="s">
        <v>53</v>
      </c>
      <c r="AI80" s="22" t="s">
        <v>53</v>
      </c>
      <c r="AJ80">
        <v>8</v>
      </c>
      <c r="AK80">
        <v>6</v>
      </c>
      <c r="AL80">
        <v>4</v>
      </c>
      <c r="AM80">
        <v>6</v>
      </c>
      <c r="AN80" s="22">
        <v>0</v>
      </c>
      <c r="AO80" s="22">
        <v>0</v>
      </c>
      <c r="AP80" s="22">
        <v>0</v>
      </c>
      <c r="AQ80" s="22">
        <v>0</v>
      </c>
      <c r="AR80" s="35">
        <v>0</v>
      </c>
      <c r="AS80" s="35">
        <v>0</v>
      </c>
      <c r="AT80" s="35">
        <v>5</v>
      </c>
      <c r="AU80" s="31" t="str">
        <f t="shared" si="5"/>
        <v>库存为5</v>
      </c>
      <c r="AV80" s="36" t="str">
        <f>IFERROR(时间!$B$4+AU80,"上周无销量")</f>
        <v>上周无销量</v>
      </c>
    </row>
    <row r="81" spans="1:48">
      <c r="A81" s="20" t="s">
        <v>223</v>
      </c>
      <c r="B81" t="s">
        <v>224</v>
      </c>
      <c r="C81" t="s">
        <v>222</v>
      </c>
      <c r="D81" s="31">
        <v>3</v>
      </c>
      <c r="E81" s="31">
        <v>1</v>
      </c>
      <c r="F81" s="31">
        <v>0</v>
      </c>
      <c r="G81" s="31">
        <v>0</v>
      </c>
      <c r="H81" s="32">
        <v>10</v>
      </c>
      <c r="I81">
        <v>0</v>
      </c>
      <c r="J81" s="33">
        <v>0</v>
      </c>
      <c r="K81" s="33">
        <v>0</v>
      </c>
      <c r="L81" s="33">
        <v>0</v>
      </c>
      <c r="M81">
        <v>0</v>
      </c>
      <c r="N81">
        <v>0</v>
      </c>
      <c r="O81">
        <v>1</v>
      </c>
      <c r="P81" t="s">
        <v>53</v>
      </c>
      <c r="Q81" t="s">
        <v>53</v>
      </c>
      <c r="R81" t="s">
        <v>53</v>
      </c>
      <c r="S81" t="s">
        <v>53</v>
      </c>
      <c r="T81" t="s">
        <v>53</v>
      </c>
      <c r="U81" t="s">
        <v>53</v>
      </c>
      <c r="V81" t="s">
        <v>53</v>
      </c>
      <c r="W81" t="s">
        <v>53</v>
      </c>
      <c r="X81" s="22" t="s">
        <v>53</v>
      </c>
      <c r="Y81" s="22" t="s">
        <v>53</v>
      </c>
      <c r="Z81" s="22" t="s">
        <v>53</v>
      </c>
      <c r="AA81" s="22" t="s">
        <v>53</v>
      </c>
      <c r="AB81" t="s">
        <v>53</v>
      </c>
      <c r="AC81" t="s">
        <v>53</v>
      </c>
      <c r="AD81" t="s">
        <v>53</v>
      </c>
      <c r="AE81" t="s">
        <v>53</v>
      </c>
      <c r="AF81" s="22" t="s">
        <v>53</v>
      </c>
      <c r="AG81" s="22" t="s">
        <v>53</v>
      </c>
      <c r="AH81" s="22" t="s">
        <v>53</v>
      </c>
      <c r="AI81" s="22" t="s">
        <v>53</v>
      </c>
      <c r="AJ81">
        <v>24</v>
      </c>
      <c r="AK81">
        <v>22</v>
      </c>
      <c r="AL81">
        <v>7</v>
      </c>
      <c r="AM81">
        <v>13</v>
      </c>
      <c r="AN81" s="22">
        <v>0.125</v>
      </c>
      <c r="AO81" s="22">
        <v>0.0454545454545455</v>
      </c>
      <c r="AP81" s="22">
        <v>0</v>
      </c>
      <c r="AQ81" s="22">
        <v>0</v>
      </c>
      <c r="AR81" s="35">
        <v>0.428571428571429</v>
      </c>
      <c r="AS81" s="35">
        <v>25.7142857142857</v>
      </c>
      <c r="AT81" s="35">
        <v>-25.7142857142857</v>
      </c>
      <c r="AU81" s="31">
        <f t="shared" si="5"/>
        <v>0</v>
      </c>
      <c r="AV81" s="36">
        <f>IFERROR(时间!$B$4+AU81,"上周无销量")</f>
        <v>43339</v>
      </c>
    </row>
    <row r="82" spans="1:48">
      <c r="A82" s="20" t="s">
        <v>225</v>
      </c>
      <c r="B82" t="s">
        <v>226</v>
      </c>
      <c r="C82" t="s">
        <v>222</v>
      </c>
      <c r="D82" s="31">
        <v>1</v>
      </c>
      <c r="E82" s="31">
        <v>0</v>
      </c>
      <c r="F82" s="31">
        <v>0</v>
      </c>
      <c r="G82" s="31">
        <v>0</v>
      </c>
      <c r="H82" s="32">
        <v>13.99</v>
      </c>
      <c r="I82">
        <v>3</v>
      </c>
      <c r="J82" s="33">
        <v>0</v>
      </c>
      <c r="K82" s="33">
        <v>0</v>
      </c>
      <c r="L82" s="33">
        <v>0</v>
      </c>
      <c r="M82">
        <v>3</v>
      </c>
      <c r="N82">
        <v>0</v>
      </c>
      <c r="O82">
        <v>0</v>
      </c>
      <c r="P82" t="s">
        <v>53</v>
      </c>
      <c r="Q82" t="s">
        <v>53</v>
      </c>
      <c r="R82" t="s">
        <v>53</v>
      </c>
      <c r="S82" t="s">
        <v>53</v>
      </c>
      <c r="T82" t="s">
        <v>53</v>
      </c>
      <c r="U82" t="s">
        <v>53</v>
      </c>
      <c r="V82" t="s">
        <v>53</v>
      </c>
      <c r="W82" t="s">
        <v>53</v>
      </c>
      <c r="X82" s="22" t="s">
        <v>53</v>
      </c>
      <c r="Y82" s="22" t="s">
        <v>53</v>
      </c>
      <c r="Z82" s="22" t="s">
        <v>53</v>
      </c>
      <c r="AA82" s="22" t="s">
        <v>53</v>
      </c>
      <c r="AB82" t="s">
        <v>53</v>
      </c>
      <c r="AC82" t="s">
        <v>53</v>
      </c>
      <c r="AD82" t="s">
        <v>53</v>
      </c>
      <c r="AE82" t="s">
        <v>53</v>
      </c>
      <c r="AF82" s="22" t="s">
        <v>53</v>
      </c>
      <c r="AG82" s="22" t="s">
        <v>53</v>
      </c>
      <c r="AH82" s="22" t="s">
        <v>53</v>
      </c>
      <c r="AI82" s="22" t="s">
        <v>53</v>
      </c>
      <c r="AJ82">
        <v>14</v>
      </c>
      <c r="AK82">
        <v>8</v>
      </c>
      <c r="AL82">
        <v>7</v>
      </c>
      <c r="AM82">
        <v>5</v>
      </c>
      <c r="AN82" s="22">
        <v>0.0714285714285714</v>
      </c>
      <c r="AO82" s="22">
        <v>0</v>
      </c>
      <c r="AP82" s="22">
        <v>0</v>
      </c>
      <c r="AQ82" s="22">
        <v>0</v>
      </c>
      <c r="AR82" s="35">
        <v>0.142857142857143</v>
      </c>
      <c r="AS82" s="35">
        <v>8.57142857142857</v>
      </c>
      <c r="AT82" s="35">
        <v>-5.57142857142857</v>
      </c>
      <c r="AU82" s="31">
        <f t="shared" si="5"/>
        <v>21</v>
      </c>
      <c r="AV82" s="36">
        <f>IFERROR(时间!$B$4+AU82,"上周无销量")</f>
        <v>43360</v>
      </c>
    </row>
    <row r="83" spans="1:48">
      <c r="A83" s="20" t="s">
        <v>227</v>
      </c>
      <c r="B83" t="s">
        <v>228</v>
      </c>
      <c r="C83" t="s">
        <v>222</v>
      </c>
      <c r="D83" s="31">
        <v>0</v>
      </c>
      <c r="E83" s="31">
        <v>1</v>
      </c>
      <c r="F83" s="31">
        <v>0</v>
      </c>
      <c r="G83" s="31">
        <v>0</v>
      </c>
      <c r="H83" s="32">
        <v>10</v>
      </c>
      <c r="I83">
        <v>4</v>
      </c>
      <c r="J83" s="33">
        <v>0</v>
      </c>
      <c r="K83" s="33">
        <v>0</v>
      </c>
      <c r="L83" s="33">
        <v>0</v>
      </c>
      <c r="M83">
        <v>4</v>
      </c>
      <c r="N83">
        <v>0</v>
      </c>
      <c r="O83">
        <v>5</v>
      </c>
      <c r="P83" t="s">
        <v>53</v>
      </c>
      <c r="Q83" t="s">
        <v>53</v>
      </c>
      <c r="R83" t="s">
        <v>53</v>
      </c>
      <c r="S83" t="s">
        <v>53</v>
      </c>
      <c r="T83" t="s">
        <v>53</v>
      </c>
      <c r="U83" t="s">
        <v>53</v>
      </c>
      <c r="V83" t="s">
        <v>53</v>
      </c>
      <c r="W83" t="s">
        <v>53</v>
      </c>
      <c r="X83" s="22" t="s">
        <v>53</v>
      </c>
      <c r="Y83" s="22" t="s">
        <v>53</v>
      </c>
      <c r="Z83" s="22" t="s">
        <v>53</v>
      </c>
      <c r="AA83" s="22" t="s">
        <v>53</v>
      </c>
      <c r="AB83" t="s">
        <v>53</v>
      </c>
      <c r="AC83" t="s">
        <v>53</v>
      </c>
      <c r="AD83" t="s">
        <v>53</v>
      </c>
      <c r="AE83" t="s">
        <v>53</v>
      </c>
      <c r="AF83" s="22" t="s">
        <v>53</v>
      </c>
      <c r="AG83" s="22" t="s">
        <v>53</v>
      </c>
      <c r="AH83" s="22" t="s">
        <v>53</v>
      </c>
      <c r="AI83" s="22" t="s">
        <v>53</v>
      </c>
      <c r="AJ83">
        <v>25</v>
      </c>
      <c r="AK83">
        <v>9</v>
      </c>
      <c r="AL83">
        <v>1</v>
      </c>
      <c r="AM83">
        <v>5</v>
      </c>
      <c r="AN83" s="22">
        <v>0</v>
      </c>
      <c r="AO83" s="22">
        <v>0.111111111111111</v>
      </c>
      <c r="AP83" s="22">
        <v>0</v>
      </c>
      <c r="AQ83" s="22">
        <v>0</v>
      </c>
      <c r="AR83" s="35">
        <v>0</v>
      </c>
      <c r="AS83" s="35">
        <v>0</v>
      </c>
      <c r="AT83" s="35">
        <v>4</v>
      </c>
      <c r="AU83" s="31" t="str">
        <f t="shared" si="5"/>
        <v>库存为4</v>
      </c>
      <c r="AV83" s="36" t="str">
        <f>IFERROR(时间!$B$4+AU83,"上周无销量")</f>
        <v>上周无销量</v>
      </c>
    </row>
    <row r="84" spans="1:48">
      <c r="A84" s="20" t="s">
        <v>229</v>
      </c>
      <c r="B84" t="s">
        <v>230</v>
      </c>
      <c r="C84" t="s">
        <v>222</v>
      </c>
      <c r="D84" s="31">
        <v>0</v>
      </c>
      <c r="E84" s="31">
        <v>2</v>
      </c>
      <c r="F84" s="31">
        <v>2</v>
      </c>
      <c r="G84" s="31">
        <v>2</v>
      </c>
      <c r="H84" s="32">
        <v>13.99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5</v>
      </c>
      <c r="P84" t="s">
        <v>53</v>
      </c>
      <c r="Q84" t="s">
        <v>53</v>
      </c>
      <c r="R84" t="s">
        <v>53</v>
      </c>
      <c r="S84" t="s">
        <v>53</v>
      </c>
      <c r="T84" t="s">
        <v>53</v>
      </c>
      <c r="U84" t="s">
        <v>53</v>
      </c>
      <c r="V84" t="s">
        <v>53</v>
      </c>
      <c r="W84" t="s">
        <v>53</v>
      </c>
      <c r="X84" s="22" t="s">
        <v>53</v>
      </c>
      <c r="Y84" s="22" t="s">
        <v>53</v>
      </c>
      <c r="Z84" s="22" t="s">
        <v>53</v>
      </c>
      <c r="AA84" s="22" t="s">
        <v>53</v>
      </c>
      <c r="AB84" t="s">
        <v>53</v>
      </c>
      <c r="AC84" t="s">
        <v>53</v>
      </c>
      <c r="AD84" t="s">
        <v>53</v>
      </c>
      <c r="AE84" t="s">
        <v>53</v>
      </c>
      <c r="AF84" s="22" t="s">
        <v>53</v>
      </c>
      <c r="AG84" s="22" t="s">
        <v>53</v>
      </c>
      <c r="AH84" s="22" t="s">
        <v>53</v>
      </c>
      <c r="AI84" s="22" t="s">
        <v>53</v>
      </c>
      <c r="AJ84">
        <v>24</v>
      </c>
      <c r="AK84">
        <v>57</v>
      </c>
      <c r="AL84">
        <v>32</v>
      </c>
      <c r="AM84">
        <v>26</v>
      </c>
      <c r="AN84" s="22">
        <v>0</v>
      </c>
      <c r="AO84" s="22">
        <v>0.0350877192982456</v>
      </c>
      <c r="AP84" s="22">
        <v>0.0625</v>
      </c>
      <c r="AQ84" s="22">
        <v>0.0769230769230769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20" t="s">
        <v>231</v>
      </c>
      <c r="B85" t="s">
        <v>232</v>
      </c>
      <c r="C85" t="s">
        <v>222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4</v>
      </c>
      <c r="J85" s="33">
        <v>0</v>
      </c>
      <c r="K85" s="33">
        <v>0</v>
      </c>
      <c r="L85" s="33">
        <v>0</v>
      </c>
      <c r="M85">
        <v>4</v>
      </c>
      <c r="N85">
        <v>0</v>
      </c>
      <c r="O85">
        <v>4</v>
      </c>
      <c r="P85" t="s">
        <v>53</v>
      </c>
      <c r="Q85" t="s">
        <v>53</v>
      </c>
      <c r="R85" t="s">
        <v>53</v>
      </c>
      <c r="S85" t="s">
        <v>53</v>
      </c>
      <c r="T85" t="s">
        <v>53</v>
      </c>
      <c r="U85" t="s">
        <v>53</v>
      </c>
      <c r="V85" t="s">
        <v>53</v>
      </c>
      <c r="W85" t="s">
        <v>53</v>
      </c>
      <c r="X85" s="22" t="s">
        <v>53</v>
      </c>
      <c r="Y85" s="22" t="s">
        <v>53</v>
      </c>
      <c r="Z85" s="22" t="s">
        <v>53</v>
      </c>
      <c r="AA85" s="22" t="s">
        <v>53</v>
      </c>
      <c r="AB85" t="s">
        <v>53</v>
      </c>
      <c r="AC85" t="s">
        <v>53</v>
      </c>
      <c r="AD85" t="s">
        <v>53</v>
      </c>
      <c r="AE85" t="s">
        <v>53</v>
      </c>
      <c r="AF85" s="22" t="s">
        <v>53</v>
      </c>
      <c r="AG85" s="22" t="s">
        <v>53</v>
      </c>
      <c r="AH85" s="22" t="s">
        <v>53</v>
      </c>
      <c r="AI85" s="22" t="s">
        <v>53</v>
      </c>
      <c r="AJ85">
        <v>10</v>
      </c>
      <c r="AK85">
        <v>3</v>
      </c>
      <c r="AL85">
        <v>3</v>
      </c>
      <c r="AM85">
        <v>4</v>
      </c>
      <c r="AN85" s="22">
        <v>0</v>
      </c>
      <c r="AO85" s="22">
        <v>0</v>
      </c>
      <c r="AP85" s="22">
        <v>0</v>
      </c>
      <c r="AQ85" s="22">
        <v>0</v>
      </c>
      <c r="AR85" s="35">
        <v>0</v>
      </c>
      <c r="AS85" s="35">
        <v>0</v>
      </c>
      <c r="AT85" s="35">
        <v>4</v>
      </c>
      <c r="AU85" s="31" t="str">
        <f t="shared" si="5"/>
        <v>库存为4</v>
      </c>
      <c r="AV85" s="36" t="str">
        <f>IFERROR(时间!$B$4+AU85,"上周无销量")</f>
        <v>上周无销量</v>
      </c>
    </row>
    <row r="86" spans="1:48">
      <c r="A86" s="20" t="s">
        <v>233</v>
      </c>
      <c r="B86" t="s">
        <v>234</v>
      </c>
      <c r="C86" t="s">
        <v>222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10</v>
      </c>
      <c r="J86" s="33">
        <v>0</v>
      </c>
      <c r="K86" s="33">
        <v>0</v>
      </c>
      <c r="L86" s="33">
        <v>0</v>
      </c>
      <c r="M86">
        <v>10</v>
      </c>
      <c r="N86">
        <v>0</v>
      </c>
      <c r="O86">
        <v>10</v>
      </c>
      <c r="P86" t="s">
        <v>53</v>
      </c>
      <c r="Q86" t="s">
        <v>53</v>
      </c>
      <c r="R86" t="s">
        <v>53</v>
      </c>
      <c r="S86" t="s">
        <v>53</v>
      </c>
      <c r="T86" t="s">
        <v>53</v>
      </c>
      <c r="U86" t="s">
        <v>53</v>
      </c>
      <c r="V86" t="s">
        <v>53</v>
      </c>
      <c r="W86" t="s">
        <v>53</v>
      </c>
      <c r="X86" s="22" t="s">
        <v>53</v>
      </c>
      <c r="Y86" s="22" t="s">
        <v>53</v>
      </c>
      <c r="Z86" s="22" t="s">
        <v>53</v>
      </c>
      <c r="AA86" s="22" t="s">
        <v>53</v>
      </c>
      <c r="AB86" t="s">
        <v>53</v>
      </c>
      <c r="AC86" t="s">
        <v>53</v>
      </c>
      <c r="AD86" t="s">
        <v>53</v>
      </c>
      <c r="AE86" t="s">
        <v>53</v>
      </c>
      <c r="AF86" s="22" t="s">
        <v>53</v>
      </c>
      <c r="AG86" s="22" t="s">
        <v>53</v>
      </c>
      <c r="AH86" s="22" t="s">
        <v>53</v>
      </c>
      <c r="AI86" s="22" t="s">
        <v>53</v>
      </c>
      <c r="AJ86">
        <v>6</v>
      </c>
      <c r="AK86">
        <v>3</v>
      </c>
      <c r="AL86">
        <v>3</v>
      </c>
      <c r="AM86">
        <v>3</v>
      </c>
      <c r="AN86" s="22">
        <v>0</v>
      </c>
      <c r="AO86" s="22">
        <v>0</v>
      </c>
      <c r="AP86" s="22">
        <v>0</v>
      </c>
      <c r="AQ86" s="22">
        <v>0</v>
      </c>
      <c r="AR86" s="35">
        <v>0</v>
      </c>
      <c r="AS86" s="35">
        <v>0</v>
      </c>
      <c r="AT86" s="35">
        <v>10</v>
      </c>
      <c r="AU86" s="31" t="str">
        <f t="shared" si="5"/>
        <v>库存为10</v>
      </c>
      <c r="AV86" s="36" t="str">
        <f>IFERROR(时间!$B$4+AU86,"上周无销量")</f>
        <v>上周无销量</v>
      </c>
    </row>
    <row r="87" spans="1:48">
      <c r="A87" s="20" t="s">
        <v>235</v>
      </c>
      <c r="B87" t="s">
        <v>236</v>
      </c>
      <c r="C87" t="s">
        <v>222</v>
      </c>
      <c r="D87" s="31">
        <v>0</v>
      </c>
      <c r="E87" s="31">
        <v>0</v>
      </c>
      <c r="F87" s="31">
        <v>0</v>
      </c>
      <c r="G87" s="31">
        <v>0</v>
      </c>
      <c r="H87" s="32">
        <v>0</v>
      </c>
      <c r="I87">
        <v>0</v>
      </c>
      <c r="J87" s="33">
        <v>0</v>
      </c>
      <c r="K87" s="33">
        <v>0</v>
      </c>
      <c r="L87" s="33">
        <v>0</v>
      </c>
      <c r="M87">
        <v>0</v>
      </c>
      <c r="N87">
        <v>0</v>
      </c>
      <c r="O87">
        <v>0</v>
      </c>
      <c r="P87" t="s">
        <v>53</v>
      </c>
      <c r="Q87" t="s">
        <v>53</v>
      </c>
      <c r="R87" t="s">
        <v>53</v>
      </c>
      <c r="S87" t="s">
        <v>53</v>
      </c>
      <c r="T87" t="s">
        <v>53</v>
      </c>
      <c r="U87" t="s">
        <v>53</v>
      </c>
      <c r="V87" t="s">
        <v>53</v>
      </c>
      <c r="W87" t="s">
        <v>53</v>
      </c>
      <c r="X87" s="22" t="s">
        <v>53</v>
      </c>
      <c r="Y87" s="22" t="s">
        <v>53</v>
      </c>
      <c r="Z87" s="22" t="s">
        <v>53</v>
      </c>
      <c r="AA87" s="22" t="s">
        <v>53</v>
      </c>
      <c r="AB87" t="s">
        <v>53</v>
      </c>
      <c r="AC87" t="s">
        <v>53</v>
      </c>
      <c r="AD87" t="s">
        <v>53</v>
      </c>
      <c r="AE87" t="s">
        <v>53</v>
      </c>
      <c r="AF87" s="22" t="s">
        <v>53</v>
      </c>
      <c r="AG87" s="22" t="s">
        <v>53</v>
      </c>
      <c r="AH87" s="22" t="s">
        <v>53</v>
      </c>
      <c r="AI87" s="22" t="s">
        <v>53</v>
      </c>
      <c r="AJ87">
        <v>0</v>
      </c>
      <c r="AK87">
        <v>0</v>
      </c>
      <c r="AL87">
        <v>0</v>
      </c>
      <c r="AM87">
        <v>0</v>
      </c>
      <c r="AN87" s="22" t="s">
        <v>53</v>
      </c>
      <c r="AO87" s="22" t="s">
        <v>53</v>
      </c>
      <c r="AP87" s="22" t="s">
        <v>53</v>
      </c>
      <c r="AQ87" s="22" t="s">
        <v>53</v>
      </c>
      <c r="AR87" s="35">
        <v>0</v>
      </c>
      <c r="AS87" s="35">
        <v>0</v>
      </c>
      <c r="AT87" s="35">
        <v>0</v>
      </c>
      <c r="AU87" s="31" t="str">
        <f t="shared" si="5"/>
        <v>库存为0</v>
      </c>
      <c r="AV87" s="36" t="str">
        <f>IFERROR(时间!$B$4+AU87,"上周无销量")</f>
        <v>上周无销量</v>
      </c>
    </row>
    <row r="88" spans="1:48">
      <c r="A88" s="20" t="s">
        <v>237</v>
      </c>
      <c r="B88" t="s">
        <v>238</v>
      </c>
      <c r="C88" t="s">
        <v>239</v>
      </c>
      <c r="D88" s="31">
        <v>0</v>
      </c>
      <c r="E88" s="31">
        <v>1</v>
      </c>
      <c r="F88" s="31">
        <v>1</v>
      </c>
      <c r="G88" s="31">
        <v>0</v>
      </c>
      <c r="H88" s="32">
        <v>13.99</v>
      </c>
      <c r="I88">
        <v>0</v>
      </c>
      <c r="J88" s="33">
        <v>0</v>
      </c>
      <c r="K88" s="33">
        <v>0</v>
      </c>
      <c r="L88" s="33">
        <v>0</v>
      </c>
      <c r="M88">
        <v>0</v>
      </c>
      <c r="N88">
        <v>0</v>
      </c>
      <c r="O88">
        <v>0</v>
      </c>
      <c r="P88" t="s">
        <v>53</v>
      </c>
      <c r="Q88" t="s">
        <v>53</v>
      </c>
      <c r="R88" t="s">
        <v>53</v>
      </c>
      <c r="S88" t="s">
        <v>53</v>
      </c>
      <c r="T88" t="s">
        <v>53</v>
      </c>
      <c r="U88" t="s">
        <v>53</v>
      </c>
      <c r="V88" t="s">
        <v>53</v>
      </c>
      <c r="W88" t="s">
        <v>53</v>
      </c>
      <c r="X88" s="22" t="s">
        <v>53</v>
      </c>
      <c r="Y88" s="22" t="s">
        <v>53</v>
      </c>
      <c r="Z88" s="22" t="s">
        <v>53</v>
      </c>
      <c r="AA88" s="22" t="s">
        <v>53</v>
      </c>
      <c r="AB88" t="s">
        <v>53</v>
      </c>
      <c r="AC88" t="s">
        <v>53</v>
      </c>
      <c r="AD88" t="s">
        <v>53</v>
      </c>
      <c r="AE88" t="s">
        <v>53</v>
      </c>
      <c r="AF88" s="22" t="s">
        <v>53</v>
      </c>
      <c r="AG88" s="22" t="s">
        <v>53</v>
      </c>
      <c r="AH88" s="22" t="s">
        <v>53</v>
      </c>
      <c r="AI88" s="22" t="s">
        <v>53</v>
      </c>
      <c r="AJ88">
        <v>7</v>
      </c>
      <c r="AK88">
        <v>4</v>
      </c>
      <c r="AL88">
        <v>6</v>
      </c>
      <c r="AM88">
        <v>7</v>
      </c>
      <c r="AN88" s="22">
        <v>0</v>
      </c>
      <c r="AO88" s="22">
        <v>0.25</v>
      </c>
      <c r="AP88" s="22">
        <v>0.166666666666667</v>
      </c>
      <c r="AQ88" s="22">
        <v>0</v>
      </c>
      <c r="AR88" s="35">
        <v>0</v>
      </c>
      <c r="AS88" s="35">
        <v>0</v>
      </c>
      <c r="AT88" s="35">
        <v>0</v>
      </c>
      <c r="AU88" s="31" t="str">
        <f t="shared" si="5"/>
        <v>库存为0</v>
      </c>
      <c r="AV88" s="36" t="str">
        <f>IFERROR(时间!$B$4+AU88,"上周无销量")</f>
        <v>上周无销量</v>
      </c>
    </row>
    <row r="89" spans="1:48">
      <c r="A89" s="20" t="s">
        <v>240</v>
      </c>
      <c r="B89" t="s">
        <v>241</v>
      </c>
      <c r="C89" t="s">
        <v>239</v>
      </c>
      <c r="D89" s="31">
        <v>1</v>
      </c>
      <c r="E89" s="31">
        <v>0</v>
      </c>
      <c r="F89" s="31">
        <v>0</v>
      </c>
      <c r="G89" s="31">
        <v>0</v>
      </c>
      <c r="H89" s="32">
        <v>10</v>
      </c>
      <c r="I89">
        <v>6</v>
      </c>
      <c r="J89" s="33">
        <v>0</v>
      </c>
      <c r="K89" s="33">
        <v>0</v>
      </c>
      <c r="L89" s="33">
        <v>0</v>
      </c>
      <c r="M89">
        <v>6</v>
      </c>
      <c r="N89">
        <v>0</v>
      </c>
      <c r="O89">
        <v>1</v>
      </c>
      <c r="P89" t="s">
        <v>53</v>
      </c>
      <c r="Q89" t="s">
        <v>53</v>
      </c>
      <c r="R89" t="s">
        <v>53</v>
      </c>
      <c r="S89" t="s">
        <v>53</v>
      </c>
      <c r="T89" t="s">
        <v>53</v>
      </c>
      <c r="U89" t="s">
        <v>53</v>
      </c>
      <c r="V89" t="s">
        <v>53</v>
      </c>
      <c r="W89" t="s">
        <v>53</v>
      </c>
      <c r="X89" s="22" t="s">
        <v>53</v>
      </c>
      <c r="Y89" s="22" t="s">
        <v>53</v>
      </c>
      <c r="Z89" s="22" t="s">
        <v>53</v>
      </c>
      <c r="AA89" s="22" t="s">
        <v>53</v>
      </c>
      <c r="AB89" t="s">
        <v>53</v>
      </c>
      <c r="AC89" t="s">
        <v>53</v>
      </c>
      <c r="AD89" t="s">
        <v>53</v>
      </c>
      <c r="AE89" t="s">
        <v>53</v>
      </c>
      <c r="AF89" s="22" t="s">
        <v>53</v>
      </c>
      <c r="AG89" s="22" t="s">
        <v>53</v>
      </c>
      <c r="AH89" s="22" t="s">
        <v>53</v>
      </c>
      <c r="AI89" s="22" t="s">
        <v>53</v>
      </c>
      <c r="AJ89">
        <v>10</v>
      </c>
      <c r="AK89">
        <v>3</v>
      </c>
      <c r="AL89">
        <v>6</v>
      </c>
      <c r="AM89">
        <v>10</v>
      </c>
      <c r="AN89" s="22">
        <v>0.1</v>
      </c>
      <c r="AO89" s="22">
        <v>0</v>
      </c>
      <c r="AP89" s="22">
        <v>0</v>
      </c>
      <c r="AQ89" s="22">
        <v>0</v>
      </c>
      <c r="AR89" s="35">
        <v>0.142857142857143</v>
      </c>
      <c r="AS89" s="35">
        <v>8.57142857142857</v>
      </c>
      <c r="AT89" s="35">
        <v>-2.57142857142857</v>
      </c>
      <c r="AU89" s="31">
        <f t="shared" si="5"/>
        <v>42</v>
      </c>
      <c r="AV89" s="36">
        <f>IFERROR(时间!$B$4+AU89,"上周无销量")</f>
        <v>43381</v>
      </c>
    </row>
    <row r="90" spans="1:48">
      <c r="A90" s="20" t="s">
        <v>242</v>
      </c>
      <c r="B90" t="s">
        <v>243</v>
      </c>
      <c r="C90" t="s">
        <v>239</v>
      </c>
      <c r="D90" s="31">
        <v>0</v>
      </c>
      <c r="E90" s="31">
        <v>1</v>
      </c>
      <c r="F90" s="31">
        <v>0</v>
      </c>
      <c r="G90" s="31">
        <v>0</v>
      </c>
      <c r="H90" s="32">
        <v>13.99</v>
      </c>
      <c r="I90">
        <v>2</v>
      </c>
      <c r="J90" s="33">
        <v>0</v>
      </c>
      <c r="K90" s="33">
        <v>0</v>
      </c>
      <c r="L90" s="33">
        <v>0</v>
      </c>
      <c r="M90">
        <v>2</v>
      </c>
      <c r="N90">
        <v>0</v>
      </c>
      <c r="O90">
        <v>2</v>
      </c>
      <c r="P90" t="s">
        <v>53</v>
      </c>
      <c r="Q90" t="s">
        <v>53</v>
      </c>
      <c r="R90" t="s">
        <v>53</v>
      </c>
      <c r="S90" t="s">
        <v>53</v>
      </c>
      <c r="T90" t="s">
        <v>53</v>
      </c>
      <c r="U90" t="s">
        <v>53</v>
      </c>
      <c r="V90" t="s">
        <v>53</v>
      </c>
      <c r="W90" t="s">
        <v>53</v>
      </c>
      <c r="X90" s="22" t="s">
        <v>53</v>
      </c>
      <c r="Y90" s="22" t="s">
        <v>53</v>
      </c>
      <c r="Z90" s="22" t="s">
        <v>53</v>
      </c>
      <c r="AA90" s="22" t="s">
        <v>53</v>
      </c>
      <c r="AB90" t="s">
        <v>53</v>
      </c>
      <c r="AC90" t="s">
        <v>53</v>
      </c>
      <c r="AD90" t="s">
        <v>53</v>
      </c>
      <c r="AE90" t="s">
        <v>53</v>
      </c>
      <c r="AF90" s="22" t="s">
        <v>53</v>
      </c>
      <c r="AG90" s="22" t="s">
        <v>53</v>
      </c>
      <c r="AH90" s="22" t="s">
        <v>53</v>
      </c>
      <c r="AI90" s="22" t="s">
        <v>53</v>
      </c>
      <c r="AJ90">
        <v>16</v>
      </c>
      <c r="AK90">
        <v>9</v>
      </c>
      <c r="AL90">
        <v>8</v>
      </c>
      <c r="AM90">
        <v>9</v>
      </c>
      <c r="AN90" s="22">
        <v>0</v>
      </c>
      <c r="AO90" s="22">
        <v>0.111111111111111</v>
      </c>
      <c r="AP90" s="22">
        <v>0</v>
      </c>
      <c r="AQ90" s="22">
        <v>0</v>
      </c>
      <c r="AR90" s="35">
        <v>0</v>
      </c>
      <c r="AS90" s="35">
        <v>0</v>
      </c>
      <c r="AT90" s="35">
        <v>2</v>
      </c>
      <c r="AU90" s="31" t="str">
        <f t="shared" si="5"/>
        <v>库存为2</v>
      </c>
      <c r="AV90" s="36" t="str">
        <f>IFERROR(时间!$B$4+AU90,"上周无销量")</f>
        <v>上周无销量</v>
      </c>
    </row>
    <row r="91" spans="1:48">
      <c r="A91" s="20" t="s">
        <v>244</v>
      </c>
      <c r="B91" t="s">
        <v>245</v>
      </c>
      <c r="C91" t="s">
        <v>239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4</v>
      </c>
      <c r="J91" s="33">
        <v>0</v>
      </c>
      <c r="K91" s="33">
        <v>0</v>
      </c>
      <c r="L91" s="33">
        <v>0</v>
      </c>
      <c r="M91">
        <v>4</v>
      </c>
      <c r="N91">
        <v>0</v>
      </c>
      <c r="O91">
        <v>0</v>
      </c>
      <c r="P91" t="s">
        <v>53</v>
      </c>
      <c r="Q91" t="s">
        <v>53</v>
      </c>
      <c r="R91" t="s">
        <v>53</v>
      </c>
      <c r="S91" t="s">
        <v>53</v>
      </c>
      <c r="T91" t="s">
        <v>53</v>
      </c>
      <c r="U91" t="s">
        <v>53</v>
      </c>
      <c r="V91" t="s">
        <v>53</v>
      </c>
      <c r="W91" t="s">
        <v>53</v>
      </c>
      <c r="X91" s="22" t="s">
        <v>53</v>
      </c>
      <c r="Y91" s="22" t="s">
        <v>53</v>
      </c>
      <c r="Z91" s="22" t="s">
        <v>53</v>
      </c>
      <c r="AA91" s="22" t="s">
        <v>53</v>
      </c>
      <c r="AB91" t="s">
        <v>53</v>
      </c>
      <c r="AC91" t="s">
        <v>53</v>
      </c>
      <c r="AD91" t="s">
        <v>53</v>
      </c>
      <c r="AE91" t="s">
        <v>53</v>
      </c>
      <c r="AF91" s="22" t="s">
        <v>53</v>
      </c>
      <c r="AG91" s="22" t="s">
        <v>53</v>
      </c>
      <c r="AH91" s="22" t="s">
        <v>53</v>
      </c>
      <c r="AI91" s="22" t="s">
        <v>53</v>
      </c>
      <c r="AJ91">
        <v>18</v>
      </c>
      <c r="AK91">
        <v>10</v>
      </c>
      <c r="AL91">
        <v>13</v>
      </c>
      <c r="AM91">
        <v>11</v>
      </c>
      <c r="AN91" s="22">
        <v>0</v>
      </c>
      <c r="AO91" s="22">
        <v>0</v>
      </c>
      <c r="AP91" s="22">
        <v>0</v>
      </c>
      <c r="AQ91" s="22">
        <v>0</v>
      </c>
      <c r="AR91" s="35">
        <v>0</v>
      </c>
      <c r="AS91" s="35">
        <v>0</v>
      </c>
      <c r="AT91" s="35">
        <v>4</v>
      </c>
      <c r="AU91" s="31" t="str">
        <f t="shared" si="5"/>
        <v>库存为4</v>
      </c>
      <c r="AV91" s="36" t="str">
        <f>IFERROR(时间!$B$4+AU91,"上周无销量")</f>
        <v>上周无销量</v>
      </c>
    </row>
    <row r="92" spans="1:48">
      <c r="A92" s="20" t="s">
        <v>246</v>
      </c>
      <c r="B92" t="s">
        <v>247</v>
      </c>
      <c r="C92" t="s">
        <v>248</v>
      </c>
      <c r="D92" s="31">
        <v>1</v>
      </c>
      <c r="E92" s="31">
        <v>0</v>
      </c>
      <c r="F92" s="31">
        <v>0</v>
      </c>
      <c r="G92" s="31">
        <v>0</v>
      </c>
      <c r="H92" s="32">
        <v>10</v>
      </c>
      <c r="I92">
        <v>2</v>
      </c>
      <c r="J92" s="33">
        <v>0</v>
      </c>
      <c r="K92" s="33">
        <v>0</v>
      </c>
      <c r="L92" s="33">
        <v>0</v>
      </c>
      <c r="M92">
        <v>2</v>
      </c>
      <c r="N92">
        <v>0</v>
      </c>
      <c r="O92">
        <v>2</v>
      </c>
      <c r="P92" t="s">
        <v>53</v>
      </c>
      <c r="Q92" t="s">
        <v>53</v>
      </c>
      <c r="R92" t="s">
        <v>53</v>
      </c>
      <c r="S92" t="s">
        <v>53</v>
      </c>
      <c r="T92" t="s">
        <v>53</v>
      </c>
      <c r="U92" t="s">
        <v>53</v>
      </c>
      <c r="V92" t="s">
        <v>53</v>
      </c>
      <c r="W92" t="s">
        <v>53</v>
      </c>
      <c r="X92" s="22" t="s">
        <v>53</v>
      </c>
      <c r="Y92" s="22" t="s">
        <v>53</v>
      </c>
      <c r="Z92" s="22" t="s">
        <v>53</v>
      </c>
      <c r="AA92" s="22" t="s">
        <v>53</v>
      </c>
      <c r="AB92" t="s">
        <v>53</v>
      </c>
      <c r="AC92" t="s">
        <v>53</v>
      </c>
      <c r="AD92" t="s">
        <v>53</v>
      </c>
      <c r="AE92" t="s">
        <v>53</v>
      </c>
      <c r="AF92" s="22" t="s">
        <v>53</v>
      </c>
      <c r="AG92" s="22" t="s">
        <v>53</v>
      </c>
      <c r="AH92" s="22" t="s">
        <v>53</v>
      </c>
      <c r="AI92" s="22" t="s">
        <v>53</v>
      </c>
      <c r="AJ92">
        <v>6</v>
      </c>
      <c r="AK92">
        <v>2</v>
      </c>
      <c r="AL92">
        <v>4</v>
      </c>
      <c r="AM92">
        <v>4</v>
      </c>
      <c r="AN92" s="22">
        <v>0.166666666666667</v>
      </c>
      <c r="AO92" s="22">
        <v>0</v>
      </c>
      <c r="AP92" s="22">
        <v>0</v>
      </c>
      <c r="AQ92" s="22">
        <v>0</v>
      </c>
      <c r="AR92" s="35">
        <v>0.142857142857143</v>
      </c>
      <c r="AS92" s="35">
        <v>8.57142857142857</v>
      </c>
      <c r="AT92" s="35">
        <v>-6.57142857142857</v>
      </c>
      <c r="AU92" s="31">
        <f t="shared" si="5"/>
        <v>14</v>
      </c>
      <c r="AV92" s="36">
        <f>IFERROR(时间!$B$4+AU92,"上周无销量")</f>
        <v>43353</v>
      </c>
    </row>
    <row r="93" spans="1:48">
      <c r="A93" s="20" t="s">
        <v>249</v>
      </c>
      <c r="B93" t="s">
        <v>250</v>
      </c>
      <c r="C93" t="s">
        <v>248</v>
      </c>
      <c r="D93" s="31">
        <v>0</v>
      </c>
      <c r="E93" s="31">
        <v>0</v>
      </c>
      <c r="F93" s="31">
        <v>0</v>
      </c>
      <c r="G93" s="31">
        <v>1</v>
      </c>
      <c r="H93" s="32">
        <v>10</v>
      </c>
      <c r="I93">
        <v>1</v>
      </c>
      <c r="J93" s="33">
        <v>0</v>
      </c>
      <c r="K93" s="33">
        <v>0</v>
      </c>
      <c r="L93" s="33">
        <v>0</v>
      </c>
      <c r="M93">
        <v>1</v>
      </c>
      <c r="N93">
        <v>0</v>
      </c>
      <c r="O93">
        <v>1</v>
      </c>
      <c r="P93" t="s">
        <v>53</v>
      </c>
      <c r="Q93" t="s">
        <v>53</v>
      </c>
      <c r="R93" t="s">
        <v>53</v>
      </c>
      <c r="S93" t="s">
        <v>53</v>
      </c>
      <c r="T93" t="s">
        <v>53</v>
      </c>
      <c r="U93" t="s">
        <v>53</v>
      </c>
      <c r="V93" t="s">
        <v>53</v>
      </c>
      <c r="W93" t="s">
        <v>53</v>
      </c>
      <c r="X93" s="22" t="s">
        <v>53</v>
      </c>
      <c r="Y93" s="22" t="s">
        <v>53</v>
      </c>
      <c r="Z93" s="22" t="s">
        <v>53</v>
      </c>
      <c r="AA93" s="22" t="s">
        <v>53</v>
      </c>
      <c r="AB93" t="s">
        <v>53</v>
      </c>
      <c r="AC93" t="s">
        <v>53</v>
      </c>
      <c r="AD93" t="s">
        <v>53</v>
      </c>
      <c r="AE93" t="s">
        <v>53</v>
      </c>
      <c r="AF93" s="22" t="s">
        <v>53</v>
      </c>
      <c r="AG93" s="22" t="s">
        <v>53</v>
      </c>
      <c r="AH93" s="22" t="s">
        <v>53</v>
      </c>
      <c r="AI93" s="22" t="s">
        <v>53</v>
      </c>
      <c r="AJ93">
        <v>8</v>
      </c>
      <c r="AK93">
        <v>7</v>
      </c>
      <c r="AL93">
        <v>11</v>
      </c>
      <c r="AM93">
        <v>8</v>
      </c>
      <c r="AN93" s="22">
        <v>0</v>
      </c>
      <c r="AO93" s="22">
        <v>0</v>
      </c>
      <c r="AP93" s="22">
        <v>0</v>
      </c>
      <c r="AQ93" s="22">
        <v>0.125</v>
      </c>
      <c r="AR93" s="35">
        <v>0</v>
      </c>
      <c r="AS93" s="35">
        <v>0</v>
      </c>
      <c r="AT93" s="35">
        <v>1</v>
      </c>
      <c r="AU93" s="31" t="str">
        <f t="shared" si="5"/>
        <v>库存为1</v>
      </c>
      <c r="AV93" s="36" t="str">
        <f>IFERROR(时间!$B$4+AU93,"上周无销量")</f>
        <v>上周无销量</v>
      </c>
    </row>
    <row r="94" spans="1:48">
      <c r="A94" s="20" t="s">
        <v>251</v>
      </c>
      <c r="B94" t="s">
        <v>252</v>
      </c>
      <c r="C94" t="s">
        <v>253</v>
      </c>
      <c r="D94" s="31">
        <v>0</v>
      </c>
      <c r="E94" s="31">
        <v>0</v>
      </c>
      <c r="F94" s="31">
        <v>0</v>
      </c>
      <c r="G94" s="31">
        <v>0</v>
      </c>
      <c r="H94" s="32">
        <v>0</v>
      </c>
      <c r="I94">
        <v>6</v>
      </c>
      <c r="J94" s="33">
        <v>0</v>
      </c>
      <c r="K94" s="33">
        <v>0</v>
      </c>
      <c r="L94" s="33">
        <v>0</v>
      </c>
      <c r="M94">
        <v>6</v>
      </c>
      <c r="N94">
        <v>0</v>
      </c>
      <c r="O94">
        <v>0</v>
      </c>
      <c r="P94">
        <v>60</v>
      </c>
      <c r="Q94">
        <v>3116</v>
      </c>
      <c r="R94">
        <v>8153</v>
      </c>
      <c r="S94">
        <v>2043</v>
      </c>
      <c r="T94">
        <v>0</v>
      </c>
      <c r="U94">
        <v>10</v>
      </c>
      <c r="V94">
        <v>21</v>
      </c>
      <c r="W94">
        <v>9</v>
      </c>
      <c r="X94" s="22">
        <v>0</v>
      </c>
      <c r="Y94" s="22">
        <v>0.00320924261874198</v>
      </c>
      <c r="Z94" s="22">
        <v>0.00257573899178217</v>
      </c>
      <c r="AA94" s="22">
        <v>0.00440528634361234</v>
      </c>
      <c r="AB94">
        <v>0</v>
      </c>
      <c r="AC94">
        <v>11.61</v>
      </c>
      <c r="AD94">
        <v>23.37</v>
      </c>
      <c r="AE94">
        <v>11.6</v>
      </c>
      <c r="AF94" s="22" t="s">
        <v>53</v>
      </c>
      <c r="AG94" s="22" t="s">
        <v>254</v>
      </c>
      <c r="AH94" s="22" t="s">
        <v>255</v>
      </c>
      <c r="AI94" s="22" t="s">
        <v>256</v>
      </c>
      <c r="AJ94">
        <v>7</v>
      </c>
      <c r="AK94">
        <v>8</v>
      </c>
      <c r="AL94">
        <v>25</v>
      </c>
      <c r="AM94">
        <v>17</v>
      </c>
      <c r="AN94" s="22">
        <v>0</v>
      </c>
      <c r="AO94" s="22">
        <v>0</v>
      </c>
      <c r="AP94" s="22">
        <v>0</v>
      </c>
      <c r="AQ94" s="22">
        <v>0</v>
      </c>
      <c r="AR94" s="35">
        <v>0</v>
      </c>
      <c r="AS94" s="35">
        <v>0</v>
      </c>
      <c r="AT94" s="35">
        <v>6</v>
      </c>
      <c r="AU94" s="31" t="str">
        <f t="shared" si="5"/>
        <v>库存为6</v>
      </c>
      <c r="AV94" s="36" t="str">
        <f>IFERROR(时间!$B$4+AU94,"上周无销量")</f>
        <v>上周无销量</v>
      </c>
    </row>
    <row r="95" spans="1:48">
      <c r="A95" s="20" t="s">
        <v>257</v>
      </c>
      <c r="B95" t="s">
        <v>258</v>
      </c>
      <c r="C95" t="s">
        <v>253</v>
      </c>
      <c r="D95" s="31">
        <v>0</v>
      </c>
      <c r="E95" s="31">
        <v>0</v>
      </c>
      <c r="F95" s="31">
        <v>0</v>
      </c>
      <c r="G95" s="31">
        <v>0</v>
      </c>
      <c r="H95" s="32">
        <v>0</v>
      </c>
      <c r="I95">
        <v>3</v>
      </c>
      <c r="J95" s="33">
        <v>0</v>
      </c>
      <c r="K95" s="33">
        <v>0</v>
      </c>
      <c r="L95" s="33">
        <v>0</v>
      </c>
      <c r="M95">
        <v>3</v>
      </c>
      <c r="N95">
        <v>0</v>
      </c>
      <c r="O95">
        <v>0</v>
      </c>
      <c r="P95">
        <v>0</v>
      </c>
      <c r="Q95">
        <v>3698</v>
      </c>
      <c r="R95">
        <v>3790</v>
      </c>
      <c r="S95">
        <v>5566</v>
      </c>
      <c r="T95">
        <v>0</v>
      </c>
      <c r="U95">
        <v>3</v>
      </c>
      <c r="V95">
        <v>14</v>
      </c>
      <c r="W95">
        <v>8</v>
      </c>
      <c r="X95" s="22" t="s">
        <v>53</v>
      </c>
      <c r="Y95" s="22">
        <v>0.000811249323958897</v>
      </c>
      <c r="Z95" s="22">
        <v>0.00369393139841689</v>
      </c>
      <c r="AA95" s="22">
        <v>0.00143729787998563</v>
      </c>
      <c r="AB95">
        <v>0</v>
      </c>
      <c r="AC95">
        <v>2.76</v>
      </c>
      <c r="AD95">
        <v>14.88</v>
      </c>
      <c r="AE95">
        <v>9.14</v>
      </c>
      <c r="AF95" s="22" t="s">
        <v>53</v>
      </c>
      <c r="AG95" s="22" t="s">
        <v>259</v>
      </c>
      <c r="AH95" s="22" t="s">
        <v>260</v>
      </c>
      <c r="AI95" s="22" t="s">
        <v>261</v>
      </c>
      <c r="AJ95">
        <v>18</v>
      </c>
      <c r="AK95">
        <v>14</v>
      </c>
      <c r="AL95">
        <v>21</v>
      </c>
      <c r="AM95">
        <v>20</v>
      </c>
      <c r="AN95" s="22">
        <v>0</v>
      </c>
      <c r="AO95" s="22">
        <v>0</v>
      </c>
      <c r="AP95" s="22">
        <v>0</v>
      </c>
      <c r="AQ95" s="22">
        <v>0</v>
      </c>
      <c r="AR95" s="35">
        <v>0</v>
      </c>
      <c r="AS95" s="35">
        <v>0</v>
      </c>
      <c r="AT95" s="35">
        <v>3</v>
      </c>
      <c r="AU95" s="31" t="str">
        <f t="shared" si="5"/>
        <v>库存为3</v>
      </c>
      <c r="AV95" s="36" t="str">
        <f>IFERROR(时间!$B$4+AU95,"上周无销量")</f>
        <v>上周无销量</v>
      </c>
    </row>
    <row r="96" spans="1:48">
      <c r="A96" s="20" t="s">
        <v>262</v>
      </c>
      <c r="B96" t="s">
        <v>263</v>
      </c>
      <c r="C96" t="s">
        <v>253</v>
      </c>
      <c r="D96" s="31">
        <v>2</v>
      </c>
      <c r="E96" s="31">
        <v>2</v>
      </c>
      <c r="F96" s="31">
        <v>2</v>
      </c>
      <c r="G96" s="31">
        <v>2</v>
      </c>
      <c r="H96" s="32">
        <v>20</v>
      </c>
      <c r="I96">
        <v>9</v>
      </c>
      <c r="J96" s="33">
        <v>0</v>
      </c>
      <c r="K96" s="33">
        <v>0</v>
      </c>
      <c r="L96" s="33">
        <v>3</v>
      </c>
      <c r="M96">
        <v>12</v>
      </c>
      <c r="N96">
        <v>0</v>
      </c>
      <c r="O96">
        <v>0</v>
      </c>
      <c r="P96">
        <v>636</v>
      </c>
      <c r="Q96">
        <v>150</v>
      </c>
      <c r="R96">
        <v>0</v>
      </c>
      <c r="S96">
        <v>0</v>
      </c>
      <c r="T96">
        <v>7</v>
      </c>
      <c r="U96">
        <v>0</v>
      </c>
      <c r="V96">
        <v>0</v>
      </c>
      <c r="W96">
        <v>0</v>
      </c>
      <c r="X96" s="22">
        <v>0.0110062893081761</v>
      </c>
      <c r="Y96" s="22">
        <v>0</v>
      </c>
      <c r="Z96" s="22" t="s">
        <v>53</v>
      </c>
      <c r="AA96" s="22" t="s">
        <v>53</v>
      </c>
      <c r="AB96">
        <v>4.03</v>
      </c>
      <c r="AC96">
        <v>0</v>
      </c>
      <c r="AD96">
        <v>0</v>
      </c>
      <c r="AE96">
        <v>0</v>
      </c>
      <c r="AF96" s="22">
        <v>0.10075</v>
      </c>
      <c r="AG96" s="22" t="s">
        <v>53</v>
      </c>
      <c r="AH96" s="22" t="s">
        <v>53</v>
      </c>
      <c r="AI96" s="22" t="s">
        <v>53</v>
      </c>
      <c r="AJ96">
        <v>39</v>
      </c>
      <c r="AK96">
        <v>37</v>
      </c>
      <c r="AL96">
        <v>28</v>
      </c>
      <c r="AM96">
        <v>4</v>
      </c>
      <c r="AN96" s="22">
        <v>0.0512820512820513</v>
      </c>
      <c r="AO96" s="22">
        <v>0.0540540540540541</v>
      </c>
      <c r="AP96" s="22">
        <v>0.0714285714285714</v>
      </c>
      <c r="AQ96" s="22">
        <v>0.5</v>
      </c>
      <c r="AR96" s="35">
        <v>0.285714285714286</v>
      </c>
      <c r="AS96" s="35">
        <v>17.1428571428571</v>
      </c>
      <c r="AT96" s="35">
        <v>-5.14285714285714</v>
      </c>
      <c r="AU96" s="31">
        <f t="shared" si="5"/>
        <v>42</v>
      </c>
      <c r="AV96" s="36">
        <f>IFERROR(时间!$B$4+AU96,"上周无销量")</f>
        <v>43381</v>
      </c>
    </row>
    <row r="97" spans="1:48">
      <c r="A97" s="20" t="s">
        <v>264</v>
      </c>
      <c r="B97" t="s">
        <v>265</v>
      </c>
      <c r="C97" t="s">
        <v>253</v>
      </c>
      <c r="D97" s="31">
        <v>0</v>
      </c>
      <c r="E97" s="31">
        <v>0</v>
      </c>
      <c r="F97" s="31">
        <v>0</v>
      </c>
      <c r="G97" s="31">
        <v>0</v>
      </c>
      <c r="H97" s="32">
        <v>0</v>
      </c>
      <c r="I97">
        <v>7</v>
      </c>
      <c r="J97" s="33">
        <v>0</v>
      </c>
      <c r="K97" s="33">
        <v>0</v>
      </c>
      <c r="L97" s="33">
        <v>0</v>
      </c>
      <c r="M97">
        <v>7</v>
      </c>
      <c r="N97">
        <v>0</v>
      </c>
      <c r="O97">
        <v>0</v>
      </c>
      <c r="P97">
        <v>21</v>
      </c>
      <c r="Q97">
        <v>126</v>
      </c>
      <c r="R97">
        <v>1650</v>
      </c>
      <c r="S97">
        <v>3527</v>
      </c>
      <c r="T97">
        <v>0</v>
      </c>
      <c r="U97">
        <v>1</v>
      </c>
      <c r="V97">
        <v>9</v>
      </c>
      <c r="W97">
        <v>5</v>
      </c>
      <c r="X97" s="22">
        <v>0</v>
      </c>
      <c r="Y97" s="22">
        <v>0.00793650793650794</v>
      </c>
      <c r="Z97" s="22">
        <v>0.00545454545454545</v>
      </c>
      <c r="AA97" s="22">
        <v>0.00141763538417919</v>
      </c>
      <c r="AB97">
        <v>0</v>
      </c>
      <c r="AC97">
        <v>0.07</v>
      </c>
      <c r="AD97">
        <v>9.02</v>
      </c>
      <c r="AE97">
        <v>8.02</v>
      </c>
      <c r="AF97" s="22" t="s">
        <v>53</v>
      </c>
      <c r="AG97" s="22" t="s">
        <v>266</v>
      </c>
      <c r="AH97" s="22" t="s">
        <v>267</v>
      </c>
      <c r="AI97" s="22" t="s">
        <v>268</v>
      </c>
      <c r="AJ97">
        <v>8</v>
      </c>
      <c r="AK97">
        <v>1</v>
      </c>
      <c r="AL97">
        <v>4</v>
      </c>
      <c r="AM97">
        <v>9</v>
      </c>
      <c r="AN97" s="22">
        <v>0</v>
      </c>
      <c r="AO97" s="22">
        <v>0</v>
      </c>
      <c r="AP97" s="22">
        <v>0</v>
      </c>
      <c r="AQ97" s="22">
        <v>0</v>
      </c>
      <c r="AR97" s="35">
        <v>0</v>
      </c>
      <c r="AS97" s="35">
        <v>0</v>
      </c>
      <c r="AT97" s="35">
        <v>7</v>
      </c>
      <c r="AU97" s="31" t="str">
        <f t="shared" si="5"/>
        <v>库存为7</v>
      </c>
      <c r="AV97" s="36" t="str">
        <f>IFERROR(时间!$B$4+AU97,"上周无销量")</f>
        <v>上周无销量</v>
      </c>
    </row>
    <row r="98" spans="1:48">
      <c r="A98" s="20" t="s">
        <v>269</v>
      </c>
      <c r="B98" t="s">
        <v>270</v>
      </c>
      <c r="C98" t="s">
        <v>253</v>
      </c>
      <c r="D98" s="31">
        <v>0</v>
      </c>
      <c r="E98" s="31">
        <v>0</v>
      </c>
      <c r="F98" s="31">
        <v>0</v>
      </c>
      <c r="G98" s="31">
        <v>0</v>
      </c>
      <c r="H98" s="32">
        <v>0</v>
      </c>
      <c r="I98">
        <v>7</v>
      </c>
      <c r="J98" s="33">
        <v>0</v>
      </c>
      <c r="K98" s="33">
        <v>0</v>
      </c>
      <c r="L98" s="33">
        <v>0</v>
      </c>
      <c r="M98">
        <v>7</v>
      </c>
      <c r="N98">
        <v>0</v>
      </c>
      <c r="O98">
        <v>0</v>
      </c>
      <c r="P98">
        <v>34</v>
      </c>
      <c r="Q98">
        <v>39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s="22">
        <v>0</v>
      </c>
      <c r="Y98" s="22">
        <v>0</v>
      </c>
      <c r="Z98" s="22" t="s">
        <v>53</v>
      </c>
      <c r="AA98" s="22" t="s">
        <v>53</v>
      </c>
      <c r="AB98">
        <v>0</v>
      </c>
      <c r="AC98">
        <v>0</v>
      </c>
      <c r="AD98">
        <v>0</v>
      </c>
      <c r="AE98">
        <v>0</v>
      </c>
      <c r="AF98" s="22" t="s">
        <v>53</v>
      </c>
      <c r="AG98" s="22" t="s">
        <v>53</v>
      </c>
      <c r="AH98" s="22" t="s">
        <v>53</v>
      </c>
      <c r="AI98" s="22" t="s">
        <v>53</v>
      </c>
      <c r="AJ98">
        <v>10</v>
      </c>
      <c r="AK98">
        <v>3</v>
      </c>
      <c r="AL98">
        <v>4</v>
      </c>
      <c r="AM98">
        <v>4</v>
      </c>
      <c r="AN98" s="22">
        <v>0</v>
      </c>
      <c r="AO98" s="22">
        <v>0</v>
      </c>
      <c r="AP98" s="22">
        <v>0</v>
      </c>
      <c r="AQ98" s="22">
        <v>0</v>
      </c>
      <c r="AR98" s="35">
        <v>0</v>
      </c>
      <c r="AS98" s="35">
        <v>0</v>
      </c>
      <c r="AT98" s="35">
        <v>7</v>
      </c>
      <c r="AU98" s="31" t="str">
        <f t="shared" si="5"/>
        <v>库存为7</v>
      </c>
      <c r="AV98" s="36" t="str">
        <f>IFERROR(时间!$B$4+AU98,"上周无销量")</f>
        <v>上周无销量</v>
      </c>
    </row>
    <row r="99" spans="1:48">
      <c r="A99" s="20" t="s">
        <v>271</v>
      </c>
      <c r="B99" t="s">
        <v>272</v>
      </c>
      <c r="C99" t="s">
        <v>253</v>
      </c>
      <c r="D99" s="31">
        <v>0</v>
      </c>
      <c r="E99" s="31">
        <v>0</v>
      </c>
      <c r="F99" s="31">
        <v>1</v>
      </c>
      <c r="G99" s="31">
        <v>0</v>
      </c>
      <c r="H99" s="32">
        <v>15</v>
      </c>
      <c r="I99">
        <v>18</v>
      </c>
      <c r="J99" s="33">
        <v>0</v>
      </c>
      <c r="K99" s="33">
        <v>0</v>
      </c>
      <c r="L99" s="33">
        <v>0</v>
      </c>
      <c r="M99">
        <v>18</v>
      </c>
      <c r="N99">
        <v>0</v>
      </c>
      <c r="O99">
        <v>0</v>
      </c>
      <c r="P99">
        <v>2324</v>
      </c>
      <c r="Q99">
        <v>123</v>
      </c>
      <c r="R99">
        <v>0</v>
      </c>
      <c r="S99">
        <v>0</v>
      </c>
      <c r="T99">
        <v>1</v>
      </c>
      <c r="U99">
        <v>2</v>
      </c>
      <c r="V99">
        <v>0</v>
      </c>
      <c r="W99">
        <v>0</v>
      </c>
      <c r="X99" s="22">
        <v>0.000430292598967298</v>
      </c>
      <c r="Y99" s="22">
        <v>0.016260162601626</v>
      </c>
      <c r="Z99" s="22" t="s">
        <v>53</v>
      </c>
      <c r="AA99" s="22" t="s">
        <v>53</v>
      </c>
      <c r="AB99">
        <v>0.08</v>
      </c>
      <c r="AC99">
        <v>1.01</v>
      </c>
      <c r="AD99">
        <v>0</v>
      </c>
      <c r="AE99">
        <v>0</v>
      </c>
      <c r="AF99" s="22" t="s">
        <v>273</v>
      </c>
      <c r="AG99" s="22" t="s">
        <v>274</v>
      </c>
      <c r="AH99" s="22" t="s">
        <v>53</v>
      </c>
      <c r="AI99" s="22" t="s">
        <v>53</v>
      </c>
      <c r="AJ99">
        <v>11</v>
      </c>
      <c r="AK99">
        <v>4</v>
      </c>
      <c r="AL99">
        <v>14</v>
      </c>
      <c r="AM99">
        <v>0</v>
      </c>
      <c r="AN99" s="22">
        <v>0</v>
      </c>
      <c r="AO99" s="22">
        <v>0</v>
      </c>
      <c r="AP99" s="22">
        <v>0.0714285714285714</v>
      </c>
      <c r="AQ99" s="22" t="s">
        <v>53</v>
      </c>
      <c r="AR99" s="35">
        <v>0</v>
      </c>
      <c r="AS99" s="35">
        <v>0</v>
      </c>
      <c r="AT99" s="35">
        <v>18</v>
      </c>
      <c r="AU99" s="31" t="str">
        <f t="shared" si="5"/>
        <v>库存为18</v>
      </c>
      <c r="AV99" s="36" t="str">
        <f>IFERROR(时间!$B$4+AU99,"上周无销量")</f>
        <v>上周无销量</v>
      </c>
    </row>
    <row r="100" spans="1:48">
      <c r="A100" s="20" t="s">
        <v>275</v>
      </c>
      <c r="B100" t="s">
        <v>276</v>
      </c>
      <c r="C100" t="s">
        <v>253</v>
      </c>
      <c r="D100" s="31">
        <v>0</v>
      </c>
      <c r="E100" s="31">
        <v>0</v>
      </c>
      <c r="F100" s="31">
        <v>0</v>
      </c>
      <c r="G100" s="31">
        <v>0</v>
      </c>
      <c r="H100" s="32">
        <v>0</v>
      </c>
      <c r="I100">
        <v>5</v>
      </c>
      <c r="J100" s="33">
        <v>0</v>
      </c>
      <c r="K100" s="33">
        <v>0</v>
      </c>
      <c r="L100" s="33">
        <v>0</v>
      </c>
      <c r="M100">
        <v>5</v>
      </c>
      <c r="N100">
        <v>0</v>
      </c>
      <c r="O100">
        <v>0</v>
      </c>
      <c r="P100" t="s">
        <v>53</v>
      </c>
      <c r="Q100" t="s">
        <v>53</v>
      </c>
      <c r="R100" t="s">
        <v>53</v>
      </c>
      <c r="S100" t="s">
        <v>53</v>
      </c>
      <c r="T100" t="s">
        <v>53</v>
      </c>
      <c r="U100" t="s">
        <v>53</v>
      </c>
      <c r="V100" t="s">
        <v>53</v>
      </c>
      <c r="W100" t="s">
        <v>53</v>
      </c>
      <c r="X100" s="22" t="s">
        <v>53</v>
      </c>
      <c r="Y100" s="22" t="s">
        <v>53</v>
      </c>
      <c r="Z100" s="22" t="s">
        <v>53</v>
      </c>
      <c r="AA100" s="22" t="s">
        <v>53</v>
      </c>
      <c r="AB100" t="s">
        <v>53</v>
      </c>
      <c r="AC100" t="s">
        <v>53</v>
      </c>
      <c r="AD100" t="s">
        <v>53</v>
      </c>
      <c r="AE100" t="s">
        <v>53</v>
      </c>
      <c r="AF100" s="22" t="s">
        <v>53</v>
      </c>
      <c r="AG100" s="22" t="s">
        <v>53</v>
      </c>
      <c r="AH100" s="22" t="s">
        <v>53</v>
      </c>
      <c r="AI100" s="22" t="s">
        <v>53</v>
      </c>
      <c r="AJ100">
        <v>7</v>
      </c>
      <c r="AK100">
        <v>6</v>
      </c>
      <c r="AL100">
        <v>4</v>
      </c>
      <c r="AM100">
        <v>8</v>
      </c>
      <c r="AN100" s="22">
        <v>0</v>
      </c>
      <c r="AO100" s="22">
        <v>0</v>
      </c>
      <c r="AP100" s="22">
        <v>0</v>
      </c>
      <c r="AQ100" s="22">
        <v>0</v>
      </c>
      <c r="AR100" s="35">
        <v>0</v>
      </c>
      <c r="AS100" s="35">
        <v>0</v>
      </c>
      <c r="AT100" s="35">
        <v>5</v>
      </c>
      <c r="AU100" s="31" t="str">
        <f t="shared" si="5"/>
        <v>库存为5</v>
      </c>
      <c r="AV100" s="36" t="str">
        <f>IFERROR(时间!$B$4+AU100,"上周无销量")</f>
        <v>上周无销量</v>
      </c>
    </row>
    <row r="101" spans="1:48">
      <c r="A101" s="20" t="s">
        <v>277</v>
      </c>
      <c r="B101" t="s">
        <v>278</v>
      </c>
      <c r="C101" t="s">
        <v>279</v>
      </c>
      <c r="D101" s="31">
        <v>0</v>
      </c>
      <c r="E101" s="31">
        <v>0</v>
      </c>
      <c r="F101" s="31">
        <v>0</v>
      </c>
      <c r="G101" s="31">
        <v>0</v>
      </c>
      <c r="H101" s="32">
        <v>0</v>
      </c>
      <c r="I101">
        <v>3</v>
      </c>
      <c r="J101" s="33">
        <v>0</v>
      </c>
      <c r="K101" s="33">
        <v>0</v>
      </c>
      <c r="L101" s="33">
        <v>0</v>
      </c>
      <c r="M101">
        <v>3</v>
      </c>
      <c r="N101">
        <v>0</v>
      </c>
      <c r="O101">
        <v>0</v>
      </c>
      <c r="P101" t="s">
        <v>53</v>
      </c>
      <c r="Q101" t="s">
        <v>53</v>
      </c>
      <c r="R101" t="s">
        <v>53</v>
      </c>
      <c r="S101" t="s">
        <v>53</v>
      </c>
      <c r="T101" t="s">
        <v>53</v>
      </c>
      <c r="U101" t="s">
        <v>53</v>
      </c>
      <c r="V101" t="s">
        <v>53</v>
      </c>
      <c r="W101" t="s">
        <v>53</v>
      </c>
      <c r="X101" s="22" t="s">
        <v>53</v>
      </c>
      <c r="Y101" s="22" t="s">
        <v>53</v>
      </c>
      <c r="Z101" s="22" t="s">
        <v>53</v>
      </c>
      <c r="AA101" s="22" t="s">
        <v>53</v>
      </c>
      <c r="AB101" t="s">
        <v>53</v>
      </c>
      <c r="AC101" t="s">
        <v>53</v>
      </c>
      <c r="AD101" t="s">
        <v>53</v>
      </c>
      <c r="AE101" t="s">
        <v>53</v>
      </c>
      <c r="AF101" s="22" t="s">
        <v>53</v>
      </c>
      <c r="AG101" s="22" t="s">
        <v>53</v>
      </c>
      <c r="AH101" s="22" t="s">
        <v>53</v>
      </c>
      <c r="AI101" s="22" t="s">
        <v>53</v>
      </c>
      <c r="AJ101">
        <v>8</v>
      </c>
      <c r="AK101">
        <v>5</v>
      </c>
      <c r="AL101">
        <v>4</v>
      </c>
      <c r="AM101">
        <v>4</v>
      </c>
      <c r="AN101" s="22">
        <v>0</v>
      </c>
      <c r="AO101" s="22">
        <v>0</v>
      </c>
      <c r="AP101" s="22">
        <v>0</v>
      </c>
      <c r="AQ101" s="22">
        <v>0</v>
      </c>
      <c r="AR101" s="35">
        <v>0</v>
      </c>
      <c r="AS101" s="35">
        <v>0</v>
      </c>
      <c r="AT101" s="35">
        <v>3</v>
      </c>
      <c r="AU101" s="31" t="str">
        <f t="shared" si="5"/>
        <v>库存为3</v>
      </c>
      <c r="AV101" s="36" t="str">
        <f>IFERROR(时间!$B$4+AU101,"上周无销量")</f>
        <v>上周无销量</v>
      </c>
    </row>
    <row r="102" spans="1:48">
      <c r="A102" s="20" t="s">
        <v>280</v>
      </c>
      <c r="B102" t="s">
        <v>281</v>
      </c>
      <c r="C102" t="s">
        <v>282</v>
      </c>
      <c r="D102" s="31">
        <v>0</v>
      </c>
      <c r="E102" s="31">
        <v>0</v>
      </c>
      <c r="F102" s="31">
        <v>0</v>
      </c>
      <c r="G102" s="31">
        <v>1</v>
      </c>
      <c r="H102" s="32">
        <v>9.99</v>
      </c>
      <c r="I102">
        <v>0</v>
      </c>
      <c r="J102" s="33">
        <v>0</v>
      </c>
      <c r="K102" s="33">
        <v>0</v>
      </c>
      <c r="L102" s="33">
        <v>0</v>
      </c>
      <c r="M102">
        <v>0</v>
      </c>
      <c r="N102">
        <v>0</v>
      </c>
      <c r="O102">
        <v>0</v>
      </c>
      <c r="P102">
        <v>0</v>
      </c>
      <c r="Q102">
        <v>24</v>
      </c>
      <c r="R102">
        <v>45521</v>
      </c>
      <c r="S102">
        <v>0</v>
      </c>
      <c r="T102">
        <v>0</v>
      </c>
      <c r="U102">
        <v>0</v>
      </c>
      <c r="V102">
        <v>126</v>
      </c>
      <c r="W102">
        <v>0</v>
      </c>
      <c r="X102" s="22" t="s">
        <v>53</v>
      </c>
      <c r="Y102" s="22">
        <v>0</v>
      </c>
      <c r="Z102" s="22">
        <v>0.00276795325234507</v>
      </c>
      <c r="AA102" s="22" t="s">
        <v>53</v>
      </c>
      <c r="AB102">
        <v>0</v>
      </c>
      <c r="AC102">
        <v>0</v>
      </c>
      <c r="AD102">
        <v>74.98</v>
      </c>
      <c r="AE102">
        <v>0</v>
      </c>
      <c r="AF102" s="22" t="s">
        <v>53</v>
      </c>
      <c r="AG102" s="22" t="s">
        <v>53</v>
      </c>
      <c r="AH102" s="22" t="s">
        <v>283</v>
      </c>
      <c r="AI102" s="22" t="s">
        <v>53</v>
      </c>
      <c r="AJ102">
        <v>0</v>
      </c>
      <c r="AK102">
        <v>0</v>
      </c>
      <c r="AL102">
        <v>8</v>
      </c>
      <c r="AM102">
        <v>55</v>
      </c>
      <c r="AN102" s="22" t="s">
        <v>53</v>
      </c>
      <c r="AO102" s="22" t="s">
        <v>53</v>
      </c>
      <c r="AP102" s="22">
        <v>0</v>
      </c>
      <c r="AQ102" s="22">
        <v>0.0181818181818182</v>
      </c>
      <c r="AR102" s="35">
        <v>0</v>
      </c>
      <c r="AS102" s="35">
        <v>0</v>
      </c>
      <c r="AT102" s="35">
        <v>0</v>
      </c>
      <c r="AU102" s="31" t="str">
        <f t="shared" si="5"/>
        <v>库存为0</v>
      </c>
      <c r="AV102" s="36" t="str">
        <f>IFERROR(时间!$B$4+AU102,"上周无销量")</f>
        <v>上周无销量</v>
      </c>
    </row>
    <row r="103" spans="1:48">
      <c r="A103" s="20" t="s">
        <v>284</v>
      </c>
      <c r="B103" t="s">
        <v>285</v>
      </c>
      <c r="C103" t="s">
        <v>282</v>
      </c>
      <c r="D103" s="31">
        <v>0</v>
      </c>
      <c r="E103" s="31">
        <v>0</v>
      </c>
      <c r="F103" s="31">
        <v>0</v>
      </c>
      <c r="G103" s="31">
        <v>1</v>
      </c>
      <c r="H103" s="32">
        <v>9.99</v>
      </c>
      <c r="I103">
        <v>0</v>
      </c>
      <c r="J103" s="33">
        <v>0</v>
      </c>
      <c r="K103" s="33">
        <v>0</v>
      </c>
      <c r="L103" s="33">
        <v>0</v>
      </c>
      <c r="M103">
        <v>0</v>
      </c>
      <c r="N103">
        <v>0</v>
      </c>
      <c r="O103">
        <v>0</v>
      </c>
      <c r="P103" t="s">
        <v>53</v>
      </c>
      <c r="Q103" t="s">
        <v>53</v>
      </c>
      <c r="R103" t="s">
        <v>53</v>
      </c>
      <c r="S103" t="s">
        <v>53</v>
      </c>
      <c r="T103" t="s">
        <v>53</v>
      </c>
      <c r="U103" t="s">
        <v>53</v>
      </c>
      <c r="V103" t="s">
        <v>53</v>
      </c>
      <c r="W103" t="s">
        <v>53</v>
      </c>
      <c r="X103" s="22" t="s">
        <v>53</v>
      </c>
      <c r="Y103" s="22" t="s">
        <v>53</v>
      </c>
      <c r="Z103" s="22" t="s">
        <v>53</v>
      </c>
      <c r="AA103" s="22" t="s">
        <v>53</v>
      </c>
      <c r="AB103" t="s">
        <v>53</v>
      </c>
      <c r="AC103" t="s">
        <v>53</v>
      </c>
      <c r="AD103" t="s">
        <v>53</v>
      </c>
      <c r="AE103" t="s">
        <v>53</v>
      </c>
      <c r="AF103" s="22" t="s">
        <v>53</v>
      </c>
      <c r="AG103" s="22" t="s">
        <v>53</v>
      </c>
      <c r="AH103" s="22" t="s">
        <v>53</v>
      </c>
      <c r="AI103" s="22" t="s">
        <v>53</v>
      </c>
      <c r="AJ103">
        <v>0</v>
      </c>
      <c r="AK103">
        <v>0</v>
      </c>
      <c r="AL103">
        <v>12</v>
      </c>
      <c r="AM103">
        <v>9</v>
      </c>
      <c r="AN103" s="22" t="s">
        <v>53</v>
      </c>
      <c r="AO103" s="22" t="s">
        <v>53</v>
      </c>
      <c r="AP103" s="22">
        <v>0</v>
      </c>
      <c r="AQ103" s="22">
        <v>0.111111111111111</v>
      </c>
      <c r="AR103" s="35">
        <v>0</v>
      </c>
      <c r="AS103" s="35">
        <v>0</v>
      </c>
      <c r="AT103" s="35">
        <v>0</v>
      </c>
      <c r="AU103" s="31" t="str">
        <f t="shared" si="5"/>
        <v>库存为0</v>
      </c>
      <c r="AV103" s="36" t="str">
        <f>IFERROR(时间!$B$4+AU103,"上周无销量")</f>
        <v>上周无销量</v>
      </c>
    </row>
    <row r="104" spans="1:48">
      <c r="A104" s="20" t="s">
        <v>286</v>
      </c>
      <c r="B104" t="s">
        <v>287</v>
      </c>
      <c r="C104" t="s">
        <v>282</v>
      </c>
      <c r="D104" s="31">
        <v>0</v>
      </c>
      <c r="E104" s="31">
        <v>0</v>
      </c>
      <c r="F104" s="31">
        <v>0</v>
      </c>
      <c r="G104" s="31">
        <v>0</v>
      </c>
      <c r="H104" s="32">
        <v>0</v>
      </c>
      <c r="I104">
        <v>0</v>
      </c>
      <c r="J104" s="33">
        <v>0</v>
      </c>
      <c r="K104" s="33">
        <v>0</v>
      </c>
      <c r="L104" s="33">
        <v>0</v>
      </c>
      <c r="M104">
        <v>0</v>
      </c>
      <c r="N104">
        <v>0</v>
      </c>
      <c r="O104">
        <v>0</v>
      </c>
      <c r="P104" t="s">
        <v>53</v>
      </c>
      <c r="Q104" t="s">
        <v>53</v>
      </c>
      <c r="R104" t="s">
        <v>53</v>
      </c>
      <c r="S104" t="s">
        <v>53</v>
      </c>
      <c r="T104" t="s">
        <v>53</v>
      </c>
      <c r="U104" t="s">
        <v>53</v>
      </c>
      <c r="V104" t="s">
        <v>53</v>
      </c>
      <c r="W104" t="s">
        <v>53</v>
      </c>
      <c r="X104" s="22" t="s">
        <v>53</v>
      </c>
      <c r="Y104" s="22" t="s">
        <v>53</v>
      </c>
      <c r="Z104" s="22" t="s">
        <v>53</v>
      </c>
      <c r="AA104" s="22" t="s">
        <v>53</v>
      </c>
      <c r="AB104" t="s">
        <v>53</v>
      </c>
      <c r="AC104" t="s">
        <v>53</v>
      </c>
      <c r="AD104" t="s">
        <v>53</v>
      </c>
      <c r="AE104" t="s">
        <v>53</v>
      </c>
      <c r="AF104" s="22" t="s">
        <v>53</v>
      </c>
      <c r="AG104" s="22" t="s">
        <v>53</v>
      </c>
      <c r="AH104" s="22" t="s">
        <v>53</v>
      </c>
      <c r="AI104" s="22" t="s">
        <v>53</v>
      </c>
      <c r="AJ104">
        <v>0</v>
      </c>
      <c r="AK104">
        <v>0</v>
      </c>
      <c r="AL104">
        <v>6</v>
      </c>
      <c r="AM104">
        <v>9</v>
      </c>
      <c r="AN104" s="22" t="s">
        <v>53</v>
      </c>
      <c r="AO104" s="22" t="s">
        <v>53</v>
      </c>
      <c r="AP104" s="22">
        <v>0</v>
      </c>
      <c r="AQ104" s="22">
        <v>0</v>
      </c>
      <c r="AR104" s="35">
        <v>0</v>
      </c>
      <c r="AS104" s="35">
        <v>0</v>
      </c>
      <c r="AT104" s="35">
        <v>0</v>
      </c>
      <c r="AU104" s="31" t="str">
        <f t="shared" si="5"/>
        <v>库存为0</v>
      </c>
      <c r="AV104" s="36" t="str">
        <f>IFERROR(时间!$B$4+AU104,"上周无销量")</f>
        <v>上周无销量</v>
      </c>
    </row>
    <row r="105" spans="1:48">
      <c r="A105" s="20" t="s">
        <v>288</v>
      </c>
      <c r="B105" t="s">
        <v>289</v>
      </c>
      <c r="C105" t="s">
        <v>282</v>
      </c>
      <c r="D105" s="31">
        <v>0</v>
      </c>
      <c r="E105" s="31">
        <v>0</v>
      </c>
      <c r="F105" s="31">
        <v>1</v>
      </c>
      <c r="G105" s="31">
        <v>0</v>
      </c>
      <c r="H105" s="32">
        <v>9.99</v>
      </c>
      <c r="I105">
        <v>0</v>
      </c>
      <c r="J105" s="33">
        <v>0</v>
      </c>
      <c r="K105" s="33">
        <v>0</v>
      </c>
      <c r="L105" s="33">
        <v>0</v>
      </c>
      <c r="M105">
        <v>0</v>
      </c>
      <c r="N105">
        <v>0</v>
      </c>
      <c r="O105">
        <v>0</v>
      </c>
      <c r="P105" t="s">
        <v>53</v>
      </c>
      <c r="Q105" t="s">
        <v>53</v>
      </c>
      <c r="R105" t="s">
        <v>53</v>
      </c>
      <c r="S105" t="s">
        <v>53</v>
      </c>
      <c r="T105" t="s">
        <v>53</v>
      </c>
      <c r="U105" t="s">
        <v>53</v>
      </c>
      <c r="V105" t="s">
        <v>53</v>
      </c>
      <c r="W105" t="s">
        <v>53</v>
      </c>
      <c r="X105" s="22" t="s">
        <v>53</v>
      </c>
      <c r="Y105" s="22" t="s">
        <v>53</v>
      </c>
      <c r="Z105" s="22" t="s">
        <v>53</v>
      </c>
      <c r="AA105" s="22" t="s">
        <v>53</v>
      </c>
      <c r="AB105" t="s">
        <v>53</v>
      </c>
      <c r="AC105" t="s">
        <v>53</v>
      </c>
      <c r="AD105" t="s">
        <v>53</v>
      </c>
      <c r="AE105" t="s">
        <v>53</v>
      </c>
      <c r="AF105" s="22" t="s">
        <v>53</v>
      </c>
      <c r="AG105" s="22" t="s">
        <v>53</v>
      </c>
      <c r="AH105" s="22" t="s">
        <v>53</v>
      </c>
      <c r="AI105" s="22" t="s">
        <v>53</v>
      </c>
      <c r="AJ105">
        <v>0</v>
      </c>
      <c r="AK105">
        <v>1</v>
      </c>
      <c r="AL105">
        <v>5</v>
      </c>
      <c r="AM105">
        <v>10</v>
      </c>
      <c r="AN105" s="22" t="s">
        <v>53</v>
      </c>
      <c r="AO105" s="22">
        <v>0</v>
      </c>
      <c r="AP105" s="22">
        <v>0.2</v>
      </c>
      <c r="AQ105" s="22">
        <v>0</v>
      </c>
      <c r="AR105" s="35">
        <v>0</v>
      </c>
      <c r="AS105" s="35">
        <v>0</v>
      </c>
      <c r="AT105" s="35">
        <v>0</v>
      </c>
      <c r="AU105" s="31" t="str">
        <f t="shared" si="5"/>
        <v>库存为0</v>
      </c>
      <c r="AV105" s="36" t="str">
        <f>IFERROR(时间!$B$4+AU105,"上周无销量")</f>
        <v>上周无销量</v>
      </c>
    </row>
    <row r="106" spans="1:48">
      <c r="A106" s="20" t="s">
        <v>290</v>
      </c>
      <c r="B106" t="s">
        <v>291</v>
      </c>
      <c r="C106" t="s">
        <v>282</v>
      </c>
      <c r="D106" s="31">
        <v>0</v>
      </c>
      <c r="E106" s="31">
        <v>0</v>
      </c>
      <c r="F106" s="31">
        <v>0</v>
      </c>
      <c r="G106" s="31">
        <v>0</v>
      </c>
      <c r="H106" s="32">
        <v>0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 t="s">
        <v>53</v>
      </c>
      <c r="Q106" t="s">
        <v>53</v>
      </c>
      <c r="R106" t="s">
        <v>53</v>
      </c>
      <c r="S106" t="s">
        <v>53</v>
      </c>
      <c r="T106" t="s">
        <v>53</v>
      </c>
      <c r="U106" t="s">
        <v>53</v>
      </c>
      <c r="V106" t="s">
        <v>53</v>
      </c>
      <c r="W106" t="s">
        <v>53</v>
      </c>
      <c r="X106" s="22" t="s">
        <v>53</v>
      </c>
      <c r="Y106" s="22" t="s">
        <v>53</v>
      </c>
      <c r="Z106" s="22" t="s">
        <v>53</v>
      </c>
      <c r="AA106" s="22" t="s">
        <v>53</v>
      </c>
      <c r="AB106" t="s">
        <v>53</v>
      </c>
      <c r="AC106" t="s">
        <v>53</v>
      </c>
      <c r="AD106" t="s">
        <v>53</v>
      </c>
      <c r="AE106" t="s">
        <v>53</v>
      </c>
      <c r="AF106" s="22" t="s">
        <v>53</v>
      </c>
      <c r="AG106" s="22" t="s">
        <v>53</v>
      </c>
      <c r="AH106" s="22" t="s">
        <v>53</v>
      </c>
      <c r="AI106" s="22" t="s">
        <v>53</v>
      </c>
      <c r="AJ106">
        <v>0</v>
      </c>
      <c r="AK106">
        <v>1</v>
      </c>
      <c r="AL106">
        <v>19</v>
      </c>
      <c r="AM106">
        <v>7</v>
      </c>
      <c r="AN106" s="22" t="s">
        <v>53</v>
      </c>
      <c r="AO106" s="22">
        <v>0</v>
      </c>
      <c r="AP106" s="22">
        <v>0</v>
      </c>
      <c r="AQ106" s="22">
        <v>0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20" t="s">
        <v>292</v>
      </c>
      <c r="B107" t="s">
        <v>293</v>
      </c>
      <c r="C107" t="s">
        <v>282</v>
      </c>
      <c r="D107" s="31">
        <v>0</v>
      </c>
      <c r="E107" s="31">
        <v>0</v>
      </c>
      <c r="F107" s="31">
        <v>0</v>
      </c>
      <c r="G107" s="31">
        <v>0</v>
      </c>
      <c r="H107" s="32">
        <v>0</v>
      </c>
      <c r="I107">
        <v>0</v>
      </c>
      <c r="J107" s="33">
        <v>0</v>
      </c>
      <c r="K107" s="33">
        <v>0</v>
      </c>
      <c r="L107" s="33">
        <v>0</v>
      </c>
      <c r="M107">
        <v>0</v>
      </c>
      <c r="N107">
        <v>0</v>
      </c>
      <c r="O107">
        <v>0</v>
      </c>
      <c r="P107" t="s">
        <v>53</v>
      </c>
      <c r="Q107" t="s">
        <v>53</v>
      </c>
      <c r="R107" t="s">
        <v>53</v>
      </c>
      <c r="S107" t="s">
        <v>53</v>
      </c>
      <c r="T107" t="s">
        <v>53</v>
      </c>
      <c r="U107" t="s">
        <v>53</v>
      </c>
      <c r="V107" t="s">
        <v>53</v>
      </c>
      <c r="W107" t="s">
        <v>53</v>
      </c>
      <c r="X107" s="22" t="s">
        <v>53</v>
      </c>
      <c r="Y107" s="22" t="s">
        <v>53</v>
      </c>
      <c r="Z107" s="22" t="s">
        <v>53</v>
      </c>
      <c r="AA107" s="22" t="s">
        <v>53</v>
      </c>
      <c r="AB107" t="s">
        <v>53</v>
      </c>
      <c r="AC107" t="s">
        <v>53</v>
      </c>
      <c r="AD107" t="s">
        <v>53</v>
      </c>
      <c r="AE107" t="s">
        <v>53</v>
      </c>
      <c r="AF107" s="22" t="s">
        <v>53</v>
      </c>
      <c r="AG107" s="22" t="s">
        <v>53</v>
      </c>
      <c r="AH107" s="22" t="s">
        <v>53</v>
      </c>
      <c r="AI107" s="22" t="s">
        <v>53</v>
      </c>
      <c r="AJ107">
        <v>0</v>
      </c>
      <c r="AK107">
        <v>1</v>
      </c>
      <c r="AL107">
        <v>6</v>
      </c>
      <c r="AM107">
        <v>11</v>
      </c>
      <c r="AN107" s="22" t="s">
        <v>53</v>
      </c>
      <c r="AO107" s="22">
        <v>0</v>
      </c>
      <c r="AP107" s="22">
        <v>0</v>
      </c>
      <c r="AQ107" s="22">
        <v>0</v>
      </c>
      <c r="AR107" s="35">
        <v>0</v>
      </c>
      <c r="AS107" s="35">
        <v>0</v>
      </c>
      <c r="AT107" s="35">
        <v>0</v>
      </c>
      <c r="AU107" s="31" t="str">
        <f t="shared" si="5"/>
        <v>库存为0</v>
      </c>
      <c r="AV107" s="36" t="str">
        <f>IFERROR(时间!$B$4+AU107,"上周无销量")</f>
        <v>上周无销量</v>
      </c>
    </row>
    <row r="108" spans="1:48">
      <c r="A108" s="20" t="s">
        <v>294</v>
      </c>
      <c r="B108" t="s">
        <v>295</v>
      </c>
      <c r="C108" t="s">
        <v>282</v>
      </c>
      <c r="D108" s="31">
        <v>0</v>
      </c>
      <c r="E108" s="31">
        <v>0</v>
      </c>
      <c r="F108" s="31">
        <v>0</v>
      </c>
      <c r="G108" s="31">
        <v>0</v>
      </c>
      <c r="H108" s="32">
        <v>0</v>
      </c>
      <c r="I108">
        <v>0</v>
      </c>
      <c r="J108" s="33">
        <v>0</v>
      </c>
      <c r="K108" s="33">
        <v>0</v>
      </c>
      <c r="L108" s="33">
        <v>0</v>
      </c>
      <c r="M108">
        <v>0</v>
      </c>
      <c r="N108">
        <v>0</v>
      </c>
      <c r="O108">
        <v>0</v>
      </c>
      <c r="P108" t="s">
        <v>53</v>
      </c>
      <c r="Q108" t="s">
        <v>53</v>
      </c>
      <c r="R108" t="s">
        <v>53</v>
      </c>
      <c r="S108" t="s">
        <v>53</v>
      </c>
      <c r="T108" t="s">
        <v>53</v>
      </c>
      <c r="U108" t="s">
        <v>53</v>
      </c>
      <c r="V108" t="s">
        <v>53</v>
      </c>
      <c r="W108" t="s">
        <v>53</v>
      </c>
      <c r="X108" s="22" t="s">
        <v>53</v>
      </c>
      <c r="Y108" s="22" t="s">
        <v>53</v>
      </c>
      <c r="Z108" s="22" t="s">
        <v>53</v>
      </c>
      <c r="AA108" s="22" t="s">
        <v>53</v>
      </c>
      <c r="AB108" t="s">
        <v>53</v>
      </c>
      <c r="AC108" t="s">
        <v>53</v>
      </c>
      <c r="AD108" t="s">
        <v>53</v>
      </c>
      <c r="AE108" t="s">
        <v>53</v>
      </c>
      <c r="AF108" s="22" t="s">
        <v>53</v>
      </c>
      <c r="AG108" s="22" t="s">
        <v>53</v>
      </c>
      <c r="AH108" s="22" t="s">
        <v>53</v>
      </c>
      <c r="AI108" s="22" t="s">
        <v>53</v>
      </c>
      <c r="AJ108">
        <v>0</v>
      </c>
      <c r="AK108">
        <v>0</v>
      </c>
      <c r="AL108">
        <v>3</v>
      </c>
      <c r="AM108">
        <v>7</v>
      </c>
      <c r="AN108" s="22" t="s">
        <v>53</v>
      </c>
      <c r="AO108" s="22" t="s">
        <v>53</v>
      </c>
      <c r="AP108" s="22">
        <v>0</v>
      </c>
      <c r="AQ108" s="22">
        <v>0</v>
      </c>
      <c r="AR108" s="35">
        <v>0</v>
      </c>
      <c r="AS108" s="35">
        <v>0</v>
      </c>
      <c r="AT108" s="35">
        <v>0</v>
      </c>
      <c r="AU108" s="31" t="str">
        <f t="shared" si="5"/>
        <v>库存为0</v>
      </c>
      <c r="AV108" s="36" t="str">
        <f>IFERROR(时间!$B$4+AU108,"上周无销量")</f>
        <v>上周无销量</v>
      </c>
    </row>
    <row r="109" spans="1:48">
      <c r="A109" s="20" t="s">
        <v>296</v>
      </c>
      <c r="B109" t="s">
        <v>297</v>
      </c>
      <c r="C109" t="s">
        <v>282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0</v>
      </c>
      <c r="J109" s="33">
        <v>0</v>
      </c>
      <c r="K109" s="33">
        <v>0</v>
      </c>
      <c r="L109" s="33">
        <v>0</v>
      </c>
      <c r="M109">
        <v>0</v>
      </c>
      <c r="N109">
        <v>0</v>
      </c>
      <c r="O109">
        <v>0</v>
      </c>
      <c r="P109">
        <v>0</v>
      </c>
      <c r="Q109">
        <v>4</v>
      </c>
      <c r="R109">
        <v>17380</v>
      </c>
      <c r="S109">
        <v>0</v>
      </c>
      <c r="T109">
        <v>0</v>
      </c>
      <c r="U109">
        <v>0</v>
      </c>
      <c r="V109">
        <v>85</v>
      </c>
      <c r="W109">
        <v>0</v>
      </c>
      <c r="X109" s="22" t="s">
        <v>53</v>
      </c>
      <c r="Y109" s="22">
        <v>0</v>
      </c>
      <c r="Z109" s="22">
        <v>0.00489067894131185</v>
      </c>
      <c r="AA109" s="22" t="s">
        <v>53</v>
      </c>
      <c r="AB109">
        <v>0</v>
      </c>
      <c r="AC109">
        <v>0</v>
      </c>
      <c r="AD109">
        <v>47.09</v>
      </c>
      <c r="AE109">
        <v>0</v>
      </c>
      <c r="AF109" s="22" t="s">
        <v>53</v>
      </c>
      <c r="AG109" s="22" t="s">
        <v>53</v>
      </c>
      <c r="AH109" s="22" t="s">
        <v>298</v>
      </c>
      <c r="AI109" s="22" t="s">
        <v>53</v>
      </c>
      <c r="AJ109">
        <v>0</v>
      </c>
      <c r="AK109">
        <v>1</v>
      </c>
      <c r="AL109">
        <v>7</v>
      </c>
      <c r="AM109">
        <v>48</v>
      </c>
      <c r="AN109" s="22" t="s">
        <v>53</v>
      </c>
      <c r="AO109" s="22">
        <v>0</v>
      </c>
      <c r="AP109" s="22">
        <v>0</v>
      </c>
      <c r="AQ109" s="22">
        <v>0</v>
      </c>
      <c r="AR109" s="35">
        <v>0</v>
      </c>
      <c r="AS109" s="35">
        <v>0</v>
      </c>
      <c r="AT109" s="35">
        <v>0</v>
      </c>
      <c r="AU109" s="31" t="str">
        <f t="shared" si="5"/>
        <v>库存为0</v>
      </c>
      <c r="AV109" s="36" t="str">
        <f>IFERROR(时间!$B$4+AU109,"上周无销量")</f>
        <v>上周无销量</v>
      </c>
    </row>
    <row r="110" spans="1:48">
      <c r="A110" s="20" t="s">
        <v>299</v>
      </c>
      <c r="B110" t="s">
        <v>300</v>
      </c>
      <c r="C110" t="s">
        <v>282</v>
      </c>
      <c r="D110" s="31">
        <v>0</v>
      </c>
      <c r="E110" s="31">
        <v>0</v>
      </c>
      <c r="F110" s="31">
        <v>0</v>
      </c>
      <c r="G110" s="31">
        <v>0</v>
      </c>
      <c r="H110" s="32">
        <v>0</v>
      </c>
      <c r="I110">
        <v>0</v>
      </c>
      <c r="J110" s="33">
        <v>0</v>
      </c>
      <c r="K110" s="33">
        <v>0</v>
      </c>
      <c r="L110" s="33">
        <v>0</v>
      </c>
      <c r="M110">
        <v>0</v>
      </c>
      <c r="N110">
        <v>0</v>
      </c>
      <c r="O110">
        <v>0</v>
      </c>
      <c r="P110" t="s">
        <v>53</v>
      </c>
      <c r="Q110" t="s">
        <v>53</v>
      </c>
      <c r="R110" t="s">
        <v>53</v>
      </c>
      <c r="S110" t="s">
        <v>53</v>
      </c>
      <c r="T110" t="s">
        <v>53</v>
      </c>
      <c r="U110" t="s">
        <v>53</v>
      </c>
      <c r="V110" t="s">
        <v>53</v>
      </c>
      <c r="W110" t="s">
        <v>53</v>
      </c>
      <c r="X110" s="22" t="s">
        <v>53</v>
      </c>
      <c r="Y110" s="22" t="s">
        <v>53</v>
      </c>
      <c r="Z110" s="22" t="s">
        <v>53</v>
      </c>
      <c r="AA110" s="22" t="s">
        <v>53</v>
      </c>
      <c r="AB110" t="s">
        <v>53</v>
      </c>
      <c r="AC110" t="s">
        <v>53</v>
      </c>
      <c r="AD110" t="s">
        <v>53</v>
      </c>
      <c r="AE110" t="s">
        <v>53</v>
      </c>
      <c r="AF110" s="22" t="s">
        <v>53</v>
      </c>
      <c r="AG110" s="22" t="s">
        <v>53</v>
      </c>
      <c r="AH110" s="22" t="s">
        <v>53</v>
      </c>
      <c r="AI110" s="22" t="s">
        <v>53</v>
      </c>
      <c r="AJ110">
        <v>0</v>
      </c>
      <c r="AK110">
        <v>0</v>
      </c>
      <c r="AL110">
        <v>0</v>
      </c>
      <c r="AM110">
        <v>0</v>
      </c>
      <c r="AN110" s="22" t="s">
        <v>53</v>
      </c>
      <c r="AO110" s="22" t="s">
        <v>53</v>
      </c>
      <c r="AP110" s="22" t="s">
        <v>53</v>
      </c>
      <c r="AQ110" s="22" t="s">
        <v>53</v>
      </c>
      <c r="AR110" s="35">
        <v>0</v>
      </c>
      <c r="AS110" s="35">
        <v>0</v>
      </c>
      <c r="AT110" s="35">
        <v>0</v>
      </c>
      <c r="AU110" s="31" t="str">
        <f t="shared" si="5"/>
        <v>库存为0</v>
      </c>
      <c r="AV110" s="36" t="str">
        <f>IFERROR(时间!$B$4+AU110,"上周无销量")</f>
        <v>上周无销量</v>
      </c>
    </row>
    <row r="111" spans="1:48">
      <c r="A111" s="20" t="s">
        <v>301</v>
      </c>
      <c r="B111" t="s">
        <v>302</v>
      </c>
      <c r="C111" t="s">
        <v>282</v>
      </c>
      <c r="D111" s="31">
        <v>0</v>
      </c>
      <c r="E111" s="31">
        <v>0</v>
      </c>
      <c r="F111" s="31">
        <v>0</v>
      </c>
      <c r="G111" s="31">
        <v>1</v>
      </c>
      <c r="H111" s="32">
        <v>9.99</v>
      </c>
      <c r="I111">
        <v>0</v>
      </c>
      <c r="J111" s="33">
        <v>0</v>
      </c>
      <c r="K111" s="33">
        <v>0</v>
      </c>
      <c r="L111" s="33">
        <v>0</v>
      </c>
      <c r="M111">
        <v>0</v>
      </c>
      <c r="N111">
        <v>0</v>
      </c>
      <c r="O111">
        <v>0</v>
      </c>
      <c r="P111" t="s">
        <v>53</v>
      </c>
      <c r="Q111" t="s">
        <v>53</v>
      </c>
      <c r="R111" t="s">
        <v>53</v>
      </c>
      <c r="S111" t="s">
        <v>53</v>
      </c>
      <c r="T111" t="s">
        <v>53</v>
      </c>
      <c r="U111" t="s">
        <v>53</v>
      </c>
      <c r="V111" t="s">
        <v>53</v>
      </c>
      <c r="W111" t="s">
        <v>53</v>
      </c>
      <c r="X111" s="22" t="s">
        <v>53</v>
      </c>
      <c r="Y111" s="22" t="s">
        <v>53</v>
      </c>
      <c r="Z111" s="22" t="s">
        <v>53</v>
      </c>
      <c r="AA111" s="22" t="s">
        <v>53</v>
      </c>
      <c r="AB111" t="s">
        <v>53</v>
      </c>
      <c r="AC111" t="s">
        <v>53</v>
      </c>
      <c r="AD111" t="s">
        <v>53</v>
      </c>
      <c r="AE111" t="s">
        <v>53</v>
      </c>
      <c r="AF111" s="22" t="s">
        <v>53</v>
      </c>
      <c r="AG111" s="22" t="s">
        <v>53</v>
      </c>
      <c r="AH111" s="22" t="s">
        <v>53</v>
      </c>
      <c r="AI111" s="22" t="s">
        <v>53</v>
      </c>
      <c r="AJ111">
        <v>0</v>
      </c>
      <c r="AK111">
        <v>0</v>
      </c>
      <c r="AL111">
        <v>13</v>
      </c>
      <c r="AM111">
        <v>5</v>
      </c>
      <c r="AN111" s="22" t="s">
        <v>53</v>
      </c>
      <c r="AO111" s="22" t="s">
        <v>53</v>
      </c>
      <c r="AP111" s="22">
        <v>0</v>
      </c>
      <c r="AQ111" s="22">
        <v>0.2</v>
      </c>
      <c r="AR111" s="35">
        <v>0</v>
      </c>
      <c r="AS111" s="35">
        <v>0</v>
      </c>
      <c r="AT111" s="35">
        <v>0</v>
      </c>
      <c r="AU111" s="31" t="str">
        <f t="shared" si="5"/>
        <v>库存为0</v>
      </c>
      <c r="AV111" s="36" t="str">
        <f>IFERROR(时间!$B$4+AU111,"上周无销量")</f>
        <v>上周无销量</v>
      </c>
    </row>
    <row r="112" spans="1:48">
      <c r="A112" s="20" t="s">
        <v>303</v>
      </c>
      <c r="B112" t="s">
        <v>304</v>
      </c>
      <c r="C112" t="s">
        <v>282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0</v>
      </c>
      <c r="J112" s="33">
        <v>0</v>
      </c>
      <c r="K112" s="33">
        <v>0</v>
      </c>
      <c r="L112" s="33">
        <v>0</v>
      </c>
      <c r="M112">
        <v>0</v>
      </c>
      <c r="N112">
        <v>0</v>
      </c>
      <c r="O112">
        <v>0</v>
      </c>
      <c r="P112" t="s">
        <v>53</v>
      </c>
      <c r="Q112" t="s">
        <v>53</v>
      </c>
      <c r="R112" t="s">
        <v>53</v>
      </c>
      <c r="S112" t="s">
        <v>53</v>
      </c>
      <c r="T112" t="s">
        <v>53</v>
      </c>
      <c r="U112" t="s">
        <v>53</v>
      </c>
      <c r="V112" t="s">
        <v>53</v>
      </c>
      <c r="W112" t="s">
        <v>53</v>
      </c>
      <c r="X112" s="22" t="s">
        <v>53</v>
      </c>
      <c r="Y112" s="22" t="s">
        <v>53</v>
      </c>
      <c r="Z112" s="22" t="s">
        <v>53</v>
      </c>
      <c r="AA112" s="22" t="s">
        <v>53</v>
      </c>
      <c r="AB112" t="s">
        <v>53</v>
      </c>
      <c r="AC112" t="s">
        <v>53</v>
      </c>
      <c r="AD112" t="s">
        <v>53</v>
      </c>
      <c r="AE112" t="s">
        <v>53</v>
      </c>
      <c r="AF112" s="22" t="s">
        <v>53</v>
      </c>
      <c r="AG112" s="22" t="s">
        <v>53</v>
      </c>
      <c r="AH112" s="22" t="s">
        <v>53</v>
      </c>
      <c r="AI112" s="22" t="s">
        <v>53</v>
      </c>
      <c r="AJ112">
        <v>0</v>
      </c>
      <c r="AK112">
        <v>1</v>
      </c>
      <c r="AL112">
        <v>4</v>
      </c>
      <c r="AM112">
        <v>9</v>
      </c>
      <c r="AN112" s="22" t="s">
        <v>53</v>
      </c>
      <c r="AO112" s="22">
        <v>0</v>
      </c>
      <c r="AP112" s="22">
        <v>0</v>
      </c>
      <c r="AQ112" s="22">
        <v>0</v>
      </c>
      <c r="AR112" s="35">
        <v>0</v>
      </c>
      <c r="AS112" s="35">
        <v>0</v>
      </c>
      <c r="AT112" s="35">
        <v>0</v>
      </c>
      <c r="AU112" s="31" t="str">
        <f t="shared" si="5"/>
        <v>库存为0</v>
      </c>
      <c r="AV112" s="36" t="str">
        <f>IFERROR(时间!$B$4+AU112,"上周无销量")</f>
        <v>上周无销量</v>
      </c>
    </row>
    <row r="113" spans="1:48">
      <c r="A113" s="20" t="s">
        <v>305</v>
      </c>
      <c r="B113" t="s">
        <v>306</v>
      </c>
      <c r="C113" t="s">
        <v>282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0</v>
      </c>
      <c r="J113" s="33">
        <v>0</v>
      </c>
      <c r="K113" s="33">
        <v>0</v>
      </c>
      <c r="L113" s="33">
        <v>0</v>
      </c>
      <c r="M113">
        <v>0</v>
      </c>
      <c r="N113">
        <v>0</v>
      </c>
      <c r="O113">
        <v>0</v>
      </c>
      <c r="P113" t="s">
        <v>53</v>
      </c>
      <c r="Q113" t="s">
        <v>53</v>
      </c>
      <c r="R113" t="s">
        <v>53</v>
      </c>
      <c r="S113" t="s">
        <v>53</v>
      </c>
      <c r="T113" t="s">
        <v>53</v>
      </c>
      <c r="U113" t="s">
        <v>53</v>
      </c>
      <c r="V113" t="s">
        <v>53</v>
      </c>
      <c r="W113" t="s">
        <v>53</v>
      </c>
      <c r="X113" s="22" t="s">
        <v>53</v>
      </c>
      <c r="Y113" s="22" t="s">
        <v>53</v>
      </c>
      <c r="Z113" s="22" t="s">
        <v>53</v>
      </c>
      <c r="AA113" s="22" t="s">
        <v>53</v>
      </c>
      <c r="AB113" t="s">
        <v>53</v>
      </c>
      <c r="AC113" t="s">
        <v>53</v>
      </c>
      <c r="AD113" t="s">
        <v>53</v>
      </c>
      <c r="AE113" t="s">
        <v>53</v>
      </c>
      <c r="AF113" s="22" t="s">
        <v>53</v>
      </c>
      <c r="AG113" s="22" t="s">
        <v>53</v>
      </c>
      <c r="AH113" s="22" t="s">
        <v>53</v>
      </c>
      <c r="AI113" s="22" t="s">
        <v>53</v>
      </c>
      <c r="AJ113">
        <v>0</v>
      </c>
      <c r="AK113">
        <v>0</v>
      </c>
      <c r="AL113">
        <v>5</v>
      </c>
      <c r="AM113">
        <v>4</v>
      </c>
      <c r="AN113" s="22" t="s">
        <v>53</v>
      </c>
      <c r="AO113" s="22" t="s">
        <v>53</v>
      </c>
      <c r="AP113" s="22">
        <v>0</v>
      </c>
      <c r="AQ113" s="22">
        <v>0</v>
      </c>
      <c r="AR113" s="35">
        <v>0</v>
      </c>
      <c r="AS113" s="35">
        <v>0</v>
      </c>
      <c r="AT113" s="35">
        <v>0</v>
      </c>
      <c r="AU113" s="31" t="str">
        <f t="shared" si="5"/>
        <v>库存为0</v>
      </c>
      <c r="AV113" s="36" t="str">
        <f>IFERROR(时间!$B$4+AU113,"上周无销量")</f>
        <v>上周无销量</v>
      </c>
    </row>
    <row r="114" spans="1:48">
      <c r="A114" s="20" t="s">
        <v>307</v>
      </c>
      <c r="B114" t="s">
        <v>308</v>
      </c>
      <c r="C114" t="s">
        <v>282</v>
      </c>
      <c r="D114" s="31">
        <v>0</v>
      </c>
      <c r="E114" s="31">
        <v>0</v>
      </c>
      <c r="F114" s="31">
        <v>0</v>
      </c>
      <c r="G114" s="31">
        <v>0</v>
      </c>
      <c r="H114" s="32">
        <v>0</v>
      </c>
      <c r="I114">
        <v>0</v>
      </c>
      <c r="J114" s="33">
        <v>0</v>
      </c>
      <c r="K114" s="33">
        <v>0</v>
      </c>
      <c r="L114" s="33">
        <v>0</v>
      </c>
      <c r="M114">
        <v>0</v>
      </c>
      <c r="N114">
        <v>0</v>
      </c>
      <c r="O114">
        <v>0</v>
      </c>
      <c r="P114" t="s">
        <v>53</v>
      </c>
      <c r="Q114" t="s">
        <v>53</v>
      </c>
      <c r="R114" t="s">
        <v>53</v>
      </c>
      <c r="S114" t="s">
        <v>53</v>
      </c>
      <c r="T114" t="s">
        <v>53</v>
      </c>
      <c r="U114" t="s">
        <v>53</v>
      </c>
      <c r="V114" t="s">
        <v>53</v>
      </c>
      <c r="W114" t="s">
        <v>53</v>
      </c>
      <c r="X114" s="22" t="s">
        <v>53</v>
      </c>
      <c r="Y114" s="22" t="s">
        <v>53</v>
      </c>
      <c r="Z114" s="22" t="s">
        <v>53</v>
      </c>
      <c r="AA114" s="22" t="s">
        <v>53</v>
      </c>
      <c r="AB114" t="s">
        <v>53</v>
      </c>
      <c r="AC114" t="s">
        <v>53</v>
      </c>
      <c r="AD114" t="s">
        <v>53</v>
      </c>
      <c r="AE114" t="s">
        <v>53</v>
      </c>
      <c r="AF114" s="22" t="s">
        <v>53</v>
      </c>
      <c r="AG114" s="22" t="s">
        <v>53</v>
      </c>
      <c r="AH114" s="22" t="s">
        <v>53</v>
      </c>
      <c r="AI114" s="22" t="s">
        <v>53</v>
      </c>
      <c r="AJ114">
        <v>0</v>
      </c>
      <c r="AK114">
        <v>1</v>
      </c>
      <c r="AL114">
        <v>1</v>
      </c>
      <c r="AM114">
        <v>3</v>
      </c>
      <c r="AN114" s="22" t="s">
        <v>53</v>
      </c>
      <c r="AO114" s="22">
        <v>0</v>
      </c>
      <c r="AP114" s="22">
        <v>0</v>
      </c>
      <c r="AQ114" s="22">
        <v>0</v>
      </c>
      <c r="AR114" s="35">
        <v>0</v>
      </c>
      <c r="AS114" s="35">
        <v>0</v>
      </c>
      <c r="AT114" s="35">
        <v>0</v>
      </c>
      <c r="AU114" s="31" t="str">
        <f t="shared" si="5"/>
        <v>库存为0</v>
      </c>
      <c r="AV114" s="36" t="str">
        <f>IFERROR(时间!$B$4+AU114,"上周无销量")</f>
        <v>上周无销量</v>
      </c>
    </row>
    <row r="115" spans="1:48">
      <c r="A115" s="20" t="s">
        <v>309</v>
      </c>
      <c r="B115" t="s">
        <v>310</v>
      </c>
      <c r="C115" t="s">
        <v>282</v>
      </c>
      <c r="D115" s="31">
        <v>0</v>
      </c>
      <c r="E115" s="31">
        <v>0</v>
      </c>
      <c r="F115" s="31">
        <v>0</v>
      </c>
      <c r="G115" s="31">
        <v>0</v>
      </c>
      <c r="H115" s="32">
        <v>0</v>
      </c>
      <c r="I115">
        <v>0</v>
      </c>
      <c r="J115" s="33">
        <v>0</v>
      </c>
      <c r="K115" s="33">
        <v>0</v>
      </c>
      <c r="L115" s="33">
        <v>0</v>
      </c>
      <c r="M115">
        <v>0</v>
      </c>
      <c r="N115">
        <v>0</v>
      </c>
      <c r="O115">
        <v>0</v>
      </c>
      <c r="P115" t="s">
        <v>53</v>
      </c>
      <c r="Q115" t="s">
        <v>53</v>
      </c>
      <c r="R115" t="s">
        <v>53</v>
      </c>
      <c r="S115" t="s">
        <v>53</v>
      </c>
      <c r="T115" t="s">
        <v>53</v>
      </c>
      <c r="U115" t="s">
        <v>53</v>
      </c>
      <c r="V115" t="s">
        <v>53</v>
      </c>
      <c r="W115" t="s">
        <v>53</v>
      </c>
      <c r="X115" s="22" t="s">
        <v>53</v>
      </c>
      <c r="Y115" s="22" t="s">
        <v>53</v>
      </c>
      <c r="Z115" s="22" t="s">
        <v>53</v>
      </c>
      <c r="AA115" s="22" t="s">
        <v>53</v>
      </c>
      <c r="AB115" t="s">
        <v>53</v>
      </c>
      <c r="AC115" t="s">
        <v>53</v>
      </c>
      <c r="AD115" t="s">
        <v>53</v>
      </c>
      <c r="AE115" t="s">
        <v>53</v>
      </c>
      <c r="AF115" s="22" t="s">
        <v>53</v>
      </c>
      <c r="AG115" s="22" t="s">
        <v>53</v>
      </c>
      <c r="AH115" s="22" t="s">
        <v>53</v>
      </c>
      <c r="AI115" s="22" t="s">
        <v>53</v>
      </c>
      <c r="AJ115">
        <v>0</v>
      </c>
      <c r="AK115">
        <v>0</v>
      </c>
      <c r="AL115">
        <v>14</v>
      </c>
      <c r="AM115">
        <v>5</v>
      </c>
      <c r="AN115" s="22" t="s">
        <v>53</v>
      </c>
      <c r="AO115" s="22" t="s">
        <v>53</v>
      </c>
      <c r="AP115" s="22">
        <v>0</v>
      </c>
      <c r="AQ115" s="22">
        <v>0</v>
      </c>
      <c r="AR115" s="35">
        <v>0</v>
      </c>
      <c r="AS115" s="35">
        <v>0</v>
      </c>
      <c r="AT115" s="35">
        <v>0</v>
      </c>
      <c r="AU115" s="31" t="str">
        <f t="shared" si="5"/>
        <v>库存为0</v>
      </c>
      <c r="AV115" s="36" t="str">
        <f>IFERROR(时间!$B$4+AU115,"上周无销量")</f>
        <v>上周无销量</v>
      </c>
    </row>
    <row r="116" spans="1:48">
      <c r="A116" s="20" t="s">
        <v>311</v>
      </c>
      <c r="B116" t="s">
        <v>312</v>
      </c>
      <c r="C116" t="s">
        <v>282</v>
      </c>
      <c r="D116" s="31">
        <v>0</v>
      </c>
      <c r="E116" s="31">
        <v>0</v>
      </c>
      <c r="F116" s="31">
        <v>0</v>
      </c>
      <c r="G116" s="31">
        <v>1</v>
      </c>
      <c r="H116" s="32">
        <v>9.99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53</v>
      </c>
      <c r="Q116" t="s">
        <v>53</v>
      </c>
      <c r="R116" t="s">
        <v>53</v>
      </c>
      <c r="S116" t="s">
        <v>53</v>
      </c>
      <c r="T116" t="s">
        <v>53</v>
      </c>
      <c r="U116" t="s">
        <v>53</v>
      </c>
      <c r="V116" t="s">
        <v>53</v>
      </c>
      <c r="W116" t="s">
        <v>53</v>
      </c>
      <c r="X116" s="22" t="s">
        <v>53</v>
      </c>
      <c r="Y116" s="22" t="s">
        <v>53</v>
      </c>
      <c r="Z116" s="22" t="s">
        <v>53</v>
      </c>
      <c r="AA116" s="22" t="s">
        <v>53</v>
      </c>
      <c r="AB116" t="s">
        <v>53</v>
      </c>
      <c r="AC116" t="s">
        <v>53</v>
      </c>
      <c r="AD116" t="s">
        <v>53</v>
      </c>
      <c r="AE116" t="s">
        <v>53</v>
      </c>
      <c r="AF116" s="22" t="s">
        <v>53</v>
      </c>
      <c r="AG116" s="22" t="s">
        <v>53</v>
      </c>
      <c r="AH116" s="22" t="s">
        <v>53</v>
      </c>
      <c r="AI116" s="22" t="s">
        <v>53</v>
      </c>
      <c r="AJ116">
        <v>0</v>
      </c>
      <c r="AK116">
        <v>1</v>
      </c>
      <c r="AL116">
        <v>7</v>
      </c>
      <c r="AM116">
        <v>8</v>
      </c>
      <c r="AN116" s="22" t="s">
        <v>53</v>
      </c>
      <c r="AO116" s="22">
        <v>0</v>
      </c>
      <c r="AP116" s="22">
        <v>0</v>
      </c>
      <c r="AQ116" s="22">
        <v>0.125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20" t="s">
        <v>313</v>
      </c>
      <c r="B117" t="s">
        <v>314</v>
      </c>
      <c r="C117" t="s">
        <v>282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53</v>
      </c>
      <c r="Q117" t="s">
        <v>53</v>
      </c>
      <c r="R117" t="s">
        <v>53</v>
      </c>
      <c r="S117" t="s">
        <v>53</v>
      </c>
      <c r="T117" t="s">
        <v>53</v>
      </c>
      <c r="U117" t="s">
        <v>53</v>
      </c>
      <c r="V117" t="s">
        <v>53</v>
      </c>
      <c r="W117" t="s">
        <v>53</v>
      </c>
      <c r="X117" s="22" t="s">
        <v>53</v>
      </c>
      <c r="Y117" s="22" t="s">
        <v>53</v>
      </c>
      <c r="Z117" s="22" t="s">
        <v>53</v>
      </c>
      <c r="AA117" s="22" t="s">
        <v>53</v>
      </c>
      <c r="AB117" t="s">
        <v>53</v>
      </c>
      <c r="AC117" t="s">
        <v>53</v>
      </c>
      <c r="AD117" t="s">
        <v>53</v>
      </c>
      <c r="AE117" t="s">
        <v>53</v>
      </c>
      <c r="AF117" s="22" t="s">
        <v>53</v>
      </c>
      <c r="AG117" s="22" t="s">
        <v>53</v>
      </c>
      <c r="AH117" s="22" t="s">
        <v>53</v>
      </c>
      <c r="AI117" s="22" t="s">
        <v>53</v>
      </c>
      <c r="AJ117">
        <v>0</v>
      </c>
      <c r="AK117">
        <v>0</v>
      </c>
      <c r="AL117">
        <v>3</v>
      </c>
      <c r="AM117">
        <v>8</v>
      </c>
      <c r="AN117" s="22" t="s">
        <v>53</v>
      </c>
      <c r="AO117" s="22" t="s">
        <v>53</v>
      </c>
      <c r="AP117" s="22">
        <v>0</v>
      </c>
      <c r="AQ117" s="22">
        <v>0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20" t="s">
        <v>315</v>
      </c>
      <c r="B118" t="s">
        <v>316</v>
      </c>
      <c r="C118" t="s">
        <v>282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53</v>
      </c>
      <c r="Q118" t="s">
        <v>53</v>
      </c>
      <c r="R118" t="s">
        <v>53</v>
      </c>
      <c r="S118" t="s">
        <v>53</v>
      </c>
      <c r="T118" t="s">
        <v>53</v>
      </c>
      <c r="U118" t="s">
        <v>53</v>
      </c>
      <c r="V118" t="s">
        <v>53</v>
      </c>
      <c r="W118" t="s">
        <v>53</v>
      </c>
      <c r="X118" s="22" t="s">
        <v>53</v>
      </c>
      <c r="Y118" s="22" t="s">
        <v>53</v>
      </c>
      <c r="Z118" s="22" t="s">
        <v>53</v>
      </c>
      <c r="AA118" s="22" t="s">
        <v>53</v>
      </c>
      <c r="AB118" t="s">
        <v>53</v>
      </c>
      <c r="AC118" t="s">
        <v>53</v>
      </c>
      <c r="AD118" t="s">
        <v>53</v>
      </c>
      <c r="AE118" t="s">
        <v>53</v>
      </c>
      <c r="AF118" s="22" t="s">
        <v>53</v>
      </c>
      <c r="AG118" s="22" t="s">
        <v>53</v>
      </c>
      <c r="AH118" s="22" t="s">
        <v>53</v>
      </c>
      <c r="AI118" s="22" t="s">
        <v>53</v>
      </c>
      <c r="AJ118">
        <v>0</v>
      </c>
      <c r="AK118">
        <v>0</v>
      </c>
      <c r="AL118">
        <v>5</v>
      </c>
      <c r="AM118">
        <v>7</v>
      </c>
      <c r="AN118" s="22" t="s">
        <v>53</v>
      </c>
      <c r="AO118" s="22" t="s">
        <v>53</v>
      </c>
      <c r="AP118" s="22">
        <v>0</v>
      </c>
      <c r="AQ118" s="22">
        <v>0</v>
      </c>
      <c r="AR118" s="35">
        <v>0</v>
      </c>
      <c r="AS118" s="35">
        <v>0</v>
      </c>
      <c r="AT118" s="35">
        <v>0</v>
      </c>
      <c r="AU118" s="31" t="str">
        <f t="shared" si="5"/>
        <v>库存为0</v>
      </c>
      <c r="AV118" s="36" t="str">
        <f>IFERROR(时间!$B$4+AU118,"上周无销量")</f>
        <v>上周无销量</v>
      </c>
    </row>
    <row r="119" spans="1:48">
      <c r="A119" s="20" t="s">
        <v>317</v>
      </c>
      <c r="B119" t="s">
        <v>318</v>
      </c>
      <c r="C119" t="s">
        <v>282</v>
      </c>
      <c r="D119" s="31">
        <v>0</v>
      </c>
      <c r="E119" s="31">
        <v>0</v>
      </c>
      <c r="F119" s="31">
        <v>1</v>
      </c>
      <c r="G119" s="31">
        <v>0</v>
      </c>
      <c r="H119" s="32">
        <v>9.99</v>
      </c>
      <c r="I119">
        <v>1</v>
      </c>
      <c r="J119" s="33">
        <v>0</v>
      </c>
      <c r="K119" s="33">
        <v>0</v>
      </c>
      <c r="L119" s="33">
        <v>0</v>
      </c>
      <c r="M119">
        <v>1</v>
      </c>
      <c r="N119">
        <v>0</v>
      </c>
      <c r="O119">
        <v>0</v>
      </c>
      <c r="P119" t="s">
        <v>53</v>
      </c>
      <c r="Q119" t="s">
        <v>53</v>
      </c>
      <c r="R119" t="s">
        <v>53</v>
      </c>
      <c r="S119" t="s">
        <v>53</v>
      </c>
      <c r="T119" t="s">
        <v>53</v>
      </c>
      <c r="U119" t="s">
        <v>53</v>
      </c>
      <c r="V119" t="s">
        <v>53</v>
      </c>
      <c r="W119" t="s">
        <v>53</v>
      </c>
      <c r="X119" s="22" t="s">
        <v>53</v>
      </c>
      <c r="Y119" s="22" t="s">
        <v>53</v>
      </c>
      <c r="Z119" s="22" t="s">
        <v>53</v>
      </c>
      <c r="AA119" s="22" t="s">
        <v>53</v>
      </c>
      <c r="AB119" t="s">
        <v>53</v>
      </c>
      <c r="AC119" t="s">
        <v>53</v>
      </c>
      <c r="AD119" t="s">
        <v>53</v>
      </c>
      <c r="AE119" t="s">
        <v>53</v>
      </c>
      <c r="AF119" s="22" t="s">
        <v>53</v>
      </c>
      <c r="AG119" s="22" t="s">
        <v>53</v>
      </c>
      <c r="AH119" s="22" t="s">
        <v>53</v>
      </c>
      <c r="AI119" s="22" t="s">
        <v>53</v>
      </c>
      <c r="AJ119">
        <v>0</v>
      </c>
      <c r="AK119">
        <v>0</v>
      </c>
      <c r="AL119">
        <v>4</v>
      </c>
      <c r="AM119">
        <v>13</v>
      </c>
      <c r="AN119" s="22" t="s">
        <v>53</v>
      </c>
      <c r="AO119" s="22" t="s">
        <v>53</v>
      </c>
      <c r="AP119" s="22">
        <v>0.25</v>
      </c>
      <c r="AQ119" s="22">
        <v>0</v>
      </c>
      <c r="AR119" s="35">
        <v>0</v>
      </c>
      <c r="AS119" s="35">
        <v>0</v>
      </c>
      <c r="AT119" s="35">
        <v>1</v>
      </c>
      <c r="AU119" s="31" t="str">
        <f t="shared" si="5"/>
        <v>库存为1</v>
      </c>
      <c r="AV119" s="36" t="str">
        <f>IFERROR(时间!$B$4+AU119,"上周无销量")</f>
        <v>上周无销量</v>
      </c>
    </row>
    <row r="120" spans="1:48">
      <c r="A120" s="20" t="s">
        <v>319</v>
      </c>
      <c r="B120" t="s">
        <v>320</v>
      </c>
      <c r="C120" t="s">
        <v>282</v>
      </c>
      <c r="D120" s="31">
        <v>0</v>
      </c>
      <c r="E120" s="31">
        <v>0</v>
      </c>
      <c r="F120" s="31">
        <v>0</v>
      </c>
      <c r="G120" s="31">
        <v>2</v>
      </c>
      <c r="H120" s="32">
        <v>9.99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53</v>
      </c>
      <c r="Q120" t="s">
        <v>53</v>
      </c>
      <c r="R120" t="s">
        <v>53</v>
      </c>
      <c r="S120" t="s">
        <v>53</v>
      </c>
      <c r="T120" t="s">
        <v>53</v>
      </c>
      <c r="U120" t="s">
        <v>53</v>
      </c>
      <c r="V120" t="s">
        <v>53</v>
      </c>
      <c r="W120" t="s">
        <v>53</v>
      </c>
      <c r="X120" s="22" t="s">
        <v>53</v>
      </c>
      <c r="Y120" s="22" t="s">
        <v>53</v>
      </c>
      <c r="Z120" s="22" t="s">
        <v>53</v>
      </c>
      <c r="AA120" s="22" t="s">
        <v>53</v>
      </c>
      <c r="AB120" t="s">
        <v>53</v>
      </c>
      <c r="AC120" t="s">
        <v>53</v>
      </c>
      <c r="AD120" t="s">
        <v>53</v>
      </c>
      <c r="AE120" t="s">
        <v>53</v>
      </c>
      <c r="AF120" s="22" t="s">
        <v>53</v>
      </c>
      <c r="AG120" s="22" t="s">
        <v>53</v>
      </c>
      <c r="AH120" s="22" t="s">
        <v>53</v>
      </c>
      <c r="AI120" s="22" t="s">
        <v>53</v>
      </c>
      <c r="AJ120">
        <v>0</v>
      </c>
      <c r="AK120">
        <v>0</v>
      </c>
      <c r="AL120">
        <v>5</v>
      </c>
      <c r="AM120">
        <v>6</v>
      </c>
      <c r="AN120" s="22" t="s">
        <v>53</v>
      </c>
      <c r="AO120" s="22" t="s">
        <v>53</v>
      </c>
      <c r="AP120" s="22">
        <v>0</v>
      </c>
      <c r="AQ120" s="22">
        <v>0.333333333333333</v>
      </c>
      <c r="AR120" s="35">
        <v>0</v>
      </c>
      <c r="AS120" s="35">
        <v>0</v>
      </c>
      <c r="AT120" s="35">
        <v>0</v>
      </c>
      <c r="AU120" s="31" t="str">
        <f t="shared" si="5"/>
        <v>库存为0</v>
      </c>
      <c r="AV120" s="36" t="str">
        <f>IFERROR(时间!$B$4+AU120,"上周无销量")</f>
        <v>上周无销量</v>
      </c>
    </row>
    <row r="121" spans="1:48">
      <c r="A121" s="20" t="s">
        <v>321</v>
      </c>
      <c r="B121" t="s">
        <v>322</v>
      </c>
      <c r="C121" t="s">
        <v>282</v>
      </c>
      <c r="D121" s="31">
        <v>0</v>
      </c>
      <c r="E121" s="31">
        <v>0</v>
      </c>
      <c r="F121" s="31">
        <v>0</v>
      </c>
      <c r="G121" s="31">
        <v>0</v>
      </c>
      <c r="H121" s="32">
        <v>0</v>
      </c>
      <c r="I121">
        <v>0</v>
      </c>
      <c r="J121" s="33">
        <v>0</v>
      </c>
      <c r="K121" s="33">
        <v>0</v>
      </c>
      <c r="L121" s="33">
        <v>0</v>
      </c>
      <c r="M121">
        <v>0</v>
      </c>
      <c r="N121">
        <v>0</v>
      </c>
      <c r="O121">
        <v>0</v>
      </c>
      <c r="P121" t="s">
        <v>53</v>
      </c>
      <c r="Q121" t="s">
        <v>53</v>
      </c>
      <c r="R121" t="s">
        <v>53</v>
      </c>
      <c r="S121" t="s">
        <v>53</v>
      </c>
      <c r="T121" t="s">
        <v>53</v>
      </c>
      <c r="U121" t="s">
        <v>53</v>
      </c>
      <c r="V121" t="s">
        <v>53</v>
      </c>
      <c r="W121" t="s">
        <v>53</v>
      </c>
      <c r="X121" s="22" t="s">
        <v>53</v>
      </c>
      <c r="Y121" s="22" t="s">
        <v>53</v>
      </c>
      <c r="Z121" s="22" t="s">
        <v>53</v>
      </c>
      <c r="AA121" s="22" t="s">
        <v>53</v>
      </c>
      <c r="AB121" t="s">
        <v>53</v>
      </c>
      <c r="AC121" t="s">
        <v>53</v>
      </c>
      <c r="AD121" t="s">
        <v>53</v>
      </c>
      <c r="AE121" t="s">
        <v>53</v>
      </c>
      <c r="AF121" s="22" t="s">
        <v>53</v>
      </c>
      <c r="AG121" s="22" t="s">
        <v>53</v>
      </c>
      <c r="AH121" s="22" t="s">
        <v>53</v>
      </c>
      <c r="AI121" s="22" t="s">
        <v>53</v>
      </c>
      <c r="AJ121">
        <v>0</v>
      </c>
      <c r="AK121">
        <v>0</v>
      </c>
      <c r="AL121">
        <v>19</v>
      </c>
      <c r="AM121">
        <v>5</v>
      </c>
      <c r="AN121" s="22" t="s">
        <v>53</v>
      </c>
      <c r="AO121" s="22" t="s">
        <v>53</v>
      </c>
      <c r="AP121" s="22">
        <v>0</v>
      </c>
      <c r="AQ121" s="22">
        <v>0</v>
      </c>
      <c r="AR121" s="35">
        <v>0</v>
      </c>
      <c r="AS121" s="35">
        <v>0</v>
      </c>
      <c r="AT121" s="35">
        <v>0</v>
      </c>
      <c r="AU121" s="31" t="str">
        <f t="shared" si="5"/>
        <v>库存为0</v>
      </c>
      <c r="AV121" s="36" t="str">
        <f>IFERROR(时间!$B$4+AU121,"上周无销量")</f>
        <v>上周无销量</v>
      </c>
    </row>
    <row r="122" spans="1:48">
      <c r="A122" s="20" t="s">
        <v>323</v>
      </c>
      <c r="B122" t="s">
        <v>324</v>
      </c>
      <c r="C122" t="s">
        <v>282</v>
      </c>
      <c r="D122" s="31">
        <v>0</v>
      </c>
      <c r="E122" s="31">
        <v>0</v>
      </c>
      <c r="F122" s="31">
        <v>1</v>
      </c>
      <c r="G122" s="31">
        <v>2</v>
      </c>
      <c r="H122" s="32">
        <v>9.99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53</v>
      </c>
      <c r="Q122" t="s">
        <v>53</v>
      </c>
      <c r="R122" t="s">
        <v>53</v>
      </c>
      <c r="S122" t="s">
        <v>53</v>
      </c>
      <c r="T122" t="s">
        <v>53</v>
      </c>
      <c r="U122" t="s">
        <v>53</v>
      </c>
      <c r="V122" t="s">
        <v>53</v>
      </c>
      <c r="W122" t="s">
        <v>53</v>
      </c>
      <c r="X122" s="22" t="s">
        <v>53</v>
      </c>
      <c r="Y122" s="22" t="s">
        <v>53</v>
      </c>
      <c r="Z122" s="22" t="s">
        <v>53</v>
      </c>
      <c r="AA122" s="22" t="s">
        <v>53</v>
      </c>
      <c r="AB122" t="s">
        <v>53</v>
      </c>
      <c r="AC122" t="s">
        <v>53</v>
      </c>
      <c r="AD122" t="s">
        <v>53</v>
      </c>
      <c r="AE122" t="s">
        <v>53</v>
      </c>
      <c r="AF122" s="22" t="s">
        <v>53</v>
      </c>
      <c r="AG122" s="22" t="s">
        <v>53</v>
      </c>
      <c r="AH122" s="22" t="s">
        <v>53</v>
      </c>
      <c r="AI122" s="22" t="s">
        <v>53</v>
      </c>
      <c r="AJ122">
        <v>0</v>
      </c>
      <c r="AK122">
        <v>0</v>
      </c>
      <c r="AL122">
        <v>8</v>
      </c>
      <c r="AM122">
        <v>14</v>
      </c>
      <c r="AN122" s="22" t="s">
        <v>53</v>
      </c>
      <c r="AO122" s="22" t="s">
        <v>53</v>
      </c>
      <c r="AP122" s="22">
        <v>0.125</v>
      </c>
      <c r="AQ122" s="22">
        <v>0.142857142857143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20" t="s">
        <v>325</v>
      </c>
      <c r="B123" t="s">
        <v>326</v>
      </c>
      <c r="C123" t="s">
        <v>282</v>
      </c>
      <c r="D123" s="31">
        <v>0</v>
      </c>
      <c r="E123" s="31">
        <v>0</v>
      </c>
      <c r="F123" s="31">
        <v>0</v>
      </c>
      <c r="G123" s="31">
        <v>1</v>
      </c>
      <c r="H123" s="32">
        <v>9.99</v>
      </c>
      <c r="I123">
        <v>1</v>
      </c>
      <c r="J123" s="33">
        <v>0</v>
      </c>
      <c r="K123" s="33">
        <v>0</v>
      </c>
      <c r="L123" s="3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528</v>
      </c>
      <c r="S123">
        <v>0</v>
      </c>
      <c r="T123">
        <v>0</v>
      </c>
      <c r="U123">
        <v>0</v>
      </c>
      <c r="V123">
        <v>6</v>
      </c>
      <c r="W123">
        <v>0</v>
      </c>
      <c r="X123" s="22" t="s">
        <v>53</v>
      </c>
      <c r="Y123" s="22" t="s">
        <v>53</v>
      </c>
      <c r="Z123" s="22">
        <v>0.0113636363636364</v>
      </c>
      <c r="AA123" s="22" t="s">
        <v>53</v>
      </c>
      <c r="AB123">
        <v>0</v>
      </c>
      <c r="AC123">
        <v>0</v>
      </c>
      <c r="AD123">
        <v>2.62</v>
      </c>
      <c r="AE123">
        <v>0</v>
      </c>
      <c r="AF123" s="22" t="s">
        <v>53</v>
      </c>
      <c r="AG123" s="22" t="s">
        <v>53</v>
      </c>
      <c r="AH123" s="22" t="s">
        <v>327</v>
      </c>
      <c r="AI123" s="22" t="s">
        <v>53</v>
      </c>
      <c r="AJ123">
        <v>1</v>
      </c>
      <c r="AK123">
        <v>0</v>
      </c>
      <c r="AL123">
        <v>0</v>
      </c>
      <c r="AM123">
        <v>6</v>
      </c>
      <c r="AN123" s="22">
        <v>0</v>
      </c>
      <c r="AO123" s="22" t="s">
        <v>53</v>
      </c>
      <c r="AP123" s="22" t="s">
        <v>53</v>
      </c>
      <c r="AQ123" s="22">
        <v>0.166666666666667</v>
      </c>
      <c r="AR123" s="35">
        <v>0</v>
      </c>
      <c r="AS123" s="35">
        <v>0</v>
      </c>
      <c r="AT123" s="35">
        <v>1</v>
      </c>
      <c r="AU123" s="31" t="str">
        <f t="shared" si="5"/>
        <v>库存为1</v>
      </c>
      <c r="AV123" s="36" t="str">
        <f>IFERROR(时间!$B$4+AU123,"上周无销量")</f>
        <v>上周无销量</v>
      </c>
    </row>
    <row r="124" spans="1:48">
      <c r="A124" s="20" t="s">
        <v>328</v>
      </c>
      <c r="B124" t="s">
        <v>329</v>
      </c>
      <c r="C124" t="s">
        <v>282</v>
      </c>
      <c r="D124" s="31">
        <v>0</v>
      </c>
      <c r="E124" s="31">
        <v>0</v>
      </c>
      <c r="F124" s="31">
        <v>0</v>
      </c>
      <c r="G124" s="31">
        <v>0</v>
      </c>
      <c r="H124" s="32">
        <v>0</v>
      </c>
      <c r="I124">
        <v>0</v>
      </c>
      <c r="J124" s="33">
        <v>0</v>
      </c>
      <c r="K124" s="33">
        <v>0</v>
      </c>
      <c r="L124" s="33">
        <v>0</v>
      </c>
      <c r="M124">
        <v>0</v>
      </c>
      <c r="N124">
        <v>0</v>
      </c>
      <c r="O124">
        <v>0</v>
      </c>
      <c r="P124">
        <v>0</v>
      </c>
      <c r="Q124">
        <v>15247</v>
      </c>
      <c r="R124">
        <v>0</v>
      </c>
      <c r="S124">
        <v>0</v>
      </c>
      <c r="T124">
        <v>0</v>
      </c>
      <c r="U124">
        <v>139</v>
      </c>
      <c r="V124">
        <v>0</v>
      </c>
      <c r="W124">
        <v>0</v>
      </c>
      <c r="X124" s="22" t="s">
        <v>53</v>
      </c>
      <c r="Y124" s="22">
        <v>0.00911654751754444</v>
      </c>
      <c r="Z124" s="22" t="s">
        <v>53</v>
      </c>
      <c r="AA124" s="22" t="s">
        <v>53</v>
      </c>
      <c r="AB124">
        <v>0</v>
      </c>
      <c r="AC124">
        <v>90.76</v>
      </c>
      <c r="AD124">
        <v>0</v>
      </c>
      <c r="AE124">
        <v>0</v>
      </c>
      <c r="AF124" s="22" t="s">
        <v>53</v>
      </c>
      <c r="AG124" s="22" t="s">
        <v>330</v>
      </c>
      <c r="AH124" s="22" t="s">
        <v>53</v>
      </c>
      <c r="AI124" s="22" t="s">
        <v>53</v>
      </c>
      <c r="AJ124">
        <v>0</v>
      </c>
      <c r="AK124">
        <v>1</v>
      </c>
      <c r="AL124">
        <v>102</v>
      </c>
      <c r="AM124">
        <v>6</v>
      </c>
      <c r="AN124" s="22" t="s">
        <v>53</v>
      </c>
      <c r="AO124" s="22">
        <v>0</v>
      </c>
      <c r="AP124" s="22">
        <v>0</v>
      </c>
      <c r="AQ124" s="22">
        <v>0</v>
      </c>
      <c r="AR124" s="35">
        <v>0</v>
      </c>
      <c r="AS124" s="35">
        <v>0</v>
      </c>
      <c r="AT124" s="35">
        <v>0</v>
      </c>
      <c r="AU124" s="31" t="str">
        <f t="shared" si="5"/>
        <v>库存为0</v>
      </c>
      <c r="AV124" s="36" t="str">
        <f>IFERROR(时间!$B$4+AU124,"上周无销量")</f>
        <v>上周无销量</v>
      </c>
    </row>
    <row r="125" spans="1:48">
      <c r="A125" s="20" t="s">
        <v>331</v>
      </c>
      <c r="B125" t="s">
        <v>332</v>
      </c>
      <c r="C125" t="s">
        <v>333</v>
      </c>
      <c r="D125" s="31">
        <v>0</v>
      </c>
      <c r="E125" s="31">
        <v>0</v>
      </c>
      <c r="F125" s="31">
        <v>0</v>
      </c>
      <c r="G125" s="31">
        <v>0</v>
      </c>
      <c r="H125" s="32">
        <v>0</v>
      </c>
      <c r="I125">
        <v>0</v>
      </c>
      <c r="J125" s="33">
        <v>0</v>
      </c>
      <c r="K125" s="33">
        <v>0</v>
      </c>
      <c r="L125" s="33">
        <v>0</v>
      </c>
      <c r="M125">
        <v>0</v>
      </c>
      <c r="N125">
        <v>0</v>
      </c>
      <c r="O125">
        <v>0</v>
      </c>
      <c r="P125" t="s">
        <v>53</v>
      </c>
      <c r="Q125" t="s">
        <v>53</v>
      </c>
      <c r="R125" t="s">
        <v>53</v>
      </c>
      <c r="S125" t="s">
        <v>53</v>
      </c>
      <c r="T125" t="s">
        <v>53</v>
      </c>
      <c r="U125" t="s">
        <v>53</v>
      </c>
      <c r="V125" t="s">
        <v>53</v>
      </c>
      <c r="W125" t="s">
        <v>53</v>
      </c>
      <c r="X125" s="22" t="s">
        <v>53</v>
      </c>
      <c r="Y125" s="22" t="s">
        <v>53</v>
      </c>
      <c r="Z125" s="22" t="s">
        <v>53</v>
      </c>
      <c r="AA125" s="22" t="s">
        <v>53</v>
      </c>
      <c r="AB125" t="s">
        <v>53</v>
      </c>
      <c r="AC125" t="s">
        <v>53</v>
      </c>
      <c r="AD125" t="s">
        <v>53</v>
      </c>
      <c r="AE125" t="s">
        <v>53</v>
      </c>
      <c r="AF125" s="22" t="s">
        <v>53</v>
      </c>
      <c r="AG125" s="22" t="s">
        <v>53</v>
      </c>
      <c r="AH125" s="22" t="s">
        <v>53</v>
      </c>
      <c r="AI125" s="22" t="s">
        <v>53</v>
      </c>
      <c r="AJ125">
        <v>0</v>
      </c>
      <c r="AK125">
        <v>0</v>
      </c>
      <c r="AL125">
        <v>0</v>
      </c>
      <c r="AM125">
        <v>0</v>
      </c>
      <c r="AN125" s="22" t="s">
        <v>53</v>
      </c>
      <c r="AO125" s="22" t="s">
        <v>53</v>
      </c>
      <c r="AP125" s="22" t="s">
        <v>53</v>
      </c>
      <c r="AQ125" s="22" t="s">
        <v>53</v>
      </c>
      <c r="AR125" s="35">
        <v>0</v>
      </c>
      <c r="AS125" s="35">
        <v>0</v>
      </c>
      <c r="AT125" s="35">
        <v>0</v>
      </c>
      <c r="AU125" s="31" t="str">
        <f t="shared" si="5"/>
        <v>库存为0</v>
      </c>
      <c r="AV125" s="36" t="str">
        <f>IFERROR(时间!$B$4+AU125,"上周无销量")</f>
        <v>上周无销量</v>
      </c>
    </row>
    <row r="126" spans="1:48">
      <c r="A126" s="20" t="s">
        <v>334</v>
      </c>
      <c r="B126" t="s">
        <v>335</v>
      </c>
      <c r="C126" t="s">
        <v>336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1</v>
      </c>
      <c r="J126" s="33">
        <v>0</v>
      </c>
      <c r="K126" s="33">
        <v>0</v>
      </c>
      <c r="L126" s="33">
        <v>0</v>
      </c>
      <c r="M126">
        <v>1</v>
      </c>
      <c r="N126">
        <v>0</v>
      </c>
      <c r="O126">
        <v>0</v>
      </c>
      <c r="P126" t="s">
        <v>53</v>
      </c>
      <c r="Q126" t="s">
        <v>53</v>
      </c>
      <c r="R126" t="s">
        <v>53</v>
      </c>
      <c r="S126" t="s">
        <v>53</v>
      </c>
      <c r="T126" t="s">
        <v>53</v>
      </c>
      <c r="U126" t="s">
        <v>53</v>
      </c>
      <c r="V126" t="s">
        <v>53</v>
      </c>
      <c r="W126" t="s">
        <v>53</v>
      </c>
      <c r="X126" s="22" t="s">
        <v>53</v>
      </c>
      <c r="Y126" s="22" t="s">
        <v>53</v>
      </c>
      <c r="Z126" s="22" t="s">
        <v>53</v>
      </c>
      <c r="AA126" s="22" t="s">
        <v>53</v>
      </c>
      <c r="AB126" t="s">
        <v>53</v>
      </c>
      <c r="AC126" t="s">
        <v>53</v>
      </c>
      <c r="AD126" t="s">
        <v>53</v>
      </c>
      <c r="AE126" t="s">
        <v>53</v>
      </c>
      <c r="AF126" s="22" t="s">
        <v>53</v>
      </c>
      <c r="AG126" s="22" t="s">
        <v>53</v>
      </c>
      <c r="AH126" s="22" t="s">
        <v>53</v>
      </c>
      <c r="AI126" s="22" t="s">
        <v>53</v>
      </c>
      <c r="AJ126">
        <v>0</v>
      </c>
      <c r="AK126">
        <v>0</v>
      </c>
      <c r="AL126">
        <v>0</v>
      </c>
      <c r="AM126">
        <v>0</v>
      </c>
      <c r="AN126" s="22" t="s">
        <v>53</v>
      </c>
      <c r="AO126" s="22" t="s">
        <v>53</v>
      </c>
      <c r="AP126" s="22" t="s">
        <v>53</v>
      </c>
      <c r="AQ126" s="22" t="s">
        <v>53</v>
      </c>
      <c r="AR126" s="35">
        <v>0</v>
      </c>
      <c r="AS126" s="35">
        <v>0</v>
      </c>
      <c r="AT126" s="35">
        <v>1</v>
      </c>
      <c r="AU126" s="31" t="str">
        <f t="shared" si="5"/>
        <v>库存为1</v>
      </c>
      <c r="AV126" s="36" t="str">
        <f>IFERROR(时间!$B$4+AU126,"上周无销量")</f>
        <v>上周无销量</v>
      </c>
    </row>
    <row r="127" spans="1:48">
      <c r="A127" s="20" t="s">
        <v>337</v>
      </c>
      <c r="B127" t="s">
        <v>335</v>
      </c>
      <c r="C127" t="s">
        <v>336</v>
      </c>
      <c r="D127" s="31">
        <v>0</v>
      </c>
      <c r="E127" s="31">
        <v>0</v>
      </c>
      <c r="F127" s="31">
        <v>0</v>
      </c>
      <c r="G127" s="31">
        <v>0</v>
      </c>
      <c r="H127" s="32">
        <v>0</v>
      </c>
      <c r="I127">
        <v>0</v>
      </c>
      <c r="J127" s="33">
        <v>0</v>
      </c>
      <c r="K127" s="33">
        <v>0</v>
      </c>
      <c r="L127" s="33">
        <v>0</v>
      </c>
      <c r="M127">
        <v>0</v>
      </c>
      <c r="N127">
        <v>0</v>
      </c>
      <c r="O127">
        <v>0</v>
      </c>
      <c r="P127" t="s">
        <v>53</v>
      </c>
      <c r="Q127" t="s">
        <v>53</v>
      </c>
      <c r="R127" t="s">
        <v>53</v>
      </c>
      <c r="S127" t="s">
        <v>53</v>
      </c>
      <c r="T127" t="s">
        <v>53</v>
      </c>
      <c r="U127" t="s">
        <v>53</v>
      </c>
      <c r="V127" t="s">
        <v>53</v>
      </c>
      <c r="W127" t="s">
        <v>53</v>
      </c>
      <c r="X127" s="22" t="s">
        <v>53</v>
      </c>
      <c r="Y127" s="22" t="s">
        <v>53</v>
      </c>
      <c r="Z127" s="22" t="s">
        <v>53</v>
      </c>
      <c r="AA127" s="22" t="s">
        <v>53</v>
      </c>
      <c r="AB127" t="s">
        <v>53</v>
      </c>
      <c r="AC127" t="s">
        <v>53</v>
      </c>
      <c r="AD127" t="s">
        <v>53</v>
      </c>
      <c r="AE127" t="s">
        <v>53</v>
      </c>
      <c r="AF127" s="22" t="s">
        <v>53</v>
      </c>
      <c r="AG127" s="22" t="s">
        <v>53</v>
      </c>
      <c r="AH127" s="22" t="s">
        <v>53</v>
      </c>
      <c r="AI127" s="22" t="s">
        <v>53</v>
      </c>
      <c r="AJ127">
        <v>0</v>
      </c>
      <c r="AK127">
        <v>0</v>
      </c>
      <c r="AL127">
        <v>0</v>
      </c>
      <c r="AM127">
        <v>0</v>
      </c>
      <c r="AN127" s="22" t="s">
        <v>53</v>
      </c>
      <c r="AO127" s="22" t="s">
        <v>53</v>
      </c>
      <c r="AP127" s="22" t="s">
        <v>53</v>
      </c>
      <c r="AQ127" s="22" t="s">
        <v>53</v>
      </c>
      <c r="AR127" s="35">
        <v>0</v>
      </c>
      <c r="AS127" s="35">
        <v>0</v>
      </c>
      <c r="AT127" s="35">
        <v>0</v>
      </c>
      <c r="AU127" s="31" t="str">
        <f t="shared" si="5"/>
        <v>库存为0</v>
      </c>
      <c r="AV127" s="36" t="str">
        <f>IFERROR(时间!$B$4+AU127,"上周无销量")</f>
        <v>上周无销量</v>
      </c>
    </row>
    <row r="128" spans="1:48">
      <c r="A128" s="20" t="s">
        <v>338</v>
      </c>
      <c r="B128" t="s">
        <v>335</v>
      </c>
      <c r="C128" t="s">
        <v>336</v>
      </c>
      <c r="D128" s="31">
        <v>0</v>
      </c>
      <c r="E128" s="31">
        <v>0</v>
      </c>
      <c r="F128" s="31">
        <v>0</v>
      </c>
      <c r="G128" s="31">
        <v>0</v>
      </c>
      <c r="H128" s="32">
        <v>0</v>
      </c>
      <c r="I128">
        <v>0</v>
      </c>
      <c r="J128" s="33">
        <v>0</v>
      </c>
      <c r="K128" s="33">
        <v>0</v>
      </c>
      <c r="L128" s="33">
        <v>0</v>
      </c>
      <c r="M128">
        <v>0</v>
      </c>
      <c r="N128">
        <v>1</v>
      </c>
      <c r="O128">
        <v>0</v>
      </c>
      <c r="P128" t="s">
        <v>53</v>
      </c>
      <c r="Q128" t="s">
        <v>53</v>
      </c>
      <c r="R128" t="s">
        <v>53</v>
      </c>
      <c r="S128" t="s">
        <v>53</v>
      </c>
      <c r="T128" t="s">
        <v>53</v>
      </c>
      <c r="U128" t="s">
        <v>53</v>
      </c>
      <c r="V128" t="s">
        <v>53</v>
      </c>
      <c r="W128" t="s">
        <v>53</v>
      </c>
      <c r="X128" s="22" t="s">
        <v>53</v>
      </c>
      <c r="Y128" s="22" t="s">
        <v>53</v>
      </c>
      <c r="Z128" s="22" t="s">
        <v>53</v>
      </c>
      <c r="AA128" s="22" t="s">
        <v>53</v>
      </c>
      <c r="AB128" t="s">
        <v>53</v>
      </c>
      <c r="AC128" t="s">
        <v>53</v>
      </c>
      <c r="AD128" t="s">
        <v>53</v>
      </c>
      <c r="AE128" t="s">
        <v>53</v>
      </c>
      <c r="AF128" s="22" t="s">
        <v>53</v>
      </c>
      <c r="AG128" s="22" t="s">
        <v>53</v>
      </c>
      <c r="AH128" s="22" t="s">
        <v>53</v>
      </c>
      <c r="AI128" s="22" t="s">
        <v>53</v>
      </c>
      <c r="AJ128">
        <v>0</v>
      </c>
      <c r="AK128">
        <v>0</v>
      </c>
      <c r="AL128">
        <v>0</v>
      </c>
      <c r="AM128">
        <v>0</v>
      </c>
      <c r="AN128" s="22" t="s">
        <v>53</v>
      </c>
      <c r="AO128" s="22" t="s">
        <v>53</v>
      </c>
      <c r="AP128" s="22" t="s">
        <v>53</v>
      </c>
      <c r="AQ128" s="22" t="s">
        <v>53</v>
      </c>
      <c r="AR128" s="35">
        <v>0</v>
      </c>
      <c r="AS128" s="35">
        <v>0</v>
      </c>
      <c r="AT128" s="35">
        <v>0</v>
      </c>
      <c r="AU128" s="31" t="str">
        <f t="shared" si="5"/>
        <v>库存为0</v>
      </c>
      <c r="AV128" s="36" t="str">
        <f>IFERROR(时间!$B$4+AU128,"上周无销量")</f>
        <v>上周无销量</v>
      </c>
    </row>
    <row r="129" spans="1:48">
      <c r="A129" s="20" t="s">
        <v>339</v>
      </c>
      <c r="B129" t="s">
        <v>335</v>
      </c>
      <c r="C129" t="s">
        <v>336</v>
      </c>
      <c r="D129" s="31">
        <v>0</v>
      </c>
      <c r="E129" s="31">
        <v>0</v>
      </c>
      <c r="F129" s="31">
        <v>0</v>
      </c>
      <c r="G129" s="31">
        <v>0</v>
      </c>
      <c r="H129" s="32">
        <v>0</v>
      </c>
      <c r="I129">
        <v>0</v>
      </c>
      <c r="J129" s="33">
        <v>0</v>
      </c>
      <c r="K129" s="33">
        <v>0</v>
      </c>
      <c r="L129" s="33">
        <v>0</v>
      </c>
      <c r="M129">
        <v>0</v>
      </c>
      <c r="N129">
        <v>0</v>
      </c>
      <c r="O129">
        <v>0</v>
      </c>
      <c r="P129" t="s">
        <v>53</v>
      </c>
      <c r="Q129" t="s">
        <v>53</v>
      </c>
      <c r="R129" t="s">
        <v>53</v>
      </c>
      <c r="S129" t="s">
        <v>53</v>
      </c>
      <c r="T129" t="s">
        <v>53</v>
      </c>
      <c r="U129" t="s">
        <v>53</v>
      </c>
      <c r="V129" t="s">
        <v>53</v>
      </c>
      <c r="W129" t="s">
        <v>53</v>
      </c>
      <c r="X129" s="22" t="s">
        <v>53</v>
      </c>
      <c r="Y129" s="22" t="s">
        <v>53</v>
      </c>
      <c r="Z129" s="22" t="s">
        <v>53</v>
      </c>
      <c r="AA129" s="22" t="s">
        <v>53</v>
      </c>
      <c r="AB129" t="s">
        <v>53</v>
      </c>
      <c r="AC129" t="s">
        <v>53</v>
      </c>
      <c r="AD129" t="s">
        <v>53</v>
      </c>
      <c r="AE129" t="s">
        <v>53</v>
      </c>
      <c r="AF129" s="22" t="s">
        <v>53</v>
      </c>
      <c r="AG129" s="22" t="s">
        <v>53</v>
      </c>
      <c r="AH129" s="22" t="s">
        <v>53</v>
      </c>
      <c r="AI129" s="22" t="s">
        <v>53</v>
      </c>
      <c r="AJ129">
        <v>0</v>
      </c>
      <c r="AK129">
        <v>0</v>
      </c>
      <c r="AL129">
        <v>0</v>
      </c>
      <c r="AM129">
        <v>0</v>
      </c>
      <c r="AN129" s="22" t="s">
        <v>53</v>
      </c>
      <c r="AO129" s="22" t="s">
        <v>53</v>
      </c>
      <c r="AP129" s="22" t="s">
        <v>53</v>
      </c>
      <c r="AQ129" s="22" t="s">
        <v>53</v>
      </c>
      <c r="AR129" s="35">
        <v>0</v>
      </c>
      <c r="AS129" s="35">
        <v>0</v>
      </c>
      <c r="AT129" s="35">
        <v>0</v>
      </c>
      <c r="AU129" s="31" t="str">
        <f t="shared" si="5"/>
        <v>库存为0</v>
      </c>
      <c r="AV129" s="36" t="str">
        <f>IFERROR(时间!$B$4+AU129,"上周无销量")</f>
        <v>上周无销量</v>
      </c>
    </row>
    <row r="130" spans="1:48">
      <c r="A130" s="20" t="s">
        <v>340</v>
      </c>
      <c r="B130" t="s">
        <v>341</v>
      </c>
      <c r="C130" t="s">
        <v>342</v>
      </c>
      <c r="D130" s="31">
        <v>0</v>
      </c>
      <c r="E130" s="31">
        <v>0</v>
      </c>
      <c r="F130" s="31">
        <v>0</v>
      </c>
      <c r="G130" s="31">
        <v>0</v>
      </c>
      <c r="H130" s="32">
        <v>0</v>
      </c>
      <c r="I130">
        <v>0</v>
      </c>
      <c r="J130" s="33">
        <v>0</v>
      </c>
      <c r="K130" s="33">
        <v>0</v>
      </c>
      <c r="L130" s="33">
        <v>0</v>
      </c>
      <c r="M130">
        <v>0</v>
      </c>
      <c r="N130">
        <v>0</v>
      </c>
      <c r="O130">
        <v>0</v>
      </c>
      <c r="P130" t="s">
        <v>53</v>
      </c>
      <c r="Q130" t="s">
        <v>53</v>
      </c>
      <c r="R130" t="s">
        <v>53</v>
      </c>
      <c r="S130" t="s">
        <v>53</v>
      </c>
      <c r="T130" t="s">
        <v>53</v>
      </c>
      <c r="U130" t="s">
        <v>53</v>
      </c>
      <c r="V130" t="s">
        <v>53</v>
      </c>
      <c r="W130" t="s">
        <v>53</v>
      </c>
      <c r="X130" s="22" t="s">
        <v>53</v>
      </c>
      <c r="Y130" s="22" t="s">
        <v>53</v>
      </c>
      <c r="Z130" s="22" t="s">
        <v>53</v>
      </c>
      <c r="AA130" s="22" t="s">
        <v>53</v>
      </c>
      <c r="AB130" t="s">
        <v>53</v>
      </c>
      <c r="AC130" t="s">
        <v>53</v>
      </c>
      <c r="AD130" t="s">
        <v>53</v>
      </c>
      <c r="AE130" t="s">
        <v>53</v>
      </c>
      <c r="AF130" s="22" t="s">
        <v>53</v>
      </c>
      <c r="AG130" s="22" t="s">
        <v>53</v>
      </c>
      <c r="AH130" s="22" t="s">
        <v>53</v>
      </c>
      <c r="AI130" s="22" t="s">
        <v>53</v>
      </c>
      <c r="AJ130">
        <v>0</v>
      </c>
      <c r="AK130">
        <v>0</v>
      </c>
      <c r="AL130">
        <v>0</v>
      </c>
      <c r="AM130">
        <v>0</v>
      </c>
      <c r="AN130" s="22" t="s">
        <v>53</v>
      </c>
      <c r="AO130" s="22" t="s">
        <v>53</v>
      </c>
      <c r="AP130" s="22" t="s">
        <v>53</v>
      </c>
      <c r="AQ130" s="22" t="s">
        <v>53</v>
      </c>
      <c r="AR130" s="35">
        <v>0</v>
      </c>
      <c r="AS130" s="35">
        <v>0</v>
      </c>
      <c r="AT130" s="35">
        <v>0</v>
      </c>
      <c r="AU130" s="31" t="str">
        <f t="shared" si="5"/>
        <v>库存为0</v>
      </c>
      <c r="AV130" s="36" t="str">
        <f>IFERROR(时间!$B$4+AU130,"上周无销量")</f>
        <v>上周无销量</v>
      </c>
    </row>
    <row r="131" spans="1:48">
      <c r="A131" s="20" t="s">
        <v>343</v>
      </c>
      <c r="B131" t="s">
        <v>344</v>
      </c>
      <c r="C131" t="s">
        <v>343</v>
      </c>
      <c r="D131" s="31">
        <v>0</v>
      </c>
      <c r="E131" s="31">
        <v>1</v>
      </c>
      <c r="F131" s="31">
        <v>0</v>
      </c>
      <c r="G131" s="31">
        <v>1</v>
      </c>
      <c r="H131" s="32">
        <v>8.99</v>
      </c>
      <c r="I131">
        <v>15</v>
      </c>
      <c r="J131" s="33">
        <v>0</v>
      </c>
      <c r="K131" s="33">
        <v>0</v>
      </c>
      <c r="L131" s="33">
        <v>0</v>
      </c>
      <c r="M131">
        <v>15</v>
      </c>
      <c r="N131">
        <v>0</v>
      </c>
      <c r="O131">
        <v>0</v>
      </c>
      <c r="P131" t="s">
        <v>53</v>
      </c>
      <c r="Q131" t="s">
        <v>53</v>
      </c>
      <c r="R131" t="s">
        <v>53</v>
      </c>
      <c r="S131" t="s">
        <v>53</v>
      </c>
      <c r="T131" t="s">
        <v>53</v>
      </c>
      <c r="U131" t="s">
        <v>53</v>
      </c>
      <c r="V131" t="s">
        <v>53</v>
      </c>
      <c r="W131" t="s">
        <v>53</v>
      </c>
      <c r="X131" s="22" t="s">
        <v>53</v>
      </c>
      <c r="Y131" s="22" t="s">
        <v>53</v>
      </c>
      <c r="Z131" s="22" t="s">
        <v>53</v>
      </c>
      <c r="AA131" s="22" t="s">
        <v>53</v>
      </c>
      <c r="AB131" t="s">
        <v>53</v>
      </c>
      <c r="AC131" t="s">
        <v>53</v>
      </c>
      <c r="AD131" t="s">
        <v>53</v>
      </c>
      <c r="AE131" t="s">
        <v>53</v>
      </c>
      <c r="AF131" s="22" t="s">
        <v>53</v>
      </c>
      <c r="AG131" s="22" t="s">
        <v>53</v>
      </c>
      <c r="AH131" s="22" t="s">
        <v>53</v>
      </c>
      <c r="AI131" s="22" t="s">
        <v>53</v>
      </c>
      <c r="AJ131">
        <v>17</v>
      </c>
      <c r="AK131">
        <v>20</v>
      </c>
      <c r="AL131">
        <v>11</v>
      </c>
      <c r="AM131">
        <v>7</v>
      </c>
      <c r="AN131" s="22">
        <v>0</v>
      </c>
      <c r="AO131" s="22">
        <v>0.05</v>
      </c>
      <c r="AP131" s="22">
        <v>0</v>
      </c>
      <c r="AQ131" s="22">
        <v>0.142857142857143</v>
      </c>
      <c r="AR131" s="35">
        <v>0</v>
      </c>
      <c r="AS131" s="35">
        <v>0</v>
      </c>
      <c r="AT131" s="35">
        <v>15</v>
      </c>
      <c r="AU131" s="31" t="str">
        <f t="shared" si="5"/>
        <v>库存为15</v>
      </c>
      <c r="AV131" s="36" t="str">
        <f>IFERROR(时间!$B$4+AU131,"上周无销量")</f>
        <v>上周无销量</v>
      </c>
    </row>
    <row r="132" spans="1:48">
      <c r="A132" s="20" t="s">
        <v>345</v>
      </c>
      <c r="B132" t="s">
        <v>346</v>
      </c>
      <c r="C132" t="s">
        <v>347</v>
      </c>
      <c r="D132" s="31">
        <v>0</v>
      </c>
      <c r="E132" s="31">
        <v>0</v>
      </c>
      <c r="F132" s="31">
        <v>0</v>
      </c>
      <c r="G132" s="31">
        <v>2</v>
      </c>
      <c r="H132" s="32">
        <v>16.66</v>
      </c>
      <c r="I132">
        <v>0</v>
      </c>
      <c r="J132" s="33">
        <v>0</v>
      </c>
      <c r="K132" s="33">
        <v>0</v>
      </c>
      <c r="L132" s="33">
        <v>0</v>
      </c>
      <c r="M132">
        <v>0</v>
      </c>
      <c r="N132">
        <v>0</v>
      </c>
      <c r="O132">
        <v>0</v>
      </c>
      <c r="P132">
        <v>0</v>
      </c>
      <c r="Q132">
        <v>15565</v>
      </c>
      <c r="R132">
        <v>18655</v>
      </c>
      <c r="S132">
        <v>0</v>
      </c>
      <c r="T132">
        <v>0</v>
      </c>
      <c r="U132">
        <v>9</v>
      </c>
      <c r="V132">
        <v>32</v>
      </c>
      <c r="W132">
        <v>0</v>
      </c>
      <c r="X132" s="22" t="s">
        <v>53</v>
      </c>
      <c r="Y132" s="22">
        <v>0.000578220366206232</v>
      </c>
      <c r="Z132" s="22">
        <v>0.00171535781291879</v>
      </c>
      <c r="AA132" s="22" t="s">
        <v>53</v>
      </c>
      <c r="AB132">
        <v>0</v>
      </c>
      <c r="AC132">
        <v>6.03</v>
      </c>
      <c r="AD132">
        <v>22.8</v>
      </c>
      <c r="AE132">
        <v>0</v>
      </c>
      <c r="AF132" s="22" t="s">
        <v>53</v>
      </c>
      <c r="AG132" s="22" t="s">
        <v>348</v>
      </c>
      <c r="AH132" s="22" t="s">
        <v>349</v>
      </c>
      <c r="AI132" s="22" t="s">
        <v>53</v>
      </c>
      <c r="AJ132">
        <v>0</v>
      </c>
      <c r="AK132">
        <v>0</v>
      </c>
      <c r="AL132">
        <v>13</v>
      </c>
      <c r="AM132">
        <v>21</v>
      </c>
      <c r="AN132" s="22" t="s">
        <v>53</v>
      </c>
      <c r="AO132" s="22" t="s">
        <v>53</v>
      </c>
      <c r="AP132" s="22">
        <v>0</v>
      </c>
      <c r="AQ132" s="22">
        <v>0.0952380952380952</v>
      </c>
      <c r="AR132" s="35">
        <v>0</v>
      </c>
      <c r="AS132" s="35">
        <v>0</v>
      </c>
      <c r="AT132" s="35">
        <v>0</v>
      </c>
      <c r="AU132" s="31" t="str">
        <f t="shared" si="5"/>
        <v>库存为0</v>
      </c>
      <c r="AV132" s="36" t="str">
        <f>IFERROR(时间!$B$4+AU132,"上周无销量")</f>
        <v>上周无销量</v>
      </c>
    </row>
    <row r="133" spans="1:48">
      <c r="A133" s="20" t="s">
        <v>350</v>
      </c>
      <c r="B133" t="s">
        <v>351</v>
      </c>
      <c r="C133" t="s">
        <v>347</v>
      </c>
      <c r="D133" s="31">
        <v>0</v>
      </c>
      <c r="E133" s="31">
        <v>0</v>
      </c>
      <c r="F133" s="31">
        <v>1</v>
      </c>
      <c r="G133" s="31">
        <v>0</v>
      </c>
      <c r="H133" s="32">
        <v>10</v>
      </c>
      <c r="I133">
        <v>0</v>
      </c>
      <c r="J133" s="33">
        <v>0</v>
      </c>
      <c r="K133" s="33">
        <v>0</v>
      </c>
      <c r="L133" s="33">
        <v>0</v>
      </c>
      <c r="M133">
        <v>0</v>
      </c>
      <c r="N133">
        <v>0</v>
      </c>
      <c r="O133">
        <v>0</v>
      </c>
      <c r="P133">
        <v>0</v>
      </c>
      <c r="Q133">
        <v>57</v>
      </c>
      <c r="R133">
        <v>4980</v>
      </c>
      <c r="S133">
        <v>0</v>
      </c>
      <c r="T133">
        <v>0</v>
      </c>
      <c r="U133">
        <v>0</v>
      </c>
      <c r="V133">
        <v>20</v>
      </c>
      <c r="W133">
        <v>0</v>
      </c>
      <c r="X133" s="22" t="s">
        <v>53</v>
      </c>
      <c r="Y133" s="22">
        <v>0</v>
      </c>
      <c r="Z133" s="22">
        <v>0.00401606425702811</v>
      </c>
      <c r="AA133" s="22" t="s">
        <v>53</v>
      </c>
      <c r="AB133">
        <v>0</v>
      </c>
      <c r="AC133">
        <v>0</v>
      </c>
      <c r="AD133">
        <v>10.67</v>
      </c>
      <c r="AE133">
        <v>0</v>
      </c>
      <c r="AF133" s="22" t="s">
        <v>53</v>
      </c>
      <c r="AG133" s="22" t="s">
        <v>53</v>
      </c>
      <c r="AH133" s="22">
        <v>1.067</v>
      </c>
      <c r="AI133" s="22" t="s">
        <v>53</v>
      </c>
      <c r="AJ133">
        <v>0</v>
      </c>
      <c r="AK133">
        <v>0</v>
      </c>
      <c r="AL133">
        <v>11</v>
      </c>
      <c r="AM133">
        <v>17</v>
      </c>
      <c r="AN133" s="22" t="s">
        <v>53</v>
      </c>
      <c r="AO133" s="22" t="s">
        <v>53</v>
      </c>
      <c r="AP133" s="22">
        <v>0.0909090909090909</v>
      </c>
      <c r="AQ133" s="22">
        <v>0</v>
      </c>
      <c r="AR133" s="35">
        <v>0</v>
      </c>
      <c r="AS133" s="35">
        <v>0</v>
      </c>
      <c r="AT133" s="35">
        <v>0</v>
      </c>
      <c r="AU133" s="31" t="str">
        <f t="shared" ref="AU133:AU196" si="6">IF(AR133="","库存为"&amp;M133,IF(AS133=0,"库存为"&amp;M133,INT(M133/AR133)))</f>
        <v>库存为0</v>
      </c>
      <c r="AV133" s="36" t="str">
        <f>IFERROR(时间!$B$4+AU133,"上周无销量")</f>
        <v>上周无销量</v>
      </c>
    </row>
    <row r="134" spans="1:48">
      <c r="A134" s="20" t="s">
        <v>352</v>
      </c>
      <c r="B134" t="s">
        <v>353</v>
      </c>
      <c r="C134" t="s">
        <v>347</v>
      </c>
      <c r="D134" s="31">
        <v>0</v>
      </c>
      <c r="E134" s="31">
        <v>0</v>
      </c>
      <c r="F134" s="31">
        <v>0</v>
      </c>
      <c r="G134" s="31">
        <v>1</v>
      </c>
      <c r="H134" s="32">
        <v>13</v>
      </c>
      <c r="I134">
        <v>0</v>
      </c>
      <c r="J134" s="33">
        <v>0</v>
      </c>
      <c r="K134" s="33">
        <v>0</v>
      </c>
      <c r="L134" s="33">
        <v>0</v>
      </c>
      <c r="M134">
        <v>0</v>
      </c>
      <c r="N134">
        <v>0</v>
      </c>
      <c r="O134">
        <v>0</v>
      </c>
      <c r="P134">
        <v>0</v>
      </c>
      <c r="Q134">
        <v>7</v>
      </c>
      <c r="R134">
        <v>1557</v>
      </c>
      <c r="S134">
        <v>0</v>
      </c>
      <c r="T134">
        <v>0</v>
      </c>
      <c r="U134">
        <v>0</v>
      </c>
      <c r="V134">
        <v>14</v>
      </c>
      <c r="W134">
        <v>0</v>
      </c>
      <c r="X134" s="22" t="s">
        <v>53</v>
      </c>
      <c r="Y134" s="22">
        <v>0</v>
      </c>
      <c r="Z134" s="22">
        <v>0.00899165061014772</v>
      </c>
      <c r="AA134" s="22" t="s">
        <v>53</v>
      </c>
      <c r="AB134">
        <v>0</v>
      </c>
      <c r="AC134">
        <v>0</v>
      </c>
      <c r="AD134">
        <v>9.73</v>
      </c>
      <c r="AE134">
        <v>0</v>
      </c>
      <c r="AF134" s="22" t="s">
        <v>53</v>
      </c>
      <c r="AG134" s="22" t="s">
        <v>53</v>
      </c>
      <c r="AH134" s="22" t="s">
        <v>354</v>
      </c>
      <c r="AI134" s="22" t="s">
        <v>53</v>
      </c>
      <c r="AJ134">
        <v>0</v>
      </c>
      <c r="AK134">
        <v>0</v>
      </c>
      <c r="AL134">
        <v>13</v>
      </c>
      <c r="AM134">
        <v>17</v>
      </c>
      <c r="AN134" s="22" t="s">
        <v>53</v>
      </c>
      <c r="AO134" s="22" t="s">
        <v>53</v>
      </c>
      <c r="AP134" s="22">
        <v>0</v>
      </c>
      <c r="AQ134" s="22">
        <v>0.0588235294117647</v>
      </c>
      <c r="AR134" s="35">
        <v>0</v>
      </c>
      <c r="AS134" s="35">
        <v>0</v>
      </c>
      <c r="AT134" s="35">
        <v>0</v>
      </c>
      <c r="AU134" s="31" t="str">
        <f t="shared" si="6"/>
        <v>库存为0</v>
      </c>
      <c r="AV134" s="36" t="str">
        <f>IFERROR(时间!$B$4+AU134,"上周无销量")</f>
        <v>上周无销量</v>
      </c>
    </row>
    <row r="135" spans="1:48">
      <c r="A135" s="20" t="s">
        <v>355</v>
      </c>
      <c r="B135" t="s">
        <v>356</v>
      </c>
      <c r="C135" t="s">
        <v>357</v>
      </c>
      <c r="D135" s="31">
        <v>0</v>
      </c>
      <c r="E135" s="31">
        <v>0</v>
      </c>
      <c r="F135" s="31">
        <v>0</v>
      </c>
      <c r="G135" s="31">
        <v>0</v>
      </c>
      <c r="H135" s="32">
        <v>0</v>
      </c>
      <c r="I135">
        <v>0</v>
      </c>
      <c r="J135" s="33">
        <v>0</v>
      </c>
      <c r="K135" s="33">
        <v>0</v>
      </c>
      <c r="L135" s="33">
        <v>0</v>
      </c>
      <c r="M135">
        <v>0</v>
      </c>
      <c r="N135">
        <v>0</v>
      </c>
      <c r="O135">
        <v>0</v>
      </c>
      <c r="P135" t="s">
        <v>53</v>
      </c>
      <c r="Q135" t="s">
        <v>53</v>
      </c>
      <c r="R135" t="s">
        <v>53</v>
      </c>
      <c r="S135" t="s">
        <v>53</v>
      </c>
      <c r="T135" t="s">
        <v>53</v>
      </c>
      <c r="U135" t="s">
        <v>53</v>
      </c>
      <c r="V135" t="s">
        <v>53</v>
      </c>
      <c r="W135" t="s">
        <v>53</v>
      </c>
      <c r="X135" s="22" t="s">
        <v>53</v>
      </c>
      <c r="Y135" s="22" t="s">
        <v>53</v>
      </c>
      <c r="Z135" s="22" t="s">
        <v>53</v>
      </c>
      <c r="AA135" s="22" t="s">
        <v>53</v>
      </c>
      <c r="AB135" t="s">
        <v>53</v>
      </c>
      <c r="AC135" t="s">
        <v>53</v>
      </c>
      <c r="AD135" t="s">
        <v>53</v>
      </c>
      <c r="AE135" t="s">
        <v>53</v>
      </c>
      <c r="AF135" s="22" t="s">
        <v>53</v>
      </c>
      <c r="AG135" s="22" t="s">
        <v>53</v>
      </c>
      <c r="AH135" s="22" t="s">
        <v>53</v>
      </c>
      <c r="AI135" s="22" t="s">
        <v>53</v>
      </c>
      <c r="AJ135">
        <v>0</v>
      </c>
      <c r="AK135">
        <v>0</v>
      </c>
      <c r="AL135">
        <v>0</v>
      </c>
      <c r="AM135">
        <v>0</v>
      </c>
      <c r="AN135" s="22" t="s">
        <v>53</v>
      </c>
      <c r="AO135" s="22" t="s">
        <v>53</v>
      </c>
      <c r="AP135" s="22" t="s">
        <v>53</v>
      </c>
      <c r="AQ135" s="22" t="s">
        <v>53</v>
      </c>
      <c r="AR135" s="35">
        <v>0</v>
      </c>
      <c r="AS135" s="35">
        <v>0</v>
      </c>
      <c r="AT135" s="35">
        <v>0</v>
      </c>
      <c r="AU135" s="31" t="str">
        <f t="shared" si="6"/>
        <v>库存为0</v>
      </c>
      <c r="AV135" s="36" t="str">
        <f>IFERROR(时间!$B$4+AU135,"上周无销量")</f>
        <v>上周无销量</v>
      </c>
    </row>
    <row r="136" spans="1:48">
      <c r="A136" s="20" t="s">
        <v>358</v>
      </c>
      <c r="B136" t="s">
        <v>359</v>
      </c>
      <c r="C136" t="s">
        <v>357</v>
      </c>
      <c r="D136" s="31">
        <v>0</v>
      </c>
      <c r="E136" s="31">
        <v>0</v>
      </c>
      <c r="F136" s="31">
        <v>0</v>
      </c>
      <c r="G136" s="31">
        <v>0</v>
      </c>
      <c r="H136" s="32">
        <v>0</v>
      </c>
      <c r="I136">
        <v>0</v>
      </c>
      <c r="J136" s="33">
        <v>0</v>
      </c>
      <c r="K136" s="33">
        <v>0</v>
      </c>
      <c r="L136" s="33">
        <v>0</v>
      </c>
      <c r="M136">
        <v>0</v>
      </c>
      <c r="N136">
        <v>0</v>
      </c>
      <c r="O136">
        <v>0</v>
      </c>
      <c r="P136" t="s">
        <v>53</v>
      </c>
      <c r="Q136" t="s">
        <v>53</v>
      </c>
      <c r="R136" t="s">
        <v>53</v>
      </c>
      <c r="S136" t="s">
        <v>53</v>
      </c>
      <c r="T136" t="s">
        <v>53</v>
      </c>
      <c r="U136" t="s">
        <v>53</v>
      </c>
      <c r="V136" t="s">
        <v>53</v>
      </c>
      <c r="W136" t="s">
        <v>53</v>
      </c>
      <c r="X136" s="22" t="s">
        <v>53</v>
      </c>
      <c r="Y136" s="22" t="s">
        <v>53</v>
      </c>
      <c r="Z136" s="22" t="s">
        <v>53</v>
      </c>
      <c r="AA136" s="22" t="s">
        <v>53</v>
      </c>
      <c r="AB136" t="s">
        <v>53</v>
      </c>
      <c r="AC136" t="s">
        <v>53</v>
      </c>
      <c r="AD136" t="s">
        <v>53</v>
      </c>
      <c r="AE136" t="s">
        <v>53</v>
      </c>
      <c r="AF136" s="22" t="s">
        <v>53</v>
      </c>
      <c r="AG136" s="22" t="s">
        <v>53</v>
      </c>
      <c r="AH136" s="22" t="s">
        <v>53</v>
      </c>
      <c r="AI136" s="22" t="s">
        <v>53</v>
      </c>
      <c r="AJ136">
        <v>0</v>
      </c>
      <c r="AK136">
        <v>0</v>
      </c>
      <c r="AL136">
        <v>0</v>
      </c>
      <c r="AM136">
        <v>0</v>
      </c>
      <c r="AN136" s="22" t="s">
        <v>53</v>
      </c>
      <c r="AO136" s="22" t="s">
        <v>53</v>
      </c>
      <c r="AP136" s="22" t="s">
        <v>53</v>
      </c>
      <c r="AQ136" s="22" t="s">
        <v>53</v>
      </c>
      <c r="AR136" s="35">
        <v>0</v>
      </c>
      <c r="AS136" s="35">
        <v>0</v>
      </c>
      <c r="AT136" s="35">
        <v>0</v>
      </c>
      <c r="AU136" s="31" t="str">
        <f t="shared" si="6"/>
        <v>库存为0</v>
      </c>
      <c r="AV136" s="36" t="str">
        <f>IFERROR(时间!$B$4+AU136,"上周无销量")</f>
        <v>上周无销量</v>
      </c>
    </row>
    <row r="137" spans="1:48">
      <c r="A137" s="20" t="s">
        <v>360</v>
      </c>
      <c r="B137" t="s">
        <v>361</v>
      </c>
      <c r="C137" t="s">
        <v>357</v>
      </c>
      <c r="D137" s="31">
        <v>0</v>
      </c>
      <c r="E137" s="31">
        <v>2</v>
      </c>
      <c r="F137" s="31">
        <v>10</v>
      </c>
      <c r="G137" s="31">
        <v>3</v>
      </c>
      <c r="H137" s="32">
        <v>13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0</v>
      </c>
      <c r="O137">
        <v>0</v>
      </c>
      <c r="P137">
        <v>0</v>
      </c>
      <c r="Q137">
        <v>570</v>
      </c>
      <c r="R137">
        <v>189</v>
      </c>
      <c r="S137">
        <v>88</v>
      </c>
      <c r="T137">
        <v>0</v>
      </c>
      <c r="U137">
        <v>7</v>
      </c>
      <c r="V137">
        <v>0</v>
      </c>
      <c r="W137">
        <v>0</v>
      </c>
      <c r="X137" s="22" t="s">
        <v>53</v>
      </c>
      <c r="Y137" s="22">
        <v>0.012280701754386</v>
      </c>
      <c r="Z137" s="22">
        <v>0</v>
      </c>
      <c r="AA137" s="22">
        <v>0</v>
      </c>
      <c r="AB137">
        <v>0</v>
      </c>
      <c r="AC137">
        <v>3.91</v>
      </c>
      <c r="AD137">
        <v>0</v>
      </c>
      <c r="AE137">
        <v>0</v>
      </c>
      <c r="AF137" s="22" t="s">
        <v>53</v>
      </c>
      <c r="AG137" s="22">
        <v>0.150384615384615</v>
      </c>
      <c r="AH137" s="22" t="s">
        <v>53</v>
      </c>
      <c r="AI137" s="22" t="s">
        <v>53</v>
      </c>
      <c r="AJ137">
        <v>0</v>
      </c>
      <c r="AK137">
        <v>7</v>
      </c>
      <c r="AL137">
        <v>53</v>
      </c>
      <c r="AM137">
        <v>26</v>
      </c>
      <c r="AN137" s="22" t="s">
        <v>53</v>
      </c>
      <c r="AO137" s="22">
        <v>0.285714285714286</v>
      </c>
      <c r="AP137" s="22">
        <v>0.188679245283019</v>
      </c>
      <c r="AQ137" s="22">
        <v>0.115384615384615</v>
      </c>
      <c r="AR137" s="35">
        <v>0</v>
      </c>
      <c r="AS137" s="35">
        <v>0</v>
      </c>
      <c r="AT137" s="35">
        <v>0</v>
      </c>
      <c r="AU137" s="31" t="str">
        <f t="shared" si="6"/>
        <v>库存为0</v>
      </c>
      <c r="AV137" s="36" t="str">
        <f>IFERROR(时间!$B$4+AU137,"上周无销量")</f>
        <v>上周无销量</v>
      </c>
    </row>
    <row r="138" spans="1:48">
      <c r="A138" s="20" t="s">
        <v>362</v>
      </c>
      <c r="B138" t="s">
        <v>363</v>
      </c>
      <c r="C138" t="s">
        <v>357</v>
      </c>
      <c r="D138" s="31">
        <v>0</v>
      </c>
      <c r="E138" s="31">
        <v>0</v>
      </c>
      <c r="F138" s="31">
        <v>0</v>
      </c>
      <c r="G138" s="31">
        <v>6</v>
      </c>
      <c r="H138" s="32">
        <v>13.99</v>
      </c>
      <c r="I138">
        <v>0</v>
      </c>
      <c r="J138" s="33">
        <v>0</v>
      </c>
      <c r="K138" s="33">
        <v>0</v>
      </c>
      <c r="L138" s="33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20124</v>
      </c>
      <c r="S138">
        <v>28310</v>
      </c>
      <c r="T138">
        <v>0</v>
      </c>
      <c r="U138">
        <v>0</v>
      </c>
      <c r="V138">
        <v>77</v>
      </c>
      <c r="W138">
        <v>152</v>
      </c>
      <c r="X138" s="22" t="s">
        <v>53</v>
      </c>
      <c r="Y138" s="22" t="s">
        <v>53</v>
      </c>
      <c r="Z138" s="22">
        <v>0.00382627708209104</v>
      </c>
      <c r="AA138" s="22">
        <v>0.00536912751677852</v>
      </c>
      <c r="AB138">
        <v>0</v>
      </c>
      <c r="AC138">
        <v>0</v>
      </c>
      <c r="AD138">
        <v>31.31</v>
      </c>
      <c r="AE138">
        <v>56.73</v>
      </c>
      <c r="AF138" s="22" t="s">
        <v>53</v>
      </c>
      <c r="AG138" s="22" t="s">
        <v>53</v>
      </c>
      <c r="AH138" s="22" t="s">
        <v>364</v>
      </c>
      <c r="AI138" s="22">
        <v>0.675839885632595</v>
      </c>
      <c r="AJ138">
        <v>0</v>
      </c>
      <c r="AK138">
        <v>0</v>
      </c>
      <c r="AL138">
        <v>0</v>
      </c>
      <c r="AM138">
        <v>42</v>
      </c>
      <c r="AN138" s="22" t="s">
        <v>53</v>
      </c>
      <c r="AO138" s="22" t="s">
        <v>53</v>
      </c>
      <c r="AP138" s="22" t="s">
        <v>53</v>
      </c>
      <c r="AQ138" s="22">
        <v>0.142857142857143</v>
      </c>
      <c r="AR138" s="35">
        <v>0</v>
      </c>
      <c r="AS138" s="35">
        <v>0</v>
      </c>
      <c r="AT138" s="35">
        <v>0</v>
      </c>
      <c r="AU138" s="31" t="str">
        <f t="shared" si="6"/>
        <v>库存为0</v>
      </c>
      <c r="AV138" s="36" t="str">
        <f>IFERROR(时间!$B$4+AU138,"上周无销量")</f>
        <v>上周无销量</v>
      </c>
    </row>
    <row r="139" spans="1:48">
      <c r="A139" s="20" t="s">
        <v>365</v>
      </c>
      <c r="B139" t="s">
        <v>366</v>
      </c>
      <c r="C139" t="s">
        <v>367</v>
      </c>
      <c r="D139" s="31">
        <v>0</v>
      </c>
      <c r="E139" s="31">
        <v>0</v>
      </c>
      <c r="F139" s="31">
        <v>4</v>
      </c>
      <c r="G139" s="31">
        <v>5</v>
      </c>
      <c r="H139" s="32">
        <v>13.99</v>
      </c>
      <c r="I139">
        <v>0</v>
      </c>
      <c r="J139" s="33">
        <v>0</v>
      </c>
      <c r="K139" s="33">
        <v>0</v>
      </c>
      <c r="L139" s="33">
        <v>0</v>
      </c>
      <c r="M139">
        <v>0</v>
      </c>
      <c r="N139">
        <v>0</v>
      </c>
      <c r="O139">
        <v>0</v>
      </c>
      <c r="P139" t="s">
        <v>53</v>
      </c>
      <c r="Q139" t="s">
        <v>53</v>
      </c>
      <c r="R139" t="s">
        <v>53</v>
      </c>
      <c r="S139" t="s">
        <v>53</v>
      </c>
      <c r="T139" t="s">
        <v>53</v>
      </c>
      <c r="U139" t="s">
        <v>53</v>
      </c>
      <c r="V139" t="s">
        <v>53</v>
      </c>
      <c r="W139" t="s">
        <v>53</v>
      </c>
      <c r="X139" s="22" t="s">
        <v>53</v>
      </c>
      <c r="Y139" s="22" t="s">
        <v>53</v>
      </c>
      <c r="Z139" s="22" t="s">
        <v>53</v>
      </c>
      <c r="AA139" s="22" t="s">
        <v>53</v>
      </c>
      <c r="AB139" t="s">
        <v>53</v>
      </c>
      <c r="AC139" t="s">
        <v>53</v>
      </c>
      <c r="AD139" t="s">
        <v>53</v>
      </c>
      <c r="AE139" t="s">
        <v>53</v>
      </c>
      <c r="AF139" s="22" t="s">
        <v>53</v>
      </c>
      <c r="AG139" s="22" t="s">
        <v>53</v>
      </c>
      <c r="AH139" s="22" t="s">
        <v>53</v>
      </c>
      <c r="AI139" s="22" t="s">
        <v>53</v>
      </c>
      <c r="AJ139">
        <v>0</v>
      </c>
      <c r="AK139">
        <v>0</v>
      </c>
      <c r="AL139">
        <v>18</v>
      </c>
      <c r="AM139">
        <v>21</v>
      </c>
      <c r="AN139" s="22" t="s">
        <v>53</v>
      </c>
      <c r="AO139" s="22" t="s">
        <v>53</v>
      </c>
      <c r="AP139" s="22">
        <v>0.222222222222222</v>
      </c>
      <c r="AQ139" s="22">
        <v>0.238095238095238</v>
      </c>
      <c r="AR139" s="35">
        <v>0</v>
      </c>
      <c r="AS139" s="35">
        <v>0</v>
      </c>
      <c r="AT139" s="35">
        <v>0</v>
      </c>
      <c r="AU139" s="31" t="str">
        <f t="shared" si="6"/>
        <v>库存为0</v>
      </c>
      <c r="AV139" s="36" t="str">
        <f>IFERROR(时间!$B$4+AU139,"上周无销量")</f>
        <v>上周无销量</v>
      </c>
    </row>
    <row r="140" spans="1:48">
      <c r="A140" s="20" t="s">
        <v>368</v>
      </c>
      <c r="B140" t="s">
        <v>369</v>
      </c>
      <c r="C140" t="s">
        <v>370</v>
      </c>
      <c r="D140" s="31">
        <v>0</v>
      </c>
      <c r="E140" s="31">
        <v>0</v>
      </c>
      <c r="F140" s="31">
        <v>0</v>
      </c>
      <c r="G140" s="31">
        <v>0</v>
      </c>
      <c r="H140" s="32">
        <v>0</v>
      </c>
      <c r="I140">
        <v>5</v>
      </c>
      <c r="J140" s="33">
        <v>0</v>
      </c>
      <c r="K140" s="33">
        <v>0</v>
      </c>
      <c r="L140" s="33">
        <v>0</v>
      </c>
      <c r="M140">
        <v>5</v>
      </c>
      <c r="N140">
        <v>0</v>
      </c>
      <c r="O140">
        <v>5</v>
      </c>
      <c r="P140" t="s">
        <v>53</v>
      </c>
      <c r="Q140" t="s">
        <v>53</v>
      </c>
      <c r="R140" t="s">
        <v>53</v>
      </c>
      <c r="S140" t="s">
        <v>53</v>
      </c>
      <c r="T140" t="s">
        <v>53</v>
      </c>
      <c r="U140" t="s">
        <v>53</v>
      </c>
      <c r="V140" t="s">
        <v>53</v>
      </c>
      <c r="W140" t="s">
        <v>53</v>
      </c>
      <c r="X140" s="22" t="s">
        <v>53</v>
      </c>
      <c r="Y140" s="22" t="s">
        <v>53</v>
      </c>
      <c r="Z140" s="22" t="s">
        <v>53</v>
      </c>
      <c r="AA140" s="22" t="s">
        <v>53</v>
      </c>
      <c r="AB140" t="s">
        <v>53</v>
      </c>
      <c r="AC140" t="s">
        <v>53</v>
      </c>
      <c r="AD140" t="s">
        <v>53</v>
      </c>
      <c r="AE140" t="s">
        <v>53</v>
      </c>
      <c r="AF140" s="22" t="s">
        <v>53</v>
      </c>
      <c r="AG140" s="22" t="s">
        <v>53</v>
      </c>
      <c r="AH140" s="22" t="s">
        <v>53</v>
      </c>
      <c r="AI140" s="22" t="s">
        <v>53</v>
      </c>
      <c r="AJ140">
        <v>4</v>
      </c>
      <c r="AK140">
        <v>1</v>
      </c>
      <c r="AL140">
        <v>2</v>
      </c>
      <c r="AM140">
        <v>3</v>
      </c>
      <c r="AN140" s="22">
        <v>0</v>
      </c>
      <c r="AO140" s="22">
        <v>0</v>
      </c>
      <c r="AP140" s="22">
        <v>0</v>
      </c>
      <c r="AQ140" s="22">
        <v>0</v>
      </c>
      <c r="AR140" s="35">
        <v>0</v>
      </c>
      <c r="AS140" s="35">
        <v>0</v>
      </c>
      <c r="AT140" s="35">
        <v>5</v>
      </c>
      <c r="AU140" s="31" t="str">
        <f t="shared" si="6"/>
        <v>库存为5</v>
      </c>
      <c r="AV140" s="36" t="str">
        <f>IFERROR(时间!$B$4+AU140,"上周无销量")</f>
        <v>上周无销量</v>
      </c>
    </row>
    <row r="141" spans="1:48">
      <c r="A141" s="20" t="s">
        <v>371</v>
      </c>
      <c r="B141" t="s">
        <v>372</v>
      </c>
      <c r="C141" t="s">
        <v>370</v>
      </c>
      <c r="D141" s="31">
        <v>0</v>
      </c>
      <c r="E141" s="31">
        <v>0</v>
      </c>
      <c r="F141" s="31">
        <v>0</v>
      </c>
      <c r="G141" s="31">
        <v>0</v>
      </c>
      <c r="H141" s="32">
        <v>0</v>
      </c>
      <c r="I141">
        <v>4</v>
      </c>
      <c r="J141" s="33">
        <v>0</v>
      </c>
      <c r="K141" s="33">
        <v>0</v>
      </c>
      <c r="L141" s="33">
        <v>0</v>
      </c>
      <c r="M141">
        <v>4</v>
      </c>
      <c r="N141">
        <v>0</v>
      </c>
      <c r="O141">
        <v>4</v>
      </c>
      <c r="P141" t="s">
        <v>53</v>
      </c>
      <c r="Q141" t="s">
        <v>53</v>
      </c>
      <c r="R141" t="s">
        <v>53</v>
      </c>
      <c r="S141" t="s">
        <v>53</v>
      </c>
      <c r="T141" t="s">
        <v>53</v>
      </c>
      <c r="U141" t="s">
        <v>53</v>
      </c>
      <c r="V141" t="s">
        <v>53</v>
      </c>
      <c r="W141" t="s">
        <v>53</v>
      </c>
      <c r="X141" s="22" t="s">
        <v>53</v>
      </c>
      <c r="Y141" s="22" t="s">
        <v>53</v>
      </c>
      <c r="Z141" s="22" t="s">
        <v>53</v>
      </c>
      <c r="AA141" s="22" t="s">
        <v>53</v>
      </c>
      <c r="AB141" t="s">
        <v>53</v>
      </c>
      <c r="AC141" t="s">
        <v>53</v>
      </c>
      <c r="AD141" t="s">
        <v>53</v>
      </c>
      <c r="AE141" t="s">
        <v>53</v>
      </c>
      <c r="AF141" s="22" t="s">
        <v>53</v>
      </c>
      <c r="AG141" s="22" t="s">
        <v>53</v>
      </c>
      <c r="AH141" s="22" t="s">
        <v>53</v>
      </c>
      <c r="AI141" s="22" t="s">
        <v>53</v>
      </c>
      <c r="AJ141">
        <v>3</v>
      </c>
      <c r="AK141">
        <v>3</v>
      </c>
      <c r="AL141">
        <v>2</v>
      </c>
      <c r="AM141">
        <v>2</v>
      </c>
      <c r="AN141" s="22">
        <v>0</v>
      </c>
      <c r="AO141" s="22">
        <v>0</v>
      </c>
      <c r="AP141" s="22">
        <v>0</v>
      </c>
      <c r="AQ141" s="22">
        <v>0</v>
      </c>
      <c r="AR141" s="35">
        <v>0</v>
      </c>
      <c r="AS141" s="35">
        <v>0</v>
      </c>
      <c r="AT141" s="35">
        <v>4</v>
      </c>
      <c r="AU141" s="31" t="str">
        <f t="shared" si="6"/>
        <v>库存为4</v>
      </c>
      <c r="AV141" s="36" t="str">
        <f>IFERROR(时间!$B$4+AU141,"上周无销量")</f>
        <v>上周无销量</v>
      </c>
    </row>
    <row r="142" spans="1:48">
      <c r="A142" s="20" t="s">
        <v>373</v>
      </c>
      <c r="B142" t="s">
        <v>374</v>
      </c>
      <c r="C142" t="s">
        <v>370</v>
      </c>
      <c r="D142" s="31">
        <v>0</v>
      </c>
      <c r="E142" s="31">
        <v>0</v>
      </c>
      <c r="F142" s="31">
        <v>0</v>
      </c>
      <c r="G142" s="31">
        <v>0</v>
      </c>
      <c r="H142" s="32">
        <v>0</v>
      </c>
      <c r="I142">
        <v>3</v>
      </c>
      <c r="J142" s="33">
        <v>0</v>
      </c>
      <c r="K142" s="33">
        <v>0</v>
      </c>
      <c r="L142" s="33">
        <v>0</v>
      </c>
      <c r="M142">
        <v>3</v>
      </c>
      <c r="N142">
        <v>0</v>
      </c>
      <c r="O142">
        <v>3</v>
      </c>
      <c r="P142" t="s">
        <v>53</v>
      </c>
      <c r="Q142" t="s">
        <v>53</v>
      </c>
      <c r="R142" t="s">
        <v>53</v>
      </c>
      <c r="S142" t="s">
        <v>53</v>
      </c>
      <c r="T142" t="s">
        <v>53</v>
      </c>
      <c r="U142" t="s">
        <v>53</v>
      </c>
      <c r="V142" t="s">
        <v>53</v>
      </c>
      <c r="W142" t="s">
        <v>53</v>
      </c>
      <c r="X142" s="22" t="s">
        <v>53</v>
      </c>
      <c r="Y142" s="22" t="s">
        <v>53</v>
      </c>
      <c r="Z142" s="22" t="s">
        <v>53</v>
      </c>
      <c r="AA142" s="22" t="s">
        <v>53</v>
      </c>
      <c r="AB142" t="s">
        <v>53</v>
      </c>
      <c r="AC142" t="s">
        <v>53</v>
      </c>
      <c r="AD142" t="s">
        <v>53</v>
      </c>
      <c r="AE142" t="s">
        <v>53</v>
      </c>
      <c r="AF142" s="22" t="s">
        <v>53</v>
      </c>
      <c r="AG142" s="22" t="s">
        <v>53</v>
      </c>
      <c r="AH142" s="22" t="s">
        <v>53</v>
      </c>
      <c r="AI142" s="22" t="s">
        <v>53</v>
      </c>
      <c r="AJ142">
        <v>4</v>
      </c>
      <c r="AK142">
        <v>2</v>
      </c>
      <c r="AL142">
        <v>3</v>
      </c>
      <c r="AM142">
        <v>4</v>
      </c>
      <c r="AN142" s="22">
        <v>0</v>
      </c>
      <c r="AO142" s="22">
        <v>0</v>
      </c>
      <c r="AP142" s="22">
        <v>0</v>
      </c>
      <c r="AQ142" s="22">
        <v>0</v>
      </c>
      <c r="AR142" s="35">
        <v>0</v>
      </c>
      <c r="AS142" s="35">
        <v>0</v>
      </c>
      <c r="AT142" s="35">
        <v>3</v>
      </c>
      <c r="AU142" s="31" t="str">
        <f t="shared" si="6"/>
        <v>库存为3</v>
      </c>
      <c r="AV142" s="36" t="str">
        <f>IFERROR(时间!$B$4+AU142,"上周无销量")</f>
        <v>上周无销量</v>
      </c>
    </row>
    <row r="143" spans="1:48">
      <c r="A143" s="20" t="s">
        <v>375</v>
      </c>
      <c r="B143" t="s">
        <v>376</v>
      </c>
      <c r="C143" t="s">
        <v>370</v>
      </c>
      <c r="D143" s="31">
        <v>0</v>
      </c>
      <c r="E143" s="31">
        <v>0</v>
      </c>
      <c r="F143" s="31">
        <v>0</v>
      </c>
      <c r="G143" s="31">
        <v>0</v>
      </c>
      <c r="H143" s="32">
        <v>0</v>
      </c>
      <c r="I143">
        <v>2</v>
      </c>
      <c r="J143" s="33">
        <v>0</v>
      </c>
      <c r="K143" s="33">
        <v>0</v>
      </c>
      <c r="L143" s="33">
        <v>0</v>
      </c>
      <c r="M143">
        <v>2</v>
      </c>
      <c r="N143">
        <v>0</v>
      </c>
      <c r="O143">
        <v>2</v>
      </c>
      <c r="P143" t="s">
        <v>53</v>
      </c>
      <c r="Q143" t="s">
        <v>53</v>
      </c>
      <c r="R143" t="s">
        <v>53</v>
      </c>
      <c r="S143" t="s">
        <v>53</v>
      </c>
      <c r="T143" t="s">
        <v>53</v>
      </c>
      <c r="U143" t="s">
        <v>53</v>
      </c>
      <c r="V143" t="s">
        <v>53</v>
      </c>
      <c r="W143" t="s">
        <v>53</v>
      </c>
      <c r="X143" s="22" t="s">
        <v>53</v>
      </c>
      <c r="Y143" s="22" t="s">
        <v>53</v>
      </c>
      <c r="Z143" s="22" t="s">
        <v>53</v>
      </c>
      <c r="AA143" s="22" t="s">
        <v>53</v>
      </c>
      <c r="AB143" t="s">
        <v>53</v>
      </c>
      <c r="AC143" t="s">
        <v>53</v>
      </c>
      <c r="AD143" t="s">
        <v>53</v>
      </c>
      <c r="AE143" t="s">
        <v>53</v>
      </c>
      <c r="AF143" s="22" t="s">
        <v>53</v>
      </c>
      <c r="AG143" s="22" t="s">
        <v>53</v>
      </c>
      <c r="AH143" s="22" t="s">
        <v>53</v>
      </c>
      <c r="AI143" s="22" t="s">
        <v>53</v>
      </c>
      <c r="AJ143">
        <v>5</v>
      </c>
      <c r="AK143">
        <v>3</v>
      </c>
      <c r="AL143">
        <v>4</v>
      </c>
      <c r="AM143">
        <v>4</v>
      </c>
      <c r="AN143" s="22">
        <v>0</v>
      </c>
      <c r="AO143" s="22">
        <v>0</v>
      </c>
      <c r="AP143" s="22">
        <v>0</v>
      </c>
      <c r="AQ143" s="22">
        <v>0</v>
      </c>
      <c r="AR143" s="35">
        <v>0</v>
      </c>
      <c r="AS143" s="35">
        <v>0</v>
      </c>
      <c r="AT143" s="35">
        <v>2</v>
      </c>
      <c r="AU143" s="31" t="str">
        <f t="shared" si="6"/>
        <v>库存为2</v>
      </c>
      <c r="AV143" s="36" t="str">
        <f>IFERROR(时间!$B$4+AU143,"上周无销量")</f>
        <v>上周无销量</v>
      </c>
    </row>
    <row r="144" spans="1:48">
      <c r="A144" s="20" t="s">
        <v>377</v>
      </c>
      <c r="B144" t="s">
        <v>378</v>
      </c>
      <c r="C144" t="s">
        <v>370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4</v>
      </c>
      <c r="J144" s="33">
        <v>0</v>
      </c>
      <c r="K144" s="33">
        <v>0</v>
      </c>
      <c r="L144" s="33">
        <v>0</v>
      </c>
      <c r="M144">
        <v>4</v>
      </c>
      <c r="N144">
        <v>0</v>
      </c>
      <c r="O144">
        <v>4</v>
      </c>
      <c r="P144" t="s">
        <v>53</v>
      </c>
      <c r="Q144" t="s">
        <v>53</v>
      </c>
      <c r="R144" t="s">
        <v>53</v>
      </c>
      <c r="S144" t="s">
        <v>53</v>
      </c>
      <c r="T144" t="s">
        <v>53</v>
      </c>
      <c r="U144" t="s">
        <v>53</v>
      </c>
      <c r="V144" t="s">
        <v>53</v>
      </c>
      <c r="W144" t="s">
        <v>53</v>
      </c>
      <c r="X144" s="22" t="s">
        <v>53</v>
      </c>
      <c r="Y144" s="22" t="s">
        <v>53</v>
      </c>
      <c r="Z144" s="22" t="s">
        <v>53</v>
      </c>
      <c r="AA144" s="22" t="s">
        <v>53</v>
      </c>
      <c r="AB144" t="s">
        <v>53</v>
      </c>
      <c r="AC144" t="s">
        <v>53</v>
      </c>
      <c r="AD144" t="s">
        <v>53</v>
      </c>
      <c r="AE144" t="s">
        <v>53</v>
      </c>
      <c r="AF144" s="22" t="s">
        <v>53</v>
      </c>
      <c r="AG144" s="22" t="s">
        <v>53</v>
      </c>
      <c r="AH144" s="22" t="s">
        <v>53</v>
      </c>
      <c r="AI144" s="22" t="s">
        <v>53</v>
      </c>
      <c r="AJ144">
        <v>4</v>
      </c>
      <c r="AK144">
        <v>1</v>
      </c>
      <c r="AL144">
        <v>3</v>
      </c>
      <c r="AM144">
        <v>3</v>
      </c>
      <c r="AN144" s="22">
        <v>0</v>
      </c>
      <c r="AO144" s="22">
        <v>0</v>
      </c>
      <c r="AP144" s="22">
        <v>0</v>
      </c>
      <c r="AQ144" s="22">
        <v>0</v>
      </c>
      <c r="AR144" s="35">
        <v>0</v>
      </c>
      <c r="AS144" s="35">
        <v>0</v>
      </c>
      <c r="AT144" s="35">
        <v>4</v>
      </c>
      <c r="AU144" s="31" t="str">
        <f t="shared" si="6"/>
        <v>库存为4</v>
      </c>
      <c r="AV144" s="36" t="str">
        <f>IFERROR(时间!$B$4+AU144,"上周无销量")</f>
        <v>上周无销量</v>
      </c>
    </row>
    <row r="145" spans="1:48">
      <c r="A145" s="20" t="s">
        <v>379</v>
      </c>
      <c r="B145" t="s">
        <v>380</v>
      </c>
      <c r="C145" t="s">
        <v>381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2</v>
      </c>
      <c r="J145" s="33">
        <v>0</v>
      </c>
      <c r="K145" s="33">
        <v>0</v>
      </c>
      <c r="L145" s="33">
        <v>0</v>
      </c>
      <c r="M145">
        <v>2</v>
      </c>
      <c r="N145">
        <v>0</v>
      </c>
      <c r="O145">
        <v>2</v>
      </c>
      <c r="P145" t="s">
        <v>53</v>
      </c>
      <c r="Q145" t="s">
        <v>53</v>
      </c>
      <c r="R145" t="s">
        <v>53</v>
      </c>
      <c r="S145" t="s">
        <v>53</v>
      </c>
      <c r="T145" t="s">
        <v>53</v>
      </c>
      <c r="U145" t="s">
        <v>53</v>
      </c>
      <c r="V145" t="s">
        <v>53</v>
      </c>
      <c r="W145" t="s">
        <v>53</v>
      </c>
      <c r="X145" s="22" t="s">
        <v>53</v>
      </c>
      <c r="Y145" s="22" t="s">
        <v>53</v>
      </c>
      <c r="Z145" s="22" t="s">
        <v>53</v>
      </c>
      <c r="AA145" s="22" t="s">
        <v>53</v>
      </c>
      <c r="AB145" t="s">
        <v>53</v>
      </c>
      <c r="AC145" t="s">
        <v>53</v>
      </c>
      <c r="AD145" t="s">
        <v>53</v>
      </c>
      <c r="AE145" t="s">
        <v>53</v>
      </c>
      <c r="AF145" s="22" t="s">
        <v>53</v>
      </c>
      <c r="AG145" s="22" t="s">
        <v>53</v>
      </c>
      <c r="AH145" s="22" t="s">
        <v>53</v>
      </c>
      <c r="AI145" s="22" t="s">
        <v>53</v>
      </c>
      <c r="AJ145">
        <v>4</v>
      </c>
      <c r="AK145">
        <v>4</v>
      </c>
      <c r="AL145">
        <v>8</v>
      </c>
      <c r="AM145">
        <v>2</v>
      </c>
      <c r="AN145" s="22">
        <v>0</v>
      </c>
      <c r="AO145" s="22">
        <v>0</v>
      </c>
      <c r="AP145" s="22">
        <v>0</v>
      </c>
      <c r="AQ145" s="22">
        <v>0</v>
      </c>
      <c r="AR145" s="35">
        <v>0</v>
      </c>
      <c r="AS145" s="35">
        <v>0</v>
      </c>
      <c r="AT145" s="35">
        <v>2</v>
      </c>
      <c r="AU145" s="31" t="str">
        <f t="shared" si="6"/>
        <v>库存为2</v>
      </c>
      <c r="AV145" s="36" t="str">
        <f>IFERROR(时间!$B$4+AU145,"上周无销量")</f>
        <v>上周无销量</v>
      </c>
    </row>
    <row r="146" spans="1:48">
      <c r="A146" s="20" t="s">
        <v>382</v>
      </c>
      <c r="B146" t="s">
        <v>383</v>
      </c>
      <c r="C146" t="s">
        <v>381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1</v>
      </c>
      <c r="J146" s="33">
        <v>0</v>
      </c>
      <c r="K146" s="33">
        <v>0</v>
      </c>
      <c r="L146" s="33">
        <v>0</v>
      </c>
      <c r="M146">
        <v>1</v>
      </c>
      <c r="N146">
        <v>0</v>
      </c>
      <c r="O146">
        <v>0</v>
      </c>
      <c r="P146" t="s">
        <v>53</v>
      </c>
      <c r="Q146" t="s">
        <v>53</v>
      </c>
      <c r="R146" t="s">
        <v>53</v>
      </c>
      <c r="S146" t="s">
        <v>53</v>
      </c>
      <c r="T146" t="s">
        <v>53</v>
      </c>
      <c r="U146" t="s">
        <v>53</v>
      </c>
      <c r="V146" t="s">
        <v>53</v>
      </c>
      <c r="W146" t="s">
        <v>53</v>
      </c>
      <c r="X146" s="22" t="s">
        <v>53</v>
      </c>
      <c r="Y146" s="22" t="s">
        <v>53</v>
      </c>
      <c r="Z146" s="22" t="s">
        <v>53</v>
      </c>
      <c r="AA146" s="22" t="s">
        <v>53</v>
      </c>
      <c r="AB146" t="s">
        <v>53</v>
      </c>
      <c r="AC146" t="s">
        <v>53</v>
      </c>
      <c r="AD146" t="s">
        <v>53</v>
      </c>
      <c r="AE146" t="s">
        <v>53</v>
      </c>
      <c r="AF146" s="22" t="s">
        <v>53</v>
      </c>
      <c r="AG146" s="22" t="s">
        <v>53</v>
      </c>
      <c r="AH146" s="22" t="s">
        <v>53</v>
      </c>
      <c r="AI146" s="22" t="s">
        <v>53</v>
      </c>
      <c r="AJ146">
        <v>1</v>
      </c>
      <c r="AK146">
        <v>1</v>
      </c>
      <c r="AL146">
        <v>7</v>
      </c>
      <c r="AM146">
        <v>3</v>
      </c>
      <c r="AN146" s="22">
        <v>0</v>
      </c>
      <c r="AO146" s="22">
        <v>0</v>
      </c>
      <c r="AP146" s="22">
        <v>0</v>
      </c>
      <c r="AQ146" s="22">
        <v>0</v>
      </c>
      <c r="AR146" s="35">
        <v>0</v>
      </c>
      <c r="AS146" s="35">
        <v>0</v>
      </c>
      <c r="AT146" s="35">
        <v>1</v>
      </c>
      <c r="AU146" s="31" t="str">
        <f t="shared" si="6"/>
        <v>库存为1</v>
      </c>
      <c r="AV146" s="36" t="str">
        <f>IFERROR(时间!$B$4+AU146,"上周无销量")</f>
        <v>上周无销量</v>
      </c>
    </row>
    <row r="147" spans="1:48">
      <c r="A147" s="20" t="s">
        <v>384</v>
      </c>
      <c r="B147" t="s">
        <v>385</v>
      </c>
      <c r="C147" t="s">
        <v>381</v>
      </c>
      <c r="D147" s="31">
        <v>0</v>
      </c>
      <c r="E147" s="31">
        <v>0</v>
      </c>
      <c r="F147" s="31">
        <v>0</v>
      </c>
      <c r="G147" s="31">
        <v>0</v>
      </c>
      <c r="H147" s="32">
        <v>0</v>
      </c>
      <c r="I147">
        <v>1</v>
      </c>
      <c r="J147" s="33">
        <v>0</v>
      </c>
      <c r="K147" s="33">
        <v>0</v>
      </c>
      <c r="L147" s="33">
        <v>0</v>
      </c>
      <c r="M147">
        <v>1</v>
      </c>
      <c r="N147">
        <v>0</v>
      </c>
      <c r="O147">
        <v>1</v>
      </c>
      <c r="P147" t="s">
        <v>53</v>
      </c>
      <c r="Q147" t="s">
        <v>53</v>
      </c>
      <c r="R147" t="s">
        <v>53</v>
      </c>
      <c r="S147" t="s">
        <v>53</v>
      </c>
      <c r="T147" t="s">
        <v>53</v>
      </c>
      <c r="U147" t="s">
        <v>53</v>
      </c>
      <c r="V147" t="s">
        <v>53</v>
      </c>
      <c r="W147" t="s">
        <v>53</v>
      </c>
      <c r="X147" s="22" t="s">
        <v>53</v>
      </c>
      <c r="Y147" s="22" t="s">
        <v>53</v>
      </c>
      <c r="Z147" s="22" t="s">
        <v>53</v>
      </c>
      <c r="AA147" s="22" t="s">
        <v>53</v>
      </c>
      <c r="AB147" t="s">
        <v>53</v>
      </c>
      <c r="AC147" t="s">
        <v>53</v>
      </c>
      <c r="AD147" t="s">
        <v>53</v>
      </c>
      <c r="AE147" t="s">
        <v>53</v>
      </c>
      <c r="AF147" s="22" t="s">
        <v>53</v>
      </c>
      <c r="AG147" s="22" t="s">
        <v>53</v>
      </c>
      <c r="AH147" s="22" t="s">
        <v>53</v>
      </c>
      <c r="AI147" s="22" t="s">
        <v>53</v>
      </c>
      <c r="AJ147">
        <v>3</v>
      </c>
      <c r="AK147">
        <v>5</v>
      </c>
      <c r="AL147">
        <v>4</v>
      </c>
      <c r="AM147">
        <v>1</v>
      </c>
      <c r="AN147" s="22">
        <v>0</v>
      </c>
      <c r="AO147" s="22">
        <v>0</v>
      </c>
      <c r="AP147" s="22">
        <v>0</v>
      </c>
      <c r="AQ147" s="22">
        <v>0</v>
      </c>
      <c r="AR147" s="35">
        <v>0</v>
      </c>
      <c r="AS147" s="35">
        <v>0</v>
      </c>
      <c r="AT147" s="35">
        <v>1</v>
      </c>
      <c r="AU147" s="31" t="str">
        <f t="shared" si="6"/>
        <v>库存为1</v>
      </c>
      <c r="AV147" s="36" t="str">
        <f>IFERROR(时间!$B$4+AU147,"上周无销量")</f>
        <v>上周无销量</v>
      </c>
    </row>
    <row r="148" spans="1:48">
      <c r="A148" s="20" t="s">
        <v>386</v>
      </c>
      <c r="B148" t="s">
        <v>387</v>
      </c>
      <c r="C148" t="s">
        <v>388</v>
      </c>
      <c r="D148" s="31">
        <v>0</v>
      </c>
      <c r="E148" s="31">
        <v>0</v>
      </c>
      <c r="F148" s="31">
        <v>1</v>
      </c>
      <c r="G148" s="31">
        <v>1</v>
      </c>
      <c r="H148" s="32">
        <v>28</v>
      </c>
      <c r="I148">
        <v>15</v>
      </c>
      <c r="J148" s="33">
        <v>0</v>
      </c>
      <c r="K148" s="33">
        <v>0</v>
      </c>
      <c r="L148" s="33">
        <v>3</v>
      </c>
      <c r="M148">
        <v>18</v>
      </c>
      <c r="N148">
        <v>0</v>
      </c>
      <c r="O148">
        <v>0</v>
      </c>
      <c r="P148">
        <v>1524</v>
      </c>
      <c r="Q148">
        <v>2075</v>
      </c>
      <c r="R148">
        <v>2053</v>
      </c>
      <c r="S148">
        <v>1710</v>
      </c>
      <c r="T148">
        <v>2</v>
      </c>
      <c r="U148">
        <v>1</v>
      </c>
      <c r="V148">
        <v>3</v>
      </c>
      <c r="W148">
        <v>1</v>
      </c>
      <c r="X148" s="22">
        <v>0.00131233595800525</v>
      </c>
      <c r="Y148" s="22">
        <v>0.000481927710843373</v>
      </c>
      <c r="Z148" s="22">
        <v>0.00146127618119825</v>
      </c>
      <c r="AA148" s="22">
        <v>0.000584795321637427</v>
      </c>
      <c r="AB148">
        <v>0.72</v>
      </c>
      <c r="AC148">
        <v>0.84</v>
      </c>
      <c r="AD148">
        <v>3.11</v>
      </c>
      <c r="AE148">
        <v>1.22</v>
      </c>
      <c r="AF148" s="22" t="s">
        <v>389</v>
      </c>
      <c r="AG148" s="22" t="s">
        <v>390</v>
      </c>
      <c r="AH148" s="22">
        <v>0.111071428571429</v>
      </c>
      <c r="AI148" s="22">
        <v>0.0435714285714286</v>
      </c>
      <c r="AJ148">
        <v>8</v>
      </c>
      <c r="AK148">
        <v>10</v>
      </c>
      <c r="AL148">
        <v>15</v>
      </c>
      <c r="AM148">
        <v>2</v>
      </c>
      <c r="AN148" s="22">
        <v>0</v>
      </c>
      <c r="AO148" s="22">
        <v>0</v>
      </c>
      <c r="AP148" s="22">
        <v>0.0666666666666667</v>
      </c>
      <c r="AQ148" s="22">
        <v>0.5</v>
      </c>
      <c r="AR148" s="35">
        <v>0</v>
      </c>
      <c r="AS148" s="35">
        <v>0</v>
      </c>
      <c r="AT148" s="35">
        <v>18</v>
      </c>
      <c r="AU148" s="31" t="str">
        <f t="shared" si="6"/>
        <v>库存为18</v>
      </c>
      <c r="AV148" s="36" t="str">
        <f>IFERROR(时间!$B$4+AU148,"上周无销量")</f>
        <v>上周无销量</v>
      </c>
    </row>
    <row r="149" spans="1:48">
      <c r="A149" s="20" t="s">
        <v>391</v>
      </c>
      <c r="B149" t="s">
        <v>392</v>
      </c>
      <c r="C149" t="s">
        <v>393</v>
      </c>
      <c r="D149" s="31">
        <v>0</v>
      </c>
      <c r="E149" s="31">
        <v>1</v>
      </c>
      <c r="F149" s="31">
        <v>0</v>
      </c>
      <c r="G149" s="31">
        <v>0</v>
      </c>
      <c r="H149" s="32">
        <v>40</v>
      </c>
      <c r="I149">
        <v>17</v>
      </c>
      <c r="J149" s="33">
        <v>0</v>
      </c>
      <c r="K149" s="33">
        <v>0</v>
      </c>
      <c r="L149" s="33">
        <v>1</v>
      </c>
      <c r="M149">
        <v>18</v>
      </c>
      <c r="N149">
        <v>0</v>
      </c>
      <c r="O149">
        <v>0</v>
      </c>
      <c r="P149" t="s">
        <v>53</v>
      </c>
      <c r="Q149" t="s">
        <v>53</v>
      </c>
      <c r="R149" t="s">
        <v>53</v>
      </c>
      <c r="S149" t="s">
        <v>53</v>
      </c>
      <c r="T149" t="s">
        <v>53</v>
      </c>
      <c r="U149" t="s">
        <v>53</v>
      </c>
      <c r="V149" t="s">
        <v>53</v>
      </c>
      <c r="W149" t="s">
        <v>53</v>
      </c>
      <c r="X149" s="22" t="s">
        <v>53</v>
      </c>
      <c r="Y149" s="22" t="s">
        <v>53</v>
      </c>
      <c r="Z149" s="22" t="s">
        <v>53</v>
      </c>
      <c r="AA149" s="22" t="s">
        <v>53</v>
      </c>
      <c r="AB149" t="s">
        <v>53</v>
      </c>
      <c r="AC149" t="s">
        <v>53</v>
      </c>
      <c r="AD149" t="s">
        <v>53</v>
      </c>
      <c r="AE149" t="s">
        <v>53</v>
      </c>
      <c r="AF149" s="22" t="s">
        <v>53</v>
      </c>
      <c r="AG149" s="22" t="s">
        <v>53</v>
      </c>
      <c r="AH149" s="22" t="s">
        <v>53</v>
      </c>
      <c r="AI149" s="22" t="s">
        <v>53</v>
      </c>
      <c r="AJ149">
        <v>9</v>
      </c>
      <c r="AK149">
        <v>0</v>
      </c>
      <c r="AL149">
        <v>5</v>
      </c>
      <c r="AM149">
        <v>5</v>
      </c>
      <c r="AN149" s="22">
        <v>0</v>
      </c>
      <c r="AO149" s="22" t="s">
        <v>53</v>
      </c>
      <c r="AP149" s="22">
        <v>0</v>
      </c>
      <c r="AQ149" s="22">
        <v>0</v>
      </c>
      <c r="AR149" s="35">
        <v>0</v>
      </c>
      <c r="AS149" s="35">
        <v>0</v>
      </c>
      <c r="AT149" s="35">
        <v>18</v>
      </c>
      <c r="AU149" s="31" t="str">
        <f t="shared" si="6"/>
        <v>库存为18</v>
      </c>
      <c r="AV149" s="36" t="str">
        <f>IFERROR(时间!$B$4+AU149,"上周无销量")</f>
        <v>上周无销量</v>
      </c>
    </row>
    <row r="150" spans="1:48">
      <c r="A150" s="20" t="s">
        <v>394</v>
      </c>
      <c r="B150" t="s">
        <v>395</v>
      </c>
      <c r="C150" t="s">
        <v>396</v>
      </c>
      <c r="D150" s="31">
        <v>0</v>
      </c>
      <c r="E150" s="31">
        <v>0</v>
      </c>
      <c r="F150" s="31">
        <v>0</v>
      </c>
      <c r="G150" s="31">
        <v>0</v>
      </c>
      <c r="H150" s="32">
        <v>0</v>
      </c>
      <c r="I150">
        <v>0</v>
      </c>
      <c r="J150" s="33">
        <v>0</v>
      </c>
      <c r="K150" s="33">
        <v>0</v>
      </c>
      <c r="L150" s="33">
        <v>0</v>
      </c>
      <c r="M150">
        <v>0</v>
      </c>
      <c r="N150">
        <v>0</v>
      </c>
      <c r="O150">
        <v>0</v>
      </c>
      <c r="P150" t="s">
        <v>53</v>
      </c>
      <c r="Q150" t="s">
        <v>53</v>
      </c>
      <c r="R150" t="s">
        <v>53</v>
      </c>
      <c r="S150" t="s">
        <v>53</v>
      </c>
      <c r="T150" t="s">
        <v>53</v>
      </c>
      <c r="U150" t="s">
        <v>53</v>
      </c>
      <c r="V150" t="s">
        <v>53</v>
      </c>
      <c r="W150" t="s">
        <v>53</v>
      </c>
      <c r="X150" s="22" t="s">
        <v>53</v>
      </c>
      <c r="Y150" s="22" t="s">
        <v>53</v>
      </c>
      <c r="Z150" s="22" t="s">
        <v>53</v>
      </c>
      <c r="AA150" s="22" t="s">
        <v>53</v>
      </c>
      <c r="AB150" t="s">
        <v>53</v>
      </c>
      <c r="AC150" t="s">
        <v>53</v>
      </c>
      <c r="AD150" t="s">
        <v>53</v>
      </c>
      <c r="AE150" t="s">
        <v>53</v>
      </c>
      <c r="AF150" s="22" t="s">
        <v>53</v>
      </c>
      <c r="AG150" s="22" t="s">
        <v>53</v>
      </c>
      <c r="AH150" s="22" t="s">
        <v>53</v>
      </c>
      <c r="AI150" s="22" t="s">
        <v>53</v>
      </c>
      <c r="AJ150">
        <v>0</v>
      </c>
      <c r="AK150">
        <v>0</v>
      </c>
      <c r="AL150">
        <v>0</v>
      </c>
      <c r="AM150">
        <v>0</v>
      </c>
      <c r="AN150" s="22" t="s">
        <v>53</v>
      </c>
      <c r="AO150" s="22" t="s">
        <v>53</v>
      </c>
      <c r="AP150" s="22" t="s">
        <v>53</v>
      </c>
      <c r="AQ150" s="22" t="s">
        <v>53</v>
      </c>
      <c r="AR150" s="35">
        <v>0</v>
      </c>
      <c r="AS150" s="35">
        <v>0</v>
      </c>
      <c r="AT150" s="35">
        <v>0</v>
      </c>
      <c r="AU150" s="31" t="str">
        <f t="shared" si="6"/>
        <v>库存为0</v>
      </c>
      <c r="AV150" s="36" t="str">
        <f>IFERROR(时间!$B$4+AU150,"上周无销量")</f>
        <v>上周无销量</v>
      </c>
    </row>
    <row r="151" spans="1:48">
      <c r="A151" s="20" t="s">
        <v>397</v>
      </c>
      <c r="B151" t="s">
        <v>398</v>
      </c>
      <c r="C151" t="s">
        <v>396</v>
      </c>
      <c r="D151" s="31">
        <v>0</v>
      </c>
      <c r="E151" s="31">
        <v>0</v>
      </c>
      <c r="F151" s="31">
        <v>0</v>
      </c>
      <c r="G151" s="31">
        <v>0</v>
      </c>
      <c r="H151" s="32">
        <v>0</v>
      </c>
      <c r="I151">
        <v>0</v>
      </c>
      <c r="J151" s="33">
        <v>0</v>
      </c>
      <c r="K151" s="33">
        <v>0</v>
      </c>
      <c r="L151" s="33">
        <v>0</v>
      </c>
      <c r="M151">
        <v>0</v>
      </c>
      <c r="N151">
        <v>1</v>
      </c>
      <c r="O151">
        <v>0</v>
      </c>
      <c r="P151" t="s">
        <v>53</v>
      </c>
      <c r="Q151" t="s">
        <v>53</v>
      </c>
      <c r="R151" t="s">
        <v>53</v>
      </c>
      <c r="S151" t="s">
        <v>53</v>
      </c>
      <c r="T151" t="s">
        <v>53</v>
      </c>
      <c r="U151" t="s">
        <v>53</v>
      </c>
      <c r="V151" t="s">
        <v>53</v>
      </c>
      <c r="W151" t="s">
        <v>53</v>
      </c>
      <c r="X151" s="22" t="s">
        <v>53</v>
      </c>
      <c r="Y151" s="22" t="s">
        <v>53</v>
      </c>
      <c r="Z151" s="22" t="s">
        <v>53</v>
      </c>
      <c r="AA151" s="22" t="s">
        <v>53</v>
      </c>
      <c r="AB151" t="s">
        <v>53</v>
      </c>
      <c r="AC151" t="s">
        <v>53</v>
      </c>
      <c r="AD151" t="s">
        <v>53</v>
      </c>
      <c r="AE151" t="s">
        <v>53</v>
      </c>
      <c r="AF151" s="22" t="s">
        <v>53</v>
      </c>
      <c r="AG151" s="22" t="s">
        <v>53</v>
      </c>
      <c r="AH151" s="22" t="s">
        <v>53</v>
      </c>
      <c r="AI151" s="22" t="s">
        <v>53</v>
      </c>
      <c r="AJ151">
        <v>0</v>
      </c>
      <c r="AK151">
        <v>0</v>
      </c>
      <c r="AL151">
        <v>0</v>
      </c>
      <c r="AM151">
        <v>0</v>
      </c>
      <c r="AN151" s="22" t="s">
        <v>53</v>
      </c>
      <c r="AO151" s="22" t="s">
        <v>53</v>
      </c>
      <c r="AP151" s="22" t="s">
        <v>53</v>
      </c>
      <c r="AQ151" s="22" t="s">
        <v>53</v>
      </c>
      <c r="AR151" s="35">
        <v>0</v>
      </c>
      <c r="AS151" s="35">
        <v>0</v>
      </c>
      <c r="AT151" s="35">
        <v>0</v>
      </c>
      <c r="AU151" s="31" t="str">
        <f t="shared" si="6"/>
        <v>库存为0</v>
      </c>
      <c r="AV151" s="36" t="str">
        <f>IFERROR(时间!$B$4+AU151,"上周无销量")</f>
        <v>上周无销量</v>
      </c>
    </row>
    <row r="152" spans="1:48">
      <c r="A152" s="20" t="s">
        <v>399</v>
      </c>
      <c r="B152" t="s">
        <v>400</v>
      </c>
      <c r="C152" t="s">
        <v>396</v>
      </c>
      <c r="D152" s="31">
        <v>0</v>
      </c>
      <c r="E152" s="31">
        <v>0</v>
      </c>
      <c r="F152" s="31">
        <v>1</v>
      </c>
      <c r="G152" s="31">
        <v>0</v>
      </c>
      <c r="H152" s="32">
        <v>15.99</v>
      </c>
      <c r="I152">
        <v>0</v>
      </c>
      <c r="J152" s="33">
        <v>0</v>
      </c>
      <c r="K152" s="33">
        <v>0</v>
      </c>
      <c r="L152" s="33">
        <v>0</v>
      </c>
      <c r="M152">
        <v>0</v>
      </c>
      <c r="N152">
        <v>0</v>
      </c>
      <c r="O152">
        <v>0</v>
      </c>
      <c r="P152">
        <v>0</v>
      </c>
      <c r="Q152">
        <v>2035</v>
      </c>
      <c r="R152">
        <v>1278</v>
      </c>
      <c r="S152">
        <v>0</v>
      </c>
      <c r="T152">
        <v>0</v>
      </c>
      <c r="U152">
        <v>24</v>
      </c>
      <c r="V152">
        <v>12</v>
      </c>
      <c r="W152">
        <v>0</v>
      </c>
      <c r="X152" s="22" t="s">
        <v>53</v>
      </c>
      <c r="Y152" s="22">
        <v>0.0117936117936118</v>
      </c>
      <c r="Z152" s="22">
        <v>0.00938967136150235</v>
      </c>
      <c r="AA152" s="22" t="s">
        <v>53</v>
      </c>
      <c r="AB152">
        <v>0</v>
      </c>
      <c r="AC152">
        <v>7.91</v>
      </c>
      <c r="AD152">
        <v>5.2</v>
      </c>
      <c r="AE152">
        <v>0</v>
      </c>
      <c r="AF152" s="22" t="s">
        <v>53</v>
      </c>
      <c r="AG152" s="22" t="s">
        <v>401</v>
      </c>
      <c r="AH152" s="22">
        <v>0.32520325203252</v>
      </c>
      <c r="AI152" s="22" t="s">
        <v>53</v>
      </c>
      <c r="AJ152">
        <v>0</v>
      </c>
      <c r="AK152">
        <v>2</v>
      </c>
      <c r="AL152">
        <v>22</v>
      </c>
      <c r="AM152">
        <v>11</v>
      </c>
      <c r="AN152" s="22" t="s">
        <v>53</v>
      </c>
      <c r="AO152" s="22">
        <v>0</v>
      </c>
      <c r="AP152" s="22">
        <v>0.0454545454545455</v>
      </c>
      <c r="AQ152" s="22">
        <v>0</v>
      </c>
      <c r="AR152" s="35">
        <v>0</v>
      </c>
      <c r="AS152" s="35">
        <v>0</v>
      </c>
      <c r="AT152" s="35">
        <v>0</v>
      </c>
      <c r="AU152" s="31" t="str">
        <f t="shared" si="6"/>
        <v>库存为0</v>
      </c>
      <c r="AV152" s="36" t="str">
        <f>IFERROR(时间!$B$4+AU152,"上周无销量")</f>
        <v>上周无销量</v>
      </c>
    </row>
    <row r="153" spans="1:48">
      <c r="A153" s="20" t="s">
        <v>402</v>
      </c>
      <c r="B153" t="s">
        <v>395</v>
      </c>
      <c r="C153" t="s">
        <v>396</v>
      </c>
      <c r="D153" s="31">
        <v>0</v>
      </c>
      <c r="E153" s="31">
        <v>0</v>
      </c>
      <c r="F153" s="31">
        <v>0</v>
      </c>
      <c r="G153" s="31">
        <v>0</v>
      </c>
      <c r="H153" s="32">
        <v>0</v>
      </c>
      <c r="I153">
        <v>0</v>
      </c>
      <c r="J153" s="33">
        <v>0</v>
      </c>
      <c r="K153" s="33">
        <v>0</v>
      </c>
      <c r="L153" s="33">
        <v>0</v>
      </c>
      <c r="M153">
        <v>0</v>
      </c>
      <c r="N153">
        <v>0</v>
      </c>
      <c r="O153">
        <v>0</v>
      </c>
      <c r="P153" t="s">
        <v>53</v>
      </c>
      <c r="Q153" t="s">
        <v>53</v>
      </c>
      <c r="R153" t="s">
        <v>53</v>
      </c>
      <c r="S153" t="s">
        <v>53</v>
      </c>
      <c r="T153" t="s">
        <v>53</v>
      </c>
      <c r="U153" t="s">
        <v>53</v>
      </c>
      <c r="V153" t="s">
        <v>53</v>
      </c>
      <c r="W153" t="s">
        <v>53</v>
      </c>
      <c r="X153" s="22" t="s">
        <v>53</v>
      </c>
      <c r="Y153" s="22" t="s">
        <v>53</v>
      </c>
      <c r="Z153" s="22" t="s">
        <v>53</v>
      </c>
      <c r="AA153" s="22" t="s">
        <v>53</v>
      </c>
      <c r="AB153" t="s">
        <v>53</v>
      </c>
      <c r="AC153" t="s">
        <v>53</v>
      </c>
      <c r="AD153" t="s">
        <v>53</v>
      </c>
      <c r="AE153" t="s">
        <v>53</v>
      </c>
      <c r="AF153" s="22" t="s">
        <v>53</v>
      </c>
      <c r="AG153" s="22" t="s">
        <v>53</v>
      </c>
      <c r="AH153" s="22" t="s">
        <v>53</v>
      </c>
      <c r="AI153" s="22" t="s">
        <v>53</v>
      </c>
      <c r="AJ153">
        <v>0</v>
      </c>
      <c r="AK153">
        <v>0</v>
      </c>
      <c r="AL153">
        <v>0</v>
      </c>
      <c r="AM153">
        <v>0</v>
      </c>
      <c r="AN153" s="22" t="s">
        <v>53</v>
      </c>
      <c r="AO153" s="22" t="s">
        <v>53</v>
      </c>
      <c r="AP153" s="22" t="s">
        <v>53</v>
      </c>
      <c r="AQ153" s="22" t="s">
        <v>53</v>
      </c>
      <c r="AR153" s="35">
        <v>0</v>
      </c>
      <c r="AS153" s="35">
        <v>0</v>
      </c>
      <c r="AT153" s="35">
        <v>0</v>
      </c>
      <c r="AU153" s="31" t="str">
        <f t="shared" si="6"/>
        <v>库存为0</v>
      </c>
      <c r="AV153" s="36" t="str">
        <f>IFERROR(时间!$B$4+AU153,"上周无销量")</f>
        <v>上周无销量</v>
      </c>
    </row>
    <row r="154" spans="1:48">
      <c r="A154" s="20" t="s">
        <v>403</v>
      </c>
      <c r="B154" t="s">
        <v>404</v>
      </c>
      <c r="C154" t="s">
        <v>396</v>
      </c>
      <c r="D154" s="31">
        <v>2</v>
      </c>
      <c r="E154" s="31">
        <v>0</v>
      </c>
      <c r="F154" s="31">
        <v>1</v>
      </c>
      <c r="G154" s="31">
        <v>0</v>
      </c>
      <c r="H154" s="32">
        <v>11.9966666666667</v>
      </c>
      <c r="I154">
        <v>0</v>
      </c>
      <c r="J154" s="33">
        <v>0</v>
      </c>
      <c r="K154" s="33">
        <v>0</v>
      </c>
      <c r="L154" s="33">
        <v>0</v>
      </c>
      <c r="M154">
        <v>0</v>
      </c>
      <c r="N154">
        <v>0</v>
      </c>
      <c r="O154">
        <v>0</v>
      </c>
      <c r="P154">
        <v>0</v>
      </c>
      <c r="Q154">
        <v>5884</v>
      </c>
      <c r="R154">
        <v>3406</v>
      </c>
      <c r="S154">
        <v>0</v>
      </c>
      <c r="T154">
        <v>0</v>
      </c>
      <c r="U154">
        <v>17</v>
      </c>
      <c r="V154">
        <v>10</v>
      </c>
      <c r="W154">
        <v>0</v>
      </c>
      <c r="X154" s="22" t="s">
        <v>53</v>
      </c>
      <c r="Y154" s="22">
        <v>0.00288919102651258</v>
      </c>
      <c r="Z154" s="22">
        <v>0.00293599530240752</v>
      </c>
      <c r="AA154" s="22" t="s">
        <v>53</v>
      </c>
      <c r="AB154">
        <v>0</v>
      </c>
      <c r="AC154">
        <v>7.06</v>
      </c>
      <c r="AD154">
        <v>3.09</v>
      </c>
      <c r="AE154">
        <v>0</v>
      </c>
      <c r="AF154" s="22" t="s">
        <v>53</v>
      </c>
      <c r="AG154" s="22" t="s">
        <v>405</v>
      </c>
      <c r="AH154" s="22">
        <v>0.257571547652125</v>
      </c>
      <c r="AI154" s="22" t="s">
        <v>53</v>
      </c>
      <c r="AJ154">
        <v>0</v>
      </c>
      <c r="AK154">
        <v>10</v>
      </c>
      <c r="AL154">
        <v>12</v>
      </c>
      <c r="AM154">
        <v>8</v>
      </c>
      <c r="AN154" s="22" t="s">
        <v>53</v>
      </c>
      <c r="AO154" s="22">
        <v>0</v>
      </c>
      <c r="AP154" s="22">
        <v>0.0833333333333333</v>
      </c>
      <c r="AQ154" s="22">
        <v>0</v>
      </c>
      <c r="AR154" s="35">
        <v>0.285714285714286</v>
      </c>
      <c r="AS154" s="35">
        <v>17.1428571428571</v>
      </c>
      <c r="AT154" s="35">
        <v>-17.1428571428571</v>
      </c>
      <c r="AU154" s="31">
        <f t="shared" si="6"/>
        <v>0</v>
      </c>
      <c r="AV154" s="36">
        <f>IFERROR(时间!$B$4+AU154,"上周无销量")</f>
        <v>43339</v>
      </c>
    </row>
    <row r="155" spans="1:48">
      <c r="A155" s="20" t="s">
        <v>406</v>
      </c>
      <c r="B155" t="s">
        <v>407</v>
      </c>
      <c r="C155" t="s">
        <v>408</v>
      </c>
      <c r="D155" s="31">
        <v>0</v>
      </c>
      <c r="E155" s="31">
        <v>0</v>
      </c>
      <c r="F155" s="31">
        <v>0</v>
      </c>
      <c r="G155" s="31">
        <v>0</v>
      </c>
      <c r="H155" s="32">
        <v>0</v>
      </c>
      <c r="I155">
        <v>0</v>
      </c>
      <c r="J155" s="33">
        <v>0</v>
      </c>
      <c r="K155" s="33">
        <v>0</v>
      </c>
      <c r="L155" s="33">
        <v>0</v>
      </c>
      <c r="M155">
        <v>0</v>
      </c>
      <c r="N155">
        <v>0</v>
      </c>
      <c r="O155">
        <v>0</v>
      </c>
      <c r="P155" t="s">
        <v>53</v>
      </c>
      <c r="Q155" t="s">
        <v>53</v>
      </c>
      <c r="R155" t="s">
        <v>53</v>
      </c>
      <c r="S155" t="s">
        <v>53</v>
      </c>
      <c r="T155" t="s">
        <v>53</v>
      </c>
      <c r="U155" t="s">
        <v>53</v>
      </c>
      <c r="V155" t="s">
        <v>53</v>
      </c>
      <c r="W155" t="s">
        <v>53</v>
      </c>
      <c r="X155" s="22" t="s">
        <v>53</v>
      </c>
      <c r="Y155" s="22" t="s">
        <v>53</v>
      </c>
      <c r="Z155" s="22" t="s">
        <v>53</v>
      </c>
      <c r="AA155" s="22" t="s">
        <v>53</v>
      </c>
      <c r="AB155" t="s">
        <v>53</v>
      </c>
      <c r="AC155" t="s">
        <v>53</v>
      </c>
      <c r="AD155" t="s">
        <v>53</v>
      </c>
      <c r="AE155" t="s">
        <v>53</v>
      </c>
      <c r="AF155" s="22" t="s">
        <v>53</v>
      </c>
      <c r="AG155" s="22" t="s">
        <v>53</v>
      </c>
      <c r="AH155" s="22" t="s">
        <v>53</v>
      </c>
      <c r="AI155" s="22" t="s">
        <v>53</v>
      </c>
      <c r="AJ155">
        <v>0</v>
      </c>
      <c r="AK155">
        <v>0</v>
      </c>
      <c r="AL155">
        <v>0</v>
      </c>
      <c r="AM155">
        <v>0</v>
      </c>
      <c r="AN155" s="22" t="s">
        <v>53</v>
      </c>
      <c r="AO155" s="22" t="s">
        <v>53</v>
      </c>
      <c r="AP155" s="22" t="s">
        <v>53</v>
      </c>
      <c r="AQ155" s="22" t="s">
        <v>53</v>
      </c>
      <c r="AR155" s="35">
        <v>0</v>
      </c>
      <c r="AS155" s="35">
        <v>0</v>
      </c>
      <c r="AT155" s="35">
        <v>0</v>
      </c>
      <c r="AU155" s="31" t="str">
        <f t="shared" si="6"/>
        <v>库存为0</v>
      </c>
      <c r="AV155" s="36" t="str">
        <f>IFERROR(时间!$B$4+AU155,"上周无销量")</f>
        <v>上周无销量</v>
      </c>
    </row>
    <row r="156" spans="1:48">
      <c r="A156" s="20" t="s">
        <v>409</v>
      </c>
      <c r="B156" t="s">
        <v>410</v>
      </c>
      <c r="C156" t="s">
        <v>411</v>
      </c>
      <c r="D156" s="31">
        <v>0</v>
      </c>
      <c r="E156" s="31">
        <v>0</v>
      </c>
      <c r="F156" s="31">
        <v>0</v>
      </c>
      <c r="G156" s="31">
        <v>0</v>
      </c>
      <c r="H156" s="32">
        <v>0</v>
      </c>
      <c r="I156">
        <v>0</v>
      </c>
      <c r="J156" s="33">
        <v>0</v>
      </c>
      <c r="K156" s="33">
        <v>0</v>
      </c>
      <c r="L156" s="33">
        <v>0</v>
      </c>
      <c r="M156">
        <v>0</v>
      </c>
      <c r="N156">
        <v>0</v>
      </c>
      <c r="O156">
        <v>0</v>
      </c>
      <c r="P156" t="s">
        <v>53</v>
      </c>
      <c r="Q156" t="s">
        <v>53</v>
      </c>
      <c r="R156" t="s">
        <v>53</v>
      </c>
      <c r="S156" t="s">
        <v>53</v>
      </c>
      <c r="T156" t="s">
        <v>53</v>
      </c>
      <c r="U156" t="s">
        <v>53</v>
      </c>
      <c r="V156" t="s">
        <v>53</v>
      </c>
      <c r="W156" t="s">
        <v>53</v>
      </c>
      <c r="X156" s="22" t="s">
        <v>53</v>
      </c>
      <c r="Y156" s="22" t="s">
        <v>53</v>
      </c>
      <c r="Z156" s="22" t="s">
        <v>53</v>
      </c>
      <c r="AA156" s="22" t="s">
        <v>53</v>
      </c>
      <c r="AB156" t="s">
        <v>53</v>
      </c>
      <c r="AC156" t="s">
        <v>53</v>
      </c>
      <c r="AD156" t="s">
        <v>53</v>
      </c>
      <c r="AE156" t="s">
        <v>53</v>
      </c>
      <c r="AF156" s="22" t="s">
        <v>53</v>
      </c>
      <c r="AG156" s="22" t="s">
        <v>53</v>
      </c>
      <c r="AH156" s="22" t="s">
        <v>53</v>
      </c>
      <c r="AI156" s="22" t="s">
        <v>53</v>
      </c>
      <c r="AJ156">
        <v>0</v>
      </c>
      <c r="AK156">
        <v>0</v>
      </c>
      <c r="AL156">
        <v>0</v>
      </c>
      <c r="AM156">
        <v>0</v>
      </c>
      <c r="AN156" s="22" t="s">
        <v>53</v>
      </c>
      <c r="AO156" s="22" t="s">
        <v>53</v>
      </c>
      <c r="AP156" s="22" t="s">
        <v>53</v>
      </c>
      <c r="AQ156" s="22" t="s">
        <v>53</v>
      </c>
      <c r="AR156" s="35">
        <v>0</v>
      </c>
      <c r="AS156" s="35">
        <v>0</v>
      </c>
      <c r="AT156" s="35">
        <v>0</v>
      </c>
      <c r="AU156" s="31" t="str">
        <f t="shared" si="6"/>
        <v>库存为0</v>
      </c>
      <c r="AV156" s="36" t="str">
        <f>IFERROR(时间!$B$4+AU156,"上周无销量")</f>
        <v>上周无销量</v>
      </c>
    </row>
    <row r="157" spans="1:48">
      <c r="A157" s="20" t="s">
        <v>412</v>
      </c>
      <c r="B157" t="s">
        <v>413</v>
      </c>
      <c r="C157" t="s">
        <v>411</v>
      </c>
      <c r="D157" s="31">
        <v>0</v>
      </c>
      <c r="E157" s="31">
        <v>0</v>
      </c>
      <c r="F157" s="31">
        <v>0</v>
      </c>
      <c r="G157" s="31">
        <v>0</v>
      </c>
      <c r="H157" s="32">
        <v>0</v>
      </c>
      <c r="I157">
        <v>0</v>
      </c>
      <c r="J157" s="33">
        <v>0</v>
      </c>
      <c r="K157" s="33">
        <v>0</v>
      </c>
      <c r="L157" s="33">
        <v>0</v>
      </c>
      <c r="M157">
        <v>0</v>
      </c>
      <c r="N157">
        <v>0</v>
      </c>
      <c r="O157">
        <v>0</v>
      </c>
      <c r="P157" t="s">
        <v>53</v>
      </c>
      <c r="Q157" t="s">
        <v>53</v>
      </c>
      <c r="R157" t="s">
        <v>53</v>
      </c>
      <c r="S157" t="s">
        <v>53</v>
      </c>
      <c r="T157" t="s">
        <v>53</v>
      </c>
      <c r="U157" t="s">
        <v>53</v>
      </c>
      <c r="V157" t="s">
        <v>53</v>
      </c>
      <c r="W157" t="s">
        <v>53</v>
      </c>
      <c r="X157" s="22" t="s">
        <v>53</v>
      </c>
      <c r="Y157" s="22" t="s">
        <v>53</v>
      </c>
      <c r="Z157" s="22" t="s">
        <v>53</v>
      </c>
      <c r="AA157" s="22" t="s">
        <v>53</v>
      </c>
      <c r="AB157" t="s">
        <v>53</v>
      </c>
      <c r="AC157" t="s">
        <v>53</v>
      </c>
      <c r="AD157" t="s">
        <v>53</v>
      </c>
      <c r="AE157" t="s">
        <v>53</v>
      </c>
      <c r="AF157" s="22" t="s">
        <v>53</v>
      </c>
      <c r="AG157" s="22" t="s">
        <v>53</v>
      </c>
      <c r="AH157" s="22" t="s">
        <v>53</v>
      </c>
      <c r="AI157" s="22" t="s">
        <v>53</v>
      </c>
      <c r="AJ157">
        <v>0</v>
      </c>
      <c r="AK157">
        <v>0</v>
      </c>
      <c r="AL157">
        <v>0</v>
      </c>
      <c r="AM157">
        <v>0</v>
      </c>
      <c r="AN157" s="22" t="s">
        <v>53</v>
      </c>
      <c r="AO157" s="22" t="s">
        <v>53</v>
      </c>
      <c r="AP157" s="22" t="s">
        <v>53</v>
      </c>
      <c r="AQ157" s="22" t="s">
        <v>53</v>
      </c>
      <c r="AR157" s="35">
        <v>0</v>
      </c>
      <c r="AS157" s="35">
        <v>0</v>
      </c>
      <c r="AT157" s="35">
        <v>0</v>
      </c>
      <c r="AU157" s="31" t="str">
        <f t="shared" si="6"/>
        <v>库存为0</v>
      </c>
      <c r="AV157" s="36" t="str">
        <f>IFERROR(时间!$B$4+AU157,"上周无销量")</f>
        <v>上周无销量</v>
      </c>
    </row>
    <row r="158" spans="1:48">
      <c r="A158" s="20" t="s">
        <v>414</v>
      </c>
      <c r="B158" t="s">
        <v>415</v>
      </c>
      <c r="C158" t="s">
        <v>416</v>
      </c>
      <c r="D158" s="31">
        <v>0</v>
      </c>
      <c r="E158" s="31">
        <v>0</v>
      </c>
      <c r="F158" s="31">
        <v>0</v>
      </c>
      <c r="G158" s="31">
        <v>0</v>
      </c>
      <c r="H158" s="32">
        <v>0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53</v>
      </c>
      <c r="Q158" t="s">
        <v>53</v>
      </c>
      <c r="R158" t="s">
        <v>53</v>
      </c>
      <c r="S158" t="s">
        <v>53</v>
      </c>
      <c r="T158" t="s">
        <v>53</v>
      </c>
      <c r="U158" t="s">
        <v>53</v>
      </c>
      <c r="V158" t="s">
        <v>53</v>
      </c>
      <c r="W158" t="s">
        <v>53</v>
      </c>
      <c r="X158" s="22" t="s">
        <v>53</v>
      </c>
      <c r="Y158" s="22" t="s">
        <v>53</v>
      </c>
      <c r="Z158" s="22" t="s">
        <v>53</v>
      </c>
      <c r="AA158" s="22" t="s">
        <v>53</v>
      </c>
      <c r="AB158" t="s">
        <v>53</v>
      </c>
      <c r="AC158" t="s">
        <v>53</v>
      </c>
      <c r="AD158" t="s">
        <v>53</v>
      </c>
      <c r="AE158" t="s">
        <v>53</v>
      </c>
      <c r="AF158" s="22" t="s">
        <v>53</v>
      </c>
      <c r="AG158" s="22" t="s">
        <v>53</v>
      </c>
      <c r="AH158" s="22" t="s">
        <v>53</v>
      </c>
      <c r="AI158" s="22" t="s">
        <v>53</v>
      </c>
      <c r="AJ158">
        <v>0</v>
      </c>
      <c r="AK158">
        <v>0</v>
      </c>
      <c r="AL158">
        <v>0</v>
      </c>
      <c r="AM158">
        <v>0</v>
      </c>
      <c r="AN158" s="22" t="s">
        <v>53</v>
      </c>
      <c r="AO158" s="22" t="s">
        <v>53</v>
      </c>
      <c r="AP158" s="22" t="s">
        <v>53</v>
      </c>
      <c r="AQ158" s="22" t="s">
        <v>53</v>
      </c>
      <c r="AR158" s="35">
        <v>0</v>
      </c>
      <c r="AS158" s="35">
        <v>0</v>
      </c>
      <c r="AT158" s="35">
        <v>0</v>
      </c>
      <c r="AU158" s="31" t="str">
        <f t="shared" si="6"/>
        <v>库存为0</v>
      </c>
      <c r="AV158" s="36" t="str">
        <f>IFERROR(时间!$B$4+AU158,"上周无销量")</f>
        <v>上周无销量</v>
      </c>
    </row>
    <row r="159" spans="1:48">
      <c r="A159" s="20" t="s">
        <v>417</v>
      </c>
      <c r="B159" t="s">
        <v>418</v>
      </c>
      <c r="C159" t="s">
        <v>416</v>
      </c>
      <c r="D159" s="31">
        <v>0</v>
      </c>
      <c r="E159" s="31">
        <v>0</v>
      </c>
      <c r="F159" s="31">
        <v>0</v>
      </c>
      <c r="G159" s="31">
        <v>0</v>
      </c>
      <c r="H159" s="32">
        <v>0</v>
      </c>
      <c r="I159">
        <v>0</v>
      </c>
      <c r="J159" s="33">
        <v>0</v>
      </c>
      <c r="K159" s="33">
        <v>0</v>
      </c>
      <c r="L159" s="33">
        <v>0</v>
      </c>
      <c r="M159">
        <v>0</v>
      </c>
      <c r="N159">
        <v>0</v>
      </c>
      <c r="O159">
        <v>0</v>
      </c>
      <c r="P159" t="s">
        <v>53</v>
      </c>
      <c r="Q159" t="s">
        <v>53</v>
      </c>
      <c r="R159" t="s">
        <v>53</v>
      </c>
      <c r="S159" t="s">
        <v>53</v>
      </c>
      <c r="T159" t="s">
        <v>53</v>
      </c>
      <c r="U159" t="s">
        <v>53</v>
      </c>
      <c r="V159" t="s">
        <v>53</v>
      </c>
      <c r="W159" t="s">
        <v>53</v>
      </c>
      <c r="X159" s="22" t="s">
        <v>53</v>
      </c>
      <c r="Y159" s="22" t="s">
        <v>53</v>
      </c>
      <c r="Z159" s="22" t="s">
        <v>53</v>
      </c>
      <c r="AA159" s="22" t="s">
        <v>53</v>
      </c>
      <c r="AB159" t="s">
        <v>53</v>
      </c>
      <c r="AC159" t="s">
        <v>53</v>
      </c>
      <c r="AD159" t="s">
        <v>53</v>
      </c>
      <c r="AE159" t="s">
        <v>53</v>
      </c>
      <c r="AF159" s="22" t="s">
        <v>53</v>
      </c>
      <c r="AG159" s="22" t="s">
        <v>53</v>
      </c>
      <c r="AH159" s="22" t="s">
        <v>53</v>
      </c>
      <c r="AI159" s="22" t="s">
        <v>53</v>
      </c>
      <c r="AJ159">
        <v>0</v>
      </c>
      <c r="AK159">
        <v>0</v>
      </c>
      <c r="AL159">
        <v>0</v>
      </c>
      <c r="AM159">
        <v>0</v>
      </c>
      <c r="AN159" s="22" t="s">
        <v>53</v>
      </c>
      <c r="AO159" s="22" t="s">
        <v>53</v>
      </c>
      <c r="AP159" s="22" t="s">
        <v>53</v>
      </c>
      <c r="AQ159" s="22" t="s">
        <v>53</v>
      </c>
      <c r="AR159" s="35">
        <v>0</v>
      </c>
      <c r="AS159" s="35">
        <v>0</v>
      </c>
      <c r="AT159" s="35">
        <v>0</v>
      </c>
      <c r="AU159" s="31" t="str">
        <f t="shared" si="6"/>
        <v>库存为0</v>
      </c>
      <c r="AV159" s="36" t="str">
        <f>IFERROR(时间!$B$4+AU159,"上周无销量")</f>
        <v>上周无销量</v>
      </c>
    </row>
    <row r="160" spans="1:48">
      <c r="A160" s="20" t="s">
        <v>419</v>
      </c>
      <c r="B160" t="s">
        <v>420</v>
      </c>
      <c r="C160" t="s">
        <v>421</v>
      </c>
      <c r="D160" s="31">
        <v>0</v>
      </c>
      <c r="E160" s="31">
        <v>0</v>
      </c>
      <c r="F160" s="31">
        <v>0</v>
      </c>
      <c r="G160" s="31">
        <v>0</v>
      </c>
      <c r="H160" s="32">
        <v>0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0</v>
      </c>
      <c r="P160" t="s">
        <v>53</v>
      </c>
      <c r="Q160" t="s">
        <v>53</v>
      </c>
      <c r="R160" t="s">
        <v>53</v>
      </c>
      <c r="S160" t="s">
        <v>53</v>
      </c>
      <c r="T160" t="s">
        <v>53</v>
      </c>
      <c r="U160" t="s">
        <v>53</v>
      </c>
      <c r="V160" t="s">
        <v>53</v>
      </c>
      <c r="W160" t="s">
        <v>53</v>
      </c>
      <c r="X160" s="22" t="s">
        <v>53</v>
      </c>
      <c r="Y160" s="22" t="s">
        <v>53</v>
      </c>
      <c r="Z160" s="22" t="s">
        <v>53</v>
      </c>
      <c r="AA160" s="22" t="s">
        <v>53</v>
      </c>
      <c r="AB160" t="s">
        <v>53</v>
      </c>
      <c r="AC160" t="s">
        <v>53</v>
      </c>
      <c r="AD160" t="s">
        <v>53</v>
      </c>
      <c r="AE160" t="s">
        <v>53</v>
      </c>
      <c r="AF160" s="22" t="s">
        <v>53</v>
      </c>
      <c r="AG160" s="22" t="s">
        <v>53</v>
      </c>
      <c r="AH160" s="22" t="s">
        <v>53</v>
      </c>
      <c r="AI160" s="22" t="s">
        <v>53</v>
      </c>
      <c r="AJ160">
        <v>0</v>
      </c>
      <c r="AK160">
        <v>0</v>
      </c>
      <c r="AL160">
        <v>0</v>
      </c>
      <c r="AM160">
        <v>0</v>
      </c>
      <c r="AN160" s="22" t="s">
        <v>53</v>
      </c>
      <c r="AO160" s="22" t="s">
        <v>53</v>
      </c>
      <c r="AP160" s="22" t="s">
        <v>53</v>
      </c>
      <c r="AQ160" s="22" t="s">
        <v>53</v>
      </c>
      <c r="AR160" s="35">
        <v>0</v>
      </c>
      <c r="AS160" s="35">
        <v>0</v>
      </c>
      <c r="AT160" s="35">
        <v>0</v>
      </c>
      <c r="AU160" s="31" t="str">
        <f t="shared" si="6"/>
        <v>库存为0</v>
      </c>
      <c r="AV160" s="36" t="str">
        <f>IFERROR(时间!$B$4+AU160,"上周无销量")</f>
        <v>上周无销量</v>
      </c>
    </row>
    <row r="161" spans="1:48">
      <c r="A161" s="20" t="s">
        <v>422</v>
      </c>
      <c r="B161" t="s">
        <v>423</v>
      </c>
      <c r="C161" t="s">
        <v>421</v>
      </c>
      <c r="D161" s="31">
        <v>0</v>
      </c>
      <c r="E161" s="31">
        <v>0</v>
      </c>
      <c r="F161" s="31">
        <v>0</v>
      </c>
      <c r="G161" s="31">
        <v>0</v>
      </c>
      <c r="H161" s="32">
        <v>0</v>
      </c>
      <c r="I161">
        <v>0</v>
      </c>
      <c r="J161" s="33">
        <v>0</v>
      </c>
      <c r="K161" s="33">
        <v>0</v>
      </c>
      <c r="L161" s="33">
        <v>0</v>
      </c>
      <c r="M161">
        <v>0</v>
      </c>
      <c r="N161">
        <v>0</v>
      </c>
      <c r="O161">
        <v>0</v>
      </c>
      <c r="P161" t="s">
        <v>53</v>
      </c>
      <c r="Q161" t="s">
        <v>53</v>
      </c>
      <c r="R161" t="s">
        <v>53</v>
      </c>
      <c r="S161" t="s">
        <v>53</v>
      </c>
      <c r="T161" t="s">
        <v>53</v>
      </c>
      <c r="U161" t="s">
        <v>53</v>
      </c>
      <c r="V161" t="s">
        <v>53</v>
      </c>
      <c r="W161" t="s">
        <v>53</v>
      </c>
      <c r="X161" s="22" t="s">
        <v>53</v>
      </c>
      <c r="Y161" s="22" t="s">
        <v>53</v>
      </c>
      <c r="Z161" s="22" t="s">
        <v>53</v>
      </c>
      <c r="AA161" s="22" t="s">
        <v>53</v>
      </c>
      <c r="AB161" t="s">
        <v>53</v>
      </c>
      <c r="AC161" t="s">
        <v>53</v>
      </c>
      <c r="AD161" t="s">
        <v>53</v>
      </c>
      <c r="AE161" t="s">
        <v>53</v>
      </c>
      <c r="AF161" s="22" t="s">
        <v>53</v>
      </c>
      <c r="AG161" s="22" t="s">
        <v>53</v>
      </c>
      <c r="AH161" s="22" t="s">
        <v>53</v>
      </c>
      <c r="AI161" s="22" t="s">
        <v>53</v>
      </c>
      <c r="AJ161">
        <v>0</v>
      </c>
      <c r="AK161">
        <v>0</v>
      </c>
      <c r="AL161">
        <v>0</v>
      </c>
      <c r="AM161">
        <v>0</v>
      </c>
      <c r="AN161" s="22" t="s">
        <v>53</v>
      </c>
      <c r="AO161" s="22" t="s">
        <v>53</v>
      </c>
      <c r="AP161" s="22" t="s">
        <v>53</v>
      </c>
      <c r="AQ161" s="22" t="s">
        <v>53</v>
      </c>
      <c r="AR161" s="35">
        <v>0</v>
      </c>
      <c r="AS161" s="35">
        <v>0</v>
      </c>
      <c r="AT161" s="35">
        <v>0</v>
      </c>
      <c r="AU161" s="31" t="str">
        <f t="shared" si="6"/>
        <v>库存为0</v>
      </c>
      <c r="AV161" s="36" t="str">
        <f>IFERROR(时间!$B$4+AU161,"上周无销量")</f>
        <v>上周无销量</v>
      </c>
    </row>
    <row r="162" spans="1:48">
      <c r="A162" s="20" t="s">
        <v>424</v>
      </c>
      <c r="B162" t="s">
        <v>425</v>
      </c>
      <c r="C162" t="s">
        <v>421</v>
      </c>
      <c r="D162" s="31">
        <v>0</v>
      </c>
      <c r="E162" s="31">
        <v>0</v>
      </c>
      <c r="F162" s="31">
        <v>0</v>
      </c>
      <c r="G162" s="31">
        <v>0</v>
      </c>
      <c r="H162" s="32">
        <v>0</v>
      </c>
      <c r="I162">
        <v>0</v>
      </c>
      <c r="J162" s="33">
        <v>0</v>
      </c>
      <c r="K162" s="33">
        <v>0</v>
      </c>
      <c r="L162" s="33">
        <v>0</v>
      </c>
      <c r="M162">
        <v>0</v>
      </c>
      <c r="N162">
        <v>0</v>
      </c>
      <c r="O162">
        <v>0</v>
      </c>
      <c r="P162" t="s">
        <v>53</v>
      </c>
      <c r="Q162" t="s">
        <v>53</v>
      </c>
      <c r="R162" t="s">
        <v>53</v>
      </c>
      <c r="S162" t="s">
        <v>53</v>
      </c>
      <c r="T162" t="s">
        <v>53</v>
      </c>
      <c r="U162" t="s">
        <v>53</v>
      </c>
      <c r="V162" t="s">
        <v>53</v>
      </c>
      <c r="W162" t="s">
        <v>53</v>
      </c>
      <c r="X162" s="22" t="s">
        <v>53</v>
      </c>
      <c r="Y162" s="22" t="s">
        <v>53</v>
      </c>
      <c r="Z162" s="22" t="s">
        <v>53</v>
      </c>
      <c r="AA162" s="22" t="s">
        <v>53</v>
      </c>
      <c r="AB162" t="s">
        <v>53</v>
      </c>
      <c r="AC162" t="s">
        <v>53</v>
      </c>
      <c r="AD162" t="s">
        <v>53</v>
      </c>
      <c r="AE162" t="s">
        <v>53</v>
      </c>
      <c r="AF162" s="22" t="s">
        <v>53</v>
      </c>
      <c r="AG162" s="22" t="s">
        <v>53</v>
      </c>
      <c r="AH162" s="22" t="s">
        <v>53</v>
      </c>
      <c r="AI162" s="22" t="s">
        <v>53</v>
      </c>
      <c r="AJ162">
        <v>0</v>
      </c>
      <c r="AK162">
        <v>0</v>
      </c>
      <c r="AL162">
        <v>0</v>
      </c>
      <c r="AM162">
        <v>0</v>
      </c>
      <c r="AN162" s="22" t="s">
        <v>53</v>
      </c>
      <c r="AO162" s="22" t="s">
        <v>53</v>
      </c>
      <c r="AP162" s="22" t="s">
        <v>53</v>
      </c>
      <c r="AQ162" s="22" t="s">
        <v>53</v>
      </c>
      <c r="AR162" s="35">
        <v>0</v>
      </c>
      <c r="AS162" s="35">
        <v>0</v>
      </c>
      <c r="AT162" s="35">
        <v>0</v>
      </c>
      <c r="AU162" s="31" t="str">
        <f t="shared" si="6"/>
        <v>库存为0</v>
      </c>
      <c r="AV162" s="36" t="str">
        <f>IFERROR(时间!$B$4+AU162,"上周无销量")</f>
        <v>上周无销量</v>
      </c>
    </row>
    <row r="163" spans="1:48">
      <c r="A163" s="20" t="s">
        <v>426</v>
      </c>
      <c r="B163" t="s">
        <v>427</v>
      </c>
      <c r="C163" t="s">
        <v>421</v>
      </c>
      <c r="D163" s="31">
        <v>0</v>
      </c>
      <c r="E163" s="31">
        <v>4</v>
      </c>
      <c r="F163" s="31">
        <v>3</v>
      </c>
      <c r="G163" s="31">
        <v>1</v>
      </c>
      <c r="H163" s="32">
        <v>7.99</v>
      </c>
      <c r="I163">
        <v>0</v>
      </c>
      <c r="J163" s="33">
        <v>0</v>
      </c>
      <c r="K163" s="33">
        <v>0</v>
      </c>
      <c r="L163" s="33">
        <v>0</v>
      </c>
      <c r="M163">
        <v>0</v>
      </c>
      <c r="N163">
        <v>0</v>
      </c>
      <c r="O163">
        <v>0</v>
      </c>
      <c r="P163" t="s">
        <v>53</v>
      </c>
      <c r="Q163" t="s">
        <v>53</v>
      </c>
      <c r="R163" t="s">
        <v>53</v>
      </c>
      <c r="S163" t="s">
        <v>53</v>
      </c>
      <c r="T163" t="s">
        <v>53</v>
      </c>
      <c r="U163" t="s">
        <v>53</v>
      </c>
      <c r="V163" t="s">
        <v>53</v>
      </c>
      <c r="W163" t="s">
        <v>53</v>
      </c>
      <c r="X163" s="22" t="s">
        <v>53</v>
      </c>
      <c r="Y163" s="22" t="s">
        <v>53</v>
      </c>
      <c r="Z163" s="22" t="s">
        <v>53</v>
      </c>
      <c r="AA163" s="22" t="s">
        <v>53</v>
      </c>
      <c r="AB163" t="s">
        <v>53</v>
      </c>
      <c r="AC163" t="s">
        <v>53</v>
      </c>
      <c r="AD163" t="s">
        <v>53</v>
      </c>
      <c r="AE163" t="s">
        <v>53</v>
      </c>
      <c r="AF163" s="22" t="s">
        <v>53</v>
      </c>
      <c r="AG163" s="22" t="s">
        <v>53</v>
      </c>
      <c r="AH163" s="22" t="s">
        <v>53</v>
      </c>
      <c r="AI163" s="22" t="s">
        <v>53</v>
      </c>
      <c r="AJ163">
        <v>0</v>
      </c>
      <c r="AK163">
        <v>0</v>
      </c>
      <c r="AL163">
        <v>41</v>
      </c>
      <c r="AM163">
        <v>20</v>
      </c>
      <c r="AN163" s="22" t="s">
        <v>53</v>
      </c>
      <c r="AO163" s="22" t="s">
        <v>53</v>
      </c>
      <c r="AP163" s="22">
        <v>0.0731707317073171</v>
      </c>
      <c r="AQ163" s="22">
        <v>0.05</v>
      </c>
      <c r="AR163" s="35">
        <v>0</v>
      </c>
      <c r="AS163" s="35">
        <v>0</v>
      </c>
      <c r="AT163" s="35">
        <v>0</v>
      </c>
      <c r="AU163" s="31" t="str">
        <f t="shared" si="6"/>
        <v>库存为0</v>
      </c>
      <c r="AV163" s="36" t="str">
        <f>IFERROR(时间!$B$4+AU163,"上周无销量")</f>
        <v>上周无销量</v>
      </c>
    </row>
    <row r="164" spans="1:48">
      <c r="A164" s="20" t="s">
        <v>428</v>
      </c>
      <c r="B164" t="s">
        <v>429</v>
      </c>
      <c r="C164" t="s">
        <v>421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53</v>
      </c>
      <c r="Q164" t="s">
        <v>53</v>
      </c>
      <c r="R164" t="s">
        <v>53</v>
      </c>
      <c r="S164" t="s">
        <v>53</v>
      </c>
      <c r="T164" t="s">
        <v>53</v>
      </c>
      <c r="U164" t="s">
        <v>53</v>
      </c>
      <c r="V164" t="s">
        <v>53</v>
      </c>
      <c r="W164" t="s">
        <v>53</v>
      </c>
      <c r="X164" s="22" t="s">
        <v>53</v>
      </c>
      <c r="Y164" s="22" t="s">
        <v>53</v>
      </c>
      <c r="Z164" s="22" t="s">
        <v>53</v>
      </c>
      <c r="AA164" s="22" t="s">
        <v>53</v>
      </c>
      <c r="AB164" t="s">
        <v>53</v>
      </c>
      <c r="AC164" t="s">
        <v>53</v>
      </c>
      <c r="AD164" t="s">
        <v>53</v>
      </c>
      <c r="AE164" t="s">
        <v>53</v>
      </c>
      <c r="AF164" s="22" t="s">
        <v>53</v>
      </c>
      <c r="AG164" s="22" t="s">
        <v>53</v>
      </c>
      <c r="AH164" s="22" t="s">
        <v>53</v>
      </c>
      <c r="AI164" s="22" t="s">
        <v>53</v>
      </c>
      <c r="AJ164">
        <v>0</v>
      </c>
      <c r="AK164">
        <v>0</v>
      </c>
      <c r="AL164">
        <v>0</v>
      </c>
      <c r="AM164">
        <v>0</v>
      </c>
      <c r="AN164" s="22" t="s">
        <v>53</v>
      </c>
      <c r="AO164" s="22" t="s">
        <v>53</v>
      </c>
      <c r="AP164" s="22" t="s">
        <v>53</v>
      </c>
      <c r="AQ164" s="22" t="s">
        <v>53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20" t="s">
        <v>430</v>
      </c>
      <c r="B165" t="s">
        <v>431</v>
      </c>
      <c r="C165" t="s">
        <v>421</v>
      </c>
      <c r="D165" s="31">
        <v>0</v>
      </c>
      <c r="E165" s="31">
        <v>0</v>
      </c>
      <c r="F165" s="31">
        <v>0</v>
      </c>
      <c r="G165" s="31">
        <v>0</v>
      </c>
      <c r="H165" s="32">
        <v>0</v>
      </c>
      <c r="I165">
        <v>0</v>
      </c>
      <c r="J165" s="33">
        <v>0</v>
      </c>
      <c r="K165" s="33">
        <v>0</v>
      </c>
      <c r="L165" s="33">
        <v>0</v>
      </c>
      <c r="M165">
        <v>0</v>
      </c>
      <c r="N165">
        <v>0</v>
      </c>
      <c r="O165">
        <v>0</v>
      </c>
      <c r="P165" t="s">
        <v>53</v>
      </c>
      <c r="Q165" t="s">
        <v>53</v>
      </c>
      <c r="R165" t="s">
        <v>53</v>
      </c>
      <c r="S165" t="s">
        <v>53</v>
      </c>
      <c r="T165" t="s">
        <v>53</v>
      </c>
      <c r="U165" t="s">
        <v>53</v>
      </c>
      <c r="V165" t="s">
        <v>53</v>
      </c>
      <c r="W165" t="s">
        <v>53</v>
      </c>
      <c r="X165" s="22" t="s">
        <v>53</v>
      </c>
      <c r="Y165" s="22" t="s">
        <v>53</v>
      </c>
      <c r="Z165" s="22" t="s">
        <v>53</v>
      </c>
      <c r="AA165" s="22" t="s">
        <v>53</v>
      </c>
      <c r="AB165" t="s">
        <v>53</v>
      </c>
      <c r="AC165" t="s">
        <v>53</v>
      </c>
      <c r="AD165" t="s">
        <v>53</v>
      </c>
      <c r="AE165" t="s">
        <v>53</v>
      </c>
      <c r="AF165" s="22" t="s">
        <v>53</v>
      </c>
      <c r="AG165" s="22" t="s">
        <v>53</v>
      </c>
      <c r="AH165" s="22" t="s">
        <v>53</v>
      </c>
      <c r="AI165" s="22" t="s">
        <v>53</v>
      </c>
      <c r="AJ165">
        <v>0</v>
      </c>
      <c r="AK165">
        <v>0</v>
      </c>
      <c r="AL165">
        <v>0</v>
      </c>
      <c r="AM165">
        <v>0</v>
      </c>
      <c r="AN165" s="22" t="s">
        <v>53</v>
      </c>
      <c r="AO165" s="22" t="s">
        <v>53</v>
      </c>
      <c r="AP165" s="22" t="s">
        <v>53</v>
      </c>
      <c r="AQ165" s="22" t="s">
        <v>53</v>
      </c>
      <c r="AR165" s="35">
        <v>0</v>
      </c>
      <c r="AS165" s="35">
        <v>0</v>
      </c>
      <c r="AT165" s="35">
        <v>0</v>
      </c>
      <c r="AU165" s="31" t="str">
        <f t="shared" si="6"/>
        <v>库存为0</v>
      </c>
      <c r="AV165" s="36" t="str">
        <f>IFERROR(时间!$B$4+AU165,"上周无销量")</f>
        <v>上周无销量</v>
      </c>
    </row>
    <row r="166" spans="1:48">
      <c r="A166" s="20" t="s">
        <v>432</v>
      </c>
      <c r="B166" t="s">
        <v>433</v>
      </c>
      <c r="C166" t="s">
        <v>421</v>
      </c>
      <c r="D166" s="31">
        <v>0</v>
      </c>
      <c r="E166" s="31">
        <v>0</v>
      </c>
      <c r="F166" s="31">
        <v>0</v>
      </c>
      <c r="G166" s="31">
        <v>0</v>
      </c>
      <c r="H166" s="32">
        <v>0</v>
      </c>
      <c r="I166">
        <v>0</v>
      </c>
      <c r="J166" s="33">
        <v>0</v>
      </c>
      <c r="K166" s="33">
        <v>0</v>
      </c>
      <c r="L166" s="33">
        <v>0</v>
      </c>
      <c r="M166">
        <v>0</v>
      </c>
      <c r="N166">
        <v>0</v>
      </c>
      <c r="O166">
        <v>0</v>
      </c>
      <c r="P166" t="s">
        <v>53</v>
      </c>
      <c r="Q166" t="s">
        <v>53</v>
      </c>
      <c r="R166" t="s">
        <v>53</v>
      </c>
      <c r="S166" t="s">
        <v>53</v>
      </c>
      <c r="T166" t="s">
        <v>53</v>
      </c>
      <c r="U166" t="s">
        <v>53</v>
      </c>
      <c r="V166" t="s">
        <v>53</v>
      </c>
      <c r="W166" t="s">
        <v>53</v>
      </c>
      <c r="X166" s="22" t="s">
        <v>53</v>
      </c>
      <c r="Y166" s="22" t="s">
        <v>53</v>
      </c>
      <c r="Z166" s="22" t="s">
        <v>53</v>
      </c>
      <c r="AA166" s="22" t="s">
        <v>53</v>
      </c>
      <c r="AB166" t="s">
        <v>53</v>
      </c>
      <c r="AC166" t="s">
        <v>53</v>
      </c>
      <c r="AD166" t="s">
        <v>53</v>
      </c>
      <c r="AE166" t="s">
        <v>53</v>
      </c>
      <c r="AF166" s="22" t="s">
        <v>53</v>
      </c>
      <c r="AG166" s="22" t="s">
        <v>53</v>
      </c>
      <c r="AH166" s="22" t="s">
        <v>53</v>
      </c>
      <c r="AI166" s="22" t="s">
        <v>53</v>
      </c>
      <c r="AJ166">
        <v>0</v>
      </c>
      <c r="AK166">
        <v>0</v>
      </c>
      <c r="AL166">
        <v>0</v>
      </c>
      <c r="AM166">
        <v>0</v>
      </c>
      <c r="AN166" s="22" t="s">
        <v>53</v>
      </c>
      <c r="AO166" s="22" t="s">
        <v>53</v>
      </c>
      <c r="AP166" s="22" t="s">
        <v>53</v>
      </c>
      <c r="AQ166" s="22" t="s">
        <v>53</v>
      </c>
      <c r="AR166" s="35">
        <v>0</v>
      </c>
      <c r="AS166" s="35">
        <v>0</v>
      </c>
      <c r="AT166" s="35">
        <v>0</v>
      </c>
      <c r="AU166" s="31" t="str">
        <f t="shared" si="6"/>
        <v>库存为0</v>
      </c>
      <c r="AV166" s="36" t="str">
        <f>IFERROR(时间!$B$4+AU166,"上周无销量")</f>
        <v>上周无销量</v>
      </c>
    </row>
    <row r="167" spans="1:48">
      <c r="A167" s="20" t="s">
        <v>434</v>
      </c>
      <c r="B167" t="s">
        <v>435</v>
      </c>
      <c r="C167" t="s">
        <v>421</v>
      </c>
      <c r="D167" s="31">
        <v>0</v>
      </c>
      <c r="E167" s="31">
        <v>0</v>
      </c>
      <c r="F167" s="31">
        <v>0</v>
      </c>
      <c r="G167" s="31">
        <v>1</v>
      </c>
      <c r="H167" s="32">
        <v>14.99</v>
      </c>
      <c r="I167">
        <v>1</v>
      </c>
      <c r="J167" s="33">
        <v>0</v>
      </c>
      <c r="K167" s="33">
        <v>0</v>
      </c>
      <c r="L167" s="33">
        <v>0</v>
      </c>
      <c r="M167">
        <v>1</v>
      </c>
      <c r="N167">
        <v>0</v>
      </c>
      <c r="O167">
        <v>0</v>
      </c>
      <c r="P167" t="s">
        <v>53</v>
      </c>
      <c r="Q167" t="s">
        <v>53</v>
      </c>
      <c r="R167" t="s">
        <v>53</v>
      </c>
      <c r="S167" t="s">
        <v>53</v>
      </c>
      <c r="T167" t="s">
        <v>53</v>
      </c>
      <c r="U167" t="s">
        <v>53</v>
      </c>
      <c r="V167" t="s">
        <v>53</v>
      </c>
      <c r="W167" t="s">
        <v>53</v>
      </c>
      <c r="X167" s="22" t="s">
        <v>53</v>
      </c>
      <c r="Y167" s="22" t="s">
        <v>53</v>
      </c>
      <c r="Z167" s="22" t="s">
        <v>53</v>
      </c>
      <c r="AA167" s="22" t="s">
        <v>53</v>
      </c>
      <c r="AB167" t="s">
        <v>53</v>
      </c>
      <c r="AC167" t="s">
        <v>53</v>
      </c>
      <c r="AD167" t="s">
        <v>53</v>
      </c>
      <c r="AE167" t="s">
        <v>53</v>
      </c>
      <c r="AF167" s="22" t="s">
        <v>53</v>
      </c>
      <c r="AG167" s="22" t="s">
        <v>53</v>
      </c>
      <c r="AH167" s="22" t="s">
        <v>53</v>
      </c>
      <c r="AI167" s="22" t="s">
        <v>53</v>
      </c>
      <c r="AJ167">
        <v>15</v>
      </c>
      <c r="AK167">
        <v>11</v>
      </c>
      <c r="AL167">
        <v>14</v>
      </c>
      <c r="AM167">
        <v>12</v>
      </c>
      <c r="AN167" s="22">
        <v>0</v>
      </c>
      <c r="AO167" s="22">
        <v>0</v>
      </c>
      <c r="AP167" s="22">
        <v>0</v>
      </c>
      <c r="AQ167" s="22">
        <v>0.0833333333333333</v>
      </c>
      <c r="AR167" s="35">
        <v>0</v>
      </c>
      <c r="AS167" s="35">
        <v>0</v>
      </c>
      <c r="AT167" s="35">
        <v>1</v>
      </c>
      <c r="AU167" s="31" t="str">
        <f t="shared" si="6"/>
        <v>库存为1</v>
      </c>
      <c r="AV167" s="36" t="str">
        <f>IFERROR(时间!$B$4+AU167,"上周无销量")</f>
        <v>上周无销量</v>
      </c>
    </row>
    <row r="168" spans="1:48">
      <c r="A168" s="20" t="s">
        <v>436</v>
      </c>
      <c r="B168" t="s">
        <v>437</v>
      </c>
      <c r="C168" t="s">
        <v>421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3</v>
      </c>
      <c r="J168" s="33">
        <v>0</v>
      </c>
      <c r="K168" s="33">
        <v>0</v>
      </c>
      <c r="L168" s="33">
        <v>0</v>
      </c>
      <c r="M168">
        <v>3</v>
      </c>
      <c r="N168">
        <v>0</v>
      </c>
      <c r="O168">
        <v>0</v>
      </c>
      <c r="P168" t="s">
        <v>53</v>
      </c>
      <c r="Q168" t="s">
        <v>53</v>
      </c>
      <c r="R168" t="s">
        <v>53</v>
      </c>
      <c r="S168" t="s">
        <v>53</v>
      </c>
      <c r="T168" t="s">
        <v>53</v>
      </c>
      <c r="U168" t="s">
        <v>53</v>
      </c>
      <c r="V168" t="s">
        <v>53</v>
      </c>
      <c r="W168" t="s">
        <v>53</v>
      </c>
      <c r="X168" s="22" t="s">
        <v>53</v>
      </c>
      <c r="Y168" s="22" t="s">
        <v>53</v>
      </c>
      <c r="Z168" s="22" t="s">
        <v>53</v>
      </c>
      <c r="AA168" s="22" t="s">
        <v>53</v>
      </c>
      <c r="AB168" t="s">
        <v>53</v>
      </c>
      <c r="AC168" t="s">
        <v>53</v>
      </c>
      <c r="AD168" t="s">
        <v>53</v>
      </c>
      <c r="AE168" t="s">
        <v>53</v>
      </c>
      <c r="AF168" s="22" t="s">
        <v>53</v>
      </c>
      <c r="AG168" s="22" t="s">
        <v>53</v>
      </c>
      <c r="AH168" s="22" t="s">
        <v>53</v>
      </c>
      <c r="AI168" s="22" t="s">
        <v>53</v>
      </c>
      <c r="AJ168">
        <v>19</v>
      </c>
      <c r="AK168">
        <v>18</v>
      </c>
      <c r="AL168">
        <v>14</v>
      </c>
      <c r="AM168">
        <v>10</v>
      </c>
      <c r="AN168" s="22">
        <v>0</v>
      </c>
      <c r="AO168" s="22">
        <v>0</v>
      </c>
      <c r="AP168" s="22">
        <v>0</v>
      </c>
      <c r="AQ168" s="22">
        <v>0</v>
      </c>
      <c r="AR168" s="35">
        <v>0</v>
      </c>
      <c r="AS168" s="35">
        <v>0</v>
      </c>
      <c r="AT168" s="35">
        <v>3</v>
      </c>
      <c r="AU168" s="31" t="str">
        <f t="shared" si="6"/>
        <v>库存为3</v>
      </c>
      <c r="AV168" s="36" t="str">
        <f>IFERROR(时间!$B$4+AU168,"上周无销量")</f>
        <v>上周无销量</v>
      </c>
    </row>
    <row r="169" spans="1:48">
      <c r="A169" s="20" t="s">
        <v>438</v>
      </c>
      <c r="B169" t="s">
        <v>439</v>
      </c>
      <c r="C169" t="s">
        <v>421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53</v>
      </c>
      <c r="Q169" t="s">
        <v>53</v>
      </c>
      <c r="R169" t="s">
        <v>53</v>
      </c>
      <c r="S169" t="s">
        <v>53</v>
      </c>
      <c r="T169" t="s">
        <v>53</v>
      </c>
      <c r="U169" t="s">
        <v>53</v>
      </c>
      <c r="V169" t="s">
        <v>53</v>
      </c>
      <c r="W169" t="s">
        <v>53</v>
      </c>
      <c r="X169" s="22" t="s">
        <v>53</v>
      </c>
      <c r="Y169" s="22" t="s">
        <v>53</v>
      </c>
      <c r="Z169" s="22" t="s">
        <v>53</v>
      </c>
      <c r="AA169" s="22" t="s">
        <v>53</v>
      </c>
      <c r="AB169" t="s">
        <v>53</v>
      </c>
      <c r="AC169" t="s">
        <v>53</v>
      </c>
      <c r="AD169" t="s">
        <v>53</v>
      </c>
      <c r="AE169" t="s">
        <v>53</v>
      </c>
      <c r="AF169" s="22" t="s">
        <v>53</v>
      </c>
      <c r="AG169" s="22" t="s">
        <v>53</v>
      </c>
      <c r="AH169" s="22" t="s">
        <v>53</v>
      </c>
      <c r="AI169" s="22" t="s">
        <v>53</v>
      </c>
      <c r="AJ169">
        <v>0</v>
      </c>
      <c r="AK169">
        <v>0</v>
      </c>
      <c r="AL169">
        <v>0</v>
      </c>
      <c r="AM169">
        <v>0</v>
      </c>
      <c r="AN169" s="22" t="s">
        <v>53</v>
      </c>
      <c r="AO169" s="22" t="s">
        <v>53</v>
      </c>
      <c r="AP169" s="22" t="s">
        <v>53</v>
      </c>
      <c r="AQ169" s="22" t="s">
        <v>53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20" t="s">
        <v>440</v>
      </c>
      <c r="B170" t="s">
        <v>441</v>
      </c>
      <c r="C170" t="s">
        <v>421</v>
      </c>
      <c r="D170" s="31">
        <v>0</v>
      </c>
      <c r="E170" s="31">
        <v>0</v>
      </c>
      <c r="F170" s="31">
        <v>0</v>
      </c>
      <c r="G170" s="31">
        <v>0</v>
      </c>
      <c r="H170" s="32">
        <v>0</v>
      </c>
      <c r="I170">
        <v>4</v>
      </c>
      <c r="J170" s="33">
        <v>0</v>
      </c>
      <c r="K170" s="33">
        <v>0</v>
      </c>
      <c r="L170" s="33">
        <v>0</v>
      </c>
      <c r="M170">
        <v>4</v>
      </c>
      <c r="N170">
        <v>0</v>
      </c>
      <c r="O170">
        <v>0</v>
      </c>
      <c r="P170" t="s">
        <v>53</v>
      </c>
      <c r="Q170" t="s">
        <v>53</v>
      </c>
      <c r="R170" t="s">
        <v>53</v>
      </c>
      <c r="S170" t="s">
        <v>53</v>
      </c>
      <c r="T170" t="s">
        <v>53</v>
      </c>
      <c r="U170" t="s">
        <v>53</v>
      </c>
      <c r="V170" t="s">
        <v>53</v>
      </c>
      <c r="W170" t="s">
        <v>53</v>
      </c>
      <c r="X170" s="22" t="s">
        <v>53</v>
      </c>
      <c r="Y170" s="22" t="s">
        <v>53</v>
      </c>
      <c r="Z170" s="22" t="s">
        <v>53</v>
      </c>
      <c r="AA170" s="22" t="s">
        <v>53</v>
      </c>
      <c r="AB170" t="s">
        <v>53</v>
      </c>
      <c r="AC170" t="s">
        <v>53</v>
      </c>
      <c r="AD170" t="s">
        <v>53</v>
      </c>
      <c r="AE170" t="s">
        <v>53</v>
      </c>
      <c r="AF170" s="22" t="s">
        <v>53</v>
      </c>
      <c r="AG170" s="22" t="s">
        <v>53</v>
      </c>
      <c r="AH170" s="22" t="s">
        <v>53</v>
      </c>
      <c r="AI170" s="22" t="s">
        <v>53</v>
      </c>
      <c r="AJ170">
        <v>70</v>
      </c>
      <c r="AK170">
        <v>58</v>
      </c>
      <c r="AL170">
        <v>31</v>
      </c>
      <c r="AM170">
        <v>23</v>
      </c>
      <c r="AN170" s="22">
        <v>0</v>
      </c>
      <c r="AO170" s="22">
        <v>0</v>
      </c>
      <c r="AP170" s="22">
        <v>0</v>
      </c>
      <c r="AQ170" s="22">
        <v>0</v>
      </c>
      <c r="AR170" s="35">
        <v>0</v>
      </c>
      <c r="AS170" s="35">
        <v>0</v>
      </c>
      <c r="AT170" s="35">
        <v>4</v>
      </c>
      <c r="AU170" s="31" t="str">
        <f t="shared" si="6"/>
        <v>库存为4</v>
      </c>
      <c r="AV170" s="36" t="str">
        <f>IFERROR(时间!$B$4+AU170,"上周无销量")</f>
        <v>上周无销量</v>
      </c>
    </row>
    <row r="171" spans="1:48">
      <c r="A171" s="20" t="s">
        <v>442</v>
      </c>
      <c r="B171" t="s">
        <v>443</v>
      </c>
      <c r="C171" t="s">
        <v>421</v>
      </c>
      <c r="D171" s="31">
        <v>0</v>
      </c>
      <c r="E171" s="31">
        <v>0</v>
      </c>
      <c r="F171" s="31">
        <v>0</v>
      </c>
      <c r="G171" s="31">
        <v>0</v>
      </c>
      <c r="H171" s="32">
        <v>0</v>
      </c>
      <c r="I171">
        <v>4</v>
      </c>
      <c r="J171" s="33">
        <v>0</v>
      </c>
      <c r="K171" s="33">
        <v>0</v>
      </c>
      <c r="L171" s="33">
        <v>0</v>
      </c>
      <c r="M171">
        <v>4</v>
      </c>
      <c r="N171">
        <v>0</v>
      </c>
      <c r="O171">
        <v>0</v>
      </c>
      <c r="P171" t="s">
        <v>53</v>
      </c>
      <c r="Q171" t="s">
        <v>53</v>
      </c>
      <c r="R171" t="s">
        <v>53</v>
      </c>
      <c r="S171" t="s">
        <v>53</v>
      </c>
      <c r="T171" t="s">
        <v>53</v>
      </c>
      <c r="U171" t="s">
        <v>53</v>
      </c>
      <c r="V171" t="s">
        <v>53</v>
      </c>
      <c r="W171" t="s">
        <v>53</v>
      </c>
      <c r="X171" s="22" t="s">
        <v>53</v>
      </c>
      <c r="Y171" s="22" t="s">
        <v>53</v>
      </c>
      <c r="Z171" s="22" t="s">
        <v>53</v>
      </c>
      <c r="AA171" s="22" t="s">
        <v>53</v>
      </c>
      <c r="AB171" t="s">
        <v>53</v>
      </c>
      <c r="AC171" t="s">
        <v>53</v>
      </c>
      <c r="AD171" t="s">
        <v>53</v>
      </c>
      <c r="AE171" t="s">
        <v>53</v>
      </c>
      <c r="AF171" s="22" t="s">
        <v>53</v>
      </c>
      <c r="AG171" s="22" t="s">
        <v>53</v>
      </c>
      <c r="AH171" s="22" t="s">
        <v>53</v>
      </c>
      <c r="AI171" s="22" t="s">
        <v>53</v>
      </c>
      <c r="AJ171">
        <v>13</v>
      </c>
      <c r="AK171">
        <v>15</v>
      </c>
      <c r="AL171">
        <v>8</v>
      </c>
      <c r="AM171">
        <v>15</v>
      </c>
      <c r="AN171" s="22">
        <v>0</v>
      </c>
      <c r="AO171" s="22">
        <v>0</v>
      </c>
      <c r="AP171" s="22">
        <v>0</v>
      </c>
      <c r="AQ171" s="22">
        <v>0</v>
      </c>
      <c r="AR171" s="35">
        <v>0</v>
      </c>
      <c r="AS171" s="35">
        <v>0</v>
      </c>
      <c r="AT171" s="35">
        <v>4</v>
      </c>
      <c r="AU171" s="31" t="str">
        <f t="shared" si="6"/>
        <v>库存为4</v>
      </c>
      <c r="AV171" s="36" t="str">
        <f>IFERROR(时间!$B$4+AU171,"上周无销量")</f>
        <v>上周无销量</v>
      </c>
    </row>
    <row r="172" spans="1:48">
      <c r="A172" s="20" t="s">
        <v>444</v>
      </c>
      <c r="B172" t="s">
        <v>445</v>
      </c>
      <c r="C172" t="s">
        <v>421</v>
      </c>
      <c r="D172" s="31">
        <v>0</v>
      </c>
      <c r="E172" s="31">
        <v>0</v>
      </c>
      <c r="F172" s="31">
        <v>0</v>
      </c>
      <c r="G172" s="31">
        <v>0</v>
      </c>
      <c r="H172" s="32">
        <v>0</v>
      </c>
      <c r="I172">
        <v>0</v>
      </c>
      <c r="J172" s="33">
        <v>0</v>
      </c>
      <c r="K172" s="33">
        <v>0</v>
      </c>
      <c r="L172" s="33">
        <v>0</v>
      </c>
      <c r="M172">
        <v>0</v>
      </c>
      <c r="N172">
        <v>0</v>
      </c>
      <c r="O172">
        <v>0</v>
      </c>
      <c r="P172" t="s">
        <v>53</v>
      </c>
      <c r="Q172" t="s">
        <v>53</v>
      </c>
      <c r="R172" t="s">
        <v>53</v>
      </c>
      <c r="S172" t="s">
        <v>53</v>
      </c>
      <c r="T172" t="s">
        <v>53</v>
      </c>
      <c r="U172" t="s">
        <v>53</v>
      </c>
      <c r="V172" t="s">
        <v>53</v>
      </c>
      <c r="W172" t="s">
        <v>53</v>
      </c>
      <c r="X172" s="22" t="s">
        <v>53</v>
      </c>
      <c r="Y172" s="22" t="s">
        <v>53</v>
      </c>
      <c r="Z172" s="22" t="s">
        <v>53</v>
      </c>
      <c r="AA172" s="22" t="s">
        <v>53</v>
      </c>
      <c r="AB172" t="s">
        <v>53</v>
      </c>
      <c r="AC172" t="s">
        <v>53</v>
      </c>
      <c r="AD172" t="s">
        <v>53</v>
      </c>
      <c r="AE172" t="s">
        <v>53</v>
      </c>
      <c r="AF172" s="22" t="s">
        <v>53</v>
      </c>
      <c r="AG172" s="22" t="s">
        <v>53</v>
      </c>
      <c r="AH172" s="22" t="s">
        <v>53</v>
      </c>
      <c r="AI172" s="22" t="s">
        <v>53</v>
      </c>
      <c r="AJ172">
        <v>0</v>
      </c>
      <c r="AK172">
        <v>0</v>
      </c>
      <c r="AL172">
        <v>0</v>
      </c>
      <c r="AM172">
        <v>0</v>
      </c>
      <c r="AN172" s="22" t="s">
        <v>53</v>
      </c>
      <c r="AO172" s="22" t="s">
        <v>53</v>
      </c>
      <c r="AP172" s="22" t="s">
        <v>53</v>
      </c>
      <c r="AQ172" s="22" t="s">
        <v>53</v>
      </c>
      <c r="AR172" s="35">
        <v>0</v>
      </c>
      <c r="AS172" s="35">
        <v>0</v>
      </c>
      <c r="AT172" s="35">
        <v>0</v>
      </c>
      <c r="AU172" s="31" t="str">
        <f t="shared" si="6"/>
        <v>库存为0</v>
      </c>
      <c r="AV172" s="36" t="str">
        <f>IFERROR(时间!$B$4+AU172,"上周无销量")</f>
        <v>上周无销量</v>
      </c>
    </row>
    <row r="173" spans="1:48">
      <c r="A173" s="20" t="s">
        <v>446</v>
      </c>
      <c r="B173" t="s">
        <v>447</v>
      </c>
      <c r="C173" t="s">
        <v>448</v>
      </c>
      <c r="D173" s="31">
        <v>0</v>
      </c>
      <c r="E173" s="31">
        <v>1</v>
      </c>
      <c r="F173" s="31">
        <v>0</v>
      </c>
      <c r="G173" s="31">
        <v>0</v>
      </c>
      <c r="H173" s="32">
        <v>15.99</v>
      </c>
      <c r="I173">
        <v>31</v>
      </c>
      <c r="J173" s="33">
        <v>0</v>
      </c>
      <c r="K173" s="33">
        <v>0</v>
      </c>
      <c r="L173" s="33">
        <v>0</v>
      </c>
      <c r="M173">
        <v>31</v>
      </c>
      <c r="N173">
        <v>1</v>
      </c>
      <c r="O173">
        <v>0</v>
      </c>
      <c r="P173">
        <v>587</v>
      </c>
      <c r="Q173">
        <v>996</v>
      </c>
      <c r="R173">
        <v>270</v>
      </c>
      <c r="S173">
        <v>0</v>
      </c>
      <c r="T173">
        <v>13</v>
      </c>
      <c r="U173">
        <v>18</v>
      </c>
      <c r="V173">
        <v>3</v>
      </c>
      <c r="W173">
        <v>0</v>
      </c>
      <c r="X173" s="22">
        <v>0.0221465076660988</v>
      </c>
      <c r="Y173" s="22">
        <v>0.0180722891566265</v>
      </c>
      <c r="Z173" s="22">
        <v>0.0111111111111111</v>
      </c>
      <c r="AA173" s="22" t="s">
        <v>53</v>
      </c>
      <c r="AB173">
        <v>11.64</v>
      </c>
      <c r="AC173">
        <v>16.24</v>
      </c>
      <c r="AD173">
        <v>3.19</v>
      </c>
      <c r="AE173">
        <v>0</v>
      </c>
      <c r="AF173" s="22" t="s">
        <v>449</v>
      </c>
      <c r="AG173" s="22">
        <v>1.01563477173233</v>
      </c>
      <c r="AH173" s="22" t="s">
        <v>450</v>
      </c>
      <c r="AI173" s="22" t="s">
        <v>53</v>
      </c>
      <c r="AJ173">
        <v>7</v>
      </c>
      <c r="AK173">
        <v>33</v>
      </c>
      <c r="AL173">
        <v>18</v>
      </c>
      <c r="AM173">
        <v>13</v>
      </c>
      <c r="AN173" s="22">
        <v>0</v>
      </c>
      <c r="AO173" s="22">
        <v>0.0303030303030303</v>
      </c>
      <c r="AP173" s="22">
        <v>0</v>
      </c>
      <c r="AQ173" s="22">
        <v>0</v>
      </c>
      <c r="AR173" s="35">
        <v>0</v>
      </c>
      <c r="AS173" s="35">
        <v>0</v>
      </c>
      <c r="AT173" s="35">
        <v>31</v>
      </c>
      <c r="AU173" s="31" t="str">
        <f t="shared" si="6"/>
        <v>库存为31</v>
      </c>
      <c r="AV173" s="36" t="str">
        <f>IFERROR(时间!$B$4+AU173,"上周无销量")</f>
        <v>上周无销量</v>
      </c>
    </row>
    <row r="174" spans="1:48">
      <c r="A174" s="20" t="s">
        <v>451</v>
      </c>
      <c r="B174" t="s">
        <v>452</v>
      </c>
      <c r="C174" t="s">
        <v>448</v>
      </c>
      <c r="D174" s="31">
        <v>9</v>
      </c>
      <c r="E174" s="31">
        <v>0</v>
      </c>
      <c r="F174" s="31">
        <v>3</v>
      </c>
      <c r="G174" s="31">
        <v>3</v>
      </c>
      <c r="H174" s="32">
        <v>18.99</v>
      </c>
      <c r="I174">
        <v>38</v>
      </c>
      <c r="J174" s="33">
        <v>0</v>
      </c>
      <c r="K174" s="33">
        <v>0</v>
      </c>
      <c r="L174" s="33">
        <v>0</v>
      </c>
      <c r="M174">
        <v>38</v>
      </c>
      <c r="N174">
        <v>0</v>
      </c>
      <c r="O174">
        <v>0</v>
      </c>
      <c r="P174" t="s">
        <v>53</v>
      </c>
      <c r="Q174" t="s">
        <v>53</v>
      </c>
      <c r="R174" t="s">
        <v>53</v>
      </c>
      <c r="S174" t="s">
        <v>53</v>
      </c>
      <c r="T174" t="s">
        <v>53</v>
      </c>
      <c r="U174" t="s">
        <v>53</v>
      </c>
      <c r="V174" t="s">
        <v>53</v>
      </c>
      <c r="W174" t="s">
        <v>53</v>
      </c>
      <c r="X174" s="22" t="s">
        <v>53</v>
      </c>
      <c r="Y174" s="22" t="s">
        <v>53</v>
      </c>
      <c r="Z174" s="22" t="s">
        <v>53</v>
      </c>
      <c r="AA174" s="22" t="s">
        <v>53</v>
      </c>
      <c r="AB174" t="s">
        <v>53</v>
      </c>
      <c r="AC174" t="s">
        <v>53</v>
      </c>
      <c r="AD174" t="s">
        <v>53</v>
      </c>
      <c r="AE174" t="s">
        <v>53</v>
      </c>
      <c r="AF174" s="22" t="s">
        <v>53</v>
      </c>
      <c r="AG174" s="22" t="s">
        <v>53</v>
      </c>
      <c r="AH174" s="22" t="s">
        <v>53</v>
      </c>
      <c r="AI174" s="22" t="s">
        <v>53</v>
      </c>
      <c r="AJ174">
        <v>6</v>
      </c>
      <c r="AK174">
        <v>21</v>
      </c>
      <c r="AL174">
        <v>12</v>
      </c>
      <c r="AM174">
        <v>11</v>
      </c>
      <c r="AN174" s="22">
        <v>1.5</v>
      </c>
      <c r="AO174" s="22">
        <v>0</v>
      </c>
      <c r="AP174" s="22">
        <v>0.25</v>
      </c>
      <c r="AQ174" s="22">
        <v>0.272727272727273</v>
      </c>
      <c r="AR174" s="35">
        <v>1.28571428571429</v>
      </c>
      <c r="AS174" s="35">
        <v>77.1428571428572</v>
      </c>
      <c r="AT174" s="35">
        <v>-39.1428571428572</v>
      </c>
      <c r="AU174" s="31">
        <f t="shared" si="6"/>
        <v>29</v>
      </c>
      <c r="AV174" s="36">
        <f>IFERROR(时间!$B$4+AU174,"上周无销量")</f>
        <v>43368</v>
      </c>
    </row>
    <row r="175" spans="1:48">
      <c r="A175" s="20" t="s">
        <v>453</v>
      </c>
      <c r="B175" t="s">
        <v>454</v>
      </c>
      <c r="C175" t="s">
        <v>448</v>
      </c>
      <c r="D175" s="31">
        <v>0</v>
      </c>
      <c r="E175" s="31">
        <v>1</v>
      </c>
      <c r="F175" s="31">
        <v>0</v>
      </c>
      <c r="G175" s="31">
        <v>9</v>
      </c>
      <c r="H175" s="32">
        <v>19.99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>
        <v>5392</v>
      </c>
      <c r="Q175">
        <v>7804</v>
      </c>
      <c r="R175">
        <v>40839</v>
      </c>
      <c r="S175">
        <v>49045</v>
      </c>
      <c r="T175">
        <v>9</v>
      </c>
      <c r="U175">
        <v>13</v>
      </c>
      <c r="V175">
        <v>78</v>
      </c>
      <c r="W175">
        <v>118</v>
      </c>
      <c r="X175" s="22">
        <v>0.00166913946587537</v>
      </c>
      <c r="Y175" s="22">
        <v>0.00166581240389544</v>
      </c>
      <c r="Z175" s="22">
        <v>0.00190993902886946</v>
      </c>
      <c r="AA175" s="22">
        <v>0.00240595371597512</v>
      </c>
      <c r="AB175">
        <v>5.48</v>
      </c>
      <c r="AC175">
        <v>7.44</v>
      </c>
      <c r="AD175">
        <v>52.11</v>
      </c>
      <c r="AE175">
        <v>79.11</v>
      </c>
      <c r="AF175" s="22" t="s">
        <v>455</v>
      </c>
      <c r="AG175" s="22">
        <v>0.372186093046523</v>
      </c>
      <c r="AH175" s="22" t="s">
        <v>456</v>
      </c>
      <c r="AI175" s="22">
        <v>0.439719859929965</v>
      </c>
      <c r="AJ175">
        <v>0</v>
      </c>
      <c r="AK175">
        <v>7</v>
      </c>
      <c r="AL175">
        <v>10</v>
      </c>
      <c r="AM175">
        <v>45</v>
      </c>
      <c r="AN175" s="22" t="s">
        <v>53</v>
      </c>
      <c r="AO175" s="22">
        <v>0.142857142857143</v>
      </c>
      <c r="AP175" s="22">
        <v>0</v>
      </c>
      <c r="AQ175" s="22">
        <v>0.2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20" t="s">
        <v>457</v>
      </c>
      <c r="B176" t="s">
        <v>458</v>
      </c>
      <c r="C176" t="s">
        <v>448</v>
      </c>
      <c r="D176" s="31">
        <v>5</v>
      </c>
      <c r="E176" s="31">
        <v>16</v>
      </c>
      <c r="F176" s="31">
        <v>7</v>
      </c>
      <c r="G176" s="31">
        <v>2</v>
      </c>
      <c r="H176" s="32">
        <v>21.99</v>
      </c>
      <c r="I176">
        <v>18</v>
      </c>
      <c r="J176" s="33">
        <v>0</v>
      </c>
      <c r="K176" s="33">
        <v>0</v>
      </c>
      <c r="L176" s="33">
        <v>1</v>
      </c>
      <c r="M176">
        <v>19</v>
      </c>
      <c r="N176">
        <v>0</v>
      </c>
      <c r="O176">
        <v>0</v>
      </c>
      <c r="P176">
        <v>143</v>
      </c>
      <c r="Q176">
        <v>93</v>
      </c>
      <c r="R176">
        <v>89</v>
      </c>
      <c r="S176">
        <v>0</v>
      </c>
      <c r="T176">
        <v>1</v>
      </c>
      <c r="U176">
        <v>1</v>
      </c>
      <c r="V176">
        <v>3</v>
      </c>
      <c r="W176">
        <v>0</v>
      </c>
      <c r="X176" s="22">
        <v>0.00699300699300699</v>
      </c>
      <c r="Y176" s="22">
        <v>0.010752688172043</v>
      </c>
      <c r="Z176" s="22">
        <v>0.0337078651685393</v>
      </c>
      <c r="AA176" s="22" t="s">
        <v>53</v>
      </c>
      <c r="AB176">
        <v>0.82</v>
      </c>
      <c r="AC176">
        <v>0.83</v>
      </c>
      <c r="AD176">
        <v>1.62</v>
      </c>
      <c r="AE176">
        <v>0</v>
      </c>
      <c r="AF176" s="22">
        <v>0.00745793542519327</v>
      </c>
      <c r="AG176" s="22">
        <v>0.00235902683037744</v>
      </c>
      <c r="AH176" s="22">
        <v>0.0105242642759696</v>
      </c>
      <c r="AI176" s="22" t="s">
        <v>53</v>
      </c>
      <c r="AJ176">
        <v>43</v>
      </c>
      <c r="AK176">
        <v>52</v>
      </c>
      <c r="AL176">
        <v>18</v>
      </c>
      <c r="AM176">
        <v>11</v>
      </c>
      <c r="AN176" s="22">
        <v>0.116279069767442</v>
      </c>
      <c r="AO176" s="22">
        <v>0.307692307692308</v>
      </c>
      <c r="AP176" s="22">
        <v>0.388888888888889</v>
      </c>
      <c r="AQ176" s="22">
        <v>0.181818181818182</v>
      </c>
      <c r="AR176" s="35">
        <v>0.714285714285714</v>
      </c>
      <c r="AS176" s="35">
        <v>42.8571428571429</v>
      </c>
      <c r="AT176" s="35">
        <v>-23.8571428571429</v>
      </c>
      <c r="AU176" s="31">
        <f t="shared" si="6"/>
        <v>26</v>
      </c>
      <c r="AV176" s="36">
        <f>IFERROR(时间!$B$4+AU176,"上周无销量")</f>
        <v>43365</v>
      </c>
    </row>
    <row r="177" spans="1:48">
      <c r="A177" s="20" t="s">
        <v>459</v>
      </c>
      <c r="B177" t="s">
        <v>460</v>
      </c>
      <c r="C177" t="s">
        <v>448</v>
      </c>
      <c r="D177" s="31">
        <v>0</v>
      </c>
      <c r="E177" s="31">
        <v>0</v>
      </c>
      <c r="F177" s="31">
        <v>0</v>
      </c>
      <c r="G177" s="31">
        <v>0</v>
      </c>
      <c r="H177" s="32">
        <v>0</v>
      </c>
      <c r="I177">
        <v>15</v>
      </c>
      <c r="J177" s="33">
        <v>0</v>
      </c>
      <c r="K177" s="33">
        <v>0</v>
      </c>
      <c r="L177" s="33">
        <v>0</v>
      </c>
      <c r="M177">
        <v>15</v>
      </c>
      <c r="N177">
        <v>0</v>
      </c>
      <c r="O177">
        <v>0</v>
      </c>
      <c r="P177" t="s">
        <v>53</v>
      </c>
      <c r="Q177" t="s">
        <v>53</v>
      </c>
      <c r="R177" t="s">
        <v>53</v>
      </c>
      <c r="S177" t="s">
        <v>53</v>
      </c>
      <c r="T177" t="s">
        <v>53</v>
      </c>
      <c r="U177" t="s">
        <v>53</v>
      </c>
      <c r="V177" t="s">
        <v>53</v>
      </c>
      <c r="W177" t="s">
        <v>53</v>
      </c>
      <c r="X177" s="22" t="s">
        <v>53</v>
      </c>
      <c r="Y177" s="22" t="s">
        <v>53</v>
      </c>
      <c r="Z177" s="22" t="s">
        <v>53</v>
      </c>
      <c r="AA177" s="22" t="s">
        <v>53</v>
      </c>
      <c r="AB177" t="s">
        <v>53</v>
      </c>
      <c r="AC177" t="s">
        <v>53</v>
      </c>
      <c r="AD177" t="s">
        <v>53</v>
      </c>
      <c r="AE177" t="s">
        <v>53</v>
      </c>
      <c r="AF177" s="22" t="s">
        <v>53</v>
      </c>
      <c r="AG177" s="22" t="s">
        <v>53</v>
      </c>
      <c r="AH177" s="22" t="s">
        <v>53</v>
      </c>
      <c r="AI177" s="22" t="s">
        <v>53</v>
      </c>
      <c r="AJ177">
        <v>4</v>
      </c>
      <c r="AK177">
        <v>21</v>
      </c>
      <c r="AL177">
        <v>7</v>
      </c>
      <c r="AM177">
        <v>3</v>
      </c>
      <c r="AN177" s="22">
        <v>0</v>
      </c>
      <c r="AO177" s="22">
        <v>0</v>
      </c>
      <c r="AP177" s="22">
        <v>0</v>
      </c>
      <c r="AQ177" s="22">
        <v>0</v>
      </c>
      <c r="AR177" s="35">
        <v>0</v>
      </c>
      <c r="AS177" s="35">
        <v>0</v>
      </c>
      <c r="AT177" s="35">
        <v>15</v>
      </c>
      <c r="AU177" s="31" t="str">
        <f t="shared" si="6"/>
        <v>库存为15</v>
      </c>
      <c r="AV177" s="36" t="str">
        <f>IFERROR(时间!$B$4+AU177,"上周无销量")</f>
        <v>上周无销量</v>
      </c>
    </row>
    <row r="178" spans="1:48">
      <c r="A178" s="20" t="s">
        <v>461</v>
      </c>
      <c r="B178" t="s">
        <v>462</v>
      </c>
      <c r="C178" t="s">
        <v>463</v>
      </c>
      <c r="D178" s="31">
        <v>0</v>
      </c>
      <c r="E178" s="31">
        <v>0</v>
      </c>
      <c r="F178" s="31">
        <v>0</v>
      </c>
      <c r="G178" s="31">
        <v>0</v>
      </c>
      <c r="H178" s="32">
        <v>0</v>
      </c>
      <c r="I178">
        <v>5</v>
      </c>
      <c r="J178" s="33">
        <v>0</v>
      </c>
      <c r="K178" s="33">
        <v>0</v>
      </c>
      <c r="L178" s="33">
        <v>0</v>
      </c>
      <c r="M178">
        <v>5</v>
      </c>
      <c r="N178">
        <v>0</v>
      </c>
      <c r="O178">
        <v>5</v>
      </c>
      <c r="P178" t="s">
        <v>53</v>
      </c>
      <c r="Q178" t="s">
        <v>53</v>
      </c>
      <c r="R178" t="s">
        <v>53</v>
      </c>
      <c r="S178" t="s">
        <v>53</v>
      </c>
      <c r="T178" t="s">
        <v>53</v>
      </c>
      <c r="U178" t="s">
        <v>53</v>
      </c>
      <c r="V178" t="s">
        <v>53</v>
      </c>
      <c r="W178" t="s">
        <v>53</v>
      </c>
      <c r="X178" s="22" t="s">
        <v>53</v>
      </c>
      <c r="Y178" s="22" t="s">
        <v>53</v>
      </c>
      <c r="Z178" s="22" t="s">
        <v>53</v>
      </c>
      <c r="AA178" s="22" t="s">
        <v>53</v>
      </c>
      <c r="AB178" t="s">
        <v>53</v>
      </c>
      <c r="AC178" t="s">
        <v>53</v>
      </c>
      <c r="AD178" t="s">
        <v>53</v>
      </c>
      <c r="AE178" t="s">
        <v>53</v>
      </c>
      <c r="AF178" s="22" t="s">
        <v>53</v>
      </c>
      <c r="AG178" s="22" t="s">
        <v>53</v>
      </c>
      <c r="AH178" s="22" t="s">
        <v>53</v>
      </c>
      <c r="AI178" s="22" t="s">
        <v>53</v>
      </c>
      <c r="AJ178">
        <v>2</v>
      </c>
      <c r="AK178">
        <v>2</v>
      </c>
      <c r="AL178">
        <v>4</v>
      </c>
      <c r="AM178">
        <v>3</v>
      </c>
      <c r="AN178" s="22">
        <v>0</v>
      </c>
      <c r="AO178" s="22">
        <v>0</v>
      </c>
      <c r="AP178" s="22">
        <v>0</v>
      </c>
      <c r="AQ178" s="22">
        <v>0</v>
      </c>
      <c r="AR178" s="35">
        <v>0</v>
      </c>
      <c r="AS178" s="35">
        <v>0</v>
      </c>
      <c r="AT178" s="35">
        <v>5</v>
      </c>
      <c r="AU178" s="31" t="str">
        <f t="shared" si="6"/>
        <v>库存为5</v>
      </c>
      <c r="AV178" s="36" t="str">
        <f>IFERROR(时间!$B$4+AU178,"上周无销量")</f>
        <v>上周无销量</v>
      </c>
    </row>
    <row r="179" spans="1:48">
      <c r="A179" s="20" t="s">
        <v>464</v>
      </c>
      <c r="B179" t="s">
        <v>465</v>
      </c>
      <c r="C179" t="s">
        <v>463</v>
      </c>
      <c r="D179" s="31">
        <v>0</v>
      </c>
      <c r="E179" s="31">
        <v>0</v>
      </c>
      <c r="F179" s="31">
        <v>0</v>
      </c>
      <c r="G179" s="31">
        <v>0</v>
      </c>
      <c r="H179" s="32">
        <v>0</v>
      </c>
      <c r="I179">
        <v>4</v>
      </c>
      <c r="J179" s="33">
        <v>0</v>
      </c>
      <c r="K179" s="33">
        <v>0</v>
      </c>
      <c r="L179" s="33">
        <v>0</v>
      </c>
      <c r="M179">
        <v>4</v>
      </c>
      <c r="N179">
        <v>0</v>
      </c>
      <c r="O179">
        <v>4</v>
      </c>
      <c r="P179" t="s">
        <v>53</v>
      </c>
      <c r="Q179" t="s">
        <v>53</v>
      </c>
      <c r="R179" t="s">
        <v>53</v>
      </c>
      <c r="S179" t="s">
        <v>53</v>
      </c>
      <c r="T179" t="s">
        <v>53</v>
      </c>
      <c r="U179" t="s">
        <v>53</v>
      </c>
      <c r="V179" t="s">
        <v>53</v>
      </c>
      <c r="W179" t="s">
        <v>53</v>
      </c>
      <c r="X179" s="22" t="s">
        <v>53</v>
      </c>
      <c r="Y179" s="22" t="s">
        <v>53</v>
      </c>
      <c r="Z179" s="22" t="s">
        <v>53</v>
      </c>
      <c r="AA179" s="22" t="s">
        <v>53</v>
      </c>
      <c r="AB179" t="s">
        <v>53</v>
      </c>
      <c r="AC179" t="s">
        <v>53</v>
      </c>
      <c r="AD179" t="s">
        <v>53</v>
      </c>
      <c r="AE179" t="s">
        <v>53</v>
      </c>
      <c r="AF179" s="22" t="s">
        <v>53</v>
      </c>
      <c r="AG179" s="22" t="s">
        <v>53</v>
      </c>
      <c r="AH179" s="22" t="s">
        <v>53</v>
      </c>
      <c r="AI179" s="22" t="s">
        <v>53</v>
      </c>
      <c r="AJ179">
        <v>2</v>
      </c>
      <c r="AK179">
        <v>2</v>
      </c>
      <c r="AL179">
        <v>4</v>
      </c>
      <c r="AM179">
        <v>4</v>
      </c>
      <c r="AN179" s="22">
        <v>0</v>
      </c>
      <c r="AO179" s="22">
        <v>0</v>
      </c>
      <c r="AP179" s="22">
        <v>0</v>
      </c>
      <c r="AQ179" s="22">
        <v>0</v>
      </c>
      <c r="AR179" s="35">
        <v>0</v>
      </c>
      <c r="AS179" s="35">
        <v>0</v>
      </c>
      <c r="AT179" s="35">
        <v>4</v>
      </c>
      <c r="AU179" s="31" t="str">
        <f t="shared" si="6"/>
        <v>库存为4</v>
      </c>
      <c r="AV179" s="36" t="str">
        <f>IFERROR(时间!$B$4+AU179,"上周无销量")</f>
        <v>上周无销量</v>
      </c>
    </row>
    <row r="180" spans="1:48">
      <c r="A180" s="20" t="s">
        <v>466</v>
      </c>
      <c r="B180" t="s">
        <v>467</v>
      </c>
      <c r="C180" t="s">
        <v>463</v>
      </c>
      <c r="D180" s="31">
        <v>0</v>
      </c>
      <c r="E180" s="31">
        <v>0</v>
      </c>
      <c r="F180" s="31">
        <v>0</v>
      </c>
      <c r="G180" s="31">
        <v>0</v>
      </c>
      <c r="H180" s="32">
        <v>0</v>
      </c>
      <c r="I180">
        <v>5</v>
      </c>
      <c r="J180" s="33">
        <v>0</v>
      </c>
      <c r="K180" s="33">
        <v>0</v>
      </c>
      <c r="L180" s="33">
        <v>0</v>
      </c>
      <c r="M180">
        <v>5</v>
      </c>
      <c r="N180">
        <v>0</v>
      </c>
      <c r="O180">
        <v>5</v>
      </c>
      <c r="P180" t="s">
        <v>53</v>
      </c>
      <c r="Q180" t="s">
        <v>53</v>
      </c>
      <c r="R180" t="s">
        <v>53</v>
      </c>
      <c r="S180" t="s">
        <v>53</v>
      </c>
      <c r="T180" t="s">
        <v>53</v>
      </c>
      <c r="U180" t="s">
        <v>53</v>
      </c>
      <c r="V180" t="s">
        <v>53</v>
      </c>
      <c r="W180" t="s">
        <v>53</v>
      </c>
      <c r="X180" s="22" t="s">
        <v>53</v>
      </c>
      <c r="Y180" s="22" t="s">
        <v>53</v>
      </c>
      <c r="Z180" s="22" t="s">
        <v>53</v>
      </c>
      <c r="AA180" s="22" t="s">
        <v>53</v>
      </c>
      <c r="AB180" t="s">
        <v>53</v>
      </c>
      <c r="AC180" t="s">
        <v>53</v>
      </c>
      <c r="AD180" t="s">
        <v>53</v>
      </c>
      <c r="AE180" t="s">
        <v>53</v>
      </c>
      <c r="AF180" s="22" t="s">
        <v>53</v>
      </c>
      <c r="AG180" s="22" t="s">
        <v>53</v>
      </c>
      <c r="AH180" s="22" t="s">
        <v>53</v>
      </c>
      <c r="AI180" s="22" t="s">
        <v>53</v>
      </c>
      <c r="AJ180">
        <v>2</v>
      </c>
      <c r="AK180">
        <v>1</v>
      </c>
      <c r="AL180">
        <v>5</v>
      </c>
      <c r="AM180">
        <v>3</v>
      </c>
      <c r="AN180" s="22">
        <v>0</v>
      </c>
      <c r="AO180" s="22">
        <v>0</v>
      </c>
      <c r="AP180" s="22">
        <v>0</v>
      </c>
      <c r="AQ180" s="22">
        <v>0</v>
      </c>
      <c r="AR180" s="35">
        <v>0</v>
      </c>
      <c r="AS180" s="35">
        <v>0</v>
      </c>
      <c r="AT180" s="35">
        <v>5</v>
      </c>
      <c r="AU180" s="31" t="str">
        <f t="shared" si="6"/>
        <v>库存为5</v>
      </c>
      <c r="AV180" s="36" t="str">
        <f>IFERROR(时间!$B$4+AU180,"上周无销量")</f>
        <v>上周无销量</v>
      </c>
    </row>
    <row r="181" spans="1:48">
      <c r="A181" s="20" t="s">
        <v>468</v>
      </c>
      <c r="B181" t="s">
        <v>469</v>
      </c>
      <c r="C181" t="s">
        <v>463</v>
      </c>
      <c r="D181" s="31">
        <v>0</v>
      </c>
      <c r="E181" s="31">
        <v>0</v>
      </c>
      <c r="F181" s="31">
        <v>0</v>
      </c>
      <c r="G181" s="31">
        <v>0</v>
      </c>
      <c r="H181" s="32">
        <v>0</v>
      </c>
      <c r="I181">
        <v>5</v>
      </c>
      <c r="J181" s="33">
        <v>0</v>
      </c>
      <c r="K181" s="33">
        <v>0</v>
      </c>
      <c r="L181" s="33">
        <v>0</v>
      </c>
      <c r="M181">
        <v>5</v>
      </c>
      <c r="N181">
        <v>0</v>
      </c>
      <c r="O181">
        <v>5</v>
      </c>
      <c r="P181" t="s">
        <v>53</v>
      </c>
      <c r="Q181" t="s">
        <v>53</v>
      </c>
      <c r="R181" t="s">
        <v>53</v>
      </c>
      <c r="S181" t="s">
        <v>53</v>
      </c>
      <c r="T181" t="s">
        <v>53</v>
      </c>
      <c r="U181" t="s">
        <v>53</v>
      </c>
      <c r="V181" t="s">
        <v>53</v>
      </c>
      <c r="W181" t="s">
        <v>53</v>
      </c>
      <c r="X181" s="22" t="s">
        <v>53</v>
      </c>
      <c r="Y181" s="22" t="s">
        <v>53</v>
      </c>
      <c r="Z181" s="22" t="s">
        <v>53</v>
      </c>
      <c r="AA181" s="22" t="s">
        <v>53</v>
      </c>
      <c r="AB181" t="s">
        <v>53</v>
      </c>
      <c r="AC181" t="s">
        <v>53</v>
      </c>
      <c r="AD181" t="s">
        <v>53</v>
      </c>
      <c r="AE181" t="s">
        <v>53</v>
      </c>
      <c r="AF181" s="22" t="s">
        <v>53</v>
      </c>
      <c r="AG181" s="22" t="s">
        <v>53</v>
      </c>
      <c r="AH181" s="22" t="s">
        <v>53</v>
      </c>
      <c r="AI181" s="22" t="s">
        <v>53</v>
      </c>
      <c r="AJ181">
        <v>2</v>
      </c>
      <c r="AK181">
        <v>1</v>
      </c>
      <c r="AL181">
        <v>5</v>
      </c>
      <c r="AM181">
        <v>3</v>
      </c>
      <c r="AN181" s="22">
        <v>0</v>
      </c>
      <c r="AO181" s="22">
        <v>0</v>
      </c>
      <c r="AP181" s="22">
        <v>0</v>
      </c>
      <c r="AQ181" s="22">
        <v>0</v>
      </c>
      <c r="AR181" s="35">
        <v>0</v>
      </c>
      <c r="AS181" s="35">
        <v>0</v>
      </c>
      <c r="AT181" s="35">
        <v>5</v>
      </c>
      <c r="AU181" s="31" t="str">
        <f t="shared" si="6"/>
        <v>库存为5</v>
      </c>
      <c r="AV181" s="36" t="str">
        <f>IFERROR(时间!$B$4+AU181,"上周无销量")</f>
        <v>上周无销量</v>
      </c>
    </row>
    <row r="182" spans="1:48">
      <c r="A182" s="20" t="s">
        <v>470</v>
      </c>
      <c r="B182" t="s">
        <v>471</v>
      </c>
      <c r="C182" t="s">
        <v>463</v>
      </c>
      <c r="D182" s="31">
        <v>0</v>
      </c>
      <c r="E182" s="31">
        <v>0</v>
      </c>
      <c r="F182" s="31">
        <v>0</v>
      </c>
      <c r="G182" s="31">
        <v>0</v>
      </c>
      <c r="H182" s="32">
        <v>0</v>
      </c>
      <c r="I182">
        <v>2</v>
      </c>
      <c r="J182" s="33">
        <v>0</v>
      </c>
      <c r="K182" s="33">
        <v>0</v>
      </c>
      <c r="L182" s="33">
        <v>0</v>
      </c>
      <c r="M182">
        <v>2</v>
      </c>
      <c r="N182">
        <v>0</v>
      </c>
      <c r="O182">
        <v>2</v>
      </c>
      <c r="P182" t="s">
        <v>53</v>
      </c>
      <c r="Q182" t="s">
        <v>53</v>
      </c>
      <c r="R182" t="s">
        <v>53</v>
      </c>
      <c r="S182" t="s">
        <v>53</v>
      </c>
      <c r="T182" t="s">
        <v>53</v>
      </c>
      <c r="U182" t="s">
        <v>53</v>
      </c>
      <c r="V182" t="s">
        <v>53</v>
      </c>
      <c r="W182" t="s">
        <v>53</v>
      </c>
      <c r="X182" s="22" t="s">
        <v>53</v>
      </c>
      <c r="Y182" s="22" t="s">
        <v>53</v>
      </c>
      <c r="Z182" s="22" t="s">
        <v>53</v>
      </c>
      <c r="AA182" s="22" t="s">
        <v>53</v>
      </c>
      <c r="AB182" t="s">
        <v>53</v>
      </c>
      <c r="AC182" t="s">
        <v>53</v>
      </c>
      <c r="AD182" t="s">
        <v>53</v>
      </c>
      <c r="AE182" t="s">
        <v>53</v>
      </c>
      <c r="AF182" s="22" t="s">
        <v>53</v>
      </c>
      <c r="AG182" s="22" t="s">
        <v>53</v>
      </c>
      <c r="AH182" s="22" t="s">
        <v>53</v>
      </c>
      <c r="AI182" s="22" t="s">
        <v>53</v>
      </c>
      <c r="AJ182">
        <v>2</v>
      </c>
      <c r="AK182">
        <v>1</v>
      </c>
      <c r="AL182">
        <v>1</v>
      </c>
      <c r="AM182">
        <v>1</v>
      </c>
      <c r="AN182" s="22">
        <v>0</v>
      </c>
      <c r="AO182" s="22">
        <v>0</v>
      </c>
      <c r="AP182" s="22">
        <v>0</v>
      </c>
      <c r="AQ182" s="22">
        <v>0</v>
      </c>
      <c r="AR182" s="35">
        <v>0</v>
      </c>
      <c r="AS182" s="35">
        <v>0</v>
      </c>
      <c r="AT182" s="35">
        <v>2</v>
      </c>
      <c r="AU182" s="31" t="str">
        <f t="shared" si="6"/>
        <v>库存为2</v>
      </c>
      <c r="AV182" s="36" t="str">
        <f>IFERROR(时间!$B$4+AU182,"上周无销量")</f>
        <v>上周无销量</v>
      </c>
    </row>
    <row r="183" spans="1:48">
      <c r="A183" s="20" t="s">
        <v>472</v>
      </c>
      <c r="B183" t="s">
        <v>473</v>
      </c>
      <c r="C183" t="s">
        <v>463</v>
      </c>
      <c r="D183" s="31">
        <v>0</v>
      </c>
      <c r="E183" s="31">
        <v>0</v>
      </c>
      <c r="F183" s="31">
        <v>0</v>
      </c>
      <c r="G183" s="31">
        <v>0</v>
      </c>
      <c r="H183" s="32">
        <v>0</v>
      </c>
      <c r="I183">
        <v>4</v>
      </c>
      <c r="J183" s="33">
        <v>0</v>
      </c>
      <c r="K183" s="33">
        <v>0</v>
      </c>
      <c r="L183" s="33">
        <v>0</v>
      </c>
      <c r="M183">
        <v>4</v>
      </c>
      <c r="N183">
        <v>0</v>
      </c>
      <c r="O183">
        <v>4</v>
      </c>
      <c r="P183" t="s">
        <v>53</v>
      </c>
      <c r="Q183" t="s">
        <v>53</v>
      </c>
      <c r="R183" t="s">
        <v>53</v>
      </c>
      <c r="S183" t="s">
        <v>53</v>
      </c>
      <c r="T183" t="s">
        <v>53</v>
      </c>
      <c r="U183" t="s">
        <v>53</v>
      </c>
      <c r="V183" t="s">
        <v>53</v>
      </c>
      <c r="W183" t="s">
        <v>53</v>
      </c>
      <c r="X183" s="22" t="s">
        <v>53</v>
      </c>
      <c r="Y183" s="22" t="s">
        <v>53</v>
      </c>
      <c r="Z183" s="22" t="s">
        <v>53</v>
      </c>
      <c r="AA183" s="22" t="s">
        <v>53</v>
      </c>
      <c r="AB183" t="s">
        <v>53</v>
      </c>
      <c r="AC183" t="s">
        <v>53</v>
      </c>
      <c r="AD183" t="s">
        <v>53</v>
      </c>
      <c r="AE183" t="s">
        <v>53</v>
      </c>
      <c r="AF183" s="22" t="s">
        <v>53</v>
      </c>
      <c r="AG183" s="22" t="s">
        <v>53</v>
      </c>
      <c r="AH183" s="22" t="s">
        <v>53</v>
      </c>
      <c r="AI183" s="22" t="s">
        <v>53</v>
      </c>
      <c r="AJ183">
        <v>3</v>
      </c>
      <c r="AK183">
        <v>1</v>
      </c>
      <c r="AL183">
        <v>5</v>
      </c>
      <c r="AM183">
        <v>3</v>
      </c>
      <c r="AN183" s="22">
        <v>0</v>
      </c>
      <c r="AO183" s="22">
        <v>0</v>
      </c>
      <c r="AP183" s="22">
        <v>0</v>
      </c>
      <c r="AQ183" s="22">
        <v>0</v>
      </c>
      <c r="AR183" s="35">
        <v>0</v>
      </c>
      <c r="AS183" s="35">
        <v>0</v>
      </c>
      <c r="AT183" s="35">
        <v>4</v>
      </c>
      <c r="AU183" s="31" t="str">
        <f t="shared" si="6"/>
        <v>库存为4</v>
      </c>
      <c r="AV183" s="36" t="str">
        <f>IFERROR(时间!$B$4+AU183,"上周无销量")</f>
        <v>上周无销量</v>
      </c>
    </row>
    <row r="184" spans="1:48">
      <c r="A184" s="20" t="s">
        <v>474</v>
      </c>
      <c r="B184" t="s">
        <v>475</v>
      </c>
      <c r="C184" t="s">
        <v>476</v>
      </c>
      <c r="D184" s="31">
        <v>0</v>
      </c>
      <c r="E184" s="31">
        <v>0</v>
      </c>
      <c r="F184" s="31">
        <v>0</v>
      </c>
      <c r="G184" s="31">
        <v>0</v>
      </c>
      <c r="H184" s="32">
        <v>0</v>
      </c>
      <c r="I184">
        <v>24</v>
      </c>
      <c r="J184" s="33">
        <v>0</v>
      </c>
      <c r="K184" s="33">
        <v>0</v>
      </c>
      <c r="L184" s="33">
        <v>0</v>
      </c>
      <c r="M184">
        <v>24</v>
      </c>
      <c r="N184">
        <v>0</v>
      </c>
      <c r="O184">
        <v>0</v>
      </c>
      <c r="P184">
        <v>0</v>
      </c>
      <c r="Q184">
        <v>1585</v>
      </c>
      <c r="R184">
        <v>1815</v>
      </c>
      <c r="S184">
        <v>1699</v>
      </c>
      <c r="T184">
        <v>0</v>
      </c>
      <c r="U184">
        <v>5</v>
      </c>
      <c r="V184">
        <v>7</v>
      </c>
      <c r="W184">
        <v>7</v>
      </c>
      <c r="X184" s="22" t="s">
        <v>53</v>
      </c>
      <c r="Y184" s="22">
        <v>0.00315457413249211</v>
      </c>
      <c r="Z184" s="22">
        <v>0.00385674931129477</v>
      </c>
      <c r="AA184" s="22">
        <v>0.00412007062978222</v>
      </c>
      <c r="AB184">
        <v>0</v>
      </c>
      <c r="AC184">
        <v>2.73</v>
      </c>
      <c r="AD184">
        <v>2.97</v>
      </c>
      <c r="AE184">
        <v>2.51</v>
      </c>
      <c r="AF184" s="22" t="s">
        <v>53</v>
      </c>
      <c r="AG184" s="22" t="s">
        <v>477</v>
      </c>
      <c r="AH184" s="22" t="s">
        <v>478</v>
      </c>
      <c r="AI184" s="22" t="s">
        <v>479</v>
      </c>
      <c r="AJ184">
        <v>12</v>
      </c>
      <c r="AK184">
        <v>4</v>
      </c>
      <c r="AL184">
        <v>18</v>
      </c>
      <c r="AM184">
        <v>7</v>
      </c>
      <c r="AN184" s="22">
        <v>0</v>
      </c>
      <c r="AO184" s="22">
        <v>0</v>
      </c>
      <c r="AP184" s="22">
        <v>0</v>
      </c>
      <c r="AQ184" s="22">
        <v>0</v>
      </c>
      <c r="AR184" s="35">
        <v>0</v>
      </c>
      <c r="AS184" s="35">
        <v>0</v>
      </c>
      <c r="AT184" s="35">
        <v>24</v>
      </c>
      <c r="AU184" s="31" t="str">
        <f t="shared" si="6"/>
        <v>库存为24</v>
      </c>
      <c r="AV184" s="36" t="str">
        <f>IFERROR(时间!$B$4+AU184,"上周无销量")</f>
        <v>上周无销量</v>
      </c>
    </row>
    <row r="185" spans="1:48">
      <c r="A185" s="20" t="s">
        <v>480</v>
      </c>
      <c r="B185" t="s">
        <v>481</v>
      </c>
      <c r="C185" t="s">
        <v>482</v>
      </c>
      <c r="D185" s="31">
        <v>1</v>
      </c>
      <c r="E185" s="31">
        <v>0</v>
      </c>
      <c r="F185" s="31">
        <v>2</v>
      </c>
      <c r="G185" s="31">
        <v>1</v>
      </c>
      <c r="H185" s="32">
        <v>11</v>
      </c>
      <c r="I185">
        <v>0</v>
      </c>
      <c r="J185" s="33">
        <v>0</v>
      </c>
      <c r="K185" s="33">
        <v>0</v>
      </c>
      <c r="L185" s="33">
        <v>0</v>
      </c>
      <c r="M185">
        <v>0</v>
      </c>
      <c r="N185">
        <v>0</v>
      </c>
      <c r="O185">
        <v>0</v>
      </c>
      <c r="P185" t="s">
        <v>53</v>
      </c>
      <c r="Q185" t="s">
        <v>53</v>
      </c>
      <c r="R185" t="s">
        <v>53</v>
      </c>
      <c r="S185" t="s">
        <v>53</v>
      </c>
      <c r="T185" t="s">
        <v>53</v>
      </c>
      <c r="U185" t="s">
        <v>53</v>
      </c>
      <c r="V185" t="s">
        <v>53</v>
      </c>
      <c r="W185" t="s">
        <v>53</v>
      </c>
      <c r="X185" s="22" t="s">
        <v>53</v>
      </c>
      <c r="Y185" s="22" t="s">
        <v>53</v>
      </c>
      <c r="Z185" s="22" t="s">
        <v>53</v>
      </c>
      <c r="AA185" s="22" t="s">
        <v>53</v>
      </c>
      <c r="AB185" t="s">
        <v>53</v>
      </c>
      <c r="AC185" t="s">
        <v>53</v>
      </c>
      <c r="AD185" t="s">
        <v>53</v>
      </c>
      <c r="AE185" t="s">
        <v>53</v>
      </c>
      <c r="AF185" s="22" t="s">
        <v>53</v>
      </c>
      <c r="AG185" s="22" t="s">
        <v>53</v>
      </c>
      <c r="AH185" s="22" t="s">
        <v>53</v>
      </c>
      <c r="AI185" s="22" t="s">
        <v>53</v>
      </c>
      <c r="AJ185">
        <v>5</v>
      </c>
      <c r="AK185">
        <v>14</v>
      </c>
      <c r="AL185">
        <v>19</v>
      </c>
      <c r="AM185">
        <v>17</v>
      </c>
      <c r="AN185" s="22">
        <v>0.2</v>
      </c>
      <c r="AO185" s="22">
        <v>0</v>
      </c>
      <c r="AP185" s="22">
        <v>0.105263157894737</v>
      </c>
      <c r="AQ185" s="22">
        <v>0.0588235294117647</v>
      </c>
      <c r="AR185" s="35">
        <v>0.142857142857143</v>
      </c>
      <c r="AS185" s="35">
        <v>8.57142857142857</v>
      </c>
      <c r="AT185" s="35">
        <v>-8.57142857142857</v>
      </c>
      <c r="AU185" s="31">
        <f t="shared" si="6"/>
        <v>0</v>
      </c>
      <c r="AV185" s="36">
        <f>IFERROR(时间!$B$4+AU185,"上周无销量")</f>
        <v>43339</v>
      </c>
    </row>
    <row r="186" spans="1:48">
      <c r="A186" s="20" t="s">
        <v>483</v>
      </c>
      <c r="B186" t="s">
        <v>484</v>
      </c>
      <c r="C186" t="s">
        <v>482</v>
      </c>
      <c r="D186" s="31">
        <v>0</v>
      </c>
      <c r="E186" s="31">
        <v>1</v>
      </c>
      <c r="F186" s="31">
        <v>1</v>
      </c>
      <c r="G186" s="31">
        <v>2</v>
      </c>
      <c r="H186" s="32">
        <v>11</v>
      </c>
      <c r="I186">
        <v>0</v>
      </c>
      <c r="J186" s="33">
        <v>0</v>
      </c>
      <c r="K186" s="33">
        <v>0</v>
      </c>
      <c r="L186" s="33">
        <v>0</v>
      </c>
      <c r="M186">
        <v>0</v>
      </c>
      <c r="N186">
        <v>0</v>
      </c>
      <c r="O186">
        <v>0</v>
      </c>
      <c r="P186" t="s">
        <v>53</v>
      </c>
      <c r="Q186" t="s">
        <v>53</v>
      </c>
      <c r="R186" t="s">
        <v>53</v>
      </c>
      <c r="S186" t="s">
        <v>53</v>
      </c>
      <c r="T186" t="s">
        <v>53</v>
      </c>
      <c r="U186" t="s">
        <v>53</v>
      </c>
      <c r="V186" t="s">
        <v>53</v>
      </c>
      <c r="W186" t="s">
        <v>53</v>
      </c>
      <c r="X186" s="22" t="s">
        <v>53</v>
      </c>
      <c r="Y186" s="22" t="s">
        <v>53</v>
      </c>
      <c r="Z186" s="22" t="s">
        <v>53</v>
      </c>
      <c r="AA186" s="22" t="s">
        <v>53</v>
      </c>
      <c r="AB186" t="s">
        <v>53</v>
      </c>
      <c r="AC186" t="s">
        <v>53</v>
      </c>
      <c r="AD186" t="s">
        <v>53</v>
      </c>
      <c r="AE186" t="s">
        <v>53</v>
      </c>
      <c r="AF186" s="22" t="s">
        <v>53</v>
      </c>
      <c r="AG186" s="22" t="s">
        <v>53</v>
      </c>
      <c r="AH186" s="22" t="s">
        <v>53</v>
      </c>
      <c r="AI186" s="22" t="s">
        <v>53</v>
      </c>
      <c r="AJ186">
        <v>0</v>
      </c>
      <c r="AK186">
        <v>0</v>
      </c>
      <c r="AL186">
        <v>14</v>
      </c>
      <c r="AM186">
        <v>19</v>
      </c>
      <c r="AN186" s="22" t="s">
        <v>53</v>
      </c>
      <c r="AO186" s="22" t="s">
        <v>53</v>
      </c>
      <c r="AP186" s="22">
        <v>0.0714285714285714</v>
      </c>
      <c r="AQ186" s="22">
        <v>0.105263157894737</v>
      </c>
      <c r="AR186" s="35">
        <v>0</v>
      </c>
      <c r="AS186" s="35">
        <v>0</v>
      </c>
      <c r="AT186" s="35">
        <v>0</v>
      </c>
      <c r="AU186" s="31" t="str">
        <f t="shared" si="6"/>
        <v>库存为0</v>
      </c>
      <c r="AV186" s="36" t="str">
        <f>IFERROR(时间!$B$4+AU186,"上周无销量")</f>
        <v>上周无销量</v>
      </c>
    </row>
    <row r="187" spans="1:48">
      <c r="A187" s="20" t="s">
        <v>485</v>
      </c>
      <c r="B187" t="s">
        <v>486</v>
      </c>
      <c r="C187" t="s">
        <v>482</v>
      </c>
      <c r="D187" s="31">
        <v>0</v>
      </c>
      <c r="E187" s="31">
        <v>0</v>
      </c>
      <c r="F187" s="31">
        <v>2</v>
      </c>
      <c r="G187" s="31">
        <v>2</v>
      </c>
      <c r="H187" s="32">
        <v>11</v>
      </c>
      <c r="I187">
        <v>1</v>
      </c>
      <c r="J187" s="33">
        <v>0</v>
      </c>
      <c r="K187" s="33">
        <v>0</v>
      </c>
      <c r="L187" s="33">
        <v>0</v>
      </c>
      <c r="M187">
        <v>1</v>
      </c>
      <c r="N187">
        <v>0</v>
      </c>
      <c r="O187">
        <v>0</v>
      </c>
      <c r="P187">
        <v>0</v>
      </c>
      <c r="Q187">
        <v>5031</v>
      </c>
      <c r="R187">
        <v>16768</v>
      </c>
      <c r="S187">
        <v>10298</v>
      </c>
      <c r="T187">
        <v>0</v>
      </c>
      <c r="U187">
        <v>97</v>
      </c>
      <c r="V187">
        <v>174</v>
      </c>
      <c r="W187">
        <v>34</v>
      </c>
      <c r="X187" s="22" t="s">
        <v>53</v>
      </c>
      <c r="Y187" s="22">
        <v>0.0192804611409263</v>
      </c>
      <c r="Z187" s="22">
        <v>0.0103769083969466</v>
      </c>
      <c r="AA187" s="22">
        <v>0.00330161196348806</v>
      </c>
      <c r="AB187">
        <v>0</v>
      </c>
      <c r="AC187">
        <v>30.05</v>
      </c>
      <c r="AD187">
        <v>48.76</v>
      </c>
      <c r="AE187">
        <v>8.1</v>
      </c>
      <c r="AF187" s="22" t="s">
        <v>53</v>
      </c>
      <c r="AG187" s="22" t="s">
        <v>487</v>
      </c>
      <c r="AH187" s="22">
        <v>2.21636363636364</v>
      </c>
      <c r="AI187" s="22">
        <v>0.368181818181818</v>
      </c>
      <c r="AJ187">
        <v>12</v>
      </c>
      <c r="AK187">
        <v>9</v>
      </c>
      <c r="AL187">
        <v>86</v>
      </c>
      <c r="AM187">
        <v>82</v>
      </c>
      <c r="AN187" s="22">
        <v>0</v>
      </c>
      <c r="AO187" s="22">
        <v>0</v>
      </c>
      <c r="AP187" s="22">
        <v>0.0232558139534884</v>
      </c>
      <c r="AQ187" s="22">
        <v>0.024390243902439</v>
      </c>
      <c r="AR187" s="35">
        <v>0</v>
      </c>
      <c r="AS187" s="35">
        <v>0</v>
      </c>
      <c r="AT187" s="35">
        <v>1</v>
      </c>
      <c r="AU187" s="31" t="str">
        <f t="shared" si="6"/>
        <v>库存为1</v>
      </c>
      <c r="AV187" s="36" t="str">
        <f>IFERROR(时间!$B$4+AU187,"上周无销量")</f>
        <v>上周无销量</v>
      </c>
    </row>
    <row r="188" spans="1:48">
      <c r="A188" s="20" t="s">
        <v>488</v>
      </c>
      <c r="B188" t="s">
        <v>489</v>
      </c>
      <c r="C188" t="s">
        <v>482</v>
      </c>
      <c r="D188" s="31">
        <v>0</v>
      </c>
      <c r="E188" s="31">
        <v>0</v>
      </c>
      <c r="F188" s="31">
        <v>2</v>
      </c>
      <c r="G188" s="31">
        <v>2</v>
      </c>
      <c r="H188" s="32">
        <v>11</v>
      </c>
      <c r="I188">
        <v>1</v>
      </c>
      <c r="J188" s="33">
        <v>0</v>
      </c>
      <c r="K188" s="33">
        <v>0</v>
      </c>
      <c r="L188" s="33">
        <v>0</v>
      </c>
      <c r="M188">
        <v>1</v>
      </c>
      <c r="N188">
        <v>0</v>
      </c>
      <c r="O188">
        <v>0</v>
      </c>
      <c r="P188">
        <v>0</v>
      </c>
      <c r="Q188">
        <v>899</v>
      </c>
      <c r="R188">
        <v>5459</v>
      </c>
      <c r="S188">
        <v>1476</v>
      </c>
      <c r="T188">
        <v>0</v>
      </c>
      <c r="U188">
        <v>2</v>
      </c>
      <c r="V188">
        <v>24</v>
      </c>
      <c r="W188">
        <v>7</v>
      </c>
      <c r="X188" s="22" t="s">
        <v>53</v>
      </c>
      <c r="Y188" s="22">
        <v>0.00222469410456062</v>
      </c>
      <c r="Z188" s="22">
        <v>0.00439640959882762</v>
      </c>
      <c r="AA188" s="22">
        <v>0.00474254742547425</v>
      </c>
      <c r="AB188">
        <v>0</v>
      </c>
      <c r="AC188">
        <v>0.73</v>
      </c>
      <c r="AD188">
        <v>5.57</v>
      </c>
      <c r="AE188">
        <v>1.39</v>
      </c>
      <c r="AF188" s="22" t="s">
        <v>53</v>
      </c>
      <c r="AG188" s="22" t="s">
        <v>490</v>
      </c>
      <c r="AH188" s="22">
        <v>0.253181818181818</v>
      </c>
      <c r="AI188" s="22">
        <v>0.0631818181818182</v>
      </c>
      <c r="AJ188">
        <v>14</v>
      </c>
      <c r="AK188">
        <v>11</v>
      </c>
      <c r="AL188">
        <v>15</v>
      </c>
      <c r="AM188">
        <v>16</v>
      </c>
      <c r="AN188" s="22">
        <v>0</v>
      </c>
      <c r="AO188" s="22">
        <v>0</v>
      </c>
      <c r="AP188" s="22">
        <v>0.133333333333333</v>
      </c>
      <c r="AQ188" s="22">
        <v>0.125</v>
      </c>
      <c r="AR188" s="35">
        <v>0</v>
      </c>
      <c r="AS188" s="35">
        <v>0</v>
      </c>
      <c r="AT188" s="35">
        <v>1</v>
      </c>
      <c r="AU188" s="31" t="str">
        <f t="shared" si="6"/>
        <v>库存为1</v>
      </c>
      <c r="AV188" s="36" t="str">
        <f>IFERROR(时间!$B$4+AU188,"上周无销量")</f>
        <v>上周无销量</v>
      </c>
    </row>
    <row r="189" spans="1:48">
      <c r="A189" s="20" t="s">
        <v>491</v>
      </c>
      <c r="B189" t="s">
        <v>492</v>
      </c>
      <c r="C189" t="s">
        <v>493</v>
      </c>
      <c r="D189" s="31">
        <v>0</v>
      </c>
      <c r="E189" s="31">
        <v>0</v>
      </c>
      <c r="F189" s="31">
        <v>0</v>
      </c>
      <c r="G189" s="31">
        <v>0</v>
      </c>
      <c r="H189" s="32">
        <v>0</v>
      </c>
      <c r="I189">
        <v>0</v>
      </c>
      <c r="J189" s="33">
        <v>0</v>
      </c>
      <c r="K189" s="33">
        <v>0</v>
      </c>
      <c r="L189" s="33">
        <v>0</v>
      </c>
      <c r="M189">
        <v>0</v>
      </c>
      <c r="N189">
        <v>0</v>
      </c>
      <c r="O189">
        <v>0</v>
      </c>
      <c r="P189" t="s">
        <v>53</v>
      </c>
      <c r="Q189" t="s">
        <v>53</v>
      </c>
      <c r="R189" t="s">
        <v>53</v>
      </c>
      <c r="S189" t="s">
        <v>53</v>
      </c>
      <c r="T189" t="s">
        <v>53</v>
      </c>
      <c r="U189" t="s">
        <v>53</v>
      </c>
      <c r="V189" t="s">
        <v>53</v>
      </c>
      <c r="W189" t="s">
        <v>53</v>
      </c>
      <c r="X189" s="22" t="s">
        <v>53</v>
      </c>
      <c r="Y189" s="22" t="s">
        <v>53</v>
      </c>
      <c r="Z189" s="22" t="s">
        <v>53</v>
      </c>
      <c r="AA189" s="22" t="s">
        <v>53</v>
      </c>
      <c r="AB189" t="s">
        <v>53</v>
      </c>
      <c r="AC189" t="s">
        <v>53</v>
      </c>
      <c r="AD189" t="s">
        <v>53</v>
      </c>
      <c r="AE189" t="s">
        <v>53</v>
      </c>
      <c r="AF189" s="22" t="s">
        <v>53</v>
      </c>
      <c r="AG189" s="22" t="s">
        <v>53</v>
      </c>
      <c r="AH189" s="22" t="s">
        <v>53</v>
      </c>
      <c r="AI189" s="22" t="s">
        <v>53</v>
      </c>
      <c r="AJ189">
        <v>0</v>
      </c>
      <c r="AK189">
        <v>0</v>
      </c>
      <c r="AL189">
        <v>1</v>
      </c>
      <c r="AM189">
        <v>0</v>
      </c>
      <c r="AN189" s="22" t="s">
        <v>53</v>
      </c>
      <c r="AO189" s="22" t="s">
        <v>53</v>
      </c>
      <c r="AP189" s="22">
        <v>0</v>
      </c>
      <c r="AQ189" s="22" t="s">
        <v>53</v>
      </c>
      <c r="AR189" s="35">
        <v>0</v>
      </c>
      <c r="AS189" s="35">
        <v>0</v>
      </c>
      <c r="AT189" s="35">
        <v>0</v>
      </c>
      <c r="AU189" s="31" t="str">
        <f t="shared" si="6"/>
        <v>库存为0</v>
      </c>
      <c r="AV189" s="36" t="str">
        <f>IFERROR(时间!$B$4+AU189,"上周无销量")</f>
        <v>上周无销量</v>
      </c>
    </row>
    <row r="190" spans="1:48">
      <c r="A190" s="20" t="s">
        <v>494</v>
      </c>
      <c r="B190" t="s">
        <v>495</v>
      </c>
      <c r="C190" t="s">
        <v>493</v>
      </c>
      <c r="D190" s="31">
        <v>0</v>
      </c>
      <c r="E190" s="31">
        <v>0</v>
      </c>
      <c r="F190" s="31">
        <v>0</v>
      </c>
      <c r="G190" s="31">
        <v>0</v>
      </c>
      <c r="H190" s="32">
        <v>0</v>
      </c>
      <c r="I190">
        <v>0</v>
      </c>
      <c r="J190" s="33">
        <v>0</v>
      </c>
      <c r="K190" s="33">
        <v>0</v>
      </c>
      <c r="L190" s="33">
        <v>0</v>
      </c>
      <c r="M190">
        <v>0</v>
      </c>
      <c r="N190">
        <v>0</v>
      </c>
      <c r="O190">
        <v>0</v>
      </c>
      <c r="P190" t="s">
        <v>53</v>
      </c>
      <c r="Q190" t="s">
        <v>53</v>
      </c>
      <c r="R190" t="s">
        <v>53</v>
      </c>
      <c r="S190" t="s">
        <v>53</v>
      </c>
      <c r="T190" t="s">
        <v>53</v>
      </c>
      <c r="U190" t="s">
        <v>53</v>
      </c>
      <c r="V190" t="s">
        <v>53</v>
      </c>
      <c r="W190" t="s">
        <v>53</v>
      </c>
      <c r="X190" s="22" t="s">
        <v>53</v>
      </c>
      <c r="Y190" s="22" t="s">
        <v>53</v>
      </c>
      <c r="Z190" s="22" t="s">
        <v>53</v>
      </c>
      <c r="AA190" s="22" t="s">
        <v>53</v>
      </c>
      <c r="AB190" t="s">
        <v>53</v>
      </c>
      <c r="AC190" t="s">
        <v>53</v>
      </c>
      <c r="AD190" t="s">
        <v>53</v>
      </c>
      <c r="AE190" t="s">
        <v>53</v>
      </c>
      <c r="AF190" s="22" t="s">
        <v>53</v>
      </c>
      <c r="AG190" s="22" t="s">
        <v>53</v>
      </c>
      <c r="AH190" s="22" t="s">
        <v>53</v>
      </c>
      <c r="AI190" s="22" t="s">
        <v>53</v>
      </c>
      <c r="AJ190">
        <v>0</v>
      </c>
      <c r="AK190">
        <v>1</v>
      </c>
      <c r="AL190">
        <v>5</v>
      </c>
      <c r="AM190">
        <v>1</v>
      </c>
      <c r="AN190" s="22" t="s">
        <v>53</v>
      </c>
      <c r="AO190" s="22">
        <v>0</v>
      </c>
      <c r="AP190" s="22">
        <v>0</v>
      </c>
      <c r="AQ190" s="22">
        <v>0</v>
      </c>
      <c r="AR190" s="35">
        <v>0</v>
      </c>
      <c r="AS190" s="35">
        <v>0</v>
      </c>
      <c r="AT190" s="35">
        <v>0</v>
      </c>
      <c r="AU190" s="31" t="str">
        <f t="shared" si="6"/>
        <v>库存为0</v>
      </c>
      <c r="AV190" s="36" t="str">
        <f>IFERROR(时间!$B$4+AU190,"上周无销量")</f>
        <v>上周无销量</v>
      </c>
    </row>
    <row r="191" spans="1:48">
      <c r="A191" s="20" t="s">
        <v>496</v>
      </c>
      <c r="B191" t="s">
        <v>497</v>
      </c>
      <c r="C191" t="s">
        <v>493</v>
      </c>
      <c r="D191" s="31">
        <v>0</v>
      </c>
      <c r="E191" s="31">
        <v>0</v>
      </c>
      <c r="F191" s="31">
        <v>0</v>
      </c>
      <c r="G191" s="31">
        <v>0</v>
      </c>
      <c r="H191" s="32">
        <v>0</v>
      </c>
      <c r="I191">
        <v>0</v>
      </c>
      <c r="J191" s="33">
        <v>0</v>
      </c>
      <c r="K191" s="33">
        <v>0</v>
      </c>
      <c r="L191" s="33">
        <v>0</v>
      </c>
      <c r="M191">
        <v>0</v>
      </c>
      <c r="N191">
        <v>0</v>
      </c>
      <c r="O191">
        <v>0</v>
      </c>
      <c r="P191" t="s">
        <v>53</v>
      </c>
      <c r="Q191" t="s">
        <v>53</v>
      </c>
      <c r="R191" t="s">
        <v>53</v>
      </c>
      <c r="S191" t="s">
        <v>53</v>
      </c>
      <c r="T191" t="s">
        <v>53</v>
      </c>
      <c r="U191" t="s">
        <v>53</v>
      </c>
      <c r="V191" t="s">
        <v>53</v>
      </c>
      <c r="W191" t="s">
        <v>53</v>
      </c>
      <c r="X191" s="22" t="s">
        <v>53</v>
      </c>
      <c r="Y191" s="22" t="s">
        <v>53</v>
      </c>
      <c r="Z191" s="22" t="s">
        <v>53</v>
      </c>
      <c r="AA191" s="22" t="s">
        <v>53</v>
      </c>
      <c r="AB191" t="s">
        <v>53</v>
      </c>
      <c r="AC191" t="s">
        <v>53</v>
      </c>
      <c r="AD191" t="s">
        <v>53</v>
      </c>
      <c r="AE191" t="s">
        <v>53</v>
      </c>
      <c r="AF191" s="22" t="s">
        <v>53</v>
      </c>
      <c r="AG191" s="22" t="s">
        <v>53</v>
      </c>
      <c r="AH191" s="22" t="s">
        <v>53</v>
      </c>
      <c r="AI191" s="22" t="s">
        <v>53</v>
      </c>
      <c r="AJ191">
        <v>0</v>
      </c>
      <c r="AK191">
        <v>0</v>
      </c>
      <c r="AL191">
        <v>2</v>
      </c>
      <c r="AM191">
        <v>1</v>
      </c>
      <c r="AN191" s="22" t="s">
        <v>53</v>
      </c>
      <c r="AO191" s="22" t="s">
        <v>53</v>
      </c>
      <c r="AP191" s="22">
        <v>0</v>
      </c>
      <c r="AQ191" s="22">
        <v>0</v>
      </c>
      <c r="AR191" s="35">
        <v>0</v>
      </c>
      <c r="AS191" s="35">
        <v>0</v>
      </c>
      <c r="AT191" s="35">
        <v>0</v>
      </c>
      <c r="AU191" s="31" t="str">
        <f t="shared" si="6"/>
        <v>库存为0</v>
      </c>
      <c r="AV191" s="36" t="str">
        <f>IFERROR(时间!$B$4+AU191,"上周无销量")</f>
        <v>上周无销量</v>
      </c>
    </row>
    <row r="192" spans="1:48">
      <c r="A192" s="20" t="s">
        <v>498</v>
      </c>
      <c r="B192" t="s">
        <v>499</v>
      </c>
      <c r="C192" t="s">
        <v>493</v>
      </c>
      <c r="D192" s="31">
        <v>0</v>
      </c>
      <c r="E192" s="31">
        <v>0</v>
      </c>
      <c r="F192" s="31">
        <v>0</v>
      </c>
      <c r="G192" s="31">
        <v>0</v>
      </c>
      <c r="H192" s="32">
        <v>0</v>
      </c>
      <c r="I192">
        <v>0</v>
      </c>
      <c r="J192" s="33">
        <v>0</v>
      </c>
      <c r="K192" s="33">
        <v>0</v>
      </c>
      <c r="L192" s="33">
        <v>0</v>
      </c>
      <c r="M192">
        <v>0</v>
      </c>
      <c r="N192">
        <v>0</v>
      </c>
      <c r="O192">
        <v>0</v>
      </c>
      <c r="P192" t="s">
        <v>53</v>
      </c>
      <c r="Q192" t="s">
        <v>53</v>
      </c>
      <c r="R192" t="s">
        <v>53</v>
      </c>
      <c r="S192" t="s">
        <v>53</v>
      </c>
      <c r="T192" t="s">
        <v>53</v>
      </c>
      <c r="U192" t="s">
        <v>53</v>
      </c>
      <c r="V192" t="s">
        <v>53</v>
      </c>
      <c r="W192" t="s">
        <v>53</v>
      </c>
      <c r="X192" s="22" t="s">
        <v>53</v>
      </c>
      <c r="Y192" s="22" t="s">
        <v>53</v>
      </c>
      <c r="Z192" s="22" t="s">
        <v>53</v>
      </c>
      <c r="AA192" s="22" t="s">
        <v>53</v>
      </c>
      <c r="AB192" t="s">
        <v>53</v>
      </c>
      <c r="AC192" t="s">
        <v>53</v>
      </c>
      <c r="AD192" t="s">
        <v>53</v>
      </c>
      <c r="AE192" t="s">
        <v>53</v>
      </c>
      <c r="AF192" s="22" t="s">
        <v>53</v>
      </c>
      <c r="AG192" s="22" t="s">
        <v>53</v>
      </c>
      <c r="AH192" s="22" t="s">
        <v>53</v>
      </c>
      <c r="AI192" s="22" t="s">
        <v>53</v>
      </c>
      <c r="AJ192">
        <v>0</v>
      </c>
      <c r="AK192">
        <v>0</v>
      </c>
      <c r="AL192">
        <v>3</v>
      </c>
      <c r="AM192">
        <v>3</v>
      </c>
      <c r="AN192" s="22" t="s">
        <v>53</v>
      </c>
      <c r="AO192" s="22" t="s">
        <v>53</v>
      </c>
      <c r="AP192" s="22">
        <v>0</v>
      </c>
      <c r="AQ192" s="22">
        <v>0</v>
      </c>
      <c r="AR192" s="35">
        <v>0</v>
      </c>
      <c r="AS192" s="35">
        <v>0</v>
      </c>
      <c r="AT192" s="35">
        <v>0</v>
      </c>
      <c r="AU192" s="31" t="str">
        <f t="shared" si="6"/>
        <v>库存为0</v>
      </c>
      <c r="AV192" s="36" t="str">
        <f>IFERROR(时间!$B$4+AU192,"上周无销量")</f>
        <v>上周无销量</v>
      </c>
    </row>
    <row r="193" spans="1:48">
      <c r="A193" s="20" t="s">
        <v>500</v>
      </c>
      <c r="B193" t="s">
        <v>501</v>
      </c>
      <c r="C193" t="s">
        <v>493</v>
      </c>
      <c r="D193" s="31">
        <v>0</v>
      </c>
      <c r="E193" s="31">
        <v>0</v>
      </c>
      <c r="F193" s="31">
        <v>0</v>
      </c>
      <c r="G193" s="31">
        <v>0</v>
      </c>
      <c r="H193" s="32">
        <v>0</v>
      </c>
      <c r="I193">
        <v>0</v>
      </c>
      <c r="J193" s="33">
        <v>0</v>
      </c>
      <c r="K193" s="33">
        <v>0</v>
      </c>
      <c r="L193" s="33">
        <v>0</v>
      </c>
      <c r="M193">
        <v>0</v>
      </c>
      <c r="N193">
        <v>1</v>
      </c>
      <c r="O193">
        <v>0</v>
      </c>
      <c r="P193" t="s">
        <v>53</v>
      </c>
      <c r="Q193" t="s">
        <v>53</v>
      </c>
      <c r="R193" t="s">
        <v>53</v>
      </c>
      <c r="S193" t="s">
        <v>53</v>
      </c>
      <c r="T193" t="s">
        <v>53</v>
      </c>
      <c r="U193" t="s">
        <v>53</v>
      </c>
      <c r="V193" t="s">
        <v>53</v>
      </c>
      <c r="W193" t="s">
        <v>53</v>
      </c>
      <c r="X193" s="22" t="s">
        <v>53</v>
      </c>
      <c r="Y193" s="22" t="s">
        <v>53</v>
      </c>
      <c r="Z193" s="22" t="s">
        <v>53</v>
      </c>
      <c r="AA193" s="22" t="s">
        <v>53</v>
      </c>
      <c r="AB193" t="s">
        <v>53</v>
      </c>
      <c r="AC193" t="s">
        <v>53</v>
      </c>
      <c r="AD193" t="s">
        <v>53</v>
      </c>
      <c r="AE193" t="s">
        <v>53</v>
      </c>
      <c r="AF193" s="22" t="s">
        <v>53</v>
      </c>
      <c r="AG193" s="22" t="s">
        <v>53</v>
      </c>
      <c r="AH193" s="22" t="s">
        <v>53</v>
      </c>
      <c r="AI193" s="22" t="s">
        <v>53</v>
      </c>
      <c r="AJ193">
        <v>0</v>
      </c>
      <c r="AK193">
        <v>0</v>
      </c>
      <c r="AL193">
        <v>5</v>
      </c>
      <c r="AM193">
        <v>1</v>
      </c>
      <c r="AN193" s="22" t="s">
        <v>53</v>
      </c>
      <c r="AO193" s="22" t="s">
        <v>53</v>
      </c>
      <c r="AP193" s="22">
        <v>0</v>
      </c>
      <c r="AQ193" s="22">
        <v>0</v>
      </c>
      <c r="AR193" s="35">
        <v>0</v>
      </c>
      <c r="AS193" s="35">
        <v>0</v>
      </c>
      <c r="AT193" s="35">
        <v>0</v>
      </c>
      <c r="AU193" s="31" t="str">
        <f t="shared" si="6"/>
        <v>库存为0</v>
      </c>
      <c r="AV193" s="36" t="str">
        <f>IFERROR(时间!$B$4+AU193,"上周无销量")</f>
        <v>上周无销量</v>
      </c>
    </row>
    <row r="194" spans="1:48">
      <c r="A194" s="20" t="s">
        <v>502</v>
      </c>
      <c r="B194" t="s">
        <v>503</v>
      </c>
      <c r="C194" t="s">
        <v>493</v>
      </c>
      <c r="D194" s="31">
        <v>0</v>
      </c>
      <c r="E194" s="31">
        <v>0</v>
      </c>
      <c r="F194" s="31">
        <v>0</v>
      </c>
      <c r="G194" s="31">
        <v>0</v>
      </c>
      <c r="H194" s="32">
        <v>0</v>
      </c>
      <c r="I194">
        <v>0</v>
      </c>
      <c r="J194" s="33">
        <v>0</v>
      </c>
      <c r="K194" s="33">
        <v>0</v>
      </c>
      <c r="L194" s="33">
        <v>0</v>
      </c>
      <c r="M194">
        <v>0</v>
      </c>
      <c r="N194">
        <v>0</v>
      </c>
      <c r="O194">
        <v>0</v>
      </c>
      <c r="P194" t="s">
        <v>53</v>
      </c>
      <c r="Q194" t="s">
        <v>53</v>
      </c>
      <c r="R194" t="s">
        <v>53</v>
      </c>
      <c r="S194" t="s">
        <v>53</v>
      </c>
      <c r="T194" t="s">
        <v>53</v>
      </c>
      <c r="U194" t="s">
        <v>53</v>
      </c>
      <c r="V194" t="s">
        <v>53</v>
      </c>
      <c r="W194" t="s">
        <v>53</v>
      </c>
      <c r="X194" s="22" t="s">
        <v>53</v>
      </c>
      <c r="Y194" s="22" t="s">
        <v>53</v>
      </c>
      <c r="Z194" s="22" t="s">
        <v>53</v>
      </c>
      <c r="AA194" s="22" t="s">
        <v>53</v>
      </c>
      <c r="AB194" t="s">
        <v>53</v>
      </c>
      <c r="AC194" t="s">
        <v>53</v>
      </c>
      <c r="AD194" t="s">
        <v>53</v>
      </c>
      <c r="AE194" t="s">
        <v>53</v>
      </c>
      <c r="AF194" s="22" t="s">
        <v>53</v>
      </c>
      <c r="AG194" s="22" t="s">
        <v>53</v>
      </c>
      <c r="AH194" s="22" t="s">
        <v>53</v>
      </c>
      <c r="AI194" s="22" t="s">
        <v>53</v>
      </c>
      <c r="AJ194">
        <v>0</v>
      </c>
      <c r="AK194">
        <v>1</v>
      </c>
      <c r="AL194">
        <v>3</v>
      </c>
      <c r="AM194">
        <v>2</v>
      </c>
      <c r="AN194" s="22" t="s">
        <v>53</v>
      </c>
      <c r="AO194" s="22">
        <v>0</v>
      </c>
      <c r="AP194" s="22">
        <v>0</v>
      </c>
      <c r="AQ194" s="22">
        <v>0</v>
      </c>
      <c r="AR194" s="35">
        <v>0</v>
      </c>
      <c r="AS194" s="35">
        <v>0</v>
      </c>
      <c r="AT194" s="35">
        <v>0</v>
      </c>
      <c r="AU194" s="31" t="str">
        <f t="shared" si="6"/>
        <v>库存为0</v>
      </c>
      <c r="AV194" s="36" t="str">
        <f>IFERROR(时间!$B$4+AU194,"上周无销量")</f>
        <v>上周无销量</v>
      </c>
    </row>
    <row r="195" spans="1:48">
      <c r="A195" s="20" t="s">
        <v>504</v>
      </c>
      <c r="B195" t="s">
        <v>505</v>
      </c>
      <c r="C195" t="s">
        <v>493</v>
      </c>
      <c r="D195" s="31">
        <v>0</v>
      </c>
      <c r="E195" s="31">
        <v>0</v>
      </c>
      <c r="F195" s="31">
        <v>0</v>
      </c>
      <c r="G195" s="31">
        <v>0</v>
      </c>
      <c r="H195" s="32">
        <v>0</v>
      </c>
      <c r="I195">
        <v>0</v>
      </c>
      <c r="J195" s="33">
        <v>0</v>
      </c>
      <c r="K195" s="33">
        <v>0</v>
      </c>
      <c r="L195" s="33">
        <v>0</v>
      </c>
      <c r="M195">
        <v>0</v>
      </c>
      <c r="N195">
        <v>0</v>
      </c>
      <c r="O195">
        <v>0</v>
      </c>
      <c r="P195" t="s">
        <v>53</v>
      </c>
      <c r="Q195" t="s">
        <v>53</v>
      </c>
      <c r="R195" t="s">
        <v>53</v>
      </c>
      <c r="S195" t="s">
        <v>53</v>
      </c>
      <c r="T195" t="s">
        <v>53</v>
      </c>
      <c r="U195" t="s">
        <v>53</v>
      </c>
      <c r="V195" t="s">
        <v>53</v>
      </c>
      <c r="W195" t="s">
        <v>53</v>
      </c>
      <c r="X195" s="22" t="s">
        <v>53</v>
      </c>
      <c r="Y195" s="22" t="s">
        <v>53</v>
      </c>
      <c r="Z195" s="22" t="s">
        <v>53</v>
      </c>
      <c r="AA195" s="22" t="s">
        <v>53</v>
      </c>
      <c r="AB195" t="s">
        <v>53</v>
      </c>
      <c r="AC195" t="s">
        <v>53</v>
      </c>
      <c r="AD195" t="s">
        <v>53</v>
      </c>
      <c r="AE195" t="s">
        <v>53</v>
      </c>
      <c r="AF195" s="22" t="s">
        <v>53</v>
      </c>
      <c r="AG195" s="22" t="s">
        <v>53</v>
      </c>
      <c r="AH195" s="22" t="s">
        <v>53</v>
      </c>
      <c r="AI195" s="22" t="s">
        <v>53</v>
      </c>
      <c r="AJ195">
        <v>0</v>
      </c>
      <c r="AK195">
        <v>0</v>
      </c>
      <c r="AL195">
        <v>8</v>
      </c>
      <c r="AM195">
        <v>2</v>
      </c>
      <c r="AN195" s="22" t="s">
        <v>53</v>
      </c>
      <c r="AO195" s="22" t="s">
        <v>53</v>
      </c>
      <c r="AP195" s="22">
        <v>0</v>
      </c>
      <c r="AQ195" s="22">
        <v>0</v>
      </c>
      <c r="AR195" s="35">
        <v>0</v>
      </c>
      <c r="AS195" s="35">
        <v>0</v>
      </c>
      <c r="AT195" s="35">
        <v>0</v>
      </c>
      <c r="AU195" s="31" t="str">
        <f t="shared" si="6"/>
        <v>库存为0</v>
      </c>
      <c r="AV195" s="36" t="str">
        <f>IFERROR(时间!$B$4+AU195,"上周无销量")</f>
        <v>上周无销量</v>
      </c>
    </row>
    <row r="196" spans="1:48">
      <c r="A196" s="20" t="s">
        <v>506</v>
      </c>
      <c r="B196" t="s">
        <v>507</v>
      </c>
      <c r="C196" t="s">
        <v>493</v>
      </c>
      <c r="D196" s="31">
        <v>0</v>
      </c>
      <c r="E196" s="31">
        <v>0</v>
      </c>
      <c r="F196" s="31">
        <v>0</v>
      </c>
      <c r="G196" s="31">
        <v>0</v>
      </c>
      <c r="H196" s="32">
        <v>0</v>
      </c>
      <c r="I196">
        <v>0</v>
      </c>
      <c r="J196" s="33">
        <v>0</v>
      </c>
      <c r="K196" s="33">
        <v>0</v>
      </c>
      <c r="L196" s="33">
        <v>0</v>
      </c>
      <c r="M196">
        <v>0</v>
      </c>
      <c r="N196">
        <v>0</v>
      </c>
      <c r="O196">
        <v>0</v>
      </c>
      <c r="P196" t="s">
        <v>53</v>
      </c>
      <c r="Q196" t="s">
        <v>53</v>
      </c>
      <c r="R196" t="s">
        <v>53</v>
      </c>
      <c r="S196" t="s">
        <v>53</v>
      </c>
      <c r="T196" t="s">
        <v>53</v>
      </c>
      <c r="U196" t="s">
        <v>53</v>
      </c>
      <c r="V196" t="s">
        <v>53</v>
      </c>
      <c r="W196" t="s">
        <v>53</v>
      </c>
      <c r="X196" s="22" t="s">
        <v>53</v>
      </c>
      <c r="Y196" s="22" t="s">
        <v>53</v>
      </c>
      <c r="Z196" s="22" t="s">
        <v>53</v>
      </c>
      <c r="AA196" s="22" t="s">
        <v>53</v>
      </c>
      <c r="AB196" t="s">
        <v>53</v>
      </c>
      <c r="AC196" t="s">
        <v>53</v>
      </c>
      <c r="AD196" t="s">
        <v>53</v>
      </c>
      <c r="AE196" t="s">
        <v>53</v>
      </c>
      <c r="AF196" s="22" t="s">
        <v>53</v>
      </c>
      <c r="AG196" s="22" t="s">
        <v>53</v>
      </c>
      <c r="AH196" s="22" t="s">
        <v>53</v>
      </c>
      <c r="AI196" s="22" t="s">
        <v>53</v>
      </c>
      <c r="AJ196">
        <v>0</v>
      </c>
      <c r="AK196">
        <v>0</v>
      </c>
      <c r="AL196">
        <v>4</v>
      </c>
      <c r="AM196">
        <v>1</v>
      </c>
      <c r="AN196" s="22" t="s">
        <v>53</v>
      </c>
      <c r="AO196" s="22" t="s">
        <v>53</v>
      </c>
      <c r="AP196" s="22">
        <v>0</v>
      </c>
      <c r="AQ196" s="22">
        <v>0</v>
      </c>
      <c r="AR196" s="35">
        <v>0</v>
      </c>
      <c r="AS196" s="35">
        <v>0</v>
      </c>
      <c r="AT196" s="35">
        <v>0</v>
      </c>
      <c r="AU196" s="31" t="str">
        <f t="shared" si="6"/>
        <v>库存为0</v>
      </c>
      <c r="AV196" s="36" t="str">
        <f>IFERROR(时间!$B$4+AU196,"上周无销量")</f>
        <v>上周无销量</v>
      </c>
    </row>
    <row r="197" spans="1:48">
      <c r="A197" s="20" t="s">
        <v>508</v>
      </c>
      <c r="B197" t="s">
        <v>509</v>
      </c>
      <c r="C197" t="s">
        <v>493</v>
      </c>
      <c r="D197" s="31">
        <v>0</v>
      </c>
      <c r="E197" s="31">
        <v>0</v>
      </c>
      <c r="F197" s="31">
        <v>0</v>
      </c>
      <c r="G197" s="31">
        <v>0</v>
      </c>
      <c r="H197" s="32">
        <v>0</v>
      </c>
      <c r="I197">
        <v>5</v>
      </c>
      <c r="J197" s="33">
        <v>0</v>
      </c>
      <c r="K197" s="33">
        <v>0</v>
      </c>
      <c r="L197" s="33">
        <v>0</v>
      </c>
      <c r="M197">
        <v>5</v>
      </c>
      <c r="N197">
        <v>0</v>
      </c>
      <c r="O197">
        <v>5</v>
      </c>
      <c r="P197" t="s">
        <v>53</v>
      </c>
      <c r="Q197" t="s">
        <v>53</v>
      </c>
      <c r="R197" t="s">
        <v>53</v>
      </c>
      <c r="S197" t="s">
        <v>53</v>
      </c>
      <c r="T197" t="s">
        <v>53</v>
      </c>
      <c r="U197" t="s">
        <v>53</v>
      </c>
      <c r="V197" t="s">
        <v>53</v>
      </c>
      <c r="W197" t="s">
        <v>53</v>
      </c>
      <c r="X197" s="22" t="s">
        <v>53</v>
      </c>
      <c r="Y197" s="22" t="s">
        <v>53</v>
      </c>
      <c r="Z197" s="22" t="s">
        <v>53</v>
      </c>
      <c r="AA197" s="22" t="s">
        <v>53</v>
      </c>
      <c r="AB197" t="s">
        <v>53</v>
      </c>
      <c r="AC197" t="s">
        <v>53</v>
      </c>
      <c r="AD197" t="s">
        <v>53</v>
      </c>
      <c r="AE197" t="s">
        <v>53</v>
      </c>
      <c r="AF197" s="22" t="s">
        <v>53</v>
      </c>
      <c r="AG197" s="22" t="s">
        <v>53</v>
      </c>
      <c r="AH197" s="22" t="s">
        <v>53</v>
      </c>
      <c r="AI197" s="22" t="s">
        <v>53</v>
      </c>
      <c r="AJ197">
        <v>3</v>
      </c>
      <c r="AK197">
        <v>3</v>
      </c>
      <c r="AL197">
        <v>8</v>
      </c>
      <c r="AM197">
        <v>2</v>
      </c>
      <c r="AN197" s="22">
        <v>0</v>
      </c>
      <c r="AO197" s="22">
        <v>0</v>
      </c>
      <c r="AP197" s="22">
        <v>0</v>
      </c>
      <c r="AQ197" s="22">
        <v>0</v>
      </c>
      <c r="AR197" s="35">
        <v>0</v>
      </c>
      <c r="AS197" s="35">
        <v>0</v>
      </c>
      <c r="AT197" s="35">
        <v>5</v>
      </c>
      <c r="AU197" s="31" t="str">
        <f t="shared" ref="AU197:AU253" si="7">IF(AR197="","库存为"&amp;M197,IF(AS197=0,"库存为"&amp;M197,INT(M197/AR197)))</f>
        <v>库存为5</v>
      </c>
      <c r="AV197" s="36" t="str">
        <f>IFERROR(时间!$B$4+AU197,"上周无销量")</f>
        <v>上周无销量</v>
      </c>
    </row>
    <row r="198" spans="1:48">
      <c r="A198" s="20" t="s">
        <v>510</v>
      </c>
      <c r="B198" t="s">
        <v>511</v>
      </c>
      <c r="C198" t="s">
        <v>493</v>
      </c>
      <c r="D198" s="31">
        <v>0</v>
      </c>
      <c r="E198" s="31">
        <v>0</v>
      </c>
      <c r="F198" s="31">
        <v>0</v>
      </c>
      <c r="G198" s="31">
        <v>0</v>
      </c>
      <c r="H198" s="32">
        <v>0</v>
      </c>
      <c r="I198">
        <v>0</v>
      </c>
      <c r="J198" s="33">
        <v>0</v>
      </c>
      <c r="K198" s="33">
        <v>0</v>
      </c>
      <c r="L198" s="33">
        <v>0</v>
      </c>
      <c r="M198">
        <v>0</v>
      </c>
      <c r="N198">
        <v>0</v>
      </c>
      <c r="O198">
        <v>0</v>
      </c>
      <c r="P198" t="s">
        <v>53</v>
      </c>
      <c r="Q198" t="s">
        <v>53</v>
      </c>
      <c r="R198" t="s">
        <v>53</v>
      </c>
      <c r="S198" t="s">
        <v>53</v>
      </c>
      <c r="T198" t="s">
        <v>53</v>
      </c>
      <c r="U198" t="s">
        <v>53</v>
      </c>
      <c r="V198" t="s">
        <v>53</v>
      </c>
      <c r="W198" t="s">
        <v>53</v>
      </c>
      <c r="X198" s="22" t="s">
        <v>53</v>
      </c>
      <c r="Y198" s="22" t="s">
        <v>53</v>
      </c>
      <c r="Z198" s="22" t="s">
        <v>53</v>
      </c>
      <c r="AA198" s="22" t="s">
        <v>53</v>
      </c>
      <c r="AB198" t="s">
        <v>53</v>
      </c>
      <c r="AC198" t="s">
        <v>53</v>
      </c>
      <c r="AD198" t="s">
        <v>53</v>
      </c>
      <c r="AE198" t="s">
        <v>53</v>
      </c>
      <c r="AF198" s="22" t="s">
        <v>53</v>
      </c>
      <c r="AG198" s="22" t="s">
        <v>53</v>
      </c>
      <c r="AH198" s="22" t="s">
        <v>53</v>
      </c>
      <c r="AI198" s="22" t="s">
        <v>53</v>
      </c>
      <c r="AJ198">
        <v>0</v>
      </c>
      <c r="AK198">
        <v>1</v>
      </c>
      <c r="AL198">
        <v>7</v>
      </c>
      <c r="AM198">
        <v>3</v>
      </c>
      <c r="AN198" s="22" t="s">
        <v>53</v>
      </c>
      <c r="AO198" s="22">
        <v>0</v>
      </c>
      <c r="AP198" s="22">
        <v>0</v>
      </c>
      <c r="AQ198" s="22">
        <v>0</v>
      </c>
      <c r="AR198" s="35">
        <v>0</v>
      </c>
      <c r="AS198" s="35">
        <v>0</v>
      </c>
      <c r="AT198" s="35">
        <v>0</v>
      </c>
      <c r="AU198" s="31" t="str">
        <f t="shared" si="7"/>
        <v>库存为0</v>
      </c>
      <c r="AV198" s="36" t="str">
        <f>IFERROR(时间!$B$4+AU198,"上周无销量")</f>
        <v>上周无销量</v>
      </c>
    </row>
    <row r="199" spans="1:48">
      <c r="A199" s="20" t="s">
        <v>512</v>
      </c>
      <c r="B199" t="s">
        <v>513</v>
      </c>
      <c r="C199" t="s">
        <v>493</v>
      </c>
      <c r="D199" s="31">
        <v>0</v>
      </c>
      <c r="E199" s="31">
        <v>0</v>
      </c>
      <c r="F199" s="31">
        <v>0</v>
      </c>
      <c r="G199" s="31">
        <v>0</v>
      </c>
      <c r="H199" s="32">
        <v>0</v>
      </c>
      <c r="I199">
        <v>0</v>
      </c>
      <c r="J199" s="33">
        <v>0</v>
      </c>
      <c r="K199" s="33">
        <v>0</v>
      </c>
      <c r="L199" s="33">
        <v>0</v>
      </c>
      <c r="M199">
        <v>0</v>
      </c>
      <c r="N199">
        <v>0</v>
      </c>
      <c r="O199">
        <v>0</v>
      </c>
      <c r="P199" t="s">
        <v>53</v>
      </c>
      <c r="Q199" t="s">
        <v>53</v>
      </c>
      <c r="R199" t="s">
        <v>53</v>
      </c>
      <c r="S199" t="s">
        <v>53</v>
      </c>
      <c r="T199" t="s">
        <v>53</v>
      </c>
      <c r="U199" t="s">
        <v>53</v>
      </c>
      <c r="V199" t="s">
        <v>53</v>
      </c>
      <c r="W199" t="s">
        <v>53</v>
      </c>
      <c r="X199" s="22" t="s">
        <v>53</v>
      </c>
      <c r="Y199" s="22" t="s">
        <v>53</v>
      </c>
      <c r="Z199" s="22" t="s">
        <v>53</v>
      </c>
      <c r="AA199" s="22" t="s">
        <v>53</v>
      </c>
      <c r="AB199" t="s">
        <v>53</v>
      </c>
      <c r="AC199" t="s">
        <v>53</v>
      </c>
      <c r="AD199" t="s">
        <v>53</v>
      </c>
      <c r="AE199" t="s">
        <v>53</v>
      </c>
      <c r="AF199" s="22" t="s">
        <v>53</v>
      </c>
      <c r="AG199" s="22" t="s">
        <v>53</v>
      </c>
      <c r="AH199" s="22" t="s">
        <v>53</v>
      </c>
      <c r="AI199" s="22" t="s">
        <v>53</v>
      </c>
      <c r="AJ199">
        <v>0</v>
      </c>
      <c r="AK199">
        <v>1</v>
      </c>
      <c r="AL199">
        <v>1</v>
      </c>
      <c r="AM199">
        <v>1</v>
      </c>
      <c r="AN199" s="22" t="s">
        <v>53</v>
      </c>
      <c r="AO199" s="22">
        <v>0</v>
      </c>
      <c r="AP199" s="22">
        <v>0</v>
      </c>
      <c r="AQ199" s="22">
        <v>0</v>
      </c>
      <c r="AR199" s="35">
        <v>0</v>
      </c>
      <c r="AS199" s="35">
        <v>0</v>
      </c>
      <c r="AT199" s="35">
        <v>0</v>
      </c>
      <c r="AU199" s="31" t="str">
        <f t="shared" si="7"/>
        <v>库存为0</v>
      </c>
      <c r="AV199" s="36" t="str">
        <f>IFERROR(时间!$B$4+AU199,"上周无销量")</f>
        <v>上周无销量</v>
      </c>
    </row>
    <row r="200" spans="1:48">
      <c r="A200" s="20" t="s">
        <v>514</v>
      </c>
      <c r="B200" t="s">
        <v>515</v>
      </c>
      <c r="C200" t="s">
        <v>493</v>
      </c>
      <c r="D200" s="31">
        <v>0</v>
      </c>
      <c r="E200" s="31">
        <v>0</v>
      </c>
      <c r="F200" s="31">
        <v>0</v>
      </c>
      <c r="G200" s="31">
        <v>0</v>
      </c>
      <c r="H200" s="32">
        <v>0</v>
      </c>
      <c r="I200">
        <v>0</v>
      </c>
      <c r="J200" s="33">
        <v>0</v>
      </c>
      <c r="K200" s="33">
        <v>0</v>
      </c>
      <c r="L200" s="33">
        <v>0</v>
      </c>
      <c r="M200">
        <v>0</v>
      </c>
      <c r="N200">
        <v>0</v>
      </c>
      <c r="O200">
        <v>0</v>
      </c>
      <c r="P200" t="s">
        <v>53</v>
      </c>
      <c r="Q200" t="s">
        <v>53</v>
      </c>
      <c r="R200" t="s">
        <v>53</v>
      </c>
      <c r="S200" t="s">
        <v>53</v>
      </c>
      <c r="T200" t="s">
        <v>53</v>
      </c>
      <c r="U200" t="s">
        <v>53</v>
      </c>
      <c r="V200" t="s">
        <v>53</v>
      </c>
      <c r="W200" t="s">
        <v>53</v>
      </c>
      <c r="X200" s="22" t="s">
        <v>53</v>
      </c>
      <c r="Y200" s="22" t="s">
        <v>53</v>
      </c>
      <c r="Z200" s="22" t="s">
        <v>53</v>
      </c>
      <c r="AA200" s="22" t="s">
        <v>53</v>
      </c>
      <c r="AB200" t="s">
        <v>53</v>
      </c>
      <c r="AC200" t="s">
        <v>53</v>
      </c>
      <c r="AD200" t="s">
        <v>53</v>
      </c>
      <c r="AE200" t="s">
        <v>53</v>
      </c>
      <c r="AF200" s="22" t="s">
        <v>53</v>
      </c>
      <c r="AG200" s="22" t="s">
        <v>53</v>
      </c>
      <c r="AH200" s="22" t="s">
        <v>53</v>
      </c>
      <c r="AI200" s="22" t="s">
        <v>53</v>
      </c>
      <c r="AJ200">
        <v>0</v>
      </c>
      <c r="AK200">
        <v>0</v>
      </c>
      <c r="AL200">
        <v>4</v>
      </c>
      <c r="AM200">
        <v>3</v>
      </c>
      <c r="AN200" s="22" t="s">
        <v>53</v>
      </c>
      <c r="AO200" s="22" t="s">
        <v>53</v>
      </c>
      <c r="AP200" s="22">
        <v>0</v>
      </c>
      <c r="AQ200" s="22">
        <v>0</v>
      </c>
      <c r="AR200" s="35">
        <v>0</v>
      </c>
      <c r="AS200" s="35">
        <v>0</v>
      </c>
      <c r="AT200" s="35">
        <v>0</v>
      </c>
      <c r="AU200" s="31" t="str">
        <f t="shared" si="7"/>
        <v>库存为0</v>
      </c>
      <c r="AV200" s="36" t="str">
        <f>IFERROR(时间!$B$4+AU200,"上周无销量")</f>
        <v>上周无销量</v>
      </c>
    </row>
    <row r="201" spans="1:48">
      <c r="A201" s="20" t="s">
        <v>516</v>
      </c>
      <c r="B201" t="s">
        <v>517</v>
      </c>
      <c r="C201" t="s">
        <v>493</v>
      </c>
      <c r="D201" s="31">
        <v>0</v>
      </c>
      <c r="E201" s="31">
        <v>0</v>
      </c>
      <c r="F201" s="31">
        <v>0</v>
      </c>
      <c r="G201" s="31">
        <v>0</v>
      </c>
      <c r="H201" s="32">
        <v>0</v>
      </c>
      <c r="I201">
        <v>0</v>
      </c>
      <c r="J201" s="33">
        <v>0</v>
      </c>
      <c r="K201" s="33">
        <v>0</v>
      </c>
      <c r="L201" s="33">
        <v>0</v>
      </c>
      <c r="M201">
        <v>0</v>
      </c>
      <c r="N201">
        <v>0</v>
      </c>
      <c r="O201">
        <v>0</v>
      </c>
      <c r="P201" t="s">
        <v>53</v>
      </c>
      <c r="Q201" t="s">
        <v>53</v>
      </c>
      <c r="R201" t="s">
        <v>53</v>
      </c>
      <c r="S201" t="s">
        <v>53</v>
      </c>
      <c r="T201" t="s">
        <v>53</v>
      </c>
      <c r="U201" t="s">
        <v>53</v>
      </c>
      <c r="V201" t="s">
        <v>53</v>
      </c>
      <c r="W201" t="s">
        <v>53</v>
      </c>
      <c r="X201" s="22" t="s">
        <v>53</v>
      </c>
      <c r="Y201" s="22" t="s">
        <v>53</v>
      </c>
      <c r="Z201" s="22" t="s">
        <v>53</v>
      </c>
      <c r="AA201" s="22" t="s">
        <v>53</v>
      </c>
      <c r="AB201" t="s">
        <v>53</v>
      </c>
      <c r="AC201" t="s">
        <v>53</v>
      </c>
      <c r="AD201" t="s">
        <v>53</v>
      </c>
      <c r="AE201" t="s">
        <v>53</v>
      </c>
      <c r="AF201" s="22" t="s">
        <v>53</v>
      </c>
      <c r="AG201" s="22" t="s">
        <v>53</v>
      </c>
      <c r="AH201" s="22" t="s">
        <v>53</v>
      </c>
      <c r="AI201" s="22" t="s">
        <v>53</v>
      </c>
      <c r="AJ201">
        <v>0</v>
      </c>
      <c r="AK201">
        <v>0</v>
      </c>
      <c r="AL201">
        <v>6</v>
      </c>
      <c r="AM201">
        <v>2</v>
      </c>
      <c r="AN201" s="22" t="s">
        <v>53</v>
      </c>
      <c r="AO201" s="22" t="s">
        <v>53</v>
      </c>
      <c r="AP201" s="22">
        <v>0</v>
      </c>
      <c r="AQ201" s="22">
        <v>0</v>
      </c>
      <c r="AR201" s="35">
        <v>0</v>
      </c>
      <c r="AS201" s="35">
        <v>0</v>
      </c>
      <c r="AT201" s="35">
        <v>0</v>
      </c>
      <c r="AU201" s="31" t="str">
        <f t="shared" si="7"/>
        <v>库存为0</v>
      </c>
      <c r="AV201" s="36" t="str">
        <f>IFERROR(时间!$B$4+AU201,"上周无销量")</f>
        <v>上周无销量</v>
      </c>
    </row>
    <row r="202" spans="1:48">
      <c r="A202" s="20" t="s">
        <v>518</v>
      </c>
      <c r="B202" t="s">
        <v>519</v>
      </c>
      <c r="C202" t="s">
        <v>493</v>
      </c>
      <c r="D202" s="31">
        <v>0</v>
      </c>
      <c r="E202" s="31">
        <v>0</v>
      </c>
      <c r="F202" s="31">
        <v>0</v>
      </c>
      <c r="G202" s="31">
        <v>0</v>
      </c>
      <c r="H202" s="32">
        <v>0</v>
      </c>
      <c r="I202">
        <v>0</v>
      </c>
      <c r="J202" s="33">
        <v>0</v>
      </c>
      <c r="K202" s="33">
        <v>0</v>
      </c>
      <c r="L202" s="33">
        <v>0</v>
      </c>
      <c r="M202">
        <v>0</v>
      </c>
      <c r="N202">
        <v>0</v>
      </c>
      <c r="O202">
        <v>0</v>
      </c>
      <c r="P202" t="s">
        <v>53</v>
      </c>
      <c r="Q202" t="s">
        <v>53</v>
      </c>
      <c r="R202" t="s">
        <v>53</v>
      </c>
      <c r="S202" t="s">
        <v>53</v>
      </c>
      <c r="T202" t="s">
        <v>53</v>
      </c>
      <c r="U202" t="s">
        <v>53</v>
      </c>
      <c r="V202" t="s">
        <v>53</v>
      </c>
      <c r="W202" t="s">
        <v>53</v>
      </c>
      <c r="X202" s="22" t="s">
        <v>53</v>
      </c>
      <c r="Y202" s="22" t="s">
        <v>53</v>
      </c>
      <c r="Z202" s="22" t="s">
        <v>53</v>
      </c>
      <c r="AA202" s="22" t="s">
        <v>53</v>
      </c>
      <c r="AB202" t="s">
        <v>53</v>
      </c>
      <c r="AC202" t="s">
        <v>53</v>
      </c>
      <c r="AD202" t="s">
        <v>53</v>
      </c>
      <c r="AE202" t="s">
        <v>53</v>
      </c>
      <c r="AF202" s="22" t="s">
        <v>53</v>
      </c>
      <c r="AG202" s="22" t="s">
        <v>53</v>
      </c>
      <c r="AH202" s="22" t="s">
        <v>53</v>
      </c>
      <c r="AI202" s="22" t="s">
        <v>53</v>
      </c>
      <c r="AJ202">
        <v>0</v>
      </c>
      <c r="AK202">
        <v>1</v>
      </c>
      <c r="AL202">
        <v>2</v>
      </c>
      <c r="AM202">
        <v>2</v>
      </c>
      <c r="AN202" s="22" t="s">
        <v>53</v>
      </c>
      <c r="AO202" s="22">
        <v>0</v>
      </c>
      <c r="AP202" s="22">
        <v>0</v>
      </c>
      <c r="AQ202" s="22">
        <v>0</v>
      </c>
      <c r="AR202" s="35">
        <v>0</v>
      </c>
      <c r="AS202" s="35">
        <v>0</v>
      </c>
      <c r="AT202" s="35">
        <v>0</v>
      </c>
      <c r="AU202" s="31" t="str">
        <f t="shared" si="7"/>
        <v>库存为0</v>
      </c>
      <c r="AV202" s="36" t="str">
        <f>IFERROR(时间!$B$4+AU202,"上周无销量")</f>
        <v>上周无销量</v>
      </c>
    </row>
    <row r="203" spans="1:48">
      <c r="A203" s="20" t="s">
        <v>520</v>
      </c>
      <c r="B203" t="s">
        <v>521</v>
      </c>
      <c r="C203" t="s">
        <v>493</v>
      </c>
      <c r="D203" s="31">
        <v>0</v>
      </c>
      <c r="E203" s="31">
        <v>0</v>
      </c>
      <c r="F203" s="31">
        <v>0</v>
      </c>
      <c r="G203" s="31">
        <v>0</v>
      </c>
      <c r="H203" s="32">
        <v>0</v>
      </c>
      <c r="I203">
        <v>0</v>
      </c>
      <c r="J203" s="33">
        <v>0</v>
      </c>
      <c r="K203" s="33">
        <v>0</v>
      </c>
      <c r="L203" s="33">
        <v>0</v>
      </c>
      <c r="M203">
        <v>0</v>
      </c>
      <c r="N203">
        <v>0</v>
      </c>
      <c r="O203">
        <v>0</v>
      </c>
      <c r="P203" t="s">
        <v>53</v>
      </c>
      <c r="Q203" t="s">
        <v>53</v>
      </c>
      <c r="R203" t="s">
        <v>53</v>
      </c>
      <c r="S203" t="s">
        <v>53</v>
      </c>
      <c r="T203" t="s">
        <v>53</v>
      </c>
      <c r="U203" t="s">
        <v>53</v>
      </c>
      <c r="V203" t="s">
        <v>53</v>
      </c>
      <c r="W203" t="s">
        <v>53</v>
      </c>
      <c r="X203" s="22" t="s">
        <v>53</v>
      </c>
      <c r="Y203" s="22" t="s">
        <v>53</v>
      </c>
      <c r="Z203" s="22" t="s">
        <v>53</v>
      </c>
      <c r="AA203" s="22" t="s">
        <v>53</v>
      </c>
      <c r="AB203" t="s">
        <v>53</v>
      </c>
      <c r="AC203" t="s">
        <v>53</v>
      </c>
      <c r="AD203" t="s">
        <v>53</v>
      </c>
      <c r="AE203" t="s">
        <v>53</v>
      </c>
      <c r="AF203" s="22" t="s">
        <v>53</v>
      </c>
      <c r="AG203" s="22" t="s">
        <v>53</v>
      </c>
      <c r="AH203" s="22" t="s">
        <v>53</v>
      </c>
      <c r="AI203" s="22" t="s">
        <v>53</v>
      </c>
      <c r="AJ203">
        <v>0</v>
      </c>
      <c r="AK203">
        <v>0</v>
      </c>
      <c r="AL203">
        <v>3</v>
      </c>
      <c r="AM203">
        <v>3</v>
      </c>
      <c r="AN203" s="22" t="s">
        <v>53</v>
      </c>
      <c r="AO203" s="22" t="s">
        <v>53</v>
      </c>
      <c r="AP203" s="22">
        <v>0</v>
      </c>
      <c r="AQ203" s="22">
        <v>0</v>
      </c>
      <c r="AR203" s="35">
        <v>0</v>
      </c>
      <c r="AS203" s="35">
        <v>0</v>
      </c>
      <c r="AT203" s="35">
        <v>0</v>
      </c>
      <c r="AU203" s="31" t="str">
        <f t="shared" si="7"/>
        <v>库存为0</v>
      </c>
      <c r="AV203" s="36" t="str">
        <f>IFERROR(时间!$B$4+AU203,"上周无销量")</f>
        <v>上周无销量</v>
      </c>
    </row>
    <row r="204" spans="1:48">
      <c r="A204" s="20" t="s">
        <v>522</v>
      </c>
      <c r="B204" t="s">
        <v>523</v>
      </c>
      <c r="C204" t="s">
        <v>493</v>
      </c>
      <c r="D204" s="31">
        <v>0</v>
      </c>
      <c r="E204" s="31">
        <v>0</v>
      </c>
      <c r="F204" s="31">
        <v>0</v>
      </c>
      <c r="G204" s="31">
        <v>0</v>
      </c>
      <c r="H204" s="32">
        <v>0</v>
      </c>
      <c r="I204">
        <v>0</v>
      </c>
      <c r="J204" s="33">
        <v>0</v>
      </c>
      <c r="K204" s="33">
        <v>0</v>
      </c>
      <c r="L204" s="33">
        <v>0</v>
      </c>
      <c r="M204">
        <v>0</v>
      </c>
      <c r="N204">
        <v>0</v>
      </c>
      <c r="O204">
        <v>0</v>
      </c>
      <c r="P204" t="s">
        <v>53</v>
      </c>
      <c r="Q204" t="s">
        <v>53</v>
      </c>
      <c r="R204" t="s">
        <v>53</v>
      </c>
      <c r="S204" t="s">
        <v>53</v>
      </c>
      <c r="T204" t="s">
        <v>53</v>
      </c>
      <c r="U204" t="s">
        <v>53</v>
      </c>
      <c r="V204" t="s">
        <v>53</v>
      </c>
      <c r="W204" t="s">
        <v>53</v>
      </c>
      <c r="X204" s="22" t="s">
        <v>53</v>
      </c>
      <c r="Y204" s="22" t="s">
        <v>53</v>
      </c>
      <c r="Z204" s="22" t="s">
        <v>53</v>
      </c>
      <c r="AA204" s="22" t="s">
        <v>53</v>
      </c>
      <c r="AB204" t="s">
        <v>53</v>
      </c>
      <c r="AC204" t="s">
        <v>53</v>
      </c>
      <c r="AD204" t="s">
        <v>53</v>
      </c>
      <c r="AE204" t="s">
        <v>53</v>
      </c>
      <c r="AF204" s="22" t="s">
        <v>53</v>
      </c>
      <c r="AG204" s="22" t="s">
        <v>53</v>
      </c>
      <c r="AH204" s="22" t="s">
        <v>53</v>
      </c>
      <c r="AI204" s="22" t="s">
        <v>53</v>
      </c>
      <c r="AJ204">
        <v>0</v>
      </c>
      <c r="AK204">
        <v>0</v>
      </c>
      <c r="AL204">
        <v>3</v>
      </c>
      <c r="AM204">
        <v>1</v>
      </c>
      <c r="AN204" s="22" t="s">
        <v>53</v>
      </c>
      <c r="AO204" s="22" t="s">
        <v>53</v>
      </c>
      <c r="AP204" s="22">
        <v>0</v>
      </c>
      <c r="AQ204" s="22">
        <v>0</v>
      </c>
      <c r="AR204" s="35">
        <v>0</v>
      </c>
      <c r="AS204" s="35">
        <v>0</v>
      </c>
      <c r="AT204" s="35">
        <v>0</v>
      </c>
      <c r="AU204" s="31" t="str">
        <f t="shared" si="7"/>
        <v>库存为0</v>
      </c>
      <c r="AV204" s="36" t="str">
        <f>IFERROR(时间!$B$4+AU204,"上周无销量")</f>
        <v>上周无销量</v>
      </c>
    </row>
    <row r="205" spans="1:48">
      <c r="A205" s="20" t="s">
        <v>524</v>
      </c>
      <c r="B205" t="s">
        <v>525</v>
      </c>
      <c r="C205" t="s">
        <v>526</v>
      </c>
      <c r="D205" s="31">
        <v>0</v>
      </c>
      <c r="E205" s="31">
        <v>0</v>
      </c>
      <c r="F205" s="31">
        <v>0</v>
      </c>
      <c r="G205" s="31">
        <v>0</v>
      </c>
      <c r="H205" s="32">
        <v>0</v>
      </c>
      <c r="I205">
        <v>0</v>
      </c>
      <c r="J205" s="33">
        <v>0</v>
      </c>
      <c r="K205" s="33">
        <v>0</v>
      </c>
      <c r="L205" s="33">
        <v>0</v>
      </c>
      <c r="M205">
        <v>0</v>
      </c>
      <c r="N205">
        <v>0</v>
      </c>
      <c r="O205">
        <v>0</v>
      </c>
      <c r="P205" t="s">
        <v>53</v>
      </c>
      <c r="Q205" t="s">
        <v>53</v>
      </c>
      <c r="R205" t="s">
        <v>53</v>
      </c>
      <c r="S205" t="s">
        <v>53</v>
      </c>
      <c r="T205" t="s">
        <v>53</v>
      </c>
      <c r="U205" t="s">
        <v>53</v>
      </c>
      <c r="V205" t="s">
        <v>53</v>
      </c>
      <c r="W205" t="s">
        <v>53</v>
      </c>
      <c r="X205" s="22" t="s">
        <v>53</v>
      </c>
      <c r="Y205" s="22" t="s">
        <v>53</v>
      </c>
      <c r="Z205" s="22" t="s">
        <v>53</v>
      </c>
      <c r="AA205" s="22" t="s">
        <v>53</v>
      </c>
      <c r="AB205" t="s">
        <v>53</v>
      </c>
      <c r="AC205" t="s">
        <v>53</v>
      </c>
      <c r="AD205" t="s">
        <v>53</v>
      </c>
      <c r="AE205" t="s">
        <v>53</v>
      </c>
      <c r="AF205" s="22" t="s">
        <v>53</v>
      </c>
      <c r="AG205" s="22" t="s">
        <v>53</v>
      </c>
      <c r="AH205" s="22" t="s">
        <v>53</v>
      </c>
      <c r="AI205" s="22" t="s">
        <v>53</v>
      </c>
      <c r="AJ205">
        <v>0</v>
      </c>
      <c r="AK205">
        <v>0</v>
      </c>
      <c r="AL205">
        <v>5</v>
      </c>
      <c r="AM205">
        <v>1</v>
      </c>
      <c r="AN205" s="22" t="s">
        <v>53</v>
      </c>
      <c r="AO205" s="22" t="s">
        <v>53</v>
      </c>
      <c r="AP205" s="22">
        <v>0</v>
      </c>
      <c r="AQ205" s="22">
        <v>0</v>
      </c>
      <c r="AR205" s="35">
        <v>0</v>
      </c>
      <c r="AS205" s="35">
        <v>0</v>
      </c>
      <c r="AT205" s="35">
        <v>0</v>
      </c>
      <c r="AU205" s="31" t="str">
        <f t="shared" si="7"/>
        <v>库存为0</v>
      </c>
      <c r="AV205" s="36" t="str">
        <f>IFERROR(时间!$B$4+AU205,"上周无销量")</f>
        <v>上周无销量</v>
      </c>
    </row>
    <row r="206" spans="1:48">
      <c r="A206" s="20" t="s">
        <v>527</v>
      </c>
      <c r="B206" t="s">
        <v>528</v>
      </c>
      <c r="C206" t="s">
        <v>526</v>
      </c>
      <c r="D206" s="31">
        <v>0</v>
      </c>
      <c r="E206" s="31">
        <v>0</v>
      </c>
      <c r="F206" s="31">
        <v>0</v>
      </c>
      <c r="G206" s="31">
        <v>0</v>
      </c>
      <c r="H206" s="32">
        <v>0</v>
      </c>
      <c r="I206">
        <v>0</v>
      </c>
      <c r="J206" s="33">
        <v>0</v>
      </c>
      <c r="K206" s="33">
        <v>0</v>
      </c>
      <c r="L206" s="33">
        <v>0</v>
      </c>
      <c r="M206">
        <v>0</v>
      </c>
      <c r="N206">
        <v>0</v>
      </c>
      <c r="O206">
        <v>0</v>
      </c>
      <c r="P206" t="s">
        <v>53</v>
      </c>
      <c r="Q206" t="s">
        <v>53</v>
      </c>
      <c r="R206" t="s">
        <v>53</v>
      </c>
      <c r="S206" t="s">
        <v>53</v>
      </c>
      <c r="T206" t="s">
        <v>53</v>
      </c>
      <c r="U206" t="s">
        <v>53</v>
      </c>
      <c r="V206" t="s">
        <v>53</v>
      </c>
      <c r="W206" t="s">
        <v>53</v>
      </c>
      <c r="X206" s="22" t="s">
        <v>53</v>
      </c>
      <c r="Y206" s="22" t="s">
        <v>53</v>
      </c>
      <c r="Z206" s="22" t="s">
        <v>53</v>
      </c>
      <c r="AA206" s="22" t="s">
        <v>53</v>
      </c>
      <c r="AB206" t="s">
        <v>53</v>
      </c>
      <c r="AC206" t="s">
        <v>53</v>
      </c>
      <c r="AD206" t="s">
        <v>53</v>
      </c>
      <c r="AE206" t="s">
        <v>53</v>
      </c>
      <c r="AF206" s="22" t="s">
        <v>53</v>
      </c>
      <c r="AG206" s="22" t="s">
        <v>53</v>
      </c>
      <c r="AH206" s="22" t="s">
        <v>53</v>
      </c>
      <c r="AI206" s="22" t="s">
        <v>53</v>
      </c>
      <c r="AJ206">
        <v>0</v>
      </c>
      <c r="AK206">
        <v>0</v>
      </c>
      <c r="AL206">
        <v>5</v>
      </c>
      <c r="AM206">
        <v>1</v>
      </c>
      <c r="AN206" s="22" t="s">
        <v>53</v>
      </c>
      <c r="AO206" s="22" t="s">
        <v>53</v>
      </c>
      <c r="AP206" s="22">
        <v>0</v>
      </c>
      <c r="AQ206" s="22">
        <v>0</v>
      </c>
      <c r="AR206" s="35">
        <v>0</v>
      </c>
      <c r="AS206" s="35">
        <v>0</v>
      </c>
      <c r="AT206" s="35">
        <v>0</v>
      </c>
      <c r="AU206" s="31" t="str">
        <f t="shared" si="7"/>
        <v>库存为0</v>
      </c>
      <c r="AV206" s="36" t="str">
        <f>IFERROR(时间!$B$4+AU206,"上周无销量")</f>
        <v>上周无销量</v>
      </c>
    </row>
    <row r="207" spans="1:48">
      <c r="A207" s="20" t="s">
        <v>529</v>
      </c>
      <c r="B207" t="s">
        <v>530</v>
      </c>
      <c r="C207" t="s">
        <v>526</v>
      </c>
      <c r="D207" s="31">
        <v>0</v>
      </c>
      <c r="E207" s="31">
        <v>0</v>
      </c>
      <c r="F207" s="31">
        <v>0</v>
      </c>
      <c r="G207" s="31">
        <v>0</v>
      </c>
      <c r="H207" s="32">
        <v>0</v>
      </c>
      <c r="I207">
        <v>0</v>
      </c>
      <c r="J207" s="33">
        <v>0</v>
      </c>
      <c r="K207" s="33">
        <v>0</v>
      </c>
      <c r="L207" s="33">
        <v>0</v>
      </c>
      <c r="M207">
        <v>0</v>
      </c>
      <c r="N207">
        <v>0</v>
      </c>
      <c r="O207">
        <v>0</v>
      </c>
      <c r="P207" t="s">
        <v>53</v>
      </c>
      <c r="Q207" t="s">
        <v>53</v>
      </c>
      <c r="R207" t="s">
        <v>53</v>
      </c>
      <c r="S207" t="s">
        <v>53</v>
      </c>
      <c r="T207" t="s">
        <v>53</v>
      </c>
      <c r="U207" t="s">
        <v>53</v>
      </c>
      <c r="V207" t="s">
        <v>53</v>
      </c>
      <c r="W207" t="s">
        <v>53</v>
      </c>
      <c r="X207" s="22" t="s">
        <v>53</v>
      </c>
      <c r="Y207" s="22" t="s">
        <v>53</v>
      </c>
      <c r="Z207" s="22" t="s">
        <v>53</v>
      </c>
      <c r="AA207" s="22" t="s">
        <v>53</v>
      </c>
      <c r="AB207" t="s">
        <v>53</v>
      </c>
      <c r="AC207" t="s">
        <v>53</v>
      </c>
      <c r="AD207" t="s">
        <v>53</v>
      </c>
      <c r="AE207" t="s">
        <v>53</v>
      </c>
      <c r="AF207" s="22" t="s">
        <v>53</v>
      </c>
      <c r="AG207" s="22" t="s">
        <v>53</v>
      </c>
      <c r="AH207" s="22" t="s">
        <v>53</v>
      </c>
      <c r="AI207" s="22" t="s">
        <v>53</v>
      </c>
      <c r="AJ207">
        <v>0</v>
      </c>
      <c r="AK207">
        <v>0</v>
      </c>
      <c r="AL207">
        <v>2</v>
      </c>
      <c r="AM207">
        <v>1</v>
      </c>
      <c r="AN207" s="22" t="s">
        <v>53</v>
      </c>
      <c r="AO207" s="22" t="s">
        <v>53</v>
      </c>
      <c r="AP207" s="22">
        <v>0</v>
      </c>
      <c r="AQ207" s="22">
        <v>0</v>
      </c>
      <c r="AR207" s="35">
        <v>0</v>
      </c>
      <c r="AS207" s="35">
        <v>0</v>
      </c>
      <c r="AT207" s="35">
        <v>0</v>
      </c>
      <c r="AU207" s="31" t="str">
        <f t="shared" si="7"/>
        <v>库存为0</v>
      </c>
      <c r="AV207" s="36" t="str">
        <f>IFERROR(时间!$B$4+AU207,"上周无销量")</f>
        <v>上周无销量</v>
      </c>
    </row>
    <row r="208" spans="1:48">
      <c r="A208" s="20" t="s">
        <v>531</v>
      </c>
      <c r="B208" t="s">
        <v>532</v>
      </c>
      <c r="C208" t="s">
        <v>526</v>
      </c>
      <c r="D208" s="31">
        <v>0</v>
      </c>
      <c r="E208" s="31">
        <v>0</v>
      </c>
      <c r="F208" s="31">
        <v>0</v>
      </c>
      <c r="G208" s="31">
        <v>0</v>
      </c>
      <c r="H208" s="32">
        <v>0</v>
      </c>
      <c r="I208">
        <v>0</v>
      </c>
      <c r="J208" s="33">
        <v>0</v>
      </c>
      <c r="K208" s="33">
        <v>0</v>
      </c>
      <c r="L208" s="33">
        <v>0</v>
      </c>
      <c r="M208">
        <v>0</v>
      </c>
      <c r="N208">
        <v>0</v>
      </c>
      <c r="O208">
        <v>0</v>
      </c>
      <c r="P208" t="s">
        <v>53</v>
      </c>
      <c r="Q208" t="s">
        <v>53</v>
      </c>
      <c r="R208" t="s">
        <v>53</v>
      </c>
      <c r="S208" t="s">
        <v>53</v>
      </c>
      <c r="T208" t="s">
        <v>53</v>
      </c>
      <c r="U208" t="s">
        <v>53</v>
      </c>
      <c r="V208" t="s">
        <v>53</v>
      </c>
      <c r="W208" t="s">
        <v>53</v>
      </c>
      <c r="X208" s="22" t="s">
        <v>53</v>
      </c>
      <c r="Y208" s="22" t="s">
        <v>53</v>
      </c>
      <c r="Z208" s="22" t="s">
        <v>53</v>
      </c>
      <c r="AA208" s="22" t="s">
        <v>53</v>
      </c>
      <c r="AB208" t="s">
        <v>53</v>
      </c>
      <c r="AC208" t="s">
        <v>53</v>
      </c>
      <c r="AD208" t="s">
        <v>53</v>
      </c>
      <c r="AE208" t="s">
        <v>53</v>
      </c>
      <c r="AF208" s="22" t="s">
        <v>53</v>
      </c>
      <c r="AG208" s="22" t="s">
        <v>53</v>
      </c>
      <c r="AH208" s="22" t="s">
        <v>53</v>
      </c>
      <c r="AI208" s="22" t="s">
        <v>53</v>
      </c>
      <c r="AJ208">
        <v>0</v>
      </c>
      <c r="AK208">
        <v>0</v>
      </c>
      <c r="AL208">
        <v>1</v>
      </c>
      <c r="AM208">
        <v>1</v>
      </c>
      <c r="AN208" s="22" t="s">
        <v>53</v>
      </c>
      <c r="AO208" s="22" t="s">
        <v>53</v>
      </c>
      <c r="AP208" s="22">
        <v>0</v>
      </c>
      <c r="AQ208" s="22">
        <v>0</v>
      </c>
      <c r="AR208" s="35">
        <v>0</v>
      </c>
      <c r="AS208" s="35">
        <v>0</v>
      </c>
      <c r="AT208" s="35">
        <v>0</v>
      </c>
      <c r="AU208" s="31" t="str">
        <f t="shared" si="7"/>
        <v>库存为0</v>
      </c>
      <c r="AV208" s="36" t="str">
        <f>IFERROR(时间!$B$4+AU208,"上周无销量")</f>
        <v>上周无销量</v>
      </c>
    </row>
    <row r="209" spans="1:48">
      <c r="A209" s="20" t="s">
        <v>533</v>
      </c>
      <c r="B209" t="s">
        <v>534</v>
      </c>
      <c r="C209" t="s">
        <v>526</v>
      </c>
      <c r="D209" s="31">
        <v>0</v>
      </c>
      <c r="E209" s="31">
        <v>0</v>
      </c>
      <c r="F209" s="31">
        <v>0</v>
      </c>
      <c r="G209" s="31">
        <v>0</v>
      </c>
      <c r="H209" s="32">
        <v>0</v>
      </c>
      <c r="I209">
        <v>0</v>
      </c>
      <c r="J209" s="33">
        <v>0</v>
      </c>
      <c r="K209" s="33">
        <v>0</v>
      </c>
      <c r="L209" s="33">
        <v>0</v>
      </c>
      <c r="M209">
        <v>0</v>
      </c>
      <c r="N209">
        <v>0</v>
      </c>
      <c r="O209">
        <v>0</v>
      </c>
      <c r="P209" t="s">
        <v>53</v>
      </c>
      <c r="Q209" t="s">
        <v>53</v>
      </c>
      <c r="R209" t="s">
        <v>53</v>
      </c>
      <c r="S209" t="s">
        <v>53</v>
      </c>
      <c r="T209" t="s">
        <v>53</v>
      </c>
      <c r="U209" t="s">
        <v>53</v>
      </c>
      <c r="V209" t="s">
        <v>53</v>
      </c>
      <c r="W209" t="s">
        <v>53</v>
      </c>
      <c r="X209" s="22" t="s">
        <v>53</v>
      </c>
      <c r="Y209" s="22" t="s">
        <v>53</v>
      </c>
      <c r="Z209" s="22" t="s">
        <v>53</v>
      </c>
      <c r="AA209" s="22" t="s">
        <v>53</v>
      </c>
      <c r="AB209" t="s">
        <v>53</v>
      </c>
      <c r="AC209" t="s">
        <v>53</v>
      </c>
      <c r="AD209" t="s">
        <v>53</v>
      </c>
      <c r="AE209" t="s">
        <v>53</v>
      </c>
      <c r="AF209" s="22" t="s">
        <v>53</v>
      </c>
      <c r="AG209" s="22" t="s">
        <v>53</v>
      </c>
      <c r="AH209" s="22" t="s">
        <v>53</v>
      </c>
      <c r="AI209" s="22" t="s">
        <v>53</v>
      </c>
      <c r="AJ209">
        <v>0</v>
      </c>
      <c r="AK209">
        <v>0</v>
      </c>
      <c r="AL209">
        <v>4</v>
      </c>
      <c r="AM209">
        <v>1</v>
      </c>
      <c r="AN209" s="22" t="s">
        <v>53</v>
      </c>
      <c r="AO209" s="22" t="s">
        <v>53</v>
      </c>
      <c r="AP209" s="22">
        <v>0</v>
      </c>
      <c r="AQ209" s="22">
        <v>0</v>
      </c>
      <c r="AR209" s="35">
        <v>0</v>
      </c>
      <c r="AS209" s="35">
        <v>0</v>
      </c>
      <c r="AT209" s="35">
        <v>0</v>
      </c>
      <c r="AU209" s="31" t="str">
        <f t="shared" si="7"/>
        <v>库存为0</v>
      </c>
      <c r="AV209" s="36" t="str">
        <f>IFERROR(时间!$B$4+AU209,"上周无销量")</f>
        <v>上周无销量</v>
      </c>
    </row>
    <row r="210" spans="1:48">
      <c r="A210" s="20" t="s">
        <v>535</v>
      </c>
      <c r="B210" t="s">
        <v>536</v>
      </c>
      <c r="C210" t="s">
        <v>526</v>
      </c>
      <c r="D210" s="31">
        <v>0</v>
      </c>
      <c r="E210" s="31">
        <v>0</v>
      </c>
      <c r="F210" s="31">
        <v>0</v>
      </c>
      <c r="G210" s="31">
        <v>0</v>
      </c>
      <c r="H210" s="32">
        <v>0</v>
      </c>
      <c r="I210">
        <v>0</v>
      </c>
      <c r="J210" s="33">
        <v>0</v>
      </c>
      <c r="K210" s="33">
        <v>0</v>
      </c>
      <c r="L210" s="33">
        <v>0</v>
      </c>
      <c r="M210">
        <v>0</v>
      </c>
      <c r="N210">
        <v>0</v>
      </c>
      <c r="O210">
        <v>0</v>
      </c>
      <c r="P210" t="s">
        <v>53</v>
      </c>
      <c r="Q210" t="s">
        <v>53</v>
      </c>
      <c r="R210" t="s">
        <v>53</v>
      </c>
      <c r="S210" t="s">
        <v>53</v>
      </c>
      <c r="T210" t="s">
        <v>53</v>
      </c>
      <c r="U210" t="s">
        <v>53</v>
      </c>
      <c r="V210" t="s">
        <v>53</v>
      </c>
      <c r="W210" t="s">
        <v>53</v>
      </c>
      <c r="X210" s="22" t="s">
        <v>53</v>
      </c>
      <c r="Y210" s="22" t="s">
        <v>53</v>
      </c>
      <c r="Z210" s="22" t="s">
        <v>53</v>
      </c>
      <c r="AA210" s="22" t="s">
        <v>53</v>
      </c>
      <c r="AB210" t="s">
        <v>53</v>
      </c>
      <c r="AC210" t="s">
        <v>53</v>
      </c>
      <c r="AD210" t="s">
        <v>53</v>
      </c>
      <c r="AE210" t="s">
        <v>53</v>
      </c>
      <c r="AF210" s="22" t="s">
        <v>53</v>
      </c>
      <c r="AG210" s="22" t="s">
        <v>53</v>
      </c>
      <c r="AH210" s="22" t="s">
        <v>53</v>
      </c>
      <c r="AI210" s="22" t="s">
        <v>53</v>
      </c>
      <c r="AJ210">
        <v>0</v>
      </c>
      <c r="AK210">
        <v>0</v>
      </c>
      <c r="AL210">
        <v>5</v>
      </c>
      <c r="AM210">
        <v>1</v>
      </c>
      <c r="AN210" s="22" t="s">
        <v>53</v>
      </c>
      <c r="AO210" s="22" t="s">
        <v>53</v>
      </c>
      <c r="AP210" s="22">
        <v>0</v>
      </c>
      <c r="AQ210" s="22">
        <v>0</v>
      </c>
      <c r="AR210" s="35">
        <v>0</v>
      </c>
      <c r="AS210" s="35">
        <v>0</v>
      </c>
      <c r="AT210" s="35">
        <v>0</v>
      </c>
      <c r="AU210" s="31" t="str">
        <f t="shared" si="7"/>
        <v>库存为0</v>
      </c>
      <c r="AV210" s="36" t="str">
        <f>IFERROR(时间!$B$4+AU210,"上周无销量")</f>
        <v>上周无销量</v>
      </c>
    </row>
    <row r="211" spans="1:48">
      <c r="A211" s="20" t="s">
        <v>537</v>
      </c>
      <c r="B211" t="s">
        <v>538</v>
      </c>
      <c r="C211" t="s">
        <v>526</v>
      </c>
      <c r="D211" s="31">
        <v>0</v>
      </c>
      <c r="E211" s="31">
        <v>0</v>
      </c>
      <c r="F211" s="31">
        <v>0</v>
      </c>
      <c r="G211" s="31">
        <v>0</v>
      </c>
      <c r="H211" s="32">
        <v>0</v>
      </c>
      <c r="I211">
        <v>0</v>
      </c>
      <c r="J211" s="33">
        <v>0</v>
      </c>
      <c r="K211" s="33">
        <v>0</v>
      </c>
      <c r="L211" s="33">
        <v>0</v>
      </c>
      <c r="M211">
        <v>0</v>
      </c>
      <c r="N211">
        <v>0</v>
      </c>
      <c r="O211">
        <v>0</v>
      </c>
      <c r="P211" t="s">
        <v>53</v>
      </c>
      <c r="Q211" t="s">
        <v>53</v>
      </c>
      <c r="R211" t="s">
        <v>53</v>
      </c>
      <c r="S211" t="s">
        <v>53</v>
      </c>
      <c r="T211" t="s">
        <v>53</v>
      </c>
      <c r="U211" t="s">
        <v>53</v>
      </c>
      <c r="V211" t="s">
        <v>53</v>
      </c>
      <c r="W211" t="s">
        <v>53</v>
      </c>
      <c r="X211" s="22" t="s">
        <v>53</v>
      </c>
      <c r="Y211" s="22" t="s">
        <v>53</v>
      </c>
      <c r="Z211" s="22" t="s">
        <v>53</v>
      </c>
      <c r="AA211" s="22" t="s">
        <v>53</v>
      </c>
      <c r="AB211" t="s">
        <v>53</v>
      </c>
      <c r="AC211" t="s">
        <v>53</v>
      </c>
      <c r="AD211" t="s">
        <v>53</v>
      </c>
      <c r="AE211" t="s">
        <v>53</v>
      </c>
      <c r="AF211" s="22" t="s">
        <v>53</v>
      </c>
      <c r="AG211" s="22" t="s">
        <v>53</v>
      </c>
      <c r="AH211" s="22" t="s">
        <v>53</v>
      </c>
      <c r="AI211" s="22" t="s">
        <v>53</v>
      </c>
      <c r="AJ211">
        <v>0</v>
      </c>
      <c r="AK211">
        <v>0</v>
      </c>
      <c r="AL211">
        <v>5</v>
      </c>
      <c r="AM211">
        <v>2</v>
      </c>
      <c r="AN211" s="22" t="s">
        <v>53</v>
      </c>
      <c r="AO211" s="22" t="s">
        <v>53</v>
      </c>
      <c r="AP211" s="22">
        <v>0</v>
      </c>
      <c r="AQ211" s="22">
        <v>0</v>
      </c>
      <c r="AR211" s="35">
        <v>0</v>
      </c>
      <c r="AS211" s="35">
        <v>0</v>
      </c>
      <c r="AT211" s="35">
        <v>0</v>
      </c>
      <c r="AU211" s="31" t="str">
        <f t="shared" si="7"/>
        <v>库存为0</v>
      </c>
      <c r="AV211" s="36" t="str">
        <f>IFERROR(时间!$B$4+AU211,"上周无销量")</f>
        <v>上周无销量</v>
      </c>
    </row>
    <row r="212" spans="1:48">
      <c r="A212" s="20" t="s">
        <v>539</v>
      </c>
      <c r="B212" t="s">
        <v>540</v>
      </c>
      <c r="C212" t="s">
        <v>526</v>
      </c>
      <c r="D212" s="31">
        <v>0</v>
      </c>
      <c r="E212" s="31">
        <v>0</v>
      </c>
      <c r="F212" s="31">
        <v>0</v>
      </c>
      <c r="G212" s="31">
        <v>0</v>
      </c>
      <c r="H212" s="32">
        <v>0</v>
      </c>
      <c r="I212">
        <v>0</v>
      </c>
      <c r="J212" s="33">
        <v>0</v>
      </c>
      <c r="K212" s="33">
        <v>0</v>
      </c>
      <c r="L212" s="33">
        <v>0</v>
      </c>
      <c r="M212">
        <v>0</v>
      </c>
      <c r="N212">
        <v>0</v>
      </c>
      <c r="O212">
        <v>0</v>
      </c>
      <c r="P212" t="s">
        <v>53</v>
      </c>
      <c r="Q212" t="s">
        <v>53</v>
      </c>
      <c r="R212" t="s">
        <v>53</v>
      </c>
      <c r="S212" t="s">
        <v>53</v>
      </c>
      <c r="T212" t="s">
        <v>53</v>
      </c>
      <c r="U212" t="s">
        <v>53</v>
      </c>
      <c r="V212" t="s">
        <v>53</v>
      </c>
      <c r="W212" t="s">
        <v>53</v>
      </c>
      <c r="X212" s="22" t="s">
        <v>53</v>
      </c>
      <c r="Y212" s="22" t="s">
        <v>53</v>
      </c>
      <c r="Z212" s="22" t="s">
        <v>53</v>
      </c>
      <c r="AA212" s="22" t="s">
        <v>53</v>
      </c>
      <c r="AB212" t="s">
        <v>53</v>
      </c>
      <c r="AC212" t="s">
        <v>53</v>
      </c>
      <c r="AD212" t="s">
        <v>53</v>
      </c>
      <c r="AE212" t="s">
        <v>53</v>
      </c>
      <c r="AF212" s="22" t="s">
        <v>53</v>
      </c>
      <c r="AG212" s="22" t="s">
        <v>53</v>
      </c>
      <c r="AH212" s="22" t="s">
        <v>53</v>
      </c>
      <c r="AI212" s="22" t="s">
        <v>53</v>
      </c>
      <c r="AJ212">
        <v>0</v>
      </c>
      <c r="AK212">
        <v>0</v>
      </c>
      <c r="AL212">
        <v>8</v>
      </c>
      <c r="AM212">
        <v>2</v>
      </c>
      <c r="AN212" s="22" t="s">
        <v>53</v>
      </c>
      <c r="AO212" s="22" t="s">
        <v>53</v>
      </c>
      <c r="AP212" s="22">
        <v>0</v>
      </c>
      <c r="AQ212" s="22">
        <v>0</v>
      </c>
      <c r="AR212" s="35">
        <v>0</v>
      </c>
      <c r="AS212" s="35">
        <v>0</v>
      </c>
      <c r="AT212" s="35">
        <v>0</v>
      </c>
      <c r="AU212" s="31" t="str">
        <f t="shared" si="7"/>
        <v>库存为0</v>
      </c>
      <c r="AV212" s="36" t="str">
        <f>IFERROR(时间!$B$4+AU212,"上周无销量")</f>
        <v>上周无销量</v>
      </c>
    </row>
    <row r="213" spans="1:48">
      <c r="A213" s="20" t="s">
        <v>541</v>
      </c>
      <c r="B213" t="s">
        <v>542</v>
      </c>
      <c r="C213" t="s">
        <v>543</v>
      </c>
      <c r="D213" s="31">
        <v>0</v>
      </c>
      <c r="E213" s="31">
        <v>0</v>
      </c>
      <c r="F213" s="31">
        <v>0</v>
      </c>
      <c r="G213" s="31">
        <v>0</v>
      </c>
      <c r="H213" s="32">
        <v>0</v>
      </c>
      <c r="I213">
        <v>0</v>
      </c>
      <c r="J213" s="33">
        <v>0</v>
      </c>
      <c r="K213" s="33">
        <v>0</v>
      </c>
      <c r="L213" s="33">
        <v>0</v>
      </c>
      <c r="M213">
        <v>0</v>
      </c>
      <c r="N213">
        <v>0</v>
      </c>
      <c r="O213">
        <v>0</v>
      </c>
      <c r="P213" t="s">
        <v>53</v>
      </c>
      <c r="Q213" t="s">
        <v>53</v>
      </c>
      <c r="R213" t="s">
        <v>53</v>
      </c>
      <c r="S213" t="s">
        <v>53</v>
      </c>
      <c r="T213" t="s">
        <v>53</v>
      </c>
      <c r="U213" t="s">
        <v>53</v>
      </c>
      <c r="V213" t="s">
        <v>53</v>
      </c>
      <c r="W213" t="s">
        <v>53</v>
      </c>
      <c r="X213" s="22" t="s">
        <v>53</v>
      </c>
      <c r="Y213" s="22" t="s">
        <v>53</v>
      </c>
      <c r="Z213" s="22" t="s">
        <v>53</v>
      </c>
      <c r="AA213" s="22" t="s">
        <v>53</v>
      </c>
      <c r="AB213" t="s">
        <v>53</v>
      </c>
      <c r="AC213" t="s">
        <v>53</v>
      </c>
      <c r="AD213" t="s">
        <v>53</v>
      </c>
      <c r="AE213" t="s">
        <v>53</v>
      </c>
      <c r="AF213" s="22" t="s">
        <v>53</v>
      </c>
      <c r="AG213" s="22" t="s">
        <v>53</v>
      </c>
      <c r="AH213" s="22" t="s">
        <v>53</v>
      </c>
      <c r="AI213" s="22" t="s">
        <v>53</v>
      </c>
      <c r="AJ213">
        <v>0</v>
      </c>
      <c r="AK213">
        <v>0</v>
      </c>
      <c r="AL213">
        <v>0</v>
      </c>
      <c r="AM213">
        <v>0</v>
      </c>
      <c r="AN213" s="22" t="s">
        <v>53</v>
      </c>
      <c r="AO213" s="22" t="s">
        <v>53</v>
      </c>
      <c r="AP213" s="22" t="s">
        <v>53</v>
      </c>
      <c r="AQ213" s="22" t="s">
        <v>53</v>
      </c>
      <c r="AR213" s="35">
        <v>0</v>
      </c>
      <c r="AS213" s="35">
        <v>0</v>
      </c>
      <c r="AT213" s="35">
        <v>0</v>
      </c>
      <c r="AU213" s="31" t="str">
        <f t="shared" si="7"/>
        <v>库存为0</v>
      </c>
      <c r="AV213" s="36" t="str">
        <f>IFERROR(时间!$B$4+AU213,"上周无销量")</f>
        <v>上周无销量</v>
      </c>
    </row>
    <row r="214" spans="1:48">
      <c r="A214" s="20" t="s">
        <v>544</v>
      </c>
      <c r="B214" t="s">
        <v>545</v>
      </c>
      <c r="C214" t="s">
        <v>543</v>
      </c>
      <c r="D214" s="31">
        <v>0</v>
      </c>
      <c r="E214" s="31">
        <v>0</v>
      </c>
      <c r="F214" s="31">
        <v>0</v>
      </c>
      <c r="G214" s="31">
        <v>0</v>
      </c>
      <c r="H214" s="32">
        <v>0</v>
      </c>
      <c r="I214">
        <v>3</v>
      </c>
      <c r="J214" s="33">
        <v>0</v>
      </c>
      <c r="K214" s="33">
        <v>0</v>
      </c>
      <c r="L214" s="33">
        <v>0</v>
      </c>
      <c r="M214">
        <v>3</v>
      </c>
      <c r="N214">
        <v>0</v>
      </c>
      <c r="O214">
        <v>2</v>
      </c>
      <c r="P214">
        <v>0</v>
      </c>
      <c r="Q214">
        <v>3</v>
      </c>
      <c r="R214">
        <v>7</v>
      </c>
      <c r="S214">
        <v>4</v>
      </c>
      <c r="T214">
        <v>0</v>
      </c>
      <c r="U214">
        <v>0</v>
      </c>
      <c r="V214">
        <v>0</v>
      </c>
      <c r="W214">
        <v>0</v>
      </c>
      <c r="X214" s="22" t="s">
        <v>53</v>
      </c>
      <c r="Y214" s="22">
        <v>0</v>
      </c>
      <c r="Z214" s="22">
        <v>0</v>
      </c>
      <c r="AA214" s="22">
        <v>0</v>
      </c>
      <c r="AB214">
        <v>0</v>
      </c>
      <c r="AC214">
        <v>0</v>
      </c>
      <c r="AD214">
        <v>0</v>
      </c>
      <c r="AE214">
        <v>0</v>
      </c>
      <c r="AF214" s="22" t="s">
        <v>53</v>
      </c>
      <c r="AG214" s="22" t="s">
        <v>53</v>
      </c>
      <c r="AH214" s="22" t="s">
        <v>53</v>
      </c>
      <c r="AI214" s="22" t="s">
        <v>53</v>
      </c>
      <c r="AJ214">
        <v>4</v>
      </c>
      <c r="AK214">
        <v>2</v>
      </c>
      <c r="AL214">
        <v>1</v>
      </c>
      <c r="AM214">
        <v>2</v>
      </c>
      <c r="AN214" s="22">
        <v>0</v>
      </c>
      <c r="AO214" s="22">
        <v>0</v>
      </c>
      <c r="AP214" s="22">
        <v>0</v>
      </c>
      <c r="AQ214" s="22">
        <v>0</v>
      </c>
      <c r="AR214" s="35">
        <v>0</v>
      </c>
      <c r="AS214" s="35">
        <v>0</v>
      </c>
      <c r="AT214" s="35">
        <v>3</v>
      </c>
      <c r="AU214" s="31" t="str">
        <f t="shared" si="7"/>
        <v>库存为3</v>
      </c>
      <c r="AV214" s="36" t="str">
        <f>IFERROR(时间!$B$4+AU214,"上周无销量")</f>
        <v>上周无销量</v>
      </c>
    </row>
    <row r="215" spans="1:48">
      <c r="A215" s="20" t="s">
        <v>546</v>
      </c>
      <c r="B215" t="s">
        <v>547</v>
      </c>
      <c r="C215" t="s">
        <v>543</v>
      </c>
      <c r="D215" s="31">
        <v>0</v>
      </c>
      <c r="E215" s="31">
        <v>0</v>
      </c>
      <c r="F215" s="31">
        <v>0</v>
      </c>
      <c r="G215" s="31">
        <v>0</v>
      </c>
      <c r="H215" s="32">
        <v>0</v>
      </c>
      <c r="I215">
        <v>0</v>
      </c>
      <c r="J215" s="33">
        <v>0</v>
      </c>
      <c r="K215" s="33">
        <v>0</v>
      </c>
      <c r="L215" s="33">
        <v>0</v>
      </c>
      <c r="M215">
        <v>0</v>
      </c>
      <c r="N215">
        <v>0</v>
      </c>
      <c r="O215">
        <v>0</v>
      </c>
      <c r="P215" t="s">
        <v>53</v>
      </c>
      <c r="Q215" t="s">
        <v>53</v>
      </c>
      <c r="R215" t="s">
        <v>53</v>
      </c>
      <c r="S215" t="s">
        <v>53</v>
      </c>
      <c r="T215" t="s">
        <v>53</v>
      </c>
      <c r="U215" t="s">
        <v>53</v>
      </c>
      <c r="V215" t="s">
        <v>53</v>
      </c>
      <c r="W215" t="s">
        <v>53</v>
      </c>
      <c r="X215" s="22" t="s">
        <v>53</v>
      </c>
      <c r="Y215" s="22" t="s">
        <v>53</v>
      </c>
      <c r="Z215" s="22" t="s">
        <v>53</v>
      </c>
      <c r="AA215" s="22" t="s">
        <v>53</v>
      </c>
      <c r="AB215" t="s">
        <v>53</v>
      </c>
      <c r="AC215" t="s">
        <v>53</v>
      </c>
      <c r="AD215" t="s">
        <v>53</v>
      </c>
      <c r="AE215" t="s">
        <v>53</v>
      </c>
      <c r="AF215" s="22" t="s">
        <v>53</v>
      </c>
      <c r="AG215" s="22" t="s">
        <v>53</v>
      </c>
      <c r="AH215" s="22" t="s">
        <v>53</v>
      </c>
      <c r="AI215" s="22" t="s">
        <v>53</v>
      </c>
      <c r="AJ215">
        <v>0</v>
      </c>
      <c r="AK215">
        <v>0</v>
      </c>
      <c r="AL215">
        <v>0</v>
      </c>
      <c r="AM215">
        <v>0</v>
      </c>
      <c r="AN215" s="22" t="s">
        <v>53</v>
      </c>
      <c r="AO215" s="22" t="s">
        <v>53</v>
      </c>
      <c r="AP215" s="22" t="s">
        <v>53</v>
      </c>
      <c r="AQ215" s="22" t="s">
        <v>53</v>
      </c>
      <c r="AR215" s="35">
        <v>0</v>
      </c>
      <c r="AS215" s="35">
        <v>0</v>
      </c>
      <c r="AT215" s="35">
        <v>0</v>
      </c>
      <c r="AU215" s="31" t="str">
        <f t="shared" si="7"/>
        <v>库存为0</v>
      </c>
      <c r="AV215" s="36" t="str">
        <f>IFERROR(时间!$B$4+AU215,"上周无销量")</f>
        <v>上周无销量</v>
      </c>
    </row>
    <row r="216" spans="1:48">
      <c r="A216" s="20" t="s">
        <v>548</v>
      </c>
      <c r="B216" t="s">
        <v>549</v>
      </c>
      <c r="C216" t="s">
        <v>543</v>
      </c>
      <c r="D216" s="31">
        <v>0</v>
      </c>
      <c r="E216" s="31">
        <v>0</v>
      </c>
      <c r="F216" s="31">
        <v>0</v>
      </c>
      <c r="G216" s="31">
        <v>0</v>
      </c>
      <c r="H216" s="32">
        <v>0</v>
      </c>
      <c r="I216">
        <v>3</v>
      </c>
      <c r="J216" s="33">
        <v>0</v>
      </c>
      <c r="K216" s="33">
        <v>0</v>
      </c>
      <c r="L216" s="33">
        <v>0</v>
      </c>
      <c r="M216">
        <v>3</v>
      </c>
      <c r="N216">
        <v>0</v>
      </c>
      <c r="O216">
        <v>3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 s="22" t="s">
        <v>53</v>
      </c>
      <c r="Y216" s="22" t="s">
        <v>53</v>
      </c>
      <c r="Z216" s="22" t="s">
        <v>53</v>
      </c>
      <c r="AA216" s="22" t="s">
        <v>53</v>
      </c>
      <c r="AB216">
        <v>0</v>
      </c>
      <c r="AC216">
        <v>0</v>
      </c>
      <c r="AD216">
        <v>0</v>
      </c>
      <c r="AE216">
        <v>0</v>
      </c>
      <c r="AF216" s="22" t="s">
        <v>53</v>
      </c>
      <c r="AG216" s="22" t="s">
        <v>53</v>
      </c>
      <c r="AH216" s="22" t="s">
        <v>53</v>
      </c>
      <c r="AI216" s="22" t="s">
        <v>53</v>
      </c>
      <c r="AJ216">
        <v>2</v>
      </c>
      <c r="AK216">
        <v>2</v>
      </c>
      <c r="AL216">
        <v>3</v>
      </c>
      <c r="AM216">
        <v>1</v>
      </c>
      <c r="AN216" s="22">
        <v>0</v>
      </c>
      <c r="AO216" s="22">
        <v>0</v>
      </c>
      <c r="AP216" s="22">
        <v>0</v>
      </c>
      <c r="AQ216" s="22">
        <v>0</v>
      </c>
      <c r="AR216" s="35">
        <v>0</v>
      </c>
      <c r="AS216" s="35">
        <v>0</v>
      </c>
      <c r="AT216" s="35">
        <v>3</v>
      </c>
      <c r="AU216" s="31" t="str">
        <f t="shared" si="7"/>
        <v>库存为3</v>
      </c>
      <c r="AV216" s="36" t="str">
        <f>IFERROR(时间!$B$4+AU216,"上周无销量")</f>
        <v>上周无销量</v>
      </c>
    </row>
    <row r="217" spans="1:48">
      <c r="A217" s="20" t="s">
        <v>550</v>
      </c>
      <c r="B217" t="s">
        <v>551</v>
      </c>
      <c r="C217" t="s">
        <v>543</v>
      </c>
      <c r="D217" s="31">
        <v>0</v>
      </c>
      <c r="E217" s="31">
        <v>0</v>
      </c>
      <c r="F217" s="31">
        <v>0</v>
      </c>
      <c r="G217" s="31">
        <v>0</v>
      </c>
      <c r="H217" s="32">
        <v>0</v>
      </c>
      <c r="I217">
        <v>3</v>
      </c>
      <c r="J217" s="33">
        <v>0</v>
      </c>
      <c r="K217" s="33">
        <v>0</v>
      </c>
      <c r="L217" s="33">
        <v>0</v>
      </c>
      <c r="M217">
        <v>3</v>
      </c>
      <c r="N217">
        <v>0</v>
      </c>
      <c r="O217">
        <v>3</v>
      </c>
      <c r="P217">
        <v>0</v>
      </c>
      <c r="Q217">
        <v>3</v>
      </c>
      <c r="R217">
        <v>7</v>
      </c>
      <c r="S217">
        <v>4</v>
      </c>
      <c r="T217">
        <v>0</v>
      </c>
      <c r="U217">
        <v>0</v>
      </c>
      <c r="V217">
        <v>0</v>
      </c>
      <c r="W217">
        <v>0</v>
      </c>
      <c r="X217" s="22" t="s">
        <v>53</v>
      </c>
      <c r="Y217" s="22">
        <v>0</v>
      </c>
      <c r="Z217" s="22">
        <v>0</v>
      </c>
      <c r="AA217" s="22">
        <v>0</v>
      </c>
      <c r="AB217">
        <v>0</v>
      </c>
      <c r="AC217">
        <v>0</v>
      </c>
      <c r="AD217">
        <v>0</v>
      </c>
      <c r="AE217">
        <v>0</v>
      </c>
      <c r="AF217" s="22" t="s">
        <v>53</v>
      </c>
      <c r="AG217" s="22" t="s">
        <v>53</v>
      </c>
      <c r="AH217" s="22" t="s">
        <v>53</v>
      </c>
      <c r="AI217" s="22" t="s">
        <v>53</v>
      </c>
      <c r="AJ217">
        <v>5</v>
      </c>
      <c r="AK217">
        <v>3</v>
      </c>
      <c r="AL217">
        <v>1</v>
      </c>
      <c r="AM217">
        <v>3</v>
      </c>
      <c r="AN217" s="22">
        <v>0</v>
      </c>
      <c r="AO217" s="22">
        <v>0</v>
      </c>
      <c r="AP217" s="22">
        <v>0</v>
      </c>
      <c r="AQ217" s="22">
        <v>0</v>
      </c>
      <c r="AR217" s="35">
        <v>0</v>
      </c>
      <c r="AS217" s="35">
        <v>0</v>
      </c>
      <c r="AT217" s="35">
        <v>3</v>
      </c>
      <c r="AU217" s="31" t="str">
        <f t="shared" si="7"/>
        <v>库存为3</v>
      </c>
      <c r="AV217" s="36" t="str">
        <f>IFERROR(时间!$B$4+AU217,"上周无销量")</f>
        <v>上周无销量</v>
      </c>
    </row>
    <row r="218" spans="1:48">
      <c r="A218" s="20" t="s">
        <v>552</v>
      </c>
      <c r="B218" t="s">
        <v>553</v>
      </c>
      <c r="C218" t="s">
        <v>554</v>
      </c>
      <c r="D218" s="31">
        <v>0</v>
      </c>
      <c r="E218" s="31">
        <v>1</v>
      </c>
      <c r="F218" s="31">
        <v>0</v>
      </c>
      <c r="G218" s="31">
        <v>0</v>
      </c>
      <c r="H218" s="32">
        <v>12.99</v>
      </c>
      <c r="I218">
        <v>12</v>
      </c>
      <c r="J218" s="33">
        <v>0</v>
      </c>
      <c r="K218" s="33">
        <v>0</v>
      </c>
      <c r="L218" s="33">
        <v>0</v>
      </c>
      <c r="M218">
        <v>12</v>
      </c>
      <c r="N218">
        <v>0</v>
      </c>
      <c r="O218">
        <v>0</v>
      </c>
      <c r="P218">
        <v>0</v>
      </c>
      <c r="Q218">
        <v>21</v>
      </c>
      <c r="R218">
        <v>117</v>
      </c>
      <c r="S218">
        <v>188</v>
      </c>
      <c r="T218">
        <v>0</v>
      </c>
      <c r="U218">
        <v>1</v>
      </c>
      <c r="V218">
        <v>0</v>
      </c>
      <c r="W218">
        <v>1</v>
      </c>
      <c r="X218" s="22" t="s">
        <v>53</v>
      </c>
      <c r="Y218" s="22">
        <v>0.0476190476190476</v>
      </c>
      <c r="Z218" s="22">
        <v>0</v>
      </c>
      <c r="AA218" s="22">
        <v>0.00531914893617021</v>
      </c>
      <c r="AB218">
        <v>0</v>
      </c>
      <c r="AC218">
        <v>0.75</v>
      </c>
      <c r="AD218">
        <v>0</v>
      </c>
      <c r="AE218">
        <v>0.75</v>
      </c>
      <c r="AF218" s="22" t="s">
        <v>53</v>
      </c>
      <c r="AG218" s="22">
        <v>0.0577367205542725</v>
      </c>
      <c r="AH218" s="22" t="s">
        <v>53</v>
      </c>
      <c r="AI218" s="22" t="s">
        <v>555</v>
      </c>
      <c r="AJ218">
        <v>2</v>
      </c>
      <c r="AK218">
        <v>3</v>
      </c>
      <c r="AL218">
        <v>5</v>
      </c>
      <c r="AM218">
        <v>7</v>
      </c>
      <c r="AN218" s="22">
        <v>0</v>
      </c>
      <c r="AO218" s="22">
        <v>0.333333333333333</v>
      </c>
      <c r="AP218" s="22">
        <v>0</v>
      </c>
      <c r="AQ218" s="22">
        <v>0</v>
      </c>
      <c r="AR218" s="35">
        <v>0</v>
      </c>
      <c r="AS218" s="35">
        <v>0</v>
      </c>
      <c r="AT218" s="35">
        <v>12</v>
      </c>
      <c r="AU218" s="31" t="str">
        <f t="shared" si="7"/>
        <v>库存为12</v>
      </c>
      <c r="AV218" s="36" t="str">
        <f>IFERROR(时间!$B$4+AU218,"上周无销量")</f>
        <v>上周无销量</v>
      </c>
    </row>
    <row r="219" spans="1:48">
      <c r="A219" s="20" t="s">
        <v>556</v>
      </c>
      <c r="B219" t="s">
        <v>557</v>
      </c>
      <c r="C219" t="s">
        <v>554</v>
      </c>
      <c r="D219" s="31">
        <v>1</v>
      </c>
      <c r="E219" s="31">
        <v>1</v>
      </c>
      <c r="F219" s="31">
        <v>0</v>
      </c>
      <c r="G219" s="31">
        <v>4</v>
      </c>
      <c r="H219" s="32">
        <v>13.99</v>
      </c>
      <c r="I219">
        <v>7</v>
      </c>
      <c r="J219" s="33">
        <v>0</v>
      </c>
      <c r="K219" s="33">
        <v>0</v>
      </c>
      <c r="L219" s="33">
        <v>0</v>
      </c>
      <c r="M219">
        <v>7</v>
      </c>
      <c r="N219">
        <v>0</v>
      </c>
      <c r="O219">
        <v>0</v>
      </c>
      <c r="P219">
        <v>0</v>
      </c>
      <c r="Q219">
        <v>63</v>
      </c>
      <c r="R219">
        <v>135</v>
      </c>
      <c r="S219">
        <v>74</v>
      </c>
      <c r="T219">
        <v>0</v>
      </c>
      <c r="U219">
        <v>1</v>
      </c>
      <c r="V219">
        <v>0</v>
      </c>
      <c r="W219">
        <v>1</v>
      </c>
      <c r="X219" s="22" t="s">
        <v>53</v>
      </c>
      <c r="Y219" s="22">
        <v>0.0158730158730159</v>
      </c>
      <c r="Z219" s="22">
        <v>0</v>
      </c>
      <c r="AA219" s="22">
        <v>0.0135135135135135</v>
      </c>
      <c r="AB219">
        <v>0</v>
      </c>
      <c r="AC219">
        <v>0.63</v>
      </c>
      <c r="AD219">
        <v>0</v>
      </c>
      <c r="AE219">
        <v>0.58</v>
      </c>
      <c r="AF219" s="22" t="s">
        <v>53</v>
      </c>
      <c r="AG219" s="22">
        <v>0.0450321658327377</v>
      </c>
      <c r="AH219" s="22" t="s">
        <v>53</v>
      </c>
      <c r="AI219" s="22">
        <v>0.0103645461043603</v>
      </c>
      <c r="AJ219">
        <v>12</v>
      </c>
      <c r="AK219">
        <v>6</v>
      </c>
      <c r="AL219">
        <v>12</v>
      </c>
      <c r="AM219">
        <v>9</v>
      </c>
      <c r="AN219" s="22">
        <v>0.0833333333333333</v>
      </c>
      <c r="AO219" s="22">
        <v>0.166666666666667</v>
      </c>
      <c r="AP219" s="22">
        <v>0</v>
      </c>
      <c r="AQ219" s="22">
        <v>0.444444444444444</v>
      </c>
      <c r="AR219" s="35">
        <v>0.142857142857143</v>
      </c>
      <c r="AS219" s="35">
        <v>8.57142857142857</v>
      </c>
      <c r="AT219" s="35">
        <v>-1.57142857142857</v>
      </c>
      <c r="AU219" s="31">
        <f t="shared" si="7"/>
        <v>49</v>
      </c>
      <c r="AV219" s="36">
        <f>IFERROR(时间!$B$4+AU219,"上周无销量")</f>
        <v>43388</v>
      </c>
    </row>
    <row r="220" spans="1:48">
      <c r="A220" s="20" t="s">
        <v>558</v>
      </c>
      <c r="B220" t="s">
        <v>559</v>
      </c>
      <c r="C220" t="s">
        <v>554</v>
      </c>
      <c r="D220" s="31">
        <v>0</v>
      </c>
      <c r="E220" s="31">
        <v>0</v>
      </c>
      <c r="F220" s="31">
        <v>0</v>
      </c>
      <c r="G220" s="31">
        <v>0</v>
      </c>
      <c r="H220" s="32">
        <v>0</v>
      </c>
      <c r="I220">
        <v>0</v>
      </c>
      <c r="J220" s="33">
        <v>0</v>
      </c>
      <c r="K220" s="33">
        <v>0</v>
      </c>
      <c r="L220" s="33">
        <v>0</v>
      </c>
      <c r="M220">
        <v>0</v>
      </c>
      <c r="N220">
        <v>0</v>
      </c>
      <c r="O220">
        <v>0</v>
      </c>
      <c r="P220" t="s">
        <v>53</v>
      </c>
      <c r="Q220" t="s">
        <v>53</v>
      </c>
      <c r="R220" t="s">
        <v>53</v>
      </c>
      <c r="S220" t="s">
        <v>53</v>
      </c>
      <c r="T220" t="s">
        <v>53</v>
      </c>
      <c r="U220" t="s">
        <v>53</v>
      </c>
      <c r="V220" t="s">
        <v>53</v>
      </c>
      <c r="W220" t="s">
        <v>53</v>
      </c>
      <c r="X220" s="22" t="s">
        <v>53</v>
      </c>
      <c r="Y220" s="22" t="s">
        <v>53</v>
      </c>
      <c r="Z220" s="22" t="s">
        <v>53</v>
      </c>
      <c r="AA220" s="22" t="s">
        <v>53</v>
      </c>
      <c r="AB220" t="s">
        <v>53</v>
      </c>
      <c r="AC220" t="s">
        <v>53</v>
      </c>
      <c r="AD220" t="s">
        <v>53</v>
      </c>
      <c r="AE220" t="s">
        <v>53</v>
      </c>
      <c r="AF220" s="22" t="s">
        <v>53</v>
      </c>
      <c r="AG220" s="22" t="s">
        <v>53</v>
      </c>
      <c r="AH220" s="22" t="s">
        <v>53</v>
      </c>
      <c r="AI220" s="22" t="s">
        <v>53</v>
      </c>
      <c r="AJ220">
        <v>0</v>
      </c>
      <c r="AK220">
        <v>0</v>
      </c>
      <c r="AL220">
        <v>0</v>
      </c>
      <c r="AM220">
        <v>0</v>
      </c>
      <c r="AN220" s="22" t="s">
        <v>53</v>
      </c>
      <c r="AO220" s="22" t="s">
        <v>53</v>
      </c>
      <c r="AP220" s="22" t="s">
        <v>53</v>
      </c>
      <c r="AQ220" s="22" t="s">
        <v>53</v>
      </c>
      <c r="AR220" s="35">
        <v>0</v>
      </c>
      <c r="AS220" s="35">
        <v>0</v>
      </c>
      <c r="AT220" s="35">
        <v>0</v>
      </c>
      <c r="AU220" s="31" t="str">
        <f t="shared" si="7"/>
        <v>库存为0</v>
      </c>
      <c r="AV220" s="36" t="str">
        <f>IFERROR(时间!$B$4+AU220,"上周无销量")</f>
        <v>上周无销量</v>
      </c>
    </row>
    <row r="221" spans="1:48">
      <c r="A221" s="20" t="s">
        <v>560</v>
      </c>
      <c r="B221" t="s">
        <v>561</v>
      </c>
      <c r="C221" t="s">
        <v>554</v>
      </c>
      <c r="D221" s="31">
        <v>0</v>
      </c>
      <c r="E221" s="31">
        <v>0</v>
      </c>
      <c r="F221" s="31">
        <v>0</v>
      </c>
      <c r="G221" s="31">
        <v>0</v>
      </c>
      <c r="H221" s="32">
        <v>0</v>
      </c>
      <c r="I221">
        <v>11</v>
      </c>
      <c r="J221" s="33">
        <v>0</v>
      </c>
      <c r="K221" s="33">
        <v>0</v>
      </c>
      <c r="L221" s="33">
        <v>0</v>
      </c>
      <c r="M221">
        <v>11</v>
      </c>
      <c r="N221">
        <v>0</v>
      </c>
      <c r="O221">
        <v>1</v>
      </c>
      <c r="P221">
        <v>0</v>
      </c>
      <c r="Q221">
        <v>33</v>
      </c>
      <c r="R221">
        <v>48</v>
      </c>
      <c r="S221">
        <v>50</v>
      </c>
      <c r="T221">
        <v>0</v>
      </c>
      <c r="U221">
        <v>0</v>
      </c>
      <c r="V221">
        <v>0</v>
      </c>
      <c r="W221">
        <v>0</v>
      </c>
      <c r="X221" s="22" t="s">
        <v>53</v>
      </c>
      <c r="Y221" s="22">
        <v>0</v>
      </c>
      <c r="Z221" s="22">
        <v>0</v>
      </c>
      <c r="AA221" s="22">
        <v>0</v>
      </c>
      <c r="AB221">
        <v>0</v>
      </c>
      <c r="AC221">
        <v>0</v>
      </c>
      <c r="AD221">
        <v>0</v>
      </c>
      <c r="AE221">
        <v>0</v>
      </c>
      <c r="AF221" s="22" t="s">
        <v>53</v>
      </c>
      <c r="AG221" s="22" t="s">
        <v>53</v>
      </c>
      <c r="AH221" s="22" t="s">
        <v>53</v>
      </c>
      <c r="AI221" s="22" t="s">
        <v>53</v>
      </c>
      <c r="AJ221">
        <v>2</v>
      </c>
      <c r="AK221">
        <v>1</v>
      </c>
      <c r="AL221">
        <v>2</v>
      </c>
      <c r="AM221">
        <v>3</v>
      </c>
      <c r="AN221" s="22">
        <v>0</v>
      </c>
      <c r="AO221" s="22">
        <v>0</v>
      </c>
      <c r="AP221" s="22">
        <v>0</v>
      </c>
      <c r="AQ221" s="22">
        <v>0</v>
      </c>
      <c r="AR221" s="35">
        <v>0</v>
      </c>
      <c r="AS221" s="35">
        <v>0</v>
      </c>
      <c r="AT221" s="35">
        <v>11</v>
      </c>
      <c r="AU221" s="31" t="str">
        <f t="shared" si="7"/>
        <v>库存为11</v>
      </c>
      <c r="AV221" s="36" t="str">
        <f>IFERROR(时间!$B$4+AU221,"上周无销量")</f>
        <v>上周无销量</v>
      </c>
    </row>
    <row r="222" spans="1:48">
      <c r="A222" s="20" t="s">
        <v>562</v>
      </c>
      <c r="B222" t="s">
        <v>563</v>
      </c>
      <c r="C222" t="s">
        <v>554</v>
      </c>
      <c r="D222" s="31">
        <v>0</v>
      </c>
      <c r="E222" s="31">
        <v>0</v>
      </c>
      <c r="F222" s="31">
        <v>0</v>
      </c>
      <c r="G222" s="31">
        <v>0</v>
      </c>
      <c r="H222" s="32">
        <v>0</v>
      </c>
      <c r="I222">
        <v>20</v>
      </c>
      <c r="J222" s="33">
        <v>0</v>
      </c>
      <c r="K222" s="33">
        <v>0</v>
      </c>
      <c r="L222" s="33">
        <v>0</v>
      </c>
      <c r="M222">
        <v>20</v>
      </c>
      <c r="N222">
        <v>0</v>
      </c>
      <c r="O222">
        <v>0</v>
      </c>
      <c r="P222">
        <v>0</v>
      </c>
      <c r="Q222">
        <v>31</v>
      </c>
      <c r="R222">
        <v>68</v>
      </c>
      <c r="S222">
        <v>40</v>
      </c>
      <c r="T222">
        <v>0</v>
      </c>
      <c r="U222">
        <v>2</v>
      </c>
      <c r="V222">
        <v>1</v>
      </c>
      <c r="W222">
        <v>0</v>
      </c>
      <c r="X222" s="22" t="s">
        <v>53</v>
      </c>
      <c r="Y222" s="22">
        <v>0.0645161290322581</v>
      </c>
      <c r="Z222" s="22">
        <v>0.0147058823529412</v>
      </c>
      <c r="AA222" s="22">
        <v>0</v>
      </c>
      <c r="AB222">
        <v>0</v>
      </c>
      <c r="AC222">
        <v>0.74</v>
      </c>
      <c r="AD222">
        <v>0.75</v>
      </c>
      <c r="AE222">
        <v>0</v>
      </c>
      <c r="AF222" s="22" t="s">
        <v>53</v>
      </c>
      <c r="AG222" s="22" t="s">
        <v>564</v>
      </c>
      <c r="AH222" s="22" t="s">
        <v>555</v>
      </c>
      <c r="AI222" s="22" t="s">
        <v>53</v>
      </c>
      <c r="AJ222">
        <v>4</v>
      </c>
      <c r="AK222">
        <v>0</v>
      </c>
      <c r="AL222">
        <v>3</v>
      </c>
      <c r="AM222">
        <v>4</v>
      </c>
      <c r="AN222" s="22">
        <v>0</v>
      </c>
      <c r="AO222" s="22" t="s">
        <v>53</v>
      </c>
      <c r="AP222" s="22">
        <v>0</v>
      </c>
      <c r="AQ222" s="22">
        <v>0</v>
      </c>
      <c r="AR222" s="35">
        <v>0</v>
      </c>
      <c r="AS222" s="35">
        <v>0</v>
      </c>
      <c r="AT222" s="35">
        <v>20</v>
      </c>
      <c r="AU222" s="31" t="str">
        <f t="shared" si="7"/>
        <v>库存为20</v>
      </c>
      <c r="AV222" s="36" t="str">
        <f>IFERROR(时间!$B$4+AU222,"上周无销量")</f>
        <v>上周无销量</v>
      </c>
    </row>
    <row r="223" spans="1:48">
      <c r="A223" s="20" t="s">
        <v>565</v>
      </c>
      <c r="B223" t="s">
        <v>566</v>
      </c>
      <c r="C223" t="s">
        <v>567</v>
      </c>
      <c r="D223" s="31">
        <v>0</v>
      </c>
      <c r="E223" s="31">
        <v>0</v>
      </c>
      <c r="F223" s="31">
        <v>0</v>
      </c>
      <c r="G223" s="31">
        <v>0</v>
      </c>
      <c r="H223" s="32">
        <v>0</v>
      </c>
      <c r="I223">
        <v>0</v>
      </c>
      <c r="J223" s="33">
        <v>0</v>
      </c>
      <c r="K223" s="33">
        <v>0</v>
      </c>
      <c r="L223" s="33">
        <v>0</v>
      </c>
      <c r="M223">
        <v>0</v>
      </c>
      <c r="N223">
        <v>0</v>
      </c>
      <c r="O223">
        <v>0</v>
      </c>
      <c r="P223" t="s">
        <v>53</v>
      </c>
      <c r="Q223" t="s">
        <v>53</v>
      </c>
      <c r="R223" t="s">
        <v>53</v>
      </c>
      <c r="S223" t="s">
        <v>53</v>
      </c>
      <c r="T223" t="s">
        <v>53</v>
      </c>
      <c r="U223" t="s">
        <v>53</v>
      </c>
      <c r="V223" t="s">
        <v>53</v>
      </c>
      <c r="W223" t="s">
        <v>53</v>
      </c>
      <c r="X223" s="22" t="s">
        <v>53</v>
      </c>
      <c r="Y223" s="22" t="s">
        <v>53</v>
      </c>
      <c r="Z223" s="22" t="s">
        <v>53</v>
      </c>
      <c r="AA223" s="22" t="s">
        <v>53</v>
      </c>
      <c r="AB223" t="s">
        <v>53</v>
      </c>
      <c r="AC223" t="s">
        <v>53</v>
      </c>
      <c r="AD223" t="s">
        <v>53</v>
      </c>
      <c r="AE223" t="s">
        <v>53</v>
      </c>
      <c r="AF223" s="22" t="s">
        <v>53</v>
      </c>
      <c r="AG223" s="22" t="s">
        <v>53</v>
      </c>
      <c r="AH223" s="22" t="s">
        <v>53</v>
      </c>
      <c r="AI223" s="22" t="s">
        <v>53</v>
      </c>
      <c r="AJ223">
        <v>0</v>
      </c>
      <c r="AK223">
        <v>0</v>
      </c>
      <c r="AL223">
        <v>0</v>
      </c>
      <c r="AM223">
        <v>0</v>
      </c>
      <c r="AN223" s="22" t="s">
        <v>53</v>
      </c>
      <c r="AO223" s="22" t="s">
        <v>53</v>
      </c>
      <c r="AP223" s="22" t="s">
        <v>53</v>
      </c>
      <c r="AQ223" s="22" t="s">
        <v>53</v>
      </c>
      <c r="AR223" s="35">
        <v>0</v>
      </c>
      <c r="AS223" s="35">
        <v>0</v>
      </c>
      <c r="AT223" s="35">
        <v>0</v>
      </c>
      <c r="AU223" s="31" t="str">
        <f t="shared" si="7"/>
        <v>库存为0</v>
      </c>
      <c r="AV223" s="36" t="str">
        <f>IFERROR(时间!$B$4+AU223,"上周无销量")</f>
        <v>上周无销量</v>
      </c>
    </row>
    <row r="224" spans="1:48">
      <c r="A224" s="20" t="s">
        <v>568</v>
      </c>
      <c r="B224" t="s">
        <v>569</v>
      </c>
      <c r="C224" t="s">
        <v>567</v>
      </c>
      <c r="D224" s="31">
        <v>0</v>
      </c>
      <c r="E224" s="31">
        <v>0</v>
      </c>
      <c r="F224" s="31">
        <v>0</v>
      </c>
      <c r="G224" s="31">
        <v>0</v>
      </c>
      <c r="H224" s="32">
        <v>0</v>
      </c>
      <c r="I224">
        <v>0</v>
      </c>
      <c r="J224" s="33">
        <v>0</v>
      </c>
      <c r="K224" s="33">
        <v>0</v>
      </c>
      <c r="L224" s="33">
        <v>0</v>
      </c>
      <c r="M224">
        <v>0</v>
      </c>
      <c r="N224">
        <v>0</v>
      </c>
      <c r="O224">
        <v>0</v>
      </c>
      <c r="P224" t="s">
        <v>53</v>
      </c>
      <c r="Q224" t="s">
        <v>53</v>
      </c>
      <c r="R224" t="s">
        <v>53</v>
      </c>
      <c r="S224" t="s">
        <v>53</v>
      </c>
      <c r="T224" t="s">
        <v>53</v>
      </c>
      <c r="U224" t="s">
        <v>53</v>
      </c>
      <c r="V224" t="s">
        <v>53</v>
      </c>
      <c r="W224" t="s">
        <v>53</v>
      </c>
      <c r="X224" s="22" t="s">
        <v>53</v>
      </c>
      <c r="Y224" s="22" t="s">
        <v>53</v>
      </c>
      <c r="Z224" s="22" t="s">
        <v>53</v>
      </c>
      <c r="AA224" s="22" t="s">
        <v>53</v>
      </c>
      <c r="AB224" t="s">
        <v>53</v>
      </c>
      <c r="AC224" t="s">
        <v>53</v>
      </c>
      <c r="AD224" t="s">
        <v>53</v>
      </c>
      <c r="AE224" t="s">
        <v>53</v>
      </c>
      <c r="AF224" s="22" t="s">
        <v>53</v>
      </c>
      <c r="AG224" s="22" t="s">
        <v>53</v>
      </c>
      <c r="AH224" s="22" t="s">
        <v>53</v>
      </c>
      <c r="AI224" s="22" t="s">
        <v>53</v>
      </c>
      <c r="AJ224">
        <v>0</v>
      </c>
      <c r="AK224">
        <v>0</v>
      </c>
      <c r="AL224">
        <v>0</v>
      </c>
      <c r="AM224">
        <v>0</v>
      </c>
      <c r="AN224" s="22" t="s">
        <v>53</v>
      </c>
      <c r="AO224" s="22" t="s">
        <v>53</v>
      </c>
      <c r="AP224" s="22" t="s">
        <v>53</v>
      </c>
      <c r="AQ224" s="22" t="s">
        <v>53</v>
      </c>
      <c r="AR224" s="35">
        <v>0</v>
      </c>
      <c r="AS224" s="35">
        <v>0</v>
      </c>
      <c r="AT224" s="35">
        <v>0</v>
      </c>
      <c r="AU224" s="31" t="str">
        <f t="shared" si="7"/>
        <v>库存为0</v>
      </c>
      <c r="AV224" s="36" t="str">
        <f>IFERROR(时间!$B$4+AU224,"上周无销量")</f>
        <v>上周无销量</v>
      </c>
    </row>
    <row r="225" spans="1:48">
      <c r="A225" s="20" t="s">
        <v>570</v>
      </c>
      <c r="B225" t="s">
        <v>571</v>
      </c>
      <c r="C225" t="s">
        <v>572</v>
      </c>
      <c r="D225" s="31">
        <v>0</v>
      </c>
      <c r="E225" s="31">
        <v>0</v>
      </c>
      <c r="F225" s="31">
        <v>0</v>
      </c>
      <c r="G225" s="31">
        <v>0</v>
      </c>
      <c r="H225" s="32">
        <v>0</v>
      </c>
      <c r="I225">
        <v>0</v>
      </c>
      <c r="J225" s="33">
        <v>0</v>
      </c>
      <c r="K225" s="33">
        <v>0</v>
      </c>
      <c r="L225" s="33">
        <v>0</v>
      </c>
      <c r="M225">
        <v>0</v>
      </c>
      <c r="N225">
        <v>0</v>
      </c>
      <c r="O225">
        <v>0</v>
      </c>
      <c r="P225" t="s">
        <v>53</v>
      </c>
      <c r="Q225" t="s">
        <v>53</v>
      </c>
      <c r="R225" t="s">
        <v>53</v>
      </c>
      <c r="S225" t="s">
        <v>53</v>
      </c>
      <c r="T225" t="s">
        <v>53</v>
      </c>
      <c r="U225" t="s">
        <v>53</v>
      </c>
      <c r="V225" t="s">
        <v>53</v>
      </c>
      <c r="W225" t="s">
        <v>53</v>
      </c>
      <c r="X225" s="22" t="s">
        <v>53</v>
      </c>
      <c r="Y225" s="22" t="s">
        <v>53</v>
      </c>
      <c r="Z225" s="22" t="s">
        <v>53</v>
      </c>
      <c r="AA225" s="22" t="s">
        <v>53</v>
      </c>
      <c r="AB225" t="s">
        <v>53</v>
      </c>
      <c r="AC225" t="s">
        <v>53</v>
      </c>
      <c r="AD225" t="s">
        <v>53</v>
      </c>
      <c r="AE225" t="s">
        <v>53</v>
      </c>
      <c r="AF225" s="22" t="s">
        <v>53</v>
      </c>
      <c r="AG225" s="22" t="s">
        <v>53</v>
      </c>
      <c r="AH225" s="22" t="s">
        <v>53</v>
      </c>
      <c r="AI225" s="22" t="s">
        <v>53</v>
      </c>
      <c r="AJ225">
        <v>0</v>
      </c>
      <c r="AK225">
        <v>0</v>
      </c>
      <c r="AL225">
        <v>0</v>
      </c>
      <c r="AM225">
        <v>0</v>
      </c>
      <c r="AN225" s="22" t="s">
        <v>53</v>
      </c>
      <c r="AO225" s="22" t="s">
        <v>53</v>
      </c>
      <c r="AP225" s="22" t="s">
        <v>53</v>
      </c>
      <c r="AQ225" s="22" t="s">
        <v>53</v>
      </c>
      <c r="AR225" s="35">
        <v>0</v>
      </c>
      <c r="AS225" s="35">
        <v>0</v>
      </c>
      <c r="AT225" s="35">
        <v>0</v>
      </c>
      <c r="AU225" s="31" t="str">
        <f t="shared" si="7"/>
        <v>库存为0</v>
      </c>
      <c r="AV225" s="36" t="str">
        <f>IFERROR(时间!$B$4+AU225,"上周无销量")</f>
        <v>上周无销量</v>
      </c>
    </row>
    <row r="226" spans="1:48">
      <c r="A226" s="20" t="s">
        <v>573</v>
      </c>
      <c r="B226" t="s">
        <v>574</v>
      </c>
      <c r="C226" t="s">
        <v>575</v>
      </c>
      <c r="D226" s="31">
        <v>0</v>
      </c>
      <c r="E226" s="31">
        <v>0</v>
      </c>
      <c r="F226" s="31">
        <v>0</v>
      </c>
      <c r="G226" s="31">
        <v>0</v>
      </c>
      <c r="H226" s="32">
        <v>0</v>
      </c>
      <c r="I226">
        <v>0</v>
      </c>
      <c r="J226" s="33">
        <v>0</v>
      </c>
      <c r="K226" s="33">
        <v>0</v>
      </c>
      <c r="L226" s="33">
        <v>0</v>
      </c>
      <c r="M226">
        <v>0</v>
      </c>
      <c r="N226">
        <v>0</v>
      </c>
      <c r="O226">
        <v>0</v>
      </c>
      <c r="P226" t="s">
        <v>53</v>
      </c>
      <c r="Q226" t="s">
        <v>53</v>
      </c>
      <c r="R226" t="s">
        <v>53</v>
      </c>
      <c r="S226" t="s">
        <v>53</v>
      </c>
      <c r="T226" t="s">
        <v>53</v>
      </c>
      <c r="U226" t="s">
        <v>53</v>
      </c>
      <c r="V226" t="s">
        <v>53</v>
      </c>
      <c r="W226" t="s">
        <v>53</v>
      </c>
      <c r="X226" s="22" t="s">
        <v>53</v>
      </c>
      <c r="Y226" s="22" t="s">
        <v>53</v>
      </c>
      <c r="Z226" s="22" t="s">
        <v>53</v>
      </c>
      <c r="AA226" s="22" t="s">
        <v>53</v>
      </c>
      <c r="AB226" t="s">
        <v>53</v>
      </c>
      <c r="AC226" t="s">
        <v>53</v>
      </c>
      <c r="AD226" t="s">
        <v>53</v>
      </c>
      <c r="AE226" t="s">
        <v>53</v>
      </c>
      <c r="AF226" s="22" t="s">
        <v>53</v>
      </c>
      <c r="AG226" s="22" t="s">
        <v>53</v>
      </c>
      <c r="AH226" s="22" t="s">
        <v>53</v>
      </c>
      <c r="AI226" s="22" t="s">
        <v>53</v>
      </c>
      <c r="AJ226">
        <v>0</v>
      </c>
      <c r="AK226">
        <v>0</v>
      </c>
      <c r="AL226">
        <v>0</v>
      </c>
      <c r="AM226">
        <v>0</v>
      </c>
      <c r="AN226" s="22" t="s">
        <v>53</v>
      </c>
      <c r="AO226" s="22" t="s">
        <v>53</v>
      </c>
      <c r="AP226" s="22" t="s">
        <v>53</v>
      </c>
      <c r="AQ226" s="22" t="s">
        <v>53</v>
      </c>
      <c r="AR226" s="35">
        <v>0</v>
      </c>
      <c r="AS226" s="35">
        <v>0</v>
      </c>
      <c r="AT226" s="35">
        <v>0</v>
      </c>
      <c r="AU226" s="31" t="str">
        <f t="shared" si="7"/>
        <v>库存为0</v>
      </c>
      <c r="AV226" s="36" t="str">
        <f>IFERROR(时间!$B$4+AU226,"上周无销量")</f>
        <v>上周无销量</v>
      </c>
    </row>
    <row r="227" spans="1:48">
      <c r="A227" s="20" t="s">
        <v>576</v>
      </c>
      <c r="B227" t="s">
        <v>577</v>
      </c>
      <c r="C227" t="s">
        <v>578</v>
      </c>
      <c r="D227" s="31">
        <v>0</v>
      </c>
      <c r="E227" s="31">
        <v>0</v>
      </c>
      <c r="F227" s="31">
        <v>0</v>
      </c>
      <c r="G227" s="31">
        <v>0</v>
      </c>
      <c r="H227" s="32">
        <v>0</v>
      </c>
      <c r="I227">
        <v>0</v>
      </c>
      <c r="J227" s="33">
        <v>0</v>
      </c>
      <c r="K227" s="33">
        <v>0</v>
      </c>
      <c r="L227" s="33">
        <v>0</v>
      </c>
      <c r="M227">
        <v>0</v>
      </c>
      <c r="N227">
        <v>0</v>
      </c>
      <c r="O227">
        <v>0</v>
      </c>
      <c r="P227" t="s">
        <v>53</v>
      </c>
      <c r="Q227" t="s">
        <v>53</v>
      </c>
      <c r="R227" t="s">
        <v>53</v>
      </c>
      <c r="S227" t="s">
        <v>53</v>
      </c>
      <c r="T227" t="s">
        <v>53</v>
      </c>
      <c r="U227" t="s">
        <v>53</v>
      </c>
      <c r="V227" t="s">
        <v>53</v>
      </c>
      <c r="W227" t="s">
        <v>53</v>
      </c>
      <c r="X227" s="22" t="s">
        <v>53</v>
      </c>
      <c r="Y227" s="22" t="s">
        <v>53</v>
      </c>
      <c r="Z227" s="22" t="s">
        <v>53</v>
      </c>
      <c r="AA227" s="22" t="s">
        <v>53</v>
      </c>
      <c r="AB227" t="s">
        <v>53</v>
      </c>
      <c r="AC227" t="s">
        <v>53</v>
      </c>
      <c r="AD227" t="s">
        <v>53</v>
      </c>
      <c r="AE227" t="s">
        <v>53</v>
      </c>
      <c r="AF227" s="22" t="s">
        <v>53</v>
      </c>
      <c r="AG227" s="22" t="s">
        <v>53</v>
      </c>
      <c r="AH227" s="22" t="s">
        <v>53</v>
      </c>
      <c r="AI227" s="22" t="s">
        <v>53</v>
      </c>
      <c r="AJ227">
        <v>0</v>
      </c>
      <c r="AK227">
        <v>0</v>
      </c>
      <c r="AL227">
        <v>0</v>
      </c>
      <c r="AM227">
        <v>0</v>
      </c>
      <c r="AN227" s="22" t="s">
        <v>53</v>
      </c>
      <c r="AO227" s="22" t="s">
        <v>53</v>
      </c>
      <c r="AP227" s="22" t="s">
        <v>53</v>
      </c>
      <c r="AQ227" s="22" t="s">
        <v>53</v>
      </c>
      <c r="AR227" s="35">
        <v>0</v>
      </c>
      <c r="AS227" s="35">
        <v>0</v>
      </c>
      <c r="AT227" s="35">
        <v>0</v>
      </c>
      <c r="AU227" s="31" t="str">
        <f t="shared" si="7"/>
        <v>库存为0</v>
      </c>
      <c r="AV227" s="36" t="str">
        <f>IFERROR(时间!$B$4+AU227,"上周无销量")</f>
        <v>上周无销量</v>
      </c>
    </row>
    <row r="228" spans="1:48">
      <c r="A228" s="20" t="s">
        <v>579</v>
      </c>
      <c r="B228" t="s">
        <v>580</v>
      </c>
      <c r="C228" t="s">
        <v>581</v>
      </c>
      <c r="D228" s="31">
        <v>0</v>
      </c>
      <c r="E228" s="31">
        <v>0</v>
      </c>
      <c r="F228" s="31">
        <v>0</v>
      </c>
      <c r="G228" s="31">
        <v>2</v>
      </c>
      <c r="H228" s="32">
        <v>7.99</v>
      </c>
      <c r="I228">
        <v>13</v>
      </c>
      <c r="J228" s="33">
        <v>50</v>
      </c>
      <c r="K228" s="33">
        <v>1</v>
      </c>
      <c r="L228" s="33">
        <v>0</v>
      </c>
      <c r="M228">
        <v>64</v>
      </c>
      <c r="N228">
        <v>0</v>
      </c>
      <c r="O228">
        <v>0</v>
      </c>
      <c r="P228">
        <v>0</v>
      </c>
      <c r="Q228">
        <v>2123</v>
      </c>
      <c r="R228">
        <v>4110</v>
      </c>
      <c r="S228">
        <v>3222</v>
      </c>
      <c r="T228">
        <v>0</v>
      </c>
      <c r="U228">
        <v>5</v>
      </c>
      <c r="V228">
        <v>11</v>
      </c>
      <c r="W228">
        <v>7</v>
      </c>
      <c r="X228" s="22" t="s">
        <v>53</v>
      </c>
      <c r="Y228" s="22">
        <v>0.0023551577955723</v>
      </c>
      <c r="Z228" s="22">
        <v>0.00267639902676399</v>
      </c>
      <c r="AA228" s="22">
        <v>0.00217256362507759</v>
      </c>
      <c r="AB228">
        <v>0</v>
      </c>
      <c r="AC228">
        <v>4.33</v>
      </c>
      <c r="AD228">
        <v>10.64</v>
      </c>
      <c r="AE228">
        <v>6.68</v>
      </c>
      <c r="AF228" s="22" t="s">
        <v>53</v>
      </c>
      <c r="AG228" s="22" t="s">
        <v>582</v>
      </c>
      <c r="AH228" s="22" t="s">
        <v>583</v>
      </c>
      <c r="AI228" s="22">
        <v>0.4180225281602</v>
      </c>
      <c r="AJ228">
        <v>12</v>
      </c>
      <c r="AK228">
        <v>7</v>
      </c>
      <c r="AL228">
        <v>11</v>
      </c>
      <c r="AM228">
        <v>11</v>
      </c>
      <c r="AN228" s="22">
        <v>0</v>
      </c>
      <c r="AO228" s="22">
        <v>0</v>
      </c>
      <c r="AP228" s="22">
        <v>0</v>
      </c>
      <c r="AQ228" s="22">
        <v>0.181818181818182</v>
      </c>
      <c r="AR228" s="35">
        <v>0</v>
      </c>
      <c r="AS228" s="35">
        <v>0</v>
      </c>
      <c r="AT228" s="35">
        <v>64</v>
      </c>
      <c r="AU228" s="31" t="str">
        <f t="shared" si="7"/>
        <v>库存为64</v>
      </c>
      <c r="AV228" s="36" t="str">
        <f>IFERROR(时间!$B$4+AU228,"上周无销量")</f>
        <v>上周无销量</v>
      </c>
    </row>
    <row r="229" spans="1:48">
      <c r="A229" s="20" t="s">
        <v>584</v>
      </c>
      <c r="B229" t="s">
        <v>585</v>
      </c>
      <c r="C229" t="s">
        <v>581</v>
      </c>
      <c r="D229" s="31">
        <v>0</v>
      </c>
      <c r="E229" s="31">
        <v>0</v>
      </c>
      <c r="F229" s="31">
        <v>0</v>
      </c>
      <c r="G229" s="31">
        <v>0</v>
      </c>
      <c r="H229" s="32">
        <v>0</v>
      </c>
      <c r="I229">
        <v>12</v>
      </c>
      <c r="J229" s="33">
        <v>0</v>
      </c>
      <c r="K229" s="33">
        <v>0</v>
      </c>
      <c r="L229" s="33">
        <v>0</v>
      </c>
      <c r="M229">
        <v>12</v>
      </c>
      <c r="N229">
        <v>0</v>
      </c>
      <c r="O229">
        <v>0</v>
      </c>
      <c r="P229" t="s">
        <v>53</v>
      </c>
      <c r="Q229" t="s">
        <v>53</v>
      </c>
      <c r="R229" t="s">
        <v>53</v>
      </c>
      <c r="S229" t="s">
        <v>53</v>
      </c>
      <c r="T229" t="s">
        <v>53</v>
      </c>
      <c r="U229" t="s">
        <v>53</v>
      </c>
      <c r="V229" t="s">
        <v>53</v>
      </c>
      <c r="W229" t="s">
        <v>53</v>
      </c>
      <c r="X229" s="22" t="s">
        <v>53</v>
      </c>
      <c r="Y229" s="22" t="s">
        <v>53</v>
      </c>
      <c r="Z229" s="22" t="s">
        <v>53</v>
      </c>
      <c r="AA229" s="22" t="s">
        <v>53</v>
      </c>
      <c r="AB229" t="s">
        <v>53</v>
      </c>
      <c r="AC229" t="s">
        <v>53</v>
      </c>
      <c r="AD229" t="s">
        <v>53</v>
      </c>
      <c r="AE229" t="s">
        <v>53</v>
      </c>
      <c r="AF229" s="22" t="s">
        <v>53</v>
      </c>
      <c r="AG229" s="22" t="s">
        <v>53</v>
      </c>
      <c r="AH229" s="22" t="s">
        <v>53</v>
      </c>
      <c r="AI229" s="22" t="s">
        <v>53</v>
      </c>
      <c r="AJ229">
        <v>6</v>
      </c>
      <c r="AK229">
        <v>7</v>
      </c>
      <c r="AL229">
        <v>6</v>
      </c>
      <c r="AM229">
        <v>3</v>
      </c>
      <c r="AN229" s="22">
        <v>0</v>
      </c>
      <c r="AO229" s="22">
        <v>0</v>
      </c>
      <c r="AP229" s="22">
        <v>0</v>
      </c>
      <c r="AQ229" s="22">
        <v>0</v>
      </c>
      <c r="AR229" s="35">
        <v>0</v>
      </c>
      <c r="AS229" s="35">
        <v>0</v>
      </c>
      <c r="AT229" s="35">
        <v>12</v>
      </c>
      <c r="AU229" s="31" t="str">
        <f t="shared" si="7"/>
        <v>库存为12</v>
      </c>
      <c r="AV229" s="36" t="str">
        <f>IFERROR(时间!$B$4+AU229,"上周无销量")</f>
        <v>上周无销量</v>
      </c>
    </row>
    <row r="230" spans="1:48">
      <c r="A230" s="20" t="s">
        <v>586</v>
      </c>
      <c r="B230" t="s">
        <v>587</v>
      </c>
      <c r="C230" t="s">
        <v>581</v>
      </c>
      <c r="D230" s="31">
        <v>1</v>
      </c>
      <c r="E230" s="31">
        <v>2</v>
      </c>
      <c r="F230" s="31">
        <v>0</v>
      </c>
      <c r="G230" s="31">
        <v>0</v>
      </c>
      <c r="H230" s="32">
        <v>15.99</v>
      </c>
      <c r="I230">
        <v>5</v>
      </c>
      <c r="J230" s="33">
        <v>0</v>
      </c>
      <c r="K230" s="33">
        <v>0</v>
      </c>
      <c r="L230" s="33">
        <v>0</v>
      </c>
      <c r="M230">
        <v>5</v>
      </c>
      <c r="N230">
        <v>0</v>
      </c>
      <c r="O230">
        <v>0</v>
      </c>
      <c r="P230" t="s">
        <v>53</v>
      </c>
      <c r="Q230" t="s">
        <v>53</v>
      </c>
      <c r="R230" t="s">
        <v>53</v>
      </c>
      <c r="S230" t="s">
        <v>53</v>
      </c>
      <c r="T230" t="s">
        <v>53</v>
      </c>
      <c r="U230" t="s">
        <v>53</v>
      </c>
      <c r="V230" t="s">
        <v>53</v>
      </c>
      <c r="W230" t="s">
        <v>53</v>
      </c>
      <c r="X230" s="22" t="s">
        <v>53</v>
      </c>
      <c r="Y230" s="22" t="s">
        <v>53</v>
      </c>
      <c r="Z230" s="22" t="s">
        <v>53</v>
      </c>
      <c r="AA230" s="22" t="s">
        <v>53</v>
      </c>
      <c r="AB230" t="s">
        <v>53</v>
      </c>
      <c r="AC230" t="s">
        <v>53</v>
      </c>
      <c r="AD230" t="s">
        <v>53</v>
      </c>
      <c r="AE230" t="s">
        <v>53</v>
      </c>
      <c r="AF230" s="22" t="s">
        <v>53</v>
      </c>
      <c r="AG230" s="22" t="s">
        <v>53</v>
      </c>
      <c r="AH230" s="22" t="s">
        <v>53</v>
      </c>
      <c r="AI230" s="22" t="s">
        <v>53</v>
      </c>
      <c r="AJ230">
        <v>7</v>
      </c>
      <c r="AK230">
        <v>9</v>
      </c>
      <c r="AL230">
        <v>6</v>
      </c>
      <c r="AM230">
        <v>11</v>
      </c>
      <c r="AN230" s="22">
        <v>0.142857142857143</v>
      </c>
      <c r="AO230" s="22">
        <v>0.222222222222222</v>
      </c>
      <c r="AP230" s="22">
        <v>0</v>
      </c>
      <c r="AQ230" s="22">
        <v>0</v>
      </c>
      <c r="AR230" s="35">
        <v>0.142857142857143</v>
      </c>
      <c r="AS230" s="35">
        <v>8.57142857142857</v>
      </c>
      <c r="AT230" s="35">
        <v>-3.57142857142857</v>
      </c>
      <c r="AU230" s="31">
        <f t="shared" si="7"/>
        <v>35</v>
      </c>
      <c r="AV230" s="36">
        <f>IFERROR(时间!$B$4+AU230,"上周无销量")</f>
        <v>43374</v>
      </c>
    </row>
    <row r="231" spans="1:48">
      <c r="A231" s="20" t="s">
        <v>588</v>
      </c>
      <c r="B231" t="s">
        <v>589</v>
      </c>
      <c r="C231" t="s">
        <v>590</v>
      </c>
      <c r="D231" s="31">
        <v>0</v>
      </c>
      <c r="E231" s="31">
        <v>0</v>
      </c>
      <c r="F231" s="31">
        <v>0</v>
      </c>
      <c r="G231" s="31">
        <v>0</v>
      </c>
      <c r="H231" s="32">
        <v>0</v>
      </c>
      <c r="I231">
        <v>0</v>
      </c>
      <c r="J231" s="33">
        <v>0</v>
      </c>
      <c r="K231" s="33">
        <v>0</v>
      </c>
      <c r="L231" s="33">
        <v>0</v>
      </c>
      <c r="M231">
        <v>0</v>
      </c>
      <c r="N231">
        <v>0</v>
      </c>
      <c r="O231">
        <v>0</v>
      </c>
      <c r="P231" t="s">
        <v>53</v>
      </c>
      <c r="Q231" t="s">
        <v>53</v>
      </c>
      <c r="R231" t="s">
        <v>53</v>
      </c>
      <c r="S231" t="s">
        <v>53</v>
      </c>
      <c r="T231" t="s">
        <v>53</v>
      </c>
      <c r="U231" t="s">
        <v>53</v>
      </c>
      <c r="V231" t="s">
        <v>53</v>
      </c>
      <c r="W231" t="s">
        <v>53</v>
      </c>
      <c r="X231" s="22" t="s">
        <v>53</v>
      </c>
      <c r="Y231" s="22" t="s">
        <v>53</v>
      </c>
      <c r="Z231" s="22" t="s">
        <v>53</v>
      </c>
      <c r="AA231" s="22" t="s">
        <v>53</v>
      </c>
      <c r="AB231" t="s">
        <v>53</v>
      </c>
      <c r="AC231" t="s">
        <v>53</v>
      </c>
      <c r="AD231" t="s">
        <v>53</v>
      </c>
      <c r="AE231" t="s">
        <v>53</v>
      </c>
      <c r="AF231" s="22" t="s">
        <v>53</v>
      </c>
      <c r="AG231" s="22" t="s">
        <v>53</v>
      </c>
      <c r="AH231" s="22" t="s">
        <v>53</v>
      </c>
      <c r="AI231" s="22" t="s">
        <v>53</v>
      </c>
      <c r="AJ231">
        <v>0</v>
      </c>
      <c r="AK231">
        <v>0</v>
      </c>
      <c r="AL231">
        <v>5</v>
      </c>
      <c r="AM231">
        <v>4</v>
      </c>
      <c r="AN231" s="22" t="s">
        <v>53</v>
      </c>
      <c r="AO231" s="22" t="s">
        <v>53</v>
      </c>
      <c r="AP231" s="22">
        <v>0</v>
      </c>
      <c r="AQ231" s="22">
        <v>0</v>
      </c>
      <c r="AR231" s="35">
        <v>0</v>
      </c>
      <c r="AS231" s="35">
        <v>0</v>
      </c>
      <c r="AT231" s="35">
        <v>0</v>
      </c>
      <c r="AU231" s="31" t="str">
        <f t="shared" si="7"/>
        <v>库存为0</v>
      </c>
      <c r="AV231" s="36" t="str">
        <f>IFERROR(时间!$B$4+AU231,"上周无销量")</f>
        <v>上周无销量</v>
      </c>
    </row>
    <row r="232" spans="1:48">
      <c r="A232" s="20" t="s">
        <v>591</v>
      </c>
      <c r="B232" t="s">
        <v>592</v>
      </c>
      <c r="C232" t="s">
        <v>590</v>
      </c>
      <c r="D232" s="31">
        <v>0</v>
      </c>
      <c r="E232" s="31">
        <v>0</v>
      </c>
      <c r="F232" s="31">
        <v>0</v>
      </c>
      <c r="G232" s="31">
        <v>0</v>
      </c>
      <c r="H232" s="32">
        <v>0</v>
      </c>
      <c r="I232">
        <v>4</v>
      </c>
      <c r="J232" s="33">
        <v>0</v>
      </c>
      <c r="K232" s="33">
        <v>0</v>
      </c>
      <c r="L232" s="33">
        <v>0</v>
      </c>
      <c r="M232">
        <v>4</v>
      </c>
      <c r="N232">
        <v>0</v>
      </c>
      <c r="O232">
        <v>4</v>
      </c>
      <c r="P232" t="s">
        <v>53</v>
      </c>
      <c r="Q232" t="s">
        <v>53</v>
      </c>
      <c r="R232" t="s">
        <v>53</v>
      </c>
      <c r="S232" t="s">
        <v>53</v>
      </c>
      <c r="T232" t="s">
        <v>53</v>
      </c>
      <c r="U232" t="s">
        <v>53</v>
      </c>
      <c r="V232" t="s">
        <v>53</v>
      </c>
      <c r="W232" t="s">
        <v>53</v>
      </c>
      <c r="X232" s="22" t="s">
        <v>53</v>
      </c>
      <c r="Y232" s="22" t="s">
        <v>53</v>
      </c>
      <c r="Z232" s="22" t="s">
        <v>53</v>
      </c>
      <c r="AA232" s="22" t="s">
        <v>53</v>
      </c>
      <c r="AB232" t="s">
        <v>53</v>
      </c>
      <c r="AC232" t="s">
        <v>53</v>
      </c>
      <c r="AD232" t="s">
        <v>53</v>
      </c>
      <c r="AE232" t="s">
        <v>53</v>
      </c>
      <c r="AF232" s="22" t="s">
        <v>53</v>
      </c>
      <c r="AG232" s="22" t="s">
        <v>53</v>
      </c>
      <c r="AH232" s="22" t="s">
        <v>53</v>
      </c>
      <c r="AI232" s="22" t="s">
        <v>53</v>
      </c>
      <c r="AJ232">
        <v>4</v>
      </c>
      <c r="AK232">
        <v>3</v>
      </c>
      <c r="AL232">
        <v>3</v>
      </c>
      <c r="AM232">
        <v>1</v>
      </c>
      <c r="AN232" s="22">
        <v>0</v>
      </c>
      <c r="AO232" s="22">
        <v>0</v>
      </c>
      <c r="AP232" s="22">
        <v>0</v>
      </c>
      <c r="AQ232" s="22">
        <v>0</v>
      </c>
      <c r="AR232" s="35">
        <v>0</v>
      </c>
      <c r="AS232" s="35">
        <v>0</v>
      </c>
      <c r="AT232" s="35">
        <v>4</v>
      </c>
      <c r="AU232" s="31" t="str">
        <f t="shared" si="7"/>
        <v>库存为4</v>
      </c>
      <c r="AV232" s="36" t="str">
        <f>IFERROR(时间!$B$4+AU232,"上周无销量")</f>
        <v>上周无销量</v>
      </c>
    </row>
    <row r="233" spans="1:48">
      <c r="A233" s="20" t="s">
        <v>593</v>
      </c>
      <c r="B233" t="s">
        <v>594</v>
      </c>
      <c r="C233" t="s">
        <v>590</v>
      </c>
      <c r="D233" s="31">
        <v>0</v>
      </c>
      <c r="E233" s="31">
        <v>0</v>
      </c>
      <c r="F233" s="31">
        <v>0</v>
      </c>
      <c r="G233" s="31">
        <v>0</v>
      </c>
      <c r="H233" s="32">
        <v>0</v>
      </c>
      <c r="I233">
        <v>0</v>
      </c>
      <c r="J233" s="33">
        <v>0</v>
      </c>
      <c r="K233" s="33">
        <v>0</v>
      </c>
      <c r="L233" s="33">
        <v>0</v>
      </c>
      <c r="M233">
        <v>0</v>
      </c>
      <c r="N233">
        <v>0</v>
      </c>
      <c r="O233">
        <v>0</v>
      </c>
      <c r="P233" t="s">
        <v>53</v>
      </c>
      <c r="Q233" t="s">
        <v>53</v>
      </c>
      <c r="R233" t="s">
        <v>53</v>
      </c>
      <c r="S233" t="s">
        <v>53</v>
      </c>
      <c r="T233" t="s">
        <v>53</v>
      </c>
      <c r="U233" t="s">
        <v>53</v>
      </c>
      <c r="V233" t="s">
        <v>53</v>
      </c>
      <c r="W233" t="s">
        <v>53</v>
      </c>
      <c r="X233" s="22" t="s">
        <v>53</v>
      </c>
      <c r="Y233" s="22" t="s">
        <v>53</v>
      </c>
      <c r="Z233" s="22" t="s">
        <v>53</v>
      </c>
      <c r="AA233" s="22" t="s">
        <v>53</v>
      </c>
      <c r="AB233" t="s">
        <v>53</v>
      </c>
      <c r="AC233" t="s">
        <v>53</v>
      </c>
      <c r="AD233" t="s">
        <v>53</v>
      </c>
      <c r="AE233" t="s">
        <v>53</v>
      </c>
      <c r="AF233" s="22" t="s">
        <v>53</v>
      </c>
      <c r="AG233" s="22" t="s">
        <v>53</v>
      </c>
      <c r="AH233" s="22" t="s">
        <v>53</v>
      </c>
      <c r="AI233" s="22" t="s">
        <v>53</v>
      </c>
      <c r="AJ233">
        <v>0</v>
      </c>
      <c r="AK233">
        <v>0</v>
      </c>
      <c r="AL233">
        <v>5</v>
      </c>
      <c r="AM233">
        <v>4</v>
      </c>
      <c r="AN233" s="22" t="s">
        <v>53</v>
      </c>
      <c r="AO233" s="22" t="s">
        <v>53</v>
      </c>
      <c r="AP233" s="22">
        <v>0</v>
      </c>
      <c r="AQ233" s="22">
        <v>0</v>
      </c>
      <c r="AR233" s="35">
        <v>0</v>
      </c>
      <c r="AS233" s="35">
        <v>0</v>
      </c>
      <c r="AT233" s="35">
        <v>0</v>
      </c>
      <c r="AU233" s="31" t="str">
        <f t="shared" si="7"/>
        <v>库存为0</v>
      </c>
      <c r="AV233" s="36" t="str">
        <f>IFERROR(时间!$B$4+AU233,"上周无销量")</f>
        <v>上周无销量</v>
      </c>
    </row>
    <row r="234" spans="1:48">
      <c r="A234" s="20" t="s">
        <v>595</v>
      </c>
      <c r="B234" t="s">
        <v>596</v>
      </c>
      <c r="C234" t="s">
        <v>590</v>
      </c>
      <c r="D234" s="31">
        <v>0</v>
      </c>
      <c r="E234" s="31">
        <v>0</v>
      </c>
      <c r="F234" s="31">
        <v>0</v>
      </c>
      <c r="G234" s="31">
        <v>0</v>
      </c>
      <c r="H234" s="32">
        <v>0</v>
      </c>
      <c r="I234">
        <v>3</v>
      </c>
      <c r="J234" s="33">
        <v>0</v>
      </c>
      <c r="K234" s="33">
        <v>0</v>
      </c>
      <c r="L234" s="33">
        <v>0</v>
      </c>
      <c r="M234">
        <v>3</v>
      </c>
      <c r="N234">
        <v>0</v>
      </c>
      <c r="O234">
        <v>3</v>
      </c>
      <c r="P234" t="s">
        <v>53</v>
      </c>
      <c r="Q234" t="s">
        <v>53</v>
      </c>
      <c r="R234" t="s">
        <v>53</v>
      </c>
      <c r="S234" t="s">
        <v>53</v>
      </c>
      <c r="T234" t="s">
        <v>53</v>
      </c>
      <c r="U234" t="s">
        <v>53</v>
      </c>
      <c r="V234" t="s">
        <v>53</v>
      </c>
      <c r="W234" t="s">
        <v>53</v>
      </c>
      <c r="X234" s="22" t="s">
        <v>53</v>
      </c>
      <c r="Y234" s="22" t="s">
        <v>53</v>
      </c>
      <c r="Z234" s="22" t="s">
        <v>53</v>
      </c>
      <c r="AA234" s="22" t="s">
        <v>53</v>
      </c>
      <c r="AB234" t="s">
        <v>53</v>
      </c>
      <c r="AC234" t="s">
        <v>53</v>
      </c>
      <c r="AD234" t="s">
        <v>53</v>
      </c>
      <c r="AE234" t="s">
        <v>53</v>
      </c>
      <c r="AF234" s="22" t="s">
        <v>53</v>
      </c>
      <c r="AG234" s="22" t="s">
        <v>53</v>
      </c>
      <c r="AH234" s="22" t="s">
        <v>53</v>
      </c>
      <c r="AI234" s="22" t="s">
        <v>53</v>
      </c>
      <c r="AJ234">
        <v>6</v>
      </c>
      <c r="AK234">
        <v>1</v>
      </c>
      <c r="AL234">
        <v>5</v>
      </c>
      <c r="AM234">
        <v>3</v>
      </c>
      <c r="AN234" s="22">
        <v>0</v>
      </c>
      <c r="AO234" s="22">
        <v>0</v>
      </c>
      <c r="AP234" s="22">
        <v>0</v>
      </c>
      <c r="AQ234" s="22">
        <v>0</v>
      </c>
      <c r="AR234" s="35">
        <v>0</v>
      </c>
      <c r="AS234" s="35">
        <v>0</v>
      </c>
      <c r="AT234" s="35">
        <v>3</v>
      </c>
      <c r="AU234" s="31" t="str">
        <f t="shared" si="7"/>
        <v>库存为3</v>
      </c>
      <c r="AV234" s="36" t="str">
        <f>IFERROR(时间!$B$4+AU234,"上周无销量")</f>
        <v>上周无销量</v>
      </c>
    </row>
    <row r="235" spans="1:48">
      <c r="A235" s="20" t="s">
        <v>597</v>
      </c>
      <c r="B235" t="s">
        <v>598</v>
      </c>
      <c r="C235" t="s">
        <v>599</v>
      </c>
      <c r="D235" s="31">
        <v>0</v>
      </c>
      <c r="E235" s="31">
        <v>0</v>
      </c>
      <c r="F235" s="31">
        <v>1</v>
      </c>
      <c r="G235" s="31">
        <v>0</v>
      </c>
      <c r="H235" s="32">
        <v>15.99</v>
      </c>
      <c r="I235">
        <v>7</v>
      </c>
      <c r="J235" s="33">
        <v>0</v>
      </c>
      <c r="K235" s="33">
        <v>0</v>
      </c>
      <c r="L235" s="33">
        <v>0</v>
      </c>
      <c r="M235">
        <v>7</v>
      </c>
      <c r="N235">
        <v>0</v>
      </c>
      <c r="O235">
        <v>0</v>
      </c>
      <c r="P235" t="s">
        <v>53</v>
      </c>
      <c r="Q235" t="s">
        <v>53</v>
      </c>
      <c r="R235" t="s">
        <v>53</v>
      </c>
      <c r="S235" t="s">
        <v>53</v>
      </c>
      <c r="T235" t="s">
        <v>53</v>
      </c>
      <c r="U235" t="s">
        <v>53</v>
      </c>
      <c r="V235" t="s">
        <v>53</v>
      </c>
      <c r="W235" t="s">
        <v>53</v>
      </c>
      <c r="X235" s="22" t="s">
        <v>53</v>
      </c>
      <c r="Y235" s="22" t="s">
        <v>53</v>
      </c>
      <c r="Z235" s="22" t="s">
        <v>53</v>
      </c>
      <c r="AA235" s="22" t="s">
        <v>53</v>
      </c>
      <c r="AB235" t="s">
        <v>53</v>
      </c>
      <c r="AC235" t="s">
        <v>53</v>
      </c>
      <c r="AD235" t="s">
        <v>53</v>
      </c>
      <c r="AE235" t="s">
        <v>53</v>
      </c>
      <c r="AF235" s="22" t="s">
        <v>53</v>
      </c>
      <c r="AG235" s="22" t="s">
        <v>53</v>
      </c>
      <c r="AH235" s="22" t="s">
        <v>53</v>
      </c>
      <c r="AI235" s="22" t="s">
        <v>53</v>
      </c>
      <c r="AJ235">
        <v>13</v>
      </c>
      <c r="AK235">
        <v>9</v>
      </c>
      <c r="AL235">
        <v>13</v>
      </c>
      <c r="AM235">
        <v>5</v>
      </c>
      <c r="AN235" s="22">
        <v>0</v>
      </c>
      <c r="AO235" s="22">
        <v>0</v>
      </c>
      <c r="AP235" s="22">
        <v>0.0769230769230769</v>
      </c>
      <c r="AQ235" s="22">
        <v>0</v>
      </c>
      <c r="AR235" s="35">
        <v>0</v>
      </c>
      <c r="AS235" s="35">
        <v>0</v>
      </c>
      <c r="AT235" s="35">
        <v>7</v>
      </c>
      <c r="AU235" s="31" t="str">
        <f t="shared" si="7"/>
        <v>库存为7</v>
      </c>
      <c r="AV235" s="36" t="str">
        <f>IFERROR(时间!$B$4+AU235,"上周无销量")</f>
        <v>上周无销量</v>
      </c>
    </row>
    <row r="236" spans="1:48">
      <c r="A236" s="20" t="s">
        <v>600</v>
      </c>
      <c r="B236" t="s">
        <v>601</v>
      </c>
      <c r="C236" t="s">
        <v>602</v>
      </c>
      <c r="D236" s="31">
        <v>0</v>
      </c>
      <c r="E236" s="31">
        <v>1</v>
      </c>
      <c r="F236" s="31">
        <v>0</v>
      </c>
      <c r="G236" s="31">
        <v>0</v>
      </c>
      <c r="H236" s="32">
        <v>10</v>
      </c>
      <c r="I236">
        <v>0</v>
      </c>
      <c r="J236" s="33">
        <v>0</v>
      </c>
      <c r="K236" s="33">
        <v>0</v>
      </c>
      <c r="L236" s="33">
        <v>0</v>
      </c>
      <c r="M236">
        <v>0</v>
      </c>
      <c r="N236">
        <v>0</v>
      </c>
      <c r="O236">
        <v>0</v>
      </c>
      <c r="P236" t="s">
        <v>53</v>
      </c>
      <c r="Q236" t="s">
        <v>53</v>
      </c>
      <c r="R236" t="s">
        <v>53</v>
      </c>
      <c r="S236" t="s">
        <v>53</v>
      </c>
      <c r="T236" t="s">
        <v>53</v>
      </c>
      <c r="U236" t="s">
        <v>53</v>
      </c>
      <c r="V236" t="s">
        <v>53</v>
      </c>
      <c r="W236" t="s">
        <v>53</v>
      </c>
      <c r="X236" s="22" t="s">
        <v>53</v>
      </c>
      <c r="Y236" s="22" t="s">
        <v>53</v>
      </c>
      <c r="Z236" s="22" t="s">
        <v>53</v>
      </c>
      <c r="AA236" s="22" t="s">
        <v>53</v>
      </c>
      <c r="AB236" t="s">
        <v>53</v>
      </c>
      <c r="AC236" t="s">
        <v>53</v>
      </c>
      <c r="AD236" t="s">
        <v>53</v>
      </c>
      <c r="AE236" t="s">
        <v>53</v>
      </c>
      <c r="AF236" s="22" t="s">
        <v>53</v>
      </c>
      <c r="AG236" s="22" t="s">
        <v>53</v>
      </c>
      <c r="AH236" s="22" t="s">
        <v>53</v>
      </c>
      <c r="AI236" s="22" t="s">
        <v>53</v>
      </c>
      <c r="AJ236">
        <v>0</v>
      </c>
      <c r="AK236">
        <v>11</v>
      </c>
      <c r="AL236">
        <v>8</v>
      </c>
      <c r="AM236">
        <v>2</v>
      </c>
      <c r="AN236" s="22" t="s">
        <v>53</v>
      </c>
      <c r="AO236" s="22">
        <v>0.0909090909090909</v>
      </c>
      <c r="AP236" s="22">
        <v>0</v>
      </c>
      <c r="AQ236" s="22">
        <v>0</v>
      </c>
      <c r="AR236" s="35">
        <v>0</v>
      </c>
      <c r="AS236" s="35">
        <v>0</v>
      </c>
      <c r="AT236" s="35">
        <v>0</v>
      </c>
      <c r="AU236" s="31" t="str">
        <f t="shared" si="7"/>
        <v>库存为0</v>
      </c>
      <c r="AV236" s="36" t="str">
        <f>IFERROR(时间!$B$4+AU236,"上周无销量")</f>
        <v>上周无销量</v>
      </c>
    </row>
    <row r="237" spans="1:48">
      <c r="A237" s="20" t="s">
        <v>603</v>
      </c>
      <c r="B237" t="s">
        <v>604</v>
      </c>
      <c r="C237" t="s">
        <v>602</v>
      </c>
      <c r="D237" s="31">
        <v>0</v>
      </c>
      <c r="E237" s="31">
        <v>0</v>
      </c>
      <c r="F237" s="31">
        <v>1</v>
      </c>
      <c r="G237" s="31">
        <v>0</v>
      </c>
      <c r="H237" s="32">
        <v>10</v>
      </c>
      <c r="I237">
        <v>0</v>
      </c>
      <c r="J237" s="33">
        <v>0</v>
      </c>
      <c r="K237" s="33">
        <v>0</v>
      </c>
      <c r="L237" s="33">
        <v>0</v>
      </c>
      <c r="M237">
        <v>0</v>
      </c>
      <c r="N237">
        <v>0</v>
      </c>
      <c r="O237">
        <v>0</v>
      </c>
      <c r="P237" t="s">
        <v>53</v>
      </c>
      <c r="Q237" t="s">
        <v>53</v>
      </c>
      <c r="R237" t="s">
        <v>53</v>
      </c>
      <c r="S237" t="s">
        <v>53</v>
      </c>
      <c r="T237" t="s">
        <v>53</v>
      </c>
      <c r="U237" t="s">
        <v>53</v>
      </c>
      <c r="V237" t="s">
        <v>53</v>
      </c>
      <c r="W237" t="s">
        <v>53</v>
      </c>
      <c r="X237" s="22" t="s">
        <v>53</v>
      </c>
      <c r="Y237" s="22" t="s">
        <v>53</v>
      </c>
      <c r="Z237" s="22" t="s">
        <v>53</v>
      </c>
      <c r="AA237" s="22" t="s">
        <v>53</v>
      </c>
      <c r="AB237" t="s">
        <v>53</v>
      </c>
      <c r="AC237" t="s">
        <v>53</v>
      </c>
      <c r="AD237" t="s">
        <v>53</v>
      </c>
      <c r="AE237" t="s">
        <v>53</v>
      </c>
      <c r="AF237" s="22" t="s">
        <v>53</v>
      </c>
      <c r="AG237" s="22" t="s">
        <v>53</v>
      </c>
      <c r="AH237" s="22" t="s">
        <v>53</v>
      </c>
      <c r="AI237" s="22" t="s">
        <v>53</v>
      </c>
      <c r="AJ237">
        <v>0</v>
      </c>
      <c r="AK237">
        <v>9</v>
      </c>
      <c r="AL237">
        <v>14</v>
      </c>
      <c r="AM237">
        <v>4</v>
      </c>
      <c r="AN237" s="22" t="s">
        <v>53</v>
      </c>
      <c r="AO237" s="22">
        <v>0</v>
      </c>
      <c r="AP237" s="22">
        <v>0.0714285714285714</v>
      </c>
      <c r="AQ237" s="22">
        <v>0</v>
      </c>
      <c r="AR237" s="35">
        <v>0</v>
      </c>
      <c r="AS237" s="35">
        <v>0</v>
      </c>
      <c r="AT237" s="35">
        <v>0</v>
      </c>
      <c r="AU237" s="31" t="str">
        <f t="shared" si="7"/>
        <v>库存为0</v>
      </c>
      <c r="AV237" s="36" t="str">
        <f>IFERROR(时间!$B$4+AU237,"上周无销量")</f>
        <v>上周无销量</v>
      </c>
    </row>
    <row r="238" spans="1:48">
      <c r="A238" s="20" t="s">
        <v>605</v>
      </c>
      <c r="B238" t="s">
        <v>606</v>
      </c>
      <c r="C238" t="s">
        <v>602</v>
      </c>
      <c r="D238" s="31">
        <v>0</v>
      </c>
      <c r="E238" s="31">
        <v>2</v>
      </c>
      <c r="F238" s="31">
        <v>1</v>
      </c>
      <c r="G238" s="31">
        <v>0</v>
      </c>
      <c r="H238" s="32">
        <v>15.99</v>
      </c>
      <c r="I238">
        <v>2</v>
      </c>
      <c r="J238" s="33">
        <v>0</v>
      </c>
      <c r="K238" s="33">
        <v>0</v>
      </c>
      <c r="L238" s="33">
        <v>0</v>
      </c>
      <c r="M238">
        <v>2</v>
      </c>
      <c r="N238">
        <v>0</v>
      </c>
      <c r="O238">
        <v>0</v>
      </c>
      <c r="P238" t="s">
        <v>53</v>
      </c>
      <c r="Q238" t="s">
        <v>53</v>
      </c>
      <c r="R238" t="s">
        <v>53</v>
      </c>
      <c r="S238" t="s">
        <v>53</v>
      </c>
      <c r="T238" t="s">
        <v>53</v>
      </c>
      <c r="U238" t="s">
        <v>53</v>
      </c>
      <c r="V238" t="s">
        <v>53</v>
      </c>
      <c r="W238" t="s">
        <v>53</v>
      </c>
      <c r="X238" s="22" t="s">
        <v>53</v>
      </c>
      <c r="Y238" s="22" t="s">
        <v>53</v>
      </c>
      <c r="Z238" s="22" t="s">
        <v>53</v>
      </c>
      <c r="AA238" s="22" t="s">
        <v>53</v>
      </c>
      <c r="AB238" t="s">
        <v>53</v>
      </c>
      <c r="AC238" t="s">
        <v>53</v>
      </c>
      <c r="AD238" t="s">
        <v>53</v>
      </c>
      <c r="AE238" t="s">
        <v>53</v>
      </c>
      <c r="AF238" s="22" t="s">
        <v>53</v>
      </c>
      <c r="AG238" s="22" t="s">
        <v>53</v>
      </c>
      <c r="AH238" s="22" t="s">
        <v>53</v>
      </c>
      <c r="AI238" s="22" t="s">
        <v>53</v>
      </c>
      <c r="AJ238">
        <v>4</v>
      </c>
      <c r="AK238">
        <v>20</v>
      </c>
      <c r="AL238">
        <v>5</v>
      </c>
      <c r="AM238">
        <v>4</v>
      </c>
      <c r="AN238" s="22">
        <v>0</v>
      </c>
      <c r="AO238" s="22">
        <v>0.1</v>
      </c>
      <c r="AP238" s="22">
        <v>0.2</v>
      </c>
      <c r="AQ238" s="22">
        <v>0</v>
      </c>
      <c r="AR238" s="35">
        <v>0</v>
      </c>
      <c r="AS238" s="35">
        <v>0</v>
      </c>
      <c r="AT238" s="35">
        <v>2</v>
      </c>
      <c r="AU238" s="31" t="str">
        <f t="shared" si="7"/>
        <v>库存为2</v>
      </c>
      <c r="AV238" s="36" t="str">
        <f>IFERROR(时间!$B$4+AU238,"上周无销量")</f>
        <v>上周无销量</v>
      </c>
    </row>
    <row r="239" spans="1:48">
      <c r="A239" s="20" t="s">
        <v>607</v>
      </c>
      <c r="B239" t="s">
        <v>608</v>
      </c>
      <c r="C239" t="s">
        <v>602</v>
      </c>
      <c r="D239" s="31">
        <v>0</v>
      </c>
      <c r="E239" s="31">
        <v>0</v>
      </c>
      <c r="F239" s="31">
        <v>1</v>
      </c>
      <c r="G239" s="31">
        <v>0</v>
      </c>
      <c r="H239" s="32">
        <v>10</v>
      </c>
      <c r="I239">
        <v>0</v>
      </c>
      <c r="J239" s="33">
        <v>0</v>
      </c>
      <c r="K239" s="33">
        <v>0</v>
      </c>
      <c r="L239" s="33">
        <v>0</v>
      </c>
      <c r="M239">
        <v>0</v>
      </c>
      <c r="N239">
        <v>0</v>
      </c>
      <c r="O239">
        <v>0</v>
      </c>
      <c r="P239" t="s">
        <v>53</v>
      </c>
      <c r="Q239" t="s">
        <v>53</v>
      </c>
      <c r="R239" t="s">
        <v>53</v>
      </c>
      <c r="S239" t="s">
        <v>53</v>
      </c>
      <c r="T239" t="s">
        <v>53</v>
      </c>
      <c r="U239" t="s">
        <v>53</v>
      </c>
      <c r="V239" t="s">
        <v>53</v>
      </c>
      <c r="W239" t="s">
        <v>53</v>
      </c>
      <c r="X239" s="22" t="s">
        <v>53</v>
      </c>
      <c r="Y239" s="22" t="s">
        <v>53</v>
      </c>
      <c r="Z239" s="22" t="s">
        <v>53</v>
      </c>
      <c r="AA239" s="22" t="s">
        <v>53</v>
      </c>
      <c r="AB239" t="s">
        <v>53</v>
      </c>
      <c r="AC239" t="s">
        <v>53</v>
      </c>
      <c r="AD239" t="s">
        <v>53</v>
      </c>
      <c r="AE239" t="s">
        <v>53</v>
      </c>
      <c r="AF239" s="22" t="s">
        <v>53</v>
      </c>
      <c r="AG239" s="22" t="s">
        <v>53</v>
      </c>
      <c r="AH239" s="22" t="s">
        <v>53</v>
      </c>
      <c r="AI239" s="22" t="s">
        <v>53</v>
      </c>
      <c r="AJ239">
        <v>0</v>
      </c>
      <c r="AK239">
        <v>4</v>
      </c>
      <c r="AL239">
        <v>12</v>
      </c>
      <c r="AM239">
        <v>1</v>
      </c>
      <c r="AN239" s="22" t="s">
        <v>53</v>
      </c>
      <c r="AO239" s="22">
        <v>0</v>
      </c>
      <c r="AP239" s="22">
        <v>0.0833333333333333</v>
      </c>
      <c r="AQ239" s="22">
        <v>0</v>
      </c>
      <c r="AR239" s="35">
        <v>0</v>
      </c>
      <c r="AS239" s="35">
        <v>0</v>
      </c>
      <c r="AT239" s="35">
        <v>0</v>
      </c>
      <c r="AU239" s="31" t="str">
        <f t="shared" si="7"/>
        <v>库存为0</v>
      </c>
      <c r="AV239" s="36" t="str">
        <f>IFERROR(时间!$B$4+AU239,"上周无销量")</f>
        <v>上周无销量</v>
      </c>
    </row>
    <row r="240" spans="1:48">
      <c r="A240" s="20" t="s">
        <v>609</v>
      </c>
      <c r="B240" t="s">
        <v>610</v>
      </c>
      <c r="C240" t="s">
        <v>611</v>
      </c>
      <c r="D240" s="31">
        <v>0</v>
      </c>
      <c r="E240" s="31">
        <v>0</v>
      </c>
      <c r="F240" s="31">
        <v>0</v>
      </c>
      <c r="G240" s="31">
        <v>0</v>
      </c>
      <c r="H240" s="32">
        <v>0</v>
      </c>
      <c r="I240">
        <v>3</v>
      </c>
      <c r="J240" s="33">
        <v>0</v>
      </c>
      <c r="K240" s="33">
        <v>0</v>
      </c>
      <c r="L240" s="33">
        <v>0</v>
      </c>
      <c r="M240">
        <v>3</v>
      </c>
      <c r="N240">
        <v>0</v>
      </c>
      <c r="O240">
        <v>3</v>
      </c>
      <c r="P240" t="s">
        <v>53</v>
      </c>
      <c r="Q240" t="s">
        <v>53</v>
      </c>
      <c r="R240" t="s">
        <v>53</v>
      </c>
      <c r="S240" t="s">
        <v>53</v>
      </c>
      <c r="T240" t="s">
        <v>53</v>
      </c>
      <c r="U240" t="s">
        <v>53</v>
      </c>
      <c r="V240" t="s">
        <v>53</v>
      </c>
      <c r="W240" t="s">
        <v>53</v>
      </c>
      <c r="X240" s="22" t="s">
        <v>53</v>
      </c>
      <c r="Y240" s="22" t="s">
        <v>53</v>
      </c>
      <c r="Z240" s="22" t="s">
        <v>53</v>
      </c>
      <c r="AA240" s="22" t="s">
        <v>53</v>
      </c>
      <c r="AB240" t="s">
        <v>53</v>
      </c>
      <c r="AC240" t="s">
        <v>53</v>
      </c>
      <c r="AD240" t="s">
        <v>53</v>
      </c>
      <c r="AE240" t="s">
        <v>53</v>
      </c>
      <c r="AF240" s="22" t="s">
        <v>53</v>
      </c>
      <c r="AG240" s="22" t="s">
        <v>53</v>
      </c>
      <c r="AH240" s="22" t="s">
        <v>53</v>
      </c>
      <c r="AI240" s="22" t="s">
        <v>53</v>
      </c>
      <c r="AJ240">
        <v>5</v>
      </c>
      <c r="AK240">
        <v>6</v>
      </c>
      <c r="AL240">
        <v>2</v>
      </c>
      <c r="AM240">
        <v>1</v>
      </c>
      <c r="AN240" s="22">
        <v>0</v>
      </c>
      <c r="AO240" s="22">
        <v>0</v>
      </c>
      <c r="AP240" s="22">
        <v>0</v>
      </c>
      <c r="AQ240" s="22">
        <v>0</v>
      </c>
      <c r="AR240" s="35">
        <v>0</v>
      </c>
      <c r="AS240" s="35">
        <v>0</v>
      </c>
      <c r="AT240" s="35">
        <v>3</v>
      </c>
      <c r="AU240" s="31" t="str">
        <f t="shared" si="7"/>
        <v>库存为3</v>
      </c>
      <c r="AV240" s="36" t="str">
        <f>IFERROR(时间!$B$4+AU240,"上周无销量")</f>
        <v>上周无销量</v>
      </c>
    </row>
    <row r="241" spans="1:48">
      <c r="A241" s="20" t="s">
        <v>612</v>
      </c>
      <c r="B241" t="s">
        <v>613</v>
      </c>
      <c r="C241" t="s">
        <v>611</v>
      </c>
      <c r="D241" s="31">
        <v>0</v>
      </c>
      <c r="E241" s="31">
        <v>0</v>
      </c>
      <c r="F241" s="31">
        <v>0</v>
      </c>
      <c r="G241" s="31">
        <v>0</v>
      </c>
      <c r="H241" s="32">
        <v>0</v>
      </c>
      <c r="I241">
        <v>3</v>
      </c>
      <c r="J241" s="33">
        <v>0</v>
      </c>
      <c r="K241" s="33">
        <v>0</v>
      </c>
      <c r="L241" s="33">
        <v>0</v>
      </c>
      <c r="M241">
        <v>3</v>
      </c>
      <c r="N241">
        <v>0</v>
      </c>
      <c r="O241">
        <v>3</v>
      </c>
      <c r="P241" t="s">
        <v>53</v>
      </c>
      <c r="Q241" t="s">
        <v>53</v>
      </c>
      <c r="R241" t="s">
        <v>53</v>
      </c>
      <c r="S241" t="s">
        <v>53</v>
      </c>
      <c r="T241" t="s">
        <v>53</v>
      </c>
      <c r="U241" t="s">
        <v>53</v>
      </c>
      <c r="V241" t="s">
        <v>53</v>
      </c>
      <c r="W241" t="s">
        <v>53</v>
      </c>
      <c r="X241" s="22" t="s">
        <v>53</v>
      </c>
      <c r="Y241" s="22" t="s">
        <v>53</v>
      </c>
      <c r="Z241" s="22" t="s">
        <v>53</v>
      </c>
      <c r="AA241" s="22" t="s">
        <v>53</v>
      </c>
      <c r="AB241" t="s">
        <v>53</v>
      </c>
      <c r="AC241" t="s">
        <v>53</v>
      </c>
      <c r="AD241" t="s">
        <v>53</v>
      </c>
      <c r="AE241" t="s">
        <v>53</v>
      </c>
      <c r="AF241" s="22" t="s">
        <v>53</v>
      </c>
      <c r="AG241" s="22" t="s">
        <v>53</v>
      </c>
      <c r="AH241" s="22" t="s">
        <v>53</v>
      </c>
      <c r="AI241" s="22" t="s">
        <v>53</v>
      </c>
      <c r="AJ241">
        <v>5</v>
      </c>
      <c r="AK241">
        <v>5</v>
      </c>
      <c r="AL241">
        <v>0</v>
      </c>
      <c r="AM241">
        <v>4</v>
      </c>
      <c r="AN241" s="22">
        <v>0</v>
      </c>
      <c r="AO241" s="22">
        <v>0</v>
      </c>
      <c r="AP241" s="22" t="s">
        <v>53</v>
      </c>
      <c r="AQ241" s="22">
        <v>0</v>
      </c>
      <c r="AR241" s="35">
        <v>0</v>
      </c>
      <c r="AS241" s="35">
        <v>0</v>
      </c>
      <c r="AT241" s="35">
        <v>3</v>
      </c>
      <c r="AU241" s="31" t="str">
        <f t="shared" si="7"/>
        <v>库存为3</v>
      </c>
      <c r="AV241" s="36" t="str">
        <f>IFERROR(时间!$B$4+AU241,"上周无销量")</f>
        <v>上周无销量</v>
      </c>
    </row>
    <row r="242" spans="1:48">
      <c r="A242" s="20" t="s">
        <v>614</v>
      </c>
      <c r="B242" t="s">
        <v>615</v>
      </c>
      <c r="C242" t="s">
        <v>616</v>
      </c>
      <c r="D242" s="31">
        <v>0</v>
      </c>
      <c r="E242" s="31">
        <v>0</v>
      </c>
      <c r="F242" s="31">
        <v>0</v>
      </c>
      <c r="G242" s="31">
        <v>0</v>
      </c>
      <c r="H242" s="32">
        <v>0</v>
      </c>
      <c r="I242">
        <v>0</v>
      </c>
      <c r="J242" s="33">
        <v>0</v>
      </c>
      <c r="K242" s="33">
        <v>0</v>
      </c>
      <c r="L242" s="33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1360</v>
      </c>
      <c r="T242">
        <v>0</v>
      </c>
      <c r="U242">
        <v>0</v>
      </c>
      <c r="V242">
        <v>0</v>
      </c>
      <c r="W242">
        <v>9</v>
      </c>
      <c r="X242" s="22" t="s">
        <v>53</v>
      </c>
      <c r="Y242" s="22" t="s">
        <v>53</v>
      </c>
      <c r="Z242" s="22" t="s">
        <v>53</v>
      </c>
      <c r="AA242" s="22">
        <v>0.00661764705882353</v>
      </c>
      <c r="AB242">
        <v>0</v>
      </c>
      <c r="AC242">
        <v>0</v>
      </c>
      <c r="AD242">
        <v>0</v>
      </c>
      <c r="AE242">
        <v>2.43</v>
      </c>
      <c r="AF242" s="22" t="s">
        <v>53</v>
      </c>
      <c r="AG242" s="22" t="s">
        <v>53</v>
      </c>
      <c r="AH242" s="22" t="s">
        <v>53</v>
      </c>
      <c r="AI242" s="22" t="s">
        <v>617</v>
      </c>
      <c r="AJ242">
        <v>0</v>
      </c>
      <c r="AK242">
        <v>0</v>
      </c>
      <c r="AL242">
        <v>0</v>
      </c>
      <c r="AM242">
        <v>0</v>
      </c>
      <c r="AN242" s="22" t="s">
        <v>53</v>
      </c>
      <c r="AO242" s="22" t="s">
        <v>53</v>
      </c>
      <c r="AP242" s="22" t="s">
        <v>53</v>
      </c>
      <c r="AQ242" s="22" t="s">
        <v>53</v>
      </c>
      <c r="AR242" s="35">
        <v>0</v>
      </c>
      <c r="AS242" s="35">
        <v>0</v>
      </c>
      <c r="AT242" s="35">
        <v>0</v>
      </c>
      <c r="AU242" s="31" t="str">
        <f t="shared" si="7"/>
        <v>库存为0</v>
      </c>
      <c r="AV242" s="36" t="str">
        <f>IFERROR(时间!$B$4+AU242,"上周无销量")</f>
        <v>上周无销量</v>
      </c>
    </row>
    <row r="243" spans="1:48">
      <c r="A243" s="20" t="s">
        <v>618</v>
      </c>
      <c r="B243" t="s">
        <v>619</v>
      </c>
      <c r="C243" t="s">
        <v>616</v>
      </c>
      <c r="D243" s="31">
        <v>2</v>
      </c>
      <c r="E243" s="31">
        <v>0</v>
      </c>
      <c r="F243" s="31">
        <v>2</v>
      </c>
      <c r="G243" s="31">
        <v>3</v>
      </c>
      <c r="H243" s="32">
        <v>18.99</v>
      </c>
      <c r="I243">
        <v>5</v>
      </c>
      <c r="J243" s="33">
        <v>0</v>
      </c>
      <c r="K243" s="33">
        <v>0</v>
      </c>
      <c r="L243" s="33">
        <v>0</v>
      </c>
      <c r="M243">
        <v>5</v>
      </c>
      <c r="N243">
        <v>0</v>
      </c>
      <c r="O243">
        <v>5</v>
      </c>
      <c r="P243" t="s">
        <v>53</v>
      </c>
      <c r="Q243" t="s">
        <v>53</v>
      </c>
      <c r="R243" t="s">
        <v>53</v>
      </c>
      <c r="S243" t="s">
        <v>53</v>
      </c>
      <c r="T243" t="s">
        <v>53</v>
      </c>
      <c r="U243" t="s">
        <v>53</v>
      </c>
      <c r="V243" t="s">
        <v>53</v>
      </c>
      <c r="W243" t="s">
        <v>53</v>
      </c>
      <c r="X243" s="22" t="s">
        <v>53</v>
      </c>
      <c r="Y243" s="22" t="s">
        <v>53</v>
      </c>
      <c r="Z243" s="22" t="s">
        <v>53</v>
      </c>
      <c r="AA243" s="22" t="s">
        <v>53</v>
      </c>
      <c r="AB243" t="s">
        <v>53</v>
      </c>
      <c r="AC243" t="s">
        <v>53</v>
      </c>
      <c r="AD243" t="s">
        <v>53</v>
      </c>
      <c r="AE243" t="s">
        <v>53</v>
      </c>
      <c r="AF243" s="22" t="s">
        <v>53</v>
      </c>
      <c r="AG243" s="22" t="s">
        <v>53</v>
      </c>
      <c r="AH243" s="22" t="s">
        <v>53</v>
      </c>
      <c r="AI243" s="22" t="s">
        <v>53</v>
      </c>
      <c r="AJ243">
        <v>32</v>
      </c>
      <c r="AK243">
        <v>37</v>
      </c>
      <c r="AL243">
        <v>29</v>
      </c>
      <c r="AM243">
        <v>39</v>
      </c>
      <c r="AN243" s="22">
        <v>0.0625</v>
      </c>
      <c r="AO243" s="22">
        <v>0</v>
      </c>
      <c r="AP243" s="22">
        <v>0.0689655172413793</v>
      </c>
      <c r="AQ243" s="22">
        <v>0.0769230769230769</v>
      </c>
      <c r="AR243" s="35">
        <v>0.285714285714286</v>
      </c>
      <c r="AS243" s="35">
        <v>17.1428571428571</v>
      </c>
      <c r="AT243" s="35">
        <v>-12.1428571428571</v>
      </c>
      <c r="AU243" s="31">
        <f t="shared" si="7"/>
        <v>17</v>
      </c>
      <c r="AV243" s="36">
        <f>IFERROR(时间!$B$4+AU243,"上周无销量")</f>
        <v>43356</v>
      </c>
    </row>
    <row r="244" spans="1:48">
      <c r="A244" s="20" t="s">
        <v>620</v>
      </c>
      <c r="B244" t="s">
        <v>621</v>
      </c>
      <c r="C244" t="s">
        <v>616</v>
      </c>
      <c r="D244" s="31">
        <v>3</v>
      </c>
      <c r="E244" s="31">
        <v>1</v>
      </c>
      <c r="F244" s="31">
        <v>1</v>
      </c>
      <c r="G244" s="31">
        <v>2</v>
      </c>
      <c r="H244" s="32">
        <v>18.99</v>
      </c>
      <c r="I244">
        <v>17</v>
      </c>
      <c r="J244" s="33">
        <v>0</v>
      </c>
      <c r="K244" s="33">
        <v>0</v>
      </c>
      <c r="L244" s="33">
        <v>0</v>
      </c>
      <c r="M244">
        <v>17</v>
      </c>
      <c r="N244">
        <v>0</v>
      </c>
      <c r="O244">
        <v>13</v>
      </c>
      <c r="P244" t="s">
        <v>53</v>
      </c>
      <c r="Q244" t="s">
        <v>53</v>
      </c>
      <c r="R244" t="s">
        <v>53</v>
      </c>
      <c r="S244" t="s">
        <v>53</v>
      </c>
      <c r="T244" t="s">
        <v>53</v>
      </c>
      <c r="U244" t="s">
        <v>53</v>
      </c>
      <c r="V244" t="s">
        <v>53</v>
      </c>
      <c r="W244" t="s">
        <v>53</v>
      </c>
      <c r="X244" s="22" t="s">
        <v>53</v>
      </c>
      <c r="Y244" s="22" t="s">
        <v>53</v>
      </c>
      <c r="Z244" s="22" t="s">
        <v>53</v>
      </c>
      <c r="AA244" s="22" t="s">
        <v>53</v>
      </c>
      <c r="AB244" t="s">
        <v>53</v>
      </c>
      <c r="AC244" t="s">
        <v>53</v>
      </c>
      <c r="AD244" t="s">
        <v>53</v>
      </c>
      <c r="AE244" t="s">
        <v>53</v>
      </c>
      <c r="AF244" s="22" t="s">
        <v>53</v>
      </c>
      <c r="AG244" s="22" t="s">
        <v>53</v>
      </c>
      <c r="AH244" s="22" t="s">
        <v>53</v>
      </c>
      <c r="AI244" s="22" t="s">
        <v>53</v>
      </c>
      <c r="AJ244">
        <v>43</v>
      </c>
      <c r="AK244">
        <v>48</v>
      </c>
      <c r="AL244">
        <v>42</v>
      </c>
      <c r="AM244">
        <v>19</v>
      </c>
      <c r="AN244" s="22">
        <v>0.0697674418604651</v>
      </c>
      <c r="AO244" s="22">
        <v>0.0208333333333333</v>
      </c>
      <c r="AP244" s="22">
        <v>0.0238095238095238</v>
      </c>
      <c r="AQ244" s="22">
        <v>0.105263157894737</v>
      </c>
      <c r="AR244" s="35">
        <v>0.428571428571429</v>
      </c>
      <c r="AS244" s="35">
        <v>25.7142857142857</v>
      </c>
      <c r="AT244" s="35">
        <v>-8.71428571428571</v>
      </c>
      <c r="AU244" s="31">
        <f t="shared" si="7"/>
        <v>39</v>
      </c>
      <c r="AV244" s="36">
        <f>IFERROR(时间!$B$4+AU244,"上周无销量")</f>
        <v>43378</v>
      </c>
    </row>
    <row r="245" spans="1:48">
      <c r="A245" s="20" t="s">
        <v>622</v>
      </c>
      <c r="B245" t="s">
        <v>623</v>
      </c>
      <c r="C245" t="s">
        <v>616</v>
      </c>
      <c r="D245" s="31">
        <v>9</v>
      </c>
      <c r="E245" s="31">
        <v>5</v>
      </c>
      <c r="F245" s="31">
        <v>5</v>
      </c>
      <c r="G245" s="31">
        <v>10</v>
      </c>
      <c r="H245" s="32">
        <v>10.99</v>
      </c>
      <c r="I245">
        <v>12</v>
      </c>
      <c r="J245" s="33">
        <v>0</v>
      </c>
      <c r="K245" s="33">
        <v>0</v>
      </c>
      <c r="L245" s="33">
        <v>0</v>
      </c>
      <c r="M245">
        <v>12</v>
      </c>
      <c r="N245">
        <v>0</v>
      </c>
      <c r="O245">
        <v>11</v>
      </c>
      <c r="P245" t="s">
        <v>53</v>
      </c>
      <c r="Q245" t="s">
        <v>53</v>
      </c>
      <c r="R245" t="s">
        <v>53</v>
      </c>
      <c r="S245" t="s">
        <v>53</v>
      </c>
      <c r="T245" t="s">
        <v>53</v>
      </c>
      <c r="U245" t="s">
        <v>53</v>
      </c>
      <c r="V245" t="s">
        <v>53</v>
      </c>
      <c r="W245" t="s">
        <v>53</v>
      </c>
      <c r="X245" s="22" t="s">
        <v>53</v>
      </c>
      <c r="Y245" s="22" t="s">
        <v>53</v>
      </c>
      <c r="Z245" s="22" t="s">
        <v>53</v>
      </c>
      <c r="AA245" s="22" t="s">
        <v>53</v>
      </c>
      <c r="AB245" t="s">
        <v>53</v>
      </c>
      <c r="AC245" t="s">
        <v>53</v>
      </c>
      <c r="AD245" t="s">
        <v>53</v>
      </c>
      <c r="AE245" t="s">
        <v>53</v>
      </c>
      <c r="AF245" s="22" t="s">
        <v>53</v>
      </c>
      <c r="AG245" s="22" t="s">
        <v>53</v>
      </c>
      <c r="AH245" s="22" t="s">
        <v>53</v>
      </c>
      <c r="AI245" s="22" t="s">
        <v>53</v>
      </c>
      <c r="AJ245">
        <v>75</v>
      </c>
      <c r="AK245">
        <v>89</v>
      </c>
      <c r="AL245">
        <v>63</v>
      </c>
      <c r="AM245">
        <v>58</v>
      </c>
      <c r="AN245" s="22">
        <v>0.12</v>
      </c>
      <c r="AO245" s="22">
        <v>0.0561797752808989</v>
      </c>
      <c r="AP245" s="22">
        <v>0.0793650793650794</v>
      </c>
      <c r="AQ245" s="22">
        <v>0.172413793103448</v>
      </c>
      <c r="AR245" s="35">
        <v>1.28571428571429</v>
      </c>
      <c r="AS245" s="35">
        <v>77.1428571428572</v>
      </c>
      <c r="AT245" s="35">
        <v>-65.1428571428572</v>
      </c>
      <c r="AU245" s="31">
        <f t="shared" si="7"/>
        <v>9</v>
      </c>
      <c r="AV245" s="36">
        <f>IFERROR(时间!$B$4+AU245,"上周无销量")</f>
        <v>43348</v>
      </c>
    </row>
    <row r="246" spans="1:48">
      <c r="A246" s="20" t="s">
        <v>624</v>
      </c>
      <c r="B246" t="s">
        <v>625</v>
      </c>
      <c r="C246" t="s">
        <v>626</v>
      </c>
      <c r="D246" s="31">
        <v>0</v>
      </c>
      <c r="E246" s="31">
        <v>0</v>
      </c>
      <c r="F246" s="31">
        <v>2</v>
      </c>
      <c r="G246" s="31">
        <v>3</v>
      </c>
      <c r="H246" s="32">
        <v>14.99</v>
      </c>
      <c r="I246">
        <v>16</v>
      </c>
      <c r="J246" s="33">
        <v>0</v>
      </c>
      <c r="K246" s="33">
        <v>0</v>
      </c>
      <c r="L246" s="33">
        <v>0</v>
      </c>
      <c r="M246">
        <v>16</v>
      </c>
      <c r="N246">
        <v>0</v>
      </c>
      <c r="O246">
        <v>16</v>
      </c>
      <c r="P246" t="s">
        <v>53</v>
      </c>
      <c r="Q246" t="s">
        <v>53</v>
      </c>
      <c r="R246" t="s">
        <v>53</v>
      </c>
      <c r="S246" t="s">
        <v>53</v>
      </c>
      <c r="T246" t="s">
        <v>53</v>
      </c>
      <c r="U246" t="s">
        <v>53</v>
      </c>
      <c r="V246" t="s">
        <v>53</v>
      </c>
      <c r="W246" t="s">
        <v>53</v>
      </c>
      <c r="X246" s="22" t="s">
        <v>53</v>
      </c>
      <c r="Y246" s="22" t="s">
        <v>53</v>
      </c>
      <c r="Z246" s="22" t="s">
        <v>53</v>
      </c>
      <c r="AA246" s="22" t="s">
        <v>53</v>
      </c>
      <c r="AB246" t="s">
        <v>53</v>
      </c>
      <c r="AC246" t="s">
        <v>53</v>
      </c>
      <c r="AD246" t="s">
        <v>53</v>
      </c>
      <c r="AE246" t="s">
        <v>53</v>
      </c>
      <c r="AF246" s="22" t="s">
        <v>53</v>
      </c>
      <c r="AG246" s="22" t="s">
        <v>53</v>
      </c>
      <c r="AH246" s="22" t="s">
        <v>53</v>
      </c>
      <c r="AI246" s="22" t="s">
        <v>53</v>
      </c>
      <c r="AJ246">
        <v>27</v>
      </c>
      <c r="AK246">
        <v>27</v>
      </c>
      <c r="AL246">
        <v>16</v>
      </c>
      <c r="AM246">
        <v>23</v>
      </c>
      <c r="AN246" s="22">
        <v>0</v>
      </c>
      <c r="AO246" s="22">
        <v>0</v>
      </c>
      <c r="AP246" s="22">
        <v>0.125</v>
      </c>
      <c r="AQ246" s="22">
        <v>0.130434782608696</v>
      </c>
      <c r="AR246" s="35">
        <v>0</v>
      </c>
      <c r="AS246" s="35">
        <v>0</v>
      </c>
      <c r="AT246" s="35">
        <v>16</v>
      </c>
      <c r="AU246" s="31" t="str">
        <f t="shared" si="7"/>
        <v>库存为16</v>
      </c>
      <c r="AV246" s="36" t="str">
        <f>IFERROR(时间!$B$4+AU246,"上周无销量")</f>
        <v>上周无销量</v>
      </c>
    </row>
    <row r="247" spans="1:48">
      <c r="A247" s="20" t="s">
        <v>627</v>
      </c>
      <c r="B247" t="s">
        <v>628</v>
      </c>
      <c r="C247" t="s">
        <v>626</v>
      </c>
      <c r="D247" s="31">
        <v>0</v>
      </c>
      <c r="E247" s="31">
        <v>0</v>
      </c>
      <c r="F247" s="31">
        <v>0</v>
      </c>
      <c r="G247" s="31">
        <v>1</v>
      </c>
      <c r="H247" s="32">
        <v>14.99</v>
      </c>
      <c r="I247">
        <v>20</v>
      </c>
      <c r="J247" s="33">
        <v>0</v>
      </c>
      <c r="K247" s="33">
        <v>0</v>
      </c>
      <c r="L247" s="33">
        <v>0</v>
      </c>
      <c r="M247">
        <v>20</v>
      </c>
      <c r="N247">
        <v>0</v>
      </c>
      <c r="O247">
        <v>10</v>
      </c>
      <c r="P247" t="s">
        <v>53</v>
      </c>
      <c r="Q247" t="s">
        <v>53</v>
      </c>
      <c r="R247" t="s">
        <v>53</v>
      </c>
      <c r="S247" t="s">
        <v>53</v>
      </c>
      <c r="T247" t="s">
        <v>53</v>
      </c>
      <c r="U247" t="s">
        <v>53</v>
      </c>
      <c r="V247" t="s">
        <v>53</v>
      </c>
      <c r="W247" t="s">
        <v>53</v>
      </c>
      <c r="X247" s="22" t="s">
        <v>53</v>
      </c>
      <c r="Y247" s="22" t="s">
        <v>53</v>
      </c>
      <c r="Z247" s="22" t="s">
        <v>53</v>
      </c>
      <c r="AA247" s="22" t="s">
        <v>53</v>
      </c>
      <c r="AB247" t="s">
        <v>53</v>
      </c>
      <c r="AC247" t="s">
        <v>53</v>
      </c>
      <c r="AD247" t="s">
        <v>53</v>
      </c>
      <c r="AE247" t="s">
        <v>53</v>
      </c>
      <c r="AF247" s="22" t="s">
        <v>53</v>
      </c>
      <c r="AG247" s="22" t="s">
        <v>53</v>
      </c>
      <c r="AH247" s="22" t="s">
        <v>53</v>
      </c>
      <c r="AI247" s="22" t="s">
        <v>53</v>
      </c>
      <c r="AJ247">
        <v>19</v>
      </c>
      <c r="AK247">
        <v>13</v>
      </c>
      <c r="AL247">
        <v>15</v>
      </c>
      <c r="AM247">
        <v>16</v>
      </c>
      <c r="AN247" s="22">
        <v>0</v>
      </c>
      <c r="AO247" s="22">
        <v>0</v>
      </c>
      <c r="AP247" s="22">
        <v>0</v>
      </c>
      <c r="AQ247" s="22">
        <v>0.0625</v>
      </c>
      <c r="AR247" s="35">
        <v>0</v>
      </c>
      <c r="AS247" s="35">
        <v>0</v>
      </c>
      <c r="AT247" s="35">
        <v>20</v>
      </c>
      <c r="AU247" s="31" t="str">
        <f t="shared" si="7"/>
        <v>库存为20</v>
      </c>
      <c r="AV247" s="36" t="str">
        <f>IFERROR(时间!$B$4+AU247,"上周无销量")</f>
        <v>上周无销量</v>
      </c>
    </row>
    <row r="248" spans="1:48">
      <c r="A248" s="20" t="s">
        <v>629</v>
      </c>
      <c r="B248" t="s">
        <v>630</v>
      </c>
      <c r="C248" t="s">
        <v>626</v>
      </c>
      <c r="D248" s="31">
        <v>0</v>
      </c>
      <c r="E248" s="31">
        <v>0</v>
      </c>
      <c r="F248" s="31">
        <v>0</v>
      </c>
      <c r="G248" s="31">
        <v>1</v>
      </c>
      <c r="H248" s="32">
        <v>14.99</v>
      </c>
      <c r="I248">
        <v>20</v>
      </c>
      <c r="J248" s="33">
        <v>0</v>
      </c>
      <c r="K248" s="33">
        <v>0</v>
      </c>
      <c r="L248" s="33">
        <v>0</v>
      </c>
      <c r="M248">
        <v>20</v>
      </c>
      <c r="N248">
        <v>0</v>
      </c>
      <c r="O248">
        <v>10</v>
      </c>
      <c r="P248" t="s">
        <v>53</v>
      </c>
      <c r="Q248" t="s">
        <v>53</v>
      </c>
      <c r="R248" t="s">
        <v>53</v>
      </c>
      <c r="S248" t="s">
        <v>53</v>
      </c>
      <c r="T248" t="s">
        <v>53</v>
      </c>
      <c r="U248" t="s">
        <v>53</v>
      </c>
      <c r="V248" t="s">
        <v>53</v>
      </c>
      <c r="W248" t="s">
        <v>53</v>
      </c>
      <c r="X248" s="22" t="s">
        <v>53</v>
      </c>
      <c r="Y248" s="22" t="s">
        <v>53</v>
      </c>
      <c r="Z248" s="22" t="s">
        <v>53</v>
      </c>
      <c r="AA248" s="22" t="s">
        <v>53</v>
      </c>
      <c r="AB248" t="s">
        <v>53</v>
      </c>
      <c r="AC248" t="s">
        <v>53</v>
      </c>
      <c r="AD248" t="s">
        <v>53</v>
      </c>
      <c r="AE248" t="s">
        <v>53</v>
      </c>
      <c r="AF248" s="22" t="s">
        <v>53</v>
      </c>
      <c r="AG248" s="22" t="s">
        <v>53</v>
      </c>
      <c r="AH248" s="22" t="s">
        <v>53</v>
      </c>
      <c r="AI248" s="22" t="s">
        <v>53</v>
      </c>
      <c r="AJ248">
        <v>10</v>
      </c>
      <c r="AK248">
        <v>12</v>
      </c>
      <c r="AL248">
        <v>16</v>
      </c>
      <c r="AM248">
        <v>11</v>
      </c>
      <c r="AN248" s="22">
        <v>0</v>
      </c>
      <c r="AO248" s="22">
        <v>0</v>
      </c>
      <c r="AP248" s="22">
        <v>0</v>
      </c>
      <c r="AQ248" s="22">
        <v>0.0909090909090909</v>
      </c>
      <c r="AR248" s="35">
        <v>0</v>
      </c>
      <c r="AS248" s="35">
        <v>0</v>
      </c>
      <c r="AT248" s="35">
        <v>20</v>
      </c>
      <c r="AU248" s="31" t="str">
        <f t="shared" si="7"/>
        <v>库存为20</v>
      </c>
      <c r="AV248" s="36" t="str">
        <f>IFERROR(时间!$B$4+AU248,"上周无销量")</f>
        <v>上周无销量</v>
      </c>
    </row>
    <row r="249" spans="1:48">
      <c r="A249" s="20" t="s">
        <v>631</v>
      </c>
      <c r="B249" t="s">
        <v>632</v>
      </c>
      <c r="C249" t="s">
        <v>633</v>
      </c>
      <c r="D249" s="31">
        <v>6</v>
      </c>
      <c r="E249" s="31">
        <v>6</v>
      </c>
      <c r="F249" s="31">
        <v>9</v>
      </c>
      <c r="G249" s="31">
        <v>1</v>
      </c>
      <c r="H249" s="32">
        <v>13.99</v>
      </c>
      <c r="I249">
        <v>4</v>
      </c>
      <c r="J249" s="33">
        <v>0</v>
      </c>
      <c r="K249" s="33">
        <v>0</v>
      </c>
      <c r="L249" s="33">
        <v>1</v>
      </c>
      <c r="M249">
        <v>5</v>
      </c>
      <c r="N249">
        <v>1</v>
      </c>
      <c r="O249">
        <v>0</v>
      </c>
      <c r="P249">
        <v>0</v>
      </c>
      <c r="Q249">
        <v>25109</v>
      </c>
      <c r="R249">
        <v>71415</v>
      </c>
      <c r="S249">
        <v>7443</v>
      </c>
      <c r="T249">
        <v>0</v>
      </c>
      <c r="U249">
        <v>105</v>
      </c>
      <c r="V249">
        <v>106</v>
      </c>
      <c r="W249">
        <v>43</v>
      </c>
      <c r="X249" s="22" t="s">
        <v>53</v>
      </c>
      <c r="Y249" s="22">
        <v>0.00418176749372735</v>
      </c>
      <c r="Z249" s="22">
        <v>0.00148428201358258</v>
      </c>
      <c r="AA249" s="22">
        <v>0.00577724036006986</v>
      </c>
      <c r="AB249">
        <v>0</v>
      </c>
      <c r="AC249">
        <v>63.68</v>
      </c>
      <c r="AD249">
        <v>58.56</v>
      </c>
      <c r="AE249">
        <v>23.72</v>
      </c>
      <c r="AF249" s="22" t="s">
        <v>53</v>
      </c>
      <c r="AG249" s="22">
        <v>0.758637121753634</v>
      </c>
      <c r="AH249" s="22">
        <v>0.465094114843936</v>
      </c>
      <c r="AI249" s="22">
        <v>1.69549678341673</v>
      </c>
      <c r="AJ249">
        <v>36</v>
      </c>
      <c r="AK249">
        <v>48</v>
      </c>
      <c r="AL249">
        <v>64</v>
      </c>
      <c r="AM249">
        <v>65</v>
      </c>
      <c r="AN249" s="22">
        <v>0.166666666666667</v>
      </c>
      <c r="AO249" s="22">
        <v>0.125</v>
      </c>
      <c r="AP249" s="22">
        <v>0.140625</v>
      </c>
      <c r="AQ249" s="22">
        <v>0.0153846153846154</v>
      </c>
      <c r="AR249" s="35">
        <v>0.857142857142857</v>
      </c>
      <c r="AS249" s="35">
        <v>51.4285714285714</v>
      </c>
      <c r="AT249" s="35">
        <v>-46.4285714285714</v>
      </c>
      <c r="AU249" s="31">
        <f t="shared" si="7"/>
        <v>5</v>
      </c>
      <c r="AV249" s="36">
        <f>IFERROR(时间!$B$4+AU249,"上周无销量")</f>
        <v>43344</v>
      </c>
    </row>
    <row r="250" spans="1:48">
      <c r="A250" s="20" t="s">
        <v>634</v>
      </c>
      <c r="B250" t="s">
        <v>635</v>
      </c>
      <c r="C250" t="s">
        <v>633</v>
      </c>
      <c r="D250" s="31">
        <v>1</v>
      </c>
      <c r="E250" s="31">
        <v>1</v>
      </c>
      <c r="F250" s="31">
        <v>2</v>
      </c>
      <c r="G250" s="31">
        <v>0</v>
      </c>
      <c r="H250" s="32">
        <v>11.99</v>
      </c>
      <c r="I250">
        <v>29</v>
      </c>
      <c r="J250" s="33">
        <v>0</v>
      </c>
      <c r="K250" s="33">
        <v>0</v>
      </c>
      <c r="L250" s="33">
        <v>0</v>
      </c>
      <c r="M250">
        <v>29</v>
      </c>
      <c r="N250">
        <v>0</v>
      </c>
      <c r="O250">
        <v>29</v>
      </c>
      <c r="P250" t="s">
        <v>53</v>
      </c>
      <c r="Q250" t="s">
        <v>53</v>
      </c>
      <c r="R250" t="s">
        <v>53</v>
      </c>
      <c r="S250" t="s">
        <v>53</v>
      </c>
      <c r="T250" t="s">
        <v>53</v>
      </c>
      <c r="U250" t="s">
        <v>53</v>
      </c>
      <c r="V250" t="s">
        <v>53</v>
      </c>
      <c r="W250" t="s">
        <v>53</v>
      </c>
      <c r="X250" s="22" t="s">
        <v>53</v>
      </c>
      <c r="Y250" s="22" t="s">
        <v>53</v>
      </c>
      <c r="Z250" s="22" t="s">
        <v>53</v>
      </c>
      <c r="AA250" s="22" t="s">
        <v>53</v>
      </c>
      <c r="AB250" t="s">
        <v>53</v>
      </c>
      <c r="AC250" t="s">
        <v>53</v>
      </c>
      <c r="AD250" t="s">
        <v>53</v>
      </c>
      <c r="AE250" t="s">
        <v>53</v>
      </c>
      <c r="AF250" s="22" t="s">
        <v>53</v>
      </c>
      <c r="AG250" s="22" t="s">
        <v>53</v>
      </c>
      <c r="AH250" s="22" t="s">
        <v>53</v>
      </c>
      <c r="AI250" s="22" t="s">
        <v>53</v>
      </c>
      <c r="AJ250">
        <v>14</v>
      </c>
      <c r="AK250">
        <v>11</v>
      </c>
      <c r="AL250">
        <v>19</v>
      </c>
      <c r="AM250">
        <v>14</v>
      </c>
      <c r="AN250" s="22">
        <v>0.0714285714285714</v>
      </c>
      <c r="AO250" s="22">
        <v>0.0909090909090909</v>
      </c>
      <c r="AP250" s="22">
        <v>0.105263157894737</v>
      </c>
      <c r="AQ250" s="22">
        <v>0</v>
      </c>
      <c r="AR250" s="35">
        <v>0.142857142857143</v>
      </c>
      <c r="AS250" s="35">
        <v>8.57142857142857</v>
      </c>
      <c r="AT250" s="35">
        <v>20.4285714285714</v>
      </c>
      <c r="AU250" s="31">
        <f t="shared" si="7"/>
        <v>203</v>
      </c>
      <c r="AV250" s="36">
        <f>IFERROR(时间!$B$4+AU250,"上周无销量")</f>
        <v>43542</v>
      </c>
    </row>
    <row r="251" spans="1:48">
      <c r="A251" s="20" t="s">
        <v>636</v>
      </c>
      <c r="B251" t="s">
        <v>637</v>
      </c>
      <c r="C251" t="s">
        <v>633</v>
      </c>
      <c r="D251" s="31">
        <v>1</v>
      </c>
      <c r="E251" s="31">
        <v>1</v>
      </c>
      <c r="F251" s="31">
        <v>2</v>
      </c>
      <c r="G251" s="31">
        <v>0</v>
      </c>
      <c r="H251" s="32">
        <v>13.23</v>
      </c>
      <c r="I251">
        <v>12</v>
      </c>
      <c r="J251" s="33">
        <v>0</v>
      </c>
      <c r="K251" s="33">
        <v>0</v>
      </c>
      <c r="L251" s="33">
        <v>0</v>
      </c>
      <c r="M251">
        <v>12</v>
      </c>
      <c r="N251">
        <v>3</v>
      </c>
      <c r="O251">
        <v>12</v>
      </c>
      <c r="P251" t="s">
        <v>53</v>
      </c>
      <c r="Q251" t="s">
        <v>53</v>
      </c>
      <c r="R251" t="s">
        <v>53</v>
      </c>
      <c r="S251" t="s">
        <v>53</v>
      </c>
      <c r="T251" t="s">
        <v>53</v>
      </c>
      <c r="U251" t="s">
        <v>53</v>
      </c>
      <c r="V251" t="s">
        <v>53</v>
      </c>
      <c r="W251" t="s">
        <v>53</v>
      </c>
      <c r="X251" s="22" t="s">
        <v>53</v>
      </c>
      <c r="Y251" s="22" t="s">
        <v>53</v>
      </c>
      <c r="Z251" s="22" t="s">
        <v>53</v>
      </c>
      <c r="AA251" s="22" t="s">
        <v>53</v>
      </c>
      <c r="AB251" t="s">
        <v>53</v>
      </c>
      <c r="AC251" t="s">
        <v>53</v>
      </c>
      <c r="AD251" t="s">
        <v>53</v>
      </c>
      <c r="AE251" t="s">
        <v>53</v>
      </c>
      <c r="AF251" s="22" t="s">
        <v>53</v>
      </c>
      <c r="AG251" s="22" t="s">
        <v>53</v>
      </c>
      <c r="AH251" s="22" t="s">
        <v>53</v>
      </c>
      <c r="AI251" s="22" t="s">
        <v>53</v>
      </c>
      <c r="AJ251">
        <v>17</v>
      </c>
      <c r="AK251">
        <v>23</v>
      </c>
      <c r="AL251">
        <v>26</v>
      </c>
      <c r="AM251">
        <v>14</v>
      </c>
      <c r="AN251" s="22">
        <v>0.0588235294117647</v>
      </c>
      <c r="AO251" s="22">
        <v>0.0434782608695652</v>
      </c>
      <c r="AP251" s="22">
        <v>0.0769230769230769</v>
      </c>
      <c r="AQ251" s="22">
        <v>0</v>
      </c>
      <c r="AR251" s="35">
        <v>0.142857142857143</v>
      </c>
      <c r="AS251" s="35">
        <v>8.57142857142857</v>
      </c>
      <c r="AT251" s="35">
        <v>3.42857142857143</v>
      </c>
      <c r="AU251" s="31">
        <f t="shared" si="7"/>
        <v>84</v>
      </c>
      <c r="AV251" s="36">
        <f>IFERROR(时间!$B$4+AU251,"上周无销量")</f>
        <v>43423</v>
      </c>
    </row>
    <row r="252" spans="1:48">
      <c r="A252" s="20" t="s">
        <v>638</v>
      </c>
      <c r="B252" t="s">
        <v>639</v>
      </c>
      <c r="C252" t="s">
        <v>633</v>
      </c>
      <c r="D252" s="31">
        <v>1</v>
      </c>
      <c r="E252" s="31">
        <v>0</v>
      </c>
      <c r="F252" s="31">
        <v>0</v>
      </c>
      <c r="G252" s="31">
        <v>0</v>
      </c>
      <c r="H252" s="32">
        <v>13.99</v>
      </c>
      <c r="I252">
        <v>42</v>
      </c>
      <c r="J252" s="33">
        <v>0</v>
      </c>
      <c r="K252" s="33">
        <v>0</v>
      </c>
      <c r="L252" s="33">
        <v>0</v>
      </c>
      <c r="M252">
        <v>42</v>
      </c>
      <c r="N252">
        <v>0</v>
      </c>
      <c r="O252">
        <v>42</v>
      </c>
      <c r="P252" t="s">
        <v>53</v>
      </c>
      <c r="Q252" t="s">
        <v>53</v>
      </c>
      <c r="R252" t="s">
        <v>53</v>
      </c>
      <c r="S252" t="s">
        <v>53</v>
      </c>
      <c r="T252" t="s">
        <v>53</v>
      </c>
      <c r="U252" t="s">
        <v>53</v>
      </c>
      <c r="V252" t="s">
        <v>53</v>
      </c>
      <c r="W252" t="s">
        <v>53</v>
      </c>
      <c r="X252" s="22" t="s">
        <v>53</v>
      </c>
      <c r="Y252" s="22" t="s">
        <v>53</v>
      </c>
      <c r="Z252" s="22" t="s">
        <v>53</v>
      </c>
      <c r="AA252" s="22" t="s">
        <v>53</v>
      </c>
      <c r="AB252" t="s">
        <v>53</v>
      </c>
      <c r="AC252" t="s">
        <v>53</v>
      </c>
      <c r="AD252" t="s">
        <v>53</v>
      </c>
      <c r="AE252" t="s">
        <v>53</v>
      </c>
      <c r="AF252" s="22" t="s">
        <v>53</v>
      </c>
      <c r="AG252" s="22" t="s">
        <v>53</v>
      </c>
      <c r="AH252" s="22" t="s">
        <v>53</v>
      </c>
      <c r="AI252" s="22" t="s">
        <v>53</v>
      </c>
      <c r="AJ252">
        <v>6</v>
      </c>
      <c r="AK252">
        <v>15</v>
      </c>
      <c r="AL252">
        <v>20</v>
      </c>
      <c r="AM252">
        <v>14</v>
      </c>
      <c r="AN252" s="22">
        <v>0.166666666666667</v>
      </c>
      <c r="AO252" s="22">
        <v>0</v>
      </c>
      <c r="AP252" s="22">
        <v>0</v>
      </c>
      <c r="AQ252" s="22">
        <v>0</v>
      </c>
      <c r="AR252" s="35">
        <v>0.142857142857143</v>
      </c>
      <c r="AS252" s="35">
        <v>8.57142857142857</v>
      </c>
      <c r="AT252" s="35">
        <v>33.4285714285714</v>
      </c>
      <c r="AU252" s="31">
        <f t="shared" si="7"/>
        <v>294</v>
      </c>
      <c r="AV252" s="36">
        <f>IFERROR(时间!$B$4+AU252,"上周无销量")</f>
        <v>43633</v>
      </c>
    </row>
    <row r="253" spans="1:48">
      <c r="A253" s="20" t="s">
        <v>640</v>
      </c>
      <c r="B253" t="s">
        <v>641</v>
      </c>
      <c r="C253" t="s">
        <v>633</v>
      </c>
      <c r="D253" s="31">
        <v>0</v>
      </c>
      <c r="E253" s="31">
        <v>1</v>
      </c>
      <c r="F253" s="31">
        <v>1</v>
      </c>
      <c r="G253" s="31">
        <v>2</v>
      </c>
      <c r="H253" s="32">
        <v>8.81</v>
      </c>
      <c r="I253">
        <v>30</v>
      </c>
      <c r="J253" s="33">
        <v>0</v>
      </c>
      <c r="K253" s="33">
        <v>0</v>
      </c>
      <c r="L253" s="33">
        <v>0</v>
      </c>
      <c r="M253">
        <v>30</v>
      </c>
      <c r="N253">
        <v>0</v>
      </c>
      <c r="O253">
        <v>30</v>
      </c>
      <c r="P253" t="s">
        <v>53</v>
      </c>
      <c r="Q253" t="s">
        <v>53</v>
      </c>
      <c r="R253" t="s">
        <v>53</v>
      </c>
      <c r="S253" t="s">
        <v>53</v>
      </c>
      <c r="T253" t="s">
        <v>53</v>
      </c>
      <c r="U253" t="s">
        <v>53</v>
      </c>
      <c r="V253" t="s">
        <v>53</v>
      </c>
      <c r="W253" t="s">
        <v>53</v>
      </c>
      <c r="X253" s="22" t="s">
        <v>53</v>
      </c>
      <c r="Y253" s="22" t="s">
        <v>53</v>
      </c>
      <c r="Z253" s="22" t="s">
        <v>53</v>
      </c>
      <c r="AA253" s="22" t="s">
        <v>53</v>
      </c>
      <c r="AB253" t="s">
        <v>53</v>
      </c>
      <c r="AC253" t="s">
        <v>53</v>
      </c>
      <c r="AD253" t="s">
        <v>53</v>
      </c>
      <c r="AE253" t="s">
        <v>53</v>
      </c>
      <c r="AF253" s="22" t="s">
        <v>53</v>
      </c>
      <c r="AG253" s="22" t="s">
        <v>53</v>
      </c>
      <c r="AH253" s="22" t="s">
        <v>53</v>
      </c>
      <c r="AI253" s="22" t="s">
        <v>53</v>
      </c>
      <c r="AJ253">
        <v>8</v>
      </c>
      <c r="AK253">
        <v>7</v>
      </c>
      <c r="AL253">
        <v>18</v>
      </c>
      <c r="AM253">
        <v>15</v>
      </c>
      <c r="AN253" s="22">
        <v>0</v>
      </c>
      <c r="AO253" s="22">
        <v>0.142857142857143</v>
      </c>
      <c r="AP253" s="22">
        <v>0.0555555555555556</v>
      </c>
      <c r="AQ253" s="22">
        <v>0.133333333333333</v>
      </c>
      <c r="AR253" s="35">
        <v>0</v>
      </c>
      <c r="AS253" s="35">
        <v>0</v>
      </c>
      <c r="AT253" s="35">
        <v>30</v>
      </c>
      <c r="AU253" s="31" t="str">
        <f t="shared" si="7"/>
        <v>库存为30</v>
      </c>
      <c r="AV253" s="36" t="str">
        <f>IFERROR(时间!$B$4+AU253,"上周无销量")</f>
        <v>上周无销量</v>
      </c>
    </row>
    <row r="254" spans="1:48">
      <c r="A254" s="20"/>
      <c r="D254" s="31"/>
      <c r="E254" s="31"/>
      <c r="F254" s="31"/>
      <c r="G254" s="31"/>
      <c r="H254" s="32"/>
      <c r="J254" s="33"/>
      <c r="K254" s="33"/>
      <c r="L254" s="33"/>
      <c r="X254" s="22"/>
      <c r="Y254" s="22"/>
      <c r="Z254" s="22"/>
      <c r="AA254" s="22"/>
      <c r="AF254" s="22"/>
      <c r="AG254" s="22"/>
      <c r="AH254" s="22"/>
      <c r="AI254" s="22"/>
      <c r="AN254" s="22"/>
      <c r="AO254" s="22"/>
      <c r="AP254" s="22"/>
      <c r="AQ254" s="22"/>
      <c r="AR254" s="35"/>
      <c r="AS254" s="35"/>
      <c r="AT254" s="35"/>
      <c r="AU254" s="31"/>
      <c r="AV254" s="36"/>
    </row>
    <row r="255" spans="1:48">
      <c r="A255" s="20"/>
      <c r="D255" s="31"/>
      <c r="E255" s="31"/>
      <c r="F255" s="31"/>
      <c r="G255" s="31"/>
      <c r="H255" s="32"/>
      <c r="J255" s="33"/>
      <c r="K255" s="33"/>
      <c r="L255" s="33"/>
      <c r="X255" s="22"/>
      <c r="Y255" s="22"/>
      <c r="Z255" s="22"/>
      <c r="AA255" s="22"/>
      <c r="AF255" s="22"/>
      <c r="AG255" s="22"/>
      <c r="AH255" s="22"/>
      <c r="AI255" s="22"/>
      <c r="AN255" s="22"/>
      <c r="AO255" s="22"/>
      <c r="AP255" s="22"/>
      <c r="AQ255" s="22"/>
      <c r="AR255" s="35"/>
      <c r="AS255" s="35"/>
      <c r="AT255" s="35"/>
      <c r="AU255" s="31"/>
      <c r="AV255" s="36"/>
    </row>
    <row r="256" spans="1:48">
      <c r="A256" s="20"/>
      <c r="D256" s="31"/>
      <c r="E256" s="31"/>
      <c r="F256" s="31"/>
      <c r="G256" s="31"/>
      <c r="H256" s="32"/>
      <c r="J256" s="33"/>
      <c r="K256" s="33"/>
      <c r="L256" s="33"/>
      <c r="X256" s="22"/>
      <c r="Y256" s="22"/>
      <c r="Z256" s="22"/>
      <c r="AA256" s="22"/>
      <c r="AF256" s="22"/>
      <c r="AG256" s="22"/>
      <c r="AH256" s="22"/>
      <c r="AI256" s="22"/>
      <c r="AN256" s="22"/>
      <c r="AO256" s="22"/>
      <c r="AP256" s="22"/>
      <c r="AQ256" s="22"/>
      <c r="AR256" s="35"/>
      <c r="AS256" s="35"/>
      <c r="AT256" s="35"/>
      <c r="AU256" s="31"/>
      <c r="AV256" s="36"/>
    </row>
    <row r="257" spans="1:48">
      <c r="A257" s="20"/>
      <c r="D257" s="31"/>
      <c r="E257" s="31"/>
      <c r="F257" s="31"/>
      <c r="G257" s="31"/>
      <c r="H257" s="32"/>
      <c r="J257" s="33"/>
      <c r="K257" s="33"/>
      <c r="L257" s="33"/>
      <c r="X257" s="22"/>
      <c r="Y257" s="22"/>
      <c r="Z257" s="22"/>
      <c r="AA257" s="22"/>
      <c r="AF257" s="22"/>
      <c r="AG257" s="22"/>
      <c r="AH257" s="22"/>
      <c r="AI257" s="22"/>
      <c r="AN257" s="22"/>
      <c r="AO257" s="22"/>
      <c r="AP257" s="22"/>
      <c r="AQ257" s="22"/>
      <c r="AR257" s="35"/>
      <c r="AS257" s="35"/>
      <c r="AT257" s="35"/>
      <c r="AU257" s="31"/>
      <c r="AV257" s="36"/>
    </row>
    <row r="258" spans="1:48">
      <c r="A258" s="20"/>
      <c r="D258" s="31"/>
      <c r="E258" s="31"/>
      <c r="F258" s="31"/>
      <c r="G258" s="31"/>
      <c r="H258" s="32"/>
      <c r="J258" s="33"/>
      <c r="K258" s="33"/>
      <c r="L258" s="33"/>
      <c r="X258" s="22"/>
      <c r="Y258" s="22"/>
      <c r="Z258" s="22"/>
      <c r="AA258" s="22"/>
      <c r="AF258" s="22"/>
      <c r="AG258" s="22"/>
      <c r="AH258" s="22"/>
      <c r="AI258" s="22"/>
      <c r="AN258" s="22"/>
      <c r="AO258" s="22"/>
      <c r="AP258" s="22"/>
      <c r="AQ258" s="22"/>
      <c r="AR258" s="35"/>
      <c r="AS258" s="35"/>
      <c r="AT258" s="35"/>
      <c r="AU258" s="31"/>
      <c r="AV258" s="36"/>
    </row>
    <row r="259" spans="1:48">
      <c r="A259" s="20"/>
      <c r="D259" s="31"/>
      <c r="E259" s="31"/>
      <c r="F259" s="31"/>
      <c r="G259" s="31"/>
      <c r="H259" s="32"/>
      <c r="J259" s="33"/>
      <c r="K259" s="33"/>
      <c r="L259" s="33"/>
      <c r="X259" s="22"/>
      <c r="Y259" s="22"/>
      <c r="Z259" s="22"/>
      <c r="AA259" s="22"/>
      <c r="AF259" s="22"/>
      <c r="AG259" s="22"/>
      <c r="AH259" s="22"/>
      <c r="AI259" s="22"/>
      <c r="AN259" s="22"/>
      <c r="AO259" s="22"/>
      <c r="AP259" s="22"/>
      <c r="AQ259" s="22"/>
      <c r="AR259" s="35"/>
      <c r="AS259" s="35"/>
      <c r="AT259" s="35"/>
      <c r="AU259" s="31"/>
      <c r="AV259" s="36"/>
    </row>
    <row r="260" spans="1:48">
      <c r="A260" s="20"/>
      <c r="D260" s="31"/>
      <c r="E260" s="31"/>
      <c r="F260" s="31"/>
      <c r="G260" s="31"/>
      <c r="H260" s="32"/>
      <c r="J260" s="33"/>
      <c r="K260" s="33"/>
      <c r="L260" s="33"/>
      <c r="X260" s="22"/>
      <c r="Y260" s="22"/>
      <c r="Z260" s="22"/>
      <c r="AA260" s="22"/>
      <c r="AF260" s="22"/>
      <c r="AG260" s="22"/>
      <c r="AH260" s="22"/>
      <c r="AI260" s="22"/>
      <c r="AN260" s="22"/>
      <c r="AO260" s="22"/>
      <c r="AP260" s="22"/>
      <c r="AQ260" s="22"/>
      <c r="AR260" s="35"/>
      <c r="AS260" s="35"/>
      <c r="AT260" s="35"/>
      <c r="AU260" s="31"/>
      <c r="AV260" s="36"/>
    </row>
    <row r="261" spans="1:48">
      <c r="A261" s="20"/>
      <c r="D261" s="31"/>
      <c r="E261" s="31"/>
      <c r="F261" s="31"/>
      <c r="G261" s="31"/>
      <c r="H261" s="32"/>
      <c r="J261" s="33"/>
      <c r="K261" s="33"/>
      <c r="L261" s="33"/>
      <c r="X261" s="22"/>
      <c r="Y261" s="22"/>
      <c r="Z261" s="22"/>
      <c r="AA261" s="22"/>
      <c r="AF261" s="22"/>
      <c r="AG261" s="22"/>
      <c r="AH261" s="22"/>
      <c r="AI261" s="22"/>
      <c r="AN261" s="22"/>
      <c r="AO261" s="22"/>
      <c r="AP261" s="22"/>
      <c r="AQ261" s="22"/>
      <c r="AR261" s="35"/>
      <c r="AS261" s="35"/>
      <c r="AT261" s="35"/>
      <c r="AU261" s="31"/>
      <c r="AV261" s="36"/>
    </row>
    <row r="262" spans="1:48">
      <c r="A262" s="20"/>
      <c r="D262" s="31"/>
      <c r="E262" s="31"/>
      <c r="F262" s="31"/>
      <c r="G262" s="31"/>
      <c r="H262" s="32"/>
      <c r="J262" s="33"/>
      <c r="K262" s="33"/>
      <c r="L262" s="33"/>
      <c r="X262" s="22"/>
      <c r="Y262" s="22"/>
      <c r="Z262" s="22"/>
      <c r="AA262" s="22"/>
      <c r="AF262" s="22"/>
      <c r="AG262" s="22"/>
      <c r="AH262" s="22"/>
      <c r="AI262" s="22"/>
      <c r="AN262" s="22"/>
      <c r="AO262" s="22"/>
      <c r="AP262" s="22"/>
      <c r="AQ262" s="22"/>
      <c r="AR262" s="35"/>
      <c r="AS262" s="35"/>
      <c r="AT262" s="35"/>
      <c r="AU262" s="31"/>
      <c r="AV262" s="36"/>
    </row>
    <row r="263" spans="1:48">
      <c r="A263" s="20"/>
      <c r="D263" s="31"/>
      <c r="E263" s="31"/>
      <c r="F263" s="31"/>
      <c r="G263" s="31"/>
      <c r="H263" s="32"/>
      <c r="J263" s="33"/>
      <c r="K263" s="33"/>
      <c r="L263" s="33"/>
      <c r="X263" s="22"/>
      <c r="Y263" s="22"/>
      <c r="Z263" s="22"/>
      <c r="AA263" s="22"/>
      <c r="AF263" s="22"/>
      <c r="AG263" s="22"/>
      <c r="AH263" s="22"/>
      <c r="AI263" s="22"/>
      <c r="AN263" s="22"/>
      <c r="AO263" s="22"/>
      <c r="AP263" s="22"/>
      <c r="AQ263" s="22"/>
      <c r="AR263" s="35"/>
      <c r="AS263" s="35"/>
      <c r="AT263" s="35"/>
      <c r="AU263" s="31"/>
      <c r="AV263" s="36"/>
    </row>
    <row r="264" spans="1:48">
      <c r="A264" s="20"/>
      <c r="D264" s="31"/>
      <c r="E264" s="31"/>
      <c r="F264" s="31"/>
      <c r="G264" s="31"/>
      <c r="H264" s="32"/>
      <c r="J264" s="33"/>
      <c r="K264" s="33"/>
      <c r="L264" s="33"/>
      <c r="X264" s="22"/>
      <c r="Y264" s="22"/>
      <c r="Z264" s="22"/>
      <c r="AA264" s="22"/>
      <c r="AF264" s="22"/>
      <c r="AG264" s="22"/>
      <c r="AH264" s="22"/>
      <c r="AI264" s="22"/>
      <c r="AN264" s="22"/>
      <c r="AO264" s="22"/>
      <c r="AP264" s="22"/>
      <c r="AQ264" s="22"/>
      <c r="AR264" s="35"/>
      <c r="AS264" s="35"/>
      <c r="AT264" s="35"/>
      <c r="AU264" s="31"/>
      <c r="AV264" s="36"/>
    </row>
    <row r="265" spans="1:48">
      <c r="A265" s="20"/>
      <c r="D265" s="31"/>
      <c r="E265" s="31"/>
      <c r="F265" s="31"/>
      <c r="G265" s="31"/>
      <c r="H265" s="32"/>
      <c r="J265" s="33"/>
      <c r="K265" s="33"/>
      <c r="L265" s="33"/>
      <c r="X265" s="22"/>
      <c r="Y265" s="22"/>
      <c r="Z265" s="22"/>
      <c r="AA265" s="22"/>
      <c r="AF265" s="22"/>
      <c r="AG265" s="22"/>
      <c r="AH265" s="22"/>
      <c r="AI265" s="22"/>
      <c r="AN265" s="22"/>
      <c r="AO265" s="22"/>
      <c r="AP265" s="22"/>
      <c r="AQ265" s="22"/>
      <c r="AR265" s="35"/>
      <c r="AS265" s="35"/>
      <c r="AT265" s="35"/>
      <c r="AU265" s="31"/>
      <c r="AV265" s="36"/>
    </row>
    <row r="266" spans="1:48">
      <c r="A266" s="20"/>
      <c r="D266" s="31"/>
      <c r="E266" s="31"/>
      <c r="F266" s="31"/>
      <c r="G266" s="31"/>
      <c r="H266" s="32"/>
      <c r="J266" s="33"/>
      <c r="K266" s="33"/>
      <c r="L266" s="33"/>
      <c r="X266" s="22"/>
      <c r="Y266" s="22"/>
      <c r="Z266" s="22"/>
      <c r="AA266" s="22"/>
      <c r="AF266" s="22"/>
      <c r="AG266" s="22"/>
      <c r="AH266" s="22"/>
      <c r="AI266" s="22"/>
      <c r="AN266" s="22"/>
      <c r="AO266" s="22"/>
      <c r="AP266" s="22"/>
      <c r="AQ266" s="22"/>
      <c r="AR266" s="35"/>
      <c r="AS266" s="35"/>
      <c r="AT266" s="35"/>
      <c r="AU266" s="31"/>
      <c r="AV266" s="36"/>
    </row>
    <row r="267" spans="1:48">
      <c r="A267" s="20"/>
      <c r="D267" s="31"/>
      <c r="E267" s="31"/>
      <c r="F267" s="31"/>
      <c r="G267" s="31"/>
      <c r="H267" s="32"/>
      <c r="J267" s="33"/>
      <c r="K267" s="33"/>
      <c r="L267" s="33"/>
      <c r="X267" s="22"/>
      <c r="Y267" s="22"/>
      <c r="Z267" s="22"/>
      <c r="AA267" s="22"/>
      <c r="AF267" s="22"/>
      <c r="AG267" s="22"/>
      <c r="AH267" s="22"/>
      <c r="AI267" s="22"/>
      <c r="AN267" s="22"/>
      <c r="AO267" s="22"/>
      <c r="AP267" s="22"/>
      <c r="AQ267" s="22"/>
      <c r="AR267" s="35"/>
      <c r="AS267" s="35"/>
      <c r="AT267" s="35"/>
      <c r="AU267" s="31"/>
      <c r="AV267" s="36"/>
    </row>
    <row r="268" spans="1:48">
      <c r="A268" s="20"/>
      <c r="D268" s="31"/>
      <c r="E268" s="31"/>
      <c r="F268" s="31"/>
      <c r="G268" s="31"/>
      <c r="H268" s="32"/>
      <c r="J268" s="33"/>
      <c r="K268" s="33"/>
      <c r="L268" s="33"/>
      <c r="X268" s="22"/>
      <c r="Y268" s="22"/>
      <c r="Z268" s="22"/>
      <c r="AA268" s="22"/>
      <c r="AF268" s="22"/>
      <c r="AG268" s="22"/>
      <c r="AH268" s="22"/>
      <c r="AI268" s="22"/>
      <c r="AN268" s="22"/>
      <c r="AO268" s="22"/>
      <c r="AP268" s="22"/>
      <c r="AQ268" s="22"/>
      <c r="AR268" s="35"/>
      <c r="AS268" s="35"/>
      <c r="AT268" s="35"/>
      <c r="AU268" s="31"/>
      <c r="AV268" s="36"/>
    </row>
    <row r="269" spans="1:48">
      <c r="A269" s="20"/>
      <c r="D269" s="31"/>
      <c r="E269" s="31"/>
      <c r="F269" s="31"/>
      <c r="G269" s="31"/>
      <c r="H269" s="32"/>
      <c r="J269" s="33"/>
      <c r="K269" s="33"/>
      <c r="L269" s="33"/>
      <c r="X269" s="22"/>
      <c r="Y269" s="22"/>
      <c r="Z269" s="22"/>
      <c r="AA269" s="22"/>
      <c r="AF269" s="22"/>
      <c r="AG269" s="22"/>
      <c r="AH269" s="22"/>
      <c r="AI269" s="22"/>
      <c r="AN269" s="22"/>
      <c r="AO269" s="22"/>
      <c r="AP269" s="22"/>
      <c r="AQ269" s="22"/>
      <c r="AR269" s="35"/>
      <c r="AS269" s="35"/>
      <c r="AT269" s="35"/>
      <c r="AU269" s="31"/>
      <c r="AV269" s="36"/>
    </row>
    <row r="270" spans="1:48">
      <c r="A270" s="20"/>
      <c r="D270" s="31"/>
      <c r="E270" s="31"/>
      <c r="F270" s="31"/>
      <c r="G270" s="31"/>
      <c r="H270" s="32"/>
      <c r="J270" s="33"/>
      <c r="K270" s="33"/>
      <c r="L270" s="33"/>
      <c r="X270" s="22"/>
      <c r="Y270" s="22"/>
      <c r="Z270" s="22"/>
      <c r="AA270" s="22"/>
      <c r="AF270" s="22"/>
      <c r="AG270" s="22"/>
      <c r="AH270" s="22"/>
      <c r="AI270" s="22"/>
      <c r="AN270" s="22"/>
      <c r="AO270" s="22"/>
      <c r="AP270" s="22"/>
      <c r="AQ270" s="22"/>
      <c r="AR270" s="35"/>
      <c r="AS270" s="35"/>
      <c r="AT270" s="35"/>
      <c r="AU270" s="31"/>
      <c r="AV270" s="36"/>
    </row>
    <row r="271" spans="1:48">
      <c r="A271" s="20"/>
      <c r="D271" s="31"/>
      <c r="E271" s="31"/>
      <c r="F271" s="31"/>
      <c r="G271" s="31"/>
      <c r="H271" s="32"/>
      <c r="J271" s="33"/>
      <c r="K271" s="33"/>
      <c r="L271" s="33"/>
      <c r="X271" s="22"/>
      <c r="Y271" s="22"/>
      <c r="Z271" s="22"/>
      <c r="AA271" s="22"/>
      <c r="AF271" s="22"/>
      <c r="AG271" s="22"/>
      <c r="AH271" s="22"/>
      <c r="AI271" s="22"/>
      <c r="AN271" s="22"/>
      <c r="AO271" s="22"/>
      <c r="AP271" s="22"/>
      <c r="AQ271" s="22"/>
      <c r="AR271" s="35"/>
      <c r="AS271" s="35"/>
      <c r="AT271" s="35"/>
      <c r="AU271" s="31"/>
      <c r="AV271" s="36"/>
    </row>
    <row r="272" spans="1:48">
      <c r="A272" s="38"/>
      <c r="D272" s="31"/>
      <c r="E272" s="31"/>
      <c r="F272" s="31"/>
      <c r="G272" s="31"/>
      <c r="H272" s="32"/>
      <c r="J272" s="33"/>
      <c r="K272" s="33"/>
      <c r="L272" s="33"/>
      <c r="X272" s="22"/>
      <c r="Y272" s="22"/>
      <c r="Z272" s="22"/>
      <c r="AA272" s="22"/>
      <c r="AF272" s="22"/>
      <c r="AG272" s="22"/>
      <c r="AH272" s="22"/>
      <c r="AI272" s="22"/>
      <c r="AN272" s="22"/>
      <c r="AO272" s="22"/>
      <c r="AP272" s="22"/>
      <c r="AQ272" s="22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2"/>
      <c r="Y273" s="22"/>
      <c r="Z273" s="22"/>
      <c r="AA273" s="22"/>
      <c r="AF273" s="22"/>
      <c r="AG273" s="22"/>
      <c r="AH273" s="22"/>
      <c r="AI273" s="22"/>
      <c r="AN273" s="22"/>
      <c r="AO273" s="22"/>
      <c r="AP273" s="22"/>
      <c r="AQ273" s="22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2"/>
      <c r="Y274" s="22"/>
      <c r="Z274" s="22"/>
      <c r="AA274" s="22"/>
      <c r="AF274" s="22"/>
      <c r="AG274" s="22"/>
      <c r="AH274" s="22"/>
      <c r="AI274" s="22"/>
      <c r="AN274" s="22"/>
      <c r="AO274" s="22"/>
      <c r="AP274" s="22"/>
      <c r="AQ274" s="22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2"/>
      <c r="Y275" s="22"/>
      <c r="Z275" s="22"/>
      <c r="AA275" s="22"/>
      <c r="AF275" s="22"/>
      <c r="AG275" s="22"/>
      <c r="AH275" s="22"/>
      <c r="AI275" s="22"/>
      <c r="AN275" s="22"/>
      <c r="AO275" s="22"/>
      <c r="AP275" s="22"/>
      <c r="AQ275" s="22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2"/>
      <c r="Y276" s="22"/>
      <c r="Z276" s="22"/>
      <c r="AA276" s="22"/>
      <c r="AF276" s="22"/>
      <c r="AG276" s="22"/>
      <c r="AH276" s="22"/>
      <c r="AI276" s="22"/>
      <c r="AN276" s="22"/>
      <c r="AO276" s="22"/>
      <c r="AP276" s="22"/>
      <c r="AQ276" s="22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2"/>
      <c r="Y277" s="22"/>
      <c r="Z277" s="22"/>
      <c r="AA277" s="22"/>
      <c r="AF277" s="22"/>
      <c r="AG277" s="22"/>
      <c r="AH277" s="22"/>
      <c r="AI277" s="22"/>
      <c r="AN277" s="22"/>
      <c r="AO277" s="22"/>
      <c r="AP277" s="22"/>
      <c r="AQ277" s="22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2"/>
      <c r="Y278" s="22"/>
      <c r="Z278" s="22"/>
      <c r="AA278" s="22"/>
      <c r="AF278" s="22"/>
      <c r="AG278" s="22"/>
      <c r="AH278" s="22"/>
      <c r="AI278" s="22"/>
      <c r="AN278" s="22"/>
      <c r="AO278" s="22"/>
      <c r="AP278" s="22"/>
      <c r="AQ278" s="22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2"/>
      <c r="Y279" s="22"/>
      <c r="Z279" s="22"/>
      <c r="AA279" s="22"/>
      <c r="AF279" s="22"/>
      <c r="AG279" s="22"/>
      <c r="AH279" s="22"/>
      <c r="AI279" s="22"/>
      <c r="AN279" s="22"/>
      <c r="AO279" s="22"/>
      <c r="AP279" s="22"/>
      <c r="AQ279" s="22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2"/>
      <c r="Y280" s="22"/>
      <c r="Z280" s="22"/>
      <c r="AA280" s="22"/>
      <c r="AF280" s="22"/>
      <c r="AG280" s="22"/>
      <c r="AH280" s="22"/>
      <c r="AI280" s="22"/>
      <c r="AN280" s="22"/>
      <c r="AO280" s="22"/>
      <c r="AP280" s="22"/>
      <c r="AQ280" s="22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2"/>
      <c r="Y281" s="22"/>
      <c r="Z281" s="22"/>
      <c r="AA281" s="22"/>
      <c r="AF281" s="22"/>
      <c r="AG281" s="22"/>
      <c r="AH281" s="22"/>
      <c r="AI281" s="22"/>
      <c r="AN281" s="22"/>
      <c r="AO281" s="22"/>
      <c r="AP281" s="22"/>
      <c r="AQ281" s="22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2"/>
      <c r="Y282" s="22"/>
      <c r="Z282" s="22"/>
      <c r="AA282" s="22"/>
      <c r="AF282" s="22"/>
      <c r="AG282" s="22"/>
      <c r="AH282" s="22"/>
      <c r="AI282" s="22"/>
      <c r="AN282" s="22"/>
      <c r="AO282" s="22"/>
      <c r="AP282" s="22"/>
      <c r="AQ282" s="22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2"/>
      <c r="Y283" s="22"/>
      <c r="Z283" s="22"/>
      <c r="AA283" s="22"/>
      <c r="AF283" s="22"/>
      <c r="AG283" s="22"/>
      <c r="AH283" s="22"/>
      <c r="AI283" s="22"/>
      <c r="AN283" s="22"/>
      <c r="AO283" s="22"/>
      <c r="AP283" s="22"/>
      <c r="AQ283" s="22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2"/>
      <c r="Y284" s="22"/>
      <c r="Z284" s="22"/>
      <c r="AA284" s="22"/>
      <c r="AF284" s="22"/>
      <c r="AG284" s="22"/>
      <c r="AH284" s="22"/>
      <c r="AI284" s="22"/>
      <c r="AN284" s="22"/>
      <c r="AO284" s="22"/>
      <c r="AP284" s="22"/>
      <c r="AQ284" s="22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2"/>
      <c r="Y285" s="22"/>
      <c r="Z285" s="22"/>
      <c r="AA285" s="22"/>
      <c r="AF285" s="22"/>
      <c r="AG285" s="22"/>
      <c r="AH285" s="22"/>
      <c r="AI285" s="22"/>
      <c r="AN285" s="22"/>
      <c r="AO285" s="22"/>
      <c r="AP285" s="22"/>
      <c r="AQ285" s="22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2"/>
      <c r="Y286" s="22"/>
      <c r="Z286" s="22"/>
      <c r="AA286" s="22"/>
      <c r="AF286" s="22"/>
      <c r="AG286" s="22"/>
      <c r="AH286" s="22"/>
      <c r="AI286" s="22"/>
      <c r="AN286" s="22"/>
      <c r="AO286" s="22"/>
      <c r="AP286" s="22"/>
      <c r="AQ286" s="22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2"/>
      <c r="Y287" s="22"/>
      <c r="Z287" s="22"/>
      <c r="AA287" s="22"/>
      <c r="AF287" s="22"/>
      <c r="AG287" s="22"/>
      <c r="AH287" s="22"/>
      <c r="AI287" s="22"/>
      <c r="AN287" s="22"/>
      <c r="AO287" s="22"/>
      <c r="AP287" s="22"/>
      <c r="AQ287" s="22"/>
      <c r="AR287" s="35"/>
      <c r="AS287" s="35"/>
      <c r="AT287" s="35"/>
      <c r="AU287" s="31"/>
      <c r="AV287" s="36"/>
    </row>
    <row r="288" spans="1:48">
      <c r="A288" s="40"/>
      <c r="D288" s="31"/>
      <c r="E288" s="31"/>
      <c r="F288" s="31"/>
      <c r="G288" s="31"/>
      <c r="H288" s="32"/>
      <c r="J288" s="33"/>
      <c r="K288" s="33"/>
      <c r="L288" s="33"/>
      <c r="X288" s="22"/>
      <c r="Y288" s="22"/>
      <c r="Z288" s="22"/>
      <c r="AA288" s="22"/>
      <c r="AF288" s="22"/>
      <c r="AG288" s="22"/>
      <c r="AH288" s="22"/>
      <c r="AI288" s="22"/>
      <c r="AN288" s="22"/>
      <c r="AO288" s="22"/>
      <c r="AP288" s="22"/>
      <c r="AQ288" s="22"/>
      <c r="AR288" s="35"/>
      <c r="AS288" s="35"/>
      <c r="AT288" s="35"/>
      <c r="AU288" s="31"/>
      <c r="AV288" s="36"/>
    </row>
    <row r="289" spans="1:48">
      <c r="A289" s="40"/>
      <c r="D289" s="31"/>
      <c r="E289" s="31"/>
      <c r="F289" s="31"/>
      <c r="G289" s="31"/>
      <c r="H289" s="32"/>
      <c r="J289" s="33"/>
      <c r="K289" s="33"/>
      <c r="L289" s="33"/>
      <c r="X289" s="22"/>
      <c r="Y289" s="22"/>
      <c r="Z289" s="22"/>
      <c r="AA289" s="22"/>
      <c r="AF289" s="22"/>
      <c r="AG289" s="22"/>
      <c r="AH289" s="22"/>
      <c r="AI289" s="22"/>
      <c r="AN289" s="22"/>
      <c r="AO289" s="22"/>
      <c r="AP289" s="22"/>
      <c r="AQ289" s="22"/>
      <c r="AR289" s="35"/>
      <c r="AS289" s="35"/>
      <c r="AT289" s="35"/>
      <c r="AU289" s="31"/>
      <c r="AV289" s="36"/>
    </row>
    <row r="290" spans="1:48">
      <c r="A290" s="40"/>
      <c r="D290" s="31"/>
      <c r="E290" s="31"/>
      <c r="F290" s="31"/>
      <c r="G290" s="31"/>
      <c r="H290" s="32"/>
      <c r="J290" s="33"/>
      <c r="K290" s="33"/>
      <c r="L290" s="33"/>
      <c r="X290" s="22"/>
      <c r="Y290" s="22"/>
      <c r="Z290" s="22"/>
      <c r="AA290" s="22"/>
      <c r="AF290" s="22"/>
      <c r="AG290" s="22"/>
      <c r="AH290" s="22"/>
      <c r="AI290" s="22"/>
      <c r="AN290" s="22"/>
      <c r="AO290" s="22"/>
      <c r="AP290" s="22"/>
      <c r="AQ290" s="22"/>
      <c r="AR290" s="35"/>
      <c r="AS290" s="35"/>
      <c r="AT290" s="35"/>
      <c r="AU290" s="31"/>
      <c r="AV290" s="36"/>
    </row>
    <row r="291" spans="1:48">
      <c r="A291" s="40"/>
      <c r="D291" s="31"/>
      <c r="E291" s="31"/>
      <c r="F291" s="31"/>
      <c r="G291" s="31"/>
      <c r="H291" s="32"/>
      <c r="J291" s="33"/>
      <c r="K291" s="33"/>
      <c r="L291" s="33"/>
      <c r="X291" s="22"/>
      <c r="Y291" s="22"/>
      <c r="Z291" s="22"/>
      <c r="AA291" s="22"/>
      <c r="AF291" s="22"/>
      <c r="AG291" s="22"/>
      <c r="AH291" s="22"/>
      <c r="AI291" s="22"/>
      <c r="AN291" s="22"/>
      <c r="AO291" s="22"/>
      <c r="AP291" s="22"/>
      <c r="AQ291" s="22"/>
      <c r="AR291" s="35"/>
      <c r="AS291" s="35"/>
      <c r="AT291" s="35"/>
      <c r="AU291" s="31"/>
      <c r="AV291" s="36"/>
    </row>
    <row r="292" spans="1:48">
      <c r="A292" s="40"/>
      <c r="D292" s="31"/>
      <c r="E292" s="31"/>
      <c r="F292" s="31"/>
      <c r="G292" s="31"/>
      <c r="H292" s="32"/>
      <c r="J292" s="33"/>
      <c r="K292" s="33"/>
      <c r="L292" s="33"/>
      <c r="X292" s="22"/>
      <c r="Y292" s="22"/>
      <c r="Z292" s="22"/>
      <c r="AA292" s="22"/>
      <c r="AF292" s="22"/>
      <c r="AG292" s="22"/>
      <c r="AH292" s="22"/>
      <c r="AI292" s="22"/>
      <c r="AN292" s="22"/>
      <c r="AO292" s="22"/>
      <c r="AP292" s="22"/>
      <c r="AQ292" s="22"/>
      <c r="AR292" s="35"/>
      <c r="AS292" s="35"/>
      <c r="AT292" s="35"/>
      <c r="AU292" s="31"/>
      <c r="AV292" s="36"/>
    </row>
    <row r="293" spans="1:48">
      <c r="A293" s="40"/>
      <c r="D293" s="31"/>
      <c r="E293" s="31"/>
      <c r="F293" s="31"/>
      <c r="G293" s="31"/>
      <c r="H293" s="32"/>
      <c r="J293" s="33"/>
      <c r="K293" s="33"/>
      <c r="L293" s="33"/>
      <c r="X293" s="22"/>
      <c r="Y293" s="22"/>
      <c r="Z293" s="22"/>
      <c r="AA293" s="22"/>
      <c r="AF293" s="22"/>
      <c r="AG293" s="22"/>
      <c r="AH293" s="22"/>
      <c r="AI293" s="22"/>
      <c r="AN293" s="22"/>
      <c r="AO293" s="22"/>
      <c r="AP293" s="22"/>
      <c r="AQ293" s="22"/>
      <c r="AR293" s="35"/>
      <c r="AS293" s="35"/>
      <c r="AT293" s="35"/>
      <c r="AU293" s="31"/>
      <c r="AV293" s="36"/>
    </row>
    <row r="294" spans="1:48">
      <c r="A294" s="40"/>
      <c r="D294" s="31"/>
      <c r="E294" s="31"/>
      <c r="F294" s="31"/>
      <c r="G294" s="31"/>
      <c r="H294" s="32"/>
      <c r="J294" s="33"/>
      <c r="K294" s="33"/>
      <c r="L294" s="33"/>
      <c r="X294" s="22"/>
      <c r="Y294" s="22"/>
      <c r="Z294" s="22"/>
      <c r="AA294" s="22"/>
      <c r="AF294" s="22"/>
      <c r="AG294" s="22"/>
      <c r="AH294" s="22"/>
      <c r="AI294" s="22"/>
      <c r="AN294" s="22"/>
      <c r="AO294" s="22"/>
      <c r="AP294" s="22"/>
      <c r="AQ294" s="22"/>
      <c r="AR294" s="35"/>
      <c r="AS294" s="35"/>
      <c r="AT294" s="35"/>
      <c r="AU294" s="31"/>
      <c r="AV294" s="36"/>
    </row>
    <row r="295" spans="1:48">
      <c r="A295" s="40"/>
      <c r="D295" s="31"/>
      <c r="E295" s="31"/>
      <c r="F295" s="31"/>
      <c r="G295" s="31"/>
      <c r="H295" s="32"/>
      <c r="J295" s="33"/>
      <c r="K295" s="33"/>
      <c r="L295" s="33"/>
      <c r="X295" s="22"/>
      <c r="Y295" s="22"/>
      <c r="Z295" s="22"/>
      <c r="AA295" s="22"/>
      <c r="AF295" s="22"/>
      <c r="AG295" s="22"/>
      <c r="AH295" s="22"/>
      <c r="AI295" s="22"/>
      <c r="AN295" s="22"/>
      <c r="AO295" s="22"/>
      <c r="AP295" s="22"/>
      <c r="AQ295" s="22"/>
      <c r="AR295" s="35"/>
      <c r="AS295" s="35"/>
      <c r="AT295" s="35"/>
      <c r="AU295" s="31"/>
      <c r="AV295" s="36"/>
    </row>
    <row r="296" spans="1:48">
      <c r="A296" s="40"/>
      <c r="D296" s="31"/>
      <c r="E296" s="31"/>
      <c r="F296" s="31"/>
      <c r="G296" s="31"/>
      <c r="H296" s="32"/>
      <c r="J296" s="33"/>
      <c r="K296" s="33"/>
      <c r="L296" s="33"/>
      <c r="X296" s="22"/>
      <c r="Y296" s="22"/>
      <c r="Z296" s="22"/>
      <c r="AA296" s="22"/>
      <c r="AF296" s="22"/>
      <c r="AG296" s="22"/>
      <c r="AH296" s="22"/>
      <c r="AI296" s="22"/>
      <c r="AN296" s="22"/>
      <c r="AO296" s="22"/>
      <c r="AP296" s="22"/>
      <c r="AQ296" s="22"/>
      <c r="AR296" s="35"/>
      <c r="AS296" s="35"/>
      <c r="AT296" s="35"/>
      <c r="AU296" s="31"/>
      <c r="AV296" s="36"/>
    </row>
    <row r="297" spans="1:48">
      <c r="A297" s="40"/>
      <c r="D297" s="31"/>
      <c r="E297" s="31"/>
      <c r="F297" s="31"/>
      <c r="G297" s="31"/>
      <c r="H297" s="32"/>
      <c r="J297" s="33"/>
      <c r="K297" s="33"/>
      <c r="L297" s="33"/>
      <c r="X297" s="22"/>
      <c r="Y297" s="22"/>
      <c r="Z297" s="22"/>
      <c r="AA297" s="22"/>
      <c r="AF297" s="22"/>
      <c r="AG297" s="22"/>
      <c r="AH297" s="22"/>
      <c r="AI297" s="22"/>
      <c r="AN297" s="22"/>
      <c r="AO297" s="22"/>
      <c r="AP297" s="22"/>
      <c r="AQ297" s="22"/>
      <c r="AR297" s="35"/>
      <c r="AS297" s="35"/>
      <c r="AT297" s="35"/>
      <c r="AU297" s="31"/>
      <c r="AV297" s="36"/>
    </row>
    <row r="298" spans="1:48">
      <c r="A298" s="40"/>
      <c r="D298" s="31"/>
      <c r="E298" s="31"/>
      <c r="F298" s="31"/>
      <c r="G298" s="31"/>
      <c r="H298" s="32"/>
      <c r="J298" s="33"/>
      <c r="K298" s="33"/>
      <c r="L298" s="33"/>
      <c r="X298" s="22"/>
      <c r="Y298" s="22"/>
      <c r="Z298" s="22"/>
      <c r="AA298" s="22"/>
      <c r="AF298" s="22"/>
      <c r="AG298" s="22"/>
      <c r="AH298" s="22"/>
      <c r="AI298" s="22"/>
      <c r="AN298" s="22"/>
      <c r="AO298" s="22"/>
      <c r="AP298" s="22"/>
      <c r="AQ298" s="22"/>
      <c r="AR298" s="35"/>
      <c r="AS298" s="35"/>
      <c r="AT298" s="35"/>
      <c r="AU298" s="31"/>
      <c r="AV298" s="36"/>
    </row>
    <row r="299" spans="1:48">
      <c r="A299" s="40"/>
      <c r="D299" s="31"/>
      <c r="E299" s="31"/>
      <c r="F299" s="31"/>
      <c r="G299" s="31"/>
      <c r="H299" s="32"/>
      <c r="J299" s="33"/>
      <c r="K299" s="33"/>
      <c r="L299" s="33"/>
      <c r="X299" s="22"/>
      <c r="Y299" s="22"/>
      <c r="Z299" s="22"/>
      <c r="AA299" s="22"/>
      <c r="AF299" s="22"/>
      <c r="AG299" s="22"/>
      <c r="AH299" s="22"/>
      <c r="AI299" s="22"/>
      <c r="AN299" s="22"/>
      <c r="AO299" s="22"/>
      <c r="AP299" s="22"/>
      <c r="AQ299" s="22"/>
      <c r="AR299" s="35"/>
      <c r="AS299" s="35"/>
      <c r="AT299" s="35"/>
      <c r="AU299" s="31"/>
      <c r="AV299" s="36"/>
    </row>
    <row r="300" spans="1:48">
      <c r="A300" s="40"/>
      <c r="D300" s="31"/>
      <c r="E300" s="31"/>
      <c r="F300" s="31"/>
      <c r="G300" s="31"/>
      <c r="H300" s="32"/>
      <c r="J300" s="33"/>
      <c r="K300" s="33"/>
      <c r="L300" s="33"/>
      <c r="X300" s="22"/>
      <c r="Y300" s="22"/>
      <c r="Z300" s="22"/>
      <c r="AA300" s="22"/>
      <c r="AF300" s="22"/>
      <c r="AG300" s="22"/>
      <c r="AH300" s="22"/>
      <c r="AI300" s="22"/>
      <c r="AN300" s="22"/>
      <c r="AO300" s="22"/>
      <c r="AP300" s="22"/>
      <c r="AQ300" s="22"/>
      <c r="AR300" s="35"/>
      <c r="AS300" s="35"/>
      <c r="AT300" s="35"/>
      <c r="AU300" s="31"/>
      <c r="AV300" s="36"/>
    </row>
    <row r="301" spans="1:48">
      <c r="A301" s="40"/>
      <c r="D301" s="31"/>
      <c r="E301" s="31"/>
      <c r="F301" s="31"/>
      <c r="G301" s="31"/>
      <c r="H301" s="32"/>
      <c r="J301" s="33"/>
      <c r="K301" s="33"/>
      <c r="L301" s="33"/>
      <c r="X301" s="22"/>
      <c r="Y301" s="22"/>
      <c r="Z301" s="22"/>
      <c r="AA301" s="22"/>
      <c r="AF301" s="22"/>
      <c r="AG301" s="22"/>
      <c r="AH301" s="22"/>
      <c r="AI301" s="22"/>
      <c r="AN301" s="22"/>
      <c r="AO301" s="22"/>
      <c r="AP301" s="22"/>
      <c r="AQ301" s="22"/>
      <c r="AR301" s="35"/>
      <c r="AS301" s="35"/>
      <c r="AT301" s="35"/>
      <c r="AU301" s="31"/>
      <c r="AV301" s="36"/>
    </row>
    <row r="302" spans="1:48">
      <c r="A302" s="40"/>
      <c r="D302" s="31"/>
      <c r="E302" s="31"/>
      <c r="F302" s="31"/>
      <c r="G302" s="31"/>
      <c r="H302" s="32"/>
      <c r="J302" s="33"/>
      <c r="K302" s="33"/>
      <c r="L302" s="33"/>
      <c r="X302" s="22"/>
      <c r="Y302" s="22"/>
      <c r="Z302" s="22"/>
      <c r="AA302" s="22"/>
      <c r="AF302" s="22"/>
      <c r="AG302" s="22"/>
      <c r="AH302" s="22"/>
      <c r="AI302" s="22"/>
      <c r="AN302" s="22"/>
      <c r="AO302" s="22"/>
      <c r="AP302" s="22"/>
      <c r="AQ302" s="22"/>
      <c r="AR302" s="35"/>
      <c r="AS302" s="35"/>
      <c r="AT302" s="35"/>
      <c r="AU302" s="31"/>
      <c r="AV302" s="36"/>
    </row>
    <row r="303" spans="1:48">
      <c r="A303" s="40"/>
      <c r="D303" s="31"/>
      <c r="E303" s="31"/>
      <c r="F303" s="31"/>
      <c r="G303" s="31"/>
      <c r="H303" s="32"/>
      <c r="J303" s="33"/>
      <c r="K303" s="33"/>
      <c r="L303" s="33"/>
      <c r="X303" s="22"/>
      <c r="Y303" s="22"/>
      <c r="Z303" s="22"/>
      <c r="AA303" s="22"/>
      <c r="AF303" s="22"/>
      <c r="AG303" s="22"/>
      <c r="AH303" s="22"/>
      <c r="AI303" s="22"/>
      <c r="AN303" s="22"/>
      <c r="AO303" s="22"/>
      <c r="AP303" s="22"/>
      <c r="AQ303" s="22"/>
      <c r="AR303" s="35"/>
      <c r="AS303" s="35"/>
      <c r="AT303" s="35"/>
      <c r="AU303" s="31"/>
      <c r="AV303" s="36"/>
    </row>
    <row r="304" spans="1:48">
      <c r="A304" s="40"/>
      <c r="D304" s="31"/>
      <c r="E304" s="31"/>
      <c r="F304" s="31"/>
      <c r="G304" s="31"/>
      <c r="H304" s="32"/>
      <c r="J304" s="33"/>
      <c r="K304" s="33"/>
      <c r="L304" s="33"/>
      <c r="X304" s="22"/>
      <c r="Y304" s="22"/>
      <c r="Z304" s="22"/>
      <c r="AA304" s="22"/>
      <c r="AF304" s="22"/>
      <c r="AG304" s="22"/>
      <c r="AH304" s="22"/>
      <c r="AI304" s="22"/>
      <c r="AN304" s="22"/>
      <c r="AO304" s="22"/>
      <c r="AP304" s="22"/>
      <c r="AQ304" s="22"/>
      <c r="AR304" s="35"/>
      <c r="AS304" s="35"/>
      <c r="AT304" s="35"/>
      <c r="AU304" s="31"/>
      <c r="AV304" s="36"/>
    </row>
    <row r="305" spans="1:48">
      <c r="A305" s="40"/>
      <c r="D305" s="31"/>
      <c r="E305" s="31"/>
      <c r="F305" s="31"/>
      <c r="G305" s="31"/>
      <c r="H305" s="32"/>
      <c r="J305" s="33"/>
      <c r="K305" s="33"/>
      <c r="L305" s="33"/>
      <c r="X305" s="22"/>
      <c r="Y305" s="22"/>
      <c r="Z305" s="22"/>
      <c r="AA305" s="22"/>
      <c r="AF305" s="22"/>
      <c r="AG305" s="22"/>
      <c r="AH305" s="22"/>
      <c r="AI305" s="22"/>
      <c r="AN305" s="22"/>
      <c r="AO305" s="22"/>
      <c r="AP305" s="22"/>
      <c r="AQ305" s="22"/>
      <c r="AR305" s="35"/>
      <c r="AS305" s="35"/>
      <c r="AT305" s="35"/>
      <c r="AU305" s="31"/>
      <c r="AV305" s="36"/>
    </row>
    <row r="306" spans="1:48">
      <c r="A306" s="40"/>
      <c r="D306" s="31"/>
      <c r="E306" s="31"/>
      <c r="F306" s="31"/>
      <c r="G306" s="31"/>
      <c r="H306" s="32"/>
      <c r="J306" s="33"/>
      <c r="K306" s="33"/>
      <c r="L306" s="33"/>
      <c r="X306" s="22"/>
      <c r="Y306" s="22"/>
      <c r="Z306" s="22"/>
      <c r="AA306" s="22"/>
      <c r="AF306" s="22"/>
      <c r="AG306" s="22"/>
      <c r="AH306" s="22"/>
      <c r="AI306" s="22"/>
      <c r="AN306" s="22"/>
      <c r="AO306" s="22"/>
      <c r="AP306" s="22"/>
      <c r="AQ306" s="22"/>
      <c r="AR306" s="35"/>
      <c r="AS306" s="35"/>
      <c r="AT306" s="35"/>
      <c r="AU306" s="31"/>
      <c r="AV306" s="36"/>
    </row>
    <row r="307" spans="1:48">
      <c r="A307" s="40"/>
      <c r="D307" s="31"/>
      <c r="E307" s="31"/>
      <c r="F307" s="31"/>
      <c r="G307" s="31"/>
      <c r="H307" s="32"/>
      <c r="J307" s="33"/>
      <c r="K307" s="33"/>
      <c r="L307" s="33"/>
      <c r="X307" s="22"/>
      <c r="Y307" s="22"/>
      <c r="Z307" s="22"/>
      <c r="AA307" s="22"/>
      <c r="AF307" s="22"/>
      <c r="AG307" s="22"/>
      <c r="AH307" s="22"/>
      <c r="AI307" s="22"/>
      <c r="AN307" s="22"/>
      <c r="AO307" s="22"/>
      <c r="AP307" s="22"/>
      <c r="AQ307" s="22"/>
      <c r="AR307" s="35"/>
      <c r="AS307" s="35"/>
      <c r="AT307" s="35"/>
      <c r="AU307" s="31"/>
      <c r="AV307" s="36"/>
    </row>
    <row r="308" spans="1:48">
      <c r="A308" s="40"/>
      <c r="D308" s="31"/>
      <c r="E308" s="31"/>
      <c r="F308" s="31"/>
      <c r="G308" s="31"/>
      <c r="H308" s="32"/>
      <c r="J308" s="33"/>
      <c r="K308" s="33"/>
      <c r="L308" s="33"/>
      <c r="X308" s="22"/>
      <c r="Y308" s="22"/>
      <c r="Z308" s="22"/>
      <c r="AA308" s="22"/>
      <c r="AF308" s="22"/>
      <c r="AG308" s="22"/>
      <c r="AH308" s="22"/>
      <c r="AI308" s="22"/>
      <c r="AN308" s="22"/>
      <c r="AO308" s="22"/>
      <c r="AP308" s="22"/>
      <c r="AQ308" s="22"/>
      <c r="AR308" s="35"/>
      <c r="AS308" s="35"/>
      <c r="AT308" s="35"/>
      <c r="AU308" s="31"/>
      <c r="AV308" s="36"/>
    </row>
    <row r="309" spans="1:48">
      <c r="A309" s="40"/>
      <c r="D309" s="31"/>
      <c r="E309" s="31"/>
      <c r="F309" s="31"/>
      <c r="G309" s="31"/>
      <c r="H309" s="32"/>
      <c r="J309" s="33"/>
      <c r="K309" s="33"/>
      <c r="L309" s="33"/>
      <c r="X309" s="22"/>
      <c r="Y309" s="22"/>
      <c r="Z309" s="22"/>
      <c r="AA309" s="22"/>
      <c r="AF309" s="22"/>
      <c r="AG309" s="22"/>
      <c r="AH309" s="22"/>
      <c r="AI309" s="22"/>
      <c r="AN309" s="22"/>
      <c r="AO309" s="22"/>
      <c r="AP309" s="22"/>
      <c r="AQ309" s="22"/>
      <c r="AR309" s="35"/>
      <c r="AS309" s="35"/>
      <c r="AT309" s="35"/>
      <c r="AU309" s="31"/>
      <c r="AV309" s="36"/>
    </row>
    <row r="310" spans="1:48">
      <c r="A310" s="40"/>
      <c r="D310" s="31"/>
      <c r="E310" s="31"/>
      <c r="F310" s="31"/>
      <c r="G310" s="31"/>
      <c r="H310" s="32"/>
      <c r="J310" s="33"/>
      <c r="K310" s="33"/>
      <c r="L310" s="33"/>
      <c r="X310" s="22"/>
      <c r="Y310" s="22"/>
      <c r="Z310" s="22"/>
      <c r="AA310" s="22"/>
      <c r="AF310" s="22"/>
      <c r="AG310" s="22"/>
      <c r="AH310" s="22"/>
      <c r="AI310" s="22"/>
      <c r="AN310" s="22"/>
      <c r="AO310" s="22"/>
      <c r="AP310" s="22"/>
      <c r="AQ310" s="22"/>
      <c r="AR310" s="35"/>
      <c r="AS310" s="35"/>
      <c r="AT310" s="35"/>
      <c r="AU310" s="31"/>
      <c r="AV310" s="36"/>
    </row>
    <row r="311" spans="1:48">
      <c r="A311" s="40"/>
      <c r="D311" s="31"/>
      <c r="E311" s="31"/>
      <c r="F311" s="31"/>
      <c r="G311" s="31"/>
      <c r="H311" s="32"/>
      <c r="J311" s="33"/>
      <c r="K311" s="33"/>
      <c r="L311" s="33"/>
      <c r="X311" s="22"/>
      <c r="Y311" s="22"/>
      <c r="Z311" s="22"/>
      <c r="AA311" s="22"/>
      <c r="AF311" s="22"/>
      <c r="AG311" s="22"/>
      <c r="AH311" s="22"/>
      <c r="AI311" s="22"/>
      <c r="AN311" s="22"/>
      <c r="AO311" s="22"/>
      <c r="AP311" s="22"/>
      <c r="AQ311" s="22"/>
      <c r="AR311" s="35"/>
      <c r="AS311" s="35"/>
      <c r="AT311" s="35"/>
      <c r="AU311" s="31"/>
      <c r="AV311" s="36"/>
    </row>
    <row r="312" spans="1:48">
      <c r="A312" s="40"/>
      <c r="D312" s="31"/>
      <c r="E312" s="31"/>
      <c r="F312" s="31"/>
      <c r="G312" s="31"/>
      <c r="H312" s="32"/>
      <c r="J312" s="33"/>
      <c r="K312" s="33"/>
      <c r="L312" s="33"/>
      <c r="X312" s="22"/>
      <c r="Y312" s="22"/>
      <c r="Z312" s="22"/>
      <c r="AA312" s="22"/>
      <c r="AF312" s="22"/>
      <c r="AG312" s="22"/>
      <c r="AH312" s="22"/>
      <c r="AI312" s="22"/>
      <c r="AN312" s="22"/>
      <c r="AO312" s="22"/>
      <c r="AP312" s="22"/>
      <c r="AQ312" s="22"/>
      <c r="AR312" s="35"/>
      <c r="AS312" s="35"/>
      <c r="AT312" s="35"/>
      <c r="AU312" s="31"/>
      <c r="AV312" s="36"/>
    </row>
    <row r="313" spans="1:48">
      <c r="A313" s="40"/>
      <c r="D313" s="31"/>
      <c r="E313" s="31"/>
      <c r="F313" s="31"/>
      <c r="G313" s="31"/>
      <c r="H313" s="32"/>
      <c r="J313" s="33"/>
      <c r="K313" s="33"/>
      <c r="L313" s="33"/>
      <c r="X313" s="22"/>
      <c r="Y313" s="22"/>
      <c r="Z313" s="22"/>
      <c r="AA313" s="22"/>
      <c r="AF313" s="22"/>
      <c r="AG313" s="22"/>
      <c r="AH313" s="22"/>
      <c r="AI313" s="22"/>
      <c r="AN313" s="22"/>
      <c r="AO313" s="22"/>
      <c r="AP313" s="22"/>
      <c r="AQ313" s="22"/>
      <c r="AR313" s="35"/>
      <c r="AS313" s="35"/>
      <c r="AT313" s="35"/>
      <c r="AU313" s="31"/>
      <c r="AV313" s="36"/>
    </row>
    <row r="314" spans="1:48">
      <c r="A314" s="40"/>
      <c r="D314" s="31"/>
      <c r="E314" s="31"/>
      <c r="F314" s="31"/>
      <c r="G314" s="31"/>
      <c r="H314" s="32"/>
      <c r="J314" s="33"/>
      <c r="K314" s="33"/>
      <c r="L314" s="33"/>
      <c r="X314" s="22"/>
      <c r="Y314" s="22"/>
      <c r="Z314" s="22"/>
      <c r="AA314" s="22"/>
      <c r="AF314" s="22"/>
      <c r="AG314" s="22"/>
      <c r="AH314" s="22"/>
      <c r="AI314" s="22"/>
      <c r="AN314" s="22"/>
      <c r="AO314" s="22"/>
      <c r="AP314" s="22"/>
      <c r="AQ314" s="22"/>
      <c r="AR314" s="35"/>
      <c r="AS314" s="35"/>
      <c r="AT314" s="35"/>
      <c r="AU314" s="31"/>
      <c r="AV314" s="36"/>
    </row>
    <row r="315" spans="1:48">
      <c r="A315" s="40"/>
      <c r="D315" s="31"/>
      <c r="E315" s="31"/>
      <c r="F315" s="31"/>
      <c r="G315" s="31"/>
      <c r="H315" s="32"/>
      <c r="J315" s="33"/>
      <c r="K315" s="33"/>
      <c r="L315" s="33"/>
      <c r="X315" s="22"/>
      <c r="Y315" s="22"/>
      <c r="Z315" s="22"/>
      <c r="AA315" s="22"/>
      <c r="AF315" s="22"/>
      <c r="AG315" s="22"/>
      <c r="AH315" s="22"/>
      <c r="AI315" s="22"/>
      <c r="AN315" s="22"/>
      <c r="AO315" s="22"/>
      <c r="AP315" s="22"/>
      <c r="AQ315" s="22"/>
      <c r="AR315" s="35"/>
      <c r="AS315" s="35"/>
      <c r="AT315" s="35"/>
      <c r="AU315" s="31"/>
      <c r="AV315" s="36"/>
    </row>
    <row r="316" spans="1:48">
      <c r="A316" s="40"/>
      <c r="D316" s="31"/>
      <c r="E316" s="31"/>
      <c r="F316" s="31"/>
      <c r="G316" s="31"/>
      <c r="H316" s="32"/>
      <c r="J316" s="33"/>
      <c r="K316" s="33"/>
      <c r="L316" s="33"/>
      <c r="X316" s="22"/>
      <c r="Y316" s="22"/>
      <c r="Z316" s="22"/>
      <c r="AA316" s="22"/>
      <c r="AF316" s="22"/>
      <c r="AG316" s="22"/>
      <c r="AH316" s="22"/>
      <c r="AI316" s="22"/>
      <c r="AN316" s="22"/>
      <c r="AO316" s="22"/>
      <c r="AP316" s="22"/>
      <c r="AQ316" s="22"/>
      <c r="AR316" s="35"/>
      <c r="AS316" s="35"/>
      <c r="AT316" s="35"/>
      <c r="AU316" s="31"/>
      <c r="AV316" s="36"/>
    </row>
    <row r="317" spans="1:48">
      <c r="A317" s="40"/>
      <c r="D317" s="31"/>
      <c r="E317" s="31"/>
      <c r="F317" s="31"/>
      <c r="G317" s="31"/>
      <c r="H317" s="32"/>
      <c r="J317" s="33"/>
      <c r="K317" s="33"/>
      <c r="L317" s="33"/>
      <c r="X317" s="22"/>
      <c r="Y317" s="22"/>
      <c r="Z317" s="22"/>
      <c r="AA317" s="22"/>
      <c r="AF317" s="22"/>
      <c r="AG317" s="22"/>
      <c r="AH317" s="22"/>
      <c r="AI317" s="22"/>
      <c r="AN317" s="22"/>
      <c r="AO317" s="22"/>
      <c r="AP317" s="22"/>
      <c r="AQ317" s="22"/>
      <c r="AR317" s="35"/>
      <c r="AS317" s="35"/>
      <c r="AT317" s="35"/>
      <c r="AU317" s="31"/>
      <c r="AV317" s="36"/>
    </row>
    <row r="318" spans="1:48">
      <c r="A318" s="40"/>
      <c r="D318" s="31"/>
      <c r="E318" s="31"/>
      <c r="F318" s="31"/>
      <c r="G318" s="31"/>
      <c r="H318" s="32"/>
      <c r="J318" s="33"/>
      <c r="K318" s="33"/>
      <c r="L318" s="33"/>
      <c r="X318" s="22"/>
      <c r="Y318" s="22"/>
      <c r="Z318" s="22"/>
      <c r="AA318" s="22"/>
      <c r="AF318" s="22"/>
      <c r="AG318" s="22"/>
      <c r="AH318" s="22"/>
      <c r="AI318" s="22"/>
      <c r="AN318" s="22"/>
      <c r="AO318" s="22"/>
      <c r="AP318" s="22"/>
      <c r="AQ318" s="22"/>
      <c r="AR318" s="35"/>
      <c r="AS318" s="35"/>
      <c r="AT318" s="35"/>
      <c r="AU318" s="31"/>
      <c r="AV318" s="36"/>
    </row>
    <row r="319" spans="1:48">
      <c r="A319" s="40"/>
      <c r="D319" s="31"/>
      <c r="E319" s="31"/>
      <c r="F319" s="31"/>
      <c r="G319" s="31"/>
      <c r="H319" s="32"/>
      <c r="J319" s="33"/>
      <c r="K319" s="33"/>
      <c r="L319" s="33"/>
      <c r="X319" s="22"/>
      <c r="Y319" s="22"/>
      <c r="Z319" s="22"/>
      <c r="AA319" s="22"/>
      <c r="AF319" s="22"/>
      <c r="AG319" s="22"/>
      <c r="AH319" s="22"/>
      <c r="AI319" s="22"/>
      <c r="AN319" s="22"/>
      <c r="AO319" s="22"/>
      <c r="AP319" s="22"/>
      <c r="AQ319" s="22"/>
      <c r="AR319" s="35"/>
      <c r="AS319" s="35"/>
      <c r="AT319" s="35"/>
      <c r="AU319" s="31"/>
      <c r="AV319" s="36"/>
    </row>
    <row r="320" spans="1:48">
      <c r="A320" s="40"/>
      <c r="D320" s="31"/>
      <c r="E320" s="31"/>
      <c r="F320" s="31"/>
      <c r="G320" s="31"/>
      <c r="H320" s="32"/>
      <c r="J320" s="33"/>
      <c r="K320" s="33"/>
      <c r="L320" s="33"/>
      <c r="X320" s="22"/>
      <c r="Y320" s="22"/>
      <c r="Z320" s="22"/>
      <c r="AA320" s="22"/>
      <c r="AF320" s="22"/>
      <c r="AG320" s="22"/>
      <c r="AH320" s="22"/>
      <c r="AI320" s="22"/>
      <c r="AN320" s="22"/>
      <c r="AO320" s="22"/>
      <c r="AP320" s="22"/>
      <c r="AQ320" s="22"/>
      <c r="AR320" s="35"/>
      <c r="AS320" s="35"/>
      <c r="AT320" s="35"/>
      <c r="AU320" s="31"/>
      <c r="AV320" s="36"/>
    </row>
    <row r="321" spans="1:48">
      <c r="A321" s="40"/>
      <c r="D321" s="31"/>
      <c r="E321" s="31"/>
      <c r="F321" s="31"/>
      <c r="G321" s="31"/>
      <c r="H321" s="32"/>
      <c r="J321" s="33"/>
      <c r="K321" s="33"/>
      <c r="L321" s="33"/>
      <c r="X321" s="22"/>
      <c r="Y321" s="22"/>
      <c r="Z321" s="22"/>
      <c r="AA321" s="22"/>
      <c r="AF321" s="22"/>
      <c r="AG321" s="22"/>
      <c r="AH321" s="22"/>
      <c r="AI321" s="22"/>
      <c r="AN321" s="22"/>
      <c r="AO321" s="22"/>
      <c r="AP321" s="22"/>
      <c r="AQ321" s="22"/>
      <c r="AR321" s="35"/>
      <c r="AS321" s="35"/>
      <c r="AT321" s="35"/>
      <c r="AU321" s="31"/>
      <c r="AV321" s="36"/>
    </row>
    <row r="322" spans="1:48">
      <c r="A322" s="40"/>
      <c r="D322" s="31"/>
      <c r="E322" s="31"/>
      <c r="F322" s="31"/>
      <c r="G322" s="31"/>
      <c r="H322" s="32"/>
      <c r="J322" s="33"/>
      <c r="K322" s="33"/>
      <c r="L322" s="33"/>
      <c r="X322" s="22"/>
      <c r="Y322" s="22"/>
      <c r="Z322" s="22"/>
      <c r="AA322" s="22"/>
      <c r="AF322" s="22"/>
      <c r="AG322" s="22"/>
      <c r="AH322" s="22"/>
      <c r="AI322" s="22"/>
      <c r="AN322" s="22"/>
      <c r="AO322" s="22"/>
      <c r="AP322" s="22"/>
      <c r="AQ322" s="22"/>
      <c r="AR322" s="35"/>
      <c r="AS322" s="35"/>
      <c r="AT322" s="35"/>
      <c r="AU322" s="31"/>
      <c r="AV322" s="36"/>
    </row>
    <row r="323" spans="1:48">
      <c r="A323" s="40"/>
      <c r="D323" s="31"/>
      <c r="E323" s="31"/>
      <c r="F323" s="31"/>
      <c r="G323" s="31"/>
      <c r="H323" s="32"/>
      <c r="J323" s="33"/>
      <c r="K323" s="33"/>
      <c r="L323" s="33"/>
      <c r="X323" s="22"/>
      <c r="Y323" s="22"/>
      <c r="Z323" s="22"/>
      <c r="AA323" s="22"/>
      <c r="AF323" s="22"/>
      <c r="AG323" s="22"/>
      <c r="AH323" s="22"/>
      <c r="AI323" s="22"/>
      <c r="AN323" s="22"/>
      <c r="AO323" s="22"/>
      <c r="AP323" s="22"/>
      <c r="AQ323" s="22"/>
      <c r="AR323" s="35"/>
      <c r="AS323" s="35"/>
      <c r="AT323" s="35"/>
      <c r="AU323" s="31"/>
      <c r="AV323" s="36"/>
    </row>
    <row r="324" spans="1:48">
      <c r="A324" s="40"/>
      <c r="D324" s="31"/>
      <c r="E324" s="31"/>
      <c r="F324" s="31"/>
      <c r="G324" s="31"/>
      <c r="H324" s="32"/>
      <c r="J324" s="33"/>
      <c r="K324" s="33"/>
      <c r="L324" s="33"/>
      <c r="X324" s="22"/>
      <c r="Y324" s="22"/>
      <c r="Z324" s="22"/>
      <c r="AA324" s="22"/>
      <c r="AF324" s="22"/>
      <c r="AG324" s="22"/>
      <c r="AH324" s="22"/>
      <c r="AI324" s="22"/>
      <c r="AN324" s="22"/>
      <c r="AO324" s="22"/>
      <c r="AP324" s="22"/>
      <c r="AQ324" s="22"/>
      <c r="AR324" s="35"/>
      <c r="AS324" s="35"/>
      <c r="AT324" s="35"/>
      <c r="AU324" s="31"/>
      <c r="AV324" s="36"/>
    </row>
    <row r="325" spans="1:48">
      <c r="A325" s="40"/>
      <c r="D325" s="31"/>
      <c r="E325" s="31"/>
      <c r="F325" s="31"/>
      <c r="G325" s="31"/>
      <c r="H325" s="32"/>
      <c r="J325" s="33"/>
      <c r="K325" s="33"/>
      <c r="L325" s="33"/>
      <c r="X325" s="22"/>
      <c r="Y325" s="22"/>
      <c r="Z325" s="22"/>
      <c r="AA325" s="22"/>
      <c r="AF325" s="22"/>
      <c r="AG325" s="22"/>
      <c r="AH325" s="22"/>
      <c r="AI325" s="22"/>
      <c r="AN325" s="22"/>
      <c r="AO325" s="22"/>
      <c r="AP325" s="22"/>
      <c r="AQ325" s="22"/>
      <c r="AR325" s="35"/>
      <c r="AS325" s="35"/>
      <c r="AT325" s="35"/>
      <c r="AU325" s="31"/>
      <c r="AV325" s="36"/>
    </row>
    <row r="326" spans="1:48">
      <c r="A326" s="40"/>
      <c r="D326" s="31"/>
      <c r="E326" s="31"/>
      <c r="F326" s="31"/>
      <c r="G326" s="31"/>
      <c r="H326" s="32"/>
      <c r="J326" s="33"/>
      <c r="K326" s="33"/>
      <c r="L326" s="33"/>
      <c r="X326" s="22"/>
      <c r="Y326" s="22"/>
      <c r="Z326" s="22"/>
      <c r="AA326" s="22"/>
      <c r="AF326" s="22"/>
      <c r="AG326" s="22"/>
      <c r="AH326" s="22"/>
      <c r="AI326" s="22"/>
      <c r="AN326" s="22"/>
      <c r="AO326" s="22"/>
      <c r="AP326" s="22"/>
      <c r="AQ326" s="22"/>
      <c r="AR326" s="35"/>
      <c r="AS326" s="35"/>
      <c r="AT326" s="35"/>
      <c r="AU326" s="31"/>
      <c r="AV326" s="36"/>
    </row>
    <row r="327" spans="1:48">
      <c r="A327" s="40"/>
      <c r="D327" s="31"/>
      <c r="E327" s="31"/>
      <c r="F327" s="31"/>
      <c r="G327" s="31"/>
      <c r="H327" s="32"/>
      <c r="J327" s="33"/>
      <c r="K327" s="33"/>
      <c r="L327" s="33"/>
      <c r="X327" s="22"/>
      <c r="Y327" s="22"/>
      <c r="Z327" s="22"/>
      <c r="AA327" s="22"/>
      <c r="AF327" s="22"/>
      <c r="AG327" s="22"/>
      <c r="AH327" s="22"/>
      <c r="AI327" s="22"/>
      <c r="AN327" s="22"/>
      <c r="AO327" s="22"/>
      <c r="AP327" s="22"/>
      <c r="AQ327" s="22"/>
      <c r="AR327" s="35"/>
      <c r="AS327" s="35"/>
      <c r="AT327" s="35"/>
      <c r="AU327" s="31"/>
      <c r="AV327" s="36"/>
    </row>
    <row r="328" spans="1:48">
      <c r="A328" s="40"/>
      <c r="D328" s="31"/>
      <c r="E328" s="31"/>
      <c r="F328" s="31"/>
      <c r="G328" s="31"/>
      <c r="H328" s="32"/>
      <c r="J328" s="33"/>
      <c r="K328" s="33"/>
      <c r="L328" s="33"/>
      <c r="X328" s="22"/>
      <c r="Y328" s="22"/>
      <c r="Z328" s="22"/>
      <c r="AA328" s="22"/>
      <c r="AF328" s="22"/>
      <c r="AG328" s="22"/>
      <c r="AH328" s="22"/>
      <c r="AI328" s="22"/>
      <c r="AN328" s="22"/>
      <c r="AO328" s="22"/>
      <c r="AP328" s="22"/>
      <c r="AQ328" s="22"/>
      <c r="AR328" s="35"/>
      <c r="AS328" s="35"/>
      <c r="AT328" s="35"/>
      <c r="AU328" s="31"/>
      <c r="AV328" s="36"/>
    </row>
    <row r="329" spans="1:48">
      <c r="A329" s="40"/>
      <c r="D329" s="31"/>
      <c r="E329" s="31"/>
      <c r="F329" s="31"/>
      <c r="G329" s="31"/>
      <c r="H329" s="32"/>
      <c r="J329" s="33"/>
      <c r="K329" s="33"/>
      <c r="L329" s="33"/>
      <c r="X329" s="22"/>
      <c r="Y329" s="22"/>
      <c r="Z329" s="22"/>
      <c r="AA329" s="22"/>
      <c r="AF329" s="22"/>
      <c r="AG329" s="22"/>
      <c r="AH329" s="22"/>
      <c r="AI329" s="22"/>
      <c r="AN329" s="22"/>
      <c r="AO329" s="22"/>
      <c r="AP329" s="22"/>
      <c r="AQ329" s="22"/>
      <c r="AR329" s="35"/>
      <c r="AS329" s="35"/>
      <c r="AT329" s="35"/>
      <c r="AU329" s="31"/>
      <c r="AV329" s="36"/>
    </row>
    <row r="330" spans="1:48">
      <c r="A330" s="40"/>
      <c r="D330" s="31"/>
      <c r="E330" s="31"/>
      <c r="F330" s="31"/>
      <c r="G330" s="31"/>
      <c r="H330" s="32"/>
      <c r="J330" s="33"/>
      <c r="K330" s="33"/>
      <c r="L330" s="33"/>
      <c r="X330" s="22"/>
      <c r="Y330" s="22"/>
      <c r="Z330" s="22"/>
      <c r="AA330" s="22"/>
      <c r="AF330" s="22"/>
      <c r="AG330" s="22"/>
      <c r="AH330" s="22"/>
      <c r="AI330" s="22"/>
      <c r="AN330" s="22"/>
      <c r="AO330" s="22"/>
      <c r="AP330" s="22"/>
      <c r="AQ330" s="22"/>
      <c r="AR330" s="35"/>
      <c r="AS330" s="35"/>
      <c r="AT330" s="35"/>
      <c r="AU330" s="31"/>
      <c r="AV330" s="36"/>
    </row>
    <row r="331" spans="1:48">
      <c r="A331" s="40"/>
      <c r="D331" s="31"/>
      <c r="E331" s="31"/>
      <c r="F331" s="31"/>
      <c r="G331" s="31"/>
      <c r="H331" s="32"/>
      <c r="J331" s="33"/>
      <c r="K331" s="33"/>
      <c r="L331" s="33"/>
      <c r="X331" s="22"/>
      <c r="Y331" s="22"/>
      <c r="Z331" s="22"/>
      <c r="AA331" s="22"/>
      <c r="AF331" s="22"/>
      <c r="AG331" s="22"/>
      <c r="AH331" s="22"/>
      <c r="AI331" s="22"/>
      <c r="AN331" s="22"/>
      <c r="AO331" s="22"/>
      <c r="AP331" s="22"/>
      <c r="AQ331" s="22"/>
      <c r="AR331" s="35"/>
      <c r="AS331" s="35"/>
      <c r="AT331" s="35"/>
      <c r="AU331" s="31"/>
      <c r="AV331" s="36"/>
    </row>
    <row r="332" spans="1:48">
      <c r="A332" s="40"/>
      <c r="D332" s="31"/>
      <c r="E332" s="31"/>
      <c r="F332" s="31"/>
      <c r="G332" s="31"/>
      <c r="H332" s="32"/>
      <c r="J332" s="33"/>
      <c r="K332" s="33"/>
      <c r="L332" s="33"/>
      <c r="X332" s="22"/>
      <c r="Y332" s="22"/>
      <c r="Z332" s="22"/>
      <c r="AA332" s="22"/>
      <c r="AF332" s="22"/>
      <c r="AG332" s="22"/>
      <c r="AH332" s="22"/>
      <c r="AI332" s="22"/>
      <c r="AN332" s="22"/>
      <c r="AO332" s="22"/>
      <c r="AP332" s="22"/>
      <c r="AQ332" s="22"/>
      <c r="AR332" s="35"/>
      <c r="AS332" s="35"/>
      <c r="AT332" s="35"/>
      <c r="AU332" s="31"/>
      <c r="AV332" s="36"/>
    </row>
    <row r="333" spans="1:48">
      <c r="A333" s="40"/>
      <c r="D333" s="31"/>
      <c r="E333" s="31"/>
      <c r="F333" s="31"/>
      <c r="G333" s="31"/>
      <c r="H333" s="32"/>
      <c r="J333" s="33"/>
      <c r="K333" s="33"/>
      <c r="L333" s="33"/>
      <c r="X333" s="22"/>
      <c r="Y333" s="22"/>
      <c r="Z333" s="22"/>
      <c r="AA333" s="22"/>
      <c r="AF333" s="22"/>
      <c r="AG333" s="22"/>
      <c r="AH333" s="22"/>
      <c r="AI333" s="22"/>
      <c r="AN333" s="22"/>
      <c r="AO333" s="22"/>
      <c r="AP333" s="22"/>
      <c r="AQ333" s="22"/>
      <c r="AR333" s="35"/>
      <c r="AS333" s="35"/>
      <c r="AT333" s="35"/>
      <c r="AU333" s="31"/>
      <c r="AV333" s="36"/>
    </row>
    <row r="334" spans="1:48">
      <c r="A334" s="40"/>
      <c r="D334" s="31"/>
      <c r="E334" s="31"/>
      <c r="F334" s="31"/>
      <c r="G334" s="31"/>
      <c r="H334" s="32"/>
      <c r="J334" s="33"/>
      <c r="K334" s="33"/>
      <c r="L334" s="33"/>
      <c r="X334" s="22"/>
      <c r="Y334" s="22"/>
      <c r="Z334" s="22"/>
      <c r="AA334" s="22"/>
      <c r="AF334" s="22"/>
      <c r="AG334" s="22"/>
      <c r="AH334" s="22"/>
      <c r="AI334" s="22"/>
      <c r="AN334" s="22"/>
      <c r="AO334" s="22"/>
      <c r="AP334" s="22"/>
      <c r="AQ334" s="22"/>
      <c r="AR334" s="35"/>
      <c r="AS334" s="35"/>
      <c r="AT334" s="35"/>
      <c r="AU334" s="31"/>
      <c r="AV334" s="36"/>
    </row>
    <row r="335" spans="1:48">
      <c r="A335" s="40"/>
      <c r="D335" s="31"/>
      <c r="E335" s="31"/>
      <c r="F335" s="31"/>
      <c r="G335" s="31"/>
      <c r="H335" s="32"/>
      <c r="J335" s="33"/>
      <c r="K335" s="33"/>
      <c r="L335" s="33"/>
      <c r="X335" s="22"/>
      <c r="Y335" s="22"/>
      <c r="Z335" s="22"/>
      <c r="AA335" s="22"/>
      <c r="AF335" s="22"/>
      <c r="AG335" s="22"/>
      <c r="AH335" s="22"/>
      <c r="AI335" s="22"/>
      <c r="AN335" s="22"/>
      <c r="AO335" s="22"/>
      <c r="AP335" s="22"/>
      <c r="AQ335" s="22"/>
      <c r="AR335" s="35"/>
      <c r="AS335" s="35"/>
      <c r="AT335" s="35"/>
      <c r="AU335" s="31"/>
      <c r="AV335" s="36"/>
    </row>
    <row r="336" spans="1:48">
      <c r="A336" s="40"/>
      <c r="D336" s="31"/>
      <c r="E336" s="31"/>
      <c r="F336" s="31"/>
      <c r="G336" s="31"/>
      <c r="H336" s="32"/>
      <c r="J336" s="33"/>
      <c r="K336" s="33"/>
      <c r="L336" s="33"/>
      <c r="X336" s="22"/>
      <c r="Y336" s="22"/>
      <c r="Z336" s="22"/>
      <c r="AA336" s="22"/>
      <c r="AF336" s="22"/>
      <c r="AG336" s="22"/>
      <c r="AH336" s="22"/>
      <c r="AI336" s="22"/>
      <c r="AN336" s="22"/>
      <c r="AO336" s="22"/>
      <c r="AP336" s="22"/>
      <c r="AQ336" s="22"/>
      <c r="AR336" s="35"/>
      <c r="AS336" s="35"/>
      <c r="AT336" s="35"/>
      <c r="AU336" s="31"/>
      <c r="AV336" s="36"/>
    </row>
    <row r="337" spans="1:48">
      <c r="A337" s="40"/>
      <c r="D337" s="31"/>
      <c r="E337" s="31"/>
      <c r="F337" s="31"/>
      <c r="G337" s="31"/>
      <c r="H337" s="32"/>
      <c r="J337" s="33"/>
      <c r="K337" s="33"/>
      <c r="L337" s="33"/>
      <c r="X337" s="22"/>
      <c r="Y337" s="22"/>
      <c r="Z337" s="22"/>
      <c r="AA337" s="22"/>
      <c r="AF337" s="22"/>
      <c r="AG337" s="22"/>
      <c r="AH337" s="22"/>
      <c r="AI337" s="22"/>
      <c r="AN337" s="22"/>
      <c r="AO337" s="22"/>
      <c r="AP337" s="22"/>
      <c r="AQ337" s="22"/>
      <c r="AR337" s="35"/>
      <c r="AS337" s="35"/>
      <c r="AT337" s="35"/>
      <c r="AU337" s="31"/>
      <c r="AV337" s="36"/>
    </row>
    <row r="338" spans="1:48">
      <c r="A338" s="40"/>
      <c r="D338" s="31"/>
      <c r="E338" s="31"/>
      <c r="F338" s="31"/>
      <c r="G338" s="31"/>
      <c r="H338" s="32"/>
      <c r="J338" s="33"/>
      <c r="K338" s="33"/>
      <c r="L338" s="33"/>
      <c r="X338" s="22"/>
      <c r="Y338" s="22"/>
      <c r="Z338" s="22"/>
      <c r="AA338" s="22"/>
      <c r="AF338" s="22"/>
      <c r="AG338" s="22"/>
      <c r="AH338" s="22"/>
      <c r="AI338" s="22"/>
      <c r="AN338" s="22"/>
      <c r="AO338" s="22"/>
      <c r="AP338" s="22"/>
      <c r="AQ338" s="22"/>
      <c r="AR338" s="35"/>
      <c r="AS338" s="35"/>
      <c r="AT338" s="35"/>
      <c r="AU338" s="31"/>
      <c r="AV338" s="36"/>
    </row>
    <row r="339" spans="1:48">
      <c r="A339" s="40"/>
      <c r="D339" s="31"/>
      <c r="E339" s="31"/>
      <c r="F339" s="31"/>
      <c r="G339" s="31"/>
      <c r="H339" s="32"/>
      <c r="J339" s="33"/>
      <c r="K339" s="33"/>
      <c r="L339" s="33"/>
      <c r="X339" s="22"/>
      <c r="Y339" s="22"/>
      <c r="Z339" s="22"/>
      <c r="AA339" s="22"/>
      <c r="AF339" s="22"/>
      <c r="AG339" s="22"/>
      <c r="AH339" s="22"/>
      <c r="AI339" s="22"/>
      <c r="AN339" s="22"/>
      <c r="AO339" s="22"/>
      <c r="AP339" s="22"/>
      <c r="AQ339" s="22"/>
      <c r="AR339" s="35"/>
      <c r="AS339" s="35"/>
      <c r="AT339" s="35"/>
      <c r="AU339" s="31"/>
      <c r="AV339" s="36"/>
    </row>
    <row r="340" spans="1:48">
      <c r="A340" s="40"/>
      <c r="D340" s="31"/>
      <c r="E340" s="31"/>
      <c r="F340" s="31"/>
      <c r="G340" s="31"/>
      <c r="H340" s="32"/>
      <c r="J340" s="33"/>
      <c r="K340" s="33"/>
      <c r="L340" s="33"/>
      <c r="X340" s="22"/>
      <c r="Y340" s="22"/>
      <c r="Z340" s="22"/>
      <c r="AA340" s="22"/>
      <c r="AF340" s="22"/>
      <c r="AG340" s="22"/>
      <c r="AH340" s="22"/>
      <c r="AI340" s="22"/>
      <c r="AN340" s="22"/>
      <c r="AO340" s="22"/>
      <c r="AP340" s="22"/>
      <c r="AQ340" s="22"/>
      <c r="AR340" s="35"/>
      <c r="AS340" s="35"/>
      <c r="AT340" s="35"/>
      <c r="AU340" s="31"/>
      <c r="AV340" s="36"/>
    </row>
    <row r="341" spans="1:48">
      <c r="A341" s="40"/>
      <c r="D341" s="31"/>
      <c r="E341" s="31"/>
      <c r="F341" s="31"/>
      <c r="G341" s="31"/>
      <c r="H341" s="32"/>
      <c r="J341" s="33"/>
      <c r="K341" s="33"/>
      <c r="L341" s="33"/>
      <c r="X341" s="22"/>
      <c r="Y341" s="22"/>
      <c r="Z341" s="22"/>
      <c r="AA341" s="22"/>
      <c r="AF341" s="22"/>
      <c r="AG341" s="22"/>
      <c r="AH341" s="22"/>
      <c r="AI341" s="22"/>
      <c r="AN341" s="22"/>
      <c r="AO341" s="22"/>
      <c r="AP341" s="22"/>
      <c r="AQ341" s="22"/>
      <c r="AR341" s="35"/>
      <c r="AS341" s="35"/>
      <c r="AT341" s="35"/>
      <c r="AU341" s="31"/>
      <c r="AV341" s="36"/>
    </row>
    <row r="342" spans="1:48">
      <c r="A342" s="40"/>
      <c r="D342" s="31"/>
      <c r="E342" s="31"/>
      <c r="F342" s="31"/>
      <c r="G342" s="31"/>
      <c r="H342" s="32"/>
      <c r="J342" s="33"/>
      <c r="K342" s="33"/>
      <c r="L342" s="33"/>
      <c r="X342" s="22"/>
      <c r="Y342" s="22"/>
      <c r="Z342" s="22"/>
      <c r="AA342" s="22"/>
      <c r="AF342" s="22"/>
      <c r="AG342" s="22"/>
      <c r="AH342" s="22"/>
      <c r="AI342" s="22"/>
      <c r="AN342" s="22"/>
      <c r="AO342" s="22"/>
      <c r="AP342" s="22"/>
      <c r="AQ342" s="22"/>
      <c r="AR342" s="35"/>
      <c r="AS342" s="35"/>
      <c r="AT342" s="35"/>
      <c r="AU342" s="31"/>
      <c r="AV342" s="36"/>
    </row>
    <row r="343" spans="1:48">
      <c r="A343" s="40"/>
      <c r="D343" s="31"/>
      <c r="E343" s="31"/>
      <c r="F343" s="31"/>
      <c r="G343" s="31"/>
      <c r="H343" s="32"/>
      <c r="J343" s="33"/>
      <c r="K343" s="33"/>
      <c r="L343" s="33"/>
      <c r="X343" s="22"/>
      <c r="Y343" s="22"/>
      <c r="Z343" s="22"/>
      <c r="AA343" s="22"/>
      <c r="AF343" s="22"/>
      <c r="AG343" s="22"/>
      <c r="AH343" s="22"/>
      <c r="AI343" s="22"/>
      <c r="AN343" s="22"/>
      <c r="AO343" s="22"/>
      <c r="AP343" s="22"/>
      <c r="AQ343" s="22"/>
      <c r="AR343" s="35"/>
      <c r="AS343" s="35"/>
      <c r="AT343" s="35"/>
      <c r="AU343" s="31"/>
      <c r="AV343" s="36"/>
    </row>
    <row r="344" spans="1:48">
      <c r="A344" s="40"/>
      <c r="D344" s="31"/>
      <c r="E344" s="31"/>
      <c r="F344" s="31"/>
      <c r="G344" s="31"/>
      <c r="H344" s="32"/>
      <c r="J344" s="33"/>
      <c r="K344" s="33"/>
      <c r="L344" s="33"/>
      <c r="X344" s="22"/>
      <c r="Y344" s="22"/>
      <c r="Z344" s="22"/>
      <c r="AA344" s="22"/>
      <c r="AF344" s="22"/>
      <c r="AG344" s="22"/>
      <c r="AH344" s="22"/>
      <c r="AI344" s="22"/>
      <c r="AN344" s="22"/>
      <c r="AO344" s="22"/>
      <c r="AP344" s="22"/>
      <c r="AQ344" s="22"/>
      <c r="AR344" s="35"/>
      <c r="AS344" s="35"/>
      <c r="AT344" s="35"/>
      <c r="AU344" s="31"/>
      <c r="AV344" s="36"/>
    </row>
    <row r="345" spans="1:48">
      <c r="A345" s="40"/>
      <c r="D345" s="31"/>
      <c r="E345" s="31"/>
      <c r="F345" s="31"/>
      <c r="G345" s="31"/>
      <c r="H345" s="32"/>
      <c r="J345" s="33"/>
      <c r="K345" s="33"/>
      <c r="L345" s="33"/>
      <c r="X345" s="22"/>
      <c r="Y345" s="22"/>
      <c r="Z345" s="22"/>
      <c r="AA345" s="22"/>
      <c r="AF345" s="22"/>
      <c r="AG345" s="22"/>
      <c r="AH345" s="22"/>
      <c r="AI345" s="22"/>
      <c r="AN345" s="22"/>
      <c r="AO345" s="22"/>
      <c r="AP345" s="22"/>
      <c r="AQ345" s="22"/>
      <c r="AR345" s="35"/>
      <c r="AS345" s="35"/>
      <c r="AT345" s="35"/>
      <c r="AU345" s="31"/>
      <c r="AV345" s="36"/>
    </row>
    <row r="346" spans="1:48">
      <c r="A346" s="40"/>
      <c r="D346" s="31"/>
      <c r="E346" s="31"/>
      <c r="F346" s="31"/>
      <c r="G346" s="31"/>
      <c r="H346" s="32"/>
      <c r="J346" s="33"/>
      <c r="K346" s="33"/>
      <c r="L346" s="33"/>
      <c r="X346" s="22"/>
      <c r="Y346" s="22"/>
      <c r="Z346" s="22"/>
      <c r="AA346" s="22"/>
      <c r="AF346" s="22"/>
      <c r="AG346" s="22"/>
      <c r="AH346" s="22"/>
      <c r="AI346" s="22"/>
      <c r="AN346" s="22"/>
      <c r="AO346" s="22"/>
      <c r="AP346" s="22"/>
      <c r="AQ346" s="22"/>
      <c r="AR346" s="35"/>
      <c r="AS346" s="35"/>
      <c r="AT346" s="35"/>
      <c r="AU346" s="31"/>
      <c r="AV346" s="36"/>
    </row>
    <row r="347" spans="1:48">
      <c r="A347" s="40"/>
      <c r="D347" s="31"/>
      <c r="E347" s="31"/>
      <c r="F347" s="31"/>
      <c r="G347" s="31"/>
      <c r="H347" s="32"/>
      <c r="J347" s="33"/>
      <c r="K347" s="33"/>
      <c r="L347" s="33"/>
      <c r="X347" s="22"/>
      <c r="Y347" s="22"/>
      <c r="Z347" s="22"/>
      <c r="AA347" s="22"/>
      <c r="AF347" s="22"/>
      <c r="AG347" s="22"/>
      <c r="AH347" s="22"/>
      <c r="AI347" s="22"/>
      <c r="AN347" s="22"/>
      <c r="AO347" s="22"/>
      <c r="AP347" s="22"/>
      <c r="AQ347" s="22"/>
      <c r="AR347" s="35"/>
      <c r="AS347" s="35"/>
      <c r="AT347" s="35"/>
      <c r="AU347" s="31"/>
      <c r="AV347" s="36"/>
    </row>
    <row r="348" spans="1:48">
      <c r="A348" s="40"/>
      <c r="D348" s="31"/>
      <c r="E348" s="31"/>
      <c r="F348" s="31"/>
      <c r="G348" s="31"/>
      <c r="H348" s="32"/>
      <c r="J348" s="33"/>
      <c r="K348" s="33"/>
      <c r="L348" s="33"/>
      <c r="X348" s="22"/>
      <c r="Y348" s="22"/>
      <c r="Z348" s="22"/>
      <c r="AA348" s="22"/>
      <c r="AF348" s="22"/>
      <c r="AG348" s="22"/>
      <c r="AH348" s="22"/>
      <c r="AI348" s="22"/>
      <c r="AN348" s="22"/>
      <c r="AO348" s="22"/>
      <c r="AP348" s="22"/>
      <c r="AQ348" s="22"/>
      <c r="AR348" s="35"/>
      <c r="AS348" s="35"/>
      <c r="AT348" s="35"/>
      <c r="AU348" s="31"/>
      <c r="AV348" s="36"/>
    </row>
    <row r="349" spans="1:48">
      <c r="A349" s="40"/>
      <c r="D349" s="31"/>
      <c r="E349" s="31"/>
      <c r="F349" s="31"/>
      <c r="G349" s="31"/>
      <c r="H349" s="32"/>
      <c r="J349" s="33"/>
      <c r="K349" s="33"/>
      <c r="L349" s="33"/>
      <c r="X349" s="22"/>
      <c r="Y349" s="22"/>
      <c r="Z349" s="22"/>
      <c r="AA349" s="22"/>
      <c r="AF349" s="22"/>
      <c r="AG349" s="22"/>
      <c r="AH349" s="22"/>
      <c r="AI349" s="22"/>
      <c r="AN349" s="22"/>
      <c r="AO349" s="22"/>
      <c r="AP349" s="22"/>
      <c r="AQ349" s="22"/>
      <c r="AR349" s="35"/>
      <c r="AS349" s="35"/>
      <c r="AT349" s="35"/>
      <c r="AU349" s="31"/>
      <c r="AV349" s="36"/>
    </row>
    <row r="350" spans="1:48">
      <c r="A350" s="40"/>
      <c r="D350" s="31"/>
      <c r="E350" s="31"/>
      <c r="F350" s="31"/>
      <c r="G350" s="31"/>
      <c r="H350" s="32"/>
      <c r="J350" s="33"/>
      <c r="K350" s="33"/>
      <c r="L350" s="33"/>
      <c r="X350" s="22"/>
      <c r="Y350" s="22"/>
      <c r="Z350" s="22"/>
      <c r="AA350" s="22"/>
      <c r="AF350" s="22"/>
      <c r="AG350" s="22"/>
      <c r="AH350" s="22"/>
      <c r="AI350" s="22"/>
      <c r="AN350" s="22"/>
      <c r="AO350" s="22"/>
      <c r="AP350" s="22"/>
      <c r="AQ350" s="22"/>
      <c r="AR350" s="35"/>
      <c r="AS350" s="35"/>
      <c r="AT350" s="35"/>
      <c r="AU350" s="31"/>
      <c r="AV350" s="36"/>
    </row>
    <row r="351" spans="1:48">
      <c r="A351" s="40"/>
      <c r="D351" s="31"/>
      <c r="E351" s="31"/>
      <c r="F351" s="31"/>
      <c r="G351" s="31"/>
      <c r="H351" s="32"/>
      <c r="J351" s="33"/>
      <c r="K351" s="33"/>
      <c r="L351" s="33"/>
      <c r="X351" s="22"/>
      <c r="Y351" s="22"/>
      <c r="Z351" s="22"/>
      <c r="AA351" s="22"/>
      <c r="AF351" s="22"/>
      <c r="AG351" s="22"/>
      <c r="AH351" s="22"/>
      <c r="AI351" s="22"/>
      <c r="AN351" s="22"/>
      <c r="AO351" s="22"/>
      <c r="AP351" s="22"/>
      <c r="AQ351" s="22"/>
      <c r="AR351" s="35"/>
      <c r="AS351" s="35"/>
      <c r="AT351" s="35"/>
      <c r="AU351" s="31"/>
      <c r="AV351" s="36"/>
    </row>
    <row r="352" spans="1:48">
      <c r="A352" s="40"/>
      <c r="D352" s="31"/>
      <c r="E352" s="31"/>
      <c r="F352" s="31"/>
      <c r="G352" s="31"/>
      <c r="H352" s="32"/>
      <c r="J352" s="33"/>
      <c r="K352" s="33"/>
      <c r="L352" s="33"/>
      <c r="X352" s="22"/>
      <c r="Y352" s="22"/>
      <c r="Z352" s="22"/>
      <c r="AA352" s="22"/>
      <c r="AF352" s="22"/>
      <c r="AG352" s="22"/>
      <c r="AH352" s="22"/>
      <c r="AI352" s="22"/>
      <c r="AN352" s="22"/>
      <c r="AO352" s="22"/>
      <c r="AP352" s="22"/>
      <c r="AQ352" s="22"/>
      <c r="AR352" s="35"/>
      <c r="AS352" s="35"/>
      <c r="AT352" s="35"/>
      <c r="AU352" s="31"/>
      <c r="AV352" s="36"/>
    </row>
    <row r="353" spans="1:48">
      <c r="A353" s="40"/>
      <c r="D353" s="31"/>
      <c r="E353" s="31"/>
      <c r="F353" s="31"/>
      <c r="G353" s="31"/>
      <c r="H353" s="32"/>
      <c r="J353" s="33"/>
      <c r="K353" s="33"/>
      <c r="L353" s="33"/>
      <c r="X353" s="22"/>
      <c r="Y353" s="22"/>
      <c r="Z353" s="22"/>
      <c r="AA353" s="22"/>
      <c r="AF353" s="22"/>
      <c r="AG353" s="22"/>
      <c r="AH353" s="22"/>
      <c r="AI353" s="22"/>
      <c r="AN353" s="22"/>
      <c r="AO353" s="22"/>
      <c r="AP353" s="22"/>
      <c r="AQ353" s="22"/>
      <c r="AR353" s="35"/>
      <c r="AS353" s="35"/>
      <c r="AT353" s="35"/>
      <c r="AU353" s="31"/>
      <c r="AV353" s="36"/>
    </row>
    <row r="354" spans="1:48">
      <c r="A354" s="40"/>
      <c r="D354" s="31"/>
      <c r="E354" s="31"/>
      <c r="F354" s="31"/>
      <c r="G354" s="31"/>
      <c r="H354" s="32"/>
      <c r="J354" s="33"/>
      <c r="K354" s="33"/>
      <c r="L354" s="33"/>
      <c r="X354" s="22"/>
      <c r="Y354" s="22"/>
      <c r="Z354" s="22"/>
      <c r="AA354" s="22"/>
      <c r="AF354" s="22"/>
      <c r="AG354" s="22"/>
      <c r="AH354" s="22"/>
      <c r="AI354" s="22"/>
      <c r="AN354" s="22"/>
      <c r="AO354" s="22"/>
      <c r="AP354" s="22"/>
      <c r="AQ354" s="22"/>
      <c r="AR354" s="35"/>
      <c r="AS354" s="35"/>
      <c r="AT354" s="35"/>
      <c r="AU354" s="31"/>
      <c r="AV354" s="36"/>
    </row>
    <row r="355" spans="1:48">
      <c r="A355" s="40"/>
      <c r="D355" s="31"/>
      <c r="E355" s="31"/>
      <c r="F355" s="31"/>
      <c r="G355" s="31"/>
      <c r="H355" s="32"/>
      <c r="J355" s="33"/>
      <c r="K355" s="33"/>
      <c r="L355" s="33"/>
      <c r="X355" s="22"/>
      <c r="Y355" s="22"/>
      <c r="Z355" s="22"/>
      <c r="AA355" s="22"/>
      <c r="AF355" s="22"/>
      <c r="AG355" s="22"/>
      <c r="AH355" s="22"/>
      <c r="AI355" s="22"/>
      <c r="AN355" s="22"/>
      <c r="AO355" s="22"/>
      <c r="AP355" s="22"/>
      <c r="AQ355" s="22"/>
      <c r="AR355" s="35"/>
      <c r="AS355" s="35"/>
      <c r="AT355" s="35"/>
      <c r="AU355" s="31"/>
      <c r="AV355" s="36"/>
    </row>
    <row r="356" spans="1:48">
      <c r="A356" s="40"/>
      <c r="D356" s="31"/>
      <c r="E356" s="31"/>
      <c r="F356" s="31"/>
      <c r="G356" s="31"/>
      <c r="H356" s="32"/>
      <c r="J356" s="33"/>
      <c r="K356" s="33"/>
      <c r="L356" s="33"/>
      <c r="X356" s="22"/>
      <c r="Y356" s="22"/>
      <c r="Z356" s="22"/>
      <c r="AA356" s="22"/>
      <c r="AF356" s="22"/>
      <c r="AG356" s="22"/>
      <c r="AH356" s="22"/>
      <c r="AI356" s="22"/>
      <c r="AN356" s="22"/>
      <c r="AO356" s="22"/>
      <c r="AP356" s="22"/>
      <c r="AQ356" s="22"/>
      <c r="AR356" s="35"/>
      <c r="AS356" s="35"/>
      <c r="AT356" s="35"/>
      <c r="AU356" s="31"/>
      <c r="AV356" s="36"/>
    </row>
    <row r="357" spans="1:48">
      <c r="A357" s="40"/>
      <c r="D357" s="31"/>
      <c r="E357" s="31"/>
      <c r="F357" s="31"/>
      <c r="G357" s="31"/>
      <c r="H357" s="32"/>
      <c r="J357" s="33"/>
      <c r="K357" s="33"/>
      <c r="L357" s="33"/>
      <c r="X357" s="22"/>
      <c r="Y357" s="22"/>
      <c r="Z357" s="22"/>
      <c r="AA357" s="22"/>
      <c r="AF357" s="22"/>
      <c r="AG357" s="22"/>
      <c r="AH357" s="22"/>
      <c r="AI357" s="22"/>
      <c r="AN357" s="22"/>
      <c r="AO357" s="22"/>
      <c r="AP357" s="22"/>
      <c r="AQ357" s="22"/>
      <c r="AR357" s="35"/>
      <c r="AS357" s="35"/>
      <c r="AT357" s="35"/>
      <c r="AU357" s="31"/>
      <c r="AV357" s="36"/>
    </row>
    <row r="358" spans="1:48">
      <c r="A358" s="40"/>
      <c r="D358" s="31"/>
      <c r="E358" s="31"/>
      <c r="F358" s="31"/>
      <c r="G358" s="31"/>
      <c r="H358" s="32"/>
      <c r="J358" s="33"/>
      <c r="K358" s="33"/>
      <c r="L358" s="33"/>
      <c r="X358" s="22"/>
      <c r="Y358" s="22"/>
      <c r="Z358" s="22"/>
      <c r="AA358" s="22"/>
      <c r="AF358" s="22"/>
      <c r="AG358" s="22"/>
      <c r="AH358" s="22"/>
      <c r="AI358" s="22"/>
      <c r="AN358" s="22"/>
      <c r="AO358" s="22"/>
      <c r="AP358" s="22"/>
      <c r="AQ358" s="22"/>
      <c r="AR358" s="35"/>
      <c r="AS358" s="35"/>
      <c r="AT358" s="35"/>
      <c r="AU358" s="31"/>
      <c r="AV358" s="36"/>
    </row>
    <row r="359" spans="1:48">
      <c r="A359" s="40"/>
      <c r="D359" s="31"/>
      <c r="E359" s="31"/>
      <c r="F359" s="31"/>
      <c r="G359" s="31"/>
      <c r="H359" s="32"/>
      <c r="J359" s="33"/>
      <c r="K359" s="33"/>
      <c r="L359" s="33"/>
      <c r="X359" s="22"/>
      <c r="Y359" s="22"/>
      <c r="Z359" s="22"/>
      <c r="AA359" s="22"/>
      <c r="AF359" s="22"/>
      <c r="AG359" s="22"/>
      <c r="AH359" s="22"/>
      <c r="AI359" s="22"/>
      <c r="AN359" s="22"/>
      <c r="AO359" s="22"/>
      <c r="AP359" s="22"/>
      <c r="AQ359" s="22"/>
      <c r="AR359" s="35"/>
      <c r="AS359" s="35"/>
      <c r="AT359" s="35"/>
      <c r="AU359" s="31"/>
      <c r="AV359" s="36"/>
    </row>
    <row r="360" spans="1:48">
      <c r="A360" s="40"/>
      <c r="D360" s="31"/>
      <c r="E360" s="31"/>
      <c r="F360" s="31"/>
      <c r="G360" s="31"/>
      <c r="H360" s="32"/>
      <c r="J360" s="33"/>
      <c r="K360" s="33"/>
      <c r="L360" s="33"/>
      <c r="X360" s="22"/>
      <c r="Y360" s="22"/>
      <c r="Z360" s="22"/>
      <c r="AA360" s="22"/>
      <c r="AF360" s="22"/>
      <c r="AG360" s="22"/>
      <c r="AH360" s="22"/>
      <c r="AI360" s="22"/>
      <c r="AN360" s="22"/>
      <c r="AO360" s="22"/>
      <c r="AP360" s="22"/>
      <c r="AQ360" s="22"/>
      <c r="AR360" s="35"/>
      <c r="AS360" s="35"/>
      <c r="AT360" s="35"/>
      <c r="AU360" s="31"/>
      <c r="AV360" s="36"/>
    </row>
    <row r="361" spans="1:48">
      <c r="A361" s="40"/>
      <c r="D361" s="31"/>
      <c r="E361" s="31"/>
      <c r="F361" s="31"/>
      <c r="G361" s="31"/>
      <c r="H361" s="32"/>
      <c r="J361" s="33"/>
      <c r="K361" s="33"/>
      <c r="L361" s="33"/>
      <c r="X361" s="22"/>
      <c r="Y361" s="22"/>
      <c r="Z361" s="22"/>
      <c r="AA361" s="22"/>
      <c r="AF361" s="22"/>
      <c r="AG361" s="22"/>
      <c r="AH361" s="22"/>
      <c r="AI361" s="22"/>
      <c r="AN361" s="22"/>
      <c r="AO361" s="22"/>
      <c r="AP361" s="22"/>
      <c r="AQ361" s="22"/>
      <c r="AR361" s="35"/>
      <c r="AS361" s="35"/>
      <c r="AT361" s="35"/>
      <c r="AU361" s="31"/>
      <c r="AV361" s="36"/>
    </row>
    <row r="362" spans="1:48">
      <c r="A362" s="40"/>
      <c r="D362" s="31"/>
      <c r="E362" s="31"/>
      <c r="F362" s="31"/>
      <c r="G362" s="31"/>
      <c r="H362" s="32"/>
      <c r="J362" s="33"/>
      <c r="K362" s="33"/>
      <c r="L362" s="33"/>
      <c r="X362" s="22"/>
      <c r="Y362" s="22"/>
      <c r="Z362" s="22"/>
      <c r="AA362" s="22"/>
      <c r="AF362" s="22"/>
      <c r="AG362" s="22"/>
      <c r="AH362" s="22"/>
      <c r="AI362" s="22"/>
      <c r="AN362" s="22"/>
      <c r="AO362" s="22"/>
      <c r="AP362" s="22"/>
      <c r="AQ362" s="22"/>
      <c r="AR362" s="35"/>
      <c r="AS362" s="35"/>
      <c r="AT362" s="35"/>
      <c r="AU362" s="31"/>
      <c r="AV362" s="36"/>
    </row>
    <row r="363" spans="1:48">
      <c r="A363" s="40"/>
      <c r="D363" s="31"/>
      <c r="E363" s="31"/>
      <c r="F363" s="31"/>
      <c r="G363" s="31"/>
      <c r="H363" s="32"/>
      <c r="J363" s="33"/>
      <c r="K363" s="33"/>
      <c r="L363" s="33"/>
      <c r="X363" s="22"/>
      <c r="Y363" s="22"/>
      <c r="Z363" s="22"/>
      <c r="AA363" s="22"/>
      <c r="AF363" s="22"/>
      <c r="AG363" s="22"/>
      <c r="AH363" s="22"/>
      <c r="AI363" s="22"/>
      <c r="AN363" s="22"/>
      <c r="AO363" s="22"/>
      <c r="AP363" s="22"/>
      <c r="AQ363" s="22"/>
      <c r="AR363" s="35"/>
      <c r="AS363" s="35"/>
      <c r="AT363" s="35"/>
      <c r="AU363" s="31"/>
      <c r="AV363" s="36"/>
    </row>
    <row r="364" spans="1:48">
      <c r="A364" s="40"/>
      <c r="D364" s="31"/>
      <c r="E364" s="31"/>
      <c r="F364" s="31"/>
      <c r="G364" s="31"/>
      <c r="H364" s="32"/>
      <c r="J364" s="33"/>
      <c r="K364" s="33"/>
      <c r="L364" s="33"/>
      <c r="X364" s="22"/>
      <c r="Y364" s="22"/>
      <c r="Z364" s="22"/>
      <c r="AA364" s="22"/>
      <c r="AF364" s="22"/>
      <c r="AG364" s="22"/>
      <c r="AH364" s="22"/>
      <c r="AI364" s="22"/>
      <c r="AN364" s="22"/>
      <c r="AO364" s="22"/>
      <c r="AP364" s="22"/>
      <c r="AQ364" s="22"/>
      <c r="AR364" s="35"/>
      <c r="AS364" s="35"/>
      <c r="AT364" s="35"/>
      <c r="AU364" s="31"/>
      <c r="AV364" s="36"/>
    </row>
    <row r="365" spans="1:48">
      <c r="A365" s="40"/>
      <c r="D365" s="31"/>
      <c r="E365" s="31"/>
      <c r="F365" s="31"/>
      <c r="G365" s="31"/>
      <c r="H365" s="32"/>
      <c r="J365" s="33"/>
      <c r="K365" s="33"/>
      <c r="L365" s="33"/>
      <c r="X365" s="22"/>
      <c r="Y365" s="22"/>
      <c r="Z365" s="22"/>
      <c r="AA365" s="22"/>
      <c r="AF365" s="22"/>
      <c r="AG365" s="22"/>
      <c r="AH365" s="22"/>
      <c r="AI365" s="22"/>
      <c r="AN365" s="22"/>
      <c r="AO365" s="22"/>
      <c r="AP365" s="22"/>
      <c r="AQ365" s="22"/>
      <c r="AR365" s="35"/>
      <c r="AS365" s="35"/>
      <c r="AT365" s="35"/>
      <c r="AU365" s="31"/>
      <c r="AV365" s="36"/>
    </row>
    <row r="366" spans="1:48">
      <c r="A366" s="40"/>
      <c r="D366" s="31"/>
      <c r="E366" s="31"/>
      <c r="F366" s="31"/>
      <c r="G366" s="31"/>
      <c r="H366" s="32"/>
      <c r="J366" s="33"/>
      <c r="K366" s="33"/>
      <c r="L366" s="33"/>
      <c r="X366" s="22"/>
      <c r="Y366" s="22"/>
      <c r="Z366" s="22"/>
      <c r="AA366" s="22"/>
      <c r="AF366" s="22"/>
      <c r="AG366" s="22"/>
      <c r="AH366" s="22"/>
      <c r="AI366" s="22"/>
      <c r="AN366" s="22"/>
      <c r="AO366" s="22"/>
      <c r="AP366" s="22"/>
      <c r="AQ366" s="22"/>
      <c r="AR366" s="35"/>
      <c r="AS366" s="35"/>
      <c r="AT366" s="35"/>
      <c r="AU366" s="31"/>
      <c r="AV366" s="36"/>
    </row>
    <row r="367" spans="1:48">
      <c r="A367" s="40"/>
      <c r="D367" s="31"/>
      <c r="E367" s="31"/>
      <c r="F367" s="31"/>
      <c r="G367" s="31"/>
      <c r="H367" s="32"/>
      <c r="J367" s="33"/>
      <c r="K367" s="33"/>
      <c r="L367" s="33"/>
      <c r="X367" s="22"/>
      <c r="Y367" s="22"/>
      <c r="Z367" s="22"/>
      <c r="AA367" s="22"/>
      <c r="AF367" s="22"/>
      <c r="AG367" s="22"/>
      <c r="AH367" s="22"/>
      <c r="AI367" s="22"/>
      <c r="AN367" s="22"/>
      <c r="AO367" s="22"/>
      <c r="AP367" s="22"/>
      <c r="AQ367" s="22"/>
      <c r="AR367" s="35"/>
      <c r="AS367" s="35"/>
      <c r="AT367" s="35"/>
      <c r="AU367" s="31"/>
      <c r="AV367" s="36"/>
    </row>
    <row r="368" spans="1:48">
      <c r="A368" s="40"/>
      <c r="D368" s="31"/>
      <c r="E368" s="31"/>
      <c r="F368" s="31"/>
      <c r="G368" s="31"/>
      <c r="H368" s="32"/>
      <c r="J368" s="33"/>
      <c r="K368" s="33"/>
      <c r="L368" s="33"/>
      <c r="X368" s="22"/>
      <c r="Y368" s="22"/>
      <c r="Z368" s="22"/>
      <c r="AA368" s="22"/>
      <c r="AF368" s="22"/>
      <c r="AG368" s="22"/>
      <c r="AH368" s="22"/>
      <c r="AI368" s="22"/>
      <c r="AN368" s="22"/>
      <c r="AO368" s="22"/>
      <c r="AP368" s="22"/>
      <c r="AQ368" s="22"/>
      <c r="AR368" s="35"/>
      <c r="AS368" s="35"/>
      <c r="AT368" s="35"/>
      <c r="AU368" s="31"/>
      <c r="AV368" s="36"/>
    </row>
    <row r="369" spans="1:48">
      <c r="A369" s="40"/>
      <c r="D369" s="31"/>
      <c r="E369" s="31"/>
      <c r="F369" s="31"/>
      <c r="G369" s="31"/>
      <c r="H369" s="32"/>
      <c r="J369" s="33"/>
      <c r="K369" s="33"/>
      <c r="L369" s="33"/>
      <c r="X369" s="22"/>
      <c r="Y369" s="22"/>
      <c r="Z369" s="22"/>
      <c r="AA369" s="22"/>
      <c r="AF369" s="22"/>
      <c r="AG369" s="22"/>
      <c r="AH369" s="22"/>
      <c r="AI369" s="22"/>
      <c r="AN369" s="22"/>
      <c r="AO369" s="22"/>
      <c r="AP369" s="22"/>
      <c r="AQ369" s="22"/>
      <c r="AR369" s="35"/>
      <c r="AS369" s="35"/>
      <c r="AT369" s="35"/>
      <c r="AU369" s="31"/>
      <c r="AV369" s="36"/>
    </row>
    <row r="370" spans="1:48">
      <c r="A370" s="40"/>
      <c r="D370" s="31"/>
      <c r="E370" s="31"/>
      <c r="F370" s="31"/>
      <c r="G370" s="31"/>
      <c r="H370" s="32"/>
      <c r="J370" s="33"/>
      <c r="K370" s="33"/>
      <c r="L370" s="33"/>
      <c r="X370" s="22"/>
      <c r="Y370" s="22"/>
      <c r="Z370" s="22"/>
      <c r="AA370" s="22"/>
      <c r="AF370" s="22"/>
      <c r="AG370" s="22"/>
      <c r="AH370" s="22"/>
      <c r="AI370" s="22"/>
      <c r="AN370" s="22"/>
      <c r="AO370" s="22"/>
      <c r="AP370" s="22"/>
      <c r="AQ370" s="22"/>
      <c r="AR370" s="35"/>
      <c r="AS370" s="35"/>
      <c r="AT370" s="35"/>
      <c r="AU370" s="31"/>
      <c r="AV370" s="36"/>
    </row>
    <row r="371" spans="1:48">
      <c r="A371" s="40"/>
      <c r="D371" s="31"/>
      <c r="E371" s="31"/>
      <c r="F371" s="31"/>
      <c r="G371" s="31"/>
      <c r="H371" s="32"/>
      <c r="J371" s="33"/>
      <c r="K371" s="33"/>
      <c r="L371" s="33"/>
      <c r="X371" s="22"/>
      <c r="Y371" s="22"/>
      <c r="Z371" s="22"/>
      <c r="AA371" s="22"/>
      <c r="AF371" s="22"/>
      <c r="AG371" s="22"/>
      <c r="AH371" s="22"/>
      <c r="AI371" s="22"/>
      <c r="AN371" s="22"/>
      <c r="AO371" s="22"/>
      <c r="AP371" s="22"/>
      <c r="AQ371" s="22"/>
      <c r="AR371" s="35"/>
      <c r="AS371" s="35"/>
      <c r="AT371" s="35"/>
      <c r="AU371" s="31"/>
      <c r="AV371" s="36"/>
    </row>
    <row r="372" spans="1:48">
      <c r="A372" s="40"/>
      <c r="D372" s="31"/>
      <c r="E372" s="31"/>
      <c r="F372" s="31"/>
      <c r="G372" s="31"/>
      <c r="H372" s="32"/>
      <c r="J372" s="33"/>
      <c r="K372" s="33"/>
      <c r="L372" s="33"/>
      <c r="X372" s="22"/>
      <c r="Y372" s="22"/>
      <c r="Z372" s="22"/>
      <c r="AA372" s="22"/>
      <c r="AF372" s="22"/>
      <c r="AG372" s="22"/>
      <c r="AH372" s="22"/>
      <c r="AI372" s="22"/>
      <c r="AN372" s="22"/>
      <c r="AO372" s="22"/>
      <c r="AP372" s="22"/>
      <c r="AQ372" s="22"/>
      <c r="AR372" s="35"/>
      <c r="AS372" s="35"/>
      <c r="AT372" s="35"/>
      <c r="AU372" s="31"/>
      <c r="AV372" s="36"/>
    </row>
    <row r="373" spans="1:48">
      <c r="A373" s="40"/>
      <c r="D373" s="31"/>
      <c r="E373" s="31"/>
      <c r="F373" s="31"/>
      <c r="G373" s="31"/>
      <c r="H373" s="32"/>
      <c r="J373" s="33"/>
      <c r="K373" s="33"/>
      <c r="L373" s="33"/>
      <c r="X373" s="22"/>
      <c r="Y373" s="22"/>
      <c r="Z373" s="22"/>
      <c r="AA373" s="22"/>
      <c r="AF373" s="22"/>
      <c r="AG373" s="22"/>
      <c r="AH373" s="22"/>
      <c r="AI373" s="22"/>
      <c r="AN373" s="22"/>
      <c r="AO373" s="22"/>
      <c r="AP373" s="22"/>
      <c r="AQ373" s="22"/>
      <c r="AR373" s="35"/>
      <c r="AS373" s="35"/>
      <c r="AT373" s="35"/>
      <c r="AU373" s="31"/>
      <c r="AV373" s="36"/>
    </row>
    <row r="374" spans="1:48">
      <c r="A374" s="40"/>
      <c r="D374" s="31"/>
      <c r="E374" s="31"/>
      <c r="F374" s="31"/>
      <c r="G374" s="31"/>
      <c r="H374" s="32"/>
      <c r="J374" s="33"/>
      <c r="K374" s="33"/>
      <c r="L374" s="33"/>
      <c r="X374" s="22"/>
      <c r="Y374" s="22"/>
      <c r="Z374" s="22"/>
      <c r="AA374" s="22"/>
      <c r="AF374" s="22"/>
      <c r="AG374" s="22"/>
      <c r="AH374" s="22"/>
      <c r="AI374" s="22"/>
      <c r="AN374" s="22"/>
      <c r="AO374" s="22"/>
      <c r="AP374" s="22"/>
      <c r="AQ374" s="22"/>
      <c r="AR374" s="35"/>
      <c r="AS374" s="35"/>
      <c r="AT374" s="35"/>
      <c r="AU374" s="31"/>
      <c r="AV374" s="36"/>
    </row>
    <row r="375" spans="1:48">
      <c r="A375" s="40"/>
      <c r="D375" s="31"/>
      <c r="E375" s="31"/>
      <c r="F375" s="31"/>
      <c r="G375" s="31"/>
      <c r="H375" s="32"/>
      <c r="J375" s="33"/>
      <c r="K375" s="33"/>
      <c r="L375" s="33"/>
      <c r="X375" s="22"/>
      <c r="Y375" s="22"/>
      <c r="Z375" s="22"/>
      <c r="AA375" s="22"/>
      <c r="AF375" s="22"/>
      <c r="AG375" s="22"/>
      <c r="AH375" s="22"/>
      <c r="AI375" s="22"/>
      <c r="AN375" s="22"/>
      <c r="AO375" s="22"/>
      <c r="AP375" s="22"/>
      <c r="AQ375" s="22"/>
      <c r="AR375" s="35"/>
      <c r="AS375" s="35"/>
      <c r="AT375" s="35"/>
      <c r="AU375" s="31"/>
      <c r="AV375" s="36"/>
    </row>
    <row r="376" spans="1:48">
      <c r="A376" s="40"/>
      <c r="D376" s="31"/>
      <c r="E376" s="31"/>
      <c r="F376" s="31"/>
      <c r="G376" s="31"/>
      <c r="H376" s="32"/>
      <c r="J376" s="33"/>
      <c r="K376" s="33"/>
      <c r="L376" s="33"/>
      <c r="X376" s="22"/>
      <c r="Y376" s="22"/>
      <c r="Z376" s="22"/>
      <c r="AA376" s="22"/>
      <c r="AF376" s="22"/>
      <c r="AG376" s="22"/>
      <c r="AH376" s="22"/>
      <c r="AI376" s="22"/>
      <c r="AN376" s="22"/>
      <c r="AO376" s="22"/>
      <c r="AP376" s="22"/>
      <c r="AQ376" s="22"/>
      <c r="AR376" s="35"/>
      <c r="AS376" s="35"/>
      <c r="AT376" s="35"/>
      <c r="AU376" s="31"/>
      <c r="AV376" s="36"/>
    </row>
    <row r="377" spans="1:48">
      <c r="A377" s="40"/>
      <c r="D377" s="31"/>
      <c r="E377" s="31"/>
      <c r="F377" s="31"/>
      <c r="G377" s="31"/>
      <c r="H377" s="32"/>
      <c r="J377" s="33"/>
      <c r="K377" s="33"/>
      <c r="L377" s="33"/>
      <c r="X377" s="22"/>
      <c r="Y377" s="22"/>
      <c r="Z377" s="22"/>
      <c r="AA377" s="22"/>
      <c r="AF377" s="22"/>
      <c r="AG377" s="22"/>
      <c r="AH377" s="22"/>
      <c r="AI377" s="22"/>
      <c r="AN377" s="22"/>
      <c r="AO377" s="22"/>
      <c r="AP377" s="22"/>
      <c r="AQ377" s="22"/>
      <c r="AR377" s="35"/>
      <c r="AS377" s="35"/>
      <c r="AT377" s="35"/>
      <c r="AU377" s="31"/>
      <c r="AV377" s="36"/>
    </row>
    <row r="378" spans="1:48">
      <c r="A378" s="20"/>
      <c r="D378" s="31"/>
      <c r="E378" s="31"/>
      <c r="F378" s="31"/>
      <c r="G378" s="31"/>
      <c r="H378" s="32"/>
      <c r="J378" s="33"/>
      <c r="K378" s="33"/>
      <c r="L378" s="33"/>
      <c r="X378" s="22"/>
      <c r="Y378" s="22"/>
      <c r="Z378" s="22"/>
      <c r="AA378" s="22"/>
      <c r="AF378" s="22"/>
      <c r="AG378" s="22"/>
      <c r="AH378" s="22"/>
      <c r="AI378" s="22"/>
      <c r="AN378" s="22"/>
      <c r="AO378" s="22"/>
      <c r="AP378" s="22"/>
      <c r="AQ378" s="22"/>
      <c r="AR378" s="35"/>
      <c r="AS378" s="35"/>
      <c r="AT378" s="35"/>
      <c r="AU378" s="31"/>
      <c r="AV378" s="36"/>
    </row>
    <row r="379" spans="1:48">
      <c r="A379" s="20"/>
      <c r="D379" s="31"/>
      <c r="E379" s="31"/>
      <c r="F379" s="31"/>
      <c r="G379" s="31"/>
      <c r="H379" s="32"/>
      <c r="J379" s="33"/>
      <c r="K379" s="33"/>
      <c r="L379" s="33"/>
      <c r="X379" s="22"/>
      <c r="Y379" s="22"/>
      <c r="Z379" s="22"/>
      <c r="AA379" s="22"/>
      <c r="AF379" s="22"/>
      <c r="AG379" s="22"/>
      <c r="AH379" s="22"/>
      <c r="AI379" s="22"/>
      <c r="AN379" s="22"/>
      <c r="AO379" s="22"/>
      <c r="AP379" s="22"/>
      <c r="AQ379" s="22"/>
      <c r="AR379" s="35"/>
      <c r="AS379" s="35"/>
      <c r="AT379" s="35"/>
      <c r="AU379" s="31"/>
      <c r="AV379" s="36"/>
    </row>
    <row r="380" spans="1:48">
      <c r="A380" s="20"/>
      <c r="D380" s="31"/>
      <c r="E380" s="31"/>
      <c r="F380" s="31"/>
      <c r="G380" s="31"/>
      <c r="H380" s="32"/>
      <c r="J380" s="33"/>
      <c r="K380" s="33"/>
      <c r="L380" s="33"/>
      <c r="X380" s="22"/>
      <c r="Y380" s="22"/>
      <c r="Z380" s="22"/>
      <c r="AA380" s="22"/>
      <c r="AF380" s="22"/>
      <c r="AG380" s="22"/>
      <c r="AH380" s="22"/>
      <c r="AI380" s="22"/>
      <c r="AN380" s="22"/>
      <c r="AO380" s="22"/>
      <c r="AP380" s="22"/>
      <c r="AQ380" s="22"/>
      <c r="AR380" s="35"/>
      <c r="AS380" s="35"/>
      <c r="AT380" s="35"/>
      <c r="AU380" s="31"/>
      <c r="AV380" s="36"/>
    </row>
    <row r="381" spans="1:48">
      <c r="A381" s="20"/>
      <c r="D381" s="31"/>
      <c r="E381" s="31"/>
      <c r="F381" s="31"/>
      <c r="G381" s="31"/>
      <c r="H381" s="32"/>
      <c r="J381" s="33"/>
      <c r="K381" s="33"/>
      <c r="L381" s="33"/>
      <c r="X381" s="22"/>
      <c r="Y381" s="22"/>
      <c r="Z381" s="22"/>
      <c r="AA381" s="22"/>
      <c r="AF381" s="22"/>
      <c r="AG381" s="22"/>
      <c r="AH381" s="22"/>
      <c r="AI381" s="22"/>
      <c r="AN381" s="22"/>
      <c r="AO381" s="22"/>
      <c r="AP381" s="22"/>
      <c r="AQ381" s="22"/>
      <c r="AR381" s="35"/>
      <c r="AS381" s="35"/>
      <c r="AT381" s="35"/>
      <c r="AU381" s="31"/>
      <c r="AV381" s="36"/>
    </row>
    <row r="382" spans="1:48">
      <c r="A382" s="20"/>
      <c r="D382" s="31"/>
      <c r="E382" s="31"/>
      <c r="F382" s="31"/>
      <c r="G382" s="31"/>
      <c r="H382" s="32"/>
      <c r="J382" s="33"/>
      <c r="K382" s="33"/>
      <c r="L382" s="33"/>
      <c r="X382" s="22"/>
      <c r="Y382" s="22"/>
      <c r="Z382" s="22"/>
      <c r="AA382" s="22"/>
      <c r="AF382" s="22"/>
      <c r="AG382" s="22"/>
      <c r="AH382" s="22"/>
      <c r="AI382" s="22"/>
      <c r="AN382" s="22"/>
      <c r="AO382" s="22"/>
      <c r="AP382" s="22"/>
      <c r="AQ382" s="22"/>
      <c r="AR382" s="35"/>
      <c r="AS382" s="35"/>
      <c r="AT382" s="35"/>
      <c r="AU382" s="31"/>
      <c r="AV382" s="36"/>
    </row>
    <row r="383" spans="1:48">
      <c r="A383" s="20"/>
      <c r="D383" s="31"/>
      <c r="E383" s="31"/>
      <c r="F383" s="31"/>
      <c r="G383" s="31"/>
      <c r="H383" s="32"/>
      <c r="J383" s="33"/>
      <c r="K383" s="33"/>
      <c r="L383" s="33"/>
      <c r="X383" s="22"/>
      <c r="Y383" s="22"/>
      <c r="Z383" s="22"/>
      <c r="AA383" s="22"/>
      <c r="AF383" s="22"/>
      <c r="AG383" s="22"/>
      <c r="AH383" s="22"/>
      <c r="AI383" s="22"/>
      <c r="AN383" s="22"/>
      <c r="AO383" s="22"/>
      <c r="AP383" s="22"/>
      <c r="AQ383" s="22"/>
      <c r="AR383" s="35"/>
      <c r="AS383" s="35"/>
      <c r="AT383" s="35"/>
      <c r="AU383" s="31"/>
      <c r="AV383" s="36"/>
    </row>
    <row r="384" spans="1:48">
      <c r="A384" s="20"/>
      <c r="D384" s="31"/>
      <c r="E384" s="31"/>
      <c r="F384" s="31"/>
      <c r="G384" s="31"/>
      <c r="H384" s="32"/>
      <c r="J384" s="33"/>
      <c r="K384" s="33"/>
      <c r="L384" s="33"/>
      <c r="X384" s="22"/>
      <c r="Y384" s="22"/>
      <c r="Z384" s="22"/>
      <c r="AA384" s="22"/>
      <c r="AF384" s="22"/>
      <c r="AG384" s="22"/>
      <c r="AH384" s="22"/>
      <c r="AI384" s="22"/>
      <c r="AN384" s="22"/>
      <c r="AO384" s="22"/>
      <c r="AP384" s="22"/>
      <c r="AQ384" s="22"/>
      <c r="AR384" s="35"/>
      <c r="AS384" s="35"/>
      <c r="AT384" s="35"/>
      <c r="AU384" s="31"/>
      <c r="AV384" s="36"/>
    </row>
    <row r="385" spans="1:48">
      <c r="A385" s="20"/>
      <c r="D385" s="31"/>
      <c r="E385" s="31"/>
      <c r="F385" s="31"/>
      <c r="G385" s="31"/>
      <c r="H385" s="32"/>
      <c r="J385" s="33"/>
      <c r="K385" s="33"/>
      <c r="L385" s="33"/>
      <c r="X385" s="22"/>
      <c r="Y385" s="22"/>
      <c r="Z385" s="22"/>
      <c r="AA385" s="22"/>
      <c r="AF385" s="22"/>
      <c r="AG385" s="22"/>
      <c r="AH385" s="22"/>
      <c r="AI385" s="22"/>
      <c r="AN385" s="22"/>
      <c r="AO385" s="22"/>
      <c r="AP385" s="22"/>
      <c r="AQ385" s="22"/>
      <c r="AR385" s="35"/>
      <c r="AS385" s="35"/>
      <c r="AT385" s="35"/>
      <c r="AU385" s="31"/>
      <c r="AV385" s="36"/>
    </row>
    <row r="386" spans="1:48">
      <c r="A386" s="20"/>
      <c r="D386" s="31"/>
      <c r="E386" s="31"/>
      <c r="F386" s="31"/>
      <c r="G386" s="31"/>
      <c r="H386" s="32"/>
      <c r="J386" s="33"/>
      <c r="K386" s="33"/>
      <c r="L386" s="33"/>
      <c r="X386" s="22"/>
      <c r="Y386" s="22"/>
      <c r="Z386" s="22"/>
      <c r="AA386" s="22"/>
      <c r="AF386" s="22"/>
      <c r="AG386" s="22"/>
      <c r="AH386" s="22"/>
      <c r="AI386" s="22"/>
      <c r="AN386" s="22"/>
      <c r="AO386" s="22"/>
      <c r="AP386" s="22"/>
      <c r="AQ386" s="22"/>
      <c r="AR386" s="35"/>
      <c r="AS386" s="35"/>
      <c r="AT386" s="35"/>
      <c r="AU386" s="31"/>
      <c r="AV386" s="36"/>
    </row>
    <row r="387" spans="1:48">
      <c r="A387" s="20"/>
      <c r="D387" s="31"/>
      <c r="E387" s="31"/>
      <c r="F387" s="31"/>
      <c r="G387" s="31"/>
      <c r="H387" s="32"/>
      <c r="J387" s="33"/>
      <c r="K387" s="33"/>
      <c r="L387" s="33"/>
      <c r="X387" s="22"/>
      <c r="Y387" s="22"/>
      <c r="Z387" s="22"/>
      <c r="AA387" s="22"/>
      <c r="AF387" s="22"/>
      <c r="AG387" s="22"/>
      <c r="AH387" s="22"/>
      <c r="AI387" s="22"/>
      <c r="AN387" s="22"/>
      <c r="AO387" s="22"/>
      <c r="AP387" s="22"/>
      <c r="AQ387" s="22"/>
      <c r="AR387" s="35"/>
      <c r="AS387" s="35"/>
      <c r="AT387" s="35"/>
      <c r="AU387" s="31"/>
      <c r="AV387" s="36"/>
    </row>
    <row r="388" spans="1:48">
      <c r="A388" s="20"/>
      <c r="D388" s="31"/>
      <c r="E388" s="31"/>
      <c r="F388" s="31"/>
      <c r="G388" s="31"/>
      <c r="H388" s="32"/>
      <c r="J388" s="33"/>
      <c r="K388" s="33"/>
      <c r="L388" s="33"/>
      <c r="X388" s="22"/>
      <c r="Y388" s="22"/>
      <c r="Z388" s="22"/>
      <c r="AA388" s="22"/>
      <c r="AF388" s="22"/>
      <c r="AG388" s="22"/>
      <c r="AH388" s="22"/>
      <c r="AI388" s="22"/>
      <c r="AN388" s="22"/>
      <c r="AO388" s="22"/>
      <c r="AP388" s="22"/>
      <c r="AQ388" s="22"/>
      <c r="AR388" s="35"/>
      <c r="AS388" s="35"/>
      <c r="AT388" s="35"/>
      <c r="AU388" s="31"/>
      <c r="AV388" s="36"/>
    </row>
    <row r="389" spans="1:48">
      <c r="A389" s="20"/>
      <c r="D389" s="31"/>
      <c r="E389" s="31"/>
      <c r="F389" s="31"/>
      <c r="G389" s="31"/>
      <c r="H389" s="32"/>
      <c r="J389" s="33"/>
      <c r="K389" s="33"/>
      <c r="L389" s="33"/>
      <c r="X389" s="22"/>
      <c r="Y389" s="22"/>
      <c r="Z389" s="22"/>
      <c r="AA389" s="22"/>
      <c r="AF389" s="22"/>
      <c r="AG389" s="22"/>
      <c r="AH389" s="22"/>
      <c r="AI389" s="22"/>
      <c r="AN389" s="22"/>
      <c r="AO389" s="22"/>
      <c r="AP389" s="22"/>
      <c r="AQ389" s="22"/>
      <c r="AR389" s="35"/>
      <c r="AS389" s="35"/>
      <c r="AT389" s="35"/>
      <c r="AU389" s="31"/>
      <c r="AV389" s="36"/>
    </row>
    <row r="390" spans="1:48">
      <c r="A390" s="20"/>
      <c r="D390" s="31"/>
      <c r="E390" s="31"/>
      <c r="F390" s="31"/>
      <c r="G390" s="31"/>
      <c r="H390" s="32"/>
      <c r="J390" s="33"/>
      <c r="K390" s="33"/>
      <c r="L390" s="33"/>
      <c r="X390" s="22"/>
      <c r="Y390" s="22"/>
      <c r="Z390" s="22"/>
      <c r="AA390" s="22"/>
      <c r="AF390" s="22"/>
      <c r="AG390" s="22"/>
      <c r="AH390" s="22"/>
      <c r="AI390" s="22"/>
      <c r="AN390" s="22"/>
      <c r="AO390" s="22"/>
      <c r="AP390" s="22"/>
      <c r="AQ390" s="22"/>
      <c r="AR390" s="35"/>
      <c r="AS390" s="35"/>
      <c r="AT390" s="35"/>
      <c r="AU390" s="31"/>
      <c r="AV390" s="36"/>
    </row>
    <row r="391" spans="1:48">
      <c r="A391" s="20"/>
      <c r="D391" s="31"/>
      <c r="E391" s="31"/>
      <c r="F391" s="31"/>
      <c r="G391" s="31"/>
      <c r="H391" s="32"/>
      <c r="J391" s="33"/>
      <c r="K391" s="33"/>
      <c r="L391" s="33"/>
      <c r="X391" s="22"/>
      <c r="Y391" s="22"/>
      <c r="Z391" s="22"/>
      <c r="AA391" s="22"/>
      <c r="AF391" s="22"/>
      <c r="AG391" s="22"/>
      <c r="AH391" s="22"/>
      <c r="AI391" s="22"/>
      <c r="AN391" s="22"/>
      <c r="AO391" s="22"/>
      <c r="AP391" s="22"/>
      <c r="AQ391" s="22"/>
      <c r="AR391" s="35"/>
      <c r="AS391" s="35"/>
      <c r="AT391" s="35"/>
      <c r="AU391" s="31"/>
      <c r="AV391" s="36"/>
    </row>
    <row r="392" spans="1:48">
      <c r="A392" s="20"/>
      <c r="D392" s="31"/>
      <c r="E392" s="31"/>
      <c r="F392" s="31"/>
      <c r="G392" s="31"/>
      <c r="H392" s="32"/>
      <c r="J392" s="33"/>
      <c r="K392" s="33"/>
      <c r="L392" s="33"/>
      <c r="X392" s="22"/>
      <c r="Y392" s="22"/>
      <c r="Z392" s="22"/>
      <c r="AA392" s="22"/>
      <c r="AF392" s="22"/>
      <c r="AG392" s="22"/>
      <c r="AH392" s="22"/>
      <c r="AI392" s="22"/>
      <c r="AN392" s="22"/>
      <c r="AO392" s="22"/>
      <c r="AP392" s="22"/>
      <c r="AQ392" s="22"/>
      <c r="AR392" s="35"/>
      <c r="AS392" s="35"/>
      <c r="AT392" s="35"/>
      <c r="AU392" s="31"/>
      <c r="AV392" s="36"/>
    </row>
    <row r="393" spans="1:48">
      <c r="A393" s="20"/>
      <c r="D393" s="31"/>
      <c r="E393" s="31"/>
      <c r="F393" s="31"/>
      <c r="G393" s="31"/>
      <c r="H393" s="32"/>
      <c r="J393" s="33"/>
      <c r="K393" s="33"/>
      <c r="L393" s="33"/>
      <c r="X393" s="22"/>
      <c r="Y393" s="22"/>
      <c r="Z393" s="22"/>
      <c r="AA393" s="22"/>
      <c r="AF393" s="22"/>
      <c r="AG393" s="22"/>
      <c r="AH393" s="22"/>
      <c r="AI393" s="22"/>
      <c r="AN393" s="22"/>
      <c r="AO393" s="22"/>
      <c r="AP393" s="22"/>
      <c r="AQ393" s="22"/>
      <c r="AR393" s="35"/>
      <c r="AS393" s="35"/>
      <c r="AT393" s="35"/>
      <c r="AU393" s="31"/>
      <c r="AV393" s="36"/>
    </row>
    <row r="394" spans="1:48">
      <c r="A394" s="20"/>
      <c r="D394" s="31"/>
      <c r="E394" s="31"/>
      <c r="F394" s="31"/>
      <c r="G394" s="31"/>
      <c r="H394" s="32"/>
      <c r="J394" s="33"/>
      <c r="K394" s="33"/>
      <c r="L394" s="33"/>
      <c r="X394" s="22"/>
      <c r="Y394" s="22"/>
      <c r="Z394" s="22"/>
      <c r="AA394" s="22"/>
      <c r="AF394" s="22"/>
      <c r="AG394" s="22"/>
      <c r="AH394" s="22"/>
      <c r="AI394" s="22"/>
      <c r="AN394" s="22"/>
      <c r="AO394" s="22"/>
      <c r="AP394" s="22"/>
      <c r="AQ394" s="22"/>
      <c r="AR394" s="35"/>
      <c r="AS394" s="35"/>
      <c r="AT394" s="35"/>
      <c r="AU394" s="31"/>
      <c r="AV394" s="36"/>
    </row>
    <row r="395" spans="1:48">
      <c r="A395" s="20"/>
      <c r="D395" s="31"/>
      <c r="E395" s="31"/>
      <c r="F395" s="31"/>
      <c r="G395" s="31"/>
      <c r="H395" s="32"/>
      <c r="J395" s="33"/>
      <c r="K395" s="33"/>
      <c r="L395" s="33"/>
      <c r="X395" s="22"/>
      <c r="Y395" s="22"/>
      <c r="Z395" s="22"/>
      <c r="AA395" s="22"/>
      <c r="AF395" s="22"/>
      <c r="AG395" s="22"/>
      <c r="AH395" s="22"/>
      <c r="AI395" s="22"/>
      <c r="AN395" s="22"/>
      <c r="AO395" s="22"/>
      <c r="AP395" s="22"/>
      <c r="AQ395" s="22"/>
      <c r="AR395" s="35"/>
      <c r="AS395" s="35"/>
      <c r="AT395" s="35"/>
      <c r="AU395" s="31"/>
      <c r="AV395" s="36"/>
    </row>
    <row r="396" spans="1:48">
      <c r="A396" s="20"/>
      <c r="D396" s="31"/>
      <c r="E396" s="31"/>
      <c r="F396" s="31"/>
      <c r="G396" s="31"/>
      <c r="H396" s="32"/>
      <c r="J396" s="33"/>
      <c r="K396" s="33"/>
      <c r="L396" s="33"/>
      <c r="X396" s="22"/>
      <c r="Y396" s="22"/>
      <c r="Z396" s="22"/>
      <c r="AA396" s="22"/>
      <c r="AF396" s="22"/>
      <c r="AG396" s="22"/>
      <c r="AH396" s="22"/>
      <c r="AI396" s="22"/>
      <c r="AN396" s="22"/>
      <c r="AO396" s="22"/>
      <c r="AP396" s="22"/>
      <c r="AQ396" s="22"/>
      <c r="AR396" s="35"/>
      <c r="AS396" s="35"/>
      <c r="AT396" s="35"/>
      <c r="AU396" s="31"/>
      <c r="AV396" s="36"/>
    </row>
    <row r="397" spans="1:48">
      <c r="A397" s="20"/>
      <c r="D397" s="31"/>
      <c r="E397" s="31"/>
      <c r="F397" s="31"/>
      <c r="G397" s="31"/>
      <c r="H397" s="32"/>
      <c r="J397" s="33"/>
      <c r="K397" s="33"/>
      <c r="L397" s="33"/>
      <c r="X397" s="22"/>
      <c r="Y397" s="22"/>
      <c r="Z397" s="22"/>
      <c r="AA397" s="22"/>
      <c r="AF397" s="22"/>
      <c r="AG397" s="22"/>
      <c r="AH397" s="22"/>
      <c r="AI397" s="22"/>
      <c r="AN397" s="22"/>
      <c r="AO397" s="22"/>
      <c r="AP397" s="22"/>
      <c r="AQ397" s="22"/>
      <c r="AR397" s="35"/>
      <c r="AS397" s="35"/>
      <c r="AT397" s="35"/>
      <c r="AU397" s="31"/>
      <c r="AV397" s="36"/>
    </row>
    <row r="398" spans="1:48">
      <c r="A398" s="20"/>
      <c r="D398" s="31"/>
      <c r="E398" s="31"/>
      <c r="F398" s="31"/>
      <c r="G398" s="31"/>
      <c r="H398" s="32"/>
      <c r="J398" s="33"/>
      <c r="K398" s="33"/>
      <c r="L398" s="33"/>
      <c r="X398" s="22"/>
      <c r="Y398" s="22"/>
      <c r="Z398" s="22"/>
      <c r="AA398" s="22"/>
      <c r="AF398" s="22"/>
      <c r="AG398" s="22"/>
      <c r="AH398" s="22"/>
      <c r="AI398" s="22"/>
      <c r="AN398" s="22"/>
      <c r="AO398" s="22"/>
      <c r="AP398" s="22"/>
      <c r="AQ398" s="22"/>
      <c r="AR398" s="35"/>
      <c r="AS398" s="35"/>
      <c r="AT398" s="35"/>
      <c r="AU398" s="31"/>
      <c r="AV398" s="36"/>
    </row>
    <row r="399" spans="1:48">
      <c r="A399" s="20"/>
      <c r="D399" s="31"/>
      <c r="E399" s="31"/>
      <c r="F399" s="31"/>
      <c r="G399" s="31"/>
      <c r="H399" s="32"/>
      <c r="J399" s="33"/>
      <c r="K399" s="33"/>
      <c r="L399" s="33"/>
      <c r="X399" s="22"/>
      <c r="Y399" s="22"/>
      <c r="Z399" s="22"/>
      <c r="AA399" s="22"/>
      <c r="AF399" s="22"/>
      <c r="AG399" s="22"/>
      <c r="AH399" s="22"/>
      <c r="AI399" s="22"/>
      <c r="AN399" s="22"/>
      <c r="AO399" s="22"/>
      <c r="AP399" s="22"/>
      <c r="AQ399" s="22"/>
      <c r="AR399" s="35"/>
      <c r="AS399" s="35"/>
      <c r="AT399" s="35"/>
      <c r="AU399" s="31"/>
      <c r="AV399" s="36"/>
    </row>
    <row r="400" spans="1:48">
      <c r="A400" s="20"/>
      <c r="D400" s="31"/>
      <c r="E400" s="31"/>
      <c r="F400" s="31"/>
      <c r="G400" s="31"/>
      <c r="H400" s="32"/>
      <c r="J400" s="33"/>
      <c r="K400" s="33"/>
      <c r="L400" s="33"/>
      <c r="X400" s="22"/>
      <c r="Y400" s="22"/>
      <c r="Z400" s="22"/>
      <c r="AA400" s="22"/>
      <c r="AF400" s="22"/>
      <c r="AG400" s="22"/>
      <c r="AH400" s="22"/>
      <c r="AI400" s="22"/>
      <c r="AN400" s="22"/>
      <c r="AO400" s="22"/>
      <c r="AP400" s="22"/>
      <c r="AQ400" s="22"/>
      <c r="AR400" s="35"/>
      <c r="AS400" s="35"/>
      <c r="AT400" s="35"/>
      <c r="AU400" s="31"/>
      <c r="AV400" s="36"/>
    </row>
    <row r="401" spans="1:48">
      <c r="A401" s="20"/>
      <c r="D401" s="31"/>
      <c r="E401" s="31"/>
      <c r="F401" s="31"/>
      <c r="G401" s="31"/>
      <c r="H401" s="32"/>
      <c r="J401" s="33"/>
      <c r="K401" s="33"/>
      <c r="L401" s="33"/>
      <c r="X401" s="22"/>
      <c r="Y401" s="22"/>
      <c r="Z401" s="22"/>
      <c r="AA401" s="22"/>
      <c r="AF401" s="22"/>
      <c r="AG401" s="22"/>
      <c r="AH401" s="22"/>
      <c r="AI401" s="22"/>
      <c r="AN401" s="22"/>
      <c r="AO401" s="22"/>
      <c r="AP401" s="22"/>
      <c r="AQ401" s="22"/>
      <c r="AR401" s="35"/>
      <c r="AS401" s="35"/>
      <c r="AT401" s="35"/>
      <c r="AU401" s="31"/>
      <c r="AV401" s="36"/>
    </row>
    <row r="402" spans="1:48">
      <c r="A402" s="20"/>
      <c r="D402" s="31"/>
      <c r="E402" s="31"/>
      <c r="F402" s="31"/>
      <c r="G402" s="31"/>
      <c r="H402" s="32"/>
      <c r="J402" s="33"/>
      <c r="K402" s="33"/>
      <c r="L402" s="33"/>
      <c r="X402" s="22"/>
      <c r="Y402" s="22"/>
      <c r="Z402" s="22"/>
      <c r="AA402" s="22"/>
      <c r="AF402" s="22"/>
      <c r="AG402" s="22"/>
      <c r="AH402" s="22"/>
      <c r="AI402" s="22"/>
      <c r="AN402" s="22"/>
      <c r="AO402" s="22"/>
      <c r="AP402" s="22"/>
      <c r="AQ402" s="22"/>
      <c r="AR402" s="35"/>
      <c r="AS402" s="35"/>
      <c r="AT402" s="35"/>
      <c r="AU402" s="31"/>
      <c r="AV402" s="36"/>
    </row>
    <row r="403" spans="1:48">
      <c r="A403" s="20"/>
      <c r="D403" s="31"/>
      <c r="E403" s="31"/>
      <c r="F403" s="31"/>
      <c r="G403" s="31"/>
      <c r="H403" s="32"/>
      <c r="J403" s="33"/>
      <c r="K403" s="33"/>
      <c r="L403" s="33"/>
      <c r="X403" s="22"/>
      <c r="Y403" s="22"/>
      <c r="Z403" s="22"/>
      <c r="AA403" s="22"/>
      <c r="AF403" s="22"/>
      <c r="AG403" s="22"/>
      <c r="AH403" s="22"/>
      <c r="AI403" s="22"/>
      <c r="AN403" s="22"/>
      <c r="AO403" s="22"/>
      <c r="AP403" s="22"/>
      <c r="AQ403" s="22"/>
      <c r="AR403" s="35"/>
      <c r="AS403" s="35"/>
      <c r="AT403" s="35"/>
      <c r="AU403" s="31"/>
      <c r="AV403" s="36"/>
    </row>
    <row r="404" spans="1:48">
      <c r="A404" s="20"/>
      <c r="D404" s="31"/>
      <c r="E404" s="31"/>
      <c r="F404" s="31"/>
      <c r="G404" s="31"/>
      <c r="H404" s="32"/>
      <c r="J404" s="33"/>
      <c r="K404" s="33"/>
      <c r="L404" s="33"/>
      <c r="X404" s="22"/>
      <c r="Y404" s="22"/>
      <c r="Z404" s="22"/>
      <c r="AA404" s="22"/>
      <c r="AF404" s="22"/>
      <c r="AG404" s="22"/>
      <c r="AH404" s="22"/>
      <c r="AI404" s="22"/>
      <c r="AN404" s="22"/>
      <c r="AO404" s="22"/>
      <c r="AP404" s="22"/>
      <c r="AQ404" s="22"/>
      <c r="AR404" s="35"/>
      <c r="AS404" s="35"/>
      <c r="AT404" s="35"/>
      <c r="AU404" s="31"/>
      <c r="AV404" s="36"/>
    </row>
    <row r="405" spans="1:48">
      <c r="A405" s="20"/>
      <c r="D405" s="31"/>
      <c r="E405" s="31"/>
      <c r="F405" s="31"/>
      <c r="G405" s="31"/>
      <c r="H405" s="32"/>
      <c r="J405" s="33"/>
      <c r="K405" s="33"/>
      <c r="L405" s="33"/>
      <c r="X405" s="22"/>
      <c r="Y405" s="22"/>
      <c r="Z405" s="22"/>
      <c r="AA405" s="22"/>
      <c r="AF405" s="22"/>
      <c r="AG405" s="22"/>
      <c r="AH405" s="22"/>
      <c r="AI405" s="22"/>
      <c r="AN405" s="22"/>
      <c r="AO405" s="22"/>
      <c r="AP405" s="22"/>
      <c r="AQ405" s="22"/>
      <c r="AR405" s="35"/>
      <c r="AS405" s="35"/>
      <c r="AT405" s="35"/>
      <c r="AU405" s="31"/>
      <c r="AV405" s="36"/>
    </row>
    <row r="406" spans="1:48">
      <c r="A406" s="20"/>
      <c r="D406" s="31"/>
      <c r="E406" s="31"/>
      <c r="F406" s="31"/>
      <c r="G406" s="31"/>
      <c r="H406" s="32"/>
      <c r="J406" s="33"/>
      <c r="K406" s="33"/>
      <c r="L406" s="33"/>
      <c r="X406" s="22"/>
      <c r="Y406" s="22"/>
      <c r="Z406" s="22"/>
      <c r="AA406" s="22"/>
      <c r="AF406" s="22"/>
      <c r="AG406" s="22"/>
      <c r="AH406" s="22"/>
      <c r="AI406" s="22"/>
      <c r="AN406" s="22"/>
      <c r="AO406" s="22"/>
      <c r="AP406" s="22"/>
      <c r="AQ406" s="22"/>
      <c r="AR406" s="35"/>
      <c r="AS406" s="35"/>
      <c r="AT406" s="35"/>
      <c r="AU406" s="31"/>
      <c r="AV406" s="36"/>
    </row>
    <row r="407" spans="1:48">
      <c r="A407" s="20"/>
      <c r="D407" s="31"/>
      <c r="E407" s="31"/>
      <c r="F407" s="31"/>
      <c r="G407" s="31"/>
      <c r="H407" s="32"/>
      <c r="J407" s="33"/>
      <c r="K407" s="33"/>
      <c r="L407" s="33"/>
      <c r="X407" s="22"/>
      <c r="Y407" s="22"/>
      <c r="Z407" s="22"/>
      <c r="AA407" s="22"/>
      <c r="AF407" s="22"/>
      <c r="AG407" s="22"/>
      <c r="AH407" s="22"/>
      <c r="AI407" s="22"/>
      <c r="AN407" s="22"/>
      <c r="AO407" s="22"/>
      <c r="AP407" s="22"/>
      <c r="AQ407" s="22"/>
      <c r="AR407" s="35"/>
      <c r="AS407" s="35"/>
      <c r="AT407" s="35"/>
      <c r="AU407" s="31"/>
      <c r="AV407" s="36"/>
    </row>
    <row r="408" spans="1:48">
      <c r="A408" s="20"/>
      <c r="D408" s="31"/>
      <c r="E408" s="31"/>
      <c r="F408" s="31"/>
      <c r="G408" s="31"/>
      <c r="H408" s="32"/>
      <c r="J408" s="33"/>
      <c r="K408" s="33"/>
      <c r="L408" s="33"/>
      <c r="X408" s="22"/>
      <c r="Y408" s="22"/>
      <c r="Z408" s="22"/>
      <c r="AA408" s="22"/>
      <c r="AF408" s="22"/>
      <c r="AG408" s="22"/>
      <c r="AH408" s="22"/>
      <c r="AI408" s="22"/>
      <c r="AN408" s="22"/>
      <c r="AO408" s="22"/>
      <c r="AP408" s="22"/>
      <c r="AQ408" s="22"/>
      <c r="AR408" s="35"/>
      <c r="AS408" s="35"/>
      <c r="AT408" s="35"/>
      <c r="AU408" s="31"/>
      <c r="AV408" s="36"/>
    </row>
    <row r="409" spans="1:48">
      <c r="A409" s="20"/>
      <c r="D409" s="31"/>
      <c r="E409" s="31"/>
      <c r="F409" s="31"/>
      <c r="G409" s="31"/>
      <c r="H409" s="32"/>
      <c r="J409" s="33"/>
      <c r="K409" s="33"/>
      <c r="L409" s="33"/>
      <c r="X409" s="22"/>
      <c r="Y409" s="22"/>
      <c r="Z409" s="22"/>
      <c r="AA409" s="22"/>
      <c r="AF409" s="22"/>
      <c r="AG409" s="22"/>
      <c r="AH409" s="22"/>
      <c r="AI409" s="22"/>
      <c r="AN409" s="22"/>
      <c r="AO409" s="22"/>
      <c r="AP409" s="22"/>
      <c r="AQ409" s="22"/>
      <c r="AR409" s="35"/>
      <c r="AS409" s="35"/>
      <c r="AT409" s="35"/>
      <c r="AU409" s="31"/>
      <c r="AV409" s="36"/>
    </row>
    <row r="410" spans="1:48">
      <c r="A410" s="20"/>
      <c r="D410" s="31"/>
      <c r="E410" s="31"/>
      <c r="F410" s="31"/>
      <c r="G410" s="31"/>
      <c r="H410" s="32"/>
      <c r="J410" s="33"/>
      <c r="K410" s="33"/>
      <c r="L410" s="33"/>
      <c r="X410" s="22"/>
      <c r="Y410" s="22"/>
      <c r="Z410" s="22"/>
      <c r="AA410" s="22"/>
      <c r="AF410" s="22"/>
      <c r="AG410" s="22"/>
      <c r="AH410" s="22"/>
      <c r="AI410" s="22"/>
      <c r="AN410" s="22"/>
      <c r="AO410" s="22"/>
      <c r="AP410" s="22"/>
      <c r="AQ410" s="22"/>
      <c r="AR410" s="35"/>
      <c r="AS410" s="35"/>
      <c r="AT410" s="35"/>
      <c r="AU410" s="31"/>
      <c r="AV410" s="36"/>
    </row>
    <row r="411" spans="1:48">
      <c r="A411" s="20"/>
      <c r="D411" s="31"/>
      <c r="E411" s="31"/>
      <c r="F411" s="31"/>
      <c r="G411" s="31"/>
      <c r="H411" s="32"/>
      <c r="J411" s="33"/>
      <c r="K411" s="33"/>
      <c r="L411" s="33"/>
      <c r="X411" s="22"/>
      <c r="Y411" s="22"/>
      <c r="Z411" s="22"/>
      <c r="AA411" s="22"/>
      <c r="AF411" s="22"/>
      <c r="AG411" s="22"/>
      <c r="AH411" s="22"/>
      <c r="AI411" s="22"/>
      <c r="AN411" s="22"/>
      <c r="AO411" s="22"/>
      <c r="AP411" s="22"/>
      <c r="AQ411" s="22"/>
      <c r="AR411" s="35"/>
      <c r="AS411" s="35"/>
      <c r="AT411" s="35"/>
      <c r="AU411" s="31"/>
      <c r="AV411" s="36"/>
    </row>
    <row r="412" spans="1:48">
      <c r="A412" s="20"/>
      <c r="D412" s="31"/>
      <c r="E412" s="31"/>
      <c r="F412" s="31"/>
      <c r="G412" s="31"/>
      <c r="H412" s="32"/>
      <c r="J412" s="33"/>
      <c r="K412" s="33"/>
      <c r="L412" s="33"/>
      <c r="X412" s="22"/>
      <c r="Y412" s="22"/>
      <c r="Z412" s="22"/>
      <c r="AA412" s="22"/>
      <c r="AF412" s="22"/>
      <c r="AG412" s="22"/>
      <c r="AH412" s="22"/>
      <c r="AI412" s="22"/>
      <c r="AN412" s="22"/>
      <c r="AO412" s="22"/>
      <c r="AP412" s="22"/>
      <c r="AQ412" s="22"/>
      <c r="AR412" s="35"/>
      <c r="AS412" s="35"/>
      <c r="AT412" s="35"/>
      <c r="AU412" s="31"/>
      <c r="AV412" s="36"/>
    </row>
    <row r="413" spans="1:48">
      <c r="A413" s="20"/>
      <c r="D413" s="31"/>
      <c r="E413" s="31"/>
      <c r="F413" s="31"/>
      <c r="G413" s="31"/>
      <c r="H413" s="32"/>
      <c r="J413" s="33"/>
      <c r="K413" s="33"/>
      <c r="L413" s="33"/>
      <c r="X413" s="22"/>
      <c r="Y413" s="22"/>
      <c r="Z413" s="22"/>
      <c r="AA413" s="22"/>
      <c r="AF413" s="22"/>
      <c r="AG413" s="22"/>
      <c r="AH413" s="22"/>
      <c r="AI413" s="22"/>
      <c r="AN413" s="22"/>
      <c r="AO413" s="22"/>
      <c r="AP413" s="22"/>
      <c r="AQ413" s="22"/>
      <c r="AR413" s="35"/>
      <c r="AS413" s="35"/>
      <c r="AT413" s="35"/>
      <c r="AU413" s="31"/>
      <c r="AV413" s="36"/>
    </row>
    <row r="414" spans="1:48">
      <c r="A414" s="20"/>
      <c r="D414" s="31"/>
      <c r="E414" s="31"/>
      <c r="F414" s="31"/>
      <c r="G414" s="31"/>
      <c r="H414" s="32"/>
      <c r="J414" s="33"/>
      <c r="K414" s="33"/>
      <c r="L414" s="33"/>
      <c r="X414" s="22"/>
      <c r="Y414" s="22"/>
      <c r="Z414" s="22"/>
      <c r="AA414" s="22"/>
      <c r="AF414" s="22"/>
      <c r="AG414" s="22"/>
      <c r="AH414" s="22"/>
      <c r="AI414" s="22"/>
      <c r="AN414" s="22"/>
      <c r="AO414" s="22"/>
      <c r="AP414" s="22"/>
      <c r="AQ414" s="22"/>
      <c r="AR414" s="35"/>
      <c r="AS414" s="35"/>
      <c r="AT414" s="35"/>
      <c r="AU414" s="31"/>
      <c r="AV414" s="36"/>
    </row>
    <row r="415" spans="1:48">
      <c r="A415" s="20"/>
      <c r="D415" s="31"/>
      <c r="E415" s="31"/>
      <c r="F415" s="31"/>
      <c r="G415" s="31"/>
      <c r="H415" s="32"/>
      <c r="J415" s="33"/>
      <c r="K415" s="33"/>
      <c r="L415" s="33"/>
      <c r="X415" s="22"/>
      <c r="Y415" s="22"/>
      <c r="Z415" s="22"/>
      <c r="AA415" s="22"/>
      <c r="AF415" s="22"/>
      <c r="AG415" s="22"/>
      <c r="AH415" s="22"/>
      <c r="AI415" s="22"/>
      <c r="AN415" s="22"/>
      <c r="AO415" s="22"/>
      <c r="AP415" s="22"/>
      <c r="AQ415" s="22"/>
      <c r="AR415" s="35"/>
      <c r="AS415" s="35"/>
      <c r="AT415" s="35"/>
      <c r="AU415" s="31"/>
      <c r="AV415" s="36"/>
    </row>
    <row r="416" spans="1:48">
      <c r="A416" s="20"/>
      <c r="D416" s="31"/>
      <c r="E416" s="31"/>
      <c r="F416" s="31"/>
      <c r="G416" s="31"/>
      <c r="H416" s="32"/>
      <c r="J416" s="33"/>
      <c r="K416" s="33"/>
      <c r="L416" s="33"/>
      <c r="X416" s="22"/>
      <c r="Y416" s="22"/>
      <c r="Z416" s="22"/>
      <c r="AA416" s="22"/>
      <c r="AF416" s="22"/>
      <c r="AG416" s="22"/>
      <c r="AH416" s="22"/>
      <c r="AI416" s="22"/>
      <c r="AN416" s="22"/>
      <c r="AO416" s="22"/>
      <c r="AP416" s="22"/>
      <c r="AQ416" s="22"/>
      <c r="AR416" s="35"/>
      <c r="AS416" s="35"/>
      <c r="AT416" s="35"/>
      <c r="AU416" s="31"/>
      <c r="AV416" s="36"/>
    </row>
    <row r="417" spans="1:48">
      <c r="A417" s="41"/>
      <c r="D417" s="31"/>
      <c r="E417" s="31"/>
      <c r="F417" s="31"/>
      <c r="G417" s="31"/>
      <c r="H417" s="32"/>
      <c r="J417" s="33"/>
      <c r="K417" s="33"/>
      <c r="L417" s="33"/>
      <c r="X417" s="22"/>
      <c r="Y417" s="22"/>
      <c r="Z417" s="22"/>
      <c r="AA417" s="22"/>
      <c r="AF417" s="22"/>
      <c r="AG417" s="22"/>
      <c r="AH417" s="22"/>
      <c r="AI417" s="22"/>
      <c r="AN417" s="22"/>
      <c r="AO417" s="22"/>
      <c r="AP417" s="22"/>
      <c r="AQ417" s="22"/>
      <c r="AR417" s="35"/>
      <c r="AS417" s="35"/>
      <c r="AT417" s="35"/>
      <c r="AU417" s="31"/>
      <c r="AV417" s="36"/>
    </row>
    <row r="418" spans="1:48">
      <c r="A418" s="41"/>
      <c r="D418" s="31"/>
      <c r="E418" s="31"/>
      <c r="F418" s="31"/>
      <c r="G418" s="31"/>
      <c r="H418" s="32"/>
      <c r="J418" s="33"/>
      <c r="K418" s="33"/>
      <c r="L418" s="33"/>
      <c r="X418" s="22"/>
      <c r="Y418" s="22"/>
      <c r="Z418" s="22"/>
      <c r="AA418" s="22"/>
      <c r="AF418" s="22"/>
      <c r="AG418" s="22"/>
      <c r="AH418" s="22"/>
      <c r="AI418" s="22"/>
      <c r="AN418" s="22"/>
      <c r="AO418" s="22"/>
      <c r="AP418" s="22"/>
      <c r="AQ418" s="22"/>
      <c r="AR418" s="35"/>
      <c r="AS418" s="35"/>
      <c r="AT418" s="35"/>
      <c r="AU418" s="31"/>
      <c r="AV418" s="36"/>
    </row>
    <row r="419" spans="1:48">
      <c r="A419" s="41"/>
      <c r="D419" s="31"/>
      <c r="E419" s="31"/>
      <c r="F419" s="31"/>
      <c r="G419" s="31"/>
      <c r="H419" s="32"/>
      <c r="J419" s="33"/>
      <c r="K419" s="33"/>
      <c r="L419" s="33"/>
      <c r="X419" s="22"/>
      <c r="Y419" s="22"/>
      <c r="Z419" s="22"/>
      <c r="AA419" s="22"/>
      <c r="AF419" s="22"/>
      <c r="AG419" s="22"/>
      <c r="AH419" s="22"/>
      <c r="AI419" s="22"/>
      <c r="AN419" s="22"/>
      <c r="AO419" s="22"/>
      <c r="AP419" s="22"/>
      <c r="AQ419" s="22"/>
      <c r="AR419" s="35"/>
      <c r="AS419" s="35"/>
      <c r="AT419" s="35"/>
      <c r="AU419" s="31"/>
      <c r="AV419" s="36"/>
    </row>
    <row r="420" spans="1:48">
      <c r="A420" s="41"/>
      <c r="D420" s="31"/>
      <c r="E420" s="31"/>
      <c r="F420" s="31"/>
      <c r="G420" s="31"/>
      <c r="H420" s="32"/>
      <c r="J420" s="33"/>
      <c r="K420" s="33"/>
      <c r="L420" s="33"/>
      <c r="X420" s="22"/>
      <c r="Y420" s="22"/>
      <c r="Z420" s="22"/>
      <c r="AA420" s="22"/>
      <c r="AF420" s="22"/>
      <c r="AG420" s="22"/>
      <c r="AH420" s="22"/>
      <c r="AI420" s="22"/>
      <c r="AN420" s="22"/>
      <c r="AO420" s="22"/>
      <c r="AP420" s="22"/>
      <c r="AQ420" s="22"/>
      <c r="AR420" s="35"/>
      <c r="AS420" s="35"/>
      <c r="AT420" s="35"/>
      <c r="AU420" s="31"/>
      <c r="AV420" s="36"/>
    </row>
    <row r="421" spans="1:48">
      <c r="A421" s="41"/>
      <c r="D421" s="31"/>
      <c r="E421" s="31"/>
      <c r="F421" s="31"/>
      <c r="G421" s="31"/>
      <c r="H421" s="32"/>
      <c r="J421" s="33"/>
      <c r="K421" s="33"/>
      <c r="L421" s="33"/>
      <c r="X421" s="22"/>
      <c r="Y421" s="22"/>
      <c r="Z421" s="22"/>
      <c r="AA421" s="22"/>
      <c r="AF421" s="22"/>
      <c r="AG421" s="22"/>
      <c r="AH421" s="22"/>
      <c r="AI421" s="22"/>
      <c r="AN421" s="22"/>
      <c r="AO421" s="22"/>
      <c r="AP421" s="22"/>
      <c r="AQ421" s="22"/>
      <c r="AR421" s="35"/>
      <c r="AS421" s="35"/>
      <c r="AT421" s="35"/>
      <c r="AU421" s="31"/>
      <c r="AV421" s="36"/>
    </row>
    <row r="422" spans="1:48">
      <c r="A422" s="41"/>
      <c r="D422" s="31"/>
      <c r="E422" s="31"/>
      <c r="F422" s="31"/>
      <c r="G422" s="31"/>
      <c r="H422" s="32"/>
      <c r="J422" s="33"/>
      <c r="K422" s="33"/>
      <c r="L422" s="33"/>
      <c r="X422" s="22"/>
      <c r="Y422" s="22"/>
      <c r="Z422" s="22"/>
      <c r="AA422" s="22"/>
      <c r="AF422" s="22"/>
      <c r="AG422" s="22"/>
      <c r="AH422" s="22"/>
      <c r="AI422" s="22"/>
      <c r="AN422" s="22"/>
      <c r="AO422" s="22"/>
      <c r="AP422" s="22"/>
      <c r="AQ422" s="22"/>
      <c r="AR422" s="35"/>
      <c r="AS422" s="35"/>
      <c r="AT422" s="35"/>
      <c r="AU422" s="31"/>
      <c r="AV422" s="36"/>
    </row>
    <row r="423" spans="1:48">
      <c r="A423" s="41"/>
      <c r="D423" s="31"/>
      <c r="E423" s="31"/>
      <c r="F423" s="31"/>
      <c r="G423" s="31"/>
      <c r="H423" s="32"/>
      <c r="J423" s="33"/>
      <c r="K423" s="33"/>
      <c r="L423" s="33"/>
      <c r="X423" s="22"/>
      <c r="Y423" s="22"/>
      <c r="Z423" s="22"/>
      <c r="AA423" s="22"/>
      <c r="AF423" s="22"/>
      <c r="AG423" s="22"/>
      <c r="AH423" s="22"/>
      <c r="AI423" s="22"/>
      <c r="AN423" s="22"/>
      <c r="AO423" s="22"/>
      <c r="AP423" s="22"/>
      <c r="AQ423" s="22"/>
      <c r="AR423" s="35"/>
      <c r="AS423" s="35"/>
      <c r="AT423" s="35"/>
      <c r="AU423" s="31"/>
      <c r="AV423" s="36"/>
    </row>
    <row r="424" spans="1:48">
      <c r="A424" s="41"/>
      <c r="D424" s="31"/>
      <c r="E424" s="31"/>
      <c r="F424" s="31"/>
      <c r="G424" s="31"/>
      <c r="H424" s="32"/>
      <c r="J424" s="33"/>
      <c r="K424" s="33"/>
      <c r="L424" s="33"/>
      <c r="X424" s="22"/>
      <c r="Y424" s="22"/>
      <c r="Z424" s="22"/>
      <c r="AA424" s="22"/>
      <c r="AF424" s="22"/>
      <c r="AG424" s="22"/>
      <c r="AH424" s="22"/>
      <c r="AI424" s="22"/>
      <c r="AN424" s="22"/>
      <c r="AO424" s="22"/>
      <c r="AP424" s="22"/>
      <c r="AQ424" s="22"/>
      <c r="AR424" s="35"/>
      <c r="AS424" s="35"/>
      <c r="AT424" s="35"/>
      <c r="AU424" s="31"/>
      <c r="AV424" s="36"/>
    </row>
    <row r="425" spans="1:48">
      <c r="A425" s="41"/>
      <c r="D425" s="31"/>
      <c r="E425" s="31"/>
      <c r="F425" s="31"/>
      <c r="G425" s="31"/>
      <c r="H425" s="32"/>
      <c r="J425" s="33"/>
      <c r="K425" s="33"/>
      <c r="L425" s="33"/>
      <c r="X425" s="22"/>
      <c r="Y425" s="22"/>
      <c r="Z425" s="22"/>
      <c r="AA425" s="22"/>
      <c r="AF425" s="22"/>
      <c r="AG425" s="22"/>
      <c r="AH425" s="22"/>
      <c r="AI425" s="22"/>
      <c r="AN425" s="22"/>
      <c r="AO425" s="22"/>
      <c r="AP425" s="22"/>
      <c r="AQ425" s="22"/>
      <c r="AR425" s="35"/>
      <c r="AS425" s="35"/>
      <c r="AT425" s="35"/>
      <c r="AU425" s="31"/>
      <c r="AV425" s="36"/>
    </row>
    <row r="426" spans="1:48">
      <c r="A426" s="41"/>
      <c r="D426" s="31"/>
      <c r="E426" s="31"/>
      <c r="F426" s="31"/>
      <c r="G426" s="31"/>
      <c r="H426" s="32"/>
      <c r="J426" s="33"/>
      <c r="K426" s="33"/>
      <c r="L426" s="33"/>
      <c r="X426" s="22"/>
      <c r="Y426" s="22"/>
      <c r="Z426" s="22"/>
      <c r="AA426" s="22"/>
      <c r="AF426" s="22"/>
      <c r="AG426" s="22"/>
      <c r="AH426" s="22"/>
      <c r="AI426" s="22"/>
      <c r="AN426" s="22"/>
      <c r="AO426" s="22"/>
      <c r="AP426" s="22"/>
      <c r="AQ426" s="22"/>
      <c r="AR426" s="35"/>
      <c r="AS426" s="35"/>
      <c r="AT426" s="35"/>
      <c r="AU426" s="31"/>
      <c r="AV426" s="36"/>
    </row>
    <row r="427" spans="1:48">
      <c r="A427" s="41"/>
      <c r="D427" s="31"/>
      <c r="E427" s="31"/>
      <c r="F427" s="31"/>
      <c r="G427" s="31"/>
      <c r="H427" s="32"/>
      <c r="J427" s="33"/>
      <c r="K427" s="33"/>
      <c r="L427" s="33"/>
      <c r="X427" s="22"/>
      <c r="Y427" s="22"/>
      <c r="Z427" s="22"/>
      <c r="AA427" s="22"/>
      <c r="AF427" s="22"/>
      <c r="AG427" s="22"/>
      <c r="AH427" s="22"/>
      <c r="AI427" s="22"/>
      <c r="AN427" s="22"/>
      <c r="AO427" s="22"/>
      <c r="AP427" s="22"/>
      <c r="AQ427" s="22"/>
      <c r="AR427" s="35"/>
      <c r="AS427" s="35"/>
      <c r="AT427" s="35"/>
      <c r="AU427" s="31"/>
      <c r="AV427" s="36"/>
    </row>
    <row r="428" spans="1:48">
      <c r="A428" s="41"/>
      <c r="D428" s="31"/>
      <c r="E428" s="31"/>
      <c r="F428" s="31"/>
      <c r="G428" s="31"/>
      <c r="H428" s="32"/>
      <c r="J428" s="33"/>
      <c r="K428" s="33"/>
      <c r="L428" s="33"/>
      <c r="X428" s="22"/>
      <c r="Y428" s="22"/>
      <c r="Z428" s="22"/>
      <c r="AA428" s="22"/>
      <c r="AF428" s="22"/>
      <c r="AG428" s="22"/>
      <c r="AH428" s="22"/>
      <c r="AI428" s="22"/>
      <c r="AN428" s="22"/>
      <c r="AO428" s="22"/>
      <c r="AP428" s="22"/>
      <c r="AQ428" s="22"/>
      <c r="AR428" s="35"/>
      <c r="AS428" s="35"/>
      <c r="AT428" s="35"/>
      <c r="AU428" s="31"/>
      <c r="AV428" s="36"/>
    </row>
    <row r="429" spans="1:48">
      <c r="A429" s="41"/>
      <c r="D429" s="31"/>
      <c r="E429" s="31"/>
      <c r="F429" s="31"/>
      <c r="G429" s="31"/>
      <c r="H429" s="32"/>
      <c r="J429" s="33"/>
      <c r="K429" s="33"/>
      <c r="L429" s="33"/>
      <c r="X429" s="22"/>
      <c r="Y429" s="22"/>
      <c r="Z429" s="22"/>
      <c r="AA429" s="22"/>
      <c r="AF429" s="22"/>
      <c r="AG429" s="22"/>
      <c r="AH429" s="22"/>
      <c r="AI429" s="22"/>
      <c r="AN429" s="22"/>
      <c r="AO429" s="22"/>
      <c r="AP429" s="22"/>
      <c r="AQ429" s="22"/>
      <c r="AR429" s="35"/>
      <c r="AS429" s="35"/>
      <c r="AT429" s="35"/>
      <c r="AU429" s="31"/>
      <c r="AV429" s="36"/>
    </row>
    <row r="430" spans="1:48">
      <c r="A430" s="41"/>
      <c r="D430" s="31"/>
      <c r="E430" s="31"/>
      <c r="F430" s="31"/>
      <c r="G430" s="31"/>
      <c r="H430" s="32"/>
      <c r="J430" s="33"/>
      <c r="K430" s="33"/>
      <c r="L430" s="33"/>
      <c r="X430" s="22"/>
      <c r="Y430" s="22"/>
      <c r="Z430" s="22"/>
      <c r="AA430" s="22"/>
      <c r="AF430" s="22"/>
      <c r="AG430" s="22"/>
      <c r="AH430" s="22"/>
      <c r="AI430" s="22"/>
      <c r="AN430" s="22"/>
      <c r="AO430" s="22"/>
      <c r="AP430" s="22"/>
      <c r="AQ430" s="22"/>
      <c r="AR430" s="35"/>
      <c r="AS430" s="35"/>
      <c r="AT430" s="35"/>
      <c r="AU430" s="31"/>
      <c r="AV430" s="36"/>
    </row>
    <row r="431" spans="1:48">
      <c r="A431" s="41"/>
      <c r="D431" s="31"/>
      <c r="E431" s="31"/>
      <c r="F431" s="31"/>
      <c r="G431" s="31"/>
      <c r="H431" s="32"/>
      <c r="J431" s="33"/>
      <c r="K431" s="33"/>
      <c r="L431" s="33"/>
      <c r="X431" s="22"/>
      <c r="Y431" s="22"/>
      <c r="Z431" s="22"/>
      <c r="AA431" s="22"/>
      <c r="AF431" s="22"/>
      <c r="AG431" s="22"/>
      <c r="AH431" s="22"/>
      <c r="AI431" s="22"/>
      <c r="AN431" s="22"/>
      <c r="AO431" s="22"/>
      <c r="AP431" s="22"/>
      <c r="AQ431" s="22"/>
      <c r="AR431" s="35"/>
      <c r="AS431" s="35"/>
      <c r="AT431" s="35"/>
      <c r="AU431" s="31"/>
      <c r="AV431" s="36"/>
    </row>
    <row r="432" spans="1:48">
      <c r="A432" s="41"/>
      <c r="D432" s="31"/>
      <c r="E432" s="31"/>
      <c r="F432" s="31"/>
      <c r="G432" s="31"/>
      <c r="H432" s="32"/>
      <c r="J432" s="33"/>
      <c r="K432" s="33"/>
      <c r="L432" s="33"/>
      <c r="X432" s="22"/>
      <c r="Y432" s="22"/>
      <c r="Z432" s="22"/>
      <c r="AA432" s="22"/>
      <c r="AF432" s="22"/>
      <c r="AG432" s="22"/>
      <c r="AH432" s="22"/>
      <c r="AI432" s="22"/>
      <c r="AN432" s="22"/>
      <c r="AO432" s="22"/>
      <c r="AP432" s="22"/>
      <c r="AQ432" s="22"/>
      <c r="AR432" s="35"/>
      <c r="AS432" s="35"/>
      <c r="AT432" s="35"/>
      <c r="AU432" s="31"/>
      <c r="AV432" s="36"/>
    </row>
    <row r="433" spans="1:48">
      <c r="A433" s="41"/>
      <c r="D433" s="31"/>
      <c r="E433" s="31"/>
      <c r="F433" s="31"/>
      <c r="G433" s="31"/>
      <c r="H433" s="32"/>
      <c r="J433" s="33"/>
      <c r="K433" s="33"/>
      <c r="L433" s="33"/>
      <c r="X433" s="22"/>
      <c r="Y433" s="22"/>
      <c r="Z433" s="22"/>
      <c r="AA433" s="22"/>
      <c r="AF433" s="22"/>
      <c r="AG433" s="22"/>
      <c r="AH433" s="22"/>
      <c r="AI433" s="22"/>
      <c r="AN433" s="22"/>
      <c r="AO433" s="22"/>
      <c r="AP433" s="22"/>
      <c r="AQ433" s="22"/>
      <c r="AR433" s="35"/>
      <c r="AS433" s="35"/>
      <c r="AT433" s="35"/>
      <c r="AU433" s="31"/>
      <c r="AV433" s="36"/>
    </row>
    <row r="434" spans="1:48">
      <c r="A434" s="41"/>
      <c r="D434" s="31"/>
      <c r="E434" s="31"/>
      <c r="F434" s="31"/>
      <c r="G434" s="31"/>
      <c r="H434" s="32"/>
      <c r="J434" s="33"/>
      <c r="K434" s="33"/>
      <c r="L434" s="33"/>
      <c r="X434" s="22"/>
      <c r="Y434" s="22"/>
      <c r="Z434" s="22"/>
      <c r="AA434" s="22"/>
      <c r="AF434" s="22"/>
      <c r="AG434" s="22"/>
      <c r="AH434" s="22"/>
      <c r="AI434" s="22"/>
      <c r="AN434" s="22"/>
      <c r="AO434" s="22"/>
      <c r="AP434" s="22"/>
      <c r="AQ434" s="22"/>
      <c r="AR434" s="35"/>
      <c r="AS434" s="35"/>
      <c r="AT434" s="35"/>
      <c r="AU434" s="31"/>
      <c r="AV434" s="36"/>
    </row>
    <row r="435" spans="1:48">
      <c r="A435" s="41"/>
      <c r="D435" s="31"/>
      <c r="E435" s="31"/>
      <c r="F435" s="31"/>
      <c r="G435" s="31"/>
      <c r="H435" s="32"/>
      <c r="J435" s="33"/>
      <c r="K435" s="33"/>
      <c r="L435" s="33"/>
      <c r="X435" s="22"/>
      <c r="Y435" s="22"/>
      <c r="Z435" s="22"/>
      <c r="AA435" s="22"/>
      <c r="AF435" s="22"/>
      <c r="AG435" s="22"/>
      <c r="AH435" s="22"/>
      <c r="AI435" s="22"/>
      <c r="AN435" s="22"/>
      <c r="AO435" s="22"/>
      <c r="AP435" s="22"/>
      <c r="AQ435" s="22"/>
      <c r="AR435" s="35"/>
      <c r="AS435" s="35"/>
      <c r="AT435" s="35"/>
      <c r="AU435" s="31"/>
      <c r="AV435" s="36"/>
    </row>
    <row r="436" spans="1:48">
      <c r="A436" s="41"/>
      <c r="D436" s="31"/>
      <c r="E436" s="31"/>
      <c r="F436" s="31"/>
      <c r="G436" s="31"/>
      <c r="H436" s="32"/>
      <c r="J436" s="33"/>
      <c r="K436" s="33"/>
      <c r="L436" s="33"/>
      <c r="X436" s="22"/>
      <c r="Y436" s="22"/>
      <c r="Z436" s="22"/>
      <c r="AA436" s="22"/>
      <c r="AF436" s="22"/>
      <c r="AG436" s="22"/>
      <c r="AH436" s="22"/>
      <c r="AI436" s="22"/>
      <c r="AN436" s="22"/>
      <c r="AO436" s="22"/>
      <c r="AP436" s="22"/>
      <c r="AQ436" s="22"/>
      <c r="AR436" s="35"/>
      <c r="AS436" s="35"/>
      <c r="AT436" s="35"/>
      <c r="AU436" s="31"/>
      <c r="AV436" s="36"/>
    </row>
    <row r="437" spans="1:48">
      <c r="A437" s="41"/>
      <c r="D437" s="31"/>
      <c r="E437" s="31"/>
      <c r="F437" s="31"/>
      <c r="G437" s="31"/>
      <c r="H437" s="32"/>
      <c r="J437" s="33"/>
      <c r="K437" s="33"/>
      <c r="L437" s="33"/>
      <c r="X437" s="22"/>
      <c r="Y437" s="22"/>
      <c r="Z437" s="22"/>
      <c r="AA437" s="22"/>
      <c r="AF437" s="22"/>
      <c r="AG437" s="22"/>
      <c r="AH437" s="22"/>
      <c r="AI437" s="22"/>
      <c r="AN437" s="22"/>
      <c r="AO437" s="22"/>
      <c r="AP437" s="22"/>
      <c r="AQ437" s="22"/>
      <c r="AR437" s="35"/>
      <c r="AS437" s="35"/>
      <c r="AT437" s="35"/>
      <c r="AU437" s="31"/>
      <c r="AV437" s="36"/>
    </row>
    <row r="438" spans="1:48">
      <c r="A438" s="41"/>
      <c r="D438" s="31"/>
      <c r="E438" s="31"/>
      <c r="F438" s="31"/>
      <c r="G438" s="31"/>
      <c r="H438" s="32"/>
      <c r="J438" s="33"/>
      <c r="K438" s="33"/>
      <c r="L438" s="33"/>
      <c r="X438" s="22"/>
      <c r="Y438" s="22"/>
      <c r="Z438" s="22"/>
      <c r="AA438" s="22"/>
      <c r="AF438" s="22"/>
      <c r="AG438" s="22"/>
      <c r="AH438" s="22"/>
      <c r="AI438" s="22"/>
      <c r="AN438" s="22"/>
      <c r="AO438" s="22"/>
      <c r="AP438" s="22"/>
      <c r="AQ438" s="22"/>
      <c r="AR438" s="35"/>
      <c r="AS438" s="35"/>
      <c r="AT438" s="35"/>
      <c r="AU438" s="31"/>
      <c r="AV438" s="36"/>
    </row>
    <row r="439" spans="1:48">
      <c r="A439" s="41"/>
      <c r="D439" s="31"/>
      <c r="E439" s="31"/>
      <c r="F439" s="31"/>
      <c r="G439" s="31"/>
      <c r="H439" s="32"/>
      <c r="J439" s="33"/>
      <c r="K439" s="33"/>
      <c r="L439" s="33"/>
      <c r="X439" s="22"/>
      <c r="Y439" s="22"/>
      <c r="Z439" s="22"/>
      <c r="AA439" s="22"/>
      <c r="AF439" s="22"/>
      <c r="AG439" s="22"/>
      <c r="AH439" s="22"/>
      <c r="AI439" s="22"/>
      <c r="AN439" s="22"/>
      <c r="AO439" s="22"/>
      <c r="AP439" s="22"/>
      <c r="AQ439" s="22"/>
      <c r="AR439" s="35"/>
      <c r="AS439" s="35"/>
      <c r="AT439" s="35"/>
      <c r="AU439" s="31"/>
      <c r="AV439" s="36"/>
    </row>
    <row r="440" spans="1:48">
      <c r="A440" s="41"/>
      <c r="D440" s="31"/>
      <c r="E440" s="31"/>
      <c r="F440" s="31"/>
      <c r="G440" s="31"/>
      <c r="H440" s="32"/>
      <c r="J440" s="33"/>
      <c r="K440" s="33"/>
      <c r="L440" s="33"/>
      <c r="X440" s="22"/>
      <c r="Y440" s="22"/>
      <c r="Z440" s="22"/>
      <c r="AA440" s="22"/>
      <c r="AF440" s="22"/>
      <c r="AG440" s="22"/>
      <c r="AH440" s="22"/>
      <c r="AI440" s="22"/>
      <c r="AN440" s="22"/>
      <c r="AO440" s="22"/>
      <c r="AP440" s="22"/>
      <c r="AQ440" s="22"/>
      <c r="AR440" s="35"/>
      <c r="AS440" s="35"/>
      <c r="AT440" s="35"/>
      <c r="AU440" s="31"/>
      <c r="AV440" s="36"/>
    </row>
    <row r="441" spans="1:48">
      <c r="A441" s="41"/>
      <c r="D441" s="31"/>
      <c r="E441" s="31"/>
      <c r="F441" s="31"/>
      <c r="G441" s="31"/>
      <c r="H441" s="32"/>
      <c r="J441" s="33"/>
      <c r="K441" s="33"/>
      <c r="L441" s="33"/>
      <c r="X441" s="22"/>
      <c r="Y441" s="22"/>
      <c r="Z441" s="22"/>
      <c r="AA441" s="22"/>
      <c r="AF441" s="22"/>
      <c r="AG441" s="22"/>
      <c r="AH441" s="22"/>
      <c r="AI441" s="22"/>
      <c r="AN441" s="22"/>
      <c r="AO441" s="22"/>
      <c r="AP441" s="22"/>
      <c r="AQ441" s="22"/>
      <c r="AR441" s="35"/>
      <c r="AS441" s="35"/>
      <c r="AT441" s="35"/>
      <c r="AU441" s="31"/>
      <c r="AV441" s="36"/>
    </row>
    <row r="442" spans="1:48">
      <c r="A442" s="41"/>
      <c r="D442" s="31"/>
      <c r="E442" s="31"/>
      <c r="F442" s="31"/>
      <c r="G442" s="31"/>
      <c r="H442" s="32"/>
      <c r="J442" s="33"/>
      <c r="K442" s="33"/>
      <c r="L442" s="33"/>
      <c r="X442" s="22"/>
      <c r="Y442" s="22"/>
      <c r="Z442" s="22"/>
      <c r="AA442" s="22"/>
      <c r="AF442" s="22"/>
      <c r="AG442" s="22"/>
      <c r="AH442" s="22"/>
      <c r="AI442" s="22"/>
      <c r="AN442" s="22"/>
      <c r="AO442" s="22"/>
      <c r="AP442" s="22"/>
      <c r="AQ442" s="22"/>
      <c r="AR442" s="35"/>
      <c r="AS442" s="35"/>
      <c r="AT442" s="35"/>
      <c r="AU442" s="31"/>
      <c r="AV442" s="36"/>
    </row>
    <row r="443" spans="1:48">
      <c r="A443" s="41"/>
      <c r="D443" s="31"/>
      <c r="E443" s="31"/>
      <c r="F443" s="31"/>
      <c r="G443" s="31"/>
      <c r="H443" s="32"/>
      <c r="J443" s="33"/>
      <c r="K443" s="33"/>
      <c r="L443" s="33"/>
      <c r="X443" s="22"/>
      <c r="Y443" s="22"/>
      <c r="Z443" s="22"/>
      <c r="AA443" s="22"/>
      <c r="AF443" s="22"/>
      <c r="AG443" s="22"/>
      <c r="AH443" s="22"/>
      <c r="AI443" s="22"/>
      <c r="AN443" s="22"/>
      <c r="AO443" s="22"/>
      <c r="AP443" s="22"/>
      <c r="AQ443" s="22"/>
      <c r="AR443" s="35"/>
      <c r="AS443" s="35"/>
      <c r="AT443" s="35"/>
      <c r="AU443" s="31"/>
      <c r="AV443" s="36"/>
    </row>
    <row r="444" spans="1:48">
      <c r="A444" s="41"/>
      <c r="D444" s="31"/>
      <c r="E444" s="31"/>
      <c r="F444" s="31"/>
      <c r="G444" s="31"/>
      <c r="H444" s="32"/>
      <c r="J444" s="33"/>
      <c r="K444" s="33"/>
      <c r="L444" s="33"/>
      <c r="X444" s="22"/>
      <c r="Y444" s="22"/>
      <c r="Z444" s="22"/>
      <c r="AA444" s="22"/>
      <c r="AF444" s="22"/>
      <c r="AG444" s="22"/>
      <c r="AH444" s="22"/>
      <c r="AI444" s="22"/>
      <c r="AN444" s="22"/>
      <c r="AO444" s="22"/>
      <c r="AP444" s="22"/>
      <c r="AQ444" s="22"/>
      <c r="AR444" s="35"/>
      <c r="AS444" s="35"/>
      <c r="AT444" s="35"/>
      <c r="AU444" s="31"/>
      <c r="AV444" s="36"/>
    </row>
    <row r="445" spans="1:48">
      <c r="A445" s="41"/>
      <c r="D445" s="31"/>
      <c r="E445" s="31"/>
      <c r="F445" s="31"/>
      <c r="G445" s="31"/>
      <c r="H445" s="32"/>
      <c r="J445" s="33"/>
      <c r="K445" s="33"/>
      <c r="L445" s="33"/>
      <c r="X445" s="22"/>
      <c r="Y445" s="22"/>
      <c r="Z445" s="22"/>
      <c r="AA445" s="22"/>
      <c r="AF445" s="22"/>
      <c r="AG445" s="22"/>
      <c r="AH445" s="22"/>
      <c r="AI445" s="22"/>
      <c r="AN445" s="22"/>
      <c r="AO445" s="22"/>
      <c r="AP445" s="22"/>
      <c r="AQ445" s="22"/>
      <c r="AR445" s="35"/>
      <c r="AS445" s="35"/>
      <c r="AT445" s="35"/>
      <c r="AU445" s="31"/>
      <c r="AV445" s="36"/>
    </row>
    <row r="446" spans="1:48">
      <c r="A446" s="41"/>
      <c r="D446" s="31"/>
      <c r="E446" s="31"/>
      <c r="F446" s="31"/>
      <c r="G446" s="31"/>
      <c r="H446" s="32"/>
      <c r="J446" s="33"/>
      <c r="K446" s="33"/>
      <c r="L446" s="33"/>
      <c r="X446" s="22"/>
      <c r="Y446" s="22"/>
      <c r="Z446" s="22"/>
      <c r="AA446" s="22"/>
      <c r="AF446" s="22"/>
      <c r="AG446" s="22"/>
      <c r="AH446" s="22"/>
      <c r="AI446" s="22"/>
      <c r="AN446" s="22"/>
      <c r="AO446" s="22"/>
      <c r="AP446" s="22"/>
      <c r="AQ446" s="22"/>
      <c r="AR446" s="35"/>
      <c r="AS446" s="35"/>
      <c r="AT446" s="35"/>
      <c r="AU446" s="31"/>
      <c r="AV446" s="36"/>
    </row>
    <row r="447" spans="1:48">
      <c r="A447" s="41"/>
      <c r="D447" s="31"/>
      <c r="E447" s="31"/>
      <c r="F447" s="31"/>
      <c r="G447" s="31"/>
      <c r="H447" s="32"/>
      <c r="J447" s="33"/>
      <c r="K447" s="33"/>
      <c r="L447" s="33"/>
      <c r="X447" s="22"/>
      <c r="Y447" s="22"/>
      <c r="Z447" s="22"/>
      <c r="AA447" s="22"/>
      <c r="AF447" s="22"/>
      <c r="AG447" s="22"/>
      <c r="AH447" s="22"/>
      <c r="AI447" s="22"/>
      <c r="AN447" s="22"/>
      <c r="AO447" s="22"/>
      <c r="AP447" s="22"/>
      <c r="AQ447" s="22"/>
      <c r="AR447" s="35"/>
      <c r="AS447" s="35"/>
      <c r="AT447" s="35"/>
      <c r="AU447" s="31"/>
      <c r="AV447" s="36"/>
    </row>
    <row r="448" spans="1:48">
      <c r="A448" s="41"/>
      <c r="D448" s="31"/>
      <c r="E448" s="31"/>
      <c r="F448" s="31"/>
      <c r="G448" s="31"/>
      <c r="H448" s="32"/>
      <c r="J448" s="33"/>
      <c r="K448" s="33"/>
      <c r="L448" s="33"/>
      <c r="X448" s="22"/>
      <c r="Y448" s="22"/>
      <c r="Z448" s="22"/>
      <c r="AA448" s="22"/>
      <c r="AF448" s="22"/>
      <c r="AG448" s="22"/>
      <c r="AH448" s="22"/>
      <c r="AI448" s="22"/>
      <c r="AN448" s="22"/>
      <c r="AO448" s="22"/>
      <c r="AP448" s="22"/>
      <c r="AQ448" s="22"/>
      <c r="AR448" s="35"/>
      <c r="AS448" s="35"/>
      <c r="AT448" s="35"/>
      <c r="AU448" s="31"/>
      <c r="AV448" s="36"/>
    </row>
    <row r="449" spans="1:48">
      <c r="A449" s="41"/>
      <c r="D449" s="31"/>
      <c r="E449" s="31"/>
      <c r="F449" s="31"/>
      <c r="G449" s="31"/>
      <c r="H449" s="32"/>
      <c r="J449" s="33"/>
      <c r="K449" s="33"/>
      <c r="L449" s="33"/>
      <c r="X449" s="22"/>
      <c r="Y449" s="22"/>
      <c r="Z449" s="22"/>
      <c r="AA449" s="22"/>
      <c r="AF449" s="22"/>
      <c r="AG449" s="22"/>
      <c r="AH449" s="22"/>
      <c r="AI449" s="22"/>
      <c r="AN449" s="22"/>
      <c r="AO449" s="22"/>
      <c r="AP449" s="22"/>
      <c r="AQ449" s="22"/>
      <c r="AR449" s="35"/>
      <c r="AS449" s="35"/>
      <c r="AT449" s="35"/>
      <c r="AU449" s="31"/>
      <c r="AV449" s="36"/>
    </row>
    <row r="450" spans="1:48">
      <c r="A450" s="41"/>
      <c r="D450" s="31"/>
      <c r="E450" s="31"/>
      <c r="F450" s="31"/>
      <c r="G450" s="31"/>
      <c r="H450" s="32"/>
      <c r="J450" s="33"/>
      <c r="K450" s="33"/>
      <c r="L450" s="33"/>
      <c r="X450" s="22"/>
      <c r="Y450" s="22"/>
      <c r="Z450" s="22"/>
      <c r="AA450" s="22"/>
      <c r="AF450" s="22"/>
      <c r="AG450" s="22"/>
      <c r="AH450" s="22"/>
      <c r="AI450" s="22"/>
      <c r="AN450" s="22"/>
      <c r="AO450" s="22"/>
      <c r="AP450" s="22"/>
      <c r="AQ450" s="22"/>
      <c r="AR450" s="35"/>
      <c r="AS450" s="35"/>
      <c r="AT450" s="35"/>
      <c r="AU450" s="31"/>
      <c r="AV450" s="36"/>
    </row>
    <row r="451" spans="1:48">
      <c r="A451" s="41"/>
      <c r="D451" s="31"/>
      <c r="E451" s="31"/>
      <c r="F451" s="31"/>
      <c r="G451" s="31"/>
      <c r="H451" s="32"/>
      <c r="J451" s="33"/>
      <c r="K451" s="33"/>
      <c r="L451" s="33"/>
      <c r="X451" s="22"/>
      <c r="Y451" s="22"/>
      <c r="Z451" s="22"/>
      <c r="AA451" s="22"/>
      <c r="AF451" s="22"/>
      <c r="AG451" s="22"/>
      <c r="AH451" s="22"/>
      <c r="AI451" s="22"/>
      <c r="AN451" s="22"/>
      <c r="AO451" s="22"/>
      <c r="AP451" s="22"/>
      <c r="AQ451" s="22"/>
      <c r="AR451" s="35"/>
      <c r="AS451" s="35"/>
      <c r="AT451" s="35"/>
      <c r="AU451" s="31"/>
      <c r="AV451" s="36"/>
    </row>
    <row r="452" spans="1:48">
      <c r="A452" s="41"/>
      <c r="D452" s="31"/>
      <c r="E452" s="31"/>
      <c r="F452" s="31"/>
      <c r="G452" s="31"/>
      <c r="H452" s="32"/>
      <c r="J452" s="33"/>
      <c r="K452" s="33"/>
      <c r="L452" s="33"/>
      <c r="X452" s="22"/>
      <c r="Y452" s="22"/>
      <c r="Z452" s="22"/>
      <c r="AA452" s="22"/>
      <c r="AF452" s="22"/>
      <c r="AG452" s="22"/>
      <c r="AH452" s="22"/>
      <c r="AI452" s="22"/>
      <c r="AN452" s="22"/>
      <c r="AO452" s="22"/>
      <c r="AP452" s="22"/>
      <c r="AQ452" s="22"/>
      <c r="AR452" s="35"/>
      <c r="AS452" s="35"/>
      <c r="AT452" s="35"/>
      <c r="AU452" s="31"/>
      <c r="AV452" s="36"/>
    </row>
    <row r="453" spans="1:48">
      <c r="A453" s="41"/>
      <c r="D453" s="31"/>
      <c r="E453" s="31"/>
      <c r="F453" s="31"/>
      <c r="G453" s="31"/>
      <c r="H453" s="32"/>
      <c r="J453" s="33"/>
      <c r="K453" s="33"/>
      <c r="L453" s="33"/>
      <c r="X453" s="22"/>
      <c r="Y453" s="22"/>
      <c r="Z453" s="22"/>
      <c r="AA453" s="22"/>
      <c r="AF453" s="22"/>
      <c r="AG453" s="22"/>
      <c r="AH453" s="22"/>
      <c r="AI453" s="22"/>
      <c r="AN453" s="22"/>
      <c r="AO453" s="22"/>
      <c r="AP453" s="22"/>
      <c r="AQ453" s="22"/>
      <c r="AR453" s="35"/>
      <c r="AS453" s="35"/>
      <c r="AT453" s="35"/>
      <c r="AU453" s="31"/>
      <c r="AV453" s="36"/>
    </row>
    <row r="454" spans="1:48">
      <c r="A454" s="41"/>
      <c r="D454" s="31"/>
      <c r="E454" s="31"/>
      <c r="F454" s="31"/>
      <c r="G454" s="31"/>
      <c r="H454" s="32"/>
      <c r="J454" s="33"/>
      <c r="K454" s="33"/>
      <c r="L454" s="33"/>
      <c r="X454" s="22"/>
      <c r="Y454" s="22"/>
      <c r="Z454" s="22"/>
      <c r="AA454" s="22"/>
      <c r="AF454" s="22"/>
      <c r="AG454" s="22"/>
      <c r="AH454" s="22"/>
      <c r="AI454" s="22"/>
      <c r="AN454" s="22"/>
      <c r="AO454" s="22"/>
      <c r="AP454" s="22"/>
      <c r="AQ454" s="22"/>
      <c r="AR454" s="35"/>
      <c r="AS454" s="35"/>
      <c r="AT454" s="35"/>
      <c r="AU454" s="31"/>
      <c r="AV454" s="36"/>
    </row>
    <row r="455" spans="1:48">
      <c r="A455" s="41"/>
      <c r="D455" s="31"/>
      <c r="E455" s="31"/>
      <c r="F455" s="31"/>
      <c r="G455" s="31"/>
      <c r="H455" s="32"/>
      <c r="J455" s="33"/>
      <c r="K455" s="33"/>
      <c r="L455" s="33"/>
      <c r="X455" s="22"/>
      <c r="Y455" s="22"/>
      <c r="Z455" s="22"/>
      <c r="AA455" s="22"/>
      <c r="AF455" s="22"/>
      <c r="AG455" s="22"/>
      <c r="AH455" s="22"/>
      <c r="AI455" s="22"/>
      <c r="AN455" s="22"/>
      <c r="AO455" s="22"/>
      <c r="AP455" s="22"/>
      <c r="AQ455" s="22"/>
      <c r="AR455" s="35"/>
      <c r="AS455" s="35"/>
      <c r="AT455" s="35"/>
      <c r="AU455" s="31"/>
      <c r="AV455" s="36"/>
    </row>
    <row r="456" spans="1:48">
      <c r="A456" s="41"/>
      <c r="D456" s="31"/>
      <c r="E456" s="31"/>
      <c r="F456" s="31"/>
      <c r="G456" s="31"/>
      <c r="H456" s="32"/>
      <c r="J456" s="33"/>
      <c r="K456" s="33"/>
      <c r="L456" s="33"/>
      <c r="X456" s="22"/>
      <c r="Y456" s="22"/>
      <c r="Z456" s="22"/>
      <c r="AA456" s="22"/>
      <c r="AF456" s="22"/>
      <c r="AG456" s="22"/>
      <c r="AH456" s="22"/>
      <c r="AI456" s="22"/>
      <c r="AN456" s="22"/>
      <c r="AO456" s="22"/>
      <c r="AP456" s="22"/>
      <c r="AQ456" s="22"/>
      <c r="AR456" s="35"/>
      <c r="AS456" s="35"/>
      <c r="AT456" s="35"/>
      <c r="AU456" s="31"/>
      <c r="AV456" s="36"/>
    </row>
    <row r="457" spans="1:48">
      <c r="A457" s="41"/>
      <c r="D457" s="31"/>
      <c r="E457" s="31"/>
      <c r="F457" s="31"/>
      <c r="G457" s="31"/>
      <c r="H457" s="32"/>
      <c r="J457" s="33"/>
      <c r="K457" s="33"/>
      <c r="L457" s="33"/>
      <c r="X457" s="22"/>
      <c r="Y457" s="22"/>
      <c r="Z457" s="22"/>
      <c r="AA457" s="22"/>
      <c r="AF457" s="22"/>
      <c r="AG457" s="22"/>
      <c r="AH457" s="22"/>
      <c r="AI457" s="22"/>
      <c r="AN457" s="22"/>
      <c r="AO457" s="22"/>
      <c r="AP457" s="22"/>
      <c r="AQ457" s="22"/>
      <c r="AR457" s="35"/>
      <c r="AS457" s="35"/>
      <c r="AT457" s="35"/>
      <c r="AU457" s="31"/>
      <c r="AV457" s="36"/>
    </row>
    <row r="458" spans="1:48">
      <c r="A458" s="41"/>
      <c r="D458" s="31"/>
      <c r="E458" s="31"/>
      <c r="F458" s="31"/>
      <c r="G458" s="31"/>
      <c r="H458" s="32"/>
      <c r="J458" s="33"/>
      <c r="K458" s="33"/>
      <c r="L458" s="33"/>
      <c r="X458" s="22"/>
      <c r="Y458" s="22"/>
      <c r="Z458" s="22"/>
      <c r="AA458" s="22"/>
      <c r="AF458" s="22"/>
      <c r="AG458" s="22"/>
      <c r="AH458" s="22"/>
      <c r="AI458" s="22"/>
      <c r="AN458" s="22"/>
      <c r="AO458" s="22"/>
      <c r="AP458" s="22"/>
      <c r="AQ458" s="22"/>
      <c r="AR458" s="35"/>
      <c r="AS458" s="35"/>
      <c r="AT458" s="35"/>
      <c r="AU458" s="31"/>
      <c r="AV458" s="36"/>
    </row>
    <row r="459" spans="1:48">
      <c r="A459" s="41"/>
      <c r="D459" s="31"/>
      <c r="E459" s="31"/>
      <c r="F459" s="31"/>
      <c r="G459" s="31"/>
      <c r="H459" s="32"/>
      <c r="J459" s="33"/>
      <c r="K459" s="33"/>
      <c r="L459" s="33"/>
      <c r="X459" s="22"/>
      <c r="Y459" s="22"/>
      <c r="Z459" s="22"/>
      <c r="AA459" s="22"/>
      <c r="AF459" s="22"/>
      <c r="AG459" s="22"/>
      <c r="AH459" s="22"/>
      <c r="AI459" s="22"/>
      <c r="AN459" s="22"/>
      <c r="AO459" s="22"/>
      <c r="AP459" s="22"/>
      <c r="AQ459" s="22"/>
      <c r="AR459" s="35"/>
      <c r="AS459" s="35"/>
      <c r="AT459" s="35"/>
      <c r="AU459" s="31"/>
      <c r="AV459" s="36"/>
    </row>
    <row r="460" spans="1:48">
      <c r="A460" s="41"/>
      <c r="D460" s="31"/>
      <c r="E460" s="31"/>
      <c r="F460" s="31"/>
      <c r="G460" s="31"/>
      <c r="H460" s="32"/>
      <c r="J460" s="33"/>
      <c r="K460" s="33"/>
      <c r="L460" s="33"/>
      <c r="X460" s="22"/>
      <c r="Y460" s="22"/>
      <c r="Z460" s="22"/>
      <c r="AA460" s="22"/>
      <c r="AF460" s="22"/>
      <c r="AG460" s="22"/>
      <c r="AH460" s="22"/>
      <c r="AI460" s="22"/>
      <c r="AN460" s="22"/>
      <c r="AO460" s="22"/>
      <c r="AP460" s="22"/>
      <c r="AQ460" s="22"/>
      <c r="AR460" s="35"/>
      <c r="AS460" s="35"/>
      <c r="AT460" s="35"/>
      <c r="AU460" s="31"/>
      <c r="AV460" s="36"/>
    </row>
    <row r="461" spans="1:48">
      <c r="A461" s="41"/>
      <c r="D461" s="31"/>
      <c r="E461" s="31"/>
      <c r="F461" s="31"/>
      <c r="G461" s="31"/>
      <c r="H461" s="32"/>
      <c r="J461" s="33"/>
      <c r="K461" s="33"/>
      <c r="L461" s="33"/>
      <c r="X461" s="22"/>
      <c r="Y461" s="22"/>
      <c r="Z461" s="22"/>
      <c r="AA461" s="22"/>
      <c r="AF461" s="22"/>
      <c r="AG461" s="22"/>
      <c r="AH461" s="22"/>
      <c r="AI461" s="22"/>
      <c r="AN461" s="22"/>
      <c r="AO461" s="22"/>
      <c r="AP461" s="22"/>
      <c r="AQ461" s="22"/>
      <c r="AR461" s="35"/>
      <c r="AS461" s="35"/>
      <c r="AT461" s="35"/>
      <c r="AU461" s="31"/>
      <c r="AV461" s="36"/>
    </row>
    <row r="462" spans="1:48">
      <c r="A462" s="41"/>
      <c r="D462" s="31"/>
      <c r="E462" s="31"/>
      <c r="F462" s="31"/>
      <c r="G462" s="31"/>
      <c r="H462" s="32"/>
      <c r="J462" s="33"/>
      <c r="K462" s="33"/>
      <c r="L462" s="33"/>
      <c r="X462" s="22"/>
      <c r="Y462" s="22"/>
      <c r="Z462" s="22"/>
      <c r="AA462" s="22"/>
      <c r="AF462" s="22"/>
      <c r="AG462" s="22"/>
      <c r="AH462" s="22"/>
      <c r="AI462" s="22"/>
      <c r="AN462" s="22"/>
      <c r="AO462" s="22"/>
      <c r="AP462" s="22"/>
      <c r="AQ462" s="22"/>
      <c r="AR462" s="35"/>
      <c r="AS462" s="35"/>
      <c r="AT462" s="35"/>
      <c r="AU462" s="31"/>
      <c r="AV462" s="36"/>
    </row>
    <row r="463" spans="1:48">
      <c r="A463" s="41"/>
      <c r="D463" s="31"/>
      <c r="E463" s="31"/>
      <c r="F463" s="31"/>
      <c r="G463" s="31"/>
      <c r="H463" s="32"/>
      <c r="J463" s="33"/>
      <c r="K463" s="33"/>
      <c r="L463" s="33"/>
      <c r="X463" s="22"/>
      <c r="Y463" s="22"/>
      <c r="Z463" s="22"/>
      <c r="AA463" s="22"/>
      <c r="AF463" s="22"/>
      <c r="AG463" s="22"/>
      <c r="AH463" s="22"/>
      <c r="AI463" s="22"/>
      <c r="AN463" s="22"/>
      <c r="AO463" s="22"/>
      <c r="AP463" s="22"/>
      <c r="AQ463" s="22"/>
      <c r="AR463" s="35"/>
      <c r="AS463" s="35"/>
      <c r="AT463" s="35"/>
      <c r="AU463" s="31"/>
      <c r="AV463" s="36"/>
    </row>
    <row r="464" spans="1:48">
      <c r="A464" s="41"/>
      <c r="D464" s="31"/>
      <c r="E464" s="31"/>
      <c r="F464" s="31"/>
      <c r="G464" s="31"/>
      <c r="H464" s="32"/>
      <c r="J464" s="33"/>
      <c r="K464" s="33"/>
      <c r="L464" s="33"/>
      <c r="X464" s="22"/>
      <c r="Y464" s="22"/>
      <c r="Z464" s="22"/>
      <c r="AA464" s="22"/>
      <c r="AF464" s="22"/>
      <c r="AG464" s="22"/>
      <c r="AH464" s="22"/>
      <c r="AI464" s="22"/>
      <c r="AN464" s="22"/>
      <c r="AO464" s="22"/>
      <c r="AP464" s="22"/>
      <c r="AQ464" s="22"/>
      <c r="AR464" s="35"/>
      <c r="AS464" s="35"/>
      <c r="AT464" s="35"/>
      <c r="AU464" s="31"/>
      <c r="AV464" s="36"/>
    </row>
    <row r="465" spans="1:48">
      <c r="A465" s="41"/>
      <c r="D465" s="31"/>
      <c r="E465" s="31"/>
      <c r="F465" s="31"/>
      <c r="G465" s="31"/>
      <c r="H465" s="32"/>
      <c r="J465" s="33"/>
      <c r="K465" s="33"/>
      <c r="L465" s="33"/>
      <c r="X465" s="22"/>
      <c r="Y465" s="22"/>
      <c r="Z465" s="22"/>
      <c r="AA465" s="22"/>
      <c r="AF465" s="22"/>
      <c r="AG465" s="22"/>
      <c r="AH465" s="22"/>
      <c r="AI465" s="22"/>
      <c r="AN465" s="22"/>
      <c r="AO465" s="22"/>
      <c r="AP465" s="22"/>
      <c r="AQ465" s="22"/>
      <c r="AR465" s="35"/>
      <c r="AS465" s="35"/>
      <c r="AT465" s="35"/>
      <c r="AU465" s="31"/>
      <c r="AV465" s="36"/>
    </row>
    <row r="466" spans="1:48">
      <c r="A466" s="41"/>
      <c r="D466" s="31"/>
      <c r="E466" s="31"/>
      <c r="F466" s="31"/>
      <c r="G466" s="31"/>
      <c r="H466" s="32"/>
      <c r="J466" s="33"/>
      <c r="K466" s="33"/>
      <c r="L466" s="33"/>
      <c r="X466" s="22"/>
      <c r="Y466" s="22"/>
      <c r="Z466" s="22"/>
      <c r="AA466" s="22"/>
      <c r="AF466" s="22"/>
      <c r="AG466" s="22"/>
      <c r="AH466" s="22"/>
      <c r="AI466" s="22"/>
      <c r="AN466" s="22"/>
      <c r="AO466" s="22"/>
      <c r="AP466" s="22"/>
      <c r="AQ466" s="22"/>
      <c r="AR466" s="35"/>
      <c r="AS466" s="35"/>
      <c r="AT466" s="35"/>
      <c r="AU466" s="31"/>
      <c r="AV466" s="36"/>
    </row>
    <row r="467" spans="1:48">
      <c r="A467" s="41"/>
      <c r="D467" s="31"/>
      <c r="E467" s="31"/>
      <c r="F467" s="31"/>
      <c r="G467" s="31"/>
      <c r="H467" s="32"/>
      <c r="J467" s="33"/>
      <c r="K467" s="33"/>
      <c r="L467" s="33"/>
      <c r="X467" s="22"/>
      <c r="Y467" s="22"/>
      <c r="Z467" s="22"/>
      <c r="AA467" s="22"/>
      <c r="AF467" s="22"/>
      <c r="AG467" s="22"/>
      <c r="AH467" s="22"/>
      <c r="AI467" s="22"/>
      <c r="AN467" s="22"/>
      <c r="AO467" s="22"/>
      <c r="AP467" s="22"/>
      <c r="AQ467" s="22"/>
      <c r="AR467" s="35"/>
      <c r="AS467" s="35"/>
      <c r="AT467" s="35"/>
      <c r="AU467" s="31"/>
      <c r="AV467" s="36"/>
    </row>
    <row r="468" spans="1:48">
      <c r="A468" s="41"/>
      <c r="D468" s="31"/>
      <c r="E468" s="31"/>
      <c r="F468" s="31"/>
      <c r="G468" s="31"/>
      <c r="H468" s="32"/>
      <c r="J468" s="33"/>
      <c r="K468" s="33"/>
      <c r="L468" s="33"/>
      <c r="X468" s="22"/>
      <c r="Y468" s="22"/>
      <c r="Z468" s="22"/>
      <c r="AA468" s="22"/>
      <c r="AF468" s="22"/>
      <c r="AG468" s="22"/>
      <c r="AH468" s="22"/>
      <c r="AI468" s="22"/>
      <c r="AN468" s="22"/>
      <c r="AO468" s="22"/>
      <c r="AP468" s="22"/>
      <c r="AQ468" s="22"/>
      <c r="AR468" s="35"/>
      <c r="AS468" s="35"/>
      <c r="AT468" s="35"/>
      <c r="AU468" s="31"/>
      <c r="AV468" s="36"/>
    </row>
    <row r="469" spans="1:48">
      <c r="A469" s="41"/>
      <c r="D469" s="31"/>
      <c r="E469" s="31"/>
      <c r="F469" s="31"/>
      <c r="G469" s="31"/>
      <c r="H469" s="32"/>
      <c r="J469" s="33"/>
      <c r="K469" s="33"/>
      <c r="L469" s="33"/>
      <c r="X469" s="22"/>
      <c r="Y469" s="22"/>
      <c r="Z469" s="22"/>
      <c r="AA469" s="22"/>
      <c r="AF469" s="22"/>
      <c r="AG469" s="22"/>
      <c r="AH469" s="22"/>
      <c r="AI469" s="22"/>
      <c r="AN469" s="22"/>
      <c r="AO469" s="22"/>
      <c r="AP469" s="22"/>
      <c r="AQ469" s="22"/>
      <c r="AR469" s="35"/>
      <c r="AS469" s="35"/>
      <c r="AT469" s="35"/>
      <c r="AU469" s="31"/>
      <c r="AV469" s="36"/>
    </row>
    <row r="470" spans="1:48">
      <c r="A470" s="41"/>
      <c r="D470" s="31"/>
      <c r="E470" s="31"/>
      <c r="F470" s="31"/>
      <c r="G470" s="31"/>
      <c r="H470" s="32"/>
      <c r="J470" s="33"/>
      <c r="K470" s="33"/>
      <c r="L470" s="33"/>
      <c r="X470" s="22"/>
      <c r="Y470" s="22"/>
      <c r="Z470" s="22"/>
      <c r="AA470" s="22"/>
      <c r="AF470" s="22"/>
      <c r="AG470" s="22"/>
      <c r="AH470" s="22"/>
      <c r="AI470" s="22"/>
      <c r="AN470" s="22"/>
      <c r="AO470" s="22"/>
      <c r="AP470" s="22"/>
      <c r="AQ470" s="22"/>
      <c r="AR470" s="35"/>
      <c r="AS470" s="35"/>
      <c r="AT470" s="35"/>
      <c r="AU470" s="31"/>
      <c r="AV470" s="36"/>
    </row>
    <row r="471" spans="1:48">
      <c r="A471" s="41"/>
      <c r="D471" s="31"/>
      <c r="E471" s="31"/>
      <c r="F471" s="31"/>
      <c r="G471" s="31"/>
      <c r="H471" s="32"/>
      <c r="J471" s="33"/>
      <c r="K471" s="33"/>
      <c r="L471" s="33"/>
      <c r="X471" s="22"/>
      <c r="Y471" s="22"/>
      <c r="Z471" s="22"/>
      <c r="AA471" s="22"/>
      <c r="AF471" s="22"/>
      <c r="AG471" s="22"/>
      <c r="AH471" s="22"/>
      <c r="AI471" s="22"/>
      <c r="AN471" s="22"/>
      <c r="AO471" s="22"/>
      <c r="AP471" s="22"/>
      <c r="AQ471" s="22"/>
      <c r="AR471" s="35"/>
      <c r="AS471" s="35"/>
      <c r="AT471" s="35"/>
      <c r="AU471" s="31"/>
      <c r="AV471" s="36"/>
    </row>
    <row r="472" spans="1:48">
      <c r="A472" s="41"/>
      <c r="D472" s="31"/>
      <c r="E472" s="31"/>
      <c r="F472" s="31"/>
      <c r="G472" s="31"/>
      <c r="H472" s="32"/>
      <c r="J472" s="33"/>
      <c r="K472" s="33"/>
      <c r="L472" s="33"/>
      <c r="X472" s="22"/>
      <c r="Y472" s="22"/>
      <c r="Z472" s="22"/>
      <c r="AA472" s="22"/>
      <c r="AF472" s="22"/>
      <c r="AG472" s="22"/>
      <c r="AH472" s="22"/>
      <c r="AI472" s="22"/>
      <c r="AN472" s="22"/>
      <c r="AO472" s="22"/>
      <c r="AP472" s="22"/>
      <c r="AQ472" s="22"/>
      <c r="AR472" s="35"/>
      <c r="AS472" s="35"/>
      <c r="AT472" s="35"/>
      <c r="AU472" s="31"/>
      <c r="AV472" s="36"/>
    </row>
    <row r="473" spans="1:48">
      <c r="A473" s="41"/>
      <c r="D473" s="31"/>
      <c r="E473" s="31"/>
      <c r="F473" s="31"/>
      <c r="G473" s="31"/>
      <c r="H473" s="32"/>
      <c r="J473" s="33"/>
      <c r="K473" s="33"/>
      <c r="L473" s="33"/>
      <c r="X473" s="22"/>
      <c r="Y473" s="22"/>
      <c r="Z473" s="22"/>
      <c r="AA473" s="22"/>
      <c r="AF473" s="22"/>
      <c r="AG473" s="22"/>
      <c r="AH473" s="22"/>
      <c r="AI473" s="22"/>
      <c r="AN473" s="22"/>
      <c r="AO473" s="22"/>
      <c r="AP473" s="22"/>
      <c r="AQ473" s="22"/>
      <c r="AR473" s="35"/>
      <c r="AS473" s="35"/>
      <c r="AT473" s="35"/>
      <c r="AU473" s="31"/>
      <c r="AV473" s="36"/>
    </row>
    <row r="474" spans="1:48">
      <c r="A474" s="41"/>
      <c r="D474" s="31"/>
      <c r="E474" s="31"/>
      <c r="F474" s="31"/>
      <c r="G474" s="31"/>
      <c r="H474" s="32"/>
      <c r="J474" s="33"/>
      <c r="K474" s="33"/>
      <c r="L474" s="33"/>
      <c r="X474" s="22"/>
      <c r="Y474" s="22"/>
      <c r="Z474" s="22"/>
      <c r="AA474" s="22"/>
      <c r="AF474" s="22"/>
      <c r="AG474" s="22"/>
      <c r="AH474" s="22"/>
      <c r="AI474" s="22"/>
      <c r="AN474" s="22"/>
      <c r="AO474" s="22"/>
      <c r="AP474" s="22"/>
      <c r="AQ474" s="22"/>
      <c r="AR474" s="35"/>
      <c r="AS474" s="35"/>
      <c r="AT474" s="35"/>
      <c r="AU474" s="31"/>
      <c r="AV474" s="36"/>
    </row>
    <row r="475" spans="1:48">
      <c r="A475" s="41"/>
      <c r="D475" s="31"/>
      <c r="E475" s="31"/>
      <c r="F475" s="31"/>
      <c r="G475" s="31"/>
      <c r="H475" s="32"/>
      <c r="J475" s="33"/>
      <c r="K475" s="33"/>
      <c r="L475" s="33"/>
      <c r="X475" s="22"/>
      <c r="Y475" s="22"/>
      <c r="Z475" s="22"/>
      <c r="AA475" s="22"/>
      <c r="AF475" s="22"/>
      <c r="AG475" s="22"/>
      <c r="AH475" s="22"/>
      <c r="AI475" s="22"/>
      <c r="AN475" s="22"/>
      <c r="AO475" s="22"/>
      <c r="AP475" s="22"/>
      <c r="AQ475" s="22"/>
      <c r="AR475" s="35"/>
      <c r="AS475" s="35"/>
      <c r="AT475" s="35"/>
      <c r="AU475" s="31"/>
      <c r="AV475" s="36"/>
    </row>
    <row r="476" spans="1:48">
      <c r="A476" s="41"/>
      <c r="D476" s="31"/>
      <c r="E476" s="31"/>
      <c r="F476" s="31"/>
      <c r="G476" s="31"/>
      <c r="H476" s="32"/>
      <c r="J476" s="33"/>
      <c r="K476" s="33"/>
      <c r="L476" s="33"/>
      <c r="X476" s="22"/>
      <c r="Y476" s="22"/>
      <c r="Z476" s="22"/>
      <c r="AA476" s="22"/>
      <c r="AF476" s="22"/>
      <c r="AG476" s="22"/>
      <c r="AH476" s="22"/>
      <c r="AI476" s="22"/>
      <c r="AN476" s="22"/>
      <c r="AO476" s="22"/>
      <c r="AP476" s="22"/>
      <c r="AQ476" s="22"/>
      <c r="AR476" s="35"/>
      <c r="AS476" s="35"/>
      <c r="AT476" s="35"/>
      <c r="AU476" s="31"/>
      <c r="AV476" s="36"/>
    </row>
    <row r="477" spans="1:48">
      <c r="A477" s="41"/>
      <c r="D477" s="31"/>
      <c r="E477" s="31"/>
      <c r="F477" s="31"/>
      <c r="G477" s="31"/>
      <c r="H477" s="32"/>
      <c r="J477" s="33"/>
      <c r="K477" s="33"/>
      <c r="L477" s="33"/>
      <c r="X477" s="22"/>
      <c r="Y477" s="22"/>
      <c r="Z477" s="22"/>
      <c r="AA477" s="22"/>
      <c r="AF477" s="22"/>
      <c r="AG477" s="22"/>
      <c r="AH477" s="22"/>
      <c r="AI477" s="22"/>
      <c r="AN477" s="22"/>
      <c r="AO477" s="22"/>
      <c r="AP477" s="22"/>
      <c r="AQ477" s="22"/>
      <c r="AR477" s="35"/>
      <c r="AS477" s="35"/>
      <c r="AT477" s="35"/>
      <c r="AU477" s="31"/>
      <c r="AV477" s="36"/>
    </row>
    <row r="478" spans="1:48">
      <c r="A478" s="41"/>
      <c r="D478" s="31"/>
      <c r="E478" s="31"/>
      <c r="F478" s="31"/>
      <c r="G478" s="31"/>
      <c r="H478" s="32"/>
      <c r="J478" s="33"/>
      <c r="K478" s="33"/>
      <c r="L478" s="33"/>
      <c r="X478" s="22"/>
      <c r="Y478" s="22"/>
      <c r="Z478" s="22"/>
      <c r="AA478" s="22"/>
      <c r="AF478" s="22"/>
      <c r="AG478" s="22"/>
      <c r="AH478" s="22"/>
      <c r="AI478" s="22"/>
      <c r="AN478" s="22"/>
      <c r="AO478" s="22"/>
      <c r="AP478" s="22"/>
      <c r="AQ478" s="22"/>
      <c r="AR478" s="35"/>
      <c r="AS478" s="35"/>
      <c r="AT478" s="35"/>
      <c r="AU478" s="31"/>
      <c r="AV478" s="36"/>
    </row>
    <row r="479" spans="1:48">
      <c r="A479" s="41"/>
      <c r="D479" s="31"/>
      <c r="E479" s="31"/>
      <c r="F479" s="31"/>
      <c r="G479" s="31"/>
      <c r="H479" s="32"/>
      <c r="J479" s="33"/>
      <c r="K479" s="33"/>
      <c r="L479" s="33"/>
      <c r="X479" s="22"/>
      <c r="Y479" s="22"/>
      <c r="Z479" s="22"/>
      <c r="AA479" s="22"/>
      <c r="AF479" s="22"/>
      <c r="AG479" s="22"/>
      <c r="AH479" s="22"/>
      <c r="AI479" s="22"/>
      <c r="AN479" s="22"/>
      <c r="AO479" s="22"/>
      <c r="AP479" s="22"/>
      <c r="AQ479" s="22"/>
      <c r="AR479" s="35"/>
      <c r="AS479" s="35"/>
      <c r="AT479" s="35"/>
      <c r="AU479" s="31"/>
      <c r="AV479" s="36"/>
    </row>
    <row r="480" spans="1:48">
      <c r="A480" s="41"/>
      <c r="D480" s="31"/>
      <c r="E480" s="31"/>
      <c r="F480" s="31"/>
      <c r="G480" s="31"/>
      <c r="H480" s="32"/>
      <c r="J480" s="33"/>
      <c r="K480" s="33"/>
      <c r="L480" s="33"/>
      <c r="X480" s="22"/>
      <c r="Y480" s="22"/>
      <c r="Z480" s="22"/>
      <c r="AA480" s="22"/>
      <c r="AF480" s="22"/>
      <c r="AG480" s="22"/>
      <c r="AH480" s="22"/>
      <c r="AI480" s="22"/>
      <c r="AN480" s="22"/>
      <c r="AO480" s="22"/>
      <c r="AP480" s="22"/>
      <c r="AQ480" s="22"/>
      <c r="AR480" s="35"/>
      <c r="AS480" s="35"/>
      <c r="AT480" s="35"/>
      <c r="AU480" s="31"/>
      <c r="AV480" s="36"/>
    </row>
    <row r="481" spans="1:48">
      <c r="A481" s="41"/>
      <c r="D481" s="31"/>
      <c r="E481" s="31"/>
      <c r="F481" s="31"/>
      <c r="G481" s="31"/>
      <c r="H481" s="32"/>
      <c r="J481" s="33"/>
      <c r="K481" s="33"/>
      <c r="L481" s="33"/>
      <c r="X481" s="22"/>
      <c r="Y481" s="22"/>
      <c r="Z481" s="22"/>
      <c r="AA481" s="22"/>
      <c r="AF481" s="22"/>
      <c r="AG481" s="22"/>
      <c r="AH481" s="22"/>
      <c r="AI481" s="22"/>
      <c r="AN481" s="22"/>
      <c r="AO481" s="22"/>
      <c r="AP481" s="22"/>
      <c r="AQ481" s="22"/>
      <c r="AR481" s="35"/>
      <c r="AS481" s="35"/>
      <c r="AT481" s="35"/>
      <c r="AU481" s="31"/>
      <c r="AV481" s="36"/>
    </row>
    <row r="482" spans="1:48">
      <c r="A482" s="41"/>
      <c r="D482" s="31"/>
      <c r="E482" s="31"/>
      <c r="F482" s="31"/>
      <c r="G482" s="31"/>
      <c r="H482" s="32"/>
      <c r="J482" s="33"/>
      <c r="K482" s="33"/>
      <c r="L482" s="33"/>
      <c r="X482" s="22"/>
      <c r="Y482" s="22"/>
      <c r="Z482" s="22"/>
      <c r="AA482" s="22"/>
      <c r="AF482" s="22"/>
      <c r="AG482" s="22"/>
      <c r="AH482" s="22"/>
      <c r="AI482" s="22"/>
      <c r="AN482" s="22"/>
      <c r="AO482" s="22"/>
      <c r="AP482" s="22"/>
      <c r="AQ482" s="22"/>
      <c r="AR482" s="35"/>
      <c r="AS482" s="35"/>
      <c r="AT482" s="35"/>
      <c r="AU482" s="31"/>
      <c r="AV482" s="36"/>
    </row>
    <row r="483" spans="1:48">
      <c r="A483" s="41"/>
      <c r="D483" s="31"/>
      <c r="E483" s="31"/>
      <c r="F483" s="31"/>
      <c r="G483" s="31"/>
      <c r="H483" s="32"/>
      <c r="J483" s="33"/>
      <c r="K483" s="33"/>
      <c r="L483" s="33"/>
      <c r="X483" s="22"/>
      <c r="Y483" s="22"/>
      <c r="Z483" s="22"/>
      <c r="AA483" s="22"/>
      <c r="AF483" s="22"/>
      <c r="AG483" s="22"/>
      <c r="AH483" s="22"/>
      <c r="AI483" s="22"/>
      <c r="AN483" s="22"/>
      <c r="AO483" s="22"/>
      <c r="AP483" s="22"/>
      <c r="AQ483" s="22"/>
      <c r="AR483" s="35"/>
      <c r="AS483" s="35"/>
      <c r="AT483" s="35"/>
      <c r="AU483" s="31"/>
      <c r="AV483" s="36"/>
    </row>
    <row r="484" spans="1:48">
      <c r="A484" s="41"/>
      <c r="D484" s="31"/>
      <c r="E484" s="31"/>
      <c r="F484" s="31"/>
      <c r="G484" s="31"/>
      <c r="H484" s="32"/>
      <c r="J484" s="33"/>
      <c r="K484" s="33"/>
      <c r="L484" s="33"/>
      <c r="X484" s="22"/>
      <c r="Y484" s="22"/>
      <c r="Z484" s="22"/>
      <c r="AA484" s="22"/>
      <c r="AF484" s="22"/>
      <c r="AG484" s="22"/>
      <c r="AH484" s="22"/>
      <c r="AI484" s="22"/>
      <c r="AN484" s="22"/>
      <c r="AO484" s="22"/>
      <c r="AP484" s="22"/>
      <c r="AQ484" s="22"/>
      <c r="AR484" s="35"/>
      <c r="AS484" s="35"/>
      <c r="AT484" s="35"/>
      <c r="AU484" s="31"/>
      <c r="AV484" s="36"/>
    </row>
    <row r="485" spans="1:48">
      <c r="A485" s="41"/>
      <c r="D485" s="31"/>
      <c r="E485" s="31"/>
      <c r="F485" s="31"/>
      <c r="G485" s="31"/>
      <c r="H485" s="32"/>
      <c r="J485" s="33"/>
      <c r="K485" s="33"/>
      <c r="L485" s="33"/>
      <c r="X485" s="22"/>
      <c r="Y485" s="22"/>
      <c r="Z485" s="22"/>
      <c r="AA485" s="22"/>
      <c r="AF485" s="22"/>
      <c r="AG485" s="22"/>
      <c r="AH485" s="22"/>
      <c r="AI485" s="22"/>
      <c r="AN485" s="22"/>
      <c r="AO485" s="22"/>
      <c r="AP485" s="22"/>
      <c r="AQ485" s="22"/>
      <c r="AR485" s="35"/>
      <c r="AS485" s="35"/>
      <c r="AT485" s="35"/>
      <c r="AU485" s="31"/>
      <c r="AV485" s="36"/>
    </row>
    <row r="486" spans="1:48">
      <c r="A486" s="41"/>
      <c r="D486" s="31"/>
      <c r="E486" s="31"/>
      <c r="F486" s="31"/>
      <c r="G486" s="31"/>
      <c r="H486" s="32"/>
      <c r="J486" s="33"/>
      <c r="K486" s="33"/>
      <c r="L486" s="33"/>
      <c r="X486" s="22"/>
      <c r="Y486" s="22"/>
      <c r="Z486" s="22"/>
      <c r="AA486" s="22"/>
      <c r="AF486" s="22"/>
      <c r="AG486" s="22"/>
      <c r="AH486" s="22"/>
      <c r="AI486" s="22"/>
      <c r="AN486" s="22"/>
      <c r="AO486" s="22"/>
      <c r="AP486" s="22"/>
      <c r="AQ486" s="22"/>
      <c r="AR486" s="35"/>
      <c r="AS486" s="35"/>
      <c r="AT486" s="35"/>
      <c r="AU486" s="31"/>
      <c r="AV486" s="36"/>
    </row>
    <row r="487" spans="1:48">
      <c r="A487" s="41"/>
      <c r="D487" s="31"/>
      <c r="E487" s="31"/>
      <c r="F487" s="31"/>
      <c r="G487" s="31"/>
      <c r="H487" s="32"/>
      <c r="J487" s="33"/>
      <c r="K487" s="33"/>
      <c r="L487" s="33"/>
      <c r="X487" s="22"/>
      <c r="Y487" s="22"/>
      <c r="Z487" s="22"/>
      <c r="AA487" s="22"/>
      <c r="AF487" s="22"/>
      <c r="AG487" s="22"/>
      <c r="AH487" s="22"/>
      <c r="AI487" s="22"/>
      <c r="AN487" s="22"/>
      <c r="AO487" s="22"/>
      <c r="AP487" s="22"/>
      <c r="AQ487" s="22"/>
      <c r="AR487" s="35"/>
      <c r="AS487" s="35"/>
      <c r="AT487" s="35"/>
      <c r="AU487" s="31"/>
      <c r="AV487" s="36"/>
    </row>
    <row r="488" spans="1:48">
      <c r="A488" s="41"/>
      <c r="D488" s="31"/>
      <c r="E488" s="31"/>
      <c r="F488" s="31"/>
      <c r="G488" s="31"/>
      <c r="H488" s="32"/>
      <c r="J488" s="33"/>
      <c r="K488" s="33"/>
      <c r="L488" s="33"/>
      <c r="X488" s="22"/>
      <c r="Y488" s="22"/>
      <c r="Z488" s="22"/>
      <c r="AA488" s="22"/>
      <c r="AF488" s="22"/>
      <c r="AG488" s="22"/>
      <c r="AH488" s="22"/>
      <c r="AI488" s="22"/>
      <c r="AN488" s="22"/>
      <c r="AO488" s="22"/>
      <c r="AP488" s="22"/>
      <c r="AQ488" s="22"/>
      <c r="AR488" s="35"/>
      <c r="AS488" s="35"/>
      <c r="AT488" s="35"/>
      <c r="AU488" s="31"/>
      <c r="AV488" s="36"/>
    </row>
    <row r="489" spans="1:48">
      <c r="A489" s="41"/>
      <c r="D489" s="31"/>
      <c r="E489" s="31"/>
      <c r="F489" s="31"/>
      <c r="G489" s="31"/>
      <c r="H489" s="32"/>
      <c r="J489" s="33"/>
      <c r="K489" s="33"/>
      <c r="L489" s="33"/>
      <c r="X489" s="22"/>
      <c r="Y489" s="22"/>
      <c r="Z489" s="22"/>
      <c r="AA489" s="22"/>
      <c r="AF489" s="22"/>
      <c r="AG489" s="22"/>
      <c r="AH489" s="22"/>
      <c r="AI489" s="22"/>
      <c r="AN489" s="22"/>
      <c r="AO489" s="22"/>
      <c r="AP489" s="22"/>
      <c r="AQ489" s="22"/>
      <c r="AR489" s="35"/>
      <c r="AS489" s="35"/>
      <c r="AT489" s="35"/>
      <c r="AU489" s="31"/>
      <c r="AV489" s="36"/>
    </row>
    <row r="490" spans="1:48">
      <c r="A490" s="41"/>
      <c r="D490" s="31"/>
      <c r="E490" s="31"/>
      <c r="F490" s="31"/>
      <c r="G490" s="31"/>
      <c r="H490" s="32"/>
      <c r="J490" s="33"/>
      <c r="K490" s="33"/>
      <c r="L490" s="33"/>
      <c r="X490" s="22"/>
      <c r="Y490" s="22"/>
      <c r="Z490" s="22"/>
      <c r="AA490" s="22"/>
      <c r="AF490" s="22"/>
      <c r="AG490" s="22"/>
      <c r="AH490" s="22"/>
      <c r="AI490" s="22"/>
      <c r="AN490" s="22"/>
      <c r="AO490" s="22"/>
      <c r="AP490" s="22"/>
      <c r="AQ490" s="22"/>
      <c r="AR490" s="35"/>
      <c r="AS490" s="35"/>
      <c r="AT490" s="35"/>
      <c r="AU490" s="31"/>
      <c r="AV490" s="36"/>
    </row>
    <row r="491" spans="1:48">
      <c r="A491" s="41"/>
      <c r="D491" s="31"/>
      <c r="E491" s="31"/>
      <c r="F491" s="31"/>
      <c r="G491" s="31"/>
      <c r="H491" s="32"/>
      <c r="J491" s="33"/>
      <c r="K491" s="33"/>
      <c r="L491" s="33"/>
      <c r="X491" s="22"/>
      <c r="Y491" s="22"/>
      <c r="Z491" s="22"/>
      <c r="AA491" s="22"/>
      <c r="AF491" s="22"/>
      <c r="AG491" s="22"/>
      <c r="AH491" s="22"/>
      <c r="AI491" s="22"/>
      <c r="AN491" s="22"/>
      <c r="AO491" s="22"/>
      <c r="AP491" s="22"/>
      <c r="AQ491" s="22"/>
      <c r="AR491" s="35"/>
      <c r="AS491" s="35"/>
      <c r="AT491" s="35"/>
      <c r="AU491" s="31"/>
      <c r="AV491" s="36"/>
    </row>
    <row r="492" spans="1:48">
      <c r="A492" s="41"/>
      <c r="D492" s="31"/>
      <c r="E492" s="31"/>
      <c r="F492" s="31"/>
      <c r="G492" s="31"/>
      <c r="H492" s="32"/>
      <c r="J492" s="33"/>
      <c r="K492" s="33"/>
      <c r="L492" s="33"/>
      <c r="X492" s="22"/>
      <c r="Y492" s="22"/>
      <c r="Z492" s="22"/>
      <c r="AA492" s="22"/>
      <c r="AF492" s="22"/>
      <c r="AG492" s="22"/>
      <c r="AH492" s="22"/>
      <c r="AI492" s="22"/>
      <c r="AN492" s="22"/>
      <c r="AO492" s="22"/>
      <c r="AP492" s="22"/>
      <c r="AQ492" s="22"/>
      <c r="AR492" s="35"/>
      <c r="AS492" s="35"/>
      <c r="AT492" s="35"/>
      <c r="AU492" s="31"/>
      <c r="AV492" s="36"/>
    </row>
    <row r="493" spans="1:48">
      <c r="A493" s="41"/>
      <c r="D493" s="31"/>
      <c r="E493" s="31"/>
      <c r="F493" s="31"/>
      <c r="G493" s="31"/>
      <c r="H493" s="32"/>
      <c r="J493" s="33"/>
      <c r="K493" s="33"/>
      <c r="L493" s="33"/>
      <c r="X493" s="22"/>
      <c r="Y493" s="22"/>
      <c r="Z493" s="22"/>
      <c r="AA493" s="22"/>
      <c r="AF493" s="22"/>
      <c r="AG493" s="22"/>
      <c r="AH493" s="22"/>
      <c r="AI493" s="22"/>
      <c r="AN493" s="22"/>
      <c r="AO493" s="22"/>
      <c r="AP493" s="22"/>
      <c r="AQ493" s="22"/>
      <c r="AR493" s="35"/>
      <c r="AS493" s="35"/>
      <c r="AT493" s="35"/>
      <c r="AU493" s="31"/>
      <c r="AV493" s="36"/>
    </row>
    <row r="494" spans="1:48">
      <c r="A494" s="41"/>
      <c r="D494" s="31"/>
      <c r="E494" s="31"/>
      <c r="F494" s="31"/>
      <c r="G494" s="31"/>
      <c r="H494" s="32"/>
      <c r="J494" s="33"/>
      <c r="K494" s="33"/>
      <c r="L494" s="33"/>
      <c r="X494" s="22"/>
      <c r="Y494" s="22"/>
      <c r="Z494" s="22"/>
      <c r="AA494" s="22"/>
      <c r="AF494" s="22"/>
      <c r="AG494" s="22"/>
      <c r="AH494" s="22"/>
      <c r="AI494" s="22"/>
      <c r="AN494" s="22"/>
      <c r="AO494" s="22"/>
      <c r="AP494" s="22"/>
      <c r="AQ494" s="22"/>
      <c r="AR494" s="35"/>
      <c r="AS494" s="35"/>
      <c r="AT494" s="35"/>
      <c r="AU494" s="31"/>
      <c r="AV494" s="36"/>
    </row>
    <row r="495" spans="1:48">
      <c r="A495" s="41"/>
      <c r="D495" s="31"/>
      <c r="E495" s="31"/>
      <c r="F495" s="31"/>
      <c r="G495" s="31"/>
      <c r="H495" s="32"/>
      <c r="J495" s="33"/>
      <c r="K495" s="33"/>
      <c r="L495" s="33"/>
      <c r="X495" s="22"/>
      <c r="Y495" s="22"/>
      <c r="Z495" s="22"/>
      <c r="AA495" s="22"/>
      <c r="AF495" s="22"/>
      <c r="AG495" s="22"/>
      <c r="AH495" s="22"/>
      <c r="AI495" s="22"/>
      <c r="AN495" s="22"/>
      <c r="AO495" s="22"/>
      <c r="AP495" s="22"/>
      <c r="AQ495" s="22"/>
      <c r="AR495" s="35"/>
      <c r="AS495" s="35"/>
      <c r="AT495" s="35"/>
      <c r="AU495" s="31"/>
      <c r="AV495" s="36"/>
    </row>
    <row r="496" spans="1:48">
      <c r="A496" s="41"/>
      <c r="D496" s="31"/>
      <c r="E496" s="31"/>
      <c r="F496" s="31"/>
      <c r="G496" s="31"/>
      <c r="H496" s="32"/>
      <c r="J496" s="33"/>
      <c r="K496" s="33"/>
      <c r="L496" s="33"/>
      <c r="X496" s="22"/>
      <c r="Y496" s="22"/>
      <c r="Z496" s="22"/>
      <c r="AA496" s="22"/>
      <c r="AF496" s="22"/>
      <c r="AG496" s="22"/>
      <c r="AH496" s="22"/>
      <c r="AI496" s="22"/>
      <c r="AN496" s="22"/>
      <c r="AO496" s="22"/>
      <c r="AP496" s="22"/>
      <c r="AQ496" s="22"/>
      <c r="AR496" s="35"/>
      <c r="AS496" s="35"/>
      <c r="AT496" s="35"/>
      <c r="AU496" s="31"/>
      <c r="AV496" s="36"/>
    </row>
    <row r="497" spans="1:48">
      <c r="A497" s="41"/>
      <c r="D497" s="31"/>
      <c r="E497" s="31"/>
      <c r="F497" s="31"/>
      <c r="G497" s="31"/>
      <c r="H497" s="32"/>
      <c r="J497" s="33"/>
      <c r="K497" s="33"/>
      <c r="L497" s="33"/>
      <c r="X497" s="22"/>
      <c r="Y497" s="22"/>
      <c r="Z497" s="22"/>
      <c r="AA497" s="22"/>
      <c r="AF497" s="22"/>
      <c r="AG497" s="22"/>
      <c r="AH497" s="22"/>
      <c r="AI497" s="22"/>
      <c r="AN497" s="22"/>
      <c r="AO497" s="22"/>
      <c r="AP497" s="22"/>
      <c r="AQ497" s="22"/>
      <c r="AR497" s="35"/>
      <c r="AS497" s="35"/>
      <c r="AT497" s="35"/>
      <c r="AU497" s="31"/>
      <c r="AV497" s="36"/>
    </row>
    <row r="498" spans="1:48">
      <c r="A498" s="41"/>
      <c r="D498" s="31"/>
      <c r="E498" s="31"/>
      <c r="F498" s="31"/>
      <c r="G498" s="31"/>
      <c r="H498" s="32"/>
      <c r="J498" s="33"/>
      <c r="K498" s="33"/>
      <c r="L498" s="33"/>
      <c r="X498" s="22"/>
      <c r="Y498" s="22"/>
      <c r="Z498" s="22"/>
      <c r="AA498" s="22"/>
      <c r="AF498" s="22"/>
      <c r="AG498" s="22"/>
      <c r="AH498" s="22"/>
      <c r="AI498" s="22"/>
      <c r="AN498" s="22"/>
      <c r="AO498" s="22"/>
      <c r="AP498" s="22"/>
      <c r="AQ498" s="22"/>
      <c r="AR498" s="35"/>
      <c r="AS498" s="35"/>
      <c r="AT498" s="35"/>
      <c r="AU498" s="31"/>
      <c r="AV498" s="36"/>
    </row>
    <row r="499" spans="1:48">
      <c r="A499" s="41"/>
      <c r="D499" s="31"/>
      <c r="E499" s="31"/>
      <c r="F499" s="31"/>
      <c r="G499" s="31"/>
      <c r="H499" s="32"/>
      <c r="J499" s="33"/>
      <c r="K499" s="33"/>
      <c r="L499" s="33"/>
      <c r="X499" s="22"/>
      <c r="Y499" s="22"/>
      <c r="Z499" s="22"/>
      <c r="AA499" s="22"/>
      <c r="AF499" s="22"/>
      <c r="AG499" s="22"/>
      <c r="AH499" s="22"/>
      <c r="AI499" s="22"/>
      <c r="AN499" s="22"/>
      <c r="AO499" s="22"/>
      <c r="AP499" s="22"/>
      <c r="AQ499" s="22"/>
      <c r="AR499" s="35"/>
      <c r="AS499" s="35"/>
      <c r="AT499" s="35"/>
      <c r="AU499" s="31"/>
      <c r="AV499" s="36"/>
    </row>
    <row r="500" spans="1:48">
      <c r="A500" s="41"/>
      <c r="D500" s="31"/>
      <c r="E500" s="31"/>
      <c r="F500" s="31"/>
      <c r="G500" s="31"/>
      <c r="H500" s="32"/>
      <c r="J500" s="33"/>
      <c r="K500" s="33"/>
      <c r="L500" s="33"/>
      <c r="X500" s="22"/>
      <c r="Y500" s="22"/>
      <c r="Z500" s="22"/>
      <c r="AA500" s="22"/>
      <c r="AF500" s="22"/>
      <c r="AG500" s="22"/>
      <c r="AH500" s="22"/>
      <c r="AI500" s="22"/>
      <c r="AN500" s="22"/>
      <c r="AO500" s="22"/>
      <c r="AP500" s="22"/>
      <c r="AQ500" s="22"/>
      <c r="AR500" s="35"/>
      <c r="AS500" s="35"/>
      <c r="AT500" s="35"/>
      <c r="AU500" s="31"/>
      <c r="AV500" s="36"/>
    </row>
    <row r="501" spans="1:48">
      <c r="A501" s="41"/>
      <c r="D501" s="31"/>
      <c r="E501" s="31"/>
      <c r="F501" s="31"/>
      <c r="G501" s="31"/>
      <c r="H501" s="32"/>
      <c r="J501" s="33"/>
      <c r="K501" s="33"/>
      <c r="L501" s="33"/>
      <c r="X501" s="22"/>
      <c r="Y501" s="22"/>
      <c r="Z501" s="22"/>
      <c r="AA501" s="22"/>
      <c r="AF501" s="22"/>
      <c r="AG501" s="22"/>
      <c r="AH501" s="22"/>
      <c r="AI501" s="22"/>
      <c r="AN501" s="22"/>
      <c r="AO501" s="22"/>
      <c r="AP501" s="22"/>
      <c r="AQ501" s="22"/>
      <c r="AR501" s="35"/>
      <c r="AS501" s="35"/>
      <c r="AT501" s="35"/>
      <c r="AU501" s="31"/>
      <c r="AV501" s="36"/>
    </row>
    <row r="502" spans="1:48">
      <c r="A502" s="41"/>
      <c r="D502" s="31"/>
      <c r="E502" s="31"/>
      <c r="F502" s="31"/>
      <c r="G502" s="31"/>
      <c r="H502" s="32"/>
      <c r="J502" s="33"/>
      <c r="K502" s="33"/>
      <c r="L502" s="33"/>
      <c r="X502" s="22"/>
      <c r="Y502" s="22"/>
      <c r="Z502" s="22"/>
      <c r="AA502" s="22"/>
      <c r="AF502" s="22"/>
      <c r="AG502" s="22"/>
      <c r="AH502" s="22"/>
      <c r="AI502" s="22"/>
      <c r="AN502" s="22"/>
      <c r="AO502" s="22"/>
      <c r="AP502" s="22"/>
      <c r="AQ502" s="22"/>
      <c r="AR502" s="35"/>
      <c r="AS502" s="35"/>
      <c r="AT502" s="35"/>
      <c r="AU502" s="31"/>
      <c r="AV502" s="36"/>
    </row>
    <row r="503" spans="1:48">
      <c r="A503" s="41"/>
      <c r="D503" s="31"/>
      <c r="E503" s="31"/>
      <c r="F503" s="31"/>
      <c r="G503" s="31"/>
      <c r="H503" s="32"/>
      <c r="J503" s="33"/>
      <c r="K503" s="33"/>
      <c r="L503" s="33"/>
      <c r="X503" s="22"/>
      <c r="Y503" s="22"/>
      <c r="Z503" s="22"/>
      <c r="AA503" s="22"/>
      <c r="AF503" s="22"/>
      <c r="AG503" s="22"/>
      <c r="AH503" s="22"/>
      <c r="AI503" s="22"/>
      <c r="AN503" s="22"/>
      <c r="AO503" s="22"/>
      <c r="AP503" s="22"/>
      <c r="AQ503" s="22"/>
      <c r="AR503" s="35"/>
      <c r="AS503" s="35"/>
      <c r="AT503" s="35"/>
      <c r="AU503" s="31"/>
      <c r="AV503" s="36"/>
    </row>
    <row r="504" spans="1:48">
      <c r="A504" s="41"/>
      <c r="D504" s="31"/>
      <c r="E504" s="31"/>
      <c r="F504" s="31"/>
      <c r="G504" s="31"/>
      <c r="H504" s="32"/>
      <c r="J504" s="33"/>
      <c r="K504" s="33"/>
      <c r="L504" s="33"/>
      <c r="X504" s="22"/>
      <c r="Y504" s="22"/>
      <c r="Z504" s="22"/>
      <c r="AA504" s="22"/>
      <c r="AF504" s="22"/>
      <c r="AG504" s="22"/>
      <c r="AH504" s="22"/>
      <c r="AI504" s="22"/>
      <c r="AN504" s="22"/>
      <c r="AO504" s="22"/>
      <c r="AP504" s="22"/>
      <c r="AQ504" s="22"/>
      <c r="AR504" s="35"/>
      <c r="AS504" s="35"/>
      <c r="AT504" s="35"/>
      <c r="AU504" s="31"/>
      <c r="AV504" s="36"/>
    </row>
    <row r="505" spans="1:48">
      <c r="A505" s="41"/>
      <c r="D505" s="31"/>
      <c r="E505" s="31"/>
      <c r="F505" s="31"/>
      <c r="G505" s="31"/>
      <c r="H505" s="32"/>
      <c r="J505" s="33"/>
      <c r="K505" s="33"/>
      <c r="L505" s="33"/>
      <c r="X505" s="22"/>
      <c r="Y505" s="22"/>
      <c r="Z505" s="22"/>
      <c r="AA505" s="22"/>
      <c r="AF505" s="22"/>
      <c r="AG505" s="22"/>
      <c r="AH505" s="22"/>
      <c r="AI505" s="22"/>
      <c r="AN505" s="22"/>
      <c r="AO505" s="22"/>
      <c r="AP505" s="22"/>
      <c r="AQ505" s="22"/>
      <c r="AR505" s="35"/>
      <c r="AS505" s="35"/>
      <c r="AT505" s="35"/>
      <c r="AU505" s="31"/>
      <c r="AV505" s="36"/>
    </row>
    <row r="506" spans="1:48">
      <c r="A506" s="41"/>
      <c r="D506" s="31"/>
      <c r="E506" s="31"/>
      <c r="F506" s="31"/>
      <c r="G506" s="31"/>
      <c r="H506" s="32"/>
      <c r="J506" s="33"/>
      <c r="K506" s="33"/>
      <c r="L506" s="33"/>
      <c r="X506" s="22"/>
      <c r="Y506" s="22"/>
      <c r="Z506" s="22"/>
      <c r="AA506" s="22"/>
      <c r="AF506" s="22"/>
      <c r="AG506" s="22"/>
      <c r="AH506" s="22"/>
      <c r="AI506" s="22"/>
      <c r="AN506" s="22"/>
      <c r="AO506" s="22"/>
      <c r="AP506" s="22"/>
      <c r="AQ506" s="22"/>
      <c r="AR506" s="35"/>
      <c r="AS506" s="35"/>
      <c r="AT506" s="35"/>
      <c r="AU506" s="31"/>
      <c r="AV506" s="36"/>
    </row>
    <row r="507" spans="1:48">
      <c r="A507" s="41"/>
      <c r="D507" s="31"/>
      <c r="E507" s="31"/>
      <c r="F507" s="31"/>
      <c r="G507" s="31"/>
      <c r="H507" s="32"/>
      <c r="J507" s="33"/>
      <c r="K507" s="33"/>
      <c r="L507" s="33"/>
      <c r="X507" s="22"/>
      <c r="Y507" s="22"/>
      <c r="Z507" s="22"/>
      <c r="AA507" s="22"/>
      <c r="AF507" s="22"/>
      <c r="AG507" s="22"/>
      <c r="AH507" s="22"/>
      <c r="AI507" s="22"/>
      <c r="AN507" s="22"/>
      <c r="AO507" s="22"/>
      <c r="AP507" s="22"/>
      <c r="AQ507" s="22"/>
      <c r="AR507" s="35"/>
      <c r="AS507" s="35"/>
      <c r="AT507" s="35"/>
      <c r="AU507" s="31"/>
      <c r="AV507" s="36"/>
    </row>
    <row r="508" spans="1:48">
      <c r="A508" s="41"/>
      <c r="D508" s="31"/>
      <c r="E508" s="31"/>
      <c r="F508" s="31"/>
      <c r="G508" s="31"/>
      <c r="H508" s="32"/>
      <c r="J508" s="33"/>
      <c r="K508" s="33"/>
      <c r="L508" s="33"/>
      <c r="X508" s="22"/>
      <c r="Y508" s="22"/>
      <c r="Z508" s="22"/>
      <c r="AA508" s="22"/>
      <c r="AF508" s="22"/>
      <c r="AG508" s="22"/>
      <c r="AH508" s="22"/>
      <c r="AI508" s="22"/>
      <c r="AN508" s="22"/>
      <c r="AO508" s="22"/>
      <c r="AP508" s="22"/>
      <c r="AQ508" s="22"/>
      <c r="AR508" s="35"/>
      <c r="AS508" s="35"/>
      <c r="AT508" s="35"/>
      <c r="AU508" s="31"/>
      <c r="AV508" s="36"/>
    </row>
    <row r="509" spans="1:48">
      <c r="A509" s="41"/>
      <c r="D509" s="31"/>
      <c r="E509" s="31"/>
      <c r="F509" s="31"/>
      <c r="G509" s="31"/>
      <c r="H509" s="32"/>
      <c r="J509" s="33"/>
      <c r="K509" s="33"/>
      <c r="L509" s="33"/>
      <c r="X509" s="22"/>
      <c r="Y509" s="22"/>
      <c r="Z509" s="22"/>
      <c r="AA509" s="22"/>
      <c r="AF509" s="22"/>
      <c r="AG509" s="22"/>
      <c r="AH509" s="22"/>
      <c r="AI509" s="22"/>
      <c r="AN509" s="22"/>
      <c r="AO509" s="22"/>
      <c r="AP509" s="22"/>
      <c r="AQ509" s="22"/>
      <c r="AR509" s="35"/>
      <c r="AS509" s="35"/>
      <c r="AT509" s="35"/>
      <c r="AU509" s="31"/>
      <c r="AV509" s="36"/>
    </row>
    <row r="510" spans="1:48">
      <c r="A510" s="41"/>
      <c r="D510" s="31"/>
      <c r="E510" s="31"/>
      <c r="F510" s="31"/>
      <c r="G510" s="31"/>
      <c r="H510" s="32"/>
      <c r="J510" s="33"/>
      <c r="K510" s="33"/>
      <c r="L510" s="33"/>
      <c r="X510" s="22"/>
      <c r="Y510" s="22"/>
      <c r="Z510" s="22"/>
      <c r="AA510" s="22"/>
      <c r="AF510" s="22"/>
      <c r="AG510" s="22"/>
      <c r="AH510" s="22"/>
      <c r="AI510" s="22"/>
      <c r="AN510" s="22"/>
      <c r="AO510" s="22"/>
      <c r="AP510" s="22"/>
      <c r="AQ510" s="22"/>
      <c r="AR510" s="35"/>
      <c r="AS510" s="35"/>
      <c r="AT510" s="35"/>
      <c r="AU510" s="31"/>
      <c r="AV510" s="36"/>
    </row>
    <row r="511" spans="1:48">
      <c r="A511" s="41"/>
      <c r="D511" s="31"/>
      <c r="E511" s="31"/>
      <c r="F511" s="31"/>
      <c r="G511" s="31"/>
      <c r="H511" s="32"/>
      <c r="J511" s="33"/>
      <c r="K511" s="33"/>
      <c r="L511" s="33"/>
      <c r="X511" s="22"/>
      <c r="Y511" s="22"/>
      <c r="Z511" s="22"/>
      <c r="AA511" s="22"/>
      <c r="AF511" s="22"/>
      <c r="AG511" s="22"/>
      <c r="AH511" s="22"/>
      <c r="AI511" s="22"/>
      <c r="AN511" s="22"/>
      <c r="AO511" s="22"/>
      <c r="AP511" s="22"/>
      <c r="AQ511" s="22"/>
      <c r="AR511" s="35"/>
      <c r="AS511" s="35"/>
      <c r="AT511" s="35"/>
      <c r="AU511" s="31"/>
      <c r="AV511" s="36"/>
    </row>
    <row r="512" spans="1:48">
      <c r="A512" s="41"/>
      <c r="D512" s="31"/>
      <c r="E512" s="31"/>
      <c r="F512" s="31"/>
      <c r="G512" s="31"/>
      <c r="H512" s="32"/>
      <c r="J512" s="33"/>
      <c r="K512" s="33"/>
      <c r="L512" s="33"/>
      <c r="X512" s="22"/>
      <c r="Y512" s="22"/>
      <c r="Z512" s="22"/>
      <c r="AA512" s="22"/>
      <c r="AF512" s="22"/>
      <c r="AG512" s="22"/>
      <c r="AH512" s="22"/>
      <c r="AI512" s="22"/>
      <c r="AN512" s="22"/>
      <c r="AO512" s="22"/>
      <c r="AP512" s="22"/>
      <c r="AQ512" s="22"/>
      <c r="AR512" s="35"/>
      <c r="AS512" s="35"/>
      <c r="AT512" s="35"/>
      <c r="AU512" s="31"/>
      <c r="AV512" s="36"/>
    </row>
    <row r="513" spans="1:48">
      <c r="A513" s="41"/>
      <c r="D513" s="31"/>
      <c r="E513" s="31"/>
      <c r="F513" s="31"/>
      <c r="G513" s="31"/>
      <c r="H513" s="32"/>
      <c r="J513" s="33"/>
      <c r="K513" s="33"/>
      <c r="L513" s="33"/>
      <c r="X513" s="22"/>
      <c r="Y513" s="22"/>
      <c r="Z513" s="22"/>
      <c r="AA513" s="22"/>
      <c r="AF513" s="22"/>
      <c r="AG513" s="22"/>
      <c r="AH513" s="22"/>
      <c r="AI513" s="22"/>
      <c r="AN513" s="22"/>
      <c r="AO513" s="22"/>
      <c r="AP513" s="22"/>
      <c r="AQ513" s="22"/>
      <c r="AR513" s="35"/>
      <c r="AS513" s="35"/>
      <c r="AT513" s="35"/>
      <c r="AU513" s="31"/>
      <c r="AV513" s="36"/>
    </row>
    <row r="514" spans="1:48">
      <c r="A514" s="41"/>
      <c r="D514" s="31"/>
      <c r="E514" s="31"/>
      <c r="F514" s="31"/>
      <c r="G514" s="31"/>
      <c r="H514" s="32"/>
      <c r="J514" s="33"/>
      <c r="K514" s="33"/>
      <c r="L514" s="33"/>
      <c r="X514" s="22"/>
      <c r="Y514" s="22"/>
      <c r="Z514" s="22"/>
      <c r="AA514" s="22"/>
      <c r="AF514" s="22"/>
      <c r="AG514" s="22"/>
      <c r="AH514" s="22"/>
      <c r="AI514" s="22"/>
      <c r="AN514" s="22"/>
      <c r="AO514" s="22"/>
      <c r="AP514" s="22"/>
      <c r="AQ514" s="22"/>
      <c r="AR514" s="35"/>
      <c r="AS514" s="35"/>
      <c r="AT514" s="35"/>
      <c r="AU514" s="31"/>
      <c r="AV514" s="36"/>
    </row>
    <row r="515" spans="1:48">
      <c r="A515" s="41"/>
      <c r="D515" s="31"/>
      <c r="E515" s="31"/>
      <c r="F515" s="31"/>
      <c r="G515" s="31"/>
      <c r="H515" s="32"/>
      <c r="J515" s="33"/>
      <c r="K515" s="33"/>
      <c r="L515" s="33"/>
      <c r="X515" s="22"/>
      <c r="Y515" s="22"/>
      <c r="Z515" s="22"/>
      <c r="AA515" s="22"/>
      <c r="AF515" s="22"/>
      <c r="AG515" s="22"/>
      <c r="AH515" s="22"/>
      <c r="AI515" s="22"/>
      <c r="AN515" s="22"/>
      <c r="AO515" s="22"/>
      <c r="AP515" s="22"/>
      <c r="AQ515" s="22"/>
      <c r="AR515" s="35"/>
      <c r="AS515" s="35"/>
      <c r="AT515" s="35"/>
      <c r="AU515" s="31"/>
      <c r="AV515" s="36"/>
    </row>
    <row r="516" spans="1:48">
      <c r="A516" s="41"/>
      <c r="D516" s="31"/>
      <c r="E516" s="31"/>
      <c r="F516" s="31"/>
      <c r="G516" s="31"/>
      <c r="H516" s="32"/>
      <c r="J516" s="33"/>
      <c r="K516" s="33"/>
      <c r="L516" s="33"/>
      <c r="X516" s="22"/>
      <c r="Y516" s="22"/>
      <c r="Z516" s="22"/>
      <c r="AA516" s="22"/>
      <c r="AF516" s="22"/>
      <c r="AG516" s="22"/>
      <c r="AH516" s="22"/>
      <c r="AI516" s="22"/>
      <c r="AN516" s="22"/>
      <c r="AO516" s="22"/>
      <c r="AP516" s="22"/>
      <c r="AQ516" s="22"/>
      <c r="AR516" s="35"/>
      <c r="AS516" s="35"/>
      <c r="AT516" s="35"/>
      <c r="AU516" s="31"/>
      <c r="AV516" s="36"/>
    </row>
    <row r="517" spans="1:48">
      <c r="A517" s="41"/>
      <c r="D517" s="31"/>
      <c r="E517" s="31"/>
      <c r="F517" s="31"/>
      <c r="G517" s="31"/>
      <c r="H517" s="32"/>
      <c r="J517" s="33"/>
      <c r="K517" s="33"/>
      <c r="L517" s="33"/>
      <c r="X517" s="22"/>
      <c r="Y517" s="22"/>
      <c r="Z517" s="22"/>
      <c r="AA517" s="22"/>
      <c r="AF517" s="22"/>
      <c r="AG517" s="22"/>
      <c r="AH517" s="22"/>
      <c r="AI517" s="22"/>
      <c r="AN517" s="22"/>
      <c r="AO517" s="22"/>
      <c r="AP517" s="22"/>
      <c r="AQ517" s="22"/>
      <c r="AR517" s="35"/>
      <c r="AS517" s="35"/>
      <c r="AT517" s="35"/>
      <c r="AU517" s="31"/>
      <c r="AV517" s="36"/>
    </row>
    <row r="518" spans="1:48">
      <c r="A518" s="41"/>
      <c r="D518" s="31"/>
      <c r="E518" s="31"/>
      <c r="F518" s="31"/>
      <c r="G518" s="31"/>
      <c r="H518" s="32"/>
      <c r="J518" s="33"/>
      <c r="K518" s="33"/>
      <c r="L518" s="33"/>
      <c r="X518" s="22"/>
      <c r="Y518" s="22"/>
      <c r="Z518" s="22"/>
      <c r="AA518" s="22"/>
      <c r="AF518" s="22"/>
      <c r="AG518" s="22"/>
      <c r="AH518" s="22"/>
      <c r="AI518" s="22"/>
      <c r="AN518" s="22"/>
      <c r="AO518" s="22"/>
      <c r="AP518" s="22"/>
      <c r="AQ518" s="22"/>
      <c r="AR518" s="35"/>
      <c r="AS518" s="35"/>
      <c r="AT518" s="35"/>
      <c r="AU518" s="31"/>
      <c r="AV518" s="36"/>
    </row>
    <row r="519" spans="1:48">
      <c r="A519" s="41"/>
      <c r="D519" s="31"/>
      <c r="E519" s="31"/>
      <c r="F519" s="31"/>
      <c r="G519" s="31"/>
      <c r="H519" s="32"/>
      <c r="J519" s="33"/>
      <c r="K519" s="33"/>
      <c r="L519" s="33"/>
      <c r="X519" s="22"/>
      <c r="Y519" s="22"/>
      <c r="Z519" s="22"/>
      <c r="AA519" s="22"/>
      <c r="AF519" s="22"/>
      <c r="AG519" s="22"/>
      <c r="AH519" s="22"/>
      <c r="AI519" s="22"/>
      <c r="AN519" s="22"/>
      <c r="AO519" s="22"/>
      <c r="AP519" s="22"/>
      <c r="AQ519" s="22"/>
      <c r="AR519" s="35"/>
      <c r="AS519" s="35"/>
      <c r="AT519" s="35"/>
      <c r="AU519" s="31"/>
      <c r="AV519" s="36"/>
    </row>
    <row r="520" spans="1:48">
      <c r="A520" s="41"/>
      <c r="D520" s="31"/>
      <c r="E520" s="31"/>
      <c r="F520" s="31"/>
      <c r="G520" s="31"/>
      <c r="H520" s="32"/>
      <c r="J520" s="33"/>
      <c r="K520" s="33"/>
      <c r="L520" s="33"/>
      <c r="X520" s="22"/>
      <c r="Y520" s="22"/>
      <c r="Z520" s="22"/>
      <c r="AA520" s="22"/>
      <c r="AF520" s="22"/>
      <c r="AG520" s="22"/>
      <c r="AH520" s="22"/>
      <c r="AI520" s="22"/>
      <c r="AN520" s="22"/>
      <c r="AO520" s="22"/>
      <c r="AP520" s="22"/>
      <c r="AQ520" s="22"/>
      <c r="AR520" s="35"/>
      <c r="AS520" s="35"/>
      <c r="AT520" s="35"/>
      <c r="AU520" s="31"/>
      <c r="AV520" s="36"/>
    </row>
    <row r="521" spans="1:48">
      <c r="A521" s="41"/>
      <c r="D521" s="31"/>
      <c r="E521" s="31"/>
      <c r="F521" s="31"/>
      <c r="G521" s="31"/>
      <c r="H521" s="32"/>
      <c r="J521" s="33"/>
      <c r="K521" s="33"/>
      <c r="L521" s="33"/>
      <c r="X521" s="22"/>
      <c r="Y521" s="22"/>
      <c r="Z521" s="22"/>
      <c r="AA521" s="22"/>
      <c r="AF521" s="22"/>
      <c r="AG521" s="22"/>
      <c r="AH521" s="22"/>
      <c r="AI521" s="22"/>
      <c r="AN521" s="22"/>
      <c r="AO521" s="22"/>
      <c r="AP521" s="22"/>
      <c r="AQ521" s="22"/>
      <c r="AR521" s="35"/>
      <c r="AS521" s="35"/>
      <c r="AT521" s="35"/>
      <c r="AU521" s="31"/>
      <c r="AV521" s="36"/>
    </row>
    <row r="522" spans="1:48">
      <c r="A522" s="41"/>
      <c r="D522" s="31"/>
      <c r="E522" s="31"/>
      <c r="F522" s="31"/>
      <c r="G522" s="31"/>
      <c r="H522" s="32"/>
      <c r="J522" s="33"/>
      <c r="K522" s="33"/>
      <c r="L522" s="33"/>
      <c r="X522" s="22"/>
      <c r="Y522" s="22"/>
      <c r="Z522" s="22"/>
      <c r="AA522" s="22"/>
      <c r="AF522" s="22"/>
      <c r="AG522" s="22"/>
      <c r="AH522" s="22"/>
      <c r="AI522" s="22"/>
      <c r="AN522" s="22"/>
      <c r="AO522" s="22"/>
      <c r="AP522" s="22"/>
      <c r="AQ522" s="22"/>
      <c r="AR522" s="35"/>
      <c r="AS522" s="35"/>
      <c r="AT522" s="35"/>
      <c r="AU522" s="31"/>
      <c r="AV522" s="36"/>
    </row>
    <row r="523" spans="1:48">
      <c r="A523" s="41"/>
      <c r="D523" s="31"/>
      <c r="E523" s="31"/>
      <c r="F523" s="31"/>
      <c r="G523" s="31"/>
      <c r="H523" s="32"/>
      <c r="J523" s="33"/>
      <c r="K523" s="33"/>
      <c r="L523" s="33"/>
      <c r="X523" s="22"/>
      <c r="Y523" s="22"/>
      <c r="Z523" s="22"/>
      <c r="AA523" s="22"/>
      <c r="AF523" s="22"/>
      <c r="AG523" s="22"/>
      <c r="AH523" s="22"/>
      <c r="AI523" s="22"/>
      <c r="AN523" s="22"/>
      <c r="AO523" s="22"/>
      <c r="AP523" s="22"/>
      <c r="AQ523" s="22"/>
      <c r="AR523" s="35"/>
      <c r="AS523" s="35"/>
      <c r="AT523" s="35"/>
      <c r="AU523" s="31"/>
      <c r="AV523" s="36"/>
    </row>
    <row r="524" spans="1:48">
      <c r="A524" s="41"/>
      <c r="D524" s="31"/>
      <c r="E524" s="31"/>
      <c r="F524" s="31"/>
      <c r="G524" s="31"/>
      <c r="H524" s="32"/>
      <c r="J524" s="33"/>
      <c r="K524" s="33"/>
      <c r="L524" s="33"/>
      <c r="X524" s="22"/>
      <c r="Y524" s="22"/>
      <c r="Z524" s="22"/>
      <c r="AA524" s="22"/>
      <c r="AF524" s="22"/>
      <c r="AG524" s="22"/>
      <c r="AH524" s="22"/>
      <c r="AI524" s="22"/>
      <c r="AN524" s="22"/>
      <c r="AO524" s="22"/>
      <c r="AP524" s="22"/>
      <c r="AQ524" s="22"/>
      <c r="AR524" s="35"/>
      <c r="AS524" s="35"/>
      <c r="AT524" s="35"/>
      <c r="AU524" s="31"/>
      <c r="AV524" s="36"/>
    </row>
    <row r="525" spans="1:48">
      <c r="A525" s="41"/>
      <c r="D525" s="31"/>
      <c r="E525" s="31"/>
      <c r="F525" s="31"/>
      <c r="G525" s="31"/>
      <c r="H525" s="32"/>
      <c r="J525" s="33"/>
      <c r="K525" s="33"/>
      <c r="L525" s="33"/>
      <c r="X525" s="22"/>
      <c r="Y525" s="22"/>
      <c r="Z525" s="22"/>
      <c r="AA525" s="22"/>
      <c r="AF525" s="22"/>
      <c r="AG525" s="22"/>
      <c r="AH525" s="22"/>
      <c r="AI525" s="22"/>
      <c r="AN525" s="22"/>
      <c r="AO525" s="22"/>
      <c r="AP525" s="22"/>
      <c r="AQ525" s="22"/>
      <c r="AR525" s="35"/>
      <c r="AS525" s="35"/>
      <c r="AT525" s="35"/>
      <c r="AU525" s="31"/>
      <c r="AV525" s="36"/>
    </row>
    <row r="526" spans="1:48">
      <c r="A526" s="41"/>
      <c r="D526" s="31"/>
      <c r="E526" s="31"/>
      <c r="F526" s="31"/>
      <c r="G526" s="31"/>
      <c r="H526" s="32"/>
      <c r="J526" s="33"/>
      <c r="K526" s="33"/>
      <c r="L526" s="33"/>
      <c r="X526" s="22"/>
      <c r="Y526" s="22"/>
      <c r="Z526" s="22"/>
      <c r="AA526" s="22"/>
      <c r="AF526" s="22"/>
      <c r="AG526" s="22"/>
      <c r="AH526" s="22"/>
      <c r="AI526" s="22"/>
      <c r="AN526" s="22"/>
      <c r="AO526" s="22"/>
      <c r="AP526" s="22"/>
      <c r="AQ526" s="22"/>
      <c r="AR526" s="35"/>
      <c r="AS526" s="35"/>
      <c r="AT526" s="35"/>
      <c r="AU526" s="31"/>
      <c r="AV526" s="36"/>
    </row>
    <row r="527" spans="1:48">
      <c r="A527" s="41"/>
      <c r="D527" s="31"/>
      <c r="E527" s="31"/>
      <c r="F527" s="31"/>
      <c r="G527" s="31"/>
      <c r="H527" s="32"/>
      <c r="J527" s="33"/>
      <c r="K527" s="33"/>
      <c r="L527" s="33"/>
      <c r="X527" s="22"/>
      <c r="Y527" s="22"/>
      <c r="Z527" s="22"/>
      <c r="AA527" s="22"/>
      <c r="AF527" s="22"/>
      <c r="AG527" s="22"/>
      <c r="AH527" s="22"/>
      <c r="AI527" s="22"/>
      <c r="AN527" s="22"/>
      <c r="AO527" s="22"/>
      <c r="AP527" s="22"/>
      <c r="AQ527" s="22"/>
      <c r="AR527" s="35"/>
      <c r="AS527" s="35"/>
      <c r="AT527" s="35"/>
      <c r="AU527" s="31"/>
      <c r="AV527" s="36"/>
    </row>
    <row r="528" spans="1:48">
      <c r="A528" s="41"/>
      <c r="D528" s="31"/>
      <c r="E528" s="31"/>
      <c r="F528" s="31"/>
      <c r="G528" s="31"/>
      <c r="H528" s="32"/>
      <c r="J528" s="33"/>
      <c r="K528" s="33"/>
      <c r="L528" s="33"/>
      <c r="X528" s="22"/>
      <c r="Y528" s="22"/>
      <c r="Z528" s="22"/>
      <c r="AA528" s="22"/>
      <c r="AF528" s="22"/>
      <c r="AG528" s="22"/>
      <c r="AH528" s="22"/>
      <c r="AI528" s="22"/>
      <c r="AN528" s="22"/>
      <c r="AO528" s="22"/>
      <c r="AP528" s="22"/>
      <c r="AQ528" s="22"/>
      <c r="AR528" s="35"/>
      <c r="AS528" s="35"/>
      <c r="AT528" s="35"/>
      <c r="AU528" s="31"/>
      <c r="AV528" s="36"/>
    </row>
    <row r="529" spans="1:48">
      <c r="A529" s="41"/>
      <c r="D529" s="31"/>
      <c r="E529" s="31"/>
      <c r="F529" s="31"/>
      <c r="G529" s="31"/>
      <c r="H529" s="32"/>
      <c r="J529" s="33"/>
      <c r="K529" s="33"/>
      <c r="L529" s="33"/>
      <c r="X529" s="22"/>
      <c r="Y529" s="22"/>
      <c r="Z529" s="22"/>
      <c r="AA529" s="22"/>
      <c r="AF529" s="22"/>
      <c r="AG529" s="22"/>
      <c r="AH529" s="22"/>
      <c r="AI529" s="22"/>
      <c r="AN529" s="22"/>
      <c r="AO529" s="22"/>
      <c r="AP529" s="22"/>
      <c r="AQ529" s="22"/>
      <c r="AR529" s="35"/>
      <c r="AS529" s="35"/>
      <c r="AT529" s="35"/>
      <c r="AU529" s="31"/>
      <c r="AV529" s="36"/>
    </row>
    <row r="530" spans="1:48">
      <c r="A530" s="41"/>
      <c r="D530" s="31"/>
      <c r="E530" s="31"/>
      <c r="F530" s="31"/>
      <c r="G530" s="31"/>
      <c r="H530" s="32"/>
      <c r="J530" s="33"/>
      <c r="K530" s="33"/>
      <c r="L530" s="33"/>
      <c r="X530" s="22"/>
      <c r="Y530" s="22"/>
      <c r="Z530" s="22"/>
      <c r="AA530" s="22"/>
      <c r="AF530" s="22"/>
      <c r="AG530" s="22"/>
      <c r="AH530" s="22"/>
      <c r="AI530" s="22"/>
      <c r="AN530" s="22"/>
      <c r="AO530" s="22"/>
      <c r="AP530" s="22"/>
      <c r="AQ530" s="22"/>
      <c r="AR530" s="35"/>
      <c r="AS530" s="35"/>
      <c r="AT530" s="35"/>
      <c r="AU530" s="31"/>
      <c r="AV530" s="36"/>
    </row>
    <row r="531" spans="1:48">
      <c r="A531" s="41"/>
      <c r="D531" s="31"/>
      <c r="E531" s="31"/>
      <c r="F531" s="31"/>
      <c r="G531" s="31"/>
      <c r="H531" s="32"/>
      <c r="J531" s="33"/>
      <c r="K531" s="33"/>
      <c r="L531" s="33"/>
      <c r="X531" s="22"/>
      <c r="Y531" s="22"/>
      <c r="Z531" s="22"/>
      <c r="AA531" s="22"/>
      <c r="AF531" s="22"/>
      <c r="AG531" s="22"/>
      <c r="AH531" s="22"/>
      <c r="AI531" s="22"/>
      <c r="AN531" s="22"/>
      <c r="AO531" s="22"/>
      <c r="AP531" s="22"/>
      <c r="AQ531" s="22"/>
      <c r="AR531" s="35"/>
      <c r="AS531" s="35"/>
      <c r="AT531" s="35"/>
      <c r="AU531" s="31"/>
      <c r="AV531" s="36"/>
    </row>
    <row r="532" spans="1:48">
      <c r="A532" s="41"/>
      <c r="D532" s="31"/>
      <c r="E532" s="31"/>
      <c r="F532" s="31"/>
      <c r="G532" s="31"/>
      <c r="H532" s="32"/>
      <c r="J532" s="33"/>
      <c r="K532" s="33"/>
      <c r="L532" s="33"/>
      <c r="X532" s="22"/>
      <c r="Y532" s="22"/>
      <c r="Z532" s="22"/>
      <c r="AA532" s="22"/>
      <c r="AF532" s="22"/>
      <c r="AG532" s="22"/>
      <c r="AH532" s="22"/>
      <c r="AI532" s="22"/>
      <c r="AN532" s="22"/>
      <c r="AO532" s="22"/>
      <c r="AP532" s="22"/>
      <c r="AQ532" s="22"/>
      <c r="AR532" s="35"/>
      <c r="AS532" s="35"/>
      <c r="AT532" s="35"/>
      <c r="AU532" s="31"/>
      <c r="AV532" s="36"/>
    </row>
    <row r="533" spans="1:48">
      <c r="A533" s="41"/>
      <c r="D533" s="31"/>
      <c r="E533" s="31"/>
      <c r="F533" s="31"/>
      <c r="G533" s="31"/>
      <c r="H533" s="32"/>
      <c r="J533" s="33"/>
      <c r="K533" s="33"/>
      <c r="L533" s="33"/>
      <c r="X533" s="22"/>
      <c r="Y533" s="22"/>
      <c r="Z533" s="22"/>
      <c r="AA533" s="22"/>
      <c r="AF533" s="22"/>
      <c r="AG533" s="22"/>
      <c r="AH533" s="22"/>
      <c r="AI533" s="22"/>
      <c r="AN533" s="22"/>
      <c r="AO533" s="22"/>
      <c r="AP533" s="22"/>
      <c r="AQ533" s="22"/>
      <c r="AR533" s="35"/>
      <c r="AS533" s="35"/>
      <c r="AT533" s="35"/>
      <c r="AU533" s="31"/>
      <c r="AV533" s="36"/>
    </row>
    <row r="534" spans="1:48">
      <c r="A534" s="41"/>
      <c r="D534" s="31"/>
      <c r="E534" s="31"/>
      <c r="F534" s="31"/>
      <c r="G534" s="31"/>
      <c r="H534" s="32"/>
      <c r="J534" s="33"/>
      <c r="K534" s="33"/>
      <c r="L534" s="33"/>
      <c r="X534" s="22"/>
      <c r="Y534" s="22"/>
      <c r="Z534" s="22"/>
      <c r="AA534" s="22"/>
      <c r="AF534" s="22"/>
      <c r="AG534" s="22"/>
      <c r="AH534" s="22"/>
      <c r="AI534" s="22"/>
      <c r="AN534" s="22"/>
      <c r="AO534" s="22"/>
      <c r="AP534" s="22"/>
      <c r="AQ534" s="22"/>
      <c r="AR534" s="35"/>
      <c r="AS534" s="35"/>
      <c r="AT534" s="35"/>
      <c r="AU534" s="31"/>
      <c r="AV534" s="36"/>
    </row>
    <row r="535" spans="1:48">
      <c r="A535" s="41"/>
      <c r="D535" s="31"/>
      <c r="E535" s="31"/>
      <c r="F535" s="31"/>
      <c r="G535" s="31"/>
      <c r="H535" s="32"/>
      <c r="J535" s="33"/>
      <c r="K535" s="33"/>
      <c r="L535" s="33"/>
      <c r="X535" s="22"/>
      <c r="Y535" s="22"/>
      <c r="Z535" s="22"/>
      <c r="AA535" s="22"/>
      <c r="AF535" s="22"/>
      <c r="AG535" s="22"/>
      <c r="AH535" s="22"/>
      <c r="AI535" s="22"/>
      <c r="AN535" s="22"/>
      <c r="AO535" s="22"/>
      <c r="AP535" s="22"/>
      <c r="AQ535" s="22"/>
      <c r="AR535" s="35"/>
      <c r="AS535" s="35"/>
      <c r="AT535" s="35"/>
      <c r="AU535" s="31"/>
      <c r="AV535" s="36"/>
    </row>
    <row r="536" spans="1:48">
      <c r="A536" s="41"/>
      <c r="D536" s="31"/>
      <c r="E536" s="31"/>
      <c r="F536" s="31"/>
      <c r="G536" s="31"/>
      <c r="H536" s="32"/>
      <c r="J536" s="33"/>
      <c r="K536" s="33"/>
      <c r="L536" s="33"/>
      <c r="X536" s="22"/>
      <c r="Y536" s="22"/>
      <c r="Z536" s="22"/>
      <c r="AA536" s="22"/>
      <c r="AF536" s="22"/>
      <c r="AG536" s="22"/>
      <c r="AH536" s="22"/>
      <c r="AI536" s="22"/>
      <c r="AN536" s="22"/>
      <c r="AO536" s="22"/>
      <c r="AP536" s="22"/>
      <c r="AQ536" s="22"/>
      <c r="AR536" s="35"/>
      <c r="AS536" s="35"/>
      <c r="AT536" s="35"/>
      <c r="AU536" s="31"/>
      <c r="AV536" s="36"/>
    </row>
    <row r="537" spans="1:48">
      <c r="A537" s="41"/>
      <c r="D537" s="31"/>
      <c r="E537" s="31"/>
      <c r="F537" s="31"/>
      <c r="G537" s="31"/>
      <c r="H537" s="32"/>
      <c r="J537" s="33"/>
      <c r="K537" s="33"/>
      <c r="L537" s="33"/>
      <c r="X537" s="22"/>
      <c r="Y537" s="22"/>
      <c r="Z537" s="22"/>
      <c r="AA537" s="22"/>
      <c r="AF537" s="22"/>
      <c r="AG537" s="22"/>
      <c r="AH537" s="22"/>
      <c r="AI537" s="22"/>
      <c r="AN537" s="22"/>
      <c r="AO537" s="22"/>
      <c r="AP537" s="22"/>
      <c r="AQ537" s="22"/>
      <c r="AR537" s="35"/>
      <c r="AS537" s="35"/>
      <c r="AT537" s="35"/>
      <c r="AU537" s="31"/>
      <c r="AV537" s="36"/>
    </row>
    <row r="538" spans="1:48">
      <c r="A538" s="41"/>
      <c r="D538" s="31"/>
      <c r="E538" s="31"/>
      <c r="F538" s="31"/>
      <c r="G538" s="31"/>
      <c r="H538" s="32"/>
      <c r="J538" s="33"/>
      <c r="K538" s="33"/>
      <c r="L538" s="33"/>
      <c r="X538" s="22"/>
      <c r="Y538" s="22"/>
      <c r="Z538" s="22"/>
      <c r="AA538" s="22"/>
      <c r="AF538" s="22"/>
      <c r="AG538" s="22"/>
      <c r="AH538" s="22"/>
      <c r="AI538" s="22"/>
      <c r="AN538" s="22"/>
      <c r="AO538" s="22"/>
      <c r="AP538" s="22"/>
      <c r="AQ538" s="22"/>
      <c r="AR538" s="35"/>
      <c r="AS538" s="35"/>
      <c r="AT538" s="35"/>
      <c r="AU538" s="31"/>
      <c r="AV538" s="36"/>
    </row>
    <row r="539" spans="1:48">
      <c r="A539" s="41"/>
      <c r="D539" s="31"/>
      <c r="E539" s="31"/>
      <c r="F539" s="31"/>
      <c r="G539" s="31"/>
      <c r="H539" s="32"/>
      <c r="J539" s="33"/>
      <c r="K539" s="33"/>
      <c r="L539" s="33"/>
      <c r="X539" s="22"/>
      <c r="Y539" s="22"/>
      <c r="Z539" s="22"/>
      <c r="AA539" s="22"/>
      <c r="AF539" s="22"/>
      <c r="AG539" s="22"/>
      <c r="AH539" s="22"/>
      <c r="AI539" s="22"/>
      <c r="AN539" s="22"/>
      <c r="AO539" s="22"/>
      <c r="AP539" s="22"/>
      <c r="AQ539" s="22"/>
      <c r="AR539" s="35"/>
      <c r="AS539" s="35"/>
      <c r="AT539" s="35"/>
      <c r="AU539" s="31"/>
      <c r="AV539" s="36"/>
    </row>
    <row r="540" spans="1:48">
      <c r="A540" s="41"/>
      <c r="D540" s="31"/>
      <c r="E540" s="31"/>
      <c r="F540" s="31"/>
      <c r="G540" s="31"/>
      <c r="H540" s="32"/>
      <c r="J540" s="33"/>
      <c r="K540" s="33"/>
      <c r="L540" s="33"/>
      <c r="X540" s="22"/>
      <c r="Y540" s="22"/>
      <c r="Z540" s="22"/>
      <c r="AA540" s="22"/>
      <c r="AF540" s="22"/>
      <c r="AG540" s="22"/>
      <c r="AH540" s="22"/>
      <c r="AI540" s="22"/>
      <c r="AN540" s="22"/>
      <c r="AO540" s="22"/>
      <c r="AP540" s="22"/>
      <c r="AQ540" s="22"/>
      <c r="AR540" s="35"/>
      <c r="AS540" s="35"/>
      <c r="AT540" s="35"/>
      <c r="AU540" s="31"/>
      <c r="AV540" s="36"/>
    </row>
    <row r="541" spans="1:48">
      <c r="A541" s="41"/>
      <c r="D541" s="31"/>
      <c r="E541" s="31"/>
      <c r="F541" s="31"/>
      <c r="G541" s="31"/>
      <c r="H541" s="32"/>
      <c r="J541" s="33"/>
      <c r="K541" s="33"/>
      <c r="L541" s="33"/>
      <c r="X541" s="22"/>
      <c r="Y541" s="22"/>
      <c r="Z541" s="22"/>
      <c r="AA541" s="22"/>
      <c r="AF541" s="22"/>
      <c r="AG541" s="22"/>
      <c r="AH541" s="22"/>
      <c r="AI541" s="22"/>
      <c r="AN541" s="22"/>
      <c r="AO541" s="22"/>
      <c r="AP541" s="22"/>
      <c r="AQ541" s="22"/>
      <c r="AR541" s="35"/>
      <c r="AS541" s="35"/>
      <c r="AT541" s="35"/>
      <c r="AU541" s="31"/>
      <c r="AV541" s="36"/>
    </row>
    <row r="542" spans="1:48">
      <c r="A542" s="41"/>
      <c r="D542" s="31"/>
      <c r="E542" s="31"/>
      <c r="F542" s="31"/>
      <c r="G542" s="31"/>
      <c r="H542" s="32"/>
      <c r="J542" s="33"/>
      <c r="K542" s="33"/>
      <c r="L542" s="33"/>
      <c r="X542" s="22"/>
      <c r="Y542" s="22"/>
      <c r="Z542" s="22"/>
      <c r="AA542" s="22"/>
      <c r="AF542" s="22"/>
      <c r="AG542" s="22"/>
      <c r="AH542" s="22"/>
      <c r="AI542" s="22"/>
      <c r="AN542" s="22"/>
      <c r="AO542" s="22"/>
      <c r="AP542" s="22"/>
      <c r="AQ542" s="22"/>
      <c r="AR542" s="35"/>
      <c r="AS542" s="35"/>
      <c r="AT542" s="35"/>
      <c r="AU542" s="31"/>
      <c r="AV542" s="36"/>
    </row>
    <row r="543" spans="1:48">
      <c r="A543" s="41"/>
      <c r="D543" s="31"/>
      <c r="E543" s="31"/>
      <c r="F543" s="31"/>
      <c r="G543" s="31"/>
      <c r="H543" s="32"/>
      <c r="J543" s="33"/>
      <c r="K543" s="33"/>
      <c r="L543" s="33"/>
      <c r="X543" s="22"/>
      <c r="Y543" s="22"/>
      <c r="Z543" s="22"/>
      <c r="AA543" s="22"/>
      <c r="AF543" s="22"/>
      <c r="AG543" s="22"/>
      <c r="AH543" s="22"/>
      <c r="AI543" s="22"/>
      <c r="AN543" s="22"/>
      <c r="AO543" s="22"/>
      <c r="AP543" s="22"/>
      <c r="AQ543" s="22"/>
      <c r="AR543" s="35"/>
      <c r="AS543" s="35"/>
      <c r="AT543" s="35"/>
      <c r="AU543" s="31"/>
      <c r="AV543" s="36"/>
    </row>
    <row r="544" spans="1:48">
      <c r="A544" s="41"/>
      <c r="D544" s="31"/>
      <c r="E544" s="31"/>
      <c r="F544" s="31"/>
      <c r="G544" s="31"/>
      <c r="H544" s="32"/>
      <c r="J544" s="33"/>
      <c r="K544" s="33"/>
      <c r="L544" s="33"/>
      <c r="X544" s="22"/>
      <c r="Y544" s="22"/>
      <c r="Z544" s="22"/>
      <c r="AA544" s="22"/>
      <c r="AF544" s="22"/>
      <c r="AG544" s="22"/>
      <c r="AH544" s="22"/>
      <c r="AI544" s="22"/>
      <c r="AN544" s="22"/>
      <c r="AO544" s="22"/>
      <c r="AP544" s="22"/>
      <c r="AQ544" s="22"/>
      <c r="AR544" s="35"/>
      <c r="AS544" s="35"/>
      <c r="AT544" s="35"/>
      <c r="AU544" s="31"/>
      <c r="AV544" s="36"/>
    </row>
    <row r="545" spans="1:48">
      <c r="A545" s="41"/>
      <c r="D545" s="31"/>
      <c r="E545" s="31"/>
      <c r="F545" s="31"/>
      <c r="G545" s="31"/>
      <c r="H545" s="32"/>
      <c r="J545" s="33"/>
      <c r="K545" s="33"/>
      <c r="L545" s="33"/>
      <c r="X545" s="22"/>
      <c r="Y545" s="22"/>
      <c r="Z545" s="22"/>
      <c r="AA545" s="22"/>
      <c r="AF545" s="22"/>
      <c r="AG545" s="22"/>
      <c r="AH545" s="22"/>
      <c r="AI545" s="22"/>
      <c r="AN545" s="22"/>
      <c r="AO545" s="22"/>
      <c r="AP545" s="22"/>
      <c r="AQ545" s="22"/>
      <c r="AR545" s="35"/>
      <c r="AS545" s="35"/>
      <c r="AT545" s="35"/>
      <c r="AU545" s="31"/>
      <c r="AV545" s="36"/>
    </row>
    <row r="546" spans="1:48">
      <c r="A546" s="41"/>
      <c r="D546" s="31"/>
      <c r="E546" s="31"/>
      <c r="F546" s="31"/>
      <c r="G546" s="31"/>
      <c r="H546" s="32"/>
      <c r="J546" s="33"/>
      <c r="K546" s="33"/>
      <c r="L546" s="33"/>
      <c r="X546" s="22"/>
      <c r="Y546" s="22"/>
      <c r="Z546" s="22"/>
      <c r="AA546" s="22"/>
      <c r="AF546" s="22"/>
      <c r="AG546" s="22"/>
      <c r="AH546" s="22"/>
      <c r="AI546" s="22"/>
      <c r="AN546" s="22"/>
      <c r="AO546" s="22"/>
      <c r="AP546" s="22"/>
      <c r="AQ546" s="22"/>
      <c r="AR546" s="35"/>
      <c r="AS546" s="35"/>
      <c r="AT546" s="35"/>
      <c r="AU546" s="31"/>
      <c r="AV546" s="36"/>
    </row>
    <row r="547" spans="1:48">
      <c r="A547" s="41"/>
      <c r="D547" s="31"/>
      <c r="E547" s="31"/>
      <c r="F547" s="31"/>
      <c r="G547" s="31"/>
      <c r="H547" s="32"/>
      <c r="J547" s="33"/>
      <c r="K547" s="33"/>
      <c r="L547" s="33"/>
      <c r="X547" s="22"/>
      <c r="Y547" s="22"/>
      <c r="Z547" s="22"/>
      <c r="AA547" s="22"/>
      <c r="AF547" s="22"/>
      <c r="AG547" s="22"/>
      <c r="AH547" s="22"/>
      <c r="AI547" s="22"/>
      <c r="AN547" s="22"/>
      <c r="AO547" s="22"/>
      <c r="AP547" s="22"/>
      <c r="AQ547" s="22"/>
      <c r="AR547" s="35"/>
      <c r="AS547" s="35"/>
      <c r="AT547" s="35"/>
      <c r="AU547" s="31"/>
      <c r="AV547" s="36"/>
    </row>
    <row r="548" spans="1:48">
      <c r="A548" s="41"/>
      <c r="D548" s="31"/>
      <c r="E548" s="31"/>
      <c r="F548" s="31"/>
      <c r="G548" s="31"/>
      <c r="H548" s="32"/>
      <c r="J548" s="33"/>
      <c r="K548" s="33"/>
      <c r="L548" s="33"/>
      <c r="X548" s="22"/>
      <c r="Y548" s="22"/>
      <c r="Z548" s="22"/>
      <c r="AA548" s="22"/>
      <c r="AF548" s="22"/>
      <c r="AG548" s="22"/>
      <c r="AH548" s="22"/>
      <c r="AI548" s="22"/>
      <c r="AN548" s="22"/>
      <c r="AO548" s="22"/>
      <c r="AP548" s="22"/>
      <c r="AQ548" s="22"/>
      <c r="AR548" s="35"/>
      <c r="AS548" s="35"/>
      <c r="AT548" s="35"/>
      <c r="AU548" s="31"/>
      <c r="AV548" s="36"/>
    </row>
    <row r="549" spans="1:48">
      <c r="A549" s="41"/>
      <c r="D549" s="31"/>
      <c r="E549" s="31"/>
      <c r="F549" s="31"/>
      <c r="G549" s="31"/>
      <c r="H549" s="32"/>
      <c r="J549" s="33"/>
      <c r="K549" s="33"/>
      <c r="L549" s="33"/>
      <c r="X549" s="22"/>
      <c r="Y549" s="22"/>
      <c r="Z549" s="22"/>
      <c r="AA549" s="22"/>
      <c r="AF549" s="22"/>
      <c r="AG549" s="22"/>
      <c r="AH549" s="22"/>
      <c r="AI549" s="22"/>
      <c r="AN549" s="22"/>
      <c r="AO549" s="22"/>
      <c r="AP549" s="22"/>
      <c r="AQ549" s="22"/>
      <c r="AR549" s="35"/>
      <c r="AS549" s="35"/>
      <c r="AT549" s="35"/>
      <c r="AU549" s="31"/>
      <c r="AV549" s="36"/>
    </row>
    <row r="550" spans="1:48">
      <c r="A550" s="41"/>
      <c r="D550" s="31"/>
      <c r="E550" s="31"/>
      <c r="F550" s="31"/>
      <c r="G550" s="31"/>
      <c r="H550" s="32"/>
      <c r="J550" s="33"/>
      <c r="K550" s="33"/>
      <c r="L550" s="33"/>
      <c r="X550" s="22"/>
      <c r="Y550" s="22"/>
      <c r="Z550" s="22"/>
      <c r="AA550" s="22"/>
      <c r="AF550" s="22"/>
      <c r="AG550" s="22"/>
      <c r="AH550" s="22"/>
      <c r="AI550" s="22"/>
      <c r="AN550" s="22"/>
      <c r="AO550" s="22"/>
      <c r="AP550" s="22"/>
      <c r="AQ550" s="22"/>
      <c r="AR550" s="35"/>
      <c r="AS550" s="35"/>
      <c r="AT550" s="35"/>
      <c r="AU550" s="31"/>
      <c r="AV550" s="36"/>
    </row>
    <row r="551" spans="1:48">
      <c r="A551" s="41"/>
      <c r="D551" s="31"/>
      <c r="E551" s="31"/>
      <c r="F551" s="31"/>
      <c r="G551" s="31"/>
      <c r="H551" s="32"/>
      <c r="J551" s="33"/>
      <c r="K551" s="33"/>
      <c r="L551" s="33"/>
      <c r="X551" s="22"/>
      <c r="Y551" s="22"/>
      <c r="Z551" s="22"/>
      <c r="AA551" s="22"/>
      <c r="AF551" s="22"/>
      <c r="AG551" s="22"/>
      <c r="AH551" s="22"/>
      <c r="AI551" s="22"/>
      <c r="AN551" s="22"/>
      <c r="AO551" s="22"/>
      <c r="AP551" s="22"/>
      <c r="AQ551" s="22"/>
      <c r="AR551" s="35"/>
      <c r="AS551" s="35"/>
      <c r="AT551" s="35"/>
      <c r="AU551" s="31"/>
      <c r="AV551" s="36"/>
    </row>
    <row r="552" spans="1:48">
      <c r="A552" s="41"/>
      <c r="D552" s="31"/>
      <c r="E552" s="31"/>
      <c r="F552" s="31"/>
      <c r="G552" s="31"/>
      <c r="H552" s="32"/>
      <c r="J552" s="33"/>
      <c r="K552" s="33"/>
      <c r="L552" s="33"/>
      <c r="X552" s="22"/>
      <c r="Y552" s="22"/>
      <c r="Z552" s="22"/>
      <c r="AA552" s="22"/>
      <c r="AF552" s="22"/>
      <c r="AG552" s="22"/>
      <c r="AH552" s="22"/>
      <c r="AI552" s="22"/>
      <c r="AN552" s="22"/>
      <c r="AO552" s="22"/>
      <c r="AP552" s="22"/>
      <c r="AQ552" s="22"/>
      <c r="AR552" s="35"/>
      <c r="AS552" s="35"/>
      <c r="AT552" s="35"/>
      <c r="AU552" s="31"/>
      <c r="AV552" s="36"/>
    </row>
    <row r="553" spans="1:48">
      <c r="A553" s="41"/>
      <c r="D553" s="31"/>
      <c r="E553" s="31"/>
      <c r="F553" s="31"/>
      <c r="G553" s="31"/>
      <c r="H553" s="32"/>
      <c r="J553" s="33"/>
      <c r="K553" s="33"/>
      <c r="L553" s="33"/>
      <c r="X553" s="22"/>
      <c r="Y553" s="22"/>
      <c r="Z553" s="22"/>
      <c r="AA553" s="22"/>
      <c r="AF553" s="22"/>
      <c r="AG553" s="22"/>
      <c r="AH553" s="22"/>
      <c r="AI553" s="22"/>
      <c r="AN553" s="22"/>
      <c r="AO553" s="22"/>
      <c r="AP553" s="22"/>
      <c r="AQ553" s="22"/>
      <c r="AR553" s="35"/>
      <c r="AS553" s="35"/>
      <c r="AT553" s="35"/>
      <c r="AU553" s="31"/>
      <c r="AV553" s="36"/>
    </row>
    <row r="554" spans="1:48">
      <c r="A554" s="41"/>
      <c r="D554" s="31"/>
      <c r="E554" s="31"/>
      <c r="F554" s="31"/>
      <c r="G554" s="31"/>
      <c r="H554" s="32"/>
      <c r="J554" s="33"/>
      <c r="K554" s="33"/>
      <c r="L554" s="33"/>
      <c r="X554" s="22"/>
      <c r="Y554" s="22"/>
      <c r="Z554" s="22"/>
      <c r="AA554" s="22"/>
      <c r="AF554" s="22"/>
      <c r="AG554" s="22"/>
      <c r="AH554" s="22"/>
      <c r="AI554" s="22"/>
      <c r="AN554" s="22"/>
      <c r="AO554" s="22"/>
      <c r="AP554" s="22"/>
      <c r="AQ554" s="22"/>
      <c r="AR554" s="35"/>
      <c r="AS554" s="35"/>
      <c r="AT554" s="35"/>
      <c r="AU554" s="31"/>
      <c r="AV554" s="36"/>
    </row>
    <row r="555" spans="1:48">
      <c r="A555" s="41"/>
      <c r="D555" s="31"/>
      <c r="E555" s="31"/>
      <c r="F555" s="31"/>
      <c r="G555" s="31"/>
      <c r="H555" s="32"/>
      <c r="J555" s="33"/>
      <c r="K555" s="33"/>
      <c r="L555" s="33"/>
      <c r="X555" s="22"/>
      <c r="Y555" s="22"/>
      <c r="Z555" s="22"/>
      <c r="AA555" s="22"/>
      <c r="AF555" s="22"/>
      <c r="AG555" s="22"/>
      <c r="AH555" s="22"/>
      <c r="AI555" s="22"/>
      <c r="AN555" s="22"/>
      <c r="AO555" s="22"/>
      <c r="AP555" s="22"/>
      <c r="AQ555" s="22"/>
      <c r="AR555" s="35"/>
      <c r="AS555" s="35"/>
      <c r="AT555" s="35"/>
      <c r="AU555" s="31"/>
      <c r="AV555" s="36"/>
    </row>
    <row r="556" spans="1:48">
      <c r="A556" s="41"/>
      <c r="D556" s="31"/>
      <c r="E556" s="31"/>
      <c r="F556" s="31"/>
      <c r="G556" s="31"/>
      <c r="H556" s="32"/>
      <c r="J556" s="33"/>
      <c r="K556" s="33"/>
      <c r="L556" s="33"/>
      <c r="X556" s="22"/>
      <c r="Y556" s="22"/>
      <c r="Z556" s="22"/>
      <c r="AA556" s="22"/>
      <c r="AF556" s="22"/>
      <c r="AG556" s="22"/>
      <c r="AH556" s="22"/>
      <c r="AI556" s="22"/>
      <c r="AN556" s="22"/>
      <c r="AO556" s="22"/>
      <c r="AP556" s="22"/>
      <c r="AQ556" s="22"/>
      <c r="AR556" s="35"/>
      <c r="AS556" s="35"/>
      <c r="AT556" s="35"/>
      <c r="AU556" s="31"/>
      <c r="AV556" s="36"/>
    </row>
    <row r="557" spans="1:48">
      <c r="A557" s="41"/>
      <c r="D557" s="31"/>
      <c r="E557" s="31"/>
      <c r="F557" s="31"/>
      <c r="G557" s="31"/>
      <c r="H557" s="32"/>
      <c r="J557" s="33"/>
      <c r="K557" s="33"/>
      <c r="L557" s="33"/>
      <c r="X557" s="22"/>
      <c r="Y557" s="22"/>
      <c r="Z557" s="22"/>
      <c r="AA557" s="22"/>
      <c r="AF557" s="22"/>
      <c r="AG557" s="22"/>
      <c r="AH557" s="22"/>
      <c r="AI557" s="22"/>
      <c r="AN557" s="22"/>
      <c r="AO557" s="22"/>
      <c r="AP557" s="22"/>
      <c r="AQ557" s="22"/>
      <c r="AR557" s="35"/>
      <c r="AS557" s="35"/>
      <c r="AT557" s="35"/>
      <c r="AU557" s="31"/>
      <c r="AV557" s="36"/>
    </row>
    <row r="558" spans="1:48">
      <c r="A558" s="41"/>
      <c r="D558" s="31"/>
      <c r="E558" s="31"/>
      <c r="F558" s="31"/>
      <c r="G558" s="31"/>
      <c r="H558" s="32"/>
      <c r="J558" s="33"/>
      <c r="K558" s="33"/>
      <c r="L558" s="33"/>
      <c r="X558" s="22"/>
      <c r="Y558" s="22"/>
      <c r="Z558" s="22"/>
      <c r="AA558" s="22"/>
      <c r="AF558" s="22"/>
      <c r="AG558" s="22"/>
      <c r="AH558" s="22"/>
      <c r="AI558" s="22"/>
      <c r="AN558" s="22"/>
      <c r="AO558" s="22"/>
      <c r="AP558" s="22"/>
      <c r="AQ558" s="22"/>
      <c r="AR558" s="35"/>
      <c r="AS558" s="35"/>
      <c r="AT558" s="35"/>
      <c r="AU558" s="31"/>
      <c r="AV558" s="36"/>
    </row>
    <row r="559" spans="1:48">
      <c r="A559" s="41"/>
      <c r="D559" s="31"/>
      <c r="E559" s="31"/>
      <c r="F559" s="31"/>
      <c r="G559" s="31"/>
      <c r="H559" s="32"/>
      <c r="J559" s="33"/>
      <c r="K559" s="33"/>
      <c r="L559" s="33"/>
      <c r="X559" s="22"/>
      <c r="Y559" s="22"/>
      <c r="Z559" s="22"/>
      <c r="AA559" s="22"/>
      <c r="AF559" s="22"/>
      <c r="AG559" s="22"/>
      <c r="AH559" s="22"/>
      <c r="AI559" s="22"/>
      <c r="AN559" s="22"/>
      <c r="AO559" s="22"/>
      <c r="AP559" s="22"/>
      <c r="AQ559" s="22"/>
      <c r="AR559" s="35"/>
      <c r="AS559" s="35"/>
      <c r="AT559" s="35"/>
      <c r="AU559" s="31"/>
      <c r="AV559" s="36"/>
    </row>
    <row r="560" spans="1:48">
      <c r="A560" s="41"/>
      <c r="D560" s="31"/>
      <c r="E560" s="31"/>
      <c r="F560" s="31"/>
      <c r="G560" s="31"/>
      <c r="H560" s="32"/>
      <c r="J560" s="33"/>
      <c r="K560" s="33"/>
      <c r="L560" s="33"/>
      <c r="X560" s="22"/>
      <c r="Y560" s="22"/>
      <c r="Z560" s="22"/>
      <c r="AA560" s="22"/>
      <c r="AF560" s="22"/>
      <c r="AG560" s="22"/>
      <c r="AH560" s="22"/>
      <c r="AI560" s="22"/>
      <c r="AN560" s="22"/>
      <c r="AO560" s="22"/>
      <c r="AP560" s="22"/>
      <c r="AQ560" s="22"/>
      <c r="AR560" s="35"/>
      <c r="AS560" s="35"/>
      <c r="AT560" s="35"/>
      <c r="AU560" s="31"/>
      <c r="AV560" s="36"/>
    </row>
    <row r="561" spans="1:48">
      <c r="A561" s="41"/>
      <c r="D561" s="31"/>
      <c r="E561" s="31"/>
      <c r="F561" s="31"/>
      <c r="G561" s="31"/>
      <c r="H561" s="32"/>
      <c r="J561" s="33"/>
      <c r="K561" s="33"/>
      <c r="L561" s="33"/>
      <c r="X561" s="22"/>
      <c r="Y561" s="22"/>
      <c r="Z561" s="22"/>
      <c r="AA561" s="22"/>
      <c r="AF561" s="22"/>
      <c r="AG561" s="22"/>
      <c r="AH561" s="22"/>
      <c r="AI561" s="22"/>
      <c r="AN561" s="22"/>
      <c r="AO561" s="22"/>
      <c r="AP561" s="22"/>
      <c r="AQ561" s="22"/>
      <c r="AR561" s="35"/>
      <c r="AS561" s="35"/>
      <c r="AT561" s="35"/>
      <c r="AU561" s="31"/>
      <c r="AV561" s="36"/>
    </row>
    <row r="562" spans="1:48">
      <c r="A562" s="41"/>
      <c r="D562" s="31"/>
      <c r="E562" s="31"/>
      <c r="F562" s="31"/>
      <c r="G562" s="31"/>
      <c r="H562" s="32"/>
      <c r="J562" s="33"/>
      <c r="K562" s="33"/>
      <c r="L562" s="33"/>
      <c r="X562" s="22"/>
      <c r="Y562" s="22"/>
      <c r="Z562" s="22"/>
      <c r="AA562" s="22"/>
      <c r="AF562" s="22"/>
      <c r="AG562" s="22"/>
      <c r="AH562" s="22"/>
      <c r="AI562" s="22"/>
      <c r="AN562" s="22"/>
      <c r="AO562" s="22"/>
      <c r="AP562" s="22"/>
      <c r="AQ562" s="22"/>
      <c r="AR562" s="35"/>
      <c r="AS562" s="35"/>
      <c r="AT562" s="35"/>
      <c r="AU562" s="31"/>
      <c r="AV562" s="36"/>
    </row>
    <row r="563" spans="1:48">
      <c r="A563" s="41"/>
      <c r="D563" s="31"/>
      <c r="E563" s="31"/>
      <c r="F563" s="31"/>
      <c r="G563" s="31"/>
      <c r="H563" s="32"/>
      <c r="J563" s="33"/>
      <c r="K563" s="33"/>
      <c r="L563" s="33"/>
      <c r="X563" s="22"/>
      <c r="Y563" s="22"/>
      <c r="Z563" s="22"/>
      <c r="AA563" s="22"/>
      <c r="AF563" s="22"/>
      <c r="AG563" s="22"/>
      <c r="AH563" s="22"/>
      <c r="AI563" s="22"/>
      <c r="AN563" s="22"/>
      <c r="AO563" s="22"/>
      <c r="AP563" s="22"/>
      <c r="AQ563" s="22"/>
      <c r="AR563" s="35"/>
      <c r="AS563" s="35"/>
      <c r="AT563" s="35"/>
      <c r="AU563" s="31"/>
      <c r="AV563" s="36"/>
    </row>
    <row r="564" spans="1:48">
      <c r="A564" s="41"/>
      <c r="D564" s="31"/>
      <c r="E564" s="31"/>
      <c r="F564" s="31"/>
      <c r="G564" s="31"/>
      <c r="H564" s="32"/>
      <c r="J564" s="33"/>
      <c r="K564" s="33"/>
      <c r="L564" s="33"/>
      <c r="X564" s="22"/>
      <c r="Y564" s="22"/>
      <c r="Z564" s="22"/>
      <c r="AA564" s="22"/>
      <c r="AF564" s="22"/>
      <c r="AG564" s="22"/>
      <c r="AH564" s="22"/>
      <c r="AI564" s="22"/>
      <c r="AN564" s="22"/>
      <c r="AO564" s="22"/>
      <c r="AP564" s="22"/>
      <c r="AQ564" s="22"/>
      <c r="AR564" s="35"/>
      <c r="AS564" s="35"/>
      <c r="AT564" s="35"/>
      <c r="AU564" s="31"/>
      <c r="AV564" s="36"/>
    </row>
    <row r="565" spans="1:48">
      <c r="A565" s="41"/>
      <c r="D565" s="31"/>
      <c r="E565" s="31"/>
      <c r="F565" s="31"/>
      <c r="G565" s="31"/>
      <c r="H565" s="32"/>
      <c r="J565" s="33"/>
      <c r="K565" s="33"/>
      <c r="L565" s="33"/>
      <c r="X565" s="22"/>
      <c r="Y565" s="22"/>
      <c r="Z565" s="22"/>
      <c r="AA565" s="22"/>
      <c r="AF565" s="22"/>
      <c r="AG565" s="22"/>
      <c r="AH565" s="22"/>
      <c r="AI565" s="22"/>
      <c r="AN565" s="22"/>
      <c r="AO565" s="22"/>
      <c r="AP565" s="22"/>
      <c r="AQ565" s="22"/>
      <c r="AR565" s="35"/>
      <c r="AS565" s="35"/>
      <c r="AT565" s="35"/>
      <c r="AU565" s="31"/>
      <c r="AV565" s="36"/>
    </row>
    <row r="566" spans="1:48">
      <c r="A566" s="41"/>
      <c r="D566" s="31"/>
      <c r="E566" s="31"/>
      <c r="F566" s="31"/>
      <c r="G566" s="31"/>
      <c r="H566" s="32"/>
      <c r="J566" s="33"/>
      <c r="K566" s="33"/>
      <c r="L566" s="33"/>
      <c r="X566" s="22"/>
      <c r="Y566" s="22"/>
      <c r="Z566" s="22"/>
      <c r="AA566" s="22"/>
      <c r="AF566" s="22"/>
      <c r="AG566" s="22"/>
      <c r="AH566" s="22"/>
      <c r="AI566" s="22"/>
      <c r="AN566" s="22"/>
      <c r="AO566" s="22"/>
      <c r="AP566" s="22"/>
      <c r="AQ566" s="22"/>
      <c r="AR566" s="35"/>
      <c r="AS566" s="35"/>
      <c r="AT566" s="35"/>
      <c r="AU566" s="31"/>
      <c r="AV566" s="36"/>
    </row>
    <row r="567" spans="1:48">
      <c r="A567" s="41"/>
      <c r="D567" s="31"/>
      <c r="E567" s="31"/>
      <c r="F567" s="31"/>
      <c r="G567" s="31"/>
      <c r="H567" s="32"/>
      <c r="J567" s="33"/>
      <c r="K567" s="33"/>
      <c r="L567" s="33"/>
      <c r="X567" s="22"/>
      <c r="Y567" s="22"/>
      <c r="Z567" s="22"/>
      <c r="AA567" s="22"/>
      <c r="AF567" s="22"/>
      <c r="AG567" s="22"/>
      <c r="AH567" s="22"/>
      <c r="AI567" s="22"/>
      <c r="AN567" s="22"/>
      <c r="AO567" s="22"/>
      <c r="AP567" s="22"/>
      <c r="AQ567" s="22"/>
      <c r="AR567" s="35"/>
      <c r="AS567" s="35"/>
      <c r="AT567" s="35"/>
      <c r="AU567" s="31"/>
      <c r="AV567" s="36"/>
    </row>
    <row r="568" spans="1:48">
      <c r="A568" s="41"/>
      <c r="D568" s="31"/>
      <c r="E568" s="31"/>
      <c r="F568" s="31"/>
      <c r="G568" s="31"/>
      <c r="H568" s="32"/>
      <c r="J568" s="33"/>
      <c r="K568" s="33"/>
      <c r="L568" s="33"/>
      <c r="X568" s="22"/>
      <c r="Y568" s="22"/>
      <c r="Z568" s="22"/>
      <c r="AA568" s="22"/>
      <c r="AF568" s="22"/>
      <c r="AG568" s="22"/>
      <c r="AH568" s="22"/>
      <c r="AI568" s="22"/>
      <c r="AN568" s="22"/>
      <c r="AO568" s="22"/>
      <c r="AP568" s="22"/>
      <c r="AQ568" s="22"/>
      <c r="AR568" s="35"/>
      <c r="AS568" s="35"/>
      <c r="AT568" s="35"/>
      <c r="AU568" s="31"/>
      <c r="AV568" s="36"/>
    </row>
    <row r="569" spans="1:48">
      <c r="A569" s="41"/>
      <c r="D569" s="31"/>
      <c r="E569" s="31"/>
      <c r="F569" s="31"/>
      <c r="G569" s="31"/>
      <c r="H569" s="32"/>
      <c r="J569" s="33"/>
      <c r="K569" s="33"/>
      <c r="L569" s="33"/>
      <c r="X569" s="22"/>
      <c r="Y569" s="22"/>
      <c r="Z569" s="22"/>
      <c r="AA569" s="22"/>
      <c r="AF569" s="22"/>
      <c r="AG569" s="22"/>
      <c r="AH569" s="22"/>
      <c r="AI569" s="22"/>
      <c r="AN569" s="22"/>
      <c r="AO569" s="22"/>
      <c r="AP569" s="22"/>
      <c r="AQ569" s="22"/>
      <c r="AR569" s="35"/>
      <c r="AS569" s="35"/>
      <c r="AT569" s="35"/>
      <c r="AU569" s="31"/>
      <c r="AV569" s="36"/>
    </row>
    <row r="570" spans="1:48">
      <c r="A570" s="41"/>
      <c r="D570" s="31"/>
      <c r="E570" s="31"/>
      <c r="F570" s="31"/>
      <c r="G570" s="31"/>
      <c r="H570" s="32"/>
      <c r="J570" s="33"/>
      <c r="K570" s="33"/>
      <c r="L570" s="33"/>
      <c r="X570" s="22"/>
      <c r="Y570" s="22"/>
      <c r="Z570" s="22"/>
      <c r="AA570" s="22"/>
      <c r="AF570" s="22"/>
      <c r="AG570" s="22"/>
      <c r="AH570" s="22"/>
      <c r="AI570" s="22"/>
      <c r="AN570" s="22"/>
      <c r="AO570" s="22"/>
      <c r="AP570" s="22"/>
      <c r="AQ570" s="22"/>
      <c r="AR570" s="35"/>
      <c r="AS570" s="35"/>
      <c r="AT570" s="35"/>
      <c r="AU570" s="31"/>
      <c r="AV570" s="36"/>
    </row>
    <row r="571" spans="1:48">
      <c r="A571" s="41"/>
      <c r="D571" s="31"/>
      <c r="E571" s="31"/>
      <c r="F571" s="31"/>
      <c r="G571" s="31"/>
      <c r="H571" s="32"/>
      <c r="J571" s="33"/>
      <c r="K571" s="33"/>
      <c r="L571" s="33"/>
      <c r="X571" s="22"/>
      <c r="Y571" s="22"/>
      <c r="Z571" s="22"/>
      <c r="AA571" s="22"/>
      <c r="AF571" s="22"/>
      <c r="AG571" s="22"/>
      <c r="AH571" s="22"/>
      <c r="AI571" s="22"/>
      <c r="AN571" s="22"/>
      <c r="AO571" s="22"/>
      <c r="AP571" s="22"/>
      <c r="AQ571" s="22"/>
      <c r="AR571" s="35"/>
      <c r="AS571" s="35"/>
      <c r="AT571" s="35"/>
      <c r="AU571" s="31"/>
      <c r="AV571" s="36"/>
    </row>
    <row r="572" spans="1:48">
      <c r="A572" s="41"/>
      <c r="D572" s="31"/>
      <c r="E572" s="31"/>
      <c r="F572" s="31"/>
      <c r="G572" s="31"/>
      <c r="H572" s="32"/>
      <c r="J572" s="33"/>
      <c r="K572" s="33"/>
      <c r="L572" s="33"/>
      <c r="X572" s="22"/>
      <c r="Y572" s="22"/>
      <c r="Z572" s="22"/>
      <c r="AA572" s="22"/>
      <c r="AF572" s="22"/>
      <c r="AG572" s="22"/>
      <c r="AH572" s="22"/>
      <c r="AI572" s="22"/>
      <c r="AN572" s="22"/>
      <c r="AO572" s="22"/>
      <c r="AP572" s="22"/>
      <c r="AQ572" s="22"/>
      <c r="AR572" s="35"/>
      <c r="AS572" s="35"/>
      <c r="AT572" s="35"/>
      <c r="AU572" s="31"/>
      <c r="AV572" s="36"/>
    </row>
    <row r="573" spans="1:48">
      <c r="A573" s="41"/>
      <c r="D573" s="31"/>
      <c r="E573" s="31"/>
      <c r="F573" s="31"/>
      <c r="G573" s="31"/>
      <c r="H573" s="32"/>
      <c r="J573" s="33"/>
      <c r="K573" s="33"/>
      <c r="L573" s="33"/>
      <c r="X573" s="22"/>
      <c r="Y573" s="22"/>
      <c r="Z573" s="22"/>
      <c r="AA573" s="22"/>
      <c r="AF573" s="22"/>
      <c r="AG573" s="22"/>
      <c r="AH573" s="22"/>
      <c r="AI573" s="22"/>
      <c r="AN573" s="22"/>
      <c r="AO573" s="22"/>
      <c r="AP573" s="22"/>
      <c r="AQ573" s="22"/>
      <c r="AR573" s="35"/>
      <c r="AS573" s="35"/>
      <c r="AT573" s="35"/>
      <c r="AU573" s="31"/>
      <c r="AV573" s="36"/>
    </row>
    <row r="574" spans="1:48">
      <c r="A574" s="41"/>
      <c r="D574" s="31"/>
      <c r="E574" s="31"/>
      <c r="F574" s="31"/>
      <c r="G574" s="31"/>
      <c r="H574" s="32"/>
      <c r="J574" s="33"/>
      <c r="K574" s="33"/>
      <c r="L574" s="33"/>
      <c r="X574" s="22"/>
      <c r="Y574" s="22"/>
      <c r="Z574" s="22"/>
      <c r="AA574" s="22"/>
      <c r="AF574" s="22"/>
      <c r="AG574" s="22"/>
      <c r="AH574" s="22"/>
      <c r="AI574" s="22"/>
      <c r="AN574" s="22"/>
      <c r="AO574" s="22"/>
      <c r="AP574" s="22"/>
      <c r="AQ574" s="22"/>
      <c r="AR574" s="35"/>
      <c r="AS574" s="35"/>
      <c r="AT574" s="35"/>
      <c r="AU574" s="31"/>
      <c r="AV574" s="36"/>
    </row>
    <row r="575" spans="1:48">
      <c r="A575" s="41"/>
      <c r="D575" s="31"/>
      <c r="E575" s="31"/>
      <c r="F575" s="31"/>
      <c r="G575" s="31"/>
      <c r="H575" s="32"/>
      <c r="J575" s="33"/>
      <c r="K575" s="33"/>
      <c r="L575" s="33"/>
      <c r="X575" s="22"/>
      <c r="Y575" s="22"/>
      <c r="Z575" s="22"/>
      <c r="AA575" s="22"/>
      <c r="AF575" s="22"/>
      <c r="AG575" s="22"/>
      <c r="AH575" s="22"/>
      <c r="AI575" s="22"/>
      <c r="AN575" s="22"/>
      <c r="AO575" s="22"/>
      <c r="AP575" s="22"/>
      <c r="AQ575" s="22"/>
      <c r="AR575" s="35"/>
      <c r="AS575" s="35"/>
      <c r="AT575" s="35"/>
      <c r="AU575" s="31"/>
      <c r="AV575" s="36"/>
    </row>
    <row r="576" spans="1:48">
      <c r="A576" s="41"/>
      <c r="D576" s="31"/>
      <c r="E576" s="31"/>
      <c r="F576" s="31"/>
      <c r="G576" s="31"/>
      <c r="H576" s="32"/>
      <c r="J576" s="33"/>
      <c r="K576" s="33"/>
      <c r="L576" s="33"/>
      <c r="X576" s="22"/>
      <c r="Y576" s="22"/>
      <c r="Z576" s="22"/>
      <c r="AA576" s="22"/>
      <c r="AF576" s="22"/>
      <c r="AG576" s="22"/>
      <c r="AH576" s="22"/>
      <c r="AI576" s="22"/>
      <c r="AN576" s="22"/>
      <c r="AO576" s="22"/>
      <c r="AP576" s="22"/>
      <c r="AQ576" s="22"/>
      <c r="AR576" s="35"/>
      <c r="AS576" s="35"/>
      <c r="AT576" s="35"/>
      <c r="AU576" s="31"/>
      <c r="AV576" s="36"/>
    </row>
    <row r="577" spans="1:48">
      <c r="A577" s="41"/>
      <c r="D577" s="31"/>
      <c r="E577" s="31"/>
      <c r="F577" s="31"/>
      <c r="G577" s="31"/>
      <c r="H577" s="32"/>
      <c r="J577" s="33"/>
      <c r="K577" s="33"/>
      <c r="L577" s="33"/>
      <c r="X577" s="22"/>
      <c r="Y577" s="22"/>
      <c r="Z577" s="22"/>
      <c r="AA577" s="22"/>
      <c r="AF577" s="22"/>
      <c r="AG577" s="22"/>
      <c r="AH577" s="22"/>
      <c r="AI577" s="22"/>
      <c r="AN577" s="22"/>
      <c r="AO577" s="22"/>
      <c r="AP577" s="22"/>
      <c r="AQ577" s="22"/>
      <c r="AR577" s="35"/>
      <c r="AS577" s="35"/>
      <c r="AT577" s="35"/>
      <c r="AU577" s="31"/>
      <c r="AV577" s="36"/>
    </row>
    <row r="578" spans="1:48">
      <c r="A578" s="41"/>
      <c r="D578" s="31"/>
      <c r="E578" s="31"/>
      <c r="F578" s="31"/>
      <c r="G578" s="31"/>
      <c r="H578" s="32"/>
      <c r="J578" s="33"/>
      <c r="K578" s="33"/>
      <c r="L578" s="33"/>
      <c r="X578" s="22"/>
      <c r="Y578" s="22"/>
      <c r="Z578" s="22"/>
      <c r="AA578" s="22"/>
      <c r="AF578" s="22"/>
      <c r="AG578" s="22"/>
      <c r="AH578" s="22"/>
      <c r="AI578" s="22"/>
      <c r="AN578" s="22"/>
      <c r="AO578" s="22"/>
      <c r="AP578" s="22"/>
      <c r="AQ578" s="22"/>
      <c r="AR578" s="35"/>
      <c r="AS578" s="35"/>
      <c r="AT578" s="35"/>
      <c r="AU578" s="31"/>
      <c r="AV578" s="36"/>
    </row>
    <row r="579" spans="1:48">
      <c r="A579" s="41"/>
      <c r="D579" s="31"/>
      <c r="E579" s="31"/>
      <c r="F579" s="31"/>
      <c r="G579" s="31"/>
      <c r="H579" s="32"/>
      <c r="J579" s="33"/>
      <c r="K579" s="33"/>
      <c r="L579" s="33"/>
      <c r="X579" s="22"/>
      <c r="Y579" s="22"/>
      <c r="Z579" s="22"/>
      <c r="AA579" s="22"/>
      <c r="AF579" s="22"/>
      <c r="AG579" s="22"/>
      <c r="AH579" s="22"/>
      <c r="AI579" s="22"/>
      <c r="AN579" s="22"/>
      <c r="AO579" s="22"/>
      <c r="AP579" s="22"/>
      <c r="AQ579" s="22"/>
      <c r="AR579" s="35"/>
      <c r="AS579" s="35"/>
      <c r="AT579" s="35"/>
      <c r="AU579" s="31"/>
      <c r="AV579" s="36"/>
    </row>
    <row r="580" spans="1:48">
      <c r="A580" s="41"/>
      <c r="D580" s="31"/>
      <c r="E580" s="31"/>
      <c r="F580" s="31"/>
      <c r="G580" s="31"/>
      <c r="H580" s="32"/>
      <c r="J580" s="33"/>
      <c r="K580" s="33"/>
      <c r="L580" s="33"/>
      <c r="X580" s="22"/>
      <c r="Y580" s="22"/>
      <c r="Z580" s="22"/>
      <c r="AA580" s="22"/>
      <c r="AF580" s="22"/>
      <c r="AG580" s="22"/>
      <c r="AH580" s="22"/>
      <c r="AI580" s="22"/>
      <c r="AN580" s="22"/>
      <c r="AO580" s="22"/>
      <c r="AP580" s="22"/>
      <c r="AQ580" s="22"/>
      <c r="AR580" s="35"/>
      <c r="AS580" s="35"/>
      <c r="AT580" s="35"/>
      <c r="AU580" s="31"/>
      <c r="AV580" s="36"/>
    </row>
    <row r="581" spans="1:48">
      <c r="A581" s="41"/>
      <c r="D581" s="31"/>
      <c r="E581" s="31"/>
      <c r="F581" s="31"/>
      <c r="G581" s="31"/>
      <c r="H581" s="32"/>
      <c r="J581" s="33"/>
      <c r="K581" s="33"/>
      <c r="L581" s="33"/>
      <c r="X581" s="22"/>
      <c r="Y581" s="22"/>
      <c r="Z581" s="22"/>
      <c r="AA581" s="22"/>
      <c r="AF581" s="22"/>
      <c r="AG581" s="22"/>
      <c r="AH581" s="22"/>
      <c r="AI581" s="22"/>
      <c r="AN581" s="22"/>
      <c r="AO581" s="22"/>
      <c r="AP581" s="22"/>
      <c r="AQ581" s="22"/>
      <c r="AR581" s="35"/>
      <c r="AS581" s="35"/>
      <c r="AT581" s="35"/>
      <c r="AU581" s="31"/>
      <c r="AV581" s="36"/>
    </row>
    <row r="582" spans="1:48">
      <c r="A582" s="41"/>
      <c r="D582" s="31"/>
      <c r="E582" s="31"/>
      <c r="F582" s="31"/>
      <c r="G582" s="31"/>
      <c r="H582" s="32"/>
      <c r="J582" s="33"/>
      <c r="K582" s="33"/>
      <c r="L582" s="33"/>
      <c r="X582" s="22"/>
      <c r="Y582" s="22"/>
      <c r="Z582" s="22"/>
      <c r="AA582" s="22"/>
      <c r="AF582" s="22"/>
      <c r="AG582" s="22"/>
      <c r="AH582" s="22"/>
      <c r="AI582" s="22"/>
      <c r="AN582" s="22"/>
      <c r="AO582" s="22"/>
      <c r="AP582" s="22"/>
      <c r="AQ582" s="22"/>
      <c r="AR582" s="35"/>
      <c r="AS582" s="35"/>
      <c r="AT582" s="35"/>
      <c r="AU582" s="31"/>
      <c r="AV582" s="36"/>
    </row>
    <row r="583" spans="1:48">
      <c r="A583" s="41"/>
      <c r="D583" s="31"/>
      <c r="E583" s="31"/>
      <c r="F583" s="31"/>
      <c r="G583" s="31"/>
      <c r="H583" s="32"/>
      <c r="J583" s="33"/>
      <c r="K583" s="33"/>
      <c r="L583" s="33"/>
      <c r="X583" s="22"/>
      <c r="Y583" s="22"/>
      <c r="Z583" s="22"/>
      <c r="AA583" s="22"/>
      <c r="AF583" s="22"/>
      <c r="AG583" s="22"/>
      <c r="AH583" s="22"/>
      <c r="AI583" s="22"/>
      <c r="AN583" s="22"/>
      <c r="AO583" s="22"/>
      <c r="AP583" s="22"/>
      <c r="AQ583" s="22"/>
      <c r="AR583" s="35"/>
      <c r="AS583" s="35"/>
      <c r="AT583" s="35"/>
      <c r="AU583" s="31"/>
      <c r="AV583" s="36"/>
    </row>
    <row r="584" spans="1:48">
      <c r="A584" s="41"/>
      <c r="D584" s="31"/>
      <c r="E584" s="31"/>
      <c r="F584" s="31"/>
      <c r="G584" s="31"/>
      <c r="H584" s="32"/>
      <c r="J584" s="33"/>
      <c r="K584" s="33"/>
      <c r="L584" s="33"/>
      <c r="X584" s="22"/>
      <c r="Y584" s="22"/>
      <c r="Z584" s="22"/>
      <c r="AA584" s="22"/>
      <c r="AF584" s="22"/>
      <c r="AG584" s="22"/>
      <c r="AH584" s="22"/>
      <c r="AI584" s="22"/>
      <c r="AN584" s="22"/>
      <c r="AO584" s="22"/>
      <c r="AP584" s="22"/>
      <c r="AQ584" s="22"/>
      <c r="AR584" s="35"/>
      <c r="AS584" s="35"/>
      <c r="AT584" s="35"/>
      <c r="AU584" s="31"/>
      <c r="AV584" s="36"/>
    </row>
    <row r="585" spans="1:48">
      <c r="A585" s="41"/>
      <c r="D585" s="31"/>
      <c r="E585" s="31"/>
      <c r="F585" s="31"/>
      <c r="G585" s="31"/>
      <c r="H585" s="32"/>
      <c r="J585" s="33"/>
      <c r="K585" s="33"/>
      <c r="L585" s="33"/>
      <c r="X585" s="22"/>
      <c r="Y585" s="22"/>
      <c r="Z585" s="22"/>
      <c r="AA585" s="22"/>
      <c r="AF585" s="22"/>
      <c r="AG585" s="22"/>
      <c r="AH585" s="22"/>
      <c r="AI585" s="22"/>
      <c r="AN585" s="22"/>
      <c r="AO585" s="22"/>
      <c r="AP585" s="22"/>
      <c r="AQ585" s="22"/>
      <c r="AR585" s="35"/>
      <c r="AS585" s="35"/>
      <c r="AT585" s="35"/>
      <c r="AU585" s="31"/>
      <c r="AV585" s="36"/>
    </row>
    <row r="586" spans="1:48">
      <c r="A586" s="41"/>
      <c r="D586" s="31"/>
      <c r="E586" s="31"/>
      <c r="F586" s="31"/>
      <c r="G586" s="31"/>
      <c r="H586" s="32"/>
      <c r="J586" s="33"/>
      <c r="K586" s="33"/>
      <c r="L586" s="33"/>
      <c r="X586" s="22"/>
      <c r="Y586" s="22"/>
      <c r="Z586" s="22"/>
      <c r="AA586" s="22"/>
      <c r="AF586" s="22"/>
      <c r="AG586" s="22"/>
      <c r="AH586" s="22"/>
      <c r="AI586" s="22"/>
      <c r="AN586" s="22"/>
      <c r="AO586" s="22"/>
      <c r="AP586" s="22"/>
      <c r="AQ586" s="22"/>
      <c r="AR586" s="35"/>
      <c r="AS586" s="35"/>
      <c r="AT586" s="35"/>
      <c r="AU586" s="31"/>
      <c r="AV586" s="36"/>
    </row>
    <row r="587" spans="1:48">
      <c r="A587" s="41"/>
      <c r="D587" s="31"/>
      <c r="E587" s="31"/>
      <c r="F587" s="31"/>
      <c r="G587" s="31"/>
      <c r="H587" s="32"/>
      <c r="J587" s="33"/>
      <c r="K587" s="33"/>
      <c r="L587" s="33"/>
      <c r="X587" s="22"/>
      <c r="Y587" s="22"/>
      <c r="Z587" s="22"/>
      <c r="AA587" s="22"/>
      <c r="AF587" s="22"/>
      <c r="AG587" s="22"/>
      <c r="AH587" s="22"/>
      <c r="AI587" s="22"/>
      <c r="AN587" s="22"/>
      <c r="AO587" s="22"/>
      <c r="AP587" s="22"/>
      <c r="AQ587" s="22"/>
      <c r="AR587" s="35"/>
      <c r="AS587" s="35"/>
      <c r="AT587" s="35"/>
      <c r="AU587" s="31"/>
      <c r="AV587" s="36"/>
    </row>
    <row r="588" spans="1:48">
      <c r="A588" s="41"/>
      <c r="D588" s="31"/>
      <c r="E588" s="31"/>
      <c r="F588" s="31"/>
      <c r="G588" s="31"/>
      <c r="H588" s="32"/>
      <c r="J588" s="33"/>
      <c r="K588" s="33"/>
      <c r="L588" s="33"/>
      <c r="X588" s="22"/>
      <c r="Y588" s="22"/>
      <c r="Z588" s="22"/>
      <c r="AA588" s="22"/>
      <c r="AF588" s="22"/>
      <c r="AG588" s="22"/>
      <c r="AH588" s="22"/>
      <c r="AI588" s="22"/>
      <c r="AN588" s="22"/>
      <c r="AO588" s="22"/>
      <c r="AP588" s="22"/>
      <c r="AQ588" s="22"/>
      <c r="AR588" s="35"/>
      <c r="AS588" s="35"/>
      <c r="AT588" s="35"/>
      <c r="AU588" s="31"/>
      <c r="AV588" s="36"/>
    </row>
    <row r="589" spans="1:48">
      <c r="A589" s="41"/>
      <c r="D589" s="31"/>
      <c r="E589" s="31"/>
      <c r="F589" s="31"/>
      <c r="G589" s="31"/>
      <c r="H589" s="32"/>
      <c r="J589" s="33"/>
      <c r="K589" s="33"/>
      <c r="L589" s="33"/>
      <c r="X589" s="22"/>
      <c r="Y589" s="22"/>
      <c r="Z589" s="22"/>
      <c r="AA589" s="22"/>
      <c r="AF589" s="22"/>
      <c r="AG589" s="22"/>
      <c r="AH589" s="22"/>
      <c r="AI589" s="22"/>
      <c r="AN589" s="22"/>
      <c r="AO589" s="22"/>
      <c r="AP589" s="22"/>
      <c r="AQ589" s="22"/>
      <c r="AR589" s="35"/>
      <c r="AS589" s="35"/>
      <c r="AT589" s="35"/>
      <c r="AU589" s="31"/>
      <c r="AV589" s="36"/>
    </row>
    <row r="590" spans="1:48">
      <c r="A590" s="41"/>
      <c r="D590" s="31"/>
      <c r="E590" s="31"/>
      <c r="F590" s="31"/>
      <c r="G590" s="31"/>
      <c r="H590" s="32"/>
      <c r="J590" s="33"/>
      <c r="K590" s="33"/>
      <c r="L590" s="33"/>
      <c r="X590" s="22"/>
      <c r="Y590" s="22"/>
      <c r="Z590" s="22"/>
      <c r="AA590" s="22"/>
      <c r="AF590" s="22"/>
      <c r="AG590" s="22"/>
      <c r="AH590" s="22"/>
      <c r="AI590" s="22"/>
      <c r="AN590" s="22"/>
      <c r="AO590" s="22"/>
      <c r="AP590" s="22"/>
      <c r="AQ590" s="22"/>
      <c r="AR590" s="35"/>
      <c r="AS590" s="35"/>
      <c r="AT590" s="35"/>
      <c r="AU590" s="31"/>
      <c r="AV590" s="36"/>
    </row>
    <row r="591" spans="1:48">
      <c r="A591" s="41"/>
      <c r="D591" s="31"/>
      <c r="E591" s="31"/>
      <c r="F591" s="31"/>
      <c r="G591" s="31"/>
      <c r="H591" s="32"/>
      <c r="J591" s="33"/>
      <c r="K591" s="33"/>
      <c r="L591" s="33"/>
      <c r="X591" s="22"/>
      <c r="Y591" s="22"/>
      <c r="Z591" s="22"/>
      <c r="AA591" s="22"/>
      <c r="AF591" s="22"/>
      <c r="AG591" s="22"/>
      <c r="AH591" s="22"/>
      <c r="AI591" s="22"/>
      <c r="AN591" s="22"/>
      <c r="AO591" s="22"/>
      <c r="AP591" s="22"/>
      <c r="AQ591" s="22"/>
      <c r="AR591" s="35"/>
      <c r="AS591" s="35"/>
      <c r="AT591" s="35"/>
      <c r="AU591" s="31"/>
      <c r="AV591" s="36"/>
    </row>
    <row r="592" spans="1:48">
      <c r="A592" s="41"/>
      <c r="D592" s="31"/>
      <c r="E592" s="31"/>
      <c r="F592" s="31"/>
      <c r="G592" s="31"/>
      <c r="H592" s="32"/>
      <c r="J592" s="33"/>
      <c r="K592" s="33"/>
      <c r="L592" s="33"/>
      <c r="X592" s="22"/>
      <c r="Y592" s="22"/>
      <c r="Z592" s="22"/>
      <c r="AA592" s="22"/>
      <c r="AF592" s="22"/>
      <c r="AG592" s="22"/>
      <c r="AH592" s="22"/>
      <c r="AI592" s="22"/>
      <c r="AN592" s="22"/>
      <c r="AO592" s="22"/>
      <c r="AP592" s="22"/>
      <c r="AQ592" s="22"/>
      <c r="AR592" s="35"/>
      <c r="AS592" s="35"/>
      <c r="AT592" s="35"/>
      <c r="AU592" s="31"/>
      <c r="AV592" s="36"/>
    </row>
    <row r="593" spans="1:48">
      <c r="A593" s="41"/>
      <c r="D593" s="31"/>
      <c r="E593" s="31"/>
      <c r="F593" s="31"/>
      <c r="G593" s="31"/>
      <c r="H593" s="32"/>
      <c r="J593" s="33"/>
      <c r="K593" s="33"/>
      <c r="L593" s="33"/>
      <c r="X593" s="22"/>
      <c r="Y593" s="22"/>
      <c r="Z593" s="22"/>
      <c r="AA593" s="22"/>
      <c r="AF593" s="22"/>
      <c r="AG593" s="22"/>
      <c r="AH593" s="22"/>
      <c r="AI593" s="22"/>
      <c r="AN593" s="22"/>
      <c r="AO593" s="22"/>
      <c r="AP593" s="22"/>
      <c r="AQ593" s="22"/>
      <c r="AR593" s="35"/>
      <c r="AS593" s="35"/>
      <c r="AT593" s="35"/>
      <c r="AU593" s="31"/>
      <c r="AV593" s="36"/>
    </row>
    <row r="594" spans="1:48">
      <c r="A594" s="41"/>
      <c r="D594" s="31"/>
      <c r="E594" s="31"/>
      <c r="F594" s="31"/>
      <c r="G594" s="31"/>
      <c r="H594" s="32"/>
      <c r="J594" s="33"/>
      <c r="K594" s="33"/>
      <c r="L594" s="33"/>
      <c r="X594" s="22"/>
      <c r="Y594" s="22"/>
      <c r="Z594" s="22"/>
      <c r="AA594" s="22"/>
      <c r="AF594" s="22"/>
      <c r="AG594" s="22"/>
      <c r="AH594" s="22"/>
      <c r="AI594" s="22"/>
      <c r="AN594" s="22"/>
      <c r="AO594" s="22"/>
      <c r="AP594" s="22"/>
      <c r="AQ594" s="22"/>
      <c r="AR594" s="35"/>
      <c r="AS594" s="35"/>
      <c r="AT594" s="35"/>
      <c r="AU594" s="31"/>
      <c r="AV594" s="36"/>
    </row>
    <row r="595" spans="1:48">
      <c r="A595" s="41"/>
      <c r="D595" s="31"/>
      <c r="E595" s="31"/>
      <c r="F595" s="31"/>
      <c r="G595" s="31"/>
      <c r="H595" s="32"/>
      <c r="J595" s="33"/>
      <c r="K595" s="33"/>
      <c r="L595" s="33"/>
      <c r="X595" s="22"/>
      <c r="Y595" s="22"/>
      <c r="Z595" s="22"/>
      <c r="AA595" s="22"/>
      <c r="AF595" s="22"/>
      <c r="AG595" s="22"/>
      <c r="AH595" s="22"/>
      <c r="AI595" s="22"/>
      <c r="AN595" s="22"/>
      <c r="AO595" s="22"/>
      <c r="AP595" s="22"/>
      <c r="AQ595" s="22"/>
      <c r="AR595" s="35"/>
      <c r="AS595" s="35"/>
      <c r="AT595" s="35"/>
      <c r="AU595" s="31"/>
      <c r="AV595" s="36"/>
    </row>
    <row r="596" spans="1:48">
      <c r="A596" s="41"/>
      <c r="D596" s="31"/>
      <c r="E596" s="31"/>
      <c r="F596" s="31"/>
      <c r="G596" s="31"/>
      <c r="H596" s="32"/>
      <c r="J596" s="33"/>
      <c r="K596" s="33"/>
      <c r="L596" s="33"/>
      <c r="X596" s="22"/>
      <c r="Y596" s="22"/>
      <c r="Z596" s="22"/>
      <c r="AA596" s="22"/>
      <c r="AF596" s="22"/>
      <c r="AG596" s="22"/>
      <c r="AH596" s="22"/>
      <c r="AI596" s="22"/>
      <c r="AN596" s="22"/>
      <c r="AO596" s="22"/>
      <c r="AP596" s="22"/>
      <c r="AQ596" s="22"/>
      <c r="AR596" s="35"/>
      <c r="AS596" s="35"/>
      <c r="AT596" s="35"/>
      <c r="AU596" s="31"/>
      <c r="AV596" s="36"/>
    </row>
    <row r="597" spans="1:48">
      <c r="A597" s="41"/>
      <c r="D597" s="31"/>
      <c r="E597" s="31"/>
      <c r="F597" s="31"/>
      <c r="G597" s="31"/>
      <c r="H597" s="32"/>
      <c r="J597" s="33"/>
      <c r="K597" s="33"/>
      <c r="L597" s="33"/>
      <c r="X597" s="22"/>
      <c r="Y597" s="22"/>
      <c r="Z597" s="22"/>
      <c r="AA597" s="22"/>
      <c r="AF597" s="22"/>
      <c r="AG597" s="22"/>
      <c r="AH597" s="22"/>
      <c r="AI597" s="22"/>
      <c r="AN597" s="22"/>
      <c r="AO597" s="22"/>
      <c r="AP597" s="22"/>
      <c r="AQ597" s="22"/>
      <c r="AR597" s="35"/>
      <c r="AS597" s="35"/>
      <c r="AT597" s="35"/>
      <c r="AU597" s="31"/>
      <c r="AV597" s="36"/>
    </row>
    <row r="598" spans="1:48">
      <c r="A598" s="41"/>
      <c r="D598" s="31"/>
      <c r="E598" s="31"/>
      <c r="F598" s="31"/>
      <c r="G598" s="31"/>
      <c r="H598" s="32"/>
      <c r="J598" s="33"/>
      <c r="K598" s="33"/>
      <c r="L598" s="33"/>
      <c r="X598" s="22"/>
      <c r="Y598" s="22"/>
      <c r="Z598" s="22"/>
      <c r="AA598" s="22"/>
      <c r="AF598" s="22"/>
      <c r="AG598" s="22"/>
      <c r="AH598" s="22"/>
      <c r="AI598" s="22"/>
      <c r="AN598" s="22"/>
      <c r="AO598" s="22"/>
      <c r="AP598" s="22"/>
      <c r="AQ598" s="22"/>
      <c r="AR598" s="35"/>
      <c r="AS598" s="35"/>
      <c r="AT598" s="35"/>
      <c r="AU598" s="31"/>
      <c r="AV598" s="36"/>
    </row>
    <row r="599" spans="1:48">
      <c r="A599" s="38"/>
      <c r="D599" s="31"/>
      <c r="E599" s="31"/>
      <c r="F599" s="31"/>
      <c r="G599" s="31"/>
      <c r="H599" s="32"/>
      <c r="J599" s="33"/>
      <c r="K599" s="33"/>
      <c r="L599" s="33"/>
      <c r="X599" s="22"/>
      <c r="Y599" s="22"/>
      <c r="Z599" s="22"/>
      <c r="AA599" s="22"/>
      <c r="AF599" s="22"/>
      <c r="AG599" s="22"/>
      <c r="AH599" s="22"/>
      <c r="AI599" s="22"/>
      <c r="AN599" s="22"/>
      <c r="AO599" s="22"/>
      <c r="AP599" s="22"/>
      <c r="AQ599" s="22"/>
      <c r="AR599" s="35"/>
      <c r="AS599" s="35"/>
      <c r="AT599" s="35"/>
      <c r="AU599" s="31"/>
      <c r="AV599" s="36"/>
    </row>
    <row r="600" spans="1:48">
      <c r="A600" s="38"/>
      <c r="D600" s="31"/>
      <c r="E600" s="31"/>
      <c r="F600" s="31"/>
      <c r="G600" s="31"/>
      <c r="H600" s="32"/>
      <c r="J600" s="33"/>
      <c r="K600" s="33"/>
      <c r="L600" s="33"/>
      <c r="X600" s="22"/>
      <c r="Y600" s="22"/>
      <c r="Z600" s="22"/>
      <c r="AA600" s="22"/>
      <c r="AF600" s="22"/>
      <c r="AG600" s="22"/>
      <c r="AH600" s="22"/>
      <c r="AI600" s="22"/>
      <c r="AN600" s="22"/>
      <c r="AO600" s="22"/>
      <c r="AP600" s="22"/>
      <c r="AQ600" s="22"/>
      <c r="AR600" s="35"/>
      <c r="AS600" s="35"/>
      <c r="AT600" s="35"/>
      <c r="AU600" s="31"/>
      <c r="AV600" s="36"/>
    </row>
    <row r="601" spans="1:48">
      <c r="A601" s="38"/>
      <c r="D601" s="31"/>
      <c r="E601" s="31"/>
      <c r="F601" s="31"/>
      <c r="G601" s="31"/>
      <c r="H601" s="32"/>
      <c r="J601" s="33"/>
      <c r="K601" s="33"/>
      <c r="L601" s="33"/>
      <c r="X601" s="22"/>
      <c r="Y601" s="22"/>
      <c r="Z601" s="22"/>
      <c r="AA601" s="22"/>
      <c r="AF601" s="22"/>
      <c r="AG601" s="22"/>
      <c r="AH601" s="22"/>
      <c r="AI601" s="22"/>
      <c r="AN601" s="22"/>
      <c r="AO601" s="22"/>
      <c r="AP601" s="22"/>
      <c r="AQ601" s="22"/>
      <c r="AR601" s="35"/>
      <c r="AS601" s="35"/>
      <c r="AT601" s="35"/>
      <c r="AU601" s="31"/>
      <c r="AV601" s="36"/>
    </row>
    <row r="602" spans="1:48">
      <c r="A602" s="38"/>
      <c r="D602" s="31"/>
      <c r="E602" s="31"/>
      <c r="F602" s="31"/>
      <c r="G602" s="31"/>
      <c r="H602" s="32"/>
      <c r="J602" s="33"/>
      <c r="K602" s="33"/>
      <c r="L602" s="33"/>
      <c r="X602" s="22"/>
      <c r="Y602" s="22"/>
      <c r="Z602" s="22"/>
      <c r="AA602" s="22"/>
      <c r="AF602" s="22"/>
      <c r="AG602" s="22"/>
      <c r="AH602" s="22"/>
      <c r="AI602" s="22"/>
      <c r="AN602" s="22"/>
      <c r="AO602" s="22"/>
      <c r="AP602" s="22"/>
      <c r="AQ602" s="22"/>
      <c r="AR602" s="35"/>
      <c r="AS602" s="35"/>
      <c r="AT602" s="35"/>
      <c r="AU602" s="31"/>
      <c r="AV602" s="36"/>
    </row>
    <row r="603" spans="1:48">
      <c r="A603" s="38"/>
      <c r="D603" s="31"/>
      <c r="E603" s="31"/>
      <c r="F603" s="31"/>
      <c r="G603" s="31"/>
      <c r="H603" s="32"/>
      <c r="J603" s="33"/>
      <c r="K603" s="33"/>
      <c r="L603" s="33"/>
      <c r="X603" s="22"/>
      <c r="Y603" s="22"/>
      <c r="Z603" s="22"/>
      <c r="AA603" s="22"/>
      <c r="AF603" s="22"/>
      <c r="AG603" s="22"/>
      <c r="AH603" s="22"/>
      <c r="AI603" s="22"/>
      <c r="AN603" s="22"/>
      <c r="AO603" s="22"/>
      <c r="AP603" s="22"/>
      <c r="AQ603" s="22"/>
      <c r="AR603" s="35"/>
      <c r="AS603" s="35"/>
      <c r="AT603" s="35"/>
      <c r="AU603" s="31"/>
      <c r="AV603" s="36"/>
    </row>
    <row r="604" spans="1:48">
      <c r="A604" s="38"/>
      <c r="D604" s="31"/>
      <c r="E604" s="31"/>
      <c r="F604" s="31"/>
      <c r="G604" s="31"/>
      <c r="H604" s="32"/>
      <c r="J604" s="33"/>
      <c r="K604" s="33"/>
      <c r="L604" s="33"/>
      <c r="X604" s="22"/>
      <c r="Y604" s="22"/>
      <c r="Z604" s="22"/>
      <c r="AA604" s="22"/>
      <c r="AF604" s="22"/>
      <c r="AG604" s="22"/>
      <c r="AH604" s="22"/>
      <c r="AI604" s="22"/>
      <c r="AN604" s="22"/>
      <c r="AO604" s="22"/>
      <c r="AP604" s="22"/>
      <c r="AQ604" s="22"/>
      <c r="AR604" s="35"/>
      <c r="AS604" s="35"/>
      <c r="AT604" s="35"/>
      <c r="AU604" s="31"/>
      <c r="AV604" s="36"/>
    </row>
    <row r="605" spans="1:48">
      <c r="A605" s="38"/>
      <c r="D605" s="31"/>
      <c r="E605" s="31"/>
      <c r="F605" s="31"/>
      <c r="G605" s="31"/>
      <c r="H605" s="32"/>
      <c r="J605" s="33"/>
      <c r="K605" s="33"/>
      <c r="L605" s="33"/>
      <c r="X605" s="22"/>
      <c r="Y605" s="22"/>
      <c r="Z605" s="22"/>
      <c r="AA605" s="22"/>
      <c r="AF605" s="22"/>
      <c r="AG605" s="22"/>
      <c r="AH605" s="22"/>
      <c r="AI605" s="22"/>
      <c r="AN605" s="22"/>
      <c r="AO605" s="22"/>
      <c r="AP605" s="22"/>
      <c r="AQ605" s="22"/>
      <c r="AR605" s="35"/>
      <c r="AS605" s="35"/>
      <c r="AT605" s="35"/>
      <c r="AU605" s="31"/>
      <c r="AV605" s="36"/>
    </row>
    <row r="606" spans="1:48">
      <c r="A606" s="38"/>
      <c r="D606" s="31"/>
      <c r="E606" s="31"/>
      <c r="F606" s="31"/>
      <c r="G606" s="31"/>
      <c r="H606" s="32"/>
      <c r="J606" s="33"/>
      <c r="K606" s="33"/>
      <c r="L606" s="33"/>
      <c r="X606" s="22"/>
      <c r="Y606" s="22"/>
      <c r="Z606" s="22"/>
      <c r="AA606" s="22"/>
      <c r="AF606" s="22"/>
      <c r="AG606" s="22"/>
      <c r="AH606" s="22"/>
      <c r="AI606" s="22"/>
      <c r="AN606" s="22"/>
      <c r="AO606" s="22"/>
      <c r="AP606" s="22"/>
      <c r="AQ606" s="22"/>
      <c r="AR606" s="35"/>
      <c r="AS606" s="35"/>
      <c r="AT606" s="35"/>
      <c r="AU606" s="31"/>
      <c r="AV606" s="36"/>
    </row>
    <row r="607" spans="1:48">
      <c r="A607" s="38"/>
      <c r="D607" s="31"/>
      <c r="E607" s="31"/>
      <c r="F607" s="31"/>
      <c r="G607" s="31"/>
      <c r="H607" s="32"/>
      <c r="J607" s="33"/>
      <c r="K607" s="33"/>
      <c r="L607" s="33"/>
      <c r="X607" s="22"/>
      <c r="Y607" s="22"/>
      <c r="Z607" s="22"/>
      <c r="AA607" s="22"/>
      <c r="AF607" s="22"/>
      <c r="AG607" s="22"/>
      <c r="AH607" s="22"/>
      <c r="AI607" s="22"/>
      <c r="AN607" s="22"/>
      <c r="AO607" s="22"/>
      <c r="AP607" s="22"/>
      <c r="AQ607" s="22"/>
      <c r="AR607" s="35"/>
      <c r="AS607" s="35"/>
      <c r="AT607" s="35"/>
      <c r="AU607" s="31"/>
      <c r="AV607" s="36"/>
    </row>
    <row r="608" spans="1:48">
      <c r="A608" s="38"/>
      <c r="D608" s="31"/>
      <c r="E608" s="31"/>
      <c r="F608" s="31"/>
      <c r="G608" s="31"/>
      <c r="H608" s="32"/>
      <c r="J608" s="33"/>
      <c r="K608" s="33"/>
      <c r="L608" s="33"/>
      <c r="X608" s="22"/>
      <c r="Y608" s="22"/>
      <c r="Z608" s="22"/>
      <c r="AA608" s="22"/>
      <c r="AF608" s="22"/>
      <c r="AG608" s="22"/>
      <c r="AH608" s="22"/>
      <c r="AI608" s="22"/>
      <c r="AN608" s="22"/>
      <c r="AO608" s="22"/>
      <c r="AP608" s="22"/>
      <c r="AQ608" s="22"/>
      <c r="AR608" s="35"/>
      <c r="AS608" s="35"/>
      <c r="AT608" s="35"/>
      <c r="AU608" s="31"/>
      <c r="AV608" s="36"/>
    </row>
    <row r="609" spans="1:48">
      <c r="A609" s="38"/>
      <c r="D609" s="31"/>
      <c r="E609" s="31"/>
      <c r="F609" s="31"/>
      <c r="G609" s="31"/>
      <c r="H609" s="32"/>
      <c r="J609" s="33"/>
      <c r="K609" s="33"/>
      <c r="L609" s="33"/>
      <c r="X609" s="22"/>
      <c r="Y609" s="22"/>
      <c r="Z609" s="22"/>
      <c r="AA609" s="22"/>
      <c r="AF609" s="22"/>
      <c r="AG609" s="22"/>
      <c r="AH609" s="22"/>
      <c r="AI609" s="22"/>
      <c r="AN609" s="22"/>
      <c r="AO609" s="22"/>
      <c r="AP609" s="22"/>
      <c r="AQ609" s="22"/>
      <c r="AR609" s="35"/>
      <c r="AS609" s="35"/>
      <c r="AT609" s="35"/>
      <c r="AU609" s="31"/>
      <c r="AV609" s="36"/>
    </row>
    <row r="610" spans="1:48">
      <c r="A610" s="38"/>
      <c r="D610" s="31"/>
      <c r="E610" s="31"/>
      <c r="F610" s="31"/>
      <c r="G610" s="31"/>
      <c r="H610" s="32"/>
      <c r="J610" s="33"/>
      <c r="K610" s="33"/>
      <c r="L610" s="33"/>
      <c r="X610" s="22"/>
      <c r="Y610" s="22"/>
      <c r="Z610" s="22"/>
      <c r="AA610" s="22"/>
      <c r="AF610" s="22"/>
      <c r="AG610" s="22"/>
      <c r="AH610" s="22"/>
      <c r="AI610" s="22"/>
      <c r="AN610" s="22"/>
      <c r="AO610" s="22"/>
      <c r="AP610" s="22"/>
      <c r="AQ610" s="22"/>
      <c r="AR610" s="35"/>
      <c r="AS610" s="35"/>
      <c r="AT610" s="35"/>
      <c r="AU610" s="31"/>
      <c r="AV610" s="36"/>
    </row>
    <row r="611" spans="1:48">
      <c r="A611" s="38"/>
      <c r="D611" s="31"/>
      <c r="E611" s="31"/>
      <c r="F611" s="31"/>
      <c r="G611" s="31"/>
      <c r="H611" s="32"/>
      <c r="J611" s="33"/>
      <c r="K611" s="33"/>
      <c r="L611" s="33"/>
      <c r="X611" s="22"/>
      <c r="Y611" s="22"/>
      <c r="Z611" s="22"/>
      <c r="AA611" s="22"/>
      <c r="AF611" s="22"/>
      <c r="AG611" s="22"/>
      <c r="AH611" s="22"/>
      <c r="AI611" s="22"/>
      <c r="AN611" s="22"/>
      <c r="AO611" s="22"/>
      <c r="AP611" s="22"/>
      <c r="AQ611" s="22"/>
      <c r="AR611" s="35"/>
      <c r="AS611" s="35"/>
      <c r="AT611" s="35"/>
      <c r="AU611" s="31"/>
      <c r="AV611" s="36"/>
    </row>
    <row r="612" spans="1:48">
      <c r="A612" s="38"/>
      <c r="D612" s="31"/>
      <c r="E612" s="31"/>
      <c r="F612" s="31"/>
      <c r="G612" s="31"/>
      <c r="H612" s="32"/>
      <c r="J612" s="33"/>
      <c r="K612" s="33"/>
      <c r="L612" s="33"/>
      <c r="X612" s="22"/>
      <c r="Y612" s="22"/>
      <c r="Z612" s="22"/>
      <c r="AA612" s="22"/>
      <c r="AF612" s="22"/>
      <c r="AG612" s="22"/>
      <c r="AH612" s="22"/>
      <c r="AI612" s="22"/>
      <c r="AN612" s="22"/>
      <c r="AO612" s="22"/>
      <c r="AP612" s="22"/>
      <c r="AQ612" s="22"/>
      <c r="AR612" s="35"/>
      <c r="AS612" s="35"/>
      <c r="AT612" s="35"/>
      <c r="AU612" s="31"/>
      <c r="AV612" s="36"/>
    </row>
    <row r="613" spans="1:48">
      <c r="A613" s="38"/>
      <c r="D613" s="31"/>
      <c r="E613" s="31"/>
      <c r="F613" s="31"/>
      <c r="G613" s="31"/>
      <c r="H613" s="32"/>
      <c r="J613" s="33"/>
      <c r="K613" s="33"/>
      <c r="L613" s="33"/>
      <c r="X613" s="22"/>
      <c r="Y613" s="22"/>
      <c r="Z613" s="22"/>
      <c r="AA613" s="22"/>
      <c r="AF613" s="22"/>
      <c r="AG613" s="22"/>
      <c r="AH613" s="22"/>
      <c r="AI613" s="22"/>
      <c r="AN613" s="22"/>
      <c r="AO613" s="22"/>
      <c r="AP613" s="22"/>
      <c r="AQ613" s="22"/>
      <c r="AR613" s="35"/>
      <c r="AS613" s="35"/>
      <c r="AT613" s="35"/>
      <c r="AU613" s="31"/>
      <c r="AV613" s="36"/>
    </row>
    <row r="614" spans="1:48">
      <c r="A614" s="38"/>
      <c r="D614" s="31"/>
      <c r="E614" s="31"/>
      <c r="F614" s="31"/>
      <c r="G614" s="31"/>
      <c r="H614" s="32"/>
      <c r="J614" s="33"/>
      <c r="K614" s="33"/>
      <c r="L614" s="33"/>
      <c r="X614" s="22"/>
      <c r="Y614" s="22"/>
      <c r="Z614" s="22"/>
      <c r="AA614" s="22"/>
      <c r="AF614" s="22"/>
      <c r="AG614" s="22"/>
      <c r="AH614" s="22"/>
      <c r="AI614" s="22"/>
      <c r="AN614" s="22"/>
      <c r="AO614" s="22"/>
      <c r="AP614" s="22"/>
      <c r="AQ614" s="22"/>
      <c r="AR614" s="35"/>
      <c r="AS614" s="35"/>
      <c r="AT614" s="35"/>
      <c r="AU614" s="31"/>
      <c r="AV614" s="36"/>
    </row>
    <row r="615" spans="1:48">
      <c r="A615" s="38"/>
      <c r="D615" s="31"/>
      <c r="E615" s="31"/>
      <c r="F615" s="31"/>
      <c r="G615" s="31"/>
      <c r="H615" s="32"/>
      <c r="J615" s="33"/>
      <c r="K615" s="33"/>
      <c r="L615" s="33"/>
      <c r="X615" s="22"/>
      <c r="Y615" s="22"/>
      <c r="Z615" s="22"/>
      <c r="AA615" s="22"/>
      <c r="AF615" s="22"/>
      <c r="AG615" s="22"/>
      <c r="AH615" s="22"/>
      <c r="AI615" s="22"/>
      <c r="AN615" s="22"/>
      <c r="AO615" s="22"/>
      <c r="AP615" s="22"/>
      <c r="AQ615" s="22"/>
      <c r="AR615" s="35"/>
      <c r="AS615" s="35"/>
      <c r="AT615" s="35"/>
      <c r="AU615" s="31"/>
      <c r="AV615" s="36"/>
    </row>
    <row r="616" spans="1:48">
      <c r="A616" s="38"/>
      <c r="D616" s="31"/>
      <c r="E616" s="31"/>
      <c r="F616" s="31"/>
      <c r="G616" s="31"/>
      <c r="H616" s="32"/>
      <c r="J616" s="33"/>
      <c r="K616" s="33"/>
      <c r="L616" s="33"/>
      <c r="X616" s="22"/>
      <c r="Y616" s="22"/>
      <c r="Z616" s="22"/>
      <c r="AA616" s="22"/>
      <c r="AF616" s="22"/>
      <c r="AG616" s="22"/>
      <c r="AH616" s="22"/>
      <c r="AI616" s="22"/>
      <c r="AN616" s="22"/>
      <c r="AO616" s="22"/>
      <c r="AP616" s="22"/>
      <c r="AQ616" s="22"/>
      <c r="AR616" s="35"/>
      <c r="AS616" s="35"/>
      <c r="AT616" s="35"/>
      <c r="AU616" s="31"/>
      <c r="AV616" s="36"/>
    </row>
    <row r="617" spans="1:48">
      <c r="A617" s="38"/>
      <c r="D617" s="31"/>
      <c r="E617" s="31"/>
      <c r="F617" s="31"/>
      <c r="G617" s="31"/>
      <c r="H617" s="32"/>
      <c r="J617" s="33"/>
      <c r="K617" s="33"/>
      <c r="L617" s="33"/>
      <c r="X617" s="22"/>
      <c r="Y617" s="22"/>
      <c r="Z617" s="22"/>
      <c r="AA617" s="22"/>
      <c r="AF617" s="22"/>
      <c r="AG617" s="22"/>
      <c r="AH617" s="22"/>
      <c r="AI617" s="22"/>
      <c r="AN617" s="22"/>
      <c r="AO617" s="22"/>
      <c r="AP617" s="22"/>
      <c r="AQ617" s="22"/>
      <c r="AR617" s="35"/>
      <c r="AS617" s="35"/>
      <c r="AT617" s="35"/>
      <c r="AU617" s="31"/>
      <c r="AV617" s="36"/>
    </row>
    <row r="618" spans="1:48">
      <c r="A618" s="38"/>
      <c r="D618" s="31"/>
      <c r="E618" s="31"/>
      <c r="F618" s="31"/>
      <c r="G618" s="31"/>
      <c r="H618" s="32"/>
      <c r="J618" s="33"/>
      <c r="K618" s="33"/>
      <c r="L618" s="33"/>
      <c r="X618" s="22"/>
      <c r="Y618" s="22"/>
      <c r="Z618" s="22"/>
      <c r="AA618" s="22"/>
      <c r="AF618" s="22"/>
      <c r="AG618" s="22"/>
      <c r="AH618" s="22"/>
      <c r="AI618" s="22"/>
      <c r="AN618" s="22"/>
      <c r="AO618" s="22"/>
      <c r="AP618" s="22"/>
      <c r="AQ618" s="22"/>
      <c r="AR618" s="35"/>
      <c r="AS618" s="35"/>
      <c r="AT618" s="35"/>
      <c r="AU618" s="31"/>
      <c r="AV618" s="36"/>
    </row>
    <row r="619" spans="1:48">
      <c r="A619" s="38"/>
      <c r="D619" s="31"/>
      <c r="E619" s="31"/>
      <c r="F619" s="31"/>
      <c r="G619" s="31"/>
      <c r="H619" s="32"/>
      <c r="J619" s="33"/>
      <c r="K619" s="33"/>
      <c r="L619" s="33"/>
      <c r="X619" s="22"/>
      <c r="Y619" s="22"/>
      <c r="Z619" s="22"/>
      <c r="AA619" s="22"/>
      <c r="AF619" s="22"/>
      <c r="AG619" s="22"/>
      <c r="AH619" s="22"/>
      <c r="AI619" s="22"/>
      <c r="AN619" s="22"/>
      <c r="AO619" s="22"/>
      <c r="AP619" s="22"/>
      <c r="AQ619" s="22"/>
      <c r="AR619" s="35"/>
      <c r="AS619" s="35"/>
      <c r="AT619" s="35"/>
      <c r="AU619" s="31"/>
      <c r="AV619" s="36"/>
    </row>
    <row r="620" spans="1:48">
      <c r="A620" s="38"/>
      <c r="D620" s="31"/>
      <c r="E620" s="31"/>
      <c r="F620" s="31"/>
      <c r="G620" s="31"/>
      <c r="H620" s="32"/>
      <c r="J620" s="33"/>
      <c r="K620" s="33"/>
      <c r="L620" s="33"/>
      <c r="X620" s="22"/>
      <c r="Y620" s="22"/>
      <c r="Z620" s="22"/>
      <c r="AA620" s="22"/>
      <c r="AF620" s="22"/>
      <c r="AG620" s="22"/>
      <c r="AH620" s="22"/>
      <c r="AI620" s="22"/>
      <c r="AN620" s="22"/>
      <c r="AO620" s="22"/>
      <c r="AP620" s="22"/>
      <c r="AQ620" s="22"/>
      <c r="AR620" s="35"/>
      <c r="AS620" s="35"/>
      <c r="AT620" s="35"/>
      <c r="AU620" s="31"/>
      <c r="AV620" s="36"/>
    </row>
    <row r="621" spans="1:48">
      <c r="A621" s="38"/>
      <c r="D621" s="31"/>
      <c r="E621" s="31"/>
      <c r="F621" s="31"/>
      <c r="G621" s="31"/>
      <c r="H621" s="32"/>
      <c r="J621" s="33"/>
      <c r="K621" s="33"/>
      <c r="L621" s="33"/>
      <c r="X621" s="22"/>
      <c r="Y621" s="22"/>
      <c r="Z621" s="22"/>
      <c r="AA621" s="22"/>
      <c r="AF621" s="22"/>
      <c r="AG621" s="22"/>
      <c r="AH621" s="22"/>
      <c r="AI621" s="22"/>
      <c r="AN621" s="22"/>
      <c r="AO621" s="22"/>
      <c r="AP621" s="22"/>
      <c r="AQ621" s="22"/>
      <c r="AR621" s="35"/>
      <c r="AS621" s="35"/>
      <c r="AT621" s="35"/>
      <c r="AU621" s="31"/>
      <c r="AV621" s="36"/>
    </row>
    <row r="622" spans="1:48">
      <c r="A622" s="38"/>
      <c r="D622" s="31"/>
      <c r="E622" s="31"/>
      <c r="F622" s="31"/>
      <c r="G622" s="31"/>
      <c r="H622" s="32"/>
      <c r="J622" s="33"/>
      <c r="K622" s="33"/>
      <c r="L622" s="33"/>
      <c r="X622" s="22"/>
      <c r="Y622" s="22"/>
      <c r="Z622" s="22"/>
      <c r="AA622" s="22"/>
      <c r="AF622" s="22"/>
      <c r="AG622" s="22"/>
      <c r="AH622" s="22"/>
      <c r="AI622" s="22"/>
      <c r="AN622" s="22"/>
      <c r="AO622" s="22"/>
      <c r="AP622" s="22"/>
      <c r="AQ622" s="22"/>
      <c r="AR622" s="35"/>
      <c r="AS622" s="35"/>
      <c r="AT622" s="35"/>
      <c r="AU622" s="31"/>
      <c r="AV622" s="36"/>
    </row>
    <row r="623" spans="1:48">
      <c r="A623" s="38"/>
      <c r="D623" s="31"/>
      <c r="E623" s="31"/>
      <c r="F623" s="31"/>
      <c r="G623" s="31"/>
      <c r="H623" s="32"/>
      <c r="J623" s="33"/>
      <c r="K623" s="33"/>
      <c r="L623" s="33"/>
      <c r="X623" s="22"/>
      <c r="Y623" s="22"/>
      <c r="Z623" s="22"/>
      <c r="AA623" s="22"/>
      <c r="AF623" s="22"/>
      <c r="AG623" s="22"/>
      <c r="AH623" s="22"/>
      <c r="AI623" s="22"/>
      <c r="AN623" s="22"/>
      <c r="AO623" s="22"/>
      <c r="AP623" s="22"/>
      <c r="AQ623" s="22"/>
      <c r="AR623" s="35"/>
      <c r="AS623" s="35"/>
      <c r="AT623" s="35"/>
      <c r="AU623" s="31"/>
      <c r="AV623" s="36"/>
    </row>
    <row r="624" spans="1:48">
      <c r="A624" s="38"/>
      <c r="D624" s="31"/>
      <c r="E624" s="31"/>
      <c r="F624" s="31"/>
      <c r="G624" s="31"/>
      <c r="H624" s="32"/>
      <c r="J624" s="33"/>
      <c r="K624" s="33"/>
      <c r="L624" s="33"/>
      <c r="X624" s="22"/>
      <c r="Y624" s="22"/>
      <c r="Z624" s="22"/>
      <c r="AA624" s="22"/>
      <c r="AF624" s="22"/>
      <c r="AG624" s="22"/>
      <c r="AH624" s="22"/>
      <c r="AI624" s="22"/>
      <c r="AN624" s="22"/>
      <c r="AO624" s="22"/>
      <c r="AP624" s="22"/>
      <c r="AQ624" s="22"/>
      <c r="AR624" s="35"/>
      <c r="AS624" s="35"/>
      <c r="AT624" s="35"/>
      <c r="AU624" s="31"/>
      <c r="AV624" s="36"/>
    </row>
    <row r="625" spans="1:48">
      <c r="A625" s="38"/>
      <c r="D625" s="31"/>
      <c r="E625" s="31"/>
      <c r="F625" s="31"/>
      <c r="G625" s="31"/>
      <c r="H625" s="32"/>
      <c r="J625" s="33"/>
      <c r="K625" s="33"/>
      <c r="L625" s="33"/>
      <c r="X625" s="22"/>
      <c r="Y625" s="22"/>
      <c r="Z625" s="22"/>
      <c r="AA625" s="22"/>
      <c r="AF625" s="22"/>
      <c r="AG625" s="22"/>
      <c r="AH625" s="22"/>
      <c r="AI625" s="22"/>
      <c r="AN625" s="22"/>
      <c r="AO625" s="22"/>
      <c r="AP625" s="22"/>
      <c r="AQ625" s="22"/>
      <c r="AR625" s="35"/>
      <c r="AS625" s="35"/>
      <c r="AT625" s="35"/>
      <c r="AU625" s="31"/>
      <c r="AV625" s="36"/>
    </row>
    <row r="626" spans="1:48">
      <c r="A626" s="38"/>
      <c r="D626" s="31"/>
      <c r="E626" s="31"/>
      <c r="F626" s="31"/>
      <c r="G626" s="31"/>
      <c r="H626" s="32"/>
      <c r="J626" s="33"/>
      <c r="K626" s="33"/>
      <c r="L626" s="33"/>
      <c r="X626" s="22"/>
      <c r="Y626" s="22"/>
      <c r="Z626" s="22"/>
      <c r="AA626" s="22"/>
      <c r="AF626" s="22"/>
      <c r="AG626" s="22"/>
      <c r="AH626" s="22"/>
      <c r="AI626" s="22"/>
      <c r="AN626" s="22"/>
      <c r="AO626" s="22"/>
      <c r="AP626" s="22"/>
      <c r="AQ626" s="22"/>
      <c r="AR626" s="35"/>
      <c r="AS626" s="35"/>
      <c r="AT626" s="35"/>
      <c r="AU626" s="31"/>
      <c r="AV626" s="36"/>
    </row>
    <row r="627" spans="1:48">
      <c r="A627" s="38"/>
      <c r="D627" s="31"/>
      <c r="E627" s="31"/>
      <c r="F627" s="31"/>
      <c r="G627" s="31"/>
      <c r="H627" s="32"/>
      <c r="J627" s="33"/>
      <c r="K627" s="33"/>
      <c r="L627" s="33"/>
      <c r="X627" s="22"/>
      <c r="Y627" s="22"/>
      <c r="Z627" s="22"/>
      <c r="AA627" s="22"/>
      <c r="AF627" s="22"/>
      <c r="AG627" s="22"/>
      <c r="AH627" s="22"/>
      <c r="AI627" s="22"/>
      <c r="AN627" s="22"/>
      <c r="AO627" s="22"/>
      <c r="AP627" s="22"/>
      <c r="AQ627" s="22"/>
      <c r="AR627" s="35"/>
      <c r="AS627" s="35"/>
      <c r="AT627" s="35"/>
      <c r="AU627" s="31"/>
      <c r="AV627" s="36"/>
    </row>
    <row r="628" spans="1:48">
      <c r="A628" s="38"/>
      <c r="D628" s="31"/>
      <c r="E628" s="31"/>
      <c r="F628" s="31"/>
      <c r="G628" s="31"/>
      <c r="H628" s="32"/>
      <c r="J628" s="33"/>
      <c r="K628" s="33"/>
      <c r="L628" s="33"/>
      <c r="X628" s="22"/>
      <c r="Y628" s="22"/>
      <c r="Z628" s="22"/>
      <c r="AA628" s="22"/>
      <c r="AF628" s="22"/>
      <c r="AG628" s="22"/>
      <c r="AH628" s="22"/>
      <c r="AI628" s="22"/>
      <c r="AN628" s="22"/>
      <c r="AO628" s="22"/>
      <c r="AP628" s="22"/>
      <c r="AQ628" s="22"/>
      <c r="AR628" s="35"/>
      <c r="AS628" s="35"/>
      <c r="AT628" s="35"/>
      <c r="AU628" s="31"/>
      <c r="AV628" s="36"/>
    </row>
    <row r="629" spans="1:48">
      <c r="A629" s="38"/>
      <c r="D629" s="31"/>
      <c r="E629" s="31"/>
      <c r="F629" s="31"/>
      <c r="G629" s="31"/>
      <c r="H629" s="32"/>
      <c r="J629" s="33"/>
      <c r="K629" s="33"/>
      <c r="L629" s="33"/>
      <c r="X629" s="22"/>
      <c r="Y629" s="22"/>
      <c r="Z629" s="22"/>
      <c r="AA629" s="22"/>
      <c r="AF629" s="22"/>
      <c r="AG629" s="22"/>
      <c r="AH629" s="22"/>
      <c r="AI629" s="22"/>
      <c r="AN629" s="22"/>
      <c r="AO629" s="22"/>
      <c r="AP629" s="22"/>
      <c r="AQ629" s="22"/>
      <c r="AR629" s="35"/>
      <c r="AS629" s="35"/>
      <c r="AT629" s="35"/>
      <c r="AU629" s="31"/>
      <c r="AV629" s="36"/>
    </row>
    <row r="630" spans="1:48">
      <c r="A630" s="38"/>
      <c r="D630" s="31"/>
      <c r="E630" s="31"/>
      <c r="F630" s="31"/>
      <c r="G630" s="31"/>
      <c r="H630" s="32"/>
      <c r="J630" s="33"/>
      <c r="K630" s="33"/>
      <c r="L630" s="33"/>
      <c r="X630" s="22"/>
      <c r="Y630" s="22"/>
      <c r="Z630" s="22"/>
      <c r="AA630" s="22"/>
      <c r="AF630" s="22"/>
      <c r="AG630" s="22"/>
      <c r="AH630" s="22"/>
      <c r="AI630" s="22"/>
      <c r="AN630" s="22"/>
      <c r="AO630" s="22"/>
      <c r="AP630" s="22"/>
      <c r="AQ630" s="22"/>
      <c r="AR630" s="35"/>
      <c r="AS630" s="35"/>
      <c r="AT630" s="35"/>
      <c r="AU630" s="31"/>
      <c r="AV630" s="36"/>
    </row>
    <row r="631" spans="1:48">
      <c r="A631" s="38"/>
      <c r="D631" s="31"/>
      <c r="E631" s="31"/>
      <c r="F631" s="31"/>
      <c r="G631" s="31"/>
      <c r="H631" s="32"/>
      <c r="J631" s="33"/>
      <c r="K631" s="33"/>
      <c r="L631" s="33"/>
      <c r="X631" s="22"/>
      <c r="Y631" s="22"/>
      <c r="Z631" s="22"/>
      <c r="AA631" s="22"/>
      <c r="AF631" s="22"/>
      <c r="AG631" s="22"/>
      <c r="AH631" s="22"/>
      <c r="AI631" s="22"/>
      <c r="AN631" s="22"/>
      <c r="AO631" s="22"/>
      <c r="AP631" s="22"/>
      <c r="AQ631" s="22"/>
      <c r="AR631" s="35"/>
      <c r="AS631" s="35"/>
      <c r="AT631" s="35"/>
      <c r="AU631" s="31"/>
      <c r="AV631" s="36"/>
    </row>
    <row r="632" spans="1:48">
      <c r="A632" s="38"/>
      <c r="D632" s="31"/>
      <c r="E632" s="31"/>
      <c r="F632" s="31"/>
      <c r="G632" s="31"/>
      <c r="H632" s="32"/>
      <c r="J632" s="33"/>
      <c r="K632" s="33"/>
      <c r="L632" s="33"/>
      <c r="X632" s="22"/>
      <c r="Y632" s="22"/>
      <c r="Z632" s="22"/>
      <c r="AA632" s="22"/>
      <c r="AF632" s="22"/>
      <c r="AG632" s="22"/>
      <c r="AH632" s="22"/>
      <c r="AI632" s="22"/>
      <c r="AN632" s="22"/>
      <c r="AO632" s="22"/>
      <c r="AP632" s="22"/>
      <c r="AQ632" s="22"/>
      <c r="AR632" s="35"/>
      <c r="AS632" s="35"/>
      <c r="AT632" s="35"/>
      <c r="AU632" s="31"/>
      <c r="AV632" s="36"/>
    </row>
    <row r="633" spans="1:48">
      <c r="A633" s="38"/>
      <c r="D633" s="31"/>
      <c r="E633" s="31"/>
      <c r="F633" s="31"/>
      <c r="G633" s="31"/>
      <c r="H633" s="32"/>
      <c r="J633" s="33"/>
      <c r="K633" s="33"/>
      <c r="L633" s="33"/>
      <c r="X633" s="22"/>
      <c r="Y633" s="22"/>
      <c r="Z633" s="22"/>
      <c r="AA633" s="22"/>
      <c r="AF633" s="22"/>
      <c r="AG633" s="22"/>
      <c r="AH633" s="22"/>
      <c r="AI633" s="22"/>
      <c r="AN633" s="22"/>
      <c r="AO633" s="22"/>
      <c r="AP633" s="22"/>
      <c r="AQ633" s="22"/>
      <c r="AR633" s="35"/>
      <c r="AS633" s="35"/>
      <c r="AT633" s="35"/>
      <c r="AU633" s="31"/>
      <c r="AV633" s="36"/>
    </row>
    <row r="634" spans="1:48">
      <c r="A634" s="38"/>
      <c r="D634" s="31"/>
      <c r="E634" s="31"/>
      <c r="F634" s="31"/>
      <c r="G634" s="31"/>
      <c r="H634" s="32"/>
      <c r="J634" s="33"/>
      <c r="K634" s="33"/>
      <c r="L634" s="33"/>
      <c r="X634" s="22"/>
      <c r="Y634" s="22"/>
      <c r="Z634" s="22"/>
      <c r="AA634" s="22"/>
      <c r="AF634" s="22"/>
      <c r="AG634" s="22"/>
      <c r="AH634" s="22"/>
      <c r="AI634" s="22"/>
      <c r="AN634" s="22"/>
      <c r="AO634" s="22"/>
      <c r="AP634" s="22"/>
      <c r="AQ634" s="22"/>
      <c r="AR634" s="35"/>
      <c r="AS634" s="35"/>
      <c r="AT634" s="35"/>
      <c r="AU634" s="31"/>
      <c r="AV634" s="36"/>
    </row>
    <row r="635" spans="1:48">
      <c r="A635" s="38"/>
      <c r="D635" s="31"/>
      <c r="E635" s="31"/>
      <c r="F635" s="31"/>
      <c r="G635" s="31"/>
      <c r="H635" s="32"/>
      <c r="J635" s="33"/>
      <c r="K635" s="33"/>
      <c r="L635" s="33"/>
      <c r="X635" s="22"/>
      <c r="Y635" s="22"/>
      <c r="Z635" s="22"/>
      <c r="AA635" s="22"/>
      <c r="AF635" s="22"/>
      <c r="AG635" s="22"/>
      <c r="AH635" s="22"/>
      <c r="AI635" s="22"/>
      <c r="AN635" s="22"/>
      <c r="AO635" s="22"/>
      <c r="AP635" s="22"/>
      <c r="AQ635" s="22"/>
      <c r="AR635" s="35"/>
      <c r="AS635" s="35"/>
      <c r="AT635" s="35"/>
      <c r="AU635" s="31"/>
      <c r="AV635" s="36"/>
    </row>
    <row r="636" spans="1:48">
      <c r="A636" s="38"/>
      <c r="D636" s="31"/>
      <c r="E636" s="31"/>
      <c r="F636" s="31"/>
      <c r="G636" s="31"/>
      <c r="H636" s="32"/>
      <c r="J636" s="33"/>
      <c r="K636" s="33"/>
      <c r="L636" s="33"/>
      <c r="X636" s="22"/>
      <c r="Y636" s="22"/>
      <c r="Z636" s="22"/>
      <c r="AA636" s="22"/>
      <c r="AF636" s="22"/>
      <c r="AG636" s="22"/>
      <c r="AH636" s="22"/>
      <c r="AI636" s="22"/>
      <c r="AN636" s="22"/>
      <c r="AO636" s="22"/>
      <c r="AP636" s="22"/>
      <c r="AQ636" s="22"/>
      <c r="AR636" s="35"/>
      <c r="AS636" s="35"/>
      <c r="AT636" s="35"/>
      <c r="AU636" s="31"/>
      <c r="AV636" s="36"/>
    </row>
    <row r="637" spans="1:48">
      <c r="A637" s="38"/>
      <c r="D637" s="31"/>
      <c r="E637" s="31"/>
      <c r="F637" s="31"/>
      <c r="G637" s="31"/>
      <c r="H637" s="32"/>
      <c r="J637" s="33"/>
      <c r="K637" s="33"/>
      <c r="L637" s="33"/>
      <c r="X637" s="22"/>
      <c r="Y637" s="22"/>
      <c r="Z637" s="22"/>
      <c r="AA637" s="22"/>
      <c r="AF637" s="22"/>
      <c r="AG637" s="22"/>
      <c r="AH637" s="22"/>
      <c r="AI637" s="22"/>
      <c r="AN637" s="22"/>
      <c r="AO637" s="22"/>
      <c r="AP637" s="22"/>
      <c r="AQ637" s="22"/>
      <c r="AR637" s="35"/>
      <c r="AS637" s="35"/>
      <c r="AT637" s="35"/>
      <c r="AU637" s="31"/>
      <c r="AV637" s="36"/>
    </row>
    <row r="638" spans="1:48">
      <c r="A638" s="42"/>
      <c r="D638" s="31"/>
      <c r="E638" s="31"/>
      <c r="F638" s="31"/>
      <c r="G638" s="31"/>
      <c r="H638" s="32"/>
      <c r="J638" s="33"/>
      <c r="K638" s="33"/>
      <c r="L638" s="33"/>
      <c r="X638" s="22"/>
      <c r="Y638" s="22"/>
      <c r="Z638" s="22"/>
      <c r="AA638" s="22"/>
      <c r="AF638" s="22"/>
      <c r="AG638" s="22"/>
      <c r="AH638" s="22"/>
      <c r="AI638" s="22"/>
      <c r="AN638" s="22"/>
      <c r="AO638" s="22"/>
      <c r="AP638" s="22"/>
      <c r="AQ638" s="22"/>
      <c r="AR638" s="35"/>
      <c r="AS638" s="35"/>
      <c r="AT638" s="35"/>
      <c r="AU638" s="31"/>
      <c r="AV638" s="36"/>
    </row>
    <row r="639" spans="1:48">
      <c r="A639" s="38"/>
      <c r="D639" s="31"/>
      <c r="E639" s="31"/>
      <c r="F639" s="31"/>
      <c r="G639" s="31"/>
      <c r="H639" s="32"/>
      <c r="J639" s="33"/>
      <c r="K639" s="33"/>
      <c r="L639" s="33"/>
      <c r="X639" s="22"/>
      <c r="Y639" s="22"/>
      <c r="Z639" s="22"/>
      <c r="AA639" s="22"/>
      <c r="AF639" s="22"/>
      <c r="AG639" s="22"/>
      <c r="AH639" s="22"/>
      <c r="AI639" s="22"/>
      <c r="AN639" s="22"/>
      <c r="AO639" s="22"/>
      <c r="AP639" s="22"/>
      <c r="AQ639" s="22"/>
      <c r="AR639" s="35"/>
      <c r="AS639" s="35"/>
      <c r="AT639" s="35"/>
      <c r="AU639" s="31"/>
      <c r="AV639" s="36"/>
    </row>
    <row r="640" spans="1:48">
      <c r="A640" s="42"/>
      <c r="D640" s="31"/>
      <c r="E640" s="31"/>
      <c r="F640" s="31"/>
      <c r="G640" s="31"/>
      <c r="H640" s="32"/>
      <c r="J640" s="33"/>
      <c r="K640" s="33"/>
      <c r="L640" s="33"/>
      <c r="X640" s="22"/>
      <c r="Y640" s="22"/>
      <c r="Z640" s="22"/>
      <c r="AA640" s="22"/>
      <c r="AF640" s="22"/>
      <c r="AG640" s="22"/>
      <c r="AH640" s="22"/>
      <c r="AI640" s="22"/>
      <c r="AN640" s="22"/>
      <c r="AO640" s="22"/>
      <c r="AP640" s="22"/>
      <c r="AQ640" s="22"/>
      <c r="AR640" s="35"/>
      <c r="AS640" s="35"/>
      <c r="AT640" s="35"/>
      <c r="AU640" s="31"/>
      <c r="AV640" s="36"/>
    </row>
    <row r="641" spans="1:48">
      <c r="A641" s="42"/>
      <c r="D641" s="31"/>
      <c r="E641" s="31"/>
      <c r="F641" s="31"/>
      <c r="G641" s="31"/>
      <c r="H641" s="32"/>
      <c r="J641" s="33"/>
      <c r="K641" s="33"/>
      <c r="L641" s="33"/>
      <c r="X641" s="22"/>
      <c r="Y641" s="22"/>
      <c r="Z641" s="22"/>
      <c r="AA641" s="22"/>
      <c r="AF641" s="22"/>
      <c r="AG641" s="22"/>
      <c r="AH641" s="22"/>
      <c r="AI641" s="22"/>
      <c r="AN641" s="22"/>
      <c r="AO641" s="22"/>
      <c r="AP641" s="22"/>
      <c r="AQ641" s="22"/>
      <c r="AR641" s="35"/>
      <c r="AS641" s="35"/>
      <c r="AT641" s="35"/>
      <c r="AU641" s="31"/>
      <c r="AV641" s="36"/>
    </row>
    <row r="642" spans="1:48">
      <c r="A642" s="38"/>
      <c r="D642" s="31"/>
      <c r="E642" s="31"/>
      <c r="F642" s="31"/>
      <c r="G642" s="31"/>
      <c r="H642" s="32"/>
      <c r="J642" s="33"/>
      <c r="K642" s="33"/>
      <c r="L642" s="33"/>
      <c r="X642" s="22"/>
      <c r="Y642" s="22"/>
      <c r="Z642" s="22"/>
      <c r="AA642" s="22"/>
      <c r="AF642" s="22"/>
      <c r="AG642" s="22"/>
      <c r="AH642" s="22"/>
      <c r="AI642" s="22"/>
      <c r="AN642" s="22"/>
      <c r="AO642" s="22"/>
      <c r="AP642" s="22"/>
      <c r="AQ642" s="22"/>
      <c r="AR642" s="35"/>
      <c r="AS642" s="35"/>
      <c r="AT642" s="35"/>
      <c r="AU642" s="31"/>
      <c r="AV642" s="36"/>
    </row>
    <row r="643" spans="1:48">
      <c r="A643" s="38"/>
      <c r="D643" s="31"/>
      <c r="E643" s="31"/>
      <c r="F643" s="31"/>
      <c r="G643" s="31"/>
      <c r="H643" s="32"/>
      <c r="J643" s="33"/>
      <c r="K643" s="33"/>
      <c r="L643" s="33"/>
      <c r="X643" s="22"/>
      <c r="Y643" s="22"/>
      <c r="Z643" s="22"/>
      <c r="AA643" s="22"/>
      <c r="AF643" s="22"/>
      <c r="AG643" s="22"/>
      <c r="AH643" s="22"/>
      <c r="AI643" s="22"/>
      <c r="AN643" s="22"/>
      <c r="AO643" s="22"/>
      <c r="AP643" s="22"/>
      <c r="AQ643" s="22"/>
      <c r="AR643" s="35"/>
      <c r="AS643" s="35"/>
      <c r="AT643" s="35"/>
      <c r="AU643" s="31"/>
      <c r="AV643" s="36"/>
    </row>
    <row r="644" spans="1:48">
      <c r="A644" s="42"/>
      <c r="D644" s="31"/>
      <c r="E644" s="31"/>
      <c r="F644" s="31"/>
      <c r="G644" s="31"/>
      <c r="H644" s="32"/>
      <c r="J644" s="33"/>
      <c r="K644" s="33"/>
      <c r="L644" s="33"/>
      <c r="X644" s="22"/>
      <c r="Y644" s="22"/>
      <c r="Z644" s="22"/>
      <c r="AA644" s="22"/>
      <c r="AF644" s="22"/>
      <c r="AG644" s="22"/>
      <c r="AH644" s="22"/>
      <c r="AI644" s="22"/>
      <c r="AN644" s="22"/>
      <c r="AO644" s="22"/>
      <c r="AP644" s="22"/>
      <c r="AQ644" s="22"/>
      <c r="AR644" s="35"/>
      <c r="AS644" s="35"/>
      <c r="AT644" s="35"/>
      <c r="AU644" s="31"/>
      <c r="AV644" s="36"/>
    </row>
    <row r="645" spans="1:48">
      <c r="A645" s="42"/>
      <c r="D645" s="31"/>
      <c r="E645" s="31"/>
      <c r="F645" s="31"/>
      <c r="G645" s="31"/>
      <c r="H645" s="32"/>
      <c r="J645" s="33"/>
      <c r="K645" s="33"/>
      <c r="L645" s="33"/>
      <c r="X645" s="22"/>
      <c r="Y645" s="22"/>
      <c r="Z645" s="22"/>
      <c r="AA645" s="22"/>
      <c r="AF645" s="22"/>
      <c r="AG645" s="22"/>
      <c r="AH645" s="22"/>
      <c r="AI645" s="22"/>
      <c r="AN645" s="22"/>
      <c r="AO645" s="22"/>
      <c r="AP645" s="22"/>
      <c r="AQ645" s="22"/>
      <c r="AR645" s="35"/>
      <c r="AS645" s="35"/>
      <c r="AT645" s="35"/>
      <c r="AU645" s="31"/>
      <c r="AV645" s="36"/>
    </row>
    <row r="646" spans="1:48">
      <c r="A646" s="42"/>
      <c r="D646" s="31"/>
      <c r="E646" s="31"/>
      <c r="F646" s="31"/>
      <c r="G646" s="31"/>
      <c r="H646" s="32"/>
      <c r="J646" s="33"/>
      <c r="K646" s="33"/>
      <c r="L646" s="33"/>
      <c r="X646" s="22"/>
      <c r="Y646" s="22"/>
      <c r="Z646" s="22"/>
      <c r="AA646" s="22"/>
      <c r="AF646" s="22"/>
      <c r="AG646" s="22"/>
      <c r="AH646" s="22"/>
      <c r="AI646" s="22"/>
      <c r="AN646" s="22"/>
      <c r="AO646" s="22"/>
      <c r="AP646" s="22"/>
      <c r="AQ646" s="22"/>
      <c r="AR646" s="35"/>
      <c r="AS646" s="35"/>
      <c r="AT646" s="35"/>
      <c r="AU646" s="31"/>
      <c r="AV646" s="36"/>
    </row>
    <row r="647" spans="1:48">
      <c r="A647" s="38"/>
      <c r="D647" s="31"/>
      <c r="E647" s="31"/>
      <c r="F647" s="31"/>
      <c r="G647" s="31"/>
      <c r="H647" s="32"/>
      <c r="J647" s="33"/>
      <c r="K647" s="33"/>
      <c r="L647" s="33"/>
      <c r="X647" s="22"/>
      <c r="Y647" s="22"/>
      <c r="Z647" s="22"/>
      <c r="AA647" s="22"/>
      <c r="AF647" s="22"/>
      <c r="AG647" s="22"/>
      <c r="AH647" s="22"/>
      <c r="AI647" s="22"/>
      <c r="AN647" s="22"/>
      <c r="AO647" s="22"/>
      <c r="AP647" s="22"/>
      <c r="AQ647" s="22"/>
      <c r="AR647" s="35"/>
      <c r="AS647" s="35"/>
      <c r="AT647" s="35"/>
      <c r="AU647" s="31"/>
      <c r="AV647" s="36"/>
    </row>
    <row r="648" spans="1:48">
      <c r="A648" s="38"/>
      <c r="D648" s="31"/>
      <c r="E648" s="31"/>
      <c r="F648" s="31"/>
      <c r="G648" s="31"/>
      <c r="H648" s="32"/>
      <c r="J648" s="33"/>
      <c r="K648" s="33"/>
      <c r="L648" s="33"/>
      <c r="X648" s="22"/>
      <c r="Y648" s="22"/>
      <c r="Z648" s="22"/>
      <c r="AA648" s="22"/>
      <c r="AF648" s="22"/>
      <c r="AG648" s="22"/>
      <c r="AH648" s="22"/>
      <c r="AI648" s="22"/>
      <c r="AN648" s="22"/>
      <c r="AO648" s="22"/>
      <c r="AP648" s="22"/>
      <c r="AQ648" s="22"/>
      <c r="AR648" s="35"/>
      <c r="AS648" s="35"/>
      <c r="AT648" s="35"/>
      <c r="AU648" s="31"/>
      <c r="AV648" s="36"/>
    </row>
    <row r="649" spans="1:48">
      <c r="A649" s="38"/>
      <c r="D649" s="31"/>
      <c r="E649" s="31"/>
      <c r="F649" s="31"/>
      <c r="G649" s="31"/>
      <c r="H649" s="32"/>
      <c r="J649" s="33"/>
      <c r="K649" s="33"/>
      <c r="L649" s="33"/>
      <c r="X649" s="22"/>
      <c r="Y649" s="22"/>
      <c r="Z649" s="22"/>
      <c r="AA649" s="22"/>
      <c r="AF649" s="22"/>
      <c r="AG649" s="22"/>
      <c r="AH649" s="22"/>
      <c r="AI649" s="22"/>
      <c r="AN649" s="22"/>
      <c r="AO649" s="22"/>
      <c r="AP649" s="22"/>
      <c r="AQ649" s="22"/>
      <c r="AR649" s="35"/>
      <c r="AS649" s="35"/>
      <c r="AT649" s="35"/>
      <c r="AU649" s="31"/>
      <c r="AV649" s="36"/>
    </row>
    <row r="650" spans="1:48">
      <c r="A650" s="38"/>
      <c r="D650" s="31"/>
      <c r="E650" s="31"/>
      <c r="F650" s="31"/>
      <c r="G650" s="31"/>
      <c r="H650" s="32"/>
      <c r="J650" s="33"/>
      <c r="K650" s="33"/>
      <c r="L650" s="33"/>
      <c r="X650" s="22"/>
      <c r="Y650" s="22"/>
      <c r="Z650" s="22"/>
      <c r="AA650" s="22"/>
      <c r="AF650" s="22"/>
      <c r="AG650" s="22"/>
      <c r="AH650" s="22"/>
      <c r="AI650" s="22"/>
      <c r="AN650" s="22"/>
      <c r="AO650" s="22"/>
      <c r="AP650" s="22"/>
      <c r="AQ650" s="22"/>
      <c r="AR650" s="35"/>
      <c r="AS650" s="35"/>
      <c r="AT650" s="35"/>
      <c r="AU650" s="31"/>
      <c r="AV650" s="36"/>
    </row>
    <row r="651" spans="1:48">
      <c r="A651" s="42"/>
      <c r="D651" s="31"/>
      <c r="E651" s="31"/>
      <c r="F651" s="31"/>
      <c r="G651" s="31"/>
      <c r="H651" s="32"/>
      <c r="J651" s="33"/>
      <c r="K651" s="33"/>
      <c r="L651" s="33"/>
      <c r="X651" s="22"/>
      <c r="Y651" s="22"/>
      <c r="Z651" s="22"/>
      <c r="AA651" s="22"/>
      <c r="AF651" s="22"/>
      <c r="AG651" s="22"/>
      <c r="AH651" s="22"/>
      <c r="AI651" s="22"/>
      <c r="AN651" s="22"/>
      <c r="AO651" s="22"/>
      <c r="AP651" s="22"/>
      <c r="AQ651" s="22"/>
      <c r="AR651" s="35"/>
      <c r="AS651" s="35"/>
      <c r="AT651" s="35"/>
      <c r="AU651" s="31"/>
      <c r="AV651" s="36"/>
    </row>
    <row r="652" spans="1:48">
      <c r="A652" s="42"/>
      <c r="D652" s="31"/>
      <c r="E652" s="31"/>
      <c r="F652" s="31"/>
      <c r="G652" s="31"/>
      <c r="H652" s="32"/>
      <c r="J652" s="33"/>
      <c r="K652" s="33"/>
      <c r="L652" s="33"/>
      <c r="X652" s="22"/>
      <c r="Y652" s="22"/>
      <c r="Z652" s="22"/>
      <c r="AA652" s="22"/>
      <c r="AF652" s="22"/>
      <c r="AG652" s="22"/>
      <c r="AH652" s="22"/>
      <c r="AI652" s="22"/>
      <c r="AN652" s="22"/>
      <c r="AO652" s="22"/>
      <c r="AP652" s="22"/>
      <c r="AQ652" s="22"/>
      <c r="AR652" s="35"/>
      <c r="AS652" s="35"/>
      <c r="AT652" s="35"/>
      <c r="AU652" s="31"/>
      <c r="AV652" s="36"/>
    </row>
    <row r="653" spans="1:48">
      <c r="A653" s="42"/>
      <c r="D653" s="31"/>
      <c r="E653" s="31"/>
      <c r="F653" s="31"/>
      <c r="G653" s="31"/>
      <c r="H653" s="32"/>
      <c r="J653" s="33"/>
      <c r="K653" s="33"/>
      <c r="L653" s="33"/>
      <c r="X653" s="22"/>
      <c r="Y653" s="22"/>
      <c r="Z653" s="22"/>
      <c r="AA653" s="22"/>
      <c r="AF653" s="22"/>
      <c r="AG653" s="22"/>
      <c r="AH653" s="22"/>
      <c r="AI653" s="22"/>
      <c r="AN653" s="22"/>
      <c r="AO653" s="22"/>
      <c r="AP653" s="22"/>
      <c r="AQ653" s="22"/>
      <c r="AR653" s="35"/>
      <c r="AS653" s="35"/>
      <c r="AT653" s="35"/>
      <c r="AU653" s="31"/>
      <c r="AV653" s="36"/>
    </row>
    <row r="654" spans="1:48">
      <c r="A654" s="42"/>
      <c r="D654" s="31"/>
      <c r="E654" s="31"/>
      <c r="F654" s="31"/>
      <c r="G654" s="31"/>
      <c r="H654" s="32"/>
      <c r="J654" s="33"/>
      <c r="K654" s="33"/>
      <c r="L654" s="33"/>
      <c r="X654" s="22"/>
      <c r="Y654" s="22"/>
      <c r="Z654" s="22"/>
      <c r="AA654" s="22"/>
      <c r="AF654" s="22"/>
      <c r="AG654" s="22"/>
      <c r="AH654" s="22"/>
      <c r="AI654" s="22"/>
      <c r="AN654" s="22"/>
      <c r="AO654" s="22"/>
      <c r="AP654" s="22"/>
      <c r="AQ654" s="22"/>
      <c r="AR654" s="35"/>
      <c r="AS654" s="35"/>
      <c r="AT654" s="35"/>
      <c r="AU654" s="31"/>
      <c r="AV654" s="36"/>
    </row>
    <row r="655" spans="1:48">
      <c r="A655" s="42"/>
      <c r="D655" s="31"/>
      <c r="E655" s="31"/>
      <c r="F655" s="31"/>
      <c r="G655" s="31"/>
      <c r="H655" s="32"/>
      <c r="J655" s="33"/>
      <c r="K655" s="33"/>
      <c r="L655" s="33"/>
      <c r="X655" s="22"/>
      <c r="Y655" s="22"/>
      <c r="Z655" s="22"/>
      <c r="AA655" s="22"/>
      <c r="AF655" s="22"/>
      <c r="AG655" s="22"/>
      <c r="AH655" s="22"/>
      <c r="AI655" s="22"/>
      <c r="AN655" s="22"/>
      <c r="AO655" s="22"/>
      <c r="AP655" s="22"/>
      <c r="AQ655" s="22"/>
      <c r="AR655" s="35"/>
      <c r="AS655" s="35"/>
      <c r="AT655" s="35"/>
      <c r="AU655" s="31"/>
      <c r="AV655" s="36"/>
    </row>
    <row r="656" spans="1:48">
      <c r="A656" s="42"/>
      <c r="D656" s="31"/>
      <c r="E656" s="31"/>
      <c r="F656" s="31"/>
      <c r="G656" s="31"/>
      <c r="H656" s="32"/>
      <c r="J656" s="33"/>
      <c r="K656" s="33"/>
      <c r="L656" s="33"/>
      <c r="X656" s="22"/>
      <c r="Y656" s="22"/>
      <c r="Z656" s="22"/>
      <c r="AA656" s="22"/>
      <c r="AF656" s="22"/>
      <c r="AG656" s="22"/>
      <c r="AH656" s="22"/>
      <c r="AI656" s="22"/>
      <c r="AN656" s="22"/>
      <c r="AO656" s="22"/>
      <c r="AP656" s="22"/>
      <c r="AQ656" s="22"/>
      <c r="AR656" s="35"/>
      <c r="AS656" s="35"/>
      <c r="AT656" s="35"/>
      <c r="AU656" s="31"/>
      <c r="AV656" s="36"/>
    </row>
    <row r="657" spans="1:48">
      <c r="A657" s="42"/>
      <c r="D657" s="31"/>
      <c r="E657" s="31"/>
      <c r="F657" s="31"/>
      <c r="G657" s="31"/>
      <c r="H657" s="32"/>
      <c r="J657" s="33"/>
      <c r="K657" s="33"/>
      <c r="L657" s="33"/>
      <c r="X657" s="22"/>
      <c r="Y657" s="22"/>
      <c r="Z657" s="22"/>
      <c r="AA657" s="22"/>
      <c r="AF657" s="22"/>
      <c r="AG657" s="22"/>
      <c r="AH657" s="22"/>
      <c r="AI657" s="22"/>
      <c r="AN657" s="22"/>
      <c r="AO657" s="22"/>
      <c r="AP657" s="22"/>
      <c r="AQ657" s="22"/>
      <c r="AR657" s="35"/>
      <c r="AS657" s="35"/>
      <c r="AT657" s="35"/>
      <c r="AU657" s="31"/>
      <c r="AV657" s="36"/>
    </row>
    <row r="658" spans="1:48">
      <c r="A658" s="42"/>
      <c r="D658" s="31"/>
      <c r="E658" s="31"/>
      <c r="F658" s="31"/>
      <c r="G658" s="31"/>
      <c r="H658" s="32"/>
      <c r="J658" s="33"/>
      <c r="K658" s="33"/>
      <c r="L658" s="33"/>
      <c r="X658" s="22"/>
      <c r="Y658" s="22"/>
      <c r="Z658" s="22"/>
      <c r="AA658" s="22"/>
      <c r="AF658" s="22"/>
      <c r="AG658" s="22"/>
      <c r="AH658" s="22"/>
      <c r="AI658" s="22"/>
      <c r="AN658" s="22"/>
      <c r="AO658" s="22"/>
      <c r="AP658" s="22"/>
      <c r="AQ658" s="22"/>
      <c r="AR658" s="35"/>
      <c r="AS658" s="35"/>
      <c r="AT658" s="35"/>
      <c r="AU658" s="31"/>
      <c r="AV658" s="36"/>
    </row>
    <row r="659" spans="1:48">
      <c r="A659" s="42"/>
      <c r="D659" s="31"/>
      <c r="E659" s="31"/>
      <c r="F659" s="31"/>
      <c r="G659" s="31"/>
      <c r="H659" s="32"/>
      <c r="J659" s="33"/>
      <c r="K659" s="33"/>
      <c r="L659" s="33"/>
      <c r="X659" s="22"/>
      <c r="Y659" s="22"/>
      <c r="Z659" s="22"/>
      <c r="AA659" s="22"/>
      <c r="AF659" s="22"/>
      <c r="AG659" s="22"/>
      <c r="AH659" s="22"/>
      <c r="AI659" s="22"/>
      <c r="AN659" s="22"/>
      <c r="AO659" s="22"/>
      <c r="AP659" s="22"/>
      <c r="AQ659" s="22"/>
      <c r="AR659" s="35"/>
      <c r="AS659" s="35"/>
      <c r="AT659" s="35"/>
      <c r="AU659" s="31"/>
      <c r="AV659" s="36"/>
    </row>
    <row r="660" spans="1:48">
      <c r="A660" s="42"/>
      <c r="D660" s="31"/>
      <c r="E660" s="31"/>
      <c r="F660" s="31"/>
      <c r="G660" s="31"/>
      <c r="H660" s="32"/>
      <c r="J660" s="33"/>
      <c r="K660" s="33"/>
      <c r="L660" s="33"/>
      <c r="X660" s="22"/>
      <c r="Y660" s="22"/>
      <c r="Z660" s="22"/>
      <c r="AA660" s="22"/>
      <c r="AF660" s="22"/>
      <c r="AG660" s="22"/>
      <c r="AH660" s="22"/>
      <c r="AI660" s="22"/>
      <c r="AN660" s="22"/>
      <c r="AO660" s="22"/>
      <c r="AP660" s="22"/>
      <c r="AQ660" s="22"/>
      <c r="AR660" s="35"/>
      <c r="AS660" s="35"/>
      <c r="AT660" s="35"/>
      <c r="AU660" s="31"/>
      <c r="AV660" s="36"/>
    </row>
    <row r="661" spans="1:48">
      <c r="A661" s="42"/>
      <c r="D661" s="31"/>
      <c r="E661" s="31"/>
      <c r="F661" s="31"/>
      <c r="G661" s="31"/>
      <c r="H661" s="32"/>
      <c r="J661" s="33"/>
      <c r="K661" s="33"/>
      <c r="L661" s="33"/>
      <c r="X661" s="22"/>
      <c r="Y661" s="22"/>
      <c r="Z661" s="22"/>
      <c r="AA661" s="22"/>
      <c r="AF661" s="22"/>
      <c r="AG661" s="22"/>
      <c r="AH661" s="22"/>
      <c r="AI661" s="22"/>
      <c r="AN661" s="22"/>
      <c r="AO661" s="22"/>
      <c r="AP661" s="22"/>
      <c r="AQ661" s="22"/>
      <c r="AR661" s="35"/>
      <c r="AS661" s="35"/>
      <c r="AT661" s="35"/>
      <c r="AU661" s="31"/>
      <c r="AV661" s="36"/>
    </row>
    <row r="662" spans="1:48">
      <c r="A662" s="42"/>
      <c r="D662" s="31"/>
      <c r="E662" s="31"/>
      <c r="F662" s="31"/>
      <c r="G662" s="31"/>
      <c r="H662" s="32"/>
      <c r="J662" s="33"/>
      <c r="K662" s="33"/>
      <c r="L662" s="33"/>
      <c r="X662" s="22"/>
      <c r="Y662" s="22"/>
      <c r="Z662" s="22"/>
      <c r="AA662" s="22"/>
      <c r="AF662" s="22"/>
      <c r="AG662" s="22"/>
      <c r="AH662" s="22"/>
      <c r="AI662" s="22"/>
      <c r="AN662" s="22"/>
      <c r="AO662" s="22"/>
      <c r="AP662" s="22"/>
      <c r="AQ662" s="22"/>
      <c r="AR662" s="35"/>
      <c r="AS662" s="35"/>
      <c r="AT662" s="35"/>
      <c r="AU662" s="31"/>
      <c r="AV662" s="36"/>
    </row>
    <row r="663" spans="1:48">
      <c r="A663" s="42"/>
      <c r="D663" s="31"/>
      <c r="E663" s="31"/>
      <c r="F663" s="31"/>
      <c r="G663" s="31"/>
      <c r="H663" s="32"/>
      <c r="J663" s="33"/>
      <c r="K663" s="33"/>
      <c r="L663" s="33"/>
      <c r="X663" s="22"/>
      <c r="Y663" s="22"/>
      <c r="Z663" s="22"/>
      <c r="AA663" s="22"/>
      <c r="AF663" s="22"/>
      <c r="AG663" s="22"/>
      <c r="AH663" s="22"/>
      <c r="AI663" s="22"/>
      <c r="AN663" s="22"/>
      <c r="AO663" s="22"/>
      <c r="AP663" s="22"/>
      <c r="AQ663" s="22"/>
      <c r="AR663" s="35"/>
      <c r="AS663" s="35"/>
      <c r="AT663" s="35"/>
      <c r="AU663" s="31"/>
      <c r="AV663" s="36"/>
    </row>
    <row r="664" spans="1:48">
      <c r="A664" s="42"/>
      <c r="D664" s="31"/>
      <c r="E664" s="31"/>
      <c r="F664" s="31"/>
      <c r="G664" s="31"/>
      <c r="H664" s="32"/>
      <c r="J664" s="33"/>
      <c r="K664" s="33"/>
      <c r="L664" s="33"/>
      <c r="X664" s="22"/>
      <c r="Y664" s="22"/>
      <c r="Z664" s="22"/>
      <c r="AA664" s="22"/>
      <c r="AF664" s="22"/>
      <c r="AG664" s="22"/>
      <c r="AH664" s="22"/>
      <c r="AI664" s="22"/>
      <c r="AN664" s="22"/>
      <c r="AO664" s="22"/>
      <c r="AP664" s="22"/>
      <c r="AQ664" s="22"/>
      <c r="AR664" s="35"/>
      <c r="AS664" s="35"/>
      <c r="AT664" s="35"/>
      <c r="AU664" s="31"/>
      <c r="AV664" s="36"/>
    </row>
    <row r="665" spans="1:48">
      <c r="A665" s="42"/>
      <c r="D665" s="31"/>
      <c r="E665" s="31"/>
      <c r="F665" s="31"/>
      <c r="G665" s="31"/>
      <c r="H665" s="32"/>
      <c r="J665" s="33"/>
      <c r="K665" s="33"/>
      <c r="L665" s="33"/>
      <c r="X665" s="22"/>
      <c r="Y665" s="22"/>
      <c r="Z665" s="22"/>
      <c r="AA665" s="22"/>
      <c r="AF665" s="22"/>
      <c r="AG665" s="22"/>
      <c r="AH665" s="22"/>
      <c r="AI665" s="22"/>
      <c r="AN665" s="22"/>
      <c r="AO665" s="22"/>
      <c r="AP665" s="22"/>
      <c r="AQ665" s="22"/>
      <c r="AR665" s="35"/>
      <c r="AS665" s="35"/>
      <c r="AT665" s="35"/>
      <c r="AU665" s="31"/>
      <c r="AV665" s="36"/>
    </row>
    <row r="666" spans="1:48">
      <c r="A666" s="42"/>
      <c r="D666" s="31"/>
      <c r="E666" s="31"/>
      <c r="F666" s="31"/>
      <c r="G666" s="31"/>
      <c r="H666" s="32"/>
      <c r="J666" s="33"/>
      <c r="K666" s="33"/>
      <c r="L666" s="33"/>
      <c r="X666" s="22"/>
      <c r="Y666" s="22"/>
      <c r="Z666" s="22"/>
      <c r="AA666" s="22"/>
      <c r="AF666" s="22"/>
      <c r="AG666" s="22"/>
      <c r="AH666" s="22"/>
      <c r="AI666" s="22"/>
      <c r="AN666" s="22"/>
      <c r="AO666" s="22"/>
      <c r="AP666" s="22"/>
      <c r="AQ666" s="22"/>
      <c r="AR666" s="35"/>
      <c r="AS666" s="35"/>
      <c r="AT666" s="35"/>
      <c r="AU666" s="31"/>
      <c r="AV666" s="36"/>
    </row>
    <row r="667" spans="1:48">
      <c r="A667" s="42"/>
      <c r="D667" s="31"/>
      <c r="E667" s="31"/>
      <c r="F667" s="31"/>
      <c r="G667" s="31"/>
      <c r="H667" s="32"/>
      <c r="J667" s="33"/>
      <c r="K667" s="33"/>
      <c r="L667" s="33"/>
      <c r="X667" s="22"/>
      <c r="Y667" s="22"/>
      <c r="Z667" s="22"/>
      <c r="AA667" s="22"/>
      <c r="AF667" s="22"/>
      <c r="AG667" s="22"/>
      <c r="AH667" s="22"/>
      <c r="AI667" s="22"/>
      <c r="AN667" s="22"/>
      <c r="AO667" s="22"/>
      <c r="AP667" s="22"/>
      <c r="AQ667" s="22"/>
      <c r="AR667" s="35"/>
      <c r="AS667" s="35"/>
      <c r="AT667" s="35"/>
      <c r="AU667" s="31"/>
      <c r="AV667" s="36"/>
    </row>
    <row r="668" spans="1:48">
      <c r="A668" s="42"/>
      <c r="D668" s="31"/>
      <c r="E668" s="31"/>
      <c r="F668" s="31"/>
      <c r="G668" s="31"/>
      <c r="H668" s="32"/>
      <c r="J668" s="33"/>
      <c r="K668" s="33"/>
      <c r="L668" s="33"/>
      <c r="X668" s="22"/>
      <c r="Y668" s="22"/>
      <c r="Z668" s="22"/>
      <c r="AA668" s="22"/>
      <c r="AF668" s="22"/>
      <c r="AG668" s="22"/>
      <c r="AH668" s="22"/>
      <c r="AI668" s="22"/>
      <c r="AN668" s="22"/>
      <c r="AO668" s="22"/>
      <c r="AP668" s="22"/>
      <c r="AQ668" s="22"/>
      <c r="AR668" s="35"/>
      <c r="AS668" s="35"/>
      <c r="AT668" s="35"/>
      <c r="AU668" s="31"/>
      <c r="AV668" s="36"/>
    </row>
    <row r="669" spans="1:48">
      <c r="A669" s="42"/>
      <c r="D669" s="31"/>
      <c r="E669" s="31"/>
      <c r="F669" s="31"/>
      <c r="G669" s="31"/>
      <c r="H669" s="32"/>
      <c r="J669" s="33"/>
      <c r="K669" s="33"/>
      <c r="L669" s="33"/>
      <c r="X669" s="22"/>
      <c r="Y669" s="22"/>
      <c r="Z669" s="22"/>
      <c r="AA669" s="22"/>
      <c r="AF669" s="22"/>
      <c r="AG669" s="22"/>
      <c r="AH669" s="22"/>
      <c r="AI669" s="22"/>
      <c r="AN669" s="22"/>
      <c r="AO669" s="22"/>
      <c r="AP669" s="22"/>
      <c r="AQ669" s="22"/>
      <c r="AR669" s="35"/>
      <c r="AS669" s="35"/>
      <c r="AT669" s="35"/>
      <c r="AU669" s="31"/>
      <c r="AV669" s="36"/>
    </row>
    <row r="670" spans="1:48">
      <c r="A670" s="42"/>
      <c r="D670" s="31"/>
      <c r="E670" s="31"/>
      <c r="F670" s="31"/>
      <c r="G670" s="31"/>
      <c r="H670" s="32"/>
      <c r="J670" s="33"/>
      <c r="K670" s="33"/>
      <c r="L670" s="33"/>
      <c r="X670" s="22"/>
      <c r="Y670" s="22"/>
      <c r="Z670" s="22"/>
      <c r="AA670" s="22"/>
      <c r="AF670" s="22"/>
      <c r="AG670" s="22"/>
      <c r="AH670" s="22"/>
      <c r="AI670" s="22"/>
      <c r="AN670" s="22"/>
      <c r="AO670" s="22"/>
      <c r="AP670" s="22"/>
      <c r="AQ670" s="22"/>
      <c r="AR670" s="35"/>
      <c r="AS670" s="35"/>
      <c r="AT670" s="35"/>
      <c r="AU670" s="31"/>
      <c r="AV670" s="36"/>
    </row>
    <row r="671" spans="1:48">
      <c r="A671" s="42"/>
      <c r="D671" s="31"/>
      <c r="E671" s="31"/>
      <c r="F671" s="31"/>
      <c r="G671" s="31"/>
      <c r="H671" s="32"/>
      <c r="J671" s="33"/>
      <c r="K671" s="33"/>
      <c r="L671" s="33"/>
      <c r="X671" s="22"/>
      <c r="Y671" s="22"/>
      <c r="Z671" s="22"/>
      <c r="AA671" s="22"/>
      <c r="AF671" s="22"/>
      <c r="AG671" s="22"/>
      <c r="AH671" s="22"/>
      <c r="AI671" s="22"/>
      <c r="AN671" s="22"/>
      <c r="AO671" s="22"/>
      <c r="AP671" s="22"/>
      <c r="AQ671" s="22"/>
      <c r="AR671" s="35"/>
      <c r="AS671" s="35"/>
      <c r="AT671" s="35"/>
      <c r="AU671" s="31"/>
      <c r="AV671" s="36"/>
    </row>
    <row r="672" spans="1:48">
      <c r="A672" s="42"/>
      <c r="D672" s="31"/>
      <c r="E672" s="31"/>
      <c r="F672" s="31"/>
      <c r="G672" s="31"/>
      <c r="H672" s="32"/>
      <c r="J672" s="33"/>
      <c r="K672" s="33"/>
      <c r="L672" s="33"/>
      <c r="X672" s="22"/>
      <c r="Y672" s="22"/>
      <c r="Z672" s="22"/>
      <c r="AA672" s="22"/>
      <c r="AF672" s="22"/>
      <c r="AG672" s="22"/>
      <c r="AH672" s="22"/>
      <c r="AI672" s="22"/>
      <c r="AN672" s="22"/>
      <c r="AO672" s="22"/>
      <c r="AP672" s="22"/>
      <c r="AQ672" s="22"/>
      <c r="AR672" s="35"/>
      <c r="AS672" s="35"/>
      <c r="AT672" s="35"/>
      <c r="AU672" s="31"/>
      <c r="AV672" s="36"/>
    </row>
    <row r="673" spans="1:48">
      <c r="A673" s="42"/>
      <c r="D673" s="31"/>
      <c r="E673" s="31"/>
      <c r="F673" s="31"/>
      <c r="G673" s="31"/>
      <c r="H673" s="32"/>
      <c r="J673" s="33"/>
      <c r="K673" s="33"/>
      <c r="L673" s="33"/>
      <c r="X673" s="22"/>
      <c r="Y673" s="22"/>
      <c r="Z673" s="22"/>
      <c r="AA673" s="22"/>
      <c r="AF673" s="22"/>
      <c r="AG673" s="22"/>
      <c r="AH673" s="22"/>
      <c r="AI673" s="22"/>
      <c r="AN673" s="22"/>
      <c r="AO673" s="22"/>
      <c r="AP673" s="22"/>
      <c r="AQ673" s="22"/>
      <c r="AR673" s="35"/>
      <c r="AS673" s="35"/>
      <c r="AT673" s="35"/>
      <c r="AU673" s="31"/>
      <c r="AV673" s="36"/>
    </row>
    <row r="674" spans="1:48">
      <c r="A674" s="42"/>
      <c r="D674" s="31"/>
      <c r="E674" s="31"/>
      <c r="F674" s="31"/>
      <c r="G674" s="31"/>
      <c r="H674" s="32"/>
      <c r="J674" s="33"/>
      <c r="K674" s="33"/>
      <c r="L674" s="33"/>
      <c r="X674" s="22"/>
      <c r="Y674" s="22"/>
      <c r="Z674" s="22"/>
      <c r="AA674" s="22"/>
      <c r="AF674" s="22"/>
      <c r="AG674" s="22"/>
      <c r="AH674" s="22"/>
      <c r="AI674" s="22"/>
      <c r="AN674" s="22"/>
      <c r="AO674" s="22"/>
      <c r="AP674" s="22"/>
      <c r="AQ674" s="22"/>
      <c r="AR674" s="35"/>
      <c r="AS674" s="35"/>
      <c r="AT674" s="35"/>
      <c r="AU674" s="31"/>
      <c r="AV674" s="36"/>
    </row>
    <row r="675" spans="1:48">
      <c r="A675" s="42"/>
      <c r="D675" s="31"/>
      <c r="E675" s="31"/>
      <c r="F675" s="31"/>
      <c r="G675" s="31"/>
      <c r="H675" s="32"/>
      <c r="J675" s="33"/>
      <c r="K675" s="33"/>
      <c r="L675" s="33"/>
      <c r="X675" s="22"/>
      <c r="Y675" s="22"/>
      <c r="Z675" s="22"/>
      <c r="AA675" s="22"/>
      <c r="AF675" s="22"/>
      <c r="AG675" s="22"/>
      <c r="AH675" s="22"/>
      <c r="AI675" s="22"/>
      <c r="AN675" s="22"/>
      <c r="AO675" s="22"/>
      <c r="AP675" s="22"/>
      <c r="AQ675" s="22"/>
      <c r="AR675" s="35"/>
      <c r="AS675" s="35"/>
      <c r="AT675" s="35"/>
      <c r="AU675" s="31"/>
      <c r="AV675" s="36"/>
    </row>
    <row r="676" spans="1:48">
      <c r="A676" s="42"/>
      <c r="D676" s="31"/>
      <c r="E676" s="31"/>
      <c r="F676" s="31"/>
      <c r="G676" s="31"/>
      <c r="H676" s="32"/>
      <c r="J676" s="33"/>
      <c r="K676" s="33"/>
      <c r="L676" s="33"/>
      <c r="X676" s="22"/>
      <c r="Y676" s="22"/>
      <c r="Z676" s="22"/>
      <c r="AA676" s="22"/>
      <c r="AF676" s="22"/>
      <c r="AG676" s="22"/>
      <c r="AH676" s="22"/>
      <c r="AI676" s="22"/>
      <c r="AN676" s="22"/>
      <c r="AO676" s="22"/>
      <c r="AP676" s="22"/>
      <c r="AQ676" s="22"/>
      <c r="AR676" s="35"/>
      <c r="AS676" s="35"/>
      <c r="AT676" s="35"/>
      <c r="AU676" s="31"/>
      <c r="AV676" s="36"/>
    </row>
    <row r="677" spans="1:48">
      <c r="A677" s="42"/>
      <c r="D677" s="31"/>
      <c r="E677" s="31"/>
      <c r="F677" s="31"/>
      <c r="G677" s="31"/>
      <c r="H677" s="32"/>
      <c r="J677" s="33"/>
      <c r="K677" s="33"/>
      <c r="L677" s="33"/>
      <c r="X677" s="22"/>
      <c r="Y677" s="22"/>
      <c r="Z677" s="22"/>
      <c r="AA677" s="22"/>
      <c r="AF677" s="22"/>
      <c r="AG677" s="22"/>
      <c r="AH677" s="22"/>
      <c r="AI677" s="22"/>
      <c r="AN677" s="22"/>
      <c r="AO677" s="22"/>
      <c r="AP677" s="22"/>
      <c r="AQ677" s="22"/>
      <c r="AR677" s="35"/>
      <c r="AS677" s="35"/>
      <c r="AT677" s="35"/>
      <c r="AU677" s="31"/>
      <c r="AV677" s="36"/>
    </row>
    <row r="678" spans="1:48">
      <c r="A678" s="42"/>
      <c r="D678" s="31"/>
      <c r="E678" s="31"/>
      <c r="F678" s="31"/>
      <c r="G678" s="31"/>
      <c r="H678" s="32"/>
      <c r="J678" s="33"/>
      <c r="K678" s="33"/>
      <c r="L678" s="33"/>
      <c r="X678" s="22"/>
      <c r="Y678" s="22"/>
      <c r="Z678" s="22"/>
      <c r="AA678" s="22"/>
      <c r="AF678" s="22"/>
      <c r="AG678" s="22"/>
      <c r="AH678" s="22"/>
      <c r="AI678" s="22"/>
      <c r="AN678" s="22"/>
      <c r="AO678" s="22"/>
      <c r="AP678" s="22"/>
      <c r="AQ678" s="22"/>
      <c r="AR678" s="35"/>
      <c r="AS678" s="35"/>
      <c r="AT678" s="35"/>
      <c r="AU678" s="31"/>
      <c r="AV678" s="36"/>
    </row>
    <row r="679" spans="1:48">
      <c r="A679" s="42"/>
      <c r="D679" s="31"/>
      <c r="E679" s="31"/>
      <c r="F679" s="31"/>
      <c r="G679" s="31"/>
      <c r="H679" s="32"/>
      <c r="J679" s="33"/>
      <c r="K679" s="33"/>
      <c r="L679" s="33"/>
      <c r="X679" s="22"/>
      <c r="Y679" s="22"/>
      <c r="Z679" s="22"/>
      <c r="AA679" s="22"/>
      <c r="AF679" s="22"/>
      <c r="AG679" s="22"/>
      <c r="AH679" s="22"/>
      <c r="AI679" s="22"/>
      <c r="AN679" s="22"/>
      <c r="AO679" s="22"/>
      <c r="AP679" s="22"/>
      <c r="AQ679" s="22"/>
      <c r="AR679" s="35"/>
      <c r="AS679" s="35"/>
      <c r="AT679" s="35"/>
      <c r="AU679" s="31"/>
      <c r="AV679" s="36"/>
    </row>
    <row r="680" spans="1:48">
      <c r="A680" s="42"/>
      <c r="D680" s="31"/>
      <c r="E680" s="31"/>
      <c r="F680" s="31"/>
      <c r="G680" s="31"/>
      <c r="H680" s="32"/>
      <c r="J680" s="33"/>
      <c r="K680" s="33"/>
      <c r="L680" s="33"/>
      <c r="X680" s="22"/>
      <c r="Y680" s="22"/>
      <c r="Z680" s="22"/>
      <c r="AA680" s="22"/>
      <c r="AF680" s="22"/>
      <c r="AG680" s="22"/>
      <c r="AH680" s="22"/>
      <c r="AI680" s="22"/>
      <c r="AN680" s="22"/>
      <c r="AO680" s="22"/>
      <c r="AP680" s="22"/>
      <c r="AQ680" s="22"/>
      <c r="AR680" s="35"/>
      <c r="AS680" s="35"/>
      <c r="AT680" s="35"/>
      <c r="AU680" s="31"/>
      <c r="AV680" s="36"/>
    </row>
    <row r="681" spans="1:48">
      <c r="A681" s="42"/>
      <c r="D681" s="31"/>
      <c r="E681" s="31"/>
      <c r="F681" s="31"/>
      <c r="G681" s="31"/>
      <c r="H681" s="32"/>
      <c r="J681" s="33"/>
      <c r="K681" s="33"/>
      <c r="L681" s="33"/>
      <c r="X681" s="22"/>
      <c r="Y681" s="22"/>
      <c r="Z681" s="22"/>
      <c r="AA681" s="22"/>
      <c r="AF681" s="22"/>
      <c r="AG681" s="22"/>
      <c r="AH681" s="22"/>
      <c r="AI681" s="22"/>
      <c r="AN681" s="22"/>
      <c r="AO681" s="22"/>
      <c r="AP681" s="22"/>
      <c r="AQ681" s="22"/>
      <c r="AR681" s="35"/>
      <c r="AS681" s="35"/>
      <c r="AT681" s="35"/>
      <c r="AU681" s="31"/>
      <c r="AV681" s="36"/>
    </row>
    <row r="682" spans="1:48">
      <c r="A682" s="42"/>
      <c r="D682" s="31"/>
      <c r="E682" s="31"/>
      <c r="F682" s="31"/>
      <c r="G682" s="31"/>
      <c r="H682" s="32"/>
      <c r="J682" s="33"/>
      <c r="K682" s="33"/>
      <c r="L682" s="33"/>
      <c r="X682" s="22"/>
      <c r="Y682" s="22"/>
      <c r="Z682" s="22"/>
      <c r="AA682" s="22"/>
      <c r="AF682" s="22"/>
      <c r="AG682" s="22"/>
      <c r="AH682" s="22"/>
      <c r="AI682" s="22"/>
      <c r="AN682" s="22"/>
      <c r="AO682" s="22"/>
      <c r="AP682" s="22"/>
      <c r="AQ682" s="22"/>
      <c r="AR682" s="35"/>
      <c r="AS682" s="35"/>
      <c r="AT682" s="35"/>
      <c r="AU682" s="31"/>
      <c r="AV682" s="36"/>
    </row>
    <row r="683" spans="1:48">
      <c r="A683" s="42"/>
      <c r="D683" s="31"/>
      <c r="E683" s="31"/>
      <c r="F683" s="31"/>
      <c r="G683" s="31"/>
      <c r="H683" s="32"/>
      <c r="J683" s="33"/>
      <c r="K683" s="33"/>
      <c r="L683" s="33"/>
      <c r="X683" s="22"/>
      <c r="Y683" s="22"/>
      <c r="Z683" s="22"/>
      <c r="AA683" s="22"/>
      <c r="AF683" s="22"/>
      <c r="AG683" s="22"/>
      <c r="AH683" s="22"/>
      <c r="AI683" s="22"/>
      <c r="AN683" s="22"/>
      <c r="AO683" s="22"/>
      <c r="AP683" s="22"/>
      <c r="AQ683" s="22"/>
      <c r="AR683" s="35"/>
      <c r="AS683" s="35"/>
      <c r="AT683" s="35"/>
      <c r="AU683" s="31"/>
      <c r="AV683" s="36"/>
    </row>
    <row r="684" spans="1:48">
      <c r="A684" s="42"/>
      <c r="D684" s="31"/>
      <c r="E684" s="31"/>
      <c r="F684" s="31"/>
      <c r="G684" s="31"/>
      <c r="H684" s="32"/>
      <c r="J684" s="33"/>
      <c r="K684" s="33"/>
      <c r="L684" s="33"/>
      <c r="X684" s="22"/>
      <c r="Y684" s="22"/>
      <c r="Z684" s="22"/>
      <c r="AA684" s="22"/>
      <c r="AF684" s="22"/>
      <c r="AG684" s="22"/>
      <c r="AH684" s="22"/>
      <c r="AI684" s="22"/>
      <c r="AN684" s="22"/>
      <c r="AO684" s="22"/>
      <c r="AP684" s="22"/>
      <c r="AQ684" s="22"/>
      <c r="AR684" s="35"/>
      <c r="AS684" s="35"/>
      <c r="AT684" s="35"/>
      <c r="AU684" s="31"/>
      <c r="AV684" s="36"/>
    </row>
    <row r="685" spans="1:48">
      <c r="A685" s="42"/>
      <c r="D685" s="31"/>
      <c r="E685" s="31"/>
      <c r="F685" s="31"/>
      <c r="G685" s="31"/>
      <c r="H685" s="32"/>
      <c r="J685" s="33"/>
      <c r="K685" s="33"/>
      <c r="L685" s="33"/>
      <c r="X685" s="22"/>
      <c r="Y685" s="22"/>
      <c r="Z685" s="22"/>
      <c r="AA685" s="22"/>
      <c r="AF685" s="22"/>
      <c r="AG685" s="22"/>
      <c r="AH685" s="22"/>
      <c r="AI685" s="22"/>
      <c r="AN685" s="22"/>
      <c r="AO685" s="22"/>
      <c r="AP685" s="22"/>
      <c r="AQ685" s="22"/>
      <c r="AR685" s="35"/>
      <c r="AS685" s="35"/>
      <c r="AT685" s="35"/>
      <c r="AU685" s="31"/>
      <c r="AV685" s="36"/>
    </row>
    <row r="686" spans="1:48">
      <c r="A686" s="42"/>
      <c r="D686" s="31"/>
      <c r="E686" s="31"/>
      <c r="F686" s="31"/>
      <c r="G686" s="31"/>
      <c r="H686" s="32"/>
      <c r="J686" s="33"/>
      <c r="K686" s="33"/>
      <c r="L686" s="33"/>
      <c r="X686" s="22"/>
      <c r="Y686" s="22"/>
      <c r="Z686" s="22"/>
      <c r="AA686" s="22"/>
      <c r="AF686" s="22"/>
      <c r="AG686" s="22"/>
      <c r="AH686" s="22"/>
      <c r="AI686" s="22"/>
      <c r="AN686" s="22"/>
      <c r="AO686" s="22"/>
      <c r="AP686" s="22"/>
      <c r="AQ686" s="22"/>
      <c r="AR686" s="35"/>
      <c r="AS686" s="35"/>
      <c r="AT686" s="35"/>
      <c r="AU686" s="31"/>
      <c r="AV686" s="36"/>
    </row>
    <row r="687" spans="1:48">
      <c r="A687" s="42"/>
      <c r="D687" s="31"/>
      <c r="E687" s="31"/>
      <c r="F687" s="31"/>
      <c r="G687" s="31"/>
      <c r="H687" s="32"/>
      <c r="J687" s="33"/>
      <c r="K687" s="33"/>
      <c r="L687" s="33"/>
      <c r="X687" s="22"/>
      <c r="Y687" s="22"/>
      <c r="Z687" s="22"/>
      <c r="AA687" s="22"/>
      <c r="AF687" s="22"/>
      <c r="AG687" s="22"/>
      <c r="AH687" s="22"/>
      <c r="AI687" s="22"/>
      <c r="AN687" s="22"/>
      <c r="AO687" s="22"/>
      <c r="AP687" s="22"/>
      <c r="AQ687" s="22"/>
      <c r="AR687" s="35"/>
      <c r="AS687" s="35"/>
      <c r="AT687" s="35"/>
      <c r="AU687" s="31"/>
      <c r="AV687" s="36"/>
    </row>
    <row r="688" spans="1:48">
      <c r="A688" s="42"/>
      <c r="D688" s="31"/>
      <c r="E688" s="31"/>
      <c r="F688" s="31"/>
      <c r="G688" s="31"/>
      <c r="H688" s="32"/>
      <c r="J688" s="33"/>
      <c r="K688" s="33"/>
      <c r="L688" s="33"/>
      <c r="X688" s="22"/>
      <c r="Y688" s="22"/>
      <c r="Z688" s="22"/>
      <c r="AA688" s="22"/>
      <c r="AF688" s="22"/>
      <c r="AG688" s="22"/>
      <c r="AH688" s="22"/>
      <c r="AI688" s="22"/>
      <c r="AN688" s="22"/>
      <c r="AO688" s="22"/>
      <c r="AP688" s="22"/>
      <c r="AQ688" s="22"/>
      <c r="AR688" s="35"/>
      <c r="AS688" s="35"/>
      <c r="AT688" s="35"/>
      <c r="AU688" s="31"/>
      <c r="AV688" s="36"/>
    </row>
    <row r="689" spans="1:48">
      <c r="A689" s="42"/>
      <c r="D689" s="31"/>
      <c r="E689" s="31"/>
      <c r="F689" s="31"/>
      <c r="G689" s="31"/>
      <c r="H689" s="32"/>
      <c r="J689" s="33"/>
      <c r="K689" s="33"/>
      <c r="L689" s="33"/>
      <c r="X689" s="22"/>
      <c r="Y689" s="22"/>
      <c r="Z689" s="22"/>
      <c r="AA689" s="22"/>
      <c r="AF689" s="22"/>
      <c r="AG689" s="22"/>
      <c r="AH689" s="22"/>
      <c r="AI689" s="22"/>
      <c r="AN689" s="22"/>
      <c r="AO689" s="22"/>
      <c r="AP689" s="22"/>
      <c r="AQ689" s="22"/>
      <c r="AR689" s="35"/>
      <c r="AS689" s="35"/>
      <c r="AT689" s="35"/>
      <c r="AU689" s="31"/>
      <c r="AV689" s="36"/>
    </row>
    <row r="690" spans="1:48">
      <c r="A690" s="42"/>
      <c r="D690" s="31"/>
      <c r="E690" s="31"/>
      <c r="F690" s="31"/>
      <c r="G690" s="31"/>
      <c r="H690" s="32"/>
      <c r="J690" s="33"/>
      <c r="K690" s="33"/>
      <c r="L690" s="33"/>
      <c r="X690" s="22"/>
      <c r="Y690" s="22"/>
      <c r="Z690" s="22"/>
      <c r="AA690" s="22"/>
      <c r="AF690" s="22"/>
      <c r="AG690" s="22"/>
      <c r="AH690" s="22"/>
      <c r="AI690" s="22"/>
      <c r="AN690" s="22"/>
      <c r="AO690" s="22"/>
      <c r="AP690" s="22"/>
      <c r="AQ690" s="22"/>
      <c r="AR690" s="35"/>
      <c r="AS690" s="35"/>
      <c r="AT690" s="35"/>
      <c r="AU690" s="31"/>
      <c r="AV690" s="36"/>
    </row>
    <row r="691" spans="1:48">
      <c r="A691" s="42"/>
      <c r="D691" s="31"/>
      <c r="E691" s="31"/>
      <c r="F691" s="31"/>
      <c r="G691" s="31"/>
      <c r="H691" s="32"/>
      <c r="J691" s="33"/>
      <c r="K691" s="33"/>
      <c r="L691" s="33"/>
      <c r="X691" s="22"/>
      <c r="Y691" s="22"/>
      <c r="Z691" s="22"/>
      <c r="AA691" s="22"/>
      <c r="AF691" s="22"/>
      <c r="AG691" s="22"/>
      <c r="AH691" s="22"/>
      <c r="AI691" s="22"/>
      <c r="AN691" s="22"/>
      <c r="AO691" s="22"/>
      <c r="AP691" s="22"/>
      <c r="AQ691" s="22"/>
      <c r="AR691" s="35"/>
      <c r="AS691" s="35"/>
      <c r="AT691" s="35"/>
      <c r="AU691" s="31"/>
      <c r="AV691" s="36"/>
    </row>
    <row r="692" spans="1:48">
      <c r="A692" s="42"/>
      <c r="D692" s="31"/>
      <c r="E692" s="31"/>
      <c r="F692" s="31"/>
      <c r="G692" s="31"/>
      <c r="H692" s="32"/>
      <c r="J692" s="33"/>
      <c r="K692" s="33"/>
      <c r="L692" s="33"/>
      <c r="X692" s="22"/>
      <c r="Y692" s="22"/>
      <c r="Z692" s="22"/>
      <c r="AA692" s="22"/>
      <c r="AF692" s="22"/>
      <c r="AG692" s="22"/>
      <c r="AH692" s="22"/>
      <c r="AI692" s="22"/>
      <c r="AN692" s="22"/>
      <c r="AO692" s="22"/>
      <c r="AP692" s="22"/>
      <c r="AQ692" s="22"/>
      <c r="AR692" s="35"/>
      <c r="AS692" s="35"/>
      <c r="AT692" s="35"/>
      <c r="AU692" s="31"/>
      <c r="AV692" s="36"/>
    </row>
    <row r="693" spans="1:48">
      <c r="A693" s="38"/>
      <c r="D693" s="31"/>
      <c r="E693" s="31"/>
      <c r="F693" s="31"/>
      <c r="G693" s="31"/>
      <c r="H693" s="32"/>
      <c r="J693" s="33"/>
      <c r="K693" s="33"/>
      <c r="L693" s="33"/>
      <c r="X693" s="22"/>
      <c r="Y693" s="22"/>
      <c r="Z693" s="22"/>
      <c r="AA693" s="22"/>
      <c r="AF693" s="22"/>
      <c r="AG693" s="22"/>
      <c r="AH693" s="22"/>
      <c r="AI693" s="22"/>
      <c r="AN693" s="22"/>
      <c r="AO693" s="22"/>
      <c r="AP693" s="22"/>
      <c r="AQ693" s="22"/>
      <c r="AR693" s="35"/>
      <c r="AS693" s="35"/>
      <c r="AT693" s="35"/>
      <c r="AU693" s="31"/>
      <c r="AV693" s="36"/>
    </row>
    <row r="694" spans="1:48">
      <c r="A694" s="38"/>
      <c r="D694" s="31"/>
      <c r="E694" s="31"/>
      <c r="F694" s="31"/>
      <c r="G694" s="31"/>
      <c r="H694" s="32"/>
      <c r="J694" s="33"/>
      <c r="K694" s="33"/>
      <c r="L694" s="33"/>
      <c r="X694" s="22"/>
      <c r="Y694" s="22"/>
      <c r="Z694" s="22"/>
      <c r="AA694" s="22"/>
      <c r="AF694" s="22"/>
      <c r="AG694" s="22"/>
      <c r="AH694" s="22"/>
      <c r="AI694" s="22"/>
      <c r="AN694" s="22"/>
      <c r="AO694" s="22"/>
      <c r="AP694" s="22"/>
      <c r="AQ694" s="22"/>
      <c r="AR694" s="35"/>
      <c r="AS694" s="35"/>
      <c r="AT694" s="35"/>
      <c r="AU694" s="31"/>
      <c r="AV694" s="36"/>
    </row>
    <row r="695" spans="1:48">
      <c r="A695" s="38"/>
      <c r="D695" s="31"/>
      <c r="E695" s="31"/>
      <c r="F695" s="31"/>
      <c r="G695" s="31"/>
      <c r="H695" s="32"/>
      <c r="J695" s="33"/>
      <c r="K695" s="33"/>
      <c r="L695" s="33"/>
      <c r="X695" s="22"/>
      <c r="Y695" s="22"/>
      <c r="Z695" s="22"/>
      <c r="AA695" s="22"/>
      <c r="AF695" s="22"/>
      <c r="AG695" s="22"/>
      <c r="AH695" s="22"/>
      <c r="AI695" s="22"/>
      <c r="AN695" s="22"/>
      <c r="AO695" s="22"/>
      <c r="AP695" s="22"/>
      <c r="AQ695" s="22"/>
      <c r="AR695" s="35"/>
      <c r="AS695" s="35"/>
      <c r="AT695" s="35"/>
      <c r="AU695" s="31"/>
      <c r="AV695" s="36"/>
    </row>
    <row r="696" spans="1:48">
      <c r="A696" s="42"/>
      <c r="D696" s="31"/>
      <c r="E696" s="31"/>
      <c r="F696" s="31"/>
      <c r="G696" s="31"/>
      <c r="H696" s="32"/>
      <c r="J696" s="33"/>
      <c r="K696" s="33"/>
      <c r="L696" s="33"/>
      <c r="X696" s="22"/>
      <c r="Y696" s="22"/>
      <c r="Z696" s="22"/>
      <c r="AA696" s="22"/>
      <c r="AF696" s="22"/>
      <c r="AG696" s="22"/>
      <c r="AH696" s="22"/>
      <c r="AI696" s="22"/>
      <c r="AN696" s="22"/>
      <c r="AO696" s="22"/>
      <c r="AP696" s="22"/>
      <c r="AQ696" s="22"/>
      <c r="AR696" s="35"/>
      <c r="AS696" s="35"/>
      <c r="AT696" s="35"/>
      <c r="AU696" s="31"/>
      <c r="AV696" s="36"/>
    </row>
    <row r="697" spans="1:48">
      <c r="A697" s="39"/>
      <c r="D697" s="31"/>
      <c r="E697" s="31"/>
      <c r="F697" s="31"/>
      <c r="G697" s="31"/>
      <c r="H697" s="32"/>
      <c r="J697" s="33"/>
      <c r="K697" s="33"/>
      <c r="L697" s="33"/>
      <c r="X697" s="22"/>
      <c r="Y697" s="22"/>
      <c r="Z697" s="22"/>
      <c r="AA697" s="22"/>
      <c r="AF697" s="22"/>
      <c r="AG697" s="22"/>
      <c r="AH697" s="22"/>
      <c r="AI697" s="22"/>
      <c r="AN697" s="22"/>
      <c r="AO697" s="22"/>
      <c r="AP697" s="22"/>
      <c r="AQ697" s="22"/>
      <c r="AR697" s="35"/>
      <c r="AS697" s="35"/>
      <c r="AT697" s="35"/>
      <c r="AU697" s="31"/>
      <c r="AV697" s="36"/>
    </row>
    <row r="698" spans="1:48">
      <c r="A698" s="39"/>
      <c r="D698" s="31"/>
      <c r="E698" s="31"/>
      <c r="F698" s="31"/>
      <c r="G698" s="31"/>
      <c r="H698" s="32"/>
      <c r="J698" s="33"/>
      <c r="K698" s="33"/>
      <c r="L698" s="33"/>
      <c r="X698" s="22"/>
      <c r="Y698" s="22"/>
      <c r="Z698" s="22"/>
      <c r="AA698" s="22"/>
      <c r="AF698" s="22"/>
      <c r="AG698" s="22"/>
      <c r="AH698" s="22"/>
      <c r="AI698" s="22"/>
      <c r="AN698" s="22"/>
      <c r="AO698" s="22"/>
      <c r="AP698" s="22"/>
      <c r="AQ698" s="22"/>
      <c r="AR698" s="35"/>
      <c r="AS698" s="35"/>
      <c r="AT698" s="35"/>
      <c r="AU698" s="31"/>
      <c r="AV698" s="36"/>
    </row>
    <row r="699" spans="1:48">
      <c r="A699" s="39"/>
      <c r="D699" s="31"/>
      <c r="E699" s="31"/>
      <c r="F699" s="31"/>
      <c r="G699" s="31"/>
      <c r="H699" s="32"/>
      <c r="J699" s="33"/>
      <c r="K699" s="33"/>
      <c r="L699" s="33"/>
      <c r="X699" s="22"/>
      <c r="Y699" s="22"/>
      <c r="Z699" s="22"/>
      <c r="AA699" s="22"/>
      <c r="AF699" s="22"/>
      <c r="AG699" s="22"/>
      <c r="AH699" s="22"/>
      <c r="AI699" s="22"/>
      <c r="AN699" s="22"/>
      <c r="AO699" s="22"/>
      <c r="AP699" s="22"/>
      <c r="AQ699" s="22"/>
      <c r="AR699" s="35"/>
      <c r="AS699" s="35"/>
      <c r="AT699" s="35"/>
      <c r="AU699" s="31"/>
      <c r="AV699" s="36"/>
    </row>
    <row r="700" spans="1:48">
      <c r="A700" s="39"/>
      <c r="D700" s="31"/>
      <c r="E700" s="31"/>
      <c r="F700" s="31"/>
      <c r="G700" s="31"/>
      <c r="H700" s="32"/>
      <c r="J700" s="33"/>
      <c r="K700" s="33"/>
      <c r="L700" s="33"/>
      <c r="X700" s="22"/>
      <c r="Y700" s="22"/>
      <c r="Z700" s="22"/>
      <c r="AA700" s="22"/>
      <c r="AF700" s="22"/>
      <c r="AG700" s="22"/>
      <c r="AH700" s="22"/>
      <c r="AI700" s="22"/>
      <c r="AN700" s="22"/>
      <c r="AO700" s="22"/>
      <c r="AP700" s="22"/>
      <c r="AQ700" s="22"/>
      <c r="AR700" s="35"/>
      <c r="AS700" s="35"/>
      <c r="AT700" s="35"/>
      <c r="AU700" s="31"/>
      <c r="AV700" s="36"/>
    </row>
    <row r="701" spans="1:48">
      <c r="A701" s="39"/>
      <c r="D701" s="31"/>
      <c r="E701" s="31"/>
      <c r="F701" s="31"/>
      <c r="G701" s="31"/>
      <c r="H701" s="32"/>
      <c r="J701" s="33"/>
      <c r="K701" s="33"/>
      <c r="L701" s="33"/>
      <c r="X701" s="22"/>
      <c r="Y701" s="22"/>
      <c r="Z701" s="22"/>
      <c r="AA701" s="22"/>
      <c r="AF701" s="22"/>
      <c r="AG701" s="22"/>
      <c r="AH701" s="22"/>
      <c r="AI701" s="22"/>
      <c r="AN701" s="22"/>
      <c r="AO701" s="22"/>
      <c r="AP701" s="22"/>
      <c r="AQ701" s="22"/>
      <c r="AR701" s="35"/>
      <c r="AS701" s="35"/>
      <c r="AT701" s="35"/>
      <c r="AU701" s="31"/>
      <c r="AV701" s="36"/>
    </row>
    <row r="702" spans="1:48">
      <c r="A702" s="39"/>
      <c r="D702" s="31"/>
      <c r="E702" s="31"/>
      <c r="F702" s="31"/>
      <c r="G702" s="31"/>
      <c r="H702" s="32"/>
      <c r="J702" s="33"/>
      <c r="K702" s="33"/>
      <c r="L702" s="33"/>
      <c r="X702" s="22"/>
      <c r="Y702" s="22"/>
      <c r="Z702" s="22"/>
      <c r="AA702" s="22"/>
      <c r="AF702" s="22"/>
      <c r="AG702" s="22"/>
      <c r="AH702" s="22"/>
      <c r="AI702" s="22"/>
      <c r="AN702" s="22"/>
      <c r="AO702" s="22"/>
      <c r="AP702" s="22"/>
      <c r="AQ702" s="22"/>
      <c r="AR702" s="35"/>
      <c r="AS702" s="35"/>
      <c r="AT702" s="35"/>
      <c r="AU702" s="31"/>
      <c r="AV702" s="36"/>
    </row>
    <row r="703" spans="1:48">
      <c r="A703" s="39"/>
      <c r="D703" s="31"/>
      <c r="E703" s="31"/>
      <c r="F703" s="31"/>
      <c r="G703" s="31"/>
      <c r="H703" s="32"/>
      <c r="J703" s="33"/>
      <c r="K703" s="33"/>
      <c r="L703" s="33"/>
      <c r="X703" s="22"/>
      <c r="Y703" s="22"/>
      <c r="Z703" s="22"/>
      <c r="AA703" s="22"/>
      <c r="AF703" s="22"/>
      <c r="AG703" s="22"/>
      <c r="AH703" s="22"/>
      <c r="AI703" s="22"/>
      <c r="AN703" s="22"/>
      <c r="AO703" s="22"/>
      <c r="AP703" s="22"/>
      <c r="AQ703" s="22"/>
      <c r="AR703" s="35"/>
      <c r="AS703" s="35"/>
      <c r="AT703" s="35"/>
      <c r="AU703" s="31"/>
      <c r="AV703" s="36"/>
    </row>
    <row r="704" spans="1:48">
      <c r="A704" s="39"/>
      <c r="D704" s="31"/>
      <c r="E704" s="31"/>
      <c r="F704" s="31"/>
      <c r="G704" s="31"/>
      <c r="H704" s="32"/>
      <c r="J704" s="33"/>
      <c r="K704" s="33"/>
      <c r="L704" s="33"/>
      <c r="X704" s="22"/>
      <c r="Y704" s="22"/>
      <c r="Z704" s="22"/>
      <c r="AA704" s="22"/>
      <c r="AF704" s="22"/>
      <c r="AG704" s="22"/>
      <c r="AH704" s="22"/>
      <c r="AI704" s="22"/>
      <c r="AN704" s="22"/>
      <c r="AO704" s="22"/>
      <c r="AP704" s="22"/>
      <c r="AQ704" s="22"/>
      <c r="AR704" s="35"/>
      <c r="AS704" s="35"/>
      <c r="AT704" s="35"/>
      <c r="AU704" s="31"/>
      <c r="AV704" s="36"/>
    </row>
    <row r="705" spans="1:48">
      <c r="A705" s="39"/>
      <c r="D705" s="31"/>
      <c r="E705" s="31"/>
      <c r="F705" s="31"/>
      <c r="G705" s="31"/>
      <c r="H705" s="32"/>
      <c r="J705" s="33"/>
      <c r="K705" s="33"/>
      <c r="L705" s="33"/>
      <c r="X705" s="22"/>
      <c r="Y705" s="22"/>
      <c r="Z705" s="22"/>
      <c r="AA705" s="22"/>
      <c r="AF705" s="22"/>
      <c r="AG705" s="22"/>
      <c r="AH705" s="22"/>
      <c r="AI705" s="22"/>
      <c r="AN705" s="22"/>
      <c r="AO705" s="22"/>
      <c r="AP705" s="22"/>
      <c r="AQ705" s="22"/>
      <c r="AR705" s="35"/>
      <c r="AS705" s="35"/>
      <c r="AT705" s="35"/>
      <c r="AU705" s="31"/>
      <c r="AV705" s="36"/>
    </row>
    <row r="706" spans="1:48">
      <c r="A706" s="39"/>
      <c r="D706" s="31"/>
      <c r="E706" s="31"/>
      <c r="F706" s="31"/>
      <c r="G706" s="31"/>
      <c r="H706" s="32"/>
      <c r="J706" s="33"/>
      <c r="K706" s="33"/>
      <c r="L706" s="33"/>
      <c r="X706" s="22"/>
      <c r="Y706" s="22"/>
      <c r="Z706" s="22"/>
      <c r="AA706" s="22"/>
      <c r="AF706" s="22"/>
      <c r="AG706" s="22"/>
      <c r="AH706" s="22"/>
      <c r="AI706" s="22"/>
      <c r="AN706" s="22"/>
      <c r="AO706" s="22"/>
      <c r="AP706" s="22"/>
      <c r="AQ706" s="22"/>
      <c r="AR706" s="35"/>
      <c r="AS706" s="35"/>
      <c r="AT706" s="35"/>
      <c r="AU706" s="31"/>
      <c r="AV706" s="36"/>
    </row>
    <row r="707" spans="1:48">
      <c r="A707" s="39"/>
      <c r="D707" s="31"/>
      <c r="E707" s="31"/>
      <c r="F707" s="31"/>
      <c r="G707" s="31"/>
      <c r="H707" s="32"/>
      <c r="J707" s="33"/>
      <c r="K707" s="33"/>
      <c r="L707" s="33"/>
      <c r="X707" s="22"/>
      <c r="Y707" s="22"/>
      <c r="Z707" s="22"/>
      <c r="AA707" s="22"/>
      <c r="AF707" s="22"/>
      <c r="AG707" s="22"/>
      <c r="AH707" s="22"/>
      <c r="AI707" s="22"/>
      <c r="AN707" s="22"/>
      <c r="AO707" s="22"/>
      <c r="AP707" s="22"/>
      <c r="AQ707" s="22"/>
      <c r="AR707" s="35"/>
      <c r="AS707" s="35"/>
      <c r="AT707" s="35"/>
      <c r="AU707" s="31"/>
      <c r="AV707" s="36"/>
    </row>
    <row r="708" spans="1:48">
      <c r="A708" s="39"/>
      <c r="D708" s="31"/>
      <c r="E708" s="31"/>
      <c r="F708" s="31"/>
      <c r="G708" s="31"/>
      <c r="H708" s="32"/>
      <c r="J708" s="33"/>
      <c r="K708" s="33"/>
      <c r="L708" s="33"/>
      <c r="X708" s="22"/>
      <c r="Y708" s="22"/>
      <c r="Z708" s="22"/>
      <c r="AA708" s="22"/>
      <c r="AF708" s="22"/>
      <c r="AG708" s="22"/>
      <c r="AH708" s="22"/>
      <c r="AI708" s="22"/>
      <c r="AN708" s="22"/>
      <c r="AO708" s="22"/>
      <c r="AP708" s="22"/>
      <c r="AQ708" s="22"/>
      <c r="AR708" s="35"/>
      <c r="AS708" s="35"/>
      <c r="AT708" s="35"/>
      <c r="AU708" s="31"/>
      <c r="AV708" s="36"/>
    </row>
    <row r="709" spans="1:48">
      <c r="A709" s="39"/>
      <c r="D709" s="31"/>
      <c r="E709" s="31"/>
      <c r="F709" s="31"/>
      <c r="G709" s="31"/>
      <c r="H709" s="32"/>
      <c r="J709" s="33"/>
      <c r="K709" s="33"/>
      <c r="L709" s="33"/>
      <c r="X709" s="22"/>
      <c r="Y709" s="22"/>
      <c r="Z709" s="22"/>
      <c r="AA709" s="22"/>
      <c r="AF709" s="22"/>
      <c r="AG709" s="22"/>
      <c r="AH709" s="22"/>
      <c r="AI709" s="22"/>
      <c r="AN709" s="22"/>
      <c r="AO709" s="22"/>
      <c r="AP709" s="22"/>
      <c r="AQ709" s="22"/>
      <c r="AR709" s="35"/>
      <c r="AS709" s="35"/>
      <c r="AT709" s="35"/>
      <c r="AU709" s="31"/>
      <c r="AV709" s="36"/>
    </row>
    <row r="710" spans="1:48">
      <c r="A710" s="39"/>
      <c r="D710" s="31"/>
      <c r="E710" s="31"/>
      <c r="F710" s="31"/>
      <c r="G710" s="31"/>
      <c r="H710" s="32"/>
      <c r="J710" s="33"/>
      <c r="K710" s="33"/>
      <c r="L710" s="33"/>
      <c r="X710" s="22"/>
      <c r="Y710" s="22"/>
      <c r="Z710" s="22"/>
      <c r="AA710" s="22"/>
      <c r="AF710" s="22"/>
      <c r="AG710" s="22"/>
      <c r="AH710" s="22"/>
      <c r="AI710" s="22"/>
      <c r="AN710" s="22"/>
      <c r="AO710" s="22"/>
      <c r="AP710" s="22"/>
      <c r="AQ710" s="22"/>
      <c r="AR710" s="35"/>
      <c r="AS710" s="35"/>
      <c r="AT710" s="35"/>
      <c r="AU710" s="31"/>
      <c r="AV710" s="36"/>
    </row>
    <row r="711" spans="1:48">
      <c r="A711" s="39"/>
      <c r="D711" s="31"/>
      <c r="E711" s="31"/>
      <c r="F711" s="31"/>
      <c r="G711" s="31"/>
      <c r="H711" s="32"/>
      <c r="J711" s="33"/>
      <c r="K711" s="33"/>
      <c r="L711" s="33"/>
      <c r="X711" s="22"/>
      <c r="Y711" s="22"/>
      <c r="Z711" s="22"/>
      <c r="AA711" s="22"/>
      <c r="AF711" s="22"/>
      <c r="AG711" s="22"/>
      <c r="AH711" s="22"/>
      <c r="AI711" s="22"/>
      <c r="AN711" s="22"/>
      <c r="AO711" s="22"/>
      <c r="AP711" s="22"/>
      <c r="AQ711" s="22"/>
      <c r="AR711" s="35"/>
      <c r="AS711" s="35"/>
      <c r="AT711" s="35"/>
      <c r="AU711" s="31"/>
      <c r="AV711" s="36"/>
    </row>
    <row r="712" spans="1:48">
      <c r="A712" s="39"/>
      <c r="D712" s="31"/>
      <c r="E712" s="31"/>
      <c r="F712" s="31"/>
      <c r="G712" s="31"/>
      <c r="H712" s="32"/>
      <c r="J712" s="33"/>
      <c r="K712" s="33"/>
      <c r="L712" s="33"/>
      <c r="X712" s="22"/>
      <c r="Y712" s="22"/>
      <c r="Z712" s="22"/>
      <c r="AA712" s="22"/>
      <c r="AF712" s="22"/>
      <c r="AG712" s="22"/>
      <c r="AH712" s="22"/>
      <c r="AI712" s="22"/>
      <c r="AN712" s="22"/>
      <c r="AO712" s="22"/>
      <c r="AP712" s="22"/>
      <c r="AQ712" s="22"/>
      <c r="AR712" s="35"/>
      <c r="AS712" s="35"/>
      <c r="AT712" s="35"/>
      <c r="AU712" s="31"/>
      <c r="AV712" s="36"/>
    </row>
    <row r="713" spans="1:48">
      <c r="A713" s="39"/>
      <c r="D713" s="31"/>
      <c r="E713" s="31"/>
      <c r="F713" s="31"/>
      <c r="G713" s="31"/>
      <c r="H713" s="32"/>
      <c r="J713" s="33"/>
      <c r="K713" s="33"/>
      <c r="L713" s="33"/>
      <c r="X713" s="22"/>
      <c r="Y713" s="22"/>
      <c r="Z713" s="22"/>
      <c r="AA713" s="22"/>
      <c r="AF713" s="22"/>
      <c r="AG713" s="22"/>
      <c r="AH713" s="22"/>
      <c r="AI713" s="22"/>
      <c r="AN713" s="22"/>
      <c r="AO713" s="22"/>
      <c r="AP713" s="22"/>
      <c r="AQ713" s="22"/>
      <c r="AR713" s="35"/>
      <c r="AS713" s="35"/>
      <c r="AT713" s="35"/>
      <c r="AU713" s="31"/>
      <c r="AV713" s="36"/>
    </row>
    <row r="714" spans="1:48">
      <c r="A714" s="39"/>
      <c r="D714" s="31"/>
      <c r="E714" s="31"/>
      <c r="F714" s="31"/>
      <c r="G714" s="31"/>
      <c r="H714" s="32"/>
      <c r="J714" s="33"/>
      <c r="K714" s="33"/>
      <c r="L714" s="33"/>
      <c r="X714" s="22"/>
      <c r="Y714" s="22"/>
      <c r="Z714" s="22"/>
      <c r="AA714" s="22"/>
      <c r="AF714" s="22"/>
      <c r="AG714" s="22"/>
      <c r="AH714" s="22"/>
      <c r="AI714" s="22"/>
      <c r="AN714" s="22"/>
      <c r="AO714" s="22"/>
      <c r="AP714" s="22"/>
      <c r="AQ714" s="22"/>
      <c r="AR714" s="35"/>
      <c r="AS714" s="35"/>
      <c r="AT714" s="35"/>
      <c r="AU714" s="31"/>
      <c r="AV714" s="36"/>
    </row>
    <row r="715" spans="1:48">
      <c r="A715" s="39"/>
      <c r="D715" s="31"/>
      <c r="E715" s="31"/>
      <c r="F715" s="31"/>
      <c r="G715" s="31"/>
      <c r="H715" s="32"/>
      <c r="J715" s="33"/>
      <c r="K715" s="33"/>
      <c r="L715" s="33"/>
      <c r="X715" s="22"/>
      <c r="Y715" s="22"/>
      <c r="Z715" s="22"/>
      <c r="AA715" s="22"/>
      <c r="AF715" s="22"/>
      <c r="AG715" s="22"/>
      <c r="AH715" s="22"/>
      <c r="AI715" s="22"/>
      <c r="AN715" s="22"/>
      <c r="AO715" s="22"/>
      <c r="AP715" s="22"/>
      <c r="AQ715" s="22"/>
      <c r="AR715" s="35"/>
      <c r="AS715" s="35"/>
      <c r="AT715" s="35"/>
      <c r="AU715" s="31"/>
      <c r="AV715" s="36"/>
    </row>
    <row r="716" spans="1:48">
      <c r="A716" s="39"/>
      <c r="D716" s="31"/>
      <c r="E716" s="31"/>
      <c r="F716" s="31"/>
      <c r="G716" s="31"/>
      <c r="H716" s="32"/>
      <c r="J716" s="33"/>
      <c r="K716" s="33"/>
      <c r="L716" s="33"/>
      <c r="X716" s="22"/>
      <c r="Y716" s="22"/>
      <c r="Z716" s="22"/>
      <c r="AA716" s="22"/>
      <c r="AF716" s="22"/>
      <c r="AG716" s="22"/>
      <c r="AH716" s="22"/>
      <c r="AI716" s="22"/>
      <c r="AN716" s="22"/>
      <c r="AO716" s="22"/>
      <c r="AP716" s="22"/>
      <c r="AQ716" s="22"/>
      <c r="AR716" s="35"/>
      <c r="AS716" s="35"/>
      <c r="AT716" s="35"/>
      <c r="AU716" s="31"/>
      <c r="AV716" s="36"/>
    </row>
    <row r="717" spans="1:48">
      <c r="A717" s="39"/>
      <c r="D717" s="31"/>
      <c r="E717" s="31"/>
      <c r="F717" s="31"/>
      <c r="G717" s="31"/>
      <c r="H717" s="32"/>
      <c r="J717" s="33"/>
      <c r="K717" s="33"/>
      <c r="L717" s="33"/>
      <c r="X717" s="22"/>
      <c r="Y717" s="22"/>
      <c r="Z717" s="22"/>
      <c r="AA717" s="22"/>
      <c r="AF717" s="22"/>
      <c r="AG717" s="22"/>
      <c r="AH717" s="22"/>
      <c r="AI717" s="22"/>
      <c r="AN717" s="22"/>
      <c r="AO717" s="22"/>
      <c r="AP717" s="22"/>
      <c r="AQ717" s="22"/>
      <c r="AR717" s="35"/>
      <c r="AS717" s="35"/>
      <c r="AT717" s="35"/>
      <c r="AU717" s="31"/>
      <c r="AV717" s="36"/>
    </row>
    <row r="718" spans="1:48">
      <c r="A718" s="39"/>
      <c r="D718" s="31"/>
      <c r="E718" s="31"/>
      <c r="F718" s="31"/>
      <c r="G718" s="31"/>
      <c r="H718" s="32"/>
      <c r="J718" s="33"/>
      <c r="K718" s="33"/>
      <c r="L718" s="33"/>
      <c r="X718" s="22"/>
      <c r="Y718" s="22"/>
      <c r="Z718" s="22"/>
      <c r="AA718" s="22"/>
      <c r="AF718" s="22"/>
      <c r="AG718" s="22"/>
      <c r="AH718" s="22"/>
      <c r="AI718" s="22"/>
      <c r="AN718" s="22"/>
      <c r="AO718" s="22"/>
      <c r="AP718" s="22"/>
      <c r="AQ718" s="22"/>
      <c r="AR718" s="35"/>
      <c r="AS718" s="35"/>
      <c r="AT718" s="35"/>
      <c r="AU718" s="31"/>
      <c r="AV718" s="36"/>
    </row>
    <row r="719" spans="1:48">
      <c r="A719" s="39"/>
      <c r="D719" s="31"/>
      <c r="E719" s="31"/>
      <c r="F719" s="31"/>
      <c r="G719" s="31"/>
      <c r="H719" s="32"/>
      <c r="J719" s="33"/>
      <c r="K719" s="33"/>
      <c r="L719" s="33"/>
      <c r="X719" s="22"/>
      <c r="Y719" s="22"/>
      <c r="Z719" s="22"/>
      <c r="AA719" s="22"/>
      <c r="AF719" s="22"/>
      <c r="AG719" s="22"/>
      <c r="AH719" s="22"/>
      <c r="AI719" s="22"/>
      <c r="AN719" s="22"/>
      <c r="AO719" s="22"/>
      <c r="AP719" s="22"/>
      <c r="AQ719" s="22"/>
      <c r="AR719" s="35"/>
      <c r="AS719" s="35"/>
      <c r="AT719" s="35"/>
      <c r="AU719" s="31"/>
      <c r="AV719" s="36"/>
    </row>
    <row r="720" spans="1:48">
      <c r="A720" s="39"/>
      <c r="D720" s="31"/>
      <c r="E720" s="31"/>
      <c r="F720" s="31"/>
      <c r="G720" s="31"/>
      <c r="H720" s="32"/>
      <c r="J720" s="33"/>
      <c r="K720" s="33"/>
      <c r="L720" s="33"/>
      <c r="X720" s="22"/>
      <c r="Y720" s="22"/>
      <c r="Z720" s="22"/>
      <c r="AA720" s="22"/>
      <c r="AF720" s="22"/>
      <c r="AG720" s="22"/>
      <c r="AH720" s="22"/>
      <c r="AI720" s="22"/>
      <c r="AN720" s="22"/>
      <c r="AO720" s="22"/>
      <c r="AP720" s="22"/>
      <c r="AQ720" s="22"/>
      <c r="AR720" s="35"/>
      <c r="AS720" s="35"/>
      <c r="AT720" s="35"/>
      <c r="AU720" s="31"/>
      <c r="AV720" s="36"/>
    </row>
    <row r="721" spans="1:48">
      <c r="A721" s="39"/>
      <c r="D721" s="31"/>
      <c r="E721" s="31"/>
      <c r="F721" s="31"/>
      <c r="G721" s="31"/>
      <c r="H721" s="32"/>
      <c r="J721" s="33"/>
      <c r="K721" s="33"/>
      <c r="L721" s="33"/>
      <c r="X721" s="22"/>
      <c r="Y721" s="22"/>
      <c r="Z721" s="22"/>
      <c r="AA721" s="22"/>
      <c r="AF721" s="22"/>
      <c r="AG721" s="22"/>
      <c r="AH721" s="22"/>
      <c r="AI721" s="22"/>
      <c r="AN721" s="22"/>
      <c r="AO721" s="22"/>
      <c r="AP721" s="22"/>
      <c r="AQ721" s="22"/>
      <c r="AR721" s="35"/>
      <c r="AS721" s="35"/>
      <c r="AT721" s="35"/>
      <c r="AU721" s="31"/>
      <c r="AV721" s="36"/>
    </row>
    <row r="722" spans="1:48">
      <c r="A722" s="39"/>
      <c r="D722" s="31"/>
      <c r="E722" s="31"/>
      <c r="F722" s="31"/>
      <c r="G722" s="31"/>
      <c r="H722" s="32"/>
      <c r="J722" s="33"/>
      <c r="K722" s="33"/>
      <c r="L722" s="33"/>
      <c r="X722" s="22"/>
      <c r="Y722" s="22"/>
      <c r="Z722" s="22"/>
      <c r="AA722" s="22"/>
      <c r="AF722" s="22"/>
      <c r="AG722" s="22"/>
      <c r="AH722" s="22"/>
      <c r="AI722" s="22"/>
      <c r="AN722" s="22"/>
      <c r="AO722" s="22"/>
      <c r="AP722" s="22"/>
      <c r="AQ722" s="22"/>
      <c r="AR722" s="35"/>
      <c r="AS722" s="35"/>
      <c r="AT722" s="35"/>
      <c r="AU722" s="31"/>
      <c r="AV722" s="36"/>
    </row>
    <row r="723" spans="1:48">
      <c r="A723" s="39"/>
      <c r="D723" s="31"/>
      <c r="E723" s="31"/>
      <c r="F723" s="31"/>
      <c r="G723" s="31"/>
      <c r="H723" s="32"/>
      <c r="J723" s="33"/>
      <c r="K723" s="33"/>
      <c r="L723" s="33"/>
      <c r="X723" s="22"/>
      <c r="Y723" s="22"/>
      <c r="Z723" s="22"/>
      <c r="AA723" s="22"/>
      <c r="AF723" s="22"/>
      <c r="AG723" s="22"/>
      <c r="AH723" s="22"/>
      <c r="AI723" s="22"/>
      <c r="AN723" s="22"/>
      <c r="AO723" s="22"/>
      <c r="AP723" s="22"/>
      <c r="AQ723" s="22"/>
      <c r="AR723" s="35"/>
      <c r="AS723" s="35"/>
      <c r="AT723" s="35"/>
      <c r="AU723" s="31"/>
      <c r="AV723" s="36"/>
    </row>
    <row r="724" spans="1:48">
      <c r="A724" s="39"/>
      <c r="D724" s="31"/>
      <c r="E724" s="31"/>
      <c r="F724" s="31"/>
      <c r="G724" s="31"/>
      <c r="H724" s="32"/>
      <c r="J724" s="33"/>
      <c r="K724" s="33"/>
      <c r="L724" s="33"/>
      <c r="X724" s="22"/>
      <c r="Y724" s="22"/>
      <c r="Z724" s="22"/>
      <c r="AA724" s="22"/>
      <c r="AF724" s="22"/>
      <c r="AG724" s="22"/>
      <c r="AH724" s="22"/>
      <c r="AI724" s="22"/>
      <c r="AN724" s="22"/>
      <c r="AO724" s="22"/>
      <c r="AP724" s="22"/>
      <c r="AQ724" s="22"/>
      <c r="AR724" s="35"/>
      <c r="AS724" s="35"/>
      <c r="AT724" s="35"/>
      <c r="AU724" s="31"/>
      <c r="AV724" s="36"/>
    </row>
    <row r="725" spans="1:48">
      <c r="A725" s="39"/>
      <c r="D725" s="31"/>
      <c r="E725" s="31"/>
      <c r="F725" s="31"/>
      <c r="G725" s="31"/>
      <c r="H725" s="32"/>
      <c r="J725" s="33"/>
      <c r="K725" s="33"/>
      <c r="L725" s="33"/>
      <c r="X725" s="22"/>
      <c r="Y725" s="22"/>
      <c r="Z725" s="22"/>
      <c r="AA725" s="22"/>
      <c r="AF725" s="22"/>
      <c r="AG725" s="22"/>
      <c r="AH725" s="22"/>
      <c r="AI725" s="22"/>
      <c r="AN725" s="22"/>
      <c r="AO725" s="22"/>
      <c r="AP725" s="22"/>
      <c r="AQ725" s="22"/>
      <c r="AR725" s="35"/>
      <c r="AS725" s="35"/>
      <c r="AT725" s="35"/>
      <c r="AU725" s="31"/>
      <c r="AV725" s="36"/>
    </row>
    <row r="726" spans="1:48">
      <c r="A726" s="39"/>
      <c r="D726" s="31"/>
      <c r="E726" s="31"/>
      <c r="F726" s="31"/>
      <c r="G726" s="31"/>
      <c r="H726" s="32"/>
      <c r="J726" s="33"/>
      <c r="K726" s="33"/>
      <c r="L726" s="33"/>
      <c r="X726" s="22"/>
      <c r="Y726" s="22"/>
      <c r="Z726" s="22"/>
      <c r="AA726" s="22"/>
      <c r="AF726" s="22"/>
      <c r="AG726" s="22"/>
      <c r="AH726" s="22"/>
      <c r="AI726" s="22"/>
      <c r="AN726" s="22"/>
      <c r="AO726" s="22"/>
      <c r="AP726" s="22"/>
      <c r="AQ726" s="22"/>
      <c r="AR726" s="35"/>
      <c r="AS726" s="35"/>
      <c r="AT726" s="35"/>
      <c r="AU726" s="31"/>
      <c r="AV726" s="36"/>
    </row>
    <row r="727" spans="1:48">
      <c r="A727" s="39"/>
      <c r="D727" s="31"/>
      <c r="E727" s="31"/>
      <c r="F727" s="31"/>
      <c r="G727" s="31"/>
      <c r="H727" s="32"/>
      <c r="J727" s="33"/>
      <c r="K727" s="33"/>
      <c r="L727" s="33"/>
      <c r="X727" s="22"/>
      <c r="Y727" s="22"/>
      <c r="Z727" s="22"/>
      <c r="AA727" s="22"/>
      <c r="AF727" s="22"/>
      <c r="AG727" s="22"/>
      <c r="AH727" s="22"/>
      <c r="AI727" s="22"/>
      <c r="AN727" s="22"/>
      <c r="AO727" s="22"/>
      <c r="AP727" s="22"/>
      <c r="AQ727" s="22"/>
      <c r="AR727" s="35"/>
      <c r="AS727" s="35"/>
      <c r="AT727" s="35"/>
      <c r="AU727" s="31"/>
      <c r="AV727" s="36"/>
    </row>
    <row r="728" spans="1:48">
      <c r="A728" s="39"/>
      <c r="D728" s="31"/>
      <c r="E728" s="31"/>
      <c r="F728" s="31"/>
      <c r="G728" s="31"/>
      <c r="H728" s="32"/>
      <c r="J728" s="33"/>
      <c r="K728" s="33"/>
      <c r="L728" s="33"/>
      <c r="X728" s="22"/>
      <c r="Y728" s="22"/>
      <c r="Z728" s="22"/>
      <c r="AA728" s="22"/>
      <c r="AF728" s="22"/>
      <c r="AG728" s="22"/>
      <c r="AH728" s="22"/>
      <c r="AI728" s="22"/>
      <c r="AN728" s="22"/>
      <c r="AO728" s="22"/>
      <c r="AP728" s="22"/>
      <c r="AQ728" s="22"/>
      <c r="AR728" s="35"/>
      <c r="AS728" s="35"/>
      <c r="AT728" s="35"/>
      <c r="AU728" s="31"/>
      <c r="AV728" s="36"/>
    </row>
    <row r="729" spans="1:48">
      <c r="A729" s="39"/>
      <c r="D729" s="31"/>
      <c r="E729" s="31"/>
      <c r="F729" s="31"/>
      <c r="G729" s="31"/>
      <c r="H729" s="32"/>
      <c r="J729" s="33"/>
      <c r="K729" s="33"/>
      <c r="L729" s="33"/>
      <c r="X729" s="22"/>
      <c r="Y729" s="22"/>
      <c r="Z729" s="22"/>
      <c r="AA729" s="22"/>
      <c r="AF729" s="22"/>
      <c r="AG729" s="22"/>
      <c r="AH729" s="22"/>
      <c r="AI729" s="22"/>
      <c r="AN729" s="22"/>
      <c r="AO729" s="22"/>
      <c r="AP729" s="22"/>
      <c r="AQ729" s="22"/>
      <c r="AR729" s="35"/>
      <c r="AS729" s="35"/>
      <c r="AT729" s="35"/>
      <c r="AU729" s="31"/>
      <c r="AV729" s="36"/>
    </row>
    <row r="730" spans="1:48">
      <c r="A730" s="39"/>
      <c r="D730" s="31"/>
      <c r="E730" s="31"/>
      <c r="F730" s="31"/>
      <c r="G730" s="31"/>
      <c r="H730" s="32"/>
      <c r="J730" s="33"/>
      <c r="K730" s="33"/>
      <c r="L730" s="33"/>
      <c r="X730" s="22"/>
      <c r="Y730" s="22"/>
      <c r="Z730" s="22"/>
      <c r="AA730" s="22"/>
      <c r="AF730" s="22"/>
      <c r="AG730" s="22"/>
      <c r="AH730" s="22"/>
      <c r="AI730" s="22"/>
      <c r="AN730" s="22"/>
      <c r="AO730" s="22"/>
      <c r="AP730" s="22"/>
      <c r="AQ730" s="22"/>
      <c r="AR730" s="35"/>
      <c r="AS730" s="35"/>
      <c r="AT730" s="35"/>
      <c r="AU730" s="31"/>
      <c r="AV730" s="36"/>
    </row>
    <row r="731" spans="1:48">
      <c r="A731" s="39"/>
      <c r="D731" s="31"/>
      <c r="E731" s="31"/>
      <c r="F731" s="31"/>
      <c r="G731" s="31"/>
      <c r="H731" s="32"/>
      <c r="J731" s="33"/>
      <c r="K731" s="33"/>
      <c r="L731" s="33"/>
      <c r="X731" s="22"/>
      <c r="Y731" s="22"/>
      <c r="Z731" s="22"/>
      <c r="AA731" s="22"/>
      <c r="AF731" s="22"/>
      <c r="AG731" s="22"/>
      <c r="AH731" s="22"/>
      <c r="AI731" s="22"/>
      <c r="AN731" s="22"/>
      <c r="AO731" s="22"/>
      <c r="AP731" s="22"/>
      <c r="AQ731" s="22"/>
      <c r="AR731" s="35"/>
      <c r="AS731" s="35"/>
      <c r="AT731" s="35"/>
      <c r="AU731" s="31"/>
      <c r="AV731" s="36"/>
    </row>
    <row r="732" spans="1:48">
      <c r="A732" s="39"/>
      <c r="D732" s="31"/>
      <c r="E732" s="31"/>
      <c r="F732" s="31"/>
      <c r="G732" s="31"/>
      <c r="H732" s="32"/>
      <c r="J732" s="33"/>
      <c r="K732" s="33"/>
      <c r="L732" s="33"/>
      <c r="X732" s="22"/>
      <c r="Y732" s="22"/>
      <c r="Z732" s="22"/>
      <c r="AA732" s="22"/>
      <c r="AF732" s="22"/>
      <c r="AG732" s="22"/>
      <c r="AH732" s="22"/>
      <c r="AI732" s="22"/>
      <c r="AN732" s="22"/>
      <c r="AO732" s="22"/>
      <c r="AP732" s="22"/>
      <c r="AQ732" s="22"/>
      <c r="AR732" s="35"/>
      <c r="AS732" s="35"/>
      <c r="AT732" s="35"/>
      <c r="AU732" s="31"/>
      <c r="AV732" s="36"/>
    </row>
    <row r="733" spans="1:48">
      <c r="A733" s="39"/>
      <c r="D733" s="31"/>
      <c r="E733" s="31"/>
      <c r="F733" s="31"/>
      <c r="G733" s="31"/>
      <c r="H733" s="32"/>
      <c r="J733" s="33"/>
      <c r="K733" s="33"/>
      <c r="L733" s="33"/>
      <c r="X733" s="22"/>
      <c r="Y733" s="22"/>
      <c r="Z733" s="22"/>
      <c r="AA733" s="22"/>
      <c r="AF733" s="22"/>
      <c r="AG733" s="22"/>
      <c r="AH733" s="22"/>
      <c r="AI733" s="22"/>
      <c r="AN733" s="22"/>
      <c r="AO733" s="22"/>
      <c r="AP733" s="22"/>
      <c r="AQ733" s="22"/>
      <c r="AR733" s="35"/>
      <c r="AS733" s="35"/>
      <c r="AT733" s="35"/>
      <c r="AU733" s="31"/>
      <c r="AV733" s="36"/>
    </row>
    <row r="734" spans="1:48">
      <c r="A734" s="39"/>
      <c r="D734" s="31"/>
      <c r="E734" s="31"/>
      <c r="F734" s="31"/>
      <c r="G734" s="31"/>
      <c r="H734" s="32"/>
      <c r="J734" s="33"/>
      <c r="K734" s="33"/>
      <c r="L734" s="33"/>
      <c r="X734" s="22"/>
      <c r="Y734" s="22"/>
      <c r="Z734" s="22"/>
      <c r="AA734" s="22"/>
      <c r="AF734" s="22"/>
      <c r="AG734" s="22"/>
      <c r="AH734" s="22"/>
      <c r="AI734" s="22"/>
      <c r="AN734" s="22"/>
      <c r="AO734" s="22"/>
      <c r="AP734" s="22"/>
      <c r="AQ734" s="22"/>
      <c r="AR734" s="35"/>
      <c r="AS734" s="35"/>
      <c r="AT734" s="35"/>
      <c r="AU734" s="31"/>
      <c r="AV734" s="36"/>
    </row>
    <row r="735" spans="1:48">
      <c r="A735" s="39"/>
      <c r="D735" s="31"/>
      <c r="E735" s="31"/>
      <c r="F735" s="31"/>
      <c r="G735" s="31"/>
      <c r="H735" s="32"/>
      <c r="J735" s="33"/>
      <c r="K735" s="33"/>
      <c r="L735" s="33"/>
      <c r="X735" s="22"/>
      <c r="Y735" s="22"/>
      <c r="Z735" s="22"/>
      <c r="AA735" s="22"/>
      <c r="AF735" s="22"/>
      <c r="AG735" s="22"/>
      <c r="AH735" s="22"/>
      <c r="AI735" s="22"/>
      <c r="AN735" s="22"/>
      <c r="AO735" s="22"/>
      <c r="AP735" s="22"/>
      <c r="AQ735" s="22"/>
      <c r="AR735" s="35"/>
      <c r="AS735" s="35"/>
      <c r="AT735" s="35"/>
      <c r="AU735" s="31"/>
      <c r="AV735" s="36"/>
    </row>
    <row r="736" spans="1:48">
      <c r="A736" s="39"/>
      <c r="D736" s="31"/>
      <c r="E736" s="31"/>
      <c r="F736" s="31"/>
      <c r="G736" s="31"/>
      <c r="H736" s="32"/>
      <c r="J736" s="33"/>
      <c r="K736" s="33"/>
      <c r="L736" s="33"/>
      <c r="X736" s="22"/>
      <c r="Y736" s="22"/>
      <c r="Z736" s="22"/>
      <c r="AA736" s="22"/>
      <c r="AF736" s="22"/>
      <c r="AG736" s="22"/>
      <c r="AH736" s="22"/>
      <c r="AI736" s="22"/>
      <c r="AN736" s="22"/>
      <c r="AO736" s="22"/>
      <c r="AP736" s="22"/>
      <c r="AQ736" s="22"/>
      <c r="AR736" s="35"/>
      <c r="AS736" s="35"/>
      <c r="AT736" s="35"/>
      <c r="AU736" s="31"/>
      <c r="AV736" s="36"/>
    </row>
    <row r="737" spans="1:48">
      <c r="A737" s="39"/>
      <c r="D737" s="31"/>
      <c r="E737" s="31"/>
      <c r="F737" s="31"/>
      <c r="G737" s="31"/>
      <c r="H737" s="32"/>
      <c r="J737" s="33"/>
      <c r="K737" s="33"/>
      <c r="L737" s="33"/>
      <c r="X737" s="22"/>
      <c r="Y737" s="22"/>
      <c r="Z737" s="22"/>
      <c r="AA737" s="22"/>
      <c r="AF737" s="22"/>
      <c r="AG737" s="22"/>
      <c r="AH737" s="22"/>
      <c r="AI737" s="22"/>
      <c r="AN737" s="22"/>
      <c r="AO737" s="22"/>
      <c r="AP737" s="22"/>
      <c r="AQ737" s="22"/>
      <c r="AR737" s="35"/>
      <c r="AS737" s="35"/>
      <c r="AT737" s="35"/>
      <c r="AU737" s="31"/>
      <c r="AV737" s="36"/>
    </row>
    <row r="738" spans="1:48">
      <c r="A738" s="39"/>
      <c r="D738" s="31"/>
      <c r="E738" s="31"/>
      <c r="F738" s="31"/>
      <c r="G738" s="31"/>
      <c r="H738" s="32"/>
      <c r="J738" s="33"/>
      <c r="K738" s="33"/>
      <c r="L738" s="33"/>
      <c r="X738" s="22"/>
      <c r="Y738" s="22"/>
      <c r="Z738" s="22"/>
      <c r="AA738" s="22"/>
      <c r="AF738" s="22"/>
      <c r="AG738" s="22"/>
      <c r="AH738" s="22"/>
      <c r="AI738" s="22"/>
      <c r="AN738" s="22"/>
      <c r="AO738" s="22"/>
      <c r="AP738" s="22"/>
      <c r="AQ738" s="22"/>
      <c r="AR738" s="35"/>
      <c r="AS738" s="35"/>
      <c r="AT738" s="35"/>
      <c r="AU738" s="31"/>
      <c r="AV738" s="36"/>
    </row>
    <row r="739" spans="1:48">
      <c r="A739" s="39"/>
      <c r="D739" s="31"/>
      <c r="E739" s="31"/>
      <c r="F739" s="31"/>
      <c r="G739" s="31"/>
      <c r="H739" s="32"/>
      <c r="J739" s="33"/>
      <c r="K739" s="33"/>
      <c r="L739" s="33"/>
      <c r="X739" s="22"/>
      <c r="Y739" s="22"/>
      <c r="Z739" s="22"/>
      <c r="AA739" s="22"/>
      <c r="AF739" s="22"/>
      <c r="AG739" s="22"/>
      <c r="AH739" s="22"/>
      <c r="AI739" s="22"/>
      <c r="AN739" s="22"/>
      <c r="AO739" s="22"/>
      <c r="AP739" s="22"/>
      <c r="AQ739" s="22"/>
      <c r="AR739" s="35"/>
      <c r="AS739" s="35"/>
      <c r="AT739" s="35"/>
      <c r="AU739" s="31"/>
      <c r="AV739" s="36"/>
    </row>
    <row r="740" spans="1:48">
      <c r="A740" s="39"/>
      <c r="D740" s="31"/>
      <c r="E740" s="31"/>
      <c r="F740" s="31"/>
      <c r="G740" s="31"/>
      <c r="H740" s="32"/>
      <c r="J740" s="33"/>
      <c r="K740" s="33"/>
      <c r="L740" s="33"/>
      <c r="X740" s="22"/>
      <c r="Y740" s="22"/>
      <c r="Z740" s="22"/>
      <c r="AA740" s="22"/>
      <c r="AF740" s="22"/>
      <c r="AG740" s="22"/>
      <c r="AH740" s="22"/>
      <c r="AI740" s="22"/>
      <c r="AN740" s="22"/>
      <c r="AO740" s="22"/>
      <c r="AP740" s="22"/>
      <c r="AQ740" s="22"/>
      <c r="AR740" s="35"/>
      <c r="AS740" s="35"/>
      <c r="AT740" s="35"/>
      <c r="AU740" s="31"/>
      <c r="AV740" s="36"/>
    </row>
    <row r="741" spans="1:48">
      <c r="A741" s="39"/>
      <c r="D741" s="31"/>
      <c r="E741" s="31"/>
      <c r="F741" s="31"/>
      <c r="G741" s="31"/>
      <c r="H741" s="32"/>
      <c r="J741" s="33"/>
      <c r="K741" s="33"/>
      <c r="L741" s="33"/>
      <c r="X741" s="22"/>
      <c r="Y741" s="22"/>
      <c r="Z741" s="22"/>
      <c r="AA741" s="22"/>
      <c r="AF741" s="22"/>
      <c r="AG741" s="22"/>
      <c r="AH741" s="22"/>
      <c r="AI741" s="22"/>
      <c r="AN741" s="22"/>
      <c r="AO741" s="22"/>
      <c r="AP741" s="22"/>
      <c r="AQ741" s="22"/>
      <c r="AR741" s="35"/>
      <c r="AS741" s="35"/>
      <c r="AT741" s="35"/>
      <c r="AU741" s="31"/>
      <c r="AV741" s="36"/>
    </row>
    <row r="742" spans="1:48">
      <c r="A742" s="39"/>
      <c r="D742" s="31"/>
      <c r="E742" s="31"/>
      <c r="F742" s="31"/>
      <c r="G742" s="31"/>
      <c r="H742" s="32"/>
      <c r="J742" s="33"/>
      <c r="K742" s="33"/>
      <c r="L742" s="33"/>
      <c r="X742" s="22"/>
      <c r="Y742" s="22"/>
      <c r="Z742" s="22"/>
      <c r="AA742" s="22"/>
      <c r="AF742" s="22"/>
      <c r="AG742" s="22"/>
      <c r="AH742" s="22"/>
      <c r="AI742" s="22"/>
      <c r="AN742" s="22"/>
      <c r="AO742" s="22"/>
      <c r="AP742" s="22"/>
      <c r="AQ742" s="22"/>
      <c r="AR742" s="35"/>
      <c r="AS742" s="35"/>
      <c r="AT742" s="35"/>
      <c r="AU742" s="31"/>
      <c r="AV742" s="36"/>
    </row>
    <row r="743" spans="1:48">
      <c r="A743" s="39"/>
      <c r="D743" s="31"/>
      <c r="E743" s="31"/>
      <c r="F743" s="31"/>
      <c r="G743" s="31"/>
      <c r="H743" s="32"/>
      <c r="J743" s="33"/>
      <c r="K743" s="33"/>
      <c r="L743" s="33"/>
      <c r="X743" s="22"/>
      <c r="Y743" s="22"/>
      <c r="Z743" s="22"/>
      <c r="AA743" s="22"/>
      <c r="AF743" s="22"/>
      <c r="AG743" s="22"/>
      <c r="AH743" s="22"/>
      <c r="AI743" s="22"/>
      <c r="AN743" s="22"/>
      <c r="AO743" s="22"/>
      <c r="AP743" s="22"/>
      <c r="AQ743" s="22"/>
      <c r="AR743" s="35"/>
      <c r="AS743" s="35"/>
      <c r="AT743" s="35"/>
      <c r="AU743" s="31"/>
      <c r="AV743" s="36"/>
    </row>
    <row r="744" spans="1:48">
      <c r="A744" s="39"/>
      <c r="D744" s="31"/>
      <c r="E744" s="31"/>
      <c r="F744" s="31"/>
      <c r="G744" s="31"/>
      <c r="H744" s="32"/>
      <c r="J744" s="33"/>
      <c r="K744" s="33"/>
      <c r="L744" s="33"/>
      <c r="X744" s="22"/>
      <c r="Y744" s="22"/>
      <c r="Z744" s="22"/>
      <c r="AA744" s="22"/>
      <c r="AF744" s="22"/>
      <c r="AG744" s="22"/>
      <c r="AH744" s="22"/>
      <c r="AI744" s="22"/>
      <c r="AN744" s="22"/>
      <c r="AO744" s="22"/>
      <c r="AP744" s="22"/>
      <c r="AQ744" s="22"/>
      <c r="AR744" s="35"/>
      <c r="AS744" s="35"/>
      <c r="AT744" s="35"/>
      <c r="AU744" s="31"/>
      <c r="AV744" s="36"/>
    </row>
    <row r="745" spans="1:48">
      <c r="A745" s="39"/>
      <c r="D745" s="31"/>
      <c r="E745" s="31"/>
      <c r="F745" s="31"/>
      <c r="G745" s="31"/>
      <c r="H745" s="32"/>
      <c r="J745" s="33"/>
      <c r="K745" s="33"/>
      <c r="L745" s="33"/>
      <c r="X745" s="22"/>
      <c r="Y745" s="22"/>
      <c r="Z745" s="22"/>
      <c r="AA745" s="22"/>
      <c r="AF745" s="22"/>
      <c r="AG745" s="22"/>
      <c r="AH745" s="22"/>
      <c r="AI745" s="22"/>
      <c r="AN745" s="22"/>
      <c r="AO745" s="22"/>
      <c r="AP745" s="22"/>
      <c r="AQ745" s="22"/>
      <c r="AR745" s="35"/>
      <c r="AS745" s="35"/>
      <c r="AT745" s="35"/>
      <c r="AU745" s="31"/>
      <c r="AV745" s="36"/>
    </row>
    <row r="746" spans="1:48">
      <c r="A746" s="39"/>
      <c r="D746" s="31"/>
      <c r="E746" s="31"/>
      <c r="F746" s="31"/>
      <c r="G746" s="31"/>
      <c r="H746" s="32"/>
      <c r="J746" s="33"/>
      <c r="K746" s="33"/>
      <c r="L746" s="33"/>
      <c r="X746" s="22"/>
      <c r="Y746" s="22"/>
      <c r="Z746" s="22"/>
      <c r="AA746" s="22"/>
      <c r="AF746" s="22"/>
      <c r="AG746" s="22"/>
      <c r="AH746" s="22"/>
      <c r="AI746" s="22"/>
      <c r="AN746" s="22"/>
      <c r="AO746" s="22"/>
      <c r="AP746" s="22"/>
      <c r="AQ746" s="22"/>
      <c r="AR746" s="35"/>
      <c r="AS746" s="35"/>
      <c r="AT746" s="35"/>
      <c r="AU746" s="31"/>
      <c r="AV746" s="36"/>
    </row>
    <row r="747" spans="1:48">
      <c r="A747" s="39"/>
      <c r="D747" s="31"/>
      <c r="E747" s="31"/>
      <c r="F747" s="31"/>
      <c r="G747" s="31"/>
      <c r="H747" s="32"/>
      <c r="J747" s="33"/>
      <c r="K747" s="33"/>
      <c r="L747" s="33"/>
      <c r="X747" s="22"/>
      <c r="Y747" s="22"/>
      <c r="Z747" s="22"/>
      <c r="AA747" s="22"/>
      <c r="AF747" s="22"/>
      <c r="AG747" s="22"/>
      <c r="AH747" s="22"/>
      <c r="AI747" s="22"/>
      <c r="AN747" s="22"/>
      <c r="AO747" s="22"/>
      <c r="AP747" s="22"/>
      <c r="AQ747" s="22"/>
      <c r="AR747" s="35"/>
      <c r="AS747" s="35"/>
      <c r="AT747" s="35"/>
      <c r="AU747" s="31"/>
      <c r="AV747" s="36"/>
    </row>
    <row r="748" spans="1:48">
      <c r="A748" s="39"/>
      <c r="D748" s="31"/>
      <c r="E748" s="31"/>
      <c r="F748" s="31"/>
      <c r="G748" s="31"/>
      <c r="H748" s="32"/>
      <c r="J748" s="33"/>
      <c r="K748" s="33"/>
      <c r="L748" s="33"/>
      <c r="X748" s="22"/>
      <c r="Y748" s="22"/>
      <c r="Z748" s="22"/>
      <c r="AA748" s="22"/>
      <c r="AF748" s="22"/>
      <c r="AG748" s="22"/>
      <c r="AH748" s="22"/>
      <c r="AI748" s="22"/>
      <c r="AN748" s="22"/>
      <c r="AO748" s="22"/>
      <c r="AP748" s="22"/>
      <c r="AQ748" s="22"/>
      <c r="AR748" s="35"/>
      <c r="AS748" s="35"/>
      <c r="AT748" s="35"/>
      <c r="AU748" s="31"/>
      <c r="AV748" s="36"/>
    </row>
    <row r="749" spans="1:48">
      <c r="A749" s="39"/>
      <c r="D749" s="31"/>
      <c r="E749" s="31"/>
      <c r="F749" s="31"/>
      <c r="G749" s="31"/>
      <c r="H749" s="32"/>
      <c r="J749" s="33"/>
      <c r="K749" s="33"/>
      <c r="L749" s="33"/>
      <c r="X749" s="22"/>
      <c r="Y749" s="22"/>
      <c r="Z749" s="22"/>
      <c r="AA749" s="22"/>
      <c r="AF749" s="22"/>
      <c r="AG749" s="22"/>
      <c r="AH749" s="22"/>
      <c r="AI749" s="22"/>
      <c r="AN749" s="22"/>
      <c r="AO749" s="22"/>
      <c r="AP749" s="22"/>
      <c r="AQ749" s="22"/>
      <c r="AR749" s="35"/>
      <c r="AS749" s="35"/>
      <c r="AT749" s="35"/>
      <c r="AU749" s="31"/>
      <c r="AV749" s="36"/>
    </row>
    <row r="750" spans="1:48">
      <c r="A750" s="39"/>
      <c r="D750" s="31"/>
      <c r="E750" s="31"/>
      <c r="F750" s="31"/>
      <c r="G750" s="31"/>
      <c r="H750" s="32"/>
      <c r="J750" s="33"/>
      <c r="K750" s="33"/>
      <c r="L750" s="33"/>
      <c r="X750" s="22"/>
      <c r="Y750" s="22"/>
      <c r="Z750" s="22"/>
      <c r="AA750" s="22"/>
      <c r="AF750" s="22"/>
      <c r="AG750" s="22"/>
      <c r="AH750" s="22"/>
      <c r="AI750" s="22"/>
      <c r="AN750" s="22"/>
      <c r="AO750" s="22"/>
      <c r="AP750" s="22"/>
      <c r="AQ750" s="22"/>
      <c r="AR750" s="35"/>
      <c r="AS750" s="35"/>
      <c r="AT750" s="35"/>
      <c r="AU750" s="31"/>
      <c r="AV750" s="36"/>
    </row>
    <row r="751" spans="1:48">
      <c r="A751" s="39"/>
      <c r="D751" s="31"/>
      <c r="E751" s="31"/>
      <c r="F751" s="31"/>
      <c r="G751" s="31"/>
      <c r="H751" s="32"/>
      <c r="J751" s="33"/>
      <c r="K751" s="33"/>
      <c r="L751" s="33"/>
      <c r="X751" s="22"/>
      <c r="Y751" s="22"/>
      <c r="Z751" s="22"/>
      <c r="AA751" s="22"/>
      <c r="AF751" s="22"/>
      <c r="AG751" s="22"/>
      <c r="AH751" s="22"/>
      <c r="AI751" s="22"/>
      <c r="AN751" s="22"/>
      <c r="AO751" s="22"/>
      <c r="AP751" s="22"/>
      <c r="AQ751" s="22"/>
      <c r="AR751" s="35"/>
      <c r="AS751" s="35"/>
      <c r="AT751" s="35"/>
      <c r="AU751" s="31"/>
      <c r="AV751" s="36"/>
    </row>
    <row r="752" spans="1:48">
      <c r="A752" s="39"/>
      <c r="D752" s="31"/>
      <c r="E752" s="31"/>
      <c r="F752" s="31"/>
      <c r="G752" s="31"/>
      <c r="H752" s="32"/>
      <c r="J752" s="33"/>
      <c r="K752" s="33"/>
      <c r="L752" s="33"/>
      <c r="X752" s="22"/>
      <c r="Y752" s="22"/>
      <c r="Z752" s="22"/>
      <c r="AA752" s="22"/>
      <c r="AF752" s="22"/>
      <c r="AG752" s="22"/>
      <c r="AH752" s="22"/>
      <c r="AI752" s="22"/>
      <c r="AN752" s="22"/>
      <c r="AO752" s="22"/>
      <c r="AP752" s="22"/>
      <c r="AQ752" s="22"/>
      <c r="AR752" s="35"/>
      <c r="AS752" s="35"/>
      <c r="AT752" s="35"/>
      <c r="AU752" s="31"/>
      <c r="AV752" s="36"/>
    </row>
    <row r="753" spans="1:48">
      <c r="A753" s="39"/>
      <c r="D753" s="31"/>
      <c r="E753" s="31"/>
      <c r="F753" s="31"/>
      <c r="G753" s="31"/>
      <c r="H753" s="32"/>
      <c r="J753" s="33"/>
      <c r="K753" s="33"/>
      <c r="L753" s="33"/>
      <c r="X753" s="22"/>
      <c r="Y753" s="22"/>
      <c r="Z753" s="22"/>
      <c r="AA753" s="22"/>
      <c r="AF753" s="22"/>
      <c r="AG753" s="22"/>
      <c r="AH753" s="22"/>
      <c r="AI753" s="22"/>
      <c r="AN753" s="22"/>
      <c r="AO753" s="22"/>
      <c r="AP753" s="22"/>
      <c r="AQ753" s="22"/>
      <c r="AR753" s="35"/>
      <c r="AS753" s="35"/>
      <c r="AT753" s="35"/>
      <c r="AU753" s="31"/>
      <c r="AV753" s="36"/>
    </row>
    <row r="754" spans="1:48">
      <c r="A754" s="39"/>
      <c r="D754" s="31"/>
      <c r="E754" s="31"/>
      <c r="F754" s="31"/>
      <c r="G754" s="31"/>
      <c r="H754" s="32"/>
      <c r="J754" s="33"/>
      <c r="K754" s="33"/>
      <c r="L754" s="33"/>
      <c r="X754" s="22"/>
      <c r="Y754" s="22"/>
      <c r="Z754" s="22"/>
      <c r="AA754" s="22"/>
      <c r="AF754" s="22"/>
      <c r="AG754" s="22"/>
      <c r="AH754" s="22"/>
      <c r="AI754" s="22"/>
      <c r="AN754" s="22"/>
      <c r="AO754" s="22"/>
      <c r="AP754" s="22"/>
      <c r="AQ754" s="22"/>
      <c r="AR754" s="35"/>
      <c r="AS754" s="35"/>
      <c r="AT754" s="35"/>
      <c r="AU754" s="31"/>
      <c r="AV754" s="36"/>
    </row>
    <row r="755" spans="1:48">
      <c r="A755" s="39"/>
      <c r="D755" s="31"/>
      <c r="E755" s="31"/>
      <c r="F755" s="31"/>
      <c r="G755" s="31"/>
      <c r="H755" s="32"/>
      <c r="J755" s="33"/>
      <c r="K755" s="33"/>
      <c r="L755" s="33"/>
      <c r="X755" s="22"/>
      <c r="Y755" s="22"/>
      <c r="Z755" s="22"/>
      <c r="AA755" s="22"/>
      <c r="AF755" s="22"/>
      <c r="AG755" s="22"/>
      <c r="AH755" s="22"/>
      <c r="AI755" s="22"/>
      <c r="AN755" s="22"/>
      <c r="AO755" s="22"/>
      <c r="AP755" s="22"/>
      <c r="AQ755" s="22"/>
      <c r="AR755" s="35"/>
      <c r="AS755" s="35"/>
      <c r="AT755" s="35"/>
      <c r="AU755" s="31"/>
      <c r="AV755" s="36"/>
    </row>
    <row r="756" spans="1:48">
      <c r="A756" s="39"/>
      <c r="D756" s="31"/>
      <c r="E756" s="31"/>
      <c r="F756" s="31"/>
      <c r="G756" s="31"/>
      <c r="H756" s="32"/>
      <c r="J756" s="33"/>
      <c r="K756" s="33"/>
      <c r="L756" s="33"/>
      <c r="X756" s="22"/>
      <c r="Y756" s="22"/>
      <c r="Z756" s="22"/>
      <c r="AA756" s="22"/>
      <c r="AF756" s="22"/>
      <c r="AG756" s="22"/>
      <c r="AH756" s="22"/>
      <c r="AI756" s="22"/>
      <c r="AN756" s="22"/>
      <c r="AO756" s="22"/>
      <c r="AP756" s="22"/>
      <c r="AQ756" s="22"/>
      <c r="AR756" s="35"/>
      <c r="AS756" s="35"/>
      <c r="AT756" s="35"/>
      <c r="AU756" s="31"/>
      <c r="AV756" s="36"/>
    </row>
    <row r="757" spans="1:48">
      <c r="A757" s="39"/>
      <c r="D757" s="31"/>
      <c r="E757" s="31"/>
      <c r="F757" s="31"/>
      <c r="G757" s="31"/>
      <c r="H757" s="32"/>
      <c r="J757" s="33"/>
      <c r="K757" s="33"/>
      <c r="L757" s="33"/>
      <c r="X757" s="22"/>
      <c r="Y757" s="22"/>
      <c r="Z757" s="22"/>
      <c r="AA757" s="22"/>
      <c r="AF757" s="22"/>
      <c r="AG757" s="22"/>
      <c r="AH757" s="22"/>
      <c r="AI757" s="22"/>
      <c r="AN757" s="22"/>
      <c r="AO757" s="22"/>
      <c r="AP757" s="22"/>
      <c r="AQ757" s="22"/>
      <c r="AR757" s="35"/>
      <c r="AS757" s="35"/>
      <c r="AT757" s="35"/>
      <c r="AU757" s="31"/>
      <c r="AV757" s="36"/>
    </row>
    <row r="758" spans="1:48">
      <c r="A758" s="39"/>
      <c r="D758" s="31"/>
      <c r="E758" s="31"/>
      <c r="F758" s="31"/>
      <c r="G758" s="31"/>
      <c r="H758" s="32"/>
      <c r="J758" s="33"/>
      <c r="K758" s="33"/>
      <c r="L758" s="33"/>
      <c r="X758" s="22"/>
      <c r="Y758" s="22"/>
      <c r="Z758" s="22"/>
      <c r="AA758" s="22"/>
      <c r="AF758" s="22"/>
      <c r="AG758" s="22"/>
      <c r="AH758" s="22"/>
      <c r="AI758" s="22"/>
      <c r="AN758" s="22"/>
      <c r="AO758" s="22"/>
      <c r="AP758" s="22"/>
      <c r="AQ758" s="22"/>
      <c r="AR758" s="35"/>
      <c r="AS758" s="35"/>
      <c r="AT758" s="35"/>
      <c r="AU758" s="31"/>
      <c r="AV758" s="36"/>
    </row>
    <row r="759" spans="1:48">
      <c r="A759" s="39"/>
      <c r="D759" s="31"/>
      <c r="E759" s="31"/>
      <c r="F759" s="31"/>
      <c r="G759" s="31"/>
      <c r="H759" s="32"/>
      <c r="J759" s="33"/>
      <c r="K759" s="33"/>
      <c r="L759" s="33"/>
      <c r="X759" s="22"/>
      <c r="Y759" s="22"/>
      <c r="Z759" s="22"/>
      <c r="AA759" s="22"/>
      <c r="AF759" s="22"/>
      <c r="AG759" s="22"/>
      <c r="AH759" s="22"/>
      <c r="AI759" s="22"/>
      <c r="AN759" s="22"/>
      <c r="AO759" s="22"/>
      <c r="AP759" s="22"/>
      <c r="AQ759" s="22"/>
      <c r="AR759" s="35"/>
      <c r="AS759" s="35"/>
      <c r="AT759" s="35"/>
      <c r="AU759" s="31"/>
      <c r="AV759" s="36"/>
    </row>
    <row r="760" spans="1:48">
      <c r="A760" s="39"/>
      <c r="D760" s="31"/>
      <c r="E760" s="31"/>
      <c r="F760" s="31"/>
      <c r="G760" s="31"/>
      <c r="H760" s="32"/>
      <c r="J760" s="33"/>
      <c r="K760" s="33"/>
      <c r="L760" s="33"/>
      <c r="X760" s="22"/>
      <c r="Y760" s="22"/>
      <c r="Z760" s="22"/>
      <c r="AA760" s="22"/>
      <c r="AF760" s="22"/>
      <c r="AG760" s="22"/>
      <c r="AH760" s="22"/>
      <c r="AI760" s="22"/>
      <c r="AN760" s="22"/>
      <c r="AO760" s="22"/>
      <c r="AP760" s="22"/>
      <c r="AQ760" s="22"/>
      <c r="AR760" s="35"/>
      <c r="AS760" s="35"/>
      <c r="AT760" s="35"/>
      <c r="AU760" s="31"/>
      <c r="AV760" s="36"/>
    </row>
    <row r="761" spans="1:48">
      <c r="A761" s="39"/>
      <c r="D761" s="31"/>
      <c r="E761" s="31"/>
      <c r="F761" s="31"/>
      <c r="G761" s="31"/>
      <c r="H761" s="32"/>
      <c r="J761" s="33"/>
      <c r="K761" s="33"/>
      <c r="L761" s="33"/>
      <c r="X761" s="22"/>
      <c r="Y761" s="22"/>
      <c r="Z761" s="22"/>
      <c r="AA761" s="22"/>
      <c r="AF761" s="22"/>
      <c r="AG761" s="22"/>
      <c r="AH761" s="22"/>
      <c r="AI761" s="22"/>
      <c r="AN761" s="22"/>
      <c r="AO761" s="22"/>
      <c r="AP761" s="22"/>
      <c r="AQ761" s="22"/>
      <c r="AR761" s="35"/>
      <c r="AS761" s="35"/>
      <c r="AT761" s="35"/>
      <c r="AU761" s="31"/>
      <c r="AV761" s="36"/>
    </row>
    <row r="762" spans="1:48">
      <c r="A762" s="39"/>
      <c r="D762" s="31"/>
      <c r="E762" s="31"/>
      <c r="F762" s="31"/>
      <c r="G762" s="31"/>
      <c r="H762" s="32"/>
      <c r="J762" s="33"/>
      <c r="K762" s="33"/>
      <c r="L762" s="33"/>
      <c r="X762" s="22"/>
      <c r="Y762" s="22"/>
      <c r="Z762" s="22"/>
      <c r="AA762" s="22"/>
      <c r="AF762" s="22"/>
      <c r="AG762" s="22"/>
      <c r="AH762" s="22"/>
      <c r="AI762" s="22"/>
      <c r="AN762" s="22"/>
      <c r="AO762" s="22"/>
      <c r="AP762" s="22"/>
      <c r="AQ762" s="22"/>
      <c r="AR762" s="35"/>
      <c r="AS762" s="35"/>
      <c r="AT762" s="35"/>
      <c r="AU762" s="31"/>
      <c r="AV762" s="36"/>
    </row>
    <row r="763" spans="1:48">
      <c r="A763" s="39"/>
      <c r="D763" s="31"/>
      <c r="E763" s="31"/>
      <c r="F763" s="31"/>
      <c r="G763" s="31"/>
      <c r="H763" s="32"/>
      <c r="J763" s="33"/>
      <c r="K763" s="33"/>
      <c r="L763" s="33"/>
      <c r="X763" s="22"/>
      <c r="Y763" s="22"/>
      <c r="Z763" s="22"/>
      <c r="AA763" s="22"/>
      <c r="AF763" s="22"/>
      <c r="AG763" s="22"/>
      <c r="AH763" s="22"/>
      <c r="AI763" s="22"/>
      <c r="AN763" s="22"/>
      <c r="AO763" s="22"/>
      <c r="AP763" s="22"/>
      <c r="AQ763" s="22"/>
      <c r="AR763" s="35"/>
      <c r="AS763" s="35"/>
      <c r="AT763" s="35"/>
      <c r="AU763" s="31"/>
      <c r="AV763" s="36"/>
    </row>
    <row r="764" spans="1:48">
      <c r="A764" s="39"/>
      <c r="D764" s="31"/>
      <c r="E764" s="31"/>
      <c r="F764" s="31"/>
      <c r="G764" s="31"/>
      <c r="H764" s="32"/>
      <c r="J764" s="33"/>
      <c r="K764" s="33"/>
      <c r="L764" s="33"/>
      <c r="X764" s="22"/>
      <c r="Y764" s="22"/>
      <c r="Z764" s="22"/>
      <c r="AA764" s="22"/>
      <c r="AF764" s="22"/>
      <c r="AG764" s="22"/>
      <c r="AH764" s="22"/>
      <c r="AI764" s="22"/>
      <c r="AN764" s="22"/>
      <c r="AO764" s="22"/>
      <c r="AP764" s="22"/>
      <c r="AQ764" s="22"/>
      <c r="AR764" s="35"/>
      <c r="AS764" s="35"/>
      <c r="AT764" s="35"/>
      <c r="AU764" s="31"/>
      <c r="AV764" s="36"/>
    </row>
    <row r="765" spans="1:48">
      <c r="A765" s="39"/>
      <c r="D765" s="31"/>
      <c r="E765" s="31"/>
      <c r="F765" s="31"/>
      <c r="G765" s="31"/>
      <c r="H765" s="32"/>
      <c r="J765" s="33"/>
      <c r="K765" s="33"/>
      <c r="L765" s="33"/>
      <c r="X765" s="22"/>
      <c r="Y765" s="22"/>
      <c r="Z765" s="22"/>
      <c r="AA765" s="22"/>
      <c r="AF765" s="22"/>
      <c r="AG765" s="22"/>
      <c r="AH765" s="22"/>
      <c r="AI765" s="22"/>
      <c r="AN765" s="22"/>
      <c r="AO765" s="22"/>
      <c r="AP765" s="22"/>
      <c r="AQ765" s="22"/>
      <c r="AR765" s="35"/>
      <c r="AS765" s="35"/>
      <c r="AT765" s="35"/>
      <c r="AU765" s="31"/>
      <c r="AV765" s="36"/>
    </row>
    <row r="766" spans="1:48">
      <c r="A766" s="39"/>
      <c r="D766" s="31"/>
      <c r="E766" s="31"/>
      <c r="F766" s="31"/>
      <c r="G766" s="31"/>
      <c r="H766" s="32"/>
      <c r="J766" s="33"/>
      <c r="K766" s="33"/>
      <c r="L766" s="33"/>
      <c r="X766" s="22"/>
      <c r="Y766" s="22"/>
      <c r="Z766" s="22"/>
      <c r="AA766" s="22"/>
      <c r="AF766" s="22"/>
      <c r="AG766" s="22"/>
      <c r="AH766" s="22"/>
      <c r="AI766" s="22"/>
      <c r="AN766" s="22"/>
      <c r="AO766" s="22"/>
      <c r="AP766" s="22"/>
      <c r="AQ766" s="22"/>
      <c r="AR766" s="35"/>
      <c r="AS766" s="35"/>
      <c r="AT766" s="35"/>
      <c r="AU766" s="31"/>
      <c r="AV766" s="36"/>
    </row>
    <row r="767" spans="1:48">
      <c r="A767" s="39"/>
      <c r="D767" s="31"/>
      <c r="E767" s="31"/>
      <c r="F767" s="31"/>
      <c r="G767" s="31"/>
      <c r="H767" s="32"/>
      <c r="J767" s="33"/>
      <c r="K767" s="33"/>
      <c r="L767" s="33"/>
      <c r="X767" s="22"/>
      <c r="Y767" s="22"/>
      <c r="Z767" s="22"/>
      <c r="AA767" s="22"/>
      <c r="AF767" s="22"/>
      <c r="AG767" s="22"/>
      <c r="AH767" s="22"/>
      <c r="AI767" s="22"/>
      <c r="AN767" s="22"/>
      <c r="AO767" s="22"/>
      <c r="AP767" s="22"/>
      <c r="AQ767" s="22"/>
      <c r="AR767" s="35"/>
      <c r="AS767" s="35"/>
      <c r="AT767" s="35"/>
      <c r="AU767" s="31"/>
      <c r="AV767" s="36"/>
    </row>
    <row r="768" spans="1:48">
      <c r="A768" s="39"/>
      <c r="D768" s="31"/>
      <c r="E768" s="31"/>
      <c r="F768" s="31"/>
      <c r="G768" s="31"/>
      <c r="H768" s="32"/>
      <c r="J768" s="33"/>
      <c r="K768" s="33"/>
      <c r="L768" s="33"/>
      <c r="X768" s="22"/>
      <c r="Y768" s="22"/>
      <c r="Z768" s="22"/>
      <c r="AA768" s="22"/>
      <c r="AF768" s="22"/>
      <c r="AG768" s="22"/>
      <c r="AH768" s="22"/>
      <c r="AI768" s="22"/>
      <c r="AN768" s="22"/>
      <c r="AO768" s="22"/>
      <c r="AP768" s="22"/>
      <c r="AQ768" s="22"/>
      <c r="AR768" s="35"/>
      <c r="AS768" s="35"/>
      <c r="AT768" s="35"/>
      <c r="AU768" s="31"/>
      <c r="AV768" s="36"/>
    </row>
    <row r="769" spans="1:48">
      <c r="A769" s="39"/>
      <c r="D769" s="31"/>
      <c r="E769" s="31"/>
      <c r="F769" s="31"/>
      <c r="G769" s="31"/>
      <c r="H769" s="32"/>
      <c r="J769" s="33"/>
      <c r="K769" s="33"/>
      <c r="L769" s="33"/>
      <c r="X769" s="22"/>
      <c r="Y769" s="22"/>
      <c r="Z769" s="22"/>
      <c r="AA769" s="22"/>
      <c r="AF769" s="22"/>
      <c r="AG769" s="22"/>
      <c r="AH769" s="22"/>
      <c r="AI769" s="22"/>
      <c r="AN769" s="22"/>
      <c r="AO769" s="22"/>
      <c r="AP769" s="22"/>
      <c r="AQ769" s="22"/>
      <c r="AR769" s="35"/>
      <c r="AS769" s="35"/>
      <c r="AT769" s="35"/>
      <c r="AU769" s="31"/>
      <c r="AV769" s="36"/>
    </row>
    <row r="770" spans="1:48">
      <c r="A770" s="39"/>
      <c r="D770" s="31"/>
      <c r="E770" s="31"/>
      <c r="F770" s="31"/>
      <c r="G770" s="31"/>
      <c r="H770" s="32"/>
      <c r="J770" s="33"/>
      <c r="K770" s="33"/>
      <c r="L770" s="33"/>
      <c r="X770" s="22"/>
      <c r="Y770" s="22"/>
      <c r="Z770" s="22"/>
      <c r="AA770" s="22"/>
      <c r="AF770" s="22"/>
      <c r="AG770" s="22"/>
      <c r="AH770" s="22"/>
      <c r="AI770" s="22"/>
      <c r="AN770" s="22"/>
      <c r="AO770" s="22"/>
      <c r="AP770" s="22"/>
      <c r="AQ770" s="22"/>
      <c r="AR770" s="35"/>
      <c r="AS770" s="35"/>
      <c r="AT770" s="35"/>
      <c r="AU770" s="31"/>
      <c r="AV770" s="36"/>
    </row>
    <row r="771" spans="1:48">
      <c r="A771" s="39"/>
      <c r="D771" s="31"/>
      <c r="E771" s="31"/>
      <c r="F771" s="31"/>
      <c r="G771" s="31"/>
      <c r="H771" s="32"/>
      <c r="J771" s="33"/>
      <c r="K771" s="33"/>
      <c r="L771" s="33"/>
      <c r="X771" s="22"/>
      <c r="Y771" s="22"/>
      <c r="Z771" s="22"/>
      <c r="AA771" s="22"/>
      <c r="AF771" s="22"/>
      <c r="AG771" s="22"/>
      <c r="AH771" s="22"/>
      <c r="AI771" s="22"/>
      <c r="AN771" s="22"/>
      <c r="AO771" s="22"/>
      <c r="AP771" s="22"/>
      <c r="AQ771" s="22"/>
      <c r="AR771" s="35"/>
      <c r="AS771" s="35"/>
      <c r="AT771" s="35"/>
      <c r="AU771" s="31"/>
      <c r="AV771" s="36"/>
    </row>
    <row r="772" spans="1:48">
      <c r="A772" s="39"/>
      <c r="D772" s="31"/>
      <c r="E772" s="31"/>
      <c r="F772" s="31"/>
      <c r="G772" s="31"/>
      <c r="H772" s="32"/>
      <c r="J772" s="33"/>
      <c r="K772" s="33"/>
      <c r="L772" s="33"/>
      <c r="X772" s="22"/>
      <c r="Y772" s="22"/>
      <c r="Z772" s="22"/>
      <c r="AA772" s="22"/>
      <c r="AF772" s="22"/>
      <c r="AG772" s="22"/>
      <c r="AH772" s="22"/>
      <c r="AI772" s="22"/>
      <c r="AN772" s="22"/>
      <c r="AO772" s="22"/>
      <c r="AP772" s="22"/>
      <c r="AQ772" s="22"/>
      <c r="AR772" s="35"/>
      <c r="AS772" s="35"/>
      <c r="AT772" s="35"/>
      <c r="AU772" s="31"/>
      <c r="AV772" s="36"/>
    </row>
    <row r="773" spans="1:48">
      <c r="A773" s="39"/>
      <c r="D773" s="31"/>
      <c r="E773" s="31"/>
      <c r="F773" s="31"/>
      <c r="G773" s="31"/>
      <c r="H773" s="32"/>
      <c r="J773" s="33"/>
      <c r="K773" s="33"/>
      <c r="L773" s="33"/>
      <c r="X773" s="22"/>
      <c r="Y773" s="22"/>
      <c r="Z773" s="22"/>
      <c r="AA773" s="22"/>
      <c r="AF773" s="22"/>
      <c r="AG773" s="22"/>
      <c r="AH773" s="22"/>
      <c r="AI773" s="22"/>
      <c r="AN773" s="22"/>
      <c r="AO773" s="22"/>
      <c r="AP773" s="22"/>
      <c r="AQ773" s="22"/>
      <c r="AR773" s="35"/>
      <c r="AS773" s="35"/>
      <c r="AT773" s="35"/>
      <c r="AU773" s="31"/>
      <c r="AV773" s="36"/>
    </row>
    <row r="774" spans="1:48">
      <c r="A774" s="39"/>
      <c r="D774" s="31"/>
      <c r="E774" s="31"/>
      <c r="F774" s="31"/>
      <c r="G774" s="31"/>
      <c r="H774" s="32"/>
      <c r="J774" s="33"/>
      <c r="K774" s="33"/>
      <c r="L774" s="33"/>
      <c r="X774" s="22"/>
      <c r="Y774" s="22"/>
      <c r="Z774" s="22"/>
      <c r="AA774" s="22"/>
      <c r="AF774" s="22"/>
      <c r="AG774" s="22"/>
      <c r="AH774" s="22"/>
      <c r="AI774" s="22"/>
      <c r="AN774" s="22"/>
      <c r="AO774" s="22"/>
      <c r="AP774" s="22"/>
      <c r="AQ774" s="22"/>
      <c r="AR774" s="35"/>
      <c r="AS774" s="35"/>
      <c r="AT774" s="35"/>
      <c r="AU774" s="31"/>
      <c r="AV774" s="36"/>
    </row>
    <row r="775" spans="4:48">
      <c r="D775" s="31"/>
      <c r="E775" s="31"/>
      <c r="F775" s="31"/>
      <c r="G775" s="31"/>
      <c r="H775" s="32"/>
      <c r="J775" s="33"/>
      <c r="K775" s="33"/>
      <c r="L775" s="33"/>
      <c r="X775" s="22"/>
      <c r="Y775" s="22"/>
      <c r="Z775" s="22"/>
      <c r="AA775" s="22"/>
      <c r="AF775" s="22"/>
      <c r="AG775" s="22"/>
      <c r="AH775" s="22"/>
      <c r="AI775" s="22"/>
      <c r="AN775" s="22"/>
      <c r="AO775" s="22"/>
      <c r="AP775" s="22"/>
      <c r="AQ775" s="22"/>
      <c r="AR775" s="35"/>
      <c r="AS775" s="35"/>
      <c r="AT775" s="35"/>
      <c r="AU775" s="31"/>
      <c r="AV775" s="36"/>
    </row>
    <row r="776" spans="4:48">
      <c r="D776" s="31"/>
      <c r="E776" s="31"/>
      <c r="F776" s="31"/>
      <c r="G776" s="31"/>
      <c r="H776" s="32"/>
      <c r="J776" s="33"/>
      <c r="K776" s="33"/>
      <c r="L776" s="33"/>
      <c r="X776" s="22"/>
      <c r="Y776" s="22"/>
      <c r="Z776" s="22"/>
      <c r="AA776" s="22"/>
      <c r="AF776" s="22"/>
      <c r="AG776" s="22"/>
      <c r="AH776" s="22"/>
      <c r="AI776" s="22"/>
      <c r="AN776" s="22"/>
      <c r="AO776" s="22"/>
      <c r="AP776" s="22"/>
      <c r="AQ776" s="22"/>
      <c r="AR776" s="35"/>
      <c r="AS776" s="35"/>
      <c r="AT776" s="35"/>
      <c r="AU776" s="31"/>
      <c r="AV776" s="36"/>
    </row>
    <row r="777" spans="4:48">
      <c r="D777" s="31"/>
      <c r="E777" s="31"/>
      <c r="F777" s="31"/>
      <c r="G777" s="31"/>
      <c r="H777" s="32"/>
      <c r="J777" s="33"/>
      <c r="K777" s="33"/>
      <c r="L777" s="33"/>
      <c r="X777" s="22"/>
      <c r="Y777" s="22"/>
      <c r="Z777" s="22"/>
      <c r="AA777" s="22"/>
      <c r="AF777" s="22"/>
      <c r="AG777" s="22"/>
      <c r="AH777" s="22"/>
      <c r="AI777" s="22"/>
      <c r="AN777" s="22"/>
      <c r="AO777" s="22"/>
      <c r="AP777" s="22"/>
      <c r="AQ777" s="22"/>
      <c r="AR777" s="35"/>
      <c r="AS777" s="35"/>
      <c r="AT777" s="35"/>
      <c r="AU777" s="31"/>
      <c r="AV777" s="36"/>
    </row>
    <row r="778" spans="4:48">
      <c r="D778" s="31"/>
      <c r="E778" s="31"/>
      <c r="F778" s="31"/>
      <c r="G778" s="31"/>
      <c r="H778" s="32"/>
      <c r="J778" s="33"/>
      <c r="K778" s="33"/>
      <c r="L778" s="33"/>
      <c r="X778" s="22"/>
      <c r="Y778" s="22"/>
      <c r="Z778" s="22"/>
      <c r="AA778" s="22"/>
      <c r="AF778" s="22"/>
      <c r="AG778" s="22"/>
      <c r="AH778" s="22"/>
      <c r="AI778" s="22"/>
      <c r="AN778" s="22"/>
      <c r="AO778" s="22"/>
      <c r="AP778" s="22"/>
      <c r="AQ778" s="22"/>
      <c r="AR778" s="35"/>
      <c r="AS778" s="35"/>
      <c r="AT778" s="35"/>
      <c r="AU778" s="31"/>
      <c r="AV778" s="36"/>
    </row>
    <row r="779" spans="4:48">
      <c r="D779" s="31"/>
      <c r="E779" s="31"/>
      <c r="F779" s="31"/>
      <c r="G779" s="31"/>
      <c r="H779" s="32"/>
      <c r="J779" s="33"/>
      <c r="K779" s="33"/>
      <c r="L779" s="33"/>
      <c r="X779" s="22"/>
      <c r="Y779" s="22"/>
      <c r="Z779" s="22"/>
      <c r="AA779" s="22"/>
      <c r="AF779" s="22"/>
      <c r="AG779" s="22"/>
      <c r="AH779" s="22"/>
      <c r="AI779" s="22"/>
      <c r="AN779" s="22"/>
      <c r="AO779" s="22"/>
      <c r="AP779" s="22"/>
      <c r="AQ779" s="22"/>
      <c r="AR779" s="35"/>
      <c r="AS779" s="35"/>
      <c r="AT779" s="35"/>
      <c r="AU779" s="31"/>
      <c r="AV779" s="36"/>
    </row>
    <row r="780" spans="4:48">
      <c r="D780" s="31"/>
      <c r="E780" s="31"/>
      <c r="F780" s="31"/>
      <c r="G780" s="31"/>
      <c r="H780" s="32"/>
      <c r="J780" s="33"/>
      <c r="K780" s="33"/>
      <c r="L780" s="33"/>
      <c r="X780" s="22"/>
      <c r="Y780" s="22"/>
      <c r="Z780" s="22"/>
      <c r="AA780" s="22"/>
      <c r="AF780" s="22"/>
      <c r="AG780" s="22"/>
      <c r="AH780" s="22"/>
      <c r="AI780" s="22"/>
      <c r="AN780" s="22"/>
      <c r="AO780" s="22"/>
      <c r="AP780" s="22"/>
      <c r="AQ780" s="22"/>
      <c r="AR780" s="35"/>
      <c r="AS780" s="35"/>
      <c r="AT780" s="35"/>
      <c r="AU780" s="31"/>
      <c r="AV780" s="36"/>
    </row>
    <row r="781" spans="4:48">
      <c r="D781" s="31"/>
      <c r="E781" s="31"/>
      <c r="F781" s="31"/>
      <c r="G781" s="31"/>
      <c r="H781" s="32"/>
      <c r="J781" s="33"/>
      <c r="K781" s="33"/>
      <c r="L781" s="33"/>
      <c r="X781" s="22"/>
      <c r="Y781" s="22"/>
      <c r="Z781" s="22"/>
      <c r="AA781" s="22"/>
      <c r="AF781" s="22"/>
      <c r="AG781" s="22"/>
      <c r="AH781" s="22"/>
      <c r="AI781" s="22"/>
      <c r="AN781" s="22"/>
      <c r="AO781" s="22"/>
      <c r="AP781" s="22"/>
      <c r="AQ781" s="22"/>
      <c r="AR781" s="35"/>
      <c r="AS781" s="35"/>
      <c r="AT781" s="35"/>
      <c r="AU781" s="31"/>
      <c r="AV781" s="36"/>
    </row>
    <row r="782" spans="4:48">
      <c r="D782" s="31"/>
      <c r="E782" s="31"/>
      <c r="F782" s="31"/>
      <c r="G782" s="31"/>
      <c r="H782" s="32"/>
      <c r="J782" s="33"/>
      <c r="K782" s="33"/>
      <c r="L782" s="33"/>
      <c r="X782" s="22"/>
      <c r="Y782" s="22"/>
      <c r="Z782" s="22"/>
      <c r="AA782" s="22"/>
      <c r="AF782" s="22"/>
      <c r="AG782" s="22"/>
      <c r="AH782" s="22"/>
      <c r="AI782" s="22"/>
      <c r="AN782" s="22"/>
      <c r="AO782" s="22"/>
      <c r="AP782" s="22"/>
      <c r="AQ782" s="22"/>
      <c r="AR782" s="35"/>
      <c r="AS782" s="35"/>
      <c r="AT782" s="35"/>
      <c r="AU782" s="31"/>
      <c r="AV782" s="36"/>
    </row>
    <row r="783" spans="4:48">
      <c r="D783" s="31"/>
      <c r="E783" s="31"/>
      <c r="F783" s="31"/>
      <c r="G783" s="31"/>
      <c r="H783" s="32"/>
      <c r="J783" s="33"/>
      <c r="K783" s="33"/>
      <c r="L783" s="33"/>
      <c r="X783" s="22"/>
      <c r="Y783" s="22"/>
      <c r="Z783" s="22"/>
      <c r="AA783" s="22"/>
      <c r="AF783" s="22"/>
      <c r="AG783" s="22"/>
      <c r="AH783" s="22"/>
      <c r="AI783" s="22"/>
      <c r="AN783" s="22"/>
      <c r="AO783" s="22"/>
      <c r="AP783" s="22"/>
      <c r="AQ783" s="22"/>
      <c r="AR783" s="35"/>
      <c r="AS783" s="35"/>
      <c r="AT783" s="35"/>
      <c r="AU783" s="31"/>
      <c r="AV783" s="36"/>
    </row>
    <row r="784" spans="4:48">
      <c r="D784" s="31"/>
      <c r="E784" s="31"/>
      <c r="F784" s="31"/>
      <c r="G784" s="31"/>
      <c r="H784" s="32"/>
      <c r="J784" s="33"/>
      <c r="K784" s="33"/>
      <c r="L784" s="33"/>
      <c r="X784" s="22"/>
      <c r="Y784" s="22"/>
      <c r="Z784" s="22"/>
      <c r="AA784" s="22"/>
      <c r="AF784" s="22"/>
      <c r="AG784" s="22"/>
      <c r="AH784" s="22"/>
      <c r="AI784" s="22"/>
      <c r="AN784" s="22"/>
      <c r="AO784" s="22"/>
      <c r="AP784" s="22"/>
      <c r="AQ784" s="22"/>
      <c r="AR784" s="35"/>
      <c r="AS784" s="35"/>
      <c r="AT784" s="35"/>
      <c r="AU784" s="31"/>
      <c r="AV784" s="36"/>
    </row>
    <row r="785" spans="4:48">
      <c r="D785" s="31"/>
      <c r="E785" s="31"/>
      <c r="F785" s="31"/>
      <c r="G785" s="31"/>
      <c r="H785" s="32"/>
      <c r="J785" s="33"/>
      <c r="K785" s="33"/>
      <c r="L785" s="33"/>
      <c r="X785" s="22"/>
      <c r="Y785" s="22"/>
      <c r="Z785" s="22"/>
      <c r="AA785" s="22"/>
      <c r="AF785" s="22"/>
      <c r="AG785" s="22"/>
      <c r="AH785" s="22"/>
      <c r="AI785" s="22"/>
      <c r="AN785" s="22"/>
      <c r="AO785" s="22"/>
      <c r="AP785" s="22"/>
      <c r="AQ785" s="22"/>
      <c r="AR785" s="35"/>
      <c r="AS785" s="35"/>
      <c r="AT785" s="35"/>
      <c r="AU785" s="31"/>
      <c r="AV785" s="36"/>
    </row>
    <row r="786" spans="4:48">
      <c r="D786" s="31"/>
      <c r="E786" s="31"/>
      <c r="F786" s="31"/>
      <c r="G786" s="31"/>
      <c r="H786" s="32"/>
      <c r="J786" s="33"/>
      <c r="K786" s="33"/>
      <c r="L786" s="33"/>
      <c r="X786" s="22"/>
      <c r="Y786" s="22"/>
      <c r="Z786" s="22"/>
      <c r="AA786" s="22"/>
      <c r="AF786" s="22"/>
      <c r="AG786" s="22"/>
      <c r="AH786" s="22"/>
      <c r="AI786" s="22"/>
      <c r="AN786" s="22"/>
      <c r="AO786" s="22"/>
      <c r="AP786" s="22"/>
      <c r="AQ786" s="22"/>
      <c r="AR786" s="35"/>
      <c r="AS786" s="35"/>
      <c r="AT786" s="35"/>
      <c r="AU786" s="31"/>
      <c r="AV786" s="36"/>
    </row>
    <row r="787" spans="4:48">
      <c r="D787" s="31"/>
      <c r="E787" s="31"/>
      <c r="F787" s="31"/>
      <c r="G787" s="31"/>
      <c r="H787" s="32"/>
      <c r="J787" s="33"/>
      <c r="K787" s="33"/>
      <c r="L787" s="33"/>
      <c r="X787" s="22"/>
      <c r="Y787" s="22"/>
      <c r="Z787" s="22"/>
      <c r="AA787" s="22"/>
      <c r="AF787" s="22"/>
      <c r="AG787" s="22"/>
      <c r="AH787" s="22"/>
      <c r="AI787" s="22"/>
      <c r="AN787" s="22"/>
      <c r="AO787" s="22"/>
      <c r="AP787" s="22"/>
      <c r="AQ787" s="22"/>
      <c r="AR787" s="35"/>
      <c r="AS787" s="35"/>
      <c r="AT787" s="35"/>
      <c r="AU787" s="31"/>
      <c r="AV787" s="36"/>
    </row>
    <row r="788" spans="4:48">
      <c r="D788" s="31"/>
      <c r="E788" s="31"/>
      <c r="F788" s="31"/>
      <c r="G788" s="31"/>
      <c r="H788" s="32"/>
      <c r="J788" s="33"/>
      <c r="K788" s="33"/>
      <c r="L788" s="33"/>
      <c r="X788" s="22"/>
      <c r="Y788" s="22"/>
      <c r="Z788" s="22"/>
      <c r="AA788" s="22"/>
      <c r="AF788" s="22"/>
      <c r="AG788" s="22"/>
      <c r="AH788" s="22"/>
      <c r="AI788" s="22"/>
      <c r="AN788" s="22"/>
      <c r="AO788" s="22"/>
      <c r="AP788" s="22"/>
      <c r="AQ788" s="22"/>
      <c r="AR788" s="35"/>
      <c r="AS788" s="35"/>
      <c r="AT788" s="35"/>
      <c r="AU788" s="31"/>
      <c r="AV788" s="36"/>
    </row>
    <row r="789" spans="4:48">
      <c r="D789" s="31"/>
      <c r="E789" s="31"/>
      <c r="F789" s="31"/>
      <c r="G789" s="31"/>
      <c r="H789" s="32"/>
      <c r="J789" s="33"/>
      <c r="K789" s="33"/>
      <c r="L789" s="33"/>
      <c r="X789" s="22"/>
      <c r="Y789" s="22"/>
      <c r="Z789" s="22"/>
      <c r="AA789" s="22"/>
      <c r="AF789" s="22"/>
      <c r="AG789" s="22"/>
      <c r="AH789" s="22"/>
      <c r="AI789" s="22"/>
      <c r="AN789" s="22"/>
      <c r="AO789" s="22"/>
      <c r="AP789" s="22"/>
      <c r="AQ789" s="22"/>
      <c r="AR789" s="35"/>
      <c r="AS789" s="35"/>
      <c r="AT789" s="35"/>
      <c r="AU789" s="31"/>
      <c r="AV789" s="36"/>
    </row>
    <row r="790" spans="4:48">
      <c r="D790" s="31"/>
      <c r="E790" s="31"/>
      <c r="F790" s="31"/>
      <c r="G790" s="31"/>
      <c r="H790" s="32"/>
      <c r="J790" s="33"/>
      <c r="K790" s="33"/>
      <c r="L790" s="33"/>
      <c r="X790" s="22"/>
      <c r="Y790" s="22"/>
      <c r="Z790" s="22"/>
      <c r="AA790" s="22"/>
      <c r="AF790" s="22"/>
      <c r="AG790" s="22"/>
      <c r="AH790" s="22"/>
      <c r="AI790" s="22"/>
      <c r="AN790" s="22"/>
      <c r="AO790" s="22"/>
      <c r="AP790" s="22"/>
      <c r="AQ790" s="22"/>
      <c r="AR790" s="35"/>
      <c r="AS790" s="35"/>
      <c r="AT790" s="35"/>
      <c r="AU790" s="31"/>
      <c r="AV790" s="36"/>
    </row>
    <row r="791" spans="4:48">
      <c r="D791" s="31"/>
      <c r="E791" s="31"/>
      <c r="F791" s="31"/>
      <c r="G791" s="31"/>
      <c r="H791" s="32"/>
      <c r="J791" s="33"/>
      <c r="K791" s="33"/>
      <c r="L791" s="33"/>
      <c r="X791" s="22"/>
      <c r="Y791" s="22"/>
      <c r="Z791" s="22"/>
      <c r="AA791" s="22"/>
      <c r="AF791" s="22"/>
      <c r="AG791" s="22"/>
      <c r="AH791" s="22"/>
      <c r="AI791" s="22"/>
      <c r="AN791" s="22"/>
      <c r="AO791" s="22"/>
      <c r="AP791" s="22"/>
      <c r="AQ791" s="22"/>
      <c r="AR791" s="35"/>
      <c r="AS791" s="35"/>
      <c r="AT791" s="35"/>
      <c r="AU791" s="31"/>
      <c r="AV791" s="36"/>
    </row>
    <row r="792" spans="4:48">
      <c r="D792" s="31"/>
      <c r="E792" s="31"/>
      <c r="F792" s="31"/>
      <c r="G792" s="31"/>
      <c r="H792" s="32"/>
      <c r="J792" s="33"/>
      <c r="K792" s="33"/>
      <c r="L792" s="33"/>
      <c r="X792" s="22"/>
      <c r="Y792" s="22"/>
      <c r="Z792" s="22"/>
      <c r="AA792" s="22"/>
      <c r="AF792" s="22"/>
      <c r="AG792" s="22"/>
      <c r="AH792" s="22"/>
      <c r="AI792" s="22"/>
      <c r="AN792" s="22"/>
      <c r="AO792" s="22"/>
      <c r="AP792" s="22"/>
      <c r="AQ792" s="22"/>
      <c r="AR792" s="35"/>
      <c r="AS792" s="35"/>
      <c r="AT792" s="35"/>
      <c r="AU792" s="31"/>
      <c r="AV792" s="36"/>
    </row>
    <row r="793" spans="4:48">
      <c r="D793" s="31"/>
      <c r="E793" s="31"/>
      <c r="F793" s="31"/>
      <c r="G793" s="31"/>
      <c r="H793" s="32"/>
      <c r="J793" s="33"/>
      <c r="K793" s="33"/>
      <c r="L793" s="33"/>
      <c r="X793" s="22"/>
      <c r="Y793" s="22"/>
      <c r="Z793" s="22"/>
      <c r="AA793" s="22"/>
      <c r="AF793" s="22"/>
      <c r="AG793" s="22"/>
      <c r="AH793" s="22"/>
      <c r="AI793" s="22"/>
      <c r="AN793" s="22"/>
      <c r="AO793" s="22"/>
      <c r="AP793" s="22"/>
      <c r="AQ793" s="22"/>
      <c r="AR793" s="35"/>
      <c r="AS793" s="35"/>
      <c r="AT793" s="35"/>
      <c r="AU793" s="31"/>
      <c r="AV793" s="36"/>
    </row>
    <row r="794" spans="4:48">
      <c r="D794" s="31"/>
      <c r="E794" s="31"/>
      <c r="F794" s="31"/>
      <c r="G794" s="31"/>
      <c r="H794" s="32"/>
      <c r="J794" s="33"/>
      <c r="K794" s="33"/>
      <c r="L794" s="33"/>
      <c r="X794" s="22"/>
      <c r="Y794" s="22"/>
      <c r="Z794" s="22"/>
      <c r="AA794" s="22"/>
      <c r="AF794" s="22"/>
      <c r="AG794" s="22"/>
      <c r="AH794" s="22"/>
      <c r="AI794" s="22"/>
      <c r="AN794" s="22"/>
      <c r="AO794" s="22"/>
      <c r="AP794" s="22"/>
      <c r="AQ794" s="22"/>
      <c r="AR794" s="35"/>
      <c r="AS794" s="35"/>
      <c r="AT794" s="35"/>
      <c r="AU794" s="31"/>
      <c r="AV794" s="36"/>
    </row>
    <row r="795" spans="4:48">
      <c r="D795" s="31"/>
      <c r="E795" s="31"/>
      <c r="F795" s="31"/>
      <c r="G795" s="31"/>
      <c r="H795" s="32"/>
      <c r="J795" s="33"/>
      <c r="K795" s="33"/>
      <c r="L795" s="33"/>
      <c r="X795" s="22"/>
      <c r="Y795" s="22"/>
      <c r="Z795" s="22"/>
      <c r="AA795" s="22"/>
      <c r="AF795" s="22"/>
      <c r="AG795" s="22"/>
      <c r="AH795" s="22"/>
      <c r="AI795" s="22"/>
      <c r="AN795" s="22"/>
      <c r="AO795" s="22"/>
      <c r="AP795" s="22"/>
      <c r="AQ795" s="22"/>
      <c r="AR795" s="35"/>
      <c r="AS795" s="35"/>
      <c r="AT795" s="35"/>
      <c r="AU795" s="31"/>
      <c r="AV795" s="36"/>
    </row>
    <row r="796" spans="4:48">
      <c r="D796" s="31"/>
      <c r="E796" s="31"/>
      <c r="F796" s="31"/>
      <c r="G796" s="31"/>
      <c r="H796" s="32"/>
      <c r="J796" s="33"/>
      <c r="K796" s="33"/>
      <c r="L796" s="33"/>
      <c r="X796" s="22"/>
      <c r="Y796" s="22"/>
      <c r="Z796" s="22"/>
      <c r="AA796" s="22"/>
      <c r="AF796" s="22"/>
      <c r="AG796" s="22"/>
      <c r="AH796" s="22"/>
      <c r="AI796" s="22"/>
      <c r="AN796" s="22"/>
      <c r="AO796" s="22"/>
      <c r="AP796" s="22"/>
      <c r="AQ796" s="22"/>
      <c r="AR796" s="35"/>
      <c r="AS796" s="35"/>
      <c r="AT796" s="35"/>
      <c r="AU796" s="31"/>
      <c r="AV796" s="36"/>
    </row>
    <row r="797" spans="4:48">
      <c r="D797" s="31"/>
      <c r="E797" s="31"/>
      <c r="F797" s="31"/>
      <c r="G797" s="31"/>
      <c r="H797" s="32"/>
      <c r="J797" s="33"/>
      <c r="K797" s="33"/>
      <c r="L797" s="33"/>
      <c r="X797" s="22"/>
      <c r="Y797" s="22"/>
      <c r="Z797" s="22"/>
      <c r="AA797" s="22"/>
      <c r="AF797" s="22"/>
      <c r="AG797" s="22"/>
      <c r="AH797" s="22"/>
      <c r="AI797" s="22"/>
      <c r="AN797" s="22"/>
      <c r="AO797" s="22"/>
      <c r="AP797" s="22"/>
      <c r="AQ797" s="22"/>
      <c r="AR797" s="35"/>
      <c r="AS797" s="35"/>
      <c r="AT797" s="35"/>
      <c r="AU797" s="31"/>
      <c r="AV797" s="36"/>
    </row>
    <row r="798" spans="4:48">
      <c r="D798" s="31"/>
      <c r="E798" s="31"/>
      <c r="F798" s="31"/>
      <c r="G798" s="31"/>
      <c r="H798" s="32"/>
      <c r="J798" s="33"/>
      <c r="K798" s="33"/>
      <c r="L798" s="33"/>
      <c r="X798" s="22"/>
      <c r="Y798" s="22"/>
      <c r="Z798" s="22"/>
      <c r="AA798" s="22"/>
      <c r="AF798" s="22"/>
      <c r="AG798" s="22"/>
      <c r="AH798" s="22"/>
      <c r="AI798" s="22"/>
      <c r="AN798" s="22"/>
      <c r="AO798" s="22"/>
      <c r="AP798" s="22"/>
      <c r="AQ798" s="22"/>
      <c r="AR798" s="35"/>
      <c r="AS798" s="35"/>
      <c r="AT798" s="35"/>
      <c r="AU798" s="31"/>
      <c r="AV798" s="36"/>
    </row>
    <row r="799" spans="4:48">
      <c r="D799" s="31"/>
      <c r="E799" s="31"/>
      <c r="F799" s="31"/>
      <c r="G799" s="31"/>
      <c r="H799" s="32"/>
      <c r="J799" s="33"/>
      <c r="K799" s="33"/>
      <c r="L799" s="33"/>
      <c r="X799" s="22"/>
      <c r="Y799" s="22"/>
      <c r="Z799" s="22"/>
      <c r="AA799" s="22"/>
      <c r="AF799" s="22"/>
      <c r="AG799" s="22"/>
      <c r="AH799" s="22"/>
      <c r="AI799" s="22"/>
      <c r="AN799" s="22"/>
      <c r="AO799" s="22"/>
      <c r="AP799" s="22"/>
      <c r="AQ799" s="22"/>
      <c r="AR799" s="35"/>
      <c r="AS799" s="35"/>
      <c r="AT799" s="35"/>
      <c r="AU799" s="31"/>
      <c r="AV799" s="36"/>
    </row>
    <row r="800" spans="4:48">
      <c r="D800" s="31"/>
      <c r="E800" s="31"/>
      <c r="F800" s="31"/>
      <c r="G800" s="31"/>
      <c r="H800" s="32"/>
      <c r="J800" s="33"/>
      <c r="K800" s="33"/>
      <c r="L800" s="33"/>
      <c r="X800" s="22"/>
      <c r="Y800" s="22"/>
      <c r="Z800" s="22"/>
      <c r="AA800" s="22"/>
      <c r="AF800" s="22"/>
      <c r="AG800" s="22"/>
      <c r="AH800" s="22"/>
      <c r="AI800" s="22"/>
      <c r="AN800" s="22"/>
      <c r="AO800" s="22"/>
      <c r="AP800" s="22"/>
      <c r="AQ800" s="22"/>
      <c r="AR800" s="35"/>
      <c r="AS800" s="35"/>
      <c r="AT800" s="35"/>
      <c r="AU800" s="31"/>
      <c r="AV800" s="36"/>
    </row>
    <row r="801" spans="4:48">
      <c r="D801" s="31"/>
      <c r="E801" s="31"/>
      <c r="F801" s="31"/>
      <c r="G801" s="31"/>
      <c r="H801" s="32"/>
      <c r="J801" s="33"/>
      <c r="K801" s="33"/>
      <c r="L801" s="33"/>
      <c r="X801" s="22"/>
      <c r="Y801" s="22"/>
      <c r="Z801" s="22"/>
      <c r="AA801" s="22"/>
      <c r="AF801" s="22"/>
      <c r="AG801" s="22"/>
      <c r="AH801" s="22"/>
      <c r="AI801" s="22"/>
      <c r="AN801" s="22"/>
      <c r="AO801" s="22"/>
      <c r="AP801" s="22"/>
      <c r="AQ801" s="22"/>
      <c r="AR801" s="35"/>
      <c r="AS801" s="35"/>
      <c r="AT801" s="35"/>
      <c r="AU801" s="31"/>
      <c r="AV801" s="36"/>
    </row>
    <row r="802" spans="4:48">
      <c r="D802" s="31"/>
      <c r="E802" s="31"/>
      <c r="F802" s="31"/>
      <c r="G802" s="31"/>
      <c r="H802" s="32"/>
      <c r="J802" s="33"/>
      <c r="K802" s="33"/>
      <c r="L802" s="33"/>
      <c r="X802" s="22"/>
      <c r="Y802" s="22"/>
      <c r="Z802" s="22"/>
      <c r="AA802" s="22"/>
      <c r="AF802" s="22"/>
      <c r="AG802" s="22"/>
      <c r="AH802" s="22"/>
      <c r="AI802" s="22"/>
      <c r="AN802" s="22"/>
      <c r="AO802" s="22"/>
      <c r="AP802" s="22"/>
      <c r="AQ802" s="22"/>
      <c r="AR802" s="35"/>
      <c r="AS802" s="35"/>
      <c r="AT802" s="35"/>
      <c r="AU802" s="31"/>
      <c r="AV802" s="36"/>
    </row>
    <row r="803" spans="4:48">
      <c r="D803" s="31"/>
      <c r="E803" s="31"/>
      <c r="F803" s="31"/>
      <c r="G803" s="31"/>
      <c r="H803" s="32"/>
      <c r="J803" s="33"/>
      <c r="K803" s="33"/>
      <c r="L803" s="33"/>
      <c r="X803" s="22"/>
      <c r="Y803" s="22"/>
      <c r="Z803" s="22"/>
      <c r="AA803" s="22"/>
      <c r="AF803" s="22"/>
      <c r="AG803" s="22"/>
      <c r="AH803" s="22"/>
      <c r="AI803" s="22"/>
      <c r="AN803" s="22"/>
      <c r="AO803" s="22"/>
      <c r="AP803" s="22"/>
      <c r="AQ803" s="22"/>
      <c r="AR803" s="35"/>
      <c r="AS803" s="35"/>
      <c r="AT803" s="35"/>
      <c r="AU803" s="31"/>
      <c r="AV803" s="36"/>
    </row>
    <row r="804" spans="4:48">
      <c r="D804" s="31"/>
      <c r="E804" s="31"/>
      <c r="F804" s="31"/>
      <c r="G804" s="31"/>
      <c r="H804" s="32"/>
      <c r="J804" s="33"/>
      <c r="K804" s="33"/>
      <c r="L804" s="33"/>
      <c r="X804" s="22"/>
      <c r="Y804" s="22"/>
      <c r="Z804" s="22"/>
      <c r="AA804" s="22"/>
      <c r="AF804" s="22"/>
      <c r="AG804" s="22"/>
      <c r="AH804" s="22"/>
      <c r="AI804" s="22"/>
      <c r="AN804" s="22"/>
      <c r="AO804" s="22"/>
      <c r="AP804" s="22"/>
      <c r="AQ804" s="22"/>
      <c r="AR804" s="35"/>
      <c r="AS804" s="35"/>
      <c r="AT804" s="35"/>
      <c r="AU804" s="31"/>
      <c r="AV804" s="36"/>
    </row>
    <row r="805" spans="4:48">
      <c r="D805" s="31"/>
      <c r="E805" s="31"/>
      <c r="F805" s="31"/>
      <c r="G805" s="31"/>
      <c r="H805" s="32"/>
      <c r="J805" s="33"/>
      <c r="K805" s="33"/>
      <c r="L805" s="33"/>
      <c r="X805" s="22"/>
      <c r="Y805" s="22"/>
      <c r="Z805" s="22"/>
      <c r="AA805" s="22"/>
      <c r="AF805" s="22"/>
      <c r="AG805" s="22"/>
      <c r="AH805" s="22"/>
      <c r="AI805" s="22"/>
      <c r="AN805" s="22"/>
      <c r="AO805" s="22"/>
      <c r="AP805" s="22"/>
      <c r="AQ805" s="22"/>
      <c r="AR805" s="35"/>
      <c r="AS805" s="35"/>
      <c r="AT805" s="35"/>
      <c r="AU805" s="31"/>
      <c r="AV805" s="36"/>
    </row>
    <row r="806" spans="4:48">
      <c r="D806" s="31"/>
      <c r="E806" s="31"/>
      <c r="F806" s="31"/>
      <c r="G806" s="31"/>
      <c r="H806" s="32"/>
      <c r="J806" s="33"/>
      <c r="K806" s="33"/>
      <c r="L806" s="33"/>
      <c r="X806" s="22"/>
      <c r="Y806" s="22"/>
      <c r="Z806" s="22"/>
      <c r="AA806" s="22"/>
      <c r="AF806" s="22"/>
      <c r="AG806" s="22"/>
      <c r="AH806" s="22"/>
      <c r="AI806" s="22"/>
      <c r="AN806" s="22"/>
      <c r="AO806" s="22"/>
      <c r="AP806" s="22"/>
      <c r="AQ806" s="22"/>
      <c r="AR806" s="35"/>
      <c r="AS806" s="35"/>
      <c r="AT806" s="35"/>
      <c r="AU806" s="31"/>
      <c r="AV806" s="36"/>
    </row>
    <row r="807" spans="4:48">
      <c r="D807" s="31"/>
      <c r="E807" s="31"/>
      <c r="F807" s="31"/>
      <c r="G807" s="31"/>
      <c r="H807" s="32"/>
      <c r="J807" s="33"/>
      <c r="K807" s="33"/>
      <c r="L807" s="33"/>
      <c r="X807" s="22"/>
      <c r="Y807" s="22"/>
      <c r="Z807" s="22"/>
      <c r="AA807" s="22"/>
      <c r="AF807" s="22"/>
      <c r="AG807" s="22"/>
      <c r="AH807" s="22"/>
      <c r="AI807" s="22"/>
      <c r="AN807" s="22"/>
      <c r="AO807" s="22"/>
      <c r="AP807" s="22"/>
      <c r="AQ807" s="22"/>
      <c r="AR807" s="35"/>
      <c r="AS807" s="35"/>
      <c r="AT807" s="35"/>
      <c r="AU807" s="31"/>
      <c r="AV807" s="36"/>
    </row>
    <row r="808" spans="4:48">
      <c r="D808" s="31"/>
      <c r="E808" s="31"/>
      <c r="F808" s="31"/>
      <c r="G808" s="31"/>
      <c r="H808" s="32"/>
      <c r="J808" s="33"/>
      <c r="K808" s="33"/>
      <c r="L808" s="33"/>
      <c r="X808" s="22"/>
      <c r="Y808" s="22"/>
      <c r="Z808" s="22"/>
      <c r="AA808" s="22"/>
      <c r="AF808" s="22"/>
      <c r="AG808" s="22"/>
      <c r="AH808" s="22"/>
      <c r="AI808" s="22"/>
      <c r="AN808" s="22"/>
      <c r="AO808" s="22"/>
      <c r="AP808" s="22"/>
      <c r="AQ808" s="22"/>
      <c r="AR808" s="35"/>
      <c r="AS808" s="35"/>
      <c r="AT808" s="35"/>
      <c r="AU808" s="31"/>
      <c r="AV808" s="36"/>
    </row>
    <row r="809" spans="4:48">
      <c r="D809" s="31"/>
      <c r="E809" s="31"/>
      <c r="F809" s="31"/>
      <c r="G809" s="31"/>
      <c r="H809" s="32"/>
      <c r="J809" s="33"/>
      <c r="K809" s="33"/>
      <c r="L809" s="33"/>
      <c r="X809" s="22"/>
      <c r="Y809" s="22"/>
      <c r="Z809" s="22"/>
      <c r="AA809" s="22"/>
      <c r="AF809" s="22"/>
      <c r="AG809" s="22"/>
      <c r="AH809" s="22"/>
      <c r="AI809" s="22"/>
      <c r="AN809" s="22"/>
      <c r="AO809" s="22"/>
      <c r="AP809" s="22"/>
      <c r="AQ809" s="22"/>
      <c r="AR809" s="35"/>
      <c r="AS809" s="35"/>
      <c r="AT809" s="35"/>
      <c r="AU809" s="31"/>
      <c r="AV809" s="36"/>
    </row>
    <row r="810" spans="4:48">
      <c r="D810" s="31"/>
      <c r="E810" s="31"/>
      <c r="F810" s="31"/>
      <c r="G810" s="31"/>
      <c r="H810" s="32"/>
      <c r="J810" s="33"/>
      <c r="K810" s="33"/>
      <c r="L810" s="33"/>
      <c r="X810" s="22"/>
      <c r="Y810" s="22"/>
      <c r="Z810" s="22"/>
      <c r="AA810" s="22"/>
      <c r="AF810" s="22"/>
      <c r="AG810" s="22"/>
      <c r="AH810" s="22"/>
      <c r="AI810" s="22"/>
      <c r="AN810" s="22"/>
      <c r="AO810" s="22"/>
      <c r="AP810" s="22"/>
      <c r="AQ810" s="22"/>
      <c r="AR810" s="35"/>
      <c r="AS810" s="35"/>
      <c r="AT810" s="35"/>
      <c r="AU810" s="31"/>
      <c r="AV810" s="36"/>
    </row>
    <row r="811" spans="4:48">
      <c r="D811" s="31"/>
      <c r="E811" s="31"/>
      <c r="F811" s="31"/>
      <c r="G811" s="31"/>
      <c r="H811" s="32"/>
      <c r="J811" s="33"/>
      <c r="K811" s="33"/>
      <c r="L811" s="33"/>
      <c r="X811" s="22"/>
      <c r="Y811" s="22"/>
      <c r="Z811" s="22"/>
      <c r="AA811" s="22"/>
      <c r="AF811" s="22"/>
      <c r="AG811" s="22"/>
      <c r="AH811" s="22"/>
      <c r="AI811" s="22"/>
      <c r="AN811" s="22"/>
      <c r="AO811" s="22"/>
      <c r="AP811" s="22"/>
      <c r="AQ811" s="22"/>
      <c r="AR811" s="35"/>
      <c r="AS811" s="35"/>
      <c r="AT811" s="35"/>
      <c r="AU811" s="31"/>
      <c r="AV811" s="36"/>
    </row>
    <row r="812" spans="4:48">
      <c r="D812" s="31"/>
      <c r="E812" s="31"/>
      <c r="F812" s="31"/>
      <c r="G812" s="31"/>
      <c r="H812" s="32"/>
      <c r="J812" s="33"/>
      <c r="K812" s="33"/>
      <c r="L812" s="33"/>
      <c r="X812" s="22"/>
      <c r="Y812" s="22"/>
      <c r="Z812" s="22"/>
      <c r="AA812" s="22"/>
      <c r="AF812" s="22"/>
      <c r="AG812" s="22"/>
      <c r="AH812" s="22"/>
      <c r="AI812" s="22"/>
      <c r="AN812" s="22"/>
      <c r="AO812" s="22"/>
      <c r="AP812" s="22"/>
      <c r="AQ812" s="22"/>
      <c r="AR812" s="35"/>
      <c r="AS812" s="35"/>
      <c r="AT812" s="35"/>
      <c r="AU812" s="31"/>
      <c r="AV812" s="36"/>
    </row>
    <row r="813" spans="4:48">
      <c r="D813" s="31"/>
      <c r="E813" s="31"/>
      <c r="F813" s="31"/>
      <c r="G813" s="31"/>
      <c r="H813" s="32"/>
      <c r="J813" s="33"/>
      <c r="K813" s="33"/>
      <c r="L813" s="33"/>
      <c r="X813" s="22"/>
      <c r="Y813" s="22"/>
      <c r="Z813" s="22"/>
      <c r="AA813" s="22"/>
      <c r="AF813" s="22"/>
      <c r="AG813" s="22"/>
      <c r="AH813" s="22"/>
      <c r="AI813" s="22"/>
      <c r="AN813" s="22"/>
      <c r="AO813" s="22"/>
      <c r="AP813" s="22"/>
      <c r="AQ813" s="22"/>
      <c r="AR813" s="35"/>
      <c r="AS813" s="35"/>
      <c r="AT813" s="35"/>
      <c r="AU813" s="31"/>
      <c r="AV813" s="36"/>
    </row>
    <row r="814" spans="4:48">
      <c r="D814" s="31"/>
      <c r="E814" s="31"/>
      <c r="F814" s="31"/>
      <c r="G814" s="31"/>
      <c r="H814" s="32"/>
      <c r="J814" s="33"/>
      <c r="K814" s="33"/>
      <c r="L814" s="33"/>
      <c r="X814" s="22"/>
      <c r="Y814" s="22"/>
      <c r="Z814" s="22"/>
      <c r="AA814" s="22"/>
      <c r="AF814" s="22"/>
      <c r="AG814" s="22"/>
      <c r="AH814" s="22"/>
      <c r="AI814" s="22"/>
      <c r="AN814" s="22"/>
      <c r="AO814" s="22"/>
      <c r="AP814" s="22"/>
      <c r="AQ814" s="22"/>
      <c r="AR814" s="35"/>
      <c r="AS814" s="35"/>
      <c r="AT814" s="35"/>
      <c r="AU814" s="31"/>
      <c r="AV814" s="36"/>
    </row>
    <row r="815" spans="4:48">
      <c r="D815" s="31"/>
      <c r="E815" s="31"/>
      <c r="F815" s="31"/>
      <c r="G815" s="31"/>
      <c r="H815" s="32"/>
      <c r="J815" s="33"/>
      <c r="K815" s="33"/>
      <c r="L815" s="33"/>
      <c r="X815" s="22"/>
      <c r="Y815" s="22"/>
      <c r="Z815" s="22"/>
      <c r="AA815" s="22"/>
      <c r="AF815" s="22"/>
      <c r="AG815" s="22"/>
      <c r="AH815" s="22"/>
      <c r="AI815" s="22"/>
      <c r="AN815" s="22"/>
      <c r="AO815" s="22"/>
      <c r="AP815" s="22"/>
      <c r="AQ815" s="22"/>
      <c r="AR815" s="35"/>
      <c r="AS815" s="35"/>
      <c r="AT815" s="35"/>
      <c r="AU815" s="31"/>
      <c r="AV815" s="36"/>
    </row>
    <row r="816" spans="4:48">
      <c r="D816" s="31"/>
      <c r="E816" s="31"/>
      <c r="F816" s="31"/>
      <c r="G816" s="31"/>
      <c r="H816" s="32"/>
      <c r="J816" s="33"/>
      <c r="K816" s="33"/>
      <c r="L816" s="33"/>
      <c r="X816" s="22"/>
      <c r="Y816" s="22"/>
      <c r="Z816" s="22"/>
      <c r="AA816" s="22"/>
      <c r="AF816" s="22"/>
      <c r="AG816" s="22"/>
      <c r="AH816" s="22"/>
      <c r="AI816" s="22"/>
      <c r="AN816" s="22"/>
      <c r="AO816" s="22"/>
      <c r="AP816" s="22"/>
      <c r="AQ816" s="22"/>
      <c r="AR816" s="35"/>
      <c r="AS816" s="35"/>
      <c r="AT816" s="35"/>
      <c r="AU816" s="31"/>
      <c r="AV816" s="36"/>
    </row>
    <row r="817" spans="4:48">
      <c r="D817" s="31"/>
      <c r="E817" s="31"/>
      <c r="F817" s="31"/>
      <c r="G817" s="31"/>
      <c r="H817" s="32"/>
      <c r="J817" s="33"/>
      <c r="K817" s="33"/>
      <c r="L817" s="33"/>
      <c r="X817" s="22"/>
      <c r="Y817" s="22"/>
      <c r="Z817" s="22"/>
      <c r="AA817" s="22"/>
      <c r="AF817" s="22"/>
      <c r="AG817" s="22"/>
      <c r="AH817" s="22"/>
      <c r="AI817" s="22"/>
      <c r="AN817" s="22"/>
      <c r="AO817" s="22"/>
      <c r="AP817" s="22"/>
      <c r="AQ817" s="22"/>
      <c r="AR817" s="35"/>
      <c r="AS817" s="35"/>
      <c r="AT817" s="35"/>
      <c r="AU817" s="31"/>
      <c r="AV817" s="36"/>
    </row>
    <row r="818" spans="4:48">
      <c r="D818" s="31"/>
      <c r="E818" s="31"/>
      <c r="F818" s="31"/>
      <c r="G818" s="31"/>
      <c r="H818" s="32"/>
      <c r="J818" s="33"/>
      <c r="K818" s="33"/>
      <c r="L818" s="33"/>
      <c r="X818" s="22"/>
      <c r="Y818" s="22"/>
      <c r="Z818" s="22"/>
      <c r="AA818" s="22"/>
      <c r="AF818" s="22"/>
      <c r="AG818" s="22"/>
      <c r="AH818" s="22"/>
      <c r="AI818" s="22"/>
      <c r="AN818" s="22"/>
      <c r="AO818" s="22"/>
      <c r="AP818" s="22"/>
      <c r="AQ818" s="22"/>
      <c r="AR818" s="35"/>
      <c r="AS818" s="35"/>
      <c r="AT818" s="35"/>
      <c r="AU818" s="31"/>
      <c r="AV818" s="36"/>
    </row>
    <row r="819" spans="4:48">
      <c r="D819" s="31"/>
      <c r="E819" s="31"/>
      <c r="F819" s="31"/>
      <c r="G819" s="31"/>
      <c r="H819" s="32"/>
      <c r="J819" s="33"/>
      <c r="K819" s="33"/>
      <c r="L819" s="33"/>
      <c r="X819" s="22"/>
      <c r="Y819" s="22"/>
      <c r="Z819" s="22"/>
      <c r="AA819" s="22"/>
      <c r="AF819" s="22"/>
      <c r="AG819" s="22"/>
      <c r="AH819" s="22"/>
      <c r="AI819" s="22"/>
      <c r="AN819" s="22"/>
      <c r="AO819" s="22"/>
      <c r="AP819" s="22"/>
      <c r="AQ819" s="22"/>
      <c r="AR819" s="35"/>
      <c r="AS819" s="35"/>
      <c r="AT819" s="35"/>
      <c r="AU819" s="31"/>
      <c r="AV819" s="36"/>
    </row>
    <row r="820" spans="4:48">
      <c r="D820" s="31"/>
      <c r="E820" s="31"/>
      <c r="F820" s="31"/>
      <c r="G820" s="31"/>
      <c r="H820" s="32"/>
      <c r="J820" s="33"/>
      <c r="K820" s="33"/>
      <c r="L820" s="33"/>
      <c r="X820" s="22"/>
      <c r="Y820" s="22"/>
      <c r="Z820" s="22"/>
      <c r="AA820" s="22"/>
      <c r="AF820" s="22"/>
      <c r="AG820" s="22"/>
      <c r="AH820" s="22"/>
      <c r="AI820" s="22"/>
      <c r="AN820" s="22"/>
      <c r="AO820" s="22"/>
      <c r="AP820" s="22"/>
      <c r="AQ820" s="22"/>
      <c r="AR820" s="35"/>
      <c r="AS820" s="35"/>
      <c r="AT820" s="35"/>
      <c r="AU820" s="31"/>
      <c r="AV820" s="36"/>
    </row>
    <row r="821" spans="4:48">
      <c r="D821" s="31"/>
      <c r="E821" s="31"/>
      <c r="F821" s="31"/>
      <c r="G821" s="31"/>
      <c r="H821" s="32"/>
      <c r="J821" s="33"/>
      <c r="K821" s="33"/>
      <c r="L821" s="33"/>
      <c r="X821" s="22"/>
      <c r="Y821" s="22"/>
      <c r="Z821" s="22"/>
      <c r="AA821" s="22"/>
      <c r="AF821" s="22"/>
      <c r="AG821" s="22"/>
      <c r="AH821" s="22"/>
      <c r="AI821" s="22"/>
      <c r="AN821" s="22"/>
      <c r="AO821" s="22"/>
      <c r="AP821" s="22"/>
      <c r="AQ821" s="22"/>
      <c r="AR821" s="35"/>
      <c r="AS821" s="35"/>
      <c r="AT821" s="35"/>
      <c r="AU821" s="31"/>
      <c r="AV821" s="36"/>
    </row>
    <row r="822" spans="4:48">
      <c r="D822" s="31"/>
      <c r="E822" s="31"/>
      <c r="F822" s="31"/>
      <c r="G822" s="31"/>
      <c r="H822" s="32"/>
      <c r="J822" s="33"/>
      <c r="K822" s="33"/>
      <c r="L822" s="33"/>
      <c r="X822" s="22"/>
      <c r="Y822" s="22"/>
      <c r="Z822" s="22"/>
      <c r="AA822" s="22"/>
      <c r="AF822" s="22"/>
      <c r="AG822" s="22"/>
      <c r="AH822" s="22"/>
      <c r="AI822" s="22"/>
      <c r="AN822" s="22"/>
      <c r="AO822" s="22"/>
      <c r="AP822" s="22"/>
      <c r="AQ822" s="22"/>
      <c r="AR822" s="35"/>
      <c r="AS822" s="35"/>
      <c r="AT822" s="35"/>
      <c r="AU822" s="31"/>
      <c r="AV822" s="36"/>
    </row>
    <row r="823" spans="4:48">
      <c r="D823" s="31"/>
      <c r="E823" s="31"/>
      <c r="F823" s="31"/>
      <c r="G823" s="31"/>
      <c r="H823" s="32"/>
      <c r="J823" s="33"/>
      <c r="K823" s="33"/>
      <c r="L823" s="33"/>
      <c r="X823" s="22"/>
      <c r="Y823" s="22"/>
      <c r="Z823" s="22"/>
      <c r="AA823" s="22"/>
      <c r="AF823" s="22"/>
      <c r="AG823" s="22"/>
      <c r="AH823" s="22"/>
      <c r="AI823" s="22"/>
      <c r="AN823" s="22"/>
      <c r="AO823" s="22"/>
      <c r="AP823" s="22"/>
      <c r="AQ823" s="22"/>
      <c r="AR823" s="35"/>
      <c r="AS823" s="35"/>
      <c r="AT823" s="35"/>
      <c r="AU823" s="31"/>
      <c r="AV823" s="36"/>
    </row>
    <row r="824" spans="4:48">
      <c r="D824" s="31"/>
      <c r="E824" s="31"/>
      <c r="F824" s="31"/>
      <c r="G824" s="31"/>
      <c r="H824" s="32"/>
      <c r="J824" s="33"/>
      <c r="K824" s="33"/>
      <c r="L824" s="33"/>
      <c r="X824" s="22"/>
      <c r="Y824" s="22"/>
      <c r="Z824" s="22"/>
      <c r="AA824" s="22"/>
      <c r="AF824" s="22"/>
      <c r="AG824" s="22"/>
      <c r="AH824" s="22"/>
      <c r="AI824" s="22"/>
      <c r="AN824" s="22"/>
      <c r="AO824" s="22"/>
      <c r="AP824" s="22"/>
      <c r="AQ824" s="22"/>
      <c r="AR824" s="35"/>
      <c r="AS824" s="35"/>
      <c r="AT824" s="35"/>
      <c r="AU824" s="31"/>
      <c r="AV824" s="36"/>
    </row>
    <row r="825" spans="4:48">
      <c r="D825" s="31"/>
      <c r="E825" s="31"/>
      <c r="F825" s="31"/>
      <c r="G825" s="31"/>
      <c r="H825" s="32"/>
      <c r="J825" s="33"/>
      <c r="K825" s="33"/>
      <c r="L825" s="33"/>
      <c r="X825" s="22"/>
      <c r="Y825" s="22"/>
      <c r="Z825" s="22"/>
      <c r="AA825" s="22"/>
      <c r="AF825" s="22"/>
      <c r="AG825" s="22"/>
      <c r="AH825" s="22"/>
      <c r="AI825" s="22"/>
      <c r="AN825" s="22"/>
      <c r="AO825" s="22"/>
      <c r="AP825" s="22"/>
      <c r="AQ825" s="22"/>
      <c r="AR825" s="35"/>
      <c r="AS825" s="35"/>
      <c r="AT825" s="35"/>
      <c r="AU825" s="31"/>
      <c r="AV825" s="36"/>
    </row>
    <row r="826" spans="4:48">
      <c r="D826" s="31"/>
      <c r="E826" s="31"/>
      <c r="F826" s="31"/>
      <c r="G826" s="31"/>
      <c r="H826" s="32"/>
      <c r="J826" s="33"/>
      <c r="K826" s="33"/>
      <c r="L826" s="33"/>
      <c r="X826" s="22"/>
      <c r="Y826" s="22"/>
      <c r="Z826" s="22"/>
      <c r="AA826" s="22"/>
      <c r="AF826" s="22"/>
      <c r="AG826" s="22"/>
      <c r="AH826" s="22"/>
      <c r="AI826" s="22"/>
      <c r="AN826" s="22"/>
      <c r="AO826" s="22"/>
      <c r="AP826" s="22"/>
      <c r="AQ826" s="22"/>
      <c r="AR826" s="35"/>
      <c r="AS826" s="35"/>
      <c r="AT826" s="35"/>
      <c r="AU826" s="31"/>
      <c r="AV826" s="36"/>
    </row>
    <row r="827" spans="4:48">
      <c r="D827" s="31"/>
      <c r="E827" s="31"/>
      <c r="F827" s="31"/>
      <c r="G827" s="31"/>
      <c r="H827" s="32"/>
      <c r="J827" s="33"/>
      <c r="K827" s="33"/>
      <c r="L827" s="33"/>
      <c r="X827" s="22"/>
      <c r="Y827" s="22"/>
      <c r="Z827" s="22"/>
      <c r="AA827" s="22"/>
      <c r="AF827" s="22"/>
      <c r="AG827" s="22"/>
      <c r="AH827" s="22"/>
      <c r="AI827" s="22"/>
      <c r="AN827" s="22"/>
      <c r="AO827" s="22"/>
      <c r="AP827" s="22"/>
      <c r="AQ827" s="22"/>
      <c r="AR827" s="35"/>
      <c r="AS827" s="35"/>
      <c r="AT827" s="35"/>
      <c r="AU827" s="31"/>
      <c r="AV827" s="36"/>
    </row>
    <row r="828" spans="4:48">
      <c r="D828" s="31"/>
      <c r="E828" s="31"/>
      <c r="F828" s="31"/>
      <c r="G828" s="31"/>
      <c r="H828" s="32"/>
      <c r="J828" s="33"/>
      <c r="K828" s="33"/>
      <c r="L828" s="33"/>
      <c r="X828" s="22"/>
      <c r="Y828" s="22"/>
      <c r="Z828" s="22"/>
      <c r="AA828" s="22"/>
      <c r="AF828" s="22"/>
      <c r="AG828" s="22"/>
      <c r="AH828" s="22"/>
      <c r="AI828" s="22"/>
      <c r="AN828" s="22"/>
      <c r="AO828" s="22"/>
      <c r="AP828" s="22"/>
      <c r="AQ828" s="22"/>
      <c r="AR828" s="35"/>
      <c r="AS828" s="35"/>
      <c r="AT828" s="35"/>
      <c r="AU828" s="31"/>
      <c r="AV828" s="36"/>
    </row>
    <row r="829" spans="4:48">
      <c r="D829" s="31"/>
      <c r="E829" s="31"/>
      <c r="F829" s="31"/>
      <c r="G829" s="31"/>
      <c r="H829" s="32"/>
      <c r="J829" s="33"/>
      <c r="K829" s="33"/>
      <c r="L829" s="33"/>
      <c r="X829" s="22"/>
      <c r="Y829" s="22"/>
      <c r="Z829" s="22"/>
      <c r="AA829" s="22"/>
      <c r="AF829" s="22"/>
      <c r="AG829" s="22"/>
      <c r="AH829" s="22"/>
      <c r="AI829" s="22"/>
      <c r="AN829" s="22"/>
      <c r="AO829" s="22"/>
      <c r="AP829" s="22"/>
      <c r="AQ829" s="22"/>
      <c r="AR829" s="35"/>
      <c r="AS829" s="35"/>
      <c r="AT829" s="35"/>
      <c r="AU829" s="31"/>
      <c r="AV829" s="36"/>
    </row>
    <row r="830" spans="4:48">
      <c r="D830" s="31"/>
      <c r="E830" s="31"/>
      <c r="F830" s="31"/>
      <c r="G830" s="31"/>
      <c r="H830" s="32"/>
      <c r="J830" s="33"/>
      <c r="K830" s="33"/>
      <c r="L830" s="33"/>
      <c r="X830" s="22"/>
      <c r="Y830" s="22"/>
      <c r="Z830" s="22"/>
      <c r="AA830" s="22"/>
      <c r="AF830" s="22"/>
      <c r="AG830" s="22"/>
      <c r="AH830" s="22"/>
      <c r="AI830" s="22"/>
      <c r="AN830" s="22"/>
      <c r="AO830" s="22"/>
      <c r="AP830" s="22"/>
      <c r="AQ830" s="22"/>
      <c r="AR830" s="35"/>
      <c r="AS830" s="35"/>
      <c r="AT830" s="35"/>
      <c r="AU830" s="31"/>
      <c r="AV830" s="36"/>
    </row>
    <row r="831" spans="4:48">
      <c r="D831" s="31"/>
      <c r="E831" s="31"/>
      <c r="F831" s="31"/>
      <c r="G831" s="31"/>
      <c r="H831" s="32"/>
      <c r="J831" s="33"/>
      <c r="K831" s="33"/>
      <c r="L831" s="33"/>
      <c r="X831" s="22"/>
      <c r="Y831" s="22"/>
      <c r="Z831" s="22"/>
      <c r="AA831" s="22"/>
      <c r="AF831" s="22"/>
      <c r="AG831" s="22"/>
      <c r="AH831" s="22"/>
      <c r="AI831" s="22"/>
      <c r="AN831" s="22"/>
      <c r="AO831" s="22"/>
      <c r="AP831" s="22"/>
      <c r="AQ831" s="22"/>
      <c r="AR831" s="35"/>
      <c r="AS831" s="35"/>
      <c r="AT831" s="35"/>
      <c r="AU831" s="31"/>
      <c r="AV831" s="36"/>
    </row>
    <row r="832" spans="4:48">
      <c r="D832" s="31"/>
      <c r="E832" s="31"/>
      <c r="F832" s="31"/>
      <c r="G832" s="31"/>
      <c r="H832" s="32"/>
      <c r="J832" s="33"/>
      <c r="K832" s="33"/>
      <c r="L832" s="33"/>
      <c r="X832" s="22"/>
      <c r="Y832" s="22"/>
      <c r="Z832" s="22"/>
      <c r="AA832" s="22"/>
      <c r="AF832" s="22"/>
      <c r="AG832" s="22"/>
      <c r="AH832" s="22"/>
      <c r="AI832" s="22"/>
      <c r="AN832" s="22"/>
      <c r="AO832" s="22"/>
      <c r="AP832" s="22"/>
      <c r="AQ832" s="22"/>
      <c r="AR832" s="35"/>
      <c r="AS832" s="35"/>
      <c r="AT832" s="35"/>
      <c r="AU832" s="31"/>
      <c r="AV832" s="36"/>
    </row>
    <row r="833" spans="4:48">
      <c r="D833" s="31"/>
      <c r="E833" s="31"/>
      <c r="F833" s="31"/>
      <c r="G833" s="31"/>
      <c r="H833" s="32"/>
      <c r="J833" s="33"/>
      <c r="K833" s="33"/>
      <c r="L833" s="33"/>
      <c r="X833" s="22"/>
      <c r="Y833" s="22"/>
      <c r="Z833" s="22"/>
      <c r="AA833" s="22"/>
      <c r="AF833" s="22"/>
      <c r="AG833" s="22"/>
      <c r="AH833" s="22"/>
      <c r="AI833" s="22"/>
      <c r="AN833" s="22"/>
      <c r="AO833" s="22"/>
      <c r="AP833" s="22"/>
      <c r="AQ833" s="22"/>
      <c r="AR833" s="35"/>
      <c r="AS833" s="35"/>
      <c r="AT833" s="35"/>
      <c r="AU833" s="31"/>
      <c r="AV833" s="36"/>
    </row>
    <row r="834" spans="4:48">
      <c r="D834" s="31"/>
      <c r="E834" s="31"/>
      <c r="F834" s="31"/>
      <c r="G834" s="31"/>
      <c r="H834" s="32"/>
      <c r="J834" s="33"/>
      <c r="K834" s="33"/>
      <c r="L834" s="33"/>
      <c r="X834" s="22"/>
      <c r="Y834" s="22"/>
      <c r="Z834" s="22"/>
      <c r="AA834" s="22"/>
      <c r="AF834" s="22"/>
      <c r="AG834" s="22"/>
      <c r="AH834" s="22"/>
      <c r="AI834" s="22"/>
      <c r="AN834" s="22"/>
      <c r="AO834" s="22"/>
      <c r="AP834" s="22"/>
      <c r="AQ834" s="22"/>
      <c r="AR834" s="35"/>
      <c r="AS834" s="35"/>
      <c r="AT834" s="35"/>
      <c r="AU834" s="31"/>
      <c r="AV834" s="36"/>
    </row>
    <row r="835" spans="4:48">
      <c r="D835" s="31"/>
      <c r="E835" s="31"/>
      <c r="F835" s="31"/>
      <c r="G835" s="31"/>
      <c r="H835" s="32"/>
      <c r="J835" s="33"/>
      <c r="K835" s="33"/>
      <c r="L835" s="33"/>
      <c r="X835" s="22"/>
      <c r="Y835" s="22"/>
      <c r="Z835" s="22"/>
      <c r="AA835" s="22"/>
      <c r="AF835" s="22"/>
      <c r="AG835" s="22"/>
      <c r="AH835" s="22"/>
      <c r="AI835" s="22"/>
      <c r="AN835" s="22"/>
      <c r="AO835" s="22"/>
      <c r="AP835" s="22"/>
      <c r="AQ835" s="22"/>
      <c r="AR835" s="35"/>
      <c r="AS835" s="35"/>
      <c r="AT835" s="35"/>
      <c r="AU835" s="31"/>
      <c r="AV835" s="36"/>
    </row>
    <row r="836" spans="4:48">
      <c r="D836" s="31"/>
      <c r="E836" s="31"/>
      <c r="F836" s="31"/>
      <c r="G836" s="31"/>
      <c r="H836" s="32"/>
      <c r="J836" s="33"/>
      <c r="K836" s="33"/>
      <c r="L836" s="33"/>
      <c r="X836" s="22"/>
      <c r="Y836" s="22"/>
      <c r="Z836" s="22"/>
      <c r="AA836" s="22"/>
      <c r="AF836" s="22"/>
      <c r="AG836" s="22"/>
      <c r="AH836" s="22"/>
      <c r="AI836" s="22"/>
      <c r="AN836" s="22"/>
      <c r="AO836" s="22"/>
      <c r="AP836" s="22"/>
      <c r="AQ836" s="22"/>
      <c r="AR836" s="35"/>
      <c r="AS836" s="35"/>
      <c r="AT836" s="35"/>
      <c r="AU836" s="31"/>
      <c r="AV836" s="36"/>
    </row>
    <row r="837" spans="4:48">
      <c r="D837" s="31"/>
      <c r="E837" s="31"/>
      <c r="F837" s="31"/>
      <c r="G837" s="31"/>
      <c r="H837" s="32"/>
      <c r="J837" s="33"/>
      <c r="K837" s="33"/>
      <c r="L837" s="33"/>
      <c r="X837" s="22"/>
      <c r="Y837" s="22"/>
      <c r="Z837" s="22"/>
      <c r="AA837" s="22"/>
      <c r="AF837" s="22"/>
      <c r="AG837" s="22"/>
      <c r="AH837" s="22"/>
      <c r="AI837" s="22"/>
      <c r="AN837" s="22"/>
      <c r="AO837" s="22"/>
      <c r="AP837" s="22"/>
      <c r="AQ837" s="22"/>
      <c r="AR837" s="35"/>
      <c r="AS837" s="35"/>
      <c r="AT837" s="35"/>
      <c r="AU837" s="31"/>
      <c r="AV837" s="36"/>
    </row>
    <row r="838" spans="4:48">
      <c r="D838" s="31"/>
      <c r="E838" s="31"/>
      <c r="F838" s="31"/>
      <c r="G838" s="31"/>
      <c r="H838" s="32"/>
      <c r="J838" s="33"/>
      <c r="K838" s="33"/>
      <c r="L838" s="33"/>
      <c r="X838" s="22"/>
      <c r="Y838" s="22"/>
      <c r="Z838" s="22"/>
      <c r="AA838" s="22"/>
      <c r="AF838" s="22"/>
      <c r="AG838" s="22"/>
      <c r="AH838" s="22"/>
      <c r="AI838" s="22"/>
      <c r="AN838" s="22"/>
      <c r="AO838" s="22"/>
      <c r="AP838" s="22"/>
      <c r="AQ838" s="22"/>
      <c r="AR838" s="35"/>
      <c r="AS838" s="35"/>
      <c r="AT838" s="35"/>
      <c r="AU838" s="31"/>
      <c r="AV838" s="36"/>
    </row>
    <row r="839" spans="4:48">
      <c r="D839" s="31"/>
      <c r="E839" s="31"/>
      <c r="F839" s="31"/>
      <c r="G839" s="31"/>
      <c r="H839" s="32"/>
      <c r="J839" s="33"/>
      <c r="K839" s="33"/>
      <c r="L839" s="33"/>
      <c r="X839" s="22"/>
      <c r="Y839" s="22"/>
      <c r="Z839" s="22"/>
      <c r="AA839" s="22"/>
      <c r="AF839" s="22"/>
      <c r="AG839" s="22"/>
      <c r="AH839" s="22"/>
      <c r="AI839" s="22"/>
      <c r="AN839" s="22"/>
      <c r="AO839" s="22"/>
      <c r="AP839" s="22"/>
      <c r="AQ839" s="22"/>
      <c r="AR839" s="35"/>
      <c r="AS839" s="35"/>
      <c r="AT839" s="35"/>
      <c r="AU839" s="31"/>
      <c r="AV839" s="36"/>
    </row>
    <row r="840" spans="4:48">
      <c r="D840" s="31"/>
      <c r="E840" s="31"/>
      <c r="F840" s="31"/>
      <c r="G840" s="31"/>
      <c r="H840" s="32"/>
      <c r="J840" s="33"/>
      <c r="K840" s="33"/>
      <c r="L840" s="33"/>
      <c r="X840" s="22"/>
      <c r="Y840" s="22"/>
      <c r="Z840" s="22"/>
      <c r="AA840" s="22"/>
      <c r="AF840" s="22"/>
      <c r="AG840" s="22"/>
      <c r="AH840" s="22"/>
      <c r="AI840" s="22"/>
      <c r="AN840" s="22"/>
      <c r="AO840" s="22"/>
      <c r="AP840" s="22"/>
      <c r="AQ840" s="22"/>
      <c r="AR840" s="35"/>
      <c r="AS840" s="35"/>
      <c r="AT840" s="35"/>
      <c r="AU840" s="31"/>
      <c r="AV840" s="36"/>
    </row>
    <row r="841" spans="4:48">
      <c r="D841" s="31"/>
      <c r="E841" s="31"/>
      <c r="F841" s="31"/>
      <c r="G841" s="31"/>
      <c r="H841" s="32"/>
      <c r="J841" s="33"/>
      <c r="K841" s="33"/>
      <c r="L841" s="33"/>
      <c r="X841" s="22"/>
      <c r="Y841" s="22"/>
      <c r="Z841" s="22"/>
      <c r="AA841" s="22"/>
      <c r="AF841" s="22"/>
      <c r="AG841" s="22"/>
      <c r="AH841" s="22"/>
      <c r="AI841" s="22"/>
      <c r="AN841" s="22"/>
      <c r="AO841" s="22"/>
      <c r="AP841" s="22"/>
      <c r="AQ841" s="22"/>
      <c r="AR841" s="35"/>
      <c r="AS841" s="35"/>
      <c r="AT841" s="35"/>
      <c r="AU841" s="31"/>
      <c r="AV841" s="36"/>
    </row>
    <row r="842" spans="4:48">
      <c r="D842" s="31"/>
      <c r="E842" s="31"/>
      <c r="F842" s="31"/>
      <c r="G842" s="31"/>
      <c r="H842" s="32"/>
      <c r="J842" s="33"/>
      <c r="K842" s="33"/>
      <c r="L842" s="33"/>
      <c r="X842" s="22"/>
      <c r="Y842" s="22"/>
      <c r="Z842" s="22"/>
      <c r="AA842" s="22"/>
      <c r="AF842" s="22"/>
      <c r="AG842" s="22"/>
      <c r="AH842" s="22"/>
      <c r="AI842" s="22"/>
      <c r="AN842" s="22"/>
      <c r="AO842" s="22"/>
      <c r="AP842" s="22"/>
      <c r="AQ842" s="22"/>
      <c r="AR842" s="35"/>
      <c r="AS842" s="35"/>
      <c r="AT842" s="35"/>
      <c r="AU842" s="31"/>
      <c r="AV842" s="36"/>
    </row>
    <row r="843" spans="4:48">
      <c r="D843" s="31"/>
      <c r="E843" s="31"/>
      <c r="F843" s="31"/>
      <c r="G843" s="31"/>
      <c r="H843" s="32"/>
      <c r="J843" s="33"/>
      <c r="K843" s="33"/>
      <c r="L843" s="33"/>
      <c r="X843" s="22"/>
      <c r="Y843" s="22"/>
      <c r="Z843" s="22"/>
      <c r="AA843" s="22"/>
      <c r="AF843" s="22"/>
      <c r="AG843" s="22"/>
      <c r="AH843" s="22"/>
      <c r="AI843" s="22"/>
      <c r="AN843" s="22"/>
      <c r="AO843" s="22"/>
      <c r="AP843" s="22"/>
      <c r="AQ843" s="22"/>
      <c r="AR843" s="35"/>
      <c r="AS843" s="35"/>
      <c r="AT843" s="35"/>
      <c r="AU843" s="31"/>
      <c r="AV843" s="36"/>
    </row>
    <row r="844" spans="4:48">
      <c r="D844" s="31"/>
      <c r="E844" s="31"/>
      <c r="F844" s="31"/>
      <c r="G844" s="31"/>
      <c r="H844" s="32"/>
      <c r="J844" s="33"/>
      <c r="K844" s="33"/>
      <c r="L844" s="33"/>
      <c r="X844" s="22"/>
      <c r="Y844" s="22"/>
      <c r="Z844" s="22"/>
      <c r="AA844" s="22"/>
      <c r="AF844" s="22"/>
      <c r="AG844" s="22"/>
      <c r="AH844" s="22"/>
      <c r="AI844" s="22"/>
      <c r="AN844" s="22"/>
      <c r="AO844" s="22"/>
      <c r="AP844" s="22"/>
      <c r="AQ844" s="22"/>
      <c r="AR844" s="35"/>
      <c r="AS844" s="35"/>
      <c r="AT844" s="35"/>
      <c r="AU844" s="31"/>
      <c r="AV844" s="36"/>
    </row>
    <row r="845" spans="4:48">
      <c r="D845" s="31"/>
      <c r="E845" s="31"/>
      <c r="F845" s="31"/>
      <c r="G845" s="31"/>
      <c r="H845" s="32"/>
      <c r="J845" s="33"/>
      <c r="K845" s="33"/>
      <c r="L845" s="33"/>
      <c r="X845" s="22"/>
      <c r="Y845" s="22"/>
      <c r="Z845" s="22"/>
      <c r="AA845" s="22"/>
      <c r="AF845" s="22"/>
      <c r="AG845" s="22"/>
      <c r="AH845" s="22"/>
      <c r="AI845" s="22"/>
      <c r="AN845" s="22"/>
      <c r="AO845" s="22"/>
      <c r="AP845" s="22"/>
      <c r="AQ845" s="22"/>
      <c r="AR845" s="35"/>
      <c r="AS845" s="35"/>
      <c r="AT845" s="35"/>
      <c r="AU845" s="31"/>
      <c r="AV845" s="36"/>
    </row>
    <row r="846" spans="4:48">
      <c r="D846" s="31"/>
      <c r="E846" s="31"/>
      <c r="F846" s="31"/>
      <c r="G846" s="31"/>
      <c r="H846" s="32"/>
      <c r="J846" s="33"/>
      <c r="K846" s="33"/>
      <c r="L846" s="33"/>
      <c r="X846" s="22"/>
      <c r="Y846" s="22"/>
      <c r="Z846" s="22"/>
      <c r="AA846" s="22"/>
      <c r="AF846" s="22"/>
      <c r="AG846" s="22"/>
      <c r="AH846" s="22"/>
      <c r="AI846" s="22"/>
      <c r="AN846" s="22"/>
      <c r="AO846" s="22"/>
      <c r="AP846" s="22"/>
      <c r="AQ846" s="22"/>
      <c r="AR846" s="35"/>
      <c r="AS846" s="35"/>
      <c r="AT846" s="35"/>
      <c r="AU846" s="31"/>
      <c r="AV846" s="36"/>
    </row>
    <row r="847" spans="4:48">
      <c r="D847" s="31"/>
      <c r="E847" s="31"/>
      <c r="F847" s="31"/>
      <c r="G847" s="31"/>
      <c r="H847" s="32"/>
      <c r="J847" s="33"/>
      <c r="K847" s="33"/>
      <c r="L847" s="33"/>
      <c r="X847" s="22"/>
      <c r="Y847" s="22"/>
      <c r="Z847" s="22"/>
      <c r="AA847" s="22"/>
      <c r="AF847" s="22"/>
      <c r="AG847" s="22"/>
      <c r="AH847" s="22"/>
      <c r="AI847" s="22"/>
      <c r="AN847" s="22"/>
      <c r="AO847" s="22"/>
      <c r="AP847" s="22"/>
      <c r="AQ847" s="22"/>
      <c r="AR847" s="35"/>
      <c r="AS847" s="35"/>
      <c r="AT847" s="35"/>
      <c r="AU847" s="31"/>
      <c r="AV847" s="36"/>
    </row>
    <row r="848" spans="4:48">
      <c r="D848" s="31"/>
      <c r="E848" s="31"/>
      <c r="F848" s="31"/>
      <c r="G848" s="31"/>
      <c r="H848" s="32"/>
      <c r="J848" s="33"/>
      <c r="K848" s="33"/>
      <c r="L848" s="33"/>
      <c r="X848" s="22"/>
      <c r="Y848" s="22"/>
      <c r="Z848" s="22"/>
      <c r="AA848" s="22"/>
      <c r="AF848" s="22"/>
      <c r="AG848" s="22"/>
      <c r="AH848" s="22"/>
      <c r="AI848" s="22"/>
      <c r="AN848" s="22"/>
      <c r="AO848" s="22"/>
      <c r="AP848" s="22"/>
      <c r="AQ848" s="22"/>
      <c r="AR848" s="35"/>
      <c r="AS848" s="35"/>
      <c r="AT848" s="35"/>
      <c r="AU848" s="31"/>
      <c r="AV848" s="36"/>
    </row>
    <row r="849" spans="4:48">
      <c r="D849" s="31"/>
      <c r="E849" s="31"/>
      <c r="F849" s="31"/>
      <c r="G849" s="31"/>
      <c r="H849" s="32"/>
      <c r="J849" s="33"/>
      <c r="K849" s="33"/>
      <c r="L849" s="33"/>
      <c r="X849" s="22"/>
      <c r="Y849" s="22"/>
      <c r="Z849" s="22"/>
      <c r="AA849" s="22"/>
      <c r="AF849" s="22"/>
      <c r="AG849" s="22"/>
      <c r="AH849" s="22"/>
      <c r="AI849" s="22"/>
      <c r="AN849" s="22"/>
      <c r="AO849" s="22"/>
      <c r="AP849" s="22"/>
      <c r="AQ849" s="22"/>
      <c r="AR849" s="35"/>
      <c r="AS849" s="35"/>
      <c r="AT849" s="35"/>
      <c r="AU849" s="31"/>
      <c r="AV849" s="36"/>
    </row>
    <row r="850" spans="4:48">
      <c r="D850" s="31"/>
      <c r="E850" s="31"/>
      <c r="F850" s="31"/>
      <c r="G850" s="31"/>
      <c r="H850" s="32"/>
      <c r="J850" s="33"/>
      <c r="K850" s="33"/>
      <c r="L850" s="33"/>
      <c r="X850" s="22"/>
      <c r="Y850" s="22"/>
      <c r="Z850" s="22"/>
      <c r="AA850" s="22"/>
      <c r="AF850" s="22"/>
      <c r="AG850" s="22"/>
      <c r="AH850" s="22"/>
      <c r="AI850" s="22"/>
      <c r="AN850" s="22"/>
      <c r="AO850" s="22"/>
      <c r="AP850" s="22"/>
      <c r="AQ850" s="22"/>
      <c r="AR850" s="35"/>
      <c r="AS850" s="35"/>
      <c r="AT850" s="35"/>
      <c r="AU850" s="31"/>
      <c r="AV850" s="36"/>
    </row>
    <row r="851" spans="4:48">
      <c r="D851" s="31"/>
      <c r="E851" s="31"/>
      <c r="F851" s="31"/>
      <c r="G851" s="31"/>
      <c r="H851" s="32"/>
      <c r="J851" s="33"/>
      <c r="K851" s="33"/>
      <c r="L851" s="33"/>
      <c r="X851" s="22"/>
      <c r="Y851" s="22"/>
      <c r="Z851" s="22"/>
      <c r="AA851" s="22"/>
      <c r="AF851" s="22"/>
      <c r="AG851" s="22"/>
      <c r="AH851" s="22"/>
      <c r="AI851" s="22"/>
      <c r="AN851" s="22"/>
      <c r="AO851" s="22"/>
      <c r="AP851" s="22"/>
      <c r="AQ851" s="22"/>
      <c r="AR851" s="35"/>
      <c r="AS851" s="35"/>
      <c r="AT851" s="35"/>
      <c r="AU851" s="31"/>
      <c r="AV851" s="36"/>
    </row>
    <row r="852" spans="4:48">
      <c r="D852" s="31"/>
      <c r="E852" s="31"/>
      <c r="F852" s="31"/>
      <c r="G852" s="31"/>
      <c r="H852" s="32"/>
      <c r="J852" s="33"/>
      <c r="K852" s="33"/>
      <c r="L852" s="33"/>
      <c r="X852" s="22"/>
      <c r="Y852" s="22"/>
      <c r="Z852" s="22"/>
      <c r="AA852" s="22"/>
      <c r="AF852" s="22"/>
      <c r="AG852" s="22"/>
      <c r="AH852" s="22"/>
      <c r="AI852" s="22"/>
      <c r="AN852" s="22"/>
      <c r="AO852" s="22"/>
      <c r="AP852" s="22"/>
      <c r="AQ852" s="22"/>
      <c r="AR852" s="35"/>
      <c r="AS852" s="35"/>
      <c r="AT852" s="35"/>
      <c r="AU852" s="31"/>
      <c r="AV852" s="36"/>
    </row>
    <row r="853" spans="4:48">
      <c r="D853" s="31"/>
      <c r="E853" s="31"/>
      <c r="F853" s="31"/>
      <c r="G853" s="31"/>
      <c r="H853" s="32"/>
      <c r="J853" s="33"/>
      <c r="K853" s="33"/>
      <c r="L853" s="33"/>
      <c r="X853" s="22"/>
      <c r="Y853" s="22"/>
      <c r="Z853" s="22"/>
      <c r="AA853" s="22"/>
      <c r="AF853" s="22"/>
      <c r="AG853" s="22"/>
      <c r="AH853" s="22"/>
      <c r="AI853" s="22"/>
      <c r="AN853" s="22"/>
      <c r="AO853" s="22"/>
      <c r="AP853" s="22"/>
      <c r="AQ853" s="22"/>
      <c r="AR853" s="35"/>
      <c r="AS853" s="35"/>
      <c r="AT853" s="35"/>
      <c r="AU853" s="31"/>
      <c r="AV853" s="36"/>
    </row>
    <row r="854" spans="4:48">
      <c r="D854" s="31"/>
      <c r="E854" s="31"/>
      <c r="F854" s="31"/>
      <c r="G854" s="31"/>
      <c r="H854" s="32"/>
      <c r="J854" s="33"/>
      <c r="K854" s="33"/>
      <c r="L854" s="33"/>
      <c r="X854" s="22"/>
      <c r="Y854" s="22"/>
      <c r="Z854" s="22"/>
      <c r="AA854" s="22"/>
      <c r="AF854" s="22"/>
      <c r="AG854" s="22"/>
      <c r="AH854" s="22"/>
      <c r="AI854" s="22"/>
      <c r="AN854" s="22"/>
      <c r="AO854" s="22"/>
      <c r="AP854" s="22"/>
      <c r="AQ854" s="22"/>
      <c r="AR854" s="35"/>
      <c r="AS854" s="35"/>
      <c r="AT854" s="35"/>
      <c r="AU854" s="31"/>
      <c r="AV854" s="36"/>
    </row>
    <row r="855" spans="4:48">
      <c r="D855" s="31"/>
      <c r="E855" s="31"/>
      <c r="F855" s="31"/>
      <c r="G855" s="31"/>
      <c r="H855" s="32"/>
      <c r="J855" s="33"/>
      <c r="K855" s="33"/>
      <c r="L855" s="33"/>
      <c r="X855" s="22"/>
      <c r="Y855" s="22"/>
      <c r="Z855" s="22"/>
      <c r="AA855" s="22"/>
      <c r="AF855" s="22"/>
      <c r="AG855" s="22"/>
      <c r="AH855" s="22"/>
      <c r="AI855" s="22"/>
      <c r="AN855" s="22"/>
      <c r="AO855" s="22"/>
      <c r="AP855" s="22"/>
      <c r="AQ855" s="22"/>
      <c r="AR855" s="35"/>
      <c r="AS855" s="35"/>
      <c r="AT855" s="35"/>
      <c r="AU855" s="31"/>
      <c r="AV855" s="36"/>
    </row>
    <row r="856" spans="4:48">
      <c r="D856" s="31"/>
      <c r="E856" s="31"/>
      <c r="F856" s="31"/>
      <c r="G856" s="31"/>
      <c r="H856" s="32"/>
      <c r="J856" s="33"/>
      <c r="K856" s="33"/>
      <c r="L856" s="33"/>
      <c r="X856" s="22"/>
      <c r="Y856" s="22"/>
      <c r="Z856" s="22"/>
      <c r="AA856" s="22"/>
      <c r="AF856" s="22"/>
      <c r="AG856" s="22"/>
      <c r="AH856" s="22"/>
      <c r="AI856" s="22"/>
      <c r="AN856" s="22"/>
      <c r="AO856" s="22"/>
      <c r="AP856" s="22"/>
      <c r="AQ856" s="22"/>
      <c r="AR856" s="35"/>
      <c r="AS856" s="35"/>
      <c r="AT856" s="35"/>
      <c r="AU856" s="31"/>
      <c r="AV856" s="36"/>
    </row>
    <row r="857" spans="4:48">
      <c r="D857" s="31"/>
      <c r="E857" s="31"/>
      <c r="F857" s="31"/>
      <c r="G857" s="31"/>
      <c r="H857" s="32"/>
      <c r="J857" s="33"/>
      <c r="K857" s="33"/>
      <c r="L857" s="33"/>
      <c r="X857" s="22"/>
      <c r="Y857" s="22"/>
      <c r="Z857" s="22"/>
      <c r="AA857" s="22"/>
      <c r="AF857" s="22"/>
      <c r="AG857" s="22"/>
      <c r="AH857" s="22"/>
      <c r="AI857" s="22"/>
      <c r="AN857" s="22"/>
      <c r="AO857" s="22"/>
      <c r="AP857" s="22"/>
      <c r="AQ857" s="22"/>
      <c r="AR857" s="35"/>
      <c r="AS857" s="35"/>
      <c r="AT857" s="35"/>
      <c r="AU857" s="31"/>
      <c r="AV857" s="36"/>
    </row>
    <row r="858" spans="4:48">
      <c r="D858" s="31"/>
      <c r="E858" s="31"/>
      <c r="F858" s="31"/>
      <c r="G858" s="31"/>
      <c r="H858" s="32"/>
      <c r="J858" s="33"/>
      <c r="K858" s="33"/>
      <c r="L858" s="33"/>
      <c r="X858" s="22"/>
      <c r="Y858" s="22"/>
      <c r="Z858" s="22"/>
      <c r="AA858" s="22"/>
      <c r="AF858" s="22"/>
      <c r="AG858" s="22"/>
      <c r="AH858" s="22"/>
      <c r="AI858" s="22"/>
      <c r="AN858" s="22"/>
      <c r="AO858" s="22"/>
      <c r="AP858" s="22"/>
      <c r="AQ858" s="22"/>
      <c r="AR858" s="35"/>
      <c r="AS858" s="35"/>
      <c r="AT858" s="35"/>
      <c r="AU858" s="31"/>
      <c r="AV858" s="36"/>
    </row>
    <row r="859" spans="4:48">
      <c r="D859" s="31"/>
      <c r="E859" s="31"/>
      <c r="F859" s="31"/>
      <c r="G859" s="31"/>
      <c r="H859" s="32"/>
      <c r="J859" s="33"/>
      <c r="K859" s="33"/>
      <c r="L859" s="33"/>
      <c r="X859" s="22"/>
      <c r="Y859" s="22"/>
      <c r="Z859" s="22"/>
      <c r="AA859" s="22"/>
      <c r="AF859" s="22"/>
      <c r="AG859" s="22"/>
      <c r="AH859" s="22"/>
      <c r="AI859" s="22"/>
      <c r="AN859" s="22"/>
      <c r="AO859" s="22"/>
      <c r="AP859" s="22"/>
      <c r="AQ859" s="22"/>
      <c r="AR859" s="35"/>
      <c r="AS859" s="35"/>
      <c r="AT859" s="35"/>
      <c r="AU859" s="31"/>
      <c r="AV859" s="36"/>
    </row>
    <row r="860" spans="4:48">
      <c r="D860" s="31"/>
      <c r="E860" s="31"/>
      <c r="F860" s="31"/>
      <c r="G860" s="31"/>
      <c r="H860" s="32"/>
      <c r="J860" s="33"/>
      <c r="K860" s="33"/>
      <c r="L860" s="33"/>
      <c r="X860" s="22"/>
      <c r="Y860" s="22"/>
      <c r="Z860" s="22"/>
      <c r="AA860" s="22"/>
      <c r="AF860" s="22"/>
      <c r="AG860" s="22"/>
      <c r="AH860" s="22"/>
      <c r="AI860" s="22"/>
      <c r="AN860" s="22"/>
      <c r="AO860" s="22"/>
      <c r="AP860" s="22"/>
      <c r="AQ860" s="22"/>
      <c r="AR860" s="35"/>
      <c r="AS860" s="35"/>
      <c r="AT860" s="35"/>
      <c r="AU860" s="31"/>
      <c r="AV860" s="36"/>
    </row>
    <row r="861" spans="4:48">
      <c r="D861" s="31"/>
      <c r="E861" s="31"/>
      <c r="F861" s="31"/>
      <c r="G861" s="31"/>
      <c r="H861" s="32"/>
      <c r="J861" s="33"/>
      <c r="K861" s="33"/>
      <c r="L861" s="33"/>
      <c r="X861" s="22"/>
      <c r="Y861" s="22"/>
      <c r="Z861" s="22"/>
      <c r="AA861" s="22"/>
      <c r="AF861" s="22"/>
      <c r="AG861" s="22"/>
      <c r="AH861" s="22"/>
      <c r="AI861" s="22"/>
      <c r="AN861" s="22"/>
      <c r="AO861" s="22"/>
      <c r="AP861" s="22"/>
      <c r="AQ861" s="22"/>
      <c r="AR861" s="35"/>
      <c r="AS861" s="35"/>
      <c r="AT861" s="35"/>
      <c r="AU861" s="31"/>
      <c r="AV861" s="36"/>
    </row>
    <row r="862" spans="4:48">
      <c r="D862" s="31"/>
      <c r="E862" s="31"/>
      <c r="F862" s="31"/>
      <c r="G862" s="31"/>
      <c r="H862" s="32"/>
      <c r="J862" s="33"/>
      <c r="K862" s="33"/>
      <c r="L862" s="33"/>
      <c r="X862" s="22"/>
      <c r="Y862" s="22"/>
      <c r="Z862" s="22"/>
      <c r="AA862" s="22"/>
      <c r="AF862" s="22"/>
      <c r="AG862" s="22"/>
      <c r="AH862" s="22"/>
      <c r="AI862" s="22"/>
      <c r="AN862" s="22"/>
      <c r="AO862" s="22"/>
      <c r="AP862" s="22"/>
      <c r="AQ862" s="22"/>
      <c r="AR862" s="35"/>
      <c r="AS862" s="35"/>
      <c r="AT862" s="35"/>
      <c r="AU862" s="31"/>
      <c r="AV862" s="36"/>
    </row>
    <row r="863" spans="4:48">
      <c r="D863" s="31"/>
      <c r="E863" s="31"/>
      <c r="F863" s="31"/>
      <c r="G863" s="31"/>
      <c r="H863" s="32"/>
      <c r="J863" s="33"/>
      <c r="K863" s="33"/>
      <c r="L863" s="33"/>
      <c r="X863" s="22"/>
      <c r="Y863" s="22"/>
      <c r="Z863" s="22"/>
      <c r="AA863" s="22"/>
      <c r="AF863" s="22"/>
      <c r="AG863" s="22"/>
      <c r="AH863" s="22"/>
      <c r="AI863" s="22"/>
      <c r="AN863" s="22"/>
      <c r="AO863" s="22"/>
      <c r="AP863" s="22"/>
      <c r="AQ863" s="22"/>
      <c r="AR863" s="35"/>
      <c r="AS863" s="35"/>
      <c r="AT863" s="35"/>
      <c r="AU863" s="31"/>
      <c r="AV863" s="36"/>
    </row>
    <row r="864" spans="4:48">
      <c r="D864" s="31"/>
      <c r="E864" s="31"/>
      <c r="F864" s="31"/>
      <c r="G864" s="31"/>
      <c r="H864" s="32"/>
      <c r="J864" s="33"/>
      <c r="K864" s="33"/>
      <c r="L864" s="33"/>
      <c r="X864" s="22"/>
      <c r="Y864" s="22"/>
      <c r="Z864" s="22"/>
      <c r="AA864" s="22"/>
      <c r="AF864" s="22"/>
      <c r="AG864" s="22"/>
      <c r="AH864" s="22"/>
      <c r="AI864" s="22"/>
      <c r="AN864" s="22"/>
      <c r="AO864" s="22"/>
      <c r="AP864" s="22"/>
      <c r="AQ864" s="22"/>
      <c r="AR864" s="35"/>
      <c r="AS864" s="35"/>
      <c r="AT864" s="35"/>
      <c r="AU864" s="31"/>
      <c r="AV864" s="36"/>
    </row>
    <row r="865" spans="4:48">
      <c r="D865" s="31"/>
      <c r="E865" s="31"/>
      <c r="F865" s="31"/>
      <c r="G865" s="31"/>
      <c r="H865" s="32"/>
      <c r="J865" s="33"/>
      <c r="K865" s="33"/>
      <c r="L865" s="33"/>
      <c r="X865" s="22"/>
      <c r="Y865" s="22"/>
      <c r="Z865" s="22"/>
      <c r="AA865" s="22"/>
      <c r="AF865" s="22"/>
      <c r="AG865" s="22"/>
      <c r="AH865" s="22"/>
      <c r="AI865" s="22"/>
      <c r="AN865" s="22"/>
      <c r="AO865" s="22"/>
      <c r="AP865" s="22"/>
      <c r="AQ865" s="22"/>
      <c r="AR865" s="35"/>
      <c r="AS865" s="35"/>
      <c r="AT865" s="35"/>
      <c r="AU865" s="31"/>
      <c r="AV865" s="36"/>
    </row>
    <row r="866" spans="4:48">
      <c r="D866" s="31"/>
      <c r="E866" s="31"/>
      <c r="F866" s="31"/>
      <c r="G866" s="31"/>
      <c r="H866" s="32"/>
      <c r="J866" s="33"/>
      <c r="K866" s="33"/>
      <c r="L866" s="33"/>
      <c r="X866" s="22"/>
      <c r="Y866" s="22"/>
      <c r="Z866" s="22"/>
      <c r="AA866" s="22"/>
      <c r="AF866" s="22"/>
      <c r="AG866" s="22"/>
      <c r="AH866" s="22"/>
      <c r="AI866" s="22"/>
      <c r="AN866" s="22"/>
      <c r="AO866" s="22"/>
      <c r="AP866" s="22"/>
      <c r="AQ866" s="22"/>
      <c r="AR866" s="35"/>
      <c r="AS866" s="35"/>
      <c r="AT866" s="35"/>
      <c r="AU866" s="31"/>
      <c r="AV866" s="36"/>
    </row>
    <row r="867" spans="4:48">
      <c r="D867" s="31"/>
      <c r="E867" s="31"/>
      <c r="F867" s="31"/>
      <c r="G867" s="31"/>
      <c r="H867" s="32"/>
      <c r="J867" s="33"/>
      <c r="K867" s="33"/>
      <c r="L867" s="33"/>
      <c r="X867" s="22"/>
      <c r="Y867" s="22"/>
      <c r="Z867" s="22"/>
      <c r="AA867" s="22"/>
      <c r="AF867" s="22"/>
      <c r="AG867" s="22"/>
      <c r="AH867" s="22"/>
      <c r="AI867" s="22"/>
      <c r="AN867" s="22"/>
      <c r="AO867" s="22"/>
      <c r="AP867" s="22"/>
      <c r="AQ867" s="22"/>
      <c r="AR867" s="35"/>
      <c r="AS867" s="35"/>
      <c r="AT867" s="35"/>
      <c r="AU867" s="31"/>
      <c r="AV867" s="36"/>
    </row>
    <row r="868" spans="4:48">
      <c r="D868" s="31"/>
      <c r="E868" s="31"/>
      <c r="F868" s="31"/>
      <c r="G868" s="31"/>
      <c r="H868" s="32"/>
      <c r="J868" s="33"/>
      <c r="K868" s="33"/>
      <c r="L868" s="33"/>
      <c r="X868" s="22"/>
      <c r="Y868" s="22"/>
      <c r="Z868" s="22"/>
      <c r="AA868" s="22"/>
      <c r="AF868" s="22"/>
      <c r="AG868" s="22"/>
      <c r="AH868" s="22"/>
      <c r="AI868" s="22"/>
      <c r="AN868" s="22"/>
      <c r="AO868" s="22"/>
      <c r="AP868" s="22"/>
      <c r="AQ868" s="22"/>
      <c r="AR868" s="35"/>
      <c r="AS868" s="35"/>
      <c r="AT868" s="35"/>
      <c r="AU868" s="31"/>
      <c r="AV868" s="36"/>
    </row>
    <row r="869" spans="4:48">
      <c r="D869" s="31"/>
      <c r="E869" s="31"/>
      <c r="F869" s="31"/>
      <c r="G869" s="31"/>
      <c r="H869" s="32"/>
      <c r="J869" s="33"/>
      <c r="K869" s="33"/>
      <c r="L869" s="33"/>
      <c r="X869" s="22"/>
      <c r="Y869" s="22"/>
      <c r="Z869" s="22"/>
      <c r="AA869" s="22"/>
      <c r="AF869" s="22"/>
      <c r="AG869" s="22"/>
      <c r="AH869" s="22"/>
      <c r="AI869" s="22"/>
      <c r="AN869" s="22"/>
      <c r="AO869" s="22"/>
      <c r="AP869" s="22"/>
      <c r="AQ869" s="22"/>
      <c r="AR869" s="35"/>
      <c r="AS869" s="35"/>
      <c r="AT869" s="35"/>
      <c r="AU869" s="31"/>
      <c r="AV869" s="36"/>
    </row>
    <row r="870" spans="4:48">
      <c r="D870" s="31"/>
      <c r="E870" s="31"/>
      <c r="F870" s="31"/>
      <c r="G870" s="31"/>
      <c r="H870" s="32"/>
      <c r="J870" s="33"/>
      <c r="K870" s="33"/>
      <c r="L870" s="33"/>
      <c r="X870" s="22"/>
      <c r="Y870" s="22"/>
      <c r="Z870" s="22"/>
      <c r="AA870" s="22"/>
      <c r="AF870" s="22"/>
      <c r="AG870" s="22"/>
      <c r="AH870" s="22"/>
      <c r="AI870" s="22"/>
      <c r="AN870" s="22"/>
      <c r="AO870" s="22"/>
      <c r="AP870" s="22"/>
      <c r="AQ870" s="22"/>
      <c r="AR870" s="35"/>
      <c r="AS870" s="35"/>
      <c r="AT870" s="35"/>
      <c r="AU870" s="31"/>
      <c r="AV870" s="36"/>
    </row>
    <row r="871" spans="4:48">
      <c r="D871" s="31"/>
      <c r="E871" s="31"/>
      <c r="F871" s="31"/>
      <c r="G871" s="31"/>
      <c r="H871" s="32"/>
      <c r="J871" s="33"/>
      <c r="K871" s="33"/>
      <c r="L871" s="33"/>
      <c r="X871" s="22"/>
      <c r="Y871" s="22"/>
      <c r="Z871" s="22"/>
      <c r="AA871" s="22"/>
      <c r="AF871" s="22"/>
      <c r="AG871" s="22"/>
      <c r="AH871" s="22"/>
      <c r="AI871" s="22"/>
      <c r="AN871" s="22"/>
      <c r="AO871" s="22"/>
      <c r="AP871" s="22"/>
      <c r="AQ871" s="22"/>
      <c r="AR871" s="35"/>
      <c r="AS871" s="35"/>
      <c r="AT871" s="35"/>
      <c r="AU871" s="31"/>
      <c r="AV871" s="36"/>
    </row>
    <row r="872" spans="4:48">
      <c r="D872" s="31"/>
      <c r="E872" s="31"/>
      <c r="F872" s="31"/>
      <c r="G872" s="31"/>
      <c r="H872" s="32"/>
      <c r="J872" s="33"/>
      <c r="K872" s="33"/>
      <c r="L872" s="33"/>
      <c r="X872" s="22"/>
      <c r="Y872" s="22"/>
      <c r="Z872" s="22"/>
      <c r="AA872" s="22"/>
      <c r="AF872" s="22"/>
      <c r="AG872" s="22"/>
      <c r="AH872" s="22"/>
      <c r="AI872" s="22"/>
      <c r="AN872" s="22"/>
      <c r="AO872" s="22"/>
      <c r="AP872" s="22"/>
      <c r="AQ872" s="22"/>
      <c r="AR872" s="35"/>
      <c r="AS872" s="35"/>
      <c r="AT872" s="35"/>
      <c r="AU872" s="31"/>
      <c r="AV872" s="36"/>
    </row>
    <row r="873" spans="4:48">
      <c r="D873" s="31"/>
      <c r="E873" s="31"/>
      <c r="F873" s="31"/>
      <c r="G873" s="31"/>
      <c r="H873" s="32"/>
      <c r="J873" s="33"/>
      <c r="K873" s="33"/>
      <c r="L873" s="33"/>
      <c r="X873" s="22"/>
      <c r="Y873" s="22"/>
      <c r="Z873" s="22"/>
      <c r="AA873" s="22"/>
      <c r="AF873" s="22"/>
      <c r="AG873" s="22"/>
      <c r="AH873" s="22"/>
      <c r="AI873" s="22"/>
      <c r="AN873" s="22"/>
      <c r="AO873" s="22"/>
      <c r="AP873" s="22"/>
      <c r="AQ873" s="22"/>
      <c r="AR873" s="35"/>
      <c r="AS873" s="35"/>
      <c r="AT873" s="35"/>
      <c r="AU873" s="31"/>
      <c r="AV873" s="36"/>
    </row>
    <row r="874" spans="4:48">
      <c r="D874" s="31"/>
      <c r="E874" s="31"/>
      <c r="F874" s="31"/>
      <c r="G874" s="31"/>
      <c r="H874" s="32"/>
      <c r="J874" s="33"/>
      <c r="K874" s="33"/>
      <c r="L874" s="33"/>
      <c r="X874" s="22"/>
      <c r="Y874" s="22"/>
      <c r="Z874" s="22"/>
      <c r="AA874" s="22"/>
      <c r="AF874" s="22"/>
      <c r="AG874" s="22"/>
      <c r="AH874" s="22"/>
      <c r="AI874" s="22"/>
      <c r="AN874" s="22"/>
      <c r="AO874" s="22"/>
      <c r="AP874" s="22"/>
      <c r="AQ874" s="22"/>
      <c r="AR874" s="35"/>
      <c r="AS874" s="35"/>
      <c r="AT874" s="35"/>
      <c r="AU874" s="31"/>
      <c r="AV874" s="36"/>
    </row>
    <row r="875" spans="4:48">
      <c r="D875" s="31"/>
      <c r="E875" s="31"/>
      <c r="F875" s="31"/>
      <c r="G875" s="31"/>
      <c r="H875" s="32"/>
      <c r="J875" s="33"/>
      <c r="K875" s="33"/>
      <c r="L875" s="33"/>
      <c r="X875" s="22"/>
      <c r="Y875" s="22"/>
      <c r="Z875" s="22"/>
      <c r="AA875" s="22"/>
      <c r="AF875" s="22"/>
      <c r="AG875" s="22"/>
      <c r="AH875" s="22"/>
      <c r="AI875" s="22"/>
      <c r="AN875" s="22"/>
      <c r="AO875" s="22"/>
      <c r="AP875" s="22"/>
      <c r="AQ875" s="22"/>
      <c r="AR875" s="35"/>
      <c r="AS875" s="35"/>
      <c r="AT875" s="35"/>
      <c r="AU875" s="31"/>
      <c r="AV875" s="36"/>
    </row>
    <row r="876" spans="4:48">
      <c r="D876" s="31"/>
      <c r="E876" s="31"/>
      <c r="F876" s="31"/>
      <c r="G876" s="31"/>
      <c r="H876" s="32"/>
      <c r="J876" s="33"/>
      <c r="K876" s="33"/>
      <c r="L876" s="33"/>
      <c r="X876" s="22"/>
      <c r="Y876" s="22"/>
      <c r="Z876" s="22"/>
      <c r="AA876" s="22"/>
      <c r="AF876" s="22"/>
      <c r="AG876" s="22"/>
      <c r="AH876" s="22"/>
      <c r="AI876" s="22"/>
      <c r="AN876" s="22"/>
      <c r="AO876" s="22"/>
      <c r="AP876" s="22"/>
      <c r="AQ876" s="22"/>
      <c r="AR876" s="35"/>
      <c r="AS876" s="35"/>
      <c r="AT876" s="35"/>
      <c r="AU876" s="31"/>
      <c r="AV876" s="36"/>
    </row>
    <row r="877" spans="4:48">
      <c r="D877" s="31"/>
      <c r="E877" s="31"/>
      <c r="F877" s="31"/>
      <c r="G877" s="31"/>
      <c r="H877" s="32"/>
      <c r="J877" s="33"/>
      <c r="K877" s="33"/>
      <c r="L877" s="33"/>
      <c r="X877" s="22"/>
      <c r="Y877" s="22"/>
      <c r="Z877" s="22"/>
      <c r="AA877" s="22"/>
      <c r="AF877" s="22"/>
      <c r="AG877" s="22"/>
      <c r="AH877" s="22"/>
      <c r="AI877" s="22"/>
      <c r="AN877" s="22"/>
      <c r="AO877" s="22"/>
      <c r="AP877" s="22"/>
      <c r="AQ877" s="22"/>
      <c r="AR877" s="35"/>
      <c r="AS877" s="35"/>
      <c r="AT877" s="35"/>
      <c r="AU877" s="31"/>
      <c r="AV877" s="36"/>
    </row>
    <row r="878" spans="4:48">
      <c r="D878" s="31"/>
      <c r="E878" s="31"/>
      <c r="F878" s="31"/>
      <c r="G878" s="31"/>
      <c r="H878" s="32"/>
      <c r="J878" s="33"/>
      <c r="K878" s="33"/>
      <c r="L878" s="33"/>
      <c r="X878" s="22"/>
      <c r="Y878" s="22"/>
      <c r="Z878" s="22"/>
      <c r="AA878" s="22"/>
      <c r="AF878" s="22"/>
      <c r="AG878" s="22"/>
      <c r="AH878" s="22"/>
      <c r="AI878" s="22"/>
      <c r="AN878" s="22"/>
      <c r="AO878" s="22"/>
      <c r="AP878" s="22"/>
      <c r="AQ878" s="22"/>
      <c r="AR878" s="35"/>
      <c r="AS878" s="35"/>
      <c r="AT878" s="35"/>
      <c r="AU878" s="31"/>
      <c r="AV878" s="36"/>
    </row>
    <row r="879" spans="4:48">
      <c r="D879" s="31"/>
      <c r="E879" s="31"/>
      <c r="F879" s="31"/>
      <c r="G879" s="31"/>
      <c r="H879" s="32"/>
      <c r="J879" s="33"/>
      <c r="K879" s="33"/>
      <c r="L879" s="33"/>
      <c r="X879" s="22"/>
      <c r="Y879" s="22"/>
      <c r="Z879" s="22"/>
      <c r="AA879" s="22"/>
      <c r="AF879" s="22"/>
      <c r="AG879" s="22"/>
      <c r="AH879" s="22"/>
      <c r="AI879" s="22"/>
      <c r="AN879" s="22"/>
      <c r="AO879" s="22"/>
      <c r="AP879" s="22"/>
      <c r="AQ879" s="22"/>
      <c r="AR879" s="35"/>
      <c r="AS879" s="35"/>
      <c r="AT879" s="35"/>
      <c r="AU879" s="31"/>
      <c r="AV879" s="36"/>
    </row>
    <row r="880" spans="4:48">
      <c r="D880" s="31"/>
      <c r="E880" s="31"/>
      <c r="F880" s="31"/>
      <c r="G880" s="31"/>
      <c r="H880" s="32"/>
      <c r="J880" s="33"/>
      <c r="K880" s="33"/>
      <c r="L880" s="33"/>
      <c r="X880" s="22"/>
      <c r="Y880" s="22"/>
      <c r="Z880" s="22"/>
      <c r="AA880" s="22"/>
      <c r="AF880" s="22"/>
      <c r="AG880" s="22"/>
      <c r="AH880" s="22"/>
      <c r="AI880" s="22"/>
      <c r="AN880" s="22"/>
      <c r="AO880" s="22"/>
      <c r="AP880" s="22"/>
      <c r="AQ880" s="22"/>
      <c r="AR880" s="35"/>
      <c r="AS880" s="35"/>
      <c r="AT880" s="35"/>
      <c r="AU880" s="31"/>
      <c r="AV880" s="36"/>
    </row>
    <row r="881" spans="4:48">
      <c r="D881" s="31"/>
      <c r="E881" s="31"/>
      <c r="F881" s="31"/>
      <c r="G881" s="31"/>
      <c r="H881" s="32"/>
      <c r="J881" s="33"/>
      <c r="K881" s="33"/>
      <c r="L881" s="33"/>
      <c r="X881" s="22"/>
      <c r="Y881" s="22"/>
      <c r="Z881" s="22"/>
      <c r="AA881" s="22"/>
      <c r="AF881" s="22"/>
      <c r="AG881" s="22"/>
      <c r="AH881" s="22"/>
      <c r="AI881" s="22"/>
      <c r="AN881" s="22"/>
      <c r="AO881" s="22"/>
      <c r="AP881" s="22"/>
      <c r="AQ881" s="22"/>
      <c r="AR881" s="35"/>
      <c r="AS881" s="35"/>
      <c r="AT881" s="35"/>
      <c r="AU881" s="31"/>
      <c r="AV881" s="36"/>
    </row>
    <row r="882" spans="4:48">
      <c r="D882" s="31"/>
      <c r="E882" s="31"/>
      <c r="F882" s="31"/>
      <c r="G882" s="31"/>
      <c r="H882" s="32"/>
      <c r="J882" s="33"/>
      <c r="K882" s="33"/>
      <c r="L882" s="33"/>
      <c r="X882" s="22"/>
      <c r="Y882" s="22"/>
      <c r="Z882" s="22"/>
      <c r="AA882" s="22"/>
      <c r="AF882" s="22"/>
      <c r="AG882" s="22"/>
      <c r="AH882" s="22"/>
      <c r="AI882" s="22"/>
      <c r="AN882" s="22"/>
      <c r="AO882" s="22"/>
      <c r="AP882" s="22"/>
      <c r="AQ882" s="22"/>
      <c r="AR882" s="35"/>
      <c r="AS882" s="35"/>
      <c r="AT882" s="35"/>
      <c r="AU882" s="31"/>
      <c r="AV882" s="36"/>
    </row>
    <row r="883" spans="4:48">
      <c r="D883" s="31"/>
      <c r="E883" s="31"/>
      <c r="F883" s="31"/>
      <c r="G883" s="31"/>
      <c r="H883" s="32"/>
      <c r="J883" s="33"/>
      <c r="K883" s="33"/>
      <c r="L883" s="33"/>
      <c r="X883" s="22"/>
      <c r="Y883" s="22"/>
      <c r="Z883" s="22"/>
      <c r="AA883" s="22"/>
      <c r="AF883" s="22"/>
      <c r="AG883" s="22"/>
      <c r="AH883" s="22"/>
      <c r="AI883" s="22"/>
      <c r="AN883" s="22"/>
      <c r="AO883" s="22"/>
      <c r="AP883" s="22"/>
      <c r="AQ883" s="22"/>
      <c r="AR883" s="35"/>
      <c r="AS883" s="35"/>
      <c r="AT883" s="35"/>
      <c r="AU883" s="31"/>
      <c r="AV883" s="36"/>
    </row>
    <row r="884" spans="4:48">
      <c r="D884" s="31"/>
      <c r="E884" s="31"/>
      <c r="F884" s="31"/>
      <c r="G884" s="31"/>
      <c r="H884" s="32"/>
      <c r="J884" s="33"/>
      <c r="K884" s="33"/>
      <c r="L884" s="33"/>
      <c r="X884" s="22"/>
      <c r="Y884" s="22"/>
      <c r="Z884" s="22"/>
      <c r="AA884" s="22"/>
      <c r="AF884" s="22"/>
      <c r="AG884" s="22"/>
      <c r="AH884" s="22"/>
      <c r="AI884" s="22"/>
      <c r="AN884" s="22"/>
      <c r="AO884" s="22"/>
      <c r="AP884" s="22"/>
      <c r="AQ884" s="22"/>
      <c r="AR884" s="35"/>
      <c r="AS884" s="35"/>
      <c r="AT884" s="35"/>
      <c r="AU884" s="31"/>
      <c r="AV884" s="36"/>
    </row>
    <row r="885" spans="4:48">
      <c r="D885" s="31"/>
      <c r="E885" s="31"/>
      <c r="F885" s="31"/>
      <c r="G885" s="31"/>
      <c r="H885" s="32"/>
      <c r="J885" s="33"/>
      <c r="K885" s="33"/>
      <c r="L885" s="33"/>
      <c r="X885" s="22"/>
      <c r="Y885" s="22"/>
      <c r="Z885" s="22"/>
      <c r="AA885" s="22"/>
      <c r="AF885" s="22"/>
      <c r="AG885" s="22"/>
      <c r="AH885" s="22"/>
      <c r="AI885" s="22"/>
      <c r="AN885" s="22"/>
      <c r="AO885" s="22"/>
      <c r="AP885" s="22"/>
      <c r="AQ885" s="22"/>
      <c r="AR885" s="35"/>
      <c r="AS885" s="35"/>
      <c r="AT885" s="35"/>
      <c r="AU885" s="31"/>
      <c r="AV885" s="36"/>
    </row>
    <row r="886" spans="4:48">
      <c r="D886" s="31"/>
      <c r="E886" s="31"/>
      <c r="F886" s="31"/>
      <c r="G886" s="31"/>
      <c r="H886" s="32"/>
      <c r="J886" s="33"/>
      <c r="K886" s="33"/>
      <c r="L886" s="33"/>
      <c r="X886" s="22"/>
      <c r="Y886" s="22"/>
      <c r="Z886" s="22"/>
      <c r="AA886" s="22"/>
      <c r="AF886" s="22"/>
      <c r="AG886" s="22"/>
      <c r="AH886" s="22"/>
      <c r="AI886" s="22"/>
      <c r="AN886" s="22"/>
      <c r="AO886" s="22"/>
      <c r="AP886" s="22"/>
      <c r="AQ886" s="22"/>
      <c r="AR886" s="35"/>
      <c r="AS886" s="35"/>
      <c r="AT886" s="35"/>
      <c r="AU886" s="31"/>
      <c r="AV886" s="36"/>
    </row>
    <row r="887" spans="4:48">
      <c r="D887" s="31"/>
      <c r="E887" s="31"/>
      <c r="F887" s="31"/>
      <c r="G887" s="31"/>
      <c r="H887" s="32"/>
      <c r="J887" s="33"/>
      <c r="K887" s="33"/>
      <c r="L887" s="33"/>
      <c r="X887" s="22"/>
      <c r="Y887" s="22"/>
      <c r="Z887" s="22"/>
      <c r="AA887" s="22"/>
      <c r="AF887" s="22"/>
      <c r="AG887" s="22"/>
      <c r="AH887" s="22"/>
      <c r="AI887" s="22"/>
      <c r="AN887" s="22"/>
      <c r="AO887" s="22"/>
      <c r="AP887" s="22"/>
      <c r="AQ887" s="22"/>
      <c r="AR887" s="35"/>
      <c r="AS887" s="35"/>
      <c r="AT887" s="35"/>
      <c r="AU887" s="31"/>
      <c r="AV887" s="36"/>
    </row>
    <row r="888" spans="4:48">
      <c r="D888" s="31"/>
      <c r="E888" s="31"/>
      <c r="F888" s="31"/>
      <c r="G888" s="31"/>
      <c r="H888" s="32"/>
      <c r="J888" s="33"/>
      <c r="K888" s="33"/>
      <c r="L888" s="33"/>
      <c r="X888" s="22"/>
      <c r="Y888" s="22"/>
      <c r="Z888" s="22"/>
      <c r="AA888" s="22"/>
      <c r="AF888" s="22"/>
      <c r="AG888" s="22"/>
      <c r="AH888" s="22"/>
      <c r="AI888" s="22"/>
      <c r="AN888" s="22"/>
      <c r="AO888" s="22"/>
      <c r="AP888" s="22"/>
      <c r="AQ888" s="22"/>
      <c r="AR888" s="35"/>
      <c r="AS888" s="35"/>
      <c r="AT888" s="35"/>
      <c r="AU888" s="31"/>
      <c r="AV888" s="36"/>
    </row>
    <row r="889" spans="4:48">
      <c r="D889" s="31"/>
      <c r="E889" s="31"/>
      <c r="F889" s="31"/>
      <c r="G889" s="31"/>
      <c r="H889" s="32"/>
      <c r="J889" s="33"/>
      <c r="K889" s="33"/>
      <c r="L889" s="33"/>
      <c r="X889" s="22"/>
      <c r="Y889" s="22"/>
      <c r="Z889" s="22"/>
      <c r="AA889" s="22"/>
      <c r="AF889" s="22"/>
      <c r="AG889" s="22"/>
      <c r="AH889" s="22"/>
      <c r="AI889" s="22"/>
      <c r="AN889" s="22"/>
      <c r="AO889" s="22"/>
      <c r="AP889" s="22"/>
      <c r="AQ889" s="22"/>
      <c r="AR889" s="35"/>
      <c r="AS889" s="35"/>
      <c r="AT889" s="35"/>
      <c r="AU889" s="31"/>
      <c r="AV889" s="36"/>
    </row>
    <row r="890" spans="4:48">
      <c r="D890" s="31"/>
      <c r="E890" s="31"/>
      <c r="F890" s="31"/>
      <c r="G890" s="31"/>
      <c r="H890" s="32"/>
      <c r="J890" s="33"/>
      <c r="K890" s="33"/>
      <c r="L890" s="33"/>
      <c r="X890" s="22"/>
      <c r="Y890" s="22"/>
      <c r="Z890" s="22"/>
      <c r="AA890" s="22"/>
      <c r="AF890" s="22"/>
      <c r="AG890" s="22"/>
      <c r="AH890" s="22"/>
      <c r="AI890" s="22"/>
      <c r="AN890" s="22"/>
      <c r="AO890" s="22"/>
      <c r="AP890" s="22"/>
      <c r="AQ890" s="22"/>
      <c r="AR890" s="35"/>
      <c r="AS890" s="35"/>
      <c r="AT890" s="35"/>
      <c r="AU890" s="31"/>
      <c r="AV890" s="36"/>
    </row>
    <row r="891" spans="4:48">
      <c r="D891" s="31"/>
      <c r="E891" s="31"/>
      <c r="F891" s="31"/>
      <c r="G891" s="31"/>
      <c r="H891" s="32"/>
      <c r="J891" s="33"/>
      <c r="K891" s="33"/>
      <c r="L891" s="33"/>
      <c r="X891" s="22"/>
      <c r="Y891" s="22"/>
      <c r="Z891" s="22"/>
      <c r="AA891" s="22"/>
      <c r="AF891" s="22"/>
      <c r="AG891" s="22"/>
      <c r="AH891" s="22"/>
      <c r="AI891" s="22"/>
      <c r="AN891" s="22"/>
      <c r="AO891" s="22"/>
      <c r="AP891" s="22"/>
      <c r="AQ891" s="22"/>
      <c r="AR891" s="35"/>
      <c r="AS891" s="35"/>
      <c r="AT891" s="35"/>
      <c r="AU891" s="31"/>
      <c r="AV891" s="36"/>
    </row>
    <row r="892" spans="4:48">
      <c r="D892" s="31"/>
      <c r="E892" s="31"/>
      <c r="F892" s="31"/>
      <c r="G892" s="31"/>
      <c r="H892" s="32"/>
      <c r="J892" s="33"/>
      <c r="K892" s="33"/>
      <c r="L892" s="33"/>
      <c r="X892" s="22"/>
      <c r="Y892" s="22"/>
      <c r="Z892" s="22"/>
      <c r="AA892" s="22"/>
      <c r="AF892" s="22"/>
      <c r="AG892" s="22"/>
      <c r="AH892" s="22"/>
      <c r="AI892" s="22"/>
      <c r="AN892" s="22"/>
      <c r="AO892" s="22"/>
      <c r="AP892" s="22"/>
      <c r="AQ892" s="22"/>
      <c r="AR892" s="35"/>
      <c r="AS892" s="35"/>
      <c r="AT892" s="35"/>
      <c r="AU892" s="31"/>
      <c r="AV892" s="36"/>
    </row>
    <row r="893" spans="4:48">
      <c r="D893" s="31"/>
      <c r="E893" s="31"/>
      <c r="F893" s="31"/>
      <c r="G893" s="31"/>
      <c r="H893" s="32"/>
      <c r="J893" s="33"/>
      <c r="K893" s="33"/>
      <c r="L893" s="33"/>
      <c r="X893" s="22"/>
      <c r="Y893" s="22"/>
      <c r="Z893" s="22"/>
      <c r="AA893" s="22"/>
      <c r="AF893" s="22"/>
      <c r="AG893" s="22"/>
      <c r="AH893" s="22"/>
      <c r="AI893" s="22"/>
      <c r="AN893" s="22"/>
      <c r="AO893" s="22"/>
      <c r="AP893" s="22"/>
      <c r="AQ893" s="22"/>
      <c r="AR893" s="35"/>
      <c r="AS893" s="35"/>
      <c r="AT893" s="35"/>
      <c r="AU893" s="31"/>
      <c r="AV893" s="36"/>
    </row>
    <row r="894" spans="4:48">
      <c r="D894" s="31"/>
      <c r="E894" s="31"/>
      <c r="F894" s="31"/>
      <c r="G894" s="31"/>
      <c r="H894" s="32"/>
      <c r="J894" s="33"/>
      <c r="K894" s="33"/>
      <c r="L894" s="33"/>
      <c r="X894" s="22"/>
      <c r="Y894" s="22"/>
      <c r="Z894" s="22"/>
      <c r="AA894" s="22"/>
      <c r="AF894" s="22"/>
      <c r="AG894" s="22"/>
      <c r="AH894" s="22"/>
      <c r="AI894" s="22"/>
      <c r="AN894" s="22"/>
      <c r="AO894" s="22"/>
      <c r="AP894" s="22"/>
      <c r="AQ894" s="22"/>
      <c r="AR894" s="35"/>
      <c r="AS894" s="35"/>
      <c r="AT894" s="35"/>
      <c r="AU894" s="31"/>
      <c r="AV894" s="36"/>
    </row>
    <row r="895" spans="4:48">
      <c r="D895" s="31"/>
      <c r="E895" s="31"/>
      <c r="F895" s="31"/>
      <c r="G895" s="31"/>
      <c r="H895" s="32"/>
      <c r="J895" s="33"/>
      <c r="K895" s="33"/>
      <c r="L895" s="33"/>
      <c r="X895" s="22"/>
      <c r="Y895" s="22"/>
      <c r="Z895" s="22"/>
      <c r="AA895" s="22"/>
      <c r="AF895" s="22"/>
      <c r="AG895" s="22"/>
      <c r="AH895" s="22"/>
      <c r="AI895" s="22"/>
      <c r="AN895" s="22"/>
      <c r="AO895" s="22"/>
      <c r="AP895" s="22"/>
      <c r="AQ895" s="22"/>
      <c r="AR895" s="35"/>
      <c r="AS895" s="35"/>
      <c r="AT895" s="35"/>
      <c r="AU895" s="31"/>
      <c r="AV895" s="36"/>
    </row>
    <row r="896" spans="4:48">
      <c r="D896" s="31"/>
      <c r="E896" s="31"/>
      <c r="F896" s="31"/>
      <c r="G896" s="31"/>
      <c r="H896" s="32"/>
      <c r="J896" s="33"/>
      <c r="K896" s="33"/>
      <c r="L896" s="33"/>
      <c r="X896" s="22"/>
      <c r="Y896" s="22"/>
      <c r="Z896" s="22"/>
      <c r="AA896" s="22"/>
      <c r="AF896" s="22"/>
      <c r="AG896" s="22"/>
      <c r="AH896" s="22"/>
      <c r="AI896" s="22"/>
      <c r="AN896" s="22"/>
      <c r="AO896" s="22"/>
      <c r="AP896" s="22"/>
      <c r="AQ896" s="22"/>
      <c r="AR896" s="35"/>
      <c r="AS896" s="35"/>
      <c r="AT896" s="35"/>
      <c r="AU896" s="31"/>
      <c r="AV896" s="36"/>
    </row>
    <row r="897" spans="4:48">
      <c r="D897" s="31"/>
      <c r="E897" s="31"/>
      <c r="F897" s="31"/>
      <c r="G897" s="31"/>
      <c r="H897" s="32"/>
      <c r="J897" s="33"/>
      <c r="K897" s="33"/>
      <c r="L897" s="33"/>
      <c r="X897" s="22"/>
      <c r="Y897" s="22"/>
      <c r="Z897" s="22"/>
      <c r="AA897" s="22"/>
      <c r="AF897" s="22"/>
      <c r="AG897" s="22"/>
      <c r="AH897" s="22"/>
      <c r="AI897" s="22"/>
      <c r="AN897" s="22"/>
      <c r="AO897" s="22"/>
      <c r="AP897" s="22"/>
      <c r="AQ897" s="22"/>
      <c r="AR897" s="35"/>
      <c r="AS897" s="35"/>
      <c r="AT897" s="35"/>
      <c r="AU897" s="31"/>
      <c r="AV897" s="36"/>
    </row>
    <row r="898" spans="4:48">
      <c r="D898" s="31"/>
      <c r="E898" s="31"/>
      <c r="F898" s="31"/>
      <c r="G898" s="31"/>
      <c r="H898" s="32"/>
      <c r="J898" s="33"/>
      <c r="K898" s="33"/>
      <c r="L898" s="33"/>
      <c r="X898" s="22"/>
      <c r="Y898" s="22"/>
      <c r="Z898" s="22"/>
      <c r="AA898" s="22"/>
      <c r="AF898" s="22"/>
      <c r="AG898" s="22"/>
      <c r="AH898" s="22"/>
      <c r="AI898" s="22"/>
      <c r="AN898" s="22"/>
      <c r="AO898" s="22"/>
      <c r="AP898" s="22"/>
      <c r="AQ898" s="22"/>
      <c r="AR898" s="35"/>
      <c r="AS898" s="35"/>
      <c r="AT898" s="35"/>
      <c r="AU898" s="31"/>
      <c r="AV898" s="36"/>
    </row>
    <row r="899" spans="4:48">
      <c r="D899" s="31"/>
      <c r="E899" s="31"/>
      <c r="F899" s="31"/>
      <c r="G899" s="31"/>
      <c r="H899" s="32"/>
      <c r="J899" s="33"/>
      <c r="K899" s="33"/>
      <c r="L899" s="33"/>
      <c r="X899" s="22"/>
      <c r="Y899" s="22"/>
      <c r="Z899" s="22"/>
      <c r="AA899" s="22"/>
      <c r="AF899" s="22"/>
      <c r="AG899" s="22"/>
      <c r="AH899" s="22"/>
      <c r="AI899" s="22"/>
      <c r="AN899" s="22"/>
      <c r="AO899" s="22"/>
      <c r="AP899" s="22"/>
      <c r="AQ899" s="22"/>
      <c r="AR899" s="35"/>
      <c r="AS899" s="35"/>
      <c r="AT899" s="35"/>
      <c r="AU899" s="31"/>
      <c r="AV899" s="36"/>
    </row>
    <row r="900" spans="4:48">
      <c r="D900" s="31"/>
      <c r="E900" s="31"/>
      <c r="F900" s="31"/>
      <c r="G900" s="31"/>
      <c r="H900" s="32"/>
      <c r="J900" s="33"/>
      <c r="K900" s="33"/>
      <c r="L900" s="33"/>
      <c r="X900" s="22"/>
      <c r="Y900" s="22"/>
      <c r="Z900" s="22"/>
      <c r="AA900" s="22"/>
      <c r="AF900" s="22"/>
      <c r="AG900" s="22"/>
      <c r="AH900" s="22"/>
      <c r="AI900" s="22"/>
      <c r="AN900" s="22"/>
      <c r="AO900" s="22"/>
      <c r="AP900" s="22"/>
      <c r="AQ900" s="22"/>
      <c r="AR900" s="35"/>
      <c r="AS900" s="35"/>
      <c r="AT900" s="35"/>
      <c r="AU900" s="31"/>
      <c r="AV900" s="36"/>
    </row>
    <row r="901" spans="4:48">
      <c r="D901" s="31"/>
      <c r="E901" s="31"/>
      <c r="F901" s="31"/>
      <c r="G901" s="31"/>
      <c r="H901" s="32"/>
      <c r="J901" s="33"/>
      <c r="K901" s="33"/>
      <c r="L901" s="33"/>
      <c r="X901" s="22"/>
      <c r="Y901" s="22"/>
      <c r="Z901" s="22"/>
      <c r="AA901" s="22"/>
      <c r="AF901" s="22"/>
      <c r="AG901" s="22"/>
      <c r="AH901" s="22"/>
      <c r="AI901" s="22"/>
      <c r="AN901" s="22"/>
      <c r="AO901" s="22"/>
      <c r="AP901" s="22"/>
      <c r="AQ901" s="22"/>
      <c r="AR901" s="35"/>
      <c r="AS901" s="35"/>
      <c r="AT901" s="35"/>
      <c r="AU901" s="31"/>
      <c r="AV901" s="36"/>
    </row>
    <row r="902" spans="4:48">
      <c r="D902" s="31"/>
      <c r="E902" s="31"/>
      <c r="F902" s="31"/>
      <c r="G902" s="31"/>
      <c r="H902" s="32"/>
      <c r="J902" s="33"/>
      <c r="K902" s="33"/>
      <c r="L902" s="33"/>
      <c r="X902" s="22"/>
      <c r="Y902" s="22"/>
      <c r="Z902" s="22"/>
      <c r="AA902" s="22"/>
      <c r="AF902" s="22"/>
      <c r="AG902" s="22"/>
      <c r="AH902" s="22"/>
      <c r="AI902" s="22"/>
      <c r="AN902" s="22"/>
      <c r="AO902" s="22"/>
      <c r="AP902" s="22"/>
      <c r="AQ902" s="22"/>
      <c r="AR902" s="35"/>
      <c r="AS902" s="35"/>
      <c r="AT902" s="35"/>
      <c r="AU902" s="31"/>
      <c r="AV902" s="36"/>
    </row>
    <row r="903" spans="4:48">
      <c r="D903" s="31"/>
      <c r="E903" s="31"/>
      <c r="F903" s="31"/>
      <c r="G903" s="31"/>
      <c r="H903" s="32"/>
      <c r="J903" s="33"/>
      <c r="K903" s="33"/>
      <c r="L903" s="33"/>
      <c r="X903" s="22"/>
      <c r="Y903" s="22"/>
      <c r="Z903" s="22"/>
      <c r="AA903" s="22"/>
      <c r="AF903" s="22"/>
      <c r="AG903" s="22"/>
      <c r="AH903" s="22"/>
      <c r="AI903" s="22"/>
      <c r="AN903" s="22"/>
      <c r="AO903" s="22"/>
      <c r="AP903" s="22"/>
      <c r="AQ903" s="22"/>
      <c r="AR903" s="35"/>
      <c r="AS903" s="35"/>
      <c r="AT903" s="35"/>
      <c r="AU903" s="31"/>
      <c r="AV903" s="36"/>
    </row>
    <row r="904" spans="4:48">
      <c r="D904" s="31"/>
      <c r="E904" s="31"/>
      <c r="F904" s="31"/>
      <c r="G904" s="31"/>
      <c r="H904" s="32"/>
      <c r="J904" s="33"/>
      <c r="K904" s="33"/>
      <c r="L904" s="33"/>
      <c r="X904" s="22"/>
      <c r="Y904" s="22"/>
      <c r="Z904" s="22"/>
      <c r="AA904" s="22"/>
      <c r="AF904" s="22"/>
      <c r="AG904" s="22"/>
      <c r="AH904" s="22"/>
      <c r="AI904" s="22"/>
      <c r="AN904" s="22"/>
      <c r="AO904" s="22"/>
      <c r="AP904" s="22"/>
      <c r="AQ904" s="22"/>
      <c r="AR904" s="35"/>
      <c r="AS904" s="35"/>
      <c r="AT904" s="35"/>
      <c r="AU904" s="31"/>
      <c r="AV904" s="36"/>
    </row>
    <row r="905" spans="4:48">
      <c r="D905" s="31"/>
      <c r="E905" s="31"/>
      <c r="F905" s="31"/>
      <c r="G905" s="31"/>
      <c r="H905" s="32"/>
      <c r="J905" s="33"/>
      <c r="K905" s="33"/>
      <c r="L905" s="33"/>
      <c r="X905" s="22"/>
      <c r="Y905" s="22"/>
      <c r="Z905" s="22"/>
      <c r="AA905" s="22"/>
      <c r="AF905" s="22"/>
      <c r="AG905" s="22"/>
      <c r="AH905" s="22"/>
      <c r="AI905" s="22"/>
      <c r="AN905" s="22"/>
      <c r="AO905" s="22"/>
      <c r="AP905" s="22"/>
      <c r="AQ905" s="22"/>
      <c r="AR905" s="35"/>
      <c r="AS905" s="35"/>
      <c r="AT905" s="35"/>
      <c r="AU905" s="31"/>
      <c r="AV905" s="36"/>
    </row>
    <row r="906" spans="4:48">
      <c r="D906" s="31"/>
      <c r="E906" s="31"/>
      <c r="F906" s="31"/>
      <c r="G906" s="31"/>
      <c r="H906" s="32"/>
      <c r="J906" s="33"/>
      <c r="K906" s="33"/>
      <c r="L906" s="33"/>
      <c r="X906" s="22"/>
      <c r="Y906" s="22"/>
      <c r="Z906" s="22"/>
      <c r="AA906" s="22"/>
      <c r="AF906" s="22"/>
      <c r="AG906" s="22"/>
      <c r="AH906" s="22"/>
      <c r="AI906" s="22"/>
      <c r="AN906" s="22"/>
      <c r="AO906" s="22"/>
      <c r="AP906" s="22"/>
      <c r="AQ906" s="22"/>
      <c r="AR906" s="35"/>
      <c r="AS906" s="35"/>
      <c r="AT906" s="35"/>
      <c r="AU906" s="31"/>
      <c r="AV906" s="36"/>
    </row>
    <row r="907" spans="4:48">
      <c r="D907" s="31"/>
      <c r="E907" s="31"/>
      <c r="F907" s="31"/>
      <c r="G907" s="31"/>
      <c r="H907" s="32"/>
      <c r="J907" s="33"/>
      <c r="K907" s="33"/>
      <c r="L907" s="33"/>
      <c r="X907" s="22"/>
      <c r="Y907" s="22"/>
      <c r="Z907" s="22"/>
      <c r="AA907" s="22"/>
      <c r="AF907" s="22"/>
      <c r="AG907" s="22"/>
      <c r="AH907" s="22"/>
      <c r="AI907" s="22"/>
      <c r="AN907" s="22"/>
      <c r="AO907" s="22"/>
      <c r="AP907" s="22"/>
      <c r="AQ907" s="22"/>
      <c r="AR907" s="35"/>
      <c r="AS907" s="35"/>
      <c r="AT907" s="35"/>
      <c r="AU907" s="31"/>
      <c r="AV907" s="36"/>
    </row>
    <row r="908" spans="4:48">
      <c r="D908" s="31"/>
      <c r="E908" s="31"/>
      <c r="F908" s="31"/>
      <c r="G908" s="31"/>
      <c r="H908" s="32"/>
      <c r="J908" s="33"/>
      <c r="K908" s="33"/>
      <c r="L908" s="33"/>
      <c r="X908" s="22"/>
      <c r="Y908" s="22"/>
      <c r="Z908" s="22"/>
      <c r="AA908" s="22"/>
      <c r="AF908" s="22"/>
      <c r="AG908" s="22"/>
      <c r="AH908" s="22"/>
      <c r="AI908" s="22"/>
      <c r="AN908" s="22"/>
      <c r="AO908" s="22"/>
      <c r="AP908" s="22"/>
      <c r="AQ908" s="22"/>
      <c r="AR908" s="35"/>
      <c r="AS908" s="35"/>
      <c r="AT908" s="35"/>
      <c r="AU908" s="31"/>
      <c r="AV908" s="36"/>
    </row>
    <row r="909" spans="4:48">
      <c r="D909" s="31"/>
      <c r="E909" s="31"/>
      <c r="F909" s="31"/>
      <c r="G909" s="31"/>
      <c r="H909" s="32"/>
      <c r="J909" s="33"/>
      <c r="K909" s="33"/>
      <c r="L909" s="33"/>
      <c r="X909" s="22"/>
      <c r="Y909" s="22"/>
      <c r="Z909" s="22"/>
      <c r="AA909" s="22"/>
      <c r="AF909" s="22"/>
      <c r="AG909" s="22"/>
      <c r="AH909" s="22"/>
      <c r="AI909" s="22"/>
      <c r="AN909" s="22"/>
      <c r="AO909" s="22"/>
      <c r="AP909" s="22"/>
      <c r="AQ909" s="22"/>
      <c r="AR909" s="35"/>
      <c r="AS909" s="35"/>
      <c r="AT909" s="35"/>
      <c r="AU909" s="31"/>
      <c r="AV909" s="36"/>
    </row>
    <row r="910" spans="4:48">
      <c r="D910" s="31"/>
      <c r="E910" s="31"/>
      <c r="F910" s="31"/>
      <c r="G910" s="31"/>
      <c r="H910" s="32"/>
      <c r="J910" s="33"/>
      <c r="K910" s="33"/>
      <c r="L910" s="33"/>
      <c r="X910" s="22"/>
      <c r="Y910" s="22"/>
      <c r="Z910" s="22"/>
      <c r="AA910" s="22"/>
      <c r="AF910" s="22"/>
      <c r="AG910" s="22"/>
      <c r="AH910" s="22"/>
      <c r="AI910" s="22"/>
      <c r="AN910" s="22"/>
      <c r="AO910" s="22"/>
      <c r="AP910" s="22"/>
      <c r="AQ910" s="22"/>
      <c r="AR910" s="35"/>
      <c r="AS910" s="35"/>
      <c r="AT910" s="35"/>
      <c r="AU910" s="31"/>
      <c r="AV910" s="36"/>
    </row>
    <row r="911" spans="4:48">
      <c r="D911" s="31"/>
      <c r="E911" s="31"/>
      <c r="F911" s="31"/>
      <c r="G911" s="31"/>
      <c r="H911" s="32"/>
      <c r="J911" s="33"/>
      <c r="K911" s="33"/>
      <c r="L911" s="33"/>
      <c r="X911" s="22"/>
      <c r="Y911" s="22"/>
      <c r="Z911" s="22"/>
      <c r="AA911" s="22"/>
      <c r="AF911" s="22"/>
      <c r="AG911" s="22"/>
      <c r="AH911" s="22"/>
      <c r="AI911" s="22"/>
      <c r="AN911" s="22"/>
      <c r="AO911" s="22"/>
      <c r="AP911" s="22"/>
      <c r="AQ911" s="22"/>
      <c r="AR911" s="35"/>
      <c r="AS911" s="35"/>
      <c r="AT911" s="35"/>
      <c r="AU911" s="31"/>
      <c r="AV911" s="36"/>
    </row>
    <row r="912" spans="4:48">
      <c r="D912" s="31"/>
      <c r="E912" s="31"/>
      <c r="F912" s="31"/>
      <c r="G912" s="31"/>
      <c r="H912" s="32"/>
      <c r="J912" s="33"/>
      <c r="K912" s="33"/>
      <c r="L912" s="33"/>
      <c r="X912" s="22"/>
      <c r="Y912" s="22"/>
      <c r="Z912" s="22"/>
      <c r="AA912" s="22"/>
      <c r="AF912" s="22"/>
      <c r="AG912" s="22"/>
      <c r="AH912" s="22"/>
      <c r="AI912" s="22"/>
      <c r="AN912" s="22"/>
      <c r="AO912" s="22"/>
      <c r="AP912" s="22"/>
      <c r="AQ912" s="22"/>
      <c r="AR912" s="35"/>
      <c r="AS912" s="35"/>
      <c r="AT912" s="35"/>
      <c r="AU912" s="31"/>
      <c r="AV912" s="36"/>
    </row>
    <row r="913" spans="4:48">
      <c r="D913" s="31"/>
      <c r="E913" s="31"/>
      <c r="F913" s="31"/>
      <c r="G913" s="31"/>
      <c r="H913" s="32"/>
      <c r="J913" s="33"/>
      <c r="K913" s="33"/>
      <c r="L913" s="33"/>
      <c r="X913" s="22"/>
      <c r="Y913" s="22"/>
      <c r="Z913" s="22"/>
      <c r="AA913" s="22"/>
      <c r="AF913" s="22"/>
      <c r="AG913" s="22"/>
      <c r="AH913" s="22"/>
      <c r="AI913" s="22"/>
      <c r="AN913" s="22"/>
      <c r="AO913" s="22"/>
      <c r="AP913" s="22"/>
      <c r="AQ913" s="22"/>
      <c r="AR913" s="35"/>
      <c r="AS913" s="35"/>
      <c r="AT913" s="35"/>
      <c r="AU913" s="31"/>
      <c r="AV913" s="36"/>
    </row>
    <row r="914" spans="4:48">
      <c r="D914" s="31"/>
      <c r="E914" s="31"/>
      <c r="F914" s="31"/>
      <c r="G914" s="31"/>
      <c r="H914" s="32"/>
      <c r="J914" s="33"/>
      <c r="K914" s="33"/>
      <c r="L914" s="33"/>
      <c r="X914" s="22"/>
      <c r="Y914" s="22"/>
      <c r="Z914" s="22"/>
      <c r="AA914" s="22"/>
      <c r="AF914" s="22"/>
      <c r="AG914" s="22"/>
      <c r="AH914" s="22"/>
      <c r="AI914" s="22"/>
      <c r="AN914" s="22"/>
      <c r="AO914" s="22"/>
      <c r="AP914" s="22"/>
      <c r="AQ914" s="22"/>
      <c r="AR914" s="35"/>
      <c r="AS914" s="35"/>
      <c r="AT914" s="35"/>
      <c r="AU914" s="31"/>
      <c r="AV914" s="36"/>
    </row>
    <row r="915" spans="4:48">
      <c r="D915" s="31"/>
      <c r="E915" s="31"/>
      <c r="F915" s="31"/>
      <c r="G915" s="31"/>
      <c r="H915" s="32"/>
      <c r="J915" s="33"/>
      <c r="K915" s="33"/>
      <c r="L915" s="33"/>
      <c r="X915" s="22"/>
      <c r="Y915" s="22"/>
      <c r="Z915" s="22"/>
      <c r="AA915" s="22"/>
      <c r="AF915" s="22"/>
      <c r="AG915" s="22"/>
      <c r="AH915" s="22"/>
      <c r="AI915" s="22"/>
      <c r="AN915" s="22"/>
      <c r="AO915" s="22"/>
      <c r="AP915" s="22"/>
      <c r="AQ915" s="22"/>
      <c r="AR915" s="35"/>
      <c r="AS915" s="35"/>
      <c r="AT915" s="35"/>
      <c r="AU915" s="31"/>
      <c r="AV915" s="36"/>
    </row>
    <row r="916" spans="4:48">
      <c r="D916" s="31"/>
      <c r="E916" s="31"/>
      <c r="F916" s="31"/>
      <c r="G916" s="31"/>
      <c r="H916" s="32"/>
      <c r="J916" s="33"/>
      <c r="K916" s="33"/>
      <c r="L916" s="33"/>
      <c r="X916" s="22"/>
      <c r="Y916" s="22"/>
      <c r="Z916" s="22"/>
      <c r="AA916" s="22"/>
      <c r="AF916" s="22"/>
      <c r="AG916" s="22"/>
      <c r="AH916" s="22"/>
      <c r="AI916" s="22"/>
      <c r="AN916" s="22"/>
      <c r="AO916" s="22"/>
      <c r="AP916" s="22"/>
      <c r="AQ916" s="22"/>
      <c r="AR916" s="35"/>
      <c r="AS916" s="35"/>
      <c r="AT916" s="35"/>
      <c r="AU916" s="31"/>
      <c r="AV916" s="36"/>
    </row>
    <row r="917" spans="4:48">
      <c r="D917" s="31"/>
      <c r="E917" s="31"/>
      <c r="F917" s="31"/>
      <c r="G917" s="31"/>
      <c r="H917" s="32"/>
      <c r="J917" s="33"/>
      <c r="K917" s="33"/>
      <c r="L917" s="33"/>
      <c r="X917" s="22"/>
      <c r="Y917" s="22"/>
      <c r="Z917" s="22"/>
      <c r="AA917" s="22"/>
      <c r="AF917" s="22"/>
      <c r="AG917" s="22"/>
      <c r="AH917" s="22"/>
      <c r="AI917" s="22"/>
      <c r="AN917" s="22"/>
      <c r="AO917" s="22"/>
      <c r="AP917" s="22"/>
      <c r="AQ917" s="22"/>
      <c r="AR917" s="35"/>
      <c r="AS917" s="35"/>
      <c r="AT917" s="35"/>
      <c r="AU917" s="31"/>
      <c r="AV917" s="36"/>
    </row>
    <row r="918" spans="4:48">
      <c r="D918" s="31"/>
      <c r="E918" s="31"/>
      <c r="F918" s="31"/>
      <c r="G918" s="31"/>
      <c r="H918" s="32"/>
      <c r="J918" s="33"/>
      <c r="K918" s="33"/>
      <c r="L918" s="33"/>
      <c r="X918" s="22"/>
      <c r="Y918" s="22"/>
      <c r="Z918" s="22"/>
      <c r="AA918" s="22"/>
      <c r="AF918" s="22"/>
      <c r="AG918" s="22"/>
      <c r="AH918" s="22"/>
      <c r="AI918" s="22"/>
      <c r="AN918" s="22"/>
      <c r="AO918" s="22"/>
      <c r="AP918" s="22"/>
      <c r="AQ918" s="22"/>
      <c r="AR918" s="35"/>
      <c r="AS918" s="35"/>
      <c r="AT918" s="35"/>
      <c r="AU918" s="31"/>
      <c r="AV918" s="36"/>
    </row>
    <row r="919" spans="4:48">
      <c r="D919" s="31"/>
      <c r="E919" s="31"/>
      <c r="F919" s="31"/>
      <c r="G919" s="31"/>
      <c r="H919" s="32"/>
      <c r="J919" s="33"/>
      <c r="K919" s="33"/>
      <c r="L919" s="33"/>
      <c r="X919" s="22"/>
      <c r="Y919" s="22"/>
      <c r="Z919" s="22"/>
      <c r="AA919" s="22"/>
      <c r="AF919" s="22"/>
      <c r="AG919" s="22"/>
      <c r="AH919" s="22"/>
      <c r="AI919" s="22"/>
      <c r="AN919" s="22"/>
      <c r="AO919" s="22"/>
      <c r="AP919" s="22"/>
      <c r="AQ919" s="22"/>
      <c r="AR919" s="35"/>
      <c r="AS919" s="35"/>
      <c r="AT919" s="35"/>
      <c r="AU919" s="31"/>
      <c r="AV919" s="36"/>
    </row>
    <row r="920" spans="4:48">
      <c r="D920" s="31"/>
      <c r="E920" s="31"/>
      <c r="F920" s="31"/>
      <c r="G920" s="31"/>
      <c r="H920" s="32"/>
      <c r="J920" s="33"/>
      <c r="K920" s="33"/>
      <c r="L920" s="33"/>
      <c r="X920" s="22"/>
      <c r="Y920" s="22"/>
      <c r="Z920" s="22"/>
      <c r="AA920" s="22"/>
      <c r="AF920" s="22"/>
      <c r="AG920" s="22"/>
      <c r="AH920" s="22"/>
      <c r="AI920" s="22"/>
      <c r="AN920" s="22"/>
      <c r="AO920" s="22"/>
      <c r="AP920" s="22"/>
      <c r="AQ920" s="22"/>
      <c r="AR920" s="35"/>
      <c r="AS920" s="35"/>
      <c r="AT920" s="35"/>
      <c r="AU920" s="31"/>
      <c r="AV920" s="36"/>
    </row>
    <row r="921" spans="4:48">
      <c r="D921" s="31"/>
      <c r="E921" s="31"/>
      <c r="F921" s="31"/>
      <c r="G921" s="31"/>
      <c r="H921" s="32"/>
      <c r="J921" s="33"/>
      <c r="K921" s="33"/>
      <c r="L921" s="33"/>
      <c r="X921" s="22"/>
      <c r="Y921" s="22"/>
      <c r="Z921" s="22"/>
      <c r="AA921" s="22"/>
      <c r="AF921" s="22"/>
      <c r="AG921" s="22"/>
      <c r="AH921" s="22"/>
      <c r="AI921" s="22"/>
      <c r="AN921" s="22"/>
      <c r="AO921" s="22"/>
      <c r="AP921" s="22"/>
      <c r="AQ921" s="22"/>
      <c r="AR921" s="35"/>
      <c r="AS921" s="35"/>
      <c r="AT921" s="35"/>
      <c r="AU921" s="31"/>
      <c r="AV921" s="36"/>
    </row>
    <row r="922" spans="4:48">
      <c r="D922" s="31"/>
      <c r="E922" s="31"/>
      <c r="F922" s="31"/>
      <c r="G922" s="31"/>
      <c r="H922" s="32"/>
      <c r="J922" s="33"/>
      <c r="K922" s="33"/>
      <c r="L922" s="33"/>
      <c r="X922" s="22"/>
      <c r="Y922" s="22"/>
      <c r="Z922" s="22"/>
      <c r="AA922" s="22"/>
      <c r="AF922" s="22"/>
      <c r="AG922" s="22"/>
      <c r="AH922" s="22"/>
      <c r="AI922" s="22"/>
      <c r="AN922" s="22"/>
      <c r="AO922" s="22"/>
      <c r="AP922" s="22"/>
      <c r="AQ922" s="22"/>
      <c r="AR922" s="35"/>
      <c r="AS922" s="35"/>
      <c r="AT922" s="35"/>
      <c r="AU922" s="31"/>
      <c r="AV922" s="36"/>
    </row>
    <row r="923" spans="4:48">
      <c r="D923" s="31"/>
      <c r="E923" s="31"/>
      <c r="F923" s="31"/>
      <c r="G923" s="31"/>
      <c r="H923" s="32"/>
      <c r="J923" s="33"/>
      <c r="K923" s="33"/>
      <c r="L923" s="33"/>
      <c r="X923" s="22"/>
      <c r="Y923" s="22"/>
      <c r="Z923" s="22"/>
      <c r="AA923" s="22"/>
      <c r="AF923" s="22"/>
      <c r="AG923" s="22"/>
      <c r="AH923" s="22"/>
      <c r="AI923" s="22"/>
      <c r="AN923" s="22"/>
      <c r="AO923" s="22"/>
      <c r="AP923" s="22"/>
      <c r="AQ923" s="22"/>
      <c r="AR923" s="35"/>
      <c r="AS923" s="35"/>
      <c r="AT923" s="35"/>
      <c r="AU923" s="31"/>
      <c r="AV923" s="36"/>
    </row>
    <row r="924" spans="4:48">
      <c r="D924" s="31"/>
      <c r="E924" s="31"/>
      <c r="F924" s="31"/>
      <c r="G924" s="31"/>
      <c r="H924" s="32"/>
      <c r="J924" s="33"/>
      <c r="K924" s="33"/>
      <c r="L924" s="33"/>
      <c r="X924" s="22"/>
      <c r="Y924" s="22"/>
      <c r="Z924" s="22"/>
      <c r="AA924" s="22"/>
      <c r="AF924" s="22"/>
      <c r="AG924" s="22"/>
      <c r="AH924" s="22"/>
      <c r="AI924" s="22"/>
      <c r="AN924" s="22"/>
      <c r="AO924" s="22"/>
      <c r="AP924" s="22"/>
      <c r="AQ924" s="22"/>
      <c r="AR924" s="35"/>
      <c r="AS924" s="35"/>
      <c r="AT924" s="35"/>
      <c r="AU924" s="31"/>
      <c r="AV924" s="36"/>
    </row>
    <row r="925" spans="4:48">
      <c r="D925" s="31"/>
      <c r="E925" s="31"/>
      <c r="F925" s="31"/>
      <c r="G925" s="31"/>
      <c r="H925" s="32"/>
      <c r="J925" s="33"/>
      <c r="K925" s="33"/>
      <c r="L925" s="33"/>
      <c r="X925" s="22"/>
      <c r="Y925" s="22"/>
      <c r="Z925" s="22"/>
      <c r="AA925" s="22"/>
      <c r="AF925" s="22"/>
      <c r="AG925" s="22"/>
      <c r="AH925" s="22"/>
      <c r="AI925" s="22"/>
      <c r="AN925" s="22"/>
      <c r="AO925" s="22"/>
      <c r="AP925" s="22"/>
      <c r="AQ925" s="22"/>
      <c r="AR925" s="35"/>
      <c r="AS925" s="35"/>
      <c r="AT925" s="35"/>
      <c r="AU925" s="31"/>
      <c r="AV925" s="36"/>
    </row>
    <row r="926" spans="4:48">
      <c r="D926" s="31"/>
      <c r="E926" s="31"/>
      <c r="F926" s="31"/>
      <c r="G926" s="31"/>
      <c r="H926" s="32"/>
      <c r="J926" s="33"/>
      <c r="K926" s="33"/>
      <c r="L926" s="33"/>
      <c r="X926" s="22"/>
      <c r="Y926" s="22"/>
      <c r="Z926" s="22"/>
      <c r="AA926" s="22"/>
      <c r="AF926" s="22"/>
      <c r="AG926" s="22"/>
      <c r="AH926" s="22"/>
      <c r="AI926" s="22"/>
      <c r="AN926" s="22"/>
      <c r="AO926" s="22"/>
      <c r="AP926" s="22"/>
      <c r="AQ926" s="22"/>
      <c r="AR926" s="35"/>
      <c r="AS926" s="35"/>
      <c r="AT926" s="35"/>
      <c r="AU926" s="31"/>
      <c r="AV926" s="36"/>
    </row>
    <row r="927" spans="4:48">
      <c r="D927" s="31"/>
      <c r="E927" s="31"/>
      <c r="F927" s="31"/>
      <c r="G927" s="31"/>
      <c r="H927" s="32"/>
      <c r="J927" s="33"/>
      <c r="K927" s="33"/>
      <c r="L927" s="33"/>
      <c r="X927" s="22"/>
      <c r="Y927" s="22"/>
      <c r="Z927" s="22"/>
      <c r="AA927" s="22"/>
      <c r="AF927" s="22"/>
      <c r="AG927" s="22"/>
      <c r="AH927" s="22"/>
      <c r="AI927" s="22"/>
      <c r="AN927" s="22"/>
      <c r="AO927" s="22"/>
      <c r="AP927" s="22"/>
      <c r="AQ927" s="22"/>
      <c r="AR927" s="35"/>
      <c r="AS927" s="35"/>
      <c r="AT927" s="35"/>
      <c r="AU927" s="31"/>
      <c r="AV927" s="36"/>
    </row>
    <row r="928" spans="4:48">
      <c r="D928" s="31"/>
      <c r="E928" s="31"/>
      <c r="F928" s="31"/>
      <c r="G928" s="31"/>
      <c r="H928" s="32"/>
      <c r="J928" s="33"/>
      <c r="K928" s="33"/>
      <c r="L928" s="33"/>
      <c r="X928" s="22"/>
      <c r="Y928" s="22"/>
      <c r="Z928" s="22"/>
      <c r="AA928" s="22"/>
      <c r="AF928" s="22"/>
      <c r="AG928" s="22"/>
      <c r="AH928" s="22"/>
      <c r="AI928" s="22"/>
      <c r="AN928" s="22"/>
      <c r="AO928" s="22"/>
      <c r="AP928" s="22"/>
      <c r="AQ928" s="22"/>
      <c r="AR928" s="35"/>
      <c r="AS928" s="35"/>
      <c r="AT928" s="35"/>
      <c r="AU928" s="31"/>
      <c r="AV928" s="36"/>
    </row>
    <row r="929" spans="4:48">
      <c r="D929" s="31"/>
      <c r="E929" s="31"/>
      <c r="F929" s="31"/>
      <c r="G929" s="31"/>
      <c r="H929" s="32"/>
      <c r="J929" s="33"/>
      <c r="K929" s="33"/>
      <c r="L929" s="33"/>
      <c r="X929" s="22"/>
      <c r="Y929" s="22"/>
      <c r="Z929" s="22"/>
      <c r="AA929" s="22"/>
      <c r="AF929" s="22"/>
      <c r="AG929" s="22"/>
      <c r="AH929" s="22"/>
      <c r="AI929" s="22"/>
      <c r="AN929" s="22"/>
      <c r="AO929" s="22"/>
      <c r="AP929" s="22"/>
      <c r="AQ929" s="22"/>
      <c r="AR929" s="35"/>
      <c r="AS929" s="35"/>
      <c r="AT929" s="35"/>
      <c r="AU929" s="31"/>
      <c r="AV929" s="36"/>
    </row>
    <row r="930" spans="4:48">
      <c r="D930" s="31"/>
      <c r="E930" s="31"/>
      <c r="F930" s="31"/>
      <c r="G930" s="31"/>
      <c r="H930" s="32"/>
      <c r="J930" s="33"/>
      <c r="K930" s="33"/>
      <c r="L930" s="33"/>
      <c r="X930" s="22"/>
      <c r="Y930" s="22"/>
      <c r="Z930" s="22"/>
      <c r="AA930" s="22"/>
      <c r="AF930" s="22"/>
      <c r="AG930" s="22"/>
      <c r="AH930" s="22"/>
      <c r="AI930" s="22"/>
      <c r="AN930" s="22"/>
      <c r="AO930" s="22"/>
      <c r="AP930" s="22"/>
      <c r="AQ930" s="22"/>
      <c r="AR930" s="35"/>
      <c r="AS930" s="35"/>
      <c r="AT930" s="35"/>
      <c r="AU930" s="31"/>
      <c r="AV930" s="36"/>
    </row>
    <row r="931" spans="4:48">
      <c r="D931" s="31"/>
      <c r="E931" s="31"/>
      <c r="F931" s="31"/>
      <c r="G931" s="31"/>
      <c r="H931" s="32"/>
      <c r="J931" s="33"/>
      <c r="K931" s="33"/>
      <c r="L931" s="33"/>
      <c r="X931" s="22"/>
      <c r="Y931" s="22"/>
      <c r="Z931" s="22"/>
      <c r="AA931" s="22"/>
      <c r="AF931" s="22"/>
      <c r="AG931" s="22"/>
      <c r="AH931" s="22"/>
      <c r="AI931" s="22"/>
      <c r="AN931" s="22"/>
      <c r="AO931" s="22"/>
      <c r="AP931" s="22"/>
      <c r="AQ931" s="22"/>
      <c r="AR931" s="35"/>
      <c r="AS931" s="35"/>
      <c r="AT931" s="35"/>
      <c r="AU931" s="31"/>
      <c r="AV931" s="36"/>
    </row>
    <row r="932" spans="4:48">
      <c r="D932" s="31"/>
      <c r="E932" s="31"/>
      <c r="F932" s="31"/>
      <c r="G932" s="31"/>
      <c r="H932" s="32"/>
      <c r="J932" s="33"/>
      <c r="K932" s="33"/>
      <c r="L932" s="33"/>
      <c r="X932" s="22"/>
      <c r="Y932" s="22"/>
      <c r="Z932" s="22"/>
      <c r="AA932" s="22"/>
      <c r="AF932" s="22"/>
      <c r="AG932" s="22"/>
      <c r="AH932" s="22"/>
      <c r="AI932" s="22"/>
      <c r="AN932" s="22"/>
      <c r="AO932" s="22"/>
      <c r="AP932" s="22"/>
      <c r="AQ932" s="22"/>
      <c r="AR932" s="35"/>
      <c r="AS932" s="35"/>
      <c r="AT932" s="35"/>
      <c r="AU932" s="31"/>
      <c r="AV932" s="36"/>
    </row>
    <row r="933" spans="4:48">
      <c r="D933" s="31"/>
      <c r="E933" s="31"/>
      <c r="F933" s="31"/>
      <c r="G933" s="31"/>
      <c r="H933" s="32"/>
      <c r="J933" s="33"/>
      <c r="K933" s="33"/>
      <c r="L933" s="33"/>
      <c r="X933" s="22"/>
      <c r="Y933" s="22"/>
      <c r="Z933" s="22"/>
      <c r="AA933" s="22"/>
      <c r="AF933" s="22"/>
      <c r="AG933" s="22"/>
      <c r="AH933" s="22"/>
      <c r="AI933" s="22"/>
      <c r="AN933" s="22"/>
      <c r="AO933" s="22"/>
      <c r="AP933" s="22"/>
      <c r="AQ933" s="22"/>
      <c r="AR933" s="35"/>
      <c r="AS933" s="35"/>
      <c r="AT933" s="35"/>
      <c r="AU933" s="31"/>
      <c r="AV933" s="36"/>
    </row>
    <row r="934" spans="4:48">
      <c r="D934" s="31"/>
      <c r="E934" s="31"/>
      <c r="F934" s="31"/>
      <c r="G934" s="31"/>
      <c r="H934" s="32"/>
      <c r="J934" s="33"/>
      <c r="K934" s="33"/>
      <c r="L934" s="33"/>
      <c r="X934" s="22"/>
      <c r="Y934" s="22"/>
      <c r="Z934" s="22"/>
      <c r="AA934" s="22"/>
      <c r="AF934" s="22"/>
      <c r="AG934" s="22"/>
      <c r="AH934" s="22"/>
      <c r="AI934" s="22"/>
      <c r="AN934" s="22"/>
      <c r="AO934" s="22"/>
      <c r="AP934" s="22"/>
      <c r="AQ934" s="22"/>
      <c r="AR934" s="35"/>
      <c r="AS934" s="35"/>
      <c r="AT934" s="35"/>
      <c r="AU934" s="31"/>
      <c r="AV934" s="36"/>
    </row>
    <row r="935" spans="4:48">
      <c r="D935" s="31"/>
      <c r="E935" s="31"/>
      <c r="F935" s="31"/>
      <c r="G935" s="31"/>
      <c r="H935" s="32"/>
      <c r="J935" s="33"/>
      <c r="K935" s="33"/>
      <c r="L935" s="33"/>
      <c r="X935" s="22"/>
      <c r="Y935" s="22"/>
      <c r="Z935" s="22"/>
      <c r="AA935" s="22"/>
      <c r="AF935" s="22"/>
      <c r="AG935" s="22"/>
      <c r="AH935" s="22"/>
      <c r="AI935" s="22"/>
      <c r="AN935" s="22"/>
      <c r="AO935" s="22"/>
      <c r="AP935" s="22"/>
      <c r="AQ935" s="22"/>
      <c r="AR935" s="35"/>
      <c r="AS935" s="35"/>
      <c r="AT935" s="35"/>
      <c r="AU935" s="31"/>
      <c r="AV935" s="36"/>
    </row>
    <row r="936" spans="4:48">
      <c r="D936" s="31"/>
      <c r="E936" s="31"/>
      <c r="F936" s="31"/>
      <c r="G936" s="31"/>
      <c r="H936" s="32"/>
      <c r="J936" s="33"/>
      <c r="K936" s="33"/>
      <c r="L936" s="33"/>
      <c r="X936" s="22"/>
      <c r="Y936" s="22"/>
      <c r="Z936" s="22"/>
      <c r="AA936" s="22"/>
      <c r="AF936" s="22"/>
      <c r="AG936" s="22"/>
      <c r="AH936" s="22"/>
      <c r="AI936" s="22"/>
      <c r="AN936" s="22"/>
      <c r="AO936" s="22"/>
      <c r="AP936" s="22"/>
      <c r="AQ936" s="22"/>
      <c r="AR936" s="35"/>
      <c r="AS936" s="35"/>
      <c r="AT936" s="35"/>
      <c r="AU936" s="31"/>
      <c r="AV936" s="36"/>
    </row>
    <row r="937" spans="4:48">
      <c r="D937" s="31"/>
      <c r="E937" s="31"/>
      <c r="F937" s="31"/>
      <c r="G937" s="31"/>
      <c r="H937" s="32"/>
      <c r="J937" s="33"/>
      <c r="K937" s="33"/>
      <c r="L937" s="33"/>
      <c r="X937" s="22"/>
      <c r="Y937" s="22"/>
      <c r="Z937" s="22"/>
      <c r="AA937" s="22"/>
      <c r="AF937" s="22"/>
      <c r="AG937" s="22"/>
      <c r="AH937" s="22"/>
      <c r="AI937" s="22"/>
      <c r="AN937" s="22"/>
      <c r="AO937" s="22"/>
      <c r="AP937" s="22"/>
      <c r="AQ937" s="22"/>
      <c r="AR937" s="35"/>
      <c r="AS937" s="35"/>
      <c r="AT937" s="35"/>
      <c r="AU937" s="31"/>
      <c r="AV937" s="36"/>
    </row>
    <row r="938" spans="4:48">
      <c r="D938" s="31"/>
      <c r="E938" s="31"/>
      <c r="F938" s="31"/>
      <c r="G938" s="31"/>
      <c r="H938" s="32"/>
      <c r="J938" s="33"/>
      <c r="K938" s="33"/>
      <c r="L938" s="33"/>
      <c r="X938" s="22"/>
      <c r="Y938" s="22"/>
      <c r="Z938" s="22"/>
      <c r="AA938" s="22"/>
      <c r="AF938" s="22"/>
      <c r="AG938" s="22"/>
      <c r="AH938" s="22"/>
      <c r="AI938" s="22"/>
      <c r="AN938" s="22"/>
      <c r="AO938" s="22"/>
      <c r="AP938" s="22"/>
      <c r="AQ938" s="22"/>
      <c r="AR938" s="35"/>
      <c r="AS938" s="35"/>
      <c r="AT938" s="35"/>
      <c r="AU938" s="31"/>
      <c r="AV938" s="36"/>
    </row>
    <row r="939" spans="4:48">
      <c r="D939" s="31"/>
      <c r="E939" s="31"/>
      <c r="F939" s="31"/>
      <c r="G939" s="31"/>
      <c r="H939" s="32"/>
      <c r="J939" s="33"/>
      <c r="K939" s="33"/>
      <c r="L939" s="33"/>
      <c r="X939" s="22"/>
      <c r="Y939" s="22"/>
      <c r="Z939" s="22"/>
      <c r="AA939" s="22"/>
      <c r="AF939" s="22"/>
      <c r="AG939" s="22"/>
      <c r="AH939" s="22"/>
      <c r="AI939" s="22"/>
      <c r="AN939" s="22"/>
      <c r="AO939" s="22"/>
      <c r="AP939" s="22"/>
      <c r="AQ939" s="22"/>
      <c r="AR939" s="35"/>
      <c r="AS939" s="35"/>
      <c r="AT939" s="35"/>
      <c r="AU939" s="31"/>
      <c r="AV939" s="36"/>
    </row>
    <row r="940" spans="4:48">
      <c r="D940" s="31"/>
      <c r="E940" s="31"/>
      <c r="F940" s="31"/>
      <c r="G940" s="31"/>
      <c r="H940" s="32"/>
      <c r="J940" s="33"/>
      <c r="K940" s="33"/>
      <c r="L940" s="33"/>
      <c r="X940" s="22"/>
      <c r="Y940" s="22"/>
      <c r="Z940" s="22"/>
      <c r="AA940" s="22"/>
      <c r="AF940" s="22"/>
      <c r="AG940" s="22"/>
      <c r="AH940" s="22"/>
      <c r="AI940" s="22"/>
      <c r="AN940" s="22"/>
      <c r="AO940" s="22"/>
      <c r="AP940" s="22"/>
      <c r="AQ940" s="22"/>
      <c r="AR940" s="35"/>
      <c r="AS940" s="35"/>
      <c r="AT940" s="35"/>
      <c r="AU940" s="31"/>
      <c r="AV940" s="36"/>
    </row>
    <row r="941" spans="4:48">
      <c r="D941" s="31"/>
      <c r="E941" s="31"/>
      <c r="F941" s="31"/>
      <c r="G941" s="31"/>
      <c r="H941" s="32"/>
      <c r="J941" s="33"/>
      <c r="K941" s="33"/>
      <c r="L941" s="33"/>
      <c r="X941" s="22"/>
      <c r="Y941" s="22"/>
      <c r="Z941" s="22"/>
      <c r="AA941" s="22"/>
      <c r="AF941" s="22"/>
      <c r="AG941" s="22"/>
      <c r="AH941" s="22"/>
      <c r="AI941" s="22"/>
      <c r="AN941" s="22"/>
      <c r="AO941" s="22"/>
      <c r="AP941" s="22"/>
      <c r="AQ941" s="22"/>
      <c r="AR941" s="35"/>
      <c r="AS941" s="35"/>
      <c r="AT941" s="35"/>
      <c r="AU941" s="31"/>
      <c r="AV941" s="36"/>
    </row>
    <row r="942" spans="4:48">
      <c r="D942" s="31"/>
      <c r="E942" s="31"/>
      <c r="F942" s="31"/>
      <c r="G942" s="31"/>
      <c r="H942" s="32"/>
      <c r="J942" s="33"/>
      <c r="K942" s="33"/>
      <c r="L942" s="33"/>
      <c r="X942" s="22"/>
      <c r="Y942" s="22"/>
      <c r="Z942" s="22"/>
      <c r="AA942" s="22"/>
      <c r="AF942" s="22"/>
      <c r="AG942" s="22"/>
      <c r="AH942" s="22"/>
      <c r="AI942" s="22"/>
      <c r="AN942" s="22"/>
      <c r="AO942" s="22"/>
      <c r="AP942" s="22"/>
      <c r="AQ942" s="22"/>
      <c r="AR942" s="35"/>
      <c r="AS942" s="35"/>
      <c r="AT942" s="35"/>
      <c r="AU942" s="31"/>
      <c r="AV942" s="36"/>
    </row>
    <row r="943" spans="4:48">
      <c r="D943" s="31"/>
      <c r="E943" s="31"/>
      <c r="F943" s="31"/>
      <c r="G943" s="31"/>
      <c r="H943" s="32"/>
      <c r="J943" s="33"/>
      <c r="K943" s="33"/>
      <c r="L943" s="33"/>
      <c r="X943" s="22"/>
      <c r="Y943" s="22"/>
      <c r="Z943" s="22"/>
      <c r="AA943" s="22"/>
      <c r="AF943" s="22"/>
      <c r="AG943" s="22"/>
      <c r="AH943" s="22"/>
      <c r="AI943" s="22"/>
      <c r="AN943" s="22"/>
      <c r="AO943" s="22"/>
      <c r="AP943" s="22"/>
      <c r="AQ943" s="22"/>
      <c r="AR943" s="35"/>
      <c r="AS943" s="35"/>
      <c r="AT943" s="35"/>
      <c r="AU943" s="31"/>
      <c r="AV943" s="36"/>
    </row>
    <row r="944" spans="4:48">
      <c r="D944" s="31"/>
      <c r="E944" s="31"/>
      <c r="F944" s="31"/>
      <c r="G944" s="31"/>
      <c r="H944" s="32"/>
      <c r="J944" s="33"/>
      <c r="K944" s="33"/>
      <c r="L944" s="33"/>
      <c r="X944" s="22"/>
      <c r="Y944" s="22"/>
      <c r="Z944" s="22"/>
      <c r="AA944" s="22"/>
      <c r="AF944" s="22"/>
      <c r="AG944" s="22"/>
      <c r="AH944" s="22"/>
      <c r="AI944" s="22"/>
      <c r="AN944" s="22"/>
      <c r="AO944" s="22"/>
      <c r="AP944" s="22"/>
      <c r="AQ944" s="22"/>
      <c r="AR944" s="35"/>
      <c r="AS944" s="35"/>
      <c r="AT944" s="35"/>
      <c r="AU944" s="31"/>
      <c r="AV944" s="36"/>
    </row>
    <row r="945" spans="4:48">
      <c r="D945" s="31"/>
      <c r="E945" s="31"/>
      <c r="F945" s="31"/>
      <c r="G945" s="31"/>
      <c r="H945" s="32"/>
      <c r="J945" s="33"/>
      <c r="K945" s="33"/>
      <c r="L945" s="33"/>
      <c r="X945" s="22"/>
      <c r="Y945" s="22"/>
      <c r="Z945" s="22"/>
      <c r="AA945" s="22"/>
      <c r="AF945" s="22"/>
      <c r="AG945" s="22"/>
      <c r="AH945" s="22"/>
      <c r="AI945" s="22"/>
      <c r="AN945" s="22"/>
      <c r="AO945" s="22"/>
      <c r="AP945" s="22"/>
      <c r="AQ945" s="22"/>
      <c r="AR945" s="35"/>
      <c r="AS945" s="35"/>
      <c r="AT945" s="35"/>
      <c r="AU945" s="31"/>
      <c r="AV945" s="36"/>
    </row>
    <row r="946" spans="4:48">
      <c r="D946" s="31"/>
      <c r="E946" s="31"/>
      <c r="F946" s="31"/>
      <c r="G946" s="31"/>
      <c r="H946" s="32"/>
      <c r="J946" s="33"/>
      <c r="K946" s="33"/>
      <c r="L946" s="33"/>
      <c r="X946" s="22"/>
      <c r="Y946" s="22"/>
      <c r="Z946" s="22"/>
      <c r="AA946" s="22"/>
      <c r="AF946" s="22"/>
      <c r="AG946" s="22"/>
      <c r="AH946" s="22"/>
      <c r="AI946" s="22"/>
      <c r="AN946" s="22"/>
      <c r="AO946" s="22"/>
      <c r="AP946" s="22"/>
      <c r="AQ946" s="22"/>
      <c r="AR946" s="35"/>
      <c r="AS946" s="35"/>
      <c r="AT946" s="35"/>
      <c r="AU946" s="31"/>
      <c r="AV946" s="36"/>
    </row>
    <row r="947" spans="4:48">
      <c r="D947" s="31"/>
      <c r="E947" s="31"/>
      <c r="F947" s="31"/>
      <c r="G947" s="31"/>
      <c r="H947" s="32"/>
      <c r="J947" s="33"/>
      <c r="K947" s="33"/>
      <c r="L947" s="33"/>
      <c r="X947" s="22"/>
      <c r="Y947" s="22"/>
      <c r="Z947" s="22"/>
      <c r="AA947" s="22"/>
      <c r="AF947" s="22"/>
      <c r="AG947" s="22"/>
      <c r="AH947" s="22"/>
      <c r="AI947" s="22"/>
      <c r="AN947" s="22"/>
      <c r="AO947" s="22"/>
      <c r="AP947" s="22"/>
      <c r="AQ947" s="22"/>
      <c r="AR947" s="35"/>
      <c r="AS947" s="35"/>
      <c r="AT947" s="35"/>
      <c r="AU947" s="31"/>
      <c r="AV947" s="36"/>
    </row>
    <row r="948" spans="4:48">
      <c r="D948" s="31"/>
      <c r="E948" s="31"/>
      <c r="F948" s="31"/>
      <c r="G948" s="31"/>
      <c r="H948" s="32"/>
      <c r="J948" s="33"/>
      <c r="K948" s="33"/>
      <c r="L948" s="33"/>
      <c r="X948" s="22"/>
      <c r="Y948" s="22"/>
      <c r="Z948" s="22"/>
      <c r="AA948" s="22"/>
      <c r="AF948" s="22"/>
      <c r="AG948" s="22"/>
      <c r="AH948" s="22"/>
      <c r="AI948" s="22"/>
      <c r="AN948" s="22"/>
      <c r="AO948" s="22"/>
      <c r="AP948" s="22"/>
      <c r="AQ948" s="22"/>
      <c r="AR948" s="35"/>
      <c r="AS948" s="35"/>
      <c r="AT948" s="35"/>
      <c r="AU948" s="31"/>
      <c r="AV948" s="36"/>
    </row>
    <row r="949" spans="4:48">
      <c r="D949" s="31"/>
      <c r="E949" s="31"/>
      <c r="F949" s="31"/>
      <c r="G949" s="31"/>
      <c r="H949" s="32"/>
      <c r="J949" s="33"/>
      <c r="K949" s="33"/>
      <c r="L949" s="33"/>
      <c r="X949" s="22"/>
      <c r="Y949" s="22"/>
      <c r="Z949" s="22"/>
      <c r="AA949" s="22"/>
      <c r="AF949" s="22"/>
      <c r="AG949" s="22"/>
      <c r="AH949" s="22"/>
      <c r="AI949" s="22"/>
      <c r="AN949" s="22"/>
      <c r="AO949" s="22"/>
      <c r="AP949" s="22"/>
      <c r="AQ949" s="22"/>
      <c r="AR949" s="35"/>
      <c r="AS949" s="35"/>
      <c r="AT949" s="35"/>
      <c r="AU949" s="31"/>
      <c r="AV949" s="36"/>
    </row>
    <row r="950" spans="4:48">
      <c r="D950" s="31"/>
      <c r="E950" s="31"/>
      <c r="F950" s="31"/>
      <c r="G950" s="31"/>
      <c r="H950" s="32"/>
      <c r="J950" s="33"/>
      <c r="K950" s="33"/>
      <c r="L950" s="33"/>
      <c r="X950" s="22"/>
      <c r="Y950" s="22"/>
      <c r="Z950" s="22"/>
      <c r="AA950" s="22"/>
      <c r="AF950" s="22"/>
      <c r="AG950" s="22"/>
      <c r="AH950" s="22"/>
      <c r="AI950" s="22"/>
      <c r="AN950" s="22"/>
      <c r="AO950" s="22"/>
      <c r="AP950" s="22"/>
      <c r="AQ950" s="22"/>
      <c r="AR950" s="35"/>
      <c r="AS950" s="35"/>
      <c r="AT950" s="35"/>
      <c r="AU950" s="31"/>
      <c r="AV950" s="36"/>
    </row>
    <row r="951" spans="4:48">
      <c r="D951" s="31"/>
      <c r="E951" s="31"/>
      <c r="F951" s="31"/>
      <c r="G951" s="31"/>
      <c r="H951" s="32"/>
      <c r="J951" s="33"/>
      <c r="K951" s="33"/>
      <c r="L951" s="33"/>
      <c r="X951" s="22"/>
      <c r="Y951" s="22"/>
      <c r="Z951" s="22"/>
      <c r="AA951" s="22"/>
      <c r="AF951" s="22"/>
      <c r="AG951" s="22"/>
      <c r="AH951" s="22"/>
      <c r="AI951" s="22"/>
      <c r="AN951" s="22"/>
      <c r="AO951" s="22"/>
      <c r="AP951" s="22"/>
      <c r="AQ951" s="22"/>
      <c r="AR951" s="35"/>
      <c r="AS951" s="35"/>
      <c r="AT951" s="35"/>
      <c r="AU951" s="31"/>
      <c r="AV951" s="36"/>
    </row>
    <row r="952" spans="4:48">
      <c r="D952" s="31"/>
      <c r="E952" s="31"/>
      <c r="F952" s="31"/>
      <c r="G952" s="31"/>
      <c r="H952" s="32"/>
      <c r="J952" s="33"/>
      <c r="K952" s="33"/>
      <c r="L952" s="33"/>
      <c r="X952" s="22"/>
      <c r="Y952" s="22"/>
      <c r="Z952" s="22"/>
      <c r="AA952" s="22"/>
      <c r="AF952" s="22"/>
      <c r="AG952" s="22"/>
      <c r="AH952" s="22"/>
      <c r="AI952" s="22"/>
      <c r="AN952" s="22"/>
      <c r="AO952" s="22"/>
      <c r="AP952" s="22"/>
      <c r="AQ952" s="22"/>
      <c r="AR952" s="35"/>
      <c r="AS952" s="35"/>
      <c r="AT952" s="35"/>
      <c r="AU952" s="31"/>
      <c r="AV952" s="36"/>
    </row>
    <row r="953" spans="4:48">
      <c r="D953" s="31"/>
      <c r="E953" s="31"/>
      <c r="F953" s="31"/>
      <c r="G953" s="31"/>
      <c r="H953" s="32"/>
      <c r="J953" s="33"/>
      <c r="K953" s="33"/>
      <c r="L953" s="33"/>
      <c r="X953" s="22"/>
      <c r="Y953" s="22"/>
      <c r="Z953" s="22"/>
      <c r="AA953" s="22"/>
      <c r="AF953" s="22"/>
      <c r="AG953" s="22"/>
      <c r="AH953" s="22"/>
      <c r="AI953" s="22"/>
      <c r="AN953" s="22"/>
      <c r="AO953" s="22"/>
      <c r="AP953" s="22"/>
      <c r="AQ953" s="22"/>
      <c r="AR953" s="35"/>
      <c r="AS953" s="35"/>
      <c r="AT953" s="35"/>
      <c r="AU953" s="31"/>
      <c r="AV953" s="36"/>
    </row>
    <row r="954" spans="4:48">
      <c r="D954" s="31"/>
      <c r="E954" s="31"/>
      <c r="F954" s="31"/>
      <c r="G954" s="31"/>
      <c r="H954" s="32"/>
      <c r="J954" s="33"/>
      <c r="K954" s="33"/>
      <c r="L954" s="33"/>
      <c r="X954" s="22"/>
      <c r="Y954" s="22"/>
      <c r="Z954" s="22"/>
      <c r="AA954" s="22"/>
      <c r="AF954" s="22"/>
      <c r="AG954" s="22"/>
      <c r="AH954" s="22"/>
      <c r="AI954" s="22"/>
      <c r="AN954" s="22"/>
      <c r="AO954" s="22"/>
      <c r="AP954" s="22"/>
      <c r="AQ954" s="22"/>
      <c r="AR954" s="35"/>
      <c r="AS954" s="35"/>
      <c r="AT954" s="35"/>
      <c r="AU954" s="31"/>
      <c r="AV954" s="36"/>
    </row>
    <row r="955" spans="4:48">
      <c r="D955" s="31"/>
      <c r="E955" s="31"/>
      <c r="F955" s="31"/>
      <c r="G955" s="31"/>
      <c r="H955" s="32"/>
      <c r="J955" s="33"/>
      <c r="K955" s="33"/>
      <c r="L955" s="33"/>
      <c r="X955" s="22"/>
      <c r="Y955" s="22"/>
      <c r="Z955" s="22"/>
      <c r="AA955" s="22"/>
      <c r="AF955" s="22"/>
      <c r="AG955" s="22"/>
      <c r="AH955" s="22"/>
      <c r="AI955" s="22"/>
      <c r="AN955" s="22"/>
      <c r="AO955" s="22"/>
      <c r="AP955" s="22"/>
      <c r="AQ955" s="22"/>
      <c r="AR955" s="35"/>
      <c r="AS955" s="35"/>
      <c r="AT955" s="35"/>
      <c r="AU955" s="31"/>
      <c r="AV955" s="36"/>
    </row>
    <row r="956" spans="4:48">
      <c r="D956" s="31"/>
      <c r="E956" s="31"/>
      <c r="F956" s="31"/>
      <c r="G956" s="31"/>
      <c r="H956" s="32"/>
      <c r="J956" s="33"/>
      <c r="K956" s="33"/>
      <c r="L956" s="33"/>
      <c r="X956" s="22"/>
      <c r="Y956" s="22"/>
      <c r="Z956" s="22"/>
      <c r="AA956" s="22"/>
      <c r="AF956" s="22"/>
      <c r="AG956" s="22"/>
      <c r="AH956" s="22"/>
      <c r="AI956" s="22"/>
      <c r="AN956" s="22"/>
      <c r="AO956" s="22"/>
      <c r="AP956" s="22"/>
      <c r="AQ956" s="22"/>
      <c r="AR956" s="35"/>
      <c r="AS956" s="35"/>
      <c r="AT956" s="35"/>
      <c r="AU956" s="31"/>
      <c r="AV956" s="36"/>
    </row>
    <row r="957" spans="4:48">
      <c r="D957" s="31"/>
      <c r="E957" s="31"/>
      <c r="F957" s="31"/>
      <c r="G957" s="31"/>
      <c r="H957" s="32"/>
      <c r="J957" s="33"/>
      <c r="K957" s="33"/>
      <c r="L957" s="33"/>
      <c r="X957" s="22"/>
      <c r="Y957" s="22"/>
      <c r="Z957" s="22"/>
      <c r="AA957" s="22"/>
      <c r="AF957" s="22"/>
      <c r="AG957" s="22"/>
      <c r="AH957" s="22"/>
      <c r="AI957" s="22"/>
      <c r="AN957" s="22"/>
      <c r="AO957" s="22"/>
      <c r="AP957" s="22"/>
      <c r="AQ957" s="22"/>
      <c r="AR957" s="35"/>
      <c r="AS957" s="35"/>
      <c r="AT957" s="35"/>
      <c r="AU957" s="31"/>
      <c r="AV957" s="36"/>
    </row>
    <row r="958" spans="4:48">
      <c r="D958" s="31"/>
      <c r="E958" s="31"/>
      <c r="F958" s="31"/>
      <c r="G958" s="31"/>
      <c r="H958" s="32"/>
      <c r="J958" s="33"/>
      <c r="K958" s="33"/>
      <c r="L958" s="33"/>
      <c r="X958" s="22"/>
      <c r="Y958" s="22"/>
      <c r="Z958" s="22"/>
      <c r="AA958" s="22"/>
      <c r="AF958" s="22"/>
      <c r="AG958" s="22"/>
      <c r="AH958" s="22"/>
      <c r="AI958" s="22"/>
      <c r="AN958" s="22"/>
      <c r="AO958" s="22"/>
      <c r="AP958" s="22"/>
      <c r="AQ958" s="22"/>
      <c r="AR958" s="35"/>
      <c r="AS958" s="35"/>
      <c r="AT958" s="35"/>
      <c r="AU958" s="31"/>
      <c r="AV958" s="36"/>
    </row>
    <row r="959" spans="4:48">
      <c r="D959" s="31"/>
      <c r="E959" s="31"/>
      <c r="F959" s="31"/>
      <c r="G959" s="31"/>
      <c r="H959" s="32"/>
      <c r="J959" s="33"/>
      <c r="K959" s="33"/>
      <c r="L959" s="33"/>
      <c r="X959" s="22"/>
      <c r="Y959" s="22"/>
      <c r="Z959" s="22"/>
      <c r="AA959" s="22"/>
      <c r="AF959" s="22"/>
      <c r="AG959" s="22"/>
      <c r="AH959" s="22"/>
      <c r="AI959" s="22"/>
      <c r="AN959" s="22"/>
      <c r="AO959" s="22"/>
      <c r="AP959" s="22"/>
      <c r="AQ959" s="22"/>
      <c r="AR959" s="35"/>
      <c r="AS959" s="35"/>
      <c r="AT959" s="35"/>
      <c r="AU959" s="31"/>
      <c r="AV959" s="36"/>
    </row>
    <row r="960" spans="4:48">
      <c r="D960" s="31"/>
      <c r="E960" s="31"/>
      <c r="F960" s="31"/>
      <c r="G960" s="31"/>
      <c r="H960" s="32"/>
      <c r="J960" s="33"/>
      <c r="K960" s="33"/>
      <c r="L960" s="33"/>
      <c r="X960" s="22"/>
      <c r="Y960" s="22"/>
      <c r="Z960" s="22"/>
      <c r="AA960" s="22"/>
      <c r="AF960" s="22"/>
      <c r="AG960" s="22"/>
      <c r="AH960" s="22"/>
      <c r="AI960" s="22"/>
      <c r="AN960" s="22"/>
      <c r="AO960" s="22"/>
      <c r="AP960" s="22"/>
      <c r="AQ960" s="22"/>
      <c r="AR960" s="35"/>
      <c r="AS960" s="35"/>
      <c r="AT960" s="35"/>
      <c r="AU960" s="31"/>
      <c r="AV960" s="36"/>
    </row>
    <row r="961" spans="4:48">
      <c r="D961" s="31"/>
      <c r="E961" s="31"/>
      <c r="F961" s="31"/>
      <c r="G961" s="31"/>
      <c r="H961" s="32"/>
      <c r="J961" s="33"/>
      <c r="K961" s="33"/>
      <c r="L961" s="33"/>
      <c r="X961" s="22"/>
      <c r="Y961" s="22"/>
      <c r="Z961" s="22"/>
      <c r="AA961" s="22"/>
      <c r="AF961" s="22"/>
      <c r="AG961" s="22"/>
      <c r="AH961" s="22"/>
      <c r="AI961" s="22"/>
      <c r="AN961" s="22"/>
      <c r="AO961" s="22"/>
      <c r="AP961" s="22"/>
      <c r="AQ961" s="22"/>
      <c r="AR961" s="35"/>
      <c r="AS961" s="35"/>
      <c r="AT961" s="35"/>
      <c r="AU961" s="31"/>
      <c r="AV961" s="36"/>
    </row>
    <row r="962" spans="4:48">
      <c r="D962" s="31"/>
      <c r="E962" s="31"/>
      <c r="F962" s="31"/>
      <c r="G962" s="31"/>
      <c r="H962" s="32"/>
      <c r="J962" s="33"/>
      <c r="K962" s="33"/>
      <c r="L962" s="33"/>
      <c r="X962" s="22"/>
      <c r="Y962" s="22"/>
      <c r="Z962" s="22"/>
      <c r="AA962" s="22"/>
      <c r="AF962" s="22"/>
      <c r="AG962" s="22"/>
      <c r="AH962" s="22"/>
      <c r="AI962" s="22"/>
      <c r="AN962" s="22"/>
      <c r="AO962" s="22"/>
      <c r="AP962" s="22"/>
      <c r="AQ962" s="22"/>
      <c r="AR962" s="35"/>
      <c r="AS962" s="35"/>
      <c r="AT962" s="35"/>
      <c r="AU962" s="31"/>
      <c r="AV962" s="36"/>
    </row>
    <row r="963" spans="4:48">
      <c r="D963" s="31"/>
      <c r="E963" s="31"/>
      <c r="F963" s="31"/>
      <c r="G963" s="31"/>
      <c r="H963" s="32"/>
      <c r="J963" s="33"/>
      <c r="K963" s="33"/>
      <c r="L963" s="33"/>
      <c r="X963" s="22"/>
      <c r="Y963" s="22"/>
      <c r="Z963" s="22"/>
      <c r="AA963" s="22"/>
      <c r="AF963" s="22"/>
      <c r="AG963" s="22"/>
      <c r="AH963" s="22"/>
      <c r="AI963" s="22"/>
      <c r="AN963" s="22"/>
      <c r="AO963" s="22"/>
      <c r="AP963" s="22"/>
      <c r="AQ963" s="22"/>
      <c r="AR963" s="35"/>
      <c r="AS963" s="35"/>
      <c r="AT963" s="35"/>
      <c r="AU963" s="31"/>
      <c r="AV963" s="36"/>
    </row>
    <row r="964" spans="4:48">
      <c r="D964" s="31"/>
      <c r="E964" s="31"/>
      <c r="F964" s="31"/>
      <c r="G964" s="31"/>
      <c r="H964" s="32"/>
      <c r="J964" s="33"/>
      <c r="K964" s="33"/>
      <c r="L964" s="33"/>
      <c r="X964" s="22"/>
      <c r="Y964" s="22"/>
      <c r="Z964" s="22"/>
      <c r="AA964" s="22"/>
      <c r="AF964" s="22"/>
      <c r="AG964" s="22"/>
      <c r="AH964" s="22"/>
      <c r="AI964" s="22"/>
      <c r="AN964" s="22"/>
      <c r="AO964" s="22"/>
      <c r="AP964" s="22"/>
      <c r="AQ964" s="22"/>
      <c r="AR964" s="35"/>
      <c r="AS964" s="35"/>
      <c r="AT964" s="35"/>
      <c r="AU964" s="31"/>
      <c r="AV964" s="36"/>
    </row>
    <row r="965" spans="4:48">
      <c r="D965" s="31"/>
      <c r="E965" s="31"/>
      <c r="F965" s="31"/>
      <c r="G965" s="31"/>
      <c r="H965" s="32"/>
      <c r="J965" s="33"/>
      <c r="K965" s="33"/>
      <c r="L965" s="33"/>
      <c r="X965" s="22"/>
      <c r="Y965" s="22"/>
      <c r="Z965" s="22"/>
      <c r="AA965" s="22"/>
      <c r="AF965" s="22"/>
      <c r="AG965" s="22"/>
      <c r="AH965" s="22"/>
      <c r="AI965" s="22"/>
      <c r="AN965" s="22"/>
      <c r="AO965" s="22"/>
      <c r="AP965" s="22"/>
      <c r="AQ965" s="22"/>
      <c r="AR965" s="35"/>
      <c r="AS965" s="35"/>
      <c r="AT965" s="35"/>
      <c r="AU965" s="31"/>
      <c r="AV965" s="36"/>
    </row>
    <row r="966" spans="4:48">
      <c r="D966" s="31"/>
      <c r="E966" s="31"/>
      <c r="F966" s="31"/>
      <c r="G966" s="31"/>
      <c r="H966" s="32"/>
      <c r="J966" s="33"/>
      <c r="K966" s="33"/>
      <c r="L966" s="33"/>
      <c r="X966" s="22"/>
      <c r="Y966" s="22"/>
      <c r="Z966" s="22"/>
      <c r="AA966" s="22"/>
      <c r="AF966" s="22"/>
      <c r="AG966" s="22"/>
      <c r="AH966" s="22"/>
      <c r="AI966" s="22"/>
      <c r="AN966" s="22"/>
      <c r="AO966" s="22"/>
      <c r="AP966" s="22"/>
      <c r="AQ966" s="22"/>
      <c r="AR966" s="35"/>
      <c r="AS966" s="35"/>
      <c r="AT966" s="35"/>
      <c r="AU966" s="31"/>
      <c r="AV966" s="36"/>
    </row>
    <row r="967" spans="4:48">
      <c r="D967" s="31"/>
      <c r="E967" s="31"/>
      <c r="F967" s="31"/>
      <c r="G967" s="31"/>
      <c r="H967" s="32"/>
      <c r="J967" s="33"/>
      <c r="K967" s="33"/>
      <c r="L967" s="33"/>
      <c r="X967" s="22"/>
      <c r="Y967" s="22"/>
      <c r="Z967" s="22"/>
      <c r="AA967" s="22"/>
      <c r="AF967" s="22"/>
      <c r="AG967" s="22"/>
      <c r="AH967" s="22"/>
      <c r="AI967" s="22"/>
      <c r="AN967" s="22"/>
      <c r="AO967" s="22"/>
      <c r="AP967" s="22"/>
      <c r="AQ967" s="22"/>
      <c r="AR967" s="35"/>
      <c r="AS967" s="35"/>
      <c r="AT967" s="35"/>
      <c r="AU967" s="31"/>
      <c r="AV967" s="36"/>
    </row>
    <row r="968" spans="4:48">
      <c r="D968" s="31"/>
      <c r="E968" s="31"/>
      <c r="F968" s="31"/>
      <c r="G968" s="31"/>
      <c r="H968" s="32"/>
      <c r="J968" s="33"/>
      <c r="K968" s="33"/>
      <c r="L968" s="33"/>
      <c r="X968" s="22"/>
      <c r="Y968" s="22"/>
      <c r="Z968" s="22"/>
      <c r="AA968" s="22"/>
      <c r="AF968" s="22"/>
      <c r="AG968" s="22"/>
      <c r="AH968" s="22"/>
      <c r="AI968" s="22"/>
      <c r="AN968" s="22"/>
      <c r="AO968" s="22"/>
      <c r="AP968" s="22"/>
      <c r="AQ968" s="22"/>
      <c r="AR968" s="35"/>
      <c r="AS968" s="35"/>
      <c r="AT968" s="35"/>
      <c r="AU968" s="31"/>
      <c r="AV968" s="36"/>
    </row>
    <row r="969" spans="4:48">
      <c r="D969" s="31"/>
      <c r="E969" s="31"/>
      <c r="F969" s="31"/>
      <c r="G969" s="31"/>
      <c r="H969" s="32"/>
      <c r="J969" s="33"/>
      <c r="K969" s="33"/>
      <c r="L969" s="33"/>
      <c r="X969" s="22"/>
      <c r="Y969" s="22"/>
      <c r="Z969" s="22"/>
      <c r="AA969" s="22"/>
      <c r="AF969" s="22"/>
      <c r="AG969" s="22"/>
      <c r="AH969" s="22"/>
      <c r="AI969" s="22"/>
      <c r="AN969" s="22"/>
      <c r="AO969" s="22"/>
      <c r="AP969" s="22"/>
      <c r="AQ969" s="22"/>
      <c r="AR969" s="35"/>
      <c r="AS969" s="35"/>
      <c r="AT969" s="35"/>
      <c r="AU969" s="31"/>
      <c r="AV969" s="36"/>
    </row>
    <row r="970" spans="4:48">
      <c r="D970" s="31"/>
      <c r="E970" s="31"/>
      <c r="F970" s="31"/>
      <c r="G970" s="31"/>
      <c r="H970" s="32"/>
      <c r="J970" s="33"/>
      <c r="K970" s="33"/>
      <c r="L970" s="33"/>
      <c r="X970" s="22"/>
      <c r="Y970" s="22"/>
      <c r="Z970" s="22"/>
      <c r="AA970" s="22"/>
      <c r="AF970" s="22"/>
      <c r="AG970" s="22"/>
      <c r="AH970" s="22"/>
      <c r="AI970" s="22"/>
      <c r="AN970" s="22"/>
      <c r="AO970" s="22"/>
      <c r="AP970" s="22"/>
      <c r="AQ970" s="22"/>
      <c r="AR970" s="35"/>
      <c r="AS970" s="35"/>
      <c r="AT970" s="35"/>
      <c r="AU970" s="31"/>
      <c r="AV970" s="36"/>
    </row>
    <row r="971" spans="4:48">
      <c r="D971" s="31"/>
      <c r="E971" s="31"/>
      <c r="F971" s="31"/>
      <c r="G971" s="31"/>
      <c r="H971" s="32"/>
      <c r="J971" s="33"/>
      <c r="K971" s="33"/>
      <c r="L971" s="33"/>
      <c r="X971" s="22"/>
      <c r="Y971" s="22"/>
      <c r="Z971" s="22"/>
      <c r="AA971" s="22"/>
      <c r="AF971" s="22"/>
      <c r="AG971" s="22"/>
      <c r="AH971" s="22"/>
      <c r="AI971" s="22"/>
      <c r="AN971" s="22"/>
      <c r="AO971" s="22"/>
      <c r="AP971" s="22"/>
      <c r="AQ971" s="22"/>
      <c r="AR971" s="35"/>
      <c r="AS971" s="35"/>
      <c r="AT971" s="35"/>
      <c r="AU971" s="31"/>
      <c r="AV971" s="36"/>
    </row>
    <row r="972" spans="4:48">
      <c r="D972" s="31"/>
      <c r="E972" s="31"/>
      <c r="F972" s="31"/>
      <c r="G972" s="31"/>
      <c r="H972" s="32"/>
      <c r="J972" s="33"/>
      <c r="K972" s="33"/>
      <c r="L972" s="33"/>
      <c r="X972" s="22"/>
      <c r="Y972" s="22"/>
      <c r="Z972" s="22"/>
      <c r="AA972" s="22"/>
      <c r="AF972" s="22"/>
      <c r="AG972" s="22"/>
      <c r="AH972" s="22"/>
      <c r="AI972" s="22"/>
      <c r="AN972" s="22"/>
      <c r="AO972" s="22"/>
      <c r="AP972" s="22"/>
      <c r="AQ972" s="22"/>
      <c r="AR972" s="35"/>
      <c r="AS972" s="35"/>
      <c r="AT972" s="35"/>
      <c r="AU972" s="31"/>
      <c r="AV972" s="36"/>
    </row>
    <row r="973" spans="4:48">
      <c r="D973" s="31"/>
      <c r="E973" s="31"/>
      <c r="F973" s="31"/>
      <c r="G973" s="31"/>
      <c r="H973" s="32"/>
      <c r="J973" s="33"/>
      <c r="K973" s="33"/>
      <c r="L973" s="33"/>
      <c r="X973" s="22"/>
      <c r="Y973" s="22"/>
      <c r="Z973" s="22"/>
      <c r="AA973" s="22"/>
      <c r="AF973" s="22"/>
      <c r="AG973" s="22"/>
      <c r="AH973" s="22"/>
      <c r="AI973" s="22"/>
      <c r="AN973" s="22"/>
      <c r="AO973" s="22"/>
      <c r="AP973" s="22"/>
      <c r="AQ973" s="22"/>
      <c r="AR973" s="35"/>
      <c r="AS973" s="35"/>
      <c r="AT973" s="35"/>
      <c r="AU973" s="31"/>
      <c r="AV973" s="36"/>
    </row>
    <row r="974" spans="4:48">
      <c r="D974" s="31"/>
      <c r="E974" s="31"/>
      <c r="F974" s="31"/>
      <c r="G974" s="31"/>
      <c r="H974" s="32"/>
      <c r="J974" s="33"/>
      <c r="K974" s="33"/>
      <c r="L974" s="33"/>
      <c r="X974" s="22"/>
      <c r="Y974" s="22"/>
      <c r="Z974" s="22"/>
      <c r="AA974" s="22"/>
      <c r="AF974" s="22"/>
      <c r="AG974" s="22"/>
      <c r="AH974" s="22"/>
      <c r="AI974" s="22"/>
      <c r="AN974" s="22"/>
      <c r="AO974" s="22"/>
      <c r="AP974" s="22"/>
      <c r="AQ974" s="22"/>
      <c r="AR974" s="35"/>
      <c r="AS974" s="35"/>
      <c r="AT974" s="35"/>
      <c r="AU974" s="31"/>
      <c r="AV974" s="36"/>
    </row>
    <row r="975" spans="4:48">
      <c r="D975" s="31"/>
      <c r="E975" s="31"/>
      <c r="F975" s="31"/>
      <c r="G975" s="31"/>
      <c r="H975" s="32"/>
      <c r="J975" s="33"/>
      <c r="K975" s="33"/>
      <c r="L975" s="33"/>
      <c r="X975" s="22"/>
      <c r="Y975" s="22"/>
      <c r="Z975" s="22"/>
      <c r="AA975" s="22"/>
      <c r="AF975" s="22"/>
      <c r="AG975" s="22"/>
      <c r="AH975" s="22"/>
      <c r="AI975" s="22"/>
      <c r="AN975" s="22"/>
      <c r="AO975" s="22"/>
      <c r="AP975" s="22"/>
      <c r="AQ975" s="22"/>
      <c r="AR975" s="35"/>
      <c r="AS975" s="35"/>
      <c r="AT975" s="35"/>
      <c r="AU975" s="31"/>
      <c r="AV975" s="36"/>
    </row>
    <row r="976" spans="4:48">
      <c r="D976" s="31"/>
      <c r="E976" s="31"/>
      <c r="F976" s="31"/>
      <c r="G976" s="31"/>
      <c r="H976" s="32"/>
      <c r="J976" s="33"/>
      <c r="K976" s="33"/>
      <c r="L976" s="33"/>
      <c r="X976" s="22"/>
      <c r="Y976" s="22"/>
      <c r="Z976" s="22"/>
      <c r="AA976" s="22"/>
      <c r="AF976" s="22"/>
      <c r="AG976" s="22"/>
      <c r="AH976" s="22"/>
      <c r="AI976" s="22"/>
      <c r="AN976" s="22"/>
      <c r="AO976" s="22"/>
      <c r="AP976" s="22"/>
      <c r="AQ976" s="22"/>
      <c r="AR976" s="35"/>
      <c r="AS976" s="35"/>
      <c r="AT976" s="35"/>
      <c r="AU976" s="31"/>
      <c r="AV976" s="36"/>
    </row>
    <row r="977" spans="4:48">
      <c r="D977" s="31"/>
      <c r="E977" s="31"/>
      <c r="F977" s="31"/>
      <c r="G977" s="31"/>
      <c r="H977" s="32"/>
      <c r="J977" s="33"/>
      <c r="K977" s="33"/>
      <c r="L977" s="33"/>
      <c r="X977" s="22"/>
      <c r="Y977" s="22"/>
      <c r="Z977" s="22"/>
      <c r="AA977" s="22"/>
      <c r="AF977" s="22"/>
      <c r="AG977" s="22"/>
      <c r="AH977" s="22"/>
      <c r="AI977" s="22"/>
      <c r="AN977" s="22"/>
      <c r="AO977" s="22"/>
      <c r="AP977" s="22"/>
      <c r="AQ977" s="22"/>
      <c r="AR977" s="35"/>
      <c r="AS977" s="35"/>
      <c r="AT977" s="35"/>
      <c r="AU977" s="31"/>
      <c r="AV977" s="36"/>
    </row>
    <row r="978" spans="4:48">
      <c r="D978" s="31"/>
      <c r="E978" s="31"/>
      <c r="F978" s="31"/>
      <c r="G978" s="31"/>
      <c r="H978" s="32"/>
      <c r="J978" s="33"/>
      <c r="K978" s="33"/>
      <c r="L978" s="33"/>
      <c r="X978" s="22"/>
      <c r="Y978" s="22"/>
      <c r="Z978" s="22"/>
      <c r="AA978" s="22"/>
      <c r="AF978" s="22"/>
      <c r="AG978" s="22"/>
      <c r="AH978" s="22"/>
      <c r="AI978" s="22"/>
      <c r="AN978" s="22"/>
      <c r="AO978" s="22"/>
      <c r="AP978" s="22"/>
      <c r="AQ978" s="22"/>
      <c r="AR978" s="35"/>
      <c r="AS978" s="35"/>
      <c r="AT978" s="35"/>
      <c r="AU978" s="31"/>
      <c r="AV978" s="36"/>
    </row>
    <row r="979" spans="4:48">
      <c r="D979" s="31"/>
      <c r="E979" s="31"/>
      <c r="F979" s="31"/>
      <c r="G979" s="31"/>
      <c r="H979" s="32"/>
      <c r="J979" s="33"/>
      <c r="K979" s="33"/>
      <c r="L979" s="33"/>
      <c r="X979" s="22"/>
      <c r="Y979" s="22"/>
      <c r="Z979" s="22"/>
      <c r="AA979" s="22"/>
      <c r="AF979" s="22"/>
      <c r="AG979" s="22"/>
      <c r="AH979" s="22"/>
      <c r="AI979" s="22"/>
      <c r="AN979" s="22"/>
      <c r="AO979" s="22"/>
      <c r="AP979" s="22"/>
      <c r="AQ979" s="22"/>
      <c r="AR979" s="35"/>
      <c r="AS979" s="35"/>
      <c r="AT979" s="35"/>
      <c r="AU979" s="31"/>
      <c r="AV979" s="36"/>
    </row>
    <row r="980" spans="4:48">
      <c r="D980" s="31"/>
      <c r="E980" s="31"/>
      <c r="F980" s="31"/>
      <c r="G980" s="31"/>
      <c r="H980" s="32"/>
      <c r="J980" s="33"/>
      <c r="K980" s="33"/>
      <c r="L980" s="33"/>
      <c r="X980" s="22"/>
      <c r="Y980" s="22"/>
      <c r="Z980" s="22"/>
      <c r="AA980" s="22"/>
      <c r="AF980" s="22"/>
      <c r="AG980" s="22"/>
      <c r="AH980" s="22"/>
      <c r="AI980" s="22"/>
      <c r="AN980" s="22"/>
      <c r="AO980" s="22"/>
      <c r="AP980" s="22"/>
      <c r="AQ980" s="22"/>
      <c r="AR980" s="35"/>
      <c r="AS980" s="35"/>
      <c r="AT980" s="35"/>
      <c r="AU980" s="31"/>
      <c r="AV980" s="36"/>
    </row>
    <row r="981" spans="4:48">
      <c r="D981" s="31"/>
      <c r="E981" s="31"/>
      <c r="F981" s="31"/>
      <c r="G981" s="31"/>
      <c r="H981" s="32"/>
      <c r="J981" s="33"/>
      <c r="K981" s="33"/>
      <c r="L981" s="33"/>
      <c r="X981" s="22"/>
      <c r="Y981" s="22"/>
      <c r="Z981" s="22"/>
      <c r="AA981" s="22"/>
      <c r="AF981" s="22"/>
      <c r="AG981" s="22"/>
      <c r="AH981" s="22"/>
      <c r="AI981" s="22"/>
      <c r="AN981" s="22"/>
      <c r="AO981" s="22"/>
      <c r="AP981" s="22"/>
      <c r="AQ981" s="22"/>
      <c r="AR981" s="35"/>
      <c r="AS981" s="35"/>
      <c r="AT981" s="35"/>
      <c r="AU981" s="31"/>
      <c r="AV981" s="36"/>
    </row>
    <row r="982" spans="4:48">
      <c r="D982" s="31"/>
      <c r="E982" s="31"/>
      <c r="F982" s="31"/>
      <c r="G982" s="31"/>
      <c r="H982" s="32"/>
      <c r="J982" s="33"/>
      <c r="K982" s="33"/>
      <c r="L982" s="33"/>
      <c r="X982" s="22"/>
      <c r="Y982" s="22"/>
      <c r="Z982" s="22"/>
      <c r="AA982" s="22"/>
      <c r="AF982" s="22"/>
      <c r="AG982" s="22"/>
      <c r="AH982" s="22"/>
      <c r="AI982" s="22"/>
      <c r="AN982" s="22"/>
      <c r="AO982" s="22"/>
      <c r="AP982" s="22"/>
      <c r="AQ982" s="22"/>
      <c r="AR982" s="35"/>
      <c r="AS982" s="35"/>
      <c r="AT982" s="35"/>
      <c r="AU982" s="31"/>
      <c r="AV982" s="36"/>
    </row>
    <row r="983" spans="4:48">
      <c r="D983" s="31"/>
      <c r="E983" s="31"/>
      <c r="F983" s="31"/>
      <c r="G983" s="31"/>
      <c r="H983" s="32"/>
      <c r="J983" s="33"/>
      <c r="K983" s="33"/>
      <c r="L983" s="33"/>
      <c r="X983" s="22"/>
      <c r="Y983" s="22"/>
      <c r="Z983" s="22"/>
      <c r="AA983" s="22"/>
      <c r="AF983" s="22"/>
      <c r="AG983" s="22"/>
      <c r="AH983" s="22"/>
      <c r="AI983" s="22"/>
      <c r="AN983" s="22"/>
      <c r="AO983" s="22"/>
      <c r="AP983" s="22"/>
      <c r="AQ983" s="22"/>
      <c r="AR983" s="35"/>
      <c r="AS983" s="35"/>
      <c r="AT983" s="35"/>
      <c r="AU983" s="31"/>
      <c r="AV983" s="36"/>
    </row>
    <row r="984" spans="4:48">
      <c r="D984" s="31"/>
      <c r="E984" s="31"/>
      <c r="F984" s="31"/>
      <c r="G984" s="31"/>
      <c r="H984" s="32"/>
      <c r="J984" s="33"/>
      <c r="K984" s="33"/>
      <c r="L984" s="33"/>
      <c r="X984" s="22"/>
      <c r="Y984" s="22"/>
      <c r="Z984" s="22"/>
      <c r="AA984" s="22"/>
      <c r="AF984" s="22"/>
      <c r="AG984" s="22"/>
      <c r="AH984" s="22"/>
      <c r="AI984" s="22"/>
      <c r="AN984" s="22"/>
      <c r="AO984" s="22"/>
      <c r="AP984" s="22"/>
      <c r="AQ984" s="22"/>
      <c r="AR984" s="35"/>
      <c r="AS984" s="35"/>
      <c r="AT984" s="35"/>
      <c r="AU984" s="31"/>
      <c r="AV984" s="36"/>
    </row>
    <row r="985" spans="4:48">
      <c r="D985" s="31"/>
      <c r="E985" s="31"/>
      <c r="F985" s="31"/>
      <c r="G985" s="31"/>
      <c r="H985" s="32"/>
      <c r="J985" s="33"/>
      <c r="K985" s="33"/>
      <c r="L985" s="33"/>
      <c r="X985" s="22"/>
      <c r="Y985" s="22"/>
      <c r="Z985" s="22"/>
      <c r="AA985" s="22"/>
      <c r="AF985" s="22"/>
      <c r="AG985" s="22"/>
      <c r="AH985" s="22"/>
      <c r="AI985" s="22"/>
      <c r="AN985" s="22"/>
      <c r="AO985" s="22"/>
      <c r="AP985" s="22"/>
      <c r="AQ985" s="22"/>
      <c r="AR985" s="35"/>
      <c r="AS985" s="35"/>
      <c r="AT985" s="35"/>
      <c r="AU985" s="31"/>
      <c r="AV985" s="36"/>
    </row>
    <row r="986" spans="4:48">
      <c r="D986" s="31"/>
      <c r="E986" s="31"/>
      <c r="F986" s="31"/>
      <c r="G986" s="31"/>
      <c r="H986" s="32"/>
      <c r="J986" s="33"/>
      <c r="K986" s="33"/>
      <c r="L986" s="33"/>
      <c r="X986" s="22"/>
      <c r="Y986" s="22"/>
      <c r="Z986" s="22"/>
      <c r="AA986" s="22"/>
      <c r="AF986" s="22"/>
      <c r="AG986" s="22"/>
      <c r="AH986" s="22"/>
      <c r="AI986" s="22"/>
      <c r="AN986" s="22"/>
      <c r="AO986" s="22"/>
      <c r="AP986" s="22"/>
      <c r="AQ986" s="22"/>
      <c r="AR986" s="35"/>
      <c r="AS986" s="35"/>
      <c r="AT986" s="35"/>
      <c r="AU986" s="31"/>
      <c r="AV986" s="36"/>
    </row>
    <row r="987" spans="4:48">
      <c r="D987" s="31"/>
      <c r="E987" s="31"/>
      <c r="F987" s="31"/>
      <c r="G987" s="31"/>
      <c r="H987" s="32"/>
      <c r="J987" s="33"/>
      <c r="K987" s="33"/>
      <c r="L987" s="33"/>
      <c r="X987" s="22"/>
      <c r="Y987" s="22"/>
      <c r="Z987" s="22"/>
      <c r="AA987" s="22"/>
      <c r="AF987" s="22"/>
      <c r="AG987" s="22"/>
      <c r="AH987" s="22"/>
      <c r="AI987" s="22"/>
      <c r="AN987" s="22"/>
      <c r="AO987" s="22"/>
      <c r="AP987" s="22"/>
      <c r="AQ987" s="22"/>
      <c r="AR987" s="35"/>
      <c r="AS987" s="35"/>
      <c r="AT987" s="35"/>
      <c r="AU987" s="31"/>
      <c r="AV987" s="36"/>
    </row>
    <row r="988" spans="4:48">
      <c r="D988" s="31"/>
      <c r="E988" s="31"/>
      <c r="F988" s="31"/>
      <c r="G988" s="31"/>
      <c r="H988" s="32"/>
      <c r="J988" s="33"/>
      <c r="K988" s="33"/>
      <c r="L988" s="33"/>
      <c r="X988" s="22"/>
      <c r="Y988" s="22"/>
      <c r="Z988" s="22"/>
      <c r="AA988" s="22"/>
      <c r="AF988" s="22"/>
      <c r="AG988" s="22"/>
      <c r="AH988" s="22"/>
      <c r="AI988" s="22"/>
      <c r="AN988" s="22"/>
      <c r="AO988" s="22"/>
      <c r="AP988" s="22"/>
      <c r="AQ988" s="22"/>
      <c r="AR988" s="35"/>
      <c r="AS988" s="35"/>
      <c r="AT988" s="35"/>
      <c r="AU988" s="31"/>
      <c r="AV988" s="36"/>
    </row>
    <row r="989" spans="4:48">
      <c r="D989" s="31"/>
      <c r="E989" s="31"/>
      <c r="F989" s="31"/>
      <c r="G989" s="31"/>
      <c r="H989" s="32"/>
      <c r="J989" s="33"/>
      <c r="K989" s="33"/>
      <c r="L989" s="33"/>
      <c r="X989" s="22"/>
      <c r="Y989" s="22"/>
      <c r="Z989" s="22"/>
      <c r="AA989" s="22"/>
      <c r="AF989" s="22"/>
      <c r="AG989" s="22"/>
      <c r="AH989" s="22"/>
      <c r="AI989" s="22"/>
      <c r="AN989" s="22"/>
      <c r="AO989" s="22"/>
      <c r="AP989" s="22"/>
      <c r="AQ989" s="22"/>
      <c r="AR989" s="35"/>
      <c r="AS989" s="35"/>
      <c r="AT989" s="35"/>
      <c r="AU989" s="31"/>
      <c r="AV989" s="36"/>
    </row>
    <row r="990" spans="4:48">
      <c r="D990" s="31"/>
      <c r="E990" s="31"/>
      <c r="F990" s="31"/>
      <c r="G990" s="31"/>
      <c r="H990" s="32"/>
      <c r="J990" s="33"/>
      <c r="K990" s="33"/>
      <c r="L990" s="33"/>
      <c r="X990" s="22"/>
      <c r="Y990" s="22"/>
      <c r="Z990" s="22"/>
      <c r="AA990" s="22"/>
      <c r="AF990" s="22"/>
      <c r="AG990" s="22"/>
      <c r="AH990" s="22"/>
      <c r="AI990" s="22"/>
      <c r="AN990" s="22"/>
      <c r="AO990" s="22"/>
      <c r="AP990" s="22"/>
      <c r="AQ990" s="22"/>
      <c r="AR990" s="35"/>
      <c r="AS990" s="35"/>
      <c r="AT990" s="35"/>
      <c r="AU990" s="31"/>
      <c r="AV990" s="36"/>
    </row>
    <row r="991" spans="4:48">
      <c r="D991" s="31"/>
      <c r="E991" s="31"/>
      <c r="F991" s="31"/>
      <c r="G991" s="31"/>
      <c r="H991" s="32"/>
      <c r="J991" s="33"/>
      <c r="K991" s="33"/>
      <c r="L991" s="33"/>
      <c r="X991" s="22"/>
      <c r="Y991" s="22"/>
      <c r="Z991" s="22"/>
      <c r="AA991" s="22"/>
      <c r="AF991" s="22"/>
      <c r="AG991" s="22"/>
      <c r="AH991" s="22"/>
      <c r="AI991" s="22"/>
      <c r="AN991" s="22"/>
      <c r="AO991" s="22"/>
      <c r="AP991" s="22"/>
      <c r="AQ991" s="22"/>
      <c r="AR991" s="35"/>
      <c r="AS991" s="35"/>
      <c r="AT991" s="35"/>
      <c r="AU991" s="31"/>
      <c r="AV991" s="36"/>
    </row>
    <row r="992" spans="4:48">
      <c r="D992" s="31"/>
      <c r="E992" s="31"/>
      <c r="F992" s="31"/>
      <c r="G992" s="31"/>
      <c r="H992" s="32"/>
      <c r="J992" s="33"/>
      <c r="K992" s="33"/>
      <c r="L992" s="33"/>
      <c r="X992" s="22"/>
      <c r="Y992" s="22"/>
      <c r="Z992" s="22"/>
      <c r="AA992" s="22"/>
      <c r="AF992" s="22"/>
      <c r="AG992" s="22"/>
      <c r="AH992" s="22"/>
      <c r="AI992" s="22"/>
      <c r="AN992" s="22"/>
      <c r="AO992" s="22"/>
      <c r="AP992" s="22"/>
      <c r="AQ992" s="22"/>
      <c r="AR992" s="35"/>
      <c r="AS992" s="35"/>
      <c r="AT992" s="35"/>
      <c r="AU992" s="31"/>
      <c r="AV992" s="36"/>
    </row>
    <row r="993" spans="4:48">
      <c r="D993" s="31"/>
      <c r="E993" s="31"/>
      <c r="F993" s="31"/>
      <c r="G993" s="31"/>
      <c r="H993" s="32"/>
      <c r="J993" s="33"/>
      <c r="K993" s="33"/>
      <c r="L993" s="33"/>
      <c r="X993" s="22"/>
      <c r="Y993" s="22"/>
      <c r="Z993" s="22"/>
      <c r="AA993" s="22"/>
      <c r="AF993" s="22"/>
      <c r="AG993" s="22"/>
      <c r="AH993" s="22"/>
      <c r="AI993" s="22"/>
      <c r="AN993" s="22"/>
      <c r="AO993" s="22"/>
      <c r="AP993" s="22"/>
      <c r="AQ993" s="22"/>
      <c r="AR993" s="35"/>
      <c r="AS993" s="35"/>
      <c r="AT993" s="35"/>
      <c r="AU993" s="31"/>
      <c r="AV993" s="36"/>
    </row>
    <row r="994" spans="4:48">
      <c r="D994" s="31"/>
      <c r="E994" s="31"/>
      <c r="F994" s="31"/>
      <c r="G994" s="31"/>
      <c r="H994" s="32"/>
      <c r="J994" s="33"/>
      <c r="K994" s="33"/>
      <c r="L994" s="33"/>
      <c r="X994" s="22"/>
      <c r="Y994" s="22"/>
      <c r="Z994" s="22"/>
      <c r="AA994" s="22"/>
      <c r="AF994" s="22"/>
      <c r="AG994" s="22"/>
      <c r="AH994" s="22"/>
      <c r="AI994" s="22"/>
      <c r="AN994" s="22"/>
      <c r="AO994" s="22"/>
      <c r="AP994" s="22"/>
      <c r="AQ994" s="22"/>
      <c r="AR994" s="35"/>
      <c r="AS994" s="35"/>
      <c r="AT994" s="35"/>
      <c r="AU994" s="31"/>
      <c r="AV994" s="36"/>
    </row>
    <row r="995" spans="4:48">
      <c r="D995" s="31"/>
      <c r="E995" s="31"/>
      <c r="F995" s="31"/>
      <c r="G995" s="31"/>
      <c r="H995" s="32"/>
      <c r="J995" s="33"/>
      <c r="K995" s="33"/>
      <c r="L995" s="33"/>
      <c r="X995" s="22"/>
      <c r="Y995" s="22"/>
      <c r="Z995" s="22"/>
      <c r="AA995" s="22"/>
      <c r="AF995" s="22"/>
      <c r="AG995" s="22"/>
      <c r="AH995" s="22"/>
      <c r="AI995" s="22"/>
      <c r="AN995" s="22"/>
      <c r="AO995" s="22"/>
      <c r="AP995" s="22"/>
      <c r="AQ995" s="22"/>
      <c r="AR995" s="35"/>
      <c r="AS995" s="35"/>
      <c r="AT995" s="35"/>
      <c r="AU995" s="31"/>
      <c r="AV995" s="36"/>
    </row>
    <row r="996" spans="4:48">
      <c r="D996" s="31"/>
      <c r="E996" s="31"/>
      <c r="F996" s="31"/>
      <c r="G996" s="31"/>
      <c r="H996" s="32"/>
      <c r="J996" s="33"/>
      <c r="K996" s="33"/>
      <c r="L996" s="33"/>
      <c r="X996" s="22"/>
      <c r="Y996" s="22"/>
      <c r="Z996" s="22"/>
      <c r="AA996" s="22"/>
      <c r="AF996" s="22"/>
      <c r="AG996" s="22"/>
      <c r="AH996" s="22"/>
      <c r="AI996" s="22"/>
      <c r="AN996" s="22"/>
      <c r="AO996" s="22"/>
      <c r="AP996" s="22"/>
      <c r="AQ996" s="22"/>
      <c r="AR996" s="35"/>
      <c r="AS996" s="35"/>
      <c r="AT996" s="35"/>
      <c r="AU996" s="31"/>
      <c r="AV996" s="36"/>
    </row>
    <row r="997" spans="4:48">
      <c r="D997" s="31"/>
      <c r="E997" s="31"/>
      <c r="F997" s="31"/>
      <c r="G997" s="31"/>
      <c r="H997" s="32"/>
      <c r="J997" s="33"/>
      <c r="K997" s="33"/>
      <c r="L997" s="33"/>
      <c r="X997" s="22"/>
      <c r="Y997" s="22"/>
      <c r="Z997" s="22"/>
      <c r="AA997" s="22"/>
      <c r="AF997" s="22"/>
      <c r="AG997" s="22"/>
      <c r="AH997" s="22"/>
      <c r="AI997" s="22"/>
      <c r="AN997" s="22"/>
      <c r="AO997" s="22"/>
      <c r="AP997" s="22"/>
      <c r="AQ997" s="22"/>
      <c r="AR997" s="35"/>
      <c r="AS997" s="35"/>
      <c r="AT997" s="35"/>
      <c r="AU997" s="31"/>
      <c r="AV997" s="36"/>
    </row>
    <row r="998" spans="4:48">
      <c r="D998" s="31"/>
      <c r="E998" s="31"/>
      <c r="F998" s="31"/>
      <c r="G998" s="31"/>
      <c r="H998" s="32"/>
      <c r="J998" s="33"/>
      <c r="K998" s="33"/>
      <c r="L998" s="33"/>
      <c r="X998" s="22"/>
      <c r="Y998" s="22"/>
      <c r="Z998" s="22"/>
      <c r="AA998" s="22"/>
      <c r="AF998" s="22"/>
      <c r="AG998" s="22"/>
      <c r="AH998" s="22"/>
      <c r="AI998" s="22"/>
      <c r="AN998" s="22"/>
      <c r="AO998" s="22"/>
      <c r="AP998" s="22"/>
      <c r="AQ998" s="22"/>
      <c r="AR998" s="35"/>
      <c r="AS998" s="35"/>
      <c r="AT998" s="35"/>
      <c r="AU998" s="31"/>
      <c r="AV998" s="36"/>
    </row>
    <row r="999" spans="4:48">
      <c r="D999" s="31"/>
      <c r="E999" s="31"/>
      <c r="F999" s="31"/>
      <c r="G999" s="31"/>
      <c r="H999" s="32"/>
      <c r="J999" s="33"/>
      <c r="K999" s="33"/>
      <c r="L999" s="33"/>
      <c r="X999" s="22"/>
      <c r="Y999" s="22"/>
      <c r="Z999" s="22"/>
      <c r="AA999" s="22"/>
      <c r="AF999" s="22"/>
      <c r="AG999" s="22"/>
      <c r="AH999" s="22"/>
      <c r="AI999" s="22"/>
      <c r="AN999" s="22"/>
      <c r="AO999" s="22"/>
      <c r="AP999" s="22"/>
      <c r="AQ999" s="22"/>
      <c r="AR999" s="35"/>
      <c r="AS999" s="35"/>
      <c r="AT999" s="35"/>
      <c r="AU999" s="31"/>
      <c r="AV999" s="36"/>
    </row>
    <row r="1000" spans="4:48">
      <c r="D1000" s="31"/>
      <c r="E1000" s="31"/>
      <c r="F1000" s="31"/>
      <c r="G1000" s="31"/>
      <c r="H1000" s="32"/>
      <c r="J1000" s="33"/>
      <c r="K1000" s="33"/>
      <c r="L1000" s="33"/>
      <c r="X1000" s="22"/>
      <c r="Y1000" s="22"/>
      <c r="Z1000" s="22"/>
      <c r="AA1000" s="22"/>
      <c r="AF1000" s="22"/>
      <c r="AG1000" s="22"/>
      <c r="AH1000" s="22"/>
      <c r="AI1000" s="22"/>
      <c r="AN1000" s="22"/>
      <c r="AO1000" s="22"/>
      <c r="AP1000" s="22"/>
      <c r="AQ1000" s="22"/>
      <c r="AR1000" s="35"/>
      <c r="AS1000" s="35"/>
      <c r="AT1000" s="35"/>
      <c r="AU1000" s="31"/>
      <c r="AV1000" s="36"/>
    </row>
    <row r="1001" spans="4:48">
      <c r="D1001" s="31"/>
      <c r="E1001" s="31"/>
      <c r="F1001" s="31"/>
      <c r="G1001" s="31"/>
      <c r="H1001" s="32"/>
      <c r="J1001" s="33"/>
      <c r="K1001" s="33"/>
      <c r="L1001" s="33"/>
      <c r="X1001" s="22"/>
      <c r="Y1001" s="22"/>
      <c r="Z1001" s="22"/>
      <c r="AA1001" s="22"/>
      <c r="AF1001" s="22"/>
      <c r="AG1001" s="22"/>
      <c r="AH1001" s="22"/>
      <c r="AI1001" s="22"/>
      <c r="AN1001" s="22"/>
      <c r="AO1001" s="22"/>
      <c r="AP1001" s="22"/>
      <c r="AQ1001" s="22"/>
      <c r="AR1001" s="35"/>
      <c r="AS1001" s="35"/>
      <c r="AT1001" s="35"/>
      <c r="AU1001" s="31"/>
      <c r="AV1001" s="36"/>
    </row>
    <row r="1002" spans="4:48">
      <c r="D1002" s="31"/>
      <c r="E1002" s="31"/>
      <c r="F1002" s="31"/>
      <c r="G1002" s="31"/>
      <c r="H1002" s="32"/>
      <c r="J1002" s="33"/>
      <c r="K1002" s="33"/>
      <c r="L1002" s="33"/>
      <c r="X1002" s="22"/>
      <c r="Y1002" s="22"/>
      <c r="Z1002" s="22"/>
      <c r="AA1002" s="22"/>
      <c r="AF1002" s="22"/>
      <c r="AG1002" s="22"/>
      <c r="AH1002" s="22"/>
      <c r="AI1002" s="22"/>
      <c r="AN1002" s="22"/>
      <c r="AO1002" s="22"/>
      <c r="AP1002" s="22"/>
      <c r="AQ1002" s="22"/>
      <c r="AR1002" s="35"/>
      <c r="AS1002" s="35"/>
      <c r="AT1002" s="35"/>
      <c r="AU1002" s="31"/>
      <c r="AV1002" s="36"/>
    </row>
    <row r="1003" spans="4:48">
      <c r="D1003" s="31"/>
      <c r="E1003" s="31"/>
      <c r="F1003" s="31"/>
      <c r="G1003" s="31"/>
      <c r="H1003" s="32"/>
      <c r="J1003" s="33"/>
      <c r="K1003" s="33"/>
      <c r="L1003" s="33"/>
      <c r="X1003" s="22"/>
      <c r="Y1003" s="22"/>
      <c r="Z1003" s="22"/>
      <c r="AA1003" s="22"/>
      <c r="AF1003" s="22"/>
      <c r="AG1003" s="22"/>
      <c r="AH1003" s="22"/>
      <c r="AI1003" s="22"/>
      <c r="AN1003" s="22"/>
      <c r="AO1003" s="22"/>
      <c r="AP1003" s="22"/>
      <c r="AQ1003" s="22"/>
      <c r="AR1003" s="35"/>
      <c r="AS1003" s="35"/>
      <c r="AT1003" s="35"/>
      <c r="AU1003" s="31"/>
      <c r="AV1003" s="36"/>
    </row>
    <row r="1004" spans="4:48">
      <c r="D1004" s="31"/>
      <c r="E1004" s="31"/>
      <c r="F1004" s="31"/>
      <c r="G1004" s="31"/>
      <c r="H1004" s="32"/>
      <c r="J1004" s="33"/>
      <c r="K1004" s="33"/>
      <c r="L1004" s="33"/>
      <c r="X1004" s="22"/>
      <c r="Y1004" s="22"/>
      <c r="Z1004" s="22"/>
      <c r="AA1004" s="22"/>
      <c r="AF1004" s="22"/>
      <c r="AG1004" s="22"/>
      <c r="AH1004" s="22"/>
      <c r="AI1004" s="22"/>
      <c r="AN1004" s="22"/>
      <c r="AO1004" s="22"/>
      <c r="AP1004" s="22"/>
      <c r="AQ1004" s="22"/>
      <c r="AR1004" s="35"/>
      <c r="AS1004" s="35"/>
      <c r="AT1004" s="35"/>
      <c r="AU1004" s="31"/>
      <c r="AV1004" s="36"/>
    </row>
    <row r="1005" spans="4:48">
      <c r="D1005" s="31"/>
      <c r="E1005" s="31"/>
      <c r="F1005" s="31"/>
      <c r="G1005" s="31"/>
      <c r="H1005" s="32"/>
      <c r="J1005" s="33"/>
      <c r="K1005" s="33"/>
      <c r="L1005" s="33"/>
      <c r="X1005" s="22"/>
      <c r="Y1005" s="22"/>
      <c r="Z1005" s="22"/>
      <c r="AA1005" s="22"/>
      <c r="AF1005" s="22"/>
      <c r="AG1005" s="22"/>
      <c r="AH1005" s="22"/>
      <c r="AI1005" s="22"/>
      <c r="AN1005" s="22"/>
      <c r="AO1005" s="22"/>
      <c r="AP1005" s="22"/>
      <c r="AQ1005" s="22"/>
      <c r="AR1005" s="35"/>
      <c r="AS1005" s="35"/>
      <c r="AT1005" s="35"/>
      <c r="AU1005" s="31"/>
      <c r="AV1005" s="36"/>
    </row>
    <row r="1006" spans="4:48">
      <c r="D1006" s="31"/>
      <c r="E1006" s="31"/>
      <c r="F1006" s="31"/>
      <c r="G1006" s="31"/>
      <c r="H1006" s="32"/>
      <c r="J1006" s="33"/>
      <c r="K1006" s="33"/>
      <c r="L1006" s="33"/>
      <c r="X1006" s="22"/>
      <c r="Y1006" s="22"/>
      <c r="Z1006" s="22"/>
      <c r="AA1006" s="22"/>
      <c r="AF1006" s="22"/>
      <c r="AG1006" s="22"/>
      <c r="AH1006" s="22"/>
      <c r="AI1006" s="22"/>
      <c r="AN1006" s="22"/>
      <c r="AO1006" s="22"/>
      <c r="AP1006" s="22"/>
      <c r="AQ1006" s="22"/>
      <c r="AR1006" s="35"/>
      <c r="AS1006" s="35"/>
      <c r="AT1006" s="35"/>
      <c r="AU1006" s="31"/>
      <c r="AV1006" s="36"/>
    </row>
    <row r="1007" spans="4:48">
      <c r="D1007" s="31"/>
      <c r="E1007" s="31"/>
      <c r="F1007" s="31"/>
      <c r="G1007" s="31"/>
      <c r="H1007" s="32"/>
      <c r="J1007" s="33"/>
      <c r="K1007" s="33"/>
      <c r="L1007" s="33"/>
      <c r="X1007" s="22"/>
      <c r="Y1007" s="22"/>
      <c r="Z1007" s="22"/>
      <c r="AA1007" s="22"/>
      <c r="AF1007" s="22"/>
      <c r="AG1007" s="22"/>
      <c r="AH1007" s="22"/>
      <c r="AI1007" s="22"/>
      <c r="AN1007" s="22"/>
      <c r="AO1007" s="22"/>
      <c r="AP1007" s="22"/>
      <c r="AQ1007" s="22"/>
      <c r="AR1007" s="35"/>
      <c r="AS1007" s="35"/>
      <c r="AT1007" s="35"/>
      <c r="AU1007" s="31"/>
      <c r="AV1007" s="36"/>
    </row>
    <row r="1008" spans="4:48">
      <c r="D1008" s="31"/>
      <c r="E1008" s="31"/>
      <c r="F1008" s="31"/>
      <c r="G1008" s="31"/>
      <c r="H1008" s="32"/>
      <c r="J1008" s="33"/>
      <c r="K1008" s="33"/>
      <c r="L1008" s="33"/>
      <c r="X1008" s="22"/>
      <c r="Y1008" s="22"/>
      <c r="Z1008" s="22"/>
      <c r="AA1008" s="22"/>
      <c r="AF1008" s="22"/>
      <c r="AG1008" s="22"/>
      <c r="AH1008" s="22"/>
      <c r="AI1008" s="22"/>
      <c r="AN1008" s="22"/>
      <c r="AO1008" s="22"/>
      <c r="AP1008" s="22"/>
      <c r="AQ1008" s="22"/>
      <c r="AR1008" s="35"/>
      <c r="AS1008" s="35"/>
      <c r="AT1008" s="35"/>
      <c r="AU1008" s="31"/>
      <c r="AV1008" s="36"/>
    </row>
    <row r="1009" spans="4:48">
      <c r="D1009" s="31"/>
      <c r="E1009" s="31"/>
      <c r="F1009" s="31"/>
      <c r="G1009" s="31"/>
      <c r="H1009" s="32"/>
      <c r="J1009" s="33"/>
      <c r="K1009" s="33"/>
      <c r="L1009" s="33"/>
      <c r="X1009" s="22"/>
      <c r="Y1009" s="22"/>
      <c r="Z1009" s="22"/>
      <c r="AA1009" s="22"/>
      <c r="AF1009" s="22"/>
      <c r="AG1009" s="22"/>
      <c r="AH1009" s="22"/>
      <c r="AI1009" s="22"/>
      <c r="AN1009" s="22"/>
      <c r="AO1009" s="22"/>
      <c r="AP1009" s="22"/>
      <c r="AQ1009" s="22"/>
      <c r="AR1009" s="35"/>
      <c r="AS1009" s="35"/>
      <c r="AT1009" s="35"/>
      <c r="AU1009" s="31"/>
      <c r="AV1009" s="36"/>
    </row>
    <row r="1010" spans="4:48">
      <c r="D1010" s="31"/>
      <c r="E1010" s="31"/>
      <c r="F1010" s="31"/>
      <c r="G1010" s="31"/>
      <c r="H1010" s="32"/>
      <c r="J1010" s="33"/>
      <c r="K1010" s="33"/>
      <c r="L1010" s="33"/>
      <c r="X1010" s="22"/>
      <c r="Y1010" s="22"/>
      <c r="Z1010" s="22"/>
      <c r="AA1010" s="22"/>
      <c r="AF1010" s="22"/>
      <c r="AG1010" s="22"/>
      <c r="AH1010" s="22"/>
      <c r="AI1010" s="22"/>
      <c r="AN1010" s="22"/>
      <c r="AO1010" s="22"/>
      <c r="AP1010" s="22"/>
      <c r="AQ1010" s="22"/>
      <c r="AR1010" s="35"/>
      <c r="AS1010" s="35"/>
      <c r="AT1010" s="35"/>
      <c r="AU1010" s="31"/>
      <c r="AV1010" s="36"/>
    </row>
    <row r="1011" spans="4:48">
      <c r="D1011" s="31"/>
      <c r="E1011" s="31"/>
      <c r="F1011" s="31"/>
      <c r="G1011" s="31"/>
      <c r="H1011" s="32"/>
      <c r="J1011" s="33"/>
      <c r="K1011" s="33"/>
      <c r="L1011" s="33"/>
      <c r="X1011" s="22"/>
      <c r="Y1011" s="22"/>
      <c r="Z1011" s="22"/>
      <c r="AA1011" s="22"/>
      <c r="AF1011" s="22"/>
      <c r="AG1011" s="22"/>
      <c r="AH1011" s="22"/>
      <c r="AI1011" s="22"/>
      <c r="AN1011" s="22"/>
      <c r="AO1011" s="22"/>
      <c r="AP1011" s="22"/>
      <c r="AQ1011" s="22"/>
      <c r="AR1011" s="35"/>
      <c r="AS1011" s="35"/>
      <c r="AT1011" s="35"/>
      <c r="AU1011" s="31"/>
      <c r="AV1011" s="36"/>
    </row>
    <row r="1012" spans="4:48">
      <c r="D1012" s="31"/>
      <c r="E1012" s="31"/>
      <c r="F1012" s="31"/>
      <c r="G1012" s="31"/>
      <c r="H1012" s="32"/>
      <c r="J1012" s="33"/>
      <c r="K1012" s="33"/>
      <c r="L1012" s="33"/>
      <c r="X1012" s="22"/>
      <c r="Y1012" s="22"/>
      <c r="Z1012" s="22"/>
      <c r="AA1012" s="22"/>
      <c r="AF1012" s="22"/>
      <c r="AG1012" s="22"/>
      <c r="AH1012" s="22"/>
      <c r="AI1012" s="22"/>
      <c r="AN1012" s="22"/>
      <c r="AO1012" s="22"/>
      <c r="AP1012" s="22"/>
      <c r="AQ1012" s="22"/>
      <c r="AR1012" s="35"/>
      <c r="AS1012" s="35"/>
      <c r="AT1012" s="35"/>
      <c r="AU1012" s="31"/>
      <c r="AV1012" s="36"/>
    </row>
    <row r="1013" spans="4:48">
      <c r="D1013" s="31"/>
      <c r="E1013" s="31"/>
      <c r="F1013" s="31"/>
      <c r="G1013" s="31"/>
      <c r="H1013" s="32"/>
      <c r="J1013" s="33"/>
      <c r="K1013" s="33"/>
      <c r="L1013" s="33"/>
      <c r="X1013" s="22"/>
      <c r="Y1013" s="22"/>
      <c r="Z1013" s="22"/>
      <c r="AA1013" s="22"/>
      <c r="AF1013" s="22"/>
      <c r="AG1013" s="22"/>
      <c r="AH1013" s="22"/>
      <c r="AI1013" s="22"/>
      <c r="AN1013" s="22"/>
      <c r="AO1013" s="22"/>
      <c r="AP1013" s="22"/>
      <c r="AQ1013" s="22"/>
      <c r="AR1013" s="35"/>
      <c r="AS1013" s="35"/>
      <c r="AT1013" s="35"/>
      <c r="AU1013" s="31"/>
      <c r="AV1013" s="36"/>
    </row>
    <row r="1014" spans="4:48">
      <c r="D1014" s="31"/>
      <c r="E1014" s="31"/>
      <c r="F1014" s="31"/>
      <c r="G1014" s="31"/>
      <c r="H1014" s="32"/>
      <c r="J1014" s="33"/>
      <c r="K1014" s="33"/>
      <c r="L1014" s="33"/>
      <c r="X1014" s="22"/>
      <c r="Y1014" s="22"/>
      <c r="Z1014" s="22"/>
      <c r="AA1014" s="22"/>
      <c r="AF1014" s="22"/>
      <c r="AG1014" s="22"/>
      <c r="AH1014" s="22"/>
      <c r="AI1014" s="22"/>
      <c r="AN1014" s="22"/>
      <c r="AO1014" s="22"/>
      <c r="AP1014" s="22"/>
      <c r="AQ1014" s="22"/>
      <c r="AR1014" s="35"/>
      <c r="AS1014" s="35"/>
      <c r="AT1014" s="35"/>
      <c r="AU1014" s="31"/>
      <c r="AV1014" s="36"/>
    </row>
    <row r="1015" spans="4:48">
      <c r="D1015" s="31"/>
      <c r="E1015" s="31"/>
      <c r="F1015" s="31"/>
      <c r="G1015" s="31"/>
      <c r="H1015" s="32"/>
      <c r="J1015" s="33"/>
      <c r="K1015" s="33"/>
      <c r="L1015" s="33"/>
      <c r="X1015" s="22"/>
      <c r="Y1015" s="22"/>
      <c r="Z1015" s="22"/>
      <c r="AA1015" s="22"/>
      <c r="AF1015" s="22"/>
      <c r="AG1015" s="22"/>
      <c r="AH1015" s="22"/>
      <c r="AI1015" s="22"/>
      <c r="AN1015" s="22"/>
      <c r="AO1015" s="22"/>
      <c r="AP1015" s="22"/>
      <c r="AQ1015" s="22"/>
      <c r="AR1015" s="35"/>
      <c r="AS1015" s="35"/>
      <c r="AT1015" s="35"/>
      <c r="AU1015" s="31"/>
      <c r="AV1015" s="36"/>
    </row>
    <row r="1016" spans="4:48">
      <c r="D1016" s="31"/>
      <c r="E1016" s="31"/>
      <c r="F1016" s="31"/>
      <c r="G1016" s="31"/>
      <c r="H1016" s="32"/>
      <c r="J1016" s="33"/>
      <c r="K1016" s="33"/>
      <c r="L1016" s="33"/>
      <c r="X1016" s="22"/>
      <c r="Y1016" s="22"/>
      <c r="Z1016" s="22"/>
      <c r="AA1016" s="22"/>
      <c r="AF1016" s="22"/>
      <c r="AG1016" s="22"/>
      <c r="AH1016" s="22"/>
      <c r="AI1016" s="22"/>
      <c r="AN1016" s="22"/>
      <c r="AO1016" s="22"/>
      <c r="AP1016" s="22"/>
      <c r="AQ1016" s="22"/>
      <c r="AR1016" s="35"/>
      <c r="AS1016" s="35"/>
      <c r="AT1016" s="35"/>
      <c r="AU1016" s="31"/>
      <c r="AV1016" s="36"/>
    </row>
    <row r="1017" spans="4:48">
      <c r="D1017" s="31"/>
      <c r="E1017" s="31"/>
      <c r="F1017" s="31"/>
      <c r="G1017" s="31"/>
      <c r="H1017" s="32"/>
      <c r="J1017" s="33"/>
      <c r="K1017" s="33"/>
      <c r="L1017" s="33"/>
      <c r="X1017" s="22"/>
      <c r="Y1017" s="22"/>
      <c r="Z1017" s="22"/>
      <c r="AA1017" s="22"/>
      <c r="AF1017" s="22"/>
      <c r="AG1017" s="22"/>
      <c r="AH1017" s="22"/>
      <c r="AI1017" s="22"/>
      <c r="AN1017" s="22"/>
      <c r="AO1017" s="22"/>
      <c r="AP1017" s="22"/>
      <c r="AQ1017" s="22"/>
      <c r="AR1017" s="35"/>
      <c r="AS1017" s="35"/>
      <c r="AT1017" s="35"/>
      <c r="AU1017" s="31"/>
      <c r="AV1017" s="36"/>
    </row>
    <row r="1018" spans="4:48">
      <c r="D1018" s="31"/>
      <c r="E1018" s="31"/>
      <c r="F1018" s="31"/>
      <c r="G1018" s="31"/>
      <c r="H1018" s="32"/>
      <c r="J1018" s="33"/>
      <c r="K1018" s="33"/>
      <c r="L1018" s="33"/>
      <c r="X1018" s="22"/>
      <c r="Y1018" s="22"/>
      <c r="Z1018" s="22"/>
      <c r="AA1018" s="22"/>
      <c r="AF1018" s="22"/>
      <c r="AG1018" s="22"/>
      <c r="AH1018" s="22"/>
      <c r="AI1018" s="22"/>
      <c r="AN1018" s="22"/>
      <c r="AO1018" s="22"/>
      <c r="AP1018" s="22"/>
      <c r="AQ1018" s="22"/>
      <c r="AR1018" s="35"/>
      <c r="AS1018" s="35"/>
      <c r="AT1018" s="35"/>
      <c r="AU1018" s="31"/>
      <c r="AV1018" s="36"/>
    </row>
    <row r="1019" spans="4:48">
      <c r="D1019" s="31"/>
      <c r="E1019" s="31"/>
      <c r="F1019" s="31"/>
      <c r="G1019" s="31"/>
      <c r="H1019" s="32"/>
      <c r="J1019" s="33"/>
      <c r="K1019" s="33"/>
      <c r="L1019" s="33"/>
      <c r="X1019" s="22"/>
      <c r="Y1019" s="22"/>
      <c r="Z1019" s="22"/>
      <c r="AA1019" s="22"/>
      <c r="AF1019" s="22"/>
      <c r="AG1019" s="22"/>
      <c r="AH1019" s="22"/>
      <c r="AI1019" s="22"/>
      <c r="AN1019" s="22"/>
      <c r="AO1019" s="22"/>
      <c r="AP1019" s="22"/>
      <c r="AQ1019" s="22"/>
      <c r="AR1019" s="35"/>
      <c r="AS1019" s="35"/>
      <c r="AT1019" s="35"/>
      <c r="AU1019" s="31"/>
      <c r="AV1019" s="36"/>
    </row>
    <row r="1020" spans="4:48">
      <c r="D1020" s="31"/>
      <c r="E1020" s="31"/>
      <c r="F1020" s="31"/>
      <c r="G1020" s="31"/>
      <c r="H1020" s="32"/>
      <c r="J1020" s="33"/>
      <c r="K1020" s="33"/>
      <c r="L1020" s="33"/>
      <c r="X1020" s="22"/>
      <c r="Y1020" s="22"/>
      <c r="Z1020" s="22"/>
      <c r="AA1020" s="22"/>
      <c r="AF1020" s="22"/>
      <c r="AG1020" s="22"/>
      <c r="AH1020" s="22"/>
      <c r="AI1020" s="22"/>
      <c r="AN1020" s="22"/>
      <c r="AO1020" s="22"/>
      <c r="AP1020" s="22"/>
      <c r="AQ1020" s="22"/>
      <c r="AR1020" s="35"/>
      <c r="AS1020" s="35"/>
      <c r="AT1020" s="35"/>
      <c r="AU1020" s="31"/>
      <c r="AV1020" s="36"/>
    </row>
    <row r="1021" spans="4:48">
      <c r="D1021" s="31"/>
      <c r="E1021" s="31"/>
      <c r="F1021" s="31"/>
      <c r="G1021" s="31"/>
      <c r="H1021" s="32"/>
      <c r="J1021" s="33"/>
      <c r="K1021" s="33"/>
      <c r="L1021" s="33"/>
      <c r="X1021" s="22"/>
      <c r="Y1021" s="22"/>
      <c r="Z1021" s="22"/>
      <c r="AA1021" s="22"/>
      <c r="AF1021" s="22"/>
      <c r="AG1021" s="22"/>
      <c r="AH1021" s="22"/>
      <c r="AI1021" s="22"/>
      <c r="AN1021" s="22"/>
      <c r="AO1021" s="22"/>
      <c r="AP1021" s="22"/>
      <c r="AQ1021" s="22"/>
      <c r="AR1021" s="35"/>
      <c r="AS1021" s="35"/>
      <c r="AT1021" s="35"/>
      <c r="AU1021" s="31"/>
      <c r="AV1021" s="36"/>
    </row>
    <row r="1022" spans="4:48">
      <c r="D1022" s="31"/>
      <c r="E1022" s="31"/>
      <c r="F1022" s="31"/>
      <c r="G1022" s="31"/>
      <c r="H1022" s="32"/>
      <c r="J1022" s="33"/>
      <c r="K1022" s="33"/>
      <c r="L1022" s="33"/>
      <c r="X1022" s="22"/>
      <c r="Y1022" s="22"/>
      <c r="Z1022" s="22"/>
      <c r="AA1022" s="22"/>
      <c r="AF1022" s="22"/>
      <c r="AG1022" s="22"/>
      <c r="AH1022" s="22"/>
      <c r="AI1022" s="22"/>
      <c r="AN1022" s="22"/>
      <c r="AO1022" s="22"/>
      <c r="AP1022" s="22"/>
      <c r="AQ1022" s="22"/>
      <c r="AR1022" s="35"/>
      <c r="AS1022" s="35"/>
      <c r="AT1022" s="35"/>
      <c r="AU1022" s="31"/>
      <c r="AV1022" s="36"/>
    </row>
    <row r="1023" spans="4:48">
      <c r="D1023" s="31"/>
      <c r="E1023" s="31"/>
      <c r="F1023" s="31"/>
      <c r="G1023" s="31"/>
      <c r="H1023" s="32"/>
      <c r="J1023" s="33"/>
      <c r="K1023" s="33"/>
      <c r="L1023" s="33"/>
      <c r="X1023" s="22"/>
      <c r="Y1023" s="22"/>
      <c r="Z1023" s="22"/>
      <c r="AA1023" s="22"/>
      <c r="AF1023" s="22"/>
      <c r="AG1023" s="22"/>
      <c r="AH1023" s="22"/>
      <c r="AI1023" s="22"/>
      <c r="AN1023" s="22"/>
      <c r="AO1023" s="22"/>
      <c r="AP1023" s="22"/>
      <c r="AQ1023" s="22"/>
      <c r="AR1023" s="35"/>
      <c r="AS1023" s="35"/>
      <c r="AT1023" s="35"/>
      <c r="AU1023" s="31"/>
      <c r="AV1023" s="36"/>
    </row>
    <row r="1024" spans="4:48">
      <c r="D1024" s="31"/>
      <c r="E1024" s="31"/>
      <c r="F1024" s="31"/>
      <c r="G1024" s="31"/>
      <c r="H1024" s="32"/>
      <c r="J1024" s="33"/>
      <c r="K1024" s="33"/>
      <c r="L1024" s="33"/>
      <c r="X1024" s="22"/>
      <c r="Y1024" s="22"/>
      <c r="Z1024" s="22"/>
      <c r="AA1024" s="22"/>
      <c r="AF1024" s="22"/>
      <c r="AG1024" s="22"/>
      <c r="AH1024" s="22"/>
      <c r="AI1024" s="22"/>
      <c r="AN1024" s="22"/>
      <c r="AO1024" s="22"/>
      <c r="AP1024" s="22"/>
      <c r="AQ1024" s="22"/>
      <c r="AR1024" s="35"/>
      <c r="AS1024" s="35"/>
      <c r="AT1024" s="35"/>
      <c r="AU1024" s="31"/>
      <c r="AV1024" s="36"/>
    </row>
    <row r="1025" spans="4:48">
      <c r="D1025" s="31"/>
      <c r="E1025" s="31"/>
      <c r="F1025" s="31"/>
      <c r="G1025" s="31"/>
      <c r="H1025" s="32"/>
      <c r="J1025" s="33"/>
      <c r="K1025" s="33"/>
      <c r="L1025" s="33"/>
      <c r="X1025" s="22"/>
      <c r="Y1025" s="22"/>
      <c r="Z1025" s="22"/>
      <c r="AA1025" s="22"/>
      <c r="AF1025" s="22"/>
      <c r="AG1025" s="22"/>
      <c r="AH1025" s="22"/>
      <c r="AI1025" s="22"/>
      <c r="AN1025" s="22"/>
      <c r="AO1025" s="22"/>
      <c r="AP1025" s="22"/>
      <c r="AQ1025" s="22"/>
      <c r="AR1025" s="35"/>
      <c r="AS1025" s="35"/>
      <c r="AT1025" s="35"/>
      <c r="AU1025" s="31"/>
      <c r="AV1025" s="36"/>
    </row>
    <row r="1026" spans="4:48">
      <c r="D1026" s="31"/>
      <c r="E1026" s="31"/>
      <c r="F1026" s="31"/>
      <c r="G1026" s="31"/>
      <c r="H1026" s="32"/>
      <c r="J1026" s="33"/>
      <c r="K1026" s="33"/>
      <c r="L1026" s="33"/>
      <c r="X1026" s="22"/>
      <c r="Y1026" s="22"/>
      <c r="Z1026" s="22"/>
      <c r="AA1026" s="22"/>
      <c r="AF1026" s="22"/>
      <c r="AG1026" s="22"/>
      <c r="AH1026" s="22"/>
      <c r="AI1026" s="22"/>
      <c r="AN1026" s="22"/>
      <c r="AO1026" s="22"/>
      <c r="AP1026" s="22"/>
      <c r="AQ1026" s="22"/>
      <c r="AR1026" s="35"/>
      <c r="AS1026" s="35"/>
      <c r="AT1026" s="35"/>
      <c r="AU1026" s="31"/>
      <c r="AV1026" s="36"/>
    </row>
    <row r="1027" spans="4:48">
      <c r="D1027" s="31"/>
      <c r="E1027" s="31"/>
      <c r="F1027" s="31"/>
      <c r="G1027" s="31"/>
      <c r="H1027" s="32"/>
      <c r="J1027" s="33"/>
      <c r="K1027" s="33"/>
      <c r="L1027" s="33"/>
      <c r="X1027" s="22"/>
      <c r="Y1027" s="22"/>
      <c r="Z1027" s="22"/>
      <c r="AA1027" s="22"/>
      <c r="AF1027" s="22"/>
      <c r="AG1027" s="22"/>
      <c r="AH1027" s="22"/>
      <c r="AI1027" s="22"/>
      <c r="AN1027" s="22"/>
      <c r="AO1027" s="22"/>
      <c r="AP1027" s="22"/>
      <c r="AQ1027" s="22"/>
      <c r="AR1027" s="35"/>
      <c r="AS1027" s="35"/>
      <c r="AT1027" s="35"/>
      <c r="AU1027" s="31"/>
      <c r="AV1027" s="36"/>
    </row>
    <row r="1028" spans="4:48">
      <c r="D1028" s="31"/>
      <c r="E1028" s="31"/>
      <c r="F1028" s="31"/>
      <c r="G1028" s="31"/>
      <c r="H1028" s="32"/>
      <c r="J1028" s="33"/>
      <c r="K1028" s="33"/>
      <c r="L1028" s="33"/>
      <c r="X1028" s="22"/>
      <c r="Y1028" s="22"/>
      <c r="Z1028" s="22"/>
      <c r="AA1028" s="22"/>
      <c r="AF1028" s="22"/>
      <c r="AG1028" s="22"/>
      <c r="AH1028" s="22"/>
      <c r="AI1028" s="22"/>
      <c r="AN1028" s="22"/>
      <c r="AO1028" s="22"/>
      <c r="AP1028" s="22"/>
      <c r="AQ1028" s="22"/>
      <c r="AR1028" s="35"/>
      <c r="AS1028" s="35"/>
      <c r="AT1028" s="35"/>
      <c r="AU1028" s="31"/>
      <c r="AV1028" s="36"/>
    </row>
    <row r="1029" spans="4:48">
      <c r="D1029" s="31"/>
      <c r="E1029" s="31"/>
      <c r="F1029" s="31"/>
      <c r="G1029" s="31"/>
      <c r="H1029" s="32"/>
      <c r="J1029" s="33"/>
      <c r="K1029" s="33"/>
      <c r="L1029" s="33"/>
      <c r="X1029" s="22"/>
      <c r="Y1029" s="22"/>
      <c r="Z1029" s="22"/>
      <c r="AA1029" s="22"/>
      <c r="AF1029" s="22"/>
      <c r="AG1029" s="22"/>
      <c r="AH1029" s="22"/>
      <c r="AI1029" s="22"/>
      <c r="AN1029" s="22"/>
      <c r="AO1029" s="22"/>
      <c r="AP1029" s="22"/>
      <c r="AQ1029" s="22"/>
      <c r="AR1029" s="35"/>
      <c r="AS1029" s="35"/>
      <c r="AT1029" s="35"/>
      <c r="AU1029" s="31"/>
      <c r="AV1029" s="36"/>
    </row>
    <row r="1030" spans="4:48">
      <c r="D1030" s="31"/>
      <c r="E1030" s="31"/>
      <c r="F1030" s="31"/>
      <c r="G1030" s="31"/>
      <c r="H1030" s="32"/>
      <c r="J1030" s="33"/>
      <c r="K1030" s="33"/>
      <c r="L1030" s="33"/>
      <c r="X1030" s="22"/>
      <c r="Y1030" s="22"/>
      <c r="Z1030" s="22"/>
      <c r="AA1030" s="22"/>
      <c r="AF1030" s="22"/>
      <c r="AG1030" s="22"/>
      <c r="AH1030" s="22"/>
      <c r="AI1030" s="22"/>
      <c r="AN1030" s="22"/>
      <c r="AO1030" s="22"/>
      <c r="AP1030" s="22"/>
      <c r="AQ1030" s="22"/>
      <c r="AR1030" s="35"/>
      <c r="AS1030" s="35"/>
      <c r="AT1030" s="35"/>
      <c r="AU1030" s="31"/>
      <c r="AV1030" s="36"/>
    </row>
    <row r="1031" spans="4:48">
      <c r="D1031" s="31"/>
      <c r="E1031" s="31"/>
      <c r="F1031" s="31"/>
      <c r="G1031" s="31"/>
      <c r="H1031" s="32"/>
      <c r="J1031" s="33"/>
      <c r="K1031" s="33"/>
      <c r="L1031" s="33"/>
      <c r="X1031" s="22"/>
      <c r="Y1031" s="22"/>
      <c r="Z1031" s="22"/>
      <c r="AA1031" s="22"/>
      <c r="AF1031" s="22"/>
      <c r="AG1031" s="22"/>
      <c r="AH1031" s="22"/>
      <c r="AI1031" s="22"/>
      <c r="AN1031" s="22"/>
      <c r="AO1031" s="22"/>
      <c r="AP1031" s="22"/>
      <c r="AQ1031" s="22"/>
      <c r="AR1031" s="35"/>
      <c r="AS1031" s="35"/>
      <c r="AT1031" s="35"/>
      <c r="AU1031" s="31"/>
      <c r="AV1031" s="36"/>
    </row>
    <row r="1032" spans="4:48">
      <c r="D1032" s="31"/>
      <c r="E1032" s="31"/>
      <c r="F1032" s="31"/>
      <c r="G1032" s="31"/>
      <c r="H1032" s="32"/>
      <c r="J1032" s="33"/>
      <c r="K1032" s="33"/>
      <c r="L1032" s="33"/>
      <c r="X1032" s="22"/>
      <c r="Y1032" s="22"/>
      <c r="Z1032" s="22"/>
      <c r="AA1032" s="22"/>
      <c r="AF1032" s="22"/>
      <c r="AG1032" s="22"/>
      <c r="AH1032" s="22"/>
      <c r="AI1032" s="22"/>
      <c r="AN1032" s="22"/>
      <c r="AO1032" s="22"/>
      <c r="AP1032" s="22"/>
      <c r="AQ1032" s="22"/>
      <c r="AR1032" s="35"/>
      <c r="AS1032" s="35"/>
      <c r="AT1032" s="35"/>
      <c r="AU1032" s="31"/>
      <c r="AV1032" s="36"/>
    </row>
    <row r="1033" spans="4:48">
      <c r="D1033" s="31"/>
      <c r="E1033" s="31"/>
      <c r="F1033" s="31"/>
      <c r="G1033" s="31"/>
      <c r="H1033" s="32"/>
      <c r="J1033" s="33"/>
      <c r="K1033" s="33"/>
      <c r="L1033" s="33"/>
      <c r="X1033" s="22"/>
      <c r="Y1033" s="22"/>
      <c r="Z1033" s="22"/>
      <c r="AA1033" s="22"/>
      <c r="AF1033" s="22"/>
      <c r="AG1033" s="22"/>
      <c r="AH1033" s="22"/>
      <c r="AI1033" s="22"/>
      <c r="AN1033" s="22"/>
      <c r="AO1033" s="22"/>
      <c r="AP1033" s="22"/>
      <c r="AQ1033" s="22"/>
      <c r="AR1033" s="35"/>
      <c r="AS1033" s="35"/>
      <c r="AT1033" s="35"/>
      <c r="AU1033" s="31"/>
      <c r="AV1033" s="36"/>
    </row>
    <row r="1034" spans="4:48">
      <c r="D1034" s="31"/>
      <c r="E1034" s="31"/>
      <c r="F1034" s="31"/>
      <c r="G1034" s="31"/>
      <c r="H1034" s="32"/>
      <c r="J1034" s="33"/>
      <c r="K1034" s="33"/>
      <c r="L1034" s="33"/>
      <c r="X1034" s="22"/>
      <c r="Y1034" s="22"/>
      <c r="Z1034" s="22"/>
      <c r="AA1034" s="22"/>
      <c r="AF1034" s="22"/>
      <c r="AG1034" s="22"/>
      <c r="AH1034" s="22"/>
      <c r="AI1034" s="22"/>
      <c r="AN1034" s="22"/>
      <c r="AO1034" s="22"/>
      <c r="AP1034" s="22"/>
      <c r="AQ1034" s="22"/>
      <c r="AR1034" s="35"/>
      <c r="AS1034" s="35"/>
      <c r="AT1034" s="35"/>
      <c r="AU1034" s="31"/>
      <c r="AV1034" s="36"/>
    </row>
    <row r="1035" spans="4:48">
      <c r="D1035" s="31"/>
      <c r="E1035" s="31"/>
      <c r="F1035" s="31"/>
      <c r="G1035" s="31"/>
      <c r="H1035" s="32"/>
      <c r="J1035" s="33"/>
      <c r="K1035" s="33"/>
      <c r="L1035" s="33"/>
      <c r="X1035" s="22"/>
      <c r="Y1035" s="22"/>
      <c r="Z1035" s="22"/>
      <c r="AA1035" s="22"/>
      <c r="AF1035" s="22"/>
      <c r="AG1035" s="22"/>
      <c r="AH1035" s="22"/>
      <c r="AI1035" s="22"/>
      <c r="AN1035" s="22"/>
      <c r="AO1035" s="22"/>
      <c r="AP1035" s="22"/>
      <c r="AQ1035" s="22"/>
      <c r="AR1035" s="35"/>
      <c r="AS1035" s="35"/>
      <c r="AT1035" s="35"/>
      <c r="AU1035" s="31"/>
      <c r="AV1035" s="36"/>
    </row>
    <row r="1036" spans="4:48">
      <c r="D1036" s="31"/>
      <c r="E1036" s="31"/>
      <c r="F1036" s="31"/>
      <c r="G1036" s="31"/>
      <c r="H1036" s="32"/>
      <c r="J1036" s="33"/>
      <c r="K1036" s="33"/>
      <c r="L1036" s="33"/>
      <c r="X1036" s="22"/>
      <c r="Y1036" s="22"/>
      <c r="Z1036" s="22"/>
      <c r="AA1036" s="22"/>
      <c r="AF1036" s="22"/>
      <c r="AG1036" s="22"/>
      <c r="AH1036" s="22"/>
      <c r="AI1036" s="22"/>
      <c r="AN1036" s="22"/>
      <c r="AO1036" s="22"/>
      <c r="AP1036" s="22"/>
      <c r="AQ1036" s="22"/>
      <c r="AR1036" s="35"/>
      <c r="AS1036" s="35"/>
      <c r="AT1036" s="35"/>
      <c r="AU1036" s="31"/>
      <c r="AV1036" s="36"/>
    </row>
    <row r="1037" spans="4:48">
      <c r="D1037" s="31"/>
      <c r="E1037" s="31"/>
      <c r="F1037" s="31"/>
      <c r="G1037" s="31"/>
      <c r="H1037" s="32"/>
      <c r="J1037" s="33"/>
      <c r="K1037" s="33"/>
      <c r="L1037" s="33"/>
      <c r="X1037" s="22"/>
      <c r="Y1037" s="22"/>
      <c r="Z1037" s="22"/>
      <c r="AA1037" s="22"/>
      <c r="AF1037" s="22"/>
      <c r="AG1037" s="22"/>
      <c r="AH1037" s="22"/>
      <c r="AI1037" s="22"/>
      <c r="AN1037" s="22"/>
      <c r="AO1037" s="22"/>
      <c r="AP1037" s="22"/>
      <c r="AQ1037" s="22"/>
      <c r="AR1037" s="35"/>
      <c r="AS1037" s="35"/>
      <c r="AT1037" s="35"/>
      <c r="AU1037" s="31"/>
      <c r="AV1037" s="36"/>
    </row>
    <row r="1038" spans="4:48">
      <c r="D1038" s="31"/>
      <c r="E1038" s="31"/>
      <c r="F1038" s="31"/>
      <c r="G1038" s="31"/>
      <c r="H1038" s="32"/>
      <c r="J1038" s="33"/>
      <c r="K1038" s="33"/>
      <c r="L1038" s="33"/>
      <c r="X1038" s="22"/>
      <c r="Y1038" s="22"/>
      <c r="Z1038" s="22"/>
      <c r="AA1038" s="22"/>
      <c r="AF1038" s="22"/>
      <c r="AG1038" s="22"/>
      <c r="AH1038" s="22"/>
      <c r="AI1038" s="22"/>
      <c r="AN1038" s="22"/>
      <c r="AO1038" s="22"/>
      <c r="AP1038" s="22"/>
      <c r="AQ1038" s="22"/>
      <c r="AR1038" s="35"/>
      <c r="AS1038" s="35"/>
      <c r="AT1038" s="35"/>
      <c r="AU1038" s="31"/>
      <c r="AV1038" s="36"/>
    </row>
    <row r="1039" spans="4:48">
      <c r="D1039" s="31"/>
      <c r="E1039" s="31"/>
      <c r="F1039" s="31"/>
      <c r="G1039" s="31"/>
      <c r="H1039" s="32"/>
      <c r="J1039" s="33"/>
      <c r="K1039" s="33"/>
      <c r="L1039" s="33"/>
      <c r="X1039" s="22"/>
      <c r="Y1039" s="22"/>
      <c r="Z1039" s="22"/>
      <c r="AA1039" s="22"/>
      <c r="AF1039" s="22"/>
      <c r="AG1039" s="22"/>
      <c r="AH1039" s="22"/>
      <c r="AI1039" s="22"/>
      <c r="AN1039" s="22"/>
      <c r="AO1039" s="22"/>
      <c r="AP1039" s="22"/>
      <c r="AQ1039" s="22"/>
      <c r="AR1039" s="35"/>
      <c r="AS1039" s="35"/>
      <c r="AT1039" s="35"/>
      <c r="AU1039" s="31"/>
      <c r="AV1039" s="36"/>
    </row>
    <row r="1040" spans="4:48">
      <c r="D1040" s="31"/>
      <c r="E1040" s="31"/>
      <c r="F1040" s="31"/>
      <c r="G1040" s="31"/>
      <c r="H1040" s="32"/>
      <c r="J1040" s="33"/>
      <c r="K1040" s="33"/>
      <c r="L1040" s="33"/>
      <c r="X1040" s="22"/>
      <c r="Y1040" s="22"/>
      <c r="Z1040" s="22"/>
      <c r="AA1040" s="22"/>
      <c r="AF1040" s="22"/>
      <c r="AG1040" s="22"/>
      <c r="AH1040" s="22"/>
      <c r="AI1040" s="22"/>
      <c r="AN1040" s="22"/>
      <c r="AO1040" s="22"/>
      <c r="AP1040" s="22"/>
      <c r="AQ1040" s="22"/>
      <c r="AR1040" s="35"/>
      <c r="AS1040" s="35"/>
      <c r="AT1040" s="35"/>
      <c r="AU1040" s="31"/>
      <c r="AV1040" s="36"/>
    </row>
    <row r="1041" spans="4:48">
      <c r="D1041" s="31"/>
      <c r="E1041" s="31"/>
      <c r="F1041" s="31"/>
      <c r="G1041" s="31"/>
      <c r="H1041" s="32"/>
      <c r="J1041" s="33"/>
      <c r="K1041" s="33"/>
      <c r="L1041" s="33"/>
      <c r="X1041" s="22"/>
      <c r="Y1041" s="22"/>
      <c r="Z1041" s="22"/>
      <c r="AA1041" s="22"/>
      <c r="AF1041" s="22"/>
      <c r="AG1041" s="22"/>
      <c r="AH1041" s="22"/>
      <c r="AI1041" s="22"/>
      <c r="AN1041" s="22"/>
      <c r="AO1041" s="22"/>
      <c r="AP1041" s="22"/>
      <c r="AQ1041" s="22"/>
      <c r="AR1041" s="35"/>
      <c r="AS1041" s="35"/>
      <c r="AT1041" s="35"/>
      <c r="AU1041" s="31"/>
      <c r="AV1041" s="36"/>
    </row>
    <row r="1042" spans="4:48">
      <c r="D1042" s="31"/>
      <c r="E1042" s="31"/>
      <c r="F1042" s="31"/>
      <c r="G1042" s="31"/>
      <c r="H1042" s="32"/>
      <c r="J1042" s="33"/>
      <c r="K1042" s="33"/>
      <c r="L1042" s="33"/>
      <c r="X1042" s="22"/>
      <c r="Y1042" s="22"/>
      <c r="Z1042" s="22"/>
      <c r="AA1042" s="22"/>
      <c r="AF1042" s="22"/>
      <c r="AG1042" s="22"/>
      <c r="AH1042" s="22"/>
      <c r="AI1042" s="22"/>
      <c r="AN1042" s="22"/>
      <c r="AO1042" s="22"/>
      <c r="AP1042" s="22"/>
      <c r="AQ1042" s="22"/>
      <c r="AR1042" s="35"/>
      <c r="AS1042" s="35"/>
      <c r="AT1042" s="35"/>
      <c r="AU1042" s="31"/>
      <c r="AV1042" s="36"/>
    </row>
    <row r="1043" spans="4:48">
      <c r="D1043" s="31"/>
      <c r="E1043" s="31"/>
      <c r="F1043" s="31"/>
      <c r="G1043" s="31"/>
      <c r="H1043" s="32"/>
      <c r="J1043" s="33"/>
      <c r="K1043" s="33"/>
      <c r="L1043" s="33"/>
      <c r="X1043" s="22"/>
      <c r="Y1043" s="22"/>
      <c r="Z1043" s="22"/>
      <c r="AA1043" s="22"/>
      <c r="AF1043" s="22"/>
      <c r="AG1043" s="22"/>
      <c r="AH1043" s="22"/>
      <c r="AI1043" s="22"/>
      <c r="AN1043" s="22"/>
      <c r="AO1043" s="22"/>
      <c r="AP1043" s="22"/>
      <c r="AQ1043" s="22"/>
      <c r="AR1043" s="35"/>
      <c r="AS1043" s="35"/>
      <c r="AT1043" s="35"/>
      <c r="AU1043" s="31"/>
      <c r="AV1043" s="36"/>
    </row>
    <row r="1044" spans="4:48">
      <c r="D1044" s="31"/>
      <c r="E1044" s="31"/>
      <c r="F1044" s="31"/>
      <c r="G1044" s="31"/>
      <c r="H1044" s="32"/>
      <c r="J1044" s="33"/>
      <c r="K1044" s="33"/>
      <c r="L1044" s="33"/>
      <c r="X1044" s="22"/>
      <c r="Y1044" s="22"/>
      <c r="Z1044" s="22"/>
      <c r="AA1044" s="22"/>
      <c r="AF1044" s="22"/>
      <c r="AG1044" s="22"/>
      <c r="AH1044" s="22"/>
      <c r="AI1044" s="22"/>
      <c r="AN1044" s="22"/>
      <c r="AO1044" s="22"/>
      <c r="AP1044" s="22"/>
      <c r="AQ1044" s="22"/>
      <c r="AR1044" s="35"/>
      <c r="AS1044" s="35"/>
      <c r="AT1044" s="35"/>
      <c r="AU1044" s="31"/>
      <c r="AV1044" s="36"/>
    </row>
    <row r="1045" spans="4:48">
      <c r="D1045" s="31"/>
      <c r="E1045" s="31"/>
      <c r="F1045" s="31"/>
      <c r="G1045" s="31"/>
      <c r="H1045" s="32"/>
      <c r="J1045" s="33"/>
      <c r="K1045" s="33"/>
      <c r="L1045" s="33"/>
      <c r="X1045" s="22"/>
      <c r="Y1045" s="22"/>
      <c r="Z1045" s="22"/>
      <c r="AA1045" s="22"/>
      <c r="AF1045" s="22"/>
      <c r="AG1045" s="22"/>
      <c r="AH1045" s="22"/>
      <c r="AI1045" s="22"/>
      <c r="AN1045" s="22"/>
      <c r="AO1045" s="22"/>
      <c r="AP1045" s="22"/>
      <c r="AQ1045" s="22"/>
      <c r="AR1045" s="35"/>
      <c r="AS1045" s="35"/>
      <c r="AT1045" s="35"/>
      <c r="AU1045" s="31"/>
      <c r="AV1045" s="36"/>
    </row>
    <row r="1046" spans="4:48">
      <c r="D1046" s="31"/>
      <c r="E1046" s="31"/>
      <c r="F1046" s="31"/>
      <c r="G1046" s="31"/>
      <c r="H1046" s="32"/>
      <c r="J1046" s="33"/>
      <c r="K1046" s="33"/>
      <c r="L1046" s="33"/>
      <c r="X1046" s="22"/>
      <c r="Y1046" s="22"/>
      <c r="Z1046" s="22"/>
      <c r="AA1046" s="22"/>
      <c r="AF1046" s="22"/>
      <c r="AG1046" s="22"/>
      <c r="AH1046" s="22"/>
      <c r="AI1046" s="22"/>
      <c r="AN1046" s="22"/>
      <c r="AO1046" s="22"/>
      <c r="AP1046" s="22"/>
      <c r="AQ1046" s="22"/>
      <c r="AR1046" s="35"/>
      <c r="AS1046" s="35"/>
      <c r="AT1046" s="35"/>
      <c r="AU1046" s="31"/>
      <c r="AV1046" s="36"/>
    </row>
    <row r="1047" spans="4:48">
      <c r="D1047" s="31"/>
      <c r="E1047" s="31"/>
      <c r="F1047" s="31"/>
      <c r="G1047" s="31"/>
      <c r="H1047" s="32"/>
      <c r="J1047" s="33"/>
      <c r="K1047" s="33"/>
      <c r="L1047" s="33"/>
      <c r="X1047" s="22"/>
      <c r="Y1047" s="22"/>
      <c r="Z1047" s="22"/>
      <c r="AA1047" s="22"/>
      <c r="AF1047" s="22"/>
      <c r="AG1047" s="22"/>
      <c r="AH1047" s="22"/>
      <c r="AI1047" s="22"/>
      <c r="AN1047" s="22"/>
      <c r="AO1047" s="22"/>
      <c r="AP1047" s="22"/>
      <c r="AQ1047" s="22"/>
      <c r="AR1047" s="35"/>
      <c r="AS1047" s="35"/>
      <c r="AT1047" s="35"/>
      <c r="AU1047" s="31"/>
      <c r="AV1047" s="36"/>
    </row>
    <row r="1048" spans="4:48">
      <c r="D1048" s="31"/>
      <c r="E1048" s="31"/>
      <c r="F1048" s="31"/>
      <c r="G1048" s="31"/>
      <c r="H1048" s="32"/>
      <c r="J1048" s="33"/>
      <c r="K1048" s="33"/>
      <c r="L1048" s="33"/>
      <c r="X1048" s="22"/>
      <c r="Y1048" s="22"/>
      <c r="Z1048" s="22"/>
      <c r="AA1048" s="22"/>
      <c r="AF1048" s="22"/>
      <c r="AG1048" s="22"/>
      <c r="AH1048" s="22"/>
      <c r="AI1048" s="22"/>
      <c r="AN1048" s="22"/>
      <c r="AO1048" s="22"/>
      <c r="AP1048" s="22"/>
      <c r="AQ1048" s="22"/>
      <c r="AR1048" s="35"/>
      <c r="AS1048" s="35"/>
      <c r="AT1048" s="35"/>
      <c r="AU1048" s="31"/>
      <c r="AV1048" s="36"/>
    </row>
    <row r="1049" spans="4:48">
      <c r="D1049" s="31"/>
      <c r="E1049" s="31"/>
      <c r="F1049" s="31"/>
      <c r="G1049" s="31"/>
      <c r="H1049" s="32"/>
      <c r="J1049" s="33"/>
      <c r="K1049" s="33"/>
      <c r="L1049" s="33"/>
      <c r="X1049" s="22"/>
      <c r="Y1049" s="22"/>
      <c r="Z1049" s="22"/>
      <c r="AA1049" s="22"/>
      <c r="AF1049" s="22"/>
      <c r="AG1049" s="22"/>
      <c r="AH1049" s="22"/>
      <c r="AI1049" s="22"/>
      <c r="AN1049" s="22"/>
      <c r="AO1049" s="22"/>
      <c r="AP1049" s="22"/>
      <c r="AQ1049" s="22"/>
      <c r="AR1049" s="35"/>
      <c r="AS1049" s="35"/>
      <c r="AT1049" s="35"/>
      <c r="AU1049" s="31"/>
      <c r="AV1049" s="36"/>
    </row>
    <row r="1050" spans="4:48">
      <c r="D1050" s="31"/>
      <c r="E1050" s="31"/>
      <c r="F1050" s="31"/>
      <c r="G1050" s="31"/>
      <c r="H1050" s="32"/>
      <c r="J1050" s="33"/>
      <c r="K1050" s="33"/>
      <c r="L1050" s="33"/>
      <c r="X1050" s="22"/>
      <c r="Y1050" s="22"/>
      <c r="Z1050" s="22"/>
      <c r="AA1050" s="22"/>
      <c r="AF1050" s="22"/>
      <c r="AG1050" s="22"/>
      <c r="AH1050" s="22"/>
      <c r="AI1050" s="22"/>
      <c r="AN1050" s="22"/>
      <c r="AO1050" s="22"/>
      <c r="AP1050" s="22"/>
      <c r="AQ1050" s="22"/>
      <c r="AR1050" s="35"/>
      <c r="AS1050" s="35"/>
      <c r="AT1050" s="35"/>
      <c r="AU1050" s="31"/>
      <c r="AV1050" s="36"/>
    </row>
    <row r="1051" spans="4:48">
      <c r="D1051" s="31"/>
      <c r="E1051" s="31"/>
      <c r="F1051" s="31"/>
      <c r="G1051" s="31"/>
      <c r="H1051" s="32"/>
      <c r="J1051" s="33"/>
      <c r="K1051" s="33"/>
      <c r="L1051" s="33"/>
      <c r="X1051" s="22"/>
      <c r="Y1051" s="22"/>
      <c r="Z1051" s="22"/>
      <c r="AA1051" s="22"/>
      <c r="AF1051" s="22"/>
      <c r="AG1051" s="22"/>
      <c r="AH1051" s="22"/>
      <c r="AI1051" s="22"/>
      <c r="AN1051" s="22"/>
      <c r="AO1051" s="22"/>
      <c r="AP1051" s="22"/>
      <c r="AQ1051" s="22"/>
      <c r="AR1051" s="35"/>
      <c r="AS1051" s="35"/>
      <c r="AT1051" s="35"/>
      <c r="AU1051" s="31"/>
      <c r="AV1051" s="36"/>
    </row>
    <row r="1052" spans="4:48">
      <c r="D1052" s="31"/>
      <c r="E1052" s="31"/>
      <c r="F1052" s="31"/>
      <c r="G1052" s="31"/>
      <c r="H1052" s="32"/>
      <c r="J1052" s="33"/>
      <c r="K1052" s="33"/>
      <c r="L1052" s="33"/>
      <c r="X1052" s="22"/>
      <c r="Y1052" s="22"/>
      <c r="Z1052" s="22"/>
      <c r="AA1052" s="22"/>
      <c r="AF1052" s="22"/>
      <c r="AG1052" s="22"/>
      <c r="AH1052" s="22"/>
      <c r="AI1052" s="22"/>
      <c r="AN1052" s="22"/>
      <c r="AO1052" s="22"/>
      <c r="AP1052" s="22"/>
      <c r="AQ1052" s="22"/>
      <c r="AR1052" s="35"/>
      <c r="AS1052" s="35"/>
      <c r="AT1052" s="35"/>
      <c r="AU1052" s="31"/>
      <c r="AV1052" s="36"/>
    </row>
    <row r="1053" spans="4:48">
      <c r="D1053" s="31"/>
      <c r="E1053" s="31"/>
      <c r="F1053" s="31"/>
      <c r="G1053" s="31"/>
      <c r="H1053" s="32"/>
      <c r="J1053" s="33"/>
      <c r="K1053" s="33"/>
      <c r="L1053" s="33"/>
      <c r="X1053" s="22"/>
      <c r="Y1053" s="22"/>
      <c r="Z1053" s="22"/>
      <c r="AA1053" s="22"/>
      <c r="AF1053" s="22"/>
      <c r="AG1053" s="22"/>
      <c r="AH1053" s="22"/>
      <c r="AI1053" s="22"/>
      <c r="AN1053" s="22"/>
      <c r="AO1053" s="22"/>
      <c r="AP1053" s="22"/>
      <c r="AQ1053" s="22"/>
      <c r="AR1053" s="35"/>
      <c r="AS1053" s="35"/>
      <c r="AT1053" s="35"/>
      <c r="AU1053" s="31"/>
      <c r="AV1053" s="36"/>
    </row>
    <row r="1054" spans="4:48">
      <c r="D1054" s="31"/>
      <c r="E1054" s="31"/>
      <c r="F1054" s="31"/>
      <c r="G1054" s="31"/>
      <c r="H1054" s="32"/>
      <c r="J1054" s="33"/>
      <c r="K1054" s="33"/>
      <c r="L1054" s="33"/>
      <c r="X1054" s="22"/>
      <c r="Y1054" s="22"/>
      <c r="Z1054" s="22"/>
      <c r="AA1054" s="22"/>
      <c r="AF1054" s="22"/>
      <c r="AG1054" s="22"/>
      <c r="AH1054" s="22"/>
      <c r="AI1054" s="22"/>
      <c r="AN1054" s="22"/>
      <c r="AO1054" s="22"/>
      <c r="AP1054" s="22"/>
      <c r="AQ1054" s="22"/>
      <c r="AR1054" s="35"/>
      <c r="AS1054" s="35"/>
      <c r="AT1054" s="35"/>
      <c r="AU1054" s="31"/>
      <c r="AV1054" s="36"/>
    </row>
    <row r="1055" spans="4:48">
      <c r="D1055" s="31"/>
      <c r="E1055" s="31"/>
      <c r="F1055" s="31"/>
      <c r="G1055" s="31"/>
      <c r="H1055" s="32"/>
      <c r="J1055" s="33"/>
      <c r="K1055" s="33"/>
      <c r="L1055" s="33"/>
      <c r="X1055" s="22"/>
      <c r="Y1055" s="22"/>
      <c r="Z1055" s="22"/>
      <c r="AA1055" s="22"/>
      <c r="AF1055" s="22"/>
      <c r="AG1055" s="22"/>
      <c r="AH1055" s="22"/>
      <c r="AI1055" s="22"/>
      <c r="AN1055" s="22"/>
      <c r="AO1055" s="22"/>
      <c r="AP1055" s="22"/>
      <c r="AQ1055" s="22"/>
      <c r="AR1055" s="35"/>
      <c r="AS1055" s="35"/>
      <c r="AT1055" s="35"/>
      <c r="AU1055" s="31"/>
      <c r="AV1055" s="36"/>
    </row>
    <row r="1056" spans="4:48">
      <c r="D1056" s="31"/>
      <c r="E1056" s="31"/>
      <c r="F1056" s="31"/>
      <c r="G1056" s="31"/>
      <c r="H1056" s="32"/>
      <c r="J1056" s="33"/>
      <c r="K1056" s="33"/>
      <c r="L1056" s="33"/>
      <c r="X1056" s="22"/>
      <c r="Y1056" s="22"/>
      <c r="Z1056" s="22"/>
      <c r="AA1056" s="22"/>
      <c r="AF1056" s="22"/>
      <c r="AG1056" s="22"/>
      <c r="AH1056" s="22"/>
      <c r="AI1056" s="22"/>
      <c r="AN1056" s="22"/>
      <c r="AO1056" s="22"/>
      <c r="AP1056" s="22"/>
      <c r="AQ1056" s="22"/>
      <c r="AR1056" s="35"/>
      <c r="AS1056" s="35"/>
      <c r="AT1056" s="35"/>
      <c r="AU1056" s="31"/>
      <c r="AV1056" s="36"/>
    </row>
    <row r="1057" spans="4:48">
      <c r="D1057" s="31"/>
      <c r="E1057" s="31"/>
      <c r="F1057" s="31"/>
      <c r="G1057" s="31"/>
      <c r="H1057" s="32"/>
      <c r="J1057" s="33"/>
      <c r="K1057" s="33"/>
      <c r="L1057" s="33"/>
      <c r="X1057" s="22"/>
      <c r="Y1057" s="22"/>
      <c r="Z1057" s="22"/>
      <c r="AA1057" s="22"/>
      <c r="AF1057" s="22"/>
      <c r="AG1057" s="22"/>
      <c r="AH1057" s="22"/>
      <c r="AI1057" s="22"/>
      <c r="AN1057" s="22"/>
      <c r="AO1057" s="22"/>
      <c r="AP1057" s="22"/>
      <c r="AQ1057" s="22"/>
      <c r="AR1057" s="35"/>
      <c r="AS1057" s="35"/>
      <c r="AT1057" s="35"/>
      <c r="AU1057" s="31"/>
      <c r="AV1057" s="36"/>
    </row>
    <row r="1058" spans="4:48">
      <c r="D1058" s="31"/>
      <c r="E1058" s="31"/>
      <c r="F1058" s="31"/>
      <c r="G1058" s="31"/>
      <c r="H1058" s="32"/>
      <c r="J1058" s="33"/>
      <c r="K1058" s="33"/>
      <c r="L1058" s="33"/>
      <c r="X1058" s="22"/>
      <c r="Y1058" s="22"/>
      <c r="Z1058" s="22"/>
      <c r="AA1058" s="22"/>
      <c r="AF1058" s="22"/>
      <c r="AG1058" s="22"/>
      <c r="AH1058" s="22"/>
      <c r="AI1058" s="22"/>
      <c r="AN1058" s="22"/>
      <c r="AO1058" s="22"/>
      <c r="AP1058" s="22"/>
      <c r="AQ1058" s="22"/>
      <c r="AR1058" s="35"/>
      <c r="AS1058" s="35"/>
      <c r="AT1058" s="35"/>
      <c r="AU1058" s="31"/>
      <c r="AV1058" s="36"/>
    </row>
    <row r="1059" spans="4:48">
      <c r="D1059" s="31"/>
      <c r="E1059" s="31"/>
      <c r="F1059" s="31"/>
      <c r="G1059" s="31"/>
      <c r="H1059" s="32"/>
      <c r="J1059" s="33"/>
      <c r="K1059" s="33"/>
      <c r="L1059" s="33"/>
      <c r="X1059" s="22"/>
      <c r="Y1059" s="22"/>
      <c r="Z1059" s="22"/>
      <c r="AA1059" s="22"/>
      <c r="AF1059" s="22"/>
      <c r="AG1059" s="22"/>
      <c r="AH1059" s="22"/>
      <c r="AI1059" s="22"/>
      <c r="AN1059" s="22"/>
      <c r="AO1059" s="22"/>
      <c r="AP1059" s="22"/>
      <c r="AQ1059" s="22"/>
      <c r="AR1059" s="35"/>
      <c r="AS1059" s="35"/>
      <c r="AT1059" s="35"/>
      <c r="AU1059" s="31"/>
      <c r="AV1059" s="36"/>
    </row>
    <row r="1060" spans="4:48">
      <c r="D1060" s="31"/>
      <c r="E1060" s="31"/>
      <c r="F1060" s="31"/>
      <c r="G1060" s="31"/>
      <c r="H1060" s="32"/>
      <c r="J1060" s="33"/>
      <c r="K1060" s="33"/>
      <c r="L1060" s="33"/>
      <c r="X1060" s="22"/>
      <c r="Y1060" s="22"/>
      <c r="Z1060" s="22"/>
      <c r="AA1060" s="22"/>
      <c r="AF1060" s="22"/>
      <c r="AG1060" s="22"/>
      <c r="AH1060" s="22"/>
      <c r="AI1060" s="22"/>
      <c r="AN1060" s="22"/>
      <c r="AO1060" s="22"/>
      <c r="AP1060" s="22"/>
      <c r="AQ1060" s="22"/>
      <c r="AR1060" s="35"/>
      <c r="AS1060" s="35"/>
      <c r="AT1060" s="35"/>
      <c r="AU1060" s="31"/>
      <c r="AV1060" s="36"/>
    </row>
    <row r="1061" spans="4:48">
      <c r="D1061" s="31"/>
      <c r="E1061" s="31"/>
      <c r="F1061" s="31"/>
      <c r="G1061" s="31"/>
      <c r="H1061" s="32"/>
      <c r="J1061" s="33"/>
      <c r="K1061" s="33"/>
      <c r="L1061" s="33"/>
      <c r="X1061" s="22"/>
      <c r="Y1061" s="22"/>
      <c r="Z1061" s="22"/>
      <c r="AA1061" s="22"/>
      <c r="AF1061" s="22"/>
      <c r="AG1061" s="22"/>
      <c r="AH1061" s="22"/>
      <c r="AI1061" s="22"/>
      <c r="AN1061" s="22"/>
      <c r="AO1061" s="22"/>
      <c r="AP1061" s="22"/>
      <c r="AQ1061" s="22"/>
      <c r="AR1061" s="35"/>
      <c r="AS1061" s="35"/>
      <c r="AT1061" s="35"/>
      <c r="AU1061" s="31"/>
      <c r="AV1061" s="36"/>
    </row>
    <row r="1062" spans="4:48">
      <c r="D1062" s="31"/>
      <c r="E1062" s="31"/>
      <c r="F1062" s="31"/>
      <c r="G1062" s="31"/>
      <c r="H1062" s="32"/>
      <c r="J1062" s="33"/>
      <c r="K1062" s="33"/>
      <c r="L1062" s="33"/>
      <c r="X1062" s="22"/>
      <c r="Y1062" s="22"/>
      <c r="Z1062" s="22"/>
      <c r="AA1062" s="22"/>
      <c r="AF1062" s="22"/>
      <c r="AG1062" s="22"/>
      <c r="AH1062" s="22"/>
      <c r="AI1062" s="22"/>
      <c r="AN1062" s="22"/>
      <c r="AO1062" s="22"/>
      <c r="AP1062" s="22"/>
      <c r="AQ1062" s="22"/>
      <c r="AR1062" s="35"/>
      <c r="AS1062" s="35"/>
      <c r="AT1062" s="35"/>
      <c r="AU1062" s="31"/>
      <c r="AV1062" s="36"/>
    </row>
    <row r="1063" spans="4:48">
      <c r="D1063" s="31"/>
      <c r="E1063" s="31"/>
      <c r="F1063" s="31"/>
      <c r="G1063" s="31"/>
      <c r="H1063" s="32"/>
      <c r="J1063" s="33"/>
      <c r="K1063" s="33"/>
      <c r="L1063" s="33"/>
      <c r="X1063" s="22"/>
      <c r="Y1063" s="22"/>
      <c r="Z1063" s="22"/>
      <c r="AA1063" s="22"/>
      <c r="AF1063" s="22"/>
      <c r="AG1063" s="22"/>
      <c r="AH1063" s="22"/>
      <c r="AI1063" s="22"/>
      <c r="AN1063" s="22"/>
      <c r="AO1063" s="22"/>
      <c r="AP1063" s="22"/>
      <c r="AQ1063" s="22"/>
      <c r="AR1063" s="35"/>
      <c r="AS1063" s="35"/>
      <c r="AT1063" s="35"/>
      <c r="AU1063" s="31"/>
      <c r="AV1063" s="36"/>
    </row>
    <row r="1064" spans="4:48">
      <c r="D1064" s="31"/>
      <c r="E1064" s="31"/>
      <c r="F1064" s="31"/>
      <c r="G1064" s="31"/>
      <c r="H1064" s="32"/>
      <c r="J1064" s="33"/>
      <c r="K1064" s="33"/>
      <c r="L1064" s="33"/>
      <c r="X1064" s="22"/>
      <c r="Y1064" s="22"/>
      <c r="Z1064" s="22"/>
      <c r="AA1064" s="22"/>
      <c r="AF1064" s="22"/>
      <c r="AG1064" s="22"/>
      <c r="AH1064" s="22"/>
      <c r="AI1064" s="22"/>
      <c r="AN1064" s="22"/>
      <c r="AO1064" s="22"/>
      <c r="AP1064" s="22"/>
      <c r="AQ1064" s="22"/>
      <c r="AR1064" s="35"/>
      <c r="AS1064" s="35"/>
      <c r="AT1064" s="35"/>
      <c r="AU1064" s="31"/>
      <c r="AV1064" s="36"/>
    </row>
    <row r="1065" spans="4:48">
      <c r="D1065" s="31"/>
      <c r="E1065" s="31"/>
      <c r="F1065" s="31"/>
      <c r="G1065" s="31"/>
      <c r="H1065" s="32"/>
      <c r="J1065" s="33"/>
      <c r="K1065" s="33"/>
      <c r="L1065" s="33"/>
      <c r="X1065" s="22"/>
      <c r="Y1065" s="22"/>
      <c r="Z1065" s="22"/>
      <c r="AA1065" s="22"/>
      <c r="AF1065" s="22"/>
      <c r="AG1065" s="22"/>
      <c r="AH1065" s="22"/>
      <c r="AI1065" s="22"/>
      <c r="AN1065" s="22"/>
      <c r="AO1065" s="22"/>
      <c r="AP1065" s="22"/>
      <c r="AQ1065" s="22"/>
      <c r="AR1065" s="35"/>
      <c r="AS1065" s="35"/>
      <c r="AT1065" s="35"/>
      <c r="AU1065" s="31"/>
      <c r="AV1065" s="36"/>
    </row>
    <row r="1066" spans="4:48">
      <c r="D1066" s="31"/>
      <c r="E1066" s="31"/>
      <c r="F1066" s="31"/>
      <c r="G1066" s="31"/>
      <c r="H1066" s="32"/>
      <c r="J1066" s="33"/>
      <c r="K1066" s="33"/>
      <c r="L1066" s="33"/>
      <c r="X1066" s="22"/>
      <c r="Y1066" s="22"/>
      <c r="Z1066" s="22"/>
      <c r="AA1066" s="22"/>
      <c r="AF1066" s="22"/>
      <c r="AG1066" s="22"/>
      <c r="AH1066" s="22"/>
      <c r="AI1066" s="22"/>
      <c r="AN1066" s="22"/>
      <c r="AO1066" s="22"/>
      <c r="AP1066" s="22"/>
      <c r="AQ1066" s="22"/>
      <c r="AR1066" s="35"/>
      <c r="AS1066" s="35"/>
      <c r="AT1066" s="35"/>
      <c r="AU1066" s="31"/>
      <c r="AV1066" s="36"/>
    </row>
    <row r="1067" spans="4:48">
      <c r="D1067" s="31"/>
      <c r="E1067" s="31"/>
      <c r="F1067" s="31"/>
      <c r="G1067" s="31"/>
      <c r="H1067" s="32"/>
      <c r="J1067" s="33"/>
      <c r="K1067" s="33"/>
      <c r="L1067" s="33"/>
      <c r="X1067" s="22"/>
      <c r="Y1067" s="22"/>
      <c r="Z1067" s="22"/>
      <c r="AA1067" s="22"/>
      <c r="AF1067" s="22"/>
      <c r="AG1067" s="22"/>
      <c r="AH1067" s="22"/>
      <c r="AI1067" s="22"/>
      <c r="AN1067" s="22"/>
      <c r="AO1067" s="22"/>
      <c r="AP1067" s="22"/>
      <c r="AQ1067" s="22"/>
      <c r="AR1067" s="35"/>
      <c r="AS1067" s="35"/>
      <c r="AT1067" s="35"/>
      <c r="AU1067" s="31"/>
      <c r="AV1067" s="36"/>
    </row>
    <row r="1068" spans="4:48">
      <c r="D1068" s="31"/>
      <c r="E1068" s="31"/>
      <c r="F1068" s="31"/>
      <c r="G1068" s="31"/>
      <c r="H1068" s="32"/>
      <c r="J1068" s="33"/>
      <c r="K1068" s="33"/>
      <c r="L1068" s="33"/>
      <c r="X1068" s="22"/>
      <c r="Y1068" s="22"/>
      <c r="Z1068" s="22"/>
      <c r="AA1068" s="22"/>
      <c r="AF1068" s="22"/>
      <c r="AG1068" s="22"/>
      <c r="AH1068" s="22"/>
      <c r="AI1068" s="22"/>
      <c r="AN1068" s="22"/>
      <c r="AO1068" s="22"/>
      <c r="AP1068" s="22"/>
      <c r="AQ1068" s="22"/>
      <c r="AR1068" s="35"/>
      <c r="AS1068" s="35"/>
      <c r="AT1068" s="35"/>
      <c r="AU1068" s="31"/>
      <c r="AV1068" s="36"/>
    </row>
    <row r="1069" spans="4:48">
      <c r="D1069" s="31"/>
      <c r="E1069" s="31"/>
      <c r="F1069" s="31"/>
      <c r="G1069" s="31"/>
      <c r="H1069" s="32"/>
      <c r="J1069" s="33"/>
      <c r="K1069" s="33"/>
      <c r="L1069" s="33"/>
      <c r="X1069" s="22"/>
      <c r="Y1069" s="22"/>
      <c r="Z1069" s="22"/>
      <c r="AA1069" s="22"/>
      <c r="AF1069" s="22"/>
      <c r="AG1069" s="22"/>
      <c r="AH1069" s="22"/>
      <c r="AI1069" s="22"/>
      <c r="AN1069" s="22"/>
      <c r="AO1069" s="22"/>
      <c r="AP1069" s="22"/>
      <c r="AQ1069" s="22"/>
      <c r="AR1069" s="35"/>
      <c r="AS1069" s="35"/>
      <c r="AT1069" s="35"/>
      <c r="AU1069" s="31"/>
      <c r="AV1069" s="36"/>
    </row>
    <row r="1070" spans="4:48">
      <c r="D1070" s="31"/>
      <c r="E1070" s="31"/>
      <c r="F1070" s="31"/>
      <c r="G1070" s="31"/>
      <c r="H1070" s="32"/>
      <c r="J1070" s="33"/>
      <c r="K1070" s="33"/>
      <c r="L1070" s="33"/>
      <c r="X1070" s="22"/>
      <c r="Y1070" s="22"/>
      <c r="Z1070" s="22"/>
      <c r="AA1070" s="22"/>
      <c r="AF1070" s="22"/>
      <c r="AG1070" s="22"/>
      <c r="AH1070" s="22"/>
      <c r="AI1070" s="22"/>
      <c r="AN1070" s="22"/>
      <c r="AO1070" s="22"/>
      <c r="AP1070" s="22"/>
      <c r="AQ1070" s="22"/>
      <c r="AR1070" s="35"/>
      <c r="AS1070" s="35"/>
      <c r="AT1070" s="35"/>
      <c r="AU1070" s="31"/>
      <c r="AV1070" s="36"/>
    </row>
    <row r="1071" spans="4:48">
      <c r="D1071" s="31"/>
      <c r="E1071" s="31"/>
      <c r="F1071" s="31"/>
      <c r="G1071" s="31"/>
      <c r="H1071" s="32"/>
      <c r="J1071" s="33"/>
      <c r="K1071" s="33"/>
      <c r="L1071" s="33"/>
      <c r="X1071" s="22"/>
      <c r="Y1071" s="22"/>
      <c r="Z1071" s="22"/>
      <c r="AA1071" s="22"/>
      <c r="AF1071" s="22"/>
      <c r="AG1071" s="22"/>
      <c r="AH1071" s="22"/>
      <c r="AI1071" s="22"/>
      <c r="AN1071" s="22"/>
      <c r="AO1071" s="22"/>
      <c r="AP1071" s="22"/>
      <c r="AQ1071" s="22"/>
      <c r="AR1071" s="35"/>
      <c r="AS1071" s="35"/>
      <c r="AT1071" s="35"/>
      <c r="AU1071" s="31"/>
      <c r="AV1071" s="36"/>
    </row>
    <row r="1072" spans="4:48">
      <c r="D1072" s="31"/>
      <c r="E1072" s="31"/>
      <c r="F1072" s="31"/>
      <c r="G1072" s="31"/>
      <c r="H1072" s="32"/>
      <c r="J1072" s="33"/>
      <c r="K1072" s="33"/>
      <c r="L1072" s="33"/>
      <c r="X1072" s="22"/>
      <c r="Y1072" s="22"/>
      <c r="Z1072" s="22"/>
      <c r="AA1072" s="22"/>
      <c r="AF1072" s="22"/>
      <c r="AG1072" s="22"/>
      <c r="AH1072" s="22"/>
      <c r="AI1072" s="22"/>
      <c r="AN1072" s="22"/>
      <c r="AO1072" s="22"/>
      <c r="AP1072" s="22"/>
      <c r="AQ1072" s="22"/>
      <c r="AR1072" s="35"/>
      <c r="AS1072" s="35"/>
      <c r="AT1072" s="35"/>
      <c r="AU1072" s="31"/>
      <c r="AV1072" s="36"/>
    </row>
    <row r="1073" spans="4:48">
      <c r="D1073" s="31"/>
      <c r="E1073" s="31"/>
      <c r="F1073" s="31"/>
      <c r="G1073" s="31"/>
      <c r="H1073" s="32"/>
      <c r="J1073" s="33"/>
      <c r="K1073" s="33"/>
      <c r="L1073" s="33"/>
      <c r="X1073" s="22"/>
      <c r="Y1073" s="22"/>
      <c r="Z1073" s="22"/>
      <c r="AA1073" s="22"/>
      <c r="AF1073" s="22"/>
      <c r="AG1073" s="22"/>
      <c r="AH1073" s="22"/>
      <c r="AI1073" s="22"/>
      <c r="AN1073" s="22"/>
      <c r="AO1073" s="22"/>
      <c r="AP1073" s="22"/>
      <c r="AQ1073" s="22"/>
      <c r="AR1073" s="35"/>
      <c r="AS1073" s="35"/>
      <c r="AT1073" s="35"/>
      <c r="AU1073" s="31"/>
      <c r="AV1073" s="36"/>
    </row>
    <row r="1074" spans="4:48">
      <c r="D1074" s="31"/>
      <c r="E1074" s="31"/>
      <c r="F1074" s="31"/>
      <c r="G1074" s="31"/>
      <c r="H1074" s="32"/>
      <c r="J1074" s="33"/>
      <c r="K1074" s="33"/>
      <c r="L1074" s="33"/>
      <c r="X1074" s="22"/>
      <c r="Y1074" s="22"/>
      <c r="Z1074" s="22"/>
      <c r="AA1074" s="22"/>
      <c r="AF1074" s="22"/>
      <c r="AG1074" s="22"/>
      <c r="AH1074" s="22"/>
      <c r="AI1074" s="22"/>
      <c r="AN1074" s="22"/>
      <c r="AO1074" s="22"/>
      <c r="AP1074" s="22"/>
      <c r="AQ1074" s="22"/>
      <c r="AR1074" s="35"/>
      <c r="AS1074" s="35"/>
      <c r="AT1074" s="35"/>
      <c r="AU1074" s="31"/>
      <c r="AV1074" s="36"/>
    </row>
    <row r="1075" spans="4:48">
      <c r="D1075" s="31"/>
      <c r="E1075" s="31"/>
      <c r="F1075" s="31"/>
      <c r="G1075" s="31"/>
      <c r="H1075" s="32"/>
      <c r="J1075" s="33"/>
      <c r="K1075" s="33"/>
      <c r="L1075" s="33"/>
      <c r="X1075" s="22"/>
      <c r="Y1075" s="22"/>
      <c r="Z1075" s="22"/>
      <c r="AA1075" s="22"/>
      <c r="AF1075" s="22"/>
      <c r="AG1075" s="22"/>
      <c r="AH1075" s="22"/>
      <c r="AI1075" s="22"/>
      <c r="AN1075" s="22"/>
      <c r="AO1075" s="22"/>
      <c r="AP1075" s="22"/>
      <c r="AQ1075" s="22"/>
      <c r="AR1075" s="35"/>
      <c r="AS1075" s="35"/>
      <c r="AT1075" s="35"/>
      <c r="AU1075" s="31"/>
      <c r="AV1075" s="36"/>
    </row>
    <row r="1076" spans="4:48">
      <c r="D1076" s="31"/>
      <c r="E1076" s="31"/>
      <c r="F1076" s="31"/>
      <c r="G1076" s="31"/>
      <c r="H1076" s="32"/>
      <c r="J1076" s="33"/>
      <c r="K1076" s="33"/>
      <c r="L1076" s="33"/>
      <c r="X1076" s="22"/>
      <c r="Y1076" s="22"/>
      <c r="Z1076" s="22"/>
      <c r="AA1076" s="22"/>
      <c r="AF1076" s="22"/>
      <c r="AG1076" s="22"/>
      <c r="AH1076" s="22"/>
      <c r="AI1076" s="22"/>
      <c r="AN1076" s="22"/>
      <c r="AO1076" s="22"/>
      <c r="AP1076" s="22"/>
      <c r="AQ1076" s="22"/>
      <c r="AR1076" s="35"/>
      <c r="AS1076" s="35"/>
      <c r="AT1076" s="35"/>
      <c r="AU1076" s="31"/>
      <c r="AV1076" s="36"/>
    </row>
    <row r="1077" spans="4:48">
      <c r="D1077" s="31"/>
      <c r="E1077" s="31"/>
      <c r="F1077" s="31"/>
      <c r="G1077" s="31"/>
      <c r="H1077" s="32"/>
      <c r="J1077" s="33"/>
      <c r="K1077" s="33"/>
      <c r="L1077" s="33"/>
      <c r="X1077" s="22"/>
      <c r="Y1077" s="22"/>
      <c r="Z1077" s="22"/>
      <c r="AA1077" s="22"/>
      <c r="AF1077" s="22"/>
      <c r="AG1077" s="22"/>
      <c r="AH1077" s="22"/>
      <c r="AI1077" s="22"/>
      <c r="AN1077" s="22"/>
      <c r="AO1077" s="22"/>
      <c r="AP1077" s="22"/>
      <c r="AQ1077" s="22"/>
      <c r="AR1077" s="35"/>
      <c r="AS1077" s="35"/>
      <c r="AT1077" s="35"/>
      <c r="AU1077" s="31"/>
      <c r="AV1077" s="36"/>
    </row>
    <row r="1078" spans="4:48">
      <c r="D1078" s="31"/>
      <c r="E1078" s="31"/>
      <c r="F1078" s="31"/>
      <c r="G1078" s="31"/>
      <c r="H1078" s="32"/>
      <c r="J1078" s="33"/>
      <c r="K1078" s="33"/>
      <c r="L1078" s="33"/>
      <c r="X1078" s="22"/>
      <c r="Y1078" s="22"/>
      <c r="Z1078" s="22"/>
      <c r="AA1078" s="22"/>
      <c r="AF1078" s="22"/>
      <c r="AG1078" s="22"/>
      <c r="AH1078" s="22"/>
      <c r="AI1078" s="22"/>
      <c r="AN1078" s="22"/>
      <c r="AO1078" s="22"/>
      <c r="AP1078" s="22"/>
      <c r="AQ1078" s="22"/>
      <c r="AR1078" s="35"/>
      <c r="AS1078" s="35"/>
      <c r="AT1078" s="35"/>
      <c r="AU1078" s="31"/>
      <c r="AV1078" s="36"/>
    </row>
    <row r="1079" spans="4:48">
      <c r="D1079" s="31"/>
      <c r="E1079" s="31"/>
      <c r="F1079" s="31"/>
      <c r="G1079" s="31"/>
      <c r="H1079" s="32"/>
      <c r="J1079" s="33"/>
      <c r="K1079" s="33"/>
      <c r="L1079" s="33"/>
      <c r="X1079" s="22"/>
      <c r="Y1079" s="22"/>
      <c r="Z1079" s="22"/>
      <c r="AA1079" s="22"/>
      <c r="AF1079" s="22"/>
      <c r="AG1079" s="22"/>
      <c r="AH1079" s="22"/>
      <c r="AI1079" s="22"/>
      <c r="AN1079" s="22"/>
      <c r="AO1079" s="22"/>
      <c r="AP1079" s="22"/>
      <c r="AQ1079" s="22"/>
      <c r="AR1079" s="35"/>
      <c r="AS1079" s="35"/>
      <c r="AT1079" s="35"/>
      <c r="AU1079" s="31"/>
      <c r="AV1079" s="36"/>
    </row>
    <row r="1080" spans="4:48">
      <c r="D1080" s="31"/>
      <c r="E1080" s="31"/>
      <c r="F1080" s="31"/>
      <c r="G1080" s="31"/>
      <c r="H1080" s="32"/>
      <c r="J1080" s="33"/>
      <c r="K1080" s="33"/>
      <c r="L1080" s="33"/>
      <c r="X1080" s="22"/>
      <c r="Y1080" s="22"/>
      <c r="Z1080" s="22"/>
      <c r="AA1080" s="22"/>
      <c r="AF1080" s="22"/>
      <c r="AG1080" s="22"/>
      <c r="AH1080" s="22"/>
      <c r="AI1080" s="22"/>
      <c r="AN1080" s="22"/>
      <c r="AO1080" s="22"/>
      <c r="AP1080" s="22"/>
      <c r="AQ1080" s="22"/>
      <c r="AR1080" s="35"/>
      <c r="AS1080" s="35"/>
      <c r="AT1080" s="35"/>
      <c r="AU1080" s="31"/>
      <c r="AV1080" s="36"/>
    </row>
    <row r="1081" spans="4:48">
      <c r="D1081" s="31"/>
      <c r="E1081" s="31"/>
      <c r="F1081" s="31"/>
      <c r="G1081" s="31"/>
      <c r="H1081" s="32"/>
      <c r="J1081" s="33"/>
      <c r="K1081" s="33"/>
      <c r="L1081" s="33"/>
      <c r="X1081" s="22"/>
      <c r="Y1081" s="22"/>
      <c r="Z1081" s="22"/>
      <c r="AA1081" s="22"/>
      <c r="AF1081" s="22"/>
      <c r="AG1081" s="22"/>
      <c r="AH1081" s="22"/>
      <c r="AI1081" s="22"/>
      <c r="AN1081" s="22"/>
      <c r="AO1081" s="22"/>
      <c r="AP1081" s="22"/>
      <c r="AQ1081" s="22"/>
      <c r="AR1081" s="35"/>
      <c r="AS1081" s="35"/>
      <c r="AT1081" s="35"/>
      <c r="AU1081" s="31"/>
      <c r="AV1081" s="36"/>
    </row>
    <row r="1082" spans="4:48">
      <c r="D1082" s="31"/>
      <c r="E1082" s="31"/>
      <c r="F1082" s="31"/>
      <c r="G1082" s="31"/>
      <c r="H1082" s="32"/>
      <c r="J1082" s="33"/>
      <c r="K1082" s="33"/>
      <c r="L1082" s="33"/>
      <c r="X1082" s="22"/>
      <c r="Y1082" s="22"/>
      <c r="Z1082" s="22"/>
      <c r="AA1082" s="22"/>
      <c r="AF1082" s="22"/>
      <c r="AG1082" s="22"/>
      <c r="AH1082" s="22"/>
      <c r="AI1082" s="22"/>
      <c r="AN1082" s="22"/>
      <c r="AO1082" s="22"/>
      <c r="AP1082" s="22"/>
      <c r="AQ1082" s="22"/>
      <c r="AR1082" s="35"/>
      <c r="AS1082" s="35"/>
      <c r="AT1082" s="35"/>
      <c r="AU1082" s="31"/>
      <c r="AV1082" s="36"/>
    </row>
    <row r="1083" spans="4:48">
      <c r="D1083" s="31"/>
      <c r="E1083" s="31"/>
      <c r="F1083" s="31"/>
      <c r="G1083" s="31"/>
      <c r="H1083" s="32"/>
      <c r="J1083" s="33"/>
      <c r="K1083" s="33"/>
      <c r="L1083" s="33"/>
      <c r="X1083" s="22"/>
      <c r="Y1083" s="22"/>
      <c r="Z1083" s="22"/>
      <c r="AA1083" s="22"/>
      <c r="AF1083" s="22"/>
      <c r="AG1083" s="22"/>
      <c r="AH1083" s="22"/>
      <c r="AI1083" s="22"/>
      <c r="AN1083" s="22"/>
      <c r="AO1083" s="22"/>
      <c r="AP1083" s="22"/>
      <c r="AQ1083" s="22"/>
      <c r="AR1083" s="35"/>
      <c r="AS1083" s="35"/>
      <c r="AT1083" s="35"/>
      <c r="AU1083" s="31"/>
      <c r="AV1083" s="36"/>
    </row>
    <row r="1084" spans="4:48">
      <c r="D1084" s="31"/>
      <c r="E1084" s="31"/>
      <c r="F1084" s="31"/>
      <c r="G1084" s="31"/>
      <c r="H1084" s="32"/>
      <c r="J1084" s="33"/>
      <c r="K1084" s="33"/>
      <c r="L1084" s="33"/>
      <c r="X1084" s="22"/>
      <c r="Y1084" s="22"/>
      <c r="Z1084" s="22"/>
      <c r="AA1084" s="22"/>
      <c r="AF1084" s="22"/>
      <c r="AG1084" s="22"/>
      <c r="AH1084" s="22"/>
      <c r="AI1084" s="22"/>
      <c r="AN1084" s="22"/>
      <c r="AO1084" s="22"/>
      <c r="AP1084" s="22"/>
      <c r="AQ1084" s="22"/>
      <c r="AR1084" s="35"/>
      <c r="AS1084" s="35"/>
      <c r="AT1084" s="35"/>
      <c r="AU1084" s="31"/>
      <c r="AV1084" s="36"/>
    </row>
    <row r="1085" spans="4:48">
      <c r="D1085" s="31"/>
      <c r="E1085" s="31"/>
      <c r="F1085" s="31"/>
      <c r="G1085" s="31"/>
      <c r="H1085" s="32"/>
      <c r="J1085" s="33"/>
      <c r="K1085" s="33"/>
      <c r="L1085" s="33"/>
      <c r="X1085" s="22"/>
      <c r="Y1085" s="22"/>
      <c r="Z1085" s="22"/>
      <c r="AA1085" s="22"/>
      <c r="AF1085" s="22"/>
      <c r="AG1085" s="22"/>
      <c r="AH1085" s="22"/>
      <c r="AI1085" s="22"/>
      <c r="AN1085" s="22"/>
      <c r="AO1085" s="22"/>
      <c r="AP1085" s="22"/>
      <c r="AQ1085" s="22"/>
      <c r="AR1085" s="35"/>
      <c r="AS1085" s="35"/>
      <c r="AT1085" s="35"/>
      <c r="AU1085" s="31"/>
      <c r="AV1085" s="36"/>
    </row>
    <row r="1086" spans="4:48">
      <c r="D1086" s="31"/>
      <c r="E1086" s="31"/>
      <c r="F1086" s="31"/>
      <c r="G1086" s="31"/>
      <c r="H1086" s="32"/>
      <c r="J1086" s="33"/>
      <c r="K1086" s="33"/>
      <c r="L1086" s="33"/>
      <c r="X1086" s="22"/>
      <c r="Y1086" s="22"/>
      <c r="Z1086" s="22"/>
      <c r="AA1086" s="22"/>
      <c r="AF1086" s="22"/>
      <c r="AG1086" s="22"/>
      <c r="AH1086" s="22"/>
      <c r="AI1086" s="22"/>
      <c r="AN1086" s="22"/>
      <c r="AO1086" s="22"/>
      <c r="AP1086" s="22"/>
      <c r="AQ1086" s="22"/>
      <c r="AR1086" s="35"/>
      <c r="AS1086" s="35"/>
      <c r="AT1086" s="35"/>
      <c r="AU1086" s="31"/>
      <c r="AV1086" s="36"/>
    </row>
    <row r="1087" spans="4:48">
      <c r="D1087" s="31"/>
      <c r="E1087" s="31"/>
      <c r="F1087" s="31"/>
      <c r="G1087" s="31"/>
      <c r="H1087" s="32"/>
      <c r="J1087" s="33"/>
      <c r="K1087" s="33"/>
      <c r="L1087" s="33"/>
      <c r="X1087" s="22"/>
      <c r="Y1087" s="22"/>
      <c r="Z1087" s="22"/>
      <c r="AA1087" s="22"/>
      <c r="AF1087" s="22"/>
      <c r="AG1087" s="22"/>
      <c r="AH1087" s="22"/>
      <c r="AI1087" s="22"/>
      <c r="AN1087" s="22"/>
      <c r="AO1087" s="22"/>
      <c r="AP1087" s="22"/>
      <c r="AQ1087" s="22"/>
      <c r="AR1087" s="35"/>
      <c r="AS1087" s="35"/>
      <c r="AT1087" s="35"/>
      <c r="AU1087" s="31"/>
      <c r="AV1087" s="36"/>
    </row>
    <row r="1088" spans="4:48">
      <c r="D1088" s="31"/>
      <c r="E1088" s="31"/>
      <c r="F1088" s="31"/>
      <c r="G1088" s="31"/>
      <c r="H1088" s="32"/>
      <c r="J1088" s="33"/>
      <c r="K1088" s="33"/>
      <c r="L1088" s="33"/>
      <c r="X1088" s="22"/>
      <c r="Y1088" s="22"/>
      <c r="Z1088" s="22"/>
      <c r="AA1088" s="22"/>
      <c r="AF1088" s="22"/>
      <c r="AG1088" s="22"/>
      <c r="AH1088" s="22"/>
      <c r="AI1088" s="22"/>
      <c r="AN1088" s="22"/>
      <c r="AO1088" s="22"/>
      <c r="AP1088" s="22"/>
      <c r="AQ1088" s="22"/>
      <c r="AR1088" s="35"/>
      <c r="AS1088" s="35"/>
      <c r="AT1088" s="35"/>
      <c r="AU1088" s="31"/>
      <c r="AV1088" s="36"/>
    </row>
    <row r="1089" spans="4:48">
      <c r="D1089" s="31"/>
      <c r="E1089" s="31"/>
      <c r="F1089" s="31"/>
      <c r="G1089" s="31"/>
      <c r="H1089" s="32"/>
      <c r="J1089" s="33"/>
      <c r="K1089" s="33"/>
      <c r="L1089" s="33"/>
      <c r="X1089" s="22"/>
      <c r="Y1089" s="22"/>
      <c r="Z1089" s="22"/>
      <c r="AA1089" s="22"/>
      <c r="AF1089" s="22"/>
      <c r="AG1089" s="22"/>
      <c r="AH1089" s="22"/>
      <c r="AI1089" s="22"/>
      <c r="AN1089" s="22"/>
      <c r="AO1089" s="22"/>
      <c r="AP1089" s="22"/>
      <c r="AQ1089" s="22"/>
      <c r="AR1089" s="35"/>
      <c r="AS1089" s="35"/>
      <c r="AT1089" s="35"/>
      <c r="AU1089" s="31"/>
      <c r="AV1089" s="36"/>
    </row>
    <row r="1090" spans="4:48">
      <c r="D1090" s="31"/>
      <c r="E1090" s="31"/>
      <c r="F1090" s="31"/>
      <c r="G1090" s="31"/>
      <c r="H1090" s="32"/>
      <c r="J1090" s="33"/>
      <c r="K1090" s="33"/>
      <c r="L1090" s="33"/>
      <c r="X1090" s="22"/>
      <c r="Y1090" s="22"/>
      <c r="Z1090" s="22"/>
      <c r="AA1090" s="22"/>
      <c r="AF1090" s="22"/>
      <c r="AG1090" s="22"/>
      <c r="AH1090" s="22"/>
      <c r="AI1090" s="22"/>
      <c r="AN1090" s="22"/>
      <c r="AO1090" s="22"/>
      <c r="AP1090" s="22"/>
      <c r="AQ1090" s="22"/>
      <c r="AR1090" s="35"/>
      <c r="AS1090" s="35"/>
      <c r="AT1090" s="35"/>
      <c r="AU1090" s="31"/>
      <c r="AV1090" s="36"/>
    </row>
    <row r="1091" spans="4:48">
      <c r="D1091" s="31"/>
      <c r="E1091" s="31"/>
      <c r="F1091" s="31"/>
      <c r="G1091" s="31"/>
      <c r="H1091" s="32"/>
      <c r="J1091" s="33"/>
      <c r="K1091" s="33"/>
      <c r="L1091" s="33"/>
      <c r="X1091" s="22"/>
      <c r="Y1091" s="22"/>
      <c r="Z1091" s="22"/>
      <c r="AA1091" s="22"/>
      <c r="AF1091" s="22"/>
      <c r="AG1091" s="22"/>
      <c r="AH1091" s="22"/>
      <c r="AI1091" s="22"/>
      <c r="AN1091" s="22"/>
      <c r="AO1091" s="22"/>
      <c r="AP1091" s="22"/>
      <c r="AQ1091" s="22"/>
      <c r="AR1091" s="35"/>
      <c r="AS1091" s="35"/>
      <c r="AT1091" s="35"/>
      <c r="AU1091" s="31"/>
      <c r="AV1091" s="36"/>
    </row>
    <row r="1092" spans="4:48">
      <c r="D1092" s="31"/>
      <c r="E1092" s="31"/>
      <c r="F1092" s="31"/>
      <c r="G1092" s="31"/>
      <c r="H1092" s="32"/>
      <c r="J1092" s="33"/>
      <c r="K1092" s="33"/>
      <c r="L1092" s="33"/>
      <c r="X1092" s="22"/>
      <c r="Y1092" s="22"/>
      <c r="Z1092" s="22"/>
      <c r="AA1092" s="22"/>
      <c r="AF1092" s="22"/>
      <c r="AG1092" s="22"/>
      <c r="AH1092" s="22"/>
      <c r="AI1092" s="22"/>
      <c r="AN1092" s="22"/>
      <c r="AO1092" s="22"/>
      <c r="AP1092" s="22"/>
      <c r="AQ1092" s="22"/>
      <c r="AR1092" s="35"/>
      <c r="AS1092" s="35"/>
      <c r="AT1092" s="35"/>
      <c r="AU1092" s="31"/>
      <c r="AV1092" s="36"/>
    </row>
    <row r="1093" spans="4:48">
      <c r="D1093" s="31"/>
      <c r="E1093" s="31"/>
      <c r="F1093" s="31"/>
      <c r="G1093" s="31"/>
      <c r="H1093" s="32"/>
      <c r="J1093" s="33"/>
      <c r="K1093" s="33"/>
      <c r="L1093" s="33"/>
      <c r="X1093" s="22"/>
      <c r="Y1093" s="22"/>
      <c r="Z1093" s="22"/>
      <c r="AA1093" s="22"/>
      <c r="AF1093" s="22"/>
      <c r="AG1093" s="22"/>
      <c r="AH1093" s="22"/>
      <c r="AI1093" s="22"/>
      <c r="AN1093" s="22"/>
      <c r="AO1093" s="22"/>
      <c r="AP1093" s="22"/>
      <c r="AQ1093" s="22"/>
      <c r="AR1093" s="35"/>
      <c r="AS1093" s="35"/>
      <c r="AT1093" s="35"/>
      <c r="AU1093" s="31"/>
      <c r="AV1093" s="36"/>
    </row>
    <row r="1094" spans="4:48">
      <c r="D1094" s="31"/>
      <c r="E1094" s="31"/>
      <c r="F1094" s="31"/>
      <c r="G1094" s="31"/>
      <c r="H1094" s="32"/>
      <c r="J1094" s="33"/>
      <c r="K1094" s="33"/>
      <c r="L1094" s="33"/>
      <c r="X1094" s="22"/>
      <c r="Y1094" s="22"/>
      <c r="Z1094" s="22"/>
      <c r="AA1094" s="22"/>
      <c r="AF1094" s="22"/>
      <c r="AG1094" s="22"/>
      <c r="AH1094" s="22"/>
      <c r="AI1094" s="22"/>
      <c r="AN1094" s="22"/>
      <c r="AO1094" s="22"/>
      <c r="AP1094" s="22"/>
      <c r="AQ1094" s="22"/>
      <c r="AR1094" s="35"/>
      <c r="AS1094" s="35"/>
      <c r="AT1094" s="35"/>
      <c r="AU1094" s="31"/>
      <c r="AV1094" s="36"/>
    </row>
    <row r="1095" spans="4:48">
      <c r="D1095" s="31"/>
      <c r="E1095" s="31"/>
      <c r="F1095" s="31"/>
      <c r="G1095" s="31"/>
      <c r="H1095" s="32"/>
      <c r="J1095" s="33"/>
      <c r="K1095" s="33"/>
      <c r="L1095" s="33"/>
      <c r="X1095" s="22"/>
      <c r="Y1095" s="22"/>
      <c r="Z1095" s="22"/>
      <c r="AA1095" s="22"/>
      <c r="AF1095" s="22"/>
      <c r="AG1095" s="22"/>
      <c r="AH1095" s="22"/>
      <c r="AI1095" s="22"/>
      <c r="AN1095" s="22"/>
      <c r="AO1095" s="22"/>
      <c r="AP1095" s="22"/>
      <c r="AQ1095" s="22"/>
      <c r="AR1095" s="35"/>
      <c r="AS1095" s="35"/>
      <c r="AT1095" s="35"/>
      <c r="AU1095" s="31"/>
      <c r="AV1095" s="36"/>
    </row>
    <row r="1096" spans="4:48">
      <c r="D1096" s="31"/>
      <c r="E1096" s="31"/>
      <c r="F1096" s="31"/>
      <c r="G1096" s="31"/>
      <c r="H1096" s="32"/>
      <c r="J1096" s="33"/>
      <c r="K1096" s="33"/>
      <c r="L1096" s="33"/>
      <c r="X1096" s="22"/>
      <c r="Y1096" s="22"/>
      <c r="Z1096" s="22"/>
      <c r="AA1096" s="22"/>
      <c r="AF1096" s="22"/>
      <c r="AG1096" s="22"/>
      <c r="AH1096" s="22"/>
      <c r="AI1096" s="22"/>
      <c r="AN1096" s="22"/>
      <c r="AO1096" s="22"/>
      <c r="AP1096" s="22"/>
      <c r="AQ1096" s="22"/>
      <c r="AR1096" s="35"/>
      <c r="AS1096" s="35"/>
      <c r="AT1096" s="35"/>
      <c r="AU1096" s="31"/>
      <c r="AV1096" s="36"/>
    </row>
    <row r="1097" spans="4:48">
      <c r="D1097" s="31"/>
      <c r="E1097" s="31"/>
      <c r="F1097" s="31"/>
      <c r="G1097" s="31"/>
      <c r="H1097" s="32"/>
      <c r="J1097" s="33"/>
      <c r="K1097" s="33"/>
      <c r="L1097" s="33"/>
      <c r="X1097" s="22"/>
      <c r="Y1097" s="22"/>
      <c r="Z1097" s="22"/>
      <c r="AA1097" s="22"/>
      <c r="AF1097" s="22"/>
      <c r="AG1097" s="22"/>
      <c r="AH1097" s="22"/>
      <c r="AI1097" s="22"/>
      <c r="AN1097" s="22"/>
      <c r="AO1097" s="22"/>
      <c r="AP1097" s="22"/>
      <c r="AQ1097" s="22"/>
      <c r="AR1097" s="35"/>
      <c r="AS1097" s="35"/>
      <c r="AT1097" s="35"/>
      <c r="AU1097" s="31"/>
      <c r="AV1097" s="36"/>
    </row>
    <row r="1098" spans="4:48">
      <c r="D1098" s="31"/>
      <c r="E1098" s="31"/>
      <c r="F1098" s="31"/>
      <c r="G1098" s="31"/>
      <c r="H1098" s="32"/>
      <c r="J1098" s="33"/>
      <c r="K1098" s="33"/>
      <c r="L1098" s="33"/>
      <c r="X1098" s="22"/>
      <c r="Y1098" s="22"/>
      <c r="Z1098" s="22"/>
      <c r="AA1098" s="22"/>
      <c r="AF1098" s="22"/>
      <c r="AG1098" s="22"/>
      <c r="AH1098" s="22"/>
      <c r="AI1098" s="22"/>
      <c r="AN1098" s="22"/>
      <c r="AO1098" s="22"/>
      <c r="AP1098" s="22"/>
      <c r="AQ1098" s="22"/>
      <c r="AR1098" s="35"/>
      <c r="AS1098" s="35"/>
      <c r="AT1098" s="35"/>
      <c r="AU1098" s="31"/>
      <c r="AV1098" s="36"/>
    </row>
    <row r="1099" spans="4:48">
      <c r="D1099" s="31"/>
      <c r="E1099" s="31"/>
      <c r="F1099" s="31"/>
      <c r="G1099" s="31"/>
      <c r="H1099" s="32"/>
      <c r="J1099" s="33"/>
      <c r="K1099" s="33"/>
      <c r="L1099" s="33"/>
      <c r="X1099" s="22"/>
      <c r="Y1099" s="22"/>
      <c r="Z1099" s="22"/>
      <c r="AA1099" s="22"/>
      <c r="AF1099" s="22"/>
      <c r="AG1099" s="22"/>
      <c r="AH1099" s="22"/>
      <c r="AI1099" s="22"/>
      <c r="AN1099" s="22"/>
      <c r="AO1099" s="22"/>
      <c r="AP1099" s="22"/>
      <c r="AQ1099" s="22"/>
      <c r="AR1099" s="35"/>
      <c r="AS1099" s="35"/>
      <c r="AT1099" s="35"/>
      <c r="AU1099" s="31"/>
      <c r="AV1099" s="36"/>
    </row>
    <row r="1100" spans="4:48">
      <c r="D1100" s="31"/>
      <c r="E1100" s="31"/>
      <c r="F1100" s="31"/>
      <c r="G1100" s="31"/>
      <c r="H1100" s="32"/>
      <c r="J1100" s="33"/>
      <c r="K1100" s="33"/>
      <c r="L1100" s="33"/>
      <c r="X1100" s="22"/>
      <c r="Y1100" s="22"/>
      <c r="Z1100" s="22"/>
      <c r="AA1100" s="22"/>
      <c r="AF1100" s="22"/>
      <c r="AG1100" s="22"/>
      <c r="AH1100" s="22"/>
      <c r="AI1100" s="22"/>
      <c r="AN1100" s="22"/>
      <c r="AO1100" s="22"/>
      <c r="AP1100" s="22"/>
      <c r="AQ1100" s="22"/>
      <c r="AR1100" s="35"/>
      <c r="AS1100" s="35"/>
      <c r="AT1100" s="35"/>
      <c r="AU1100" s="31"/>
      <c r="AV1100" s="36"/>
    </row>
    <row r="1101" spans="4:48">
      <c r="D1101" s="31"/>
      <c r="E1101" s="31"/>
      <c r="F1101" s="31"/>
      <c r="G1101" s="31"/>
      <c r="H1101" s="32"/>
      <c r="J1101" s="33"/>
      <c r="K1101" s="33"/>
      <c r="L1101" s="33"/>
      <c r="X1101" s="22"/>
      <c r="Y1101" s="22"/>
      <c r="Z1101" s="22"/>
      <c r="AA1101" s="22"/>
      <c r="AF1101" s="22"/>
      <c r="AG1101" s="22"/>
      <c r="AH1101" s="22"/>
      <c r="AI1101" s="22"/>
      <c r="AN1101" s="22"/>
      <c r="AO1101" s="22"/>
      <c r="AP1101" s="22"/>
      <c r="AQ1101" s="22"/>
      <c r="AR1101" s="35"/>
      <c r="AS1101" s="35"/>
      <c r="AT1101" s="35"/>
      <c r="AU1101" s="31"/>
      <c r="AV1101" s="36"/>
    </row>
    <row r="1102" spans="4:48">
      <c r="D1102" s="31"/>
      <c r="E1102" s="31"/>
      <c r="F1102" s="31"/>
      <c r="G1102" s="31"/>
      <c r="H1102" s="32"/>
      <c r="J1102" s="33"/>
      <c r="K1102" s="33"/>
      <c r="L1102" s="33"/>
      <c r="X1102" s="22"/>
      <c r="Y1102" s="22"/>
      <c r="Z1102" s="22"/>
      <c r="AA1102" s="22"/>
      <c r="AF1102" s="22"/>
      <c r="AG1102" s="22"/>
      <c r="AH1102" s="22"/>
      <c r="AI1102" s="22"/>
      <c r="AN1102" s="22"/>
      <c r="AO1102" s="22"/>
      <c r="AP1102" s="22"/>
      <c r="AQ1102" s="22"/>
      <c r="AR1102" s="35"/>
      <c r="AS1102" s="35"/>
      <c r="AT1102" s="35"/>
      <c r="AU1102" s="31"/>
      <c r="AV1102" s="36"/>
    </row>
    <row r="1103" spans="4:48">
      <c r="D1103" s="31"/>
      <c r="E1103" s="31"/>
      <c r="F1103" s="31"/>
      <c r="G1103" s="31"/>
      <c r="H1103" s="32"/>
      <c r="J1103" s="33"/>
      <c r="K1103" s="33"/>
      <c r="L1103" s="33"/>
      <c r="X1103" s="22"/>
      <c r="Y1103" s="22"/>
      <c r="Z1103" s="22"/>
      <c r="AA1103" s="22"/>
      <c r="AF1103" s="22"/>
      <c r="AG1103" s="22"/>
      <c r="AH1103" s="22"/>
      <c r="AI1103" s="22"/>
      <c r="AN1103" s="22"/>
      <c r="AO1103" s="22"/>
      <c r="AP1103" s="22"/>
      <c r="AQ1103" s="22"/>
      <c r="AR1103" s="35"/>
      <c r="AS1103" s="35"/>
      <c r="AT1103" s="35"/>
      <c r="AU1103" s="31"/>
      <c r="AV1103" s="36"/>
    </row>
    <row r="1104" spans="4:48">
      <c r="D1104" s="31"/>
      <c r="E1104" s="31"/>
      <c r="F1104" s="31"/>
      <c r="G1104" s="31"/>
      <c r="H1104" s="32"/>
      <c r="J1104" s="33"/>
      <c r="K1104" s="33"/>
      <c r="L1104" s="33"/>
      <c r="X1104" s="22"/>
      <c r="Y1104" s="22"/>
      <c r="Z1104" s="22"/>
      <c r="AA1104" s="22"/>
      <c r="AF1104" s="22"/>
      <c r="AG1104" s="22"/>
      <c r="AH1104" s="22"/>
      <c r="AI1104" s="22"/>
      <c r="AN1104" s="22"/>
      <c r="AO1104" s="22"/>
      <c r="AP1104" s="22"/>
      <c r="AQ1104" s="22"/>
      <c r="AR1104" s="35"/>
      <c r="AS1104" s="35"/>
      <c r="AT1104" s="35"/>
      <c r="AU1104" s="31"/>
      <c r="AV1104" s="36"/>
    </row>
    <row r="1105" spans="4:48">
      <c r="D1105" s="31"/>
      <c r="E1105" s="31"/>
      <c r="F1105" s="31"/>
      <c r="G1105" s="31"/>
      <c r="H1105" s="32"/>
      <c r="J1105" s="33"/>
      <c r="K1105" s="33"/>
      <c r="L1105" s="33"/>
      <c r="X1105" s="22"/>
      <c r="Y1105" s="22"/>
      <c r="Z1105" s="22"/>
      <c r="AA1105" s="22"/>
      <c r="AF1105" s="22"/>
      <c r="AG1105" s="22"/>
      <c r="AH1105" s="22"/>
      <c r="AI1105" s="22"/>
      <c r="AN1105" s="22"/>
      <c r="AO1105" s="22"/>
      <c r="AP1105" s="22"/>
      <c r="AQ1105" s="22"/>
      <c r="AR1105" s="35"/>
      <c r="AS1105" s="35"/>
      <c r="AT1105" s="35"/>
      <c r="AU1105" s="31"/>
      <c r="AV1105" s="36"/>
    </row>
    <row r="1106" spans="4:48">
      <c r="D1106" s="31"/>
      <c r="E1106" s="31"/>
      <c r="F1106" s="31"/>
      <c r="G1106" s="31"/>
      <c r="H1106" s="32"/>
      <c r="J1106" s="33"/>
      <c r="K1106" s="33"/>
      <c r="L1106" s="33"/>
      <c r="X1106" s="22"/>
      <c r="Y1106" s="22"/>
      <c r="Z1106" s="22"/>
      <c r="AA1106" s="22"/>
      <c r="AF1106" s="22"/>
      <c r="AG1106" s="22"/>
      <c r="AH1106" s="22"/>
      <c r="AI1106" s="22"/>
      <c r="AN1106" s="22"/>
      <c r="AO1106" s="22"/>
      <c r="AP1106" s="22"/>
      <c r="AQ1106" s="22"/>
      <c r="AR1106" s="35"/>
      <c r="AS1106" s="35"/>
      <c r="AT1106" s="35"/>
      <c r="AU1106" s="31"/>
      <c r="AV1106" s="36"/>
    </row>
    <row r="1107" spans="4:48">
      <c r="D1107" s="31"/>
      <c r="E1107" s="31"/>
      <c r="F1107" s="31"/>
      <c r="G1107" s="31"/>
      <c r="H1107" s="32"/>
      <c r="J1107" s="33"/>
      <c r="K1107" s="33"/>
      <c r="L1107" s="33"/>
      <c r="X1107" s="22"/>
      <c r="Y1107" s="22"/>
      <c r="Z1107" s="22"/>
      <c r="AA1107" s="22"/>
      <c r="AF1107" s="22"/>
      <c r="AG1107" s="22"/>
      <c r="AH1107" s="22"/>
      <c r="AI1107" s="22"/>
      <c r="AN1107" s="22"/>
      <c r="AO1107" s="22"/>
      <c r="AP1107" s="22"/>
      <c r="AQ1107" s="22"/>
      <c r="AR1107" s="35"/>
      <c r="AS1107" s="35"/>
      <c r="AT1107" s="35"/>
      <c r="AU1107" s="31"/>
      <c r="AV1107" s="36"/>
    </row>
    <row r="1108" spans="4:48">
      <c r="D1108" s="31"/>
      <c r="E1108" s="31"/>
      <c r="F1108" s="31"/>
      <c r="G1108" s="31"/>
      <c r="H1108" s="32"/>
      <c r="J1108" s="33"/>
      <c r="K1108" s="33"/>
      <c r="L1108" s="33"/>
      <c r="X1108" s="22"/>
      <c r="Y1108" s="22"/>
      <c r="Z1108" s="22"/>
      <c r="AA1108" s="22"/>
      <c r="AF1108" s="22"/>
      <c r="AG1108" s="22"/>
      <c r="AH1108" s="22"/>
      <c r="AI1108" s="22"/>
      <c r="AN1108" s="22"/>
      <c r="AO1108" s="22"/>
      <c r="AP1108" s="22"/>
      <c r="AQ1108" s="22"/>
      <c r="AR1108" s="35"/>
      <c r="AS1108" s="35"/>
      <c r="AT1108" s="35"/>
      <c r="AU1108" s="31"/>
      <c r="AV1108" s="36"/>
    </row>
    <row r="1109" spans="4:48">
      <c r="D1109" s="31"/>
      <c r="E1109" s="31"/>
      <c r="F1109" s="31"/>
      <c r="G1109" s="31"/>
      <c r="H1109" s="32"/>
      <c r="J1109" s="33"/>
      <c r="K1109" s="33"/>
      <c r="L1109" s="33"/>
      <c r="X1109" s="22"/>
      <c r="Y1109" s="22"/>
      <c r="Z1109" s="22"/>
      <c r="AA1109" s="22"/>
      <c r="AF1109" s="22"/>
      <c r="AG1109" s="22"/>
      <c r="AH1109" s="22"/>
      <c r="AI1109" s="22"/>
      <c r="AN1109" s="22"/>
      <c r="AO1109" s="22"/>
      <c r="AP1109" s="22"/>
      <c r="AQ1109" s="22"/>
      <c r="AR1109" s="35"/>
      <c r="AS1109" s="35"/>
      <c r="AT1109" s="35"/>
      <c r="AU1109" s="31"/>
      <c r="AV1109" s="36"/>
    </row>
    <row r="1110" spans="4:48">
      <c r="D1110" s="31"/>
      <c r="E1110" s="31"/>
      <c r="F1110" s="31"/>
      <c r="G1110" s="31"/>
      <c r="H1110" s="32"/>
      <c r="J1110" s="33"/>
      <c r="K1110" s="33"/>
      <c r="L1110" s="33"/>
      <c r="X1110" s="22"/>
      <c r="Y1110" s="22"/>
      <c r="Z1110" s="22"/>
      <c r="AA1110" s="22"/>
      <c r="AF1110" s="22"/>
      <c r="AG1110" s="22"/>
      <c r="AH1110" s="22"/>
      <c r="AI1110" s="22"/>
      <c r="AN1110" s="22"/>
      <c r="AO1110" s="22"/>
      <c r="AP1110" s="22"/>
      <c r="AQ1110" s="22"/>
      <c r="AR1110" s="35"/>
      <c r="AS1110" s="35"/>
      <c r="AT1110" s="35"/>
      <c r="AU1110" s="31"/>
      <c r="AV1110" s="36"/>
    </row>
    <row r="1111" spans="4:48">
      <c r="D1111" s="31"/>
      <c r="E1111" s="31"/>
      <c r="F1111" s="31"/>
      <c r="G1111" s="31"/>
      <c r="H1111" s="32"/>
      <c r="J1111" s="33"/>
      <c r="K1111" s="33"/>
      <c r="L1111" s="33"/>
      <c r="X1111" s="22"/>
      <c r="Y1111" s="22"/>
      <c r="Z1111" s="22"/>
      <c r="AA1111" s="22"/>
      <c r="AF1111" s="22"/>
      <c r="AG1111" s="22"/>
      <c r="AH1111" s="22"/>
      <c r="AI1111" s="22"/>
      <c r="AN1111" s="22"/>
      <c r="AO1111" s="22"/>
      <c r="AP1111" s="22"/>
      <c r="AQ1111" s="22"/>
      <c r="AR1111" s="35"/>
      <c r="AS1111" s="35"/>
      <c r="AT1111" s="35"/>
      <c r="AU1111" s="31"/>
      <c r="AV1111" s="36"/>
    </row>
    <row r="1112" spans="4:48">
      <c r="D1112" s="31"/>
      <c r="E1112" s="31"/>
      <c r="F1112" s="31"/>
      <c r="G1112" s="31"/>
      <c r="H1112" s="32"/>
      <c r="J1112" s="33"/>
      <c r="K1112" s="33"/>
      <c r="L1112" s="33"/>
      <c r="X1112" s="22"/>
      <c r="Y1112" s="22"/>
      <c r="Z1112" s="22"/>
      <c r="AA1112" s="22"/>
      <c r="AF1112" s="22"/>
      <c r="AG1112" s="22"/>
      <c r="AH1112" s="22"/>
      <c r="AI1112" s="22"/>
      <c r="AN1112" s="22"/>
      <c r="AO1112" s="22"/>
      <c r="AP1112" s="22"/>
      <c r="AQ1112" s="22"/>
      <c r="AR1112" s="35"/>
      <c r="AS1112" s="35"/>
      <c r="AT1112" s="35"/>
      <c r="AU1112" s="31"/>
      <c r="AV1112" s="36"/>
    </row>
    <row r="1113" spans="4:48">
      <c r="D1113" s="31"/>
      <c r="E1113" s="31"/>
      <c r="F1113" s="31"/>
      <c r="G1113" s="31"/>
      <c r="H1113" s="32"/>
      <c r="J1113" s="33"/>
      <c r="K1113" s="33"/>
      <c r="L1113" s="33"/>
      <c r="X1113" s="22"/>
      <c r="Y1113" s="22"/>
      <c r="Z1113" s="22"/>
      <c r="AA1113" s="22"/>
      <c r="AF1113" s="22"/>
      <c r="AG1113" s="22"/>
      <c r="AH1113" s="22"/>
      <c r="AI1113" s="22"/>
      <c r="AN1113" s="22"/>
      <c r="AO1113" s="22"/>
      <c r="AP1113" s="22"/>
      <c r="AQ1113" s="22"/>
      <c r="AR1113" s="35"/>
      <c r="AS1113" s="35"/>
      <c r="AT1113" s="35"/>
      <c r="AU1113" s="31"/>
      <c r="AV1113" s="36"/>
    </row>
    <row r="1114" spans="4:48">
      <c r="D1114" s="31"/>
      <c r="E1114" s="31"/>
      <c r="F1114" s="31"/>
      <c r="G1114" s="31"/>
      <c r="H1114" s="32"/>
      <c r="J1114" s="33"/>
      <c r="K1114" s="33"/>
      <c r="L1114" s="33"/>
      <c r="X1114" s="22"/>
      <c r="Y1114" s="22"/>
      <c r="Z1114" s="22"/>
      <c r="AA1114" s="22"/>
      <c r="AF1114" s="22"/>
      <c r="AG1114" s="22"/>
      <c r="AH1114" s="22"/>
      <c r="AI1114" s="22"/>
      <c r="AN1114" s="22"/>
      <c r="AO1114" s="22"/>
      <c r="AP1114" s="22"/>
      <c r="AQ1114" s="22"/>
      <c r="AR1114" s="35"/>
      <c r="AS1114" s="35"/>
      <c r="AT1114" s="35"/>
      <c r="AU1114" s="31"/>
      <c r="AV1114" s="36"/>
    </row>
    <row r="1115" spans="4:48">
      <c r="D1115" s="31"/>
      <c r="E1115" s="31"/>
      <c r="F1115" s="31"/>
      <c r="G1115" s="31"/>
      <c r="H1115" s="32"/>
      <c r="J1115" s="33"/>
      <c r="K1115" s="33"/>
      <c r="L1115" s="33"/>
      <c r="X1115" s="22"/>
      <c r="Y1115" s="22"/>
      <c r="Z1115" s="22"/>
      <c r="AA1115" s="22"/>
      <c r="AF1115" s="22"/>
      <c r="AG1115" s="22"/>
      <c r="AH1115" s="22"/>
      <c r="AI1115" s="22"/>
      <c r="AN1115" s="22"/>
      <c r="AO1115" s="22"/>
      <c r="AP1115" s="22"/>
      <c r="AQ1115" s="22"/>
      <c r="AR1115" s="35"/>
      <c r="AS1115" s="35"/>
      <c r="AT1115" s="35"/>
      <c r="AU1115" s="31"/>
      <c r="AV1115" s="36"/>
    </row>
    <row r="1116" spans="4:48">
      <c r="D1116" s="31"/>
      <c r="E1116" s="31"/>
      <c r="F1116" s="31"/>
      <c r="G1116" s="31"/>
      <c r="H1116" s="32"/>
      <c r="J1116" s="33"/>
      <c r="K1116" s="33"/>
      <c r="L1116" s="33"/>
      <c r="X1116" s="22"/>
      <c r="Y1116" s="22"/>
      <c r="Z1116" s="22"/>
      <c r="AA1116" s="22"/>
      <c r="AF1116" s="22"/>
      <c r="AG1116" s="22"/>
      <c r="AH1116" s="22"/>
      <c r="AI1116" s="22"/>
      <c r="AN1116" s="22"/>
      <c r="AO1116" s="22"/>
      <c r="AP1116" s="22"/>
      <c r="AQ1116" s="22"/>
      <c r="AR1116" s="35"/>
      <c r="AS1116" s="35"/>
      <c r="AT1116" s="35"/>
      <c r="AU1116" s="31"/>
      <c r="AV1116" s="36"/>
    </row>
    <row r="1117" spans="4:48">
      <c r="D1117" s="31"/>
      <c r="E1117" s="31"/>
      <c r="F1117" s="31"/>
      <c r="G1117" s="31"/>
      <c r="H1117" s="32"/>
      <c r="J1117" s="33"/>
      <c r="K1117" s="33"/>
      <c r="L1117" s="33"/>
      <c r="X1117" s="22"/>
      <c r="Y1117" s="22"/>
      <c r="Z1117" s="22"/>
      <c r="AA1117" s="22"/>
      <c r="AF1117" s="22"/>
      <c r="AG1117" s="22"/>
      <c r="AH1117" s="22"/>
      <c r="AI1117" s="22"/>
      <c r="AN1117" s="22"/>
      <c r="AO1117" s="22"/>
      <c r="AP1117" s="22"/>
      <c r="AQ1117" s="22"/>
      <c r="AR1117" s="35"/>
      <c r="AS1117" s="35"/>
      <c r="AT1117" s="35"/>
      <c r="AU1117" s="31"/>
      <c r="AV1117" s="36"/>
    </row>
    <row r="1118" spans="4:48">
      <c r="D1118" s="31"/>
      <c r="E1118" s="31"/>
      <c r="F1118" s="31"/>
      <c r="G1118" s="31"/>
      <c r="H1118" s="32"/>
      <c r="J1118" s="33"/>
      <c r="K1118" s="33"/>
      <c r="L1118" s="33"/>
      <c r="X1118" s="22"/>
      <c r="Y1118" s="22"/>
      <c r="Z1118" s="22"/>
      <c r="AA1118" s="22"/>
      <c r="AF1118" s="22"/>
      <c r="AG1118" s="22"/>
      <c r="AH1118" s="22"/>
      <c r="AI1118" s="22"/>
      <c r="AN1118" s="22"/>
      <c r="AO1118" s="22"/>
      <c r="AP1118" s="22"/>
      <c r="AQ1118" s="22"/>
      <c r="AR1118" s="35"/>
      <c r="AS1118" s="35"/>
      <c r="AT1118" s="35"/>
      <c r="AU1118" s="31"/>
      <c r="AV1118" s="36"/>
    </row>
    <row r="1119" spans="4:48">
      <c r="D1119" s="31"/>
      <c r="E1119" s="31"/>
      <c r="F1119" s="31"/>
      <c r="G1119" s="31"/>
      <c r="H1119" s="32"/>
      <c r="J1119" s="33"/>
      <c r="K1119" s="33"/>
      <c r="L1119" s="33"/>
      <c r="X1119" s="22"/>
      <c r="Y1119" s="22"/>
      <c r="Z1119" s="22"/>
      <c r="AA1119" s="22"/>
      <c r="AF1119" s="22"/>
      <c r="AG1119" s="22"/>
      <c r="AH1119" s="22"/>
      <c r="AI1119" s="22"/>
      <c r="AN1119" s="22"/>
      <c r="AO1119" s="22"/>
      <c r="AP1119" s="22"/>
      <c r="AQ1119" s="22"/>
      <c r="AR1119" s="35"/>
      <c r="AS1119" s="35"/>
      <c r="AT1119" s="35"/>
      <c r="AU1119" s="31"/>
      <c r="AV1119" s="36"/>
    </row>
    <row r="1120" spans="4:48">
      <c r="D1120" s="31"/>
      <c r="E1120" s="31"/>
      <c r="F1120" s="31"/>
      <c r="G1120" s="31"/>
      <c r="H1120" s="32"/>
      <c r="J1120" s="33"/>
      <c r="K1120" s="33"/>
      <c r="L1120" s="33"/>
      <c r="X1120" s="22"/>
      <c r="Y1120" s="22"/>
      <c r="Z1120" s="22"/>
      <c r="AA1120" s="22"/>
      <c r="AF1120" s="22"/>
      <c r="AG1120" s="22"/>
      <c r="AH1120" s="22"/>
      <c r="AI1120" s="22"/>
      <c r="AN1120" s="22"/>
      <c r="AO1120" s="22"/>
      <c r="AP1120" s="22"/>
      <c r="AQ1120" s="22"/>
      <c r="AR1120" s="35"/>
      <c r="AS1120" s="35"/>
      <c r="AT1120" s="35"/>
      <c r="AU1120" s="31"/>
      <c r="AV1120" s="36"/>
    </row>
    <row r="1121" spans="4:48">
      <c r="D1121" s="31"/>
      <c r="E1121" s="31"/>
      <c r="F1121" s="31"/>
      <c r="G1121" s="31"/>
      <c r="H1121" s="32"/>
      <c r="J1121" s="33"/>
      <c r="K1121" s="33"/>
      <c r="L1121" s="33"/>
      <c r="X1121" s="22"/>
      <c r="Y1121" s="22"/>
      <c r="Z1121" s="22"/>
      <c r="AA1121" s="22"/>
      <c r="AF1121" s="22"/>
      <c r="AG1121" s="22"/>
      <c r="AH1121" s="22"/>
      <c r="AI1121" s="22"/>
      <c r="AN1121" s="22"/>
      <c r="AO1121" s="22"/>
      <c r="AP1121" s="22"/>
      <c r="AQ1121" s="22"/>
      <c r="AR1121" s="35"/>
      <c r="AS1121" s="35"/>
      <c r="AT1121" s="35"/>
      <c r="AU1121" s="31"/>
      <c r="AV1121" s="36"/>
    </row>
    <row r="1122" spans="4:48">
      <c r="D1122" s="31"/>
      <c r="E1122" s="31"/>
      <c r="F1122" s="31"/>
      <c r="G1122" s="31"/>
      <c r="H1122" s="32"/>
      <c r="J1122" s="33"/>
      <c r="K1122" s="33"/>
      <c r="L1122" s="33"/>
      <c r="X1122" s="22"/>
      <c r="Y1122" s="22"/>
      <c r="Z1122" s="22"/>
      <c r="AA1122" s="22"/>
      <c r="AF1122" s="22"/>
      <c r="AG1122" s="22"/>
      <c r="AH1122" s="22"/>
      <c r="AI1122" s="22"/>
      <c r="AN1122" s="22"/>
      <c r="AO1122" s="22"/>
      <c r="AP1122" s="22"/>
      <c r="AQ1122" s="22"/>
      <c r="AR1122" s="35"/>
      <c r="AS1122" s="35"/>
      <c r="AT1122" s="35"/>
      <c r="AU1122" s="31"/>
      <c r="AV1122" s="36"/>
    </row>
    <row r="1123" spans="4:48">
      <c r="D1123" s="31"/>
      <c r="E1123" s="31"/>
      <c r="F1123" s="31"/>
      <c r="G1123" s="31"/>
      <c r="H1123" s="32"/>
      <c r="J1123" s="33"/>
      <c r="K1123" s="33"/>
      <c r="L1123" s="33"/>
      <c r="X1123" s="22"/>
      <c r="Y1123" s="22"/>
      <c r="Z1123" s="22"/>
      <c r="AA1123" s="22"/>
      <c r="AF1123" s="22"/>
      <c r="AG1123" s="22"/>
      <c r="AH1123" s="22"/>
      <c r="AI1123" s="22"/>
      <c r="AN1123" s="22"/>
      <c r="AO1123" s="22"/>
      <c r="AP1123" s="22"/>
      <c r="AQ1123" s="22"/>
      <c r="AR1123" s="35"/>
      <c r="AS1123" s="35"/>
      <c r="AT1123" s="35"/>
      <c r="AU1123" s="31"/>
      <c r="AV1123" s="36"/>
    </row>
    <row r="1124" spans="4:48">
      <c r="D1124" s="31"/>
      <c r="E1124" s="31"/>
      <c r="F1124" s="31"/>
      <c r="G1124" s="31"/>
      <c r="H1124" s="32"/>
      <c r="J1124" s="33"/>
      <c r="K1124" s="33"/>
      <c r="L1124" s="33"/>
      <c r="X1124" s="22"/>
      <c r="Y1124" s="22"/>
      <c r="Z1124" s="22"/>
      <c r="AA1124" s="22"/>
      <c r="AF1124" s="22"/>
      <c r="AG1124" s="22"/>
      <c r="AH1124" s="22"/>
      <c r="AI1124" s="22"/>
      <c r="AN1124" s="22"/>
      <c r="AO1124" s="22"/>
      <c r="AP1124" s="22"/>
      <c r="AQ1124" s="22"/>
      <c r="AR1124" s="35"/>
      <c r="AS1124" s="35"/>
      <c r="AT1124" s="35"/>
      <c r="AU1124" s="31"/>
      <c r="AV1124" s="36"/>
    </row>
    <row r="1125" spans="4:48">
      <c r="D1125" s="31"/>
      <c r="E1125" s="31"/>
      <c r="F1125" s="31"/>
      <c r="G1125" s="31"/>
      <c r="H1125" s="32"/>
      <c r="J1125" s="33"/>
      <c r="K1125" s="33"/>
      <c r="L1125" s="33"/>
      <c r="X1125" s="22"/>
      <c r="Y1125" s="22"/>
      <c r="Z1125" s="22"/>
      <c r="AA1125" s="22"/>
      <c r="AF1125" s="22"/>
      <c r="AG1125" s="22"/>
      <c r="AH1125" s="22"/>
      <c r="AI1125" s="22"/>
      <c r="AN1125" s="22"/>
      <c r="AO1125" s="22"/>
      <c r="AP1125" s="22"/>
      <c r="AQ1125" s="22"/>
      <c r="AR1125" s="35"/>
      <c r="AS1125" s="35"/>
      <c r="AT1125" s="35"/>
      <c r="AU1125" s="31"/>
      <c r="AV1125" s="36"/>
    </row>
    <row r="1126" spans="4:48">
      <c r="D1126" s="31"/>
      <c r="E1126" s="31"/>
      <c r="F1126" s="31"/>
      <c r="G1126" s="31"/>
      <c r="H1126" s="32"/>
      <c r="J1126" s="33"/>
      <c r="K1126" s="33"/>
      <c r="L1126" s="33"/>
      <c r="X1126" s="22"/>
      <c r="Y1126" s="22"/>
      <c r="Z1126" s="22"/>
      <c r="AA1126" s="22"/>
      <c r="AF1126" s="22"/>
      <c r="AG1126" s="22"/>
      <c r="AH1126" s="22"/>
      <c r="AI1126" s="22"/>
      <c r="AN1126" s="22"/>
      <c r="AO1126" s="22"/>
      <c r="AP1126" s="22"/>
      <c r="AQ1126" s="22"/>
      <c r="AR1126" s="35"/>
      <c r="AS1126" s="35"/>
      <c r="AT1126" s="35"/>
      <c r="AU1126" s="31"/>
      <c r="AV1126" s="36"/>
    </row>
    <row r="1127" spans="4:48">
      <c r="D1127" s="31"/>
      <c r="E1127" s="31"/>
      <c r="F1127" s="31"/>
      <c r="G1127" s="31"/>
      <c r="H1127" s="32"/>
      <c r="J1127" s="33"/>
      <c r="K1127" s="33"/>
      <c r="L1127" s="33"/>
      <c r="X1127" s="22"/>
      <c r="Y1127" s="22"/>
      <c r="Z1127" s="22"/>
      <c r="AA1127" s="22"/>
      <c r="AF1127" s="22"/>
      <c r="AG1127" s="22"/>
      <c r="AH1127" s="22"/>
      <c r="AI1127" s="22"/>
      <c r="AN1127" s="22"/>
      <c r="AO1127" s="22"/>
      <c r="AP1127" s="22"/>
      <c r="AQ1127" s="22"/>
      <c r="AR1127" s="35"/>
      <c r="AS1127" s="35"/>
      <c r="AT1127" s="35"/>
      <c r="AU1127" s="31"/>
      <c r="AV1127" s="36"/>
    </row>
    <row r="1128" spans="4:48">
      <c r="D1128" s="31"/>
      <c r="E1128" s="31"/>
      <c r="F1128" s="31"/>
      <c r="G1128" s="31"/>
      <c r="H1128" s="32"/>
      <c r="J1128" s="33"/>
      <c r="K1128" s="33"/>
      <c r="L1128" s="33"/>
      <c r="X1128" s="22"/>
      <c r="Y1128" s="22"/>
      <c r="Z1128" s="22"/>
      <c r="AA1128" s="22"/>
      <c r="AF1128" s="22"/>
      <c r="AG1128" s="22"/>
      <c r="AH1128" s="22"/>
      <c r="AI1128" s="22"/>
      <c r="AN1128" s="22"/>
      <c r="AO1128" s="22"/>
      <c r="AP1128" s="22"/>
      <c r="AQ1128" s="22"/>
      <c r="AR1128" s="35"/>
      <c r="AS1128" s="35"/>
      <c r="AT1128" s="35"/>
      <c r="AU1128" s="31"/>
      <c r="AV1128" s="36"/>
    </row>
    <row r="1129" spans="4:48">
      <c r="D1129" s="31"/>
      <c r="E1129" s="31"/>
      <c r="F1129" s="31"/>
      <c r="G1129" s="31"/>
      <c r="H1129" s="32"/>
      <c r="J1129" s="33"/>
      <c r="K1129" s="33"/>
      <c r="L1129" s="33"/>
      <c r="X1129" s="22"/>
      <c r="Y1129" s="22"/>
      <c r="Z1129" s="22"/>
      <c r="AA1129" s="22"/>
      <c r="AF1129" s="22"/>
      <c r="AG1129" s="22"/>
      <c r="AH1129" s="22"/>
      <c r="AI1129" s="22"/>
      <c r="AN1129" s="22"/>
      <c r="AO1129" s="22"/>
      <c r="AP1129" s="22"/>
      <c r="AQ1129" s="22"/>
      <c r="AR1129" s="35"/>
      <c r="AS1129" s="35"/>
      <c r="AT1129" s="35"/>
      <c r="AU1129" s="31"/>
      <c r="AV1129" s="36"/>
    </row>
    <row r="1130" spans="4:48">
      <c r="D1130" s="31"/>
      <c r="E1130" s="31"/>
      <c r="F1130" s="31"/>
      <c r="G1130" s="31"/>
      <c r="H1130" s="32"/>
      <c r="J1130" s="33"/>
      <c r="K1130" s="33"/>
      <c r="L1130" s="33"/>
      <c r="X1130" s="22"/>
      <c r="Y1130" s="22"/>
      <c r="Z1130" s="22"/>
      <c r="AA1130" s="22"/>
      <c r="AF1130" s="22"/>
      <c r="AG1130" s="22"/>
      <c r="AH1130" s="22"/>
      <c r="AI1130" s="22"/>
      <c r="AN1130" s="22"/>
      <c r="AO1130" s="22"/>
      <c r="AP1130" s="22"/>
      <c r="AQ1130" s="22"/>
      <c r="AR1130" s="35"/>
      <c r="AS1130" s="35"/>
      <c r="AT1130" s="35"/>
      <c r="AU1130" s="31"/>
      <c r="AV1130" s="36"/>
    </row>
    <row r="1131" spans="4:48">
      <c r="D1131" s="31"/>
      <c r="E1131" s="31"/>
      <c r="F1131" s="31"/>
      <c r="G1131" s="31"/>
      <c r="H1131" s="32"/>
      <c r="J1131" s="33"/>
      <c r="K1131" s="33"/>
      <c r="L1131" s="33"/>
      <c r="X1131" s="22"/>
      <c r="Y1131" s="22"/>
      <c r="Z1131" s="22"/>
      <c r="AA1131" s="22"/>
      <c r="AF1131" s="22"/>
      <c r="AG1131" s="22"/>
      <c r="AH1131" s="22"/>
      <c r="AI1131" s="22"/>
      <c r="AN1131" s="22"/>
      <c r="AO1131" s="22"/>
      <c r="AP1131" s="22"/>
      <c r="AQ1131" s="22"/>
      <c r="AR1131" s="35"/>
      <c r="AS1131" s="35"/>
      <c r="AT1131" s="35"/>
      <c r="AU1131" s="31"/>
      <c r="AV1131" s="36"/>
    </row>
    <row r="1132" spans="4:48">
      <c r="D1132" s="31"/>
      <c r="E1132" s="31"/>
      <c r="F1132" s="31"/>
      <c r="G1132" s="31"/>
      <c r="H1132" s="32"/>
      <c r="J1132" s="33"/>
      <c r="K1132" s="33"/>
      <c r="L1132" s="33"/>
      <c r="X1132" s="22"/>
      <c r="Y1132" s="22"/>
      <c r="Z1132" s="22"/>
      <c r="AA1132" s="22"/>
      <c r="AF1132" s="22"/>
      <c r="AG1132" s="22"/>
      <c r="AH1132" s="22"/>
      <c r="AI1132" s="22"/>
      <c r="AN1132" s="22"/>
      <c r="AO1132" s="22"/>
      <c r="AP1132" s="22"/>
      <c r="AQ1132" s="22"/>
      <c r="AR1132" s="35"/>
      <c r="AS1132" s="35"/>
      <c r="AT1132" s="35"/>
      <c r="AU1132" s="31"/>
      <c r="AV1132" s="36"/>
    </row>
    <row r="1133" spans="4:48">
      <c r="D1133" s="31"/>
      <c r="E1133" s="31"/>
      <c r="F1133" s="31"/>
      <c r="G1133" s="31"/>
      <c r="H1133" s="32"/>
      <c r="J1133" s="33"/>
      <c r="K1133" s="33"/>
      <c r="L1133" s="33"/>
      <c r="X1133" s="22"/>
      <c r="Y1133" s="22"/>
      <c r="Z1133" s="22"/>
      <c r="AA1133" s="22"/>
      <c r="AF1133" s="22"/>
      <c r="AG1133" s="22"/>
      <c r="AH1133" s="22"/>
      <c r="AI1133" s="22"/>
      <c r="AN1133" s="22"/>
      <c r="AO1133" s="22"/>
      <c r="AP1133" s="22"/>
      <c r="AQ1133" s="22"/>
      <c r="AR1133" s="35"/>
      <c r="AS1133" s="35"/>
      <c r="AT1133" s="35"/>
      <c r="AU1133" s="31"/>
      <c r="AV1133" s="36"/>
    </row>
    <row r="1134" spans="4:48">
      <c r="D1134" s="31"/>
      <c r="E1134" s="31"/>
      <c r="F1134" s="31"/>
      <c r="G1134" s="31"/>
      <c r="H1134" s="32"/>
      <c r="J1134" s="33"/>
      <c r="K1134" s="33"/>
      <c r="L1134" s="33"/>
      <c r="X1134" s="22"/>
      <c r="Y1134" s="22"/>
      <c r="Z1134" s="22"/>
      <c r="AA1134" s="22"/>
      <c r="AF1134" s="22"/>
      <c r="AG1134" s="22"/>
      <c r="AH1134" s="22"/>
      <c r="AI1134" s="22"/>
      <c r="AN1134" s="22"/>
      <c r="AO1134" s="22"/>
      <c r="AP1134" s="22"/>
      <c r="AQ1134" s="22"/>
      <c r="AR1134" s="35"/>
      <c r="AS1134" s="35"/>
      <c r="AT1134" s="35"/>
      <c r="AU1134" s="31"/>
      <c r="AV1134" s="36"/>
    </row>
    <row r="1135" spans="4:48">
      <c r="D1135" s="31"/>
      <c r="E1135" s="31"/>
      <c r="F1135" s="31"/>
      <c r="G1135" s="31"/>
      <c r="H1135" s="32"/>
      <c r="J1135" s="33"/>
      <c r="K1135" s="33"/>
      <c r="L1135" s="33"/>
      <c r="X1135" s="22"/>
      <c r="Y1135" s="22"/>
      <c r="Z1135" s="22"/>
      <c r="AA1135" s="22"/>
      <c r="AF1135" s="22"/>
      <c r="AG1135" s="22"/>
      <c r="AH1135" s="22"/>
      <c r="AI1135" s="22"/>
      <c r="AN1135" s="22"/>
      <c r="AO1135" s="22"/>
      <c r="AP1135" s="22"/>
      <c r="AQ1135" s="22"/>
      <c r="AR1135" s="35"/>
      <c r="AS1135" s="35"/>
      <c r="AT1135" s="35"/>
      <c r="AU1135" s="31"/>
      <c r="AV1135" s="36"/>
    </row>
    <row r="1136" spans="4:48">
      <c r="D1136" s="31"/>
      <c r="E1136" s="31"/>
      <c r="F1136" s="31"/>
      <c r="G1136" s="31"/>
      <c r="H1136" s="32"/>
      <c r="J1136" s="33"/>
      <c r="K1136" s="33"/>
      <c r="L1136" s="33"/>
      <c r="X1136" s="22"/>
      <c r="Y1136" s="22"/>
      <c r="Z1136" s="22"/>
      <c r="AA1136" s="22"/>
      <c r="AF1136" s="22"/>
      <c r="AG1136" s="22"/>
      <c r="AH1136" s="22"/>
      <c r="AI1136" s="22"/>
      <c r="AN1136" s="22"/>
      <c r="AO1136" s="22"/>
      <c r="AP1136" s="22"/>
      <c r="AQ1136" s="22"/>
      <c r="AR1136" s="35"/>
      <c r="AS1136" s="35"/>
      <c r="AT1136" s="35"/>
      <c r="AU1136" s="31"/>
      <c r="AV1136" s="36"/>
    </row>
    <row r="1137" spans="4:48">
      <c r="D1137" s="31"/>
      <c r="E1137" s="31"/>
      <c r="F1137" s="31"/>
      <c r="G1137" s="31"/>
      <c r="H1137" s="32"/>
      <c r="J1137" s="33"/>
      <c r="K1137" s="33"/>
      <c r="L1137" s="33"/>
      <c r="X1137" s="22"/>
      <c r="Y1137" s="22"/>
      <c r="Z1137" s="22"/>
      <c r="AA1137" s="22"/>
      <c r="AF1137" s="22"/>
      <c r="AG1137" s="22"/>
      <c r="AH1137" s="22"/>
      <c r="AI1137" s="22"/>
      <c r="AN1137" s="22"/>
      <c r="AO1137" s="22"/>
      <c r="AP1137" s="22"/>
      <c r="AQ1137" s="22"/>
      <c r="AR1137" s="35"/>
      <c r="AS1137" s="35"/>
      <c r="AT1137" s="35"/>
      <c r="AU1137" s="31"/>
      <c r="AV1137" s="36"/>
    </row>
    <row r="1138" spans="4:48">
      <c r="D1138" s="31"/>
      <c r="E1138" s="31"/>
      <c r="F1138" s="31"/>
      <c r="G1138" s="31"/>
      <c r="H1138" s="32"/>
      <c r="J1138" s="33"/>
      <c r="K1138" s="33"/>
      <c r="L1138" s="33"/>
      <c r="X1138" s="22"/>
      <c r="Y1138" s="22"/>
      <c r="Z1138" s="22"/>
      <c r="AA1138" s="22"/>
      <c r="AF1138" s="22"/>
      <c r="AG1138" s="22"/>
      <c r="AH1138" s="22"/>
      <c r="AI1138" s="22"/>
      <c r="AN1138" s="22"/>
      <c r="AO1138" s="22"/>
      <c r="AP1138" s="22"/>
      <c r="AQ1138" s="22"/>
      <c r="AR1138" s="35"/>
      <c r="AS1138" s="35"/>
      <c r="AT1138" s="35"/>
      <c r="AU1138" s="31"/>
      <c r="AV1138" s="36"/>
    </row>
    <row r="1139" spans="4:48">
      <c r="D1139" s="31"/>
      <c r="E1139" s="31"/>
      <c r="F1139" s="31"/>
      <c r="G1139" s="31"/>
      <c r="H1139" s="32"/>
      <c r="J1139" s="33"/>
      <c r="K1139" s="33"/>
      <c r="L1139" s="33"/>
      <c r="X1139" s="22"/>
      <c r="Y1139" s="22"/>
      <c r="Z1139" s="22"/>
      <c r="AA1139" s="22"/>
      <c r="AF1139" s="22"/>
      <c r="AG1139" s="22"/>
      <c r="AH1139" s="22"/>
      <c r="AI1139" s="22"/>
      <c r="AN1139" s="22"/>
      <c r="AO1139" s="22"/>
      <c r="AP1139" s="22"/>
      <c r="AQ1139" s="22"/>
      <c r="AR1139" s="35"/>
      <c r="AS1139" s="35"/>
      <c r="AT1139" s="35"/>
      <c r="AU1139" s="31"/>
      <c r="AV1139" s="36"/>
    </row>
    <row r="1140" spans="4:48">
      <c r="D1140" s="31"/>
      <c r="E1140" s="31"/>
      <c r="F1140" s="31"/>
      <c r="G1140" s="31"/>
      <c r="H1140" s="32"/>
      <c r="J1140" s="33"/>
      <c r="K1140" s="33"/>
      <c r="L1140" s="33"/>
      <c r="X1140" s="22"/>
      <c r="Y1140" s="22"/>
      <c r="Z1140" s="22"/>
      <c r="AA1140" s="22"/>
      <c r="AF1140" s="22"/>
      <c r="AG1140" s="22"/>
      <c r="AH1140" s="22"/>
      <c r="AI1140" s="22"/>
      <c r="AN1140" s="22"/>
      <c r="AO1140" s="22"/>
      <c r="AP1140" s="22"/>
      <c r="AQ1140" s="22"/>
      <c r="AR1140" s="35"/>
      <c r="AS1140" s="35"/>
      <c r="AT1140" s="35"/>
      <c r="AU1140" s="31"/>
      <c r="AV1140" s="36"/>
    </row>
    <row r="1141" spans="4:48">
      <c r="D1141" s="31"/>
      <c r="E1141" s="31"/>
      <c r="F1141" s="31"/>
      <c r="G1141" s="31"/>
      <c r="H1141" s="32"/>
      <c r="J1141" s="33"/>
      <c r="K1141" s="33"/>
      <c r="L1141" s="33"/>
      <c r="X1141" s="22"/>
      <c r="Y1141" s="22"/>
      <c r="Z1141" s="22"/>
      <c r="AA1141" s="22"/>
      <c r="AF1141" s="22"/>
      <c r="AG1141" s="22"/>
      <c r="AH1141" s="22"/>
      <c r="AI1141" s="22"/>
      <c r="AN1141" s="22"/>
      <c r="AO1141" s="22"/>
      <c r="AP1141" s="22"/>
      <c r="AQ1141" s="22"/>
      <c r="AR1141" s="35"/>
      <c r="AS1141" s="35"/>
      <c r="AT1141" s="35"/>
      <c r="AU1141" s="31"/>
      <c r="AV1141" s="36"/>
    </row>
    <row r="1142" spans="4:48">
      <c r="D1142" s="31"/>
      <c r="E1142" s="31"/>
      <c r="F1142" s="31"/>
      <c r="G1142" s="31"/>
      <c r="H1142" s="32"/>
      <c r="J1142" s="33"/>
      <c r="K1142" s="33"/>
      <c r="L1142" s="33"/>
      <c r="X1142" s="22"/>
      <c r="Y1142" s="22"/>
      <c r="Z1142" s="22"/>
      <c r="AA1142" s="22"/>
      <c r="AF1142" s="22"/>
      <c r="AG1142" s="22"/>
      <c r="AH1142" s="22"/>
      <c r="AI1142" s="22"/>
      <c r="AN1142" s="22"/>
      <c r="AO1142" s="22"/>
      <c r="AP1142" s="22"/>
      <c r="AQ1142" s="22"/>
      <c r="AR1142" s="35"/>
      <c r="AS1142" s="35"/>
      <c r="AT1142" s="35"/>
      <c r="AU1142" s="31"/>
      <c r="AV1142" s="36"/>
    </row>
    <row r="1143" spans="4:48">
      <c r="D1143" s="31"/>
      <c r="E1143" s="31"/>
      <c r="F1143" s="31"/>
      <c r="G1143" s="31"/>
      <c r="H1143" s="32"/>
      <c r="J1143" s="33"/>
      <c r="K1143" s="33"/>
      <c r="L1143" s="33"/>
      <c r="X1143" s="22"/>
      <c r="Y1143" s="22"/>
      <c r="Z1143" s="22"/>
      <c r="AA1143" s="22"/>
      <c r="AF1143" s="22"/>
      <c r="AG1143" s="22"/>
      <c r="AH1143" s="22"/>
      <c r="AI1143" s="22"/>
      <c r="AN1143" s="22"/>
      <c r="AO1143" s="22"/>
      <c r="AP1143" s="22"/>
      <c r="AQ1143" s="22"/>
      <c r="AR1143" s="35"/>
      <c r="AS1143" s="35"/>
      <c r="AT1143" s="35"/>
      <c r="AU1143" s="31"/>
      <c r="AV1143" s="36"/>
    </row>
    <row r="1144" spans="4:48">
      <c r="D1144" s="31"/>
      <c r="E1144" s="31"/>
      <c r="F1144" s="31"/>
      <c r="G1144" s="31"/>
      <c r="H1144" s="32"/>
      <c r="J1144" s="33"/>
      <c r="K1144" s="33"/>
      <c r="L1144" s="33"/>
      <c r="X1144" s="22"/>
      <c r="Y1144" s="22"/>
      <c r="Z1144" s="22"/>
      <c r="AA1144" s="22"/>
      <c r="AF1144" s="22"/>
      <c r="AG1144" s="22"/>
      <c r="AH1144" s="22"/>
      <c r="AI1144" s="22"/>
      <c r="AN1144" s="22"/>
      <c r="AO1144" s="22"/>
      <c r="AP1144" s="22"/>
      <c r="AQ1144" s="22"/>
      <c r="AR1144" s="35"/>
      <c r="AS1144" s="35"/>
      <c r="AT1144" s="35"/>
      <c r="AU1144" s="31"/>
      <c r="AV1144" s="36"/>
    </row>
    <row r="1145" spans="4:48">
      <c r="D1145" s="31"/>
      <c r="E1145" s="31"/>
      <c r="F1145" s="31"/>
      <c r="G1145" s="31"/>
      <c r="H1145" s="32"/>
      <c r="J1145" s="33"/>
      <c r="K1145" s="33"/>
      <c r="L1145" s="33"/>
      <c r="X1145" s="22"/>
      <c r="Y1145" s="22"/>
      <c r="Z1145" s="22"/>
      <c r="AA1145" s="22"/>
      <c r="AF1145" s="22"/>
      <c r="AG1145" s="22"/>
      <c r="AH1145" s="22"/>
      <c r="AI1145" s="22"/>
      <c r="AN1145" s="22"/>
      <c r="AO1145" s="22"/>
      <c r="AP1145" s="22"/>
      <c r="AQ1145" s="22"/>
      <c r="AR1145" s="35"/>
      <c r="AS1145" s="35"/>
      <c r="AT1145" s="35"/>
      <c r="AU1145" s="31"/>
      <c r="AV1145" s="36"/>
    </row>
    <row r="1146" spans="4:48">
      <c r="D1146" s="31"/>
      <c r="E1146" s="31"/>
      <c r="F1146" s="31"/>
      <c r="G1146" s="31"/>
      <c r="H1146" s="32"/>
      <c r="J1146" s="33"/>
      <c r="K1146" s="33"/>
      <c r="L1146" s="33"/>
      <c r="X1146" s="22"/>
      <c r="Y1146" s="22"/>
      <c r="Z1146" s="22"/>
      <c r="AA1146" s="22"/>
      <c r="AF1146" s="22"/>
      <c r="AG1146" s="22"/>
      <c r="AH1146" s="22"/>
      <c r="AI1146" s="22"/>
      <c r="AN1146" s="22"/>
      <c r="AO1146" s="22"/>
      <c r="AP1146" s="22"/>
      <c r="AQ1146" s="22"/>
      <c r="AR1146" s="35"/>
      <c r="AS1146" s="35"/>
      <c r="AT1146" s="35"/>
      <c r="AU1146" s="31"/>
      <c r="AV1146" s="36"/>
    </row>
    <row r="1147" spans="4:48">
      <c r="D1147" s="31"/>
      <c r="E1147" s="31"/>
      <c r="F1147" s="31"/>
      <c r="G1147" s="31"/>
      <c r="H1147" s="32"/>
      <c r="J1147" s="33"/>
      <c r="K1147" s="33"/>
      <c r="L1147" s="33"/>
      <c r="X1147" s="22"/>
      <c r="Y1147" s="22"/>
      <c r="Z1147" s="22"/>
      <c r="AA1147" s="22"/>
      <c r="AF1147" s="22"/>
      <c r="AG1147" s="22"/>
      <c r="AH1147" s="22"/>
      <c r="AI1147" s="22"/>
      <c r="AN1147" s="22"/>
      <c r="AO1147" s="22"/>
      <c r="AP1147" s="22"/>
      <c r="AQ1147" s="22"/>
      <c r="AR1147" s="35"/>
      <c r="AS1147" s="35"/>
      <c r="AT1147" s="35"/>
      <c r="AU1147" s="31"/>
      <c r="AV1147" s="36"/>
    </row>
    <row r="1148" spans="4:48">
      <c r="D1148" s="31"/>
      <c r="E1148" s="31"/>
      <c r="F1148" s="31"/>
      <c r="G1148" s="31"/>
      <c r="H1148" s="32"/>
      <c r="J1148" s="33"/>
      <c r="K1148" s="33"/>
      <c r="L1148" s="33"/>
      <c r="X1148" s="22"/>
      <c r="Y1148" s="22"/>
      <c r="Z1148" s="22"/>
      <c r="AA1148" s="22"/>
      <c r="AF1148" s="22"/>
      <c r="AG1148" s="22"/>
      <c r="AH1148" s="22"/>
      <c r="AI1148" s="22"/>
      <c r="AN1148" s="22"/>
      <c r="AO1148" s="22"/>
      <c r="AP1148" s="22"/>
      <c r="AQ1148" s="22"/>
      <c r="AR1148" s="35"/>
      <c r="AS1148" s="35"/>
      <c r="AT1148" s="35"/>
      <c r="AU1148" s="31"/>
      <c r="AV1148" s="36"/>
    </row>
    <row r="1149" spans="4:48">
      <c r="D1149" s="31"/>
      <c r="E1149" s="31"/>
      <c r="F1149" s="31"/>
      <c r="G1149" s="31"/>
      <c r="H1149" s="32"/>
      <c r="J1149" s="33"/>
      <c r="K1149" s="33"/>
      <c r="L1149" s="33"/>
      <c r="X1149" s="22"/>
      <c r="Y1149" s="22"/>
      <c r="Z1149" s="22"/>
      <c r="AA1149" s="22"/>
      <c r="AF1149" s="22"/>
      <c r="AG1149" s="22"/>
      <c r="AH1149" s="22"/>
      <c r="AI1149" s="22"/>
      <c r="AN1149" s="22"/>
      <c r="AO1149" s="22"/>
      <c r="AP1149" s="22"/>
      <c r="AQ1149" s="22"/>
      <c r="AR1149" s="35"/>
      <c r="AS1149" s="35"/>
      <c r="AT1149" s="35"/>
      <c r="AU1149" s="31"/>
      <c r="AV1149" s="36"/>
    </row>
    <row r="1150" spans="4:48">
      <c r="D1150" s="31"/>
      <c r="E1150" s="31"/>
      <c r="F1150" s="31"/>
      <c r="G1150" s="31"/>
      <c r="H1150" s="32"/>
      <c r="J1150" s="33"/>
      <c r="K1150" s="33"/>
      <c r="L1150" s="33"/>
      <c r="X1150" s="22"/>
      <c r="Y1150" s="22"/>
      <c r="Z1150" s="22"/>
      <c r="AA1150" s="22"/>
      <c r="AF1150" s="22"/>
      <c r="AG1150" s="22"/>
      <c r="AH1150" s="22"/>
      <c r="AI1150" s="22"/>
      <c r="AN1150" s="22"/>
      <c r="AO1150" s="22"/>
      <c r="AP1150" s="22"/>
      <c r="AQ1150" s="22"/>
      <c r="AR1150" s="35"/>
      <c r="AS1150" s="35"/>
      <c r="AT1150" s="35"/>
      <c r="AU1150" s="31"/>
      <c r="AV1150" s="36"/>
    </row>
    <row r="1151" spans="4:48">
      <c r="D1151" s="31"/>
      <c r="E1151" s="31"/>
      <c r="F1151" s="31"/>
      <c r="G1151" s="31"/>
      <c r="H1151" s="32"/>
      <c r="J1151" s="33"/>
      <c r="K1151" s="33"/>
      <c r="L1151" s="33"/>
      <c r="X1151" s="22"/>
      <c r="Y1151" s="22"/>
      <c r="Z1151" s="22"/>
      <c r="AA1151" s="22"/>
      <c r="AF1151" s="22"/>
      <c r="AG1151" s="22"/>
      <c r="AH1151" s="22"/>
      <c r="AI1151" s="22"/>
      <c r="AN1151" s="22"/>
      <c r="AO1151" s="22"/>
      <c r="AP1151" s="22"/>
      <c r="AQ1151" s="22"/>
      <c r="AR1151" s="35"/>
      <c r="AS1151" s="35"/>
      <c r="AT1151" s="35"/>
      <c r="AU1151" s="31"/>
      <c r="AV1151" s="36"/>
    </row>
    <row r="1152" spans="4:48">
      <c r="D1152" s="31"/>
      <c r="E1152" s="31"/>
      <c r="F1152" s="31"/>
      <c r="G1152" s="31"/>
      <c r="H1152" s="32"/>
      <c r="J1152" s="33"/>
      <c r="K1152" s="33"/>
      <c r="L1152" s="33"/>
      <c r="X1152" s="22"/>
      <c r="Y1152" s="22"/>
      <c r="Z1152" s="22"/>
      <c r="AA1152" s="22"/>
      <c r="AF1152" s="22"/>
      <c r="AG1152" s="22"/>
      <c r="AH1152" s="22"/>
      <c r="AI1152" s="22"/>
      <c r="AN1152" s="22"/>
      <c r="AO1152" s="22"/>
      <c r="AP1152" s="22"/>
      <c r="AQ1152" s="22"/>
      <c r="AR1152" s="35"/>
      <c r="AS1152" s="35"/>
      <c r="AT1152" s="35"/>
      <c r="AU1152" s="31"/>
      <c r="AV1152" s="36"/>
    </row>
    <row r="1153" spans="4:48">
      <c r="D1153" s="31"/>
      <c r="E1153" s="31"/>
      <c r="F1153" s="31"/>
      <c r="G1153" s="31"/>
      <c r="H1153" s="32"/>
      <c r="J1153" s="33"/>
      <c r="K1153" s="33"/>
      <c r="L1153" s="33"/>
      <c r="X1153" s="22"/>
      <c r="Y1153" s="22"/>
      <c r="Z1153" s="22"/>
      <c r="AA1153" s="22"/>
      <c r="AF1153" s="22"/>
      <c r="AG1153" s="22"/>
      <c r="AH1153" s="22"/>
      <c r="AI1153" s="22"/>
      <c r="AN1153" s="22"/>
      <c r="AO1153" s="22"/>
      <c r="AP1153" s="22"/>
      <c r="AQ1153" s="22"/>
      <c r="AR1153" s="35"/>
      <c r="AS1153" s="35"/>
      <c r="AT1153" s="35"/>
      <c r="AU1153" s="31"/>
      <c r="AV1153" s="36"/>
    </row>
    <row r="1154" spans="4:48">
      <c r="D1154" s="31"/>
      <c r="E1154" s="31"/>
      <c r="F1154" s="31"/>
      <c r="G1154" s="31"/>
      <c r="H1154" s="32"/>
      <c r="J1154" s="33"/>
      <c r="K1154" s="33"/>
      <c r="L1154" s="33"/>
      <c r="X1154" s="22"/>
      <c r="Y1154" s="22"/>
      <c r="Z1154" s="22"/>
      <c r="AA1154" s="22"/>
      <c r="AF1154" s="22"/>
      <c r="AG1154" s="22"/>
      <c r="AH1154" s="22"/>
      <c r="AI1154" s="22"/>
      <c r="AN1154" s="22"/>
      <c r="AO1154" s="22"/>
      <c r="AP1154" s="22"/>
      <c r="AQ1154" s="22"/>
      <c r="AR1154" s="35"/>
      <c r="AS1154" s="35"/>
      <c r="AT1154" s="35"/>
      <c r="AU1154" s="31"/>
      <c r="AV1154" s="36"/>
    </row>
    <row r="1155" spans="4:48">
      <c r="D1155" s="31"/>
      <c r="E1155" s="31"/>
      <c r="F1155" s="31"/>
      <c r="G1155" s="31"/>
      <c r="H1155" s="32"/>
      <c r="J1155" s="33"/>
      <c r="K1155" s="33"/>
      <c r="L1155" s="33"/>
      <c r="X1155" s="22"/>
      <c r="Y1155" s="22"/>
      <c r="Z1155" s="22"/>
      <c r="AA1155" s="22"/>
      <c r="AF1155" s="22"/>
      <c r="AG1155" s="22"/>
      <c r="AH1155" s="22"/>
      <c r="AI1155" s="22"/>
      <c r="AN1155" s="22"/>
      <c r="AO1155" s="22"/>
      <c r="AP1155" s="22"/>
      <c r="AQ1155" s="22"/>
      <c r="AR1155" s="35"/>
      <c r="AS1155" s="35"/>
      <c r="AT1155" s="35"/>
      <c r="AU1155" s="31"/>
      <c r="AV1155" s="36"/>
    </row>
    <row r="1156" spans="4:48">
      <c r="D1156" s="31"/>
      <c r="E1156" s="31"/>
      <c r="F1156" s="31"/>
      <c r="G1156" s="31"/>
      <c r="H1156" s="32"/>
      <c r="J1156" s="33"/>
      <c r="K1156" s="33"/>
      <c r="L1156" s="33"/>
      <c r="X1156" s="22"/>
      <c r="Y1156" s="22"/>
      <c r="Z1156" s="22"/>
      <c r="AA1156" s="22"/>
      <c r="AF1156" s="22"/>
      <c r="AG1156" s="22"/>
      <c r="AH1156" s="22"/>
      <c r="AI1156" s="22"/>
      <c r="AN1156" s="22"/>
      <c r="AO1156" s="22"/>
      <c r="AP1156" s="22"/>
      <c r="AQ1156" s="22"/>
      <c r="AR1156" s="35"/>
      <c r="AS1156" s="35"/>
      <c r="AT1156" s="35"/>
      <c r="AU1156" s="31"/>
      <c r="AV1156" s="36"/>
    </row>
    <row r="1157" spans="4:48">
      <c r="D1157" s="31"/>
      <c r="E1157" s="31"/>
      <c r="F1157" s="31"/>
      <c r="G1157" s="31"/>
      <c r="H1157" s="32"/>
      <c r="J1157" s="33"/>
      <c r="K1157" s="33"/>
      <c r="L1157" s="33"/>
      <c r="X1157" s="22"/>
      <c r="Y1157" s="22"/>
      <c r="Z1157" s="22"/>
      <c r="AA1157" s="22"/>
      <c r="AF1157" s="22"/>
      <c r="AG1157" s="22"/>
      <c r="AH1157" s="22"/>
      <c r="AI1157" s="22"/>
      <c r="AN1157" s="22"/>
      <c r="AO1157" s="22"/>
      <c r="AP1157" s="22"/>
      <c r="AQ1157" s="22"/>
      <c r="AR1157" s="35"/>
      <c r="AS1157" s="35"/>
      <c r="AT1157" s="35"/>
      <c r="AU1157" s="31"/>
      <c r="AV1157" s="36"/>
    </row>
    <row r="1158" spans="4:48">
      <c r="D1158" s="31"/>
      <c r="E1158" s="31"/>
      <c r="F1158" s="31"/>
      <c r="G1158" s="31"/>
      <c r="H1158" s="32"/>
      <c r="J1158" s="33"/>
      <c r="K1158" s="33"/>
      <c r="L1158" s="33"/>
      <c r="X1158" s="22"/>
      <c r="Y1158" s="22"/>
      <c r="Z1158" s="22"/>
      <c r="AA1158" s="22"/>
      <c r="AF1158" s="22"/>
      <c r="AG1158" s="22"/>
      <c r="AH1158" s="22"/>
      <c r="AI1158" s="22"/>
      <c r="AN1158" s="22"/>
      <c r="AO1158" s="22"/>
      <c r="AP1158" s="22"/>
      <c r="AQ1158" s="22"/>
      <c r="AR1158" s="35"/>
      <c r="AS1158" s="35"/>
      <c r="AT1158" s="35"/>
      <c r="AU1158" s="31"/>
      <c r="AV1158" s="36"/>
    </row>
    <row r="1159" spans="4:48">
      <c r="D1159" s="31"/>
      <c r="E1159" s="31"/>
      <c r="F1159" s="31"/>
      <c r="G1159" s="31"/>
      <c r="H1159" s="32"/>
      <c r="J1159" s="33"/>
      <c r="K1159" s="33"/>
      <c r="L1159" s="33"/>
      <c r="X1159" s="22"/>
      <c r="Y1159" s="22"/>
      <c r="Z1159" s="22"/>
      <c r="AA1159" s="22"/>
      <c r="AF1159" s="22"/>
      <c r="AG1159" s="22"/>
      <c r="AH1159" s="22"/>
      <c r="AI1159" s="22"/>
      <c r="AN1159" s="22"/>
      <c r="AO1159" s="22"/>
      <c r="AP1159" s="22"/>
      <c r="AQ1159" s="22"/>
      <c r="AR1159" s="35"/>
      <c r="AS1159" s="35"/>
      <c r="AT1159" s="35"/>
      <c r="AU1159" s="31"/>
      <c r="AV1159" s="36"/>
    </row>
    <row r="1160" spans="4:48">
      <c r="D1160" s="31"/>
      <c r="E1160" s="31"/>
      <c r="F1160" s="31"/>
      <c r="G1160" s="31"/>
      <c r="H1160" s="32"/>
      <c r="J1160" s="33"/>
      <c r="K1160" s="33"/>
      <c r="L1160" s="33"/>
      <c r="X1160" s="22"/>
      <c r="Y1160" s="22"/>
      <c r="Z1160" s="22"/>
      <c r="AA1160" s="22"/>
      <c r="AF1160" s="22"/>
      <c r="AG1160" s="22"/>
      <c r="AH1160" s="22"/>
      <c r="AI1160" s="22"/>
      <c r="AN1160" s="22"/>
      <c r="AO1160" s="22"/>
      <c r="AP1160" s="22"/>
      <c r="AQ1160" s="22"/>
      <c r="AR1160" s="35"/>
      <c r="AS1160" s="35"/>
      <c r="AT1160" s="35"/>
      <c r="AU1160" s="31"/>
      <c r="AV1160" s="36"/>
    </row>
    <row r="1161" spans="4:48">
      <c r="D1161" s="31"/>
      <c r="E1161" s="31"/>
      <c r="F1161" s="31"/>
      <c r="G1161" s="31"/>
      <c r="H1161" s="32"/>
      <c r="J1161" s="33"/>
      <c r="K1161" s="33"/>
      <c r="L1161" s="33"/>
      <c r="X1161" s="22"/>
      <c r="Y1161" s="22"/>
      <c r="Z1161" s="22"/>
      <c r="AA1161" s="22"/>
      <c r="AF1161" s="22"/>
      <c r="AG1161" s="22"/>
      <c r="AH1161" s="22"/>
      <c r="AI1161" s="22"/>
      <c r="AN1161" s="22"/>
      <c r="AO1161" s="22"/>
      <c r="AP1161" s="22"/>
      <c r="AQ1161" s="22"/>
      <c r="AR1161" s="35"/>
      <c r="AS1161" s="35"/>
      <c r="AT1161" s="35"/>
      <c r="AU1161" s="31"/>
      <c r="AV1161" s="36"/>
    </row>
    <row r="1162" spans="4:48">
      <c r="D1162" s="31"/>
      <c r="E1162" s="31"/>
      <c r="F1162" s="31"/>
      <c r="G1162" s="31"/>
      <c r="H1162" s="32"/>
      <c r="J1162" s="33"/>
      <c r="K1162" s="33"/>
      <c r="L1162" s="33"/>
      <c r="X1162" s="22"/>
      <c r="Y1162" s="22"/>
      <c r="Z1162" s="22"/>
      <c r="AA1162" s="22"/>
      <c r="AF1162" s="22"/>
      <c r="AG1162" s="22"/>
      <c r="AH1162" s="22"/>
      <c r="AI1162" s="22"/>
      <c r="AN1162" s="22"/>
      <c r="AO1162" s="22"/>
      <c r="AP1162" s="22"/>
      <c r="AQ1162" s="22"/>
      <c r="AR1162" s="35"/>
      <c r="AS1162" s="35"/>
      <c r="AT1162" s="35"/>
      <c r="AU1162" s="31"/>
      <c r="AV1162" s="36"/>
    </row>
    <row r="1163" spans="4:48">
      <c r="D1163" s="31"/>
      <c r="E1163" s="31"/>
      <c r="F1163" s="31"/>
      <c r="G1163" s="31"/>
      <c r="H1163" s="32"/>
      <c r="J1163" s="33"/>
      <c r="K1163" s="33"/>
      <c r="L1163" s="33"/>
      <c r="X1163" s="22"/>
      <c r="Y1163" s="22"/>
      <c r="Z1163" s="22"/>
      <c r="AA1163" s="22"/>
      <c r="AF1163" s="22"/>
      <c r="AG1163" s="22"/>
      <c r="AH1163" s="22"/>
      <c r="AI1163" s="22"/>
      <c r="AN1163" s="22"/>
      <c r="AO1163" s="22"/>
      <c r="AP1163" s="22"/>
      <c r="AQ1163" s="22"/>
      <c r="AR1163" s="35"/>
      <c r="AS1163" s="35"/>
      <c r="AT1163" s="35"/>
      <c r="AU1163" s="31"/>
      <c r="AV1163" s="36"/>
    </row>
    <row r="1164" spans="4:48">
      <c r="D1164" s="31"/>
      <c r="E1164" s="31"/>
      <c r="F1164" s="31"/>
      <c r="G1164" s="31"/>
      <c r="H1164" s="32"/>
      <c r="J1164" s="33"/>
      <c r="K1164" s="33"/>
      <c r="L1164" s="33"/>
      <c r="X1164" s="22"/>
      <c r="Y1164" s="22"/>
      <c r="Z1164" s="22"/>
      <c r="AA1164" s="22"/>
      <c r="AF1164" s="22"/>
      <c r="AG1164" s="22"/>
      <c r="AH1164" s="22"/>
      <c r="AI1164" s="22"/>
      <c r="AN1164" s="22"/>
      <c r="AO1164" s="22"/>
      <c r="AP1164" s="22"/>
      <c r="AQ1164" s="22"/>
      <c r="AR1164" s="35"/>
      <c r="AS1164" s="35"/>
      <c r="AT1164" s="35"/>
      <c r="AU1164" s="31"/>
      <c r="AV1164" s="36"/>
    </row>
    <row r="1165" spans="4:48">
      <c r="D1165" s="31"/>
      <c r="E1165" s="31"/>
      <c r="F1165" s="31"/>
      <c r="G1165" s="31"/>
      <c r="H1165" s="32"/>
      <c r="J1165" s="33"/>
      <c r="K1165" s="33"/>
      <c r="L1165" s="33"/>
      <c r="X1165" s="22"/>
      <c r="Y1165" s="22"/>
      <c r="Z1165" s="22"/>
      <c r="AA1165" s="22"/>
      <c r="AF1165" s="22"/>
      <c r="AG1165" s="22"/>
      <c r="AH1165" s="22"/>
      <c r="AI1165" s="22"/>
      <c r="AN1165" s="22"/>
      <c r="AO1165" s="22"/>
      <c r="AP1165" s="22"/>
      <c r="AQ1165" s="22"/>
      <c r="AR1165" s="35"/>
      <c r="AS1165" s="35"/>
      <c r="AT1165" s="35"/>
      <c r="AU1165" s="31"/>
      <c r="AV1165" s="36"/>
    </row>
    <row r="1166" spans="4:48">
      <c r="D1166" s="31"/>
      <c r="E1166" s="31"/>
      <c r="F1166" s="31"/>
      <c r="G1166" s="31"/>
      <c r="H1166" s="32"/>
      <c r="J1166" s="33"/>
      <c r="K1166" s="33"/>
      <c r="L1166" s="33"/>
      <c r="X1166" s="22"/>
      <c r="Y1166" s="22"/>
      <c r="Z1166" s="22"/>
      <c r="AA1166" s="22"/>
      <c r="AF1166" s="22"/>
      <c r="AG1166" s="22"/>
      <c r="AH1166" s="22"/>
      <c r="AI1166" s="22"/>
      <c r="AN1166" s="22"/>
      <c r="AO1166" s="22"/>
      <c r="AP1166" s="22"/>
      <c r="AQ1166" s="22"/>
      <c r="AR1166" s="35"/>
      <c r="AS1166" s="35"/>
      <c r="AT1166" s="35"/>
      <c r="AU1166" s="31"/>
      <c r="AV1166" s="36"/>
    </row>
    <row r="1167" spans="4:48">
      <c r="D1167" s="31"/>
      <c r="E1167" s="31"/>
      <c r="F1167" s="31"/>
      <c r="G1167" s="31"/>
      <c r="H1167" s="32"/>
      <c r="J1167" s="33"/>
      <c r="K1167" s="33"/>
      <c r="L1167" s="33"/>
      <c r="X1167" s="22"/>
      <c r="Y1167" s="22"/>
      <c r="Z1167" s="22"/>
      <c r="AA1167" s="22"/>
      <c r="AF1167" s="22"/>
      <c r="AG1167" s="22"/>
      <c r="AH1167" s="22"/>
      <c r="AI1167" s="22"/>
      <c r="AN1167" s="22"/>
      <c r="AO1167" s="22"/>
      <c r="AP1167" s="22"/>
      <c r="AQ1167" s="22"/>
      <c r="AR1167" s="35"/>
      <c r="AS1167" s="35"/>
      <c r="AT1167" s="35"/>
      <c r="AU1167" s="31"/>
      <c r="AV1167" s="36"/>
    </row>
    <row r="1168" spans="4:48">
      <c r="D1168" s="31"/>
      <c r="E1168" s="31"/>
      <c r="F1168" s="31"/>
      <c r="G1168" s="31"/>
      <c r="H1168" s="32"/>
      <c r="J1168" s="33"/>
      <c r="K1168" s="33"/>
      <c r="L1168" s="33"/>
      <c r="X1168" s="22"/>
      <c r="Y1168" s="22"/>
      <c r="Z1168" s="22"/>
      <c r="AA1168" s="22"/>
      <c r="AF1168" s="22"/>
      <c r="AG1168" s="22"/>
      <c r="AH1168" s="22"/>
      <c r="AI1168" s="22"/>
      <c r="AN1168" s="22"/>
      <c r="AO1168" s="22"/>
      <c r="AP1168" s="22"/>
      <c r="AQ1168" s="22"/>
      <c r="AR1168" s="35"/>
      <c r="AS1168" s="35"/>
      <c r="AT1168" s="35"/>
      <c r="AU1168" s="31"/>
      <c r="AV1168" s="36"/>
    </row>
    <row r="1169" spans="4:48">
      <c r="D1169" s="31"/>
      <c r="E1169" s="31"/>
      <c r="F1169" s="31"/>
      <c r="G1169" s="31"/>
      <c r="H1169" s="32"/>
      <c r="J1169" s="33"/>
      <c r="K1169" s="33"/>
      <c r="L1169" s="33"/>
      <c r="X1169" s="22"/>
      <c r="Y1169" s="22"/>
      <c r="Z1169" s="22"/>
      <c r="AA1169" s="22"/>
      <c r="AF1169" s="22"/>
      <c r="AG1169" s="22"/>
      <c r="AH1169" s="22"/>
      <c r="AI1169" s="22"/>
      <c r="AN1169" s="22"/>
      <c r="AO1169" s="22"/>
      <c r="AP1169" s="22"/>
      <c r="AQ1169" s="22"/>
      <c r="AR1169" s="35"/>
      <c r="AS1169" s="35"/>
      <c r="AT1169" s="35"/>
      <c r="AU1169" s="31"/>
      <c r="AV1169" s="36"/>
    </row>
    <row r="1170" spans="4:48">
      <c r="D1170" s="31"/>
      <c r="E1170" s="31"/>
      <c r="F1170" s="31"/>
      <c r="G1170" s="31"/>
      <c r="H1170" s="32"/>
      <c r="J1170" s="33"/>
      <c r="K1170" s="33"/>
      <c r="L1170" s="33"/>
      <c r="X1170" s="22"/>
      <c r="Y1170" s="22"/>
      <c r="Z1170" s="22"/>
      <c r="AA1170" s="22"/>
      <c r="AF1170" s="22"/>
      <c r="AG1170" s="22"/>
      <c r="AH1170" s="22"/>
      <c r="AI1170" s="22"/>
      <c r="AN1170" s="22"/>
      <c r="AO1170" s="22"/>
      <c r="AP1170" s="22"/>
      <c r="AQ1170" s="22"/>
      <c r="AR1170" s="35"/>
      <c r="AS1170" s="35"/>
      <c r="AT1170" s="35"/>
      <c r="AU1170" s="31"/>
      <c r="AV1170" s="36"/>
    </row>
    <row r="1171" spans="4:48">
      <c r="D1171" s="31"/>
      <c r="E1171" s="31"/>
      <c r="F1171" s="31"/>
      <c r="G1171" s="31"/>
      <c r="H1171" s="32"/>
      <c r="J1171" s="33"/>
      <c r="K1171" s="33"/>
      <c r="L1171" s="33"/>
      <c r="X1171" s="22"/>
      <c r="Y1171" s="22"/>
      <c r="Z1171" s="22"/>
      <c r="AA1171" s="22"/>
      <c r="AF1171" s="22"/>
      <c r="AG1171" s="22"/>
      <c r="AH1171" s="22"/>
      <c r="AI1171" s="22"/>
      <c r="AN1171" s="22"/>
      <c r="AO1171" s="22"/>
      <c r="AP1171" s="22"/>
      <c r="AQ1171" s="22"/>
      <c r="AR1171" s="35"/>
      <c r="AS1171" s="35"/>
      <c r="AT1171" s="35"/>
      <c r="AU1171" s="31"/>
      <c r="AV1171" s="36"/>
    </row>
    <row r="1172" spans="4:48">
      <c r="D1172" s="31"/>
      <c r="E1172" s="31"/>
      <c r="F1172" s="31"/>
      <c r="G1172" s="31"/>
      <c r="H1172" s="32"/>
      <c r="J1172" s="33"/>
      <c r="K1172" s="33"/>
      <c r="L1172" s="33"/>
      <c r="X1172" s="22"/>
      <c r="Y1172" s="22"/>
      <c r="Z1172" s="22"/>
      <c r="AA1172" s="22"/>
      <c r="AF1172" s="22"/>
      <c r="AG1172" s="22"/>
      <c r="AH1172" s="22"/>
      <c r="AI1172" s="22"/>
      <c r="AN1172" s="22"/>
      <c r="AO1172" s="22"/>
      <c r="AP1172" s="22"/>
      <c r="AQ1172" s="22"/>
      <c r="AR1172" s="35"/>
      <c r="AS1172" s="35"/>
      <c r="AT1172" s="35"/>
      <c r="AU1172" s="31"/>
      <c r="AV1172" s="36"/>
    </row>
    <row r="1173" spans="4:48">
      <c r="D1173" s="31"/>
      <c r="E1173" s="31"/>
      <c r="F1173" s="31"/>
      <c r="G1173" s="31"/>
      <c r="H1173" s="32"/>
      <c r="J1173" s="33"/>
      <c r="K1173" s="33"/>
      <c r="L1173" s="33"/>
      <c r="X1173" s="22"/>
      <c r="Y1173" s="22"/>
      <c r="Z1173" s="22"/>
      <c r="AA1173" s="22"/>
      <c r="AF1173" s="22"/>
      <c r="AG1173" s="22"/>
      <c r="AH1173" s="22"/>
      <c r="AI1173" s="22"/>
      <c r="AN1173" s="22"/>
      <c r="AO1173" s="22"/>
      <c r="AP1173" s="22"/>
      <c r="AQ1173" s="22"/>
      <c r="AR1173" s="35"/>
      <c r="AS1173" s="35"/>
      <c r="AT1173" s="35"/>
      <c r="AU1173" s="31"/>
      <c r="AV1173" s="36"/>
    </row>
    <row r="1174" spans="4:48">
      <c r="D1174" s="31"/>
      <c r="E1174" s="31"/>
      <c r="F1174" s="31"/>
      <c r="G1174" s="31"/>
      <c r="H1174" s="32"/>
      <c r="J1174" s="33"/>
      <c r="K1174" s="33"/>
      <c r="L1174" s="33"/>
      <c r="X1174" s="22"/>
      <c r="Y1174" s="22"/>
      <c r="Z1174" s="22"/>
      <c r="AA1174" s="22"/>
      <c r="AF1174" s="22"/>
      <c r="AG1174" s="22"/>
      <c r="AH1174" s="22"/>
      <c r="AI1174" s="22"/>
      <c r="AN1174" s="22"/>
      <c r="AO1174" s="22"/>
      <c r="AP1174" s="22"/>
      <c r="AQ1174" s="22"/>
      <c r="AR1174" s="35"/>
      <c r="AS1174" s="35"/>
      <c r="AT1174" s="35"/>
      <c r="AU1174" s="31"/>
      <c r="AV1174" s="36"/>
    </row>
    <row r="1175" spans="4:48">
      <c r="D1175" s="31"/>
      <c r="E1175" s="31"/>
      <c r="F1175" s="31"/>
      <c r="G1175" s="31"/>
      <c r="H1175" s="32"/>
      <c r="J1175" s="33"/>
      <c r="K1175" s="33"/>
      <c r="L1175" s="33"/>
      <c r="X1175" s="22"/>
      <c r="Y1175" s="22"/>
      <c r="Z1175" s="22"/>
      <c r="AA1175" s="22"/>
      <c r="AF1175" s="22"/>
      <c r="AG1175" s="22"/>
      <c r="AH1175" s="22"/>
      <c r="AI1175" s="22"/>
      <c r="AN1175" s="22"/>
      <c r="AO1175" s="22"/>
      <c r="AP1175" s="22"/>
      <c r="AQ1175" s="22"/>
      <c r="AR1175" s="35"/>
      <c r="AS1175" s="35"/>
      <c r="AT1175" s="35"/>
      <c r="AU1175" s="31"/>
      <c r="AV1175" s="36"/>
    </row>
    <row r="1176" spans="4:48">
      <c r="D1176" s="31"/>
      <c r="E1176" s="31"/>
      <c r="F1176" s="31"/>
      <c r="G1176" s="31"/>
      <c r="H1176" s="32"/>
      <c r="J1176" s="33"/>
      <c r="K1176" s="33"/>
      <c r="L1176" s="33"/>
      <c r="X1176" s="22"/>
      <c r="Y1176" s="22"/>
      <c r="Z1176" s="22"/>
      <c r="AA1176" s="22"/>
      <c r="AF1176" s="22"/>
      <c r="AG1176" s="22"/>
      <c r="AH1176" s="22"/>
      <c r="AI1176" s="22"/>
      <c r="AN1176" s="22"/>
      <c r="AO1176" s="22"/>
      <c r="AP1176" s="22"/>
      <c r="AQ1176" s="22"/>
      <c r="AR1176" s="35"/>
      <c r="AS1176" s="35"/>
      <c r="AT1176" s="35"/>
      <c r="AU1176" s="31"/>
      <c r="AV1176" s="36"/>
    </row>
    <row r="1177" spans="4:48">
      <c r="D1177" s="31"/>
      <c r="E1177" s="31"/>
      <c r="F1177" s="31"/>
      <c r="G1177" s="31"/>
      <c r="H1177" s="32"/>
      <c r="J1177" s="33"/>
      <c r="K1177" s="33"/>
      <c r="L1177" s="33"/>
      <c r="X1177" s="22"/>
      <c r="Y1177" s="22"/>
      <c r="Z1177" s="22"/>
      <c r="AA1177" s="22"/>
      <c r="AF1177" s="22"/>
      <c r="AG1177" s="22"/>
      <c r="AH1177" s="22"/>
      <c r="AI1177" s="22"/>
      <c r="AN1177" s="22"/>
      <c r="AO1177" s="22"/>
      <c r="AP1177" s="22"/>
      <c r="AQ1177" s="22"/>
      <c r="AR1177" s="35"/>
      <c r="AS1177" s="35"/>
      <c r="AT1177" s="35"/>
      <c r="AU1177" s="31"/>
      <c r="AV1177" s="36"/>
    </row>
    <row r="1178" spans="4:48">
      <c r="D1178" s="31"/>
      <c r="E1178" s="31"/>
      <c r="F1178" s="31"/>
      <c r="G1178" s="31"/>
      <c r="H1178" s="32"/>
      <c r="J1178" s="33"/>
      <c r="K1178" s="33"/>
      <c r="L1178" s="33"/>
      <c r="X1178" s="22"/>
      <c r="Y1178" s="22"/>
      <c r="Z1178" s="22"/>
      <c r="AA1178" s="22"/>
      <c r="AF1178" s="22"/>
      <c r="AG1178" s="22"/>
      <c r="AH1178" s="22"/>
      <c r="AI1178" s="22"/>
      <c r="AN1178" s="22"/>
      <c r="AO1178" s="22"/>
      <c r="AP1178" s="22"/>
      <c r="AQ1178" s="22"/>
      <c r="AR1178" s="35"/>
      <c r="AS1178" s="35"/>
      <c r="AT1178" s="35"/>
      <c r="AU1178" s="31"/>
      <c r="AV1178" s="36"/>
    </row>
    <row r="1179" spans="4:48">
      <c r="D1179" s="31"/>
      <c r="E1179" s="31"/>
      <c r="F1179" s="31"/>
      <c r="G1179" s="31"/>
      <c r="H1179" s="32"/>
      <c r="J1179" s="33"/>
      <c r="K1179" s="33"/>
      <c r="L1179" s="33"/>
      <c r="X1179" s="22"/>
      <c r="Y1179" s="22"/>
      <c r="Z1179" s="22"/>
      <c r="AA1179" s="22"/>
      <c r="AF1179" s="22"/>
      <c r="AG1179" s="22"/>
      <c r="AH1179" s="22"/>
      <c r="AI1179" s="22"/>
      <c r="AN1179" s="22"/>
      <c r="AO1179" s="22"/>
      <c r="AP1179" s="22"/>
      <c r="AQ1179" s="22"/>
      <c r="AR1179" s="35"/>
      <c r="AS1179" s="35"/>
      <c r="AT1179" s="35"/>
      <c r="AU1179" s="31"/>
      <c r="AV1179" s="36"/>
    </row>
    <row r="1180" spans="4:48">
      <c r="D1180" s="31"/>
      <c r="E1180" s="31"/>
      <c r="F1180" s="31"/>
      <c r="G1180" s="31"/>
      <c r="H1180" s="32"/>
      <c r="J1180" s="33"/>
      <c r="K1180" s="33"/>
      <c r="L1180" s="33"/>
      <c r="X1180" s="22"/>
      <c r="Y1180" s="22"/>
      <c r="Z1180" s="22"/>
      <c r="AA1180" s="22"/>
      <c r="AF1180" s="22"/>
      <c r="AG1180" s="22"/>
      <c r="AH1180" s="22"/>
      <c r="AI1180" s="22"/>
      <c r="AN1180" s="22"/>
      <c r="AO1180" s="22"/>
      <c r="AP1180" s="22"/>
      <c r="AQ1180" s="22"/>
      <c r="AR1180" s="35"/>
      <c r="AS1180" s="35"/>
      <c r="AT1180" s="35"/>
      <c r="AU1180" s="31"/>
      <c r="AV1180" s="36"/>
    </row>
    <row r="1181" spans="4:48">
      <c r="D1181" s="31"/>
      <c r="E1181" s="31"/>
      <c r="F1181" s="31"/>
      <c r="G1181" s="31"/>
      <c r="H1181" s="32"/>
      <c r="J1181" s="33"/>
      <c r="K1181" s="33"/>
      <c r="L1181" s="33"/>
      <c r="X1181" s="22"/>
      <c r="Y1181" s="22"/>
      <c r="Z1181" s="22"/>
      <c r="AA1181" s="22"/>
      <c r="AF1181" s="22"/>
      <c r="AG1181" s="22"/>
      <c r="AH1181" s="22"/>
      <c r="AI1181" s="22"/>
      <c r="AN1181" s="22"/>
      <c r="AO1181" s="22"/>
      <c r="AP1181" s="22"/>
      <c r="AQ1181" s="22"/>
      <c r="AR1181" s="35"/>
      <c r="AS1181" s="35"/>
      <c r="AT1181" s="35"/>
      <c r="AU1181" s="31"/>
      <c r="AV1181" s="36"/>
    </row>
    <row r="1182" spans="4:48">
      <c r="D1182" s="31"/>
      <c r="E1182" s="31"/>
      <c r="F1182" s="31"/>
      <c r="G1182" s="31"/>
      <c r="H1182" s="32"/>
      <c r="J1182" s="33"/>
      <c r="K1182" s="33"/>
      <c r="L1182" s="33"/>
      <c r="X1182" s="22"/>
      <c r="Y1182" s="22"/>
      <c r="Z1182" s="22"/>
      <c r="AA1182" s="22"/>
      <c r="AF1182" s="22"/>
      <c r="AG1182" s="22"/>
      <c r="AH1182" s="22"/>
      <c r="AI1182" s="22"/>
      <c r="AN1182" s="22"/>
      <c r="AO1182" s="22"/>
      <c r="AP1182" s="22"/>
      <c r="AQ1182" s="22"/>
      <c r="AR1182" s="35"/>
      <c r="AS1182" s="35"/>
      <c r="AT1182" s="35"/>
      <c r="AU1182" s="31"/>
      <c r="AV1182" s="36"/>
    </row>
    <row r="1183" spans="4:48">
      <c r="D1183" s="31"/>
      <c r="E1183" s="31"/>
      <c r="F1183" s="31"/>
      <c r="G1183" s="31"/>
      <c r="H1183" s="32"/>
      <c r="J1183" s="33"/>
      <c r="K1183" s="33"/>
      <c r="L1183" s="33"/>
      <c r="X1183" s="22"/>
      <c r="Y1183" s="22"/>
      <c r="Z1183" s="22"/>
      <c r="AA1183" s="22"/>
      <c r="AF1183" s="22"/>
      <c r="AG1183" s="22"/>
      <c r="AH1183" s="22"/>
      <c r="AI1183" s="22"/>
      <c r="AN1183" s="22"/>
      <c r="AO1183" s="22"/>
      <c r="AP1183" s="22"/>
      <c r="AQ1183" s="22"/>
      <c r="AR1183" s="35"/>
      <c r="AS1183" s="35"/>
      <c r="AT1183" s="35"/>
      <c r="AU1183" s="31"/>
      <c r="AV1183" s="36"/>
    </row>
    <row r="1184" spans="4:48">
      <c r="D1184" s="31"/>
      <c r="E1184" s="31"/>
      <c r="F1184" s="31"/>
      <c r="G1184" s="31"/>
      <c r="H1184" s="32"/>
      <c r="J1184" s="33"/>
      <c r="K1184" s="33"/>
      <c r="L1184" s="33"/>
      <c r="X1184" s="22"/>
      <c r="Y1184" s="22"/>
      <c r="Z1184" s="22"/>
      <c r="AA1184" s="22"/>
      <c r="AF1184" s="22"/>
      <c r="AG1184" s="22"/>
      <c r="AH1184" s="22"/>
      <c r="AI1184" s="22"/>
      <c r="AN1184" s="22"/>
      <c r="AO1184" s="22"/>
      <c r="AP1184" s="22"/>
      <c r="AQ1184" s="22"/>
      <c r="AR1184" s="35"/>
      <c r="AS1184" s="35"/>
      <c r="AT1184" s="35"/>
      <c r="AU1184" s="31"/>
      <c r="AV1184" s="36"/>
    </row>
    <row r="1185" spans="4:48">
      <c r="D1185" s="31"/>
      <c r="E1185" s="31"/>
      <c r="F1185" s="31"/>
      <c r="G1185" s="31"/>
      <c r="H1185" s="32"/>
      <c r="J1185" s="33"/>
      <c r="K1185" s="33"/>
      <c r="L1185" s="33"/>
      <c r="X1185" s="22"/>
      <c r="Y1185" s="22"/>
      <c r="Z1185" s="22"/>
      <c r="AA1185" s="22"/>
      <c r="AF1185" s="22"/>
      <c r="AG1185" s="22"/>
      <c r="AH1185" s="22"/>
      <c r="AI1185" s="22"/>
      <c r="AN1185" s="22"/>
      <c r="AO1185" s="22"/>
      <c r="AP1185" s="22"/>
      <c r="AQ1185" s="22"/>
      <c r="AR1185" s="35"/>
      <c r="AS1185" s="35"/>
      <c r="AT1185" s="35"/>
      <c r="AU1185" s="31"/>
      <c r="AV1185" s="36"/>
    </row>
    <row r="1186" spans="4:48">
      <c r="D1186" s="31"/>
      <c r="E1186" s="31"/>
      <c r="F1186" s="31"/>
      <c r="G1186" s="31"/>
      <c r="H1186" s="32"/>
      <c r="J1186" s="33"/>
      <c r="K1186" s="33"/>
      <c r="L1186" s="33"/>
      <c r="X1186" s="22"/>
      <c r="Y1186" s="22"/>
      <c r="Z1186" s="22"/>
      <c r="AA1186" s="22"/>
      <c r="AF1186" s="22"/>
      <c r="AG1186" s="22"/>
      <c r="AH1186" s="22"/>
      <c r="AI1186" s="22"/>
      <c r="AN1186" s="22"/>
      <c r="AO1186" s="22"/>
      <c r="AP1186" s="22"/>
      <c r="AQ1186" s="22"/>
      <c r="AR1186" s="35"/>
      <c r="AS1186" s="35"/>
      <c r="AT1186" s="35"/>
      <c r="AU1186" s="31"/>
      <c r="AV1186" s="36"/>
    </row>
    <row r="1187" spans="4:48">
      <c r="D1187" s="31"/>
      <c r="E1187" s="31"/>
      <c r="F1187" s="31"/>
      <c r="G1187" s="31"/>
      <c r="H1187" s="32"/>
      <c r="J1187" s="33"/>
      <c r="K1187" s="33"/>
      <c r="L1187" s="33"/>
      <c r="X1187" s="22"/>
      <c r="Y1187" s="22"/>
      <c r="Z1187" s="22"/>
      <c r="AA1187" s="22"/>
      <c r="AF1187" s="22"/>
      <c r="AG1187" s="22"/>
      <c r="AH1187" s="22"/>
      <c r="AI1187" s="22"/>
      <c r="AN1187" s="22"/>
      <c r="AO1187" s="22"/>
      <c r="AP1187" s="22"/>
      <c r="AQ1187" s="22"/>
      <c r="AR1187" s="35"/>
      <c r="AS1187" s="35"/>
      <c r="AT1187" s="35"/>
      <c r="AU1187" s="31"/>
      <c r="AV1187" s="36"/>
    </row>
    <row r="1188" spans="4:48">
      <c r="D1188" s="31"/>
      <c r="E1188" s="31"/>
      <c r="F1188" s="31"/>
      <c r="G1188" s="31"/>
      <c r="H1188" s="32"/>
      <c r="J1188" s="33"/>
      <c r="K1188" s="33"/>
      <c r="L1188" s="33"/>
      <c r="X1188" s="22"/>
      <c r="Y1188" s="22"/>
      <c r="Z1188" s="22"/>
      <c r="AA1188" s="22"/>
      <c r="AF1188" s="22"/>
      <c r="AG1188" s="22"/>
      <c r="AH1188" s="22"/>
      <c r="AI1188" s="22"/>
      <c r="AN1188" s="22"/>
      <c r="AO1188" s="22"/>
      <c r="AP1188" s="22"/>
      <c r="AQ1188" s="22"/>
      <c r="AR1188" s="35"/>
      <c r="AS1188" s="35"/>
      <c r="AT1188" s="35"/>
      <c r="AU1188" s="31"/>
      <c r="AV1188" s="36"/>
    </row>
    <row r="1189" spans="4:48">
      <c r="D1189" s="31"/>
      <c r="E1189" s="31"/>
      <c r="F1189" s="31"/>
      <c r="G1189" s="31"/>
      <c r="H1189" s="32"/>
      <c r="J1189" s="33"/>
      <c r="K1189" s="33"/>
      <c r="L1189" s="33"/>
      <c r="X1189" s="22"/>
      <c r="Y1189" s="22"/>
      <c r="Z1189" s="22"/>
      <c r="AA1189" s="22"/>
      <c r="AF1189" s="22"/>
      <c r="AG1189" s="22"/>
      <c r="AH1189" s="22"/>
      <c r="AI1189" s="22"/>
      <c r="AN1189" s="22"/>
      <c r="AO1189" s="22"/>
      <c r="AP1189" s="22"/>
      <c r="AQ1189" s="22"/>
      <c r="AR1189" s="35"/>
      <c r="AS1189" s="35"/>
      <c r="AT1189" s="35"/>
      <c r="AU1189" s="31"/>
      <c r="AV1189" s="36"/>
    </row>
    <row r="1190" spans="4:48">
      <c r="D1190" s="31"/>
      <c r="E1190" s="31"/>
      <c r="F1190" s="31"/>
      <c r="G1190" s="31"/>
      <c r="H1190" s="32"/>
      <c r="J1190" s="33"/>
      <c r="K1190" s="33"/>
      <c r="L1190" s="33"/>
      <c r="X1190" s="22"/>
      <c r="Y1190" s="22"/>
      <c r="Z1190" s="22"/>
      <c r="AA1190" s="22"/>
      <c r="AF1190" s="22"/>
      <c r="AG1190" s="22"/>
      <c r="AH1190" s="22"/>
      <c r="AI1190" s="22"/>
      <c r="AN1190" s="22"/>
      <c r="AO1190" s="22"/>
      <c r="AP1190" s="22"/>
      <c r="AQ1190" s="22"/>
      <c r="AR1190" s="35"/>
      <c r="AS1190" s="35"/>
      <c r="AT1190" s="35"/>
      <c r="AU1190" s="31"/>
      <c r="AV1190" s="36"/>
    </row>
    <row r="1191" spans="4:48">
      <c r="D1191" s="31"/>
      <c r="E1191" s="31"/>
      <c r="F1191" s="31"/>
      <c r="G1191" s="31"/>
      <c r="H1191" s="32"/>
      <c r="J1191" s="33"/>
      <c r="K1191" s="33"/>
      <c r="L1191" s="33"/>
      <c r="X1191" s="22"/>
      <c r="Y1191" s="22"/>
      <c r="Z1191" s="22"/>
      <c r="AA1191" s="22"/>
      <c r="AF1191" s="22"/>
      <c r="AG1191" s="22"/>
      <c r="AH1191" s="22"/>
      <c r="AI1191" s="22"/>
      <c r="AN1191" s="22"/>
      <c r="AO1191" s="22"/>
      <c r="AP1191" s="22"/>
      <c r="AQ1191" s="22"/>
      <c r="AR1191" s="35"/>
      <c r="AS1191" s="35"/>
      <c r="AT1191" s="35"/>
      <c r="AU1191" s="31"/>
      <c r="AV1191" s="36"/>
    </row>
    <row r="1192" spans="4:48">
      <c r="D1192" s="31"/>
      <c r="E1192" s="31"/>
      <c r="F1192" s="31"/>
      <c r="G1192" s="31"/>
      <c r="H1192" s="32"/>
      <c r="J1192" s="33"/>
      <c r="K1192" s="33"/>
      <c r="L1192" s="33"/>
      <c r="X1192" s="22"/>
      <c r="Y1192" s="22"/>
      <c r="Z1192" s="22"/>
      <c r="AA1192" s="22"/>
      <c r="AF1192" s="22"/>
      <c r="AG1192" s="22"/>
      <c r="AH1192" s="22"/>
      <c r="AI1192" s="22"/>
      <c r="AN1192" s="22"/>
      <c r="AO1192" s="22"/>
      <c r="AP1192" s="22"/>
      <c r="AQ1192" s="22"/>
      <c r="AR1192" s="35"/>
      <c r="AS1192" s="35"/>
      <c r="AT1192" s="35"/>
      <c r="AU1192" s="31"/>
      <c r="AV1192" s="36"/>
    </row>
    <row r="1193" spans="4:48">
      <c r="D1193" s="31"/>
      <c r="E1193" s="31"/>
      <c r="F1193" s="31"/>
      <c r="G1193" s="31"/>
      <c r="H1193" s="32"/>
      <c r="J1193" s="33"/>
      <c r="K1193" s="33"/>
      <c r="L1193" s="33"/>
      <c r="X1193" s="22"/>
      <c r="Y1193" s="22"/>
      <c r="Z1193" s="22"/>
      <c r="AA1193" s="22"/>
      <c r="AF1193" s="22"/>
      <c r="AG1193" s="22"/>
      <c r="AH1193" s="22"/>
      <c r="AI1193" s="22"/>
      <c r="AN1193" s="22"/>
      <c r="AO1193" s="22"/>
      <c r="AP1193" s="22"/>
      <c r="AQ1193" s="22"/>
      <c r="AR1193" s="35"/>
      <c r="AS1193" s="35"/>
      <c r="AT1193" s="35"/>
      <c r="AU1193" s="31"/>
      <c r="AV1193" s="36"/>
    </row>
    <row r="1194" spans="4:48">
      <c r="D1194" s="31"/>
      <c r="E1194" s="31"/>
      <c r="F1194" s="31"/>
      <c r="G1194" s="31"/>
      <c r="H1194" s="32"/>
      <c r="J1194" s="33"/>
      <c r="K1194" s="33"/>
      <c r="L1194" s="33"/>
      <c r="X1194" s="22"/>
      <c r="Y1194" s="22"/>
      <c r="Z1194" s="22"/>
      <c r="AA1194" s="22"/>
      <c r="AF1194" s="22"/>
      <c r="AG1194" s="22"/>
      <c r="AH1194" s="22"/>
      <c r="AI1194" s="22"/>
      <c r="AN1194" s="22"/>
      <c r="AO1194" s="22"/>
      <c r="AP1194" s="22"/>
      <c r="AQ1194" s="22"/>
      <c r="AR1194" s="35"/>
      <c r="AS1194" s="35"/>
      <c r="AT1194" s="35"/>
      <c r="AU1194" s="31"/>
      <c r="AV1194" s="36"/>
    </row>
    <row r="1195" spans="4:48">
      <c r="D1195" s="31"/>
      <c r="E1195" s="31"/>
      <c r="F1195" s="31"/>
      <c r="G1195" s="31"/>
      <c r="H1195" s="32"/>
      <c r="J1195" s="33"/>
      <c r="K1195" s="33"/>
      <c r="L1195" s="33"/>
      <c r="X1195" s="22"/>
      <c r="Y1195" s="22"/>
      <c r="Z1195" s="22"/>
      <c r="AA1195" s="22"/>
      <c r="AF1195" s="22"/>
      <c r="AG1195" s="22"/>
      <c r="AH1195" s="22"/>
      <c r="AI1195" s="22"/>
      <c r="AN1195" s="22"/>
      <c r="AO1195" s="22"/>
      <c r="AP1195" s="22"/>
      <c r="AQ1195" s="22"/>
      <c r="AR1195" s="35"/>
      <c r="AS1195" s="35"/>
      <c r="AT1195" s="35"/>
      <c r="AU1195" s="31"/>
      <c r="AV1195" s="36"/>
    </row>
    <row r="1196" spans="4:48">
      <c r="D1196" s="31"/>
      <c r="E1196" s="31"/>
      <c r="F1196" s="31"/>
      <c r="G1196" s="31"/>
      <c r="H1196" s="32"/>
      <c r="J1196" s="33"/>
      <c r="K1196" s="33"/>
      <c r="L1196" s="33"/>
      <c r="X1196" s="22"/>
      <c r="Y1196" s="22"/>
      <c r="Z1196" s="22"/>
      <c r="AA1196" s="22"/>
      <c r="AF1196" s="22"/>
      <c r="AG1196" s="22"/>
      <c r="AH1196" s="22"/>
      <c r="AI1196" s="22"/>
      <c r="AN1196" s="22"/>
      <c r="AO1196" s="22"/>
      <c r="AP1196" s="22"/>
      <c r="AQ1196" s="22"/>
      <c r="AR1196" s="35"/>
      <c r="AS1196" s="35"/>
      <c r="AT1196" s="35"/>
      <c r="AU1196" s="31"/>
      <c r="AV1196" s="36"/>
    </row>
    <row r="1197" spans="4:48">
      <c r="D1197" s="31"/>
      <c r="E1197" s="31"/>
      <c r="F1197" s="31"/>
      <c r="G1197" s="31"/>
      <c r="H1197" s="32"/>
      <c r="J1197" s="33"/>
      <c r="K1197" s="33"/>
      <c r="L1197" s="33"/>
      <c r="X1197" s="22"/>
      <c r="Y1197" s="22"/>
      <c r="Z1197" s="22"/>
      <c r="AA1197" s="22"/>
      <c r="AF1197" s="22"/>
      <c r="AG1197" s="22"/>
      <c r="AH1197" s="22"/>
      <c r="AI1197" s="22"/>
      <c r="AN1197" s="22"/>
      <c r="AO1197" s="22"/>
      <c r="AP1197" s="22"/>
      <c r="AQ1197" s="22"/>
      <c r="AR1197" s="35"/>
      <c r="AS1197" s="35"/>
      <c r="AT1197" s="35"/>
      <c r="AU1197" s="31"/>
      <c r="AV1197" s="36"/>
    </row>
    <row r="1198" spans="4:48">
      <c r="D1198" s="31"/>
      <c r="E1198" s="31"/>
      <c r="F1198" s="31"/>
      <c r="G1198" s="31"/>
      <c r="H1198" s="32"/>
      <c r="J1198" s="33"/>
      <c r="K1198" s="33"/>
      <c r="L1198" s="33"/>
      <c r="X1198" s="22"/>
      <c r="Y1198" s="22"/>
      <c r="Z1198" s="22"/>
      <c r="AA1198" s="22"/>
      <c r="AF1198" s="22"/>
      <c r="AG1198" s="22"/>
      <c r="AH1198" s="22"/>
      <c r="AI1198" s="22"/>
      <c r="AN1198" s="22"/>
      <c r="AO1198" s="22"/>
      <c r="AP1198" s="22"/>
      <c r="AQ1198" s="22"/>
      <c r="AR1198" s="35"/>
      <c r="AS1198" s="35"/>
      <c r="AT1198" s="35"/>
      <c r="AU1198" s="31"/>
      <c r="AV1198" s="36"/>
    </row>
    <row r="1199" spans="4:48">
      <c r="D1199" s="31"/>
      <c r="E1199" s="31"/>
      <c r="F1199" s="31"/>
      <c r="G1199" s="31"/>
      <c r="H1199" s="32"/>
      <c r="J1199" s="33"/>
      <c r="K1199" s="33"/>
      <c r="L1199" s="33"/>
      <c r="X1199" s="22"/>
      <c r="Y1199" s="22"/>
      <c r="Z1199" s="22"/>
      <c r="AA1199" s="22"/>
      <c r="AF1199" s="22"/>
      <c r="AG1199" s="22"/>
      <c r="AH1199" s="22"/>
      <c r="AI1199" s="22"/>
      <c r="AN1199" s="22"/>
      <c r="AO1199" s="22"/>
      <c r="AP1199" s="22"/>
      <c r="AQ1199" s="22"/>
      <c r="AR1199" s="35"/>
      <c r="AS1199" s="35"/>
      <c r="AT1199" s="35"/>
      <c r="AU1199" s="31"/>
      <c r="AV1199" s="36"/>
    </row>
    <row r="1200" spans="4:48">
      <c r="D1200" s="31"/>
      <c r="E1200" s="31"/>
      <c r="F1200" s="31"/>
      <c r="G1200" s="31"/>
      <c r="H1200" s="32"/>
      <c r="J1200" s="33"/>
      <c r="K1200" s="33"/>
      <c r="L1200" s="33"/>
      <c r="X1200" s="22"/>
      <c r="Y1200" s="22"/>
      <c r="Z1200" s="22"/>
      <c r="AA1200" s="22"/>
      <c r="AF1200" s="22"/>
      <c r="AG1200" s="22"/>
      <c r="AH1200" s="22"/>
      <c r="AI1200" s="22"/>
      <c r="AN1200" s="22"/>
      <c r="AO1200" s="22"/>
      <c r="AP1200" s="22"/>
      <c r="AQ1200" s="22"/>
      <c r="AR1200" s="35"/>
      <c r="AS1200" s="35"/>
      <c r="AT1200" s="35"/>
      <c r="AU1200" s="31"/>
      <c r="AV1200" s="36"/>
    </row>
    <row r="1201" spans="4:48">
      <c r="D1201" s="31"/>
      <c r="E1201" s="31"/>
      <c r="F1201" s="31"/>
      <c r="G1201" s="31"/>
      <c r="H1201" s="32"/>
      <c r="J1201" s="33"/>
      <c r="K1201" s="33"/>
      <c r="L1201" s="33"/>
      <c r="X1201" s="22"/>
      <c r="Y1201" s="22"/>
      <c r="Z1201" s="22"/>
      <c r="AA1201" s="22"/>
      <c r="AF1201" s="22"/>
      <c r="AG1201" s="22"/>
      <c r="AH1201" s="22"/>
      <c r="AI1201" s="22"/>
      <c r="AN1201" s="22"/>
      <c r="AO1201" s="22"/>
      <c r="AP1201" s="22"/>
      <c r="AQ1201" s="22"/>
      <c r="AR1201" s="35"/>
      <c r="AS1201" s="35"/>
      <c r="AT1201" s="35"/>
      <c r="AU1201" s="31"/>
      <c r="AV1201" s="36"/>
    </row>
    <row r="1202" spans="4:48">
      <c r="D1202" s="31"/>
      <c r="E1202" s="31"/>
      <c r="F1202" s="31"/>
      <c r="G1202" s="31"/>
      <c r="H1202" s="32"/>
      <c r="J1202" s="33"/>
      <c r="K1202" s="33"/>
      <c r="L1202" s="33"/>
      <c r="X1202" s="22"/>
      <c r="Y1202" s="22"/>
      <c r="Z1202" s="22"/>
      <c r="AA1202" s="22"/>
      <c r="AF1202" s="22"/>
      <c r="AG1202" s="22"/>
      <c r="AH1202" s="22"/>
      <c r="AI1202" s="22"/>
      <c r="AN1202" s="22"/>
      <c r="AO1202" s="22"/>
      <c r="AP1202" s="22"/>
      <c r="AQ1202" s="22"/>
      <c r="AR1202" s="35"/>
      <c r="AS1202" s="35"/>
      <c r="AT1202" s="35"/>
      <c r="AU1202" s="31"/>
      <c r="AV1202" s="36"/>
    </row>
    <row r="1203" spans="4:48">
      <c r="D1203" s="31"/>
      <c r="E1203" s="31"/>
      <c r="F1203" s="31"/>
      <c r="G1203" s="31"/>
      <c r="H1203" s="32"/>
      <c r="J1203" s="33"/>
      <c r="K1203" s="33"/>
      <c r="L1203" s="33"/>
      <c r="X1203" s="22"/>
      <c r="Y1203" s="22"/>
      <c r="Z1203" s="22"/>
      <c r="AA1203" s="22"/>
      <c r="AF1203" s="22"/>
      <c r="AG1203" s="22"/>
      <c r="AH1203" s="22"/>
      <c r="AI1203" s="22"/>
      <c r="AN1203" s="22"/>
      <c r="AO1203" s="22"/>
      <c r="AP1203" s="22"/>
      <c r="AQ1203" s="22"/>
      <c r="AR1203" s="35"/>
      <c r="AS1203" s="35"/>
      <c r="AT1203" s="35"/>
      <c r="AU1203" s="31"/>
      <c r="AV1203" s="36"/>
    </row>
    <row r="1204" spans="4:48">
      <c r="D1204" s="31"/>
      <c r="E1204" s="31"/>
      <c r="F1204" s="31"/>
      <c r="G1204" s="31"/>
      <c r="H1204" s="32"/>
      <c r="J1204" s="33"/>
      <c r="K1204" s="33"/>
      <c r="L1204" s="33"/>
      <c r="X1204" s="22"/>
      <c r="Y1204" s="22"/>
      <c r="Z1204" s="22"/>
      <c r="AA1204" s="22"/>
      <c r="AF1204" s="22"/>
      <c r="AG1204" s="22"/>
      <c r="AH1204" s="22"/>
      <c r="AI1204" s="22"/>
      <c r="AN1204" s="22"/>
      <c r="AO1204" s="22"/>
      <c r="AP1204" s="22"/>
      <c r="AQ1204" s="22"/>
      <c r="AR1204" s="35"/>
      <c r="AS1204" s="35"/>
      <c r="AT1204" s="35"/>
      <c r="AU1204" s="31"/>
      <c r="AV1204" s="36"/>
    </row>
    <row r="1205" spans="4:48">
      <c r="D1205" s="31"/>
      <c r="E1205" s="31"/>
      <c r="F1205" s="31"/>
      <c r="G1205" s="31"/>
      <c r="H1205" s="32"/>
      <c r="J1205" s="33"/>
      <c r="K1205" s="33"/>
      <c r="L1205" s="33"/>
      <c r="X1205" s="22"/>
      <c r="Y1205" s="22"/>
      <c r="Z1205" s="22"/>
      <c r="AA1205" s="22"/>
      <c r="AF1205" s="22"/>
      <c r="AG1205" s="22"/>
      <c r="AH1205" s="22"/>
      <c r="AI1205" s="22"/>
      <c r="AN1205" s="22"/>
      <c r="AO1205" s="22"/>
      <c r="AP1205" s="22"/>
      <c r="AQ1205" s="22"/>
      <c r="AR1205" s="35"/>
      <c r="AS1205" s="35"/>
      <c r="AT1205" s="35"/>
      <c r="AU1205" s="31"/>
      <c r="AV1205" s="36"/>
    </row>
    <row r="1206" spans="4:48">
      <c r="D1206" s="31"/>
      <c r="E1206" s="31"/>
      <c r="F1206" s="31"/>
      <c r="G1206" s="31"/>
      <c r="H1206" s="32"/>
      <c r="J1206" s="33"/>
      <c r="K1206" s="33"/>
      <c r="L1206" s="33"/>
      <c r="X1206" s="22"/>
      <c r="Y1206" s="22"/>
      <c r="Z1206" s="22"/>
      <c r="AA1206" s="22"/>
      <c r="AF1206" s="22"/>
      <c r="AG1206" s="22"/>
      <c r="AH1206" s="22"/>
      <c r="AI1206" s="22"/>
      <c r="AN1206" s="22"/>
      <c r="AO1206" s="22"/>
      <c r="AP1206" s="22"/>
      <c r="AQ1206" s="22"/>
      <c r="AR1206" s="35"/>
      <c r="AS1206" s="35"/>
      <c r="AT1206" s="35"/>
      <c r="AU1206" s="31"/>
      <c r="AV1206" s="36"/>
    </row>
    <row r="1207" spans="4:48">
      <c r="D1207" s="31"/>
      <c r="E1207" s="31"/>
      <c r="F1207" s="31"/>
      <c r="G1207" s="31"/>
      <c r="H1207" s="32"/>
      <c r="J1207" s="33"/>
      <c r="K1207" s="33"/>
      <c r="L1207" s="33"/>
      <c r="X1207" s="22"/>
      <c r="Y1207" s="22"/>
      <c r="Z1207" s="22"/>
      <c r="AA1207" s="22"/>
      <c r="AF1207" s="22"/>
      <c r="AG1207" s="22"/>
      <c r="AH1207" s="22"/>
      <c r="AI1207" s="22"/>
      <c r="AN1207" s="22"/>
      <c r="AO1207" s="22"/>
      <c r="AP1207" s="22"/>
      <c r="AQ1207" s="22"/>
      <c r="AR1207" s="35"/>
      <c r="AS1207" s="35"/>
      <c r="AT1207" s="35"/>
      <c r="AU1207" s="31"/>
      <c r="AV1207" s="36"/>
    </row>
    <row r="1208" spans="4:48">
      <c r="D1208" s="31"/>
      <c r="E1208" s="31"/>
      <c r="F1208" s="31"/>
      <c r="G1208" s="31"/>
      <c r="H1208" s="32"/>
      <c r="J1208" s="33"/>
      <c r="K1208" s="33"/>
      <c r="L1208" s="33"/>
      <c r="X1208" s="22"/>
      <c r="Y1208" s="22"/>
      <c r="Z1208" s="22"/>
      <c r="AA1208" s="22"/>
      <c r="AF1208" s="22"/>
      <c r="AG1208" s="22"/>
      <c r="AH1208" s="22"/>
      <c r="AI1208" s="22"/>
      <c r="AN1208" s="22"/>
      <c r="AO1208" s="22"/>
      <c r="AP1208" s="22"/>
      <c r="AQ1208" s="22"/>
      <c r="AR1208" s="35"/>
      <c r="AS1208" s="35"/>
      <c r="AT1208" s="35"/>
      <c r="AU1208" s="31"/>
      <c r="AV1208" s="36"/>
    </row>
    <row r="1209" spans="4:48">
      <c r="D1209" s="31"/>
      <c r="E1209" s="31"/>
      <c r="F1209" s="31"/>
      <c r="G1209" s="31"/>
      <c r="H1209" s="32"/>
      <c r="J1209" s="33"/>
      <c r="K1209" s="33"/>
      <c r="L1209" s="33"/>
      <c r="X1209" s="22"/>
      <c r="Y1209" s="22"/>
      <c r="Z1209" s="22"/>
      <c r="AA1209" s="22"/>
      <c r="AF1209" s="22"/>
      <c r="AG1209" s="22"/>
      <c r="AH1209" s="22"/>
      <c r="AI1209" s="22"/>
      <c r="AN1209" s="22"/>
      <c r="AO1209" s="22"/>
      <c r="AP1209" s="22"/>
      <c r="AQ1209" s="22"/>
      <c r="AR1209" s="35"/>
      <c r="AS1209" s="35"/>
      <c r="AT1209" s="35"/>
      <c r="AU1209" s="31"/>
      <c r="AV1209" s="36"/>
    </row>
    <row r="1210" spans="4:48">
      <c r="D1210" s="31"/>
      <c r="E1210" s="31"/>
      <c r="F1210" s="31"/>
      <c r="G1210" s="31"/>
      <c r="H1210" s="32"/>
      <c r="J1210" s="33"/>
      <c r="K1210" s="33"/>
      <c r="L1210" s="33"/>
      <c r="X1210" s="22"/>
      <c r="Y1210" s="22"/>
      <c r="Z1210" s="22"/>
      <c r="AA1210" s="22"/>
      <c r="AF1210" s="22"/>
      <c r="AG1210" s="22"/>
      <c r="AH1210" s="22"/>
      <c r="AI1210" s="22"/>
      <c r="AN1210" s="22"/>
      <c r="AO1210" s="22"/>
      <c r="AP1210" s="22"/>
      <c r="AQ1210" s="22"/>
      <c r="AR1210" s="35"/>
      <c r="AS1210" s="35"/>
      <c r="AT1210" s="35"/>
      <c r="AU1210" s="31"/>
      <c r="AV1210" s="36"/>
    </row>
    <row r="1211" spans="4:48">
      <c r="D1211" s="31"/>
      <c r="E1211" s="31"/>
      <c r="F1211" s="31"/>
      <c r="G1211" s="31"/>
      <c r="H1211" s="32"/>
      <c r="J1211" s="33"/>
      <c r="K1211" s="33"/>
      <c r="L1211" s="33"/>
      <c r="X1211" s="22"/>
      <c r="Y1211" s="22"/>
      <c r="Z1211" s="22"/>
      <c r="AA1211" s="22"/>
      <c r="AF1211" s="22"/>
      <c r="AG1211" s="22"/>
      <c r="AH1211" s="22"/>
      <c r="AI1211" s="22"/>
      <c r="AN1211" s="22"/>
      <c r="AO1211" s="22"/>
      <c r="AP1211" s="22"/>
      <c r="AQ1211" s="22"/>
      <c r="AR1211" s="35"/>
      <c r="AS1211" s="35"/>
      <c r="AT1211" s="35"/>
      <c r="AU1211" s="31"/>
      <c r="AV1211" s="36"/>
    </row>
    <row r="1212" spans="4:48">
      <c r="D1212" s="31"/>
      <c r="E1212" s="31"/>
      <c r="F1212" s="31"/>
      <c r="G1212" s="31"/>
      <c r="H1212" s="32"/>
      <c r="J1212" s="33"/>
      <c r="K1212" s="33"/>
      <c r="L1212" s="33"/>
      <c r="X1212" s="22"/>
      <c r="Y1212" s="22"/>
      <c r="Z1212" s="22"/>
      <c r="AA1212" s="22"/>
      <c r="AF1212" s="22"/>
      <c r="AG1212" s="22"/>
      <c r="AH1212" s="22"/>
      <c r="AI1212" s="22"/>
      <c r="AN1212" s="22"/>
      <c r="AO1212" s="22"/>
      <c r="AP1212" s="22"/>
      <c r="AQ1212" s="22"/>
      <c r="AR1212" s="35"/>
      <c r="AS1212" s="35"/>
      <c r="AT1212" s="35"/>
      <c r="AU1212" s="31"/>
      <c r="AV1212" s="36"/>
    </row>
    <row r="1213" spans="4:48">
      <c r="D1213" s="31"/>
      <c r="E1213" s="31"/>
      <c r="F1213" s="31"/>
      <c r="G1213" s="31"/>
      <c r="H1213" s="32"/>
      <c r="J1213" s="33"/>
      <c r="K1213" s="33"/>
      <c r="L1213" s="33"/>
      <c r="X1213" s="22"/>
      <c r="Y1213" s="22"/>
      <c r="Z1213" s="22"/>
      <c r="AA1213" s="22"/>
      <c r="AF1213" s="22"/>
      <c r="AG1213" s="22"/>
      <c r="AH1213" s="22"/>
      <c r="AI1213" s="22"/>
      <c r="AN1213" s="22"/>
      <c r="AO1213" s="22"/>
      <c r="AP1213" s="22"/>
      <c r="AQ1213" s="22"/>
      <c r="AR1213" s="35"/>
      <c r="AS1213" s="35"/>
      <c r="AT1213" s="35"/>
      <c r="AU1213" s="31"/>
      <c r="AV1213" s="36"/>
    </row>
    <row r="1214" spans="4:48">
      <c r="D1214" s="31"/>
      <c r="E1214" s="31"/>
      <c r="F1214" s="31"/>
      <c r="G1214" s="31"/>
      <c r="H1214" s="32"/>
      <c r="J1214" s="33"/>
      <c r="K1214" s="33"/>
      <c r="L1214" s="33"/>
      <c r="X1214" s="22"/>
      <c r="Y1214" s="22"/>
      <c r="Z1214" s="22"/>
      <c r="AA1214" s="22"/>
      <c r="AF1214" s="22"/>
      <c r="AG1214" s="22"/>
      <c r="AH1214" s="22"/>
      <c r="AI1214" s="22"/>
      <c r="AN1214" s="22"/>
      <c r="AO1214" s="22"/>
      <c r="AP1214" s="22"/>
      <c r="AQ1214" s="22"/>
      <c r="AR1214" s="35"/>
      <c r="AS1214" s="35"/>
      <c r="AT1214" s="35"/>
      <c r="AU1214" s="31"/>
      <c r="AV1214" s="36"/>
    </row>
    <row r="1215" spans="4:48">
      <c r="D1215" s="31"/>
      <c r="E1215" s="31"/>
      <c r="F1215" s="31"/>
      <c r="G1215" s="31"/>
      <c r="H1215" s="32"/>
      <c r="J1215" s="33"/>
      <c r="K1215" s="33"/>
      <c r="L1215" s="33"/>
      <c r="X1215" s="22"/>
      <c r="Y1215" s="22"/>
      <c r="Z1215" s="22"/>
      <c r="AA1215" s="22"/>
      <c r="AF1215" s="22"/>
      <c r="AG1215" s="22"/>
      <c r="AH1215" s="22"/>
      <c r="AI1215" s="22"/>
      <c r="AN1215" s="22"/>
      <c r="AO1215" s="22"/>
      <c r="AP1215" s="22"/>
      <c r="AQ1215" s="22"/>
      <c r="AR1215" s="35"/>
      <c r="AS1215" s="35"/>
      <c r="AT1215" s="35"/>
      <c r="AU1215" s="31"/>
      <c r="AV1215" s="36"/>
    </row>
    <row r="1216" spans="4:48">
      <c r="D1216" s="31"/>
      <c r="E1216" s="31"/>
      <c r="F1216" s="31"/>
      <c r="G1216" s="31"/>
      <c r="H1216" s="32"/>
      <c r="J1216" s="33"/>
      <c r="K1216" s="33"/>
      <c r="L1216" s="33"/>
      <c r="X1216" s="22"/>
      <c r="Y1216" s="22"/>
      <c r="Z1216" s="22"/>
      <c r="AA1216" s="22"/>
      <c r="AF1216" s="22"/>
      <c r="AG1216" s="22"/>
      <c r="AH1216" s="22"/>
      <c r="AI1216" s="22"/>
      <c r="AN1216" s="22"/>
      <c r="AO1216" s="22"/>
      <c r="AP1216" s="22"/>
      <c r="AQ1216" s="22"/>
      <c r="AR1216" s="35"/>
      <c r="AS1216" s="35"/>
      <c r="AT1216" s="35"/>
      <c r="AU1216" s="31"/>
      <c r="AV1216" s="36"/>
    </row>
    <row r="1217" spans="4:48">
      <c r="D1217" s="31"/>
      <c r="E1217" s="31"/>
      <c r="F1217" s="31"/>
      <c r="G1217" s="31"/>
      <c r="H1217" s="32"/>
      <c r="J1217" s="33"/>
      <c r="K1217" s="33"/>
      <c r="L1217" s="33"/>
      <c r="X1217" s="22"/>
      <c r="Y1217" s="22"/>
      <c r="Z1217" s="22"/>
      <c r="AA1217" s="22"/>
      <c r="AF1217" s="22"/>
      <c r="AG1217" s="22"/>
      <c r="AH1217" s="22"/>
      <c r="AI1217" s="22"/>
      <c r="AN1217" s="22"/>
      <c r="AO1217" s="22"/>
      <c r="AP1217" s="22"/>
      <c r="AQ1217" s="22"/>
      <c r="AR1217" s="35"/>
      <c r="AS1217" s="35"/>
      <c r="AT1217" s="35"/>
      <c r="AU1217" s="31"/>
      <c r="AV1217" s="36"/>
    </row>
    <row r="1218" spans="4:48">
      <c r="D1218" s="31"/>
      <c r="E1218" s="31"/>
      <c r="F1218" s="31"/>
      <c r="G1218" s="31"/>
      <c r="H1218" s="32"/>
      <c r="J1218" s="33"/>
      <c r="K1218" s="33"/>
      <c r="L1218" s="33"/>
      <c r="X1218" s="22"/>
      <c r="Y1218" s="22"/>
      <c r="Z1218" s="22"/>
      <c r="AA1218" s="22"/>
      <c r="AF1218" s="22"/>
      <c r="AG1218" s="22"/>
      <c r="AH1218" s="22"/>
      <c r="AI1218" s="22"/>
      <c r="AN1218" s="22"/>
      <c r="AO1218" s="22"/>
      <c r="AP1218" s="22"/>
      <c r="AQ1218" s="22"/>
      <c r="AR1218" s="35"/>
      <c r="AS1218" s="35"/>
      <c r="AT1218" s="35"/>
      <c r="AU1218" s="31"/>
      <c r="AV1218" s="36"/>
    </row>
    <row r="1219" spans="4:48">
      <c r="D1219" s="31"/>
      <c r="E1219" s="31"/>
      <c r="F1219" s="31"/>
      <c r="G1219" s="31"/>
      <c r="H1219" s="32"/>
      <c r="J1219" s="33"/>
      <c r="K1219" s="33"/>
      <c r="L1219" s="33"/>
      <c r="X1219" s="22"/>
      <c r="Y1219" s="22"/>
      <c r="Z1219" s="22"/>
      <c r="AA1219" s="22"/>
      <c r="AF1219" s="22"/>
      <c r="AG1219" s="22"/>
      <c r="AH1219" s="22"/>
      <c r="AI1219" s="22"/>
      <c r="AN1219" s="22"/>
      <c r="AO1219" s="22"/>
      <c r="AP1219" s="22"/>
      <c r="AQ1219" s="22"/>
      <c r="AR1219" s="35"/>
      <c r="AS1219" s="35"/>
      <c r="AT1219" s="35"/>
      <c r="AU1219" s="31"/>
      <c r="AV1219" s="36"/>
    </row>
    <row r="1220" spans="4:48">
      <c r="D1220" s="31"/>
      <c r="E1220" s="31"/>
      <c r="F1220" s="31"/>
      <c r="G1220" s="31"/>
      <c r="H1220" s="32"/>
      <c r="J1220" s="33"/>
      <c r="K1220" s="33"/>
      <c r="L1220" s="33"/>
      <c r="X1220" s="22"/>
      <c r="Y1220" s="22"/>
      <c r="Z1220" s="22"/>
      <c r="AA1220" s="22"/>
      <c r="AF1220" s="22"/>
      <c r="AG1220" s="22"/>
      <c r="AH1220" s="22"/>
      <c r="AI1220" s="22"/>
      <c r="AN1220" s="22"/>
      <c r="AO1220" s="22"/>
      <c r="AP1220" s="22"/>
      <c r="AQ1220" s="22"/>
      <c r="AR1220" s="35"/>
      <c r="AS1220" s="35"/>
      <c r="AT1220" s="35"/>
      <c r="AU1220" s="31"/>
      <c r="AV1220" s="36"/>
    </row>
    <row r="1221" spans="4:48">
      <c r="D1221" s="31"/>
      <c r="E1221" s="31"/>
      <c r="F1221" s="31"/>
      <c r="G1221" s="31"/>
      <c r="H1221" s="32"/>
      <c r="J1221" s="33"/>
      <c r="K1221" s="33"/>
      <c r="L1221" s="33"/>
      <c r="X1221" s="22"/>
      <c r="Y1221" s="22"/>
      <c r="Z1221" s="22"/>
      <c r="AA1221" s="22"/>
      <c r="AF1221" s="22"/>
      <c r="AG1221" s="22"/>
      <c r="AH1221" s="22"/>
      <c r="AI1221" s="22"/>
      <c r="AN1221" s="22"/>
      <c r="AO1221" s="22"/>
      <c r="AP1221" s="22"/>
      <c r="AQ1221" s="22"/>
      <c r="AR1221" s="35"/>
      <c r="AS1221" s="35"/>
      <c r="AT1221" s="35"/>
      <c r="AU1221" s="31"/>
      <c r="AV1221" s="36"/>
    </row>
    <row r="1222" spans="4:48">
      <c r="D1222" s="31"/>
      <c r="E1222" s="31"/>
      <c r="F1222" s="31"/>
      <c r="G1222" s="31"/>
      <c r="H1222" s="32"/>
      <c r="J1222" s="33"/>
      <c r="K1222" s="33"/>
      <c r="L1222" s="33"/>
      <c r="X1222" s="22"/>
      <c r="Y1222" s="22"/>
      <c r="Z1222" s="22"/>
      <c r="AA1222" s="22"/>
      <c r="AF1222" s="22"/>
      <c r="AG1222" s="22"/>
      <c r="AH1222" s="22"/>
      <c r="AI1222" s="22"/>
      <c r="AN1222" s="22"/>
      <c r="AO1222" s="22"/>
      <c r="AP1222" s="22"/>
      <c r="AQ1222" s="22"/>
      <c r="AR1222" s="35"/>
      <c r="AS1222" s="35"/>
      <c r="AT1222" s="35"/>
      <c r="AU1222" s="31"/>
      <c r="AV1222" s="36"/>
    </row>
    <row r="1223" spans="4:48">
      <c r="D1223" s="31"/>
      <c r="E1223" s="31"/>
      <c r="F1223" s="31"/>
      <c r="G1223" s="31"/>
      <c r="H1223" s="32"/>
      <c r="J1223" s="33"/>
      <c r="K1223" s="33"/>
      <c r="L1223" s="33"/>
      <c r="X1223" s="22"/>
      <c r="Y1223" s="22"/>
      <c r="Z1223" s="22"/>
      <c r="AA1223" s="22"/>
      <c r="AF1223" s="22"/>
      <c r="AG1223" s="22"/>
      <c r="AH1223" s="22"/>
      <c r="AI1223" s="22"/>
      <c r="AN1223" s="22"/>
      <c r="AO1223" s="22"/>
      <c r="AP1223" s="22"/>
      <c r="AQ1223" s="22"/>
      <c r="AR1223" s="35"/>
      <c r="AS1223" s="35"/>
      <c r="AT1223" s="35"/>
      <c r="AU1223" s="31"/>
      <c r="AV1223" s="36"/>
    </row>
    <row r="1224" spans="4:48">
      <c r="D1224" s="31"/>
      <c r="E1224" s="31"/>
      <c r="F1224" s="31"/>
      <c r="G1224" s="31"/>
      <c r="H1224" s="32"/>
      <c r="J1224" s="33"/>
      <c r="K1224" s="33"/>
      <c r="L1224" s="33"/>
      <c r="X1224" s="22"/>
      <c r="Y1224" s="22"/>
      <c r="Z1224" s="22"/>
      <c r="AA1224" s="22"/>
      <c r="AF1224" s="22"/>
      <c r="AG1224" s="22"/>
      <c r="AH1224" s="22"/>
      <c r="AI1224" s="22"/>
      <c r="AN1224" s="22"/>
      <c r="AO1224" s="22"/>
      <c r="AP1224" s="22"/>
      <c r="AQ1224" s="22"/>
      <c r="AR1224" s="35"/>
      <c r="AS1224" s="35"/>
      <c r="AT1224" s="35"/>
      <c r="AU1224" s="31"/>
      <c r="AV1224" s="36"/>
    </row>
    <row r="1225" spans="4:48">
      <c r="D1225" s="31"/>
      <c r="E1225" s="31"/>
      <c r="F1225" s="31"/>
      <c r="G1225" s="31"/>
      <c r="H1225" s="32"/>
      <c r="J1225" s="33"/>
      <c r="K1225" s="33"/>
      <c r="L1225" s="33"/>
      <c r="X1225" s="22"/>
      <c r="Y1225" s="22"/>
      <c r="Z1225" s="22"/>
      <c r="AA1225" s="22"/>
      <c r="AF1225" s="22"/>
      <c r="AG1225" s="22"/>
      <c r="AH1225" s="22"/>
      <c r="AI1225" s="22"/>
      <c r="AN1225" s="22"/>
      <c r="AO1225" s="22"/>
      <c r="AP1225" s="22"/>
      <c r="AQ1225" s="22"/>
      <c r="AR1225" s="35"/>
      <c r="AS1225" s="35"/>
      <c r="AT1225" s="35"/>
      <c r="AU1225" s="31"/>
      <c r="AV1225" s="36"/>
    </row>
    <row r="1226" spans="4:48">
      <c r="D1226" s="31"/>
      <c r="E1226" s="31"/>
      <c r="F1226" s="31"/>
      <c r="G1226" s="31"/>
      <c r="H1226" s="32"/>
      <c r="J1226" s="33"/>
      <c r="K1226" s="33"/>
      <c r="L1226" s="33"/>
      <c r="X1226" s="22"/>
      <c r="Y1226" s="22"/>
      <c r="Z1226" s="22"/>
      <c r="AA1226" s="22"/>
      <c r="AF1226" s="22"/>
      <c r="AG1226" s="22"/>
      <c r="AH1226" s="22"/>
      <c r="AI1226" s="22"/>
      <c r="AN1226" s="22"/>
      <c r="AO1226" s="22"/>
      <c r="AP1226" s="22"/>
      <c r="AQ1226" s="22"/>
      <c r="AR1226" s="35"/>
      <c r="AS1226" s="35"/>
      <c r="AT1226" s="35"/>
      <c r="AU1226" s="31"/>
      <c r="AV1226" s="36"/>
    </row>
    <row r="1227" spans="4:48">
      <c r="D1227" s="31"/>
      <c r="E1227" s="31"/>
      <c r="F1227" s="31"/>
      <c r="G1227" s="31"/>
      <c r="H1227" s="32"/>
      <c r="J1227" s="33"/>
      <c r="K1227" s="33"/>
      <c r="L1227" s="33"/>
      <c r="X1227" s="22"/>
      <c r="Y1227" s="22"/>
      <c r="Z1227" s="22"/>
      <c r="AA1227" s="22"/>
      <c r="AF1227" s="22"/>
      <c r="AG1227" s="22"/>
      <c r="AH1227" s="22"/>
      <c r="AI1227" s="22"/>
      <c r="AN1227" s="22"/>
      <c r="AO1227" s="22"/>
      <c r="AP1227" s="22"/>
      <c r="AQ1227" s="22"/>
      <c r="AR1227" s="35"/>
      <c r="AS1227" s="35"/>
      <c r="AT1227" s="35"/>
      <c r="AU1227" s="31"/>
      <c r="AV1227" s="36"/>
    </row>
    <row r="1228" spans="4:48">
      <c r="D1228" s="31"/>
      <c r="E1228" s="31"/>
      <c r="F1228" s="31"/>
      <c r="G1228" s="31"/>
      <c r="H1228" s="32"/>
      <c r="J1228" s="33"/>
      <c r="K1228" s="33"/>
      <c r="L1228" s="33"/>
      <c r="X1228" s="22"/>
      <c r="Y1228" s="22"/>
      <c r="Z1228" s="22"/>
      <c r="AA1228" s="22"/>
      <c r="AF1228" s="22"/>
      <c r="AG1228" s="22"/>
      <c r="AH1228" s="22"/>
      <c r="AI1228" s="22"/>
      <c r="AN1228" s="22"/>
      <c r="AO1228" s="22"/>
      <c r="AP1228" s="22"/>
      <c r="AQ1228" s="22"/>
      <c r="AR1228" s="35"/>
      <c r="AS1228" s="35"/>
      <c r="AT1228" s="35"/>
      <c r="AU1228" s="31"/>
      <c r="AV1228" s="36"/>
    </row>
    <row r="1229" spans="4:48">
      <c r="D1229" s="31"/>
      <c r="E1229" s="31"/>
      <c r="F1229" s="31"/>
      <c r="G1229" s="31"/>
      <c r="H1229" s="32"/>
      <c r="J1229" s="33"/>
      <c r="K1229" s="33"/>
      <c r="L1229" s="33"/>
      <c r="X1229" s="22"/>
      <c r="Y1229" s="22"/>
      <c r="Z1229" s="22"/>
      <c r="AA1229" s="22"/>
      <c r="AF1229" s="22"/>
      <c r="AG1229" s="22"/>
      <c r="AH1229" s="22"/>
      <c r="AI1229" s="22"/>
      <c r="AN1229" s="22"/>
      <c r="AO1229" s="22"/>
      <c r="AP1229" s="22"/>
      <c r="AQ1229" s="22"/>
      <c r="AR1229" s="35"/>
      <c r="AS1229" s="35"/>
      <c r="AT1229" s="35"/>
      <c r="AU1229" s="31"/>
      <c r="AV1229" s="36"/>
    </row>
    <row r="1230" spans="4:48">
      <c r="D1230" s="31"/>
      <c r="E1230" s="31"/>
      <c r="F1230" s="31"/>
      <c r="G1230" s="31"/>
      <c r="H1230" s="32"/>
      <c r="J1230" s="33"/>
      <c r="K1230" s="33"/>
      <c r="L1230" s="33"/>
      <c r="X1230" s="22"/>
      <c r="Y1230" s="22"/>
      <c r="Z1230" s="22"/>
      <c r="AA1230" s="22"/>
      <c r="AF1230" s="22"/>
      <c r="AG1230" s="22"/>
      <c r="AH1230" s="22"/>
      <c r="AI1230" s="22"/>
      <c r="AN1230" s="22"/>
      <c r="AO1230" s="22"/>
      <c r="AP1230" s="22"/>
      <c r="AQ1230" s="22"/>
      <c r="AR1230" s="35"/>
      <c r="AS1230" s="35"/>
      <c r="AT1230" s="35"/>
      <c r="AU1230" s="31"/>
      <c r="AV1230" s="36"/>
    </row>
    <row r="1231" spans="4:48">
      <c r="D1231" s="31"/>
      <c r="E1231" s="31"/>
      <c r="F1231" s="31"/>
      <c r="G1231" s="31"/>
      <c r="H1231" s="32"/>
      <c r="J1231" s="33"/>
      <c r="K1231" s="33"/>
      <c r="L1231" s="33"/>
      <c r="X1231" s="22"/>
      <c r="Y1231" s="22"/>
      <c r="Z1231" s="22"/>
      <c r="AA1231" s="22"/>
      <c r="AF1231" s="22"/>
      <c r="AG1231" s="22"/>
      <c r="AH1231" s="22"/>
      <c r="AI1231" s="22"/>
      <c r="AN1231" s="22"/>
      <c r="AO1231" s="22"/>
      <c r="AP1231" s="22"/>
      <c r="AQ1231" s="22"/>
      <c r="AR1231" s="35"/>
      <c r="AS1231" s="35"/>
      <c r="AT1231" s="35"/>
      <c r="AU1231" s="31"/>
      <c r="AV1231" s="36"/>
    </row>
    <row r="1232" spans="4:48">
      <c r="D1232" s="31"/>
      <c r="E1232" s="31"/>
      <c r="F1232" s="31"/>
      <c r="G1232" s="31"/>
      <c r="H1232" s="32"/>
      <c r="J1232" s="33"/>
      <c r="K1232" s="33"/>
      <c r="L1232" s="33"/>
      <c r="X1232" s="22"/>
      <c r="Y1232" s="22"/>
      <c r="Z1232" s="22"/>
      <c r="AA1232" s="22"/>
      <c r="AF1232" s="22"/>
      <c r="AG1232" s="22"/>
      <c r="AH1232" s="22"/>
      <c r="AI1232" s="22"/>
      <c r="AN1232" s="22"/>
      <c r="AO1232" s="22"/>
      <c r="AP1232" s="22"/>
      <c r="AQ1232" s="22"/>
      <c r="AR1232" s="35"/>
      <c r="AS1232" s="35"/>
      <c r="AT1232" s="35"/>
      <c r="AU1232" s="31"/>
      <c r="AV1232" s="36"/>
    </row>
    <row r="1233" spans="4:48">
      <c r="D1233" s="31"/>
      <c r="E1233" s="31"/>
      <c r="F1233" s="31"/>
      <c r="G1233" s="31"/>
      <c r="H1233" s="32"/>
      <c r="J1233" s="33"/>
      <c r="K1233" s="33"/>
      <c r="L1233" s="33"/>
      <c r="X1233" s="22"/>
      <c r="Y1233" s="22"/>
      <c r="Z1233" s="22"/>
      <c r="AA1233" s="22"/>
      <c r="AF1233" s="22"/>
      <c r="AG1233" s="22"/>
      <c r="AH1233" s="22"/>
      <c r="AI1233" s="22"/>
      <c r="AN1233" s="22"/>
      <c r="AO1233" s="22"/>
      <c r="AP1233" s="22"/>
      <c r="AQ1233" s="22"/>
      <c r="AR1233" s="35"/>
      <c r="AS1233" s="35"/>
      <c r="AT1233" s="35"/>
      <c r="AU1233" s="31"/>
      <c r="AV1233" s="36"/>
    </row>
    <row r="1234" spans="4:48">
      <c r="D1234" s="31"/>
      <c r="E1234" s="31"/>
      <c r="F1234" s="31"/>
      <c r="G1234" s="31"/>
      <c r="H1234" s="32"/>
      <c r="J1234" s="33"/>
      <c r="K1234" s="33"/>
      <c r="L1234" s="33"/>
      <c r="X1234" s="22"/>
      <c r="Y1234" s="22"/>
      <c r="Z1234" s="22"/>
      <c r="AA1234" s="22"/>
      <c r="AF1234" s="22"/>
      <c r="AG1234" s="22"/>
      <c r="AH1234" s="22"/>
      <c r="AI1234" s="22"/>
      <c r="AN1234" s="22"/>
      <c r="AO1234" s="22"/>
      <c r="AP1234" s="22"/>
      <c r="AQ1234" s="22"/>
      <c r="AR1234" s="35"/>
      <c r="AS1234" s="35"/>
      <c r="AT1234" s="35"/>
      <c r="AU1234" s="31"/>
      <c r="AV1234" s="36"/>
    </row>
    <row r="1235" spans="4:48">
      <c r="D1235" s="31"/>
      <c r="E1235" s="31"/>
      <c r="F1235" s="31"/>
      <c r="G1235" s="31"/>
      <c r="H1235" s="32"/>
      <c r="J1235" s="33"/>
      <c r="K1235" s="33"/>
      <c r="L1235" s="33"/>
      <c r="X1235" s="22"/>
      <c r="Y1235" s="22"/>
      <c r="Z1235" s="22"/>
      <c r="AA1235" s="22"/>
      <c r="AF1235" s="22"/>
      <c r="AG1235" s="22"/>
      <c r="AH1235" s="22"/>
      <c r="AI1235" s="22"/>
      <c r="AN1235" s="22"/>
      <c r="AO1235" s="22"/>
      <c r="AP1235" s="22"/>
      <c r="AQ1235" s="22"/>
      <c r="AR1235" s="35"/>
      <c r="AS1235" s="35"/>
      <c r="AT1235" s="35"/>
      <c r="AU1235" s="31"/>
      <c r="AV1235" s="36"/>
    </row>
    <row r="1236" spans="4:48">
      <c r="D1236" s="31"/>
      <c r="E1236" s="31"/>
      <c r="F1236" s="31"/>
      <c r="G1236" s="31"/>
      <c r="H1236" s="32"/>
      <c r="J1236" s="33"/>
      <c r="K1236" s="33"/>
      <c r="L1236" s="33"/>
      <c r="X1236" s="22"/>
      <c r="Y1236" s="22"/>
      <c r="Z1236" s="22"/>
      <c r="AA1236" s="22"/>
      <c r="AF1236" s="22"/>
      <c r="AG1236" s="22"/>
      <c r="AH1236" s="22"/>
      <c r="AI1236" s="22"/>
      <c r="AN1236" s="22"/>
      <c r="AO1236" s="22"/>
      <c r="AP1236" s="22"/>
      <c r="AQ1236" s="22"/>
      <c r="AR1236" s="35"/>
      <c r="AS1236" s="35"/>
      <c r="AT1236" s="35"/>
      <c r="AU1236" s="31"/>
      <c r="AV1236" s="36"/>
    </row>
    <row r="1237" spans="4:48">
      <c r="D1237" s="31"/>
      <c r="E1237" s="31"/>
      <c r="F1237" s="31"/>
      <c r="G1237" s="31"/>
      <c r="H1237" s="32"/>
      <c r="J1237" s="33"/>
      <c r="K1237" s="33"/>
      <c r="L1237" s="33"/>
      <c r="X1237" s="22"/>
      <c r="Y1237" s="22"/>
      <c r="Z1237" s="22"/>
      <c r="AA1237" s="22"/>
      <c r="AF1237" s="22"/>
      <c r="AG1237" s="22"/>
      <c r="AH1237" s="22"/>
      <c r="AI1237" s="22"/>
      <c r="AN1237" s="22"/>
      <c r="AO1237" s="22"/>
      <c r="AP1237" s="22"/>
      <c r="AQ1237" s="22"/>
      <c r="AR1237" s="35"/>
      <c r="AS1237" s="35"/>
      <c r="AT1237" s="35"/>
      <c r="AU1237" s="31"/>
      <c r="AV1237" s="36"/>
    </row>
    <row r="1238" spans="4:48">
      <c r="D1238" s="31"/>
      <c r="E1238" s="31"/>
      <c r="F1238" s="31"/>
      <c r="G1238" s="31"/>
      <c r="H1238" s="32"/>
      <c r="J1238" s="33"/>
      <c r="K1238" s="33"/>
      <c r="L1238" s="33"/>
      <c r="X1238" s="22"/>
      <c r="Y1238" s="22"/>
      <c r="Z1238" s="22"/>
      <c r="AA1238" s="22"/>
      <c r="AF1238" s="22"/>
      <c r="AG1238" s="22"/>
      <c r="AH1238" s="22"/>
      <c r="AI1238" s="22"/>
      <c r="AN1238" s="22"/>
      <c r="AO1238" s="22"/>
      <c r="AP1238" s="22"/>
      <c r="AQ1238" s="22"/>
      <c r="AR1238" s="35"/>
      <c r="AS1238" s="35"/>
      <c r="AT1238" s="35"/>
      <c r="AU1238" s="31"/>
      <c r="AV1238" s="36"/>
    </row>
    <row r="1239" spans="4:48">
      <c r="D1239" s="31"/>
      <c r="E1239" s="31"/>
      <c r="F1239" s="31"/>
      <c r="G1239" s="31"/>
      <c r="H1239" s="32"/>
      <c r="J1239" s="33"/>
      <c r="K1239" s="33"/>
      <c r="L1239" s="33"/>
      <c r="X1239" s="22"/>
      <c r="Y1239" s="22"/>
      <c r="Z1239" s="22"/>
      <c r="AA1239" s="22"/>
      <c r="AF1239" s="22"/>
      <c r="AG1239" s="22"/>
      <c r="AH1239" s="22"/>
      <c r="AI1239" s="22"/>
      <c r="AN1239" s="22"/>
      <c r="AO1239" s="22"/>
      <c r="AP1239" s="22"/>
      <c r="AQ1239" s="22"/>
      <c r="AR1239" s="35"/>
      <c r="AS1239" s="35"/>
      <c r="AT1239" s="35"/>
      <c r="AU1239" s="31"/>
      <c r="AV1239" s="36"/>
    </row>
    <row r="1240" spans="4:48">
      <c r="D1240" s="31"/>
      <c r="E1240" s="31"/>
      <c r="F1240" s="31"/>
      <c r="G1240" s="31"/>
      <c r="H1240" s="32"/>
      <c r="J1240" s="33"/>
      <c r="K1240" s="33"/>
      <c r="L1240" s="33"/>
      <c r="X1240" s="22"/>
      <c r="Y1240" s="22"/>
      <c r="Z1240" s="22"/>
      <c r="AA1240" s="22"/>
      <c r="AF1240" s="22"/>
      <c r="AG1240" s="22"/>
      <c r="AH1240" s="22"/>
      <c r="AI1240" s="22"/>
      <c r="AN1240" s="22"/>
      <c r="AO1240" s="22"/>
      <c r="AP1240" s="22"/>
      <c r="AQ1240" s="22"/>
      <c r="AR1240" s="35"/>
      <c r="AS1240" s="35"/>
      <c r="AT1240" s="35"/>
      <c r="AU1240" s="31"/>
      <c r="AV1240" s="36"/>
    </row>
    <row r="1241" spans="4:48">
      <c r="D1241" s="31"/>
      <c r="E1241" s="31"/>
      <c r="F1241" s="31"/>
      <c r="G1241" s="31"/>
      <c r="H1241" s="32"/>
      <c r="J1241" s="33"/>
      <c r="K1241" s="33"/>
      <c r="L1241" s="33"/>
      <c r="X1241" s="22"/>
      <c r="Y1241" s="22"/>
      <c r="Z1241" s="22"/>
      <c r="AA1241" s="22"/>
      <c r="AF1241" s="22"/>
      <c r="AG1241" s="22"/>
      <c r="AH1241" s="22"/>
      <c r="AI1241" s="22"/>
      <c r="AN1241" s="22"/>
      <c r="AO1241" s="22"/>
      <c r="AP1241" s="22"/>
      <c r="AQ1241" s="22"/>
      <c r="AR1241" s="35"/>
      <c r="AS1241" s="35"/>
      <c r="AT1241" s="35"/>
      <c r="AU1241" s="31"/>
      <c r="AV1241" s="36"/>
    </row>
    <row r="1242" spans="4:48">
      <c r="D1242" s="31"/>
      <c r="E1242" s="31"/>
      <c r="F1242" s="31"/>
      <c r="G1242" s="31"/>
      <c r="H1242" s="32"/>
      <c r="J1242" s="33"/>
      <c r="K1242" s="33"/>
      <c r="L1242" s="33"/>
      <c r="X1242" s="22"/>
      <c r="Y1242" s="22"/>
      <c r="Z1242" s="22"/>
      <c r="AA1242" s="22"/>
      <c r="AF1242" s="22"/>
      <c r="AG1242" s="22"/>
      <c r="AH1242" s="22"/>
      <c r="AI1242" s="22"/>
      <c r="AN1242" s="22"/>
      <c r="AO1242" s="22"/>
      <c r="AP1242" s="22"/>
      <c r="AQ1242" s="22"/>
      <c r="AR1242" s="35"/>
      <c r="AS1242" s="35"/>
      <c r="AT1242" s="35"/>
      <c r="AU1242" s="31"/>
      <c r="AV1242" s="36"/>
    </row>
    <row r="1243" spans="4:48">
      <c r="D1243" s="31"/>
      <c r="E1243" s="31"/>
      <c r="F1243" s="31"/>
      <c r="G1243" s="31"/>
      <c r="H1243" s="32"/>
      <c r="J1243" s="33"/>
      <c r="K1243" s="33"/>
      <c r="L1243" s="33"/>
      <c r="X1243" s="22"/>
      <c r="Y1243" s="22"/>
      <c r="Z1243" s="22"/>
      <c r="AA1243" s="22"/>
      <c r="AF1243" s="22"/>
      <c r="AG1243" s="22"/>
      <c r="AH1243" s="22"/>
      <c r="AI1243" s="22"/>
      <c r="AN1243" s="22"/>
      <c r="AO1243" s="22"/>
      <c r="AP1243" s="22"/>
      <c r="AQ1243" s="22"/>
      <c r="AR1243" s="35"/>
      <c r="AS1243" s="35"/>
      <c r="AT1243" s="35"/>
      <c r="AU1243" s="31"/>
      <c r="AV1243" s="36"/>
    </row>
    <row r="1244" spans="4:48">
      <c r="D1244" s="31"/>
      <c r="E1244" s="31"/>
      <c r="F1244" s="31"/>
      <c r="G1244" s="31"/>
      <c r="H1244" s="32"/>
      <c r="J1244" s="33"/>
      <c r="K1244" s="33"/>
      <c r="L1244" s="33"/>
      <c r="X1244" s="22"/>
      <c r="Y1244" s="22"/>
      <c r="Z1244" s="22"/>
      <c r="AA1244" s="22"/>
      <c r="AF1244" s="22"/>
      <c r="AG1244" s="22"/>
      <c r="AH1244" s="22"/>
      <c r="AI1244" s="22"/>
      <c r="AN1244" s="22"/>
      <c r="AO1244" s="22"/>
      <c r="AP1244" s="22"/>
      <c r="AQ1244" s="22"/>
      <c r="AR1244" s="35"/>
      <c r="AS1244" s="35"/>
      <c r="AT1244" s="35"/>
      <c r="AU1244" s="31"/>
      <c r="AV1244" s="36"/>
    </row>
    <row r="1245" spans="4:48">
      <c r="D1245" s="31"/>
      <c r="E1245" s="31"/>
      <c r="F1245" s="31"/>
      <c r="G1245" s="31"/>
      <c r="H1245" s="32"/>
      <c r="J1245" s="33"/>
      <c r="K1245" s="33"/>
      <c r="L1245" s="33"/>
      <c r="X1245" s="22"/>
      <c r="Y1245" s="22"/>
      <c r="Z1245" s="22"/>
      <c r="AA1245" s="22"/>
      <c r="AF1245" s="22"/>
      <c r="AG1245" s="22"/>
      <c r="AH1245" s="22"/>
      <c r="AI1245" s="22"/>
      <c r="AN1245" s="22"/>
      <c r="AO1245" s="22"/>
      <c r="AP1245" s="22"/>
      <c r="AQ1245" s="22"/>
      <c r="AR1245" s="35"/>
      <c r="AS1245" s="35"/>
      <c r="AT1245" s="35"/>
      <c r="AU1245" s="31"/>
      <c r="AV1245" s="36"/>
    </row>
    <row r="1246" spans="4:48">
      <c r="D1246" s="31"/>
      <c r="E1246" s="31"/>
      <c r="F1246" s="31"/>
      <c r="G1246" s="31"/>
      <c r="H1246" s="32"/>
      <c r="J1246" s="33"/>
      <c r="K1246" s="33"/>
      <c r="L1246" s="33"/>
      <c r="X1246" s="22"/>
      <c r="Y1246" s="22"/>
      <c r="Z1246" s="22"/>
      <c r="AA1246" s="22"/>
      <c r="AF1246" s="22"/>
      <c r="AG1246" s="22"/>
      <c r="AH1246" s="22"/>
      <c r="AI1246" s="22"/>
      <c r="AN1246" s="22"/>
      <c r="AO1246" s="22"/>
      <c r="AP1246" s="22"/>
      <c r="AQ1246" s="22"/>
      <c r="AR1246" s="35"/>
      <c r="AS1246" s="35"/>
      <c r="AT1246" s="35"/>
      <c r="AU1246" s="31"/>
      <c r="AV1246" s="36"/>
    </row>
    <row r="1247" spans="4:48">
      <c r="D1247" s="31"/>
      <c r="E1247" s="31"/>
      <c r="F1247" s="31"/>
      <c r="G1247" s="31"/>
      <c r="H1247" s="32"/>
      <c r="J1247" s="33"/>
      <c r="K1247" s="33"/>
      <c r="L1247" s="33"/>
      <c r="X1247" s="22"/>
      <c r="Y1247" s="22"/>
      <c r="Z1247" s="22"/>
      <c r="AA1247" s="22"/>
      <c r="AF1247" s="22"/>
      <c r="AG1247" s="22"/>
      <c r="AH1247" s="22"/>
      <c r="AI1247" s="22"/>
      <c r="AN1247" s="22"/>
      <c r="AO1247" s="22"/>
      <c r="AP1247" s="22"/>
      <c r="AQ1247" s="22"/>
      <c r="AR1247" s="35"/>
      <c r="AS1247" s="35"/>
      <c r="AT1247" s="35"/>
      <c r="AU1247" s="31"/>
      <c r="AV1247" s="36"/>
    </row>
    <row r="1248" spans="4:48">
      <c r="D1248" s="31"/>
      <c r="E1248" s="31"/>
      <c r="F1248" s="31"/>
      <c r="G1248" s="31"/>
      <c r="H1248" s="32"/>
      <c r="J1248" s="33"/>
      <c r="K1248" s="33"/>
      <c r="L1248" s="33"/>
      <c r="X1248" s="22"/>
      <c r="Y1248" s="22"/>
      <c r="Z1248" s="22"/>
      <c r="AA1248" s="22"/>
      <c r="AF1248" s="22"/>
      <c r="AG1248" s="22"/>
      <c r="AH1248" s="22"/>
      <c r="AI1248" s="22"/>
      <c r="AN1248" s="22"/>
      <c r="AO1248" s="22"/>
      <c r="AP1248" s="22"/>
      <c r="AQ1248" s="22"/>
      <c r="AR1248" s="35"/>
      <c r="AS1248" s="35"/>
      <c r="AT1248" s="35"/>
      <c r="AU1248" s="31"/>
      <c r="AV1248" s="36"/>
    </row>
    <row r="1249" spans="4:48">
      <c r="D1249" s="31"/>
      <c r="E1249" s="31"/>
      <c r="F1249" s="31"/>
      <c r="G1249" s="31"/>
      <c r="H1249" s="32"/>
      <c r="J1249" s="33"/>
      <c r="K1249" s="33"/>
      <c r="L1249" s="33"/>
      <c r="X1249" s="22"/>
      <c r="Y1249" s="22"/>
      <c r="Z1249" s="22"/>
      <c r="AA1249" s="22"/>
      <c r="AF1249" s="22"/>
      <c r="AG1249" s="22"/>
      <c r="AH1249" s="22"/>
      <c r="AI1249" s="22"/>
      <c r="AN1249" s="22"/>
      <c r="AO1249" s="22"/>
      <c r="AP1249" s="22"/>
      <c r="AQ1249" s="22"/>
      <c r="AR1249" s="35"/>
      <c r="AS1249" s="35"/>
      <c r="AT1249" s="35"/>
      <c r="AU1249" s="31"/>
      <c r="AV1249" s="36"/>
    </row>
    <row r="1250" spans="4:48">
      <c r="D1250" s="31"/>
      <c r="E1250" s="31"/>
      <c r="F1250" s="31"/>
      <c r="G1250" s="31"/>
      <c r="H1250" s="32"/>
      <c r="J1250" s="33"/>
      <c r="K1250" s="33"/>
      <c r="L1250" s="33"/>
      <c r="X1250" s="22"/>
      <c r="Y1250" s="22"/>
      <c r="Z1250" s="22"/>
      <c r="AA1250" s="22"/>
      <c r="AF1250" s="22"/>
      <c r="AG1250" s="22"/>
      <c r="AH1250" s="22"/>
      <c r="AI1250" s="22"/>
      <c r="AN1250" s="22"/>
      <c r="AO1250" s="22"/>
      <c r="AP1250" s="22"/>
      <c r="AQ1250" s="22"/>
      <c r="AR1250" s="35"/>
      <c r="AS1250" s="35"/>
      <c r="AT1250" s="35"/>
      <c r="AU1250" s="31"/>
      <c r="AV1250" s="36"/>
    </row>
    <row r="1251" spans="4:48">
      <c r="D1251" s="31"/>
      <c r="E1251" s="31"/>
      <c r="F1251" s="31"/>
      <c r="G1251" s="31"/>
      <c r="H1251" s="32"/>
      <c r="J1251" s="33"/>
      <c r="K1251" s="33"/>
      <c r="L1251" s="33"/>
      <c r="X1251" s="22"/>
      <c r="Y1251" s="22"/>
      <c r="Z1251" s="22"/>
      <c r="AA1251" s="22"/>
      <c r="AF1251" s="22"/>
      <c r="AG1251" s="22"/>
      <c r="AH1251" s="22"/>
      <c r="AI1251" s="22"/>
      <c r="AN1251" s="22"/>
      <c r="AO1251" s="22"/>
      <c r="AP1251" s="22"/>
      <c r="AQ1251" s="22"/>
      <c r="AR1251" s="35"/>
      <c r="AS1251" s="35"/>
      <c r="AT1251" s="35"/>
      <c r="AU1251" s="31"/>
      <c r="AV1251" s="36"/>
    </row>
    <row r="1252" spans="4:48">
      <c r="D1252" s="31"/>
      <c r="E1252" s="31"/>
      <c r="F1252" s="31"/>
      <c r="G1252" s="31"/>
      <c r="H1252" s="32"/>
      <c r="J1252" s="33"/>
      <c r="K1252" s="33"/>
      <c r="L1252" s="33"/>
      <c r="X1252" s="22"/>
      <c r="Y1252" s="22"/>
      <c r="Z1252" s="22"/>
      <c r="AA1252" s="22"/>
      <c r="AF1252" s="22"/>
      <c r="AG1252" s="22"/>
      <c r="AH1252" s="22"/>
      <c r="AI1252" s="22"/>
      <c r="AN1252" s="22"/>
      <c r="AO1252" s="22"/>
      <c r="AP1252" s="22"/>
      <c r="AQ1252" s="22"/>
      <c r="AR1252" s="35"/>
      <c r="AS1252" s="35"/>
      <c r="AT1252" s="35"/>
      <c r="AU1252" s="31"/>
      <c r="AV1252" s="36"/>
    </row>
    <row r="1253" spans="4:48">
      <c r="D1253" s="31"/>
      <c r="E1253" s="31"/>
      <c r="F1253" s="31"/>
      <c r="G1253" s="31"/>
      <c r="H1253" s="32"/>
      <c r="J1253" s="33"/>
      <c r="K1253" s="33"/>
      <c r="L1253" s="33"/>
      <c r="X1253" s="22"/>
      <c r="Y1253" s="22"/>
      <c r="Z1253" s="22"/>
      <c r="AA1253" s="22"/>
      <c r="AF1253" s="22"/>
      <c r="AG1253" s="22"/>
      <c r="AH1253" s="22"/>
      <c r="AI1253" s="22"/>
      <c r="AN1253" s="22"/>
      <c r="AO1253" s="22"/>
      <c r="AP1253" s="22"/>
      <c r="AQ1253" s="22"/>
      <c r="AR1253" s="35"/>
      <c r="AS1253" s="35"/>
      <c r="AT1253" s="35"/>
      <c r="AU1253" s="31"/>
      <c r="AV1253" s="36"/>
    </row>
    <row r="1254" spans="4:48">
      <c r="D1254" s="31"/>
      <c r="E1254" s="31"/>
      <c r="F1254" s="31"/>
      <c r="G1254" s="31"/>
      <c r="H1254" s="32"/>
      <c r="J1254" s="33"/>
      <c r="K1254" s="33"/>
      <c r="L1254" s="33"/>
      <c r="X1254" s="22"/>
      <c r="Y1254" s="22"/>
      <c r="Z1254" s="22"/>
      <c r="AA1254" s="22"/>
      <c r="AF1254" s="22"/>
      <c r="AG1254" s="22"/>
      <c r="AH1254" s="22"/>
      <c r="AI1254" s="22"/>
      <c r="AN1254" s="22"/>
      <c r="AO1254" s="22"/>
      <c r="AP1254" s="22"/>
      <c r="AQ1254" s="22"/>
      <c r="AR1254" s="35"/>
      <c r="AS1254" s="35"/>
      <c r="AT1254" s="35"/>
      <c r="AU1254" s="31"/>
      <c r="AV1254" s="36"/>
    </row>
    <row r="1255" spans="4:48">
      <c r="D1255" s="31"/>
      <c r="E1255" s="31"/>
      <c r="F1255" s="31"/>
      <c r="G1255" s="31"/>
      <c r="H1255" s="32"/>
      <c r="J1255" s="33"/>
      <c r="K1255" s="33"/>
      <c r="L1255" s="33"/>
      <c r="X1255" s="22"/>
      <c r="Y1255" s="22"/>
      <c r="Z1255" s="22"/>
      <c r="AA1255" s="22"/>
      <c r="AF1255" s="22"/>
      <c r="AG1255" s="22"/>
      <c r="AH1255" s="22"/>
      <c r="AI1255" s="22"/>
      <c r="AN1255" s="22"/>
      <c r="AO1255" s="22"/>
      <c r="AP1255" s="22"/>
      <c r="AQ1255" s="22"/>
      <c r="AR1255" s="35"/>
      <c r="AS1255" s="35"/>
      <c r="AT1255" s="35"/>
      <c r="AU1255" s="31"/>
      <c r="AV1255" s="36"/>
    </row>
    <row r="1256" spans="4:48">
      <c r="D1256" s="31"/>
      <c r="E1256" s="31"/>
      <c r="F1256" s="31"/>
      <c r="G1256" s="31"/>
      <c r="H1256" s="32"/>
      <c r="J1256" s="33"/>
      <c r="K1256" s="33"/>
      <c r="L1256" s="33"/>
      <c r="X1256" s="22"/>
      <c r="Y1256" s="22"/>
      <c r="Z1256" s="22"/>
      <c r="AA1256" s="22"/>
      <c r="AF1256" s="22"/>
      <c r="AG1256" s="22"/>
      <c r="AH1256" s="22"/>
      <c r="AI1256" s="22"/>
      <c r="AN1256" s="22"/>
      <c r="AO1256" s="22"/>
      <c r="AP1256" s="22"/>
      <c r="AQ1256" s="22"/>
      <c r="AR1256" s="35"/>
      <c r="AS1256" s="35"/>
      <c r="AT1256" s="35"/>
      <c r="AU1256" s="31"/>
      <c r="AV1256" s="36"/>
    </row>
    <row r="1257" spans="4:48">
      <c r="D1257" s="31"/>
      <c r="E1257" s="31"/>
      <c r="F1257" s="31"/>
      <c r="G1257" s="31"/>
      <c r="H1257" s="32"/>
      <c r="J1257" s="33"/>
      <c r="K1257" s="33"/>
      <c r="L1257" s="33"/>
      <c r="X1257" s="22"/>
      <c r="Y1257" s="22"/>
      <c r="Z1257" s="22"/>
      <c r="AA1257" s="22"/>
      <c r="AF1257" s="22"/>
      <c r="AG1257" s="22"/>
      <c r="AH1257" s="22"/>
      <c r="AI1257" s="22"/>
      <c r="AN1257" s="22"/>
      <c r="AO1257" s="22"/>
      <c r="AP1257" s="22"/>
      <c r="AQ1257" s="22"/>
      <c r="AR1257" s="35"/>
      <c r="AS1257" s="35"/>
      <c r="AT1257" s="35"/>
      <c r="AU1257" s="31"/>
      <c r="AV1257" s="36"/>
    </row>
    <row r="1258" spans="4:48">
      <c r="D1258" s="31"/>
      <c r="E1258" s="31"/>
      <c r="F1258" s="31"/>
      <c r="G1258" s="31"/>
      <c r="H1258" s="32"/>
      <c r="J1258" s="33"/>
      <c r="K1258" s="33"/>
      <c r="L1258" s="33"/>
      <c r="X1258" s="22"/>
      <c r="Y1258" s="22"/>
      <c r="Z1258" s="22"/>
      <c r="AA1258" s="22"/>
      <c r="AF1258" s="22"/>
      <c r="AG1258" s="22"/>
      <c r="AH1258" s="22"/>
      <c r="AI1258" s="22"/>
      <c r="AN1258" s="22"/>
      <c r="AO1258" s="22"/>
      <c r="AP1258" s="22"/>
      <c r="AQ1258" s="22"/>
      <c r="AR1258" s="35"/>
      <c r="AS1258" s="35"/>
      <c r="AT1258" s="35"/>
      <c r="AU1258" s="31"/>
      <c r="AV1258" s="36"/>
    </row>
    <row r="1259" spans="4:48">
      <c r="D1259" s="31"/>
      <c r="E1259" s="31"/>
      <c r="F1259" s="31"/>
      <c r="G1259" s="31"/>
      <c r="H1259" s="32"/>
      <c r="J1259" s="33"/>
      <c r="K1259" s="33"/>
      <c r="L1259" s="33"/>
      <c r="X1259" s="22"/>
      <c r="Y1259" s="22"/>
      <c r="Z1259" s="22"/>
      <c r="AA1259" s="22"/>
      <c r="AF1259" s="22"/>
      <c r="AG1259" s="22"/>
      <c r="AH1259" s="22"/>
      <c r="AI1259" s="22"/>
      <c r="AN1259" s="22"/>
      <c r="AO1259" s="22"/>
      <c r="AP1259" s="22"/>
      <c r="AQ1259" s="22"/>
      <c r="AR1259" s="35"/>
      <c r="AS1259" s="35"/>
      <c r="AT1259" s="35"/>
      <c r="AU1259" s="31"/>
      <c r="AV1259" s="36"/>
    </row>
    <row r="1260" spans="4:48">
      <c r="D1260" s="31"/>
      <c r="E1260" s="31"/>
      <c r="F1260" s="31"/>
      <c r="G1260" s="31"/>
      <c r="H1260" s="32"/>
      <c r="J1260" s="33"/>
      <c r="K1260" s="33"/>
      <c r="L1260" s="33"/>
      <c r="X1260" s="22"/>
      <c r="Y1260" s="22"/>
      <c r="Z1260" s="22"/>
      <c r="AA1260" s="22"/>
      <c r="AF1260" s="22"/>
      <c r="AG1260" s="22"/>
      <c r="AH1260" s="22"/>
      <c r="AI1260" s="22"/>
      <c r="AN1260" s="22"/>
      <c r="AO1260" s="22"/>
      <c r="AP1260" s="22"/>
      <c r="AQ1260" s="22"/>
      <c r="AR1260" s="35"/>
      <c r="AS1260" s="35"/>
      <c r="AT1260" s="35"/>
      <c r="AU1260" s="31"/>
      <c r="AV1260" s="36"/>
    </row>
    <row r="1261" spans="4:48">
      <c r="D1261" s="31"/>
      <c r="E1261" s="31"/>
      <c r="F1261" s="31"/>
      <c r="G1261" s="31"/>
      <c r="H1261" s="32"/>
      <c r="J1261" s="33"/>
      <c r="K1261" s="33"/>
      <c r="L1261" s="33"/>
      <c r="X1261" s="22"/>
      <c r="Y1261" s="22"/>
      <c r="Z1261" s="22"/>
      <c r="AA1261" s="22"/>
      <c r="AF1261" s="22"/>
      <c r="AG1261" s="22"/>
      <c r="AH1261" s="22"/>
      <c r="AI1261" s="22"/>
      <c r="AN1261" s="22"/>
      <c r="AO1261" s="22"/>
      <c r="AP1261" s="22"/>
      <c r="AQ1261" s="22"/>
      <c r="AR1261" s="35"/>
      <c r="AS1261" s="35"/>
      <c r="AT1261" s="35"/>
      <c r="AU1261" s="31"/>
      <c r="AV1261" s="36"/>
    </row>
    <row r="1262" spans="4:48">
      <c r="D1262" s="31"/>
      <c r="E1262" s="31"/>
      <c r="F1262" s="31"/>
      <c r="G1262" s="31"/>
      <c r="H1262" s="32"/>
      <c r="J1262" s="33"/>
      <c r="K1262" s="33"/>
      <c r="L1262" s="33"/>
      <c r="X1262" s="22"/>
      <c r="Y1262" s="22"/>
      <c r="Z1262" s="22"/>
      <c r="AA1262" s="22"/>
      <c r="AF1262" s="22"/>
      <c r="AG1262" s="22"/>
      <c r="AH1262" s="22"/>
      <c r="AI1262" s="22"/>
      <c r="AN1262" s="22"/>
      <c r="AO1262" s="22"/>
      <c r="AP1262" s="22"/>
      <c r="AQ1262" s="22"/>
      <c r="AR1262" s="35"/>
      <c r="AS1262" s="35"/>
      <c r="AT1262" s="35"/>
      <c r="AU1262" s="31"/>
      <c r="AV1262" s="36"/>
    </row>
    <row r="1263" spans="4:48">
      <c r="D1263" s="31"/>
      <c r="E1263" s="31"/>
      <c r="F1263" s="31"/>
      <c r="G1263" s="31"/>
      <c r="H1263" s="32"/>
      <c r="J1263" s="33"/>
      <c r="K1263" s="33"/>
      <c r="L1263" s="33"/>
      <c r="X1263" s="22"/>
      <c r="Y1263" s="22"/>
      <c r="Z1263" s="22"/>
      <c r="AA1263" s="22"/>
      <c r="AF1263" s="22"/>
      <c r="AG1263" s="22"/>
      <c r="AH1263" s="22"/>
      <c r="AI1263" s="22"/>
      <c r="AN1263" s="22"/>
      <c r="AO1263" s="22"/>
      <c r="AP1263" s="22"/>
      <c r="AQ1263" s="22"/>
      <c r="AR1263" s="35"/>
      <c r="AS1263" s="35"/>
      <c r="AT1263" s="35"/>
      <c r="AU1263" s="31"/>
      <c r="AV1263" s="36"/>
    </row>
    <row r="1264" spans="4:48">
      <c r="D1264" s="31"/>
      <c r="E1264" s="31"/>
      <c r="F1264" s="31"/>
      <c r="G1264" s="31"/>
      <c r="H1264" s="32"/>
      <c r="J1264" s="33"/>
      <c r="K1264" s="33"/>
      <c r="L1264" s="33"/>
      <c r="X1264" s="22"/>
      <c r="Y1264" s="22"/>
      <c r="Z1264" s="22"/>
      <c r="AA1264" s="22"/>
      <c r="AF1264" s="22"/>
      <c r="AG1264" s="22"/>
      <c r="AH1264" s="22"/>
      <c r="AI1264" s="22"/>
      <c r="AN1264" s="22"/>
      <c r="AO1264" s="22"/>
      <c r="AP1264" s="22"/>
      <c r="AQ1264" s="22"/>
      <c r="AR1264" s="35"/>
      <c r="AS1264" s="35"/>
      <c r="AT1264" s="35"/>
      <c r="AU1264" s="31"/>
      <c r="AV1264" s="36"/>
    </row>
    <row r="1265" spans="4:48">
      <c r="D1265" s="31"/>
      <c r="E1265" s="31"/>
      <c r="F1265" s="31"/>
      <c r="G1265" s="31"/>
      <c r="H1265" s="32"/>
      <c r="J1265" s="33"/>
      <c r="K1265" s="33"/>
      <c r="L1265" s="33"/>
      <c r="X1265" s="22"/>
      <c r="Y1265" s="22"/>
      <c r="Z1265" s="22"/>
      <c r="AA1265" s="22"/>
      <c r="AF1265" s="22"/>
      <c r="AG1265" s="22"/>
      <c r="AH1265" s="22"/>
      <c r="AI1265" s="22"/>
      <c r="AN1265" s="22"/>
      <c r="AO1265" s="22"/>
      <c r="AP1265" s="22"/>
      <c r="AQ1265" s="22"/>
      <c r="AR1265" s="35"/>
      <c r="AS1265" s="35"/>
      <c r="AT1265" s="35"/>
      <c r="AU1265" s="31"/>
      <c r="AV1265" s="36"/>
    </row>
    <row r="1266" spans="4:48">
      <c r="D1266" s="31"/>
      <c r="E1266" s="31"/>
      <c r="F1266" s="31"/>
      <c r="G1266" s="31"/>
      <c r="H1266" s="32"/>
      <c r="J1266" s="33"/>
      <c r="K1266" s="33"/>
      <c r="L1266" s="33"/>
      <c r="X1266" s="22"/>
      <c r="Y1266" s="22"/>
      <c r="Z1266" s="22"/>
      <c r="AA1266" s="22"/>
      <c r="AF1266" s="22"/>
      <c r="AG1266" s="22"/>
      <c r="AH1266" s="22"/>
      <c r="AI1266" s="22"/>
      <c r="AN1266" s="22"/>
      <c r="AO1266" s="22"/>
      <c r="AP1266" s="22"/>
      <c r="AQ1266" s="22"/>
      <c r="AR1266" s="35"/>
      <c r="AS1266" s="35"/>
      <c r="AT1266" s="35"/>
      <c r="AU1266" s="31"/>
      <c r="AV1266" s="36"/>
    </row>
    <row r="1267" spans="4:48">
      <c r="D1267" s="31"/>
      <c r="E1267" s="31"/>
      <c r="F1267" s="31"/>
      <c r="G1267" s="31"/>
      <c r="H1267" s="32"/>
      <c r="J1267" s="33"/>
      <c r="K1267" s="33"/>
      <c r="L1267" s="33"/>
      <c r="X1267" s="22"/>
      <c r="Y1267" s="22"/>
      <c r="Z1267" s="22"/>
      <c r="AA1267" s="22"/>
      <c r="AF1267" s="22"/>
      <c r="AG1267" s="22"/>
      <c r="AH1267" s="22"/>
      <c r="AI1267" s="22"/>
      <c r="AN1267" s="22"/>
      <c r="AO1267" s="22"/>
      <c r="AP1267" s="22"/>
      <c r="AQ1267" s="22"/>
      <c r="AR1267" s="35"/>
      <c r="AS1267" s="35"/>
      <c r="AT1267" s="35"/>
      <c r="AU1267" s="31"/>
      <c r="AV1267" s="36"/>
    </row>
    <row r="1268" spans="4:48">
      <c r="D1268" s="31"/>
      <c r="E1268" s="31"/>
      <c r="F1268" s="31"/>
      <c r="G1268" s="31"/>
      <c r="H1268" s="32"/>
      <c r="J1268" s="33"/>
      <c r="K1268" s="33"/>
      <c r="L1268" s="33"/>
      <c r="X1268" s="22"/>
      <c r="Y1268" s="22"/>
      <c r="Z1268" s="22"/>
      <c r="AA1268" s="22"/>
      <c r="AF1268" s="22"/>
      <c r="AG1268" s="22"/>
      <c r="AH1268" s="22"/>
      <c r="AI1268" s="22"/>
      <c r="AN1268" s="22"/>
      <c r="AO1268" s="22"/>
      <c r="AP1268" s="22"/>
      <c r="AQ1268" s="22"/>
      <c r="AR1268" s="35"/>
      <c r="AS1268" s="35"/>
      <c r="AT1268" s="35"/>
      <c r="AU1268" s="31"/>
      <c r="AV1268" s="36"/>
    </row>
    <row r="1269" spans="4:48">
      <c r="D1269" s="31"/>
      <c r="E1269" s="31"/>
      <c r="F1269" s="31"/>
      <c r="G1269" s="31"/>
      <c r="H1269" s="32"/>
      <c r="J1269" s="33"/>
      <c r="K1269" s="33"/>
      <c r="L1269" s="33"/>
      <c r="X1269" s="22"/>
      <c r="Y1269" s="22"/>
      <c r="Z1269" s="22"/>
      <c r="AA1269" s="22"/>
      <c r="AF1269" s="22"/>
      <c r="AG1269" s="22"/>
      <c r="AH1269" s="22"/>
      <c r="AI1269" s="22"/>
      <c r="AN1269" s="22"/>
      <c r="AO1269" s="22"/>
      <c r="AP1269" s="22"/>
      <c r="AQ1269" s="22"/>
      <c r="AR1269" s="35"/>
      <c r="AS1269" s="35"/>
      <c r="AT1269" s="35"/>
      <c r="AU1269" s="31"/>
      <c r="AV1269" s="36"/>
    </row>
    <row r="1270" spans="4:48">
      <c r="D1270" s="31"/>
      <c r="E1270" s="31"/>
      <c r="F1270" s="31"/>
      <c r="G1270" s="31"/>
      <c r="H1270" s="32"/>
      <c r="J1270" s="33"/>
      <c r="K1270" s="33"/>
      <c r="L1270" s="33"/>
      <c r="X1270" s="22"/>
      <c r="Y1270" s="22"/>
      <c r="Z1270" s="22"/>
      <c r="AA1270" s="22"/>
      <c r="AF1270" s="22"/>
      <c r="AG1270" s="22"/>
      <c r="AH1270" s="22"/>
      <c r="AI1270" s="22"/>
      <c r="AN1270" s="22"/>
      <c r="AO1270" s="22"/>
      <c r="AP1270" s="22"/>
      <c r="AQ1270" s="22"/>
      <c r="AR1270" s="35"/>
      <c r="AS1270" s="35"/>
      <c r="AT1270" s="35"/>
      <c r="AU1270" s="31"/>
      <c r="AV1270" s="36"/>
    </row>
    <row r="1271" spans="4:48">
      <c r="D1271" s="31"/>
      <c r="E1271" s="31"/>
      <c r="F1271" s="31"/>
      <c r="G1271" s="31"/>
      <c r="H1271" s="32"/>
      <c r="J1271" s="33"/>
      <c r="K1271" s="33"/>
      <c r="L1271" s="33"/>
      <c r="X1271" s="22"/>
      <c r="Y1271" s="22"/>
      <c r="Z1271" s="22"/>
      <c r="AA1271" s="22"/>
      <c r="AF1271" s="22"/>
      <c r="AG1271" s="22"/>
      <c r="AH1271" s="22"/>
      <c r="AI1271" s="22"/>
      <c r="AN1271" s="22"/>
      <c r="AO1271" s="22"/>
      <c r="AP1271" s="22"/>
      <c r="AQ1271" s="22"/>
      <c r="AR1271" s="35"/>
      <c r="AS1271" s="35"/>
      <c r="AT1271" s="35"/>
      <c r="AU1271" s="31"/>
      <c r="AV1271" s="36"/>
    </row>
    <row r="1272" spans="4:48">
      <c r="D1272" s="31"/>
      <c r="E1272" s="31"/>
      <c r="F1272" s="31"/>
      <c r="G1272" s="31"/>
      <c r="H1272" s="32"/>
      <c r="J1272" s="33"/>
      <c r="K1272" s="33"/>
      <c r="L1272" s="33"/>
      <c r="X1272" s="22"/>
      <c r="Y1272" s="22"/>
      <c r="Z1272" s="22"/>
      <c r="AA1272" s="22"/>
      <c r="AF1272" s="22"/>
      <c r="AG1272" s="22"/>
      <c r="AH1272" s="22"/>
      <c r="AI1272" s="22"/>
      <c r="AN1272" s="22"/>
      <c r="AO1272" s="22"/>
      <c r="AP1272" s="22"/>
      <c r="AQ1272" s="22"/>
      <c r="AR1272" s="35"/>
      <c r="AS1272" s="35"/>
      <c r="AT1272" s="35"/>
      <c r="AU1272" s="31"/>
      <c r="AV1272" s="36"/>
    </row>
    <row r="1273" spans="4:48">
      <c r="D1273" s="31"/>
      <c r="E1273" s="31"/>
      <c r="F1273" s="31"/>
      <c r="G1273" s="31"/>
      <c r="H1273" s="32"/>
      <c r="J1273" s="33"/>
      <c r="K1273" s="33"/>
      <c r="L1273" s="33"/>
      <c r="X1273" s="22"/>
      <c r="Y1273" s="22"/>
      <c r="Z1273" s="22"/>
      <c r="AA1273" s="22"/>
      <c r="AF1273" s="22"/>
      <c r="AG1273" s="22"/>
      <c r="AH1273" s="22"/>
      <c r="AI1273" s="22"/>
      <c r="AN1273" s="22"/>
      <c r="AO1273" s="22"/>
      <c r="AP1273" s="22"/>
      <c r="AQ1273" s="22"/>
      <c r="AR1273" s="35"/>
      <c r="AS1273" s="35"/>
      <c r="AT1273" s="35"/>
      <c r="AU1273" s="31"/>
      <c r="AV1273" s="36"/>
    </row>
    <row r="1274" spans="4:48">
      <c r="D1274" s="31"/>
      <c r="E1274" s="31"/>
      <c r="F1274" s="31"/>
      <c r="G1274" s="31"/>
      <c r="H1274" s="32"/>
      <c r="J1274" s="33"/>
      <c r="K1274" s="33"/>
      <c r="L1274" s="33"/>
      <c r="X1274" s="22"/>
      <c r="Y1274" s="22"/>
      <c r="Z1274" s="22"/>
      <c r="AA1274" s="22"/>
      <c r="AF1274" s="22"/>
      <c r="AG1274" s="22"/>
      <c r="AH1274" s="22"/>
      <c r="AI1274" s="22"/>
      <c r="AN1274" s="22"/>
      <c r="AO1274" s="22"/>
      <c r="AP1274" s="22"/>
      <c r="AQ1274" s="22"/>
      <c r="AR1274" s="35"/>
      <c r="AS1274" s="35"/>
      <c r="AT1274" s="35"/>
      <c r="AU1274" s="31"/>
      <c r="AV1274" s="36"/>
    </row>
    <row r="1275" spans="4:48">
      <c r="D1275" s="31"/>
      <c r="E1275" s="31"/>
      <c r="F1275" s="31"/>
      <c r="G1275" s="31"/>
      <c r="H1275" s="32"/>
      <c r="J1275" s="33"/>
      <c r="K1275" s="33"/>
      <c r="L1275" s="33"/>
      <c r="X1275" s="22"/>
      <c r="Y1275" s="22"/>
      <c r="Z1275" s="22"/>
      <c r="AA1275" s="22"/>
      <c r="AF1275" s="22"/>
      <c r="AG1275" s="22"/>
      <c r="AH1275" s="22"/>
      <c r="AI1275" s="22"/>
      <c r="AN1275" s="22"/>
      <c r="AO1275" s="22"/>
      <c r="AP1275" s="22"/>
      <c r="AQ1275" s="22"/>
      <c r="AR1275" s="35"/>
      <c r="AS1275" s="35"/>
      <c r="AT1275" s="35"/>
      <c r="AU1275" s="31"/>
      <c r="AV1275" s="36"/>
    </row>
    <row r="1276" spans="4:48">
      <c r="D1276" s="31"/>
      <c r="E1276" s="31"/>
      <c r="F1276" s="31"/>
      <c r="G1276" s="31"/>
      <c r="H1276" s="32"/>
      <c r="J1276" s="33"/>
      <c r="K1276" s="33"/>
      <c r="L1276" s="33"/>
      <c r="X1276" s="22"/>
      <c r="Y1276" s="22"/>
      <c r="Z1276" s="22"/>
      <c r="AA1276" s="22"/>
      <c r="AF1276" s="22"/>
      <c r="AG1276" s="22"/>
      <c r="AH1276" s="22"/>
      <c r="AI1276" s="22"/>
      <c r="AN1276" s="22"/>
      <c r="AO1276" s="22"/>
      <c r="AP1276" s="22"/>
      <c r="AQ1276" s="22"/>
      <c r="AR1276" s="35"/>
      <c r="AS1276" s="35"/>
      <c r="AT1276" s="35"/>
      <c r="AU1276" s="31"/>
      <c r="AV1276" s="36"/>
    </row>
    <row r="1277" spans="4:48">
      <c r="D1277" s="31"/>
      <c r="E1277" s="31"/>
      <c r="F1277" s="31"/>
      <c r="G1277" s="31"/>
      <c r="H1277" s="32"/>
      <c r="J1277" s="33"/>
      <c r="K1277" s="33"/>
      <c r="L1277" s="33"/>
      <c r="X1277" s="22"/>
      <c r="Y1277" s="22"/>
      <c r="Z1277" s="22"/>
      <c r="AA1277" s="22"/>
      <c r="AF1277" s="22"/>
      <c r="AG1277" s="22"/>
      <c r="AH1277" s="22"/>
      <c r="AI1277" s="22"/>
      <c r="AN1277" s="22"/>
      <c r="AO1277" s="22"/>
      <c r="AP1277" s="22"/>
      <c r="AQ1277" s="22"/>
      <c r="AR1277" s="35"/>
      <c r="AS1277" s="35"/>
      <c r="AT1277" s="35"/>
      <c r="AU1277" s="31"/>
      <c r="AV1277" s="36"/>
    </row>
    <row r="1278" spans="4:48">
      <c r="D1278" s="31"/>
      <c r="E1278" s="31"/>
      <c r="F1278" s="31"/>
      <c r="G1278" s="31"/>
      <c r="H1278" s="32"/>
      <c r="J1278" s="33"/>
      <c r="K1278" s="33"/>
      <c r="L1278" s="33"/>
      <c r="X1278" s="22"/>
      <c r="Y1278" s="22"/>
      <c r="Z1278" s="22"/>
      <c r="AA1278" s="22"/>
      <c r="AF1278" s="22"/>
      <c r="AG1278" s="22"/>
      <c r="AH1278" s="22"/>
      <c r="AI1278" s="22"/>
      <c r="AN1278" s="22"/>
      <c r="AO1278" s="22"/>
      <c r="AP1278" s="22"/>
      <c r="AQ1278" s="22"/>
      <c r="AR1278" s="35"/>
      <c r="AS1278" s="35"/>
      <c r="AT1278" s="35"/>
      <c r="AU1278" s="31"/>
      <c r="AV1278" s="36"/>
    </row>
    <row r="1279" spans="4:48">
      <c r="D1279" s="31"/>
      <c r="E1279" s="31"/>
      <c r="F1279" s="31"/>
      <c r="G1279" s="31"/>
      <c r="H1279" s="32"/>
      <c r="J1279" s="33"/>
      <c r="K1279" s="33"/>
      <c r="L1279" s="33"/>
      <c r="X1279" s="22"/>
      <c r="Y1279" s="22"/>
      <c r="Z1279" s="22"/>
      <c r="AA1279" s="22"/>
      <c r="AF1279" s="22"/>
      <c r="AG1279" s="22"/>
      <c r="AH1279" s="22"/>
      <c r="AI1279" s="22"/>
      <c r="AN1279" s="22"/>
      <c r="AO1279" s="22"/>
      <c r="AP1279" s="22"/>
      <c r="AQ1279" s="22"/>
      <c r="AR1279" s="35"/>
      <c r="AS1279" s="35"/>
      <c r="AT1279" s="35"/>
      <c r="AU1279" s="31"/>
      <c r="AV1279" s="36"/>
    </row>
    <row r="1280" spans="4:48">
      <c r="D1280" s="31"/>
      <c r="E1280" s="31"/>
      <c r="F1280" s="31"/>
      <c r="G1280" s="31"/>
      <c r="H1280" s="32"/>
      <c r="J1280" s="33"/>
      <c r="K1280" s="33"/>
      <c r="L1280" s="33"/>
      <c r="X1280" s="22"/>
      <c r="Y1280" s="22"/>
      <c r="Z1280" s="22"/>
      <c r="AA1280" s="22"/>
      <c r="AF1280" s="22"/>
      <c r="AG1280" s="22"/>
      <c r="AH1280" s="22"/>
      <c r="AI1280" s="22"/>
      <c r="AN1280" s="22"/>
      <c r="AO1280" s="22"/>
      <c r="AP1280" s="22"/>
      <c r="AQ1280" s="22"/>
      <c r="AR1280" s="35"/>
      <c r="AS1280" s="35"/>
      <c r="AT1280" s="35"/>
      <c r="AU1280" s="31"/>
      <c r="AV1280" s="36"/>
    </row>
    <row r="1281" spans="4:48">
      <c r="D1281" s="31"/>
      <c r="E1281" s="31"/>
      <c r="F1281" s="31"/>
      <c r="G1281" s="31"/>
      <c r="H1281" s="32"/>
      <c r="J1281" s="33"/>
      <c r="K1281" s="33"/>
      <c r="L1281" s="33"/>
      <c r="X1281" s="22"/>
      <c r="Y1281" s="22"/>
      <c r="Z1281" s="22"/>
      <c r="AA1281" s="22"/>
      <c r="AF1281" s="22"/>
      <c r="AG1281" s="22"/>
      <c r="AH1281" s="22"/>
      <c r="AI1281" s="22"/>
      <c r="AN1281" s="22"/>
      <c r="AO1281" s="22"/>
      <c r="AP1281" s="22"/>
      <c r="AQ1281" s="22"/>
      <c r="AR1281" s="35"/>
      <c r="AS1281" s="35"/>
      <c r="AT1281" s="35"/>
      <c r="AU1281" s="31"/>
      <c r="AV1281" s="36"/>
    </row>
    <row r="1282" spans="4:48">
      <c r="D1282" s="31"/>
      <c r="E1282" s="31"/>
      <c r="F1282" s="31"/>
      <c r="G1282" s="31"/>
      <c r="H1282" s="32"/>
      <c r="J1282" s="33"/>
      <c r="K1282" s="33"/>
      <c r="L1282" s="33"/>
      <c r="X1282" s="22"/>
      <c r="Y1282" s="22"/>
      <c r="Z1282" s="22"/>
      <c r="AA1282" s="22"/>
      <c r="AF1282" s="22"/>
      <c r="AG1282" s="22"/>
      <c r="AH1282" s="22"/>
      <c r="AI1282" s="22"/>
      <c r="AN1282" s="22"/>
      <c r="AO1282" s="22"/>
      <c r="AP1282" s="22"/>
      <c r="AQ1282" s="22"/>
      <c r="AR1282" s="35"/>
      <c r="AS1282" s="35"/>
      <c r="AT1282" s="35"/>
      <c r="AU1282" s="31"/>
      <c r="AV1282" s="36"/>
    </row>
    <row r="1283" spans="4:48">
      <c r="D1283" s="31"/>
      <c r="E1283" s="31"/>
      <c r="F1283" s="31"/>
      <c r="G1283" s="31"/>
      <c r="H1283" s="32"/>
      <c r="J1283" s="33"/>
      <c r="K1283" s="33"/>
      <c r="L1283" s="33"/>
      <c r="X1283" s="22"/>
      <c r="Y1283" s="22"/>
      <c r="Z1283" s="22"/>
      <c r="AA1283" s="22"/>
      <c r="AF1283" s="22"/>
      <c r="AG1283" s="22"/>
      <c r="AH1283" s="22"/>
      <c r="AI1283" s="22"/>
      <c r="AN1283" s="22"/>
      <c r="AO1283" s="22"/>
      <c r="AP1283" s="22"/>
      <c r="AQ1283" s="22"/>
      <c r="AR1283" s="35"/>
      <c r="AS1283" s="35"/>
      <c r="AT1283" s="35"/>
      <c r="AU1283" s="31"/>
      <c r="AV1283" s="36"/>
    </row>
    <row r="1284" spans="4:48">
      <c r="D1284" s="31"/>
      <c r="E1284" s="31"/>
      <c r="F1284" s="31"/>
      <c r="G1284" s="31"/>
      <c r="H1284" s="32"/>
      <c r="J1284" s="33"/>
      <c r="K1284" s="33"/>
      <c r="L1284" s="33"/>
      <c r="X1284" s="22"/>
      <c r="Y1284" s="22"/>
      <c r="Z1284" s="22"/>
      <c r="AA1284" s="22"/>
      <c r="AF1284" s="22"/>
      <c r="AG1284" s="22"/>
      <c r="AH1284" s="22"/>
      <c r="AI1284" s="22"/>
      <c r="AN1284" s="22"/>
      <c r="AO1284" s="22"/>
      <c r="AP1284" s="22"/>
      <c r="AQ1284" s="22"/>
      <c r="AR1284" s="35"/>
      <c r="AS1284" s="35"/>
      <c r="AT1284" s="35"/>
      <c r="AU1284" s="31"/>
      <c r="AV1284" s="36"/>
    </row>
    <row r="1285" spans="4:48">
      <c r="D1285" s="31"/>
      <c r="E1285" s="31"/>
      <c r="F1285" s="31"/>
      <c r="G1285" s="31"/>
      <c r="H1285" s="32"/>
      <c r="J1285" s="33"/>
      <c r="K1285" s="33"/>
      <c r="L1285" s="33"/>
      <c r="X1285" s="22"/>
      <c r="Y1285" s="22"/>
      <c r="Z1285" s="22"/>
      <c r="AA1285" s="22"/>
      <c r="AF1285" s="22"/>
      <c r="AG1285" s="22"/>
      <c r="AH1285" s="22"/>
      <c r="AI1285" s="22"/>
      <c r="AN1285" s="22"/>
      <c r="AO1285" s="22"/>
      <c r="AP1285" s="22"/>
      <c r="AQ1285" s="22"/>
      <c r="AR1285" s="35"/>
      <c r="AS1285" s="35"/>
      <c r="AT1285" s="35"/>
      <c r="AU1285" s="31"/>
      <c r="AV1285" s="36"/>
    </row>
    <row r="1286" spans="4:48">
      <c r="D1286" s="31"/>
      <c r="E1286" s="31"/>
      <c r="F1286" s="31"/>
      <c r="G1286" s="31"/>
      <c r="H1286" s="32"/>
      <c r="J1286" s="33"/>
      <c r="K1286" s="33"/>
      <c r="L1286" s="33"/>
      <c r="X1286" s="22"/>
      <c r="Y1286" s="22"/>
      <c r="Z1286" s="22"/>
      <c r="AA1286" s="22"/>
      <c r="AF1286" s="22"/>
      <c r="AG1286" s="22"/>
      <c r="AH1286" s="22"/>
      <c r="AI1286" s="22"/>
      <c r="AN1286" s="22"/>
      <c r="AO1286" s="22"/>
      <c r="AP1286" s="22"/>
      <c r="AQ1286" s="22"/>
      <c r="AR1286" s="35"/>
      <c r="AS1286" s="35"/>
      <c r="AT1286" s="35"/>
      <c r="AU1286" s="31"/>
      <c r="AV1286" s="36"/>
    </row>
    <row r="1287" spans="4:48">
      <c r="D1287" s="31"/>
      <c r="E1287" s="31"/>
      <c r="F1287" s="31"/>
      <c r="G1287" s="31"/>
      <c r="H1287" s="32"/>
      <c r="J1287" s="33"/>
      <c r="K1287" s="33"/>
      <c r="L1287" s="33"/>
      <c r="X1287" s="22"/>
      <c r="Y1287" s="22"/>
      <c r="Z1287" s="22"/>
      <c r="AA1287" s="22"/>
      <c r="AF1287" s="22"/>
      <c r="AG1287" s="22"/>
      <c r="AH1287" s="22"/>
      <c r="AI1287" s="22"/>
      <c r="AN1287" s="22"/>
      <c r="AO1287" s="22"/>
      <c r="AP1287" s="22"/>
      <c r="AQ1287" s="22"/>
      <c r="AR1287" s="35"/>
      <c r="AS1287" s="35"/>
      <c r="AT1287" s="35"/>
      <c r="AU1287" s="31"/>
      <c r="AV1287" s="36"/>
    </row>
    <row r="1288" spans="4:48">
      <c r="D1288" s="31"/>
      <c r="E1288" s="31"/>
      <c r="F1288" s="31"/>
      <c r="G1288" s="31"/>
      <c r="H1288" s="32"/>
      <c r="J1288" s="33"/>
      <c r="K1288" s="33"/>
      <c r="L1288" s="33"/>
      <c r="X1288" s="22"/>
      <c r="Y1288" s="22"/>
      <c r="Z1288" s="22"/>
      <c r="AA1288" s="22"/>
      <c r="AF1288" s="22"/>
      <c r="AG1288" s="22"/>
      <c r="AH1288" s="22"/>
      <c r="AI1288" s="22"/>
      <c r="AN1288" s="22"/>
      <c r="AO1288" s="22"/>
      <c r="AP1288" s="22"/>
      <c r="AQ1288" s="22"/>
      <c r="AR1288" s="35"/>
      <c r="AS1288" s="35"/>
      <c r="AT1288" s="35"/>
      <c r="AU1288" s="31"/>
      <c r="AV1288" s="36"/>
    </row>
    <row r="1289" spans="4:48">
      <c r="D1289" s="31"/>
      <c r="E1289" s="31"/>
      <c r="F1289" s="31"/>
      <c r="G1289" s="31"/>
      <c r="H1289" s="32"/>
      <c r="J1289" s="33"/>
      <c r="K1289" s="33"/>
      <c r="L1289" s="33"/>
      <c r="X1289" s="22"/>
      <c r="Y1289" s="22"/>
      <c r="Z1289" s="22"/>
      <c r="AA1289" s="22"/>
      <c r="AF1289" s="22"/>
      <c r="AG1289" s="22"/>
      <c r="AH1289" s="22"/>
      <c r="AI1289" s="22"/>
      <c r="AN1289" s="22"/>
      <c r="AO1289" s="22"/>
      <c r="AP1289" s="22"/>
      <c r="AQ1289" s="22"/>
      <c r="AR1289" s="35"/>
      <c r="AS1289" s="35"/>
      <c r="AT1289" s="35"/>
      <c r="AU1289" s="31"/>
      <c r="AV1289" s="36"/>
    </row>
    <row r="1290" spans="4:48">
      <c r="D1290" s="31"/>
      <c r="E1290" s="31"/>
      <c r="F1290" s="31"/>
      <c r="G1290" s="31"/>
      <c r="H1290" s="32"/>
      <c r="J1290" s="33"/>
      <c r="K1290" s="33"/>
      <c r="L1290" s="33"/>
      <c r="X1290" s="22"/>
      <c r="Y1290" s="22"/>
      <c r="Z1290" s="22"/>
      <c r="AA1290" s="22"/>
      <c r="AF1290" s="22"/>
      <c r="AG1290" s="22"/>
      <c r="AH1290" s="22"/>
      <c r="AI1290" s="22"/>
      <c r="AN1290" s="22"/>
      <c r="AO1290" s="22"/>
      <c r="AP1290" s="22"/>
      <c r="AQ1290" s="22"/>
      <c r="AR1290" s="35"/>
      <c r="AS1290" s="35"/>
      <c r="AT1290" s="35"/>
      <c r="AU1290" s="31"/>
      <c r="AV1290" s="36"/>
    </row>
    <row r="1291" spans="4:48">
      <c r="D1291" s="31"/>
      <c r="E1291" s="31"/>
      <c r="F1291" s="31"/>
      <c r="G1291" s="31"/>
      <c r="H1291" s="32"/>
      <c r="J1291" s="33"/>
      <c r="K1291" s="33"/>
      <c r="L1291" s="33"/>
      <c r="X1291" s="22"/>
      <c r="Y1291" s="22"/>
      <c r="Z1291" s="22"/>
      <c r="AA1291" s="22"/>
      <c r="AF1291" s="22"/>
      <c r="AG1291" s="22"/>
      <c r="AH1291" s="22"/>
      <c r="AI1291" s="22"/>
      <c r="AN1291" s="22"/>
      <c r="AO1291" s="22"/>
      <c r="AP1291" s="22"/>
      <c r="AQ1291" s="22"/>
      <c r="AR1291" s="35"/>
      <c r="AS1291" s="35"/>
      <c r="AT1291" s="35"/>
      <c r="AU1291" s="31"/>
      <c r="AV1291" s="36"/>
    </row>
    <row r="1292" spans="4:48">
      <c r="D1292" s="31"/>
      <c r="E1292" s="31"/>
      <c r="F1292" s="31"/>
      <c r="G1292" s="31"/>
      <c r="H1292" s="32"/>
      <c r="J1292" s="33"/>
      <c r="K1292" s="33"/>
      <c r="L1292" s="33"/>
      <c r="X1292" s="22"/>
      <c r="Y1292" s="22"/>
      <c r="Z1292" s="22"/>
      <c r="AA1292" s="22"/>
      <c r="AF1292" s="22"/>
      <c r="AG1292" s="22"/>
      <c r="AH1292" s="22"/>
      <c r="AI1292" s="22"/>
      <c r="AN1292" s="22"/>
      <c r="AO1292" s="22"/>
      <c r="AP1292" s="22"/>
      <c r="AQ1292" s="22"/>
      <c r="AR1292" s="35"/>
      <c r="AS1292" s="35"/>
      <c r="AT1292" s="35"/>
      <c r="AU1292" s="31"/>
      <c r="AV1292" s="36"/>
    </row>
    <row r="1293" spans="4:48">
      <c r="D1293" s="31"/>
      <c r="E1293" s="31"/>
      <c r="F1293" s="31"/>
      <c r="G1293" s="31"/>
      <c r="H1293" s="32"/>
      <c r="J1293" s="33"/>
      <c r="K1293" s="33"/>
      <c r="L1293" s="33"/>
      <c r="X1293" s="22"/>
      <c r="Y1293" s="22"/>
      <c r="Z1293" s="22"/>
      <c r="AA1293" s="22"/>
      <c r="AF1293" s="22"/>
      <c r="AG1293" s="22"/>
      <c r="AH1293" s="22"/>
      <c r="AI1293" s="22"/>
      <c r="AN1293" s="22"/>
      <c r="AO1293" s="22"/>
      <c r="AP1293" s="22"/>
      <c r="AQ1293" s="22"/>
      <c r="AR1293" s="35"/>
      <c r="AS1293" s="35"/>
      <c r="AT1293" s="35"/>
      <c r="AU1293" s="31"/>
      <c r="AV1293" s="36"/>
    </row>
    <row r="1294" spans="4:48">
      <c r="D1294" s="31"/>
      <c r="E1294" s="31"/>
      <c r="F1294" s="31"/>
      <c r="G1294" s="31"/>
      <c r="H1294" s="32"/>
      <c r="J1294" s="33"/>
      <c r="K1294" s="33"/>
      <c r="L1294" s="33"/>
      <c r="X1294" s="22"/>
      <c r="Y1294" s="22"/>
      <c r="Z1294" s="22"/>
      <c r="AA1294" s="22"/>
      <c r="AF1294" s="22"/>
      <c r="AG1294" s="22"/>
      <c r="AH1294" s="22"/>
      <c r="AI1294" s="22"/>
      <c r="AN1294" s="22"/>
      <c r="AO1294" s="22"/>
      <c r="AP1294" s="22"/>
      <c r="AQ1294" s="22"/>
      <c r="AR1294" s="35"/>
      <c r="AS1294" s="35"/>
      <c r="AT1294" s="35"/>
      <c r="AU1294" s="31"/>
      <c r="AV1294" s="36"/>
    </row>
    <row r="1295" spans="4:48">
      <c r="D1295" s="31"/>
      <c r="E1295" s="31"/>
      <c r="F1295" s="31"/>
      <c r="G1295" s="31"/>
      <c r="H1295" s="32"/>
      <c r="J1295" s="33"/>
      <c r="K1295" s="33"/>
      <c r="L1295" s="33"/>
      <c r="X1295" s="22"/>
      <c r="Y1295" s="22"/>
      <c r="Z1295" s="22"/>
      <c r="AA1295" s="22"/>
      <c r="AF1295" s="22"/>
      <c r="AG1295" s="22"/>
      <c r="AH1295" s="22"/>
      <c r="AI1295" s="22"/>
      <c r="AN1295" s="22"/>
      <c r="AO1295" s="22"/>
      <c r="AP1295" s="22"/>
      <c r="AQ1295" s="22"/>
      <c r="AR1295" s="35"/>
      <c r="AS1295" s="35"/>
      <c r="AT1295" s="35"/>
      <c r="AU1295" s="31"/>
      <c r="AV1295" s="36"/>
    </row>
    <row r="1296" spans="4:48">
      <c r="D1296" s="31"/>
      <c r="E1296" s="31"/>
      <c r="F1296" s="31"/>
      <c r="G1296" s="31"/>
      <c r="H1296" s="32"/>
      <c r="J1296" s="33"/>
      <c r="K1296" s="33"/>
      <c r="L1296" s="33"/>
      <c r="X1296" s="22"/>
      <c r="Y1296" s="22"/>
      <c r="Z1296" s="22"/>
      <c r="AA1296" s="22"/>
      <c r="AF1296" s="22"/>
      <c r="AG1296" s="22"/>
      <c r="AH1296" s="22"/>
      <c r="AI1296" s="22"/>
      <c r="AN1296" s="22"/>
      <c r="AO1296" s="22"/>
      <c r="AP1296" s="22"/>
      <c r="AQ1296" s="22"/>
      <c r="AR1296" s="35"/>
      <c r="AS1296" s="35"/>
      <c r="AT1296" s="35"/>
      <c r="AU1296" s="31"/>
      <c r="AV1296" s="36"/>
    </row>
    <row r="1297" spans="4:48">
      <c r="D1297" s="31"/>
      <c r="E1297" s="31"/>
      <c r="F1297" s="31"/>
      <c r="G1297" s="31"/>
      <c r="H1297" s="32"/>
      <c r="J1297" s="33"/>
      <c r="K1297" s="33"/>
      <c r="L1297" s="33"/>
      <c r="X1297" s="22"/>
      <c r="Y1297" s="22"/>
      <c r="Z1297" s="22"/>
      <c r="AA1297" s="22"/>
      <c r="AF1297" s="22"/>
      <c r="AG1297" s="22"/>
      <c r="AH1297" s="22"/>
      <c r="AI1297" s="22"/>
      <c r="AN1297" s="22"/>
      <c r="AO1297" s="22"/>
      <c r="AP1297" s="22"/>
      <c r="AQ1297" s="22"/>
      <c r="AR1297" s="35"/>
      <c r="AS1297" s="35"/>
      <c r="AT1297" s="35"/>
      <c r="AU1297" s="31"/>
      <c r="AV1297" s="36"/>
    </row>
    <row r="1298" spans="4:48">
      <c r="D1298" s="31"/>
      <c r="E1298" s="31"/>
      <c r="F1298" s="31"/>
      <c r="G1298" s="31"/>
      <c r="H1298" s="32"/>
      <c r="J1298" s="33"/>
      <c r="K1298" s="33"/>
      <c r="L1298" s="33"/>
      <c r="X1298" s="22"/>
      <c r="Y1298" s="22"/>
      <c r="Z1298" s="22"/>
      <c r="AA1298" s="22"/>
      <c r="AF1298" s="22"/>
      <c r="AG1298" s="22"/>
      <c r="AH1298" s="22"/>
      <c r="AI1298" s="22"/>
      <c r="AN1298" s="22"/>
      <c r="AO1298" s="22"/>
      <c r="AP1298" s="22"/>
      <c r="AQ1298" s="22"/>
      <c r="AR1298" s="35"/>
      <c r="AS1298" s="35"/>
      <c r="AT1298" s="35"/>
      <c r="AU1298" s="31"/>
      <c r="AV1298" s="36"/>
    </row>
    <row r="1299" spans="4:48">
      <c r="D1299" s="31"/>
      <c r="E1299" s="31"/>
      <c r="F1299" s="31"/>
      <c r="G1299" s="31"/>
      <c r="H1299" s="32"/>
      <c r="J1299" s="33"/>
      <c r="K1299" s="33"/>
      <c r="L1299" s="33"/>
      <c r="X1299" s="22"/>
      <c r="Y1299" s="22"/>
      <c r="Z1299" s="22"/>
      <c r="AA1299" s="22"/>
      <c r="AF1299" s="22"/>
      <c r="AG1299" s="22"/>
      <c r="AH1299" s="22"/>
      <c r="AI1299" s="22"/>
      <c r="AN1299" s="22"/>
      <c r="AO1299" s="22"/>
      <c r="AP1299" s="22"/>
      <c r="AQ1299" s="22"/>
      <c r="AR1299" s="35"/>
      <c r="AS1299" s="35"/>
      <c r="AT1299" s="35"/>
      <c r="AU1299" s="31"/>
      <c r="AV1299" s="36"/>
    </row>
    <row r="1300" spans="4:48">
      <c r="D1300" s="31"/>
      <c r="E1300" s="31"/>
      <c r="F1300" s="31"/>
      <c r="G1300" s="31"/>
      <c r="H1300" s="32"/>
      <c r="J1300" s="33"/>
      <c r="K1300" s="33"/>
      <c r="L1300" s="33"/>
      <c r="X1300" s="22"/>
      <c r="Y1300" s="22"/>
      <c r="Z1300" s="22"/>
      <c r="AA1300" s="22"/>
      <c r="AF1300" s="22"/>
      <c r="AG1300" s="22"/>
      <c r="AH1300" s="22"/>
      <c r="AI1300" s="22"/>
      <c r="AN1300" s="22"/>
      <c r="AO1300" s="22"/>
      <c r="AP1300" s="22"/>
      <c r="AQ1300" s="22"/>
      <c r="AR1300" s="35"/>
      <c r="AS1300" s="35"/>
      <c r="AT1300" s="35"/>
      <c r="AU1300" s="31"/>
      <c r="AV1300" s="36"/>
    </row>
    <row r="1301" spans="4:48">
      <c r="D1301" s="31"/>
      <c r="E1301" s="31"/>
      <c r="F1301" s="31"/>
      <c r="G1301" s="31"/>
      <c r="H1301" s="32"/>
      <c r="J1301" s="33"/>
      <c r="K1301" s="33"/>
      <c r="L1301" s="33"/>
      <c r="X1301" s="22"/>
      <c r="Y1301" s="22"/>
      <c r="Z1301" s="22"/>
      <c r="AA1301" s="22"/>
      <c r="AF1301" s="22"/>
      <c r="AG1301" s="22"/>
      <c r="AH1301" s="22"/>
      <c r="AI1301" s="22"/>
      <c r="AN1301" s="22"/>
      <c r="AO1301" s="22"/>
      <c r="AP1301" s="22"/>
      <c r="AQ1301" s="22"/>
      <c r="AR1301" s="35"/>
      <c r="AS1301" s="35"/>
      <c r="AT1301" s="35"/>
      <c r="AU1301" s="31"/>
      <c r="AV1301" s="36"/>
    </row>
    <row r="1302" spans="4:48">
      <c r="D1302" s="31"/>
      <c r="E1302" s="31"/>
      <c r="F1302" s="31"/>
      <c r="G1302" s="31"/>
      <c r="H1302" s="32"/>
      <c r="J1302" s="33"/>
      <c r="K1302" s="33"/>
      <c r="L1302" s="33"/>
      <c r="X1302" s="22"/>
      <c r="Y1302" s="22"/>
      <c r="Z1302" s="22"/>
      <c r="AA1302" s="22"/>
      <c r="AF1302" s="22"/>
      <c r="AG1302" s="22"/>
      <c r="AH1302" s="22"/>
      <c r="AI1302" s="22"/>
      <c r="AN1302" s="22"/>
      <c r="AO1302" s="22"/>
      <c r="AP1302" s="22"/>
      <c r="AQ1302" s="22"/>
      <c r="AR1302" s="35"/>
      <c r="AS1302" s="35"/>
      <c r="AT1302" s="35"/>
      <c r="AU1302" s="31"/>
      <c r="AV1302" s="36"/>
    </row>
    <row r="1303" spans="4:48">
      <c r="D1303" s="31"/>
      <c r="E1303" s="31"/>
      <c r="F1303" s="31"/>
      <c r="G1303" s="31"/>
      <c r="H1303" s="32"/>
      <c r="J1303" s="33"/>
      <c r="K1303" s="33"/>
      <c r="L1303" s="33"/>
      <c r="X1303" s="22"/>
      <c r="Y1303" s="22"/>
      <c r="Z1303" s="22"/>
      <c r="AA1303" s="22"/>
      <c r="AF1303" s="22"/>
      <c r="AG1303" s="22"/>
      <c r="AH1303" s="22"/>
      <c r="AI1303" s="22"/>
      <c r="AN1303" s="22"/>
      <c r="AO1303" s="22"/>
      <c r="AP1303" s="22"/>
      <c r="AQ1303" s="22"/>
      <c r="AR1303" s="35"/>
      <c r="AS1303" s="35"/>
      <c r="AT1303" s="35"/>
      <c r="AU1303" s="31"/>
      <c r="AV1303" s="36"/>
    </row>
    <row r="1304" spans="4:48">
      <c r="D1304" s="31"/>
      <c r="E1304" s="31"/>
      <c r="F1304" s="31"/>
      <c r="G1304" s="31"/>
      <c r="H1304" s="32"/>
      <c r="J1304" s="33"/>
      <c r="K1304" s="33"/>
      <c r="L1304" s="33"/>
      <c r="X1304" s="22"/>
      <c r="Y1304" s="22"/>
      <c r="Z1304" s="22"/>
      <c r="AA1304" s="22"/>
      <c r="AF1304" s="22"/>
      <c r="AG1304" s="22"/>
      <c r="AH1304" s="22"/>
      <c r="AI1304" s="22"/>
      <c r="AN1304" s="22"/>
      <c r="AO1304" s="22"/>
      <c r="AP1304" s="22"/>
      <c r="AQ1304" s="22"/>
      <c r="AR1304" s="35"/>
      <c r="AS1304" s="35"/>
      <c r="AT1304" s="35"/>
      <c r="AU1304" s="31"/>
      <c r="AV1304" s="36"/>
    </row>
    <row r="1305" spans="4:48">
      <c r="D1305" s="31"/>
      <c r="E1305" s="31"/>
      <c r="F1305" s="31"/>
      <c r="G1305" s="31"/>
      <c r="H1305" s="32"/>
      <c r="J1305" s="33"/>
      <c r="K1305" s="33"/>
      <c r="L1305" s="33"/>
      <c r="X1305" s="22"/>
      <c r="Y1305" s="22"/>
      <c r="Z1305" s="22"/>
      <c r="AA1305" s="22"/>
      <c r="AF1305" s="22"/>
      <c r="AG1305" s="22"/>
      <c r="AH1305" s="22"/>
      <c r="AI1305" s="22"/>
      <c r="AN1305" s="22"/>
      <c r="AO1305" s="22"/>
      <c r="AP1305" s="22"/>
      <c r="AQ1305" s="22"/>
      <c r="AR1305" s="35"/>
      <c r="AS1305" s="35"/>
      <c r="AT1305" s="35"/>
      <c r="AU1305" s="31"/>
      <c r="AV1305" s="36"/>
    </row>
    <row r="1306" spans="4:48">
      <c r="D1306" s="31"/>
      <c r="E1306" s="31"/>
      <c r="F1306" s="31"/>
      <c r="G1306" s="31"/>
      <c r="H1306" s="32"/>
      <c r="J1306" s="33"/>
      <c r="K1306" s="33"/>
      <c r="L1306" s="33"/>
      <c r="X1306" s="22"/>
      <c r="Y1306" s="22"/>
      <c r="Z1306" s="22"/>
      <c r="AA1306" s="22"/>
      <c r="AF1306" s="22"/>
      <c r="AG1306" s="22"/>
      <c r="AH1306" s="22"/>
      <c r="AI1306" s="22"/>
      <c r="AN1306" s="22"/>
      <c r="AO1306" s="22"/>
      <c r="AP1306" s="22"/>
      <c r="AQ1306" s="22"/>
      <c r="AR1306" s="35"/>
      <c r="AS1306" s="35"/>
      <c r="AT1306" s="35"/>
      <c r="AU1306" s="31"/>
      <c r="AV1306" s="36"/>
    </row>
    <row r="1307" spans="4:48">
      <c r="D1307" s="31"/>
      <c r="E1307" s="31"/>
      <c r="F1307" s="31"/>
      <c r="G1307" s="31"/>
      <c r="H1307" s="32"/>
      <c r="J1307" s="33"/>
      <c r="K1307" s="33"/>
      <c r="L1307" s="33"/>
      <c r="X1307" s="22"/>
      <c r="Y1307" s="22"/>
      <c r="Z1307" s="22"/>
      <c r="AA1307" s="22"/>
      <c r="AF1307" s="22"/>
      <c r="AG1307" s="22"/>
      <c r="AH1307" s="22"/>
      <c r="AI1307" s="22"/>
      <c r="AN1307" s="22"/>
      <c r="AO1307" s="22"/>
      <c r="AP1307" s="22"/>
      <c r="AQ1307" s="22"/>
      <c r="AR1307" s="35"/>
      <c r="AS1307" s="35"/>
      <c r="AT1307" s="35"/>
      <c r="AU1307" s="31"/>
      <c r="AV1307" s="36"/>
    </row>
    <row r="1308" spans="4:48">
      <c r="D1308" s="31"/>
      <c r="E1308" s="31"/>
      <c r="F1308" s="31"/>
      <c r="G1308" s="31"/>
      <c r="H1308" s="32"/>
      <c r="J1308" s="33"/>
      <c r="K1308" s="33"/>
      <c r="L1308" s="33"/>
      <c r="X1308" s="22"/>
      <c r="Y1308" s="22"/>
      <c r="Z1308" s="22"/>
      <c r="AA1308" s="22"/>
      <c r="AF1308" s="22"/>
      <c r="AG1308" s="22"/>
      <c r="AH1308" s="22"/>
      <c r="AI1308" s="22"/>
      <c r="AN1308" s="22"/>
      <c r="AO1308" s="22"/>
      <c r="AP1308" s="22"/>
      <c r="AQ1308" s="22"/>
      <c r="AR1308" s="35"/>
      <c r="AS1308" s="35"/>
      <c r="AT1308" s="35"/>
      <c r="AU1308" s="31"/>
      <c r="AV1308" s="36"/>
    </row>
    <row r="1309" spans="4:48">
      <c r="D1309" s="31"/>
      <c r="E1309" s="31"/>
      <c r="F1309" s="31"/>
      <c r="G1309" s="31"/>
      <c r="H1309" s="32"/>
      <c r="J1309" s="33"/>
      <c r="K1309" s="33"/>
      <c r="L1309" s="33"/>
      <c r="X1309" s="22"/>
      <c r="Y1309" s="22"/>
      <c r="Z1309" s="22"/>
      <c r="AA1309" s="22"/>
      <c r="AF1309" s="22"/>
      <c r="AG1309" s="22"/>
      <c r="AH1309" s="22"/>
      <c r="AI1309" s="22"/>
      <c r="AN1309" s="22"/>
      <c r="AO1309" s="22"/>
      <c r="AP1309" s="22"/>
      <c r="AQ1309" s="22"/>
      <c r="AR1309" s="35"/>
      <c r="AS1309" s="35"/>
      <c r="AT1309" s="35"/>
      <c r="AU1309" s="31"/>
      <c r="AV1309" s="36"/>
    </row>
    <row r="1310" spans="4:48">
      <c r="D1310" s="31"/>
      <c r="E1310" s="31"/>
      <c r="F1310" s="31"/>
      <c r="G1310" s="31"/>
      <c r="H1310" s="32"/>
      <c r="J1310" s="33"/>
      <c r="K1310" s="33"/>
      <c r="L1310" s="33"/>
      <c r="X1310" s="22"/>
      <c r="Y1310" s="22"/>
      <c r="Z1310" s="22"/>
      <c r="AA1310" s="22"/>
      <c r="AF1310" s="22"/>
      <c r="AG1310" s="22"/>
      <c r="AH1310" s="22"/>
      <c r="AI1310" s="22"/>
      <c r="AN1310" s="22"/>
      <c r="AO1310" s="22"/>
      <c r="AP1310" s="22"/>
      <c r="AQ1310" s="22"/>
      <c r="AR1310" s="35"/>
      <c r="AS1310" s="35"/>
      <c r="AT1310" s="35"/>
      <c r="AU1310" s="31"/>
      <c r="AV1310" s="36"/>
    </row>
    <row r="1311" spans="4:48">
      <c r="D1311" s="31"/>
      <c r="E1311" s="31"/>
      <c r="F1311" s="31"/>
      <c r="G1311" s="31"/>
      <c r="H1311" s="32"/>
      <c r="J1311" s="33"/>
      <c r="K1311" s="33"/>
      <c r="L1311" s="33"/>
      <c r="X1311" s="22"/>
      <c r="Y1311" s="22"/>
      <c r="Z1311" s="22"/>
      <c r="AA1311" s="22"/>
      <c r="AF1311" s="22"/>
      <c r="AG1311" s="22"/>
      <c r="AH1311" s="22"/>
      <c r="AI1311" s="22"/>
      <c r="AN1311" s="22"/>
      <c r="AO1311" s="22"/>
      <c r="AP1311" s="22"/>
      <c r="AQ1311" s="22"/>
      <c r="AR1311" s="35"/>
      <c r="AS1311" s="35"/>
      <c r="AT1311" s="35"/>
      <c r="AU1311" s="31"/>
      <c r="AV1311" s="36"/>
    </row>
    <row r="1312" spans="4:48">
      <c r="D1312" s="31"/>
      <c r="E1312" s="31"/>
      <c r="F1312" s="31"/>
      <c r="G1312" s="31"/>
      <c r="H1312" s="32"/>
      <c r="J1312" s="33"/>
      <c r="K1312" s="33"/>
      <c r="L1312" s="33"/>
      <c r="X1312" s="22"/>
      <c r="Y1312" s="22"/>
      <c r="Z1312" s="22"/>
      <c r="AA1312" s="22"/>
      <c r="AF1312" s="22"/>
      <c r="AG1312" s="22"/>
      <c r="AH1312" s="22"/>
      <c r="AI1312" s="22"/>
      <c r="AN1312" s="22"/>
      <c r="AO1312" s="22"/>
      <c r="AP1312" s="22"/>
      <c r="AQ1312" s="22"/>
      <c r="AR1312" s="35"/>
      <c r="AS1312" s="35"/>
      <c r="AT1312" s="35"/>
      <c r="AU1312" s="31"/>
      <c r="AV1312" s="36"/>
    </row>
    <row r="1313" spans="4:48">
      <c r="D1313" s="31"/>
      <c r="E1313" s="31"/>
      <c r="F1313" s="31"/>
      <c r="G1313" s="31"/>
      <c r="H1313" s="32"/>
      <c r="J1313" s="33"/>
      <c r="K1313" s="33"/>
      <c r="L1313" s="33"/>
      <c r="X1313" s="22"/>
      <c r="Y1313" s="22"/>
      <c r="Z1313" s="22"/>
      <c r="AA1313" s="22"/>
      <c r="AF1313" s="22"/>
      <c r="AG1313" s="22"/>
      <c r="AH1313" s="22"/>
      <c r="AI1313" s="22"/>
      <c r="AN1313" s="22"/>
      <c r="AO1313" s="22"/>
      <c r="AP1313" s="22"/>
      <c r="AQ1313" s="22"/>
      <c r="AR1313" s="35"/>
      <c r="AS1313" s="35"/>
      <c r="AT1313" s="35"/>
      <c r="AU1313" s="31"/>
      <c r="AV1313" s="36"/>
    </row>
    <row r="1314" spans="4:48">
      <c r="D1314" s="31"/>
      <c r="E1314" s="31"/>
      <c r="F1314" s="31"/>
      <c r="G1314" s="31"/>
      <c r="H1314" s="32"/>
      <c r="J1314" s="33"/>
      <c r="K1314" s="33"/>
      <c r="L1314" s="33"/>
      <c r="X1314" s="22"/>
      <c r="Y1314" s="22"/>
      <c r="Z1314" s="22"/>
      <c r="AA1314" s="22"/>
      <c r="AF1314" s="22"/>
      <c r="AG1314" s="22"/>
      <c r="AH1314" s="22"/>
      <c r="AI1314" s="22"/>
      <c r="AN1314" s="22"/>
      <c r="AO1314" s="22"/>
      <c r="AP1314" s="22"/>
      <c r="AQ1314" s="22"/>
      <c r="AR1314" s="35"/>
      <c r="AS1314" s="35"/>
      <c r="AT1314" s="35"/>
      <c r="AU1314" s="31"/>
      <c r="AV1314" s="36"/>
    </row>
    <row r="1315" spans="4:48">
      <c r="D1315" s="31"/>
      <c r="E1315" s="31"/>
      <c r="F1315" s="31"/>
      <c r="G1315" s="31"/>
      <c r="H1315" s="32"/>
      <c r="J1315" s="33"/>
      <c r="K1315" s="33"/>
      <c r="L1315" s="33"/>
      <c r="X1315" s="22"/>
      <c r="Y1315" s="22"/>
      <c r="Z1315" s="22"/>
      <c r="AA1315" s="22"/>
      <c r="AF1315" s="22"/>
      <c r="AG1315" s="22"/>
      <c r="AH1315" s="22"/>
      <c r="AI1315" s="22"/>
      <c r="AN1315" s="22"/>
      <c r="AO1315" s="22"/>
      <c r="AP1315" s="22"/>
      <c r="AQ1315" s="22"/>
      <c r="AR1315" s="35"/>
      <c r="AS1315" s="35"/>
      <c r="AT1315" s="35"/>
      <c r="AU1315" s="31"/>
      <c r="AV1315" s="36"/>
    </row>
    <row r="1316" spans="4:48">
      <c r="D1316" s="31"/>
      <c r="E1316" s="31"/>
      <c r="F1316" s="31"/>
      <c r="G1316" s="31"/>
      <c r="H1316" s="32"/>
      <c r="J1316" s="33"/>
      <c r="K1316" s="33"/>
      <c r="L1316" s="33"/>
      <c r="X1316" s="22"/>
      <c r="Y1316" s="22"/>
      <c r="Z1316" s="22"/>
      <c r="AA1316" s="22"/>
      <c r="AF1316" s="22"/>
      <c r="AG1316" s="22"/>
      <c r="AH1316" s="22"/>
      <c r="AI1316" s="22"/>
      <c r="AN1316" s="22"/>
      <c r="AO1316" s="22"/>
      <c r="AP1316" s="22"/>
      <c r="AQ1316" s="22"/>
      <c r="AR1316" s="35"/>
      <c r="AS1316" s="35"/>
      <c r="AT1316" s="35"/>
      <c r="AU1316" s="31"/>
      <c r="AV1316" s="36"/>
    </row>
    <row r="1317" spans="4:48">
      <c r="D1317" s="31"/>
      <c r="E1317" s="31"/>
      <c r="F1317" s="31"/>
      <c r="G1317" s="31"/>
      <c r="H1317" s="32"/>
      <c r="J1317" s="33"/>
      <c r="K1317" s="33"/>
      <c r="L1317" s="33"/>
      <c r="X1317" s="22"/>
      <c r="Y1317" s="22"/>
      <c r="Z1317" s="22"/>
      <c r="AA1317" s="22"/>
      <c r="AF1317" s="22"/>
      <c r="AG1317" s="22"/>
      <c r="AH1317" s="22"/>
      <c r="AI1317" s="22"/>
      <c r="AN1317" s="22"/>
      <c r="AO1317" s="22"/>
      <c r="AP1317" s="22"/>
      <c r="AQ1317" s="22"/>
      <c r="AR1317" s="35"/>
      <c r="AS1317" s="35"/>
      <c r="AT1317" s="35"/>
      <c r="AU1317" s="31"/>
      <c r="AV1317" s="36"/>
    </row>
    <row r="1318" spans="4:48">
      <c r="D1318" s="31"/>
      <c r="E1318" s="31"/>
      <c r="F1318" s="31"/>
      <c r="G1318" s="31"/>
      <c r="H1318" s="32"/>
      <c r="J1318" s="33"/>
      <c r="K1318" s="33"/>
      <c r="L1318" s="33"/>
      <c r="X1318" s="22"/>
      <c r="Y1318" s="22"/>
      <c r="Z1318" s="22"/>
      <c r="AA1318" s="22"/>
      <c r="AF1318" s="22"/>
      <c r="AG1318" s="22"/>
      <c r="AH1318" s="22"/>
      <c r="AI1318" s="22"/>
      <c r="AN1318" s="22"/>
      <c r="AO1318" s="22"/>
      <c r="AP1318" s="22"/>
      <c r="AQ1318" s="22"/>
      <c r="AR1318" s="35"/>
      <c r="AS1318" s="35"/>
      <c r="AT1318" s="35"/>
      <c r="AU1318" s="31"/>
      <c r="AV1318" s="36"/>
    </row>
    <row r="1319" spans="4:48">
      <c r="D1319" s="31"/>
      <c r="E1319" s="31"/>
      <c r="F1319" s="31"/>
      <c r="G1319" s="31"/>
      <c r="H1319" s="32"/>
      <c r="J1319" s="33"/>
      <c r="K1319" s="33"/>
      <c r="L1319" s="33"/>
      <c r="X1319" s="22"/>
      <c r="Y1319" s="22"/>
      <c r="Z1319" s="22"/>
      <c r="AA1319" s="22"/>
      <c r="AF1319" s="22"/>
      <c r="AG1319" s="22"/>
      <c r="AH1319" s="22"/>
      <c r="AI1319" s="22"/>
      <c r="AN1319" s="22"/>
      <c r="AO1319" s="22"/>
      <c r="AP1319" s="22"/>
      <c r="AQ1319" s="22"/>
      <c r="AR1319" s="35"/>
      <c r="AS1319" s="35"/>
      <c r="AT1319" s="35"/>
      <c r="AU1319" s="31"/>
      <c r="AV1319" s="36"/>
    </row>
    <row r="1320" spans="4:48">
      <c r="D1320" s="31"/>
      <c r="E1320" s="31"/>
      <c r="F1320" s="31"/>
      <c r="G1320" s="31"/>
      <c r="H1320" s="32"/>
      <c r="J1320" s="33"/>
      <c r="K1320" s="33"/>
      <c r="L1320" s="33"/>
      <c r="X1320" s="22"/>
      <c r="Y1320" s="22"/>
      <c r="Z1320" s="22"/>
      <c r="AA1320" s="22"/>
      <c r="AF1320" s="22"/>
      <c r="AG1320" s="22"/>
      <c r="AH1320" s="22"/>
      <c r="AI1320" s="22"/>
      <c r="AN1320" s="22"/>
      <c r="AO1320" s="22"/>
      <c r="AP1320" s="22"/>
      <c r="AQ1320" s="22"/>
      <c r="AR1320" s="35"/>
      <c r="AS1320" s="35"/>
      <c r="AT1320" s="35"/>
      <c r="AU1320" s="31"/>
      <c r="AV1320" s="36"/>
    </row>
    <row r="1321" spans="4:48">
      <c r="D1321" s="31"/>
      <c r="E1321" s="31"/>
      <c r="F1321" s="31"/>
      <c r="G1321" s="31"/>
      <c r="H1321" s="32"/>
      <c r="J1321" s="33"/>
      <c r="K1321" s="33"/>
      <c r="L1321" s="33"/>
      <c r="X1321" s="22"/>
      <c r="Y1321" s="22"/>
      <c r="Z1321" s="22"/>
      <c r="AA1321" s="22"/>
      <c r="AF1321" s="22"/>
      <c r="AG1321" s="22"/>
      <c r="AH1321" s="22"/>
      <c r="AI1321" s="22"/>
      <c r="AN1321" s="22"/>
      <c r="AO1321" s="22"/>
      <c r="AP1321" s="22"/>
      <c r="AQ1321" s="22"/>
      <c r="AR1321" s="35"/>
      <c r="AS1321" s="35"/>
      <c r="AT1321" s="35"/>
      <c r="AU1321" s="31"/>
      <c r="AV1321" s="36"/>
    </row>
    <row r="1322" spans="4:48">
      <c r="D1322" s="31"/>
      <c r="E1322" s="31"/>
      <c r="F1322" s="31"/>
      <c r="G1322" s="31"/>
      <c r="H1322" s="32"/>
      <c r="J1322" s="33"/>
      <c r="K1322" s="33"/>
      <c r="L1322" s="33"/>
      <c r="X1322" s="22"/>
      <c r="Y1322" s="22"/>
      <c r="Z1322" s="22"/>
      <c r="AA1322" s="22"/>
      <c r="AF1322" s="22"/>
      <c r="AG1322" s="22"/>
      <c r="AH1322" s="22"/>
      <c r="AI1322" s="22"/>
      <c r="AN1322" s="22"/>
      <c r="AO1322" s="22"/>
      <c r="AP1322" s="22"/>
      <c r="AQ1322" s="22"/>
      <c r="AR1322" s="35"/>
      <c r="AS1322" s="35"/>
      <c r="AT1322" s="35"/>
      <c r="AU1322" s="31"/>
      <c r="AV1322" s="36"/>
    </row>
    <row r="1323" spans="4:48">
      <c r="D1323" s="31"/>
      <c r="E1323" s="31"/>
      <c r="F1323" s="31"/>
      <c r="G1323" s="31"/>
      <c r="H1323" s="32"/>
      <c r="J1323" s="33"/>
      <c r="K1323" s="33"/>
      <c r="L1323" s="33"/>
      <c r="X1323" s="22"/>
      <c r="Y1323" s="22"/>
      <c r="Z1323" s="22"/>
      <c r="AA1323" s="22"/>
      <c r="AF1323" s="22"/>
      <c r="AG1323" s="22"/>
      <c r="AH1323" s="22"/>
      <c r="AI1323" s="22"/>
      <c r="AN1323" s="22"/>
      <c r="AO1323" s="22"/>
      <c r="AP1323" s="22"/>
      <c r="AQ1323" s="22"/>
      <c r="AR1323" s="35"/>
      <c r="AS1323" s="35"/>
      <c r="AT1323" s="35"/>
      <c r="AU1323" s="31"/>
      <c r="AV1323" s="36"/>
    </row>
    <row r="1324" spans="4:48">
      <c r="D1324" s="31"/>
      <c r="E1324" s="31"/>
      <c r="F1324" s="31"/>
      <c r="G1324" s="31"/>
      <c r="H1324" s="32"/>
      <c r="J1324" s="33"/>
      <c r="K1324" s="33"/>
      <c r="L1324" s="33"/>
      <c r="X1324" s="22"/>
      <c r="Y1324" s="22"/>
      <c r="Z1324" s="22"/>
      <c r="AA1324" s="22"/>
      <c r="AF1324" s="22"/>
      <c r="AG1324" s="22"/>
      <c r="AH1324" s="22"/>
      <c r="AI1324" s="22"/>
      <c r="AN1324" s="22"/>
      <c r="AO1324" s="22"/>
      <c r="AP1324" s="22"/>
      <c r="AQ1324" s="22"/>
      <c r="AR1324" s="35"/>
      <c r="AS1324" s="35"/>
      <c r="AT1324" s="35"/>
      <c r="AU1324" s="31"/>
      <c r="AV1324" s="36"/>
    </row>
    <row r="1325" spans="4:48">
      <c r="D1325" s="31"/>
      <c r="E1325" s="31"/>
      <c r="F1325" s="31"/>
      <c r="G1325" s="31"/>
      <c r="H1325" s="32"/>
      <c r="J1325" s="33"/>
      <c r="K1325" s="33"/>
      <c r="L1325" s="33"/>
      <c r="X1325" s="22"/>
      <c r="Y1325" s="22"/>
      <c r="Z1325" s="22"/>
      <c r="AA1325" s="22"/>
      <c r="AF1325" s="22"/>
      <c r="AG1325" s="22"/>
      <c r="AH1325" s="22"/>
      <c r="AI1325" s="22"/>
      <c r="AN1325" s="22"/>
      <c r="AO1325" s="22"/>
      <c r="AP1325" s="22"/>
      <c r="AQ1325" s="22"/>
      <c r="AR1325" s="35"/>
      <c r="AS1325" s="35"/>
      <c r="AT1325" s="35"/>
      <c r="AU1325" s="31"/>
      <c r="AV1325" s="36"/>
    </row>
    <row r="1326" spans="4:48">
      <c r="D1326" s="31"/>
      <c r="E1326" s="31"/>
      <c r="F1326" s="31"/>
      <c r="G1326" s="31"/>
      <c r="H1326" s="32"/>
      <c r="J1326" s="33"/>
      <c r="K1326" s="33"/>
      <c r="L1326" s="33"/>
      <c r="X1326" s="22"/>
      <c r="Y1326" s="22"/>
      <c r="Z1326" s="22"/>
      <c r="AA1326" s="22"/>
      <c r="AF1326" s="22"/>
      <c r="AG1326" s="22"/>
      <c r="AH1326" s="22"/>
      <c r="AI1326" s="22"/>
      <c r="AN1326" s="22"/>
      <c r="AO1326" s="22"/>
      <c r="AP1326" s="22"/>
      <c r="AQ1326" s="22"/>
      <c r="AR1326" s="35"/>
      <c r="AS1326" s="35"/>
      <c r="AT1326" s="35"/>
      <c r="AU1326" s="31"/>
      <c r="AV1326" s="36"/>
    </row>
    <row r="1327" spans="4:48">
      <c r="D1327" s="31"/>
      <c r="E1327" s="31"/>
      <c r="F1327" s="31"/>
      <c r="G1327" s="31"/>
      <c r="H1327" s="32"/>
      <c r="J1327" s="33"/>
      <c r="K1327" s="33"/>
      <c r="L1327" s="33"/>
      <c r="X1327" s="22"/>
      <c r="Y1327" s="22"/>
      <c r="Z1327" s="22"/>
      <c r="AA1327" s="22"/>
      <c r="AF1327" s="22"/>
      <c r="AG1327" s="22"/>
      <c r="AH1327" s="22"/>
      <c r="AI1327" s="22"/>
      <c r="AN1327" s="22"/>
      <c r="AO1327" s="22"/>
      <c r="AP1327" s="22"/>
      <c r="AQ1327" s="22"/>
      <c r="AR1327" s="35"/>
      <c r="AS1327" s="35"/>
      <c r="AT1327" s="35"/>
      <c r="AU1327" s="31"/>
      <c r="AV1327" s="36"/>
    </row>
    <row r="1328" spans="4:48">
      <c r="D1328" s="31"/>
      <c r="E1328" s="31"/>
      <c r="F1328" s="31"/>
      <c r="G1328" s="31"/>
      <c r="H1328" s="32"/>
      <c r="J1328" s="33"/>
      <c r="K1328" s="33"/>
      <c r="L1328" s="33"/>
      <c r="X1328" s="22"/>
      <c r="Y1328" s="22"/>
      <c r="Z1328" s="22"/>
      <c r="AA1328" s="22"/>
      <c r="AF1328" s="22"/>
      <c r="AG1328" s="22"/>
      <c r="AH1328" s="22"/>
      <c r="AI1328" s="22"/>
      <c r="AN1328" s="22"/>
      <c r="AO1328" s="22"/>
      <c r="AP1328" s="22"/>
      <c r="AQ1328" s="22"/>
      <c r="AR1328" s="35"/>
      <c r="AS1328" s="35"/>
      <c r="AT1328" s="35"/>
      <c r="AU1328" s="31"/>
      <c r="AV1328" s="36"/>
    </row>
    <row r="1329" spans="4:48">
      <c r="D1329" s="31"/>
      <c r="E1329" s="31"/>
      <c r="F1329" s="31"/>
      <c r="G1329" s="31"/>
      <c r="H1329" s="32"/>
      <c r="J1329" s="33"/>
      <c r="K1329" s="33"/>
      <c r="L1329" s="33"/>
      <c r="X1329" s="22"/>
      <c r="Y1329" s="22"/>
      <c r="Z1329" s="22"/>
      <c r="AA1329" s="22"/>
      <c r="AF1329" s="22"/>
      <c r="AG1329" s="22"/>
      <c r="AH1329" s="22"/>
      <c r="AI1329" s="22"/>
      <c r="AN1329" s="22"/>
      <c r="AO1329" s="22"/>
      <c r="AP1329" s="22"/>
      <c r="AQ1329" s="22"/>
      <c r="AR1329" s="35"/>
      <c r="AS1329" s="35"/>
      <c r="AT1329" s="35"/>
      <c r="AU1329" s="31"/>
      <c r="AV1329" s="36"/>
    </row>
    <row r="1330" spans="4:48">
      <c r="D1330" s="31"/>
      <c r="E1330" s="31"/>
      <c r="F1330" s="31"/>
      <c r="G1330" s="31"/>
      <c r="H1330" s="32"/>
      <c r="J1330" s="33"/>
      <c r="K1330" s="33"/>
      <c r="L1330" s="33"/>
      <c r="X1330" s="22"/>
      <c r="Y1330" s="22"/>
      <c r="Z1330" s="22"/>
      <c r="AA1330" s="22"/>
      <c r="AF1330" s="22"/>
      <c r="AG1330" s="22"/>
      <c r="AH1330" s="22"/>
      <c r="AI1330" s="22"/>
      <c r="AN1330" s="22"/>
      <c r="AO1330" s="22"/>
      <c r="AP1330" s="22"/>
      <c r="AQ1330" s="22"/>
      <c r="AR1330" s="35"/>
      <c r="AS1330" s="35"/>
      <c r="AT1330" s="35"/>
      <c r="AU1330" s="31"/>
      <c r="AV1330" s="36"/>
    </row>
    <row r="1331" spans="4:48">
      <c r="D1331" s="31"/>
      <c r="E1331" s="31"/>
      <c r="F1331" s="31"/>
      <c r="G1331" s="31"/>
      <c r="H1331" s="32"/>
      <c r="J1331" s="33"/>
      <c r="K1331" s="33"/>
      <c r="L1331" s="33"/>
      <c r="X1331" s="22"/>
      <c r="Y1331" s="22"/>
      <c r="Z1331" s="22"/>
      <c r="AA1331" s="22"/>
      <c r="AF1331" s="22"/>
      <c r="AG1331" s="22"/>
      <c r="AH1331" s="22"/>
      <c r="AI1331" s="22"/>
      <c r="AN1331" s="22"/>
      <c r="AO1331" s="22"/>
      <c r="AP1331" s="22"/>
      <c r="AQ1331" s="22"/>
      <c r="AR1331" s="35"/>
      <c r="AS1331" s="35"/>
      <c r="AT1331" s="35"/>
      <c r="AU1331" s="31"/>
      <c r="AV1331" s="36"/>
    </row>
    <row r="1332" spans="4:48">
      <c r="D1332" s="31"/>
      <c r="E1332" s="31"/>
      <c r="F1332" s="31"/>
      <c r="G1332" s="31"/>
      <c r="H1332" s="32"/>
      <c r="J1332" s="33"/>
      <c r="K1332" s="33"/>
      <c r="L1332" s="33"/>
      <c r="X1332" s="22"/>
      <c r="Y1332" s="22"/>
      <c r="Z1332" s="22"/>
      <c r="AA1332" s="22"/>
      <c r="AF1332" s="22"/>
      <c r="AG1332" s="22"/>
      <c r="AH1332" s="22"/>
      <c r="AI1332" s="22"/>
      <c r="AN1332" s="22"/>
      <c r="AO1332" s="22"/>
      <c r="AP1332" s="22"/>
      <c r="AQ1332" s="22"/>
      <c r="AR1332" s="35"/>
      <c r="AS1332" s="35"/>
      <c r="AT1332" s="35"/>
      <c r="AU1332" s="31"/>
      <c r="AV1332" s="36"/>
    </row>
    <row r="1333" spans="4:48">
      <c r="D1333" s="31"/>
      <c r="E1333" s="31"/>
      <c r="F1333" s="31"/>
      <c r="G1333" s="31"/>
      <c r="H1333" s="32"/>
      <c r="J1333" s="33"/>
      <c r="K1333" s="33"/>
      <c r="L1333" s="33"/>
      <c r="X1333" s="22"/>
      <c r="Y1333" s="22"/>
      <c r="Z1333" s="22"/>
      <c r="AA1333" s="22"/>
      <c r="AF1333" s="22"/>
      <c r="AG1333" s="22"/>
      <c r="AH1333" s="22"/>
      <c r="AI1333" s="22"/>
      <c r="AN1333" s="22"/>
      <c r="AO1333" s="22"/>
      <c r="AP1333" s="22"/>
      <c r="AQ1333" s="22"/>
      <c r="AR1333" s="35"/>
      <c r="AS1333" s="35"/>
      <c r="AT1333" s="35"/>
      <c r="AU1333" s="31"/>
      <c r="AV1333" s="36"/>
    </row>
    <row r="1334" spans="4:48">
      <c r="D1334" s="31"/>
      <c r="E1334" s="31"/>
      <c r="F1334" s="31"/>
      <c r="G1334" s="31"/>
      <c r="H1334" s="32"/>
      <c r="J1334" s="33"/>
      <c r="K1334" s="33"/>
      <c r="L1334" s="33"/>
      <c r="X1334" s="22"/>
      <c r="Y1334" s="22"/>
      <c r="Z1334" s="22"/>
      <c r="AA1334" s="22"/>
      <c r="AF1334" s="22"/>
      <c r="AG1334" s="22"/>
      <c r="AH1334" s="22"/>
      <c r="AI1334" s="22"/>
      <c r="AN1334" s="22"/>
      <c r="AO1334" s="22"/>
      <c r="AP1334" s="22"/>
      <c r="AQ1334" s="22"/>
      <c r="AR1334" s="35"/>
      <c r="AS1334" s="35"/>
      <c r="AT1334" s="35"/>
      <c r="AU1334" s="31"/>
      <c r="AV1334" s="36"/>
    </row>
    <row r="1335" spans="4:48">
      <c r="D1335" s="31"/>
      <c r="E1335" s="31"/>
      <c r="F1335" s="31"/>
      <c r="G1335" s="31"/>
      <c r="H1335" s="32"/>
      <c r="J1335" s="33"/>
      <c r="K1335" s="33"/>
      <c r="L1335" s="33"/>
      <c r="X1335" s="22"/>
      <c r="Y1335" s="22"/>
      <c r="Z1335" s="22"/>
      <c r="AA1335" s="22"/>
      <c r="AF1335" s="22"/>
      <c r="AG1335" s="22"/>
      <c r="AH1335" s="22"/>
      <c r="AI1335" s="22"/>
      <c r="AN1335" s="22"/>
      <c r="AO1335" s="22"/>
      <c r="AP1335" s="22"/>
      <c r="AQ1335" s="22"/>
      <c r="AR1335" s="35"/>
      <c r="AS1335" s="35"/>
      <c r="AT1335" s="35"/>
      <c r="AU1335" s="31"/>
      <c r="AV1335" s="36"/>
    </row>
    <row r="1336" spans="4:48">
      <c r="D1336" s="31"/>
      <c r="E1336" s="31"/>
      <c r="F1336" s="31"/>
      <c r="G1336" s="31"/>
      <c r="H1336" s="32"/>
      <c r="J1336" s="33"/>
      <c r="K1336" s="33"/>
      <c r="L1336" s="33"/>
      <c r="X1336" s="22"/>
      <c r="Y1336" s="22"/>
      <c r="Z1336" s="22"/>
      <c r="AA1336" s="22"/>
      <c r="AF1336" s="22"/>
      <c r="AG1336" s="22"/>
      <c r="AH1336" s="22"/>
      <c r="AI1336" s="22"/>
      <c r="AN1336" s="22"/>
      <c r="AO1336" s="22"/>
      <c r="AP1336" s="22"/>
      <c r="AQ1336" s="22"/>
      <c r="AR1336" s="35"/>
      <c r="AS1336" s="35"/>
      <c r="AT1336" s="35"/>
      <c r="AU1336" s="31"/>
      <c r="AV1336" s="36"/>
    </row>
    <row r="1337" spans="4:48">
      <c r="D1337" s="31"/>
      <c r="E1337" s="31"/>
      <c r="F1337" s="31"/>
      <c r="G1337" s="31"/>
      <c r="H1337" s="32"/>
      <c r="J1337" s="33"/>
      <c r="K1337" s="33"/>
      <c r="L1337" s="33"/>
      <c r="X1337" s="22"/>
      <c r="Y1337" s="22"/>
      <c r="Z1337" s="22"/>
      <c r="AA1337" s="22"/>
      <c r="AF1337" s="22"/>
      <c r="AG1337" s="22"/>
      <c r="AH1337" s="22"/>
      <c r="AI1337" s="22"/>
      <c r="AN1337" s="22"/>
      <c r="AO1337" s="22"/>
      <c r="AP1337" s="22"/>
      <c r="AQ1337" s="22"/>
      <c r="AR1337" s="35"/>
      <c r="AS1337" s="35"/>
      <c r="AT1337" s="35"/>
      <c r="AU1337" s="31"/>
      <c r="AV1337" s="36"/>
    </row>
    <row r="1338" spans="4:48">
      <c r="D1338" s="31"/>
      <c r="E1338" s="31"/>
      <c r="F1338" s="31"/>
      <c r="G1338" s="31"/>
      <c r="H1338" s="32"/>
      <c r="J1338" s="33"/>
      <c r="K1338" s="33"/>
      <c r="L1338" s="33"/>
      <c r="X1338" s="22"/>
      <c r="Y1338" s="22"/>
      <c r="Z1338" s="22"/>
      <c r="AA1338" s="22"/>
      <c r="AF1338" s="22"/>
      <c r="AG1338" s="22"/>
      <c r="AH1338" s="22"/>
      <c r="AI1338" s="22"/>
      <c r="AN1338" s="22"/>
      <c r="AO1338" s="22"/>
      <c r="AP1338" s="22"/>
      <c r="AQ1338" s="22"/>
      <c r="AR1338" s="35"/>
      <c r="AS1338" s="35"/>
      <c r="AT1338" s="35"/>
      <c r="AU1338" s="31"/>
      <c r="AV1338" s="36"/>
    </row>
    <row r="1339" spans="4:48">
      <c r="D1339" s="31"/>
      <c r="E1339" s="31"/>
      <c r="F1339" s="31"/>
      <c r="G1339" s="31"/>
      <c r="H1339" s="32"/>
      <c r="J1339" s="33"/>
      <c r="K1339" s="33"/>
      <c r="L1339" s="33"/>
      <c r="X1339" s="22"/>
      <c r="Y1339" s="22"/>
      <c r="Z1339" s="22"/>
      <c r="AA1339" s="22"/>
      <c r="AF1339" s="22"/>
      <c r="AG1339" s="22"/>
      <c r="AH1339" s="22"/>
      <c r="AI1339" s="22"/>
      <c r="AN1339" s="22"/>
      <c r="AO1339" s="22"/>
      <c r="AP1339" s="22"/>
      <c r="AQ1339" s="22"/>
      <c r="AR1339" s="35"/>
      <c r="AS1339" s="35"/>
      <c r="AT1339" s="35"/>
      <c r="AU1339" s="31"/>
      <c r="AV1339" s="36"/>
    </row>
    <row r="1340" spans="4:48">
      <c r="D1340" s="31"/>
      <c r="E1340" s="31"/>
      <c r="F1340" s="31"/>
      <c r="G1340" s="31"/>
      <c r="H1340" s="32"/>
      <c r="J1340" s="33"/>
      <c r="K1340" s="33"/>
      <c r="L1340" s="33"/>
      <c r="X1340" s="22"/>
      <c r="Y1340" s="22"/>
      <c r="Z1340" s="22"/>
      <c r="AA1340" s="22"/>
      <c r="AF1340" s="22"/>
      <c r="AG1340" s="22"/>
      <c r="AH1340" s="22"/>
      <c r="AI1340" s="22"/>
      <c r="AN1340" s="22"/>
      <c r="AO1340" s="22"/>
      <c r="AP1340" s="22"/>
      <c r="AQ1340" s="22"/>
      <c r="AR1340" s="35"/>
      <c r="AS1340" s="35"/>
      <c r="AT1340" s="35"/>
      <c r="AU1340" s="31"/>
      <c r="AV1340" s="36"/>
    </row>
    <row r="1341" spans="4:48">
      <c r="D1341" s="31"/>
      <c r="E1341" s="31"/>
      <c r="F1341" s="31"/>
      <c r="G1341" s="31"/>
      <c r="H1341" s="32"/>
      <c r="J1341" s="33"/>
      <c r="K1341" s="33"/>
      <c r="L1341" s="33"/>
      <c r="X1341" s="22"/>
      <c r="Y1341" s="22"/>
      <c r="Z1341" s="22"/>
      <c r="AA1341" s="22"/>
      <c r="AF1341" s="22"/>
      <c r="AG1341" s="22"/>
      <c r="AH1341" s="22"/>
      <c r="AI1341" s="22"/>
      <c r="AN1341" s="22"/>
      <c r="AO1341" s="22"/>
      <c r="AP1341" s="22"/>
      <c r="AQ1341" s="22"/>
      <c r="AR1341" s="35"/>
      <c r="AS1341" s="35"/>
      <c r="AT1341" s="35"/>
      <c r="AU1341" s="31"/>
      <c r="AV1341" s="36"/>
    </row>
    <row r="1342" spans="4:48">
      <c r="D1342" s="31"/>
      <c r="E1342" s="31"/>
      <c r="F1342" s="31"/>
      <c r="G1342" s="31"/>
      <c r="H1342" s="32"/>
      <c r="J1342" s="33"/>
      <c r="K1342" s="33"/>
      <c r="L1342" s="33"/>
      <c r="X1342" s="22"/>
      <c r="Y1342" s="22"/>
      <c r="Z1342" s="22"/>
      <c r="AA1342" s="22"/>
      <c r="AF1342" s="22"/>
      <c r="AG1342" s="22"/>
      <c r="AH1342" s="22"/>
      <c r="AI1342" s="22"/>
      <c r="AN1342" s="22"/>
      <c r="AO1342" s="22"/>
      <c r="AP1342" s="22"/>
      <c r="AQ1342" s="22"/>
      <c r="AR1342" s="35"/>
      <c r="AS1342" s="35"/>
      <c r="AT1342" s="35"/>
      <c r="AU1342" s="31"/>
      <c r="AV1342" s="36"/>
    </row>
    <row r="1343" spans="4:48">
      <c r="D1343" s="31"/>
      <c r="E1343" s="31"/>
      <c r="F1343" s="31"/>
      <c r="G1343" s="31"/>
      <c r="H1343" s="32"/>
      <c r="J1343" s="33"/>
      <c r="K1343" s="33"/>
      <c r="L1343" s="33"/>
      <c r="X1343" s="22"/>
      <c r="Y1343" s="22"/>
      <c r="Z1343" s="22"/>
      <c r="AA1343" s="22"/>
      <c r="AF1343" s="22"/>
      <c r="AG1343" s="22"/>
      <c r="AH1343" s="22"/>
      <c r="AI1343" s="22"/>
      <c r="AN1343" s="22"/>
      <c r="AO1343" s="22"/>
      <c r="AP1343" s="22"/>
      <c r="AQ1343" s="22"/>
      <c r="AR1343" s="35"/>
      <c r="AS1343" s="35"/>
      <c r="AT1343" s="35"/>
      <c r="AU1343" s="31"/>
      <c r="AV1343" s="36"/>
    </row>
    <row r="1344" spans="4:48">
      <c r="D1344" s="31"/>
      <c r="E1344" s="31"/>
      <c r="F1344" s="31"/>
      <c r="G1344" s="31"/>
      <c r="H1344" s="32"/>
      <c r="J1344" s="33"/>
      <c r="K1344" s="33"/>
      <c r="L1344" s="33"/>
      <c r="X1344" s="22"/>
      <c r="Y1344" s="22"/>
      <c r="Z1344" s="22"/>
      <c r="AA1344" s="22"/>
      <c r="AF1344" s="22"/>
      <c r="AG1344" s="22"/>
      <c r="AH1344" s="22"/>
      <c r="AI1344" s="22"/>
      <c r="AN1344" s="22"/>
      <c r="AO1344" s="22"/>
      <c r="AP1344" s="22"/>
      <c r="AQ1344" s="22"/>
      <c r="AR1344" s="35"/>
      <c r="AS1344" s="35"/>
      <c r="AT1344" s="35"/>
      <c r="AU1344" s="31"/>
      <c r="AV1344" s="36"/>
    </row>
    <row r="1345" spans="4:48">
      <c r="D1345" s="31"/>
      <c r="E1345" s="31"/>
      <c r="F1345" s="31"/>
      <c r="G1345" s="31"/>
      <c r="H1345" s="32"/>
      <c r="J1345" s="33"/>
      <c r="K1345" s="33"/>
      <c r="L1345" s="33"/>
      <c r="X1345" s="22"/>
      <c r="Y1345" s="22"/>
      <c r="Z1345" s="22"/>
      <c r="AA1345" s="22"/>
      <c r="AF1345" s="22"/>
      <c r="AG1345" s="22"/>
      <c r="AH1345" s="22"/>
      <c r="AI1345" s="22"/>
      <c r="AN1345" s="22"/>
      <c r="AO1345" s="22"/>
      <c r="AP1345" s="22"/>
      <c r="AQ1345" s="22"/>
      <c r="AR1345" s="35"/>
      <c r="AS1345" s="35"/>
      <c r="AT1345" s="35"/>
      <c r="AU1345" s="31"/>
      <c r="AV1345" s="36"/>
    </row>
    <row r="1346" spans="4:48">
      <c r="D1346" s="31"/>
      <c r="E1346" s="31"/>
      <c r="F1346" s="31"/>
      <c r="G1346" s="31"/>
      <c r="H1346" s="32"/>
      <c r="J1346" s="33"/>
      <c r="K1346" s="33"/>
      <c r="L1346" s="33"/>
      <c r="X1346" s="22"/>
      <c r="Y1346" s="22"/>
      <c r="Z1346" s="22"/>
      <c r="AA1346" s="22"/>
      <c r="AF1346" s="22"/>
      <c r="AG1346" s="22"/>
      <c r="AH1346" s="22"/>
      <c r="AI1346" s="22"/>
      <c r="AN1346" s="22"/>
      <c r="AO1346" s="22"/>
      <c r="AP1346" s="22"/>
      <c r="AQ1346" s="22"/>
      <c r="AR1346" s="35"/>
      <c r="AS1346" s="35"/>
      <c r="AT1346" s="35"/>
      <c r="AU1346" s="31"/>
      <c r="AV1346" s="36"/>
    </row>
    <row r="1347" spans="4:48">
      <c r="D1347" s="31"/>
      <c r="E1347" s="31"/>
      <c r="F1347" s="31"/>
      <c r="G1347" s="31"/>
      <c r="H1347" s="32"/>
      <c r="J1347" s="33"/>
      <c r="K1347" s="33"/>
      <c r="L1347" s="33"/>
      <c r="X1347" s="22"/>
      <c r="Y1347" s="22"/>
      <c r="Z1347" s="22"/>
      <c r="AA1347" s="22"/>
      <c r="AF1347" s="22"/>
      <c r="AG1347" s="22"/>
      <c r="AH1347" s="22"/>
      <c r="AI1347" s="22"/>
      <c r="AN1347" s="22"/>
      <c r="AO1347" s="22"/>
      <c r="AP1347" s="22"/>
      <c r="AQ1347" s="22"/>
      <c r="AR1347" s="35"/>
      <c r="AS1347" s="35"/>
      <c r="AT1347" s="35"/>
      <c r="AU1347" s="31"/>
      <c r="AV1347" s="36"/>
    </row>
    <row r="1348" spans="4:48">
      <c r="D1348" s="31"/>
      <c r="E1348" s="31"/>
      <c r="F1348" s="31"/>
      <c r="G1348" s="31"/>
      <c r="H1348" s="32"/>
      <c r="J1348" s="33"/>
      <c r="K1348" s="33"/>
      <c r="L1348" s="33"/>
      <c r="X1348" s="22"/>
      <c r="Y1348" s="22"/>
      <c r="Z1348" s="22"/>
      <c r="AA1348" s="22"/>
      <c r="AF1348" s="22"/>
      <c r="AG1348" s="22"/>
      <c r="AH1348" s="22"/>
      <c r="AI1348" s="22"/>
      <c r="AN1348" s="22"/>
      <c r="AO1348" s="22"/>
      <c r="AP1348" s="22"/>
      <c r="AQ1348" s="22"/>
      <c r="AR1348" s="35"/>
      <c r="AS1348" s="35"/>
      <c r="AT1348" s="35"/>
      <c r="AU1348" s="31"/>
      <c r="AV1348" s="36"/>
    </row>
    <row r="1349" spans="4:48">
      <c r="D1349" s="31"/>
      <c r="E1349" s="31"/>
      <c r="F1349" s="31"/>
      <c r="G1349" s="31"/>
      <c r="H1349" s="32"/>
      <c r="J1349" s="33"/>
      <c r="K1349" s="33"/>
      <c r="L1349" s="33"/>
      <c r="X1349" s="22"/>
      <c r="Y1349" s="22"/>
      <c r="Z1349" s="22"/>
      <c r="AA1349" s="22"/>
      <c r="AF1349" s="22"/>
      <c r="AG1349" s="22"/>
      <c r="AH1349" s="22"/>
      <c r="AI1349" s="22"/>
      <c r="AN1349" s="22"/>
      <c r="AO1349" s="22"/>
      <c r="AP1349" s="22"/>
      <c r="AQ1349" s="22"/>
      <c r="AR1349" s="35"/>
      <c r="AS1349" s="35"/>
      <c r="AT1349" s="35"/>
      <c r="AU1349" s="31"/>
      <c r="AV1349" s="36"/>
    </row>
    <row r="1350" spans="4:48">
      <c r="D1350" s="31"/>
      <c r="E1350" s="31"/>
      <c r="F1350" s="31"/>
      <c r="G1350" s="31"/>
      <c r="H1350" s="32"/>
      <c r="J1350" s="33"/>
      <c r="K1350" s="33"/>
      <c r="L1350" s="33"/>
      <c r="X1350" s="22"/>
      <c r="Y1350" s="22"/>
      <c r="Z1350" s="22"/>
      <c r="AA1350" s="22"/>
      <c r="AF1350" s="22"/>
      <c r="AG1350" s="22"/>
      <c r="AH1350" s="22"/>
      <c r="AI1350" s="22"/>
      <c r="AN1350" s="22"/>
      <c r="AO1350" s="22"/>
      <c r="AP1350" s="22"/>
      <c r="AQ1350" s="22"/>
      <c r="AR1350" s="35"/>
      <c r="AS1350" s="35"/>
      <c r="AT1350" s="35"/>
      <c r="AU1350" s="31"/>
      <c r="AV1350" s="36"/>
    </row>
    <row r="1351" spans="4:48">
      <c r="D1351" s="31"/>
      <c r="E1351" s="31"/>
      <c r="F1351" s="31"/>
      <c r="G1351" s="31"/>
      <c r="H1351" s="32"/>
      <c r="J1351" s="33"/>
      <c r="K1351" s="33"/>
      <c r="L1351" s="33"/>
      <c r="X1351" s="22"/>
      <c r="Y1351" s="22"/>
      <c r="Z1351" s="22"/>
      <c r="AA1351" s="22"/>
      <c r="AF1351" s="22"/>
      <c r="AG1351" s="22"/>
      <c r="AH1351" s="22"/>
      <c r="AI1351" s="22"/>
      <c r="AN1351" s="22"/>
      <c r="AO1351" s="22"/>
      <c r="AP1351" s="22"/>
      <c r="AQ1351" s="22"/>
      <c r="AR1351" s="35"/>
      <c r="AS1351" s="35"/>
      <c r="AT1351" s="35"/>
      <c r="AU1351" s="31"/>
      <c r="AV1351" s="36"/>
    </row>
    <row r="1352" spans="4:48">
      <c r="D1352" s="31"/>
      <c r="E1352" s="31"/>
      <c r="F1352" s="31"/>
      <c r="G1352" s="31"/>
      <c r="H1352" s="32"/>
      <c r="J1352" s="33"/>
      <c r="K1352" s="33"/>
      <c r="L1352" s="33"/>
      <c r="X1352" s="22"/>
      <c r="Y1352" s="22"/>
      <c r="Z1352" s="22"/>
      <c r="AA1352" s="22"/>
      <c r="AF1352" s="22"/>
      <c r="AG1352" s="22"/>
      <c r="AH1352" s="22"/>
      <c r="AI1352" s="22"/>
      <c r="AN1352" s="22"/>
      <c r="AO1352" s="22"/>
      <c r="AP1352" s="22"/>
      <c r="AQ1352" s="22"/>
      <c r="AR1352" s="35"/>
      <c r="AS1352" s="35"/>
      <c r="AT1352" s="35"/>
      <c r="AU1352" s="31"/>
      <c r="AV1352" s="36"/>
    </row>
    <row r="1353" spans="4:48">
      <c r="D1353" s="31"/>
      <c r="E1353" s="31"/>
      <c r="F1353" s="31"/>
      <c r="G1353" s="31"/>
      <c r="H1353" s="32"/>
      <c r="J1353" s="33"/>
      <c r="K1353" s="33"/>
      <c r="L1353" s="33"/>
      <c r="X1353" s="22"/>
      <c r="Y1353" s="22"/>
      <c r="Z1353" s="22"/>
      <c r="AA1353" s="22"/>
      <c r="AF1353" s="22"/>
      <c r="AG1353" s="22"/>
      <c r="AH1353" s="22"/>
      <c r="AI1353" s="22"/>
      <c r="AN1353" s="22"/>
      <c r="AO1353" s="22"/>
      <c r="AP1353" s="22"/>
      <c r="AQ1353" s="22"/>
      <c r="AR1353" s="35"/>
      <c r="AS1353" s="35"/>
      <c r="AT1353" s="35"/>
      <c r="AU1353" s="31"/>
      <c r="AV1353" s="36"/>
    </row>
    <row r="1354" spans="4:48">
      <c r="D1354" s="31"/>
      <c r="E1354" s="31"/>
      <c r="F1354" s="31"/>
      <c r="G1354" s="31"/>
      <c r="H1354" s="32"/>
      <c r="J1354" s="33"/>
      <c r="K1354" s="33"/>
      <c r="L1354" s="33"/>
      <c r="X1354" s="22"/>
      <c r="Y1354" s="22"/>
      <c r="Z1354" s="22"/>
      <c r="AA1354" s="22"/>
      <c r="AF1354" s="22"/>
      <c r="AG1354" s="22"/>
      <c r="AH1354" s="22"/>
      <c r="AI1354" s="22"/>
      <c r="AN1354" s="22"/>
      <c r="AO1354" s="22"/>
      <c r="AP1354" s="22"/>
      <c r="AQ1354" s="22"/>
      <c r="AR1354" s="35"/>
      <c r="AS1354" s="35"/>
      <c r="AT1354" s="35"/>
      <c r="AU1354" s="31"/>
      <c r="AV1354" s="36"/>
    </row>
    <row r="1355" spans="4:48">
      <c r="D1355" s="31"/>
      <c r="E1355" s="31"/>
      <c r="F1355" s="31"/>
      <c r="G1355" s="31"/>
      <c r="H1355" s="32"/>
      <c r="J1355" s="33"/>
      <c r="K1355" s="33"/>
      <c r="L1355" s="33"/>
      <c r="X1355" s="22"/>
      <c r="Y1355" s="22"/>
      <c r="Z1355" s="22"/>
      <c r="AA1355" s="22"/>
      <c r="AF1355" s="22"/>
      <c r="AG1355" s="22"/>
      <c r="AH1355" s="22"/>
      <c r="AI1355" s="22"/>
      <c r="AN1355" s="22"/>
      <c r="AO1355" s="22"/>
      <c r="AP1355" s="22"/>
      <c r="AQ1355" s="22"/>
      <c r="AR1355" s="35"/>
      <c r="AS1355" s="35"/>
      <c r="AT1355" s="35"/>
      <c r="AU1355" s="31"/>
      <c r="AV1355" s="36"/>
    </row>
    <row r="1356" spans="4:48">
      <c r="D1356" s="31"/>
      <c r="E1356" s="31"/>
      <c r="F1356" s="31"/>
      <c r="G1356" s="31"/>
      <c r="H1356" s="32"/>
      <c r="J1356" s="33"/>
      <c r="K1356" s="33"/>
      <c r="L1356" s="33"/>
      <c r="X1356" s="22"/>
      <c r="Y1356" s="22"/>
      <c r="Z1356" s="22"/>
      <c r="AA1356" s="22"/>
      <c r="AF1356" s="22"/>
      <c r="AG1356" s="22"/>
      <c r="AH1356" s="22"/>
      <c r="AI1356" s="22"/>
      <c r="AN1356" s="22"/>
      <c r="AO1356" s="22"/>
      <c r="AP1356" s="22"/>
      <c r="AQ1356" s="22"/>
      <c r="AR1356" s="35"/>
      <c r="AS1356" s="35"/>
      <c r="AT1356" s="35"/>
      <c r="AU1356" s="31"/>
      <c r="AV1356" s="36"/>
    </row>
    <row r="1357" spans="4:48">
      <c r="D1357" s="31"/>
      <c r="E1357" s="31"/>
      <c r="F1357" s="31"/>
      <c r="G1357" s="31"/>
      <c r="H1357" s="32"/>
      <c r="J1357" s="33"/>
      <c r="K1357" s="33"/>
      <c r="L1357" s="33"/>
      <c r="X1357" s="22"/>
      <c r="Y1357" s="22"/>
      <c r="Z1357" s="22"/>
      <c r="AA1357" s="22"/>
      <c r="AF1357" s="22"/>
      <c r="AG1357" s="22"/>
      <c r="AH1357" s="22"/>
      <c r="AI1357" s="22"/>
      <c r="AN1357" s="22"/>
      <c r="AO1357" s="22"/>
      <c r="AP1357" s="22"/>
      <c r="AQ1357" s="22"/>
      <c r="AR1357" s="35"/>
      <c r="AS1357" s="35"/>
      <c r="AT1357" s="35"/>
      <c r="AU1357" s="31"/>
      <c r="AV1357" s="36"/>
    </row>
    <row r="1358" spans="4:48">
      <c r="D1358" s="31"/>
      <c r="E1358" s="31"/>
      <c r="F1358" s="31"/>
      <c r="G1358" s="31"/>
      <c r="H1358" s="32"/>
      <c r="J1358" s="33"/>
      <c r="K1358" s="33"/>
      <c r="L1358" s="33"/>
      <c r="X1358" s="22"/>
      <c r="Y1358" s="22"/>
      <c r="Z1358" s="22"/>
      <c r="AA1358" s="22"/>
      <c r="AF1358" s="22"/>
      <c r="AG1358" s="22"/>
      <c r="AH1358" s="22"/>
      <c r="AI1358" s="22"/>
      <c r="AN1358" s="22"/>
      <c r="AO1358" s="22"/>
      <c r="AP1358" s="22"/>
      <c r="AQ1358" s="22"/>
      <c r="AR1358" s="35"/>
      <c r="AS1358" s="35"/>
      <c r="AT1358" s="35"/>
      <c r="AU1358" s="31"/>
      <c r="AV1358" s="36"/>
    </row>
    <row r="1359" spans="4:48">
      <c r="D1359" s="31"/>
      <c r="E1359" s="31"/>
      <c r="F1359" s="31"/>
      <c r="G1359" s="31"/>
      <c r="H1359" s="32"/>
      <c r="J1359" s="33"/>
      <c r="K1359" s="33"/>
      <c r="L1359" s="33"/>
      <c r="X1359" s="22"/>
      <c r="Y1359" s="22"/>
      <c r="Z1359" s="22"/>
      <c r="AA1359" s="22"/>
      <c r="AF1359" s="22"/>
      <c r="AG1359" s="22"/>
      <c r="AH1359" s="22"/>
      <c r="AI1359" s="22"/>
      <c r="AN1359" s="22"/>
      <c r="AO1359" s="22"/>
      <c r="AP1359" s="22"/>
      <c r="AQ1359" s="22"/>
      <c r="AR1359" s="35"/>
      <c r="AS1359" s="35"/>
      <c r="AT1359" s="35"/>
      <c r="AU1359" s="31"/>
      <c r="AV1359" s="36"/>
    </row>
    <row r="1360" spans="4:48">
      <c r="D1360" s="31"/>
      <c r="E1360" s="31"/>
      <c r="F1360" s="31"/>
      <c r="G1360" s="31"/>
      <c r="H1360" s="32"/>
      <c r="J1360" s="33"/>
      <c r="K1360" s="33"/>
      <c r="L1360" s="33"/>
      <c r="X1360" s="22"/>
      <c r="Y1360" s="22"/>
      <c r="Z1360" s="22"/>
      <c r="AA1360" s="22"/>
      <c r="AF1360" s="22"/>
      <c r="AG1360" s="22"/>
      <c r="AH1360" s="22"/>
      <c r="AI1360" s="22"/>
      <c r="AN1360" s="22"/>
      <c r="AO1360" s="22"/>
      <c r="AP1360" s="22"/>
      <c r="AQ1360" s="22"/>
      <c r="AR1360" s="35"/>
      <c r="AS1360" s="35"/>
      <c r="AT1360" s="35"/>
      <c r="AU1360" s="31"/>
      <c r="AV1360" s="36"/>
    </row>
    <row r="1361" spans="4:48">
      <c r="D1361" s="31"/>
      <c r="E1361" s="31"/>
      <c r="F1361" s="31"/>
      <c r="G1361" s="31"/>
      <c r="H1361" s="32"/>
      <c r="J1361" s="33"/>
      <c r="K1361" s="33"/>
      <c r="L1361" s="33"/>
      <c r="X1361" s="22"/>
      <c r="Y1361" s="22"/>
      <c r="Z1361" s="22"/>
      <c r="AA1361" s="22"/>
      <c r="AF1361" s="22"/>
      <c r="AG1361" s="22"/>
      <c r="AH1361" s="22"/>
      <c r="AI1361" s="22"/>
      <c r="AN1361" s="22"/>
      <c r="AO1361" s="22"/>
      <c r="AP1361" s="22"/>
      <c r="AQ1361" s="22"/>
      <c r="AR1361" s="35"/>
      <c r="AS1361" s="35"/>
      <c r="AT1361" s="35"/>
      <c r="AU1361" s="31"/>
      <c r="AV1361" s="36"/>
    </row>
    <row r="1362" spans="4:48">
      <c r="D1362" s="31"/>
      <c r="E1362" s="31"/>
      <c r="F1362" s="31"/>
      <c r="G1362" s="31"/>
      <c r="H1362" s="32"/>
      <c r="J1362" s="33"/>
      <c r="K1362" s="33"/>
      <c r="L1362" s="33"/>
      <c r="X1362" s="22"/>
      <c r="Y1362" s="22"/>
      <c r="Z1362" s="22"/>
      <c r="AA1362" s="22"/>
      <c r="AF1362" s="22"/>
      <c r="AG1362" s="22"/>
      <c r="AH1362" s="22"/>
      <c r="AI1362" s="22"/>
      <c r="AN1362" s="22"/>
      <c r="AO1362" s="22"/>
      <c r="AP1362" s="22"/>
      <c r="AQ1362" s="22"/>
      <c r="AR1362" s="35"/>
      <c r="AS1362" s="35"/>
      <c r="AT1362" s="35"/>
      <c r="AU1362" s="31"/>
      <c r="AV1362" s="36"/>
    </row>
    <row r="1363" spans="4:48">
      <c r="D1363" s="31"/>
      <c r="E1363" s="31"/>
      <c r="F1363" s="31"/>
      <c r="G1363" s="31"/>
      <c r="H1363" s="32"/>
      <c r="J1363" s="33"/>
      <c r="K1363" s="33"/>
      <c r="L1363" s="33"/>
      <c r="X1363" s="22"/>
      <c r="Y1363" s="22"/>
      <c r="Z1363" s="22"/>
      <c r="AA1363" s="22"/>
      <c r="AF1363" s="22"/>
      <c r="AG1363" s="22"/>
      <c r="AH1363" s="22"/>
      <c r="AI1363" s="22"/>
      <c r="AN1363" s="22"/>
      <c r="AO1363" s="22"/>
      <c r="AP1363" s="22"/>
      <c r="AQ1363" s="22"/>
      <c r="AR1363" s="35"/>
      <c r="AS1363" s="35"/>
      <c r="AT1363" s="35"/>
      <c r="AU1363" s="31"/>
      <c r="AV1363" s="36"/>
    </row>
    <row r="1364" spans="4:48">
      <c r="D1364" s="31"/>
      <c r="E1364" s="31"/>
      <c r="F1364" s="31"/>
      <c r="G1364" s="31"/>
      <c r="H1364" s="32"/>
      <c r="J1364" s="33"/>
      <c r="K1364" s="33"/>
      <c r="L1364" s="33"/>
      <c r="X1364" s="22"/>
      <c r="Y1364" s="22"/>
      <c r="Z1364" s="22"/>
      <c r="AA1364" s="22"/>
      <c r="AF1364" s="22"/>
      <c r="AG1364" s="22"/>
      <c r="AH1364" s="22"/>
      <c r="AI1364" s="22"/>
      <c r="AN1364" s="22"/>
      <c r="AO1364" s="22"/>
      <c r="AP1364" s="22"/>
      <c r="AQ1364" s="22"/>
      <c r="AR1364" s="35"/>
      <c r="AS1364" s="35"/>
      <c r="AT1364" s="35"/>
      <c r="AU1364" s="31"/>
      <c r="AV1364" s="36"/>
    </row>
    <row r="1365" spans="4:48">
      <c r="D1365" s="31"/>
      <c r="E1365" s="31"/>
      <c r="F1365" s="31"/>
      <c r="G1365" s="31"/>
      <c r="H1365" s="32"/>
      <c r="J1365" s="33"/>
      <c r="K1365" s="33"/>
      <c r="L1365" s="33"/>
      <c r="X1365" s="22"/>
      <c r="Y1365" s="22"/>
      <c r="Z1365" s="22"/>
      <c r="AA1365" s="22"/>
      <c r="AF1365" s="22"/>
      <c r="AG1365" s="22"/>
      <c r="AH1365" s="22"/>
      <c r="AI1365" s="22"/>
      <c r="AN1365" s="22"/>
      <c r="AO1365" s="22"/>
      <c r="AP1365" s="22"/>
      <c r="AQ1365" s="22"/>
      <c r="AR1365" s="35"/>
      <c r="AS1365" s="35"/>
      <c r="AT1365" s="35"/>
      <c r="AU1365" s="31"/>
      <c r="AV1365" s="36"/>
    </row>
    <row r="1366" spans="4:48">
      <c r="D1366" s="31"/>
      <c r="E1366" s="31"/>
      <c r="F1366" s="31"/>
      <c r="G1366" s="31"/>
      <c r="H1366" s="32"/>
      <c r="J1366" s="33"/>
      <c r="K1366" s="33"/>
      <c r="L1366" s="33"/>
      <c r="X1366" s="22"/>
      <c r="Y1366" s="22"/>
      <c r="Z1366" s="22"/>
      <c r="AA1366" s="22"/>
      <c r="AF1366" s="22"/>
      <c r="AG1366" s="22"/>
      <c r="AH1366" s="22"/>
      <c r="AI1366" s="22"/>
      <c r="AN1366" s="22"/>
      <c r="AO1366" s="22"/>
      <c r="AP1366" s="22"/>
      <c r="AQ1366" s="22"/>
      <c r="AR1366" s="35"/>
      <c r="AS1366" s="35"/>
      <c r="AT1366" s="35"/>
      <c r="AU1366" s="31"/>
      <c r="AV1366" s="36"/>
    </row>
    <row r="1367" spans="4:48">
      <c r="D1367" s="31"/>
      <c r="E1367" s="31"/>
      <c r="F1367" s="31"/>
      <c r="G1367" s="31"/>
      <c r="H1367" s="32"/>
      <c r="J1367" s="33"/>
      <c r="K1367" s="33"/>
      <c r="L1367" s="33"/>
      <c r="X1367" s="22"/>
      <c r="Y1367" s="22"/>
      <c r="Z1367" s="22"/>
      <c r="AA1367" s="22"/>
      <c r="AF1367" s="22"/>
      <c r="AG1367" s="22"/>
      <c r="AH1367" s="22"/>
      <c r="AI1367" s="22"/>
      <c r="AN1367" s="22"/>
      <c r="AO1367" s="22"/>
      <c r="AP1367" s="22"/>
      <c r="AQ1367" s="22"/>
      <c r="AR1367" s="35"/>
      <c r="AS1367" s="35"/>
      <c r="AT1367" s="35"/>
      <c r="AU1367" s="31"/>
      <c r="AV1367" s="36"/>
    </row>
    <row r="1368" spans="4:48">
      <c r="D1368" s="31"/>
      <c r="E1368" s="31"/>
      <c r="F1368" s="31"/>
      <c r="G1368" s="31"/>
      <c r="H1368" s="32"/>
      <c r="J1368" s="33"/>
      <c r="K1368" s="33"/>
      <c r="L1368" s="33"/>
      <c r="X1368" s="22"/>
      <c r="Y1368" s="22"/>
      <c r="Z1368" s="22"/>
      <c r="AA1368" s="22"/>
      <c r="AF1368" s="22"/>
      <c r="AG1368" s="22"/>
      <c r="AH1368" s="22"/>
      <c r="AI1368" s="22"/>
      <c r="AN1368" s="22"/>
      <c r="AO1368" s="22"/>
      <c r="AP1368" s="22"/>
      <c r="AQ1368" s="22"/>
      <c r="AR1368" s="35"/>
      <c r="AS1368" s="35"/>
      <c r="AT1368" s="35"/>
      <c r="AU1368" s="31"/>
      <c r="AV1368" s="36"/>
    </row>
    <row r="1369" spans="4:48">
      <c r="D1369" s="31"/>
      <c r="E1369" s="31"/>
      <c r="F1369" s="31"/>
      <c r="G1369" s="31"/>
      <c r="H1369" s="32"/>
      <c r="J1369" s="33"/>
      <c r="K1369" s="33"/>
      <c r="L1369" s="33"/>
      <c r="X1369" s="22"/>
      <c r="Y1369" s="22"/>
      <c r="Z1369" s="22"/>
      <c r="AA1369" s="22"/>
      <c r="AF1369" s="22"/>
      <c r="AG1369" s="22"/>
      <c r="AH1369" s="22"/>
      <c r="AI1369" s="22"/>
      <c r="AN1369" s="22"/>
      <c r="AO1369" s="22"/>
      <c r="AP1369" s="22"/>
      <c r="AQ1369" s="22"/>
      <c r="AR1369" s="35"/>
      <c r="AS1369" s="35"/>
      <c r="AT1369" s="35"/>
      <c r="AU1369" s="31"/>
      <c r="AV1369" s="36"/>
    </row>
    <row r="1370" spans="4:48">
      <c r="D1370" s="31"/>
      <c r="E1370" s="31"/>
      <c r="F1370" s="31"/>
      <c r="G1370" s="31"/>
      <c r="H1370" s="32"/>
      <c r="J1370" s="33"/>
      <c r="K1370" s="33"/>
      <c r="L1370" s="33"/>
      <c r="X1370" s="22"/>
      <c r="Y1370" s="22"/>
      <c r="Z1370" s="22"/>
      <c r="AA1370" s="22"/>
      <c r="AF1370" s="22"/>
      <c r="AG1370" s="22"/>
      <c r="AH1370" s="22"/>
      <c r="AI1370" s="22"/>
      <c r="AN1370" s="22"/>
      <c r="AO1370" s="22"/>
      <c r="AP1370" s="22"/>
      <c r="AQ1370" s="22"/>
      <c r="AR1370" s="35"/>
      <c r="AS1370" s="35"/>
      <c r="AT1370" s="35"/>
      <c r="AU1370" s="31"/>
      <c r="AV1370" s="36"/>
    </row>
    <row r="1371" spans="4:48">
      <c r="D1371" s="31"/>
      <c r="E1371" s="31"/>
      <c r="F1371" s="31"/>
      <c r="G1371" s="31"/>
      <c r="H1371" s="32"/>
      <c r="J1371" s="33"/>
      <c r="K1371" s="33"/>
      <c r="L1371" s="33"/>
      <c r="X1371" s="22"/>
      <c r="Y1371" s="22"/>
      <c r="Z1371" s="22"/>
      <c r="AA1371" s="22"/>
      <c r="AF1371" s="22"/>
      <c r="AG1371" s="22"/>
      <c r="AH1371" s="22"/>
      <c r="AI1371" s="22"/>
      <c r="AN1371" s="22"/>
      <c r="AO1371" s="22"/>
      <c r="AP1371" s="22"/>
      <c r="AQ1371" s="22"/>
      <c r="AR1371" s="35"/>
      <c r="AS1371" s="35"/>
      <c r="AT1371" s="35"/>
      <c r="AU1371" s="31"/>
      <c r="AV1371" s="36"/>
    </row>
    <row r="1372" spans="4:48">
      <c r="D1372" s="31"/>
      <c r="E1372" s="31"/>
      <c r="F1372" s="31"/>
      <c r="G1372" s="31"/>
      <c r="H1372" s="32"/>
      <c r="J1372" s="33"/>
      <c r="K1372" s="33"/>
      <c r="L1372" s="33"/>
      <c r="X1372" s="22"/>
      <c r="Y1372" s="22"/>
      <c r="Z1372" s="22"/>
      <c r="AA1372" s="22"/>
      <c r="AF1372" s="22"/>
      <c r="AG1372" s="22"/>
      <c r="AH1372" s="22"/>
      <c r="AI1372" s="22"/>
      <c r="AN1372" s="22"/>
      <c r="AO1372" s="22"/>
      <c r="AP1372" s="22"/>
      <c r="AQ1372" s="22"/>
      <c r="AR1372" s="35"/>
      <c r="AS1372" s="35"/>
      <c r="AT1372" s="35"/>
      <c r="AU1372" s="31"/>
      <c r="AV1372" s="36"/>
    </row>
    <row r="1373" spans="4:48">
      <c r="D1373" s="31"/>
      <c r="E1373" s="31"/>
      <c r="F1373" s="31"/>
      <c r="G1373" s="31"/>
      <c r="H1373" s="32"/>
      <c r="J1373" s="33"/>
      <c r="K1373" s="33"/>
      <c r="L1373" s="33"/>
      <c r="X1373" s="22"/>
      <c r="Y1373" s="22"/>
      <c r="Z1373" s="22"/>
      <c r="AA1373" s="22"/>
      <c r="AF1373" s="22"/>
      <c r="AG1373" s="22"/>
      <c r="AH1373" s="22"/>
      <c r="AI1373" s="22"/>
      <c r="AN1373" s="22"/>
      <c r="AO1373" s="22"/>
      <c r="AP1373" s="22"/>
      <c r="AQ1373" s="22"/>
      <c r="AR1373" s="35"/>
      <c r="AS1373" s="35"/>
      <c r="AT1373" s="35"/>
      <c r="AU1373" s="31"/>
      <c r="AV1373" s="36"/>
    </row>
    <row r="1374" spans="4:48">
      <c r="D1374" s="31"/>
      <c r="E1374" s="31"/>
      <c r="F1374" s="31"/>
      <c r="G1374" s="31"/>
      <c r="H1374" s="32"/>
      <c r="J1374" s="33"/>
      <c r="K1374" s="33"/>
      <c r="L1374" s="33"/>
      <c r="X1374" s="22"/>
      <c r="Y1374" s="22"/>
      <c r="Z1374" s="22"/>
      <c r="AA1374" s="22"/>
      <c r="AF1374" s="22"/>
      <c r="AG1374" s="22"/>
      <c r="AH1374" s="22"/>
      <c r="AI1374" s="22"/>
      <c r="AN1374" s="22"/>
      <c r="AO1374" s="22"/>
      <c r="AP1374" s="22"/>
      <c r="AQ1374" s="22"/>
      <c r="AR1374" s="35"/>
      <c r="AS1374" s="35"/>
      <c r="AT1374" s="35"/>
      <c r="AU1374" s="31"/>
      <c r="AV1374" s="36"/>
    </row>
    <row r="1375" spans="4:48">
      <c r="D1375" s="31"/>
      <c r="E1375" s="31"/>
      <c r="F1375" s="31"/>
      <c r="G1375" s="31"/>
      <c r="H1375" s="32"/>
      <c r="J1375" s="33"/>
      <c r="K1375" s="33"/>
      <c r="L1375" s="33"/>
      <c r="X1375" s="22"/>
      <c r="Y1375" s="22"/>
      <c r="Z1375" s="22"/>
      <c r="AA1375" s="22"/>
      <c r="AF1375" s="22"/>
      <c r="AG1375" s="22"/>
      <c r="AH1375" s="22"/>
      <c r="AI1375" s="22"/>
      <c r="AN1375" s="22"/>
      <c r="AO1375" s="22"/>
      <c r="AP1375" s="22"/>
      <c r="AQ1375" s="22"/>
      <c r="AR1375" s="35"/>
      <c r="AS1375" s="35"/>
      <c r="AT1375" s="35"/>
      <c r="AU1375" s="31"/>
      <c r="AV1375" s="36"/>
    </row>
    <row r="1376" spans="4:48">
      <c r="D1376" s="31"/>
      <c r="E1376" s="31"/>
      <c r="F1376" s="31"/>
      <c r="G1376" s="31"/>
      <c r="H1376" s="32"/>
      <c r="J1376" s="33"/>
      <c r="K1376" s="33"/>
      <c r="L1376" s="33"/>
      <c r="X1376" s="22"/>
      <c r="Y1376" s="22"/>
      <c r="Z1376" s="22"/>
      <c r="AA1376" s="22"/>
      <c r="AF1376" s="22"/>
      <c r="AG1376" s="22"/>
      <c r="AH1376" s="22"/>
      <c r="AI1376" s="22"/>
      <c r="AN1376" s="22"/>
      <c r="AO1376" s="22"/>
      <c r="AP1376" s="22"/>
      <c r="AQ1376" s="22"/>
      <c r="AR1376" s="35"/>
      <c r="AS1376" s="35"/>
      <c r="AT1376" s="35"/>
      <c r="AU1376" s="31"/>
      <c r="AV1376" s="36"/>
    </row>
    <row r="1377" spans="4:48">
      <c r="D1377" s="31"/>
      <c r="E1377" s="31"/>
      <c r="F1377" s="31"/>
      <c r="G1377" s="31"/>
      <c r="H1377" s="32"/>
      <c r="J1377" s="33"/>
      <c r="K1377" s="33"/>
      <c r="L1377" s="33"/>
      <c r="X1377" s="22"/>
      <c r="Y1377" s="22"/>
      <c r="Z1377" s="22"/>
      <c r="AA1377" s="22"/>
      <c r="AF1377" s="22"/>
      <c r="AG1377" s="22"/>
      <c r="AH1377" s="22"/>
      <c r="AI1377" s="22"/>
      <c r="AN1377" s="22"/>
      <c r="AO1377" s="22"/>
      <c r="AP1377" s="22"/>
      <c r="AQ1377" s="22"/>
      <c r="AR1377" s="35"/>
      <c r="AS1377" s="35"/>
      <c r="AT1377" s="35"/>
      <c r="AU1377" s="31"/>
      <c r="AV1377" s="36"/>
    </row>
    <row r="1378" spans="4:48">
      <c r="D1378" s="31"/>
      <c r="E1378" s="31"/>
      <c r="F1378" s="31"/>
      <c r="G1378" s="31"/>
      <c r="H1378" s="32"/>
      <c r="J1378" s="33"/>
      <c r="K1378" s="33"/>
      <c r="L1378" s="33"/>
      <c r="X1378" s="22"/>
      <c r="Y1378" s="22"/>
      <c r="Z1378" s="22"/>
      <c r="AA1378" s="22"/>
      <c r="AF1378" s="22"/>
      <c r="AG1378" s="22"/>
      <c r="AH1378" s="22"/>
      <c r="AI1378" s="22"/>
      <c r="AN1378" s="22"/>
      <c r="AO1378" s="22"/>
      <c r="AP1378" s="22"/>
      <c r="AQ1378" s="22"/>
      <c r="AR1378" s="35"/>
      <c r="AS1378" s="35"/>
      <c r="AT1378" s="35"/>
      <c r="AU1378" s="31"/>
      <c r="AV1378" s="36"/>
    </row>
    <row r="1379" spans="4:48">
      <c r="D1379" s="31"/>
      <c r="E1379" s="31"/>
      <c r="F1379" s="31"/>
      <c r="G1379" s="31"/>
      <c r="H1379" s="32"/>
      <c r="J1379" s="33"/>
      <c r="K1379" s="33"/>
      <c r="L1379" s="33"/>
      <c r="X1379" s="22"/>
      <c r="Y1379" s="22"/>
      <c r="Z1379" s="22"/>
      <c r="AA1379" s="22"/>
      <c r="AF1379" s="22"/>
      <c r="AG1379" s="22"/>
      <c r="AH1379" s="22"/>
      <c r="AI1379" s="22"/>
      <c r="AN1379" s="22"/>
      <c r="AO1379" s="22"/>
      <c r="AP1379" s="22"/>
      <c r="AQ1379" s="22"/>
      <c r="AR1379" s="35"/>
      <c r="AS1379" s="35"/>
      <c r="AT1379" s="35"/>
      <c r="AU1379" s="31"/>
      <c r="AV1379" s="36"/>
    </row>
    <row r="1380" spans="4:48">
      <c r="D1380" s="31"/>
      <c r="E1380" s="31"/>
      <c r="F1380" s="31"/>
      <c r="G1380" s="31"/>
      <c r="H1380" s="32"/>
      <c r="J1380" s="33"/>
      <c r="K1380" s="33"/>
      <c r="L1380" s="33"/>
      <c r="X1380" s="22"/>
      <c r="Y1380" s="22"/>
      <c r="Z1380" s="22"/>
      <c r="AA1380" s="22"/>
      <c r="AF1380" s="22"/>
      <c r="AG1380" s="22"/>
      <c r="AH1380" s="22"/>
      <c r="AI1380" s="22"/>
      <c r="AN1380" s="22"/>
      <c r="AO1380" s="22"/>
      <c r="AP1380" s="22"/>
      <c r="AQ1380" s="22"/>
      <c r="AR1380" s="35"/>
      <c r="AS1380" s="35"/>
      <c r="AT1380" s="35"/>
      <c r="AU1380" s="31"/>
      <c r="AV1380" s="36"/>
    </row>
    <row r="1381" spans="4:48">
      <c r="D1381" s="31"/>
      <c r="E1381" s="31"/>
      <c r="F1381" s="31"/>
      <c r="G1381" s="31"/>
      <c r="H1381" s="32"/>
      <c r="J1381" s="33"/>
      <c r="K1381" s="33"/>
      <c r="L1381" s="33"/>
      <c r="X1381" s="22"/>
      <c r="Y1381" s="22"/>
      <c r="Z1381" s="22"/>
      <c r="AA1381" s="22"/>
      <c r="AF1381" s="22"/>
      <c r="AG1381" s="22"/>
      <c r="AH1381" s="22"/>
      <c r="AI1381" s="22"/>
      <c r="AN1381" s="22"/>
      <c r="AO1381" s="22"/>
      <c r="AP1381" s="22"/>
      <c r="AQ1381" s="22"/>
      <c r="AR1381" s="35"/>
      <c r="AS1381" s="35"/>
      <c r="AT1381" s="35"/>
      <c r="AU1381" s="31"/>
      <c r="AV1381" s="36"/>
    </row>
    <row r="1382" spans="4:48">
      <c r="D1382" s="31"/>
      <c r="E1382" s="31"/>
      <c r="F1382" s="31"/>
      <c r="G1382" s="31"/>
      <c r="H1382" s="32"/>
      <c r="J1382" s="33"/>
      <c r="K1382" s="33"/>
      <c r="L1382" s="33"/>
      <c r="X1382" s="22"/>
      <c r="Y1382" s="22"/>
      <c r="Z1382" s="22"/>
      <c r="AA1382" s="22"/>
      <c r="AF1382" s="22"/>
      <c r="AG1382" s="22"/>
      <c r="AH1382" s="22"/>
      <c r="AI1382" s="22"/>
      <c r="AN1382" s="22"/>
      <c r="AO1382" s="22"/>
      <c r="AP1382" s="22"/>
      <c r="AQ1382" s="22"/>
      <c r="AR1382" s="35"/>
      <c r="AS1382" s="35"/>
      <c r="AT1382" s="35"/>
      <c r="AU1382" s="31"/>
      <c r="AV1382" s="36"/>
    </row>
    <row r="1383" spans="4:48">
      <c r="D1383" s="31"/>
      <c r="E1383" s="31"/>
      <c r="F1383" s="31"/>
      <c r="G1383" s="31"/>
      <c r="H1383" s="32"/>
      <c r="J1383" s="33"/>
      <c r="K1383" s="33"/>
      <c r="L1383" s="33"/>
      <c r="X1383" s="22"/>
      <c r="Y1383" s="22"/>
      <c r="Z1383" s="22"/>
      <c r="AA1383" s="22"/>
      <c r="AF1383" s="22"/>
      <c r="AG1383" s="22"/>
      <c r="AH1383" s="22"/>
      <c r="AI1383" s="22"/>
      <c r="AN1383" s="22"/>
      <c r="AO1383" s="22"/>
      <c r="AP1383" s="22"/>
      <c r="AQ1383" s="22"/>
      <c r="AR1383" s="35"/>
      <c r="AS1383" s="35"/>
      <c r="AT1383" s="35"/>
      <c r="AU1383" s="31"/>
      <c r="AV1383" s="36"/>
    </row>
    <row r="1384" spans="4:48">
      <c r="D1384" s="31"/>
      <c r="E1384" s="31"/>
      <c r="F1384" s="31"/>
      <c r="G1384" s="31"/>
      <c r="H1384" s="32"/>
      <c r="J1384" s="33"/>
      <c r="K1384" s="33"/>
      <c r="L1384" s="33"/>
      <c r="X1384" s="22"/>
      <c r="Y1384" s="22"/>
      <c r="Z1384" s="22"/>
      <c r="AA1384" s="22"/>
      <c r="AF1384" s="22"/>
      <c r="AG1384" s="22"/>
      <c r="AH1384" s="22"/>
      <c r="AI1384" s="22"/>
      <c r="AN1384" s="22"/>
      <c r="AO1384" s="22"/>
      <c r="AP1384" s="22"/>
      <c r="AQ1384" s="22"/>
      <c r="AR1384" s="35"/>
      <c r="AS1384" s="35"/>
      <c r="AT1384" s="35"/>
      <c r="AU1384" s="31"/>
      <c r="AV1384" s="36"/>
    </row>
    <row r="1385" spans="4:48">
      <c r="D1385" s="31"/>
      <c r="E1385" s="31"/>
      <c r="F1385" s="31"/>
      <c r="G1385" s="31"/>
      <c r="H1385" s="32"/>
      <c r="J1385" s="33"/>
      <c r="K1385" s="33"/>
      <c r="L1385" s="33"/>
      <c r="X1385" s="22"/>
      <c r="Y1385" s="22"/>
      <c r="Z1385" s="22"/>
      <c r="AA1385" s="22"/>
      <c r="AF1385" s="22"/>
      <c r="AG1385" s="22"/>
      <c r="AH1385" s="22"/>
      <c r="AI1385" s="22"/>
      <c r="AN1385" s="22"/>
      <c r="AO1385" s="22"/>
      <c r="AP1385" s="22"/>
      <c r="AQ1385" s="22"/>
      <c r="AR1385" s="35"/>
      <c r="AS1385" s="35"/>
      <c r="AT1385" s="35"/>
      <c r="AU1385" s="31"/>
      <c r="AV1385" s="36"/>
    </row>
    <row r="1386" spans="4:48">
      <c r="D1386" s="31"/>
      <c r="E1386" s="31"/>
      <c r="F1386" s="31"/>
      <c r="G1386" s="31"/>
      <c r="H1386" s="32"/>
      <c r="J1386" s="33"/>
      <c r="K1386" s="33"/>
      <c r="L1386" s="33"/>
      <c r="X1386" s="22"/>
      <c r="Y1386" s="22"/>
      <c r="Z1386" s="22"/>
      <c r="AA1386" s="22"/>
      <c r="AF1386" s="22"/>
      <c r="AG1386" s="22"/>
      <c r="AH1386" s="22"/>
      <c r="AI1386" s="22"/>
      <c r="AN1386" s="22"/>
      <c r="AO1386" s="22"/>
      <c r="AP1386" s="22"/>
      <c r="AQ1386" s="22"/>
      <c r="AR1386" s="35"/>
      <c r="AS1386" s="35"/>
      <c r="AT1386" s="35"/>
      <c r="AU1386" s="31"/>
      <c r="AV1386" s="36"/>
    </row>
    <row r="1387" spans="4:48">
      <c r="D1387" s="31"/>
      <c r="E1387" s="31"/>
      <c r="F1387" s="31"/>
      <c r="G1387" s="31"/>
      <c r="H1387" s="32"/>
      <c r="J1387" s="33"/>
      <c r="K1387" s="33"/>
      <c r="L1387" s="33"/>
      <c r="X1387" s="22"/>
      <c r="Y1387" s="22"/>
      <c r="Z1387" s="22"/>
      <c r="AA1387" s="22"/>
      <c r="AF1387" s="22"/>
      <c r="AG1387" s="22"/>
      <c r="AH1387" s="22"/>
      <c r="AI1387" s="22"/>
      <c r="AN1387" s="22"/>
      <c r="AO1387" s="22"/>
      <c r="AP1387" s="22"/>
      <c r="AQ1387" s="22"/>
      <c r="AR1387" s="35"/>
      <c r="AS1387" s="35"/>
      <c r="AT1387" s="35"/>
      <c r="AU1387" s="31"/>
      <c r="AV1387" s="36"/>
    </row>
    <row r="1388" spans="4:48">
      <c r="D1388" s="31"/>
      <c r="E1388" s="31"/>
      <c r="F1388" s="31"/>
      <c r="G1388" s="31"/>
      <c r="H1388" s="32"/>
      <c r="J1388" s="33"/>
      <c r="K1388" s="33"/>
      <c r="L1388" s="33"/>
      <c r="X1388" s="22"/>
      <c r="Y1388" s="22"/>
      <c r="Z1388" s="22"/>
      <c r="AA1388" s="22"/>
      <c r="AF1388" s="22"/>
      <c r="AG1388" s="22"/>
      <c r="AH1388" s="22"/>
      <c r="AI1388" s="22"/>
      <c r="AN1388" s="22"/>
      <c r="AO1388" s="22"/>
      <c r="AP1388" s="22"/>
      <c r="AQ1388" s="22"/>
      <c r="AR1388" s="35"/>
      <c r="AS1388" s="35"/>
      <c r="AT1388" s="35"/>
      <c r="AU1388" s="31"/>
      <c r="AV1388" s="36"/>
    </row>
    <row r="1389" spans="4:48">
      <c r="D1389" s="31"/>
      <c r="E1389" s="31"/>
      <c r="F1389" s="31"/>
      <c r="G1389" s="31"/>
      <c r="H1389" s="32"/>
      <c r="J1389" s="33"/>
      <c r="K1389" s="33"/>
      <c r="L1389" s="33"/>
      <c r="X1389" s="22"/>
      <c r="Y1389" s="22"/>
      <c r="Z1389" s="22"/>
      <c r="AA1389" s="22"/>
      <c r="AF1389" s="22"/>
      <c r="AG1389" s="22"/>
      <c r="AH1389" s="22"/>
      <c r="AI1389" s="22"/>
      <c r="AN1389" s="22"/>
      <c r="AO1389" s="22"/>
      <c r="AP1389" s="22"/>
      <c r="AQ1389" s="22"/>
      <c r="AR1389" s="35"/>
      <c r="AS1389" s="35"/>
      <c r="AT1389" s="35"/>
      <c r="AU1389" s="31"/>
      <c r="AV1389" s="36"/>
    </row>
    <row r="1390" spans="4:48">
      <c r="D1390" s="31"/>
      <c r="E1390" s="31"/>
      <c r="F1390" s="31"/>
      <c r="G1390" s="31"/>
      <c r="H1390" s="32"/>
      <c r="J1390" s="33"/>
      <c r="K1390" s="33"/>
      <c r="L1390" s="33"/>
      <c r="X1390" s="22"/>
      <c r="Y1390" s="22"/>
      <c r="Z1390" s="22"/>
      <c r="AA1390" s="22"/>
      <c r="AF1390" s="22"/>
      <c r="AG1390" s="22"/>
      <c r="AH1390" s="22"/>
      <c r="AI1390" s="22"/>
      <c r="AN1390" s="22"/>
      <c r="AO1390" s="22"/>
      <c r="AP1390" s="22"/>
      <c r="AQ1390" s="22"/>
      <c r="AR1390" s="35"/>
      <c r="AS1390" s="35"/>
      <c r="AT1390" s="35"/>
      <c r="AU1390" s="31"/>
      <c r="AV1390" s="36"/>
    </row>
    <row r="1391" spans="4:48">
      <c r="D1391" s="31"/>
      <c r="E1391" s="31"/>
      <c r="F1391" s="31"/>
      <c r="G1391" s="31"/>
      <c r="H1391" s="32"/>
      <c r="J1391" s="33"/>
      <c r="K1391" s="33"/>
      <c r="L1391" s="33"/>
      <c r="X1391" s="22"/>
      <c r="Y1391" s="22"/>
      <c r="Z1391" s="22"/>
      <c r="AA1391" s="22"/>
      <c r="AF1391" s="22"/>
      <c r="AG1391" s="22"/>
      <c r="AH1391" s="22"/>
      <c r="AI1391" s="22"/>
      <c r="AN1391" s="22"/>
      <c r="AO1391" s="22"/>
      <c r="AP1391" s="22"/>
      <c r="AQ1391" s="22"/>
      <c r="AR1391" s="35"/>
      <c r="AS1391" s="35"/>
      <c r="AT1391" s="35"/>
      <c r="AU1391" s="31"/>
      <c r="AV1391" s="36"/>
    </row>
    <row r="1392" spans="4:48">
      <c r="D1392" s="31"/>
      <c r="E1392" s="31"/>
      <c r="F1392" s="31"/>
      <c r="G1392" s="31"/>
      <c r="H1392" s="32"/>
      <c r="J1392" s="33"/>
      <c r="K1392" s="33"/>
      <c r="L1392" s="33"/>
      <c r="X1392" s="22"/>
      <c r="Y1392" s="22"/>
      <c r="Z1392" s="22"/>
      <c r="AA1392" s="22"/>
      <c r="AF1392" s="22"/>
      <c r="AG1392" s="22"/>
      <c r="AH1392" s="22"/>
      <c r="AI1392" s="22"/>
      <c r="AN1392" s="22"/>
      <c r="AO1392" s="22"/>
      <c r="AP1392" s="22"/>
      <c r="AQ1392" s="22"/>
      <c r="AR1392" s="35"/>
      <c r="AS1392" s="35"/>
      <c r="AT1392" s="35"/>
      <c r="AU1392" s="31"/>
      <c r="AV1392" s="36"/>
    </row>
    <row r="1393" spans="4:48">
      <c r="D1393" s="31"/>
      <c r="E1393" s="31"/>
      <c r="F1393" s="31"/>
      <c r="G1393" s="31"/>
      <c r="H1393" s="32"/>
      <c r="J1393" s="33"/>
      <c r="K1393" s="33"/>
      <c r="L1393" s="33"/>
      <c r="X1393" s="22"/>
      <c r="Y1393" s="22"/>
      <c r="Z1393" s="22"/>
      <c r="AA1393" s="22"/>
      <c r="AF1393" s="22"/>
      <c r="AG1393" s="22"/>
      <c r="AH1393" s="22"/>
      <c r="AI1393" s="22"/>
      <c r="AN1393" s="22"/>
      <c r="AO1393" s="22"/>
      <c r="AP1393" s="22"/>
      <c r="AQ1393" s="22"/>
      <c r="AR1393" s="35"/>
      <c r="AS1393" s="35"/>
      <c r="AT1393" s="35"/>
      <c r="AU1393" s="31"/>
      <c r="AV1393" s="36"/>
    </row>
    <row r="1394" spans="4:48">
      <c r="D1394" s="31"/>
      <c r="E1394" s="31"/>
      <c r="F1394" s="31"/>
      <c r="G1394" s="31"/>
      <c r="H1394" s="32"/>
      <c r="J1394" s="33"/>
      <c r="K1394" s="33"/>
      <c r="L1394" s="33"/>
      <c r="X1394" s="22"/>
      <c r="Y1394" s="22"/>
      <c r="Z1394" s="22"/>
      <c r="AA1394" s="22"/>
      <c r="AF1394" s="22"/>
      <c r="AG1394" s="22"/>
      <c r="AH1394" s="22"/>
      <c r="AI1394" s="22"/>
      <c r="AN1394" s="22"/>
      <c r="AO1394" s="22"/>
      <c r="AP1394" s="22"/>
      <c r="AQ1394" s="22"/>
      <c r="AR1394" s="35"/>
      <c r="AS1394" s="35"/>
      <c r="AT1394" s="35"/>
      <c r="AU1394" s="31"/>
      <c r="AV1394" s="36"/>
    </row>
    <row r="1395" spans="4:48">
      <c r="D1395" s="31"/>
      <c r="E1395" s="31"/>
      <c r="F1395" s="31"/>
      <c r="G1395" s="31"/>
      <c r="H1395" s="32"/>
      <c r="J1395" s="33"/>
      <c r="K1395" s="33"/>
      <c r="L1395" s="33"/>
      <c r="X1395" s="22"/>
      <c r="Y1395" s="22"/>
      <c r="Z1395" s="22"/>
      <c r="AA1395" s="22"/>
      <c r="AF1395" s="22"/>
      <c r="AG1395" s="22"/>
      <c r="AH1395" s="22"/>
      <c r="AI1395" s="22"/>
      <c r="AN1395" s="22"/>
      <c r="AO1395" s="22"/>
      <c r="AP1395" s="22"/>
      <c r="AQ1395" s="22"/>
      <c r="AR1395" s="35"/>
      <c r="AS1395" s="35"/>
      <c r="AT1395" s="35"/>
      <c r="AU1395" s="31"/>
      <c r="AV1395" s="36"/>
    </row>
    <row r="1396" spans="4:48">
      <c r="D1396" s="31"/>
      <c r="E1396" s="31"/>
      <c r="F1396" s="31"/>
      <c r="G1396" s="31"/>
      <c r="H1396" s="32"/>
      <c r="J1396" s="33"/>
      <c r="K1396" s="33"/>
      <c r="L1396" s="33"/>
      <c r="X1396" s="22"/>
      <c r="Y1396" s="22"/>
      <c r="Z1396" s="22"/>
      <c r="AA1396" s="22"/>
      <c r="AF1396" s="22"/>
      <c r="AG1396" s="22"/>
      <c r="AH1396" s="22"/>
      <c r="AI1396" s="22"/>
      <c r="AN1396" s="22"/>
      <c r="AO1396" s="22"/>
      <c r="AP1396" s="22"/>
      <c r="AQ1396" s="22"/>
      <c r="AR1396" s="35"/>
      <c r="AS1396" s="35"/>
      <c r="AT1396" s="35"/>
      <c r="AU1396" s="31"/>
      <c r="AV1396" s="36"/>
    </row>
    <row r="1397" spans="4:48">
      <c r="D1397" s="31"/>
      <c r="E1397" s="31"/>
      <c r="F1397" s="31"/>
      <c r="G1397" s="31"/>
      <c r="H1397" s="32"/>
      <c r="J1397" s="33"/>
      <c r="K1397" s="33"/>
      <c r="L1397" s="33"/>
      <c r="X1397" s="22"/>
      <c r="Y1397" s="22"/>
      <c r="Z1397" s="22"/>
      <c r="AA1397" s="22"/>
      <c r="AF1397" s="22"/>
      <c r="AG1397" s="22"/>
      <c r="AH1397" s="22"/>
      <c r="AI1397" s="22"/>
      <c r="AN1397" s="22"/>
      <c r="AO1397" s="22"/>
      <c r="AP1397" s="22"/>
      <c r="AQ1397" s="22"/>
      <c r="AR1397" s="35"/>
      <c r="AS1397" s="35"/>
      <c r="AT1397" s="35"/>
      <c r="AU1397" s="31"/>
      <c r="AV1397" s="36"/>
    </row>
    <row r="1398" spans="4:48">
      <c r="D1398" s="31"/>
      <c r="E1398" s="31"/>
      <c r="F1398" s="31"/>
      <c r="G1398" s="31"/>
      <c r="H1398" s="32"/>
      <c r="J1398" s="33"/>
      <c r="K1398" s="33"/>
      <c r="L1398" s="33"/>
      <c r="X1398" s="22"/>
      <c r="Y1398" s="22"/>
      <c r="Z1398" s="22"/>
      <c r="AA1398" s="22"/>
      <c r="AF1398" s="22"/>
      <c r="AG1398" s="22"/>
      <c r="AH1398" s="22"/>
      <c r="AI1398" s="22"/>
      <c r="AN1398" s="22"/>
      <c r="AO1398" s="22"/>
      <c r="AP1398" s="22"/>
      <c r="AQ1398" s="22"/>
      <c r="AR1398" s="35"/>
      <c r="AS1398" s="35"/>
      <c r="AT1398" s="35"/>
      <c r="AU1398" s="31"/>
      <c r="AV1398" s="36"/>
    </row>
    <row r="1399" spans="4:48">
      <c r="D1399" s="31"/>
      <c r="E1399" s="31"/>
      <c r="F1399" s="31"/>
      <c r="G1399" s="31"/>
      <c r="H1399" s="32"/>
      <c r="J1399" s="33"/>
      <c r="K1399" s="33"/>
      <c r="L1399" s="33"/>
      <c r="X1399" s="22"/>
      <c r="Y1399" s="22"/>
      <c r="Z1399" s="22"/>
      <c r="AA1399" s="22"/>
      <c r="AF1399" s="22"/>
      <c r="AG1399" s="22"/>
      <c r="AH1399" s="22"/>
      <c r="AI1399" s="22"/>
      <c r="AN1399" s="22"/>
      <c r="AO1399" s="22"/>
      <c r="AP1399" s="22"/>
      <c r="AQ1399" s="22"/>
      <c r="AR1399" s="35"/>
      <c r="AS1399" s="35"/>
      <c r="AT1399" s="35"/>
      <c r="AU1399" s="31"/>
      <c r="AV1399" s="36"/>
    </row>
    <row r="1400" spans="4:48">
      <c r="D1400" s="31"/>
      <c r="E1400" s="31"/>
      <c r="F1400" s="31"/>
      <c r="G1400" s="31"/>
      <c r="H1400" s="32"/>
      <c r="J1400" s="33"/>
      <c r="K1400" s="33"/>
      <c r="L1400" s="33"/>
      <c r="X1400" s="22"/>
      <c r="Y1400" s="22"/>
      <c r="Z1400" s="22"/>
      <c r="AA1400" s="22"/>
      <c r="AF1400" s="22"/>
      <c r="AG1400" s="22"/>
      <c r="AH1400" s="22"/>
      <c r="AI1400" s="22"/>
      <c r="AN1400" s="22"/>
      <c r="AO1400" s="22"/>
      <c r="AP1400" s="22"/>
      <c r="AQ1400" s="22"/>
      <c r="AR1400" s="35"/>
      <c r="AS1400" s="35"/>
      <c r="AT1400" s="35"/>
      <c r="AU1400" s="31"/>
      <c r="AV1400" s="36"/>
    </row>
    <row r="1401" spans="4:48">
      <c r="D1401" s="31"/>
      <c r="E1401" s="31"/>
      <c r="F1401" s="31"/>
      <c r="G1401" s="31"/>
      <c r="H1401" s="32"/>
      <c r="J1401" s="33"/>
      <c r="K1401" s="33"/>
      <c r="L1401" s="33"/>
      <c r="X1401" s="22"/>
      <c r="Y1401" s="22"/>
      <c r="Z1401" s="22"/>
      <c r="AA1401" s="22"/>
      <c r="AF1401" s="22"/>
      <c r="AG1401" s="22"/>
      <c r="AH1401" s="22"/>
      <c r="AI1401" s="22"/>
      <c r="AN1401" s="22"/>
      <c r="AO1401" s="22"/>
      <c r="AP1401" s="22"/>
      <c r="AQ1401" s="22"/>
      <c r="AR1401" s="35"/>
      <c r="AS1401" s="35"/>
      <c r="AT1401" s="35"/>
      <c r="AU1401" s="31"/>
      <c r="AV1401" s="36"/>
    </row>
    <row r="1402" spans="4:48">
      <c r="D1402" s="31"/>
      <c r="E1402" s="31"/>
      <c r="F1402" s="31"/>
      <c r="G1402" s="31"/>
      <c r="H1402" s="32"/>
      <c r="J1402" s="33"/>
      <c r="K1402" s="33"/>
      <c r="L1402" s="33"/>
      <c r="X1402" s="22"/>
      <c r="Y1402" s="22"/>
      <c r="Z1402" s="22"/>
      <c r="AA1402" s="22"/>
      <c r="AF1402" s="22"/>
      <c r="AG1402" s="22"/>
      <c r="AH1402" s="22"/>
      <c r="AI1402" s="22"/>
      <c r="AN1402" s="22"/>
      <c r="AO1402" s="22"/>
      <c r="AP1402" s="22"/>
      <c r="AQ1402" s="22"/>
      <c r="AR1402" s="35"/>
      <c r="AS1402" s="35"/>
      <c r="AT1402" s="35"/>
      <c r="AU1402" s="31"/>
      <c r="AV1402" s="36"/>
    </row>
    <row r="1403" spans="4:48">
      <c r="D1403" s="31"/>
      <c r="E1403" s="31"/>
      <c r="F1403" s="31"/>
      <c r="G1403" s="31"/>
      <c r="H1403" s="32"/>
      <c r="J1403" s="33"/>
      <c r="K1403" s="33"/>
      <c r="L1403" s="33"/>
      <c r="X1403" s="22"/>
      <c r="Y1403" s="22"/>
      <c r="Z1403" s="22"/>
      <c r="AA1403" s="22"/>
      <c r="AF1403" s="22"/>
      <c r="AG1403" s="22"/>
      <c r="AH1403" s="22"/>
      <c r="AI1403" s="22"/>
      <c r="AN1403" s="22"/>
      <c r="AO1403" s="22"/>
      <c r="AP1403" s="22"/>
      <c r="AQ1403" s="22"/>
      <c r="AR1403" s="35"/>
      <c r="AS1403" s="35"/>
      <c r="AT1403" s="35"/>
      <c r="AU1403" s="31"/>
      <c r="AV1403" s="36"/>
    </row>
    <row r="1404" spans="4:48">
      <c r="D1404" s="31"/>
      <c r="E1404" s="31"/>
      <c r="F1404" s="31"/>
      <c r="G1404" s="31"/>
      <c r="H1404" s="32"/>
      <c r="J1404" s="33"/>
      <c r="K1404" s="33"/>
      <c r="L1404" s="33"/>
      <c r="X1404" s="22"/>
      <c r="Y1404" s="22"/>
      <c r="Z1404" s="22"/>
      <c r="AA1404" s="22"/>
      <c r="AF1404" s="22"/>
      <c r="AG1404" s="22"/>
      <c r="AH1404" s="22"/>
      <c r="AI1404" s="22"/>
      <c r="AN1404" s="22"/>
      <c r="AO1404" s="22"/>
      <c r="AP1404" s="22"/>
      <c r="AQ1404" s="22"/>
      <c r="AR1404" s="35"/>
      <c r="AS1404" s="35"/>
      <c r="AT1404" s="35"/>
      <c r="AU1404" s="31"/>
      <c r="AV1404" s="36"/>
    </row>
    <row r="1405" spans="4:48">
      <c r="D1405" s="31"/>
      <c r="E1405" s="31"/>
      <c r="F1405" s="31"/>
      <c r="G1405" s="31"/>
      <c r="H1405" s="32"/>
      <c r="J1405" s="33"/>
      <c r="K1405" s="33"/>
      <c r="L1405" s="33"/>
      <c r="X1405" s="22"/>
      <c r="Y1405" s="22"/>
      <c r="Z1405" s="22"/>
      <c r="AA1405" s="22"/>
      <c r="AF1405" s="22"/>
      <c r="AG1405" s="22"/>
      <c r="AH1405" s="22"/>
      <c r="AI1405" s="22"/>
      <c r="AN1405" s="22"/>
      <c r="AO1405" s="22"/>
      <c r="AP1405" s="22"/>
      <c r="AQ1405" s="22"/>
      <c r="AR1405" s="35"/>
      <c r="AS1405" s="35"/>
      <c r="AT1405" s="35"/>
      <c r="AU1405" s="31"/>
      <c r="AV1405" s="36"/>
    </row>
    <row r="1406" spans="4:48">
      <c r="D1406" s="31"/>
      <c r="E1406" s="31"/>
      <c r="F1406" s="31"/>
      <c r="G1406" s="31"/>
      <c r="H1406" s="32"/>
      <c r="J1406" s="33"/>
      <c r="K1406" s="33"/>
      <c r="L1406" s="33"/>
      <c r="X1406" s="22"/>
      <c r="Y1406" s="22"/>
      <c r="Z1406" s="22"/>
      <c r="AA1406" s="22"/>
      <c r="AF1406" s="22"/>
      <c r="AG1406" s="22"/>
      <c r="AH1406" s="22"/>
      <c r="AI1406" s="22"/>
      <c r="AN1406" s="22"/>
      <c r="AO1406" s="22"/>
      <c r="AP1406" s="22"/>
      <c r="AQ1406" s="22"/>
      <c r="AR1406" s="35"/>
      <c r="AS1406" s="35"/>
      <c r="AT1406" s="35"/>
      <c r="AU1406" s="31"/>
      <c r="AV1406" s="36"/>
    </row>
    <row r="1407" spans="4:48">
      <c r="D1407" s="31"/>
      <c r="E1407" s="31"/>
      <c r="F1407" s="31"/>
      <c r="G1407" s="31"/>
      <c r="H1407" s="32"/>
      <c r="J1407" s="33"/>
      <c r="K1407" s="33"/>
      <c r="L1407" s="33"/>
      <c r="X1407" s="22"/>
      <c r="Y1407" s="22"/>
      <c r="Z1407" s="22"/>
      <c r="AA1407" s="22"/>
      <c r="AF1407" s="22"/>
      <c r="AG1407" s="22"/>
      <c r="AH1407" s="22"/>
      <c r="AI1407" s="22"/>
      <c r="AN1407" s="22"/>
      <c r="AO1407" s="22"/>
      <c r="AP1407" s="22"/>
      <c r="AQ1407" s="22"/>
      <c r="AR1407" s="35"/>
      <c r="AS1407" s="35"/>
      <c r="AT1407" s="35"/>
      <c r="AU1407" s="31"/>
      <c r="AV1407" s="36"/>
    </row>
    <row r="1408" spans="4:48">
      <c r="D1408" s="31"/>
      <c r="E1408" s="31"/>
      <c r="F1408" s="31"/>
      <c r="G1408" s="31"/>
      <c r="H1408" s="32"/>
      <c r="J1408" s="33"/>
      <c r="K1408" s="33"/>
      <c r="L1408" s="33"/>
      <c r="X1408" s="22"/>
      <c r="Y1408" s="22"/>
      <c r="Z1408" s="22"/>
      <c r="AA1408" s="22"/>
      <c r="AF1408" s="22"/>
      <c r="AG1408" s="22"/>
      <c r="AH1408" s="22"/>
      <c r="AI1408" s="22"/>
      <c r="AN1408" s="22"/>
      <c r="AO1408" s="22"/>
      <c r="AP1408" s="22"/>
      <c r="AQ1408" s="22"/>
      <c r="AR1408" s="35"/>
      <c r="AS1408" s="35"/>
      <c r="AT1408" s="35"/>
      <c r="AU1408" s="31"/>
      <c r="AV1408" s="36"/>
    </row>
    <row r="1409" spans="4:48">
      <c r="D1409" s="31"/>
      <c r="E1409" s="31"/>
      <c r="F1409" s="31"/>
      <c r="G1409" s="31"/>
      <c r="H1409" s="32"/>
      <c r="J1409" s="33"/>
      <c r="K1409" s="33"/>
      <c r="L1409" s="33"/>
      <c r="X1409" s="22"/>
      <c r="Y1409" s="22"/>
      <c r="Z1409" s="22"/>
      <c r="AA1409" s="22"/>
      <c r="AF1409" s="22"/>
      <c r="AG1409" s="22"/>
      <c r="AH1409" s="22"/>
      <c r="AI1409" s="22"/>
      <c r="AN1409" s="22"/>
      <c r="AO1409" s="22"/>
      <c r="AP1409" s="22"/>
      <c r="AQ1409" s="22"/>
      <c r="AR1409" s="35"/>
      <c r="AS1409" s="35"/>
      <c r="AT1409" s="35"/>
      <c r="AU1409" s="31"/>
      <c r="AV1409" s="36"/>
    </row>
    <row r="1410" spans="4:48">
      <c r="D1410" s="31"/>
      <c r="E1410" s="31"/>
      <c r="F1410" s="31"/>
      <c r="G1410" s="31"/>
      <c r="H1410" s="32"/>
      <c r="J1410" s="33"/>
      <c r="K1410" s="33"/>
      <c r="L1410" s="33"/>
      <c r="X1410" s="22"/>
      <c r="Y1410" s="22"/>
      <c r="Z1410" s="22"/>
      <c r="AA1410" s="22"/>
      <c r="AF1410" s="22"/>
      <c r="AG1410" s="22"/>
      <c r="AH1410" s="22"/>
      <c r="AI1410" s="22"/>
      <c r="AN1410" s="22"/>
      <c r="AO1410" s="22"/>
      <c r="AP1410" s="22"/>
      <c r="AQ1410" s="22"/>
      <c r="AR1410" s="35"/>
      <c r="AS1410" s="35"/>
      <c r="AT1410" s="35"/>
      <c r="AU1410" s="31"/>
      <c r="AV1410" s="36"/>
    </row>
    <row r="1411" spans="4:48">
      <c r="D1411" s="31"/>
      <c r="E1411" s="31"/>
      <c r="F1411" s="31"/>
      <c r="G1411" s="31"/>
      <c r="H1411" s="32"/>
      <c r="J1411" s="33"/>
      <c r="K1411" s="33"/>
      <c r="L1411" s="33"/>
      <c r="X1411" s="22"/>
      <c r="Y1411" s="22"/>
      <c r="Z1411" s="22"/>
      <c r="AA1411" s="22"/>
      <c r="AF1411" s="22"/>
      <c r="AG1411" s="22"/>
      <c r="AH1411" s="22"/>
      <c r="AI1411" s="22"/>
      <c r="AN1411" s="22"/>
      <c r="AO1411" s="22"/>
      <c r="AP1411" s="22"/>
      <c r="AQ1411" s="22"/>
      <c r="AR1411" s="35"/>
      <c r="AS1411" s="35"/>
      <c r="AT1411" s="35"/>
      <c r="AU1411" s="31"/>
      <c r="AV1411" s="36"/>
    </row>
    <row r="1412" spans="4:48">
      <c r="D1412" s="31"/>
      <c r="E1412" s="31"/>
      <c r="F1412" s="31"/>
      <c r="G1412" s="31"/>
      <c r="H1412" s="32"/>
      <c r="J1412" s="33"/>
      <c r="K1412" s="33"/>
      <c r="L1412" s="33"/>
      <c r="X1412" s="22"/>
      <c r="Y1412" s="22"/>
      <c r="Z1412" s="22"/>
      <c r="AA1412" s="22"/>
      <c r="AF1412" s="22"/>
      <c r="AG1412" s="22"/>
      <c r="AH1412" s="22"/>
      <c r="AI1412" s="22"/>
      <c r="AN1412" s="22"/>
      <c r="AO1412" s="22"/>
      <c r="AP1412" s="22"/>
      <c r="AQ1412" s="22"/>
      <c r="AR1412" s="35"/>
      <c r="AS1412" s="35"/>
      <c r="AT1412" s="35"/>
      <c r="AU1412" s="31"/>
      <c r="AV1412" s="36"/>
    </row>
    <row r="1413" spans="4:48">
      <c r="D1413" s="31"/>
      <c r="E1413" s="31"/>
      <c r="F1413" s="31"/>
      <c r="G1413" s="31"/>
      <c r="H1413" s="32"/>
      <c r="J1413" s="33"/>
      <c r="K1413" s="33"/>
      <c r="L1413" s="33"/>
      <c r="X1413" s="22"/>
      <c r="Y1413" s="22"/>
      <c r="Z1413" s="22"/>
      <c r="AA1413" s="22"/>
      <c r="AF1413" s="22"/>
      <c r="AG1413" s="22"/>
      <c r="AH1413" s="22"/>
      <c r="AI1413" s="22"/>
      <c r="AN1413" s="22"/>
      <c r="AO1413" s="22"/>
      <c r="AP1413" s="22"/>
      <c r="AQ1413" s="22"/>
      <c r="AR1413" s="35"/>
      <c r="AS1413" s="35"/>
      <c r="AT1413" s="35"/>
      <c r="AU1413" s="31"/>
      <c r="AV1413" s="36"/>
    </row>
    <row r="1414" spans="4:48">
      <c r="D1414" s="31"/>
      <c r="E1414" s="31"/>
      <c r="F1414" s="31"/>
      <c r="G1414" s="31"/>
      <c r="H1414" s="32"/>
      <c r="J1414" s="33"/>
      <c r="K1414" s="33"/>
      <c r="L1414" s="33"/>
      <c r="X1414" s="22"/>
      <c r="Y1414" s="22"/>
      <c r="Z1414" s="22"/>
      <c r="AA1414" s="22"/>
      <c r="AF1414" s="22"/>
      <c r="AG1414" s="22"/>
      <c r="AH1414" s="22"/>
      <c r="AI1414" s="22"/>
      <c r="AN1414" s="22"/>
      <c r="AO1414" s="22"/>
      <c r="AP1414" s="22"/>
      <c r="AQ1414" s="22"/>
      <c r="AR1414" s="35"/>
      <c r="AS1414" s="35"/>
      <c r="AT1414" s="35"/>
      <c r="AU1414" s="31"/>
      <c r="AV1414" s="36"/>
    </row>
    <row r="1415" spans="4:48">
      <c r="D1415" s="31"/>
      <c r="E1415" s="31"/>
      <c r="F1415" s="31"/>
      <c r="G1415" s="31"/>
      <c r="H1415" s="32"/>
      <c r="J1415" s="33"/>
      <c r="K1415" s="33"/>
      <c r="L1415" s="33"/>
      <c r="X1415" s="22"/>
      <c r="Y1415" s="22"/>
      <c r="Z1415" s="22"/>
      <c r="AA1415" s="22"/>
      <c r="AF1415" s="22"/>
      <c r="AG1415" s="22"/>
      <c r="AH1415" s="22"/>
      <c r="AI1415" s="22"/>
      <c r="AN1415" s="22"/>
      <c r="AO1415" s="22"/>
      <c r="AP1415" s="22"/>
      <c r="AQ1415" s="22"/>
      <c r="AR1415" s="35"/>
      <c r="AS1415" s="35"/>
      <c r="AT1415" s="35"/>
      <c r="AU1415" s="31"/>
      <c r="AV1415" s="36"/>
    </row>
    <row r="1416" spans="4:48">
      <c r="D1416" s="31"/>
      <c r="E1416" s="31"/>
      <c r="F1416" s="31"/>
      <c r="G1416" s="31"/>
      <c r="H1416" s="32"/>
      <c r="J1416" s="33"/>
      <c r="K1416" s="33"/>
      <c r="L1416" s="33"/>
      <c r="X1416" s="22"/>
      <c r="Y1416" s="22"/>
      <c r="Z1416" s="22"/>
      <c r="AA1416" s="22"/>
      <c r="AF1416" s="22"/>
      <c r="AG1416" s="22"/>
      <c r="AH1416" s="22"/>
      <c r="AI1416" s="22"/>
      <c r="AN1416" s="22"/>
      <c r="AO1416" s="22"/>
      <c r="AP1416" s="22"/>
      <c r="AQ1416" s="22"/>
      <c r="AR1416" s="35"/>
      <c r="AS1416" s="35"/>
      <c r="AT1416" s="35"/>
      <c r="AU1416" s="31"/>
      <c r="AV1416" s="36"/>
    </row>
    <row r="1417" spans="4:48">
      <c r="D1417" s="31"/>
      <c r="E1417" s="31"/>
      <c r="F1417" s="31"/>
      <c r="G1417" s="31"/>
      <c r="H1417" s="32"/>
      <c r="J1417" s="33"/>
      <c r="K1417" s="33"/>
      <c r="L1417" s="33"/>
      <c r="X1417" s="22"/>
      <c r="Y1417" s="22"/>
      <c r="Z1417" s="22"/>
      <c r="AA1417" s="22"/>
      <c r="AF1417" s="22"/>
      <c r="AG1417" s="22"/>
      <c r="AH1417" s="22"/>
      <c r="AI1417" s="22"/>
      <c r="AN1417" s="22"/>
      <c r="AO1417" s="22"/>
      <c r="AP1417" s="22"/>
      <c r="AQ1417" s="22"/>
      <c r="AR1417" s="35"/>
      <c r="AS1417" s="35"/>
      <c r="AT1417" s="35"/>
      <c r="AU1417" s="31"/>
      <c r="AV1417" s="36"/>
    </row>
    <row r="1418" spans="4:48">
      <c r="D1418" s="31"/>
      <c r="E1418" s="31"/>
      <c r="F1418" s="31"/>
      <c r="G1418" s="31"/>
      <c r="H1418" s="32"/>
      <c r="J1418" s="33"/>
      <c r="K1418" s="33"/>
      <c r="L1418" s="33"/>
      <c r="X1418" s="22"/>
      <c r="Y1418" s="22"/>
      <c r="Z1418" s="22"/>
      <c r="AA1418" s="22"/>
      <c r="AF1418" s="22"/>
      <c r="AG1418" s="22"/>
      <c r="AH1418" s="22"/>
      <c r="AI1418" s="22"/>
      <c r="AN1418" s="22"/>
      <c r="AO1418" s="22"/>
      <c r="AP1418" s="22"/>
      <c r="AQ1418" s="22"/>
      <c r="AR1418" s="35"/>
      <c r="AS1418" s="35"/>
      <c r="AT1418" s="35"/>
      <c r="AU1418" s="31"/>
      <c r="AV1418" s="36"/>
    </row>
    <row r="1419" spans="4:48">
      <c r="D1419" s="31"/>
      <c r="E1419" s="31"/>
      <c r="F1419" s="31"/>
      <c r="G1419" s="31"/>
      <c r="H1419" s="32"/>
      <c r="J1419" s="33"/>
      <c r="K1419" s="33"/>
      <c r="L1419" s="33"/>
      <c r="X1419" s="22"/>
      <c r="Y1419" s="22"/>
      <c r="Z1419" s="22"/>
      <c r="AA1419" s="22"/>
      <c r="AF1419" s="22"/>
      <c r="AG1419" s="22"/>
      <c r="AH1419" s="22"/>
      <c r="AI1419" s="22"/>
      <c r="AN1419" s="22"/>
      <c r="AO1419" s="22"/>
      <c r="AP1419" s="22"/>
      <c r="AQ1419" s="22"/>
      <c r="AR1419" s="35"/>
      <c r="AS1419" s="35"/>
      <c r="AT1419" s="35"/>
      <c r="AU1419" s="31"/>
      <c r="AV1419" s="36"/>
    </row>
    <row r="1420" spans="4:48">
      <c r="D1420" s="31"/>
      <c r="E1420" s="31"/>
      <c r="F1420" s="31"/>
      <c r="G1420" s="31"/>
      <c r="H1420" s="32"/>
      <c r="J1420" s="33"/>
      <c r="K1420" s="33"/>
      <c r="L1420" s="33"/>
      <c r="X1420" s="22"/>
      <c r="Y1420" s="22"/>
      <c r="Z1420" s="22"/>
      <c r="AA1420" s="22"/>
      <c r="AF1420" s="22"/>
      <c r="AG1420" s="22"/>
      <c r="AH1420" s="22"/>
      <c r="AI1420" s="22"/>
      <c r="AN1420" s="22"/>
      <c r="AO1420" s="22"/>
      <c r="AP1420" s="22"/>
      <c r="AQ1420" s="22"/>
      <c r="AR1420" s="35"/>
      <c r="AS1420" s="35"/>
      <c r="AT1420" s="35"/>
      <c r="AU1420" s="31"/>
      <c r="AV1420" s="36"/>
    </row>
    <row r="1421" spans="4:48">
      <c r="D1421" s="31"/>
      <c r="E1421" s="31"/>
      <c r="F1421" s="31"/>
      <c r="G1421" s="31"/>
      <c r="H1421" s="32"/>
      <c r="J1421" s="33"/>
      <c r="K1421" s="33"/>
      <c r="L1421" s="33"/>
      <c r="X1421" s="22"/>
      <c r="Y1421" s="22"/>
      <c r="Z1421" s="22"/>
      <c r="AA1421" s="22"/>
      <c r="AF1421" s="22"/>
      <c r="AG1421" s="22"/>
      <c r="AH1421" s="22"/>
      <c r="AI1421" s="22"/>
      <c r="AN1421" s="22"/>
      <c r="AO1421" s="22"/>
      <c r="AP1421" s="22"/>
      <c r="AQ1421" s="22"/>
      <c r="AR1421" s="35"/>
      <c r="AS1421" s="35"/>
      <c r="AT1421" s="35"/>
      <c r="AU1421" s="31"/>
      <c r="AV1421" s="36"/>
    </row>
    <row r="1422" spans="4:48">
      <c r="D1422" s="31"/>
      <c r="E1422" s="31"/>
      <c r="F1422" s="31"/>
      <c r="G1422" s="31"/>
      <c r="H1422" s="32"/>
      <c r="J1422" s="33"/>
      <c r="K1422" s="33"/>
      <c r="L1422" s="33"/>
      <c r="X1422" s="22"/>
      <c r="Y1422" s="22"/>
      <c r="Z1422" s="22"/>
      <c r="AA1422" s="22"/>
      <c r="AF1422" s="22"/>
      <c r="AG1422" s="22"/>
      <c r="AH1422" s="22"/>
      <c r="AI1422" s="22"/>
      <c r="AN1422" s="22"/>
      <c r="AO1422" s="22"/>
      <c r="AP1422" s="22"/>
      <c r="AQ1422" s="22"/>
      <c r="AR1422" s="35"/>
      <c r="AS1422" s="35"/>
      <c r="AT1422" s="35"/>
      <c r="AU1422" s="31"/>
      <c r="AV1422" s="36"/>
    </row>
    <row r="1423" spans="4:48">
      <c r="D1423" s="31"/>
      <c r="E1423" s="31"/>
      <c r="F1423" s="31"/>
      <c r="G1423" s="31"/>
      <c r="H1423" s="32"/>
      <c r="J1423" s="33"/>
      <c r="K1423" s="33"/>
      <c r="L1423" s="33"/>
      <c r="X1423" s="22"/>
      <c r="Y1423" s="22"/>
      <c r="Z1423" s="22"/>
      <c r="AA1423" s="22"/>
      <c r="AF1423" s="22"/>
      <c r="AG1423" s="22"/>
      <c r="AH1423" s="22"/>
      <c r="AI1423" s="22"/>
      <c r="AN1423" s="22"/>
      <c r="AO1423" s="22"/>
      <c r="AP1423" s="22"/>
      <c r="AQ1423" s="22"/>
      <c r="AR1423" s="35"/>
      <c r="AS1423" s="35"/>
      <c r="AT1423" s="35"/>
      <c r="AU1423" s="31"/>
      <c r="AV1423" s="36"/>
    </row>
    <row r="1424" spans="4:48">
      <c r="D1424" s="31"/>
      <c r="E1424" s="31"/>
      <c r="F1424" s="31"/>
      <c r="G1424" s="31"/>
      <c r="H1424" s="32"/>
      <c r="J1424" s="33"/>
      <c r="K1424" s="33"/>
      <c r="L1424" s="33"/>
      <c r="X1424" s="22"/>
      <c r="Y1424" s="22"/>
      <c r="Z1424" s="22"/>
      <c r="AA1424" s="22"/>
      <c r="AF1424" s="22"/>
      <c r="AG1424" s="22"/>
      <c r="AH1424" s="22"/>
      <c r="AI1424" s="22"/>
      <c r="AN1424" s="22"/>
      <c r="AO1424" s="22"/>
      <c r="AP1424" s="22"/>
      <c r="AQ1424" s="22"/>
      <c r="AR1424" s="35"/>
      <c r="AS1424" s="35"/>
      <c r="AT1424" s="35"/>
      <c r="AU1424" s="31"/>
      <c r="AV1424" s="36"/>
    </row>
    <row r="1425" spans="4:48">
      <c r="D1425" s="31"/>
      <c r="E1425" s="31"/>
      <c r="F1425" s="31"/>
      <c r="G1425" s="31"/>
      <c r="H1425" s="32"/>
      <c r="J1425" s="33"/>
      <c r="K1425" s="33"/>
      <c r="L1425" s="33"/>
      <c r="X1425" s="22"/>
      <c r="Y1425" s="22"/>
      <c r="Z1425" s="22"/>
      <c r="AA1425" s="22"/>
      <c r="AF1425" s="22"/>
      <c r="AG1425" s="22"/>
      <c r="AH1425" s="22"/>
      <c r="AI1425" s="22"/>
      <c r="AN1425" s="22"/>
      <c r="AO1425" s="22"/>
      <c r="AP1425" s="22"/>
      <c r="AQ1425" s="22"/>
      <c r="AR1425" s="35"/>
      <c r="AS1425" s="35"/>
      <c r="AT1425" s="35"/>
      <c r="AU1425" s="31"/>
      <c r="AV1425" s="36"/>
    </row>
    <row r="1426" spans="4:48">
      <c r="D1426" s="31"/>
      <c r="E1426" s="31"/>
      <c r="F1426" s="31"/>
      <c r="G1426" s="31"/>
      <c r="H1426" s="32"/>
      <c r="J1426" s="33"/>
      <c r="K1426" s="33"/>
      <c r="L1426" s="33"/>
      <c r="X1426" s="22"/>
      <c r="Y1426" s="22"/>
      <c r="Z1426" s="22"/>
      <c r="AA1426" s="22"/>
      <c r="AF1426" s="22"/>
      <c r="AG1426" s="22"/>
      <c r="AH1426" s="22"/>
      <c r="AI1426" s="22"/>
      <c r="AN1426" s="22"/>
      <c r="AO1426" s="22"/>
      <c r="AP1426" s="22"/>
      <c r="AQ1426" s="22"/>
      <c r="AR1426" s="35"/>
      <c r="AS1426" s="35"/>
      <c r="AT1426" s="35"/>
      <c r="AU1426" s="31"/>
      <c r="AV1426" s="36"/>
    </row>
    <row r="1427" spans="4:48">
      <c r="D1427" s="31"/>
      <c r="E1427" s="31"/>
      <c r="F1427" s="31"/>
      <c r="G1427" s="31"/>
      <c r="H1427" s="32"/>
      <c r="J1427" s="33"/>
      <c r="K1427" s="33"/>
      <c r="L1427" s="33"/>
      <c r="X1427" s="22"/>
      <c r="Y1427" s="22"/>
      <c r="Z1427" s="22"/>
      <c r="AA1427" s="22"/>
      <c r="AF1427" s="22"/>
      <c r="AG1427" s="22"/>
      <c r="AH1427" s="22"/>
      <c r="AI1427" s="22"/>
      <c r="AN1427" s="22"/>
      <c r="AO1427" s="22"/>
      <c r="AP1427" s="22"/>
      <c r="AQ1427" s="22"/>
      <c r="AR1427" s="35"/>
      <c r="AS1427" s="35"/>
      <c r="AT1427" s="35"/>
      <c r="AU1427" s="31"/>
      <c r="AV1427" s="36"/>
    </row>
    <row r="1428" spans="4:48">
      <c r="D1428" s="31"/>
      <c r="E1428" s="31"/>
      <c r="F1428" s="31"/>
      <c r="G1428" s="31"/>
      <c r="H1428" s="32"/>
      <c r="J1428" s="33"/>
      <c r="K1428" s="33"/>
      <c r="L1428" s="33"/>
      <c r="X1428" s="22"/>
      <c r="Y1428" s="22"/>
      <c r="Z1428" s="22"/>
      <c r="AA1428" s="22"/>
      <c r="AF1428" s="22"/>
      <c r="AG1428" s="22"/>
      <c r="AH1428" s="22"/>
      <c r="AI1428" s="22"/>
      <c r="AN1428" s="22"/>
      <c r="AO1428" s="22"/>
      <c r="AP1428" s="22"/>
      <c r="AQ1428" s="22"/>
      <c r="AR1428" s="35"/>
      <c r="AS1428" s="35"/>
      <c r="AT1428" s="35"/>
      <c r="AU1428" s="31"/>
      <c r="AV1428" s="36"/>
    </row>
    <row r="1429" spans="4:48">
      <c r="D1429" s="31"/>
      <c r="E1429" s="31"/>
      <c r="F1429" s="31"/>
      <c r="G1429" s="31"/>
      <c r="H1429" s="32"/>
      <c r="J1429" s="33"/>
      <c r="K1429" s="33"/>
      <c r="L1429" s="33"/>
      <c r="X1429" s="22"/>
      <c r="Y1429" s="22"/>
      <c r="Z1429" s="22"/>
      <c r="AA1429" s="22"/>
      <c r="AF1429" s="22"/>
      <c r="AG1429" s="22"/>
      <c r="AH1429" s="22"/>
      <c r="AI1429" s="22"/>
      <c r="AN1429" s="22"/>
      <c r="AO1429" s="22"/>
      <c r="AP1429" s="22"/>
      <c r="AQ1429" s="22"/>
      <c r="AR1429" s="35"/>
      <c r="AS1429" s="35"/>
      <c r="AT1429" s="35"/>
      <c r="AU1429" s="31"/>
      <c r="AV1429" s="36"/>
    </row>
    <row r="1430" spans="4:48">
      <c r="D1430" s="31"/>
      <c r="E1430" s="31"/>
      <c r="F1430" s="31"/>
      <c r="G1430" s="31"/>
      <c r="H1430" s="32"/>
      <c r="J1430" s="33"/>
      <c r="K1430" s="33"/>
      <c r="L1430" s="33"/>
      <c r="X1430" s="22"/>
      <c r="Y1430" s="22"/>
      <c r="Z1430" s="22"/>
      <c r="AA1430" s="22"/>
      <c r="AF1430" s="22"/>
      <c r="AG1430" s="22"/>
      <c r="AH1430" s="22"/>
      <c r="AI1430" s="22"/>
      <c r="AN1430" s="22"/>
      <c r="AO1430" s="22"/>
      <c r="AP1430" s="22"/>
      <c r="AQ1430" s="22"/>
      <c r="AR1430" s="35"/>
      <c r="AS1430" s="35"/>
      <c r="AT1430" s="35"/>
      <c r="AU1430" s="31"/>
      <c r="AV1430" s="36"/>
    </row>
    <row r="1431" spans="4:48">
      <c r="D1431" s="31"/>
      <c r="E1431" s="31"/>
      <c r="F1431" s="31"/>
      <c r="G1431" s="31"/>
      <c r="H1431" s="32"/>
      <c r="J1431" s="33"/>
      <c r="K1431" s="33"/>
      <c r="L1431" s="33"/>
      <c r="X1431" s="22"/>
      <c r="Y1431" s="22"/>
      <c r="Z1431" s="22"/>
      <c r="AA1431" s="22"/>
      <c r="AF1431" s="22"/>
      <c r="AG1431" s="22"/>
      <c r="AH1431" s="22"/>
      <c r="AI1431" s="22"/>
      <c r="AN1431" s="22"/>
      <c r="AO1431" s="22"/>
      <c r="AP1431" s="22"/>
      <c r="AQ1431" s="22"/>
      <c r="AR1431" s="35"/>
      <c r="AS1431" s="35"/>
      <c r="AT1431" s="35"/>
      <c r="AU1431" s="31"/>
      <c r="AV1431" s="36"/>
    </row>
    <row r="1432" spans="4:48">
      <c r="D1432" s="31"/>
      <c r="E1432" s="31"/>
      <c r="F1432" s="31"/>
      <c r="G1432" s="31"/>
      <c r="H1432" s="32"/>
      <c r="J1432" s="33"/>
      <c r="K1432" s="33"/>
      <c r="L1432" s="33"/>
      <c r="X1432" s="22"/>
      <c r="Y1432" s="22"/>
      <c r="Z1432" s="22"/>
      <c r="AA1432" s="22"/>
      <c r="AF1432" s="22"/>
      <c r="AG1432" s="22"/>
      <c r="AH1432" s="22"/>
      <c r="AI1432" s="22"/>
      <c r="AN1432" s="22"/>
      <c r="AO1432" s="22"/>
      <c r="AP1432" s="22"/>
      <c r="AQ1432" s="22"/>
      <c r="AR1432" s="35"/>
      <c r="AS1432" s="35"/>
      <c r="AT1432" s="35"/>
      <c r="AU1432" s="31"/>
      <c r="AV1432" s="36"/>
    </row>
    <row r="1433" spans="4:48">
      <c r="D1433" s="31"/>
      <c r="E1433" s="31"/>
      <c r="F1433" s="31"/>
      <c r="G1433" s="31"/>
      <c r="H1433" s="32"/>
      <c r="J1433" s="33"/>
      <c r="K1433" s="33"/>
      <c r="L1433" s="33"/>
      <c r="X1433" s="22"/>
      <c r="Y1433" s="22"/>
      <c r="Z1433" s="22"/>
      <c r="AA1433" s="22"/>
      <c r="AF1433" s="22"/>
      <c r="AG1433" s="22"/>
      <c r="AH1433" s="22"/>
      <c r="AI1433" s="22"/>
      <c r="AN1433" s="22"/>
      <c r="AO1433" s="22"/>
      <c r="AP1433" s="22"/>
      <c r="AQ1433" s="22"/>
      <c r="AR1433" s="35"/>
      <c r="AS1433" s="35"/>
      <c r="AT1433" s="35"/>
      <c r="AU1433" s="31"/>
      <c r="AV1433" s="36"/>
    </row>
    <row r="1434" spans="4:48">
      <c r="D1434" s="31"/>
      <c r="E1434" s="31"/>
      <c r="F1434" s="31"/>
      <c r="G1434" s="31"/>
      <c r="H1434" s="32"/>
      <c r="J1434" s="33"/>
      <c r="K1434" s="33"/>
      <c r="L1434" s="33"/>
      <c r="X1434" s="22"/>
      <c r="Y1434" s="22"/>
      <c r="Z1434" s="22"/>
      <c r="AA1434" s="22"/>
      <c r="AF1434" s="22"/>
      <c r="AG1434" s="22"/>
      <c r="AH1434" s="22"/>
      <c r="AI1434" s="22"/>
      <c r="AN1434" s="22"/>
      <c r="AO1434" s="22"/>
      <c r="AP1434" s="22"/>
      <c r="AQ1434" s="22"/>
      <c r="AR1434" s="35"/>
      <c r="AS1434" s="35"/>
      <c r="AT1434" s="35"/>
      <c r="AU1434" s="31"/>
      <c r="AV1434" s="36"/>
    </row>
    <row r="1435" spans="4:48">
      <c r="D1435" s="31"/>
      <c r="E1435" s="31"/>
      <c r="F1435" s="31"/>
      <c r="G1435" s="31"/>
      <c r="H1435" s="32"/>
      <c r="J1435" s="33"/>
      <c r="K1435" s="33"/>
      <c r="L1435" s="33"/>
      <c r="X1435" s="22"/>
      <c r="Y1435" s="22"/>
      <c r="Z1435" s="22"/>
      <c r="AA1435" s="22"/>
      <c r="AF1435" s="22"/>
      <c r="AG1435" s="22"/>
      <c r="AH1435" s="22"/>
      <c r="AI1435" s="22"/>
      <c r="AN1435" s="22"/>
      <c r="AO1435" s="22"/>
      <c r="AP1435" s="22"/>
      <c r="AQ1435" s="22"/>
      <c r="AR1435" s="35"/>
      <c r="AS1435" s="35"/>
      <c r="AT1435" s="35"/>
      <c r="AU1435" s="31"/>
      <c r="AV1435" s="36"/>
    </row>
    <row r="1436" spans="4:48">
      <c r="D1436" s="31"/>
      <c r="E1436" s="31"/>
      <c r="F1436" s="31"/>
      <c r="G1436" s="31"/>
      <c r="H1436" s="32"/>
      <c r="J1436" s="33"/>
      <c r="K1436" s="33"/>
      <c r="L1436" s="33"/>
      <c r="X1436" s="22"/>
      <c r="Y1436" s="22"/>
      <c r="Z1436" s="22"/>
      <c r="AA1436" s="22"/>
      <c r="AF1436" s="22"/>
      <c r="AG1436" s="22"/>
      <c r="AH1436" s="22"/>
      <c r="AI1436" s="22"/>
      <c r="AN1436" s="22"/>
      <c r="AO1436" s="22"/>
      <c r="AP1436" s="22"/>
      <c r="AQ1436" s="22"/>
      <c r="AR1436" s="35"/>
      <c r="AS1436" s="35"/>
      <c r="AT1436" s="35"/>
      <c r="AU1436" s="31"/>
      <c r="AV1436" s="36"/>
    </row>
    <row r="1437" spans="4:48">
      <c r="D1437" s="31"/>
      <c r="E1437" s="31"/>
      <c r="F1437" s="31"/>
      <c r="G1437" s="31"/>
      <c r="H1437" s="32"/>
      <c r="J1437" s="33"/>
      <c r="K1437" s="33"/>
      <c r="L1437" s="33"/>
      <c r="X1437" s="22"/>
      <c r="Y1437" s="22"/>
      <c r="Z1437" s="22"/>
      <c r="AA1437" s="22"/>
      <c r="AF1437" s="22"/>
      <c r="AG1437" s="22"/>
      <c r="AH1437" s="22"/>
      <c r="AI1437" s="22"/>
      <c r="AN1437" s="22"/>
      <c r="AO1437" s="22"/>
      <c r="AP1437" s="22"/>
      <c r="AQ1437" s="22"/>
      <c r="AR1437" s="35"/>
      <c r="AS1437" s="35"/>
      <c r="AT1437" s="35"/>
      <c r="AU1437" s="31"/>
      <c r="AV1437" s="36"/>
    </row>
    <row r="1438" spans="4:48">
      <c r="D1438" s="31"/>
      <c r="E1438" s="31"/>
      <c r="F1438" s="31"/>
      <c r="G1438" s="31"/>
      <c r="H1438" s="32"/>
      <c r="J1438" s="33"/>
      <c r="K1438" s="33"/>
      <c r="L1438" s="33"/>
      <c r="X1438" s="22"/>
      <c r="Y1438" s="22"/>
      <c r="Z1438" s="22"/>
      <c r="AA1438" s="22"/>
      <c r="AF1438" s="22"/>
      <c r="AG1438" s="22"/>
      <c r="AH1438" s="22"/>
      <c r="AI1438" s="22"/>
      <c r="AN1438" s="22"/>
      <c r="AO1438" s="22"/>
      <c r="AP1438" s="22"/>
      <c r="AQ1438" s="22"/>
      <c r="AR1438" s="35"/>
      <c r="AS1438" s="35"/>
      <c r="AT1438" s="35"/>
      <c r="AU1438" s="31"/>
      <c r="AV1438" s="36"/>
    </row>
    <row r="1439" spans="4:48">
      <c r="D1439" s="31"/>
      <c r="E1439" s="31"/>
      <c r="F1439" s="31"/>
      <c r="G1439" s="31"/>
      <c r="H1439" s="32"/>
      <c r="J1439" s="33"/>
      <c r="K1439" s="33"/>
      <c r="L1439" s="33"/>
      <c r="X1439" s="22"/>
      <c r="Y1439" s="22"/>
      <c r="Z1439" s="22"/>
      <c r="AA1439" s="22"/>
      <c r="AF1439" s="22"/>
      <c r="AG1439" s="22"/>
      <c r="AH1439" s="22"/>
      <c r="AI1439" s="22"/>
      <c r="AN1439" s="22"/>
      <c r="AO1439" s="22"/>
      <c r="AP1439" s="22"/>
      <c r="AQ1439" s="22"/>
      <c r="AR1439" s="35"/>
      <c r="AS1439" s="35"/>
      <c r="AT1439" s="35"/>
      <c r="AU1439" s="31"/>
      <c r="AV1439" s="36"/>
    </row>
    <row r="1440" spans="4:48">
      <c r="D1440" s="31"/>
      <c r="E1440" s="31"/>
      <c r="F1440" s="31"/>
      <c r="G1440" s="31"/>
      <c r="H1440" s="32"/>
      <c r="J1440" s="33"/>
      <c r="K1440" s="33"/>
      <c r="L1440" s="33"/>
      <c r="X1440" s="22"/>
      <c r="Y1440" s="22"/>
      <c r="Z1440" s="22"/>
      <c r="AA1440" s="22"/>
      <c r="AF1440" s="22"/>
      <c r="AG1440" s="22"/>
      <c r="AH1440" s="22"/>
      <c r="AI1440" s="22"/>
      <c r="AN1440" s="22"/>
      <c r="AO1440" s="22"/>
      <c r="AP1440" s="22"/>
      <c r="AQ1440" s="22"/>
      <c r="AR1440" s="35"/>
      <c r="AS1440" s="35"/>
      <c r="AT1440" s="35"/>
      <c r="AU1440" s="31"/>
      <c r="AV1440" s="36"/>
    </row>
    <row r="1441" spans="4:48">
      <c r="D1441" s="31"/>
      <c r="E1441" s="31"/>
      <c r="F1441" s="31"/>
      <c r="G1441" s="31"/>
      <c r="H1441" s="32"/>
      <c r="J1441" s="33"/>
      <c r="K1441" s="33"/>
      <c r="L1441" s="33"/>
      <c r="X1441" s="22"/>
      <c r="Y1441" s="22"/>
      <c r="Z1441" s="22"/>
      <c r="AA1441" s="22"/>
      <c r="AF1441" s="22"/>
      <c r="AG1441" s="22"/>
      <c r="AH1441" s="22"/>
      <c r="AI1441" s="22"/>
      <c r="AN1441" s="22"/>
      <c r="AO1441" s="22"/>
      <c r="AP1441" s="22"/>
      <c r="AQ1441" s="22"/>
      <c r="AR1441" s="35"/>
      <c r="AS1441" s="35"/>
      <c r="AT1441" s="35"/>
      <c r="AU1441" s="31"/>
      <c r="AV1441" s="36"/>
    </row>
    <row r="1442" spans="4:48">
      <c r="D1442" s="31"/>
      <c r="E1442" s="31"/>
      <c r="F1442" s="31"/>
      <c r="G1442" s="31"/>
      <c r="H1442" s="32"/>
      <c r="J1442" s="33"/>
      <c r="K1442" s="33"/>
      <c r="L1442" s="33"/>
      <c r="X1442" s="22"/>
      <c r="Y1442" s="22"/>
      <c r="Z1442" s="22"/>
      <c r="AA1442" s="22"/>
      <c r="AF1442" s="22"/>
      <c r="AG1442" s="22"/>
      <c r="AH1442" s="22"/>
      <c r="AI1442" s="22"/>
      <c r="AN1442" s="22"/>
      <c r="AO1442" s="22"/>
      <c r="AP1442" s="22"/>
      <c r="AQ1442" s="22"/>
      <c r="AR1442" s="35"/>
      <c r="AS1442" s="35"/>
      <c r="AT1442" s="35"/>
      <c r="AU1442" s="31"/>
      <c r="AV1442" s="36"/>
    </row>
    <row r="1443" spans="4:48">
      <c r="D1443" s="31"/>
      <c r="E1443" s="31"/>
      <c r="F1443" s="31"/>
      <c r="G1443" s="31"/>
      <c r="H1443" s="32"/>
      <c r="J1443" s="33"/>
      <c r="K1443" s="33"/>
      <c r="L1443" s="33"/>
      <c r="X1443" s="22"/>
      <c r="Y1443" s="22"/>
      <c r="Z1443" s="22"/>
      <c r="AA1443" s="22"/>
      <c r="AF1443" s="22"/>
      <c r="AG1443" s="22"/>
      <c r="AH1443" s="22"/>
      <c r="AI1443" s="22"/>
      <c r="AN1443" s="22"/>
      <c r="AO1443" s="22"/>
      <c r="AP1443" s="22"/>
      <c r="AQ1443" s="22"/>
      <c r="AR1443" s="35"/>
      <c r="AS1443" s="35"/>
      <c r="AT1443" s="35"/>
      <c r="AU1443" s="31"/>
      <c r="AV1443" s="36"/>
    </row>
    <row r="1444" spans="4:48">
      <c r="D1444" s="31"/>
      <c r="E1444" s="31"/>
      <c r="F1444" s="31"/>
      <c r="G1444" s="31"/>
      <c r="H1444" s="32"/>
      <c r="J1444" s="33"/>
      <c r="K1444" s="33"/>
      <c r="L1444" s="33"/>
      <c r="X1444" s="22"/>
      <c r="Y1444" s="22"/>
      <c r="Z1444" s="22"/>
      <c r="AA1444" s="22"/>
      <c r="AF1444" s="22"/>
      <c r="AG1444" s="22"/>
      <c r="AH1444" s="22"/>
      <c r="AI1444" s="22"/>
      <c r="AN1444" s="22"/>
      <c r="AO1444" s="22"/>
      <c r="AP1444" s="22"/>
      <c r="AQ1444" s="22"/>
      <c r="AR1444" s="35"/>
      <c r="AS1444" s="35"/>
      <c r="AT1444" s="35"/>
      <c r="AU1444" s="31"/>
      <c r="AV1444" s="36"/>
    </row>
    <row r="1445" spans="4:48">
      <c r="D1445" s="31"/>
      <c r="E1445" s="31"/>
      <c r="F1445" s="31"/>
      <c r="G1445" s="31"/>
      <c r="H1445" s="32"/>
      <c r="J1445" s="33"/>
      <c r="K1445" s="33"/>
      <c r="L1445" s="33"/>
      <c r="X1445" s="22"/>
      <c r="Y1445" s="22"/>
      <c r="Z1445" s="22"/>
      <c r="AA1445" s="22"/>
      <c r="AF1445" s="22"/>
      <c r="AG1445" s="22"/>
      <c r="AH1445" s="22"/>
      <c r="AI1445" s="22"/>
      <c r="AN1445" s="22"/>
      <c r="AO1445" s="22"/>
      <c r="AP1445" s="22"/>
      <c r="AQ1445" s="22"/>
      <c r="AR1445" s="35"/>
      <c r="AS1445" s="35"/>
      <c r="AT1445" s="35"/>
      <c r="AU1445" s="31"/>
      <c r="AV1445" s="36"/>
    </row>
    <row r="1446" spans="4:48">
      <c r="D1446" s="31"/>
      <c r="E1446" s="31"/>
      <c r="F1446" s="31"/>
      <c r="G1446" s="31"/>
      <c r="H1446" s="32"/>
      <c r="J1446" s="33"/>
      <c r="K1446" s="33"/>
      <c r="L1446" s="33"/>
      <c r="X1446" s="22"/>
      <c r="Y1446" s="22"/>
      <c r="Z1446" s="22"/>
      <c r="AA1446" s="22"/>
      <c r="AF1446" s="22"/>
      <c r="AG1446" s="22"/>
      <c r="AH1446" s="22"/>
      <c r="AI1446" s="22"/>
      <c r="AN1446" s="22"/>
      <c r="AO1446" s="22"/>
      <c r="AP1446" s="22"/>
      <c r="AQ1446" s="22"/>
      <c r="AR1446" s="35"/>
      <c r="AS1446" s="35"/>
      <c r="AT1446" s="35"/>
      <c r="AU1446" s="31"/>
      <c r="AV1446" s="36"/>
    </row>
    <row r="1447" spans="4:48">
      <c r="D1447" s="31"/>
      <c r="E1447" s="31"/>
      <c r="F1447" s="31"/>
      <c r="G1447" s="31"/>
      <c r="H1447" s="32"/>
      <c r="J1447" s="33"/>
      <c r="K1447" s="33"/>
      <c r="L1447" s="33"/>
      <c r="X1447" s="22"/>
      <c r="Y1447" s="22"/>
      <c r="Z1447" s="22"/>
      <c r="AA1447" s="22"/>
      <c r="AF1447" s="22"/>
      <c r="AG1447" s="22"/>
      <c r="AH1447" s="22"/>
      <c r="AI1447" s="22"/>
      <c r="AN1447" s="22"/>
      <c r="AO1447" s="22"/>
      <c r="AP1447" s="22"/>
      <c r="AQ1447" s="22"/>
      <c r="AR1447" s="35"/>
      <c r="AS1447" s="35"/>
      <c r="AT1447" s="35"/>
      <c r="AU1447" s="31"/>
      <c r="AV1447" s="36"/>
    </row>
    <row r="1448" spans="4:48">
      <c r="D1448" s="31"/>
      <c r="E1448" s="31"/>
      <c r="F1448" s="31"/>
      <c r="G1448" s="31"/>
      <c r="H1448" s="32"/>
      <c r="J1448" s="33"/>
      <c r="K1448" s="33"/>
      <c r="L1448" s="33"/>
      <c r="X1448" s="22"/>
      <c r="Y1448" s="22"/>
      <c r="Z1448" s="22"/>
      <c r="AA1448" s="22"/>
      <c r="AF1448" s="22"/>
      <c r="AG1448" s="22"/>
      <c r="AH1448" s="22"/>
      <c r="AI1448" s="22"/>
      <c r="AN1448" s="22"/>
      <c r="AO1448" s="22"/>
      <c r="AP1448" s="22"/>
      <c r="AQ1448" s="22"/>
      <c r="AR1448" s="35"/>
      <c r="AS1448" s="35"/>
      <c r="AT1448" s="35"/>
      <c r="AU1448" s="31"/>
      <c r="AV1448" s="36"/>
    </row>
    <row r="1449" spans="4:48">
      <c r="D1449" s="31"/>
      <c r="E1449" s="31"/>
      <c r="F1449" s="31"/>
      <c r="G1449" s="31"/>
      <c r="H1449" s="32"/>
      <c r="J1449" s="33"/>
      <c r="K1449" s="33"/>
      <c r="L1449" s="33"/>
      <c r="X1449" s="22"/>
      <c r="Y1449" s="22"/>
      <c r="Z1449" s="22"/>
      <c r="AA1449" s="22"/>
      <c r="AF1449" s="22"/>
      <c r="AG1449" s="22"/>
      <c r="AH1449" s="22"/>
      <c r="AI1449" s="22"/>
      <c r="AN1449" s="22"/>
      <c r="AO1449" s="22"/>
      <c r="AP1449" s="22"/>
      <c r="AQ1449" s="22"/>
      <c r="AR1449" s="35"/>
      <c r="AS1449" s="35"/>
      <c r="AT1449" s="35"/>
      <c r="AU1449" s="31"/>
      <c r="AV1449" s="36"/>
    </row>
    <row r="1450" spans="4:48">
      <c r="D1450" s="31"/>
      <c r="E1450" s="31"/>
      <c r="F1450" s="31"/>
      <c r="G1450" s="31"/>
      <c r="H1450" s="32"/>
      <c r="J1450" s="33"/>
      <c r="K1450" s="33"/>
      <c r="L1450" s="33"/>
      <c r="X1450" s="22"/>
      <c r="Y1450" s="22"/>
      <c r="Z1450" s="22"/>
      <c r="AA1450" s="22"/>
      <c r="AF1450" s="22"/>
      <c r="AG1450" s="22"/>
      <c r="AH1450" s="22"/>
      <c r="AI1450" s="22"/>
      <c r="AN1450" s="22"/>
      <c r="AO1450" s="22"/>
      <c r="AP1450" s="22"/>
      <c r="AQ1450" s="22"/>
      <c r="AR1450" s="35"/>
      <c r="AS1450" s="35"/>
      <c r="AT1450" s="35"/>
      <c r="AU1450" s="31"/>
      <c r="AV1450" s="36"/>
    </row>
    <row r="1451" spans="4:48">
      <c r="D1451" s="31"/>
      <c r="E1451" s="31"/>
      <c r="F1451" s="31"/>
      <c r="G1451" s="31"/>
      <c r="H1451" s="32"/>
      <c r="J1451" s="33"/>
      <c r="K1451" s="33"/>
      <c r="L1451" s="33"/>
      <c r="X1451" s="22"/>
      <c r="Y1451" s="22"/>
      <c r="Z1451" s="22"/>
      <c r="AA1451" s="22"/>
      <c r="AF1451" s="22"/>
      <c r="AG1451" s="22"/>
      <c r="AH1451" s="22"/>
      <c r="AI1451" s="22"/>
      <c r="AN1451" s="22"/>
      <c r="AO1451" s="22"/>
      <c r="AP1451" s="22"/>
      <c r="AQ1451" s="22"/>
      <c r="AR1451" s="35"/>
      <c r="AS1451" s="35"/>
      <c r="AT1451" s="35"/>
      <c r="AU1451" s="31"/>
      <c r="AV1451" s="36"/>
    </row>
    <row r="1452" spans="4:48">
      <c r="D1452" s="31"/>
      <c r="E1452" s="31"/>
      <c r="F1452" s="31"/>
      <c r="G1452" s="31"/>
      <c r="H1452" s="32"/>
      <c r="J1452" s="33"/>
      <c r="K1452" s="33"/>
      <c r="L1452" s="33"/>
      <c r="X1452" s="22"/>
      <c r="Y1452" s="22"/>
      <c r="Z1452" s="22"/>
      <c r="AA1452" s="22"/>
      <c r="AF1452" s="22"/>
      <c r="AG1452" s="22"/>
      <c r="AH1452" s="22"/>
      <c r="AI1452" s="22"/>
      <c r="AN1452" s="22"/>
      <c r="AO1452" s="22"/>
      <c r="AP1452" s="22"/>
      <c r="AQ1452" s="22"/>
      <c r="AR1452" s="35"/>
      <c r="AS1452" s="35"/>
      <c r="AT1452" s="35"/>
      <c r="AU1452" s="31"/>
      <c r="AV1452" s="36"/>
    </row>
    <row r="1453" spans="4:48">
      <c r="D1453" s="31"/>
      <c r="E1453" s="31"/>
      <c r="F1453" s="31"/>
      <c r="G1453" s="31"/>
      <c r="H1453" s="32"/>
      <c r="J1453" s="33"/>
      <c r="K1453" s="33"/>
      <c r="L1453" s="33"/>
      <c r="X1453" s="22"/>
      <c r="Y1453" s="22"/>
      <c r="Z1453" s="22"/>
      <c r="AA1453" s="22"/>
      <c r="AF1453" s="22"/>
      <c r="AG1453" s="22"/>
      <c r="AH1453" s="22"/>
      <c r="AI1453" s="22"/>
      <c r="AN1453" s="22"/>
      <c r="AO1453" s="22"/>
      <c r="AP1453" s="22"/>
      <c r="AQ1453" s="22"/>
      <c r="AR1453" s="35"/>
      <c r="AS1453" s="35"/>
      <c r="AT1453" s="35"/>
      <c r="AU1453" s="31"/>
      <c r="AV1453" s="36"/>
    </row>
    <row r="1454" spans="4:48">
      <c r="D1454" s="31"/>
      <c r="E1454" s="31"/>
      <c r="F1454" s="31"/>
      <c r="G1454" s="31"/>
      <c r="H1454" s="32"/>
      <c r="J1454" s="33"/>
      <c r="K1454" s="33"/>
      <c r="L1454" s="33"/>
      <c r="X1454" s="22"/>
      <c r="Y1454" s="22"/>
      <c r="Z1454" s="22"/>
      <c r="AA1454" s="22"/>
      <c r="AF1454" s="22"/>
      <c r="AG1454" s="22"/>
      <c r="AH1454" s="22"/>
      <c r="AI1454" s="22"/>
      <c r="AN1454" s="22"/>
      <c r="AO1454" s="22"/>
      <c r="AP1454" s="22"/>
      <c r="AQ1454" s="22"/>
      <c r="AR1454" s="35"/>
      <c r="AS1454" s="35"/>
      <c r="AT1454" s="35"/>
      <c r="AU1454" s="31"/>
      <c r="AV1454" s="36"/>
    </row>
    <row r="1455" spans="4:48">
      <c r="D1455" s="31"/>
      <c r="E1455" s="31"/>
      <c r="F1455" s="31"/>
      <c r="G1455" s="31"/>
      <c r="H1455" s="32"/>
      <c r="J1455" s="33"/>
      <c r="K1455" s="33"/>
      <c r="L1455" s="33"/>
      <c r="X1455" s="22"/>
      <c r="Y1455" s="22"/>
      <c r="Z1455" s="22"/>
      <c r="AA1455" s="22"/>
      <c r="AF1455" s="22"/>
      <c r="AG1455" s="22"/>
      <c r="AH1455" s="22"/>
      <c r="AI1455" s="22"/>
      <c r="AN1455" s="22"/>
      <c r="AO1455" s="22"/>
      <c r="AP1455" s="22"/>
      <c r="AQ1455" s="22"/>
      <c r="AR1455" s="35"/>
      <c r="AS1455" s="35"/>
      <c r="AT1455" s="35"/>
      <c r="AU1455" s="31"/>
      <c r="AV1455" s="36"/>
    </row>
    <row r="1456" spans="4:48">
      <c r="D1456" s="31"/>
      <c r="E1456" s="31"/>
      <c r="F1456" s="31"/>
      <c r="G1456" s="31"/>
      <c r="H1456" s="32"/>
      <c r="J1456" s="33"/>
      <c r="K1456" s="33"/>
      <c r="L1456" s="33"/>
      <c r="X1456" s="22"/>
      <c r="Y1456" s="22"/>
      <c r="Z1456" s="22"/>
      <c r="AA1456" s="22"/>
      <c r="AF1456" s="22"/>
      <c r="AG1456" s="22"/>
      <c r="AH1456" s="22"/>
      <c r="AI1456" s="22"/>
      <c r="AN1456" s="22"/>
      <c r="AO1456" s="22"/>
      <c r="AP1456" s="22"/>
      <c r="AQ1456" s="22"/>
      <c r="AR1456" s="35"/>
      <c r="AS1456" s="35"/>
      <c r="AT1456" s="35"/>
      <c r="AU1456" s="31"/>
      <c r="AV1456" s="36"/>
    </row>
    <row r="1457" spans="4:48">
      <c r="D1457" s="31"/>
      <c r="E1457" s="31"/>
      <c r="F1457" s="31"/>
      <c r="G1457" s="31"/>
      <c r="H1457" s="32"/>
      <c r="J1457" s="33"/>
      <c r="K1457" s="33"/>
      <c r="L1457" s="33"/>
      <c r="X1457" s="22"/>
      <c r="Y1457" s="22"/>
      <c r="Z1457" s="22"/>
      <c r="AA1457" s="22"/>
      <c r="AF1457" s="22"/>
      <c r="AG1457" s="22"/>
      <c r="AH1457" s="22"/>
      <c r="AI1457" s="22"/>
      <c r="AN1457" s="22"/>
      <c r="AO1457" s="22"/>
      <c r="AP1457" s="22"/>
      <c r="AQ1457" s="22"/>
      <c r="AR1457" s="35"/>
      <c r="AS1457" s="35"/>
      <c r="AT1457" s="35"/>
      <c r="AU1457" s="31"/>
      <c r="AV1457" s="36"/>
    </row>
    <row r="1458" spans="4:48">
      <c r="D1458" s="31"/>
      <c r="E1458" s="31"/>
      <c r="F1458" s="31"/>
      <c r="G1458" s="31"/>
      <c r="H1458" s="32"/>
      <c r="J1458" s="33"/>
      <c r="K1458" s="33"/>
      <c r="L1458" s="33"/>
      <c r="X1458" s="22"/>
      <c r="Y1458" s="22"/>
      <c r="Z1458" s="22"/>
      <c r="AA1458" s="22"/>
      <c r="AF1458" s="22"/>
      <c r="AG1458" s="22"/>
      <c r="AH1458" s="22"/>
      <c r="AI1458" s="22"/>
      <c r="AN1458" s="22"/>
      <c r="AO1458" s="22"/>
      <c r="AP1458" s="22"/>
      <c r="AQ1458" s="22"/>
      <c r="AR1458" s="35"/>
      <c r="AS1458" s="35"/>
      <c r="AT1458" s="35"/>
      <c r="AU1458" s="31"/>
      <c r="AV1458" s="36"/>
    </row>
    <row r="1459" spans="4:48">
      <c r="D1459" s="31"/>
      <c r="E1459" s="31"/>
      <c r="F1459" s="31"/>
      <c r="G1459" s="31"/>
      <c r="H1459" s="32"/>
      <c r="J1459" s="33"/>
      <c r="K1459" s="33"/>
      <c r="L1459" s="33"/>
      <c r="X1459" s="22"/>
      <c r="Y1459" s="22"/>
      <c r="Z1459" s="22"/>
      <c r="AA1459" s="22"/>
      <c r="AF1459" s="22"/>
      <c r="AG1459" s="22"/>
      <c r="AH1459" s="22"/>
      <c r="AI1459" s="22"/>
      <c r="AN1459" s="22"/>
      <c r="AO1459" s="22"/>
      <c r="AP1459" s="22"/>
      <c r="AQ1459" s="22"/>
      <c r="AR1459" s="35"/>
      <c r="AS1459" s="35"/>
      <c r="AT1459" s="35"/>
      <c r="AU1459" s="31"/>
      <c r="AV1459" s="36"/>
    </row>
    <row r="1460" spans="4:48">
      <c r="D1460" s="31"/>
      <c r="E1460" s="31"/>
      <c r="F1460" s="31"/>
      <c r="G1460" s="31"/>
      <c r="H1460" s="32"/>
      <c r="J1460" s="33"/>
      <c r="K1460" s="33"/>
      <c r="L1460" s="33"/>
      <c r="X1460" s="22"/>
      <c r="Y1460" s="22"/>
      <c r="Z1460" s="22"/>
      <c r="AA1460" s="22"/>
      <c r="AF1460" s="22"/>
      <c r="AG1460" s="22"/>
      <c r="AH1460" s="22"/>
      <c r="AI1460" s="22"/>
      <c r="AN1460" s="22"/>
      <c r="AO1460" s="22"/>
      <c r="AP1460" s="22"/>
      <c r="AQ1460" s="22"/>
      <c r="AR1460" s="35"/>
      <c r="AS1460" s="35"/>
      <c r="AT1460" s="35"/>
      <c r="AU1460" s="31"/>
      <c r="AV1460" s="36"/>
    </row>
    <row r="1461" spans="4:48">
      <c r="D1461" s="31"/>
      <c r="E1461" s="31"/>
      <c r="F1461" s="31"/>
      <c r="G1461" s="31"/>
      <c r="H1461" s="32"/>
      <c r="J1461" s="33"/>
      <c r="K1461" s="33"/>
      <c r="L1461" s="33"/>
      <c r="X1461" s="22"/>
      <c r="Y1461" s="22"/>
      <c r="Z1461" s="22"/>
      <c r="AA1461" s="22"/>
      <c r="AF1461" s="22"/>
      <c r="AG1461" s="22"/>
      <c r="AH1461" s="22"/>
      <c r="AI1461" s="22"/>
      <c r="AN1461" s="22"/>
      <c r="AO1461" s="22"/>
      <c r="AP1461" s="22"/>
      <c r="AQ1461" s="22"/>
      <c r="AR1461" s="35"/>
      <c r="AS1461" s="35"/>
      <c r="AT1461" s="35"/>
      <c r="AU1461" s="31"/>
      <c r="AV1461" s="36"/>
    </row>
    <row r="1462" spans="4:48">
      <c r="D1462" s="31"/>
      <c r="E1462" s="31"/>
      <c r="F1462" s="31"/>
      <c r="G1462" s="31"/>
      <c r="H1462" s="32"/>
      <c r="J1462" s="33"/>
      <c r="K1462" s="33"/>
      <c r="L1462" s="33"/>
      <c r="X1462" s="22"/>
      <c r="Y1462" s="22"/>
      <c r="Z1462" s="22"/>
      <c r="AA1462" s="22"/>
      <c r="AF1462" s="22"/>
      <c r="AG1462" s="22"/>
      <c r="AH1462" s="22"/>
      <c r="AI1462" s="22"/>
      <c r="AN1462" s="22"/>
      <c r="AO1462" s="22"/>
      <c r="AP1462" s="22"/>
      <c r="AQ1462" s="22"/>
      <c r="AR1462" s="35"/>
      <c r="AS1462" s="35"/>
      <c r="AT1462" s="35"/>
      <c r="AU1462" s="31"/>
      <c r="AV1462" s="36"/>
    </row>
    <row r="1463" spans="4:48">
      <c r="D1463" s="31"/>
      <c r="E1463" s="31"/>
      <c r="F1463" s="31"/>
      <c r="G1463" s="31"/>
      <c r="H1463" s="32"/>
      <c r="J1463" s="33"/>
      <c r="K1463" s="33"/>
      <c r="L1463" s="33"/>
      <c r="X1463" s="22"/>
      <c r="Y1463" s="22"/>
      <c r="Z1463" s="22"/>
      <c r="AA1463" s="22"/>
      <c r="AF1463" s="22"/>
      <c r="AG1463" s="22"/>
      <c r="AH1463" s="22"/>
      <c r="AI1463" s="22"/>
      <c r="AN1463" s="22"/>
      <c r="AO1463" s="22"/>
      <c r="AP1463" s="22"/>
      <c r="AQ1463" s="22"/>
      <c r="AR1463" s="35"/>
      <c r="AS1463" s="35"/>
      <c r="AT1463" s="35"/>
      <c r="AU1463" s="31"/>
      <c r="AV1463" s="36"/>
    </row>
    <row r="1464" spans="4:48">
      <c r="D1464" s="31"/>
      <c r="E1464" s="31"/>
      <c r="F1464" s="31"/>
      <c r="G1464" s="31"/>
      <c r="H1464" s="32"/>
      <c r="J1464" s="33"/>
      <c r="K1464" s="33"/>
      <c r="L1464" s="33"/>
      <c r="X1464" s="22"/>
      <c r="Y1464" s="22"/>
      <c r="Z1464" s="22"/>
      <c r="AA1464" s="22"/>
      <c r="AF1464" s="22"/>
      <c r="AG1464" s="22"/>
      <c r="AH1464" s="22"/>
      <c r="AI1464" s="22"/>
      <c r="AN1464" s="22"/>
      <c r="AO1464" s="22"/>
      <c r="AP1464" s="22"/>
      <c r="AQ1464" s="22"/>
      <c r="AR1464" s="35"/>
      <c r="AS1464" s="35"/>
      <c r="AT1464" s="35"/>
      <c r="AU1464" s="31"/>
      <c r="AV1464" s="36"/>
    </row>
    <row r="1465" spans="4:48">
      <c r="D1465" s="31"/>
      <c r="E1465" s="31"/>
      <c r="F1465" s="31"/>
      <c r="G1465" s="31"/>
      <c r="H1465" s="32"/>
      <c r="J1465" s="33"/>
      <c r="K1465" s="33"/>
      <c r="L1465" s="33"/>
      <c r="X1465" s="22"/>
      <c r="Y1465" s="22"/>
      <c r="Z1465" s="22"/>
      <c r="AA1465" s="22"/>
      <c r="AF1465" s="22"/>
      <c r="AG1465" s="22"/>
      <c r="AH1465" s="22"/>
      <c r="AI1465" s="22"/>
      <c r="AN1465" s="22"/>
      <c r="AO1465" s="22"/>
      <c r="AP1465" s="22"/>
      <c r="AQ1465" s="22"/>
      <c r="AR1465" s="35"/>
      <c r="AS1465" s="35"/>
      <c r="AT1465" s="35"/>
      <c r="AU1465" s="31"/>
      <c r="AV1465" s="36"/>
    </row>
    <row r="1466" spans="4:48">
      <c r="D1466" s="31"/>
      <c r="E1466" s="31"/>
      <c r="F1466" s="31"/>
      <c r="G1466" s="31"/>
      <c r="H1466" s="32"/>
      <c r="J1466" s="33"/>
      <c r="K1466" s="33"/>
      <c r="L1466" s="33"/>
      <c r="X1466" s="22"/>
      <c r="Y1466" s="22"/>
      <c r="Z1466" s="22"/>
      <c r="AA1466" s="22"/>
      <c r="AF1466" s="22"/>
      <c r="AG1466" s="22"/>
      <c r="AH1466" s="22"/>
      <c r="AI1466" s="22"/>
      <c r="AN1466" s="22"/>
      <c r="AO1466" s="22"/>
      <c r="AP1466" s="22"/>
      <c r="AQ1466" s="22"/>
      <c r="AR1466" s="35"/>
      <c r="AS1466" s="35"/>
      <c r="AT1466" s="35"/>
      <c r="AU1466" s="31"/>
      <c r="AV1466" s="36"/>
    </row>
    <row r="1467" spans="4:48">
      <c r="D1467" s="31"/>
      <c r="E1467" s="31"/>
      <c r="F1467" s="31"/>
      <c r="G1467" s="31"/>
      <c r="H1467" s="32"/>
      <c r="J1467" s="33"/>
      <c r="K1467" s="33"/>
      <c r="L1467" s="33"/>
      <c r="X1467" s="22"/>
      <c r="Y1467" s="22"/>
      <c r="Z1467" s="22"/>
      <c r="AA1467" s="22"/>
      <c r="AF1467" s="22"/>
      <c r="AG1467" s="22"/>
      <c r="AH1467" s="22"/>
      <c r="AI1467" s="22"/>
      <c r="AN1467" s="22"/>
      <c r="AO1467" s="22"/>
      <c r="AP1467" s="22"/>
      <c r="AQ1467" s="22"/>
      <c r="AR1467" s="35"/>
      <c r="AS1467" s="35"/>
      <c r="AT1467" s="35"/>
      <c r="AU1467" s="31"/>
      <c r="AV1467" s="36"/>
    </row>
    <row r="1468" spans="4:48">
      <c r="D1468" s="31"/>
      <c r="E1468" s="31"/>
      <c r="F1468" s="31"/>
      <c r="G1468" s="31"/>
      <c r="H1468" s="32"/>
      <c r="J1468" s="33"/>
      <c r="K1468" s="33"/>
      <c r="L1468" s="33"/>
      <c r="X1468" s="22"/>
      <c r="Y1468" s="22"/>
      <c r="Z1468" s="22"/>
      <c r="AA1468" s="22"/>
      <c r="AF1468" s="22"/>
      <c r="AG1468" s="22"/>
      <c r="AH1468" s="22"/>
      <c r="AI1468" s="22"/>
      <c r="AN1468" s="22"/>
      <c r="AO1468" s="22"/>
      <c r="AP1468" s="22"/>
      <c r="AQ1468" s="22"/>
      <c r="AR1468" s="35"/>
      <c r="AS1468" s="35"/>
      <c r="AT1468" s="35"/>
      <c r="AU1468" s="31"/>
      <c r="AV1468" s="36"/>
    </row>
    <row r="1469" spans="4:48">
      <c r="D1469" s="31"/>
      <c r="E1469" s="31"/>
      <c r="F1469" s="31"/>
      <c r="G1469" s="31"/>
      <c r="H1469" s="32"/>
      <c r="J1469" s="33"/>
      <c r="K1469" s="33"/>
      <c r="L1469" s="33"/>
      <c r="X1469" s="22"/>
      <c r="Y1469" s="22"/>
      <c r="Z1469" s="22"/>
      <c r="AA1469" s="22"/>
      <c r="AF1469" s="22"/>
      <c r="AG1469" s="22"/>
      <c r="AH1469" s="22"/>
      <c r="AI1469" s="22"/>
      <c r="AN1469" s="22"/>
      <c r="AO1469" s="22"/>
      <c r="AP1469" s="22"/>
      <c r="AQ1469" s="22"/>
      <c r="AR1469" s="35"/>
      <c r="AS1469" s="35"/>
      <c r="AT1469" s="35"/>
      <c r="AU1469" s="31"/>
      <c r="AV1469" s="36"/>
    </row>
    <row r="1470" spans="4:48">
      <c r="D1470" s="31"/>
      <c r="E1470" s="31"/>
      <c r="F1470" s="31"/>
      <c r="G1470" s="31"/>
      <c r="H1470" s="32"/>
      <c r="J1470" s="33"/>
      <c r="K1470" s="33"/>
      <c r="L1470" s="33"/>
      <c r="X1470" s="22"/>
      <c r="Y1470" s="22"/>
      <c r="Z1470" s="22"/>
      <c r="AA1470" s="22"/>
      <c r="AF1470" s="22"/>
      <c r="AG1470" s="22"/>
      <c r="AH1470" s="22"/>
      <c r="AI1470" s="22"/>
      <c r="AN1470" s="22"/>
      <c r="AO1470" s="22"/>
      <c r="AP1470" s="22"/>
      <c r="AQ1470" s="22"/>
      <c r="AR1470" s="35"/>
      <c r="AS1470" s="35"/>
      <c r="AT1470" s="35"/>
      <c r="AU1470" s="31"/>
      <c r="AV1470" s="36"/>
    </row>
    <row r="1471" spans="4:48">
      <c r="D1471" s="31"/>
      <c r="E1471" s="31"/>
      <c r="F1471" s="31"/>
      <c r="G1471" s="31"/>
      <c r="H1471" s="32"/>
      <c r="J1471" s="33"/>
      <c r="K1471" s="33"/>
      <c r="L1471" s="33"/>
      <c r="X1471" s="22"/>
      <c r="Y1471" s="22"/>
      <c r="Z1471" s="22"/>
      <c r="AA1471" s="22"/>
      <c r="AF1471" s="22"/>
      <c r="AG1471" s="22"/>
      <c r="AH1471" s="22"/>
      <c r="AI1471" s="22"/>
      <c r="AN1471" s="22"/>
      <c r="AO1471" s="22"/>
      <c r="AP1471" s="22"/>
      <c r="AQ1471" s="22"/>
      <c r="AR1471" s="35"/>
      <c r="AS1471" s="35"/>
      <c r="AT1471" s="35"/>
      <c r="AU1471" s="31"/>
      <c r="AV1471" s="36"/>
    </row>
    <row r="1472" spans="4:48">
      <c r="D1472" s="31"/>
      <c r="E1472" s="31"/>
      <c r="F1472" s="31"/>
      <c r="G1472" s="31"/>
      <c r="H1472" s="32"/>
      <c r="J1472" s="33"/>
      <c r="K1472" s="33"/>
      <c r="L1472" s="33"/>
      <c r="X1472" s="22"/>
      <c r="Y1472" s="22"/>
      <c r="Z1472" s="22"/>
      <c r="AA1472" s="22"/>
      <c r="AF1472" s="22"/>
      <c r="AG1472" s="22"/>
      <c r="AH1472" s="22"/>
      <c r="AI1472" s="22"/>
      <c r="AN1472" s="22"/>
      <c r="AO1472" s="22"/>
      <c r="AP1472" s="22"/>
      <c r="AQ1472" s="22"/>
      <c r="AR1472" s="35"/>
      <c r="AS1472" s="35"/>
      <c r="AT1472" s="35"/>
      <c r="AU1472" s="31"/>
      <c r="AV1472" s="36"/>
    </row>
    <row r="1473" spans="4:48">
      <c r="D1473" s="31"/>
      <c r="E1473" s="31"/>
      <c r="F1473" s="31"/>
      <c r="G1473" s="31"/>
      <c r="H1473" s="32"/>
      <c r="J1473" s="33"/>
      <c r="K1473" s="33"/>
      <c r="L1473" s="33"/>
      <c r="X1473" s="22"/>
      <c r="Y1473" s="22"/>
      <c r="Z1473" s="22"/>
      <c r="AA1473" s="22"/>
      <c r="AF1473" s="22"/>
      <c r="AG1473" s="22"/>
      <c r="AH1473" s="22"/>
      <c r="AI1473" s="22"/>
      <c r="AN1473" s="22"/>
      <c r="AO1473" s="22"/>
      <c r="AP1473" s="22"/>
      <c r="AQ1473" s="22"/>
      <c r="AR1473" s="35"/>
      <c r="AS1473" s="35"/>
      <c r="AT1473" s="35"/>
      <c r="AU1473" s="31"/>
      <c r="AV1473" s="36"/>
    </row>
    <row r="1474" spans="4:48">
      <c r="D1474" s="31"/>
      <c r="E1474" s="31"/>
      <c r="F1474" s="31"/>
      <c r="G1474" s="31"/>
      <c r="H1474" s="32"/>
      <c r="J1474" s="33"/>
      <c r="K1474" s="33"/>
      <c r="L1474" s="33"/>
      <c r="X1474" s="22"/>
      <c r="Y1474" s="22"/>
      <c r="Z1474" s="22"/>
      <c r="AA1474" s="22"/>
      <c r="AF1474" s="22"/>
      <c r="AG1474" s="22"/>
      <c r="AH1474" s="22"/>
      <c r="AI1474" s="22"/>
      <c r="AN1474" s="22"/>
      <c r="AO1474" s="22"/>
      <c r="AP1474" s="22"/>
      <c r="AQ1474" s="22"/>
      <c r="AR1474" s="35"/>
      <c r="AS1474" s="35"/>
      <c r="AT1474" s="35"/>
      <c r="AU1474" s="31"/>
      <c r="AV1474" s="36"/>
    </row>
    <row r="1475" spans="4:48">
      <c r="D1475" s="31"/>
      <c r="E1475" s="31"/>
      <c r="F1475" s="31"/>
      <c r="G1475" s="31"/>
      <c r="H1475" s="32"/>
      <c r="J1475" s="33"/>
      <c r="K1475" s="33"/>
      <c r="L1475" s="33"/>
      <c r="X1475" s="22"/>
      <c r="Y1475" s="22"/>
      <c r="Z1475" s="22"/>
      <c r="AA1475" s="22"/>
      <c r="AF1475" s="22"/>
      <c r="AG1475" s="22"/>
      <c r="AH1475" s="22"/>
      <c r="AI1475" s="22"/>
      <c r="AN1475" s="22"/>
      <c r="AO1475" s="22"/>
      <c r="AP1475" s="22"/>
      <c r="AQ1475" s="22"/>
      <c r="AR1475" s="35"/>
      <c r="AS1475" s="35"/>
      <c r="AT1475" s="35"/>
      <c r="AU1475" s="31"/>
      <c r="AV1475" s="36"/>
    </row>
    <row r="1476" spans="4:48">
      <c r="D1476" s="31"/>
      <c r="E1476" s="31"/>
      <c r="F1476" s="31"/>
      <c r="G1476" s="31"/>
      <c r="H1476" s="32"/>
      <c r="J1476" s="33"/>
      <c r="K1476" s="33"/>
      <c r="L1476" s="33"/>
      <c r="X1476" s="22"/>
      <c r="Y1476" s="22"/>
      <c r="Z1476" s="22"/>
      <c r="AA1476" s="22"/>
      <c r="AF1476" s="22"/>
      <c r="AG1476" s="22"/>
      <c r="AH1476" s="22"/>
      <c r="AI1476" s="22"/>
      <c r="AN1476" s="22"/>
      <c r="AO1476" s="22"/>
      <c r="AP1476" s="22"/>
      <c r="AQ1476" s="22"/>
      <c r="AR1476" s="35"/>
      <c r="AS1476" s="35"/>
      <c r="AT1476" s="35"/>
      <c r="AU1476" s="31"/>
      <c r="AV1476" s="36"/>
    </row>
    <row r="1477" spans="4:48">
      <c r="D1477" s="31"/>
      <c r="E1477" s="31"/>
      <c r="F1477" s="31"/>
      <c r="G1477" s="31"/>
      <c r="H1477" s="32"/>
      <c r="J1477" s="33"/>
      <c r="K1477" s="33"/>
      <c r="L1477" s="33"/>
      <c r="X1477" s="22"/>
      <c r="Y1477" s="22"/>
      <c r="Z1477" s="22"/>
      <c r="AA1477" s="22"/>
      <c r="AF1477" s="22"/>
      <c r="AG1477" s="22"/>
      <c r="AH1477" s="22"/>
      <c r="AI1477" s="22"/>
      <c r="AN1477" s="22"/>
      <c r="AO1477" s="22"/>
      <c r="AP1477" s="22"/>
      <c r="AQ1477" s="22"/>
      <c r="AR1477" s="35"/>
      <c r="AS1477" s="35"/>
      <c r="AT1477" s="35"/>
      <c r="AU1477" s="31"/>
      <c r="AV1477" s="36"/>
    </row>
    <row r="1478" spans="4:48">
      <c r="D1478" s="31"/>
      <c r="E1478" s="31"/>
      <c r="F1478" s="31"/>
      <c r="G1478" s="31"/>
      <c r="H1478" s="32"/>
      <c r="J1478" s="33"/>
      <c r="K1478" s="33"/>
      <c r="L1478" s="33"/>
      <c r="X1478" s="22"/>
      <c r="Y1478" s="22"/>
      <c r="Z1478" s="22"/>
      <c r="AA1478" s="22"/>
      <c r="AF1478" s="22"/>
      <c r="AG1478" s="22"/>
      <c r="AH1478" s="22"/>
      <c r="AI1478" s="22"/>
      <c r="AN1478" s="22"/>
      <c r="AO1478" s="22"/>
      <c r="AP1478" s="22"/>
      <c r="AQ1478" s="22"/>
      <c r="AR1478" s="35"/>
      <c r="AS1478" s="35"/>
      <c r="AT1478" s="35"/>
      <c r="AU1478" s="31"/>
      <c r="AV1478" s="36"/>
    </row>
    <row r="1479" spans="4:48">
      <c r="D1479" s="31"/>
      <c r="E1479" s="31"/>
      <c r="F1479" s="31"/>
      <c r="G1479" s="31"/>
      <c r="H1479" s="32"/>
      <c r="J1479" s="33"/>
      <c r="K1479" s="33"/>
      <c r="L1479" s="33"/>
      <c r="X1479" s="22"/>
      <c r="Y1479" s="22"/>
      <c r="Z1479" s="22"/>
      <c r="AA1479" s="22"/>
      <c r="AF1479" s="22"/>
      <c r="AG1479" s="22"/>
      <c r="AH1479" s="22"/>
      <c r="AI1479" s="22"/>
      <c r="AN1479" s="22"/>
      <c r="AO1479" s="22"/>
      <c r="AP1479" s="22"/>
      <c r="AQ1479" s="22"/>
      <c r="AR1479" s="35"/>
      <c r="AS1479" s="35"/>
      <c r="AT1479" s="35"/>
      <c r="AU1479" s="31"/>
      <c r="AV1479" s="36"/>
    </row>
    <row r="1480" spans="4:48">
      <c r="D1480" s="31"/>
      <c r="E1480" s="31"/>
      <c r="F1480" s="31"/>
      <c r="G1480" s="31"/>
      <c r="H1480" s="32"/>
      <c r="J1480" s="33"/>
      <c r="K1480" s="33"/>
      <c r="L1480" s="33"/>
      <c r="X1480" s="22"/>
      <c r="Y1480" s="22"/>
      <c r="Z1480" s="22"/>
      <c r="AA1480" s="22"/>
      <c r="AF1480" s="22"/>
      <c r="AG1480" s="22"/>
      <c r="AH1480" s="22"/>
      <c r="AI1480" s="22"/>
      <c r="AN1480" s="22"/>
      <c r="AO1480" s="22"/>
      <c r="AP1480" s="22"/>
      <c r="AQ1480" s="22"/>
      <c r="AR1480" s="35"/>
      <c r="AS1480" s="35"/>
      <c r="AT1480" s="35"/>
      <c r="AU1480" s="31"/>
      <c r="AV1480" s="36"/>
    </row>
    <row r="1481" spans="4:48">
      <c r="D1481" s="31"/>
      <c r="E1481" s="31"/>
      <c r="F1481" s="31"/>
      <c r="G1481" s="31"/>
      <c r="H1481" s="32"/>
      <c r="J1481" s="33"/>
      <c r="K1481" s="33"/>
      <c r="L1481" s="33"/>
      <c r="X1481" s="22"/>
      <c r="Y1481" s="22"/>
      <c r="Z1481" s="22"/>
      <c r="AA1481" s="22"/>
      <c r="AF1481" s="22"/>
      <c r="AG1481" s="22"/>
      <c r="AH1481" s="22"/>
      <c r="AI1481" s="22"/>
      <c r="AN1481" s="22"/>
      <c r="AO1481" s="22"/>
      <c r="AP1481" s="22"/>
      <c r="AQ1481" s="22"/>
      <c r="AR1481" s="35"/>
      <c r="AS1481" s="35"/>
      <c r="AT1481" s="35"/>
      <c r="AU1481" s="31"/>
      <c r="AV1481" s="36"/>
    </row>
    <row r="1482" spans="4:48">
      <c r="D1482" s="31"/>
      <c r="E1482" s="31"/>
      <c r="F1482" s="31"/>
      <c r="G1482" s="31"/>
      <c r="H1482" s="32"/>
      <c r="J1482" s="33"/>
      <c r="K1482" s="33"/>
      <c r="L1482" s="33"/>
      <c r="X1482" s="22"/>
      <c r="Y1482" s="22"/>
      <c r="Z1482" s="22"/>
      <c r="AA1482" s="22"/>
      <c r="AF1482" s="22"/>
      <c r="AG1482" s="22"/>
      <c r="AH1482" s="22"/>
      <c r="AI1482" s="22"/>
      <c r="AN1482" s="22"/>
      <c r="AO1482" s="22"/>
      <c r="AP1482" s="22"/>
      <c r="AQ1482" s="22"/>
      <c r="AR1482" s="35"/>
      <c r="AS1482" s="35"/>
      <c r="AT1482" s="35"/>
      <c r="AU1482" s="31"/>
      <c r="AV1482" s="36"/>
    </row>
    <row r="1483" spans="4:48">
      <c r="D1483" s="31"/>
      <c r="E1483" s="31"/>
      <c r="F1483" s="31"/>
      <c r="G1483" s="31"/>
      <c r="H1483" s="32"/>
      <c r="J1483" s="33"/>
      <c r="K1483" s="33"/>
      <c r="L1483" s="33"/>
      <c r="X1483" s="22"/>
      <c r="Y1483" s="22"/>
      <c r="Z1483" s="22"/>
      <c r="AA1483" s="22"/>
      <c r="AF1483" s="22"/>
      <c r="AG1483" s="22"/>
      <c r="AH1483" s="22"/>
      <c r="AI1483" s="22"/>
      <c r="AN1483" s="22"/>
      <c r="AO1483" s="22"/>
      <c r="AP1483" s="22"/>
      <c r="AQ1483" s="22"/>
      <c r="AR1483" s="35"/>
      <c r="AS1483" s="35"/>
      <c r="AT1483" s="35"/>
      <c r="AU1483" s="31"/>
      <c r="AV1483" s="36"/>
    </row>
    <row r="1484" spans="4:48">
      <c r="D1484" s="31"/>
      <c r="E1484" s="31"/>
      <c r="F1484" s="31"/>
      <c r="G1484" s="31"/>
      <c r="H1484" s="32"/>
      <c r="J1484" s="33"/>
      <c r="K1484" s="33"/>
      <c r="L1484" s="33"/>
      <c r="X1484" s="22"/>
      <c r="Y1484" s="22"/>
      <c r="Z1484" s="22"/>
      <c r="AA1484" s="22"/>
      <c r="AF1484" s="22"/>
      <c r="AG1484" s="22"/>
      <c r="AH1484" s="22"/>
      <c r="AI1484" s="22"/>
      <c r="AN1484" s="22"/>
      <c r="AO1484" s="22"/>
      <c r="AP1484" s="22"/>
      <c r="AQ1484" s="22"/>
      <c r="AR1484" s="35"/>
      <c r="AS1484" s="35"/>
      <c r="AT1484" s="35"/>
      <c r="AU1484" s="31"/>
      <c r="AV1484" s="36"/>
    </row>
    <row r="1485" spans="4:48">
      <c r="D1485" s="31"/>
      <c r="E1485" s="31"/>
      <c r="F1485" s="31"/>
      <c r="G1485" s="31"/>
      <c r="H1485" s="32"/>
      <c r="J1485" s="33"/>
      <c r="K1485" s="33"/>
      <c r="L1485" s="33"/>
      <c r="X1485" s="22"/>
      <c r="Y1485" s="22"/>
      <c r="Z1485" s="22"/>
      <c r="AA1485" s="22"/>
      <c r="AF1485" s="22"/>
      <c r="AG1485" s="22"/>
      <c r="AH1485" s="22"/>
      <c r="AI1485" s="22"/>
      <c r="AN1485" s="22"/>
      <c r="AO1485" s="22"/>
      <c r="AP1485" s="22"/>
      <c r="AQ1485" s="22"/>
      <c r="AR1485" s="35"/>
      <c r="AS1485" s="35"/>
      <c r="AT1485" s="35"/>
      <c r="AU1485" s="31"/>
      <c r="AV1485" s="36"/>
    </row>
    <row r="1486" spans="4:48">
      <c r="D1486" s="31"/>
      <c r="E1486" s="31"/>
      <c r="F1486" s="31"/>
      <c r="G1486" s="31"/>
      <c r="H1486" s="32"/>
      <c r="J1486" s="33"/>
      <c r="K1486" s="33"/>
      <c r="L1486" s="33"/>
      <c r="X1486" s="22"/>
      <c r="Y1486" s="22"/>
      <c r="Z1486" s="22"/>
      <c r="AA1486" s="22"/>
      <c r="AF1486" s="22"/>
      <c r="AG1486" s="22"/>
      <c r="AH1486" s="22"/>
      <c r="AI1486" s="22"/>
      <c r="AN1486" s="22"/>
      <c r="AO1486" s="22"/>
      <c r="AP1486" s="22"/>
      <c r="AQ1486" s="22"/>
      <c r="AR1486" s="35"/>
      <c r="AS1486" s="35"/>
      <c r="AT1486" s="35"/>
      <c r="AU1486" s="31"/>
      <c r="AV1486" s="36"/>
    </row>
    <row r="1487" spans="4:48">
      <c r="D1487" s="31"/>
      <c r="E1487" s="31"/>
      <c r="F1487" s="31"/>
      <c r="G1487" s="31"/>
      <c r="H1487" s="32"/>
      <c r="J1487" s="33"/>
      <c r="K1487" s="33"/>
      <c r="L1487" s="33"/>
      <c r="X1487" s="22"/>
      <c r="Y1487" s="22"/>
      <c r="Z1487" s="22"/>
      <c r="AA1487" s="22"/>
      <c r="AF1487" s="22"/>
      <c r="AG1487" s="22"/>
      <c r="AH1487" s="22"/>
      <c r="AI1487" s="22"/>
      <c r="AN1487" s="22"/>
      <c r="AO1487" s="22"/>
      <c r="AP1487" s="22"/>
      <c r="AQ1487" s="22"/>
      <c r="AR1487" s="35"/>
      <c r="AS1487" s="35"/>
      <c r="AT1487" s="35"/>
      <c r="AU1487" s="31"/>
      <c r="AV1487" s="36"/>
    </row>
    <row r="1488" spans="4:48">
      <c r="D1488" s="31"/>
      <c r="E1488" s="31"/>
      <c r="F1488" s="31"/>
      <c r="G1488" s="31"/>
      <c r="H1488" s="32"/>
      <c r="J1488" s="33"/>
      <c r="K1488" s="33"/>
      <c r="L1488" s="33"/>
      <c r="X1488" s="22"/>
      <c r="Y1488" s="22"/>
      <c r="Z1488" s="22"/>
      <c r="AA1488" s="22"/>
      <c r="AF1488" s="22"/>
      <c r="AG1488" s="22"/>
      <c r="AH1488" s="22"/>
      <c r="AI1488" s="22"/>
      <c r="AN1488" s="22"/>
      <c r="AO1488" s="22"/>
      <c r="AP1488" s="22"/>
      <c r="AQ1488" s="22"/>
      <c r="AR1488" s="35"/>
      <c r="AS1488" s="35"/>
      <c r="AT1488" s="35"/>
      <c r="AU1488" s="31"/>
      <c r="AV1488" s="36"/>
    </row>
    <row r="1489" spans="4:48">
      <c r="D1489" s="31"/>
      <c r="E1489" s="31"/>
      <c r="F1489" s="31"/>
      <c r="G1489" s="31"/>
      <c r="H1489" s="32"/>
      <c r="J1489" s="33"/>
      <c r="K1489" s="33"/>
      <c r="L1489" s="33"/>
      <c r="X1489" s="22"/>
      <c r="Y1489" s="22"/>
      <c r="Z1489" s="22"/>
      <c r="AA1489" s="22"/>
      <c r="AF1489" s="22"/>
      <c r="AG1489" s="22"/>
      <c r="AH1489" s="22"/>
      <c r="AI1489" s="22"/>
      <c r="AN1489" s="22"/>
      <c r="AO1489" s="22"/>
      <c r="AP1489" s="22"/>
      <c r="AQ1489" s="22"/>
      <c r="AR1489" s="35"/>
      <c r="AS1489" s="35"/>
      <c r="AT1489" s="35"/>
      <c r="AU1489" s="31"/>
      <c r="AV1489" s="36"/>
    </row>
    <row r="1490" spans="4:48">
      <c r="D1490" s="31"/>
      <c r="E1490" s="31"/>
      <c r="F1490" s="31"/>
      <c r="G1490" s="31"/>
      <c r="H1490" s="32"/>
      <c r="J1490" s="33"/>
      <c r="K1490" s="33"/>
      <c r="L1490" s="33"/>
      <c r="X1490" s="22"/>
      <c r="Y1490" s="22"/>
      <c r="Z1490" s="22"/>
      <c r="AA1490" s="22"/>
      <c r="AF1490" s="22"/>
      <c r="AG1490" s="22"/>
      <c r="AH1490" s="22"/>
      <c r="AI1490" s="22"/>
      <c r="AN1490" s="22"/>
      <c r="AO1490" s="22"/>
      <c r="AP1490" s="22"/>
      <c r="AQ1490" s="22"/>
      <c r="AR1490" s="35"/>
      <c r="AS1490" s="35"/>
      <c r="AT1490" s="35"/>
      <c r="AU1490" s="31"/>
      <c r="AV1490" s="36"/>
    </row>
    <row r="1491" spans="4:48">
      <c r="D1491" s="31"/>
      <c r="E1491" s="31"/>
      <c r="F1491" s="31"/>
      <c r="G1491" s="31"/>
      <c r="H1491" s="32"/>
      <c r="J1491" s="33"/>
      <c r="K1491" s="33"/>
      <c r="L1491" s="33"/>
      <c r="X1491" s="22"/>
      <c r="Y1491" s="22"/>
      <c r="Z1491" s="22"/>
      <c r="AA1491" s="22"/>
      <c r="AF1491" s="22"/>
      <c r="AG1491" s="22"/>
      <c r="AH1491" s="22"/>
      <c r="AI1491" s="22"/>
      <c r="AN1491" s="22"/>
      <c r="AO1491" s="22"/>
      <c r="AP1491" s="22"/>
      <c r="AQ1491" s="22"/>
      <c r="AR1491" s="35"/>
      <c r="AS1491" s="35"/>
      <c r="AT1491" s="35"/>
      <c r="AU1491" s="31"/>
      <c r="AV1491" s="36"/>
    </row>
    <row r="1492" spans="4:48">
      <c r="D1492" s="31"/>
      <c r="E1492" s="31"/>
      <c r="F1492" s="31"/>
      <c r="G1492" s="31"/>
      <c r="H1492" s="32"/>
      <c r="J1492" s="33"/>
      <c r="K1492" s="33"/>
      <c r="L1492" s="33"/>
      <c r="X1492" s="22"/>
      <c r="Y1492" s="22"/>
      <c r="Z1492" s="22"/>
      <c r="AA1492" s="22"/>
      <c r="AF1492" s="22"/>
      <c r="AG1492" s="22"/>
      <c r="AH1492" s="22"/>
      <c r="AI1492" s="22"/>
      <c r="AN1492" s="22"/>
      <c r="AO1492" s="22"/>
      <c r="AP1492" s="22"/>
      <c r="AQ1492" s="22"/>
      <c r="AR1492" s="35"/>
      <c r="AS1492" s="35"/>
      <c r="AT1492" s="35"/>
      <c r="AU1492" s="31"/>
      <c r="AV1492" s="36"/>
    </row>
    <row r="1493" spans="4:48">
      <c r="D1493" s="31"/>
      <c r="E1493" s="31"/>
      <c r="F1493" s="31"/>
      <c r="G1493" s="31"/>
      <c r="H1493" s="32"/>
      <c r="J1493" s="33"/>
      <c r="K1493" s="33"/>
      <c r="L1493" s="33"/>
      <c r="X1493" s="22"/>
      <c r="Y1493" s="22"/>
      <c r="Z1493" s="22"/>
      <c r="AA1493" s="22"/>
      <c r="AF1493" s="22"/>
      <c r="AG1493" s="22"/>
      <c r="AH1493" s="22"/>
      <c r="AI1493" s="22"/>
      <c r="AN1493" s="22"/>
      <c r="AO1493" s="22"/>
      <c r="AP1493" s="22"/>
      <c r="AQ1493" s="22"/>
      <c r="AR1493" s="35"/>
      <c r="AS1493" s="35"/>
      <c r="AT1493" s="35"/>
      <c r="AU1493" s="31"/>
      <c r="AV1493" s="36"/>
    </row>
    <row r="1494" spans="4:48">
      <c r="D1494" s="31"/>
      <c r="E1494" s="31"/>
      <c r="F1494" s="31"/>
      <c r="G1494" s="31"/>
      <c r="H1494" s="32"/>
      <c r="J1494" s="33"/>
      <c r="K1494" s="33"/>
      <c r="L1494" s="33"/>
      <c r="X1494" s="22"/>
      <c r="Y1494" s="22"/>
      <c r="Z1494" s="22"/>
      <c r="AA1494" s="22"/>
      <c r="AF1494" s="22"/>
      <c r="AG1494" s="22"/>
      <c r="AH1494" s="22"/>
      <c r="AI1494" s="22"/>
      <c r="AN1494" s="22"/>
      <c r="AO1494" s="22"/>
      <c r="AP1494" s="22"/>
      <c r="AQ1494" s="22"/>
      <c r="AR1494" s="35"/>
      <c r="AS1494" s="35"/>
      <c r="AT1494" s="35"/>
      <c r="AU1494" s="31"/>
      <c r="AV1494" s="36"/>
    </row>
    <row r="1495" spans="4:48">
      <c r="D1495" s="31"/>
      <c r="E1495" s="31"/>
      <c r="F1495" s="31"/>
      <c r="G1495" s="31"/>
      <c r="H1495" s="32"/>
      <c r="J1495" s="33"/>
      <c r="K1495" s="33"/>
      <c r="L1495" s="33"/>
      <c r="X1495" s="22"/>
      <c r="Y1495" s="22"/>
      <c r="Z1495" s="22"/>
      <c r="AA1495" s="22"/>
      <c r="AF1495" s="22"/>
      <c r="AG1495" s="22"/>
      <c r="AH1495" s="22"/>
      <c r="AI1495" s="22"/>
      <c r="AN1495" s="22"/>
      <c r="AO1495" s="22"/>
      <c r="AP1495" s="22"/>
      <c r="AQ1495" s="22"/>
      <c r="AR1495" s="35"/>
      <c r="AS1495" s="35"/>
      <c r="AT1495" s="35"/>
      <c r="AU1495" s="31"/>
      <c r="AV1495" s="36"/>
    </row>
    <row r="1496" spans="4:48">
      <c r="D1496" s="31"/>
      <c r="E1496" s="31"/>
      <c r="F1496" s="31"/>
      <c r="G1496" s="31"/>
      <c r="H1496" s="32"/>
      <c r="J1496" s="33"/>
      <c r="K1496" s="33"/>
      <c r="L1496" s="33"/>
      <c r="X1496" s="22"/>
      <c r="Y1496" s="22"/>
      <c r="Z1496" s="22"/>
      <c r="AA1496" s="22"/>
      <c r="AF1496" s="22"/>
      <c r="AG1496" s="22"/>
      <c r="AH1496" s="22"/>
      <c r="AI1496" s="22"/>
      <c r="AN1496" s="22"/>
      <c r="AO1496" s="22"/>
      <c r="AP1496" s="22"/>
      <c r="AQ1496" s="22"/>
      <c r="AR1496" s="35"/>
      <c r="AS1496" s="35"/>
      <c r="AT1496" s="35"/>
      <c r="AU1496" s="31"/>
      <c r="AV1496" s="36"/>
    </row>
    <row r="1497" spans="4:48">
      <c r="D1497" s="31"/>
      <c r="E1497" s="31"/>
      <c r="F1497" s="31"/>
      <c r="G1497" s="31"/>
      <c r="H1497" s="32"/>
      <c r="J1497" s="33"/>
      <c r="K1497" s="33"/>
      <c r="L1497" s="33"/>
      <c r="X1497" s="22"/>
      <c r="Y1497" s="22"/>
      <c r="Z1497" s="22"/>
      <c r="AA1497" s="22"/>
      <c r="AF1497" s="22"/>
      <c r="AG1497" s="22"/>
      <c r="AH1497" s="22"/>
      <c r="AI1497" s="22"/>
      <c r="AN1497" s="22"/>
      <c r="AO1497" s="22"/>
      <c r="AP1497" s="22"/>
      <c r="AQ1497" s="22"/>
      <c r="AR1497" s="35"/>
      <c r="AS1497" s="35"/>
      <c r="AT1497" s="35"/>
      <c r="AU1497" s="31"/>
      <c r="AV1497" s="36"/>
    </row>
    <row r="1498" spans="4:48">
      <c r="D1498" s="31"/>
      <c r="E1498" s="31"/>
      <c r="F1498" s="31"/>
      <c r="G1498" s="31"/>
      <c r="H1498" s="32"/>
      <c r="J1498" s="33"/>
      <c r="K1498" s="33"/>
      <c r="L1498" s="33"/>
      <c r="X1498" s="22"/>
      <c r="Y1498" s="22"/>
      <c r="Z1498" s="22"/>
      <c r="AA1498" s="22"/>
      <c r="AF1498" s="22"/>
      <c r="AG1498" s="22"/>
      <c r="AH1498" s="22"/>
      <c r="AI1498" s="22"/>
      <c r="AN1498" s="22"/>
      <c r="AO1498" s="22"/>
      <c r="AP1498" s="22"/>
      <c r="AQ1498" s="22"/>
      <c r="AR1498" s="35"/>
      <c r="AS1498" s="35"/>
      <c r="AT1498" s="35"/>
      <c r="AU1498" s="31"/>
      <c r="AV1498" s="36"/>
    </row>
    <row r="1499" spans="4:48">
      <c r="D1499" s="31"/>
      <c r="E1499" s="31"/>
      <c r="F1499" s="31"/>
      <c r="G1499" s="31"/>
      <c r="H1499" s="32"/>
      <c r="J1499" s="33"/>
      <c r="K1499" s="33"/>
      <c r="L1499" s="33"/>
      <c r="X1499" s="22"/>
      <c r="Y1499" s="22"/>
      <c r="Z1499" s="22"/>
      <c r="AA1499" s="22"/>
      <c r="AF1499" s="22"/>
      <c r="AG1499" s="22"/>
      <c r="AH1499" s="22"/>
      <c r="AI1499" s="22"/>
      <c r="AN1499" s="22"/>
      <c r="AO1499" s="22"/>
      <c r="AP1499" s="22"/>
      <c r="AQ1499" s="22"/>
      <c r="AR1499" s="35"/>
      <c r="AS1499" s="35"/>
      <c r="AT1499" s="35"/>
      <c r="AU1499" s="31"/>
      <c r="AV1499" s="36"/>
    </row>
    <row r="1500" spans="4:48">
      <c r="D1500" s="31"/>
      <c r="E1500" s="31"/>
      <c r="F1500" s="31"/>
      <c r="G1500" s="31"/>
      <c r="H1500" s="32"/>
      <c r="J1500" s="33"/>
      <c r="K1500" s="33"/>
      <c r="L1500" s="33"/>
      <c r="X1500" s="22"/>
      <c r="Y1500" s="22"/>
      <c r="Z1500" s="22"/>
      <c r="AA1500" s="22"/>
      <c r="AF1500" s="22"/>
      <c r="AG1500" s="22"/>
      <c r="AH1500" s="22"/>
      <c r="AI1500" s="22"/>
      <c r="AN1500" s="22"/>
      <c r="AO1500" s="22"/>
      <c r="AP1500" s="22"/>
      <c r="AQ1500" s="22"/>
      <c r="AR1500" s="35"/>
      <c r="AS1500" s="35"/>
      <c r="AT1500" s="35"/>
      <c r="AU1500" s="31"/>
      <c r="AV1500" s="36"/>
    </row>
    <row r="1501" spans="4:48">
      <c r="D1501" s="31"/>
      <c r="E1501" s="31"/>
      <c r="F1501" s="31"/>
      <c r="G1501" s="31"/>
      <c r="H1501" s="32"/>
      <c r="J1501" s="33"/>
      <c r="K1501" s="33"/>
      <c r="L1501" s="33"/>
      <c r="X1501" s="22"/>
      <c r="Y1501" s="22"/>
      <c r="Z1501" s="22"/>
      <c r="AA1501" s="22"/>
      <c r="AF1501" s="22"/>
      <c r="AG1501" s="22"/>
      <c r="AH1501" s="22"/>
      <c r="AI1501" s="22"/>
      <c r="AN1501" s="22"/>
      <c r="AO1501" s="22"/>
      <c r="AP1501" s="22"/>
      <c r="AQ1501" s="22"/>
      <c r="AR1501" s="35"/>
      <c r="AS1501" s="35"/>
      <c r="AT1501" s="35"/>
      <c r="AU1501" s="31"/>
      <c r="AV1501" s="36"/>
    </row>
    <row r="1502" spans="4:48">
      <c r="D1502" s="31"/>
      <c r="E1502" s="31"/>
      <c r="F1502" s="31"/>
      <c r="G1502" s="31"/>
      <c r="H1502" s="32"/>
      <c r="J1502" s="33"/>
      <c r="K1502" s="33"/>
      <c r="L1502" s="33"/>
      <c r="X1502" s="22"/>
      <c r="Y1502" s="22"/>
      <c r="Z1502" s="22"/>
      <c r="AA1502" s="22"/>
      <c r="AF1502" s="22"/>
      <c r="AG1502" s="22"/>
      <c r="AH1502" s="22"/>
      <c r="AI1502" s="22"/>
      <c r="AN1502" s="22"/>
      <c r="AO1502" s="22"/>
      <c r="AP1502" s="22"/>
      <c r="AQ1502" s="22"/>
      <c r="AR1502" s="35"/>
      <c r="AS1502" s="35"/>
      <c r="AT1502" s="35"/>
      <c r="AU1502" s="31"/>
      <c r="AV1502" s="36"/>
    </row>
    <row r="1503" spans="4:48">
      <c r="D1503" s="31"/>
      <c r="E1503" s="31"/>
      <c r="F1503" s="31"/>
      <c r="G1503" s="31"/>
      <c r="H1503" s="32"/>
      <c r="J1503" s="33"/>
      <c r="K1503" s="33"/>
      <c r="L1503" s="33"/>
      <c r="X1503" s="22"/>
      <c r="Y1503" s="22"/>
      <c r="Z1503" s="22"/>
      <c r="AA1503" s="22"/>
      <c r="AF1503" s="22"/>
      <c r="AG1503" s="22"/>
      <c r="AH1503" s="22"/>
      <c r="AI1503" s="22"/>
      <c r="AN1503" s="22"/>
      <c r="AO1503" s="22"/>
      <c r="AP1503" s="22"/>
      <c r="AQ1503" s="22"/>
      <c r="AR1503" s="35"/>
      <c r="AS1503" s="35"/>
      <c r="AT1503" s="35"/>
      <c r="AU1503" s="31"/>
      <c r="AV1503" s="36"/>
    </row>
    <row r="1504" spans="4:48">
      <c r="D1504" s="31"/>
      <c r="E1504" s="31"/>
      <c r="F1504" s="31"/>
      <c r="G1504" s="31"/>
      <c r="H1504" s="32"/>
      <c r="J1504" s="33"/>
      <c r="K1504" s="33"/>
      <c r="L1504" s="33"/>
      <c r="X1504" s="22"/>
      <c r="Y1504" s="22"/>
      <c r="Z1504" s="22"/>
      <c r="AA1504" s="22"/>
      <c r="AF1504" s="22"/>
      <c r="AG1504" s="22"/>
      <c r="AH1504" s="22"/>
      <c r="AI1504" s="22"/>
      <c r="AN1504" s="22"/>
      <c r="AO1504" s="22"/>
      <c r="AP1504" s="22"/>
      <c r="AQ1504" s="22"/>
      <c r="AR1504" s="35"/>
      <c r="AS1504" s="35"/>
      <c r="AT1504" s="35"/>
      <c r="AU1504" s="31"/>
      <c r="AV1504" s="36"/>
    </row>
    <row r="1505" spans="4:48">
      <c r="D1505" s="31"/>
      <c r="E1505" s="31"/>
      <c r="F1505" s="31"/>
      <c r="G1505" s="31"/>
      <c r="H1505" s="32"/>
      <c r="J1505" s="33"/>
      <c r="K1505" s="33"/>
      <c r="L1505" s="33"/>
      <c r="X1505" s="22"/>
      <c r="Y1505" s="22"/>
      <c r="Z1505" s="22"/>
      <c r="AA1505" s="22"/>
      <c r="AF1505" s="22"/>
      <c r="AG1505" s="22"/>
      <c r="AH1505" s="22"/>
      <c r="AI1505" s="22"/>
      <c r="AN1505" s="22"/>
      <c r="AO1505" s="22"/>
      <c r="AP1505" s="22"/>
      <c r="AQ1505" s="22"/>
      <c r="AR1505" s="35"/>
      <c r="AS1505" s="35"/>
      <c r="AT1505" s="35"/>
      <c r="AU1505" s="31"/>
      <c r="AV1505" s="36"/>
    </row>
    <row r="1506" spans="4:48">
      <c r="D1506" s="31"/>
      <c r="E1506" s="31"/>
      <c r="F1506" s="31"/>
      <c r="G1506" s="31"/>
      <c r="H1506" s="32"/>
      <c r="J1506" s="33"/>
      <c r="K1506" s="33"/>
      <c r="L1506" s="33"/>
      <c r="X1506" s="22"/>
      <c r="Y1506" s="22"/>
      <c r="Z1506" s="22"/>
      <c r="AA1506" s="22"/>
      <c r="AF1506" s="22"/>
      <c r="AG1506" s="22"/>
      <c r="AH1506" s="22"/>
      <c r="AI1506" s="22"/>
      <c r="AN1506" s="22"/>
      <c r="AO1506" s="22"/>
      <c r="AP1506" s="22"/>
      <c r="AQ1506" s="22"/>
      <c r="AR1506" s="35"/>
      <c r="AS1506" s="35"/>
      <c r="AT1506" s="35"/>
      <c r="AU1506" s="31"/>
      <c r="AV1506" s="36"/>
    </row>
    <row r="1507" spans="4:48">
      <c r="D1507" s="31"/>
      <c r="E1507" s="31"/>
      <c r="F1507" s="31"/>
      <c r="G1507" s="31"/>
      <c r="H1507" s="32"/>
      <c r="J1507" s="33"/>
      <c r="K1507" s="33"/>
      <c r="L1507" s="33"/>
      <c r="X1507" s="22"/>
      <c r="Y1507" s="22"/>
      <c r="Z1507" s="22"/>
      <c r="AA1507" s="22"/>
      <c r="AF1507" s="22"/>
      <c r="AG1507" s="22"/>
      <c r="AH1507" s="22"/>
      <c r="AI1507" s="22"/>
      <c r="AN1507" s="22"/>
      <c r="AO1507" s="22"/>
      <c r="AP1507" s="22"/>
      <c r="AQ1507" s="22"/>
      <c r="AR1507" s="35"/>
      <c r="AS1507" s="35"/>
      <c r="AT1507" s="35"/>
      <c r="AU1507" s="31"/>
      <c r="AV1507" s="36"/>
    </row>
    <row r="1508" spans="4:48">
      <c r="D1508" s="31"/>
      <c r="E1508" s="31"/>
      <c r="F1508" s="31"/>
      <c r="G1508" s="31"/>
      <c r="H1508" s="32"/>
      <c r="J1508" s="33"/>
      <c r="K1508" s="33"/>
      <c r="L1508" s="33"/>
      <c r="X1508" s="22"/>
      <c r="Y1508" s="22"/>
      <c r="Z1508" s="22"/>
      <c r="AA1508" s="22"/>
      <c r="AF1508" s="22"/>
      <c r="AG1508" s="22"/>
      <c r="AH1508" s="22"/>
      <c r="AI1508" s="22"/>
      <c r="AN1508" s="22"/>
      <c r="AO1508" s="22"/>
      <c r="AP1508" s="22"/>
      <c r="AQ1508" s="22"/>
      <c r="AR1508" s="35"/>
      <c r="AS1508" s="35"/>
      <c r="AT1508" s="35"/>
      <c r="AU1508" s="31"/>
      <c r="AV1508" s="36"/>
    </row>
    <row r="1509" spans="4:48">
      <c r="D1509" s="31"/>
      <c r="E1509" s="31"/>
      <c r="F1509" s="31"/>
      <c r="G1509" s="31"/>
      <c r="H1509" s="32"/>
      <c r="J1509" s="33"/>
      <c r="K1509" s="33"/>
      <c r="L1509" s="33"/>
      <c r="X1509" s="22"/>
      <c r="Y1509" s="22"/>
      <c r="Z1509" s="22"/>
      <c r="AA1509" s="22"/>
      <c r="AF1509" s="22"/>
      <c r="AG1509" s="22"/>
      <c r="AH1509" s="22"/>
      <c r="AI1509" s="22"/>
      <c r="AN1509" s="22"/>
      <c r="AO1509" s="22"/>
      <c r="AP1509" s="22"/>
      <c r="AQ1509" s="22"/>
      <c r="AR1509" s="35"/>
      <c r="AS1509" s="35"/>
      <c r="AT1509" s="35"/>
      <c r="AU1509" s="31"/>
      <c r="AV1509" s="36"/>
    </row>
    <row r="1510" spans="4:48">
      <c r="D1510" s="31"/>
      <c r="E1510" s="31"/>
      <c r="F1510" s="31"/>
      <c r="G1510" s="31"/>
      <c r="H1510" s="32"/>
      <c r="J1510" s="33"/>
      <c r="K1510" s="33"/>
      <c r="L1510" s="33"/>
      <c r="X1510" s="22"/>
      <c r="Y1510" s="22"/>
      <c r="Z1510" s="22"/>
      <c r="AA1510" s="22"/>
      <c r="AF1510" s="22"/>
      <c r="AG1510" s="22"/>
      <c r="AH1510" s="22"/>
      <c r="AI1510" s="22"/>
      <c r="AN1510" s="22"/>
      <c r="AO1510" s="22"/>
      <c r="AP1510" s="22"/>
      <c r="AQ1510" s="22"/>
      <c r="AR1510" s="35"/>
      <c r="AS1510" s="35"/>
      <c r="AT1510" s="35"/>
      <c r="AU1510" s="31"/>
      <c r="AV1510" s="36"/>
    </row>
    <row r="1511" spans="4:48">
      <c r="D1511" s="31"/>
      <c r="E1511" s="31"/>
      <c r="F1511" s="31"/>
      <c r="G1511" s="31"/>
      <c r="H1511" s="32"/>
      <c r="J1511" s="33"/>
      <c r="K1511" s="33"/>
      <c r="L1511" s="33"/>
      <c r="X1511" s="22"/>
      <c r="Y1511" s="22"/>
      <c r="Z1511" s="22"/>
      <c r="AA1511" s="22"/>
      <c r="AF1511" s="22"/>
      <c r="AG1511" s="22"/>
      <c r="AH1511" s="22"/>
      <c r="AI1511" s="22"/>
      <c r="AN1511" s="22"/>
      <c r="AO1511" s="22"/>
      <c r="AP1511" s="22"/>
      <c r="AQ1511" s="22"/>
      <c r="AR1511" s="35"/>
      <c r="AS1511" s="35"/>
      <c r="AT1511" s="35"/>
      <c r="AU1511" s="31"/>
      <c r="AV1511" s="36"/>
    </row>
    <row r="1512" spans="4:48">
      <c r="D1512" s="31"/>
      <c r="E1512" s="31"/>
      <c r="F1512" s="31"/>
      <c r="G1512" s="31"/>
      <c r="H1512" s="32"/>
      <c r="J1512" s="33"/>
      <c r="K1512" s="33"/>
      <c r="L1512" s="33"/>
      <c r="X1512" s="22"/>
      <c r="Y1512" s="22"/>
      <c r="Z1512" s="22"/>
      <c r="AA1512" s="22"/>
      <c r="AF1512" s="22"/>
      <c r="AG1512" s="22"/>
      <c r="AH1512" s="22"/>
      <c r="AI1512" s="22"/>
      <c r="AN1512" s="22"/>
      <c r="AO1512" s="22"/>
      <c r="AP1512" s="22"/>
      <c r="AQ1512" s="22"/>
      <c r="AR1512" s="35"/>
      <c r="AS1512" s="35"/>
      <c r="AT1512" s="35"/>
      <c r="AU1512" s="31"/>
      <c r="AV1512" s="36"/>
    </row>
    <row r="1513" spans="4:48">
      <c r="D1513" s="31"/>
      <c r="E1513" s="31"/>
      <c r="F1513" s="31"/>
      <c r="G1513" s="31"/>
      <c r="H1513" s="32"/>
      <c r="J1513" s="33"/>
      <c r="K1513" s="33"/>
      <c r="L1513" s="33"/>
      <c r="X1513" s="22"/>
      <c r="Y1513" s="22"/>
      <c r="Z1513" s="22"/>
      <c r="AA1513" s="22"/>
      <c r="AF1513" s="22"/>
      <c r="AG1513" s="22"/>
      <c r="AH1513" s="22"/>
      <c r="AI1513" s="22"/>
      <c r="AN1513" s="22"/>
      <c r="AO1513" s="22"/>
      <c r="AP1513" s="22"/>
      <c r="AQ1513" s="22"/>
      <c r="AR1513" s="35"/>
      <c r="AS1513" s="35"/>
      <c r="AT1513" s="35"/>
      <c r="AU1513" s="31"/>
      <c r="AV1513" s="36"/>
    </row>
    <row r="1514" spans="4:48">
      <c r="D1514" s="31"/>
      <c r="E1514" s="31"/>
      <c r="F1514" s="31"/>
      <c r="G1514" s="31"/>
      <c r="H1514" s="32"/>
      <c r="J1514" s="33"/>
      <c r="K1514" s="33"/>
      <c r="L1514" s="33"/>
      <c r="X1514" s="22"/>
      <c r="Y1514" s="22"/>
      <c r="Z1514" s="22"/>
      <c r="AA1514" s="22"/>
      <c r="AF1514" s="22"/>
      <c r="AG1514" s="22"/>
      <c r="AH1514" s="22"/>
      <c r="AI1514" s="22"/>
      <c r="AN1514" s="22"/>
      <c r="AO1514" s="22"/>
      <c r="AP1514" s="22"/>
      <c r="AQ1514" s="22"/>
      <c r="AR1514" s="35"/>
      <c r="AS1514" s="35"/>
      <c r="AT1514" s="35"/>
      <c r="AU1514" s="31"/>
      <c r="AV1514" s="36"/>
    </row>
    <row r="1515" spans="4:48">
      <c r="D1515" s="31"/>
      <c r="E1515" s="31"/>
      <c r="F1515" s="31"/>
      <c r="G1515" s="31"/>
      <c r="H1515" s="32"/>
      <c r="J1515" s="33"/>
      <c r="K1515" s="33"/>
      <c r="L1515" s="33"/>
      <c r="X1515" s="22"/>
      <c r="Y1515" s="22"/>
      <c r="Z1515" s="22"/>
      <c r="AA1515" s="22"/>
      <c r="AF1515" s="22"/>
      <c r="AG1515" s="22"/>
      <c r="AH1515" s="22"/>
      <c r="AI1515" s="22"/>
      <c r="AN1515" s="22"/>
      <c r="AO1515" s="22"/>
      <c r="AP1515" s="22"/>
      <c r="AQ1515" s="22"/>
      <c r="AR1515" s="35"/>
      <c r="AS1515" s="35"/>
      <c r="AT1515" s="35"/>
      <c r="AU1515" s="31"/>
      <c r="AV1515" s="36"/>
    </row>
    <row r="1516" spans="4:48">
      <c r="D1516" s="31"/>
      <c r="E1516" s="31"/>
      <c r="F1516" s="31"/>
      <c r="G1516" s="31"/>
      <c r="H1516" s="32"/>
      <c r="J1516" s="33"/>
      <c r="K1516" s="33"/>
      <c r="L1516" s="33"/>
      <c r="X1516" s="22"/>
      <c r="Y1516" s="22"/>
      <c r="Z1516" s="22"/>
      <c r="AA1516" s="22"/>
      <c r="AF1516" s="22"/>
      <c r="AG1516" s="22"/>
      <c r="AH1516" s="22"/>
      <c r="AI1516" s="22"/>
      <c r="AN1516" s="22"/>
      <c r="AO1516" s="22"/>
      <c r="AP1516" s="22"/>
      <c r="AQ1516" s="22"/>
      <c r="AR1516" s="35"/>
      <c r="AS1516" s="35"/>
      <c r="AT1516" s="35"/>
      <c r="AU1516" s="31"/>
      <c r="AV1516" s="36"/>
    </row>
    <row r="1517" spans="4:48">
      <c r="D1517" s="31"/>
      <c r="E1517" s="31"/>
      <c r="F1517" s="31"/>
      <c r="G1517" s="31"/>
      <c r="H1517" s="32"/>
      <c r="J1517" s="33"/>
      <c r="K1517" s="33"/>
      <c r="L1517" s="33"/>
      <c r="X1517" s="22"/>
      <c r="Y1517" s="22"/>
      <c r="Z1517" s="22"/>
      <c r="AA1517" s="22"/>
      <c r="AF1517" s="22"/>
      <c r="AG1517" s="22"/>
      <c r="AH1517" s="22"/>
      <c r="AI1517" s="22"/>
      <c r="AN1517" s="22"/>
      <c r="AO1517" s="22"/>
      <c r="AP1517" s="22"/>
      <c r="AQ1517" s="22"/>
      <c r="AR1517" s="35"/>
      <c r="AS1517" s="35"/>
      <c r="AT1517" s="35"/>
      <c r="AU1517" s="31"/>
      <c r="AV1517" s="36"/>
    </row>
    <row r="1518" spans="4:48">
      <c r="D1518" s="31"/>
      <c r="E1518" s="31"/>
      <c r="F1518" s="31"/>
      <c r="G1518" s="31"/>
      <c r="H1518" s="32"/>
      <c r="J1518" s="33"/>
      <c r="K1518" s="33"/>
      <c r="L1518" s="33"/>
      <c r="X1518" s="22"/>
      <c r="Y1518" s="22"/>
      <c r="Z1518" s="22"/>
      <c r="AA1518" s="22"/>
      <c r="AF1518" s="22"/>
      <c r="AG1518" s="22"/>
      <c r="AH1518" s="22"/>
      <c r="AI1518" s="22"/>
      <c r="AN1518" s="22"/>
      <c r="AO1518" s="22"/>
      <c r="AP1518" s="22"/>
      <c r="AQ1518" s="22"/>
      <c r="AR1518" s="35"/>
      <c r="AS1518" s="35"/>
      <c r="AT1518" s="35"/>
      <c r="AU1518" s="31"/>
      <c r="AV1518" s="36"/>
    </row>
    <row r="1519" spans="4:48">
      <c r="D1519" s="31"/>
      <c r="E1519" s="31"/>
      <c r="F1519" s="31"/>
      <c r="G1519" s="31"/>
      <c r="H1519" s="32"/>
      <c r="J1519" s="33"/>
      <c r="K1519" s="33"/>
      <c r="L1519" s="33"/>
      <c r="X1519" s="22"/>
      <c r="Y1519" s="22"/>
      <c r="Z1519" s="22"/>
      <c r="AA1519" s="22"/>
      <c r="AF1519" s="22"/>
      <c r="AG1519" s="22"/>
      <c r="AH1519" s="22"/>
      <c r="AI1519" s="22"/>
      <c r="AN1519" s="22"/>
      <c r="AO1519" s="22"/>
      <c r="AP1519" s="22"/>
      <c r="AQ1519" s="22"/>
      <c r="AR1519" s="35"/>
      <c r="AS1519" s="35"/>
      <c r="AT1519" s="35"/>
      <c r="AU1519" s="31"/>
      <c r="AV1519" s="36"/>
    </row>
    <row r="1520" spans="4:48">
      <c r="D1520" s="31"/>
      <c r="E1520" s="31"/>
      <c r="F1520" s="31"/>
      <c r="G1520" s="31"/>
      <c r="H1520" s="32"/>
      <c r="J1520" s="33"/>
      <c r="K1520" s="33"/>
      <c r="L1520" s="33"/>
      <c r="X1520" s="22"/>
      <c r="Y1520" s="22"/>
      <c r="Z1520" s="22"/>
      <c r="AA1520" s="22"/>
      <c r="AF1520" s="22"/>
      <c r="AG1520" s="22"/>
      <c r="AH1520" s="22"/>
      <c r="AI1520" s="22"/>
      <c r="AN1520" s="22"/>
      <c r="AO1520" s="22"/>
      <c r="AP1520" s="22"/>
      <c r="AQ1520" s="22"/>
      <c r="AR1520" s="35"/>
      <c r="AS1520" s="35"/>
      <c r="AT1520" s="35"/>
      <c r="AU1520" s="31"/>
      <c r="AV1520" s="36"/>
    </row>
    <row r="1521" spans="4:48">
      <c r="D1521" s="31"/>
      <c r="E1521" s="31"/>
      <c r="F1521" s="31"/>
      <c r="G1521" s="31"/>
      <c r="H1521" s="32"/>
      <c r="J1521" s="33"/>
      <c r="K1521" s="33"/>
      <c r="L1521" s="33"/>
      <c r="X1521" s="22"/>
      <c r="Y1521" s="22"/>
      <c r="Z1521" s="22"/>
      <c r="AA1521" s="22"/>
      <c r="AF1521" s="22"/>
      <c r="AG1521" s="22"/>
      <c r="AH1521" s="22"/>
      <c r="AI1521" s="22"/>
      <c r="AN1521" s="22"/>
      <c r="AO1521" s="22"/>
      <c r="AP1521" s="22"/>
      <c r="AQ1521" s="22"/>
      <c r="AR1521" s="35"/>
      <c r="AS1521" s="35"/>
      <c r="AT1521" s="35"/>
      <c r="AU1521" s="31"/>
      <c r="AV1521" s="36"/>
    </row>
    <row r="1522" spans="4:48">
      <c r="D1522" s="31"/>
      <c r="E1522" s="31"/>
      <c r="F1522" s="31"/>
      <c r="G1522" s="31"/>
      <c r="H1522" s="32"/>
      <c r="J1522" s="33"/>
      <c r="K1522" s="33"/>
      <c r="L1522" s="33"/>
      <c r="X1522" s="22"/>
      <c r="Y1522" s="22"/>
      <c r="Z1522" s="22"/>
      <c r="AA1522" s="22"/>
      <c r="AF1522" s="22"/>
      <c r="AG1522" s="22"/>
      <c r="AH1522" s="22"/>
      <c r="AI1522" s="22"/>
      <c r="AN1522" s="22"/>
      <c r="AO1522" s="22"/>
      <c r="AP1522" s="22"/>
      <c r="AQ1522" s="22"/>
      <c r="AR1522" s="35"/>
      <c r="AS1522" s="35"/>
      <c r="AT1522" s="35"/>
      <c r="AU1522" s="31"/>
      <c r="AV1522" s="36"/>
    </row>
    <row r="1523" spans="4:48">
      <c r="D1523" s="31"/>
      <c r="E1523" s="31"/>
      <c r="F1523" s="31"/>
      <c r="G1523" s="31"/>
      <c r="H1523" s="32"/>
      <c r="J1523" s="33"/>
      <c r="K1523" s="33"/>
      <c r="L1523" s="33"/>
      <c r="X1523" s="22"/>
      <c r="Y1523" s="22"/>
      <c r="Z1523" s="22"/>
      <c r="AA1523" s="22"/>
      <c r="AF1523" s="22"/>
      <c r="AG1523" s="22"/>
      <c r="AH1523" s="22"/>
      <c r="AI1523" s="22"/>
      <c r="AN1523" s="22"/>
      <c r="AO1523" s="22"/>
      <c r="AP1523" s="22"/>
      <c r="AQ1523" s="22"/>
      <c r="AR1523" s="35"/>
      <c r="AS1523" s="35"/>
      <c r="AT1523" s="35"/>
      <c r="AU1523" s="31"/>
      <c r="AV1523" s="36"/>
    </row>
    <row r="1524" spans="4:48">
      <c r="D1524" s="31"/>
      <c r="E1524" s="31"/>
      <c r="F1524" s="31"/>
      <c r="G1524" s="31"/>
      <c r="H1524" s="32"/>
      <c r="J1524" s="33"/>
      <c r="K1524" s="33"/>
      <c r="L1524" s="33"/>
      <c r="X1524" s="22"/>
      <c r="Y1524" s="22"/>
      <c r="Z1524" s="22"/>
      <c r="AA1524" s="22"/>
      <c r="AF1524" s="22"/>
      <c r="AG1524" s="22"/>
      <c r="AH1524" s="22"/>
      <c r="AI1524" s="22"/>
      <c r="AN1524" s="22"/>
      <c r="AO1524" s="22"/>
      <c r="AP1524" s="22"/>
      <c r="AQ1524" s="22"/>
      <c r="AR1524" s="35"/>
      <c r="AS1524" s="35"/>
      <c r="AT1524" s="35"/>
      <c r="AU1524" s="31"/>
      <c r="AV1524" s="36"/>
    </row>
    <row r="1525" spans="4:48">
      <c r="D1525" s="31"/>
      <c r="E1525" s="31"/>
      <c r="F1525" s="31"/>
      <c r="G1525" s="31"/>
      <c r="H1525" s="32"/>
      <c r="J1525" s="33"/>
      <c r="K1525" s="33"/>
      <c r="L1525" s="33"/>
      <c r="X1525" s="22"/>
      <c r="Y1525" s="22"/>
      <c r="Z1525" s="22"/>
      <c r="AA1525" s="22"/>
      <c r="AF1525" s="22"/>
      <c r="AG1525" s="22"/>
      <c r="AH1525" s="22"/>
      <c r="AI1525" s="22"/>
      <c r="AN1525" s="22"/>
      <c r="AO1525" s="22"/>
      <c r="AP1525" s="22"/>
      <c r="AQ1525" s="22"/>
      <c r="AR1525" s="35"/>
      <c r="AS1525" s="35"/>
      <c r="AT1525" s="35"/>
      <c r="AU1525" s="31"/>
      <c r="AV1525" s="36"/>
    </row>
    <row r="1526" spans="4:48">
      <c r="D1526" s="31"/>
      <c r="E1526" s="31"/>
      <c r="F1526" s="31"/>
      <c r="G1526" s="31"/>
      <c r="H1526" s="32"/>
      <c r="J1526" s="33"/>
      <c r="K1526" s="33"/>
      <c r="L1526" s="33"/>
      <c r="X1526" s="22"/>
      <c r="Y1526" s="22"/>
      <c r="Z1526" s="22"/>
      <c r="AA1526" s="22"/>
      <c r="AF1526" s="22"/>
      <c r="AG1526" s="22"/>
      <c r="AH1526" s="22"/>
      <c r="AI1526" s="22"/>
      <c r="AN1526" s="22"/>
      <c r="AO1526" s="22"/>
      <c r="AP1526" s="22"/>
      <c r="AQ1526" s="22"/>
      <c r="AR1526" s="35"/>
      <c r="AS1526" s="35"/>
      <c r="AT1526" s="35"/>
      <c r="AU1526" s="31"/>
      <c r="AV1526" s="36"/>
    </row>
    <row r="1527" spans="4:48">
      <c r="D1527" s="31"/>
      <c r="E1527" s="31"/>
      <c r="F1527" s="31"/>
      <c r="G1527" s="31"/>
      <c r="H1527" s="32"/>
      <c r="J1527" s="33"/>
      <c r="K1527" s="33"/>
      <c r="L1527" s="33"/>
      <c r="X1527" s="22"/>
      <c r="Y1527" s="22"/>
      <c r="Z1527" s="22"/>
      <c r="AA1527" s="22"/>
      <c r="AF1527" s="22"/>
      <c r="AG1527" s="22"/>
      <c r="AH1527" s="22"/>
      <c r="AI1527" s="22"/>
      <c r="AN1527" s="22"/>
      <c r="AO1527" s="22"/>
      <c r="AP1527" s="22"/>
      <c r="AQ1527" s="22"/>
      <c r="AR1527" s="35"/>
      <c r="AS1527" s="35"/>
      <c r="AT1527" s="35"/>
      <c r="AU1527" s="31"/>
      <c r="AV1527" s="36"/>
    </row>
    <row r="1528" spans="4:48">
      <c r="D1528" s="31"/>
      <c r="E1528" s="31"/>
      <c r="F1528" s="31"/>
      <c r="G1528" s="31"/>
      <c r="H1528" s="32"/>
      <c r="J1528" s="33"/>
      <c r="K1528" s="33"/>
      <c r="L1528" s="33"/>
      <c r="X1528" s="22"/>
      <c r="Y1528" s="22"/>
      <c r="Z1528" s="22"/>
      <c r="AA1528" s="22"/>
      <c r="AF1528" s="22"/>
      <c r="AG1528" s="22"/>
      <c r="AH1528" s="22"/>
      <c r="AI1528" s="22"/>
      <c r="AN1528" s="22"/>
      <c r="AO1528" s="22"/>
      <c r="AP1528" s="22"/>
      <c r="AQ1528" s="22"/>
      <c r="AR1528" s="35"/>
      <c r="AS1528" s="35"/>
      <c r="AT1528" s="35"/>
      <c r="AU1528" s="31"/>
      <c r="AV1528" s="36"/>
    </row>
    <row r="1529" spans="4:48">
      <c r="D1529" s="31"/>
      <c r="E1529" s="31"/>
      <c r="F1529" s="31"/>
      <c r="G1529" s="31"/>
      <c r="H1529" s="32"/>
      <c r="J1529" s="33"/>
      <c r="K1529" s="33"/>
      <c r="L1529" s="33"/>
      <c r="X1529" s="22"/>
      <c r="Y1529" s="22"/>
      <c r="Z1529" s="22"/>
      <c r="AA1529" s="22"/>
      <c r="AF1529" s="22"/>
      <c r="AG1529" s="22"/>
      <c r="AH1529" s="22"/>
      <c r="AI1529" s="22"/>
      <c r="AN1529" s="22"/>
      <c r="AO1529" s="22"/>
      <c r="AP1529" s="22"/>
      <c r="AQ1529" s="22"/>
      <c r="AR1529" s="35"/>
      <c r="AS1529" s="35"/>
      <c r="AT1529" s="35"/>
      <c r="AU1529" s="31"/>
      <c r="AV1529" s="36"/>
    </row>
    <row r="1530" spans="4:48">
      <c r="D1530" s="31"/>
      <c r="E1530" s="31"/>
      <c r="F1530" s="31"/>
      <c r="G1530" s="31"/>
      <c r="H1530" s="32"/>
      <c r="J1530" s="33"/>
      <c r="K1530" s="33"/>
      <c r="L1530" s="33"/>
      <c r="X1530" s="22"/>
      <c r="Y1530" s="22"/>
      <c r="Z1530" s="22"/>
      <c r="AA1530" s="22"/>
      <c r="AF1530" s="22"/>
      <c r="AG1530" s="22"/>
      <c r="AH1530" s="22"/>
      <c r="AI1530" s="22"/>
      <c r="AN1530" s="22"/>
      <c r="AO1530" s="22"/>
      <c r="AP1530" s="22"/>
      <c r="AQ1530" s="22"/>
      <c r="AR1530" s="35"/>
      <c r="AS1530" s="35"/>
      <c r="AT1530" s="35"/>
      <c r="AU1530" s="31"/>
      <c r="AV1530" s="36"/>
    </row>
    <row r="1531" spans="4:48">
      <c r="D1531" s="31"/>
      <c r="E1531" s="31"/>
      <c r="F1531" s="31"/>
      <c r="G1531" s="31"/>
      <c r="H1531" s="32"/>
      <c r="J1531" s="33"/>
      <c r="K1531" s="33"/>
      <c r="L1531" s="33"/>
      <c r="X1531" s="22"/>
      <c r="Y1531" s="22"/>
      <c r="Z1531" s="22"/>
      <c r="AA1531" s="22"/>
      <c r="AF1531" s="22"/>
      <c r="AG1531" s="22"/>
      <c r="AH1531" s="22"/>
      <c r="AI1531" s="22"/>
      <c r="AN1531" s="22"/>
      <c r="AO1531" s="22"/>
      <c r="AP1531" s="22"/>
      <c r="AQ1531" s="22"/>
      <c r="AR1531" s="35"/>
      <c r="AS1531" s="35"/>
      <c r="AT1531" s="35"/>
      <c r="AU1531" s="31"/>
      <c r="AV1531" s="36"/>
    </row>
    <row r="1532" spans="4:48">
      <c r="D1532" s="31"/>
      <c r="E1532" s="31"/>
      <c r="F1532" s="31"/>
      <c r="G1532" s="31"/>
      <c r="H1532" s="32"/>
      <c r="J1532" s="33"/>
      <c r="K1532" s="33"/>
      <c r="L1532" s="33"/>
      <c r="X1532" s="22"/>
      <c r="Y1532" s="22"/>
      <c r="Z1532" s="22"/>
      <c r="AA1532" s="22"/>
      <c r="AF1532" s="22"/>
      <c r="AG1532" s="22"/>
      <c r="AH1532" s="22"/>
      <c r="AI1532" s="22"/>
      <c r="AN1532" s="22"/>
      <c r="AO1532" s="22"/>
      <c r="AP1532" s="22"/>
      <c r="AQ1532" s="22"/>
      <c r="AR1532" s="35"/>
      <c r="AS1532" s="35"/>
      <c r="AT1532" s="35"/>
      <c r="AU1532" s="31"/>
      <c r="AV1532" s="36"/>
    </row>
    <row r="1533" spans="4:48">
      <c r="D1533" s="31"/>
      <c r="E1533" s="31"/>
      <c r="F1533" s="31"/>
      <c r="G1533" s="31"/>
      <c r="H1533" s="32"/>
      <c r="J1533" s="33"/>
      <c r="K1533" s="33"/>
      <c r="L1533" s="33"/>
      <c r="X1533" s="22"/>
      <c r="Y1533" s="22"/>
      <c r="Z1533" s="22"/>
      <c r="AA1533" s="22"/>
      <c r="AF1533" s="22"/>
      <c r="AG1533" s="22"/>
      <c r="AH1533" s="22"/>
      <c r="AI1533" s="22"/>
      <c r="AN1533" s="22"/>
      <c r="AO1533" s="22"/>
      <c r="AP1533" s="22"/>
      <c r="AQ1533" s="22"/>
      <c r="AR1533" s="35"/>
      <c r="AS1533" s="35"/>
      <c r="AT1533" s="35"/>
      <c r="AU1533" s="31"/>
      <c r="AV1533" s="36"/>
    </row>
    <row r="1534" spans="4:48">
      <c r="D1534" s="31"/>
      <c r="E1534" s="31"/>
      <c r="F1534" s="31"/>
      <c r="G1534" s="31"/>
      <c r="H1534" s="32"/>
      <c r="J1534" s="33"/>
      <c r="K1534" s="33"/>
      <c r="L1534" s="33"/>
      <c r="X1534" s="22"/>
      <c r="Y1534" s="22"/>
      <c r="Z1534" s="22"/>
      <c r="AA1534" s="22"/>
      <c r="AF1534" s="22"/>
      <c r="AG1534" s="22"/>
      <c r="AH1534" s="22"/>
      <c r="AI1534" s="22"/>
      <c r="AN1534" s="22"/>
      <c r="AO1534" s="22"/>
      <c r="AP1534" s="22"/>
      <c r="AQ1534" s="22"/>
      <c r="AR1534" s="35"/>
      <c r="AS1534" s="35"/>
      <c r="AT1534" s="35"/>
      <c r="AU1534" s="31"/>
      <c r="AV1534" s="36"/>
    </row>
    <row r="1535" spans="4:48">
      <c r="D1535" s="31"/>
      <c r="E1535" s="31"/>
      <c r="F1535" s="31"/>
      <c r="G1535" s="31"/>
      <c r="H1535" s="32"/>
      <c r="J1535" s="33"/>
      <c r="K1535" s="33"/>
      <c r="L1535" s="33"/>
      <c r="X1535" s="22"/>
      <c r="Y1535" s="22"/>
      <c r="Z1535" s="22"/>
      <c r="AA1535" s="22"/>
      <c r="AF1535" s="22"/>
      <c r="AG1535" s="22"/>
      <c r="AH1535" s="22"/>
      <c r="AI1535" s="22"/>
      <c r="AN1535" s="22"/>
      <c r="AO1535" s="22"/>
      <c r="AP1535" s="22"/>
      <c r="AQ1535" s="22"/>
      <c r="AR1535" s="35"/>
      <c r="AS1535" s="35"/>
      <c r="AT1535" s="35"/>
      <c r="AU1535" s="31"/>
      <c r="AV1535" s="36"/>
    </row>
    <row r="1536" spans="4:48">
      <c r="D1536" s="31"/>
      <c r="E1536" s="31"/>
      <c r="F1536" s="31"/>
      <c r="G1536" s="31"/>
      <c r="H1536" s="32"/>
      <c r="J1536" s="33"/>
      <c r="K1536" s="33"/>
      <c r="L1536" s="33"/>
      <c r="X1536" s="22"/>
      <c r="Y1536" s="22"/>
      <c r="Z1536" s="22"/>
      <c r="AA1536" s="22"/>
      <c r="AF1536" s="22"/>
      <c r="AG1536" s="22"/>
      <c r="AH1536" s="22"/>
      <c r="AI1536" s="22"/>
      <c r="AN1536" s="22"/>
      <c r="AO1536" s="22"/>
      <c r="AP1536" s="22"/>
      <c r="AQ1536" s="22"/>
      <c r="AR1536" s="35"/>
      <c r="AS1536" s="35"/>
      <c r="AT1536" s="35"/>
      <c r="AU1536" s="31"/>
      <c r="AV1536" s="36"/>
    </row>
    <row r="1537" spans="4:48">
      <c r="D1537" s="31"/>
      <c r="E1537" s="31"/>
      <c r="F1537" s="31"/>
      <c r="G1537" s="31"/>
      <c r="H1537" s="32"/>
      <c r="J1537" s="33"/>
      <c r="K1537" s="33"/>
      <c r="L1537" s="33"/>
      <c r="X1537" s="22"/>
      <c r="Y1537" s="22"/>
      <c r="Z1537" s="22"/>
      <c r="AA1537" s="22"/>
      <c r="AF1537" s="22"/>
      <c r="AG1537" s="22"/>
      <c r="AH1537" s="22"/>
      <c r="AI1537" s="22"/>
      <c r="AN1537" s="22"/>
      <c r="AO1537" s="22"/>
      <c r="AP1537" s="22"/>
      <c r="AQ1537" s="22"/>
      <c r="AR1537" s="35"/>
      <c r="AS1537" s="35"/>
      <c r="AT1537" s="35"/>
      <c r="AU1537" s="31"/>
      <c r="AV1537" s="36"/>
    </row>
    <row r="1538" spans="4:48">
      <c r="D1538" s="31"/>
      <c r="E1538" s="31"/>
      <c r="F1538" s="31"/>
      <c r="G1538" s="31"/>
      <c r="H1538" s="32"/>
      <c r="J1538" s="33"/>
      <c r="K1538" s="33"/>
      <c r="L1538" s="33"/>
      <c r="X1538" s="22"/>
      <c r="Y1538" s="22"/>
      <c r="Z1538" s="22"/>
      <c r="AA1538" s="22"/>
      <c r="AF1538" s="22"/>
      <c r="AG1538" s="22"/>
      <c r="AH1538" s="22"/>
      <c r="AI1538" s="22"/>
      <c r="AN1538" s="22"/>
      <c r="AO1538" s="22"/>
      <c r="AP1538" s="22"/>
      <c r="AQ1538" s="22"/>
      <c r="AR1538" s="35"/>
      <c r="AS1538" s="35"/>
      <c r="AT1538" s="35"/>
      <c r="AU1538" s="31"/>
      <c r="AV1538" s="36"/>
    </row>
    <row r="1539" spans="4:48">
      <c r="D1539" s="31"/>
      <c r="E1539" s="31"/>
      <c r="F1539" s="31"/>
      <c r="G1539" s="31"/>
      <c r="H1539" s="32"/>
      <c r="J1539" s="33"/>
      <c r="K1539" s="33"/>
      <c r="L1539" s="33"/>
      <c r="X1539" s="22"/>
      <c r="Y1539" s="22"/>
      <c r="Z1539" s="22"/>
      <c r="AA1539" s="22"/>
      <c r="AF1539" s="22"/>
      <c r="AG1539" s="22"/>
      <c r="AH1539" s="22"/>
      <c r="AI1539" s="22"/>
      <c r="AN1539" s="22"/>
      <c r="AO1539" s="22"/>
      <c r="AP1539" s="22"/>
      <c r="AQ1539" s="22"/>
      <c r="AR1539" s="35"/>
      <c r="AS1539" s="35"/>
      <c r="AT1539" s="35"/>
      <c r="AU1539" s="31"/>
      <c r="AV1539" s="36"/>
    </row>
    <row r="1540" spans="4:48">
      <c r="D1540" s="31"/>
      <c r="E1540" s="31"/>
      <c r="F1540" s="31"/>
      <c r="G1540" s="31"/>
      <c r="H1540" s="32"/>
      <c r="J1540" s="33"/>
      <c r="K1540" s="33"/>
      <c r="L1540" s="33"/>
      <c r="X1540" s="22"/>
      <c r="Y1540" s="22"/>
      <c r="Z1540" s="22"/>
      <c r="AA1540" s="22"/>
      <c r="AF1540" s="22"/>
      <c r="AG1540" s="22"/>
      <c r="AH1540" s="22"/>
      <c r="AI1540" s="22"/>
      <c r="AN1540" s="22"/>
      <c r="AO1540" s="22"/>
      <c r="AP1540" s="22"/>
      <c r="AQ1540" s="22"/>
      <c r="AR1540" s="35"/>
      <c r="AS1540" s="35"/>
      <c r="AT1540" s="35"/>
      <c r="AU1540" s="31"/>
      <c r="AV1540" s="36"/>
    </row>
    <row r="1541" spans="4:48">
      <c r="D1541" s="31"/>
      <c r="E1541" s="31"/>
      <c r="F1541" s="31"/>
      <c r="G1541" s="31"/>
      <c r="H1541" s="32"/>
      <c r="J1541" s="33"/>
      <c r="K1541" s="33"/>
      <c r="L1541" s="33"/>
      <c r="X1541" s="22"/>
      <c r="Y1541" s="22"/>
      <c r="Z1541" s="22"/>
      <c r="AA1541" s="22"/>
      <c r="AF1541" s="22"/>
      <c r="AG1541" s="22"/>
      <c r="AH1541" s="22"/>
      <c r="AI1541" s="22"/>
      <c r="AN1541" s="22"/>
      <c r="AO1541" s="22"/>
      <c r="AP1541" s="22"/>
      <c r="AQ1541" s="22"/>
      <c r="AR1541" s="35"/>
      <c r="AS1541" s="35"/>
      <c r="AT1541" s="35"/>
      <c r="AU1541" s="31"/>
      <c r="AV1541" s="36"/>
    </row>
    <row r="1542" spans="4:48">
      <c r="D1542" s="31"/>
      <c r="E1542" s="31"/>
      <c r="F1542" s="31"/>
      <c r="G1542" s="31"/>
      <c r="H1542" s="32"/>
      <c r="J1542" s="33"/>
      <c r="K1542" s="33"/>
      <c r="L1542" s="33"/>
      <c r="X1542" s="22"/>
      <c r="Y1542" s="22"/>
      <c r="Z1542" s="22"/>
      <c r="AA1542" s="22"/>
      <c r="AF1542" s="22"/>
      <c r="AG1542" s="22"/>
      <c r="AH1542" s="22"/>
      <c r="AI1542" s="22"/>
      <c r="AN1542" s="22"/>
      <c r="AO1542" s="22"/>
      <c r="AP1542" s="22"/>
      <c r="AQ1542" s="22"/>
      <c r="AR1542" s="35"/>
      <c r="AS1542" s="35"/>
      <c r="AT1542" s="35"/>
      <c r="AU1542" s="31"/>
      <c r="AV1542" s="36"/>
    </row>
    <row r="1543" spans="4:48">
      <c r="D1543" s="31"/>
      <c r="E1543" s="31"/>
      <c r="F1543" s="31"/>
      <c r="G1543" s="31"/>
      <c r="H1543" s="32"/>
      <c r="J1543" s="33"/>
      <c r="K1543" s="33"/>
      <c r="L1543" s="33"/>
      <c r="X1543" s="22"/>
      <c r="Y1543" s="22"/>
      <c r="Z1543" s="22"/>
      <c r="AA1543" s="22"/>
      <c r="AF1543" s="22"/>
      <c r="AG1543" s="22"/>
      <c r="AH1543" s="22"/>
      <c r="AI1543" s="22"/>
      <c r="AN1543" s="22"/>
      <c r="AO1543" s="22"/>
      <c r="AP1543" s="22"/>
      <c r="AQ1543" s="22"/>
      <c r="AR1543" s="35"/>
      <c r="AS1543" s="35"/>
      <c r="AT1543" s="35"/>
      <c r="AU1543" s="31"/>
      <c r="AV1543" s="36"/>
    </row>
    <row r="1544" spans="4:48">
      <c r="D1544" s="31"/>
      <c r="E1544" s="31"/>
      <c r="F1544" s="31"/>
      <c r="G1544" s="31"/>
      <c r="H1544" s="32"/>
      <c r="J1544" s="33"/>
      <c r="K1544" s="33"/>
      <c r="L1544" s="33"/>
      <c r="X1544" s="22"/>
      <c r="Y1544" s="22"/>
      <c r="Z1544" s="22"/>
      <c r="AA1544" s="22"/>
      <c r="AF1544" s="22"/>
      <c r="AG1544" s="22"/>
      <c r="AH1544" s="22"/>
      <c r="AI1544" s="22"/>
      <c r="AN1544" s="22"/>
      <c r="AO1544" s="22"/>
      <c r="AP1544" s="22"/>
      <c r="AQ1544" s="22"/>
      <c r="AR1544" s="35"/>
      <c r="AS1544" s="35"/>
      <c r="AT1544" s="35"/>
      <c r="AU1544" s="31"/>
      <c r="AV1544" s="36"/>
    </row>
    <row r="1545" spans="4:48">
      <c r="D1545" s="31"/>
      <c r="E1545" s="31"/>
      <c r="F1545" s="31"/>
      <c r="G1545" s="31"/>
      <c r="H1545" s="32"/>
      <c r="J1545" s="33"/>
      <c r="K1545" s="33"/>
      <c r="L1545" s="33"/>
      <c r="X1545" s="22"/>
      <c r="Y1545" s="22"/>
      <c r="Z1545" s="22"/>
      <c r="AA1545" s="22"/>
      <c r="AF1545" s="22"/>
      <c r="AG1545" s="22"/>
      <c r="AH1545" s="22"/>
      <c r="AI1545" s="22"/>
      <c r="AN1545" s="22"/>
      <c r="AO1545" s="22"/>
      <c r="AP1545" s="22"/>
      <c r="AQ1545" s="22"/>
      <c r="AR1545" s="35"/>
      <c r="AS1545" s="35"/>
      <c r="AT1545" s="35"/>
      <c r="AU1545" s="31"/>
      <c r="AV1545" s="36"/>
    </row>
    <row r="1546" spans="4:48">
      <c r="D1546" s="31"/>
      <c r="E1546" s="31"/>
      <c r="F1546" s="31"/>
      <c r="G1546" s="31"/>
      <c r="H1546" s="32"/>
      <c r="J1546" s="33"/>
      <c r="K1546" s="33"/>
      <c r="L1546" s="33"/>
      <c r="X1546" s="22"/>
      <c r="Y1546" s="22"/>
      <c r="Z1546" s="22"/>
      <c r="AA1546" s="22"/>
      <c r="AF1546" s="22"/>
      <c r="AG1546" s="22"/>
      <c r="AH1546" s="22"/>
      <c r="AI1546" s="22"/>
      <c r="AN1546" s="22"/>
      <c r="AO1546" s="22"/>
      <c r="AP1546" s="22"/>
      <c r="AQ1546" s="22"/>
      <c r="AR1546" s="35"/>
      <c r="AS1546" s="35"/>
      <c r="AT1546" s="35"/>
      <c r="AU1546" s="31"/>
      <c r="AV1546" s="36"/>
    </row>
    <row r="1547" spans="4:48">
      <c r="D1547" s="31"/>
      <c r="E1547" s="31"/>
      <c r="F1547" s="31"/>
      <c r="G1547" s="31"/>
      <c r="H1547" s="32"/>
      <c r="J1547" s="33"/>
      <c r="K1547" s="33"/>
      <c r="L1547" s="33"/>
      <c r="X1547" s="22"/>
      <c r="Y1547" s="22"/>
      <c r="Z1547" s="22"/>
      <c r="AA1547" s="22"/>
      <c r="AF1547" s="22"/>
      <c r="AG1547" s="22"/>
      <c r="AH1547" s="22"/>
      <c r="AI1547" s="22"/>
      <c r="AN1547" s="22"/>
      <c r="AO1547" s="22"/>
      <c r="AP1547" s="22"/>
      <c r="AQ1547" s="22"/>
      <c r="AR1547" s="35"/>
      <c r="AS1547" s="35"/>
      <c r="AT1547" s="35"/>
      <c r="AU1547" s="31"/>
      <c r="AV1547" s="36"/>
    </row>
    <row r="1548" spans="4:48">
      <c r="D1548" s="31"/>
      <c r="E1548" s="31"/>
      <c r="F1548" s="31"/>
      <c r="G1548" s="31"/>
      <c r="H1548" s="32"/>
      <c r="J1548" s="33"/>
      <c r="K1548" s="33"/>
      <c r="L1548" s="33"/>
      <c r="X1548" s="22"/>
      <c r="Y1548" s="22"/>
      <c r="Z1548" s="22"/>
      <c r="AA1548" s="22"/>
      <c r="AF1548" s="22"/>
      <c r="AG1548" s="22"/>
      <c r="AH1548" s="22"/>
      <c r="AI1548" s="22"/>
      <c r="AN1548" s="22"/>
      <c r="AO1548" s="22"/>
      <c r="AP1548" s="22"/>
      <c r="AQ1548" s="22"/>
      <c r="AR1548" s="35"/>
      <c r="AS1548" s="35"/>
      <c r="AT1548" s="35"/>
      <c r="AU1548" s="31"/>
      <c r="AV1548" s="36"/>
    </row>
    <row r="1549" spans="4:48">
      <c r="D1549" s="31"/>
      <c r="E1549" s="31"/>
      <c r="F1549" s="31"/>
      <c r="G1549" s="31"/>
      <c r="H1549" s="32"/>
      <c r="J1549" s="33"/>
      <c r="K1549" s="33"/>
      <c r="L1549" s="33"/>
      <c r="X1549" s="22"/>
      <c r="Y1549" s="22"/>
      <c r="Z1549" s="22"/>
      <c r="AA1549" s="22"/>
      <c r="AF1549" s="22"/>
      <c r="AG1549" s="22"/>
      <c r="AH1549" s="22"/>
      <c r="AI1549" s="22"/>
      <c r="AN1549" s="22"/>
      <c r="AO1549" s="22"/>
      <c r="AP1549" s="22"/>
      <c r="AQ1549" s="22"/>
      <c r="AR1549" s="35"/>
      <c r="AS1549" s="35"/>
      <c r="AT1549" s="35"/>
      <c r="AU1549" s="31"/>
      <c r="AV1549" s="36"/>
    </row>
    <row r="1550" spans="4:48">
      <c r="D1550" s="31"/>
      <c r="E1550" s="31"/>
      <c r="F1550" s="31"/>
      <c r="G1550" s="31"/>
      <c r="H1550" s="32"/>
      <c r="J1550" s="33"/>
      <c r="K1550" s="33"/>
      <c r="L1550" s="33"/>
      <c r="X1550" s="22"/>
      <c r="Y1550" s="22"/>
      <c r="Z1550" s="22"/>
      <c r="AA1550" s="22"/>
      <c r="AF1550" s="22"/>
      <c r="AG1550" s="22"/>
      <c r="AH1550" s="22"/>
      <c r="AI1550" s="22"/>
      <c r="AN1550" s="22"/>
      <c r="AO1550" s="22"/>
      <c r="AP1550" s="22"/>
      <c r="AQ1550" s="22"/>
      <c r="AR1550" s="35"/>
      <c r="AS1550" s="35"/>
      <c r="AT1550" s="35"/>
      <c r="AU1550" s="31"/>
      <c r="AV1550" s="36"/>
    </row>
    <row r="1551" spans="4:48">
      <c r="D1551" s="31"/>
      <c r="E1551" s="31"/>
      <c r="F1551" s="31"/>
      <c r="G1551" s="31"/>
      <c r="H1551" s="32"/>
      <c r="J1551" s="33"/>
      <c r="K1551" s="33"/>
      <c r="L1551" s="33"/>
      <c r="X1551" s="22"/>
      <c r="Y1551" s="22"/>
      <c r="Z1551" s="22"/>
      <c r="AA1551" s="22"/>
      <c r="AF1551" s="22"/>
      <c r="AG1551" s="22"/>
      <c r="AH1551" s="22"/>
      <c r="AI1551" s="22"/>
      <c r="AN1551" s="22"/>
      <c r="AO1551" s="22"/>
      <c r="AP1551" s="22"/>
      <c r="AQ1551" s="22"/>
      <c r="AR1551" s="35"/>
      <c r="AS1551" s="35"/>
      <c r="AT1551" s="35"/>
      <c r="AU1551" s="31"/>
      <c r="AV1551" s="36"/>
    </row>
    <row r="1552" spans="4:48">
      <c r="D1552" s="31"/>
      <c r="E1552" s="31"/>
      <c r="F1552" s="31"/>
      <c r="G1552" s="31"/>
      <c r="H1552" s="32"/>
      <c r="J1552" s="33"/>
      <c r="K1552" s="33"/>
      <c r="L1552" s="33"/>
      <c r="X1552" s="22"/>
      <c r="Y1552" s="22"/>
      <c r="Z1552" s="22"/>
      <c r="AA1552" s="22"/>
      <c r="AF1552" s="22"/>
      <c r="AG1552" s="22"/>
      <c r="AH1552" s="22"/>
      <c r="AI1552" s="22"/>
      <c r="AN1552" s="22"/>
      <c r="AO1552" s="22"/>
      <c r="AP1552" s="22"/>
      <c r="AQ1552" s="22"/>
      <c r="AR1552" s="35"/>
      <c r="AS1552" s="35"/>
      <c r="AT1552" s="35"/>
      <c r="AU1552" s="31"/>
      <c r="AV1552" s="36"/>
    </row>
    <row r="1553" spans="4:48">
      <c r="D1553" s="31"/>
      <c r="E1553" s="31"/>
      <c r="F1553" s="31"/>
      <c r="G1553" s="31"/>
      <c r="H1553" s="32"/>
      <c r="J1553" s="33"/>
      <c r="K1553" s="33"/>
      <c r="L1553" s="33"/>
      <c r="X1553" s="22"/>
      <c r="Y1553" s="22"/>
      <c r="Z1553" s="22"/>
      <c r="AA1553" s="22"/>
      <c r="AF1553" s="22"/>
      <c r="AG1553" s="22"/>
      <c r="AH1553" s="22"/>
      <c r="AI1553" s="22"/>
      <c r="AN1553" s="22"/>
      <c r="AO1553" s="22"/>
      <c r="AP1553" s="22"/>
      <c r="AQ1553" s="22"/>
      <c r="AR1553" s="35"/>
      <c r="AS1553" s="35"/>
      <c r="AT1553" s="35"/>
      <c r="AU1553" s="31"/>
      <c r="AV1553" s="36"/>
    </row>
    <row r="1554" spans="4:48">
      <c r="D1554" s="31"/>
      <c r="E1554" s="31"/>
      <c r="F1554" s="31"/>
      <c r="G1554" s="31"/>
      <c r="H1554" s="32"/>
      <c r="J1554" s="33"/>
      <c r="K1554" s="33"/>
      <c r="L1554" s="33"/>
      <c r="X1554" s="22"/>
      <c r="Y1554" s="22"/>
      <c r="Z1554" s="22"/>
      <c r="AA1554" s="22"/>
      <c r="AF1554" s="22"/>
      <c r="AG1554" s="22"/>
      <c r="AH1554" s="22"/>
      <c r="AI1554" s="22"/>
      <c r="AN1554" s="22"/>
      <c r="AO1554" s="22"/>
      <c r="AP1554" s="22"/>
      <c r="AQ1554" s="22"/>
      <c r="AR1554" s="35"/>
      <c r="AS1554" s="35"/>
      <c r="AT1554" s="35"/>
      <c r="AU1554" s="31"/>
      <c r="AV1554" s="36"/>
    </row>
    <row r="1555" spans="4:48">
      <c r="D1555" s="31"/>
      <c r="E1555" s="31"/>
      <c r="F1555" s="31"/>
      <c r="G1555" s="31"/>
      <c r="H1555" s="32"/>
      <c r="J1555" s="33"/>
      <c r="K1555" s="33"/>
      <c r="L1555" s="33"/>
      <c r="X1555" s="22"/>
      <c r="Y1555" s="22"/>
      <c r="Z1555" s="22"/>
      <c r="AA1555" s="22"/>
      <c r="AF1555" s="22"/>
      <c r="AG1555" s="22"/>
      <c r="AH1555" s="22"/>
      <c r="AI1555" s="22"/>
      <c r="AN1555" s="22"/>
      <c r="AO1555" s="22"/>
      <c r="AP1555" s="22"/>
      <c r="AQ1555" s="22"/>
      <c r="AR1555" s="35"/>
      <c r="AS1555" s="35"/>
      <c r="AT1555" s="35"/>
      <c r="AU1555" s="31"/>
      <c r="AV1555" s="36"/>
    </row>
    <row r="1556" spans="4:48">
      <c r="D1556" s="31"/>
      <c r="E1556" s="31"/>
      <c r="F1556" s="31"/>
      <c r="G1556" s="31"/>
      <c r="H1556" s="32"/>
      <c r="J1556" s="33"/>
      <c r="K1556" s="33"/>
      <c r="L1556" s="33"/>
      <c r="X1556" s="22"/>
      <c r="Y1556" s="22"/>
      <c r="Z1556" s="22"/>
      <c r="AA1556" s="22"/>
      <c r="AF1556" s="22"/>
      <c r="AG1556" s="22"/>
      <c r="AH1556" s="22"/>
      <c r="AI1556" s="22"/>
      <c r="AN1556" s="22"/>
      <c r="AO1556" s="22"/>
      <c r="AP1556" s="22"/>
      <c r="AQ1556" s="22"/>
      <c r="AR1556" s="35"/>
      <c r="AS1556" s="35"/>
      <c r="AT1556" s="35"/>
      <c r="AU1556" s="31"/>
      <c r="AV1556" s="36"/>
    </row>
    <row r="1557" spans="4:48">
      <c r="D1557" s="31"/>
      <c r="E1557" s="31"/>
      <c r="F1557" s="31"/>
      <c r="G1557" s="31"/>
      <c r="H1557" s="32"/>
      <c r="J1557" s="33"/>
      <c r="K1557" s="33"/>
      <c r="L1557" s="33"/>
      <c r="X1557" s="22"/>
      <c r="Y1557" s="22"/>
      <c r="Z1557" s="22"/>
      <c r="AA1557" s="22"/>
      <c r="AF1557" s="22"/>
      <c r="AG1557" s="22"/>
      <c r="AH1557" s="22"/>
      <c r="AI1557" s="22"/>
      <c r="AN1557" s="22"/>
      <c r="AO1557" s="22"/>
      <c r="AP1557" s="22"/>
      <c r="AQ1557" s="22"/>
      <c r="AR1557" s="35"/>
      <c r="AS1557" s="35"/>
      <c r="AT1557" s="35"/>
      <c r="AU1557" s="31"/>
      <c r="AV1557" s="36"/>
    </row>
    <row r="1558" spans="4:48">
      <c r="D1558" s="31"/>
      <c r="E1558" s="31"/>
      <c r="F1558" s="31"/>
      <c r="G1558" s="31"/>
      <c r="H1558" s="32"/>
      <c r="J1558" s="33"/>
      <c r="K1558" s="33"/>
      <c r="L1558" s="33"/>
      <c r="X1558" s="22"/>
      <c r="Y1558" s="22"/>
      <c r="Z1558" s="22"/>
      <c r="AA1558" s="22"/>
      <c r="AF1558" s="22"/>
      <c r="AG1558" s="22"/>
      <c r="AH1558" s="22"/>
      <c r="AI1558" s="22"/>
      <c r="AN1558" s="22"/>
      <c r="AO1558" s="22"/>
      <c r="AP1558" s="22"/>
      <c r="AQ1558" s="22"/>
      <c r="AR1558" s="35"/>
      <c r="AS1558" s="35"/>
      <c r="AT1558" s="35"/>
      <c r="AU1558" s="31"/>
      <c r="AV1558" s="36"/>
    </row>
    <row r="1559" spans="4:48">
      <c r="D1559" s="31"/>
      <c r="E1559" s="31"/>
      <c r="F1559" s="31"/>
      <c r="G1559" s="31"/>
      <c r="H1559" s="32"/>
      <c r="J1559" s="33"/>
      <c r="K1559" s="33"/>
      <c r="L1559" s="33"/>
      <c r="X1559" s="22"/>
      <c r="Y1559" s="22"/>
      <c r="Z1559" s="22"/>
      <c r="AA1559" s="22"/>
      <c r="AF1559" s="22"/>
      <c r="AG1559" s="22"/>
      <c r="AH1559" s="22"/>
      <c r="AI1559" s="22"/>
      <c r="AN1559" s="22"/>
      <c r="AO1559" s="22"/>
      <c r="AP1559" s="22"/>
      <c r="AQ1559" s="22"/>
      <c r="AR1559" s="35"/>
      <c r="AS1559" s="35"/>
      <c r="AT1559" s="35"/>
      <c r="AU1559" s="31"/>
      <c r="AV1559" s="36"/>
    </row>
    <row r="1560" spans="4:48">
      <c r="D1560" s="31"/>
      <c r="E1560" s="31"/>
      <c r="F1560" s="31"/>
      <c r="G1560" s="31"/>
      <c r="H1560" s="32"/>
      <c r="J1560" s="33"/>
      <c r="K1560" s="33"/>
      <c r="L1560" s="33"/>
      <c r="X1560" s="22"/>
      <c r="Y1560" s="22"/>
      <c r="Z1560" s="22"/>
      <c r="AA1560" s="22"/>
      <c r="AF1560" s="22"/>
      <c r="AG1560" s="22"/>
      <c r="AH1560" s="22"/>
      <c r="AI1560" s="22"/>
      <c r="AN1560" s="22"/>
      <c r="AO1560" s="22"/>
      <c r="AP1560" s="22"/>
      <c r="AQ1560" s="22"/>
      <c r="AR1560" s="35"/>
      <c r="AS1560" s="35"/>
      <c r="AT1560" s="35"/>
      <c r="AU1560" s="31"/>
      <c r="AV1560" s="36"/>
    </row>
    <row r="1561" spans="4:48">
      <c r="D1561" s="31"/>
      <c r="E1561" s="31"/>
      <c r="F1561" s="31"/>
      <c r="G1561" s="31"/>
      <c r="H1561" s="32"/>
      <c r="J1561" s="33"/>
      <c r="K1561" s="33"/>
      <c r="L1561" s="33"/>
      <c r="X1561" s="22"/>
      <c r="Y1561" s="22"/>
      <c r="Z1561" s="22"/>
      <c r="AA1561" s="22"/>
      <c r="AF1561" s="22"/>
      <c r="AG1561" s="22"/>
      <c r="AH1561" s="22"/>
      <c r="AI1561" s="22"/>
      <c r="AN1561" s="22"/>
      <c r="AO1561" s="22"/>
      <c r="AP1561" s="22"/>
      <c r="AQ1561" s="22"/>
      <c r="AR1561" s="35"/>
      <c r="AS1561" s="35"/>
      <c r="AT1561" s="35"/>
      <c r="AU1561" s="31"/>
      <c r="AV1561" s="36"/>
    </row>
    <row r="1562" spans="4:48">
      <c r="D1562" s="31"/>
      <c r="E1562" s="31"/>
      <c r="F1562" s="31"/>
      <c r="G1562" s="31"/>
      <c r="H1562" s="32"/>
      <c r="J1562" s="33"/>
      <c r="K1562" s="33"/>
      <c r="L1562" s="33"/>
      <c r="X1562" s="22"/>
      <c r="Y1562" s="22"/>
      <c r="Z1562" s="22"/>
      <c r="AA1562" s="22"/>
      <c r="AF1562" s="22"/>
      <c r="AG1562" s="22"/>
      <c r="AH1562" s="22"/>
      <c r="AI1562" s="22"/>
      <c r="AN1562" s="22"/>
      <c r="AO1562" s="22"/>
      <c r="AP1562" s="22"/>
      <c r="AQ1562" s="22"/>
      <c r="AR1562" s="35"/>
      <c r="AS1562" s="35"/>
      <c r="AT1562" s="35"/>
      <c r="AU1562" s="31"/>
      <c r="AV1562" s="36"/>
    </row>
    <row r="1563" spans="4:48">
      <c r="D1563" s="31"/>
      <c r="E1563" s="31"/>
      <c r="F1563" s="31"/>
      <c r="G1563" s="31"/>
      <c r="H1563" s="32"/>
      <c r="J1563" s="33"/>
      <c r="K1563" s="33"/>
      <c r="L1563" s="33"/>
      <c r="X1563" s="22"/>
      <c r="Y1563" s="22"/>
      <c r="Z1563" s="22"/>
      <c r="AA1563" s="22"/>
      <c r="AF1563" s="22"/>
      <c r="AG1563" s="22"/>
      <c r="AH1563" s="22"/>
      <c r="AI1563" s="22"/>
      <c r="AN1563" s="22"/>
      <c r="AO1563" s="22"/>
      <c r="AP1563" s="22"/>
      <c r="AQ1563" s="22"/>
      <c r="AR1563" s="35"/>
      <c r="AS1563" s="35"/>
      <c r="AT1563" s="35"/>
      <c r="AU1563" s="31"/>
      <c r="AV1563" s="36"/>
    </row>
    <row r="1564" spans="4:48">
      <c r="D1564" s="31"/>
      <c r="E1564" s="31"/>
      <c r="F1564" s="31"/>
      <c r="G1564" s="31"/>
      <c r="H1564" s="32"/>
      <c r="J1564" s="33"/>
      <c r="K1564" s="33"/>
      <c r="L1564" s="33"/>
      <c r="X1564" s="22"/>
      <c r="Y1564" s="22"/>
      <c r="Z1564" s="22"/>
      <c r="AA1564" s="22"/>
      <c r="AF1564" s="22"/>
      <c r="AG1564" s="22"/>
      <c r="AH1564" s="22"/>
      <c r="AI1564" s="22"/>
      <c r="AN1564" s="22"/>
      <c r="AO1564" s="22"/>
      <c r="AP1564" s="22"/>
      <c r="AQ1564" s="22"/>
      <c r="AR1564" s="35"/>
      <c r="AS1564" s="35"/>
      <c r="AT1564" s="35"/>
      <c r="AU1564" s="31"/>
      <c r="AV1564" s="36"/>
    </row>
    <row r="1565" spans="4:48">
      <c r="D1565" s="31"/>
      <c r="E1565" s="31"/>
      <c r="F1565" s="31"/>
      <c r="G1565" s="31"/>
      <c r="H1565" s="32"/>
      <c r="J1565" s="33"/>
      <c r="K1565" s="33"/>
      <c r="L1565" s="33"/>
      <c r="X1565" s="22"/>
      <c r="Y1565" s="22"/>
      <c r="Z1565" s="22"/>
      <c r="AA1565" s="22"/>
      <c r="AF1565" s="22"/>
      <c r="AG1565" s="22"/>
      <c r="AH1565" s="22"/>
      <c r="AI1565" s="22"/>
      <c r="AN1565" s="22"/>
      <c r="AO1565" s="22"/>
      <c r="AP1565" s="22"/>
      <c r="AQ1565" s="22"/>
      <c r="AR1565" s="35"/>
      <c r="AS1565" s="35"/>
      <c r="AT1565" s="35"/>
      <c r="AU1565" s="31"/>
      <c r="AV1565" s="36"/>
    </row>
    <row r="1566" spans="4:48">
      <c r="D1566" s="31"/>
      <c r="E1566" s="31"/>
      <c r="F1566" s="31"/>
      <c r="G1566" s="31"/>
      <c r="H1566" s="32"/>
      <c r="J1566" s="33"/>
      <c r="K1566" s="33"/>
      <c r="L1566" s="33"/>
      <c r="X1566" s="22"/>
      <c r="Y1566" s="22"/>
      <c r="Z1566" s="22"/>
      <c r="AA1566" s="22"/>
      <c r="AF1566" s="22"/>
      <c r="AG1566" s="22"/>
      <c r="AH1566" s="22"/>
      <c r="AI1566" s="22"/>
      <c r="AN1566" s="22"/>
      <c r="AO1566" s="22"/>
      <c r="AP1566" s="22"/>
      <c r="AQ1566" s="22"/>
      <c r="AR1566" s="35"/>
      <c r="AS1566" s="35"/>
      <c r="AT1566" s="35"/>
      <c r="AU1566" s="31"/>
      <c r="AV1566" s="36"/>
    </row>
    <row r="1567" spans="4:48">
      <c r="D1567" s="31"/>
      <c r="E1567" s="31"/>
      <c r="F1567" s="31"/>
      <c r="G1567" s="31"/>
      <c r="H1567" s="32"/>
      <c r="J1567" s="33"/>
      <c r="K1567" s="33"/>
      <c r="L1567" s="33"/>
      <c r="X1567" s="22"/>
      <c r="Y1567" s="22"/>
      <c r="Z1567" s="22"/>
      <c r="AA1567" s="22"/>
      <c r="AF1567" s="22"/>
      <c r="AG1567" s="22"/>
      <c r="AH1567" s="22"/>
      <c r="AI1567" s="22"/>
      <c r="AN1567" s="22"/>
      <c r="AO1567" s="22"/>
      <c r="AP1567" s="22"/>
      <c r="AQ1567" s="22"/>
      <c r="AR1567" s="35"/>
      <c r="AS1567" s="35"/>
      <c r="AT1567" s="35"/>
      <c r="AU1567" s="31"/>
      <c r="AV1567" s="36"/>
    </row>
    <row r="1568" spans="4:48">
      <c r="D1568" s="31"/>
      <c r="E1568" s="31"/>
      <c r="F1568" s="31"/>
      <c r="G1568" s="31"/>
      <c r="H1568" s="32"/>
      <c r="J1568" s="33"/>
      <c r="K1568" s="33"/>
      <c r="L1568" s="33"/>
      <c r="X1568" s="22"/>
      <c r="Y1568" s="22"/>
      <c r="Z1568" s="22"/>
      <c r="AA1568" s="22"/>
      <c r="AF1568" s="22"/>
      <c r="AG1568" s="22"/>
      <c r="AH1568" s="22"/>
      <c r="AI1568" s="22"/>
      <c r="AN1568" s="22"/>
      <c r="AO1568" s="22"/>
      <c r="AP1568" s="22"/>
      <c r="AQ1568" s="22"/>
      <c r="AR1568" s="35"/>
      <c r="AS1568" s="35"/>
      <c r="AT1568" s="35"/>
      <c r="AU1568" s="31"/>
      <c r="AV1568" s="36"/>
    </row>
    <row r="1569" spans="4:48">
      <c r="D1569" s="31"/>
      <c r="E1569" s="31"/>
      <c r="F1569" s="31"/>
      <c r="G1569" s="31"/>
      <c r="H1569" s="32"/>
      <c r="J1569" s="33"/>
      <c r="K1569" s="33"/>
      <c r="L1569" s="33"/>
      <c r="X1569" s="22"/>
      <c r="Y1569" s="22"/>
      <c r="Z1569" s="22"/>
      <c r="AA1569" s="22"/>
      <c r="AF1569" s="22"/>
      <c r="AG1569" s="22"/>
      <c r="AH1569" s="22"/>
      <c r="AI1569" s="22"/>
      <c r="AN1569" s="22"/>
      <c r="AO1569" s="22"/>
      <c r="AP1569" s="22"/>
      <c r="AQ1569" s="22"/>
      <c r="AR1569" s="35"/>
      <c r="AS1569" s="35"/>
      <c r="AT1569" s="35"/>
      <c r="AU1569" s="31"/>
      <c r="AV1569" s="36"/>
    </row>
    <row r="1570" spans="4:48">
      <c r="D1570" s="31"/>
      <c r="E1570" s="31"/>
      <c r="F1570" s="31"/>
      <c r="G1570" s="31"/>
      <c r="H1570" s="32"/>
      <c r="J1570" s="33"/>
      <c r="K1570" s="33"/>
      <c r="L1570" s="33"/>
      <c r="X1570" s="22"/>
      <c r="Y1570" s="22"/>
      <c r="Z1570" s="22"/>
      <c r="AA1570" s="22"/>
      <c r="AF1570" s="22"/>
      <c r="AG1570" s="22"/>
      <c r="AH1570" s="22"/>
      <c r="AI1570" s="22"/>
      <c r="AN1570" s="22"/>
      <c r="AO1570" s="22"/>
      <c r="AP1570" s="22"/>
      <c r="AQ1570" s="22"/>
      <c r="AR1570" s="35"/>
      <c r="AS1570" s="35"/>
      <c r="AT1570" s="35"/>
      <c r="AU1570" s="31"/>
      <c r="AV1570" s="36"/>
    </row>
    <row r="1571" spans="4:48">
      <c r="D1571" s="31"/>
      <c r="E1571" s="31"/>
      <c r="F1571" s="31"/>
      <c r="G1571" s="31"/>
      <c r="H1571" s="32"/>
      <c r="J1571" s="33"/>
      <c r="K1571" s="33"/>
      <c r="L1571" s="33"/>
      <c r="X1571" s="22"/>
      <c r="Y1571" s="22"/>
      <c r="Z1571" s="22"/>
      <c r="AA1571" s="22"/>
      <c r="AF1571" s="22"/>
      <c r="AG1571" s="22"/>
      <c r="AH1571" s="22"/>
      <c r="AI1571" s="22"/>
      <c r="AN1571" s="22"/>
      <c r="AO1571" s="22"/>
      <c r="AP1571" s="22"/>
      <c r="AQ1571" s="22"/>
      <c r="AR1571" s="35"/>
      <c r="AS1571" s="35"/>
      <c r="AT1571" s="35"/>
      <c r="AU1571" s="31"/>
      <c r="AV1571" s="36"/>
    </row>
    <row r="1572" spans="4:48">
      <c r="D1572" s="31"/>
      <c r="E1572" s="31"/>
      <c r="F1572" s="31"/>
      <c r="G1572" s="31"/>
      <c r="H1572" s="32"/>
      <c r="J1572" s="33"/>
      <c r="K1572" s="33"/>
      <c r="L1572" s="33"/>
      <c r="X1572" s="22"/>
      <c r="Y1572" s="22"/>
      <c r="Z1572" s="22"/>
      <c r="AA1572" s="22"/>
      <c r="AF1572" s="22"/>
      <c r="AG1572" s="22"/>
      <c r="AH1572" s="22"/>
      <c r="AI1572" s="22"/>
      <c r="AN1572" s="22"/>
      <c r="AO1572" s="22"/>
      <c r="AP1572" s="22"/>
      <c r="AQ1572" s="22"/>
      <c r="AR1572" s="35"/>
      <c r="AS1572" s="35"/>
      <c r="AT1572" s="35"/>
      <c r="AU1572" s="31"/>
      <c r="AV1572" s="36"/>
    </row>
    <row r="1573" spans="4:48">
      <c r="D1573" s="31"/>
      <c r="E1573" s="31"/>
      <c r="F1573" s="31"/>
      <c r="G1573" s="31"/>
      <c r="H1573" s="32"/>
      <c r="J1573" s="33"/>
      <c r="K1573" s="33"/>
      <c r="L1573" s="33"/>
      <c r="X1573" s="22"/>
      <c r="Y1573" s="22"/>
      <c r="Z1573" s="22"/>
      <c r="AA1573" s="22"/>
      <c r="AF1573" s="22"/>
      <c r="AG1573" s="22"/>
      <c r="AH1573" s="22"/>
      <c r="AI1573" s="22"/>
      <c r="AN1573" s="22"/>
      <c r="AO1573" s="22"/>
      <c r="AP1573" s="22"/>
      <c r="AQ1573" s="22"/>
      <c r="AR1573" s="35"/>
      <c r="AS1573" s="35"/>
      <c r="AT1573" s="35"/>
      <c r="AU1573" s="31"/>
      <c r="AV1573" s="36"/>
    </row>
    <row r="1574" spans="4:48">
      <c r="D1574" s="31"/>
      <c r="E1574" s="31"/>
      <c r="F1574" s="31"/>
      <c r="G1574" s="31"/>
      <c r="H1574" s="32"/>
      <c r="J1574" s="33"/>
      <c r="K1574" s="33"/>
      <c r="L1574" s="33"/>
      <c r="X1574" s="22"/>
      <c r="Y1574" s="22"/>
      <c r="Z1574" s="22"/>
      <c r="AA1574" s="22"/>
      <c r="AF1574" s="22"/>
      <c r="AG1574" s="22"/>
      <c r="AH1574" s="22"/>
      <c r="AI1574" s="22"/>
      <c r="AN1574" s="22"/>
      <c r="AO1574" s="22"/>
      <c r="AP1574" s="22"/>
      <c r="AQ1574" s="22"/>
      <c r="AR1574" s="35"/>
      <c r="AS1574" s="35"/>
      <c r="AT1574" s="35"/>
      <c r="AU1574" s="31"/>
      <c r="AV1574" s="36"/>
    </row>
    <row r="1575" spans="4:48">
      <c r="D1575" s="31"/>
      <c r="E1575" s="31"/>
      <c r="F1575" s="31"/>
      <c r="G1575" s="31"/>
      <c r="H1575" s="32"/>
      <c r="J1575" s="33"/>
      <c r="K1575" s="33"/>
      <c r="L1575" s="33"/>
      <c r="X1575" s="22"/>
      <c r="Y1575" s="22"/>
      <c r="Z1575" s="22"/>
      <c r="AA1575" s="22"/>
      <c r="AF1575" s="22"/>
      <c r="AG1575" s="22"/>
      <c r="AH1575" s="22"/>
      <c r="AI1575" s="22"/>
      <c r="AN1575" s="22"/>
      <c r="AO1575" s="22"/>
      <c r="AP1575" s="22"/>
      <c r="AQ1575" s="22"/>
      <c r="AR1575" s="35"/>
      <c r="AS1575" s="35"/>
      <c r="AT1575" s="35"/>
      <c r="AU1575" s="31"/>
      <c r="AV1575" s="36"/>
    </row>
    <row r="1576" spans="4:48">
      <c r="D1576" s="31"/>
      <c r="E1576" s="31"/>
      <c r="F1576" s="31"/>
      <c r="G1576" s="31"/>
      <c r="H1576" s="32"/>
      <c r="J1576" s="33"/>
      <c r="K1576" s="33"/>
      <c r="L1576" s="33"/>
      <c r="X1576" s="22"/>
      <c r="Y1576" s="22"/>
      <c r="Z1576" s="22"/>
      <c r="AA1576" s="22"/>
      <c r="AF1576" s="22"/>
      <c r="AG1576" s="22"/>
      <c r="AH1576" s="22"/>
      <c r="AI1576" s="22"/>
      <c r="AN1576" s="22"/>
      <c r="AO1576" s="22"/>
      <c r="AP1576" s="22"/>
      <c r="AQ1576" s="22"/>
      <c r="AR1576" s="35"/>
      <c r="AS1576" s="35"/>
      <c r="AT1576" s="35"/>
      <c r="AU1576" s="31"/>
      <c r="AV1576" s="36"/>
    </row>
    <row r="1577" spans="4:48">
      <c r="D1577" s="31"/>
      <c r="E1577" s="31"/>
      <c r="F1577" s="31"/>
      <c r="G1577" s="31"/>
      <c r="H1577" s="32"/>
      <c r="J1577" s="33"/>
      <c r="K1577" s="33"/>
      <c r="L1577" s="33"/>
      <c r="X1577" s="22"/>
      <c r="Y1577" s="22"/>
      <c r="Z1577" s="22"/>
      <c r="AA1577" s="22"/>
      <c r="AF1577" s="22"/>
      <c r="AG1577" s="22"/>
      <c r="AH1577" s="22"/>
      <c r="AI1577" s="22"/>
      <c r="AN1577" s="22"/>
      <c r="AO1577" s="22"/>
      <c r="AP1577" s="22"/>
      <c r="AQ1577" s="22"/>
      <c r="AR1577" s="35"/>
      <c r="AS1577" s="35"/>
      <c r="AT1577" s="35"/>
      <c r="AU1577" s="31"/>
      <c r="AV1577" s="36"/>
    </row>
    <row r="1578" spans="4:48">
      <c r="D1578" s="31"/>
      <c r="E1578" s="31"/>
      <c r="F1578" s="31"/>
      <c r="G1578" s="31"/>
      <c r="H1578" s="32"/>
      <c r="J1578" s="33"/>
      <c r="K1578" s="33"/>
      <c r="L1578" s="33"/>
      <c r="X1578" s="22"/>
      <c r="Y1578" s="22"/>
      <c r="Z1578" s="22"/>
      <c r="AA1578" s="22"/>
      <c r="AF1578" s="22"/>
      <c r="AG1578" s="22"/>
      <c r="AH1578" s="22"/>
      <c r="AI1578" s="22"/>
      <c r="AN1578" s="22"/>
      <c r="AO1578" s="22"/>
      <c r="AP1578" s="22"/>
      <c r="AQ1578" s="22"/>
      <c r="AR1578" s="35"/>
      <c r="AS1578" s="35"/>
      <c r="AT1578" s="35"/>
      <c r="AU1578" s="31"/>
      <c r="AV1578" s="36"/>
    </row>
    <row r="1579" spans="4:48">
      <c r="D1579" s="31"/>
      <c r="E1579" s="31"/>
      <c r="F1579" s="31"/>
      <c r="G1579" s="31"/>
      <c r="H1579" s="32"/>
      <c r="J1579" s="33"/>
      <c r="K1579" s="33"/>
      <c r="L1579" s="33"/>
      <c r="X1579" s="22"/>
      <c r="Y1579" s="22"/>
      <c r="Z1579" s="22"/>
      <c r="AA1579" s="22"/>
      <c r="AF1579" s="22"/>
      <c r="AG1579" s="22"/>
      <c r="AH1579" s="22"/>
      <c r="AI1579" s="22"/>
      <c r="AN1579" s="22"/>
      <c r="AO1579" s="22"/>
      <c r="AP1579" s="22"/>
      <c r="AQ1579" s="22"/>
      <c r="AR1579" s="35"/>
      <c r="AS1579" s="35"/>
      <c r="AT1579" s="35"/>
      <c r="AU1579" s="31"/>
      <c r="AV1579" s="36"/>
    </row>
    <row r="1580" spans="4:48">
      <c r="D1580" s="31"/>
      <c r="E1580" s="31"/>
      <c r="F1580" s="31"/>
      <c r="G1580" s="31"/>
      <c r="H1580" s="32"/>
      <c r="J1580" s="33"/>
      <c r="K1580" s="33"/>
      <c r="L1580" s="33"/>
      <c r="X1580" s="22"/>
      <c r="Y1580" s="22"/>
      <c r="Z1580" s="22"/>
      <c r="AA1580" s="22"/>
      <c r="AF1580" s="22"/>
      <c r="AG1580" s="22"/>
      <c r="AH1580" s="22"/>
      <c r="AI1580" s="22"/>
      <c r="AN1580" s="22"/>
      <c r="AO1580" s="22"/>
      <c r="AP1580" s="22"/>
      <c r="AQ1580" s="22"/>
      <c r="AR1580" s="35"/>
      <c r="AS1580" s="35"/>
      <c r="AT1580" s="35"/>
      <c r="AU1580" s="31"/>
      <c r="AV1580" s="36"/>
    </row>
    <row r="1581" spans="4:48">
      <c r="D1581" s="31"/>
      <c r="E1581" s="31"/>
      <c r="F1581" s="31"/>
      <c r="G1581" s="31"/>
      <c r="H1581" s="32"/>
      <c r="J1581" s="33"/>
      <c r="K1581" s="33"/>
      <c r="L1581" s="33"/>
      <c r="X1581" s="22"/>
      <c r="Y1581" s="22"/>
      <c r="Z1581" s="22"/>
      <c r="AA1581" s="22"/>
      <c r="AF1581" s="22"/>
      <c r="AG1581" s="22"/>
      <c r="AH1581" s="22"/>
      <c r="AI1581" s="22"/>
      <c r="AN1581" s="22"/>
      <c r="AO1581" s="22"/>
      <c r="AP1581" s="22"/>
      <c r="AQ1581" s="22"/>
      <c r="AR1581" s="35"/>
      <c r="AS1581" s="35"/>
      <c r="AT1581" s="35"/>
      <c r="AU1581" s="31"/>
      <c r="AV1581" s="36"/>
    </row>
    <row r="1582" spans="4:48">
      <c r="D1582" s="31"/>
      <c r="E1582" s="31"/>
      <c r="F1582" s="31"/>
      <c r="G1582" s="31"/>
      <c r="H1582" s="32"/>
      <c r="J1582" s="33"/>
      <c r="K1582" s="33"/>
      <c r="L1582" s="33"/>
      <c r="X1582" s="22"/>
      <c r="Y1582" s="22"/>
      <c r="Z1582" s="22"/>
      <c r="AA1582" s="22"/>
      <c r="AF1582" s="22"/>
      <c r="AG1582" s="22"/>
      <c r="AH1582" s="22"/>
      <c r="AI1582" s="22"/>
      <c r="AN1582" s="22"/>
      <c r="AO1582" s="22"/>
      <c r="AP1582" s="22"/>
      <c r="AQ1582" s="22"/>
      <c r="AR1582" s="35"/>
      <c r="AS1582" s="35"/>
      <c r="AT1582" s="35"/>
      <c r="AU1582" s="31"/>
      <c r="AV1582" s="36"/>
    </row>
    <row r="1583" spans="4:49">
      <c r="D1583" s="31"/>
      <c r="E1583" s="31"/>
      <c r="F1583" s="31"/>
      <c r="G1583" s="31"/>
      <c r="H1583" s="32"/>
      <c r="J1583" s="33"/>
      <c r="K1583" s="33"/>
      <c r="L1583" s="33"/>
      <c r="X1583" s="22"/>
      <c r="Y1583" s="22"/>
      <c r="Z1583" s="22"/>
      <c r="AA1583" s="22"/>
      <c r="AF1583" s="22"/>
      <c r="AG1583" s="22"/>
      <c r="AH1583" s="22"/>
      <c r="AI1583" s="22"/>
      <c r="AN1583" s="22"/>
      <c r="AO1583" s="22"/>
      <c r="AP1583" s="22"/>
      <c r="AQ1583" s="22"/>
      <c r="AR1583" s="35"/>
      <c r="AS1583" s="35"/>
      <c r="AT1583" s="35"/>
      <c r="AU1583" s="31"/>
      <c r="AV1583" s="36"/>
      <c r="AW1583" s="36"/>
    </row>
    <row r="1584" spans="4:49">
      <c r="D1584" s="31"/>
      <c r="E1584" s="31"/>
      <c r="F1584" s="31"/>
      <c r="G1584" s="31"/>
      <c r="H1584" s="32"/>
      <c r="J1584" s="33"/>
      <c r="K1584" s="33"/>
      <c r="L1584" s="33"/>
      <c r="X1584" s="22"/>
      <c r="Y1584" s="22"/>
      <c r="Z1584" s="22"/>
      <c r="AA1584" s="22"/>
      <c r="AF1584" s="22"/>
      <c r="AG1584" s="22"/>
      <c r="AH1584" s="22"/>
      <c r="AI1584" s="22"/>
      <c r="AN1584" s="22"/>
      <c r="AO1584" s="22"/>
      <c r="AP1584" s="22"/>
      <c r="AQ1584" s="22"/>
      <c r="AR1584" s="35"/>
      <c r="AS1584" s="35"/>
      <c r="AT1584" s="35"/>
      <c r="AU1584" s="31"/>
      <c r="AV1584" s="36"/>
      <c r="AW1584" s="36"/>
    </row>
    <row r="1585" spans="4:49">
      <c r="D1585" s="31"/>
      <c r="E1585" s="31"/>
      <c r="F1585" s="31"/>
      <c r="G1585" s="31"/>
      <c r="H1585" s="32"/>
      <c r="J1585" s="33"/>
      <c r="K1585" s="33"/>
      <c r="L1585" s="33"/>
      <c r="X1585" s="22"/>
      <c r="Y1585" s="22"/>
      <c r="Z1585" s="22"/>
      <c r="AA1585" s="22"/>
      <c r="AF1585" s="22"/>
      <c r="AG1585" s="22"/>
      <c r="AH1585" s="22"/>
      <c r="AI1585" s="22"/>
      <c r="AN1585" s="22"/>
      <c r="AO1585" s="22"/>
      <c r="AP1585" s="22"/>
      <c r="AQ1585" s="22"/>
      <c r="AR1585" s="35"/>
      <c r="AS1585" s="35"/>
      <c r="AT1585" s="35"/>
      <c r="AU1585" s="31"/>
      <c r="AV1585" s="36"/>
      <c r="AW1585" s="36"/>
    </row>
    <row r="1586" spans="4:49">
      <c r="D1586" s="31"/>
      <c r="E1586" s="31"/>
      <c r="F1586" s="31"/>
      <c r="G1586" s="31"/>
      <c r="H1586" s="32"/>
      <c r="J1586" s="33"/>
      <c r="K1586" s="33"/>
      <c r="L1586" s="33"/>
      <c r="X1586" s="22"/>
      <c r="Y1586" s="22"/>
      <c r="Z1586" s="22"/>
      <c r="AA1586" s="22"/>
      <c r="AF1586" s="22"/>
      <c r="AG1586" s="22"/>
      <c r="AH1586" s="22"/>
      <c r="AI1586" s="22"/>
      <c r="AN1586" s="22"/>
      <c r="AO1586" s="22"/>
      <c r="AP1586" s="22"/>
      <c r="AQ1586" s="22"/>
      <c r="AR1586" s="35"/>
      <c r="AS1586" s="35"/>
      <c r="AT1586" s="35"/>
      <c r="AU1586" s="31"/>
      <c r="AV1586" s="36"/>
      <c r="AW1586" s="36"/>
    </row>
    <row r="1587" spans="4:49">
      <c r="D1587" s="31"/>
      <c r="E1587" s="31"/>
      <c r="F1587" s="31"/>
      <c r="G1587" s="31"/>
      <c r="H1587" s="32"/>
      <c r="J1587" s="33"/>
      <c r="K1587" s="33"/>
      <c r="L1587" s="33"/>
      <c r="X1587" s="22"/>
      <c r="Y1587" s="22"/>
      <c r="Z1587" s="22"/>
      <c r="AA1587" s="22"/>
      <c r="AF1587" s="22"/>
      <c r="AG1587" s="22"/>
      <c r="AH1587" s="22"/>
      <c r="AI1587" s="22"/>
      <c r="AN1587" s="22"/>
      <c r="AO1587" s="22"/>
      <c r="AP1587" s="22"/>
      <c r="AQ1587" s="22"/>
      <c r="AR1587" s="35"/>
      <c r="AS1587" s="35"/>
      <c r="AT1587" s="35"/>
      <c r="AU1587" s="31"/>
      <c r="AV1587" s="36"/>
      <c r="AW1587" s="36"/>
    </row>
    <row r="1588" spans="4:49">
      <c r="D1588" s="31"/>
      <c r="E1588" s="31"/>
      <c r="F1588" s="31"/>
      <c r="G1588" s="31"/>
      <c r="H1588" s="32"/>
      <c r="J1588" s="33"/>
      <c r="K1588" s="33"/>
      <c r="L1588" s="33"/>
      <c r="X1588" s="22"/>
      <c r="Y1588" s="22"/>
      <c r="Z1588" s="22"/>
      <c r="AA1588" s="22"/>
      <c r="AF1588" s="22"/>
      <c r="AG1588" s="22"/>
      <c r="AH1588" s="22"/>
      <c r="AI1588" s="22"/>
      <c r="AN1588" s="22"/>
      <c r="AO1588" s="22"/>
      <c r="AP1588" s="22"/>
      <c r="AQ1588" s="22"/>
      <c r="AR1588" s="35"/>
      <c r="AS1588" s="35"/>
      <c r="AT1588" s="35"/>
      <c r="AU1588" s="31"/>
      <c r="AV1588" s="36"/>
      <c r="AW1588" s="36"/>
    </row>
    <row r="1589" spans="4:49">
      <c r="D1589" s="31"/>
      <c r="E1589" s="31"/>
      <c r="F1589" s="31"/>
      <c r="G1589" s="31"/>
      <c r="H1589" s="32"/>
      <c r="J1589" s="33"/>
      <c r="K1589" s="33"/>
      <c r="L1589" s="33"/>
      <c r="X1589" s="22"/>
      <c r="Y1589" s="22"/>
      <c r="Z1589" s="22"/>
      <c r="AA1589" s="22"/>
      <c r="AF1589" s="22"/>
      <c r="AG1589" s="22"/>
      <c r="AH1589" s="22"/>
      <c r="AI1589" s="22"/>
      <c r="AN1589" s="22"/>
      <c r="AO1589" s="22"/>
      <c r="AP1589" s="22"/>
      <c r="AQ1589" s="22"/>
      <c r="AR1589" s="35"/>
      <c r="AS1589" s="35"/>
      <c r="AT1589" s="35"/>
      <c r="AU1589" s="31"/>
      <c r="AV1589" s="36"/>
      <c r="AW1589" s="36"/>
    </row>
    <row r="1590" spans="4:49">
      <c r="D1590" s="31"/>
      <c r="E1590" s="31"/>
      <c r="F1590" s="31"/>
      <c r="G1590" s="31"/>
      <c r="H1590" s="32"/>
      <c r="J1590" s="33"/>
      <c r="K1590" s="33"/>
      <c r="L1590" s="33"/>
      <c r="X1590" s="22"/>
      <c r="Y1590" s="22"/>
      <c r="Z1590" s="22"/>
      <c r="AA1590" s="22"/>
      <c r="AF1590" s="22"/>
      <c r="AG1590" s="22"/>
      <c r="AH1590" s="22"/>
      <c r="AI1590" s="22"/>
      <c r="AN1590" s="22"/>
      <c r="AO1590" s="22"/>
      <c r="AP1590" s="22"/>
      <c r="AQ1590" s="22"/>
      <c r="AR1590" s="35"/>
      <c r="AS1590" s="35"/>
      <c r="AT1590" s="35"/>
      <c r="AU1590" s="31"/>
      <c r="AV1590" s="36"/>
      <c r="AW1590" s="36"/>
    </row>
    <row r="1591" spans="4:49">
      <c r="D1591" s="31"/>
      <c r="E1591" s="31"/>
      <c r="F1591" s="31"/>
      <c r="G1591" s="31"/>
      <c r="H1591" s="32"/>
      <c r="J1591" s="33"/>
      <c r="K1591" s="33"/>
      <c r="L1591" s="33"/>
      <c r="X1591" s="22"/>
      <c r="Y1591" s="22"/>
      <c r="Z1591" s="22"/>
      <c r="AA1591" s="22"/>
      <c r="AF1591" s="22"/>
      <c r="AG1591" s="22"/>
      <c r="AH1591" s="22"/>
      <c r="AI1591" s="22"/>
      <c r="AN1591" s="22"/>
      <c r="AO1591" s="22"/>
      <c r="AP1591" s="22"/>
      <c r="AQ1591" s="22"/>
      <c r="AR1591" s="35"/>
      <c r="AS1591" s="35"/>
      <c r="AT1591" s="35"/>
      <c r="AU1591" s="31"/>
      <c r="AV1591" s="36"/>
      <c r="AW1591" s="36"/>
    </row>
    <row r="1592" spans="4:49">
      <c r="D1592" s="31"/>
      <c r="E1592" s="31"/>
      <c r="F1592" s="31"/>
      <c r="G1592" s="31"/>
      <c r="H1592" s="32"/>
      <c r="J1592" s="33"/>
      <c r="K1592" s="33"/>
      <c r="L1592" s="33"/>
      <c r="X1592" s="22"/>
      <c r="Y1592" s="22"/>
      <c r="Z1592" s="22"/>
      <c r="AA1592" s="22"/>
      <c r="AF1592" s="22"/>
      <c r="AG1592" s="22"/>
      <c r="AH1592" s="22"/>
      <c r="AI1592" s="22"/>
      <c r="AN1592" s="22"/>
      <c r="AO1592" s="22"/>
      <c r="AP1592" s="22"/>
      <c r="AQ1592" s="22"/>
      <c r="AR1592" s="35"/>
      <c r="AS1592" s="35"/>
      <c r="AT1592" s="35"/>
      <c r="AU1592" s="31"/>
      <c r="AV1592" s="36"/>
      <c r="AW1592" s="36"/>
    </row>
    <row r="1593" spans="4:49">
      <c r="D1593" s="31"/>
      <c r="E1593" s="31"/>
      <c r="F1593" s="31"/>
      <c r="G1593" s="31"/>
      <c r="H1593" s="32"/>
      <c r="J1593" s="33"/>
      <c r="K1593" s="33"/>
      <c r="L1593" s="33"/>
      <c r="X1593" s="22"/>
      <c r="Y1593" s="22"/>
      <c r="Z1593" s="22"/>
      <c r="AA1593" s="22"/>
      <c r="AF1593" s="22"/>
      <c r="AG1593" s="22"/>
      <c r="AH1593" s="22"/>
      <c r="AI1593" s="22"/>
      <c r="AN1593" s="22"/>
      <c r="AO1593" s="22"/>
      <c r="AP1593" s="22"/>
      <c r="AQ1593" s="22"/>
      <c r="AR1593" s="35"/>
      <c r="AS1593" s="35"/>
      <c r="AT1593" s="35"/>
      <c r="AU1593" s="31"/>
      <c r="AV1593" s="36"/>
      <c r="AW1593" s="36"/>
    </row>
    <row r="1594" spans="4:49">
      <c r="D1594" s="31"/>
      <c r="E1594" s="31"/>
      <c r="F1594" s="31"/>
      <c r="G1594" s="31"/>
      <c r="H1594" s="32"/>
      <c r="J1594" s="33"/>
      <c r="K1594" s="33"/>
      <c r="L1594" s="33"/>
      <c r="X1594" s="22"/>
      <c r="Y1594" s="22"/>
      <c r="Z1594" s="22"/>
      <c r="AA1594" s="22"/>
      <c r="AF1594" s="22"/>
      <c r="AG1594" s="22"/>
      <c r="AH1594" s="22"/>
      <c r="AI1594" s="22"/>
      <c r="AN1594" s="22"/>
      <c r="AO1594" s="22"/>
      <c r="AP1594" s="22"/>
      <c r="AQ1594" s="22"/>
      <c r="AR1594" s="35"/>
      <c r="AS1594" s="35"/>
      <c r="AT1594" s="35"/>
      <c r="AU1594" s="31"/>
      <c r="AV1594" s="36"/>
      <c r="AW1594" s="36"/>
    </row>
    <row r="1595" spans="4:49">
      <c r="D1595" s="31"/>
      <c r="E1595" s="31"/>
      <c r="F1595" s="31"/>
      <c r="G1595" s="31"/>
      <c r="H1595" s="32"/>
      <c r="J1595" s="33"/>
      <c r="K1595" s="33"/>
      <c r="L1595" s="33"/>
      <c r="X1595" s="22"/>
      <c r="Y1595" s="22"/>
      <c r="Z1595" s="22"/>
      <c r="AA1595" s="22"/>
      <c r="AF1595" s="22"/>
      <c r="AG1595" s="22"/>
      <c r="AH1595" s="22"/>
      <c r="AI1595" s="22"/>
      <c r="AN1595" s="22"/>
      <c r="AO1595" s="22"/>
      <c r="AP1595" s="22"/>
      <c r="AQ1595" s="22"/>
      <c r="AR1595" s="35"/>
      <c r="AS1595" s="35"/>
      <c r="AT1595" s="35"/>
      <c r="AU1595" s="31"/>
      <c r="AV1595" s="36"/>
      <c r="AW1595" s="36"/>
    </row>
    <row r="1596" spans="4:49">
      <c r="D1596" s="31"/>
      <c r="E1596" s="31"/>
      <c r="F1596" s="31"/>
      <c r="G1596" s="31"/>
      <c r="H1596" s="32"/>
      <c r="J1596" s="33"/>
      <c r="K1596" s="33"/>
      <c r="L1596" s="33"/>
      <c r="X1596" s="22"/>
      <c r="Y1596" s="22"/>
      <c r="Z1596" s="22"/>
      <c r="AA1596" s="22"/>
      <c r="AF1596" s="22"/>
      <c r="AG1596" s="22"/>
      <c r="AH1596" s="22"/>
      <c r="AI1596" s="22"/>
      <c r="AN1596" s="22"/>
      <c r="AO1596" s="22"/>
      <c r="AP1596" s="22"/>
      <c r="AQ1596" s="22"/>
      <c r="AR1596" s="35"/>
      <c r="AS1596" s="35"/>
      <c r="AT1596" s="35"/>
      <c r="AU1596" s="31"/>
      <c r="AV1596" s="36"/>
      <c r="AW1596" s="36"/>
    </row>
    <row r="1597" spans="4:49">
      <c r="D1597" s="31"/>
      <c r="E1597" s="31"/>
      <c r="F1597" s="31"/>
      <c r="G1597" s="31"/>
      <c r="H1597" s="32"/>
      <c r="J1597" s="33"/>
      <c r="K1597" s="33"/>
      <c r="L1597" s="33"/>
      <c r="X1597" s="22"/>
      <c r="Y1597" s="22"/>
      <c r="Z1597" s="22"/>
      <c r="AA1597" s="22"/>
      <c r="AF1597" s="22"/>
      <c r="AG1597" s="22"/>
      <c r="AH1597" s="22"/>
      <c r="AI1597" s="22"/>
      <c r="AN1597" s="22"/>
      <c r="AO1597" s="22"/>
      <c r="AP1597" s="22"/>
      <c r="AQ1597" s="22"/>
      <c r="AR1597" s="35"/>
      <c r="AS1597" s="35"/>
      <c r="AT1597" s="35"/>
      <c r="AU1597" s="31"/>
      <c r="AV1597" s="36"/>
      <c r="AW1597" s="36"/>
    </row>
    <row r="1598" spans="4:49">
      <c r="D1598" s="31"/>
      <c r="E1598" s="31"/>
      <c r="F1598" s="31"/>
      <c r="G1598" s="31"/>
      <c r="H1598" s="32"/>
      <c r="J1598" s="33"/>
      <c r="K1598" s="33"/>
      <c r="L1598" s="33"/>
      <c r="X1598" s="22"/>
      <c r="Y1598" s="22"/>
      <c r="Z1598" s="22"/>
      <c r="AA1598" s="22"/>
      <c r="AF1598" s="22"/>
      <c r="AG1598" s="22"/>
      <c r="AH1598" s="22"/>
      <c r="AI1598" s="22"/>
      <c r="AN1598" s="22"/>
      <c r="AO1598" s="22"/>
      <c r="AP1598" s="22"/>
      <c r="AQ1598" s="22"/>
      <c r="AR1598" s="35"/>
      <c r="AS1598" s="35"/>
      <c r="AT1598" s="35"/>
      <c r="AU1598" s="31"/>
      <c r="AV1598" s="36"/>
      <c r="AW1598" s="36"/>
    </row>
    <row r="1599" spans="4:49">
      <c r="D1599" s="31"/>
      <c r="E1599" s="31"/>
      <c r="F1599" s="31"/>
      <c r="G1599" s="31"/>
      <c r="H1599" s="32"/>
      <c r="J1599" s="33"/>
      <c r="K1599" s="33"/>
      <c r="L1599" s="33"/>
      <c r="X1599" s="22"/>
      <c r="Y1599" s="22"/>
      <c r="Z1599" s="22"/>
      <c r="AA1599" s="22"/>
      <c r="AF1599" s="22"/>
      <c r="AG1599" s="22"/>
      <c r="AH1599" s="22"/>
      <c r="AI1599" s="22"/>
      <c r="AN1599" s="22"/>
      <c r="AO1599" s="22"/>
      <c r="AP1599" s="22"/>
      <c r="AQ1599" s="22"/>
      <c r="AR1599" s="35"/>
      <c r="AS1599" s="35"/>
      <c r="AT1599" s="35"/>
      <c r="AU1599" s="31"/>
      <c r="AV1599" s="36"/>
      <c r="AW1599" s="36"/>
    </row>
    <row r="1600" spans="4:49">
      <c r="D1600" s="31"/>
      <c r="E1600" s="31"/>
      <c r="F1600" s="31"/>
      <c r="G1600" s="31"/>
      <c r="H1600" s="32"/>
      <c r="J1600" s="33"/>
      <c r="K1600" s="33"/>
      <c r="L1600" s="33"/>
      <c r="X1600" s="22"/>
      <c r="Y1600" s="22"/>
      <c r="Z1600" s="22"/>
      <c r="AA1600" s="22"/>
      <c r="AF1600" s="22"/>
      <c r="AG1600" s="22"/>
      <c r="AH1600" s="22"/>
      <c r="AI1600" s="22"/>
      <c r="AN1600" s="22"/>
      <c r="AO1600" s="22"/>
      <c r="AP1600" s="22"/>
      <c r="AQ1600" s="22"/>
      <c r="AR1600" s="35"/>
      <c r="AS1600" s="35"/>
      <c r="AT1600" s="35"/>
      <c r="AU1600" s="31"/>
      <c r="AV1600" s="36"/>
      <c r="AW1600" s="36"/>
    </row>
    <row r="1601" spans="4:49">
      <c r="D1601" s="31"/>
      <c r="E1601" s="31"/>
      <c r="F1601" s="31"/>
      <c r="G1601" s="31"/>
      <c r="H1601" s="32"/>
      <c r="J1601" s="33"/>
      <c r="K1601" s="33"/>
      <c r="L1601" s="33"/>
      <c r="X1601" s="22"/>
      <c r="Y1601" s="22"/>
      <c r="Z1601" s="22"/>
      <c r="AA1601" s="22"/>
      <c r="AF1601" s="22"/>
      <c r="AG1601" s="22"/>
      <c r="AH1601" s="22"/>
      <c r="AI1601" s="22"/>
      <c r="AN1601" s="22"/>
      <c r="AO1601" s="22"/>
      <c r="AP1601" s="22"/>
      <c r="AQ1601" s="22"/>
      <c r="AR1601" s="35"/>
      <c r="AS1601" s="35"/>
      <c r="AT1601" s="35"/>
      <c r="AU1601" s="31"/>
      <c r="AV1601" s="36"/>
      <c r="AW1601" s="36"/>
    </row>
    <row r="1602" spans="4:49">
      <c r="D1602" s="31"/>
      <c r="E1602" s="31"/>
      <c r="F1602" s="31"/>
      <c r="G1602" s="31"/>
      <c r="H1602" s="32"/>
      <c r="J1602" s="33"/>
      <c r="K1602" s="33"/>
      <c r="L1602" s="33"/>
      <c r="X1602" s="22"/>
      <c r="Y1602" s="22"/>
      <c r="Z1602" s="22"/>
      <c r="AA1602" s="22"/>
      <c r="AF1602" s="22"/>
      <c r="AG1602" s="22"/>
      <c r="AH1602" s="22"/>
      <c r="AI1602" s="22"/>
      <c r="AN1602" s="22"/>
      <c r="AO1602" s="22"/>
      <c r="AP1602" s="22"/>
      <c r="AQ1602" s="22"/>
      <c r="AR1602" s="35"/>
      <c r="AS1602" s="35"/>
      <c r="AT1602" s="35"/>
      <c r="AU1602" s="31"/>
      <c r="AV1602" s="36"/>
      <c r="AW1602" s="36"/>
    </row>
    <row r="1603" spans="4:49">
      <c r="D1603" s="31"/>
      <c r="E1603" s="31"/>
      <c r="F1603" s="31"/>
      <c r="G1603" s="31"/>
      <c r="H1603" s="32"/>
      <c r="J1603" s="33"/>
      <c r="K1603" s="33"/>
      <c r="L1603" s="33"/>
      <c r="X1603" s="22"/>
      <c r="Y1603" s="22"/>
      <c r="Z1603" s="22"/>
      <c r="AA1603" s="22"/>
      <c r="AF1603" s="22"/>
      <c r="AG1603" s="22"/>
      <c r="AH1603" s="22"/>
      <c r="AI1603" s="22"/>
      <c r="AN1603" s="22"/>
      <c r="AO1603" s="22"/>
      <c r="AP1603" s="22"/>
      <c r="AQ1603" s="22"/>
      <c r="AR1603" s="35"/>
      <c r="AS1603" s="35"/>
      <c r="AT1603" s="35"/>
      <c r="AU1603" s="31"/>
      <c r="AV1603" s="36"/>
      <c r="AW1603" s="36"/>
    </row>
    <row r="1604" spans="4:49">
      <c r="D1604" s="31"/>
      <c r="E1604" s="31"/>
      <c r="F1604" s="31"/>
      <c r="G1604" s="31"/>
      <c r="H1604" s="32"/>
      <c r="J1604" s="33"/>
      <c r="K1604" s="33"/>
      <c r="L1604" s="33"/>
      <c r="X1604" s="22"/>
      <c r="Y1604" s="22"/>
      <c r="Z1604" s="22"/>
      <c r="AA1604" s="22"/>
      <c r="AF1604" s="22"/>
      <c r="AG1604" s="22"/>
      <c r="AH1604" s="22"/>
      <c r="AI1604" s="22"/>
      <c r="AN1604" s="22"/>
      <c r="AO1604" s="22"/>
      <c r="AP1604" s="22"/>
      <c r="AQ1604" s="22"/>
      <c r="AR1604" s="35"/>
      <c r="AS1604" s="35"/>
      <c r="AT1604" s="35"/>
      <c r="AU1604" s="31"/>
      <c r="AV1604" s="36"/>
      <c r="AW1604" s="36"/>
    </row>
    <row r="1605" spans="4:49">
      <c r="D1605" s="31"/>
      <c r="E1605" s="31"/>
      <c r="F1605" s="31"/>
      <c r="G1605" s="31"/>
      <c r="H1605" s="32"/>
      <c r="J1605" s="33"/>
      <c r="K1605" s="33"/>
      <c r="L1605" s="33"/>
      <c r="X1605" s="22"/>
      <c r="Y1605" s="22"/>
      <c r="Z1605" s="22"/>
      <c r="AA1605" s="22"/>
      <c r="AF1605" s="22"/>
      <c r="AG1605" s="22"/>
      <c r="AH1605" s="22"/>
      <c r="AI1605" s="22"/>
      <c r="AN1605" s="22"/>
      <c r="AO1605" s="22"/>
      <c r="AP1605" s="22"/>
      <c r="AQ1605" s="22"/>
      <c r="AR1605" s="35"/>
      <c r="AS1605" s="35"/>
      <c r="AT1605" s="35"/>
      <c r="AU1605" s="31"/>
      <c r="AV1605" s="36"/>
      <c r="AW1605" s="36"/>
    </row>
    <row r="1606" spans="4:49">
      <c r="D1606" s="31"/>
      <c r="E1606" s="31"/>
      <c r="F1606" s="31"/>
      <c r="G1606" s="31"/>
      <c r="H1606" s="32"/>
      <c r="J1606" s="33"/>
      <c r="K1606" s="33"/>
      <c r="L1606" s="33"/>
      <c r="X1606" s="22"/>
      <c r="Y1606" s="22"/>
      <c r="Z1606" s="22"/>
      <c r="AA1606" s="22"/>
      <c r="AF1606" s="22"/>
      <c r="AG1606" s="22"/>
      <c r="AH1606" s="22"/>
      <c r="AI1606" s="22"/>
      <c r="AN1606" s="22"/>
      <c r="AO1606" s="22"/>
      <c r="AP1606" s="22"/>
      <c r="AQ1606" s="22"/>
      <c r="AR1606" s="35"/>
      <c r="AS1606" s="35"/>
      <c r="AT1606" s="35"/>
      <c r="AU1606" s="31"/>
      <c r="AV1606" s="36"/>
      <c r="AW1606" s="36"/>
    </row>
    <row r="1607" spans="4:49">
      <c r="D1607" s="31"/>
      <c r="E1607" s="31"/>
      <c r="F1607" s="31"/>
      <c r="G1607" s="31"/>
      <c r="H1607" s="32"/>
      <c r="J1607" s="33"/>
      <c r="K1607" s="33"/>
      <c r="L1607" s="33"/>
      <c r="X1607" s="22"/>
      <c r="Y1607" s="22"/>
      <c r="Z1607" s="22"/>
      <c r="AA1607" s="22"/>
      <c r="AF1607" s="22"/>
      <c r="AG1607" s="22"/>
      <c r="AH1607" s="22"/>
      <c r="AI1607" s="22"/>
      <c r="AN1607" s="22"/>
      <c r="AO1607" s="22"/>
      <c r="AP1607" s="22"/>
      <c r="AQ1607" s="22"/>
      <c r="AR1607" s="35"/>
      <c r="AS1607" s="35"/>
      <c r="AT1607" s="35"/>
      <c r="AU1607" s="31"/>
      <c r="AV1607" s="36"/>
      <c r="AW1607" s="36"/>
    </row>
    <row r="1608" spans="4:49">
      <c r="D1608" s="31"/>
      <c r="E1608" s="31"/>
      <c r="F1608" s="31"/>
      <c r="G1608" s="31"/>
      <c r="H1608" s="32"/>
      <c r="J1608" s="33"/>
      <c r="K1608" s="33"/>
      <c r="L1608" s="33"/>
      <c r="X1608" s="22"/>
      <c r="Y1608" s="22"/>
      <c r="Z1608" s="22"/>
      <c r="AA1608" s="22"/>
      <c r="AF1608" s="22"/>
      <c r="AG1608" s="22"/>
      <c r="AH1608" s="22"/>
      <c r="AI1608" s="22"/>
      <c r="AN1608" s="22"/>
      <c r="AO1608" s="22"/>
      <c r="AP1608" s="22"/>
      <c r="AQ1608" s="22"/>
      <c r="AR1608" s="35"/>
      <c r="AS1608" s="35"/>
      <c r="AT1608" s="35"/>
      <c r="AU1608" s="31"/>
      <c r="AV1608" s="36"/>
      <c r="AW1608" s="36"/>
    </row>
    <row r="1609" spans="4:49">
      <c r="D1609" s="31"/>
      <c r="E1609" s="31"/>
      <c r="F1609" s="31"/>
      <c r="G1609" s="31"/>
      <c r="H1609" s="32"/>
      <c r="J1609" s="33"/>
      <c r="K1609" s="33"/>
      <c r="L1609" s="33"/>
      <c r="X1609" s="22"/>
      <c r="Y1609" s="22"/>
      <c r="Z1609" s="22"/>
      <c r="AA1609" s="22"/>
      <c r="AF1609" s="22"/>
      <c r="AG1609" s="22"/>
      <c r="AH1609" s="22"/>
      <c r="AI1609" s="22"/>
      <c r="AN1609" s="22"/>
      <c r="AO1609" s="22"/>
      <c r="AP1609" s="22"/>
      <c r="AQ1609" s="22"/>
      <c r="AR1609" s="35"/>
      <c r="AS1609" s="35"/>
      <c r="AT1609" s="35"/>
      <c r="AU1609" s="31"/>
      <c r="AV1609" s="36"/>
      <c r="AW1609" s="36"/>
    </row>
    <row r="1610" spans="4:49">
      <c r="D1610" s="31"/>
      <c r="E1610" s="31"/>
      <c r="F1610" s="31"/>
      <c r="G1610" s="31"/>
      <c r="H1610" s="32"/>
      <c r="J1610" s="33"/>
      <c r="K1610" s="33"/>
      <c r="L1610" s="33"/>
      <c r="X1610" s="22"/>
      <c r="Y1610" s="22"/>
      <c r="Z1610" s="22"/>
      <c r="AA1610" s="22"/>
      <c r="AF1610" s="22"/>
      <c r="AG1610" s="22"/>
      <c r="AH1610" s="22"/>
      <c r="AI1610" s="22"/>
      <c r="AN1610" s="22"/>
      <c r="AO1610" s="22"/>
      <c r="AP1610" s="22"/>
      <c r="AQ1610" s="22"/>
      <c r="AR1610" s="35"/>
      <c r="AS1610" s="35"/>
      <c r="AT1610" s="35"/>
      <c r="AU1610" s="31"/>
      <c r="AV1610" s="36"/>
      <c r="AW1610" s="36"/>
    </row>
    <row r="1611" spans="4:49">
      <c r="D1611" s="31"/>
      <c r="E1611" s="31"/>
      <c r="F1611" s="31"/>
      <c r="G1611" s="31"/>
      <c r="H1611" s="32"/>
      <c r="J1611" s="33"/>
      <c r="K1611" s="33"/>
      <c r="L1611" s="33"/>
      <c r="X1611" s="22"/>
      <c r="Y1611" s="22"/>
      <c r="Z1611" s="22"/>
      <c r="AA1611" s="22"/>
      <c r="AF1611" s="22"/>
      <c r="AG1611" s="22"/>
      <c r="AH1611" s="22"/>
      <c r="AI1611" s="22"/>
      <c r="AN1611" s="22"/>
      <c r="AO1611" s="22"/>
      <c r="AP1611" s="22"/>
      <c r="AQ1611" s="22"/>
      <c r="AR1611" s="35"/>
      <c r="AS1611" s="35"/>
      <c r="AT1611" s="35"/>
      <c r="AU1611" s="31"/>
      <c r="AV1611" s="36"/>
      <c r="AW1611" s="36"/>
    </row>
    <row r="1612" spans="4:49">
      <c r="D1612" s="31"/>
      <c r="E1612" s="31"/>
      <c r="F1612" s="31"/>
      <c r="G1612" s="31"/>
      <c r="H1612" s="32"/>
      <c r="J1612" s="33"/>
      <c r="K1612" s="33"/>
      <c r="L1612" s="33"/>
      <c r="X1612" s="22"/>
      <c r="Y1612" s="22"/>
      <c r="Z1612" s="22"/>
      <c r="AA1612" s="22"/>
      <c r="AF1612" s="22"/>
      <c r="AG1612" s="22"/>
      <c r="AH1612" s="22"/>
      <c r="AI1612" s="22"/>
      <c r="AN1612" s="22"/>
      <c r="AO1612" s="22"/>
      <c r="AP1612" s="22"/>
      <c r="AQ1612" s="22"/>
      <c r="AR1612" s="35"/>
      <c r="AS1612" s="35"/>
      <c r="AT1612" s="35"/>
      <c r="AU1612" s="31"/>
      <c r="AV1612" s="36"/>
      <c r="AW1612" s="36"/>
    </row>
    <row r="1613" spans="4:49">
      <c r="D1613" s="31"/>
      <c r="E1613" s="31"/>
      <c r="F1613" s="31"/>
      <c r="G1613" s="31"/>
      <c r="H1613" s="32"/>
      <c r="J1613" s="33"/>
      <c r="K1613" s="33"/>
      <c r="L1613" s="33"/>
      <c r="X1613" s="22"/>
      <c r="Y1613" s="22"/>
      <c r="Z1613" s="22"/>
      <c r="AA1613" s="22"/>
      <c r="AF1613" s="22"/>
      <c r="AG1613" s="22"/>
      <c r="AH1613" s="22"/>
      <c r="AI1613" s="22"/>
      <c r="AN1613" s="22"/>
      <c r="AO1613" s="22"/>
      <c r="AP1613" s="22"/>
      <c r="AQ1613" s="22"/>
      <c r="AR1613" s="35"/>
      <c r="AS1613" s="35"/>
      <c r="AT1613" s="35"/>
      <c r="AU1613" s="31"/>
      <c r="AV1613" s="36"/>
      <c r="AW1613" s="36"/>
    </row>
    <row r="1614" spans="4:49">
      <c r="D1614" s="31"/>
      <c r="E1614" s="31"/>
      <c r="F1614" s="31"/>
      <c r="G1614" s="31"/>
      <c r="H1614" s="32"/>
      <c r="J1614" s="33"/>
      <c r="K1614" s="33"/>
      <c r="L1614" s="33"/>
      <c r="X1614" s="22"/>
      <c r="Y1614" s="22"/>
      <c r="Z1614" s="22"/>
      <c r="AA1614" s="22"/>
      <c r="AF1614" s="22"/>
      <c r="AG1614" s="22"/>
      <c r="AH1614" s="22"/>
      <c r="AI1614" s="22"/>
      <c r="AN1614" s="22"/>
      <c r="AO1614" s="22"/>
      <c r="AP1614" s="22"/>
      <c r="AQ1614" s="22"/>
      <c r="AR1614" s="35"/>
      <c r="AS1614" s="35"/>
      <c r="AT1614" s="35"/>
      <c r="AU1614" s="31"/>
      <c r="AV1614" s="36"/>
      <c r="AW1614" s="36"/>
    </row>
    <row r="1615" spans="4:49">
      <c r="D1615" s="31"/>
      <c r="E1615" s="31"/>
      <c r="F1615" s="31"/>
      <c r="G1615" s="31"/>
      <c r="H1615" s="32"/>
      <c r="J1615" s="33"/>
      <c r="K1615" s="33"/>
      <c r="L1615" s="33"/>
      <c r="X1615" s="22"/>
      <c r="Y1615" s="22"/>
      <c r="Z1615" s="22"/>
      <c r="AA1615" s="22"/>
      <c r="AF1615" s="22"/>
      <c r="AG1615" s="22"/>
      <c r="AH1615" s="22"/>
      <c r="AI1615" s="22"/>
      <c r="AN1615" s="22"/>
      <c r="AO1615" s="22"/>
      <c r="AP1615" s="22"/>
      <c r="AQ1615" s="22"/>
      <c r="AR1615" s="35"/>
      <c r="AS1615" s="35"/>
      <c r="AT1615" s="35"/>
      <c r="AU1615" s="31"/>
      <c r="AV1615" s="36"/>
      <c r="AW1615" s="36"/>
    </row>
    <row r="1616" spans="4:49">
      <c r="D1616" s="31"/>
      <c r="E1616" s="31"/>
      <c r="F1616" s="31"/>
      <c r="G1616" s="31"/>
      <c r="H1616" s="32"/>
      <c r="J1616" s="33"/>
      <c r="K1616" s="33"/>
      <c r="L1616" s="33"/>
      <c r="X1616" s="22"/>
      <c r="Y1616" s="22"/>
      <c r="Z1616" s="22"/>
      <c r="AA1616" s="22"/>
      <c r="AF1616" s="22"/>
      <c r="AG1616" s="22"/>
      <c r="AH1616" s="22"/>
      <c r="AI1616" s="22"/>
      <c r="AN1616" s="22"/>
      <c r="AO1616" s="22"/>
      <c r="AP1616" s="22"/>
      <c r="AQ1616" s="22"/>
      <c r="AR1616" s="35"/>
      <c r="AS1616" s="35"/>
      <c r="AT1616" s="35"/>
      <c r="AU1616" s="31"/>
      <c r="AV1616" s="36"/>
      <c r="AW1616" s="36"/>
    </row>
    <row r="1617" spans="4:49">
      <c r="D1617" s="31"/>
      <c r="E1617" s="31"/>
      <c r="F1617" s="31"/>
      <c r="G1617" s="31"/>
      <c r="H1617" s="32"/>
      <c r="J1617" s="33"/>
      <c r="K1617" s="33"/>
      <c r="L1617" s="33"/>
      <c r="X1617" s="22"/>
      <c r="Y1617" s="22"/>
      <c r="Z1617" s="22"/>
      <c r="AA1617" s="22"/>
      <c r="AF1617" s="22"/>
      <c r="AG1617" s="22"/>
      <c r="AH1617" s="22"/>
      <c r="AI1617" s="22"/>
      <c r="AN1617" s="22"/>
      <c r="AO1617" s="22"/>
      <c r="AP1617" s="22"/>
      <c r="AQ1617" s="22"/>
      <c r="AR1617" s="35"/>
      <c r="AS1617" s="35"/>
      <c r="AT1617" s="35"/>
      <c r="AU1617" s="31"/>
      <c r="AV1617" s="36"/>
      <c r="AW1617" s="36"/>
    </row>
    <row r="1618" spans="4:49">
      <c r="D1618" s="31"/>
      <c r="E1618" s="31"/>
      <c r="F1618" s="31"/>
      <c r="G1618" s="31"/>
      <c r="H1618" s="32"/>
      <c r="J1618" s="33"/>
      <c r="K1618" s="33"/>
      <c r="L1618" s="33"/>
      <c r="X1618" s="22"/>
      <c r="Y1618" s="22"/>
      <c r="Z1618" s="22"/>
      <c r="AA1618" s="22"/>
      <c r="AF1618" s="22"/>
      <c r="AG1618" s="22"/>
      <c r="AH1618" s="22"/>
      <c r="AI1618" s="22"/>
      <c r="AN1618" s="22"/>
      <c r="AO1618" s="22"/>
      <c r="AP1618" s="22"/>
      <c r="AQ1618" s="22"/>
      <c r="AR1618" s="35"/>
      <c r="AS1618" s="35"/>
      <c r="AT1618" s="35"/>
      <c r="AU1618" s="31"/>
      <c r="AV1618" s="36"/>
      <c r="AW1618" s="36"/>
    </row>
    <row r="1619" spans="4:49">
      <c r="D1619" s="31"/>
      <c r="E1619" s="31"/>
      <c r="F1619" s="31"/>
      <c r="G1619" s="31"/>
      <c r="H1619" s="32"/>
      <c r="J1619" s="33"/>
      <c r="K1619" s="33"/>
      <c r="L1619" s="33"/>
      <c r="X1619" s="22"/>
      <c r="Y1619" s="22"/>
      <c r="Z1619" s="22"/>
      <c r="AA1619" s="22"/>
      <c r="AF1619" s="22"/>
      <c r="AG1619" s="22"/>
      <c r="AH1619" s="22"/>
      <c r="AI1619" s="22"/>
      <c r="AN1619" s="22"/>
      <c r="AO1619" s="22"/>
      <c r="AP1619" s="22"/>
      <c r="AQ1619" s="22"/>
      <c r="AR1619" s="35"/>
      <c r="AS1619" s="35"/>
      <c r="AT1619" s="35"/>
      <c r="AU1619" s="31"/>
      <c r="AV1619" s="36"/>
      <c r="AW1619" s="36"/>
    </row>
    <row r="1620" spans="4:49">
      <c r="D1620" s="31"/>
      <c r="E1620" s="31"/>
      <c r="F1620" s="31"/>
      <c r="G1620" s="31"/>
      <c r="H1620" s="32"/>
      <c r="J1620" s="33"/>
      <c r="K1620" s="33"/>
      <c r="L1620" s="33"/>
      <c r="X1620" s="22"/>
      <c r="Y1620" s="22"/>
      <c r="Z1620" s="22"/>
      <c r="AA1620" s="22"/>
      <c r="AF1620" s="22"/>
      <c r="AG1620" s="22"/>
      <c r="AH1620" s="22"/>
      <c r="AI1620" s="22"/>
      <c r="AN1620" s="22"/>
      <c r="AO1620" s="22"/>
      <c r="AP1620" s="22"/>
      <c r="AQ1620" s="22"/>
      <c r="AR1620" s="35"/>
      <c r="AS1620" s="35"/>
      <c r="AT1620" s="35"/>
      <c r="AU1620" s="31"/>
      <c r="AV1620" s="36"/>
      <c r="AW1620" s="36"/>
    </row>
    <row r="1621" spans="4:49">
      <c r="D1621" s="31"/>
      <c r="E1621" s="31"/>
      <c r="F1621" s="31"/>
      <c r="G1621" s="31"/>
      <c r="H1621" s="32"/>
      <c r="J1621" s="33"/>
      <c r="K1621" s="33"/>
      <c r="L1621" s="33"/>
      <c r="X1621" s="22"/>
      <c r="Y1621" s="22"/>
      <c r="Z1621" s="22"/>
      <c r="AA1621" s="22"/>
      <c r="AF1621" s="22"/>
      <c r="AG1621" s="22"/>
      <c r="AH1621" s="22"/>
      <c r="AI1621" s="22"/>
      <c r="AN1621" s="22"/>
      <c r="AO1621" s="22"/>
      <c r="AP1621" s="22"/>
      <c r="AQ1621" s="22"/>
      <c r="AR1621" s="35"/>
      <c r="AS1621" s="35"/>
      <c r="AT1621" s="35"/>
      <c r="AU1621" s="31"/>
      <c r="AV1621" s="36"/>
      <c r="AW1621" s="36"/>
    </row>
    <row r="1622" spans="4:49">
      <c r="D1622" s="31"/>
      <c r="E1622" s="31"/>
      <c r="F1622" s="31"/>
      <c r="G1622" s="31"/>
      <c r="H1622" s="32"/>
      <c r="J1622" s="33"/>
      <c r="K1622" s="33"/>
      <c r="L1622" s="33"/>
      <c r="X1622" s="22"/>
      <c r="Y1622" s="22"/>
      <c r="Z1622" s="22"/>
      <c r="AA1622" s="22"/>
      <c r="AF1622" s="22"/>
      <c r="AG1622" s="22"/>
      <c r="AH1622" s="22"/>
      <c r="AI1622" s="22"/>
      <c r="AN1622" s="22"/>
      <c r="AO1622" s="22"/>
      <c r="AP1622" s="22"/>
      <c r="AQ1622" s="22"/>
      <c r="AR1622" s="35"/>
      <c r="AS1622" s="35"/>
      <c r="AT1622" s="35"/>
      <c r="AU1622" s="31"/>
      <c r="AV1622" s="36"/>
      <c r="AW1622" s="36"/>
    </row>
    <row r="1623" spans="4:49">
      <c r="D1623" s="31"/>
      <c r="E1623" s="31"/>
      <c r="F1623" s="31"/>
      <c r="G1623" s="31"/>
      <c r="H1623" s="32"/>
      <c r="J1623" s="33"/>
      <c r="K1623" s="33"/>
      <c r="L1623" s="33"/>
      <c r="X1623" s="22"/>
      <c r="Y1623" s="22"/>
      <c r="Z1623" s="22"/>
      <c r="AA1623" s="22"/>
      <c r="AF1623" s="22"/>
      <c r="AG1623" s="22"/>
      <c r="AH1623" s="22"/>
      <c r="AI1623" s="22"/>
      <c r="AN1623" s="22"/>
      <c r="AO1623" s="22"/>
      <c r="AP1623" s="22"/>
      <c r="AQ1623" s="22"/>
      <c r="AR1623" s="35"/>
      <c r="AS1623" s="35"/>
      <c r="AT1623" s="35"/>
      <c r="AU1623" s="31"/>
      <c r="AV1623" s="36"/>
      <c r="AW1623" s="36"/>
    </row>
    <row r="1624" spans="4:49">
      <c r="D1624" s="31"/>
      <c r="E1624" s="31"/>
      <c r="F1624" s="31"/>
      <c r="G1624" s="31"/>
      <c r="H1624" s="32"/>
      <c r="J1624" s="33"/>
      <c r="K1624" s="33"/>
      <c r="L1624" s="33"/>
      <c r="X1624" s="22"/>
      <c r="Y1624" s="22"/>
      <c r="Z1624" s="22"/>
      <c r="AA1624" s="22"/>
      <c r="AF1624" s="22"/>
      <c r="AG1624" s="22"/>
      <c r="AH1624" s="22"/>
      <c r="AI1624" s="22"/>
      <c r="AN1624" s="22"/>
      <c r="AO1624" s="22"/>
      <c r="AP1624" s="22"/>
      <c r="AQ1624" s="22"/>
      <c r="AR1624" s="35"/>
      <c r="AS1624" s="35"/>
      <c r="AT1624" s="35"/>
      <c r="AU1624" s="31"/>
      <c r="AV1624" s="36"/>
      <c r="AW1624" s="36"/>
    </row>
    <row r="1625" spans="4:49">
      <c r="D1625" s="31"/>
      <c r="E1625" s="31"/>
      <c r="F1625" s="31"/>
      <c r="G1625" s="31"/>
      <c r="H1625" s="32"/>
      <c r="J1625" s="33"/>
      <c r="K1625" s="33"/>
      <c r="L1625" s="33"/>
      <c r="X1625" s="22"/>
      <c r="Y1625" s="22"/>
      <c r="Z1625" s="22"/>
      <c r="AA1625" s="22"/>
      <c r="AF1625" s="22"/>
      <c r="AG1625" s="22"/>
      <c r="AH1625" s="22"/>
      <c r="AI1625" s="22"/>
      <c r="AN1625" s="22"/>
      <c r="AO1625" s="22"/>
      <c r="AP1625" s="22"/>
      <c r="AQ1625" s="22"/>
      <c r="AR1625" s="35"/>
      <c r="AS1625" s="35"/>
      <c r="AT1625" s="35"/>
      <c r="AU1625" s="31"/>
      <c r="AV1625" s="36"/>
      <c r="AW1625" s="36"/>
    </row>
    <row r="1626" spans="4:49">
      <c r="D1626" s="31"/>
      <c r="E1626" s="31"/>
      <c r="F1626" s="31"/>
      <c r="G1626" s="31"/>
      <c r="H1626" s="32"/>
      <c r="J1626" s="33"/>
      <c r="K1626" s="33"/>
      <c r="L1626" s="33"/>
      <c r="X1626" s="22"/>
      <c r="Y1626" s="22"/>
      <c r="Z1626" s="22"/>
      <c r="AA1626" s="22"/>
      <c r="AF1626" s="22"/>
      <c r="AG1626" s="22"/>
      <c r="AH1626" s="22"/>
      <c r="AI1626" s="22"/>
      <c r="AN1626" s="22"/>
      <c r="AO1626" s="22"/>
      <c r="AP1626" s="22"/>
      <c r="AQ1626" s="22"/>
      <c r="AR1626" s="35"/>
      <c r="AS1626" s="35"/>
      <c r="AT1626" s="35"/>
      <c r="AU1626" s="31"/>
      <c r="AV1626" s="36"/>
      <c r="AW1626" s="36"/>
    </row>
    <row r="1627" spans="4:49">
      <c r="D1627" s="31"/>
      <c r="E1627" s="31"/>
      <c r="F1627" s="31"/>
      <c r="G1627" s="31"/>
      <c r="H1627" s="32"/>
      <c r="J1627" s="33"/>
      <c r="K1627" s="33"/>
      <c r="L1627" s="33"/>
      <c r="X1627" s="22"/>
      <c r="Y1627" s="22"/>
      <c r="Z1627" s="22"/>
      <c r="AA1627" s="22"/>
      <c r="AF1627" s="22"/>
      <c r="AG1627" s="22"/>
      <c r="AH1627" s="22"/>
      <c r="AI1627" s="22"/>
      <c r="AN1627" s="22"/>
      <c r="AO1627" s="22"/>
      <c r="AP1627" s="22"/>
      <c r="AQ1627" s="22"/>
      <c r="AR1627" s="35"/>
      <c r="AS1627" s="35"/>
      <c r="AT1627" s="35"/>
      <c r="AU1627" s="31"/>
      <c r="AV1627" s="36"/>
      <c r="AW1627" s="36"/>
    </row>
    <row r="1628" spans="4:49">
      <c r="D1628" s="31"/>
      <c r="E1628" s="31"/>
      <c r="F1628" s="31"/>
      <c r="G1628" s="31"/>
      <c r="H1628" s="32"/>
      <c r="J1628" s="33"/>
      <c r="K1628" s="33"/>
      <c r="L1628" s="33"/>
      <c r="X1628" s="22"/>
      <c r="Y1628" s="22"/>
      <c r="Z1628" s="22"/>
      <c r="AA1628" s="22"/>
      <c r="AF1628" s="22"/>
      <c r="AG1628" s="22"/>
      <c r="AH1628" s="22"/>
      <c r="AI1628" s="22"/>
      <c r="AN1628" s="22"/>
      <c r="AO1628" s="22"/>
      <c r="AP1628" s="22"/>
      <c r="AQ1628" s="22"/>
      <c r="AR1628" s="35"/>
      <c r="AS1628" s="35"/>
      <c r="AT1628" s="35"/>
      <c r="AU1628" s="31"/>
      <c r="AV1628" s="36"/>
      <c r="AW1628" s="36"/>
    </row>
    <row r="1629" spans="4:49">
      <c r="D1629" s="31"/>
      <c r="E1629" s="31"/>
      <c r="F1629" s="31"/>
      <c r="G1629" s="31"/>
      <c r="H1629" s="32"/>
      <c r="J1629" s="33"/>
      <c r="K1629" s="33"/>
      <c r="L1629" s="33"/>
      <c r="X1629" s="22"/>
      <c r="Y1629" s="22"/>
      <c r="Z1629" s="22"/>
      <c r="AA1629" s="22"/>
      <c r="AF1629" s="22"/>
      <c r="AG1629" s="22"/>
      <c r="AH1629" s="22"/>
      <c r="AI1629" s="22"/>
      <c r="AN1629" s="22"/>
      <c r="AO1629" s="22"/>
      <c r="AP1629" s="22"/>
      <c r="AQ1629" s="22"/>
      <c r="AR1629" s="35"/>
      <c r="AS1629" s="35"/>
      <c r="AT1629" s="35"/>
      <c r="AU1629" s="31"/>
      <c r="AV1629" s="36"/>
      <c r="AW1629" s="36"/>
    </row>
    <row r="1630" spans="4:49">
      <c r="D1630" s="31"/>
      <c r="E1630" s="31"/>
      <c r="F1630" s="31"/>
      <c r="G1630" s="31"/>
      <c r="H1630" s="32"/>
      <c r="J1630" s="33"/>
      <c r="K1630" s="33"/>
      <c r="L1630" s="33"/>
      <c r="X1630" s="22"/>
      <c r="Y1630" s="22"/>
      <c r="Z1630" s="22"/>
      <c r="AA1630" s="22"/>
      <c r="AF1630" s="22"/>
      <c r="AG1630" s="22"/>
      <c r="AH1630" s="22"/>
      <c r="AI1630" s="22"/>
      <c r="AN1630" s="22"/>
      <c r="AO1630" s="22"/>
      <c r="AP1630" s="22"/>
      <c r="AQ1630" s="22"/>
      <c r="AR1630" s="35"/>
      <c r="AS1630" s="35"/>
      <c r="AT1630" s="35"/>
      <c r="AU1630" s="31"/>
      <c r="AV1630" s="36"/>
      <c r="AW1630" s="36"/>
    </row>
    <row r="1631" spans="4:49">
      <c r="D1631" s="31"/>
      <c r="E1631" s="31"/>
      <c r="F1631" s="31"/>
      <c r="G1631" s="31"/>
      <c r="H1631" s="32"/>
      <c r="J1631" s="33"/>
      <c r="K1631" s="33"/>
      <c r="L1631" s="33"/>
      <c r="X1631" s="22"/>
      <c r="Y1631" s="22"/>
      <c r="Z1631" s="22"/>
      <c r="AA1631" s="22"/>
      <c r="AF1631" s="22"/>
      <c r="AG1631" s="22"/>
      <c r="AH1631" s="22"/>
      <c r="AI1631" s="22"/>
      <c r="AN1631" s="22"/>
      <c r="AO1631" s="22"/>
      <c r="AP1631" s="22"/>
      <c r="AQ1631" s="22"/>
      <c r="AR1631" s="35"/>
      <c r="AS1631" s="35"/>
      <c r="AT1631" s="35"/>
      <c r="AU1631" s="31"/>
      <c r="AV1631" s="36"/>
      <c r="AW1631" s="36"/>
    </row>
    <row r="1632" spans="4:49">
      <c r="D1632" s="31"/>
      <c r="E1632" s="31"/>
      <c r="F1632" s="31"/>
      <c r="G1632" s="31"/>
      <c r="H1632" s="32"/>
      <c r="J1632" s="33"/>
      <c r="K1632" s="33"/>
      <c r="L1632" s="33"/>
      <c r="X1632" s="22"/>
      <c r="Y1632" s="22"/>
      <c r="Z1632" s="22"/>
      <c r="AA1632" s="22"/>
      <c r="AF1632" s="22"/>
      <c r="AG1632" s="22"/>
      <c r="AH1632" s="22"/>
      <c r="AI1632" s="22"/>
      <c r="AN1632" s="22"/>
      <c r="AO1632" s="22"/>
      <c r="AP1632" s="22"/>
      <c r="AQ1632" s="22"/>
      <c r="AR1632" s="35"/>
      <c r="AS1632" s="35"/>
      <c r="AT1632" s="35"/>
      <c r="AU1632" s="31"/>
      <c r="AV1632" s="36"/>
      <c r="AW1632" s="36"/>
    </row>
    <row r="1633" spans="4:49">
      <c r="D1633" s="31"/>
      <c r="E1633" s="31"/>
      <c r="F1633" s="31"/>
      <c r="G1633" s="31"/>
      <c r="H1633" s="32"/>
      <c r="J1633" s="33"/>
      <c r="K1633" s="33"/>
      <c r="L1633" s="33"/>
      <c r="X1633" s="22"/>
      <c r="Y1633" s="22"/>
      <c r="Z1633" s="22"/>
      <c r="AA1633" s="22"/>
      <c r="AF1633" s="22"/>
      <c r="AG1633" s="22"/>
      <c r="AH1633" s="22"/>
      <c r="AI1633" s="22"/>
      <c r="AN1633" s="22"/>
      <c r="AO1633" s="22"/>
      <c r="AP1633" s="22"/>
      <c r="AQ1633" s="22"/>
      <c r="AR1633" s="35"/>
      <c r="AS1633" s="35"/>
      <c r="AT1633" s="35"/>
      <c r="AU1633" s="31"/>
      <c r="AV1633" s="36"/>
      <c r="AW1633" s="36"/>
    </row>
    <row r="1634" spans="4:49">
      <c r="D1634" s="31"/>
      <c r="E1634" s="31"/>
      <c r="F1634" s="31"/>
      <c r="G1634" s="31"/>
      <c r="H1634" s="32"/>
      <c r="J1634" s="33"/>
      <c r="K1634" s="33"/>
      <c r="L1634" s="33"/>
      <c r="X1634" s="22"/>
      <c r="Y1634" s="22"/>
      <c r="Z1634" s="22"/>
      <c r="AA1634" s="22"/>
      <c r="AF1634" s="22"/>
      <c r="AG1634" s="22"/>
      <c r="AH1634" s="22"/>
      <c r="AI1634" s="22"/>
      <c r="AN1634" s="22"/>
      <c r="AO1634" s="22"/>
      <c r="AP1634" s="22"/>
      <c r="AQ1634" s="22"/>
      <c r="AR1634" s="35"/>
      <c r="AS1634" s="35"/>
      <c r="AT1634" s="35"/>
      <c r="AU1634" s="31"/>
      <c r="AV1634" s="36"/>
      <c r="AW1634" s="36"/>
    </row>
    <row r="1635" spans="4:49">
      <c r="D1635" s="31"/>
      <c r="E1635" s="31"/>
      <c r="F1635" s="31"/>
      <c r="G1635" s="31"/>
      <c r="H1635" s="32"/>
      <c r="J1635" s="33"/>
      <c r="K1635" s="33"/>
      <c r="L1635" s="33"/>
      <c r="X1635" s="22"/>
      <c r="Y1635" s="22"/>
      <c r="Z1635" s="22"/>
      <c r="AA1635" s="22"/>
      <c r="AF1635" s="22"/>
      <c r="AG1635" s="22"/>
      <c r="AH1635" s="22"/>
      <c r="AI1635" s="22"/>
      <c r="AN1635" s="22"/>
      <c r="AO1635" s="22"/>
      <c r="AP1635" s="22"/>
      <c r="AQ1635" s="22"/>
      <c r="AR1635" s="35"/>
      <c r="AS1635" s="35"/>
      <c r="AT1635" s="35"/>
      <c r="AU1635" s="31"/>
      <c r="AV1635" s="36"/>
      <c r="AW1635" s="36"/>
    </row>
    <row r="1636" spans="4:49">
      <c r="D1636" s="31"/>
      <c r="E1636" s="31"/>
      <c r="F1636" s="31"/>
      <c r="G1636" s="31"/>
      <c r="H1636" s="32"/>
      <c r="J1636" s="33"/>
      <c r="K1636" s="33"/>
      <c r="L1636" s="33"/>
      <c r="X1636" s="22"/>
      <c r="Y1636" s="22"/>
      <c r="Z1636" s="22"/>
      <c r="AA1636" s="22"/>
      <c r="AF1636" s="22"/>
      <c r="AG1636" s="22"/>
      <c r="AH1636" s="22"/>
      <c r="AI1636" s="22"/>
      <c r="AN1636" s="22"/>
      <c r="AO1636" s="22"/>
      <c r="AP1636" s="22"/>
      <c r="AQ1636" s="22"/>
      <c r="AR1636" s="35"/>
      <c r="AS1636" s="35"/>
      <c r="AT1636" s="35"/>
      <c r="AU1636" s="31"/>
      <c r="AV1636" s="36"/>
      <c r="AW1636" s="36"/>
    </row>
    <row r="1637" spans="4:49">
      <c r="D1637" s="31"/>
      <c r="E1637" s="31"/>
      <c r="F1637" s="31"/>
      <c r="G1637" s="31"/>
      <c r="H1637" s="32"/>
      <c r="J1637" s="33"/>
      <c r="K1637" s="33"/>
      <c r="L1637" s="33"/>
      <c r="X1637" s="22"/>
      <c r="Y1637" s="22"/>
      <c r="Z1637" s="22"/>
      <c r="AA1637" s="22"/>
      <c r="AF1637" s="22"/>
      <c r="AG1637" s="22"/>
      <c r="AH1637" s="22"/>
      <c r="AI1637" s="22"/>
      <c r="AN1637" s="22"/>
      <c r="AO1637" s="22"/>
      <c r="AP1637" s="22"/>
      <c r="AQ1637" s="22"/>
      <c r="AR1637" s="35"/>
      <c r="AS1637" s="35"/>
      <c r="AT1637" s="35"/>
      <c r="AU1637" s="31"/>
      <c r="AV1637" s="36"/>
      <c r="AW1637" s="36"/>
    </row>
    <row r="1638" spans="4:49">
      <c r="D1638" s="31"/>
      <c r="E1638" s="31"/>
      <c r="F1638" s="31"/>
      <c r="G1638" s="31"/>
      <c r="H1638" s="32"/>
      <c r="J1638" s="33"/>
      <c r="K1638" s="33"/>
      <c r="L1638" s="33"/>
      <c r="X1638" s="22"/>
      <c r="Y1638" s="22"/>
      <c r="Z1638" s="22"/>
      <c r="AA1638" s="22"/>
      <c r="AF1638" s="22"/>
      <c r="AG1638" s="22"/>
      <c r="AH1638" s="22"/>
      <c r="AI1638" s="22"/>
      <c r="AN1638" s="22"/>
      <c r="AO1638" s="22"/>
      <c r="AP1638" s="22"/>
      <c r="AQ1638" s="22"/>
      <c r="AR1638" s="35"/>
      <c r="AS1638" s="35"/>
      <c r="AT1638" s="35"/>
      <c r="AU1638" s="31"/>
      <c r="AV1638" s="36"/>
      <c r="AW1638" s="36"/>
    </row>
    <row r="1639" spans="4:49">
      <c r="D1639" s="31"/>
      <c r="E1639" s="31"/>
      <c r="F1639" s="31"/>
      <c r="G1639" s="31"/>
      <c r="H1639" s="32"/>
      <c r="J1639" s="33"/>
      <c r="K1639" s="33"/>
      <c r="L1639" s="33"/>
      <c r="X1639" s="22"/>
      <c r="Y1639" s="22"/>
      <c r="Z1639" s="22"/>
      <c r="AA1639" s="22"/>
      <c r="AF1639" s="22"/>
      <c r="AG1639" s="22"/>
      <c r="AH1639" s="22"/>
      <c r="AI1639" s="22"/>
      <c r="AN1639" s="22"/>
      <c r="AO1639" s="22"/>
      <c r="AP1639" s="22"/>
      <c r="AQ1639" s="22"/>
      <c r="AR1639" s="35"/>
      <c r="AS1639" s="35"/>
      <c r="AT1639" s="35"/>
      <c r="AU1639" s="31"/>
      <c r="AV1639" s="36"/>
      <c r="AW1639" s="36"/>
    </row>
    <row r="1640" spans="4:49">
      <c r="D1640" s="31"/>
      <c r="E1640" s="31"/>
      <c r="F1640" s="31"/>
      <c r="G1640" s="31"/>
      <c r="H1640" s="32"/>
      <c r="J1640" s="33"/>
      <c r="K1640" s="33"/>
      <c r="L1640" s="33"/>
      <c r="X1640" s="22"/>
      <c r="Y1640" s="22"/>
      <c r="Z1640" s="22"/>
      <c r="AA1640" s="22"/>
      <c r="AF1640" s="22"/>
      <c r="AG1640" s="22"/>
      <c r="AH1640" s="22"/>
      <c r="AI1640" s="22"/>
      <c r="AN1640" s="22"/>
      <c r="AO1640" s="22"/>
      <c r="AP1640" s="22"/>
      <c r="AQ1640" s="22"/>
      <c r="AR1640" s="35"/>
      <c r="AS1640" s="35"/>
      <c r="AT1640" s="35"/>
      <c r="AU1640" s="31"/>
      <c r="AV1640" s="36"/>
      <c r="AW1640" s="36"/>
    </row>
    <row r="1641" spans="4:49">
      <c r="D1641" s="31"/>
      <c r="E1641" s="31"/>
      <c r="F1641" s="31"/>
      <c r="G1641" s="31"/>
      <c r="H1641" s="32"/>
      <c r="J1641" s="33"/>
      <c r="K1641" s="33"/>
      <c r="L1641" s="33"/>
      <c r="X1641" s="22"/>
      <c r="Y1641" s="22"/>
      <c r="Z1641" s="22"/>
      <c r="AA1641" s="22"/>
      <c r="AF1641" s="22"/>
      <c r="AG1641" s="22"/>
      <c r="AH1641" s="22"/>
      <c r="AI1641" s="22"/>
      <c r="AN1641" s="22"/>
      <c r="AO1641" s="22"/>
      <c r="AP1641" s="22"/>
      <c r="AQ1641" s="22"/>
      <c r="AR1641" s="35"/>
      <c r="AS1641" s="35"/>
      <c r="AT1641" s="35"/>
      <c r="AU1641" s="31"/>
      <c r="AV1641" s="36"/>
      <c r="AW1641" s="36"/>
    </row>
    <row r="1642" spans="4:49">
      <c r="D1642" s="31"/>
      <c r="E1642" s="31"/>
      <c r="F1642" s="31"/>
      <c r="G1642" s="31"/>
      <c r="H1642" s="32"/>
      <c r="J1642" s="33"/>
      <c r="K1642" s="33"/>
      <c r="L1642" s="33"/>
      <c r="X1642" s="22"/>
      <c r="Y1642" s="22"/>
      <c r="Z1642" s="22"/>
      <c r="AA1642" s="22"/>
      <c r="AF1642" s="22"/>
      <c r="AG1642" s="22"/>
      <c r="AH1642" s="22"/>
      <c r="AI1642" s="22"/>
      <c r="AN1642" s="22"/>
      <c r="AO1642" s="22"/>
      <c r="AP1642" s="22"/>
      <c r="AQ1642" s="22"/>
      <c r="AR1642" s="35"/>
      <c r="AS1642" s="35"/>
      <c r="AT1642" s="35"/>
      <c r="AU1642" s="31"/>
      <c r="AV1642" s="36"/>
      <c r="AW1642" s="36"/>
    </row>
    <row r="1643" spans="4:49">
      <c r="D1643" s="31"/>
      <c r="E1643" s="31"/>
      <c r="F1643" s="31"/>
      <c r="G1643" s="31"/>
      <c r="H1643" s="32"/>
      <c r="J1643" s="33"/>
      <c r="K1643" s="33"/>
      <c r="L1643" s="33"/>
      <c r="X1643" s="22"/>
      <c r="Y1643" s="22"/>
      <c r="Z1643" s="22"/>
      <c r="AA1643" s="22"/>
      <c r="AF1643" s="22"/>
      <c r="AG1643" s="22"/>
      <c r="AH1643" s="22"/>
      <c r="AI1643" s="22"/>
      <c r="AN1643" s="22"/>
      <c r="AO1643" s="22"/>
      <c r="AP1643" s="22"/>
      <c r="AQ1643" s="22"/>
      <c r="AR1643" s="35"/>
      <c r="AS1643" s="35"/>
      <c r="AT1643" s="35"/>
      <c r="AU1643" s="31"/>
      <c r="AV1643" s="36"/>
      <c r="AW1643" s="36"/>
    </row>
    <row r="1644" spans="4:49">
      <c r="D1644" s="31"/>
      <c r="E1644" s="31"/>
      <c r="F1644" s="31"/>
      <c r="G1644" s="31"/>
      <c r="H1644" s="32"/>
      <c r="J1644" s="33"/>
      <c r="K1644" s="33"/>
      <c r="L1644" s="33"/>
      <c r="X1644" s="22"/>
      <c r="Y1644" s="22"/>
      <c r="Z1644" s="22"/>
      <c r="AA1644" s="22"/>
      <c r="AF1644" s="22"/>
      <c r="AG1644" s="22"/>
      <c r="AH1644" s="22"/>
      <c r="AI1644" s="22"/>
      <c r="AN1644" s="22"/>
      <c r="AO1644" s="22"/>
      <c r="AP1644" s="22"/>
      <c r="AQ1644" s="22"/>
      <c r="AR1644" s="35"/>
      <c r="AS1644" s="35"/>
      <c r="AT1644" s="35"/>
      <c r="AU1644" s="31"/>
      <c r="AV1644" s="36"/>
      <c r="AW1644" s="36"/>
    </row>
    <row r="1645" spans="4:49">
      <c r="D1645" s="31"/>
      <c r="E1645" s="31"/>
      <c r="F1645" s="31"/>
      <c r="G1645" s="31"/>
      <c r="H1645" s="32"/>
      <c r="J1645" s="33"/>
      <c r="K1645" s="33"/>
      <c r="L1645" s="33"/>
      <c r="X1645" s="22"/>
      <c r="Y1645" s="22"/>
      <c r="Z1645" s="22"/>
      <c r="AA1645" s="22"/>
      <c r="AF1645" s="22"/>
      <c r="AG1645" s="22"/>
      <c r="AH1645" s="22"/>
      <c r="AI1645" s="22"/>
      <c r="AN1645" s="22"/>
      <c r="AO1645" s="22"/>
      <c r="AP1645" s="22"/>
      <c r="AQ1645" s="22"/>
      <c r="AR1645" s="35"/>
      <c r="AS1645" s="35"/>
      <c r="AT1645" s="35"/>
      <c r="AU1645" s="31"/>
      <c r="AV1645" s="36"/>
      <c r="AW1645" s="36"/>
    </row>
    <row r="1646" spans="4:49">
      <c r="D1646" s="31"/>
      <c r="E1646" s="31"/>
      <c r="F1646" s="31"/>
      <c r="G1646" s="31"/>
      <c r="H1646" s="32"/>
      <c r="J1646" s="33"/>
      <c r="K1646" s="33"/>
      <c r="L1646" s="33"/>
      <c r="X1646" s="22"/>
      <c r="Y1646" s="22"/>
      <c r="Z1646" s="22"/>
      <c r="AA1646" s="22"/>
      <c r="AF1646" s="22"/>
      <c r="AG1646" s="22"/>
      <c r="AH1646" s="22"/>
      <c r="AI1646" s="22"/>
      <c r="AN1646" s="22"/>
      <c r="AO1646" s="22"/>
      <c r="AP1646" s="22"/>
      <c r="AQ1646" s="22"/>
      <c r="AR1646" s="35"/>
      <c r="AS1646" s="35"/>
      <c r="AT1646" s="35"/>
      <c r="AU1646" s="31"/>
      <c r="AV1646" s="36"/>
      <c r="AW1646" s="36"/>
    </row>
    <row r="1647" spans="4:49">
      <c r="D1647" s="31"/>
      <c r="E1647" s="31"/>
      <c r="F1647" s="31"/>
      <c r="G1647" s="31"/>
      <c r="H1647" s="32"/>
      <c r="J1647" s="33"/>
      <c r="K1647" s="33"/>
      <c r="L1647" s="33"/>
      <c r="X1647" s="22"/>
      <c r="Y1647" s="22"/>
      <c r="Z1647" s="22"/>
      <c r="AA1647" s="22"/>
      <c r="AF1647" s="22"/>
      <c r="AG1647" s="22"/>
      <c r="AH1647" s="22"/>
      <c r="AI1647" s="22"/>
      <c r="AN1647" s="22"/>
      <c r="AO1647" s="22"/>
      <c r="AP1647" s="22"/>
      <c r="AQ1647" s="22"/>
      <c r="AR1647" s="35"/>
      <c r="AS1647" s="35"/>
      <c r="AT1647" s="35"/>
      <c r="AU1647" s="31"/>
      <c r="AV1647" s="36"/>
      <c r="AW1647" s="36"/>
    </row>
    <row r="1648" spans="4:49">
      <c r="D1648" s="31"/>
      <c r="E1648" s="31"/>
      <c r="F1648" s="31"/>
      <c r="G1648" s="31"/>
      <c r="H1648" s="32"/>
      <c r="J1648" s="33"/>
      <c r="K1648" s="33"/>
      <c r="L1648" s="33"/>
      <c r="X1648" s="22"/>
      <c r="Y1648" s="22"/>
      <c r="Z1648" s="22"/>
      <c r="AA1648" s="22"/>
      <c r="AF1648" s="22"/>
      <c r="AG1648" s="22"/>
      <c r="AH1648" s="22"/>
      <c r="AI1648" s="22"/>
      <c r="AN1648" s="22"/>
      <c r="AO1648" s="22"/>
      <c r="AP1648" s="22"/>
      <c r="AQ1648" s="22"/>
      <c r="AR1648" s="35"/>
      <c r="AS1648" s="35"/>
      <c r="AT1648" s="35"/>
      <c r="AU1648" s="31"/>
      <c r="AV1648" s="36"/>
      <c r="AW1648" s="36"/>
    </row>
    <row r="1649" spans="4:49">
      <c r="D1649" s="31"/>
      <c r="E1649" s="31"/>
      <c r="F1649" s="31"/>
      <c r="G1649" s="31"/>
      <c r="H1649" s="32"/>
      <c r="J1649" s="33"/>
      <c r="K1649" s="33"/>
      <c r="L1649" s="33"/>
      <c r="X1649" s="22"/>
      <c r="Y1649" s="22"/>
      <c r="Z1649" s="22"/>
      <c r="AA1649" s="22"/>
      <c r="AF1649" s="22"/>
      <c r="AG1649" s="22"/>
      <c r="AH1649" s="22"/>
      <c r="AI1649" s="22"/>
      <c r="AN1649" s="22"/>
      <c r="AO1649" s="22"/>
      <c r="AP1649" s="22"/>
      <c r="AQ1649" s="22"/>
      <c r="AR1649" s="35"/>
      <c r="AS1649" s="35"/>
      <c r="AT1649" s="35"/>
      <c r="AU1649" s="31"/>
      <c r="AV1649" s="36"/>
      <c r="AW1649" s="36"/>
    </row>
    <row r="1650" spans="4:49">
      <c r="D1650" s="31"/>
      <c r="E1650" s="31"/>
      <c r="F1650" s="31"/>
      <c r="G1650" s="31"/>
      <c r="H1650" s="32"/>
      <c r="J1650" s="33"/>
      <c r="K1650" s="33"/>
      <c r="L1650" s="33"/>
      <c r="X1650" s="22"/>
      <c r="Y1650" s="22"/>
      <c r="Z1650" s="22"/>
      <c r="AA1650" s="22"/>
      <c r="AF1650" s="22"/>
      <c r="AG1650" s="22"/>
      <c r="AH1650" s="22"/>
      <c r="AI1650" s="22"/>
      <c r="AN1650" s="22"/>
      <c r="AO1650" s="22"/>
      <c r="AP1650" s="22"/>
      <c r="AQ1650" s="22"/>
      <c r="AR1650" s="35"/>
      <c r="AS1650" s="35"/>
      <c r="AT1650" s="35"/>
      <c r="AU1650" s="31"/>
      <c r="AV1650" s="36"/>
      <c r="AW1650" s="36"/>
    </row>
    <row r="1651" spans="4:49">
      <c r="D1651" s="31"/>
      <c r="E1651" s="31"/>
      <c r="F1651" s="31"/>
      <c r="G1651" s="31"/>
      <c r="H1651" s="32"/>
      <c r="J1651" s="33"/>
      <c r="K1651" s="33"/>
      <c r="L1651" s="33"/>
      <c r="X1651" s="22"/>
      <c r="Y1651" s="22"/>
      <c r="Z1651" s="22"/>
      <c r="AA1651" s="22"/>
      <c r="AF1651" s="22"/>
      <c r="AG1651" s="22"/>
      <c r="AH1651" s="22"/>
      <c r="AI1651" s="22"/>
      <c r="AN1651" s="22"/>
      <c r="AO1651" s="22"/>
      <c r="AP1651" s="22"/>
      <c r="AQ1651" s="22"/>
      <c r="AR1651" s="35"/>
      <c r="AS1651" s="35"/>
      <c r="AT1651" s="35"/>
      <c r="AU1651" s="31"/>
      <c r="AV1651" s="36"/>
      <c r="AW1651" s="36"/>
    </row>
    <row r="1652" spans="4:49">
      <c r="D1652" s="31"/>
      <c r="E1652" s="31"/>
      <c r="F1652" s="31"/>
      <c r="G1652" s="31"/>
      <c r="H1652" s="32"/>
      <c r="J1652" s="33"/>
      <c r="K1652" s="33"/>
      <c r="L1652" s="33"/>
      <c r="X1652" s="22"/>
      <c r="Y1652" s="22"/>
      <c r="Z1652" s="22"/>
      <c r="AA1652" s="22"/>
      <c r="AF1652" s="22"/>
      <c r="AG1652" s="22"/>
      <c r="AH1652" s="22"/>
      <c r="AI1652" s="22"/>
      <c r="AN1652" s="22"/>
      <c r="AO1652" s="22"/>
      <c r="AP1652" s="22"/>
      <c r="AQ1652" s="22"/>
      <c r="AR1652" s="35"/>
      <c r="AS1652" s="35"/>
      <c r="AT1652" s="35"/>
      <c r="AU1652" s="31"/>
      <c r="AV1652" s="36"/>
      <c r="AW1652" s="36"/>
    </row>
    <row r="1653" spans="4:49">
      <c r="D1653" s="31"/>
      <c r="E1653" s="31"/>
      <c r="F1653" s="31"/>
      <c r="G1653" s="31"/>
      <c r="H1653" s="32"/>
      <c r="J1653" s="33"/>
      <c r="K1653" s="33"/>
      <c r="L1653" s="33"/>
      <c r="X1653" s="22"/>
      <c r="Y1653" s="22"/>
      <c r="Z1653" s="22"/>
      <c r="AA1653" s="22"/>
      <c r="AF1653" s="22"/>
      <c r="AG1653" s="22"/>
      <c r="AH1653" s="22"/>
      <c r="AI1653" s="22"/>
      <c r="AN1653" s="22"/>
      <c r="AO1653" s="22"/>
      <c r="AP1653" s="22"/>
      <c r="AQ1653" s="22"/>
      <c r="AR1653" s="35"/>
      <c r="AS1653" s="35"/>
      <c r="AT1653" s="35"/>
      <c r="AU1653" s="31"/>
      <c r="AV1653" s="36"/>
      <c r="AW1653" s="36"/>
    </row>
    <row r="1654" spans="4:49">
      <c r="D1654" s="31"/>
      <c r="E1654" s="31"/>
      <c r="F1654" s="31"/>
      <c r="G1654" s="31"/>
      <c r="H1654" s="32"/>
      <c r="J1654" s="33"/>
      <c r="K1654" s="33"/>
      <c r="L1654" s="33"/>
      <c r="X1654" s="22"/>
      <c r="Y1654" s="22"/>
      <c r="Z1654" s="22"/>
      <c r="AA1654" s="22"/>
      <c r="AF1654" s="22"/>
      <c r="AG1654" s="22"/>
      <c r="AH1654" s="22"/>
      <c r="AI1654" s="22"/>
      <c r="AN1654" s="22"/>
      <c r="AO1654" s="22"/>
      <c r="AP1654" s="22"/>
      <c r="AQ1654" s="22"/>
      <c r="AR1654" s="35"/>
      <c r="AS1654" s="35"/>
      <c r="AT1654" s="35"/>
      <c r="AU1654" s="31"/>
      <c r="AV1654" s="36"/>
      <c r="AW1654" s="36"/>
    </row>
    <row r="1655" spans="4:49">
      <c r="D1655" s="31"/>
      <c r="E1655" s="31"/>
      <c r="F1655" s="31"/>
      <c r="G1655" s="31"/>
      <c r="H1655" s="32"/>
      <c r="J1655" s="33"/>
      <c r="K1655" s="33"/>
      <c r="L1655" s="33"/>
      <c r="X1655" s="22"/>
      <c r="Y1655" s="22"/>
      <c r="Z1655" s="22"/>
      <c r="AA1655" s="22"/>
      <c r="AF1655" s="22"/>
      <c r="AG1655" s="22"/>
      <c r="AH1655" s="22"/>
      <c r="AI1655" s="22"/>
      <c r="AN1655" s="22"/>
      <c r="AO1655" s="22"/>
      <c r="AP1655" s="22"/>
      <c r="AQ1655" s="22"/>
      <c r="AR1655" s="35"/>
      <c r="AS1655" s="35"/>
      <c r="AT1655" s="35"/>
      <c r="AU1655" s="31"/>
      <c r="AV1655" s="36"/>
      <c r="AW1655" s="36"/>
    </row>
    <row r="1656" spans="4:49">
      <c r="D1656" s="31"/>
      <c r="E1656" s="31"/>
      <c r="F1656" s="31"/>
      <c r="G1656" s="31"/>
      <c r="H1656" s="32"/>
      <c r="J1656" s="33"/>
      <c r="K1656" s="33"/>
      <c r="L1656" s="33"/>
      <c r="X1656" s="22"/>
      <c r="Y1656" s="22"/>
      <c r="Z1656" s="22"/>
      <c r="AA1656" s="22"/>
      <c r="AF1656" s="22"/>
      <c r="AG1656" s="22"/>
      <c r="AH1656" s="22"/>
      <c r="AI1656" s="22"/>
      <c r="AN1656" s="22"/>
      <c r="AO1656" s="22"/>
      <c r="AP1656" s="22"/>
      <c r="AQ1656" s="22"/>
      <c r="AR1656" s="35"/>
      <c r="AS1656" s="35"/>
      <c r="AT1656" s="35"/>
      <c r="AU1656" s="31"/>
      <c r="AV1656" s="36"/>
      <c r="AW1656" s="36"/>
    </row>
    <row r="1657" spans="4:49">
      <c r="D1657" s="31"/>
      <c r="E1657" s="31"/>
      <c r="F1657" s="31"/>
      <c r="G1657" s="31"/>
      <c r="H1657" s="32"/>
      <c r="J1657" s="33"/>
      <c r="K1657" s="33"/>
      <c r="L1657" s="33"/>
      <c r="X1657" s="22"/>
      <c r="Y1657" s="22"/>
      <c r="Z1657" s="22"/>
      <c r="AA1657" s="22"/>
      <c r="AF1657" s="22"/>
      <c r="AG1657" s="22"/>
      <c r="AH1657" s="22"/>
      <c r="AI1657" s="22"/>
      <c r="AN1657" s="22"/>
      <c r="AO1657" s="22"/>
      <c r="AP1657" s="22"/>
      <c r="AQ1657" s="22"/>
      <c r="AR1657" s="35"/>
      <c r="AS1657" s="35"/>
      <c r="AT1657" s="35"/>
      <c r="AU1657" s="31"/>
      <c r="AV1657" s="36"/>
      <c r="AW1657" s="36"/>
    </row>
    <row r="1658" spans="4:49">
      <c r="D1658" s="31"/>
      <c r="E1658" s="31"/>
      <c r="F1658" s="31"/>
      <c r="G1658" s="31"/>
      <c r="H1658" s="32"/>
      <c r="J1658" s="33"/>
      <c r="K1658" s="33"/>
      <c r="L1658" s="33"/>
      <c r="X1658" s="22"/>
      <c r="Y1658" s="22"/>
      <c r="Z1658" s="22"/>
      <c r="AA1658" s="22"/>
      <c r="AF1658" s="22"/>
      <c r="AG1658" s="22"/>
      <c r="AH1658" s="22"/>
      <c r="AI1658" s="22"/>
      <c r="AN1658" s="22"/>
      <c r="AO1658" s="22"/>
      <c r="AP1658" s="22"/>
      <c r="AQ1658" s="22"/>
      <c r="AR1658" s="35"/>
      <c r="AS1658" s="35"/>
      <c r="AT1658" s="35"/>
      <c r="AU1658" s="31"/>
      <c r="AV1658" s="36"/>
      <c r="AW1658" s="36"/>
    </row>
    <row r="1659" spans="4:49">
      <c r="D1659" s="31"/>
      <c r="E1659" s="31"/>
      <c r="F1659" s="31"/>
      <c r="G1659" s="31"/>
      <c r="H1659" s="32"/>
      <c r="J1659" s="33"/>
      <c r="K1659" s="33"/>
      <c r="L1659" s="33"/>
      <c r="X1659" s="22"/>
      <c r="Y1659" s="22"/>
      <c r="Z1659" s="22"/>
      <c r="AA1659" s="22"/>
      <c r="AF1659" s="22"/>
      <c r="AG1659" s="22"/>
      <c r="AH1659" s="22"/>
      <c r="AI1659" s="22"/>
      <c r="AN1659" s="22"/>
      <c r="AO1659" s="22"/>
      <c r="AP1659" s="22"/>
      <c r="AQ1659" s="22"/>
      <c r="AR1659" s="35"/>
      <c r="AS1659" s="35"/>
      <c r="AT1659" s="35"/>
      <c r="AU1659" s="31"/>
      <c r="AV1659" s="36"/>
      <c r="AW1659" s="36"/>
    </row>
    <row r="1660" spans="4:49">
      <c r="D1660" s="31"/>
      <c r="E1660" s="31"/>
      <c r="F1660" s="31"/>
      <c r="G1660" s="31"/>
      <c r="H1660" s="32"/>
      <c r="J1660" s="33"/>
      <c r="K1660" s="33"/>
      <c r="L1660" s="33"/>
      <c r="X1660" s="22"/>
      <c r="Y1660" s="22"/>
      <c r="Z1660" s="22"/>
      <c r="AA1660" s="22"/>
      <c r="AF1660" s="22"/>
      <c r="AG1660" s="22"/>
      <c r="AH1660" s="22"/>
      <c r="AI1660" s="22"/>
      <c r="AN1660" s="22"/>
      <c r="AO1660" s="22"/>
      <c r="AP1660" s="22"/>
      <c r="AQ1660" s="22"/>
      <c r="AR1660" s="35"/>
      <c r="AS1660" s="35"/>
      <c r="AT1660" s="35"/>
      <c r="AU1660" s="31"/>
      <c r="AV1660" s="36"/>
      <c r="AW1660" s="36"/>
    </row>
    <row r="1661" spans="4:49">
      <c r="D1661" s="31"/>
      <c r="E1661" s="31"/>
      <c r="F1661" s="31"/>
      <c r="G1661" s="31"/>
      <c r="H1661" s="32"/>
      <c r="J1661" s="33"/>
      <c r="K1661" s="33"/>
      <c r="L1661" s="33"/>
      <c r="X1661" s="22"/>
      <c r="Y1661" s="22"/>
      <c r="Z1661" s="22"/>
      <c r="AA1661" s="22"/>
      <c r="AF1661" s="22"/>
      <c r="AG1661" s="22"/>
      <c r="AH1661" s="22"/>
      <c r="AI1661" s="22"/>
      <c r="AN1661" s="22"/>
      <c r="AO1661" s="22"/>
      <c r="AP1661" s="22"/>
      <c r="AQ1661" s="22"/>
      <c r="AR1661" s="35"/>
      <c r="AS1661" s="35"/>
      <c r="AT1661" s="35"/>
      <c r="AU1661" s="31"/>
      <c r="AV1661" s="36"/>
      <c r="AW1661" s="36"/>
    </row>
    <row r="1662" spans="4:49">
      <c r="D1662" s="31"/>
      <c r="E1662" s="31"/>
      <c r="F1662" s="31"/>
      <c r="G1662" s="31"/>
      <c r="H1662" s="32"/>
      <c r="J1662" s="33"/>
      <c r="K1662" s="33"/>
      <c r="L1662" s="33"/>
      <c r="X1662" s="22"/>
      <c r="Y1662" s="22"/>
      <c r="Z1662" s="22"/>
      <c r="AA1662" s="22"/>
      <c r="AF1662" s="22"/>
      <c r="AG1662" s="22"/>
      <c r="AH1662" s="22"/>
      <c r="AI1662" s="22"/>
      <c r="AN1662" s="22"/>
      <c r="AO1662" s="22"/>
      <c r="AP1662" s="22"/>
      <c r="AQ1662" s="22"/>
      <c r="AR1662" s="35"/>
      <c r="AS1662" s="35"/>
      <c r="AT1662" s="35"/>
      <c r="AU1662" s="31"/>
      <c r="AV1662" s="36"/>
      <c r="AW1662" s="36"/>
    </row>
    <row r="1663" spans="4:49">
      <c r="D1663" s="31"/>
      <c r="E1663" s="31"/>
      <c r="F1663" s="31"/>
      <c r="G1663" s="31"/>
      <c r="H1663" s="32"/>
      <c r="J1663" s="33"/>
      <c r="K1663" s="33"/>
      <c r="L1663" s="33"/>
      <c r="X1663" s="22"/>
      <c r="Y1663" s="22"/>
      <c r="Z1663" s="22"/>
      <c r="AA1663" s="22"/>
      <c r="AF1663" s="22"/>
      <c r="AG1663" s="22"/>
      <c r="AH1663" s="22"/>
      <c r="AI1663" s="22"/>
      <c r="AN1663" s="22"/>
      <c r="AO1663" s="22"/>
      <c r="AP1663" s="22"/>
      <c r="AQ1663" s="22"/>
      <c r="AR1663" s="35"/>
      <c r="AS1663" s="35"/>
      <c r="AT1663" s="35"/>
      <c r="AU1663" s="31"/>
      <c r="AV1663" s="36"/>
      <c r="AW1663" s="36"/>
    </row>
    <row r="1664" spans="4:49">
      <c r="D1664" s="31"/>
      <c r="E1664" s="31"/>
      <c r="F1664" s="31"/>
      <c r="G1664" s="31"/>
      <c r="H1664" s="32"/>
      <c r="J1664" s="33"/>
      <c r="K1664" s="33"/>
      <c r="L1664" s="33"/>
      <c r="X1664" s="22"/>
      <c r="Y1664" s="22"/>
      <c r="Z1664" s="22"/>
      <c r="AA1664" s="22"/>
      <c r="AF1664" s="22"/>
      <c r="AG1664" s="22"/>
      <c r="AH1664" s="22"/>
      <c r="AI1664" s="22"/>
      <c r="AN1664" s="22"/>
      <c r="AO1664" s="22"/>
      <c r="AP1664" s="22"/>
      <c r="AQ1664" s="22"/>
      <c r="AR1664" s="35"/>
      <c r="AS1664" s="35"/>
      <c r="AT1664" s="35"/>
      <c r="AU1664" s="31"/>
      <c r="AV1664" s="36"/>
      <c r="AW1664" s="36"/>
    </row>
    <row r="1665" spans="4:49">
      <c r="D1665" s="31"/>
      <c r="E1665" s="31"/>
      <c r="F1665" s="31"/>
      <c r="G1665" s="31"/>
      <c r="H1665" s="32"/>
      <c r="J1665" s="33"/>
      <c r="K1665" s="33"/>
      <c r="L1665" s="33"/>
      <c r="X1665" s="22"/>
      <c r="Y1665" s="22"/>
      <c r="Z1665" s="22"/>
      <c r="AA1665" s="22"/>
      <c r="AF1665" s="22"/>
      <c r="AG1665" s="22"/>
      <c r="AH1665" s="22"/>
      <c r="AI1665" s="22"/>
      <c r="AN1665" s="22"/>
      <c r="AO1665" s="22"/>
      <c r="AP1665" s="22"/>
      <c r="AQ1665" s="22"/>
      <c r="AR1665" s="35"/>
      <c r="AS1665" s="35"/>
      <c r="AT1665" s="35"/>
      <c r="AU1665" s="31"/>
      <c r="AV1665" s="36"/>
      <c r="AW1665" s="36"/>
    </row>
    <row r="1666" spans="4:49">
      <c r="D1666" s="31"/>
      <c r="E1666" s="31"/>
      <c r="F1666" s="31"/>
      <c r="G1666" s="31"/>
      <c r="H1666" s="32"/>
      <c r="J1666" s="33"/>
      <c r="K1666" s="33"/>
      <c r="L1666" s="33"/>
      <c r="X1666" s="22"/>
      <c r="Y1666" s="22"/>
      <c r="Z1666" s="22"/>
      <c r="AA1666" s="22"/>
      <c r="AF1666" s="22"/>
      <c r="AG1666" s="22"/>
      <c r="AH1666" s="22"/>
      <c r="AI1666" s="22"/>
      <c r="AN1666" s="22"/>
      <c r="AO1666" s="22"/>
      <c r="AP1666" s="22"/>
      <c r="AQ1666" s="22"/>
      <c r="AR1666" s="35"/>
      <c r="AS1666" s="35"/>
      <c r="AT1666" s="35"/>
      <c r="AU1666" s="31"/>
      <c r="AV1666" s="36"/>
      <c r="AW1666" s="36"/>
    </row>
    <row r="1667" spans="4:49">
      <c r="D1667" s="31"/>
      <c r="E1667" s="31"/>
      <c r="F1667" s="31"/>
      <c r="G1667" s="31"/>
      <c r="H1667" s="32"/>
      <c r="J1667" s="33"/>
      <c r="K1667" s="33"/>
      <c r="L1667" s="33"/>
      <c r="X1667" s="22"/>
      <c r="Y1667" s="22"/>
      <c r="Z1667" s="22"/>
      <c r="AA1667" s="22"/>
      <c r="AF1667" s="22"/>
      <c r="AG1667" s="22"/>
      <c r="AH1667" s="22"/>
      <c r="AI1667" s="22"/>
      <c r="AN1667" s="22"/>
      <c r="AO1667" s="22"/>
      <c r="AP1667" s="22"/>
      <c r="AQ1667" s="22"/>
      <c r="AR1667" s="35"/>
      <c r="AS1667" s="35"/>
      <c r="AT1667" s="35"/>
      <c r="AU1667" s="31"/>
      <c r="AV1667" s="36"/>
      <c r="AW1667" s="36"/>
    </row>
    <row r="1668" spans="4:49">
      <c r="D1668" s="31"/>
      <c r="E1668" s="31"/>
      <c r="F1668" s="31"/>
      <c r="G1668" s="31"/>
      <c r="H1668" s="32"/>
      <c r="J1668" s="33"/>
      <c r="K1668" s="33"/>
      <c r="L1668" s="33"/>
      <c r="X1668" s="22"/>
      <c r="Y1668" s="22"/>
      <c r="Z1668" s="22"/>
      <c r="AA1668" s="22"/>
      <c r="AF1668" s="22"/>
      <c r="AG1668" s="22"/>
      <c r="AH1668" s="22"/>
      <c r="AI1668" s="22"/>
      <c r="AN1668" s="22"/>
      <c r="AO1668" s="22"/>
      <c r="AP1668" s="22"/>
      <c r="AQ1668" s="22"/>
      <c r="AR1668" s="35"/>
      <c r="AS1668" s="35"/>
      <c r="AT1668" s="35"/>
      <c r="AU1668" s="31"/>
      <c r="AV1668" s="36"/>
      <c r="AW1668" s="36"/>
    </row>
    <row r="1669" spans="4:49">
      <c r="D1669" s="31"/>
      <c r="E1669" s="31"/>
      <c r="F1669" s="31"/>
      <c r="G1669" s="31"/>
      <c r="H1669" s="32"/>
      <c r="J1669" s="33"/>
      <c r="K1669" s="33"/>
      <c r="L1669" s="33"/>
      <c r="X1669" s="22"/>
      <c r="Y1669" s="22"/>
      <c r="Z1669" s="22"/>
      <c r="AA1669" s="22"/>
      <c r="AF1669" s="22"/>
      <c r="AG1669" s="22"/>
      <c r="AH1669" s="22"/>
      <c r="AI1669" s="22"/>
      <c r="AN1669" s="22"/>
      <c r="AO1669" s="22"/>
      <c r="AP1669" s="22"/>
      <c r="AQ1669" s="22"/>
      <c r="AR1669" s="35"/>
      <c r="AS1669" s="35"/>
      <c r="AT1669" s="35"/>
      <c r="AU1669" s="31"/>
      <c r="AV1669" s="36"/>
      <c r="AW1669" s="36"/>
    </row>
    <row r="1670" spans="4:49">
      <c r="D1670" s="31"/>
      <c r="E1670" s="31"/>
      <c r="F1670" s="31"/>
      <c r="G1670" s="31"/>
      <c r="H1670" s="32"/>
      <c r="J1670" s="33"/>
      <c r="K1670" s="33"/>
      <c r="L1670" s="33"/>
      <c r="X1670" s="22"/>
      <c r="Y1670" s="22"/>
      <c r="Z1670" s="22"/>
      <c r="AA1670" s="22"/>
      <c r="AF1670" s="22"/>
      <c r="AG1670" s="22"/>
      <c r="AH1670" s="22"/>
      <c r="AI1670" s="22"/>
      <c r="AN1670" s="22"/>
      <c r="AO1670" s="22"/>
      <c r="AP1670" s="22"/>
      <c r="AQ1670" s="22"/>
      <c r="AR1670" s="35"/>
      <c r="AS1670" s="35"/>
      <c r="AT1670" s="35"/>
      <c r="AU1670" s="31"/>
      <c r="AV1670" s="36"/>
      <c r="AW1670" s="36"/>
    </row>
    <row r="1671" spans="4:49">
      <c r="D1671" s="31"/>
      <c r="E1671" s="31"/>
      <c r="F1671" s="31"/>
      <c r="G1671" s="31"/>
      <c r="H1671" s="32"/>
      <c r="J1671" s="33"/>
      <c r="K1671" s="33"/>
      <c r="L1671" s="33"/>
      <c r="X1671" s="22"/>
      <c r="Y1671" s="22"/>
      <c r="Z1671" s="22"/>
      <c r="AA1671" s="22"/>
      <c r="AF1671" s="22"/>
      <c r="AG1671" s="22"/>
      <c r="AH1671" s="22"/>
      <c r="AI1671" s="22"/>
      <c r="AN1671" s="22"/>
      <c r="AO1671" s="22"/>
      <c r="AP1671" s="22"/>
      <c r="AQ1671" s="22"/>
      <c r="AR1671" s="35"/>
      <c r="AS1671" s="35"/>
      <c r="AT1671" s="35"/>
      <c r="AU1671" s="31"/>
      <c r="AV1671" s="36"/>
      <c r="AW1671" s="36"/>
    </row>
    <row r="1672" spans="4:49">
      <c r="D1672" s="31"/>
      <c r="E1672" s="31"/>
      <c r="F1672" s="31"/>
      <c r="G1672" s="31"/>
      <c r="H1672" s="32"/>
      <c r="J1672" s="33"/>
      <c r="K1672" s="33"/>
      <c r="L1672" s="33"/>
      <c r="X1672" s="22"/>
      <c r="Y1672" s="22"/>
      <c r="Z1672" s="22"/>
      <c r="AA1672" s="22"/>
      <c r="AF1672" s="22"/>
      <c r="AG1672" s="22"/>
      <c r="AH1672" s="22"/>
      <c r="AI1672" s="22"/>
      <c r="AN1672" s="22"/>
      <c r="AO1672" s="22"/>
      <c r="AP1672" s="22"/>
      <c r="AQ1672" s="22"/>
      <c r="AR1672" s="35"/>
      <c r="AS1672" s="35"/>
      <c r="AT1672" s="35"/>
      <c r="AU1672" s="31"/>
      <c r="AV1672" s="36"/>
      <c r="AW1672" s="36"/>
    </row>
    <row r="1673" spans="4:49">
      <c r="D1673" s="31"/>
      <c r="E1673" s="31"/>
      <c r="F1673" s="31"/>
      <c r="G1673" s="31"/>
      <c r="H1673" s="32"/>
      <c r="J1673" s="33"/>
      <c r="K1673" s="33"/>
      <c r="L1673" s="33"/>
      <c r="X1673" s="22"/>
      <c r="Y1673" s="22"/>
      <c r="Z1673" s="22"/>
      <c r="AA1673" s="22"/>
      <c r="AF1673" s="22"/>
      <c r="AG1673" s="22"/>
      <c r="AH1673" s="22"/>
      <c r="AI1673" s="22"/>
      <c r="AN1673" s="22"/>
      <c r="AO1673" s="22"/>
      <c r="AP1673" s="22"/>
      <c r="AQ1673" s="22"/>
      <c r="AR1673" s="35"/>
      <c r="AS1673" s="35"/>
      <c r="AT1673" s="35"/>
      <c r="AU1673" s="31"/>
      <c r="AV1673" s="36"/>
      <c r="AW1673" s="36"/>
    </row>
    <row r="1674" spans="4:49">
      <c r="D1674" s="31"/>
      <c r="E1674" s="31"/>
      <c r="F1674" s="31"/>
      <c r="G1674" s="31"/>
      <c r="H1674" s="32"/>
      <c r="J1674" s="33"/>
      <c r="K1674" s="33"/>
      <c r="L1674" s="33"/>
      <c r="X1674" s="22"/>
      <c r="Y1674" s="22"/>
      <c r="Z1674" s="22"/>
      <c r="AA1674" s="22"/>
      <c r="AF1674" s="22"/>
      <c r="AG1674" s="22"/>
      <c r="AH1674" s="22"/>
      <c r="AI1674" s="22"/>
      <c r="AN1674" s="22"/>
      <c r="AO1674" s="22"/>
      <c r="AP1674" s="22"/>
      <c r="AQ1674" s="22"/>
      <c r="AR1674" s="35"/>
      <c r="AS1674" s="35"/>
      <c r="AT1674" s="35"/>
      <c r="AU1674" s="31"/>
      <c r="AV1674" s="36"/>
      <c r="AW1674" s="36"/>
    </row>
    <row r="1675" spans="4:49">
      <c r="D1675" s="31"/>
      <c r="E1675" s="31"/>
      <c r="F1675" s="31"/>
      <c r="G1675" s="31"/>
      <c r="H1675" s="32"/>
      <c r="J1675" s="33"/>
      <c r="K1675" s="33"/>
      <c r="L1675" s="33"/>
      <c r="X1675" s="22"/>
      <c r="Y1675" s="22"/>
      <c r="Z1675" s="22"/>
      <c r="AA1675" s="22"/>
      <c r="AF1675" s="22"/>
      <c r="AG1675" s="22"/>
      <c r="AH1675" s="22"/>
      <c r="AI1675" s="22"/>
      <c r="AN1675" s="22"/>
      <c r="AO1675" s="22"/>
      <c r="AP1675" s="22"/>
      <c r="AQ1675" s="22"/>
      <c r="AR1675" s="35"/>
      <c r="AS1675" s="35"/>
      <c r="AT1675" s="35"/>
      <c r="AU1675" s="31"/>
      <c r="AV1675" s="36"/>
      <c r="AW1675" s="36"/>
    </row>
    <row r="1676" spans="4:49">
      <c r="D1676" s="31"/>
      <c r="E1676" s="31"/>
      <c r="F1676" s="31"/>
      <c r="G1676" s="31"/>
      <c r="H1676" s="32"/>
      <c r="J1676" s="33"/>
      <c r="K1676" s="33"/>
      <c r="L1676" s="33"/>
      <c r="X1676" s="22"/>
      <c r="Y1676" s="22"/>
      <c r="Z1676" s="22"/>
      <c r="AA1676" s="22"/>
      <c r="AF1676" s="22"/>
      <c r="AG1676" s="22"/>
      <c r="AH1676" s="22"/>
      <c r="AI1676" s="22"/>
      <c r="AN1676" s="22"/>
      <c r="AO1676" s="22"/>
      <c r="AP1676" s="22"/>
      <c r="AQ1676" s="22"/>
      <c r="AR1676" s="35"/>
      <c r="AS1676" s="35"/>
      <c r="AT1676" s="35"/>
      <c r="AU1676" s="31"/>
      <c r="AV1676" s="36"/>
      <c r="AW1676" s="36"/>
    </row>
    <row r="1677" spans="4:49">
      <c r="D1677" s="31"/>
      <c r="E1677" s="31"/>
      <c r="F1677" s="31"/>
      <c r="G1677" s="31"/>
      <c r="H1677" s="32"/>
      <c r="J1677" s="33"/>
      <c r="K1677" s="33"/>
      <c r="L1677" s="33"/>
      <c r="X1677" s="22"/>
      <c r="Y1677" s="22"/>
      <c r="Z1677" s="22"/>
      <c r="AA1677" s="22"/>
      <c r="AF1677" s="22"/>
      <c r="AG1677" s="22"/>
      <c r="AH1677" s="22"/>
      <c r="AI1677" s="22"/>
      <c r="AN1677" s="22"/>
      <c r="AO1677" s="22"/>
      <c r="AP1677" s="22"/>
      <c r="AQ1677" s="22"/>
      <c r="AR1677" s="35"/>
      <c r="AS1677" s="35"/>
      <c r="AT1677" s="35"/>
      <c r="AU1677" s="31"/>
      <c r="AV1677" s="36"/>
      <c r="AW1677" s="36"/>
    </row>
    <row r="1678" spans="4:49">
      <c r="D1678" s="31"/>
      <c r="E1678" s="31"/>
      <c r="F1678" s="31"/>
      <c r="G1678" s="31"/>
      <c r="H1678" s="32"/>
      <c r="J1678" s="33"/>
      <c r="K1678" s="33"/>
      <c r="L1678" s="33"/>
      <c r="X1678" s="22"/>
      <c r="Y1678" s="22"/>
      <c r="Z1678" s="22"/>
      <c r="AA1678" s="22"/>
      <c r="AF1678" s="22"/>
      <c r="AG1678" s="22"/>
      <c r="AH1678" s="22"/>
      <c r="AI1678" s="22"/>
      <c r="AN1678" s="22"/>
      <c r="AO1678" s="22"/>
      <c r="AP1678" s="22"/>
      <c r="AQ1678" s="22"/>
      <c r="AR1678" s="35"/>
      <c r="AS1678" s="35"/>
      <c r="AT1678" s="35"/>
      <c r="AU1678" s="31"/>
      <c r="AV1678" s="36"/>
      <c r="AW1678" s="36"/>
    </row>
    <row r="1679" spans="4:49">
      <c r="D1679" s="31"/>
      <c r="E1679" s="31"/>
      <c r="F1679" s="31"/>
      <c r="G1679" s="31"/>
      <c r="H1679" s="32"/>
      <c r="J1679" s="33"/>
      <c r="K1679" s="33"/>
      <c r="L1679" s="33"/>
      <c r="X1679" s="22"/>
      <c r="Y1679" s="22"/>
      <c r="Z1679" s="22"/>
      <c r="AA1679" s="22"/>
      <c r="AF1679" s="22"/>
      <c r="AG1679" s="22"/>
      <c r="AH1679" s="22"/>
      <c r="AI1679" s="22"/>
      <c r="AN1679" s="22"/>
      <c r="AO1679" s="22"/>
      <c r="AP1679" s="22"/>
      <c r="AQ1679" s="22"/>
      <c r="AR1679" s="35"/>
      <c r="AS1679" s="35"/>
      <c r="AT1679" s="35"/>
      <c r="AU1679" s="31"/>
      <c r="AV1679" s="36"/>
      <c r="AW1679" s="36"/>
    </row>
    <row r="1680" spans="4:49">
      <c r="D1680" s="31"/>
      <c r="E1680" s="31"/>
      <c r="F1680" s="31"/>
      <c r="G1680" s="31"/>
      <c r="H1680" s="32"/>
      <c r="J1680" s="33"/>
      <c r="K1680" s="33"/>
      <c r="L1680" s="33"/>
      <c r="X1680" s="22"/>
      <c r="Y1680" s="22"/>
      <c r="Z1680" s="22"/>
      <c r="AA1680" s="22"/>
      <c r="AF1680" s="22"/>
      <c r="AG1680" s="22"/>
      <c r="AH1680" s="22"/>
      <c r="AI1680" s="22"/>
      <c r="AN1680" s="22"/>
      <c r="AO1680" s="22"/>
      <c r="AP1680" s="22"/>
      <c r="AQ1680" s="22"/>
      <c r="AR1680" s="35"/>
      <c r="AS1680" s="35"/>
      <c r="AT1680" s="35"/>
      <c r="AU1680" s="31"/>
      <c r="AV1680" s="36"/>
      <c r="AW1680" s="36"/>
    </row>
    <row r="1681" spans="4:49">
      <c r="D1681" s="31"/>
      <c r="E1681" s="31"/>
      <c r="F1681" s="31"/>
      <c r="G1681" s="31"/>
      <c r="H1681" s="32"/>
      <c r="J1681" s="33"/>
      <c r="K1681" s="33"/>
      <c r="L1681" s="33"/>
      <c r="X1681" s="22"/>
      <c r="Y1681" s="22"/>
      <c r="Z1681" s="22"/>
      <c r="AA1681" s="22"/>
      <c r="AF1681" s="22"/>
      <c r="AG1681" s="22"/>
      <c r="AH1681" s="22"/>
      <c r="AI1681" s="22"/>
      <c r="AN1681" s="22"/>
      <c r="AO1681" s="22"/>
      <c r="AP1681" s="22"/>
      <c r="AQ1681" s="22"/>
      <c r="AR1681" s="35"/>
      <c r="AS1681" s="35"/>
      <c r="AT1681" s="35"/>
      <c r="AU1681" s="31"/>
      <c r="AV1681" s="36"/>
      <c r="AW1681" s="36"/>
    </row>
    <row r="1682" spans="4:49">
      <c r="D1682" s="31"/>
      <c r="E1682" s="31"/>
      <c r="F1682" s="31"/>
      <c r="G1682" s="31"/>
      <c r="H1682" s="32"/>
      <c r="J1682" s="33"/>
      <c r="K1682" s="33"/>
      <c r="L1682" s="33"/>
      <c r="X1682" s="22"/>
      <c r="Y1682" s="22"/>
      <c r="Z1682" s="22"/>
      <c r="AA1682" s="22"/>
      <c r="AF1682" s="22"/>
      <c r="AG1682" s="22"/>
      <c r="AH1682" s="22"/>
      <c r="AI1682" s="22"/>
      <c r="AN1682" s="22"/>
      <c r="AO1682" s="22"/>
      <c r="AP1682" s="22"/>
      <c r="AQ1682" s="22"/>
      <c r="AR1682" s="35"/>
      <c r="AS1682" s="35"/>
      <c r="AT1682" s="35"/>
      <c r="AU1682" s="31"/>
      <c r="AV1682" s="36"/>
      <c r="AW1682" s="36"/>
    </row>
    <row r="1683" spans="4:49">
      <c r="D1683" s="31"/>
      <c r="E1683" s="31"/>
      <c r="F1683" s="31"/>
      <c r="G1683" s="31"/>
      <c r="H1683" s="32"/>
      <c r="J1683" s="33"/>
      <c r="K1683" s="33"/>
      <c r="L1683" s="33"/>
      <c r="X1683" s="22"/>
      <c r="Y1683" s="22"/>
      <c r="Z1683" s="22"/>
      <c r="AA1683" s="22"/>
      <c r="AF1683" s="22"/>
      <c r="AG1683" s="22"/>
      <c r="AH1683" s="22"/>
      <c r="AI1683" s="22"/>
      <c r="AN1683" s="22"/>
      <c r="AO1683" s="22"/>
      <c r="AP1683" s="22"/>
      <c r="AQ1683" s="22"/>
      <c r="AR1683" s="35"/>
      <c r="AS1683" s="35"/>
      <c r="AT1683" s="35"/>
      <c r="AU1683" s="31"/>
      <c r="AV1683" s="36"/>
      <c r="AW1683" s="36"/>
    </row>
    <row r="1684" spans="4:49">
      <c r="D1684" s="31"/>
      <c r="E1684" s="31"/>
      <c r="F1684" s="31"/>
      <c r="G1684" s="31"/>
      <c r="H1684" s="32"/>
      <c r="J1684" s="33"/>
      <c r="K1684" s="33"/>
      <c r="L1684" s="33"/>
      <c r="X1684" s="22"/>
      <c r="Y1684" s="22"/>
      <c r="Z1684" s="22"/>
      <c r="AA1684" s="22"/>
      <c r="AF1684" s="22"/>
      <c r="AG1684" s="22"/>
      <c r="AH1684" s="22"/>
      <c r="AI1684" s="22"/>
      <c r="AN1684" s="22"/>
      <c r="AO1684" s="22"/>
      <c r="AP1684" s="22"/>
      <c r="AQ1684" s="22"/>
      <c r="AR1684" s="35"/>
      <c r="AS1684" s="35"/>
      <c r="AT1684" s="35"/>
      <c r="AU1684" s="31"/>
      <c r="AV1684" s="36"/>
      <c r="AW1684" s="36"/>
    </row>
    <row r="1685" spans="4:49">
      <c r="D1685" s="31"/>
      <c r="E1685" s="31"/>
      <c r="F1685" s="31"/>
      <c r="G1685" s="31"/>
      <c r="H1685" s="32"/>
      <c r="J1685" s="33"/>
      <c r="K1685" s="33"/>
      <c r="L1685" s="33"/>
      <c r="X1685" s="22"/>
      <c r="Y1685" s="22"/>
      <c r="Z1685" s="22"/>
      <c r="AA1685" s="22"/>
      <c r="AF1685" s="22"/>
      <c r="AG1685" s="22"/>
      <c r="AH1685" s="22"/>
      <c r="AI1685" s="22"/>
      <c r="AN1685" s="22"/>
      <c r="AO1685" s="22"/>
      <c r="AP1685" s="22"/>
      <c r="AQ1685" s="22"/>
      <c r="AR1685" s="35"/>
      <c r="AS1685" s="35"/>
      <c r="AT1685" s="35"/>
      <c r="AU1685" s="31"/>
      <c r="AV1685" s="36"/>
      <c r="AW1685" s="36"/>
    </row>
    <row r="1686" spans="4:49">
      <c r="D1686" s="31"/>
      <c r="E1686" s="31"/>
      <c r="F1686" s="31"/>
      <c r="G1686" s="31"/>
      <c r="H1686" s="32"/>
      <c r="J1686" s="33"/>
      <c r="K1686" s="33"/>
      <c r="L1686" s="33"/>
      <c r="X1686" s="22"/>
      <c r="Y1686" s="22"/>
      <c r="Z1686" s="22"/>
      <c r="AA1686" s="22"/>
      <c r="AF1686" s="22"/>
      <c r="AG1686" s="22"/>
      <c r="AH1686" s="22"/>
      <c r="AI1686" s="22"/>
      <c r="AN1686" s="22"/>
      <c r="AO1686" s="22"/>
      <c r="AP1686" s="22"/>
      <c r="AQ1686" s="22"/>
      <c r="AR1686" s="35"/>
      <c r="AS1686" s="35"/>
      <c r="AT1686" s="35"/>
      <c r="AU1686" s="31"/>
      <c r="AV1686" s="36"/>
      <c r="AW1686" s="36"/>
    </row>
    <row r="1687" spans="4:49">
      <c r="D1687" s="31"/>
      <c r="E1687" s="31"/>
      <c r="F1687" s="31"/>
      <c r="G1687" s="31"/>
      <c r="H1687" s="32"/>
      <c r="J1687" s="33"/>
      <c r="K1687" s="33"/>
      <c r="L1687" s="33"/>
      <c r="X1687" s="22"/>
      <c r="Y1687" s="22"/>
      <c r="Z1687" s="22"/>
      <c r="AA1687" s="22"/>
      <c r="AF1687" s="22"/>
      <c r="AG1687" s="22"/>
      <c r="AH1687" s="22"/>
      <c r="AI1687" s="22"/>
      <c r="AN1687" s="22"/>
      <c r="AO1687" s="22"/>
      <c r="AP1687" s="22"/>
      <c r="AQ1687" s="22"/>
      <c r="AR1687" s="35"/>
      <c r="AS1687" s="35"/>
      <c r="AT1687" s="35"/>
      <c r="AU1687" s="31"/>
      <c r="AV1687" s="36"/>
      <c r="AW1687" s="36"/>
    </row>
    <row r="1688" spans="4:49">
      <c r="D1688" s="31"/>
      <c r="E1688" s="31"/>
      <c r="F1688" s="31"/>
      <c r="G1688" s="31"/>
      <c r="H1688" s="32"/>
      <c r="J1688" s="33"/>
      <c r="K1688" s="33"/>
      <c r="L1688" s="33"/>
      <c r="X1688" s="22"/>
      <c r="Y1688" s="22"/>
      <c r="Z1688" s="22"/>
      <c r="AA1688" s="22"/>
      <c r="AF1688" s="22"/>
      <c r="AG1688" s="22"/>
      <c r="AH1688" s="22"/>
      <c r="AI1688" s="22"/>
      <c r="AN1688" s="22"/>
      <c r="AO1688" s="22"/>
      <c r="AP1688" s="22"/>
      <c r="AQ1688" s="22"/>
      <c r="AR1688" s="35"/>
      <c r="AS1688" s="35"/>
      <c r="AT1688" s="35"/>
      <c r="AU1688" s="31"/>
      <c r="AV1688" s="36"/>
      <c r="AW1688" s="36"/>
    </row>
    <row r="1689" spans="4:49">
      <c r="D1689" s="31"/>
      <c r="E1689" s="31"/>
      <c r="F1689" s="31"/>
      <c r="G1689" s="31"/>
      <c r="H1689" s="32"/>
      <c r="J1689" s="33"/>
      <c r="K1689" s="33"/>
      <c r="L1689" s="33"/>
      <c r="X1689" s="22"/>
      <c r="Y1689" s="22"/>
      <c r="Z1689" s="22"/>
      <c r="AA1689" s="22"/>
      <c r="AF1689" s="22"/>
      <c r="AG1689" s="22"/>
      <c r="AH1689" s="22"/>
      <c r="AI1689" s="22"/>
      <c r="AN1689" s="22"/>
      <c r="AO1689" s="22"/>
      <c r="AP1689" s="22"/>
      <c r="AQ1689" s="22"/>
      <c r="AR1689" s="35"/>
      <c r="AS1689" s="35"/>
      <c r="AT1689" s="35"/>
      <c r="AU1689" s="31"/>
      <c r="AV1689" s="36"/>
      <c r="AW1689" s="36"/>
    </row>
    <row r="1690" spans="4:49">
      <c r="D1690" s="31"/>
      <c r="E1690" s="31"/>
      <c r="F1690" s="31"/>
      <c r="G1690" s="31"/>
      <c r="H1690" s="32"/>
      <c r="J1690" s="33"/>
      <c r="K1690" s="33"/>
      <c r="L1690" s="33"/>
      <c r="X1690" s="22"/>
      <c r="Y1690" s="22"/>
      <c r="Z1690" s="22"/>
      <c r="AA1690" s="22"/>
      <c r="AF1690" s="22"/>
      <c r="AG1690" s="22"/>
      <c r="AH1690" s="22"/>
      <c r="AI1690" s="22"/>
      <c r="AN1690" s="22"/>
      <c r="AO1690" s="22"/>
      <c r="AP1690" s="22"/>
      <c r="AQ1690" s="22"/>
      <c r="AR1690" s="35"/>
      <c r="AS1690" s="35"/>
      <c r="AT1690" s="35"/>
      <c r="AU1690" s="31"/>
      <c r="AV1690" s="36"/>
      <c r="AW1690" s="36"/>
    </row>
    <row r="1691" spans="4:49">
      <c r="D1691" s="31"/>
      <c r="E1691" s="31"/>
      <c r="F1691" s="31"/>
      <c r="G1691" s="31"/>
      <c r="H1691" s="32"/>
      <c r="J1691" s="33"/>
      <c r="K1691" s="33"/>
      <c r="L1691" s="33"/>
      <c r="X1691" s="22"/>
      <c r="Y1691" s="22"/>
      <c r="Z1691" s="22"/>
      <c r="AA1691" s="22"/>
      <c r="AF1691" s="22"/>
      <c r="AG1691" s="22"/>
      <c r="AH1691" s="22"/>
      <c r="AI1691" s="22"/>
      <c r="AN1691" s="22"/>
      <c r="AO1691" s="22"/>
      <c r="AP1691" s="22"/>
      <c r="AQ1691" s="22"/>
      <c r="AR1691" s="35"/>
      <c r="AS1691" s="35"/>
      <c r="AT1691" s="35"/>
      <c r="AU1691" s="31"/>
      <c r="AV1691" s="36"/>
      <c r="AW1691" s="36"/>
    </row>
    <row r="1692" spans="4:49">
      <c r="D1692" s="31"/>
      <c r="E1692" s="31"/>
      <c r="F1692" s="31"/>
      <c r="G1692" s="31"/>
      <c r="H1692" s="32"/>
      <c r="J1692" s="33"/>
      <c r="K1692" s="33"/>
      <c r="L1692" s="33"/>
      <c r="X1692" s="22"/>
      <c r="Y1692" s="22"/>
      <c r="Z1692" s="22"/>
      <c r="AA1692" s="22"/>
      <c r="AF1692" s="22"/>
      <c r="AG1692" s="22"/>
      <c r="AH1692" s="22"/>
      <c r="AI1692" s="22"/>
      <c r="AN1692" s="22"/>
      <c r="AO1692" s="22"/>
      <c r="AP1692" s="22"/>
      <c r="AQ1692" s="22"/>
      <c r="AR1692" s="35"/>
      <c r="AS1692" s="35"/>
      <c r="AT1692" s="35"/>
      <c r="AU1692" s="31"/>
      <c r="AV1692" s="36"/>
      <c r="AW1692" s="36"/>
    </row>
    <row r="1693" spans="4:49">
      <c r="D1693" s="31"/>
      <c r="E1693" s="31"/>
      <c r="F1693" s="31"/>
      <c r="G1693" s="31"/>
      <c r="H1693" s="32"/>
      <c r="J1693" s="33"/>
      <c r="K1693" s="33"/>
      <c r="L1693" s="33"/>
      <c r="X1693" s="22"/>
      <c r="Y1693" s="22"/>
      <c r="Z1693" s="22"/>
      <c r="AA1693" s="22"/>
      <c r="AF1693" s="22"/>
      <c r="AG1693" s="22"/>
      <c r="AH1693" s="22"/>
      <c r="AI1693" s="22"/>
      <c r="AN1693" s="22"/>
      <c r="AO1693" s="22"/>
      <c r="AP1693" s="22"/>
      <c r="AQ1693" s="22"/>
      <c r="AR1693" s="35"/>
      <c r="AS1693" s="35"/>
      <c r="AT1693" s="35"/>
      <c r="AU1693" s="31"/>
      <c r="AV1693" s="36"/>
      <c r="AW1693" s="36"/>
    </row>
    <row r="1694" spans="4:49">
      <c r="D1694" s="31"/>
      <c r="E1694" s="31"/>
      <c r="F1694" s="31"/>
      <c r="G1694" s="31"/>
      <c r="H1694" s="32"/>
      <c r="J1694" s="33"/>
      <c r="K1694" s="33"/>
      <c r="L1694" s="33"/>
      <c r="X1694" s="22"/>
      <c r="Y1694" s="22"/>
      <c r="Z1694" s="22"/>
      <c r="AA1694" s="22"/>
      <c r="AF1694" s="22"/>
      <c r="AG1694" s="22"/>
      <c r="AH1694" s="22"/>
      <c r="AI1694" s="22"/>
      <c r="AN1694" s="22"/>
      <c r="AO1694" s="22"/>
      <c r="AP1694" s="22"/>
      <c r="AQ1694" s="22"/>
      <c r="AR1694" s="35"/>
      <c r="AS1694" s="35"/>
      <c r="AT1694" s="35"/>
      <c r="AU1694" s="31"/>
      <c r="AV1694" s="36"/>
      <c r="AW1694" s="36"/>
    </row>
    <row r="1695" spans="4:49">
      <c r="D1695" s="31"/>
      <c r="E1695" s="31"/>
      <c r="F1695" s="31"/>
      <c r="G1695" s="31"/>
      <c r="H1695" s="32"/>
      <c r="J1695" s="33"/>
      <c r="K1695" s="33"/>
      <c r="L1695" s="33"/>
      <c r="X1695" s="22"/>
      <c r="Y1695" s="22"/>
      <c r="Z1695" s="22"/>
      <c r="AA1695" s="22"/>
      <c r="AF1695" s="22"/>
      <c r="AG1695" s="22"/>
      <c r="AH1695" s="22"/>
      <c r="AI1695" s="22"/>
      <c r="AN1695" s="22"/>
      <c r="AO1695" s="22"/>
      <c r="AP1695" s="22"/>
      <c r="AQ1695" s="22"/>
      <c r="AR1695" s="35"/>
      <c r="AS1695" s="35"/>
      <c r="AT1695" s="35"/>
      <c r="AU1695" s="31"/>
      <c r="AV1695" s="36"/>
      <c r="AW1695" s="36"/>
    </row>
    <row r="1696" spans="4:49">
      <c r="D1696" s="31"/>
      <c r="E1696" s="31"/>
      <c r="F1696" s="31"/>
      <c r="G1696" s="31"/>
      <c r="H1696" s="32"/>
      <c r="J1696" s="33"/>
      <c r="K1696" s="33"/>
      <c r="L1696" s="33"/>
      <c r="X1696" s="22"/>
      <c r="Y1696" s="22"/>
      <c r="Z1696" s="22"/>
      <c r="AA1696" s="22"/>
      <c r="AF1696" s="22"/>
      <c r="AG1696" s="22"/>
      <c r="AH1696" s="22"/>
      <c r="AI1696" s="22"/>
      <c r="AN1696" s="22"/>
      <c r="AO1696" s="22"/>
      <c r="AP1696" s="22"/>
      <c r="AQ1696" s="22"/>
      <c r="AR1696" s="35"/>
      <c r="AS1696" s="35"/>
      <c r="AT1696" s="35"/>
      <c r="AU1696" s="31"/>
      <c r="AV1696" s="36"/>
      <c r="AW1696" s="36"/>
    </row>
    <row r="1697" spans="4:49">
      <c r="D1697" s="31"/>
      <c r="E1697" s="31"/>
      <c r="F1697" s="31"/>
      <c r="G1697" s="31"/>
      <c r="H1697" s="32"/>
      <c r="J1697" s="33"/>
      <c r="K1697" s="33"/>
      <c r="L1697" s="33"/>
      <c r="X1697" s="22"/>
      <c r="Y1697" s="22"/>
      <c r="Z1697" s="22"/>
      <c r="AA1697" s="22"/>
      <c r="AF1697" s="22"/>
      <c r="AG1697" s="22"/>
      <c r="AH1697" s="22"/>
      <c r="AI1697" s="22"/>
      <c r="AN1697" s="22"/>
      <c r="AO1697" s="22"/>
      <c r="AP1697" s="22"/>
      <c r="AQ1697" s="22"/>
      <c r="AR1697" s="35"/>
      <c r="AS1697" s="35"/>
      <c r="AT1697" s="35"/>
      <c r="AU1697" s="31"/>
      <c r="AV1697" s="36"/>
      <c r="AW1697" s="36"/>
    </row>
    <row r="1698" spans="4:49">
      <c r="D1698" s="31"/>
      <c r="E1698" s="31"/>
      <c r="F1698" s="31"/>
      <c r="G1698" s="31"/>
      <c r="H1698" s="32"/>
      <c r="J1698" s="33"/>
      <c r="K1698" s="33"/>
      <c r="L1698" s="33"/>
      <c r="X1698" s="22"/>
      <c r="Y1698" s="22"/>
      <c r="Z1698" s="22"/>
      <c r="AA1698" s="22"/>
      <c r="AF1698" s="22"/>
      <c r="AG1698" s="22"/>
      <c r="AH1698" s="22"/>
      <c r="AI1698" s="22"/>
      <c r="AN1698" s="22"/>
      <c r="AO1698" s="22"/>
      <c r="AP1698" s="22"/>
      <c r="AQ1698" s="22"/>
      <c r="AR1698" s="35"/>
      <c r="AS1698" s="35"/>
      <c r="AT1698" s="35"/>
      <c r="AU1698" s="31"/>
      <c r="AV1698" s="36"/>
      <c r="AW1698" s="36"/>
    </row>
    <row r="1699" spans="4:49">
      <c r="D1699" s="31"/>
      <c r="E1699" s="31"/>
      <c r="F1699" s="31"/>
      <c r="G1699" s="31"/>
      <c r="H1699" s="32"/>
      <c r="J1699" s="33"/>
      <c r="K1699" s="33"/>
      <c r="L1699" s="33"/>
      <c r="X1699" s="22"/>
      <c r="Y1699" s="22"/>
      <c r="Z1699" s="22"/>
      <c r="AA1699" s="22"/>
      <c r="AF1699" s="22"/>
      <c r="AG1699" s="22"/>
      <c r="AH1699" s="22"/>
      <c r="AI1699" s="22"/>
      <c r="AN1699" s="22"/>
      <c r="AO1699" s="22"/>
      <c r="AP1699" s="22"/>
      <c r="AQ1699" s="22"/>
      <c r="AR1699" s="35"/>
      <c r="AS1699" s="35"/>
      <c r="AT1699" s="35"/>
      <c r="AU1699" s="31"/>
      <c r="AV1699" s="36"/>
      <c r="AW1699" s="36"/>
    </row>
    <row r="1700" spans="4:49">
      <c r="D1700" s="31"/>
      <c r="E1700" s="31"/>
      <c r="F1700" s="31"/>
      <c r="G1700" s="31"/>
      <c r="H1700" s="32"/>
      <c r="J1700" s="33"/>
      <c r="K1700" s="33"/>
      <c r="L1700" s="33"/>
      <c r="X1700" s="22"/>
      <c r="Y1700" s="22"/>
      <c r="Z1700" s="22"/>
      <c r="AA1700" s="22"/>
      <c r="AF1700" s="22"/>
      <c r="AG1700" s="22"/>
      <c r="AH1700" s="22"/>
      <c r="AI1700" s="22"/>
      <c r="AN1700" s="22"/>
      <c r="AO1700" s="22"/>
      <c r="AP1700" s="22"/>
      <c r="AQ1700" s="22"/>
      <c r="AR1700" s="35"/>
      <c r="AS1700" s="35"/>
      <c r="AT1700" s="35"/>
      <c r="AU1700" s="31"/>
      <c r="AV1700" s="36"/>
      <c r="AW1700" s="36"/>
    </row>
    <row r="1701" spans="4:49">
      <c r="D1701" s="31"/>
      <c r="E1701" s="31"/>
      <c r="F1701" s="31"/>
      <c r="G1701" s="31"/>
      <c r="H1701" s="32"/>
      <c r="J1701" s="33"/>
      <c r="K1701" s="33"/>
      <c r="L1701" s="33"/>
      <c r="X1701" s="22"/>
      <c r="Y1701" s="22"/>
      <c r="Z1701" s="22"/>
      <c r="AA1701" s="22"/>
      <c r="AF1701" s="22"/>
      <c r="AG1701" s="22"/>
      <c r="AH1701" s="22"/>
      <c r="AI1701" s="22"/>
      <c r="AN1701" s="22"/>
      <c r="AO1701" s="22"/>
      <c r="AP1701" s="22"/>
      <c r="AQ1701" s="22"/>
      <c r="AR1701" s="35"/>
      <c r="AS1701" s="35"/>
      <c r="AT1701" s="35"/>
      <c r="AU1701" s="31"/>
      <c r="AV1701" s="36"/>
      <c r="AW1701" s="36"/>
    </row>
    <row r="1702" spans="4:49">
      <c r="D1702" s="31"/>
      <c r="E1702" s="31"/>
      <c r="F1702" s="31"/>
      <c r="G1702" s="31"/>
      <c r="H1702" s="32"/>
      <c r="J1702" s="33"/>
      <c r="K1702" s="33"/>
      <c r="L1702" s="33"/>
      <c r="X1702" s="22"/>
      <c r="Y1702" s="22"/>
      <c r="Z1702" s="22"/>
      <c r="AA1702" s="22"/>
      <c r="AF1702" s="22"/>
      <c r="AG1702" s="22"/>
      <c r="AH1702" s="22"/>
      <c r="AI1702" s="22"/>
      <c r="AN1702" s="22"/>
      <c r="AO1702" s="22"/>
      <c r="AP1702" s="22"/>
      <c r="AQ1702" s="22"/>
      <c r="AR1702" s="35"/>
      <c r="AS1702" s="35"/>
      <c r="AT1702" s="35"/>
      <c r="AU1702" s="31"/>
      <c r="AV1702" s="36"/>
      <c r="AW1702" s="36"/>
    </row>
    <row r="1703" spans="4:49">
      <c r="D1703" s="31"/>
      <c r="E1703" s="31"/>
      <c r="F1703" s="31"/>
      <c r="G1703" s="31"/>
      <c r="H1703" s="32"/>
      <c r="J1703" s="33"/>
      <c r="K1703" s="33"/>
      <c r="L1703" s="33"/>
      <c r="X1703" s="22"/>
      <c r="Y1703" s="22"/>
      <c r="Z1703" s="22"/>
      <c r="AA1703" s="22"/>
      <c r="AF1703" s="22"/>
      <c r="AG1703" s="22"/>
      <c r="AH1703" s="22"/>
      <c r="AI1703" s="22"/>
      <c r="AN1703" s="22"/>
      <c r="AO1703" s="22"/>
      <c r="AP1703" s="22"/>
      <c r="AQ1703" s="22"/>
      <c r="AR1703" s="35"/>
      <c r="AS1703" s="35"/>
      <c r="AT1703" s="35"/>
      <c r="AU1703" s="31"/>
      <c r="AV1703" s="36"/>
      <c r="AW1703" s="36"/>
    </row>
    <row r="1704" spans="4:49">
      <c r="D1704" s="31"/>
      <c r="E1704" s="31"/>
      <c r="F1704" s="31"/>
      <c r="G1704" s="31"/>
      <c r="H1704" s="32"/>
      <c r="J1704" s="33"/>
      <c r="K1704" s="33"/>
      <c r="L1704" s="33"/>
      <c r="X1704" s="22"/>
      <c r="Y1704" s="22"/>
      <c r="Z1704" s="22"/>
      <c r="AA1704" s="22"/>
      <c r="AF1704" s="22"/>
      <c r="AG1704" s="22"/>
      <c r="AH1704" s="22"/>
      <c r="AI1704" s="22"/>
      <c r="AN1704" s="22"/>
      <c r="AO1704" s="22"/>
      <c r="AP1704" s="22"/>
      <c r="AQ1704" s="22"/>
      <c r="AR1704" s="35"/>
      <c r="AS1704" s="35"/>
      <c r="AT1704" s="35"/>
      <c r="AU1704" s="31"/>
      <c r="AV1704" s="36"/>
      <c r="AW1704" s="36"/>
    </row>
    <row r="1705" spans="4:49">
      <c r="D1705" s="31"/>
      <c r="E1705" s="31"/>
      <c r="F1705" s="31"/>
      <c r="G1705" s="31"/>
      <c r="H1705" s="32"/>
      <c r="J1705" s="33"/>
      <c r="K1705" s="33"/>
      <c r="L1705" s="33"/>
      <c r="X1705" s="22"/>
      <c r="Y1705" s="22"/>
      <c r="Z1705" s="22"/>
      <c r="AA1705" s="22"/>
      <c r="AF1705" s="22"/>
      <c r="AG1705" s="22"/>
      <c r="AH1705" s="22"/>
      <c r="AI1705" s="22"/>
      <c r="AN1705" s="22"/>
      <c r="AO1705" s="22"/>
      <c r="AP1705" s="22"/>
      <c r="AQ1705" s="22"/>
      <c r="AR1705" s="35"/>
      <c r="AS1705" s="35"/>
      <c r="AT1705" s="35"/>
      <c r="AU1705" s="31"/>
      <c r="AV1705" s="36"/>
      <c r="AW1705" s="36"/>
    </row>
    <row r="1706" spans="4:49">
      <c r="D1706" s="31"/>
      <c r="E1706" s="31"/>
      <c r="F1706" s="31"/>
      <c r="G1706" s="31"/>
      <c r="H1706" s="32"/>
      <c r="J1706" s="33"/>
      <c r="K1706" s="33"/>
      <c r="L1706" s="33"/>
      <c r="X1706" s="22"/>
      <c r="Y1706" s="22"/>
      <c r="Z1706" s="22"/>
      <c r="AA1706" s="22"/>
      <c r="AF1706" s="22"/>
      <c r="AG1706" s="22"/>
      <c r="AH1706" s="22"/>
      <c r="AI1706" s="22"/>
      <c r="AN1706" s="22"/>
      <c r="AO1706" s="22"/>
      <c r="AP1706" s="22"/>
      <c r="AQ1706" s="22"/>
      <c r="AR1706" s="35"/>
      <c r="AS1706" s="35"/>
      <c r="AT1706" s="35"/>
      <c r="AU1706" s="31"/>
      <c r="AV1706" s="36"/>
      <c r="AW1706" s="36"/>
    </row>
    <row r="1707" spans="4:49">
      <c r="D1707" s="31"/>
      <c r="E1707" s="31"/>
      <c r="F1707" s="31"/>
      <c r="G1707" s="31"/>
      <c r="H1707" s="32"/>
      <c r="J1707" s="33"/>
      <c r="K1707" s="33"/>
      <c r="L1707" s="33"/>
      <c r="X1707" s="22"/>
      <c r="Y1707" s="22"/>
      <c r="Z1707" s="22"/>
      <c r="AA1707" s="22"/>
      <c r="AF1707" s="22"/>
      <c r="AG1707" s="22"/>
      <c r="AH1707" s="22"/>
      <c r="AI1707" s="22"/>
      <c r="AN1707" s="22"/>
      <c r="AO1707" s="22"/>
      <c r="AP1707" s="22"/>
      <c r="AQ1707" s="22"/>
      <c r="AR1707" s="35"/>
      <c r="AS1707" s="35"/>
      <c r="AT1707" s="35"/>
      <c r="AU1707" s="31"/>
      <c r="AV1707" s="36"/>
      <c r="AW1707" s="36"/>
    </row>
    <row r="1708" spans="4:49">
      <c r="D1708" s="31"/>
      <c r="E1708" s="31"/>
      <c r="F1708" s="31"/>
      <c r="G1708" s="31"/>
      <c r="H1708" s="32"/>
      <c r="J1708" s="33"/>
      <c r="K1708" s="33"/>
      <c r="L1708" s="33"/>
      <c r="X1708" s="22"/>
      <c r="Y1708" s="22"/>
      <c r="Z1708" s="22"/>
      <c r="AA1708" s="22"/>
      <c r="AF1708" s="22"/>
      <c r="AG1708" s="22"/>
      <c r="AH1708" s="22"/>
      <c r="AI1708" s="22"/>
      <c r="AN1708" s="22"/>
      <c r="AO1708" s="22"/>
      <c r="AP1708" s="22"/>
      <c r="AQ1708" s="22"/>
      <c r="AR1708" s="35"/>
      <c r="AS1708" s="35"/>
      <c r="AT1708" s="35"/>
      <c r="AU1708" s="31"/>
      <c r="AV1708" s="36"/>
      <c r="AW1708" s="36"/>
    </row>
    <row r="1709" spans="4:49">
      <c r="D1709" s="31"/>
      <c r="E1709" s="31"/>
      <c r="F1709" s="31"/>
      <c r="G1709" s="31"/>
      <c r="H1709" s="32"/>
      <c r="J1709" s="33"/>
      <c r="K1709" s="33"/>
      <c r="L1709" s="33"/>
      <c r="X1709" s="22"/>
      <c r="Y1709" s="22"/>
      <c r="Z1709" s="22"/>
      <c r="AA1709" s="22"/>
      <c r="AF1709" s="22"/>
      <c r="AG1709" s="22"/>
      <c r="AH1709" s="22"/>
      <c r="AI1709" s="22"/>
      <c r="AN1709" s="22"/>
      <c r="AO1709" s="22"/>
      <c r="AP1709" s="22"/>
      <c r="AQ1709" s="22"/>
      <c r="AR1709" s="35"/>
      <c r="AS1709" s="35"/>
      <c r="AT1709" s="35"/>
      <c r="AU1709" s="31"/>
      <c r="AV1709" s="36"/>
      <c r="AW1709" s="36"/>
    </row>
    <row r="1710" spans="4:49">
      <c r="D1710" s="31"/>
      <c r="E1710" s="31"/>
      <c r="F1710" s="31"/>
      <c r="G1710" s="31"/>
      <c r="H1710" s="32"/>
      <c r="J1710" s="33"/>
      <c r="K1710" s="33"/>
      <c r="L1710" s="33"/>
      <c r="X1710" s="22"/>
      <c r="Y1710" s="22"/>
      <c r="Z1710" s="22"/>
      <c r="AA1710" s="22"/>
      <c r="AF1710" s="22"/>
      <c r="AG1710" s="22"/>
      <c r="AH1710" s="22"/>
      <c r="AI1710" s="22"/>
      <c r="AN1710" s="22"/>
      <c r="AO1710" s="22"/>
      <c r="AP1710" s="22"/>
      <c r="AQ1710" s="22"/>
      <c r="AR1710" s="35"/>
      <c r="AS1710" s="35"/>
      <c r="AT1710" s="35"/>
      <c r="AU1710" s="31"/>
      <c r="AV1710" s="36"/>
      <c r="AW1710" s="36"/>
    </row>
    <row r="1711" spans="4:49">
      <c r="D1711" s="31"/>
      <c r="E1711" s="31"/>
      <c r="F1711" s="31"/>
      <c r="G1711" s="31"/>
      <c r="H1711" s="32"/>
      <c r="J1711" s="33"/>
      <c r="K1711" s="33"/>
      <c r="L1711" s="33"/>
      <c r="X1711" s="22"/>
      <c r="Y1711" s="22"/>
      <c r="Z1711" s="22"/>
      <c r="AA1711" s="22"/>
      <c r="AF1711" s="22"/>
      <c r="AG1711" s="22"/>
      <c r="AH1711" s="22"/>
      <c r="AI1711" s="22"/>
      <c r="AN1711" s="22"/>
      <c r="AO1711" s="22"/>
      <c r="AP1711" s="22"/>
      <c r="AQ1711" s="22"/>
      <c r="AR1711" s="35"/>
      <c r="AS1711" s="35"/>
      <c r="AT1711" s="35"/>
      <c r="AU1711" s="31"/>
      <c r="AV1711" s="36"/>
      <c r="AW1711" s="36"/>
    </row>
    <row r="1712" spans="4:49">
      <c r="D1712" s="31"/>
      <c r="E1712" s="31"/>
      <c r="F1712" s="31"/>
      <c r="G1712" s="31"/>
      <c r="H1712" s="32"/>
      <c r="J1712" s="33"/>
      <c r="K1712" s="33"/>
      <c r="L1712" s="33"/>
      <c r="X1712" s="22"/>
      <c r="Y1712" s="22"/>
      <c r="Z1712" s="22"/>
      <c r="AA1712" s="22"/>
      <c r="AF1712" s="22"/>
      <c r="AG1712" s="22"/>
      <c r="AH1712" s="22"/>
      <c r="AI1712" s="22"/>
      <c r="AN1712" s="22"/>
      <c r="AO1712" s="22"/>
      <c r="AP1712" s="22"/>
      <c r="AQ1712" s="22"/>
      <c r="AR1712" s="35"/>
      <c r="AS1712" s="35"/>
      <c r="AT1712" s="35"/>
      <c r="AU1712" s="31"/>
      <c r="AV1712" s="36"/>
      <c r="AW1712" s="36"/>
    </row>
    <row r="1713" spans="4:49">
      <c r="D1713" s="31"/>
      <c r="E1713" s="31"/>
      <c r="F1713" s="31"/>
      <c r="G1713" s="31"/>
      <c r="H1713" s="32"/>
      <c r="J1713" s="33"/>
      <c r="K1713" s="33"/>
      <c r="L1713" s="33"/>
      <c r="X1713" s="22"/>
      <c r="Y1713" s="22"/>
      <c r="Z1713" s="22"/>
      <c r="AA1713" s="22"/>
      <c r="AF1713" s="22"/>
      <c r="AG1713" s="22"/>
      <c r="AH1713" s="22"/>
      <c r="AI1713" s="22"/>
      <c r="AN1713" s="22"/>
      <c r="AO1713" s="22"/>
      <c r="AP1713" s="22"/>
      <c r="AQ1713" s="22"/>
      <c r="AR1713" s="35"/>
      <c r="AS1713" s="35"/>
      <c r="AT1713" s="35"/>
      <c r="AU1713" s="31"/>
      <c r="AV1713" s="36"/>
      <c r="AW1713" s="36"/>
    </row>
    <row r="1714" spans="4:49">
      <c r="D1714" s="31"/>
      <c r="E1714" s="31"/>
      <c r="F1714" s="31"/>
      <c r="G1714" s="31"/>
      <c r="H1714" s="32"/>
      <c r="J1714" s="33"/>
      <c r="K1714" s="33"/>
      <c r="L1714" s="33"/>
      <c r="X1714" s="22"/>
      <c r="Y1714" s="22"/>
      <c r="Z1714" s="22"/>
      <c r="AA1714" s="22"/>
      <c r="AF1714" s="22"/>
      <c r="AG1714" s="22"/>
      <c r="AH1714" s="22"/>
      <c r="AI1714" s="22"/>
      <c r="AN1714" s="22"/>
      <c r="AO1714" s="22"/>
      <c r="AP1714" s="22"/>
      <c r="AQ1714" s="22"/>
      <c r="AR1714" s="35"/>
      <c r="AS1714" s="35"/>
      <c r="AT1714" s="35"/>
      <c r="AU1714" s="31"/>
      <c r="AV1714" s="36"/>
      <c r="AW1714" s="36"/>
    </row>
    <row r="1715" spans="4:49">
      <c r="D1715" s="31"/>
      <c r="E1715" s="31"/>
      <c r="F1715" s="31"/>
      <c r="G1715" s="31"/>
      <c r="H1715" s="32"/>
      <c r="J1715" s="33"/>
      <c r="K1715" s="33"/>
      <c r="L1715" s="33"/>
      <c r="X1715" s="22"/>
      <c r="Y1715" s="22"/>
      <c r="Z1715" s="22"/>
      <c r="AA1715" s="22"/>
      <c r="AF1715" s="22"/>
      <c r="AG1715" s="22"/>
      <c r="AH1715" s="22"/>
      <c r="AI1715" s="22"/>
      <c r="AN1715" s="22"/>
      <c r="AO1715" s="22"/>
      <c r="AP1715" s="22"/>
      <c r="AQ1715" s="22"/>
      <c r="AR1715" s="35"/>
      <c r="AS1715" s="35"/>
      <c r="AT1715" s="35"/>
      <c r="AU1715" s="31"/>
      <c r="AV1715" s="36"/>
      <c r="AW1715" s="36"/>
    </row>
    <row r="1716" spans="4:49">
      <c r="D1716" s="31"/>
      <c r="E1716" s="31"/>
      <c r="F1716" s="31"/>
      <c r="G1716" s="31"/>
      <c r="H1716" s="32"/>
      <c r="J1716" s="33"/>
      <c r="K1716" s="33"/>
      <c r="L1716" s="33"/>
      <c r="X1716" s="22"/>
      <c r="Y1716" s="22"/>
      <c r="Z1716" s="22"/>
      <c r="AA1716" s="22"/>
      <c r="AF1716" s="22"/>
      <c r="AG1716" s="22"/>
      <c r="AH1716" s="22"/>
      <c r="AI1716" s="22"/>
      <c r="AN1716" s="22"/>
      <c r="AO1716" s="22"/>
      <c r="AP1716" s="22"/>
      <c r="AQ1716" s="22"/>
      <c r="AR1716" s="35"/>
      <c r="AS1716" s="35"/>
      <c r="AT1716" s="35"/>
      <c r="AU1716" s="31"/>
      <c r="AV1716" s="36"/>
      <c r="AW1716" s="36"/>
    </row>
    <row r="1717" spans="4:49">
      <c r="D1717" s="31"/>
      <c r="E1717" s="31"/>
      <c r="F1717" s="31"/>
      <c r="G1717" s="31"/>
      <c r="H1717" s="32"/>
      <c r="J1717" s="33"/>
      <c r="K1717" s="33"/>
      <c r="L1717" s="33"/>
      <c r="X1717" s="22"/>
      <c r="Y1717" s="22"/>
      <c r="Z1717" s="22"/>
      <c r="AA1717" s="22"/>
      <c r="AF1717" s="22"/>
      <c r="AG1717" s="22"/>
      <c r="AH1717" s="22"/>
      <c r="AI1717" s="22"/>
      <c r="AN1717" s="22"/>
      <c r="AO1717" s="22"/>
      <c r="AP1717" s="22"/>
      <c r="AQ1717" s="22"/>
      <c r="AR1717" s="35"/>
      <c r="AS1717" s="35"/>
      <c r="AT1717" s="35"/>
      <c r="AU1717" s="31"/>
      <c r="AV1717" s="36"/>
      <c r="AW1717" s="36"/>
    </row>
    <row r="1718" spans="4:49">
      <c r="D1718" s="31"/>
      <c r="E1718" s="31"/>
      <c r="F1718" s="31"/>
      <c r="G1718" s="31"/>
      <c r="H1718" s="32"/>
      <c r="J1718" s="33"/>
      <c r="K1718" s="33"/>
      <c r="L1718" s="33"/>
      <c r="X1718" s="22"/>
      <c r="Y1718" s="22"/>
      <c r="Z1718" s="22"/>
      <c r="AA1718" s="22"/>
      <c r="AF1718" s="22"/>
      <c r="AG1718" s="22"/>
      <c r="AH1718" s="22"/>
      <c r="AI1718" s="22"/>
      <c r="AN1718" s="22"/>
      <c r="AO1718" s="22"/>
      <c r="AP1718" s="22"/>
      <c r="AQ1718" s="22"/>
      <c r="AR1718" s="35"/>
      <c r="AS1718" s="35"/>
      <c r="AT1718" s="35"/>
      <c r="AU1718" s="31"/>
      <c r="AV1718" s="36"/>
      <c r="AW1718" s="36"/>
    </row>
    <row r="1719" spans="4:49">
      <c r="D1719" s="31"/>
      <c r="E1719" s="31"/>
      <c r="F1719" s="31"/>
      <c r="G1719" s="31"/>
      <c r="H1719" s="32"/>
      <c r="J1719" s="33"/>
      <c r="K1719" s="33"/>
      <c r="L1719" s="33"/>
      <c r="X1719" s="22"/>
      <c r="Y1719" s="22"/>
      <c r="Z1719" s="22"/>
      <c r="AA1719" s="22"/>
      <c r="AF1719" s="22"/>
      <c r="AG1719" s="22"/>
      <c r="AH1719" s="22"/>
      <c r="AI1719" s="22"/>
      <c r="AN1719" s="22"/>
      <c r="AO1719" s="22"/>
      <c r="AP1719" s="22"/>
      <c r="AQ1719" s="22"/>
      <c r="AR1719" s="35"/>
      <c r="AS1719" s="35"/>
      <c r="AT1719" s="35"/>
      <c r="AU1719" s="31"/>
      <c r="AV1719" s="36"/>
      <c r="AW1719" s="36"/>
    </row>
    <row r="1720" spans="4:49">
      <c r="D1720" s="31"/>
      <c r="E1720" s="31"/>
      <c r="F1720" s="31"/>
      <c r="G1720" s="31"/>
      <c r="H1720" s="32"/>
      <c r="J1720" s="33"/>
      <c r="K1720" s="33"/>
      <c r="L1720" s="33"/>
      <c r="X1720" s="22"/>
      <c r="Y1720" s="22"/>
      <c r="Z1720" s="22"/>
      <c r="AA1720" s="22"/>
      <c r="AF1720" s="22"/>
      <c r="AG1720" s="22"/>
      <c r="AH1720" s="22"/>
      <c r="AI1720" s="22"/>
      <c r="AN1720" s="22"/>
      <c r="AO1720" s="22"/>
      <c r="AP1720" s="22"/>
      <c r="AQ1720" s="22"/>
      <c r="AR1720" s="35"/>
      <c r="AS1720" s="35"/>
      <c r="AT1720" s="35"/>
      <c r="AU1720" s="31"/>
      <c r="AV1720" s="36"/>
      <c r="AW1720" s="36"/>
    </row>
    <row r="1721" spans="4:49">
      <c r="D1721" s="31"/>
      <c r="E1721" s="31"/>
      <c r="F1721" s="31"/>
      <c r="G1721" s="31"/>
      <c r="H1721" s="32"/>
      <c r="J1721" s="33"/>
      <c r="K1721" s="33"/>
      <c r="L1721" s="33"/>
      <c r="X1721" s="22"/>
      <c r="Y1721" s="22"/>
      <c r="Z1721" s="22"/>
      <c r="AA1721" s="22"/>
      <c r="AF1721" s="22"/>
      <c r="AG1721" s="22"/>
      <c r="AH1721" s="22"/>
      <c r="AI1721" s="22"/>
      <c r="AN1721" s="22"/>
      <c r="AO1721" s="22"/>
      <c r="AP1721" s="22"/>
      <c r="AQ1721" s="22"/>
      <c r="AR1721" s="35"/>
      <c r="AS1721" s="35"/>
      <c r="AT1721" s="35"/>
      <c r="AU1721" s="31"/>
      <c r="AV1721" s="36"/>
      <c r="AW1721" s="36"/>
    </row>
    <row r="1722" spans="4:49">
      <c r="D1722" s="31"/>
      <c r="E1722" s="31"/>
      <c r="F1722" s="31"/>
      <c r="G1722" s="31"/>
      <c r="H1722" s="32"/>
      <c r="J1722" s="33"/>
      <c r="K1722" s="33"/>
      <c r="L1722" s="33"/>
      <c r="X1722" s="22"/>
      <c r="Y1722" s="22"/>
      <c r="Z1722" s="22"/>
      <c r="AA1722" s="22"/>
      <c r="AF1722" s="22"/>
      <c r="AG1722" s="22"/>
      <c r="AH1722" s="22"/>
      <c r="AI1722" s="22"/>
      <c r="AN1722" s="22"/>
      <c r="AO1722" s="22"/>
      <c r="AP1722" s="22"/>
      <c r="AQ1722" s="22"/>
      <c r="AR1722" s="35"/>
      <c r="AS1722" s="35"/>
      <c r="AT1722" s="35"/>
      <c r="AU1722" s="31"/>
      <c r="AV1722" s="36"/>
      <c r="AW1722" s="36"/>
    </row>
    <row r="1723" spans="4:49">
      <c r="D1723" s="31"/>
      <c r="E1723" s="31"/>
      <c r="F1723" s="31"/>
      <c r="G1723" s="31"/>
      <c r="H1723" s="32"/>
      <c r="J1723" s="33"/>
      <c r="K1723" s="33"/>
      <c r="L1723" s="33"/>
      <c r="X1723" s="22"/>
      <c r="Y1723" s="22"/>
      <c r="Z1723" s="22"/>
      <c r="AA1723" s="22"/>
      <c r="AF1723" s="22"/>
      <c r="AG1723" s="22"/>
      <c r="AH1723" s="22"/>
      <c r="AI1723" s="22"/>
      <c r="AN1723" s="22"/>
      <c r="AO1723" s="22"/>
      <c r="AP1723" s="22"/>
      <c r="AQ1723" s="22"/>
      <c r="AR1723" s="35"/>
      <c r="AS1723" s="35"/>
      <c r="AT1723" s="35"/>
      <c r="AU1723" s="31"/>
      <c r="AV1723" s="36"/>
      <c r="AW1723" s="36"/>
    </row>
    <row r="1724" spans="4:49">
      <c r="D1724" s="31"/>
      <c r="E1724" s="31"/>
      <c r="F1724" s="31"/>
      <c r="G1724" s="31"/>
      <c r="H1724" s="32"/>
      <c r="J1724" s="33"/>
      <c r="K1724" s="33"/>
      <c r="L1724" s="33"/>
      <c r="X1724" s="22"/>
      <c r="Y1724" s="22"/>
      <c r="Z1724" s="22"/>
      <c r="AA1724" s="22"/>
      <c r="AF1724" s="22"/>
      <c r="AG1724" s="22"/>
      <c r="AH1724" s="22"/>
      <c r="AI1724" s="22"/>
      <c r="AN1724" s="22"/>
      <c r="AO1724" s="22"/>
      <c r="AP1724" s="22"/>
      <c r="AQ1724" s="22"/>
      <c r="AR1724" s="35"/>
      <c r="AS1724" s="35"/>
      <c r="AT1724" s="35"/>
      <c r="AU1724" s="31"/>
      <c r="AV1724" s="36"/>
      <c r="AW1724" s="36"/>
    </row>
    <row r="1725" spans="4:49">
      <c r="D1725" s="31"/>
      <c r="E1725" s="31"/>
      <c r="F1725" s="31"/>
      <c r="G1725" s="31"/>
      <c r="H1725" s="32"/>
      <c r="J1725" s="33"/>
      <c r="K1725" s="33"/>
      <c r="L1725" s="33"/>
      <c r="X1725" s="22"/>
      <c r="Y1725" s="22"/>
      <c r="Z1725" s="22"/>
      <c r="AA1725" s="22"/>
      <c r="AF1725" s="22"/>
      <c r="AG1725" s="22"/>
      <c r="AH1725" s="22"/>
      <c r="AI1725" s="22"/>
      <c r="AN1725" s="22"/>
      <c r="AO1725" s="22"/>
      <c r="AP1725" s="22"/>
      <c r="AQ1725" s="22"/>
      <c r="AR1725" s="35"/>
      <c r="AS1725" s="35"/>
      <c r="AT1725" s="35"/>
      <c r="AU1725" s="31"/>
      <c r="AV1725" s="36"/>
      <c r="AW1725" s="36"/>
    </row>
    <row r="1726" spans="4:49">
      <c r="D1726" s="31"/>
      <c r="E1726" s="31"/>
      <c r="F1726" s="31"/>
      <c r="G1726" s="31"/>
      <c r="H1726" s="32"/>
      <c r="J1726" s="33"/>
      <c r="K1726" s="33"/>
      <c r="L1726" s="33"/>
      <c r="X1726" s="22"/>
      <c r="Y1726" s="22"/>
      <c r="Z1726" s="22"/>
      <c r="AA1726" s="22"/>
      <c r="AF1726" s="22"/>
      <c r="AG1726" s="22"/>
      <c r="AH1726" s="22"/>
      <c r="AI1726" s="22"/>
      <c r="AN1726" s="22"/>
      <c r="AO1726" s="22"/>
      <c r="AP1726" s="22"/>
      <c r="AQ1726" s="22"/>
      <c r="AR1726" s="35"/>
      <c r="AS1726" s="35"/>
      <c r="AT1726" s="35"/>
      <c r="AU1726" s="31"/>
      <c r="AV1726" s="36"/>
      <c r="AW1726" s="36"/>
    </row>
    <row r="1727" spans="4:49">
      <c r="D1727" s="31"/>
      <c r="E1727" s="31"/>
      <c r="F1727" s="31"/>
      <c r="G1727" s="31"/>
      <c r="H1727" s="32"/>
      <c r="J1727" s="33"/>
      <c r="K1727" s="33"/>
      <c r="L1727" s="33"/>
      <c r="X1727" s="22"/>
      <c r="Y1727" s="22"/>
      <c r="Z1727" s="22"/>
      <c r="AA1727" s="22"/>
      <c r="AF1727" s="22"/>
      <c r="AG1727" s="22"/>
      <c r="AH1727" s="22"/>
      <c r="AI1727" s="22"/>
      <c r="AN1727" s="22"/>
      <c r="AO1727" s="22"/>
      <c r="AP1727" s="22"/>
      <c r="AQ1727" s="22"/>
      <c r="AR1727" s="35"/>
      <c r="AS1727" s="35"/>
      <c r="AT1727" s="35"/>
      <c r="AU1727" s="31"/>
      <c r="AV1727" s="36"/>
      <c r="AW1727" s="36"/>
    </row>
    <row r="1728" spans="4:49">
      <c r="D1728" s="31"/>
      <c r="E1728" s="31"/>
      <c r="F1728" s="31"/>
      <c r="G1728" s="31"/>
      <c r="H1728" s="32"/>
      <c r="J1728" s="33"/>
      <c r="K1728" s="33"/>
      <c r="L1728" s="33"/>
      <c r="X1728" s="22"/>
      <c r="Y1728" s="22"/>
      <c r="Z1728" s="22"/>
      <c r="AA1728" s="22"/>
      <c r="AF1728" s="22"/>
      <c r="AG1728" s="22"/>
      <c r="AH1728" s="22"/>
      <c r="AI1728" s="22"/>
      <c r="AN1728" s="22"/>
      <c r="AO1728" s="22"/>
      <c r="AP1728" s="22"/>
      <c r="AQ1728" s="22"/>
      <c r="AR1728" s="35"/>
      <c r="AS1728" s="35"/>
      <c r="AT1728" s="35"/>
      <c r="AU1728" s="31"/>
      <c r="AV1728" s="36"/>
      <c r="AW1728" s="36"/>
    </row>
    <row r="1729" spans="4:49">
      <c r="D1729" s="31"/>
      <c r="E1729" s="31"/>
      <c r="F1729" s="31"/>
      <c r="G1729" s="31"/>
      <c r="H1729" s="32"/>
      <c r="J1729" s="33"/>
      <c r="K1729" s="33"/>
      <c r="L1729" s="33"/>
      <c r="X1729" s="22"/>
      <c r="Y1729" s="22"/>
      <c r="Z1729" s="22"/>
      <c r="AA1729" s="22"/>
      <c r="AF1729" s="22"/>
      <c r="AG1729" s="22"/>
      <c r="AH1729" s="22"/>
      <c r="AI1729" s="22"/>
      <c r="AN1729" s="22"/>
      <c r="AO1729" s="22"/>
      <c r="AP1729" s="22"/>
      <c r="AQ1729" s="22"/>
      <c r="AR1729" s="35"/>
      <c r="AS1729" s="35"/>
      <c r="AT1729" s="35"/>
      <c r="AU1729" s="31"/>
      <c r="AV1729" s="36"/>
      <c r="AW1729" s="36"/>
    </row>
    <row r="1730" spans="4:49">
      <c r="D1730" s="31"/>
      <c r="E1730" s="31"/>
      <c r="F1730" s="31"/>
      <c r="G1730" s="31"/>
      <c r="H1730" s="32"/>
      <c r="J1730" s="33"/>
      <c r="K1730" s="33"/>
      <c r="L1730" s="33"/>
      <c r="X1730" s="22"/>
      <c r="Y1730" s="22"/>
      <c r="Z1730" s="22"/>
      <c r="AA1730" s="22"/>
      <c r="AF1730" s="22"/>
      <c r="AG1730" s="22"/>
      <c r="AH1730" s="22"/>
      <c r="AI1730" s="22"/>
      <c r="AN1730" s="22"/>
      <c r="AO1730" s="22"/>
      <c r="AP1730" s="22"/>
      <c r="AQ1730" s="22"/>
      <c r="AR1730" s="35"/>
      <c r="AS1730" s="35"/>
      <c r="AT1730" s="35"/>
      <c r="AU1730" s="31"/>
      <c r="AV1730" s="36"/>
      <c r="AW1730" s="36"/>
    </row>
    <row r="1731" spans="4:49">
      <c r="D1731" s="31"/>
      <c r="E1731" s="31"/>
      <c r="F1731" s="31"/>
      <c r="G1731" s="31"/>
      <c r="H1731" s="32"/>
      <c r="J1731" s="33"/>
      <c r="K1731" s="33"/>
      <c r="L1731" s="33"/>
      <c r="X1731" s="22"/>
      <c r="Y1731" s="22"/>
      <c r="Z1731" s="22"/>
      <c r="AA1731" s="22"/>
      <c r="AF1731" s="22"/>
      <c r="AG1731" s="22"/>
      <c r="AH1731" s="22"/>
      <c r="AI1731" s="22"/>
      <c r="AN1731" s="22"/>
      <c r="AO1731" s="22"/>
      <c r="AP1731" s="22"/>
      <c r="AQ1731" s="22"/>
      <c r="AR1731" s="35"/>
      <c r="AS1731" s="35"/>
      <c r="AT1731" s="35"/>
      <c r="AU1731" s="31"/>
      <c r="AV1731" s="36"/>
      <c r="AW1731" s="36"/>
    </row>
    <row r="1732" spans="4:49">
      <c r="D1732" s="31"/>
      <c r="E1732" s="31"/>
      <c r="F1732" s="31"/>
      <c r="G1732" s="31"/>
      <c r="H1732" s="32"/>
      <c r="J1732" s="33"/>
      <c r="K1732" s="33"/>
      <c r="L1732" s="33"/>
      <c r="X1732" s="22"/>
      <c r="Y1732" s="22"/>
      <c r="Z1732" s="22"/>
      <c r="AA1732" s="22"/>
      <c r="AF1732" s="22"/>
      <c r="AG1732" s="22"/>
      <c r="AH1732" s="22"/>
      <c r="AI1732" s="22"/>
      <c r="AN1732" s="22"/>
      <c r="AO1732" s="22"/>
      <c r="AP1732" s="22"/>
      <c r="AQ1732" s="22"/>
      <c r="AR1732" s="35"/>
      <c r="AS1732" s="35"/>
      <c r="AT1732" s="35"/>
      <c r="AU1732" s="31"/>
      <c r="AV1732" s="36"/>
      <c r="AW1732" s="36"/>
    </row>
    <row r="1733" spans="4:49">
      <c r="D1733" s="31"/>
      <c r="E1733" s="31"/>
      <c r="F1733" s="31"/>
      <c r="G1733" s="31"/>
      <c r="H1733" s="32"/>
      <c r="J1733" s="33"/>
      <c r="K1733" s="33"/>
      <c r="L1733" s="33"/>
      <c r="X1733" s="22"/>
      <c r="Y1733" s="22"/>
      <c r="Z1733" s="22"/>
      <c r="AA1733" s="22"/>
      <c r="AF1733" s="22"/>
      <c r="AG1733" s="22"/>
      <c r="AH1733" s="22"/>
      <c r="AI1733" s="22"/>
      <c r="AN1733" s="22"/>
      <c r="AO1733" s="22"/>
      <c r="AP1733" s="22"/>
      <c r="AQ1733" s="22"/>
      <c r="AR1733" s="35"/>
      <c r="AS1733" s="35"/>
      <c r="AT1733" s="35"/>
      <c r="AU1733" s="31"/>
      <c r="AV1733" s="36"/>
      <c r="AW1733" s="36"/>
    </row>
    <row r="1734" spans="4:49">
      <c r="D1734" s="31"/>
      <c r="E1734" s="31"/>
      <c r="F1734" s="31"/>
      <c r="G1734" s="31"/>
      <c r="H1734" s="32"/>
      <c r="J1734" s="33"/>
      <c r="K1734" s="33"/>
      <c r="L1734" s="33"/>
      <c r="X1734" s="22"/>
      <c r="Y1734" s="22"/>
      <c r="Z1734" s="22"/>
      <c r="AA1734" s="22"/>
      <c r="AF1734" s="22"/>
      <c r="AG1734" s="22"/>
      <c r="AH1734" s="22"/>
      <c r="AI1734" s="22"/>
      <c r="AN1734" s="22"/>
      <c r="AO1734" s="22"/>
      <c r="AP1734" s="22"/>
      <c r="AQ1734" s="22"/>
      <c r="AR1734" s="35"/>
      <c r="AS1734" s="35"/>
      <c r="AT1734" s="35"/>
      <c r="AU1734" s="31"/>
      <c r="AV1734" s="36"/>
      <c r="AW1734" s="36"/>
    </row>
    <row r="1735" spans="4:49">
      <c r="D1735" s="31"/>
      <c r="E1735" s="31"/>
      <c r="F1735" s="31"/>
      <c r="G1735" s="31"/>
      <c r="H1735" s="32"/>
      <c r="J1735" s="33"/>
      <c r="K1735" s="33"/>
      <c r="L1735" s="33"/>
      <c r="X1735" s="22"/>
      <c r="Y1735" s="22"/>
      <c r="Z1735" s="22"/>
      <c r="AA1735" s="22"/>
      <c r="AF1735" s="22"/>
      <c r="AG1735" s="22"/>
      <c r="AH1735" s="22"/>
      <c r="AI1735" s="22"/>
      <c r="AN1735" s="22"/>
      <c r="AO1735" s="22"/>
      <c r="AP1735" s="22"/>
      <c r="AQ1735" s="22"/>
      <c r="AR1735" s="35"/>
      <c r="AS1735" s="35"/>
      <c r="AT1735" s="35"/>
      <c r="AU1735" s="31"/>
      <c r="AV1735" s="36"/>
      <c r="AW1735" s="36"/>
    </row>
    <row r="1736" spans="4:49">
      <c r="D1736" s="31"/>
      <c r="E1736" s="31"/>
      <c r="F1736" s="31"/>
      <c r="G1736" s="31"/>
      <c r="H1736" s="32"/>
      <c r="J1736" s="33"/>
      <c r="K1736" s="33"/>
      <c r="L1736" s="33"/>
      <c r="X1736" s="22"/>
      <c r="Y1736" s="22"/>
      <c r="Z1736" s="22"/>
      <c r="AA1736" s="22"/>
      <c r="AF1736" s="22"/>
      <c r="AG1736" s="22"/>
      <c r="AH1736" s="22"/>
      <c r="AI1736" s="22"/>
      <c r="AN1736" s="22"/>
      <c r="AO1736" s="22"/>
      <c r="AP1736" s="22"/>
      <c r="AQ1736" s="22"/>
      <c r="AR1736" s="35"/>
      <c r="AS1736" s="35"/>
      <c r="AT1736" s="35"/>
      <c r="AU1736" s="31"/>
      <c r="AV1736" s="36"/>
      <c r="AW1736" s="36"/>
    </row>
    <row r="1737" spans="4:49">
      <c r="D1737" s="31"/>
      <c r="E1737" s="31"/>
      <c r="F1737" s="31"/>
      <c r="G1737" s="31"/>
      <c r="H1737" s="32"/>
      <c r="J1737" s="33"/>
      <c r="K1737" s="33"/>
      <c r="L1737" s="33"/>
      <c r="X1737" s="22"/>
      <c r="Y1737" s="22"/>
      <c r="Z1737" s="22"/>
      <c r="AA1737" s="22"/>
      <c r="AF1737" s="22"/>
      <c r="AG1737" s="22"/>
      <c r="AH1737" s="22"/>
      <c r="AI1737" s="22"/>
      <c r="AN1737" s="22"/>
      <c r="AO1737" s="22"/>
      <c r="AP1737" s="22"/>
      <c r="AQ1737" s="22"/>
      <c r="AR1737" s="35"/>
      <c r="AS1737" s="35"/>
      <c r="AT1737" s="35"/>
      <c r="AU1737" s="31"/>
      <c r="AV1737" s="36"/>
      <c r="AW1737" s="36"/>
    </row>
    <row r="1738" spans="4:49">
      <c r="D1738" s="31"/>
      <c r="E1738" s="31"/>
      <c r="F1738" s="31"/>
      <c r="G1738" s="31"/>
      <c r="H1738" s="32"/>
      <c r="J1738" s="33"/>
      <c r="K1738" s="33"/>
      <c r="L1738" s="33"/>
      <c r="X1738" s="22"/>
      <c r="Y1738" s="22"/>
      <c r="Z1738" s="22"/>
      <c r="AA1738" s="22"/>
      <c r="AF1738" s="22"/>
      <c r="AG1738" s="22"/>
      <c r="AH1738" s="22"/>
      <c r="AI1738" s="22"/>
      <c r="AN1738" s="22"/>
      <c r="AO1738" s="22"/>
      <c r="AP1738" s="22"/>
      <c r="AQ1738" s="22"/>
      <c r="AR1738" s="35"/>
      <c r="AS1738" s="35"/>
      <c r="AT1738" s="35"/>
      <c r="AU1738" s="31"/>
      <c r="AV1738" s="36"/>
      <c r="AW1738" s="36"/>
    </row>
    <row r="1739" spans="4:49">
      <c r="D1739" s="31"/>
      <c r="E1739" s="31"/>
      <c r="F1739" s="31"/>
      <c r="G1739" s="31"/>
      <c r="H1739" s="32"/>
      <c r="J1739" s="33"/>
      <c r="K1739" s="33"/>
      <c r="L1739" s="33"/>
      <c r="X1739" s="22"/>
      <c r="Y1739" s="22"/>
      <c r="Z1739" s="22"/>
      <c r="AA1739" s="22"/>
      <c r="AF1739" s="22"/>
      <c r="AG1739" s="22"/>
      <c r="AH1739" s="22"/>
      <c r="AI1739" s="22"/>
      <c r="AN1739" s="22"/>
      <c r="AO1739" s="22"/>
      <c r="AP1739" s="22"/>
      <c r="AQ1739" s="22"/>
      <c r="AR1739" s="35"/>
      <c r="AS1739" s="35"/>
      <c r="AT1739" s="35"/>
      <c r="AU1739" s="31"/>
      <c r="AV1739" s="36"/>
      <c r="AW1739" s="36"/>
    </row>
    <row r="1740" spans="4:49">
      <c r="D1740" s="31"/>
      <c r="E1740" s="31"/>
      <c r="F1740" s="31"/>
      <c r="G1740" s="31"/>
      <c r="H1740" s="32"/>
      <c r="J1740" s="33"/>
      <c r="K1740" s="33"/>
      <c r="L1740" s="33"/>
      <c r="X1740" s="22"/>
      <c r="Y1740" s="22"/>
      <c r="Z1740" s="22"/>
      <c r="AA1740" s="22"/>
      <c r="AF1740" s="22"/>
      <c r="AG1740" s="22"/>
      <c r="AH1740" s="22"/>
      <c r="AI1740" s="22"/>
      <c r="AN1740" s="22"/>
      <c r="AO1740" s="22"/>
      <c r="AP1740" s="22"/>
      <c r="AQ1740" s="22"/>
      <c r="AR1740" s="35"/>
      <c r="AS1740" s="35"/>
      <c r="AT1740" s="35"/>
      <c r="AU1740" s="31"/>
      <c r="AV1740" s="36"/>
      <c r="AW1740" s="36"/>
    </row>
    <row r="1741" spans="4:49">
      <c r="D1741" s="31"/>
      <c r="E1741" s="31"/>
      <c r="F1741" s="31"/>
      <c r="G1741" s="31"/>
      <c r="H1741" s="32"/>
      <c r="J1741" s="33"/>
      <c r="K1741" s="33"/>
      <c r="L1741" s="33"/>
      <c r="X1741" s="22"/>
      <c r="Y1741" s="22"/>
      <c r="Z1741" s="22"/>
      <c r="AA1741" s="22"/>
      <c r="AF1741" s="22"/>
      <c r="AG1741" s="22"/>
      <c r="AH1741" s="22"/>
      <c r="AI1741" s="22"/>
      <c r="AN1741" s="22"/>
      <c r="AO1741" s="22"/>
      <c r="AP1741" s="22"/>
      <c r="AQ1741" s="22"/>
      <c r="AR1741" s="35"/>
      <c r="AS1741" s="35"/>
      <c r="AT1741" s="35"/>
      <c r="AU1741" s="31"/>
      <c r="AV1741" s="36"/>
      <c r="AW1741" s="36"/>
    </row>
    <row r="1742" spans="4:49">
      <c r="D1742" s="31"/>
      <c r="E1742" s="31"/>
      <c r="F1742" s="31"/>
      <c r="G1742" s="31"/>
      <c r="H1742" s="32"/>
      <c r="J1742" s="33"/>
      <c r="K1742" s="33"/>
      <c r="L1742" s="33"/>
      <c r="X1742" s="22"/>
      <c r="Y1742" s="22"/>
      <c r="Z1742" s="22"/>
      <c r="AA1742" s="22"/>
      <c r="AF1742" s="22"/>
      <c r="AG1742" s="22"/>
      <c r="AH1742" s="22"/>
      <c r="AI1742" s="22"/>
      <c r="AN1742" s="22"/>
      <c r="AO1742" s="22"/>
      <c r="AP1742" s="22"/>
      <c r="AQ1742" s="22"/>
      <c r="AR1742" s="35"/>
      <c r="AS1742" s="35"/>
      <c r="AT1742" s="35"/>
      <c r="AU1742" s="31"/>
      <c r="AV1742" s="36"/>
      <c r="AW1742" s="36"/>
    </row>
    <row r="1743" spans="4:49">
      <c r="D1743" s="31"/>
      <c r="E1743" s="31"/>
      <c r="F1743" s="31"/>
      <c r="G1743" s="31"/>
      <c r="H1743" s="32"/>
      <c r="J1743" s="33"/>
      <c r="K1743" s="33"/>
      <c r="L1743" s="33"/>
      <c r="X1743" s="22"/>
      <c r="Y1743" s="22"/>
      <c r="Z1743" s="22"/>
      <c r="AA1743" s="22"/>
      <c r="AF1743" s="22"/>
      <c r="AG1743" s="22"/>
      <c r="AH1743" s="22"/>
      <c r="AI1743" s="22"/>
      <c r="AN1743" s="22"/>
      <c r="AO1743" s="22"/>
      <c r="AP1743" s="22"/>
      <c r="AQ1743" s="22"/>
      <c r="AR1743" s="35"/>
      <c r="AS1743" s="35"/>
      <c r="AT1743" s="35"/>
      <c r="AU1743" s="31"/>
      <c r="AV1743" s="36"/>
      <c r="AW1743" s="36"/>
    </row>
    <row r="1744" spans="4:49">
      <c r="D1744" s="31"/>
      <c r="E1744" s="31"/>
      <c r="F1744" s="31"/>
      <c r="G1744" s="31"/>
      <c r="H1744" s="32"/>
      <c r="J1744" s="33"/>
      <c r="K1744" s="33"/>
      <c r="L1744" s="33"/>
      <c r="X1744" s="22"/>
      <c r="Y1744" s="22"/>
      <c r="Z1744" s="22"/>
      <c r="AA1744" s="22"/>
      <c r="AF1744" s="22"/>
      <c r="AG1744" s="22"/>
      <c r="AH1744" s="22"/>
      <c r="AI1744" s="22"/>
      <c r="AN1744" s="22"/>
      <c r="AO1744" s="22"/>
      <c r="AP1744" s="22"/>
      <c r="AQ1744" s="22"/>
      <c r="AR1744" s="35"/>
      <c r="AS1744" s="35"/>
      <c r="AT1744" s="35"/>
      <c r="AU1744" s="31"/>
      <c r="AV1744" s="36"/>
      <c r="AW1744" s="36"/>
    </row>
    <row r="1745" spans="4:49">
      <c r="D1745" s="31"/>
      <c r="E1745" s="31"/>
      <c r="F1745" s="31"/>
      <c r="G1745" s="31"/>
      <c r="H1745" s="32"/>
      <c r="J1745" s="33"/>
      <c r="K1745" s="33"/>
      <c r="L1745" s="33"/>
      <c r="X1745" s="22"/>
      <c r="Y1745" s="22"/>
      <c r="Z1745" s="22"/>
      <c r="AA1745" s="22"/>
      <c r="AF1745" s="22"/>
      <c r="AG1745" s="22"/>
      <c r="AH1745" s="22"/>
      <c r="AI1745" s="22"/>
      <c r="AN1745" s="22"/>
      <c r="AO1745" s="22"/>
      <c r="AP1745" s="22"/>
      <c r="AQ1745" s="22"/>
      <c r="AR1745" s="35"/>
      <c r="AS1745" s="35"/>
      <c r="AT1745" s="35"/>
      <c r="AU1745" s="31"/>
      <c r="AV1745" s="36"/>
      <c r="AW1745" s="36"/>
    </row>
    <row r="1746" spans="4:49">
      <c r="D1746" s="31"/>
      <c r="E1746" s="31"/>
      <c r="F1746" s="31"/>
      <c r="G1746" s="31"/>
      <c r="H1746" s="32"/>
      <c r="J1746" s="33"/>
      <c r="K1746" s="33"/>
      <c r="L1746" s="33"/>
      <c r="X1746" s="22"/>
      <c r="Y1746" s="22"/>
      <c r="Z1746" s="22"/>
      <c r="AA1746" s="22"/>
      <c r="AF1746" s="22"/>
      <c r="AG1746" s="22"/>
      <c r="AH1746" s="22"/>
      <c r="AI1746" s="22"/>
      <c r="AN1746" s="22"/>
      <c r="AO1746" s="22"/>
      <c r="AP1746" s="22"/>
      <c r="AQ1746" s="22"/>
      <c r="AR1746" s="35"/>
      <c r="AS1746" s="35"/>
      <c r="AT1746" s="35"/>
      <c r="AU1746" s="31"/>
      <c r="AV1746" s="36"/>
      <c r="AW1746" s="36"/>
    </row>
    <row r="1747" spans="4:49">
      <c r="D1747" s="31"/>
      <c r="E1747" s="31"/>
      <c r="F1747" s="31"/>
      <c r="G1747" s="31"/>
      <c r="H1747" s="32"/>
      <c r="J1747" s="33"/>
      <c r="K1747" s="33"/>
      <c r="L1747" s="33"/>
      <c r="X1747" s="22"/>
      <c r="Y1747" s="22"/>
      <c r="Z1747" s="22"/>
      <c r="AA1747" s="22"/>
      <c r="AF1747" s="22"/>
      <c r="AG1747" s="22"/>
      <c r="AH1747" s="22"/>
      <c r="AI1747" s="22"/>
      <c r="AN1747" s="22"/>
      <c r="AO1747" s="22"/>
      <c r="AP1747" s="22"/>
      <c r="AQ1747" s="22"/>
      <c r="AR1747" s="35"/>
      <c r="AS1747" s="35"/>
      <c r="AT1747" s="35"/>
      <c r="AU1747" s="31"/>
      <c r="AV1747" s="36"/>
      <c r="AW1747" s="36"/>
    </row>
    <row r="1748" spans="4:49">
      <c r="D1748" s="31"/>
      <c r="E1748" s="31"/>
      <c r="F1748" s="31"/>
      <c r="G1748" s="31"/>
      <c r="H1748" s="32"/>
      <c r="J1748" s="33"/>
      <c r="K1748" s="33"/>
      <c r="L1748" s="33"/>
      <c r="X1748" s="22"/>
      <c r="Y1748" s="22"/>
      <c r="Z1748" s="22"/>
      <c r="AA1748" s="22"/>
      <c r="AF1748" s="22"/>
      <c r="AG1748" s="22"/>
      <c r="AH1748" s="22"/>
      <c r="AI1748" s="22"/>
      <c r="AN1748" s="22"/>
      <c r="AO1748" s="22"/>
      <c r="AP1748" s="22"/>
      <c r="AQ1748" s="22"/>
      <c r="AR1748" s="35"/>
      <c r="AS1748" s="35"/>
      <c r="AT1748" s="35"/>
      <c r="AU1748" s="31"/>
      <c r="AV1748" s="36"/>
      <c r="AW1748" s="36"/>
    </row>
    <row r="1749" spans="4:49">
      <c r="D1749" s="31"/>
      <c r="E1749" s="31"/>
      <c r="F1749" s="31"/>
      <c r="G1749" s="31"/>
      <c r="H1749" s="32"/>
      <c r="J1749" s="33"/>
      <c r="K1749" s="33"/>
      <c r="L1749" s="33"/>
      <c r="X1749" s="22"/>
      <c r="Y1749" s="22"/>
      <c r="Z1749" s="22"/>
      <c r="AA1749" s="22"/>
      <c r="AF1749" s="22"/>
      <c r="AG1749" s="22"/>
      <c r="AH1749" s="22"/>
      <c r="AI1749" s="22"/>
      <c r="AN1749" s="22"/>
      <c r="AO1749" s="22"/>
      <c r="AP1749" s="22"/>
      <c r="AQ1749" s="22"/>
      <c r="AR1749" s="35"/>
      <c r="AS1749" s="35"/>
      <c r="AT1749" s="35"/>
      <c r="AU1749" s="31"/>
      <c r="AV1749" s="36"/>
      <c r="AW1749" s="36"/>
    </row>
    <row r="1750" spans="4:49">
      <c r="D1750" s="31"/>
      <c r="E1750" s="31"/>
      <c r="F1750" s="31"/>
      <c r="G1750" s="31"/>
      <c r="H1750" s="32"/>
      <c r="J1750" s="33"/>
      <c r="K1750" s="33"/>
      <c r="L1750" s="33"/>
      <c r="X1750" s="22"/>
      <c r="Y1750" s="22"/>
      <c r="Z1750" s="22"/>
      <c r="AA1750" s="22"/>
      <c r="AF1750" s="22"/>
      <c r="AG1750" s="22"/>
      <c r="AH1750" s="22"/>
      <c r="AI1750" s="22"/>
      <c r="AN1750" s="22"/>
      <c r="AO1750" s="22"/>
      <c r="AP1750" s="22"/>
      <c r="AQ1750" s="22"/>
      <c r="AR1750" s="35"/>
      <c r="AS1750" s="35"/>
      <c r="AT1750" s="35"/>
      <c r="AU1750" s="31"/>
      <c r="AV1750" s="36"/>
      <c r="AW1750" s="36"/>
    </row>
    <row r="1751" spans="4:49">
      <c r="D1751" s="31"/>
      <c r="E1751" s="31"/>
      <c r="F1751" s="31"/>
      <c r="G1751" s="31"/>
      <c r="H1751" s="32"/>
      <c r="J1751" s="33"/>
      <c r="K1751" s="33"/>
      <c r="L1751" s="33"/>
      <c r="X1751" s="22"/>
      <c r="Y1751" s="22"/>
      <c r="Z1751" s="22"/>
      <c r="AA1751" s="22"/>
      <c r="AF1751" s="22"/>
      <c r="AG1751" s="22"/>
      <c r="AH1751" s="22"/>
      <c r="AI1751" s="22"/>
      <c r="AN1751" s="22"/>
      <c r="AO1751" s="22"/>
      <c r="AP1751" s="22"/>
      <c r="AQ1751" s="22"/>
      <c r="AR1751" s="35"/>
      <c r="AS1751" s="35"/>
      <c r="AT1751" s="35"/>
      <c r="AU1751" s="31"/>
      <c r="AV1751" s="36"/>
      <c r="AW1751" s="36"/>
    </row>
    <row r="1752" spans="4:49">
      <c r="D1752" s="31"/>
      <c r="E1752" s="31"/>
      <c r="F1752" s="31"/>
      <c r="G1752" s="31"/>
      <c r="H1752" s="32"/>
      <c r="J1752" s="33"/>
      <c r="K1752" s="33"/>
      <c r="L1752" s="33"/>
      <c r="X1752" s="22"/>
      <c r="Y1752" s="22"/>
      <c r="Z1752" s="22"/>
      <c r="AA1752" s="22"/>
      <c r="AF1752" s="22"/>
      <c r="AG1752" s="22"/>
      <c r="AH1752" s="22"/>
      <c r="AI1752" s="22"/>
      <c r="AN1752" s="22"/>
      <c r="AO1752" s="22"/>
      <c r="AP1752" s="22"/>
      <c r="AQ1752" s="22"/>
      <c r="AR1752" s="35"/>
      <c r="AS1752" s="35"/>
      <c r="AT1752" s="35"/>
      <c r="AU1752" s="31"/>
      <c r="AV1752" s="36"/>
      <c r="AW1752" s="36"/>
    </row>
    <row r="1753" spans="4:49">
      <c r="D1753" s="31"/>
      <c r="E1753" s="31"/>
      <c r="F1753" s="31"/>
      <c r="G1753" s="31"/>
      <c r="H1753" s="32"/>
      <c r="J1753" s="33"/>
      <c r="K1753" s="33"/>
      <c r="L1753" s="33"/>
      <c r="X1753" s="22"/>
      <c r="Y1753" s="22"/>
      <c r="Z1753" s="22"/>
      <c r="AA1753" s="22"/>
      <c r="AF1753" s="22"/>
      <c r="AG1753" s="22"/>
      <c r="AH1753" s="22"/>
      <c r="AI1753" s="22"/>
      <c r="AN1753" s="22"/>
      <c r="AO1753" s="22"/>
      <c r="AP1753" s="22"/>
      <c r="AQ1753" s="22"/>
      <c r="AR1753" s="35"/>
      <c r="AS1753" s="35"/>
      <c r="AT1753" s="35"/>
      <c r="AU1753" s="31"/>
      <c r="AV1753" s="36"/>
      <c r="AW1753" s="36"/>
    </row>
    <row r="1754" spans="4:49">
      <c r="D1754" s="31"/>
      <c r="E1754" s="31"/>
      <c r="F1754" s="31"/>
      <c r="G1754" s="31"/>
      <c r="H1754" s="32"/>
      <c r="J1754" s="33"/>
      <c r="K1754" s="33"/>
      <c r="L1754" s="33"/>
      <c r="X1754" s="22"/>
      <c r="Y1754" s="22"/>
      <c r="Z1754" s="22"/>
      <c r="AA1754" s="22"/>
      <c r="AF1754" s="22"/>
      <c r="AG1754" s="22"/>
      <c r="AH1754" s="22"/>
      <c r="AI1754" s="22"/>
      <c r="AN1754" s="22"/>
      <c r="AO1754" s="22"/>
      <c r="AP1754" s="22"/>
      <c r="AQ1754" s="22"/>
      <c r="AR1754" s="35"/>
      <c r="AS1754" s="35"/>
      <c r="AT1754" s="35"/>
      <c r="AU1754" s="31"/>
      <c r="AV1754" s="36"/>
      <c r="AW1754" s="36"/>
    </row>
    <row r="1755" spans="4:49">
      <c r="D1755" s="31"/>
      <c r="E1755" s="31"/>
      <c r="F1755" s="31"/>
      <c r="G1755" s="31"/>
      <c r="H1755" s="32"/>
      <c r="J1755" s="33"/>
      <c r="K1755" s="33"/>
      <c r="L1755" s="33"/>
      <c r="X1755" s="22"/>
      <c r="Y1755" s="22"/>
      <c r="Z1755" s="22"/>
      <c r="AA1755" s="22"/>
      <c r="AF1755" s="22"/>
      <c r="AG1755" s="22"/>
      <c r="AH1755" s="22"/>
      <c r="AI1755" s="22"/>
      <c r="AN1755" s="22"/>
      <c r="AO1755" s="22"/>
      <c r="AP1755" s="22"/>
      <c r="AQ1755" s="22"/>
      <c r="AR1755" s="35"/>
      <c r="AS1755" s="35"/>
      <c r="AT1755" s="35"/>
      <c r="AU1755" s="31"/>
      <c r="AV1755" s="36"/>
      <c r="AW1755" s="36"/>
    </row>
    <row r="1756" spans="4:49">
      <c r="D1756" s="31"/>
      <c r="E1756" s="31"/>
      <c r="F1756" s="31"/>
      <c r="G1756" s="31"/>
      <c r="H1756" s="32"/>
      <c r="J1756" s="33"/>
      <c r="K1756" s="33"/>
      <c r="L1756" s="33"/>
      <c r="X1756" s="22"/>
      <c r="Y1756" s="22"/>
      <c r="Z1756" s="22"/>
      <c r="AA1756" s="22"/>
      <c r="AF1756" s="22"/>
      <c r="AG1756" s="22"/>
      <c r="AH1756" s="22"/>
      <c r="AI1756" s="22"/>
      <c r="AN1756" s="22"/>
      <c r="AO1756" s="22"/>
      <c r="AP1756" s="22"/>
      <c r="AQ1756" s="22"/>
      <c r="AR1756" s="35"/>
      <c r="AS1756" s="35"/>
      <c r="AT1756" s="35"/>
      <c r="AU1756" s="31"/>
      <c r="AV1756" s="36"/>
      <c r="AW1756" s="36"/>
    </row>
    <row r="1757" spans="4:49">
      <c r="D1757" s="31"/>
      <c r="E1757" s="31"/>
      <c r="F1757" s="31"/>
      <c r="G1757" s="31"/>
      <c r="H1757" s="32"/>
      <c r="J1757" s="33"/>
      <c r="K1757" s="33"/>
      <c r="L1757" s="33"/>
      <c r="X1757" s="22"/>
      <c r="Y1757" s="22"/>
      <c r="Z1757" s="22"/>
      <c r="AA1757" s="22"/>
      <c r="AF1757" s="22"/>
      <c r="AG1757" s="22"/>
      <c r="AH1757" s="22"/>
      <c r="AI1757" s="22"/>
      <c r="AN1757" s="22"/>
      <c r="AO1757" s="22"/>
      <c r="AP1757" s="22"/>
      <c r="AQ1757" s="22"/>
      <c r="AR1757" s="35"/>
      <c r="AS1757" s="35"/>
      <c r="AT1757" s="35"/>
      <c r="AU1757" s="31"/>
      <c r="AV1757" s="36"/>
      <c r="AW1757" s="36"/>
    </row>
    <row r="1758" spans="4:49">
      <c r="D1758" s="31"/>
      <c r="E1758" s="31"/>
      <c r="F1758" s="31"/>
      <c r="G1758" s="31"/>
      <c r="H1758" s="32"/>
      <c r="J1758" s="33"/>
      <c r="K1758" s="33"/>
      <c r="L1758" s="33"/>
      <c r="X1758" s="22"/>
      <c r="Y1758" s="22"/>
      <c r="Z1758" s="22"/>
      <c r="AA1758" s="22"/>
      <c r="AF1758" s="22"/>
      <c r="AG1758" s="22"/>
      <c r="AH1758" s="22"/>
      <c r="AI1758" s="22"/>
      <c r="AN1758" s="22"/>
      <c r="AO1758" s="22"/>
      <c r="AP1758" s="22"/>
      <c r="AQ1758" s="22"/>
      <c r="AR1758" s="35"/>
      <c r="AS1758" s="35"/>
      <c r="AT1758" s="35"/>
      <c r="AU1758" s="31"/>
      <c r="AV1758" s="36"/>
      <c r="AW1758" s="36"/>
    </row>
    <row r="1759" spans="4:49">
      <c r="D1759" s="31"/>
      <c r="E1759" s="31"/>
      <c r="F1759" s="31"/>
      <c r="G1759" s="31"/>
      <c r="H1759" s="32"/>
      <c r="J1759" s="33"/>
      <c r="K1759" s="33"/>
      <c r="L1759" s="33"/>
      <c r="X1759" s="22"/>
      <c r="Y1759" s="22"/>
      <c r="Z1759" s="22"/>
      <c r="AA1759" s="22"/>
      <c r="AF1759" s="22"/>
      <c r="AG1759" s="22"/>
      <c r="AH1759" s="22"/>
      <c r="AI1759" s="22"/>
      <c r="AN1759" s="22"/>
      <c r="AO1759" s="22"/>
      <c r="AP1759" s="22"/>
      <c r="AQ1759" s="22"/>
      <c r="AR1759" s="35"/>
      <c r="AS1759" s="35"/>
      <c r="AT1759" s="35"/>
      <c r="AU1759" s="31"/>
      <c r="AV1759" s="36"/>
      <c r="AW1759" s="36"/>
    </row>
    <row r="1760" spans="4:49">
      <c r="D1760" s="31"/>
      <c r="E1760" s="31"/>
      <c r="F1760" s="31"/>
      <c r="G1760" s="31"/>
      <c r="H1760" s="32"/>
      <c r="J1760" s="33"/>
      <c r="K1760" s="33"/>
      <c r="L1760" s="33"/>
      <c r="X1760" s="22"/>
      <c r="Y1760" s="22"/>
      <c r="Z1760" s="22"/>
      <c r="AA1760" s="22"/>
      <c r="AF1760" s="22"/>
      <c r="AG1760" s="22"/>
      <c r="AH1760" s="22"/>
      <c r="AI1760" s="22"/>
      <c r="AN1760" s="22"/>
      <c r="AO1760" s="22"/>
      <c r="AP1760" s="22"/>
      <c r="AQ1760" s="22"/>
      <c r="AR1760" s="35"/>
      <c r="AS1760" s="35"/>
      <c r="AT1760" s="35"/>
      <c r="AU1760" s="31"/>
      <c r="AV1760" s="36"/>
      <c r="AW1760" s="36"/>
    </row>
    <row r="1761" spans="4:49">
      <c r="D1761" s="31"/>
      <c r="E1761" s="31"/>
      <c r="F1761" s="31"/>
      <c r="G1761" s="31"/>
      <c r="H1761" s="32"/>
      <c r="J1761" s="33"/>
      <c r="K1761" s="33"/>
      <c r="L1761" s="33"/>
      <c r="X1761" s="22"/>
      <c r="Y1761" s="22"/>
      <c r="Z1761" s="22"/>
      <c r="AA1761" s="22"/>
      <c r="AF1761" s="22"/>
      <c r="AG1761" s="22"/>
      <c r="AH1761" s="22"/>
      <c r="AI1761" s="22"/>
      <c r="AN1761" s="22"/>
      <c r="AO1761" s="22"/>
      <c r="AP1761" s="22"/>
      <c r="AQ1761" s="22"/>
      <c r="AR1761" s="35"/>
      <c r="AS1761" s="35"/>
      <c r="AT1761" s="35"/>
      <c r="AU1761" s="31"/>
      <c r="AV1761" s="36"/>
      <c r="AW1761" s="36"/>
    </row>
    <row r="1762" spans="4:49">
      <c r="D1762" s="31"/>
      <c r="E1762" s="31"/>
      <c r="F1762" s="31"/>
      <c r="G1762" s="31"/>
      <c r="H1762" s="32"/>
      <c r="J1762" s="33"/>
      <c r="K1762" s="33"/>
      <c r="L1762" s="33"/>
      <c r="X1762" s="22"/>
      <c r="Y1762" s="22"/>
      <c r="Z1762" s="22"/>
      <c r="AA1762" s="22"/>
      <c r="AF1762" s="22"/>
      <c r="AG1762" s="22"/>
      <c r="AH1762" s="22"/>
      <c r="AI1762" s="22"/>
      <c r="AN1762" s="22"/>
      <c r="AO1762" s="22"/>
      <c r="AP1762" s="22"/>
      <c r="AQ1762" s="22"/>
      <c r="AR1762" s="35"/>
      <c r="AS1762" s="35"/>
      <c r="AT1762" s="35"/>
      <c r="AU1762" s="31"/>
      <c r="AV1762" s="36"/>
      <c r="AW1762" s="36"/>
    </row>
    <row r="1763" spans="4:49">
      <c r="D1763" s="31"/>
      <c r="E1763" s="31"/>
      <c r="F1763" s="31"/>
      <c r="G1763" s="31"/>
      <c r="H1763" s="32"/>
      <c r="J1763" s="33"/>
      <c r="K1763" s="33"/>
      <c r="L1763" s="33"/>
      <c r="X1763" s="22"/>
      <c r="Y1763" s="22"/>
      <c r="Z1763" s="22"/>
      <c r="AA1763" s="22"/>
      <c r="AF1763" s="22"/>
      <c r="AG1763" s="22"/>
      <c r="AH1763" s="22"/>
      <c r="AI1763" s="22"/>
      <c r="AN1763" s="22"/>
      <c r="AO1763" s="22"/>
      <c r="AP1763" s="22"/>
      <c r="AQ1763" s="22"/>
      <c r="AR1763" s="35"/>
      <c r="AS1763" s="35"/>
      <c r="AT1763" s="35"/>
      <c r="AU1763" s="31"/>
      <c r="AV1763" s="36"/>
      <c r="AW1763" s="36"/>
    </row>
    <row r="1764" spans="4:49">
      <c r="D1764" s="31"/>
      <c r="E1764" s="31"/>
      <c r="F1764" s="31"/>
      <c r="G1764" s="31"/>
      <c r="H1764" s="32"/>
      <c r="J1764" s="33"/>
      <c r="K1764" s="33"/>
      <c r="L1764" s="33"/>
      <c r="X1764" s="22"/>
      <c r="Y1764" s="22"/>
      <c r="Z1764" s="22"/>
      <c r="AA1764" s="22"/>
      <c r="AF1764" s="22"/>
      <c r="AG1764" s="22"/>
      <c r="AH1764" s="22"/>
      <c r="AI1764" s="22"/>
      <c r="AN1764" s="22"/>
      <c r="AO1764" s="22"/>
      <c r="AP1764" s="22"/>
      <c r="AQ1764" s="22"/>
      <c r="AR1764" s="35"/>
      <c r="AS1764" s="35"/>
      <c r="AT1764" s="35"/>
      <c r="AU1764" s="31"/>
      <c r="AV1764" s="36"/>
      <c r="AW1764" s="36"/>
    </row>
    <row r="1765" spans="4:49">
      <c r="D1765" s="31"/>
      <c r="E1765" s="31"/>
      <c r="F1765" s="31"/>
      <c r="G1765" s="31"/>
      <c r="H1765" s="32"/>
      <c r="J1765" s="33"/>
      <c r="K1765" s="33"/>
      <c r="L1765" s="33"/>
      <c r="X1765" s="22"/>
      <c r="Y1765" s="22"/>
      <c r="Z1765" s="22"/>
      <c r="AA1765" s="22"/>
      <c r="AF1765" s="22"/>
      <c r="AG1765" s="22"/>
      <c r="AH1765" s="22"/>
      <c r="AI1765" s="22"/>
      <c r="AN1765" s="22"/>
      <c r="AO1765" s="22"/>
      <c r="AP1765" s="22"/>
      <c r="AQ1765" s="22"/>
      <c r="AR1765" s="35"/>
      <c r="AS1765" s="35"/>
      <c r="AT1765" s="35"/>
      <c r="AU1765" s="31"/>
      <c r="AV1765" s="36"/>
      <c r="AW1765" s="36"/>
    </row>
    <row r="1766" spans="4:49">
      <c r="D1766" s="31"/>
      <c r="E1766" s="31"/>
      <c r="F1766" s="31"/>
      <c r="G1766" s="31"/>
      <c r="H1766" s="32"/>
      <c r="J1766" s="33"/>
      <c r="K1766" s="33"/>
      <c r="L1766" s="33"/>
      <c r="X1766" s="22"/>
      <c r="Y1766" s="22"/>
      <c r="Z1766" s="22"/>
      <c r="AA1766" s="22"/>
      <c r="AF1766" s="22"/>
      <c r="AG1766" s="22"/>
      <c r="AH1766" s="22"/>
      <c r="AI1766" s="22"/>
      <c r="AN1766" s="22"/>
      <c r="AO1766" s="22"/>
      <c r="AP1766" s="22"/>
      <c r="AQ1766" s="22"/>
      <c r="AR1766" s="35"/>
      <c r="AS1766" s="35"/>
      <c r="AT1766" s="35"/>
      <c r="AU1766" s="31"/>
      <c r="AV1766" s="36"/>
      <c r="AW1766" s="36"/>
    </row>
    <row r="1767" spans="4:49">
      <c r="D1767" s="31"/>
      <c r="E1767" s="31"/>
      <c r="F1767" s="31"/>
      <c r="G1767" s="31"/>
      <c r="H1767" s="32"/>
      <c r="J1767" s="33"/>
      <c r="K1767" s="33"/>
      <c r="L1767" s="33"/>
      <c r="X1767" s="22"/>
      <c r="Y1767" s="22"/>
      <c r="Z1767" s="22"/>
      <c r="AA1767" s="22"/>
      <c r="AF1767" s="22"/>
      <c r="AG1767" s="22"/>
      <c r="AH1767" s="22"/>
      <c r="AI1767" s="22"/>
      <c r="AN1767" s="22"/>
      <c r="AO1767" s="22"/>
      <c r="AP1767" s="22"/>
      <c r="AQ1767" s="22"/>
      <c r="AR1767" s="35"/>
      <c r="AS1767" s="35"/>
      <c r="AT1767" s="35"/>
      <c r="AU1767" s="31"/>
      <c r="AV1767" s="36"/>
      <c r="AW1767" s="36"/>
    </row>
    <row r="1768" spans="4:49">
      <c r="D1768" s="31"/>
      <c r="E1768" s="31"/>
      <c r="F1768" s="31"/>
      <c r="G1768" s="31"/>
      <c r="H1768" s="32"/>
      <c r="J1768" s="33"/>
      <c r="K1768" s="33"/>
      <c r="L1768" s="33"/>
      <c r="X1768" s="22"/>
      <c r="Y1768" s="22"/>
      <c r="Z1768" s="22"/>
      <c r="AA1768" s="22"/>
      <c r="AF1768" s="22"/>
      <c r="AG1768" s="22"/>
      <c r="AH1768" s="22"/>
      <c r="AI1768" s="22"/>
      <c r="AN1768" s="22"/>
      <c r="AO1768" s="22"/>
      <c r="AP1768" s="22"/>
      <c r="AQ1768" s="22"/>
      <c r="AR1768" s="35"/>
      <c r="AS1768" s="35"/>
      <c r="AT1768" s="35"/>
      <c r="AU1768" s="31"/>
      <c r="AV1768" s="36"/>
      <c r="AW1768" s="36"/>
    </row>
    <row r="1769" spans="4:49">
      <c r="D1769" s="31"/>
      <c r="E1769" s="31"/>
      <c r="F1769" s="31"/>
      <c r="G1769" s="31"/>
      <c r="H1769" s="32"/>
      <c r="J1769" s="33"/>
      <c r="K1769" s="33"/>
      <c r="L1769" s="33"/>
      <c r="X1769" s="22"/>
      <c r="Y1769" s="22"/>
      <c r="Z1769" s="22"/>
      <c r="AA1769" s="22"/>
      <c r="AF1769" s="22"/>
      <c r="AG1769" s="22"/>
      <c r="AH1769" s="22"/>
      <c r="AI1769" s="22"/>
      <c r="AN1769" s="22"/>
      <c r="AO1769" s="22"/>
      <c r="AP1769" s="22"/>
      <c r="AQ1769" s="22"/>
      <c r="AR1769" s="35"/>
      <c r="AS1769" s="35"/>
      <c r="AT1769" s="35"/>
      <c r="AU1769" s="31"/>
      <c r="AV1769" s="36"/>
      <c r="AW1769" s="36"/>
    </row>
    <row r="1770" spans="4:49">
      <c r="D1770" s="31"/>
      <c r="E1770" s="31"/>
      <c r="F1770" s="31"/>
      <c r="G1770" s="31"/>
      <c r="H1770" s="32"/>
      <c r="J1770" s="33"/>
      <c r="K1770" s="33"/>
      <c r="L1770" s="33"/>
      <c r="X1770" s="22"/>
      <c r="Y1770" s="22"/>
      <c r="Z1770" s="22"/>
      <c r="AA1770" s="22"/>
      <c r="AF1770" s="22"/>
      <c r="AG1770" s="22"/>
      <c r="AH1770" s="22"/>
      <c r="AI1770" s="22"/>
      <c r="AN1770" s="22"/>
      <c r="AO1770" s="22"/>
      <c r="AP1770" s="22"/>
      <c r="AQ1770" s="22"/>
      <c r="AR1770" s="35"/>
      <c r="AS1770" s="35"/>
      <c r="AT1770" s="35"/>
      <c r="AU1770" s="31"/>
      <c r="AV1770" s="36"/>
      <c r="AW1770" s="36"/>
    </row>
    <row r="1771" spans="4:49">
      <c r="D1771" s="31"/>
      <c r="E1771" s="31"/>
      <c r="F1771" s="31"/>
      <c r="G1771" s="31"/>
      <c r="H1771" s="32"/>
      <c r="J1771" s="33"/>
      <c r="K1771" s="33"/>
      <c r="L1771" s="33"/>
      <c r="X1771" s="22"/>
      <c r="Y1771" s="22"/>
      <c r="Z1771" s="22"/>
      <c r="AA1771" s="22"/>
      <c r="AF1771" s="22"/>
      <c r="AG1771" s="22"/>
      <c r="AH1771" s="22"/>
      <c r="AI1771" s="22"/>
      <c r="AN1771" s="22"/>
      <c r="AO1771" s="22"/>
      <c r="AP1771" s="22"/>
      <c r="AQ1771" s="22"/>
      <c r="AR1771" s="35"/>
      <c r="AS1771" s="35"/>
      <c r="AT1771" s="35"/>
      <c r="AU1771" s="31"/>
      <c r="AV1771" s="36"/>
      <c r="AW1771" s="36"/>
    </row>
    <row r="1772" spans="4:49">
      <c r="D1772" s="31"/>
      <c r="E1772" s="31"/>
      <c r="F1772" s="31"/>
      <c r="G1772" s="31"/>
      <c r="H1772" s="32"/>
      <c r="J1772" s="33"/>
      <c r="K1772" s="33"/>
      <c r="L1772" s="33"/>
      <c r="X1772" s="22"/>
      <c r="Y1772" s="22"/>
      <c r="Z1772" s="22"/>
      <c r="AA1772" s="22"/>
      <c r="AF1772" s="22"/>
      <c r="AG1772" s="22"/>
      <c r="AH1772" s="22"/>
      <c r="AI1772" s="22"/>
      <c r="AN1772" s="22"/>
      <c r="AO1772" s="22"/>
      <c r="AP1772" s="22"/>
      <c r="AQ1772" s="22"/>
      <c r="AR1772" s="35"/>
      <c r="AS1772" s="35"/>
      <c r="AT1772" s="35"/>
      <c r="AU1772" s="31"/>
      <c r="AV1772" s="36"/>
      <c r="AW1772" s="36"/>
    </row>
    <row r="1773" spans="4:49">
      <c r="D1773" s="31"/>
      <c r="E1773" s="31"/>
      <c r="F1773" s="31"/>
      <c r="G1773" s="31"/>
      <c r="H1773" s="32"/>
      <c r="J1773" s="33"/>
      <c r="K1773" s="33"/>
      <c r="L1773" s="33"/>
      <c r="X1773" s="22"/>
      <c r="Y1773" s="22"/>
      <c r="Z1773" s="22"/>
      <c r="AA1773" s="22"/>
      <c r="AF1773" s="22"/>
      <c r="AG1773" s="22"/>
      <c r="AH1773" s="22"/>
      <c r="AI1773" s="22"/>
      <c r="AN1773" s="22"/>
      <c r="AO1773" s="22"/>
      <c r="AP1773" s="22"/>
      <c r="AQ1773" s="22"/>
      <c r="AR1773" s="35"/>
      <c r="AS1773" s="35"/>
      <c r="AT1773" s="35"/>
      <c r="AU1773" s="31"/>
      <c r="AV1773" s="36"/>
      <c r="AW1773" s="36"/>
    </row>
    <row r="1774" spans="4:49">
      <c r="D1774" s="31"/>
      <c r="E1774" s="31"/>
      <c r="F1774" s="31"/>
      <c r="G1774" s="31"/>
      <c r="H1774" s="32"/>
      <c r="J1774" s="33"/>
      <c r="K1774" s="33"/>
      <c r="L1774" s="33"/>
      <c r="X1774" s="22"/>
      <c r="Y1774" s="22"/>
      <c r="Z1774" s="22"/>
      <c r="AA1774" s="22"/>
      <c r="AF1774" s="22"/>
      <c r="AG1774" s="22"/>
      <c r="AH1774" s="22"/>
      <c r="AI1774" s="22"/>
      <c r="AN1774" s="22"/>
      <c r="AO1774" s="22"/>
      <c r="AP1774" s="22"/>
      <c r="AQ1774" s="22"/>
      <c r="AR1774" s="35"/>
      <c r="AS1774" s="35"/>
      <c r="AT1774" s="35"/>
      <c r="AU1774" s="31"/>
      <c r="AV1774" s="36"/>
      <c r="AW1774" s="36"/>
    </row>
    <row r="1775" spans="4:49">
      <c r="D1775" s="31"/>
      <c r="E1775" s="31"/>
      <c r="F1775" s="31"/>
      <c r="G1775" s="31"/>
      <c r="H1775" s="32"/>
      <c r="J1775" s="33"/>
      <c r="K1775" s="33"/>
      <c r="L1775" s="33"/>
      <c r="X1775" s="22"/>
      <c r="Y1775" s="22"/>
      <c r="Z1775" s="22"/>
      <c r="AA1775" s="22"/>
      <c r="AF1775" s="22"/>
      <c r="AG1775" s="22"/>
      <c r="AH1775" s="22"/>
      <c r="AI1775" s="22"/>
      <c r="AN1775" s="22"/>
      <c r="AO1775" s="22"/>
      <c r="AP1775" s="22"/>
      <c r="AQ1775" s="22"/>
      <c r="AR1775" s="35"/>
      <c r="AS1775" s="35"/>
      <c r="AT1775" s="35"/>
      <c r="AU1775" s="31"/>
      <c r="AV1775" s="36"/>
      <c r="AW1775" s="36"/>
    </row>
    <row r="1776" spans="4:49">
      <c r="D1776" s="31"/>
      <c r="E1776" s="31"/>
      <c r="F1776" s="31"/>
      <c r="G1776" s="31"/>
      <c r="H1776" s="32"/>
      <c r="J1776" s="33"/>
      <c r="K1776" s="33"/>
      <c r="L1776" s="33"/>
      <c r="X1776" s="22"/>
      <c r="Y1776" s="22"/>
      <c r="Z1776" s="22"/>
      <c r="AA1776" s="22"/>
      <c r="AF1776" s="22"/>
      <c r="AG1776" s="22"/>
      <c r="AH1776" s="22"/>
      <c r="AI1776" s="22"/>
      <c r="AN1776" s="22"/>
      <c r="AO1776" s="22"/>
      <c r="AP1776" s="22"/>
      <c r="AQ1776" s="22"/>
      <c r="AR1776" s="35"/>
      <c r="AS1776" s="35"/>
      <c r="AT1776" s="35"/>
      <c r="AU1776" s="31"/>
      <c r="AV1776" s="36"/>
      <c r="AW1776" s="36"/>
    </row>
    <row r="1777" spans="4:49">
      <c r="D1777" s="31"/>
      <c r="E1777" s="31"/>
      <c r="F1777" s="31"/>
      <c r="G1777" s="31"/>
      <c r="H1777" s="32"/>
      <c r="J1777" s="33"/>
      <c r="K1777" s="33"/>
      <c r="L1777" s="33"/>
      <c r="X1777" s="22"/>
      <c r="Y1777" s="22"/>
      <c r="Z1777" s="22"/>
      <c r="AA1777" s="22"/>
      <c r="AF1777" s="22"/>
      <c r="AG1777" s="22"/>
      <c r="AH1777" s="22"/>
      <c r="AI1777" s="22"/>
      <c r="AN1777" s="22"/>
      <c r="AO1777" s="22"/>
      <c r="AP1777" s="22"/>
      <c r="AQ1777" s="22"/>
      <c r="AR1777" s="35"/>
      <c r="AS1777" s="35"/>
      <c r="AT1777" s="35"/>
      <c r="AU1777" s="31"/>
      <c r="AV1777" s="36"/>
      <c r="AW1777" s="36"/>
    </row>
    <row r="1778" spans="4:49">
      <c r="D1778" s="31"/>
      <c r="E1778" s="31"/>
      <c r="F1778" s="31"/>
      <c r="G1778" s="31"/>
      <c r="H1778" s="32"/>
      <c r="J1778" s="33"/>
      <c r="K1778" s="33"/>
      <c r="L1778" s="33"/>
      <c r="X1778" s="22"/>
      <c r="Y1778" s="22"/>
      <c r="Z1778" s="22"/>
      <c r="AA1778" s="22"/>
      <c r="AF1778" s="22"/>
      <c r="AG1778" s="22"/>
      <c r="AH1778" s="22"/>
      <c r="AI1778" s="22"/>
      <c r="AN1778" s="22"/>
      <c r="AO1778" s="22"/>
      <c r="AP1778" s="22"/>
      <c r="AQ1778" s="22"/>
      <c r="AR1778" s="35"/>
      <c r="AS1778" s="35"/>
      <c r="AT1778" s="35"/>
      <c r="AU1778" s="31"/>
      <c r="AV1778" s="36"/>
      <c r="AW1778" s="36"/>
    </row>
    <row r="1779" spans="4:49">
      <c r="D1779" s="31"/>
      <c r="E1779" s="31"/>
      <c r="F1779" s="31"/>
      <c r="G1779" s="31"/>
      <c r="H1779" s="32"/>
      <c r="J1779" s="33"/>
      <c r="K1779" s="33"/>
      <c r="L1779" s="33"/>
      <c r="X1779" s="22"/>
      <c r="Y1779" s="22"/>
      <c r="Z1779" s="22"/>
      <c r="AA1779" s="22"/>
      <c r="AF1779" s="22"/>
      <c r="AG1779" s="22"/>
      <c r="AH1779" s="22"/>
      <c r="AI1779" s="22"/>
      <c r="AN1779" s="22"/>
      <c r="AO1779" s="22"/>
      <c r="AP1779" s="22"/>
      <c r="AQ1779" s="22"/>
      <c r="AR1779" s="35"/>
      <c r="AS1779" s="35"/>
      <c r="AT1779" s="35"/>
      <c r="AU1779" s="31"/>
      <c r="AV1779" s="36"/>
      <c r="AW1779" s="36"/>
    </row>
    <row r="1780" spans="4:49">
      <c r="D1780" s="31"/>
      <c r="E1780" s="31"/>
      <c r="F1780" s="31"/>
      <c r="G1780" s="31"/>
      <c r="H1780" s="32"/>
      <c r="J1780" s="33"/>
      <c r="K1780" s="33"/>
      <c r="L1780" s="33"/>
      <c r="X1780" s="22"/>
      <c r="Y1780" s="22"/>
      <c r="Z1780" s="22"/>
      <c r="AA1780" s="22"/>
      <c r="AF1780" s="22"/>
      <c r="AG1780" s="22"/>
      <c r="AH1780" s="22"/>
      <c r="AI1780" s="22"/>
      <c r="AN1780" s="22"/>
      <c r="AO1780" s="22"/>
      <c r="AP1780" s="22"/>
      <c r="AQ1780" s="22"/>
      <c r="AR1780" s="35"/>
      <c r="AS1780" s="35"/>
      <c r="AT1780" s="35"/>
      <c r="AU1780" s="31"/>
      <c r="AV1780" s="36"/>
      <c r="AW1780" s="36"/>
    </row>
    <row r="1781" spans="4:49">
      <c r="D1781" s="31"/>
      <c r="E1781" s="31"/>
      <c r="F1781" s="31"/>
      <c r="G1781" s="31"/>
      <c r="H1781" s="32"/>
      <c r="J1781" s="33"/>
      <c r="K1781" s="33"/>
      <c r="L1781" s="33"/>
      <c r="X1781" s="22"/>
      <c r="Y1781" s="22"/>
      <c r="Z1781" s="22"/>
      <c r="AA1781" s="22"/>
      <c r="AF1781" s="22"/>
      <c r="AG1781" s="22"/>
      <c r="AH1781" s="22"/>
      <c r="AI1781" s="22"/>
      <c r="AN1781" s="22"/>
      <c r="AO1781" s="22"/>
      <c r="AP1781" s="22"/>
      <c r="AQ1781" s="22"/>
      <c r="AR1781" s="35"/>
      <c r="AS1781" s="35"/>
      <c r="AT1781" s="35"/>
      <c r="AU1781" s="31"/>
      <c r="AV1781" s="36"/>
      <c r="AW1781" s="36"/>
    </row>
    <row r="1782" spans="4:49">
      <c r="D1782" s="31"/>
      <c r="E1782" s="31"/>
      <c r="F1782" s="31"/>
      <c r="G1782" s="31"/>
      <c r="H1782" s="32"/>
      <c r="J1782" s="33"/>
      <c r="K1782" s="33"/>
      <c r="L1782" s="33"/>
      <c r="X1782" s="22"/>
      <c r="Y1782" s="22"/>
      <c r="Z1782" s="22"/>
      <c r="AA1782" s="22"/>
      <c r="AF1782" s="22"/>
      <c r="AG1782" s="22"/>
      <c r="AH1782" s="22"/>
      <c r="AI1782" s="22"/>
      <c r="AN1782" s="22"/>
      <c r="AO1782" s="22"/>
      <c r="AP1782" s="22"/>
      <c r="AQ1782" s="22"/>
      <c r="AR1782" s="35"/>
      <c r="AS1782" s="35"/>
      <c r="AT1782" s="35"/>
      <c r="AU1782" s="31"/>
      <c r="AV1782" s="36"/>
      <c r="AW1782" s="36"/>
    </row>
    <row r="1783" spans="4:49">
      <c r="D1783" s="31"/>
      <c r="E1783" s="31"/>
      <c r="F1783" s="31"/>
      <c r="G1783" s="31"/>
      <c r="H1783" s="32"/>
      <c r="J1783" s="33"/>
      <c r="K1783" s="33"/>
      <c r="L1783" s="33"/>
      <c r="X1783" s="22"/>
      <c r="Y1783" s="22"/>
      <c r="Z1783" s="22"/>
      <c r="AA1783" s="22"/>
      <c r="AF1783" s="22"/>
      <c r="AG1783" s="22"/>
      <c r="AH1783" s="22"/>
      <c r="AI1783" s="22"/>
      <c r="AN1783" s="22"/>
      <c r="AO1783" s="22"/>
      <c r="AP1783" s="22"/>
      <c r="AQ1783" s="22"/>
      <c r="AR1783" s="35"/>
      <c r="AS1783" s="35"/>
      <c r="AT1783" s="35"/>
      <c r="AU1783" s="31"/>
      <c r="AV1783" s="36"/>
      <c r="AW1783" s="36"/>
    </row>
    <row r="1784" spans="4:49">
      <c r="D1784" s="31"/>
      <c r="E1784" s="31"/>
      <c r="F1784" s="31"/>
      <c r="G1784" s="31"/>
      <c r="H1784" s="32"/>
      <c r="J1784" s="33"/>
      <c r="K1784" s="33"/>
      <c r="L1784" s="33"/>
      <c r="X1784" s="22"/>
      <c r="Y1784" s="22"/>
      <c r="Z1784" s="22"/>
      <c r="AA1784" s="22"/>
      <c r="AF1784" s="22"/>
      <c r="AG1784" s="22"/>
      <c r="AH1784" s="22"/>
      <c r="AI1784" s="22"/>
      <c r="AN1784" s="22"/>
      <c r="AO1784" s="22"/>
      <c r="AP1784" s="22"/>
      <c r="AQ1784" s="22"/>
      <c r="AR1784" s="35"/>
      <c r="AS1784" s="35"/>
      <c r="AT1784" s="35"/>
      <c r="AU1784" s="31"/>
      <c r="AV1784" s="36"/>
      <c r="AW1784" s="36"/>
    </row>
    <row r="1785" spans="4:49">
      <c r="D1785" s="31"/>
      <c r="E1785" s="31"/>
      <c r="F1785" s="31"/>
      <c r="G1785" s="31"/>
      <c r="H1785" s="32"/>
      <c r="J1785" s="33"/>
      <c r="K1785" s="33"/>
      <c r="L1785" s="33"/>
      <c r="X1785" s="22"/>
      <c r="Y1785" s="22"/>
      <c r="Z1785" s="22"/>
      <c r="AA1785" s="22"/>
      <c r="AF1785" s="22"/>
      <c r="AG1785" s="22"/>
      <c r="AH1785" s="22"/>
      <c r="AI1785" s="22"/>
      <c r="AN1785" s="22"/>
      <c r="AO1785" s="22"/>
      <c r="AP1785" s="22"/>
      <c r="AQ1785" s="22"/>
      <c r="AR1785" s="35"/>
      <c r="AS1785" s="35"/>
      <c r="AT1785" s="35"/>
      <c r="AU1785" s="31"/>
      <c r="AV1785" s="36"/>
      <c r="AW1785" s="36"/>
    </row>
    <row r="1786" spans="4:49">
      <c r="D1786" s="31"/>
      <c r="E1786" s="31"/>
      <c r="F1786" s="31"/>
      <c r="G1786" s="31"/>
      <c r="H1786" s="32"/>
      <c r="J1786" s="33"/>
      <c r="K1786" s="33"/>
      <c r="L1786" s="33"/>
      <c r="X1786" s="22"/>
      <c r="Y1786" s="22"/>
      <c r="Z1786" s="22"/>
      <c r="AA1786" s="22"/>
      <c r="AF1786" s="22"/>
      <c r="AG1786" s="22"/>
      <c r="AH1786" s="22"/>
      <c r="AI1786" s="22"/>
      <c r="AN1786" s="22"/>
      <c r="AO1786" s="22"/>
      <c r="AP1786" s="22"/>
      <c r="AQ1786" s="22"/>
      <c r="AR1786" s="35"/>
      <c r="AS1786" s="35"/>
      <c r="AT1786" s="35"/>
      <c r="AU1786" s="31"/>
      <c r="AV1786" s="36"/>
      <c r="AW1786" s="36"/>
    </row>
    <row r="1787" spans="4:49">
      <c r="D1787" s="31"/>
      <c r="E1787" s="31"/>
      <c r="F1787" s="31"/>
      <c r="G1787" s="31"/>
      <c r="H1787" s="32"/>
      <c r="J1787" s="33"/>
      <c r="K1787" s="33"/>
      <c r="L1787" s="33"/>
      <c r="X1787" s="22"/>
      <c r="Y1787" s="22"/>
      <c r="Z1787" s="22"/>
      <c r="AA1787" s="22"/>
      <c r="AF1787" s="22"/>
      <c r="AG1787" s="22"/>
      <c r="AH1787" s="22"/>
      <c r="AI1787" s="22"/>
      <c r="AN1787" s="22"/>
      <c r="AO1787" s="22"/>
      <c r="AP1787" s="22"/>
      <c r="AQ1787" s="22"/>
      <c r="AR1787" s="35"/>
      <c r="AS1787" s="35"/>
      <c r="AT1787" s="35"/>
      <c r="AU1787" s="31"/>
      <c r="AV1787" s="36"/>
      <c r="AW1787" s="36"/>
    </row>
    <row r="1788" spans="4:49">
      <c r="D1788" s="31"/>
      <c r="E1788" s="31"/>
      <c r="F1788" s="31"/>
      <c r="G1788" s="31"/>
      <c r="H1788" s="32"/>
      <c r="J1788" s="33"/>
      <c r="K1788" s="33"/>
      <c r="L1788" s="33"/>
      <c r="X1788" s="22"/>
      <c r="Y1788" s="22"/>
      <c r="Z1788" s="22"/>
      <c r="AA1788" s="22"/>
      <c r="AF1788" s="22"/>
      <c r="AG1788" s="22"/>
      <c r="AH1788" s="22"/>
      <c r="AI1788" s="22"/>
      <c r="AN1788" s="22"/>
      <c r="AO1788" s="22"/>
      <c r="AP1788" s="22"/>
      <c r="AQ1788" s="22"/>
      <c r="AR1788" s="35"/>
      <c r="AS1788" s="35"/>
      <c r="AT1788" s="35"/>
      <c r="AU1788" s="31"/>
      <c r="AV1788" s="36"/>
      <c r="AW1788" s="36"/>
    </row>
    <row r="1789" spans="4:49">
      <c r="D1789" s="31"/>
      <c r="E1789" s="31"/>
      <c r="F1789" s="31"/>
      <c r="G1789" s="31"/>
      <c r="H1789" s="32"/>
      <c r="J1789" s="33"/>
      <c r="K1789" s="33"/>
      <c r="L1789" s="33"/>
      <c r="X1789" s="22"/>
      <c r="Y1789" s="22"/>
      <c r="Z1789" s="22"/>
      <c r="AA1789" s="22"/>
      <c r="AF1789" s="22"/>
      <c r="AG1789" s="22"/>
      <c r="AH1789" s="22"/>
      <c r="AI1789" s="22"/>
      <c r="AN1789" s="22"/>
      <c r="AO1789" s="22"/>
      <c r="AP1789" s="22"/>
      <c r="AQ1789" s="22"/>
      <c r="AR1789" s="35"/>
      <c r="AS1789" s="35"/>
      <c r="AT1789" s="35"/>
      <c r="AU1789" s="31"/>
      <c r="AV1789" s="36"/>
      <c r="AW1789" s="36"/>
    </row>
    <row r="1790" spans="4:49">
      <c r="D1790" s="31"/>
      <c r="E1790" s="31"/>
      <c r="F1790" s="31"/>
      <c r="G1790" s="31"/>
      <c r="H1790" s="32"/>
      <c r="J1790" s="33"/>
      <c r="K1790" s="33"/>
      <c r="L1790" s="33"/>
      <c r="X1790" s="22"/>
      <c r="Y1790" s="22"/>
      <c r="Z1790" s="22"/>
      <c r="AA1790" s="22"/>
      <c r="AF1790" s="22"/>
      <c r="AG1790" s="22"/>
      <c r="AH1790" s="22"/>
      <c r="AI1790" s="22"/>
      <c r="AN1790" s="22"/>
      <c r="AO1790" s="22"/>
      <c r="AP1790" s="22"/>
      <c r="AQ1790" s="22"/>
      <c r="AR1790" s="35"/>
      <c r="AS1790" s="35"/>
      <c r="AT1790" s="35"/>
      <c r="AU1790" s="31"/>
      <c r="AV1790" s="36"/>
      <c r="AW1790" s="36"/>
    </row>
    <row r="1791" spans="4:49">
      <c r="D1791" s="31"/>
      <c r="E1791" s="31"/>
      <c r="F1791" s="31"/>
      <c r="G1791" s="31"/>
      <c r="H1791" s="32"/>
      <c r="J1791" s="33"/>
      <c r="K1791" s="33"/>
      <c r="L1791" s="33"/>
      <c r="X1791" s="22"/>
      <c r="Y1791" s="22"/>
      <c r="Z1791" s="22"/>
      <c r="AA1791" s="22"/>
      <c r="AF1791" s="22"/>
      <c r="AG1791" s="22"/>
      <c r="AH1791" s="22"/>
      <c r="AI1791" s="22"/>
      <c r="AN1791" s="22"/>
      <c r="AO1791" s="22"/>
      <c r="AP1791" s="22"/>
      <c r="AQ1791" s="22"/>
      <c r="AR1791" s="35"/>
      <c r="AS1791" s="35"/>
      <c r="AT1791" s="35"/>
      <c r="AU1791" s="31"/>
      <c r="AV1791" s="36"/>
      <c r="AW1791" s="36"/>
    </row>
    <row r="1792" spans="4:49">
      <c r="D1792" s="31"/>
      <c r="E1792" s="31"/>
      <c r="F1792" s="31"/>
      <c r="G1792" s="31"/>
      <c r="H1792" s="32"/>
      <c r="J1792" s="33"/>
      <c r="K1792" s="33"/>
      <c r="L1792" s="33"/>
      <c r="X1792" s="22"/>
      <c r="Y1792" s="22"/>
      <c r="Z1792" s="22"/>
      <c r="AA1792" s="22"/>
      <c r="AF1792" s="22"/>
      <c r="AG1792" s="22"/>
      <c r="AH1792" s="22"/>
      <c r="AI1792" s="22"/>
      <c r="AN1792" s="22"/>
      <c r="AO1792" s="22"/>
      <c r="AP1792" s="22"/>
      <c r="AQ1792" s="22"/>
      <c r="AR1792" s="35"/>
      <c r="AS1792" s="35"/>
      <c r="AT1792" s="35"/>
      <c r="AU1792" s="31"/>
      <c r="AV1792" s="36"/>
      <c r="AW1792" s="36"/>
    </row>
    <row r="1793" spans="4:49">
      <c r="D1793" s="31"/>
      <c r="E1793" s="31"/>
      <c r="F1793" s="31"/>
      <c r="G1793" s="31"/>
      <c r="H1793" s="32"/>
      <c r="J1793" s="33"/>
      <c r="K1793" s="33"/>
      <c r="L1793" s="33"/>
      <c r="X1793" s="22"/>
      <c r="Y1793" s="22"/>
      <c r="Z1793" s="22"/>
      <c r="AA1793" s="22"/>
      <c r="AF1793" s="22"/>
      <c r="AG1793" s="22"/>
      <c r="AH1793" s="22"/>
      <c r="AI1793" s="22"/>
      <c r="AN1793" s="22"/>
      <c r="AO1793" s="22"/>
      <c r="AP1793" s="22"/>
      <c r="AQ1793" s="22"/>
      <c r="AR1793" s="35"/>
      <c r="AS1793" s="35"/>
      <c r="AT1793" s="35"/>
      <c r="AU1793" s="31"/>
      <c r="AV1793" s="36"/>
      <c r="AW1793" s="36"/>
    </row>
    <row r="1794" spans="4:49">
      <c r="D1794" s="31"/>
      <c r="E1794" s="31"/>
      <c r="F1794" s="31"/>
      <c r="G1794" s="31"/>
      <c r="H1794" s="32"/>
      <c r="J1794" s="33"/>
      <c r="K1794" s="33"/>
      <c r="L1794" s="33"/>
      <c r="X1794" s="22"/>
      <c r="Y1794" s="22"/>
      <c r="Z1794" s="22"/>
      <c r="AA1794" s="22"/>
      <c r="AF1794" s="22"/>
      <c r="AG1794" s="22"/>
      <c r="AH1794" s="22"/>
      <c r="AI1794" s="22"/>
      <c r="AN1794" s="22"/>
      <c r="AO1794" s="22"/>
      <c r="AP1794" s="22"/>
      <c r="AQ1794" s="22"/>
      <c r="AR1794" s="35"/>
      <c r="AS1794" s="35"/>
      <c r="AT1794" s="35"/>
      <c r="AU1794" s="31"/>
      <c r="AV1794" s="36"/>
      <c r="AW1794" s="36"/>
    </row>
    <row r="1795" spans="4:49">
      <c r="D1795" s="31"/>
      <c r="E1795" s="31"/>
      <c r="F1795" s="31"/>
      <c r="G1795" s="31"/>
      <c r="H1795" s="32"/>
      <c r="J1795" s="33"/>
      <c r="K1795" s="33"/>
      <c r="L1795" s="33"/>
      <c r="X1795" s="22"/>
      <c r="Y1795" s="22"/>
      <c r="Z1795" s="22"/>
      <c r="AA1795" s="22"/>
      <c r="AF1795" s="22"/>
      <c r="AG1795" s="22"/>
      <c r="AH1795" s="22"/>
      <c r="AI1795" s="22"/>
      <c r="AN1795" s="22"/>
      <c r="AO1795" s="22"/>
      <c r="AP1795" s="22"/>
      <c r="AQ1795" s="22"/>
      <c r="AR1795" s="35"/>
      <c r="AS1795" s="35"/>
      <c r="AT1795" s="35"/>
      <c r="AU1795" s="31"/>
      <c r="AV1795" s="36"/>
      <c r="AW1795" s="36"/>
    </row>
    <row r="1796" spans="4:49">
      <c r="D1796" s="31"/>
      <c r="E1796" s="31"/>
      <c r="F1796" s="31"/>
      <c r="G1796" s="31"/>
      <c r="H1796" s="32"/>
      <c r="J1796" s="33"/>
      <c r="K1796" s="33"/>
      <c r="L1796" s="33"/>
      <c r="X1796" s="22"/>
      <c r="Y1796" s="22"/>
      <c r="Z1796" s="22"/>
      <c r="AA1796" s="22"/>
      <c r="AF1796" s="22"/>
      <c r="AG1796" s="22"/>
      <c r="AH1796" s="22"/>
      <c r="AI1796" s="22"/>
      <c r="AN1796" s="22"/>
      <c r="AO1796" s="22"/>
      <c r="AP1796" s="22"/>
      <c r="AQ1796" s="22"/>
      <c r="AR1796" s="35"/>
      <c r="AS1796" s="35"/>
      <c r="AT1796" s="35"/>
      <c r="AU1796" s="31"/>
      <c r="AV1796" s="36"/>
      <c r="AW1796" s="36"/>
    </row>
    <row r="1797" spans="4:49">
      <c r="D1797" s="31"/>
      <c r="E1797" s="31"/>
      <c r="F1797" s="31"/>
      <c r="G1797" s="31"/>
      <c r="H1797" s="32"/>
      <c r="J1797" s="33"/>
      <c r="K1797" s="33"/>
      <c r="L1797" s="33"/>
      <c r="X1797" s="22"/>
      <c r="Y1797" s="22"/>
      <c r="Z1797" s="22"/>
      <c r="AA1797" s="22"/>
      <c r="AF1797" s="22"/>
      <c r="AG1797" s="22"/>
      <c r="AH1797" s="22"/>
      <c r="AI1797" s="22"/>
      <c r="AN1797" s="22"/>
      <c r="AO1797" s="22"/>
      <c r="AP1797" s="22"/>
      <c r="AQ1797" s="22"/>
      <c r="AR1797" s="35"/>
      <c r="AS1797" s="35"/>
      <c r="AT1797" s="35"/>
      <c r="AU1797" s="31"/>
      <c r="AV1797" s="36"/>
      <c r="AW1797" s="36"/>
    </row>
    <row r="1798" spans="4:49">
      <c r="D1798" s="31"/>
      <c r="E1798" s="31"/>
      <c r="F1798" s="31"/>
      <c r="G1798" s="31"/>
      <c r="H1798" s="32"/>
      <c r="J1798" s="33"/>
      <c r="K1798" s="33"/>
      <c r="L1798" s="33"/>
      <c r="X1798" s="22"/>
      <c r="Y1798" s="22"/>
      <c r="Z1798" s="22"/>
      <c r="AA1798" s="22"/>
      <c r="AF1798" s="22"/>
      <c r="AG1798" s="22"/>
      <c r="AH1798" s="22"/>
      <c r="AI1798" s="22"/>
      <c r="AN1798" s="22"/>
      <c r="AO1798" s="22"/>
      <c r="AP1798" s="22"/>
      <c r="AQ1798" s="22"/>
      <c r="AR1798" s="35"/>
      <c r="AS1798" s="35"/>
      <c r="AT1798" s="35"/>
      <c r="AU1798" s="31"/>
      <c r="AV1798" s="36"/>
      <c r="AW1798" s="36"/>
    </row>
    <row r="1799" spans="4:49">
      <c r="D1799" s="31"/>
      <c r="E1799" s="31"/>
      <c r="F1799" s="31"/>
      <c r="G1799" s="31"/>
      <c r="H1799" s="32"/>
      <c r="J1799" s="33"/>
      <c r="K1799" s="33"/>
      <c r="L1799" s="33"/>
      <c r="X1799" s="22"/>
      <c r="Y1799" s="22"/>
      <c r="Z1799" s="22"/>
      <c r="AA1799" s="22"/>
      <c r="AF1799" s="22"/>
      <c r="AG1799" s="22"/>
      <c r="AH1799" s="22"/>
      <c r="AI1799" s="22"/>
      <c r="AN1799" s="22"/>
      <c r="AO1799" s="22"/>
      <c r="AP1799" s="22"/>
      <c r="AQ1799" s="22"/>
      <c r="AR1799" s="35"/>
      <c r="AS1799" s="35"/>
      <c r="AT1799" s="35"/>
      <c r="AU1799" s="31"/>
      <c r="AV1799" s="36"/>
      <c r="AW1799" s="36"/>
    </row>
    <row r="1800" spans="4:49">
      <c r="D1800" s="31"/>
      <c r="E1800" s="31"/>
      <c r="F1800" s="31"/>
      <c r="G1800" s="31"/>
      <c r="H1800" s="32"/>
      <c r="J1800" s="33"/>
      <c r="K1800" s="33"/>
      <c r="L1800" s="33"/>
      <c r="X1800" s="22"/>
      <c r="Y1800" s="22"/>
      <c r="Z1800" s="22"/>
      <c r="AA1800" s="22"/>
      <c r="AF1800" s="22"/>
      <c r="AG1800" s="22"/>
      <c r="AH1800" s="22"/>
      <c r="AI1800" s="22"/>
      <c r="AN1800" s="22"/>
      <c r="AO1800" s="22"/>
      <c r="AP1800" s="22"/>
      <c r="AQ1800" s="22"/>
      <c r="AR1800" s="35"/>
      <c r="AS1800" s="35"/>
      <c r="AT1800" s="35"/>
      <c r="AU1800" s="31"/>
      <c r="AV1800" s="36"/>
      <c r="AW1800" s="36"/>
    </row>
    <row r="1801" spans="4:49">
      <c r="D1801" s="31"/>
      <c r="E1801" s="31"/>
      <c r="F1801" s="31"/>
      <c r="G1801" s="31"/>
      <c r="H1801" s="32"/>
      <c r="J1801" s="33"/>
      <c r="K1801" s="33"/>
      <c r="L1801" s="33"/>
      <c r="X1801" s="22"/>
      <c r="Y1801" s="22"/>
      <c r="Z1801" s="22"/>
      <c r="AA1801" s="22"/>
      <c r="AF1801" s="22"/>
      <c r="AG1801" s="22"/>
      <c r="AH1801" s="22"/>
      <c r="AI1801" s="22"/>
      <c r="AN1801" s="22"/>
      <c r="AO1801" s="22"/>
      <c r="AP1801" s="22"/>
      <c r="AQ1801" s="22"/>
      <c r="AR1801" s="35"/>
      <c r="AS1801" s="35"/>
      <c r="AT1801" s="35"/>
      <c r="AU1801" s="31"/>
      <c r="AV1801" s="36"/>
      <c r="AW1801" s="36"/>
    </row>
    <row r="1802" spans="4:49">
      <c r="D1802" s="31"/>
      <c r="E1802" s="31"/>
      <c r="F1802" s="31"/>
      <c r="G1802" s="31"/>
      <c r="H1802" s="32"/>
      <c r="J1802" s="33"/>
      <c r="K1802" s="33"/>
      <c r="L1802" s="33"/>
      <c r="X1802" s="22"/>
      <c r="Y1802" s="22"/>
      <c r="Z1802" s="22"/>
      <c r="AA1802" s="22"/>
      <c r="AF1802" s="22"/>
      <c r="AG1802" s="22"/>
      <c r="AH1802" s="22"/>
      <c r="AI1802" s="22"/>
      <c r="AN1802" s="22"/>
      <c r="AO1802" s="22"/>
      <c r="AP1802" s="22"/>
      <c r="AQ1802" s="22"/>
      <c r="AR1802" s="35"/>
      <c r="AS1802" s="35"/>
      <c r="AT1802" s="35"/>
      <c r="AU1802" s="31"/>
      <c r="AV1802" s="36"/>
      <c r="AW1802" s="36"/>
    </row>
    <row r="1803" spans="4:49">
      <c r="D1803" s="31"/>
      <c r="E1803" s="31"/>
      <c r="F1803" s="31"/>
      <c r="G1803" s="31"/>
      <c r="H1803" s="32"/>
      <c r="J1803" s="33"/>
      <c r="K1803" s="33"/>
      <c r="L1803" s="33"/>
      <c r="X1803" s="22"/>
      <c r="Y1803" s="22"/>
      <c r="Z1803" s="22"/>
      <c r="AA1803" s="22"/>
      <c r="AF1803" s="22"/>
      <c r="AG1803" s="22"/>
      <c r="AH1803" s="22"/>
      <c r="AI1803" s="22"/>
      <c r="AN1803" s="22"/>
      <c r="AO1803" s="22"/>
      <c r="AP1803" s="22"/>
      <c r="AQ1803" s="22"/>
      <c r="AR1803" s="35"/>
      <c r="AS1803" s="35"/>
      <c r="AT1803" s="35"/>
      <c r="AU1803" s="31"/>
      <c r="AV1803" s="36"/>
      <c r="AW1803" s="36"/>
    </row>
    <row r="1804" spans="4:49">
      <c r="D1804" s="31"/>
      <c r="E1804" s="31"/>
      <c r="F1804" s="31"/>
      <c r="G1804" s="31"/>
      <c r="H1804" s="32"/>
      <c r="J1804" s="33"/>
      <c r="K1804" s="33"/>
      <c r="L1804" s="33"/>
      <c r="X1804" s="22"/>
      <c r="Y1804" s="22"/>
      <c r="Z1804" s="22"/>
      <c r="AA1804" s="22"/>
      <c r="AF1804" s="22"/>
      <c r="AG1804" s="22"/>
      <c r="AH1804" s="22"/>
      <c r="AI1804" s="22"/>
      <c r="AN1804" s="22"/>
      <c r="AO1804" s="22"/>
      <c r="AP1804" s="22"/>
      <c r="AQ1804" s="22"/>
      <c r="AR1804" s="35"/>
      <c r="AS1804" s="35"/>
      <c r="AT1804" s="35"/>
      <c r="AU1804" s="31"/>
      <c r="AV1804" s="36"/>
      <c r="AW1804" s="36"/>
    </row>
    <row r="1805" spans="4:49">
      <c r="D1805" s="31"/>
      <c r="E1805" s="31"/>
      <c r="F1805" s="31"/>
      <c r="G1805" s="31"/>
      <c r="H1805" s="32"/>
      <c r="J1805" s="33"/>
      <c r="K1805" s="33"/>
      <c r="L1805" s="33"/>
      <c r="X1805" s="22"/>
      <c r="Y1805" s="22"/>
      <c r="Z1805" s="22"/>
      <c r="AA1805" s="22"/>
      <c r="AF1805" s="22"/>
      <c r="AG1805" s="22"/>
      <c r="AH1805" s="22"/>
      <c r="AI1805" s="22"/>
      <c r="AN1805" s="22"/>
      <c r="AO1805" s="22"/>
      <c r="AP1805" s="22"/>
      <c r="AQ1805" s="22"/>
      <c r="AR1805" s="35"/>
      <c r="AS1805" s="35"/>
      <c r="AT1805" s="35"/>
      <c r="AU1805" s="31"/>
      <c r="AV1805" s="36"/>
      <c r="AW1805" s="36"/>
    </row>
    <row r="1806" spans="4:49">
      <c r="D1806" s="31"/>
      <c r="E1806" s="31"/>
      <c r="F1806" s="31"/>
      <c r="G1806" s="31"/>
      <c r="H1806" s="32"/>
      <c r="J1806" s="33"/>
      <c r="K1806" s="33"/>
      <c r="L1806" s="33"/>
      <c r="X1806" s="22"/>
      <c r="Y1806" s="22"/>
      <c r="Z1806" s="22"/>
      <c r="AA1806" s="22"/>
      <c r="AF1806" s="22"/>
      <c r="AG1806" s="22"/>
      <c r="AH1806" s="22"/>
      <c r="AI1806" s="22"/>
      <c r="AN1806" s="22"/>
      <c r="AO1806" s="22"/>
      <c r="AP1806" s="22"/>
      <c r="AQ1806" s="22"/>
      <c r="AR1806" s="35"/>
      <c r="AS1806" s="35"/>
      <c r="AT1806" s="35"/>
      <c r="AU1806" s="31"/>
      <c r="AV1806" s="36"/>
      <c r="AW1806" s="36"/>
    </row>
    <row r="1807" spans="4:49">
      <c r="D1807" s="31"/>
      <c r="E1807" s="31"/>
      <c r="F1807" s="31"/>
      <c r="G1807" s="31"/>
      <c r="H1807" s="32"/>
      <c r="J1807" s="33"/>
      <c r="K1807" s="33"/>
      <c r="L1807" s="33"/>
      <c r="X1807" s="22"/>
      <c r="Y1807" s="22"/>
      <c r="Z1807" s="22"/>
      <c r="AA1807" s="22"/>
      <c r="AF1807" s="22"/>
      <c r="AG1807" s="22"/>
      <c r="AH1807" s="22"/>
      <c r="AI1807" s="22"/>
      <c r="AN1807" s="22"/>
      <c r="AO1807" s="22"/>
      <c r="AP1807" s="22"/>
      <c r="AQ1807" s="22"/>
      <c r="AR1807" s="35"/>
      <c r="AS1807" s="35"/>
      <c r="AT1807" s="35"/>
      <c r="AU1807" s="31"/>
      <c r="AV1807" s="36"/>
      <c r="AW1807" s="36"/>
    </row>
    <row r="1808" spans="4:49">
      <c r="D1808" s="31"/>
      <c r="E1808" s="31"/>
      <c r="F1808" s="31"/>
      <c r="G1808" s="31"/>
      <c r="H1808" s="32"/>
      <c r="J1808" s="33"/>
      <c r="K1808" s="33"/>
      <c r="L1808" s="33"/>
      <c r="X1808" s="22"/>
      <c r="Y1808" s="22"/>
      <c r="Z1808" s="22"/>
      <c r="AA1808" s="22"/>
      <c r="AF1808" s="22"/>
      <c r="AG1808" s="22"/>
      <c r="AH1808" s="22"/>
      <c r="AI1808" s="22"/>
      <c r="AN1808" s="22"/>
      <c r="AO1808" s="22"/>
      <c r="AP1808" s="22"/>
      <c r="AQ1808" s="22"/>
      <c r="AR1808" s="35"/>
      <c r="AS1808" s="35"/>
      <c r="AT1808" s="35"/>
      <c r="AU1808" s="31"/>
      <c r="AV1808" s="36"/>
      <c r="AW1808" s="36"/>
    </row>
    <row r="1809" spans="4:49">
      <c r="D1809" s="31"/>
      <c r="E1809" s="31"/>
      <c r="F1809" s="31"/>
      <c r="G1809" s="31"/>
      <c r="H1809" s="32"/>
      <c r="J1809" s="33"/>
      <c r="K1809" s="33"/>
      <c r="L1809" s="33"/>
      <c r="X1809" s="22"/>
      <c r="Y1809" s="22"/>
      <c r="Z1809" s="22"/>
      <c r="AA1809" s="22"/>
      <c r="AF1809" s="22"/>
      <c r="AG1809" s="22"/>
      <c r="AH1809" s="22"/>
      <c r="AI1809" s="22"/>
      <c r="AN1809" s="22"/>
      <c r="AO1809" s="22"/>
      <c r="AP1809" s="22"/>
      <c r="AQ1809" s="22"/>
      <c r="AR1809" s="35"/>
      <c r="AS1809" s="35"/>
      <c r="AT1809" s="35"/>
      <c r="AU1809" s="31"/>
      <c r="AV1809" s="36"/>
      <c r="AW1809" s="36"/>
    </row>
    <row r="1810" spans="4:49">
      <c r="D1810" s="31"/>
      <c r="E1810" s="31"/>
      <c r="F1810" s="31"/>
      <c r="G1810" s="31"/>
      <c r="H1810" s="32"/>
      <c r="J1810" s="33"/>
      <c r="K1810" s="33"/>
      <c r="L1810" s="33"/>
      <c r="X1810" s="22"/>
      <c r="Y1810" s="22"/>
      <c r="Z1810" s="22"/>
      <c r="AA1810" s="22"/>
      <c r="AF1810" s="22"/>
      <c r="AG1810" s="22"/>
      <c r="AH1810" s="22"/>
      <c r="AI1810" s="22"/>
      <c r="AN1810" s="22"/>
      <c r="AO1810" s="22"/>
      <c r="AP1810" s="22"/>
      <c r="AQ1810" s="22"/>
      <c r="AR1810" s="35"/>
      <c r="AS1810" s="35"/>
      <c r="AT1810" s="35"/>
      <c r="AU1810" s="31"/>
      <c r="AV1810" s="36"/>
      <c r="AW1810" s="36"/>
    </row>
    <row r="1811" spans="4:49">
      <c r="D1811" s="31"/>
      <c r="E1811" s="31"/>
      <c r="F1811" s="31"/>
      <c r="G1811" s="31"/>
      <c r="H1811" s="32"/>
      <c r="J1811" s="33"/>
      <c r="K1811" s="33"/>
      <c r="L1811" s="33"/>
      <c r="X1811" s="22"/>
      <c r="Y1811" s="22"/>
      <c r="Z1811" s="22"/>
      <c r="AA1811" s="22"/>
      <c r="AF1811" s="22"/>
      <c r="AG1811" s="22"/>
      <c r="AH1811" s="22"/>
      <c r="AI1811" s="22"/>
      <c r="AN1811" s="22"/>
      <c r="AO1811" s="22"/>
      <c r="AP1811" s="22"/>
      <c r="AQ1811" s="22"/>
      <c r="AR1811" s="35"/>
      <c r="AS1811" s="35"/>
      <c r="AT1811" s="35"/>
      <c r="AU1811" s="31"/>
      <c r="AV1811" s="36"/>
      <c r="AW1811" s="36"/>
    </row>
    <row r="1812" spans="4:49">
      <c r="D1812" s="31"/>
      <c r="E1812" s="31"/>
      <c r="F1812" s="31"/>
      <c r="G1812" s="31"/>
      <c r="H1812" s="32"/>
      <c r="J1812" s="33"/>
      <c r="K1812" s="33"/>
      <c r="L1812" s="33"/>
      <c r="X1812" s="22"/>
      <c r="Y1812" s="22"/>
      <c r="Z1812" s="22"/>
      <c r="AA1812" s="22"/>
      <c r="AF1812" s="22"/>
      <c r="AG1812" s="22"/>
      <c r="AH1812" s="22"/>
      <c r="AI1812" s="22"/>
      <c r="AN1812" s="22"/>
      <c r="AO1812" s="22"/>
      <c r="AP1812" s="22"/>
      <c r="AQ1812" s="22"/>
      <c r="AR1812" s="35"/>
      <c r="AS1812" s="35"/>
      <c r="AT1812" s="35"/>
      <c r="AU1812" s="31"/>
      <c r="AV1812" s="36"/>
      <c r="AW1812" s="36"/>
    </row>
    <row r="1813" spans="4:49">
      <c r="D1813" s="31"/>
      <c r="E1813" s="31"/>
      <c r="F1813" s="31"/>
      <c r="G1813" s="31"/>
      <c r="H1813" s="32"/>
      <c r="J1813" s="33"/>
      <c r="K1813" s="33"/>
      <c r="L1813" s="33"/>
      <c r="X1813" s="22"/>
      <c r="Y1813" s="22"/>
      <c r="Z1813" s="22"/>
      <c r="AA1813" s="22"/>
      <c r="AF1813" s="22"/>
      <c r="AG1813" s="22"/>
      <c r="AH1813" s="22"/>
      <c r="AI1813" s="22"/>
      <c r="AN1813" s="22"/>
      <c r="AO1813" s="22"/>
      <c r="AP1813" s="22"/>
      <c r="AQ1813" s="22"/>
      <c r="AR1813" s="35"/>
      <c r="AS1813" s="35"/>
      <c r="AT1813" s="35"/>
      <c r="AU1813" s="31"/>
      <c r="AV1813" s="36"/>
      <c r="AW1813" s="36"/>
    </row>
    <row r="1814" spans="4:49">
      <c r="D1814" s="31"/>
      <c r="E1814" s="31"/>
      <c r="F1814" s="31"/>
      <c r="G1814" s="31"/>
      <c r="H1814" s="32"/>
      <c r="J1814" s="33"/>
      <c r="K1814" s="33"/>
      <c r="L1814" s="33"/>
      <c r="X1814" s="22"/>
      <c r="Y1814" s="22"/>
      <c r="Z1814" s="22"/>
      <c r="AA1814" s="22"/>
      <c r="AF1814" s="22"/>
      <c r="AG1814" s="22"/>
      <c r="AH1814" s="22"/>
      <c r="AI1814" s="22"/>
      <c r="AN1814" s="22"/>
      <c r="AO1814" s="22"/>
      <c r="AP1814" s="22"/>
      <c r="AQ1814" s="22"/>
      <c r="AR1814" s="35"/>
      <c r="AS1814" s="35"/>
      <c r="AT1814" s="35"/>
      <c r="AU1814" s="31"/>
      <c r="AV1814" s="36"/>
      <c r="AW1814" s="36"/>
    </row>
    <row r="1815" spans="4:49">
      <c r="D1815" s="31"/>
      <c r="E1815" s="31"/>
      <c r="F1815" s="31"/>
      <c r="G1815" s="31"/>
      <c r="H1815" s="32"/>
      <c r="J1815" s="33"/>
      <c r="K1815" s="33"/>
      <c r="L1815" s="33"/>
      <c r="X1815" s="22"/>
      <c r="Y1815" s="22"/>
      <c r="Z1815" s="22"/>
      <c r="AA1815" s="22"/>
      <c r="AF1815" s="22"/>
      <c r="AG1815" s="22"/>
      <c r="AH1815" s="22"/>
      <c r="AI1815" s="22"/>
      <c r="AN1815" s="22"/>
      <c r="AO1815" s="22"/>
      <c r="AP1815" s="22"/>
      <c r="AQ1815" s="22"/>
      <c r="AR1815" s="35"/>
      <c r="AS1815" s="35"/>
      <c r="AT1815" s="35"/>
      <c r="AU1815" s="31"/>
      <c r="AV1815" s="36"/>
      <c r="AW1815" s="36"/>
    </row>
    <row r="1816" spans="4:49">
      <c r="D1816" s="31"/>
      <c r="E1816" s="31"/>
      <c r="F1816" s="31"/>
      <c r="G1816" s="31"/>
      <c r="H1816" s="32"/>
      <c r="J1816" s="33"/>
      <c r="K1816" s="33"/>
      <c r="L1816" s="33"/>
      <c r="X1816" s="22"/>
      <c r="Y1816" s="22"/>
      <c r="Z1816" s="22"/>
      <c r="AA1816" s="22"/>
      <c r="AF1816" s="22"/>
      <c r="AG1816" s="22"/>
      <c r="AH1816" s="22"/>
      <c r="AI1816" s="22"/>
      <c r="AN1816" s="22"/>
      <c r="AO1816" s="22"/>
      <c r="AP1816" s="22"/>
      <c r="AQ1816" s="22"/>
      <c r="AR1816" s="35"/>
      <c r="AS1816" s="35"/>
      <c r="AT1816" s="35"/>
      <c r="AU1816" s="31"/>
      <c r="AV1816" s="36"/>
      <c r="AW1816" s="36"/>
    </row>
    <row r="1817" spans="4:49">
      <c r="D1817" s="31"/>
      <c r="E1817" s="31"/>
      <c r="F1817" s="31"/>
      <c r="G1817" s="31"/>
      <c r="H1817" s="32"/>
      <c r="J1817" s="33"/>
      <c r="K1817" s="33"/>
      <c r="L1817" s="33"/>
      <c r="X1817" s="22"/>
      <c r="Y1817" s="22"/>
      <c r="Z1817" s="22"/>
      <c r="AA1817" s="22"/>
      <c r="AF1817" s="22"/>
      <c r="AG1817" s="22"/>
      <c r="AH1817" s="22"/>
      <c r="AI1817" s="22"/>
      <c r="AN1817" s="22"/>
      <c r="AO1817" s="22"/>
      <c r="AP1817" s="22"/>
      <c r="AQ1817" s="22"/>
      <c r="AR1817" s="35"/>
      <c r="AS1817" s="35"/>
      <c r="AT1817" s="35"/>
      <c r="AU1817" s="31"/>
      <c r="AV1817" s="36"/>
      <c r="AW1817" s="36"/>
    </row>
    <row r="1818" spans="4:49">
      <c r="D1818" s="31"/>
      <c r="E1818" s="31"/>
      <c r="F1818" s="31"/>
      <c r="G1818" s="31"/>
      <c r="H1818" s="32"/>
      <c r="J1818" s="33"/>
      <c r="K1818" s="33"/>
      <c r="L1818" s="33"/>
      <c r="X1818" s="22"/>
      <c r="Y1818" s="22"/>
      <c r="Z1818" s="22"/>
      <c r="AA1818" s="22"/>
      <c r="AF1818" s="22"/>
      <c r="AG1818" s="22"/>
      <c r="AH1818" s="22"/>
      <c r="AI1818" s="22"/>
      <c r="AN1818" s="22"/>
      <c r="AO1818" s="22"/>
      <c r="AP1818" s="22"/>
      <c r="AQ1818" s="22"/>
      <c r="AR1818" s="35"/>
      <c r="AS1818" s="35"/>
      <c r="AT1818" s="35"/>
      <c r="AU1818" s="31"/>
      <c r="AV1818" s="36"/>
      <c r="AW1818" s="36"/>
    </row>
    <row r="1819" spans="4:49">
      <c r="D1819" s="31"/>
      <c r="E1819" s="31"/>
      <c r="F1819" s="31"/>
      <c r="G1819" s="31"/>
      <c r="H1819" s="32"/>
      <c r="J1819" s="33"/>
      <c r="K1819" s="33"/>
      <c r="L1819" s="33"/>
      <c r="X1819" s="22"/>
      <c r="Y1819" s="22"/>
      <c r="Z1819" s="22"/>
      <c r="AA1819" s="22"/>
      <c r="AF1819" s="22"/>
      <c r="AG1819" s="22"/>
      <c r="AH1819" s="22"/>
      <c r="AI1819" s="22"/>
      <c r="AN1819" s="22"/>
      <c r="AO1819" s="22"/>
      <c r="AP1819" s="22"/>
      <c r="AQ1819" s="22"/>
      <c r="AR1819" s="35"/>
      <c r="AS1819" s="35"/>
      <c r="AT1819" s="35"/>
      <c r="AU1819" s="31"/>
      <c r="AV1819" s="36"/>
      <c r="AW1819" s="36"/>
    </row>
    <row r="1820" spans="4:49">
      <c r="D1820" s="31"/>
      <c r="E1820" s="31"/>
      <c r="F1820" s="31"/>
      <c r="G1820" s="31"/>
      <c r="H1820" s="32"/>
      <c r="J1820" s="33"/>
      <c r="K1820" s="33"/>
      <c r="L1820" s="33"/>
      <c r="X1820" s="22"/>
      <c r="Y1820" s="22"/>
      <c r="Z1820" s="22"/>
      <c r="AA1820" s="22"/>
      <c r="AF1820" s="22"/>
      <c r="AG1820" s="22"/>
      <c r="AH1820" s="22"/>
      <c r="AI1820" s="22"/>
      <c r="AN1820" s="22"/>
      <c r="AO1820" s="22"/>
      <c r="AP1820" s="22"/>
      <c r="AQ1820" s="22"/>
      <c r="AR1820" s="35"/>
      <c r="AS1820" s="35"/>
      <c r="AT1820" s="35"/>
      <c r="AU1820" s="31"/>
      <c r="AV1820" s="36"/>
      <c r="AW1820" s="36"/>
    </row>
    <row r="1821" spans="4:49">
      <c r="D1821" s="31"/>
      <c r="E1821" s="31"/>
      <c r="F1821" s="31"/>
      <c r="G1821" s="31"/>
      <c r="H1821" s="32"/>
      <c r="J1821" s="33"/>
      <c r="K1821" s="33"/>
      <c r="L1821" s="33"/>
      <c r="X1821" s="22"/>
      <c r="Y1821" s="22"/>
      <c r="Z1821" s="22"/>
      <c r="AA1821" s="22"/>
      <c r="AF1821" s="22"/>
      <c r="AG1821" s="22"/>
      <c r="AH1821" s="22"/>
      <c r="AI1821" s="22"/>
      <c r="AN1821" s="22"/>
      <c r="AO1821" s="22"/>
      <c r="AP1821" s="22"/>
      <c r="AQ1821" s="22"/>
      <c r="AR1821" s="35"/>
      <c r="AS1821" s="35"/>
      <c r="AT1821" s="35"/>
      <c r="AU1821" s="31"/>
      <c r="AV1821" s="36"/>
      <c r="AW1821" s="36"/>
    </row>
    <row r="1822" spans="4:49">
      <c r="D1822" s="31"/>
      <c r="E1822" s="31"/>
      <c r="F1822" s="31"/>
      <c r="G1822" s="31"/>
      <c r="H1822" s="32"/>
      <c r="J1822" s="33"/>
      <c r="K1822" s="33"/>
      <c r="L1822" s="33"/>
      <c r="X1822" s="22"/>
      <c r="Y1822" s="22"/>
      <c r="Z1822" s="22"/>
      <c r="AA1822" s="22"/>
      <c r="AF1822" s="22"/>
      <c r="AG1822" s="22"/>
      <c r="AH1822" s="22"/>
      <c r="AI1822" s="22"/>
      <c r="AN1822" s="22"/>
      <c r="AO1822" s="22"/>
      <c r="AP1822" s="22"/>
      <c r="AQ1822" s="22"/>
      <c r="AR1822" s="35"/>
      <c r="AS1822" s="35"/>
      <c r="AT1822" s="35"/>
      <c r="AU1822" s="31"/>
      <c r="AV1822" s="36"/>
      <c r="AW1822" s="36"/>
    </row>
    <row r="1823" spans="4:49">
      <c r="D1823" s="31"/>
      <c r="E1823" s="31"/>
      <c r="F1823" s="31"/>
      <c r="G1823" s="31"/>
      <c r="H1823" s="32"/>
      <c r="J1823" s="33"/>
      <c r="K1823" s="33"/>
      <c r="L1823" s="33"/>
      <c r="X1823" s="22"/>
      <c r="Y1823" s="22"/>
      <c r="Z1823" s="22"/>
      <c r="AA1823" s="22"/>
      <c r="AF1823" s="22"/>
      <c r="AG1823" s="22"/>
      <c r="AH1823" s="22"/>
      <c r="AI1823" s="22"/>
      <c r="AN1823" s="22"/>
      <c r="AO1823" s="22"/>
      <c r="AP1823" s="22"/>
      <c r="AQ1823" s="22"/>
      <c r="AR1823" s="35"/>
      <c r="AS1823" s="35"/>
      <c r="AT1823" s="35"/>
      <c r="AU1823" s="31"/>
      <c r="AV1823" s="36"/>
      <c r="AW1823" s="36"/>
    </row>
    <row r="1824" spans="4:49">
      <c r="D1824" s="31"/>
      <c r="E1824" s="31"/>
      <c r="F1824" s="31"/>
      <c r="G1824" s="31"/>
      <c r="H1824" s="32"/>
      <c r="J1824" s="33"/>
      <c r="K1824" s="33"/>
      <c r="L1824" s="33"/>
      <c r="X1824" s="22"/>
      <c r="Y1824" s="22"/>
      <c r="Z1824" s="22"/>
      <c r="AA1824" s="22"/>
      <c r="AF1824" s="22"/>
      <c r="AG1824" s="22"/>
      <c r="AH1824" s="22"/>
      <c r="AI1824" s="22"/>
      <c r="AN1824" s="22"/>
      <c r="AO1824" s="22"/>
      <c r="AP1824" s="22"/>
      <c r="AQ1824" s="22"/>
      <c r="AR1824" s="35"/>
      <c r="AS1824" s="35"/>
      <c r="AT1824" s="35"/>
      <c r="AU1824" s="31"/>
      <c r="AV1824" s="36"/>
      <c r="AW1824" s="36"/>
    </row>
    <row r="1825" spans="4:49">
      <c r="D1825" s="31"/>
      <c r="E1825" s="31"/>
      <c r="F1825" s="31"/>
      <c r="G1825" s="31"/>
      <c r="H1825" s="32"/>
      <c r="J1825" s="33"/>
      <c r="K1825" s="33"/>
      <c r="L1825" s="33"/>
      <c r="X1825" s="22"/>
      <c r="Y1825" s="22"/>
      <c r="Z1825" s="22"/>
      <c r="AA1825" s="22"/>
      <c r="AF1825" s="22"/>
      <c r="AG1825" s="22"/>
      <c r="AH1825" s="22"/>
      <c r="AI1825" s="22"/>
      <c r="AN1825" s="22"/>
      <c r="AO1825" s="22"/>
      <c r="AP1825" s="22"/>
      <c r="AQ1825" s="22"/>
      <c r="AR1825" s="35"/>
      <c r="AS1825" s="35"/>
      <c r="AT1825" s="35"/>
      <c r="AU1825" s="31"/>
      <c r="AV1825" s="36"/>
      <c r="AW1825" s="36"/>
    </row>
    <row r="1826" spans="4:49">
      <c r="D1826" s="31"/>
      <c r="E1826" s="31"/>
      <c r="F1826" s="31"/>
      <c r="G1826" s="31"/>
      <c r="H1826" s="32"/>
      <c r="J1826" s="33"/>
      <c r="K1826" s="33"/>
      <c r="L1826" s="33"/>
      <c r="X1826" s="22"/>
      <c r="Y1826" s="22"/>
      <c r="Z1826" s="22"/>
      <c r="AA1826" s="22"/>
      <c r="AF1826" s="22"/>
      <c r="AG1826" s="22"/>
      <c r="AH1826" s="22"/>
      <c r="AI1826" s="22"/>
      <c r="AN1826" s="22"/>
      <c r="AO1826" s="22"/>
      <c r="AP1826" s="22"/>
      <c r="AQ1826" s="22"/>
      <c r="AR1826" s="35"/>
      <c r="AS1826" s="35"/>
      <c r="AT1826" s="35"/>
      <c r="AU1826" s="31"/>
      <c r="AV1826" s="36"/>
      <c r="AW1826" s="36"/>
    </row>
    <row r="1827" spans="4:49">
      <c r="D1827" s="31"/>
      <c r="E1827" s="31"/>
      <c r="F1827" s="31"/>
      <c r="G1827" s="31"/>
      <c r="H1827" s="32"/>
      <c r="J1827" s="33"/>
      <c r="K1827" s="33"/>
      <c r="L1827" s="33"/>
      <c r="X1827" s="22"/>
      <c r="Y1827" s="22"/>
      <c r="Z1827" s="22"/>
      <c r="AA1827" s="22"/>
      <c r="AF1827" s="22"/>
      <c r="AG1827" s="22"/>
      <c r="AH1827" s="22"/>
      <c r="AI1827" s="22"/>
      <c r="AN1827" s="22"/>
      <c r="AO1827" s="22"/>
      <c r="AP1827" s="22"/>
      <c r="AQ1827" s="22"/>
      <c r="AR1827" s="35"/>
      <c r="AS1827" s="35"/>
      <c r="AT1827" s="35"/>
      <c r="AU1827" s="31"/>
      <c r="AV1827" s="36"/>
      <c r="AW1827" s="36"/>
    </row>
    <row r="1828" spans="4:49">
      <c r="D1828" s="31"/>
      <c r="E1828" s="31"/>
      <c r="F1828" s="31"/>
      <c r="G1828" s="31"/>
      <c r="H1828" s="32"/>
      <c r="J1828" s="33"/>
      <c r="K1828" s="33"/>
      <c r="L1828" s="33"/>
      <c r="X1828" s="22"/>
      <c r="Y1828" s="22"/>
      <c r="Z1828" s="22"/>
      <c r="AA1828" s="22"/>
      <c r="AF1828" s="22"/>
      <c r="AG1828" s="22"/>
      <c r="AH1828" s="22"/>
      <c r="AI1828" s="22"/>
      <c r="AN1828" s="22"/>
      <c r="AO1828" s="22"/>
      <c r="AP1828" s="22"/>
      <c r="AQ1828" s="22"/>
      <c r="AR1828" s="35"/>
      <c r="AS1828" s="35"/>
      <c r="AT1828" s="35"/>
      <c r="AU1828" s="31"/>
      <c r="AV1828" s="36"/>
      <c r="AW1828" s="36"/>
    </row>
    <row r="1829" spans="4:49">
      <c r="D1829" s="31"/>
      <c r="E1829" s="31"/>
      <c r="F1829" s="31"/>
      <c r="G1829" s="31"/>
      <c r="H1829" s="32"/>
      <c r="J1829" s="33"/>
      <c r="K1829" s="33"/>
      <c r="L1829" s="33"/>
      <c r="X1829" s="22"/>
      <c r="Y1829" s="22"/>
      <c r="Z1829" s="22"/>
      <c r="AA1829" s="22"/>
      <c r="AF1829" s="22"/>
      <c r="AG1829" s="22"/>
      <c r="AH1829" s="22"/>
      <c r="AI1829" s="22"/>
      <c r="AN1829" s="22"/>
      <c r="AO1829" s="22"/>
      <c r="AP1829" s="22"/>
      <c r="AQ1829" s="22"/>
      <c r="AR1829" s="35"/>
      <c r="AS1829" s="35"/>
      <c r="AT1829" s="35"/>
      <c r="AU1829" s="31"/>
      <c r="AV1829" s="36"/>
      <c r="AW1829" s="36"/>
    </row>
    <row r="1830" spans="4:49">
      <c r="D1830" s="31"/>
      <c r="E1830" s="31"/>
      <c r="F1830" s="31"/>
      <c r="G1830" s="31"/>
      <c r="H1830" s="32"/>
      <c r="J1830" s="33"/>
      <c r="K1830" s="33"/>
      <c r="L1830" s="33"/>
      <c r="X1830" s="22"/>
      <c r="Y1830" s="22"/>
      <c r="Z1830" s="22"/>
      <c r="AA1830" s="22"/>
      <c r="AF1830" s="22"/>
      <c r="AG1830" s="22"/>
      <c r="AH1830" s="22"/>
      <c r="AI1830" s="22"/>
      <c r="AN1830" s="22"/>
      <c r="AO1830" s="22"/>
      <c r="AP1830" s="22"/>
      <c r="AQ1830" s="22"/>
      <c r="AR1830" s="35"/>
      <c r="AS1830" s="35"/>
      <c r="AT1830" s="35"/>
      <c r="AU1830" s="31"/>
      <c r="AV1830" s="36"/>
      <c r="AW1830" s="36"/>
    </row>
    <row r="1831" spans="4:49">
      <c r="D1831" s="31"/>
      <c r="E1831" s="31"/>
      <c r="F1831" s="31"/>
      <c r="G1831" s="31"/>
      <c r="H1831" s="32"/>
      <c r="J1831" s="33"/>
      <c r="K1831" s="33"/>
      <c r="L1831" s="33"/>
      <c r="X1831" s="22"/>
      <c r="Y1831" s="22"/>
      <c r="Z1831" s="22"/>
      <c r="AA1831" s="22"/>
      <c r="AF1831" s="22"/>
      <c r="AG1831" s="22"/>
      <c r="AH1831" s="22"/>
      <c r="AI1831" s="22"/>
      <c r="AN1831" s="22"/>
      <c r="AO1831" s="22"/>
      <c r="AP1831" s="22"/>
      <c r="AQ1831" s="22"/>
      <c r="AR1831" s="35"/>
      <c r="AS1831" s="35"/>
      <c r="AT1831" s="35"/>
      <c r="AU1831" s="31"/>
      <c r="AV1831" s="36"/>
      <c r="AW1831" s="36"/>
    </row>
    <row r="1832" spans="4:49">
      <c r="D1832" s="31"/>
      <c r="E1832" s="31"/>
      <c r="F1832" s="31"/>
      <c r="G1832" s="31"/>
      <c r="H1832" s="32"/>
      <c r="J1832" s="33"/>
      <c r="K1832" s="33"/>
      <c r="L1832" s="33"/>
      <c r="X1832" s="22"/>
      <c r="Y1832" s="22"/>
      <c r="Z1832" s="22"/>
      <c r="AA1832" s="22"/>
      <c r="AF1832" s="22"/>
      <c r="AG1832" s="22"/>
      <c r="AH1832" s="22"/>
      <c r="AI1832" s="22"/>
      <c r="AN1832" s="22"/>
      <c r="AO1832" s="22"/>
      <c r="AP1832" s="22"/>
      <c r="AQ1832" s="22"/>
      <c r="AR1832" s="35"/>
      <c r="AS1832" s="35"/>
      <c r="AT1832" s="35"/>
      <c r="AU1832" s="31"/>
      <c r="AV1832" s="36"/>
      <c r="AW1832" s="36"/>
    </row>
    <row r="1833" spans="4:49">
      <c r="D1833" s="31"/>
      <c r="E1833" s="31"/>
      <c r="F1833" s="31"/>
      <c r="G1833" s="31"/>
      <c r="H1833" s="32"/>
      <c r="J1833" s="33"/>
      <c r="K1833" s="33"/>
      <c r="L1833" s="33"/>
      <c r="X1833" s="22"/>
      <c r="Y1833" s="22"/>
      <c r="Z1833" s="22"/>
      <c r="AA1833" s="22"/>
      <c r="AF1833" s="22"/>
      <c r="AG1833" s="22"/>
      <c r="AH1833" s="22"/>
      <c r="AI1833" s="22"/>
      <c r="AN1833" s="22"/>
      <c r="AO1833" s="22"/>
      <c r="AP1833" s="22"/>
      <c r="AQ1833" s="22"/>
      <c r="AR1833" s="35"/>
      <c r="AS1833" s="35"/>
      <c r="AT1833" s="35"/>
      <c r="AU1833" s="31"/>
      <c r="AV1833" s="36"/>
      <c r="AW1833" s="36"/>
    </row>
    <row r="1834" spans="4:49">
      <c r="D1834" s="31"/>
      <c r="E1834" s="31"/>
      <c r="F1834" s="31"/>
      <c r="G1834" s="31"/>
      <c r="H1834" s="32"/>
      <c r="J1834" s="33"/>
      <c r="K1834" s="33"/>
      <c r="L1834" s="33"/>
      <c r="X1834" s="22"/>
      <c r="Y1834" s="22"/>
      <c r="Z1834" s="22"/>
      <c r="AA1834" s="22"/>
      <c r="AF1834" s="22"/>
      <c r="AG1834" s="22"/>
      <c r="AH1834" s="22"/>
      <c r="AI1834" s="22"/>
      <c r="AN1834" s="22"/>
      <c r="AO1834" s="22"/>
      <c r="AP1834" s="22"/>
      <c r="AQ1834" s="22"/>
      <c r="AR1834" s="35"/>
      <c r="AS1834" s="35"/>
      <c r="AT1834" s="35"/>
      <c r="AU1834" s="31"/>
      <c r="AV1834" s="36"/>
      <c r="AW1834" s="36"/>
    </row>
    <row r="1835" spans="4:49">
      <c r="D1835" s="31"/>
      <c r="E1835" s="31"/>
      <c r="F1835" s="31"/>
      <c r="G1835" s="31"/>
      <c r="H1835" s="32"/>
      <c r="J1835" s="33"/>
      <c r="K1835" s="33"/>
      <c r="L1835" s="33"/>
      <c r="X1835" s="22"/>
      <c r="Y1835" s="22"/>
      <c r="Z1835" s="22"/>
      <c r="AA1835" s="22"/>
      <c r="AF1835" s="22"/>
      <c r="AG1835" s="22"/>
      <c r="AH1835" s="22"/>
      <c r="AI1835" s="22"/>
      <c r="AN1835" s="22"/>
      <c r="AO1835" s="22"/>
      <c r="AP1835" s="22"/>
      <c r="AQ1835" s="22"/>
      <c r="AR1835" s="35"/>
      <c r="AS1835" s="35"/>
      <c r="AT1835" s="35"/>
      <c r="AU1835" s="31"/>
      <c r="AV1835" s="36"/>
      <c r="AW1835" s="36"/>
    </row>
    <row r="1836" spans="4:49">
      <c r="D1836" s="31"/>
      <c r="E1836" s="31"/>
      <c r="F1836" s="31"/>
      <c r="G1836" s="31"/>
      <c r="H1836" s="32"/>
      <c r="J1836" s="33"/>
      <c r="K1836" s="33"/>
      <c r="L1836" s="33"/>
      <c r="X1836" s="22"/>
      <c r="Y1836" s="22"/>
      <c r="Z1836" s="22"/>
      <c r="AA1836" s="22"/>
      <c r="AF1836" s="22"/>
      <c r="AG1836" s="22"/>
      <c r="AH1836" s="22"/>
      <c r="AI1836" s="22"/>
      <c r="AN1836" s="22"/>
      <c r="AO1836" s="22"/>
      <c r="AP1836" s="22"/>
      <c r="AQ1836" s="22"/>
      <c r="AR1836" s="35"/>
      <c r="AS1836" s="35"/>
      <c r="AT1836" s="35"/>
      <c r="AU1836" s="31"/>
      <c r="AV1836" s="36"/>
      <c r="AW1836" s="36"/>
    </row>
    <row r="1837" spans="4:49">
      <c r="D1837" s="31"/>
      <c r="E1837" s="31"/>
      <c r="F1837" s="31"/>
      <c r="G1837" s="31"/>
      <c r="H1837" s="32"/>
      <c r="J1837" s="33"/>
      <c r="K1837" s="33"/>
      <c r="L1837" s="33"/>
      <c r="X1837" s="22"/>
      <c r="Y1837" s="22"/>
      <c r="Z1837" s="22"/>
      <c r="AA1837" s="22"/>
      <c r="AF1837" s="22"/>
      <c r="AG1837" s="22"/>
      <c r="AH1837" s="22"/>
      <c r="AI1837" s="22"/>
      <c r="AN1837" s="22"/>
      <c r="AO1837" s="22"/>
      <c r="AP1837" s="22"/>
      <c r="AQ1837" s="22"/>
      <c r="AR1837" s="35"/>
      <c r="AS1837" s="35"/>
      <c r="AT1837" s="35"/>
      <c r="AU1837" s="31"/>
      <c r="AV1837" s="36"/>
      <c r="AW1837" s="36"/>
    </row>
    <row r="1838" spans="4:49">
      <c r="D1838" s="31"/>
      <c r="E1838" s="31"/>
      <c r="F1838" s="31"/>
      <c r="G1838" s="31"/>
      <c r="H1838" s="32"/>
      <c r="J1838" s="33"/>
      <c r="K1838" s="33"/>
      <c r="L1838" s="33"/>
      <c r="X1838" s="22"/>
      <c r="Y1838" s="22"/>
      <c r="Z1838" s="22"/>
      <c r="AA1838" s="22"/>
      <c r="AF1838" s="22"/>
      <c r="AG1838" s="22"/>
      <c r="AH1838" s="22"/>
      <c r="AI1838" s="22"/>
      <c r="AN1838" s="22"/>
      <c r="AO1838" s="22"/>
      <c r="AP1838" s="22"/>
      <c r="AQ1838" s="22"/>
      <c r="AR1838" s="35"/>
      <c r="AS1838" s="35"/>
      <c r="AT1838" s="35"/>
      <c r="AU1838" s="31"/>
      <c r="AV1838" s="36"/>
      <c r="AW1838" s="36"/>
    </row>
    <row r="1839" spans="4:49">
      <c r="D1839" s="31"/>
      <c r="E1839" s="31"/>
      <c r="F1839" s="31"/>
      <c r="G1839" s="31"/>
      <c r="H1839" s="32"/>
      <c r="J1839" s="33"/>
      <c r="K1839" s="33"/>
      <c r="L1839" s="33"/>
      <c r="X1839" s="22"/>
      <c r="Y1839" s="22"/>
      <c r="Z1839" s="22"/>
      <c r="AA1839" s="22"/>
      <c r="AF1839" s="22"/>
      <c r="AG1839" s="22"/>
      <c r="AH1839" s="22"/>
      <c r="AI1839" s="22"/>
      <c r="AN1839" s="22"/>
      <c r="AO1839" s="22"/>
      <c r="AP1839" s="22"/>
      <c r="AQ1839" s="22"/>
      <c r="AR1839" s="35"/>
      <c r="AS1839" s="35"/>
      <c r="AT1839" s="35"/>
      <c r="AU1839" s="31"/>
      <c r="AV1839" s="36"/>
      <c r="AW1839" s="36"/>
    </row>
    <row r="1840" spans="4:49">
      <c r="D1840" s="31"/>
      <c r="E1840" s="31"/>
      <c r="F1840" s="31"/>
      <c r="G1840" s="31"/>
      <c r="H1840" s="32"/>
      <c r="J1840" s="33"/>
      <c r="K1840" s="33"/>
      <c r="L1840" s="33"/>
      <c r="X1840" s="22"/>
      <c r="Y1840" s="22"/>
      <c r="Z1840" s="22"/>
      <c r="AA1840" s="22"/>
      <c r="AF1840" s="22"/>
      <c r="AG1840" s="22"/>
      <c r="AH1840" s="22"/>
      <c r="AI1840" s="22"/>
      <c r="AN1840" s="22"/>
      <c r="AO1840" s="22"/>
      <c r="AP1840" s="22"/>
      <c r="AQ1840" s="22"/>
      <c r="AR1840" s="35"/>
      <c r="AS1840" s="35"/>
      <c r="AT1840" s="35"/>
      <c r="AU1840" s="31"/>
      <c r="AV1840" s="36"/>
      <c r="AW1840" s="36"/>
    </row>
    <row r="1841" spans="4:49">
      <c r="D1841" s="31"/>
      <c r="E1841" s="31"/>
      <c r="F1841" s="31"/>
      <c r="G1841" s="31"/>
      <c r="H1841" s="32"/>
      <c r="J1841" s="33"/>
      <c r="K1841" s="33"/>
      <c r="L1841" s="33"/>
      <c r="X1841" s="22"/>
      <c r="Y1841" s="22"/>
      <c r="Z1841" s="22"/>
      <c r="AA1841" s="22"/>
      <c r="AF1841" s="22"/>
      <c r="AG1841" s="22"/>
      <c r="AH1841" s="22"/>
      <c r="AI1841" s="22"/>
      <c r="AN1841" s="22"/>
      <c r="AO1841" s="22"/>
      <c r="AP1841" s="22"/>
      <c r="AQ1841" s="22"/>
      <c r="AR1841" s="35"/>
      <c r="AS1841" s="35"/>
      <c r="AT1841" s="35"/>
      <c r="AU1841" s="31"/>
      <c r="AV1841" s="36"/>
      <c r="AW1841" s="36"/>
    </row>
    <row r="1842" spans="4:49">
      <c r="D1842" s="31"/>
      <c r="E1842" s="31"/>
      <c r="F1842" s="31"/>
      <c r="G1842" s="31"/>
      <c r="H1842" s="32"/>
      <c r="J1842" s="33"/>
      <c r="K1842" s="33"/>
      <c r="L1842" s="33"/>
      <c r="X1842" s="22"/>
      <c r="Y1842" s="22"/>
      <c r="Z1842" s="22"/>
      <c r="AA1842" s="22"/>
      <c r="AF1842" s="22"/>
      <c r="AG1842" s="22"/>
      <c r="AH1842" s="22"/>
      <c r="AI1842" s="22"/>
      <c r="AN1842" s="22"/>
      <c r="AO1842" s="22"/>
      <c r="AP1842" s="22"/>
      <c r="AQ1842" s="22"/>
      <c r="AR1842" s="35"/>
      <c r="AS1842" s="35"/>
      <c r="AT1842" s="35"/>
      <c r="AU1842" s="31"/>
      <c r="AV1842" s="36"/>
      <c r="AW1842" s="36"/>
    </row>
    <row r="1843" spans="4:49">
      <c r="D1843" s="31"/>
      <c r="E1843" s="31"/>
      <c r="F1843" s="31"/>
      <c r="G1843" s="31"/>
      <c r="H1843" s="32"/>
      <c r="J1843" s="33"/>
      <c r="K1843" s="33"/>
      <c r="L1843" s="33"/>
      <c r="X1843" s="22"/>
      <c r="Y1843" s="22"/>
      <c r="Z1843" s="22"/>
      <c r="AA1843" s="22"/>
      <c r="AF1843" s="22"/>
      <c r="AG1843" s="22"/>
      <c r="AH1843" s="22"/>
      <c r="AI1843" s="22"/>
      <c r="AN1843" s="22"/>
      <c r="AO1843" s="22"/>
      <c r="AP1843" s="22"/>
      <c r="AQ1843" s="22"/>
      <c r="AR1843" s="35"/>
      <c r="AS1843" s="35"/>
      <c r="AT1843" s="35"/>
      <c r="AU1843" s="31"/>
      <c r="AV1843" s="36"/>
      <c r="AW1843" s="36"/>
    </row>
    <row r="1844" spans="4:49">
      <c r="D1844" s="31"/>
      <c r="E1844" s="31"/>
      <c r="F1844" s="31"/>
      <c r="G1844" s="31"/>
      <c r="H1844" s="32"/>
      <c r="J1844" s="33"/>
      <c r="K1844" s="33"/>
      <c r="L1844" s="33"/>
      <c r="X1844" s="22"/>
      <c r="Y1844" s="22"/>
      <c r="Z1844" s="22"/>
      <c r="AA1844" s="22"/>
      <c r="AF1844" s="22"/>
      <c r="AG1844" s="22"/>
      <c r="AH1844" s="22"/>
      <c r="AI1844" s="22"/>
      <c r="AN1844" s="22"/>
      <c r="AO1844" s="22"/>
      <c r="AP1844" s="22"/>
      <c r="AQ1844" s="22"/>
      <c r="AR1844" s="35"/>
      <c r="AS1844" s="35"/>
      <c r="AT1844" s="35"/>
      <c r="AU1844" s="31"/>
      <c r="AV1844" s="36"/>
      <c r="AW1844" s="36"/>
    </row>
    <row r="1845" spans="4:49">
      <c r="D1845" s="31"/>
      <c r="E1845" s="31"/>
      <c r="F1845" s="31"/>
      <c r="G1845" s="31"/>
      <c r="H1845" s="32"/>
      <c r="J1845" s="33"/>
      <c r="K1845" s="33"/>
      <c r="L1845" s="33"/>
      <c r="X1845" s="22"/>
      <c r="Y1845" s="22"/>
      <c r="Z1845" s="22"/>
      <c r="AA1845" s="22"/>
      <c r="AF1845" s="22"/>
      <c r="AG1845" s="22"/>
      <c r="AH1845" s="22"/>
      <c r="AI1845" s="22"/>
      <c r="AN1845" s="22"/>
      <c r="AO1845" s="22"/>
      <c r="AP1845" s="22"/>
      <c r="AQ1845" s="22"/>
      <c r="AR1845" s="35"/>
      <c r="AS1845" s="35"/>
      <c r="AT1845" s="35"/>
      <c r="AU1845" s="31"/>
      <c r="AV1845" s="36"/>
      <c r="AW1845" s="36"/>
    </row>
    <row r="1846" spans="4:49">
      <c r="D1846" s="31"/>
      <c r="E1846" s="31"/>
      <c r="F1846" s="31"/>
      <c r="G1846" s="31"/>
      <c r="H1846" s="32"/>
      <c r="J1846" s="33"/>
      <c r="K1846" s="33"/>
      <c r="L1846" s="33"/>
      <c r="X1846" s="22"/>
      <c r="Y1846" s="22"/>
      <c r="Z1846" s="22"/>
      <c r="AA1846" s="22"/>
      <c r="AF1846" s="22"/>
      <c r="AG1846" s="22"/>
      <c r="AH1846" s="22"/>
      <c r="AI1846" s="22"/>
      <c r="AN1846" s="22"/>
      <c r="AO1846" s="22"/>
      <c r="AP1846" s="22"/>
      <c r="AQ1846" s="22"/>
      <c r="AR1846" s="35"/>
      <c r="AS1846" s="35"/>
      <c r="AT1846" s="35"/>
      <c r="AU1846" s="31"/>
      <c r="AV1846" s="36"/>
      <c r="AW1846" s="36"/>
    </row>
    <row r="1847" spans="4:49">
      <c r="D1847" s="31"/>
      <c r="E1847" s="31"/>
      <c r="F1847" s="31"/>
      <c r="G1847" s="31"/>
      <c r="H1847" s="32"/>
      <c r="J1847" s="33"/>
      <c r="K1847" s="33"/>
      <c r="L1847" s="33"/>
      <c r="X1847" s="22"/>
      <c r="Y1847" s="22"/>
      <c r="Z1847" s="22"/>
      <c r="AA1847" s="22"/>
      <c r="AF1847" s="22"/>
      <c r="AG1847" s="22"/>
      <c r="AH1847" s="22"/>
      <c r="AI1847" s="22"/>
      <c r="AN1847" s="22"/>
      <c r="AO1847" s="22"/>
      <c r="AP1847" s="22"/>
      <c r="AQ1847" s="22"/>
      <c r="AR1847" s="35"/>
      <c r="AS1847" s="35"/>
      <c r="AT1847" s="35"/>
      <c r="AU1847" s="31"/>
      <c r="AV1847" s="36"/>
      <c r="AW1847" s="36"/>
    </row>
    <row r="1848" spans="4:49">
      <c r="D1848" s="31"/>
      <c r="E1848" s="31"/>
      <c r="F1848" s="31"/>
      <c r="G1848" s="31"/>
      <c r="H1848" s="32"/>
      <c r="J1848" s="33"/>
      <c r="K1848" s="33"/>
      <c r="L1848" s="33"/>
      <c r="X1848" s="22"/>
      <c r="Y1848" s="22"/>
      <c r="Z1848" s="22"/>
      <c r="AA1848" s="22"/>
      <c r="AF1848" s="22"/>
      <c r="AG1848" s="22"/>
      <c r="AH1848" s="22"/>
      <c r="AI1848" s="22"/>
      <c r="AN1848" s="22"/>
      <c r="AO1848" s="22"/>
      <c r="AP1848" s="22"/>
      <c r="AQ1848" s="22"/>
      <c r="AR1848" s="35"/>
      <c r="AS1848" s="35"/>
      <c r="AT1848" s="35"/>
      <c r="AU1848" s="31"/>
      <c r="AV1848" s="36"/>
      <c r="AW1848" s="36"/>
    </row>
    <row r="1849" spans="4:49">
      <c r="D1849" s="31"/>
      <c r="E1849" s="31"/>
      <c r="F1849" s="31"/>
      <c r="G1849" s="31"/>
      <c r="H1849" s="32"/>
      <c r="J1849" s="33"/>
      <c r="K1849" s="33"/>
      <c r="L1849" s="33"/>
      <c r="X1849" s="22"/>
      <c r="Y1849" s="22"/>
      <c r="Z1849" s="22"/>
      <c r="AA1849" s="22"/>
      <c r="AF1849" s="22"/>
      <c r="AG1849" s="22"/>
      <c r="AH1849" s="22"/>
      <c r="AI1849" s="22"/>
      <c r="AN1849" s="22"/>
      <c r="AO1849" s="22"/>
      <c r="AP1849" s="22"/>
      <c r="AQ1849" s="22"/>
      <c r="AR1849" s="35"/>
      <c r="AS1849" s="35"/>
      <c r="AT1849" s="35"/>
      <c r="AU1849" s="31"/>
      <c r="AV1849" s="36"/>
      <c r="AW1849" s="36"/>
    </row>
    <row r="1850" spans="4:49">
      <c r="D1850" s="31"/>
      <c r="E1850" s="31"/>
      <c r="F1850" s="31"/>
      <c r="G1850" s="31"/>
      <c r="H1850" s="32"/>
      <c r="J1850" s="33"/>
      <c r="K1850" s="33"/>
      <c r="L1850" s="33"/>
      <c r="X1850" s="22"/>
      <c r="Y1850" s="22"/>
      <c r="Z1850" s="22"/>
      <c r="AA1850" s="22"/>
      <c r="AF1850" s="22"/>
      <c r="AG1850" s="22"/>
      <c r="AH1850" s="22"/>
      <c r="AI1850" s="22"/>
      <c r="AN1850" s="22"/>
      <c r="AO1850" s="22"/>
      <c r="AP1850" s="22"/>
      <c r="AQ1850" s="22"/>
      <c r="AR1850" s="35"/>
      <c r="AS1850" s="35"/>
      <c r="AT1850" s="35"/>
      <c r="AU1850" s="31"/>
      <c r="AV1850" s="36"/>
      <c r="AW1850" s="36"/>
    </row>
    <row r="1851" spans="4:49">
      <c r="D1851" s="31"/>
      <c r="E1851" s="31"/>
      <c r="F1851" s="31"/>
      <c r="G1851" s="31"/>
      <c r="H1851" s="32"/>
      <c r="J1851" s="33"/>
      <c r="K1851" s="33"/>
      <c r="L1851" s="33"/>
      <c r="X1851" s="22"/>
      <c r="Y1851" s="22"/>
      <c r="Z1851" s="22"/>
      <c r="AA1851" s="22"/>
      <c r="AF1851" s="22"/>
      <c r="AG1851" s="22"/>
      <c r="AH1851" s="22"/>
      <c r="AI1851" s="22"/>
      <c r="AN1851" s="22"/>
      <c r="AO1851" s="22"/>
      <c r="AP1851" s="22"/>
      <c r="AQ1851" s="22"/>
      <c r="AR1851" s="35"/>
      <c r="AS1851" s="35"/>
      <c r="AT1851" s="35"/>
      <c r="AU1851" s="31"/>
      <c r="AV1851" s="36"/>
      <c r="AW1851" s="36"/>
    </row>
    <row r="1852" spans="4:49">
      <c r="D1852" s="31"/>
      <c r="E1852" s="31"/>
      <c r="F1852" s="31"/>
      <c r="G1852" s="31"/>
      <c r="H1852" s="32"/>
      <c r="J1852" s="33"/>
      <c r="K1852" s="33"/>
      <c r="L1852" s="33"/>
      <c r="X1852" s="22"/>
      <c r="Y1852" s="22"/>
      <c r="Z1852" s="22"/>
      <c r="AA1852" s="22"/>
      <c r="AF1852" s="22"/>
      <c r="AG1852" s="22"/>
      <c r="AH1852" s="22"/>
      <c r="AI1852" s="22"/>
      <c r="AN1852" s="22"/>
      <c r="AO1852" s="22"/>
      <c r="AP1852" s="22"/>
      <c r="AQ1852" s="22"/>
      <c r="AR1852" s="35"/>
      <c r="AS1852" s="35"/>
      <c r="AT1852" s="35"/>
      <c r="AU1852" s="31"/>
      <c r="AV1852" s="36"/>
      <c r="AW1852" s="36"/>
    </row>
    <row r="1853" spans="4:49">
      <c r="D1853" s="31"/>
      <c r="E1853" s="31"/>
      <c r="F1853" s="31"/>
      <c r="G1853" s="31"/>
      <c r="H1853" s="32"/>
      <c r="J1853" s="33"/>
      <c r="K1853" s="33"/>
      <c r="L1853" s="33"/>
      <c r="X1853" s="22"/>
      <c r="Y1853" s="22"/>
      <c r="Z1853" s="22"/>
      <c r="AA1853" s="22"/>
      <c r="AF1853" s="22"/>
      <c r="AG1853" s="22"/>
      <c r="AH1853" s="22"/>
      <c r="AI1853" s="22"/>
      <c r="AN1853" s="22"/>
      <c r="AO1853" s="22"/>
      <c r="AP1853" s="22"/>
      <c r="AQ1853" s="22"/>
      <c r="AR1853" s="35"/>
      <c r="AS1853" s="35"/>
      <c r="AT1853" s="35"/>
      <c r="AU1853" s="31"/>
      <c r="AV1853" s="36"/>
      <c r="AW1853" s="36"/>
    </row>
    <row r="1854" spans="4:49">
      <c r="D1854" s="31"/>
      <c r="E1854" s="31"/>
      <c r="F1854" s="31"/>
      <c r="G1854" s="31"/>
      <c r="H1854" s="32"/>
      <c r="J1854" s="33"/>
      <c r="K1854" s="33"/>
      <c r="L1854" s="33"/>
      <c r="X1854" s="22"/>
      <c r="Y1854" s="22"/>
      <c r="Z1854" s="22"/>
      <c r="AA1854" s="22"/>
      <c r="AF1854" s="22"/>
      <c r="AG1854" s="22"/>
      <c r="AH1854" s="22"/>
      <c r="AI1854" s="22"/>
      <c r="AN1854" s="22"/>
      <c r="AO1854" s="22"/>
      <c r="AP1854" s="22"/>
      <c r="AQ1854" s="22"/>
      <c r="AR1854" s="35"/>
      <c r="AS1854" s="35"/>
      <c r="AT1854" s="35"/>
      <c r="AU1854" s="31"/>
      <c r="AV1854" s="36"/>
      <c r="AW1854" s="36"/>
    </row>
    <row r="1855" spans="4:49">
      <c r="D1855" s="31"/>
      <c r="E1855" s="31"/>
      <c r="F1855" s="31"/>
      <c r="G1855" s="31"/>
      <c r="H1855" s="32"/>
      <c r="J1855" s="33"/>
      <c r="K1855" s="33"/>
      <c r="L1855" s="33"/>
      <c r="X1855" s="22"/>
      <c r="Y1855" s="22"/>
      <c r="Z1855" s="22"/>
      <c r="AA1855" s="22"/>
      <c r="AF1855" s="22"/>
      <c r="AG1855" s="22"/>
      <c r="AH1855" s="22"/>
      <c r="AI1855" s="22"/>
      <c r="AN1855" s="22"/>
      <c r="AO1855" s="22"/>
      <c r="AP1855" s="22"/>
      <c r="AQ1855" s="22"/>
      <c r="AR1855" s="35"/>
      <c r="AS1855" s="35"/>
      <c r="AT1855" s="35"/>
      <c r="AU1855" s="31"/>
      <c r="AV1855" s="36"/>
      <c r="AW1855" s="36"/>
    </row>
    <row r="1856" spans="4:49">
      <c r="D1856" s="31"/>
      <c r="E1856" s="31"/>
      <c r="F1856" s="31"/>
      <c r="G1856" s="31"/>
      <c r="H1856" s="32"/>
      <c r="J1856" s="33"/>
      <c r="K1856" s="33"/>
      <c r="L1856" s="33"/>
      <c r="X1856" s="22"/>
      <c r="Y1856" s="22"/>
      <c r="Z1856" s="22"/>
      <c r="AA1856" s="22"/>
      <c r="AF1856" s="22"/>
      <c r="AG1856" s="22"/>
      <c r="AH1856" s="22"/>
      <c r="AI1856" s="22"/>
      <c r="AN1856" s="22"/>
      <c r="AO1856" s="22"/>
      <c r="AP1856" s="22"/>
      <c r="AQ1856" s="22"/>
      <c r="AR1856" s="35"/>
      <c r="AS1856" s="35"/>
      <c r="AT1856" s="35"/>
      <c r="AU1856" s="31"/>
      <c r="AV1856" s="36"/>
      <c r="AW1856" s="36"/>
    </row>
    <row r="1857" spans="4:49">
      <c r="D1857" s="31"/>
      <c r="E1857" s="31"/>
      <c r="F1857" s="31"/>
      <c r="G1857" s="31"/>
      <c r="H1857" s="32"/>
      <c r="J1857" s="33"/>
      <c r="K1857" s="33"/>
      <c r="L1857" s="33"/>
      <c r="X1857" s="22"/>
      <c r="Y1857" s="22"/>
      <c r="Z1857" s="22"/>
      <c r="AA1857" s="22"/>
      <c r="AF1857" s="22"/>
      <c r="AG1857" s="22"/>
      <c r="AH1857" s="22"/>
      <c r="AI1857" s="22"/>
      <c r="AN1857" s="22"/>
      <c r="AO1857" s="22"/>
      <c r="AP1857" s="22"/>
      <c r="AQ1857" s="22"/>
      <c r="AR1857" s="35"/>
      <c r="AS1857" s="35"/>
      <c r="AT1857" s="35"/>
      <c r="AU1857" s="31"/>
      <c r="AV1857" s="36"/>
      <c r="AW1857" s="36"/>
    </row>
    <row r="1858" spans="4:49">
      <c r="D1858" s="31"/>
      <c r="E1858" s="31"/>
      <c r="F1858" s="31"/>
      <c r="G1858" s="31"/>
      <c r="H1858" s="32"/>
      <c r="J1858" s="33"/>
      <c r="K1858" s="33"/>
      <c r="L1858" s="33"/>
      <c r="X1858" s="22"/>
      <c r="Y1858" s="22"/>
      <c r="Z1858" s="22"/>
      <c r="AA1858" s="22"/>
      <c r="AF1858" s="22"/>
      <c r="AG1858" s="22"/>
      <c r="AH1858" s="22"/>
      <c r="AI1858" s="22"/>
      <c r="AN1858" s="22"/>
      <c r="AO1858" s="22"/>
      <c r="AP1858" s="22"/>
      <c r="AQ1858" s="22"/>
      <c r="AR1858" s="35"/>
      <c r="AS1858" s="35"/>
      <c r="AT1858" s="35"/>
      <c r="AU1858" s="31"/>
      <c r="AV1858" s="36"/>
      <c r="AW1858" s="36"/>
    </row>
    <row r="1859" spans="4:49">
      <c r="D1859" s="31"/>
      <c r="E1859" s="31"/>
      <c r="F1859" s="31"/>
      <c r="G1859" s="31"/>
      <c r="H1859" s="32"/>
      <c r="J1859" s="33"/>
      <c r="K1859" s="33"/>
      <c r="L1859" s="33"/>
      <c r="X1859" s="22"/>
      <c r="Y1859" s="22"/>
      <c r="Z1859" s="22"/>
      <c r="AA1859" s="22"/>
      <c r="AF1859" s="22"/>
      <c r="AG1859" s="22"/>
      <c r="AH1859" s="22"/>
      <c r="AI1859" s="22"/>
      <c r="AN1859" s="22"/>
      <c r="AO1859" s="22"/>
      <c r="AP1859" s="22"/>
      <c r="AQ1859" s="22"/>
      <c r="AR1859" s="35"/>
      <c r="AS1859" s="35"/>
      <c r="AT1859" s="35"/>
      <c r="AU1859" s="31"/>
      <c r="AV1859" s="36"/>
      <c r="AW1859" s="36"/>
    </row>
    <row r="1860" spans="4:49">
      <c r="D1860" s="31"/>
      <c r="E1860" s="31"/>
      <c r="F1860" s="31"/>
      <c r="G1860" s="31"/>
      <c r="H1860" s="32"/>
      <c r="J1860" s="33"/>
      <c r="K1860" s="33"/>
      <c r="L1860" s="33"/>
      <c r="X1860" s="22"/>
      <c r="Y1860" s="22"/>
      <c r="Z1860" s="22"/>
      <c r="AA1860" s="22"/>
      <c r="AF1860" s="22"/>
      <c r="AG1860" s="22"/>
      <c r="AH1860" s="22"/>
      <c r="AI1860" s="22"/>
      <c r="AN1860" s="22"/>
      <c r="AO1860" s="22"/>
      <c r="AP1860" s="22"/>
      <c r="AQ1860" s="22"/>
      <c r="AR1860" s="35"/>
      <c r="AS1860" s="35"/>
      <c r="AT1860" s="35"/>
      <c r="AU1860" s="31"/>
      <c r="AV1860" s="36"/>
      <c r="AW1860" s="36"/>
    </row>
    <row r="1861" spans="4:49">
      <c r="D1861" s="31"/>
      <c r="E1861" s="31"/>
      <c r="F1861" s="31"/>
      <c r="G1861" s="31"/>
      <c r="H1861" s="32"/>
      <c r="J1861" s="33"/>
      <c r="K1861" s="33"/>
      <c r="L1861" s="33"/>
      <c r="X1861" s="22"/>
      <c r="Y1861" s="22"/>
      <c r="Z1861" s="22"/>
      <c r="AA1861" s="22"/>
      <c r="AF1861" s="22"/>
      <c r="AG1861" s="22"/>
      <c r="AH1861" s="22"/>
      <c r="AI1861" s="22"/>
      <c r="AN1861" s="22"/>
      <c r="AO1861" s="22"/>
      <c r="AP1861" s="22"/>
      <c r="AQ1861" s="22"/>
      <c r="AR1861" s="35"/>
      <c r="AS1861" s="35"/>
      <c r="AT1861" s="35"/>
      <c r="AU1861" s="31"/>
      <c r="AV1861" s="36"/>
      <c r="AW1861" s="36"/>
    </row>
    <row r="1862" spans="4:49">
      <c r="D1862" s="31"/>
      <c r="E1862" s="31"/>
      <c r="F1862" s="31"/>
      <c r="G1862" s="31"/>
      <c r="H1862" s="32"/>
      <c r="J1862" s="33"/>
      <c r="K1862" s="33"/>
      <c r="L1862" s="33"/>
      <c r="X1862" s="22"/>
      <c r="Y1862" s="22"/>
      <c r="Z1862" s="22"/>
      <c r="AA1862" s="22"/>
      <c r="AF1862" s="22"/>
      <c r="AG1862" s="22"/>
      <c r="AH1862" s="22"/>
      <c r="AI1862" s="22"/>
      <c r="AN1862" s="22"/>
      <c r="AO1862" s="22"/>
      <c r="AP1862" s="22"/>
      <c r="AQ1862" s="22"/>
      <c r="AR1862" s="35"/>
      <c r="AS1862" s="35"/>
      <c r="AT1862" s="35"/>
      <c r="AU1862" s="31"/>
      <c r="AV1862" s="36"/>
      <c r="AW1862" s="36"/>
    </row>
    <row r="1863" spans="4:49">
      <c r="D1863" s="31"/>
      <c r="E1863" s="31"/>
      <c r="F1863" s="31"/>
      <c r="G1863" s="31"/>
      <c r="H1863" s="32"/>
      <c r="J1863" s="33"/>
      <c r="K1863" s="33"/>
      <c r="L1863" s="33"/>
      <c r="X1863" s="22"/>
      <c r="Y1863" s="22"/>
      <c r="Z1863" s="22"/>
      <c r="AA1863" s="22"/>
      <c r="AF1863" s="22"/>
      <c r="AG1863" s="22"/>
      <c r="AH1863" s="22"/>
      <c r="AI1863" s="22"/>
      <c r="AN1863" s="22"/>
      <c r="AO1863" s="22"/>
      <c r="AP1863" s="22"/>
      <c r="AQ1863" s="22"/>
      <c r="AR1863" s="35"/>
      <c r="AS1863" s="35"/>
      <c r="AT1863" s="35"/>
      <c r="AU1863" s="31"/>
      <c r="AV1863" s="36"/>
      <c r="AW1863" s="36"/>
    </row>
    <row r="1864" spans="4:49">
      <c r="D1864" s="31"/>
      <c r="E1864" s="31"/>
      <c r="F1864" s="31"/>
      <c r="G1864" s="31"/>
      <c r="H1864" s="32"/>
      <c r="J1864" s="33"/>
      <c r="K1864" s="33"/>
      <c r="L1864" s="33"/>
      <c r="X1864" s="22"/>
      <c r="Y1864" s="22"/>
      <c r="Z1864" s="22"/>
      <c r="AA1864" s="22"/>
      <c r="AF1864" s="22"/>
      <c r="AG1864" s="22"/>
      <c r="AH1864" s="22"/>
      <c r="AI1864" s="22"/>
      <c r="AN1864" s="22"/>
      <c r="AO1864" s="22"/>
      <c r="AP1864" s="22"/>
      <c r="AQ1864" s="22"/>
      <c r="AR1864" s="35"/>
      <c r="AS1864" s="35"/>
      <c r="AT1864" s="35"/>
      <c r="AU1864" s="31"/>
      <c r="AV1864" s="36"/>
      <c r="AW1864" s="36"/>
    </row>
    <row r="1865" spans="4:49">
      <c r="D1865" s="31"/>
      <c r="E1865" s="31"/>
      <c r="F1865" s="31"/>
      <c r="G1865" s="31"/>
      <c r="H1865" s="32"/>
      <c r="J1865" s="33"/>
      <c r="K1865" s="33"/>
      <c r="L1865" s="33"/>
      <c r="X1865" s="22"/>
      <c r="Y1865" s="22"/>
      <c r="Z1865" s="22"/>
      <c r="AA1865" s="22"/>
      <c r="AF1865" s="22"/>
      <c r="AG1865" s="22"/>
      <c r="AH1865" s="22"/>
      <c r="AI1865" s="22"/>
      <c r="AN1865" s="22"/>
      <c r="AO1865" s="22"/>
      <c r="AP1865" s="22"/>
      <c r="AQ1865" s="22"/>
      <c r="AR1865" s="35"/>
      <c r="AS1865" s="35"/>
      <c r="AT1865" s="35"/>
      <c r="AU1865" s="31"/>
      <c r="AV1865" s="36"/>
      <c r="AW1865" s="36"/>
    </row>
    <row r="1866" spans="4:49">
      <c r="D1866" s="31"/>
      <c r="E1866" s="31"/>
      <c r="F1866" s="31"/>
      <c r="G1866" s="31"/>
      <c r="H1866" s="32"/>
      <c r="J1866" s="33"/>
      <c r="K1866" s="33"/>
      <c r="L1866" s="33"/>
      <c r="X1866" s="22"/>
      <c r="Y1866" s="22"/>
      <c r="Z1866" s="22"/>
      <c r="AA1866" s="22"/>
      <c r="AF1866" s="22"/>
      <c r="AG1866" s="22"/>
      <c r="AH1866" s="22"/>
      <c r="AI1866" s="22"/>
      <c r="AN1866" s="22"/>
      <c r="AO1866" s="22"/>
      <c r="AP1866" s="22"/>
      <c r="AQ1866" s="22"/>
      <c r="AR1866" s="35"/>
      <c r="AS1866" s="35"/>
      <c r="AT1866" s="35"/>
      <c r="AU1866" s="31"/>
      <c r="AV1866" s="36"/>
      <c r="AW1866" s="36"/>
    </row>
    <row r="1867" spans="4:49">
      <c r="D1867" s="31"/>
      <c r="E1867" s="31"/>
      <c r="F1867" s="31"/>
      <c r="G1867" s="31"/>
      <c r="H1867" s="32"/>
      <c r="J1867" s="33"/>
      <c r="K1867" s="33"/>
      <c r="L1867" s="33"/>
      <c r="X1867" s="22"/>
      <c r="Y1867" s="22"/>
      <c r="Z1867" s="22"/>
      <c r="AA1867" s="22"/>
      <c r="AF1867" s="22"/>
      <c r="AG1867" s="22"/>
      <c r="AH1867" s="22"/>
      <c r="AI1867" s="22"/>
      <c r="AN1867" s="22"/>
      <c r="AO1867" s="22"/>
      <c r="AP1867" s="22"/>
      <c r="AQ1867" s="22"/>
      <c r="AR1867" s="35"/>
      <c r="AS1867" s="35"/>
      <c r="AT1867" s="35"/>
      <c r="AU1867" s="31"/>
      <c r="AV1867" s="36"/>
      <c r="AW1867" s="36"/>
    </row>
    <row r="1868" spans="4:49">
      <c r="D1868" s="31"/>
      <c r="E1868" s="31"/>
      <c r="F1868" s="31"/>
      <c r="G1868" s="31"/>
      <c r="H1868" s="32"/>
      <c r="J1868" s="33"/>
      <c r="K1868" s="33"/>
      <c r="L1868" s="33"/>
      <c r="X1868" s="22"/>
      <c r="Y1868" s="22"/>
      <c r="Z1868" s="22"/>
      <c r="AA1868" s="22"/>
      <c r="AF1868" s="22"/>
      <c r="AG1868" s="22"/>
      <c r="AH1868" s="22"/>
      <c r="AI1868" s="22"/>
      <c r="AN1868" s="22"/>
      <c r="AO1868" s="22"/>
      <c r="AP1868" s="22"/>
      <c r="AQ1868" s="22"/>
      <c r="AR1868" s="35"/>
      <c r="AS1868" s="35"/>
      <c r="AT1868" s="35"/>
      <c r="AU1868" s="31"/>
      <c r="AV1868" s="36"/>
      <c r="AW1868" s="36"/>
    </row>
    <row r="1869" spans="4:49">
      <c r="D1869" s="31"/>
      <c r="E1869" s="31"/>
      <c r="F1869" s="31"/>
      <c r="G1869" s="31"/>
      <c r="H1869" s="32"/>
      <c r="J1869" s="33"/>
      <c r="K1869" s="33"/>
      <c r="L1869" s="33"/>
      <c r="X1869" s="22"/>
      <c r="Y1869" s="22"/>
      <c r="Z1869" s="22"/>
      <c r="AA1869" s="22"/>
      <c r="AF1869" s="22"/>
      <c r="AG1869" s="22"/>
      <c r="AH1869" s="22"/>
      <c r="AI1869" s="22"/>
      <c r="AN1869" s="22"/>
      <c r="AO1869" s="22"/>
      <c r="AP1869" s="22"/>
      <c r="AQ1869" s="22"/>
      <c r="AR1869" s="35"/>
      <c r="AS1869" s="35"/>
      <c r="AT1869" s="35"/>
      <c r="AU1869" s="31"/>
      <c r="AV1869" s="36"/>
      <c r="AW1869" s="36"/>
    </row>
    <row r="1870" spans="4:49">
      <c r="D1870" s="31"/>
      <c r="E1870" s="31"/>
      <c r="F1870" s="31"/>
      <c r="G1870" s="31"/>
      <c r="H1870" s="32"/>
      <c r="J1870" s="33"/>
      <c r="K1870" s="33"/>
      <c r="L1870" s="33"/>
      <c r="X1870" s="22"/>
      <c r="Y1870" s="22"/>
      <c r="Z1870" s="22"/>
      <c r="AA1870" s="22"/>
      <c r="AF1870" s="22"/>
      <c r="AG1870" s="22"/>
      <c r="AH1870" s="22"/>
      <c r="AI1870" s="22"/>
      <c r="AN1870" s="22"/>
      <c r="AO1870" s="22"/>
      <c r="AP1870" s="22"/>
      <c r="AQ1870" s="22"/>
      <c r="AR1870" s="35"/>
      <c r="AS1870" s="35"/>
      <c r="AT1870" s="35"/>
      <c r="AU1870" s="31"/>
      <c r="AV1870" s="36"/>
      <c r="AW1870" s="36"/>
    </row>
    <row r="1871" spans="4:49">
      <c r="D1871" s="31"/>
      <c r="E1871" s="31"/>
      <c r="F1871" s="31"/>
      <c r="G1871" s="31"/>
      <c r="H1871" s="32"/>
      <c r="J1871" s="33"/>
      <c r="K1871" s="33"/>
      <c r="L1871" s="33"/>
      <c r="X1871" s="22"/>
      <c r="Y1871" s="22"/>
      <c r="Z1871" s="22"/>
      <c r="AA1871" s="22"/>
      <c r="AF1871" s="22"/>
      <c r="AG1871" s="22"/>
      <c r="AH1871" s="22"/>
      <c r="AI1871" s="22"/>
      <c r="AN1871" s="22"/>
      <c r="AO1871" s="22"/>
      <c r="AP1871" s="22"/>
      <c r="AQ1871" s="22"/>
      <c r="AR1871" s="35"/>
      <c r="AS1871" s="35"/>
      <c r="AT1871" s="35"/>
      <c r="AU1871" s="31"/>
      <c r="AV1871" s="36"/>
      <c r="AW1871" s="36"/>
    </row>
    <row r="1872" spans="4:49">
      <c r="D1872" s="31"/>
      <c r="E1872" s="31"/>
      <c r="F1872" s="31"/>
      <c r="G1872" s="31"/>
      <c r="H1872" s="32"/>
      <c r="J1872" s="33"/>
      <c r="K1872" s="33"/>
      <c r="L1872" s="33"/>
      <c r="X1872" s="22"/>
      <c r="Y1872" s="22"/>
      <c r="Z1872" s="22"/>
      <c r="AA1872" s="22"/>
      <c r="AF1872" s="22"/>
      <c r="AG1872" s="22"/>
      <c r="AH1872" s="22"/>
      <c r="AI1872" s="22"/>
      <c r="AN1872" s="22"/>
      <c r="AO1872" s="22"/>
      <c r="AP1872" s="22"/>
      <c r="AQ1872" s="22"/>
      <c r="AR1872" s="35"/>
      <c r="AS1872" s="35"/>
      <c r="AT1872" s="35"/>
      <c r="AU1872" s="31"/>
      <c r="AV1872" s="36"/>
      <c r="AW1872" s="36"/>
    </row>
    <row r="1873" spans="4:49">
      <c r="D1873" s="31"/>
      <c r="E1873" s="31"/>
      <c r="F1873" s="31"/>
      <c r="G1873" s="31"/>
      <c r="H1873" s="32"/>
      <c r="J1873" s="33"/>
      <c r="K1873" s="33"/>
      <c r="L1873" s="33"/>
      <c r="X1873" s="22"/>
      <c r="Y1873" s="22"/>
      <c r="Z1873" s="22"/>
      <c r="AA1873" s="22"/>
      <c r="AF1873" s="22"/>
      <c r="AG1873" s="22"/>
      <c r="AH1873" s="22"/>
      <c r="AI1873" s="22"/>
      <c r="AN1873" s="22"/>
      <c r="AO1873" s="22"/>
      <c r="AP1873" s="22"/>
      <c r="AQ1873" s="22"/>
      <c r="AR1873" s="35"/>
      <c r="AS1873" s="35"/>
      <c r="AT1873" s="35"/>
      <c r="AU1873" s="31"/>
      <c r="AV1873" s="36"/>
      <c r="AW1873" s="36"/>
    </row>
    <row r="1874" spans="4:49">
      <c r="D1874" s="31"/>
      <c r="E1874" s="31"/>
      <c r="F1874" s="31"/>
      <c r="G1874" s="31"/>
      <c r="H1874" s="32"/>
      <c r="J1874" s="33"/>
      <c r="K1874" s="33"/>
      <c r="L1874" s="33"/>
      <c r="X1874" s="22"/>
      <c r="Y1874" s="22"/>
      <c r="Z1874" s="22"/>
      <c r="AA1874" s="22"/>
      <c r="AF1874" s="22"/>
      <c r="AG1874" s="22"/>
      <c r="AH1874" s="22"/>
      <c r="AI1874" s="22"/>
      <c r="AN1874" s="22"/>
      <c r="AO1874" s="22"/>
      <c r="AP1874" s="22"/>
      <c r="AQ1874" s="22"/>
      <c r="AR1874" s="35"/>
      <c r="AS1874" s="35"/>
      <c r="AT1874" s="35"/>
      <c r="AU1874" s="31"/>
      <c r="AV1874" s="36"/>
      <c r="AW1874" s="36"/>
    </row>
    <row r="1875" spans="4:49">
      <c r="D1875" s="31"/>
      <c r="E1875" s="31"/>
      <c r="F1875" s="31"/>
      <c r="G1875" s="31"/>
      <c r="H1875" s="32"/>
      <c r="J1875" s="33"/>
      <c r="K1875" s="33"/>
      <c r="L1875" s="33"/>
      <c r="X1875" s="22"/>
      <c r="Y1875" s="22"/>
      <c r="Z1875" s="22"/>
      <c r="AA1875" s="22"/>
      <c r="AF1875" s="22"/>
      <c r="AG1875" s="22"/>
      <c r="AH1875" s="22"/>
      <c r="AI1875" s="22"/>
      <c r="AN1875" s="22"/>
      <c r="AO1875" s="22"/>
      <c r="AP1875" s="22"/>
      <c r="AQ1875" s="22"/>
      <c r="AR1875" s="35"/>
      <c r="AS1875" s="35"/>
      <c r="AT1875" s="35"/>
      <c r="AU1875" s="31"/>
      <c r="AV1875" s="36"/>
      <c r="AW1875" s="36"/>
    </row>
    <row r="1876" spans="4:49">
      <c r="D1876" s="31"/>
      <c r="E1876" s="31"/>
      <c r="F1876" s="31"/>
      <c r="G1876" s="31"/>
      <c r="H1876" s="32"/>
      <c r="J1876" s="33"/>
      <c r="K1876" s="33"/>
      <c r="L1876" s="33"/>
      <c r="X1876" s="22"/>
      <c r="Y1876" s="22"/>
      <c r="Z1876" s="22"/>
      <c r="AA1876" s="22"/>
      <c r="AF1876" s="22"/>
      <c r="AG1876" s="22"/>
      <c r="AH1876" s="22"/>
      <c r="AI1876" s="22"/>
      <c r="AN1876" s="22"/>
      <c r="AO1876" s="22"/>
      <c r="AP1876" s="22"/>
      <c r="AQ1876" s="22"/>
      <c r="AR1876" s="35"/>
      <c r="AS1876" s="35"/>
      <c r="AT1876" s="35"/>
      <c r="AU1876" s="31"/>
      <c r="AV1876" s="36"/>
      <c r="AW1876" s="36"/>
    </row>
    <row r="1877" spans="4:49">
      <c r="D1877" s="31"/>
      <c r="E1877" s="31"/>
      <c r="F1877" s="31"/>
      <c r="G1877" s="31"/>
      <c r="H1877" s="32"/>
      <c r="J1877" s="33"/>
      <c r="K1877" s="33"/>
      <c r="L1877" s="33"/>
      <c r="X1877" s="22"/>
      <c r="Y1877" s="22"/>
      <c r="Z1877" s="22"/>
      <c r="AA1877" s="22"/>
      <c r="AF1877" s="22"/>
      <c r="AG1877" s="22"/>
      <c r="AH1877" s="22"/>
      <c r="AI1877" s="22"/>
      <c r="AN1877" s="22"/>
      <c r="AO1877" s="22"/>
      <c r="AP1877" s="22"/>
      <c r="AQ1877" s="22"/>
      <c r="AR1877" s="35"/>
      <c r="AS1877" s="35"/>
      <c r="AT1877" s="35"/>
      <c r="AU1877" s="31"/>
      <c r="AV1877" s="36"/>
      <c r="AW1877" s="36"/>
    </row>
    <row r="1878" spans="4:49">
      <c r="D1878" s="31"/>
      <c r="E1878" s="31"/>
      <c r="F1878" s="31"/>
      <c r="G1878" s="31"/>
      <c r="H1878" s="32"/>
      <c r="J1878" s="33"/>
      <c r="K1878" s="33"/>
      <c r="L1878" s="33"/>
      <c r="X1878" s="22"/>
      <c r="Y1878" s="22"/>
      <c r="Z1878" s="22"/>
      <c r="AA1878" s="22"/>
      <c r="AF1878" s="22"/>
      <c r="AG1878" s="22"/>
      <c r="AH1878" s="22"/>
      <c r="AI1878" s="22"/>
      <c r="AN1878" s="22"/>
      <c r="AO1878" s="22"/>
      <c r="AP1878" s="22"/>
      <c r="AQ1878" s="22"/>
      <c r="AR1878" s="35"/>
      <c r="AS1878" s="35"/>
      <c r="AT1878" s="35"/>
      <c r="AU1878" s="31"/>
      <c r="AV1878" s="36"/>
      <c r="AW1878" s="36"/>
    </row>
    <row r="1879" spans="4:49">
      <c r="D1879" s="31"/>
      <c r="E1879" s="31"/>
      <c r="F1879" s="31"/>
      <c r="G1879" s="31"/>
      <c r="H1879" s="32"/>
      <c r="J1879" s="33"/>
      <c r="K1879" s="33"/>
      <c r="L1879" s="33"/>
      <c r="X1879" s="22"/>
      <c r="Y1879" s="22"/>
      <c r="Z1879" s="22"/>
      <c r="AA1879" s="22"/>
      <c r="AF1879" s="22"/>
      <c r="AG1879" s="22"/>
      <c r="AH1879" s="22"/>
      <c r="AI1879" s="22"/>
      <c r="AN1879" s="22"/>
      <c r="AO1879" s="22"/>
      <c r="AP1879" s="22"/>
      <c r="AQ1879" s="22"/>
      <c r="AR1879" s="35"/>
      <c r="AS1879" s="35"/>
      <c r="AT1879" s="35"/>
      <c r="AU1879" s="31"/>
      <c r="AV1879" s="36"/>
      <c r="AW1879" s="36"/>
    </row>
    <row r="1880" spans="4:49">
      <c r="D1880" s="31"/>
      <c r="E1880" s="31"/>
      <c r="F1880" s="31"/>
      <c r="G1880" s="31"/>
      <c r="H1880" s="32"/>
      <c r="J1880" s="33"/>
      <c r="K1880" s="33"/>
      <c r="L1880" s="33"/>
      <c r="X1880" s="22"/>
      <c r="Y1880" s="22"/>
      <c r="Z1880" s="22"/>
      <c r="AA1880" s="22"/>
      <c r="AF1880" s="22"/>
      <c r="AG1880" s="22"/>
      <c r="AH1880" s="22"/>
      <c r="AI1880" s="22"/>
      <c r="AN1880" s="22"/>
      <c r="AO1880" s="22"/>
      <c r="AP1880" s="22"/>
      <c r="AQ1880" s="22"/>
      <c r="AR1880" s="35"/>
      <c r="AS1880" s="35"/>
      <c r="AT1880" s="35"/>
      <c r="AU1880" s="31"/>
      <c r="AV1880" s="36"/>
      <c r="AW1880" s="36"/>
    </row>
    <row r="1881" spans="4:49">
      <c r="D1881" s="31"/>
      <c r="E1881" s="31"/>
      <c r="F1881" s="31"/>
      <c r="G1881" s="31"/>
      <c r="H1881" s="32"/>
      <c r="J1881" s="33"/>
      <c r="K1881" s="33"/>
      <c r="L1881" s="33"/>
      <c r="X1881" s="22"/>
      <c r="Y1881" s="22"/>
      <c r="Z1881" s="22"/>
      <c r="AA1881" s="22"/>
      <c r="AF1881" s="22"/>
      <c r="AG1881" s="22"/>
      <c r="AH1881" s="22"/>
      <c r="AI1881" s="22"/>
      <c r="AN1881" s="22"/>
      <c r="AO1881" s="22"/>
      <c r="AP1881" s="22"/>
      <c r="AQ1881" s="22"/>
      <c r="AR1881" s="35"/>
      <c r="AS1881" s="35"/>
      <c r="AT1881" s="35"/>
      <c r="AU1881" s="31"/>
      <c r="AV1881" s="36"/>
      <c r="AW1881" s="36"/>
    </row>
    <row r="1882" spans="4:49">
      <c r="D1882" s="31"/>
      <c r="E1882" s="31"/>
      <c r="F1882" s="31"/>
      <c r="G1882" s="31"/>
      <c r="H1882" s="32"/>
      <c r="J1882" s="33"/>
      <c r="K1882" s="33"/>
      <c r="L1882" s="33"/>
      <c r="X1882" s="22"/>
      <c r="Y1882" s="22"/>
      <c r="Z1882" s="22"/>
      <c r="AA1882" s="22"/>
      <c r="AF1882" s="22"/>
      <c r="AG1882" s="22"/>
      <c r="AH1882" s="22"/>
      <c r="AI1882" s="22"/>
      <c r="AN1882" s="22"/>
      <c r="AO1882" s="22"/>
      <c r="AP1882" s="22"/>
      <c r="AQ1882" s="22"/>
      <c r="AR1882" s="35"/>
      <c r="AS1882" s="35"/>
      <c r="AT1882" s="35"/>
      <c r="AU1882" s="31"/>
      <c r="AV1882" s="36"/>
      <c r="AW1882" s="36"/>
    </row>
    <row r="1883" spans="4:49">
      <c r="D1883" s="31"/>
      <c r="E1883" s="31"/>
      <c r="F1883" s="31"/>
      <c r="G1883" s="31"/>
      <c r="H1883" s="32"/>
      <c r="J1883" s="33"/>
      <c r="K1883" s="33"/>
      <c r="L1883" s="33"/>
      <c r="X1883" s="22"/>
      <c r="Y1883" s="22"/>
      <c r="Z1883" s="22"/>
      <c r="AA1883" s="22"/>
      <c r="AF1883" s="22"/>
      <c r="AG1883" s="22"/>
      <c r="AH1883" s="22"/>
      <c r="AI1883" s="22"/>
      <c r="AN1883" s="22"/>
      <c r="AO1883" s="22"/>
      <c r="AP1883" s="22"/>
      <c r="AQ1883" s="22"/>
      <c r="AR1883" s="35"/>
      <c r="AS1883" s="35"/>
      <c r="AT1883" s="35"/>
      <c r="AU1883" s="31"/>
      <c r="AV1883" s="36"/>
      <c r="AW1883" s="36"/>
    </row>
    <row r="1884" spans="4:49">
      <c r="D1884" s="31"/>
      <c r="E1884" s="31"/>
      <c r="F1884" s="31"/>
      <c r="G1884" s="31"/>
      <c r="H1884" s="32"/>
      <c r="J1884" s="33"/>
      <c r="K1884" s="33"/>
      <c r="L1884" s="33"/>
      <c r="X1884" s="22"/>
      <c r="Y1884" s="22"/>
      <c r="Z1884" s="22"/>
      <c r="AA1884" s="22"/>
      <c r="AF1884" s="22"/>
      <c r="AG1884" s="22"/>
      <c r="AH1884" s="22"/>
      <c r="AI1884" s="22"/>
      <c r="AN1884" s="22"/>
      <c r="AO1884" s="22"/>
      <c r="AP1884" s="22"/>
      <c r="AQ1884" s="22"/>
      <c r="AR1884" s="35"/>
      <c r="AS1884" s="35"/>
      <c r="AT1884" s="35"/>
      <c r="AU1884" s="31"/>
      <c r="AV1884" s="36"/>
      <c r="AW1884" s="36"/>
    </row>
    <row r="1885" spans="4:49">
      <c r="D1885" s="31"/>
      <c r="E1885" s="31"/>
      <c r="F1885" s="31"/>
      <c r="G1885" s="31"/>
      <c r="H1885" s="32"/>
      <c r="J1885" s="33"/>
      <c r="K1885" s="33"/>
      <c r="L1885" s="33"/>
      <c r="X1885" s="22"/>
      <c r="Y1885" s="22"/>
      <c r="Z1885" s="22"/>
      <c r="AA1885" s="22"/>
      <c r="AF1885" s="22"/>
      <c r="AG1885" s="22"/>
      <c r="AH1885" s="22"/>
      <c r="AI1885" s="22"/>
      <c r="AN1885" s="22"/>
      <c r="AO1885" s="22"/>
      <c r="AP1885" s="22"/>
      <c r="AQ1885" s="22"/>
      <c r="AR1885" s="35"/>
      <c r="AS1885" s="35"/>
      <c r="AT1885" s="35"/>
      <c r="AU1885" s="31"/>
      <c r="AV1885" s="36"/>
      <c r="AW1885" s="36"/>
    </row>
    <row r="1886" spans="4:49">
      <c r="D1886" s="31"/>
      <c r="E1886" s="31"/>
      <c r="F1886" s="31"/>
      <c r="G1886" s="31"/>
      <c r="H1886" s="32"/>
      <c r="J1886" s="33"/>
      <c r="K1886" s="33"/>
      <c r="L1886" s="33"/>
      <c r="X1886" s="22"/>
      <c r="Y1886" s="22"/>
      <c r="Z1886" s="22"/>
      <c r="AA1886" s="22"/>
      <c r="AF1886" s="22"/>
      <c r="AG1886" s="22"/>
      <c r="AH1886" s="22"/>
      <c r="AI1886" s="22"/>
      <c r="AN1886" s="22"/>
      <c r="AO1886" s="22"/>
      <c r="AP1886" s="22"/>
      <c r="AQ1886" s="22"/>
      <c r="AR1886" s="35"/>
      <c r="AS1886" s="35"/>
      <c r="AT1886" s="35"/>
      <c r="AU1886" s="31"/>
      <c r="AV1886" s="36"/>
      <c r="AW1886" s="36"/>
    </row>
    <row r="1887" spans="4:49">
      <c r="D1887" s="31"/>
      <c r="E1887" s="31"/>
      <c r="F1887" s="31"/>
      <c r="G1887" s="31"/>
      <c r="H1887" s="32"/>
      <c r="J1887" s="33"/>
      <c r="K1887" s="33"/>
      <c r="L1887" s="33"/>
      <c r="X1887" s="22"/>
      <c r="Y1887" s="22"/>
      <c r="Z1887" s="22"/>
      <c r="AA1887" s="22"/>
      <c r="AF1887" s="22"/>
      <c r="AG1887" s="22"/>
      <c r="AH1887" s="22"/>
      <c r="AI1887" s="22"/>
      <c r="AN1887" s="22"/>
      <c r="AO1887" s="22"/>
      <c r="AP1887" s="22"/>
      <c r="AQ1887" s="22"/>
      <c r="AR1887" s="35"/>
      <c r="AS1887" s="35"/>
      <c r="AT1887" s="35"/>
      <c r="AU1887" s="31"/>
      <c r="AV1887" s="36"/>
      <c r="AW1887" s="36"/>
    </row>
    <row r="1888" spans="4:49">
      <c r="D1888" s="31"/>
      <c r="E1888" s="31"/>
      <c r="F1888" s="31"/>
      <c r="G1888" s="31"/>
      <c r="H1888" s="32"/>
      <c r="J1888" s="33"/>
      <c r="K1888" s="33"/>
      <c r="L1888" s="33"/>
      <c r="X1888" s="22"/>
      <c r="Y1888" s="22"/>
      <c r="Z1888" s="22"/>
      <c r="AA1888" s="22"/>
      <c r="AF1888" s="22"/>
      <c r="AG1888" s="22"/>
      <c r="AH1888" s="22"/>
      <c r="AI1888" s="22"/>
      <c r="AN1888" s="22"/>
      <c r="AO1888" s="22"/>
      <c r="AP1888" s="22"/>
      <c r="AQ1888" s="22"/>
      <c r="AR1888" s="35"/>
      <c r="AS1888" s="35"/>
      <c r="AT1888" s="35"/>
      <c r="AU1888" s="31"/>
      <c r="AV1888" s="36"/>
      <c r="AW1888" s="36"/>
    </row>
    <row r="1889" spans="4:49">
      <c r="D1889" s="31"/>
      <c r="E1889" s="31"/>
      <c r="F1889" s="31"/>
      <c r="G1889" s="31"/>
      <c r="H1889" s="32"/>
      <c r="J1889" s="33"/>
      <c r="K1889" s="33"/>
      <c r="L1889" s="33"/>
      <c r="X1889" s="22"/>
      <c r="Y1889" s="22"/>
      <c r="Z1889" s="22"/>
      <c r="AA1889" s="22"/>
      <c r="AF1889" s="22"/>
      <c r="AG1889" s="22"/>
      <c r="AH1889" s="22"/>
      <c r="AI1889" s="22"/>
      <c r="AN1889" s="22"/>
      <c r="AO1889" s="22"/>
      <c r="AP1889" s="22"/>
      <c r="AQ1889" s="22"/>
      <c r="AR1889" s="35"/>
      <c r="AS1889" s="35"/>
      <c r="AT1889" s="35"/>
      <c r="AU1889" s="31"/>
      <c r="AV1889" s="36"/>
      <c r="AW1889" s="36"/>
    </row>
    <row r="1890" spans="4:49">
      <c r="D1890" s="31"/>
      <c r="E1890" s="31"/>
      <c r="F1890" s="31"/>
      <c r="G1890" s="31"/>
      <c r="H1890" s="32"/>
      <c r="J1890" s="33"/>
      <c r="K1890" s="33"/>
      <c r="L1890" s="33"/>
      <c r="X1890" s="22"/>
      <c r="Y1890" s="22"/>
      <c r="Z1890" s="22"/>
      <c r="AA1890" s="22"/>
      <c r="AF1890" s="22"/>
      <c r="AG1890" s="22"/>
      <c r="AH1890" s="22"/>
      <c r="AI1890" s="22"/>
      <c r="AN1890" s="22"/>
      <c r="AO1890" s="22"/>
      <c r="AP1890" s="22"/>
      <c r="AQ1890" s="22"/>
      <c r="AR1890" s="35"/>
      <c r="AS1890" s="35"/>
      <c r="AT1890" s="35"/>
      <c r="AU1890" s="31"/>
      <c r="AV1890" s="36"/>
      <c r="AW1890" s="36"/>
    </row>
    <row r="1891" spans="4:49">
      <c r="D1891" s="31"/>
      <c r="E1891" s="31"/>
      <c r="F1891" s="31"/>
      <c r="G1891" s="31"/>
      <c r="H1891" s="32"/>
      <c r="J1891" s="33"/>
      <c r="K1891" s="33"/>
      <c r="L1891" s="33"/>
      <c r="X1891" s="22"/>
      <c r="Y1891" s="22"/>
      <c r="Z1891" s="22"/>
      <c r="AA1891" s="22"/>
      <c r="AF1891" s="22"/>
      <c r="AG1891" s="22"/>
      <c r="AH1891" s="22"/>
      <c r="AI1891" s="22"/>
      <c r="AN1891" s="22"/>
      <c r="AO1891" s="22"/>
      <c r="AP1891" s="22"/>
      <c r="AQ1891" s="22"/>
      <c r="AR1891" s="35"/>
      <c r="AS1891" s="35"/>
      <c r="AT1891" s="35"/>
      <c r="AU1891" s="31"/>
      <c r="AV1891" s="36"/>
      <c r="AW1891" s="36"/>
    </row>
    <row r="1892" spans="4:49">
      <c r="D1892" s="31"/>
      <c r="E1892" s="31"/>
      <c r="F1892" s="31"/>
      <c r="G1892" s="31"/>
      <c r="H1892" s="32"/>
      <c r="J1892" s="33"/>
      <c r="K1892" s="33"/>
      <c r="L1892" s="33"/>
      <c r="X1892" s="22"/>
      <c r="Y1892" s="22"/>
      <c r="Z1892" s="22"/>
      <c r="AA1892" s="22"/>
      <c r="AF1892" s="22"/>
      <c r="AG1892" s="22"/>
      <c r="AH1892" s="22"/>
      <c r="AI1892" s="22"/>
      <c r="AN1892" s="22"/>
      <c r="AO1892" s="22"/>
      <c r="AP1892" s="22"/>
      <c r="AQ1892" s="22"/>
      <c r="AR1892" s="35"/>
      <c r="AS1892" s="35"/>
      <c r="AT1892" s="35"/>
      <c r="AU1892" s="31"/>
      <c r="AV1892" s="36"/>
      <c r="AW1892" s="36"/>
    </row>
    <row r="1893" spans="4:49">
      <c r="D1893" s="31"/>
      <c r="E1893" s="31"/>
      <c r="F1893" s="31"/>
      <c r="G1893" s="31"/>
      <c r="H1893" s="32"/>
      <c r="J1893" s="33"/>
      <c r="K1893" s="33"/>
      <c r="L1893" s="33"/>
      <c r="X1893" s="22"/>
      <c r="Y1893" s="22"/>
      <c r="Z1893" s="22"/>
      <c r="AA1893" s="22"/>
      <c r="AF1893" s="22"/>
      <c r="AG1893" s="22"/>
      <c r="AH1893" s="22"/>
      <c r="AI1893" s="22"/>
      <c r="AN1893" s="22"/>
      <c r="AO1893" s="22"/>
      <c r="AP1893" s="22"/>
      <c r="AQ1893" s="22"/>
      <c r="AR1893" s="35"/>
      <c r="AS1893" s="35"/>
      <c r="AT1893" s="35"/>
      <c r="AU1893" s="31"/>
      <c r="AV1893" s="36"/>
      <c r="AW1893" s="36"/>
    </row>
    <row r="1894" spans="4:49">
      <c r="D1894" s="31"/>
      <c r="E1894" s="31"/>
      <c r="F1894" s="31"/>
      <c r="G1894" s="31"/>
      <c r="H1894" s="32"/>
      <c r="J1894" s="33"/>
      <c r="K1894" s="33"/>
      <c r="L1894" s="33"/>
      <c r="X1894" s="22"/>
      <c r="Y1894" s="22"/>
      <c r="Z1894" s="22"/>
      <c r="AA1894" s="22"/>
      <c r="AF1894" s="22"/>
      <c r="AG1894" s="22"/>
      <c r="AH1894" s="22"/>
      <c r="AI1894" s="22"/>
      <c r="AN1894" s="22"/>
      <c r="AO1894" s="22"/>
      <c r="AP1894" s="22"/>
      <c r="AQ1894" s="22"/>
      <c r="AR1894" s="35"/>
      <c r="AS1894" s="35"/>
      <c r="AT1894" s="35"/>
      <c r="AU1894" s="31"/>
      <c r="AV1894" s="36"/>
      <c r="AW1894" s="36"/>
    </row>
    <row r="1895" spans="4:49">
      <c r="D1895" s="31"/>
      <c r="E1895" s="31"/>
      <c r="F1895" s="31"/>
      <c r="G1895" s="31"/>
      <c r="H1895" s="32"/>
      <c r="J1895" s="33"/>
      <c r="K1895" s="33"/>
      <c r="L1895" s="33"/>
      <c r="X1895" s="22"/>
      <c r="Y1895" s="22"/>
      <c r="Z1895" s="22"/>
      <c r="AA1895" s="22"/>
      <c r="AF1895" s="22"/>
      <c r="AG1895" s="22"/>
      <c r="AH1895" s="22"/>
      <c r="AI1895" s="22"/>
      <c r="AN1895" s="22"/>
      <c r="AO1895" s="22"/>
      <c r="AP1895" s="22"/>
      <c r="AQ1895" s="22"/>
      <c r="AR1895" s="35"/>
      <c r="AS1895" s="35"/>
      <c r="AT1895" s="35"/>
      <c r="AU1895" s="31"/>
      <c r="AV1895" s="36"/>
      <c r="AW1895" s="36"/>
    </row>
    <row r="1896" spans="4:49">
      <c r="D1896" s="31"/>
      <c r="E1896" s="31"/>
      <c r="F1896" s="31"/>
      <c r="G1896" s="31"/>
      <c r="H1896" s="32"/>
      <c r="J1896" s="33"/>
      <c r="K1896" s="33"/>
      <c r="L1896" s="33"/>
      <c r="X1896" s="22"/>
      <c r="Y1896" s="22"/>
      <c r="Z1896" s="22"/>
      <c r="AA1896" s="22"/>
      <c r="AF1896" s="22"/>
      <c r="AG1896" s="22"/>
      <c r="AH1896" s="22"/>
      <c r="AI1896" s="22"/>
      <c r="AN1896" s="22"/>
      <c r="AO1896" s="22"/>
      <c r="AP1896" s="22"/>
      <c r="AQ1896" s="22"/>
      <c r="AR1896" s="35"/>
      <c r="AS1896" s="35"/>
      <c r="AT1896" s="35"/>
      <c r="AU1896" s="31"/>
      <c r="AV1896" s="36"/>
      <c r="AW1896" s="36"/>
    </row>
    <row r="1897" spans="4:49">
      <c r="D1897" s="31"/>
      <c r="E1897" s="31"/>
      <c r="F1897" s="31"/>
      <c r="G1897" s="31"/>
      <c r="H1897" s="32"/>
      <c r="J1897" s="33"/>
      <c r="K1897" s="33"/>
      <c r="L1897" s="33"/>
      <c r="X1897" s="22"/>
      <c r="Y1897" s="22"/>
      <c r="Z1897" s="22"/>
      <c r="AA1897" s="22"/>
      <c r="AF1897" s="22"/>
      <c r="AG1897" s="22"/>
      <c r="AH1897" s="22"/>
      <c r="AI1897" s="22"/>
      <c r="AN1897" s="22"/>
      <c r="AO1897" s="22"/>
      <c r="AP1897" s="22"/>
      <c r="AQ1897" s="22"/>
      <c r="AR1897" s="35"/>
      <c r="AS1897" s="35"/>
      <c r="AT1897" s="35"/>
      <c r="AU1897" s="31"/>
      <c r="AV1897" s="36"/>
      <c r="AW1897" s="36"/>
    </row>
    <row r="1898" spans="4:49">
      <c r="D1898" s="31"/>
      <c r="E1898" s="31"/>
      <c r="F1898" s="31"/>
      <c r="G1898" s="31"/>
      <c r="H1898" s="32"/>
      <c r="J1898" s="33"/>
      <c r="K1898" s="33"/>
      <c r="L1898" s="33"/>
      <c r="X1898" s="22"/>
      <c r="Y1898" s="22"/>
      <c r="Z1898" s="22"/>
      <c r="AA1898" s="22"/>
      <c r="AF1898" s="22"/>
      <c r="AG1898" s="22"/>
      <c r="AH1898" s="22"/>
      <c r="AI1898" s="22"/>
      <c r="AN1898" s="22"/>
      <c r="AO1898" s="22"/>
      <c r="AP1898" s="22"/>
      <c r="AQ1898" s="22"/>
      <c r="AR1898" s="35"/>
      <c r="AS1898" s="35"/>
      <c r="AT1898" s="35"/>
      <c r="AU1898" s="31"/>
      <c r="AV1898" s="36"/>
      <c r="AW1898" s="36"/>
    </row>
    <row r="1899" spans="4:49">
      <c r="D1899" s="31"/>
      <c r="E1899" s="31"/>
      <c r="F1899" s="31"/>
      <c r="G1899" s="31"/>
      <c r="H1899" s="32"/>
      <c r="J1899" s="33"/>
      <c r="K1899" s="33"/>
      <c r="L1899" s="33"/>
      <c r="X1899" s="22"/>
      <c r="Y1899" s="22"/>
      <c r="Z1899" s="22"/>
      <c r="AA1899" s="22"/>
      <c r="AF1899" s="22"/>
      <c r="AG1899" s="22"/>
      <c r="AH1899" s="22"/>
      <c r="AI1899" s="22"/>
      <c r="AN1899" s="22"/>
      <c r="AO1899" s="22"/>
      <c r="AP1899" s="22"/>
      <c r="AQ1899" s="22"/>
      <c r="AR1899" s="35"/>
      <c r="AS1899" s="35"/>
      <c r="AT1899" s="35"/>
      <c r="AU1899" s="31"/>
      <c r="AV1899" s="36"/>
      <c r="AW1899" s="36"/>
    </row>
    <row r="1900" spans="4:49">
      <c r="D1900" s="31"/>
      <c r="E1900" s="31"/>
      <c r="F1900" s="31"/>
      <c r="G1900" s="31"/>
      <c r="H1900" s="32"/>
      <c r="J1900" s="33"/>
      <c r="K1900" s="33"/>
      <c r="L1900" s="33"/>
      <c r="X1900" s="22"/>
      <c r="Y1900" s="22"/>
      <c r="Z1900" s="22"/>
      <c r="AA1900" s="22"/>
      <c r="AF1900" s="22"/>
      <c r="AG1900" s="22"/>
      <c r="AH1900" s="22"/>
      <c r="AI1900" s="22"/>
      <c r="AN1900" s="22"/>
      <c r="AO1900" s="22"/>
      <c r="AP1900" s="22"/>
      <c r="AQ1900" s="22"/>
      <c r="AR1900" s="35"/>
      <c r="AS1900" s="35"/>
      <c r="AT1900" s="35"/>
      <c r="AU1900" s="31"/>
      <c r="AV1900" s="36"/>
      <c r="AW1900" s="36"/>
    </row>
    <row r="1901" spans="4:49">
      <c r="D1901" s="31"/>
      <c r="E1901" s="31"/>
      <c r="F1901" s="31"/>
      <c r="G1901" s="31"/>
      <c r="H1901" s="32"/>
      <c r="J1901" s="33"/>
      <c r="K1901" s="33"/>
      <c r="L1901" s="33"/>
      <c r="X1901" s="22"/>
      <c r="Y1901" s="22"/>
      <c r="Z1901" s="22"/>
      <c r="AA1901" s="22"/>
      <c r="AF1901" s="22"/>
      <c r="AG1901" s="22"/>
      <c r="AH1901" s="22"/>
      <c r="AI1901" s="22"/>
      <c r="AN1901" s="22"/>
      <c r="AO1901" s="22"/>
      <c r="AP1901" s="22"/>
      <c r="AQ1901" s="22"/>
      <c r="AR1901" s="35"/>
      <c r="AS1901" s="35"/>
      <c r="AT1901" s="35"/>
      <c r="AU1901" s="31"/>
      <c r="AV1901" s="36"/>
      <c r="AW1901" s="36"/>
    </row>
    <row r="1902" spans="4:49">
      <c r="D1902" s="31"/>
      <c r="E1902" s="31"/>
      <c r="F1902" s="31"/>
      <c r="G1902" s="31"/>
      <c r="H1902" s="32"/>
      <c r="J1902" s="33"/>
      <c r="K1902" s="33"/>
      <c r="L1902" s="33"/>
      <c r="X1902" s="22"/>
      <c r="Y1902" s="22"/>
      <c r="Z1902" s="22"/>
      <c r="AA1902" s="22"/>
      <c r="AF1902" s="22"/>
      <c r="AG1902" s="22"/>
      <c r="AH1902" s="22"/>
      <c r="AI1902" s="22"/>
      <c r="AN1902" s="22"/>
      <c r="AO1902" s="22"/>
      <c r="AP1902" s="22"/>
      <c r="AQ1902" s="22"/>
      <c r="AR1902" s="35"/>
      <c r="AS1902" s="35"/>
      <c r="AT1902" s="35"/>
      <c r="AU1902" s="31"/>
      <c r="AV1902" s="36"/>
      <c r="AW1902" s="36"/>
    </row>
    <row r="1903" spans="4:49">
      <c r="D1903" s="31"/>
      <c r="E1903" s="31"/>
      <c r="F1903" s="31"/>
      <c r="G1903" s="31"/>
      <c r="H1903" s="32"/>
      <c r="J1903" s="33"/>
      <c r="K1903" s="33"/>
      <c r="L1903" s="33"/>
      <c r="X1903" s="22"/>
      <c r="Y1903" s="22"/>
      <c r="Z1903" s="22"/>
      <c r="AA1903" s="22"/>
      <c r="AF1903" s="22"/>
      <c r="AG1903" s="22"/>
      <c r="AH1903" s="22"/>
      <c r="AI1903" s="22"/>
      <c r="AN1903" s="22"/>
      <c r="AO1903" s="22"/>
      <c r="AP1903" s="22"/>
      <c r="AQ1903" s="22"/>
      <c r="AR1903" s="35"/>
      <c r="AS1903" s="35"/>
      <c r="AT1903" s="35"/>
      <c r="AU1903" s="31"/>
      <c r="AV1903" s="36"/>
      <c r="AW1903" s="36"/>
    </row>
    <row r="1904" spans="4:49">
      <c r="D1904" s="31"/>
      <c r="E1904" s="31"/>
      <c r="F1904" s="31"/>
      <c r="G1904" s="31"/>
      <c r="H1904" s="32"/>
      <c r="J1904" s="33"/>
      <c r="K1904" s="33"/>
      <c r="L1904" s="33"/>
      <c r="X1904" s="22"/>
      <c r="Y1904" s="22"/>
      <c r="Z1904" s="22"/>
      <c r="AA1904" s="22"/>
      <c r="AF1904" s="22"/>
      <c r="AG1904" s="22"/>
      <c r="AH1904" s="22"/>
      <c r="AI1904" s="22"/>
      <c r="AN1904" s="22"/>
      <c r="AO1904" s="22"/>
      <c r="AP1904" s="22"/>
      <c r="AQ1904" s="22"/>
      <c r="AR1904" s="35"/>
      <c r="AS1904" s="35"/>
      <c r="AT1904" s="35"/>
      <c r="AU1904" s="31"/>
      <c r="AV1904" s="36"/>
      <c r="AW1904" s="36"/>
    </row>
    <row r="1905" spans="4:49">
      <c r="D1905" s="31"/>
      <c r="E1905" s="31"/>
      <c r="F1905" s="31"/>
      <c r="G1905" s="31"/>
      <c r="H1905" s="32"/>
      <c r="J1905" s="33"/>
      <c r="K1905" s="33"/>
      <c r="L1905" s="33"/>
      <c r="X1905" s="22"/>
      <c r="Y1905" s="22"/>
      <c r="Z1905" s="22"/>
      <c r="AA1905" s="22"/>
      <c r="AF1905" s="22"/>
      <c r="AG1905" s="22"/>
      <c r="AH1905" s="22"/>
      <c r="AI1905" s="22"/>
      <c r="AN1905" s="22"/>
      <c r="AO1905" s="22"/>
      <c r="AP1905" s="22"/>
      <c r="AQ1905" s="22"/>
      <c r="AR1905" s="35"/>
      <c r="AS1905" s="35"/>
      <c r="AT1905" s="35"/>
      <c r="AU1905" s="31"/>
      <c r="AV1905" s="36"/>
      <c r="AW1905" s="36"/>
    </row>
    <row r="1906" spans="4:49">
      <c r="D1906" s="31"/>
      <c r="E1906" s="31"/>
      <c r="F1906" s="31"/>
      <c r="G1906" s="31"/>
      <c r="H1906" s="32"/>
      <c r="J1906" s="33"/>
      <c r="K1906" s="33"/>
      <c r="L1906" s="33"/>
      <c r="X1906" s="22"/>
      <c r="Y1906" s="22"/>
      <c r="Z1906" s="22"/>
      <c r="AA1906" s="22"/>
      <c r="AF1906" s="22"/>
      <c r="AG1906" s="22"/>
      <c r="AH1906" s="22"/>
      <c r="AI1906" s="22"/>
      <c r="AN1906" s="22"/>
      <c r="AO1906" s="22"/>
      <c r="AP1906" s="22"/>
      <c r="AQ1906" s="22"/>
      <c r="AR1906" s="35"/>
      <c r="AS1906" s="35"/>
      <c r="AT1906" s="35"/>
      <c r="AU1906" s="31"/>
      <c r="AV1906" s="36"/>
      <c r="AW1906" s="36"/>
    </row>
    <row r="1907" spans="4:49">
      <c r="D1907" s="31"/>
      <c r="E1907" s="31"/>
      <c r="F1907" s="31"/>
      <c r="G1907" s="31"/>
      <c r="H1907" s="32"/>
      <c r="J1907" s="33"/>
      <c r="K1907" s="33"/>
      <c r="L1907" s="33"/>
      <c r="X1907" s="22"/>
      <c r="Y1907" s="22"/>
      <c r="Z1907" s="22"/>
      <c r="AA1907" s="22"/>
      <c r="AF1907" s="22"/>
      <c r="AG1907" s="22"/>
      <c r="AH1907" s="22"/>
      <c r="AI1907" s="22"/>
      <c r="AN1907" s="22"/>
      <c r="AO1907" s="22"/>
      <c r="AP1907" s="22"/>
      <c r="AQ1907" s="22"/>
      <c r="AR1907" s="35"/>
      <c r="AS1907" s="35"/>
      <c r="AT1907" s="35"/>
      <c r="AU1907" s="31"/>
      <c r="AV1907" s="36"/>
      <c r="AW1907" s="36"/>
    </row>
    <row r="1908" spans="4:49">
      <c r="D1908" s="31"/>
      <c r="E1908" s="31"/>
      <c r="F1908" s="31"/>
      <c r="G1908" s="31"/>
      <c r="H1908" s="32"/>
      <c r="J1908" s="33"/>
      <c r="K1908" s="33"/>
      <c r="L1908" s="33"/>
      <c r="X1908" s="22"/>
      <c r="Y1908" s="22"/>
      <c r="Z1908" s="22"/>
      <c r="AA1908" s="22"/>
      <c r="AF1908" s="22"/>
      <c r="AG1908" s="22"/>
      <c r="AH1908" s="22"/>
      <c r="AI1908" s="22"/>
      <c r="AN1908" s="22"/>
      <c r="AO1908" s="22"/>
      <c r="AP1908" s="22"/>
      <c r="AQ1908" s="22"/>
      <c r="AR1908" s="35"/>
      <c r="AS1908" s="35"/>
      <c r="AT1908" s="35"/>
      <c r="AU1908" s="31"/>
      <c r="AV1908" s="36"/>
      <c r="AW1908" s="36"/>
    </row>
    <row r="1909" spans="4:49">
      <c r="D1909" s="31"/>
      <c r="E1909" s="31"/>
      <c r="F1909" s="31"/>
      <c r="G1909" s="31"/>
      <c r="H1909" s="32"/>
      <c r="J1909" s="33"/>
      <c r="K1909" s="33"/>
      <c r="L1909" s="33"/>
      <c r="X1909" s="22"/>
      <c r="Y1909" s="22"/>
      <c r="Z1909" s="22"/>
      <c r="AA1909" s="22"/>
      <c r="AF1909" s="22"/>
      <c r="AG1909" s="22"/>
      <c r="AH1909" s="22"/>
      <c r="AI1909" s="22"/>
      <c r="AN1909" s="22"/>
      <c r="AO1909" s="22"/>
      <c r="AP1909" s="22"/>
      <c r="AQ1909" s="22"/>
      <c r="AR1909" s="35"/>
      <c r="AS1909" s="35"/>
      <c r="AT1909" s="35"/>
      <c r="AU1909" s="31"/>
      <c r="AV1909" s="36"/>
      <c r="AW1909" s="36"/>
    </row>
    <row r="1910" spans="4:49">
      <c r="D1910" s="31"/>
      <c r="E1910" s="31"/>
      <c r="F1910" s="31"/>
      <c r="G1910" s="31"/>
      <c r="H1910" s="32"/>
      <c r="J1910" s="33"/>
      <c r="K1910" s="33"/>
      <c r="L1910" s="33"/>
      <c r="X1910" s="22"/>
      <c r="Y1910" s="22"/>
      <c r="Z1910" s="22"/>
      <c r="AA1910" s="22"/>
      <c r="AF1910" s="22"/>
      <c r="AG1910" s="22"/>
      <c r="AH1910" s="22"/>
      <c r="AI1910" s="22"/>
      <c r="AN1910" s="22"/>
      <c r="AO1910" s="22"/>
      <c r="AP1910" s="22"/>
      <c r="AQ1910" s="22"/>
      <c r="AR1910" s="35"/>
      <c r="AS1910" s="35"/>
      <c r="AT1910" s="35"/>
      <c r="AU1910" s="31"/>
      <c r="AV1910" s="36"/>
      <c r="AW1910" s="36"/>
    </row>
    <row r="1911" spans="4:49">
      <c r="D1911" s="31"/>
      <c r="E1911" s="31"/>
      <c r="F1911" s="31"/>
      <c r="G1911" s="31"/>
      <c r="H1911" s="32"/>
      <c r="J1911" s="33"/>
      <c r="K1911" s="33"/>
      <c r="L1911" s="33"/>
      <c r="X1911" s="22"/>
      <c r="Y1911" s="22"/>
      <c r="Z1911" s="22"/>
      <c r="AA1911" s="22"/>
      <c r="AF1911" s="22"/>
      <c r="AG1911" s="22"/>
      <c r="AH1911" s="22"/>
      <c r="AI1911" s="22"/>
      <c r="AN1911" s="22"/>
      <c r="AO1911" s="22"/>
      <c r="AP1911" s="22"/>
      <c r="AQ1911" s="22"/>
      <c r="AR1911" s="35"/>
      <c r="AS1911" s="35"/>
      <c r="AT1911" s="35"/>
      <c r="AU1911" s="31"/>
      <c r="AV1911" s="36"/>
      <c r="AW1911" s="36"/>
    </row>
    <row r="1912" spans="4:49">
      <c r="D1912" s="31"/>
      <c r="E1912" s="31"/>
      <c r="F1912" s="31"/>
      <c r="G1912" s="31"/>
      <c r="H1912" s="32"/>
      <c r="J1912" s="33"/>
      <c r="K1912" s="33"/>
      <c r="L1912" s="33"/>
      <c r="X1912" s="22"/>
      <c r="Y1912" s="22"/>
      <c r="Z1912" s="22"/>
      <c r="AA1912" s="22"/>
      <c r="AF1912" s="22"/>
      <c r="AG1912" s="22"/>
      <c r="AH1912" s="22"/>
      <c r="AI1912" s="22"/>
      <c r="AN1912" s="22"/>
      <c r="AO1912" s="22"/>
      <c r="AP1912" s="22"/>
      <c r="AQ1912" s="22"/>
      <c r="AR1912" s="35"/>
      <c r="AS1912" s="35"/>
      <c r="AT1912" s="35"/>
      <c r="AU1912" s="31"/>
      <c r="AV1912" s="36"/>
      <c r="AW1912" s="36"/>
    </row>
    <row r="1913" spans="4:49">
      <c r="D1913" s="31"/>
      <c r="E1913" s="31"/>
      <c r="F1913" s="31"/>
      <c r="G1913" s="31"/>
      <c r="H1913" s="32"/>
      <c r="J1913" s="33"/>
      <c r="K1913" s="33"/>
      <c r="L1913" s="33"/>
      <c r="X1913" s="22"/>
      <c r="Y1913" s="22"/>
      <c r="Z1913" s="22"/>
      <c r="AA1913" s="22"/>
      <c r="AF1913" s="22"/>
      <c r="AG1913" s="22"/>
      <c r="AH1913" s="22"/>
      <c r="AI1913" s="22"/>
      <c r="AN1913" s="22"/>
      <c r="AO1913" s="22"/>
      <c r="AP1913" s="22"/>
      <c r="AQ1913" s="22"/>
      <c r="AR1913" s="35"/>
      <c r="AS1913" s="35"/>
      <c r="AT1913" s="35"/>
      <c r="AU1913" s="31"/>
      <c r="AV1913" s="36"/>
      <c r="AW1913" s="36"/>
    </row>
    <row r="1914" spans="4:49">
      <c r="D1914" s="31"/>
      <c r="E1914" s="31"/>
      <c r="F1914" s="31"/>
      <c r="G1914" s="31"/>
      <c r="H1914" s="32"/>
      <c r="J1914" s="33"/>
      <c r="K1914" s="33"/>
      <c r="L1914" s="33"/>
      <c r="X1914" s="22"/>
      <c r="Y1914" s="22"/>
      <c r="Z1914" s="22"/>
      <c r="AA1914" s="22"/>
      <c r="AF1914" s="22"/>
      <c r="AG1914" s="22"/>
      <c r="AH1914" s="22"/>
      <c r="AI1914" s="22"/>
      <c r="AN1914" s="22"/>
      <c r="AO1914" s="22"/>
      <c r="AP1914" s="22"/>
      <c r="AQ1914" s="22"/>
      <c r="AR1914" s="35"/>
      <c r="AS1914" s="35"/>
      <c r="AT1914" s="35"/>
      <c r="AU1914" s="31"/>
      <c r="AV1914" s="36"/>
      <c r="AW1914" s="36"/>
    </row>
    <row r="1915" spans="4:49">
      <c r="D1915" s="31"/>
      <c r="E1915" s="31"/>
      <c r="F1915" s="31"/>
      <c r="G1915" s="31"/>
      <c r="H1915" s="32"/>
      <c r="J1915" s="33"/>
      <c r="K1915" s="33"/>
      <c r="L1915" s="33"/>
      <c r="X1915" s="22"/>
      <c r="Y1915" s="22"/>
      <c r="Z1915" s="22"/>
      <c r="AA1915" s="22"/>
      <c r="AF1915" s="22"/>
      <c r="AG1915" s="22"/>
      <c r="AH1915" s="22"/>
      <c r="AI1915" s="22"/>
      <c r="AN1915" s="22"/>
      <c r="AO1915" s="22"/>
      <c r="AP1915" s="22"/>
      <c r="AQ1915" s="22"/>
      <c r="AR1915" s="35"/>
      <c r="AS1915" s="35"/>
      <c r="AT1915" s="35"/>
      <c r="AU1915" s="31"/>
      <c r="AV1915" s="36"/>
      <c r="AW1915" s="36"/>
    </row>
    <row r="1916" spans="4:49">
      <c r="D1916" s="31"/>
      <c r="E1916" s="31"/>
      <c r="F1916" s="31"/>
      <c r="G1916" s="31"/>
      <c r="H1916" s="32"/>
      <c r="J1916" s="33"/>
      <c r="K1916" s="33"/>
      <c r="L1916" s="33"/>
      <c r="X1916" s="22"/>
      <c r="Y1916" s="22"/>
      <c r="Z1916" s="22"/>
      <c r="AA1916" s="22"/>
      <c r="AF1916" s="22"/>
      <c r="AG1916" s="22"/>
      <c r="AH1916" s="22"/>
      <c r="AI1916" s="22"/>
      <c r="AN1916" s="22"/>
      <c r="AO1916" s="22"/>
      <c r="AP1916" s="22"/>
      <c r="AQ1916" s="22"/>
      <c r="AR1916" s="35"/>
      <c r="AS1916" s="35"/>
      <c r="AT1916" s="35"/>
      <c r="AU1916" s="31"/>
      <c r="AV1916" s="36"/>
      <c r="AW1916" s="36"/>
    </row>
    <row r="1917" spans="4:49">
      <c r="D1917" s="31"/>
      <c r="E1917" s="31"/>
      <c r="F1917" s="31"/>
      <c r="G1917" s="31"/>
      <c r="H1917" s="32"/>
      <c r="J1917" s="33"/>
      <c r="K1917" s="33"/>
      <c r="L1917" s="33"/>
      <c r="X1917" s="22"/>
      <c r="Y1917" s="22"/>
      <c r="Z1917" s="22"/>
      <c r="AA1917" s="22"/>
      <c r="AF1917" s="22"/>
      <c r="AG1917" s="22"/>
      <c r="AH1917" s="22"/>
      <c r="AI1917" s="22"/>
      <c r="AN1917" s="22"/>
      <c r="AO1917" s="22"/>
      <c r="AP1917" s="22"/>
      <c r="AQ1917" s="22"/>
      <c r="AR1917" s="35"/>
      <c r="AS1917" s="35"/>
      <c r="AT1917" s="35"/>
      <c r="AU1917" s="31"/>
      <c r="AV1917" s="36"/>
      <c r="AW1917" s="36"/>
    </row>
    <row r="1918" spans="4:49">
      <c r="D1918" s="31"/>
      <c r="E1918" s="31"/>
      <c r="F1918" s="31"/>
      <c r="G1918" s="31"/>
      <c r="H1918" s="32"/>
      <c r="J1918" s="33"/>
      <c r="K1918" s="33"/>
      <c r="L1918" s="33"/>
      <c r="X1918" s="22"/>
      <c r="Y1918" s="22"/>
      <c r="Z1918" s="22"/>
      <c r="AA1918" s="22"/>
      <c r="AF1918" s="22"/>
      <c r="AG1918" s="22"/>
      <c r="AH1918" s="22"/>
      <c r="AI1918" s="22"/>
      <c r="AN1918" s="22"/>
      <c r="AO1918" s="22"/>
      <c r="AP1918" s="22"/>
      <c r="AQ1918" s="22"/>
      <c r="AR1918" s="35"/>
      <c r="AS1918" s="35"/>
      <c r="AT1918" s="35"/>
      <c r="AU1918" s="31"/>
      <c r="AV1918" s="36"/>
      <c r="AW1918" s="36"/>
    </row>
    <row r="1919" spans="4:49">
      <c r="D1919" s="31"/>
      <c r="E1919" s="31"/>
      <c r="F1919" s="31"/>
      <c r="G1919" s="31"/>
      <c r="H1919" s="32"/>
      <c r="J1919" s="33"/>
      <c r="K1919" s="33"/>
      <c r="L1919" s="33"/>
      <c r="X1919" s="22"/>
      <c r="Y1919" s="22"/>
      <c r="Z1919" s="22"/>
      <c r="AA1919" s="22"/>
      <c r="AF1919" s="22"/>
      <c r="AG1919" s="22"/>
      <c r="AH1919" s="22"/>
      <c r="AI1919" s="22"/>
      <c r="AN1919" s="22"/>
      <c r="AO1919" s="22"/>
      <c r="AP1919" s="22"/>
      <c r="AQ1919" s="22"/>
      <c r="AR1919" s="35"/>
      <c r="AS1919" s="35"/>
      <c r="AT1919" s="35"/>
      <c r="AU1919" s="31"/>
      <c r="AV1919" s="36"/>
      <c r="AW1919" s="36"/>
    </row>
    <row r="1920" spans="4:49">
      <c r="D1920" s="31"/>
      <c r="E1920" s="31"/>
      <c r="F1920" s="31"/>
      <c r="G1920" s="31"/>
      <c r="H1920" s="32"/>
      <c r="J1920" s="33"/>
      <c r="K1920" s="33"/>
      <c r="L1920" s="33"/>
      <c r="X1920" s="22"/>
      <c r="Y1920" s="22"/>
      <c r="Z1920" s="22"/>
      <c r="AA1920" s="22"/>
      <c r="AF1920" s="22"/>
      <c r="AG1920" s="22"/>
      <c r="AH1920" s="22"/>
      <c r="AI1920" s="22"/>
      <c r="AN1920" s="22"/>
      <c r="AO1920" s="22"/>
      <c r="AP1920" s="22"/>
      <c r="AQ1920" s="22"/>
      <c r="AR1920" s="35"/>
      <c r="AS1920" s="35"/>
      <c r="AT1920" s="35"/>
      <c r="AU1920" s="31"/>
      <c r="AV1920" s="36"/>
      <c r="AW1920" s="36"/>
    </row>
    <row r="1921" spans="4:49">
      <c r="D1921" s="31"/>
      <c r="E1921" s="31"/>
      <c r="F1921" s="31"/>
      <c r="G1921" s="31"/>
      <c r="H1921" s="32"/>
      <c r="J1921" s="33"/>
      <c r="K1921" s="33"/>
      <c r="L1921" s="33"/>
      <c r="X1921" s="22"/>
      <c r="Y1921" s="22"/>
      <c r="Z1921" s="22"/>
      <c r="AA1921" s="22"/>
      <c r="AF1921" s="22"/>
      <c r="AG1921" s="22"/>
      <c r="AH1921" s="22"/>
      <c r="AI1921" s="22"/>
      <c r="AN1921" s="22"/>
      <c r="AO1921" s="22"/>
      <c r="AP1921" s="22"/>
      <c r="AQ1921" s="22"/>
      <c r="AR1921" s="35"/>
      <c r="AS1921" s="35"/>
      <c r="AT1921" s="35"/>
      <c r="AU1921" s="31"/>
      <c r="AV1921" s="36"/>
      <c r="AW1921" s="36"/>
    </row>
    <row r="1922" spans="4:49">
      <c r="D1922" s="31"/>
      <c r="E1922" s="31"/>
      <c r="F1922" s="31"/>
      <c r="G1922" s="31"/>
      <c r="H1922" s="32"/>
      <c r="J1922" s="33"/>
      <c r="K1922" s="33"/>
      <c r="L1922" s="33"/>
      <c r="X1922" s="22"/>
      <c r="Y1922" s="22"/>
      <c r="Z1922" s="22"/>
      <c r="AA1922" s="22"/>
      <c r="AF1922" s="22"/>
      <c r="AG1922" s="22"/>
      <c r="AH1922" s="22"/>
      <c r="AI1922" s="22"/>
      <c r="AN1922" s="22"/>
      <c r="AO1922" s="22"/>
      <c r="AP1922" s="22"/>
      <c r="AQ1922" s="22"/>
      <c r="AR1922" s="35"/>
      <c r="AS1922" s="35"/>
      <c r="AT1922" s="35"/>
      <c r="AU1922" s="31"/>
      <c r="AV1922" s="36"/>
      <c r="AW1922" s="36"/>
    </row>
    <row r="1923" spans="4:49">
      <c r="D1923" s="31"/>
      <c r="E1923" s="31"/>
      <c r="F1923" s="31"/>
      <c r="G1923" s="31"/>
      <c r="H1923" s="32"/>
      <c r="J1923" s="33"/>
      <c r="K1923" s="33"/>
      <c r="L1923" s="33"/>
      <c r="X1923" s="22"/>
      <c r="Y1923" s="22"/>
      <c r="Z1923" s="22"/>
      <c r="AA1923" s="22"/>
      <c r="AF1923" s="22"/>
      <c r="AG1923" s="22"/>
      <c r="AH1923" s="22"/>
      <c r="AI1923" s="22"/>
      <c r="AN1923" s="22"/>
      <c r="AO1923" s="22"/>
      <c r="AP1923" s="22"/>
      <c r="AQ1923" s="22"/>
      <c r="AR1923" s="35"/>
      <c r="AS1923" s="35"/>
      <c r="AT1923" s="35"/>
      <c r="AU1923" s="31"/>
      <c r="AV1923" s="36"/>
      <c r="AW1923" s="36"/>
    </row>
    <row r="1924" spans="4:49">
      <c r="D1924" s="31"/>
      <c r="E1924" s="31"/>
      <c r="F1924" s="31"/>
      <c r="G1924" s="31"/>
      <c r="H1924" s="32"/>
      <c r="J1924" s="33"/>
      <c r="K1924" s="33"/>
      <c r="L1924" s="33"/>
      <c r="X1924" s="22"/>
      <c r="Y1924" s="22"/>
      <c r="Z1924" s="22"/>
      <c r="AA1924" s="22"/>
      <c r="AF1924" s="22"/>
      <c r="AG1924" s="22"/>
      <c r="AH1924" s="22"/>
      <c r="AI1924" s="22"/>
      <c r="AN1924" s="22"/>
      <c r="AO1924" s="22"/>
      <c r="AP1924" s="22"/>
      <c r="AQ1924" s="22"/>
      <c r="AR1924" s="35"/>
      <c r="AS1924" s="35"/>
      <c r="AT1924" s="35"/>
      <c r="AU1924" s="31"/>
      <c r="AV1924" s="36"/>
      <c r="AW1924" s="36"/>
    </row>
    <row r="1925" spans="4:49">
      <c r="D1925" s="31"/>
      <c r="E1925" s="31"/>
      <c r="F1925" s="31"/>
      <c r="G1925" s="31"/>
      <c r="H1925" s="32"/>
      <c r="J1925" s="33"/>
      <c r="K1925" s="33"/>
      <c r="L1925" s="33"/>
      <c r="X1925" s="22"/>
      <c r="Y1925" s="22"/>
      <c r="Z1925" s="22"/>
      <c r="AA1925" s="22"/>
      <c r="AF1925" s="22"/>
      <c r="AG1925" s="22"/>
      <c r="AH1925" s="22"/>
      <c r="AI1925" s="22"/>
      <c r="AN1925" s="22"/>
      <c r="AO1925" s="22"/>
      <c r="AP1925" s="22"/>
      <c r="AQ1925" s="22"/>
      <c r="AR1925" s="35"/>
      <c r="AS1925" s="35"/>
      <c r="AT1925" s="35"/>
      <c r="AU1925" s="31"/>
      <c r="AV1925" s="36"/>
      <c r="AW1925" s="36"/>
    </row>
    <row r="1926" spans="4:49">
      <c r="D1926" s="31"/>
      <c r="E1926" s="31"/>
      <c r="F1926" s="31"/>
      <c r="G1926" s="31"/>
      <c r="H1926" s="32"/>
      <c r="J1926" s="33"/>
      <c r="K1926" s="33"/>
      <c r="L1926" s="33"/>
      <c r="X1926" s="22"/>
      <c r="Y1926" s="22"/>
      <c r="Z1926" s="22"/>
      <c r="AA1926" s="22"/>
      <c r="AF1926" s="22"/>
      <c r="AG1926" s="22"/>
      <c r="AH1926" s="22"/>
      <c r="AI1926" s="22"/>
      <c r="AN1926" s="22"/>
      <c r="AO1926" s="22"/>
      <c r="AP1926" s="22"/>
      <c r="AQ1926" s="22"/>
      <c r="AR1926" s="35"/>
      <c r="AS1926" s="35"/>
      <c r="AT1926" s="35"/>
      <c r="AU1926" s="31"/>
      <c r="AV1926" s="36"/>
      <c r="AW1926" s="36"/>
    </row>
    <row r="1927" spans="4:49">
      <c r="D1927" s="31"/>
      <c r="E1927" s="31"/>
      <c r="F1927" s="31"/>
      <c r="G1927" s="31"/>
      <c r="H1927" s="32"/>
      <c r="J1927" s="33"/>
      <c r="K1927" s="33"/>
      <c r="L1927" s="33"/>
      <c r="X1927" s="22"/>
      <c r="Y1927" s="22"/>
      <c r="Z1927" s="22"/>
      <c r="AA1927" s="22"/>
      <c r="AF1927" s="22"/>
      <c r="AG1927" s="22"/>
      <c r="AH1927" s="22"/>
      <c r="AI1927" s="22"/>
      <c r="AN1927" s="22"/>
      <c r="AO1927" s="22"/>
      <c r="AP1927" s="22"/>
      <c r="AQ1927" s="22"/>
      <c r="AR1927" s="35"/>
      <c r="AS1927" s="35"/>
      <c r="AT1927" s="35"/>
      <c r="AU1927" s="31"/>
      <c r="AV1927" s="36"/>
      <c r="AW1927" s="36"/>
    </row>
    <row r="1928" spans="4:49">
      <c r="D1928" s="31"/>
      <c r="E1928" s="31"/>
      <c r="F1928" s="31"/>
      <c r="G1928" s="31"/>
      <c r="H1928" s="32"/>
      <c r="J1928" s="33"/>
      <c r="K1928" s="33"/>
      <c r="L1928" s="33"/>
      <c r="X1928" s="22"/>
      <c r="Y1928" s="22"/>
      <c r="Z1928" s="22"/>
      <c r="AA1928" s="22"/>
      <c r="AF1928" s="22"/>
      <c r="AG1928" s="22"/>
      <c r="AH1928" s="22"/>
      <c r="AI1928" s="22"/>
      <c r="AN1928" s="22"/>
      <c r="AO1928" s="22"/>
      <c r="AP1928" s="22"/>
      <c r="AQ1928" s="22"/>
      <c r="AR1928" s="35"/>
      <c r="AS1928" s="35"/>
      <c r="AT1928" s="35"/>
      <c r="AU1928" s="31"/>
      <c r="AV1928" s="36"/>
      <c r="AW1928" s="36"/>
    </row>
    <row r="1929" spans="4:49">
      <c r="D1929" s="31"/>
      <c r="E1929" s="31"/>
      <c r="F1929" s="31"/>
      <c r="G1929" s="31"/>
      <c r="H1929" s="32"/>
      <c r="J1929" s="33"/>
      <c r="K1929" s="33"/>
      <c r="L1929" s="33"/>
      <c r="X1929" s="22"/>
      <c r="Y1929" s="22"/>
      <c r="Z1929" s="22"/>
      <c r="AA1929" s="22"/>
      <c r="AF1929" s="22"/>
      <c r="AG1929" s="22"/>
      <c r="AH1929" s="22"/>
      <c r="AI1929" s="22"/>
      <c r="AN1929" s="22"/>
      <c r="AO1929" s="22"/>
      <c r="AP1929" s="22"/>
      <c r="AQ1929" s="22"/>
      <c r="AR1929" s="35"/>
      <c r="AS1929" s="35"/>
      <c r="AT1929" s="35"/>
      <c r="AU1929" s="31"/>
      <c r="AV1929" s="36"/>
      <c r="AW1929" s="36"/>
    </row>
    <row r="1930" spans="4:49">
      <c r="D1930" s="31"/>
      <c r="E1930" s="31"/>
      <c r="F1930" s="31"/>
      <c r="G1930" s="31"/>
      <c r="H1930" s="32"/>
      <c r="J1930" s="33"/>
      <c r="K1930" s="33"/>
      <c r="L1930" s="33"/>
      <c r="X1930" s="22"/>
      <c r="Y1930" s="22"/>
      <c r="Z1930" s="22"/>
      <c r="AA1930" s="22"/>
      <c r="AF1930" s="22"/>
      <c r="AG1930" s="22"/>
      <c r="AH1930" s="22"/>
      <c r="AI1930" s="22"/>
      <c r="AN1930" s="22"/>
      <c r="AO1930" s="22"/>
      <c r="AP1930" s="22"/>
      <c r="AQ1930" s="22"/>
      <c r="AR1930" s="35"/>
      <c r="AS1930" s="35"/>
      <c r="AT1930" s="35"/>
      <c r="AU1930" s="31"/>
      <c r="AV1930" s="36"/>
      <c r="AW1930" s="36"/>
    </row>
    <row r="1931" spans="4:49">
      <c r="D1931" s="31"/>
      <c r="E1931" s="31"/>
      <c r="F1931" s="31"/>
      <c r="G1931" s="31"/>
      <c r="H1931" s="32"/>
      <c r="J1931" s="33"/>
      <c r="K1931" s="33"/>
      <c r="L1931" s="33"/>
      <c r="X1931" s="22"/>
      <c r="Y1931" s="22"/>
      <c r="Z1931" s="22"/>
      <c r="AA1931" s="22"/>
      <c r="AF1931" s="22"/>
      <c r="AG1931" s="22"/>
      <c r="AH1931" s="22"/>
      <c r="AI1931" s="22"/>
      <c r="AN1931" s="22"/>
      <c r="AO1931" s="22"/>
      <c r="AP1931" s="22"/>
      <c r="AQ1931" s="22"/>
      <c r="AR1931" s="35"/>
      <c r="AS1931" s="35"/>
      <c r="AT1931" s="35"/>
      <c r="AU1931" s="31"/>
      <c r="AV1931" s="36"/>
      <c r="AW1931" s="36"/>
    </row>
    <row r="1932" spans="4:49">
      <c r="D1932" s="31"/>
      <c r="E1932" s="31"/>
      <c r="F1932" s="31"/>
      <c r="G1932" s="31"/>
      <c r="H1932" s="32"/>
      <c r="J1932" s="33"/>
      <c r="K1932" s="33"/>
      <c r="L1932" s="33"/>
      <c r="X1932" s="22"/>
      <c r="Y1932" s="22"/>
      <c r="Z1932" s="22"/>
      <c r="AA1932" s="22"/>
      <c r="AF1932" s="22"/>
      <c r="AG1932" s="22"/>
      <c r="AH1932" s="22"/>
      <c r="AI1932" s="22"/>
      <c r="AN1932" s="22"/>
      <c r="AO1932" s="22"/>
      <c r="AP1932" s="22"/>
      <c r="AQ1932" s="22"/>
      <c r="AR1932" s="35"/>
      <c r="AS1932" s="35"/>
      <c r="AT1932" s="35"/>
      <c r="AU1932" s="31"/>
      <c r="AV1932" s="36"/>
      <c r="AW1932" s="36"/>
    </row>
    <row r="1933" spans="4:49">
      <c r="D1933" s="31"/>
      <c r="E1933" s="31"/>
      <c r="F1933" s="31"/>
      <c r="G1933" s="31"/>
      <c r="H1933" s="32"/>
      <c r="J1933" s="33"/>
      <c r="K1933" s="33"/>
      <c r="L1933" s="33"/>
      <c r="X1933" s="22"/>
      <c r="Y1933" s="22"/>
      <c r="Z1933" s="22"/>
      <c r="AA1933" s="22"/>
      <c r="AF1933" s="22"/>
      <c r="AG1933" s="22"/>
      <c r="AH1933" s="22"/>
      <c r="AI1933" s="22"/>
      <c r="AN1933" s="22"/>
      <c r="AO1933" s="22"/>
      <c r="AP1933" s="22"/>
      <c r="AQ1933" s="22"/>
      <c r="AR1933" s="35"/>
      <c r="AS1933" s="35"/>
      <c r="AT1933" s="35"/>
      <c r="AU1933" s="31"/>
      <c r="AV1933" s="36"/>
      <c r="AW1933" s="36"/>
    </row>
    <row r="1934" spans="4:49">
      <c r="D1934" s="31"/>
      <c r="E1934" s="31"/>
      <c r="F1934" s="31"/>
      <c r="G1934" s="31"/>
      <c r="H1934" s="32"/>
      <c r="J1934" s="33"/>
      <c r="K1934" s="33"/>
      <c r="L1934" s="33"/>
      <c r="X1934" s="22"/>
      <c r="Y1934" s="22"/>
      <c r="Z1934" s="22"/>
      <c r="AA1934" s="22"/>
      <c r="AF1934" s="22"/>
      <c r="AG1934" s="22"/>
      <c r="AH1934" s="22"/>
      <c r="AI1934" s="22"/>
      <c r="AN1934" s="22"/>
      <c r="AO1934" s="22"/>
      <c r="AP1934" s="22"/>
      <c r="AQ1934" s="22"/>
      <c r="AR1934" s="35"/>
      <c r="AS1934" s="35"/>
      <c r="AT1934" s="35"/>
      <c r="AU1934" s="31"/>
      <c r="AV1934" s="36"/>
      <c r="AW1934" s="36"/>
    </row>
    <row r="1935" spans="4:49">
      <c r="D1935" s="31"/>
      <c r="E1935" s="31"/>
      <c r="F1935" s="31"/>
      <c r="G1935" s="31"/>
      <c r="H1935" s="32"/>
      <c r="J1935" s="33"/>
      <c r="K1935" s="33"/>
      <c r="L1935" s="33"/>
      <c r="X1935" s="22"/>
      <c r="Y1935" s="22"/>
      <c r="Z1935" s="22"/>
      <c r="AA1935" s="22"/>
      <c r="AF1935" s="22"/>
      <c r="AG1935" s="22"/>
      <c r="AH1935" s="22"/>
      <c r="AI1935" s="22"/>
      <c r="AN1935" s="22"/>
      <c r="AO1935" s="22"/>
      <c r="AP1935" s="22"/>
      <c r="AQ1935" s="22"/>
      <c r="AR1935" s="35"/>
      <c r="AS1935" s="35"/>
      <c r="AT1935" s="35"/>
      <c r="AU1935" s="31"/>
      <c r="AV1935" s="36"/>
      <c r="AW1935" s="36"/>
    </row>
    <row r="1936" spans="4:49">
      <c r="D1936" s="31"/>
      <c r="E1936" s="31"/>
      <c r="F1936" s="31"/>
      <c r="G1936" s="31"/>
      <c r="H1936" s="32"/>
      <c r="J1936" s="33"/>
      <c r="K1936" s="33"/>
      <c r="L1936" s="33"/>
      <c r="X1936" s="22"/>
      <c r="Y1936" s="22"/>
      <c r="Z1936" s="22"/>
      <c r="AA1936" s="22"/>
      <c r="AF1936" s="22"/>
      <c r="AG1936" s="22"/>
      <c r="AH1936" s="22"/>
      <c r="AI1936" s="22"/>
      <c r="AN1936" s="22"/>
      <c r="AO1936" s="22"/>
      <c r="AP1936" s="22"/>
      <c r="AQ1936" s="22"/>
      <c r="AR1936" s="35"/>
      <c r="AS1936" s="35"/>
      <c r="AT1936" s="35"/>
      <c r="AU1936" s="31"/>
      <c r="AV1936" s="36"/>
      <c r="AW1936" s="36"/>
    </row>
    <row r="1937" spans="4:49">
      <c r="D1937" s="31"/>
      <c r="E1937" s="31"/>
      <c r="F1937" s="31"/>
      <c r="G1937" s="31"/>
      <c r="H1937" s="32"/>
      <c r="J1937" s="33"/>
      <c r="K1937" s="33"/>
      <c r="L1937" s="33"/>
      <c r="X1937" s="22"/>
      <c r="Y1937" s="22"/>
      <c r="Z1937" s="22"/>
      <c r="AA1937" s="22"/>
      <c r="AF1937" s="22"/>
      <c r="AG1937" s="22"/>
      <c r="AH1937" s="22"/>
      <c r="AI1937" s="22"/>
      <c r="AN1937" s="22"/>
      <c r="AO1937" s="22"/>
      <c r="AP1937" s="22"/>
      <c r="AQ1937" s="22"/>
      <c r="AR1937" s="35"/>
      <c r="AS1937" s="35"/>
      <c r="AT1937" s="35"/>
      <c r="AU1937" s="31"/>
      <c r="AV1937" s="36"/>
      <c r="AW1937" s="36"/>
    </row>
    <row r="1938" spans="4:49">
      <c r="D1938" s="31"/>
      <c r="E1938" s="31"/>
      <c r="F1938" s="31"/>
      <c r="G1938" s="31"/>
      <c r="H1938" s="32"/>
      <c r="J1938" s="33"/>
      <c r="K1938" s="33"/>
      <c r="L1938" s="33"/>
      <c r="X1938" s="22"/>
      <c r="Y1938" s="22"/>
      <c r="Z1938" s="22"/>
      <c r="AA1938" s="22"/>
      <c r="AF1938" s="22"/>
      <c r="AG1938" s="22"/>
      <c r="AH1938" s="22"/>
      <c r="AI1938" s="22"/>
      <c r="AN1938" s="22"/>
      <c r="AO1938" s="22"/>
      <c r="AP1938" s="22"/>
      <c r="AQ1938" s="22"/>
      <c r="AR1938" s="35"/>
      <c r="AS1938" s="35"/>
      <c r="AT1938" s="35"/>
      <c r="AU1938" s="31"/>
      <c r="AV1938" s="36"/>
      <c r="AW1938" s="36"/>
    </row>
    <row r="1939" spans="4:49">
      <c r="D1939" s="31"/>
      <c r="E1939" s="31"/>
      <c r="F1939" s="31"/>
      <c r="G1939" s="31"/>
      <c r="H1939" s="32"/>
      <c r="J1939" s="33"/>
      <c r="K1939" s="33"/>
      <c r="L1939" s="33"/>
      <c r="X1939" s="22"/>
      <c r="Y1939" s="22"/>
      <c r="Z1939" s="22"/>
      <c r="AA1939" s="22"/>
      <c r="AF1939" s="22"/>
      <c r="AG1939" s="22"/>
      <c r="AH1939" s="22"/>
      <c r="AI1939" s="22"/>
      <c r="AN1939" s="22"/>
      <c r="AO1939" s="22"/>
      <c r="AP1939" s="22"/>
      <c r="AQ1939" s="22"/>
      <c r="AR1939" s="35"/>
      <c r="AS1939" s="35"/>
      <c r="AT1939" s="35"/>
      <c r="AU1939" s="31"/>
      <c r="AV1939" s="36"/>
      <c r="AW1939" s="36"/>
    </row>
    <row r="1940" spans="4:49">
      <c r="D1940" s="31"/>
      <c r="E1940" s="31"/>
      <c r="F1940" s="31"/>
      <c r="G1940" s="31"/>
      <c r="H1940" s="32"/>
      <c r="J1940" s="33"/>
      <c r="K1940" s="33"/>
      <c r="L1940" s="33"/>
      <c r="X1940" s="22"/>
      <c r="Y1940" s="22"/>
      <c r="Z1940" s="22"/>
      <c r="AA1940" s="22"/>
      <c r="AF1940" s="22"/>
      <c r="AG1940" s="22"/>
      <c r="AH1940" s="22"/>
      <c r="AI1940" s="22"/>
      <c r="AN1940" s="22"/>
      <c r="AO1940" s="22"/>
      <c r="AP1940" s="22"/>
      <c r="AQ1940" s="22"/>
      <c r="AR1940" s="35"/>
      <c r="AS1940" s="35"/>
      <c r="AT1940" s="35"/>
      <c r="AU1940" s="31"/>
      <c r="AV1940" s="36"/>
      <c r="AW1940" s="36"/>
    </row>
    <row r="1941" spans="4:49">
      <c r="D1941" s="31"/>
      <c r="E1941" s="31"/>
      <c r="F1941" s="31"/>
      <c r="G1941" s="31"/>
      <c r="H1941" s="32"/>
      <c r="J1941" s="33"/>
      <c r="K1941" s="33"/>
      <c r="L1941" s="33"/>
      <c r="X1941" s="22"/>
      <c r="Y1941" s="22"/>
      <c r="Z1941" s="22"/>
      <c r="AA1941" s="22"/>
      <c r="AF1941" s="22"/>
      <c r="AG1941" s="22"/>
      <c r="AH1941" s="22"/>
      <c r="AI1941" s="22"/>
      <c r="AN1941" s="22"/>
      <c r="AO1941" s="22"/>
      <c r="AP1941" s="22"/>
      <c r="AQ1941" s="22"/>
      <c r="AR1941" s="35"/>
      <c r="AS1941" s="35"/>
      <c r="AT1941" s="35"/>
      <c r="AU1941" s="31"/>
      <c r="AV1941" s="36"/>
      <c r="AW1941" s="36"/>
    </row>
    <row r="1942" spans="4:49">
      <c r="D1942" s="31"/>
      <c r="E1942" s="31"/>
      <c r="F1942" s="31"/>
      <c r="G1942" s="31"/>
      <c r="H1942" s="32"/>
      <c r="J1942" s="33"/>
      <c r="K1942" s="33"/>
      <c r="L1942" s="33"/>
      <c r="X1942" s="22"/>
      <c r="Y1942" s="22"/>
      <c r="Z1942" s="22"/>
      <c r="AA1942" s="22"/>
      <c r="AF1942" s="22"/>
      <c r="AG1942" s="22"/>
      <c r="AH1942" s="22"/>
      <c r="AI1942" s="22"/>
      <c r="AN1942" s="22"/>
      <c r="AO1942" s="22"/>
      <c r="AP1942" s="22"/>
      <c r="AQ1942" s="22"/>
      <c r="AR1942" s="35"/>
      <c r="AS1942" s="35"/>
      <c r="AT1942" s="35"/>
      <c r="AU1942" s="31"/>
      <c r="AV1942" s="36"/>
      <c r="AW1942" s="36"/>
    </row>
    <row r="1943" spans="4:49">
      <c r="D1943" s="31"/>
      <c r="E1943" s="31"/>
      <c r="F1943" s="31"/>
      <c r="G1943" s="31"/>
      <c r="H1943" s="32"/>
      <c r="J1943" s="33"/>
      <c r="K1943" s="33"/>
      <c r="L1943" s="33"/>
      <c r="X1943" s="22"/>
      <c r="Y1943" s="22"/>
      <c r="Z1943" s="22"/>
      <c r="AA1943" s="22"/>
      <c r="AF1943" s="22"/>
      <c r="AG1943" s="22"/>
      <c r="AH1943" s="22"/>
      <c r="AI1943" s="22"/>
      <c r="AN1943" s="22"/>
      <c r="AO1943" s="22"/>
      <c r="AP1943" s="22"/>
      <c r="AQ1943" s="22"/>
      <c r="AR1943" s="35"/>
      <c r="AS1943" s="35"/>
      <c r="AT1943" s="35"/>
      <c r="AU1943" s="31"/>
      <c r="AV1943" s="36"/>
      <c r="AW1943" s="36"/>
    </row>
    <row r="1944" spans="4:49">
      <c r="D1944" s="31"/>
      <c r="E1944" s="31"/>
      <c r="F1944" s="31"/>
      <c r="G1944" s="31"/>
      <c r="H1944" s="32"/>
      <c r="J1944" s="33"/>
      <c r="K1944" s="33"/>
      <c r="L1944" s="33"/>
      <c r="X1944" s="22"/>
      <c r="Y1944" s="22"/>
      <c r="Z1944" s="22"/>
      <c r="AA1944" s="22"/>
      <c r="AF1944" s="22"/>
      <c r="AG1944" s="22"/>
      <c r="AH1944" s="22"/>
      <c r="AI1944" s="22"/>
      <c r="AN1944" s="22"/>
      <c r="AO1944" s="22"/>
      <c r="AP1944" s="22"/>
      <c r="AQ1944" s="22"/>
      <c r="AR1944" s="35"/>
      <c r="AS1944" s="35"/>
      <c r="AT1944" s="35"/>
      <c r="AU1944" s="31"/>
      <c r="AV1944" s="36"/>
      <c r="AW1944" s="36"/>
    </row>
    <row r="1945" spans="4:49">
      <c r="D1945" s="31"/>
      <c r="E1945" s="31"/>
      <c r="F1945" s="31"/>
      <c r="G1945" s="31"/>
      <c r="H1945" s="32"/>
      <c r="J1945" s="33"/>
      <c r="K1945" s="33"/>
      <c r="L1945" s="33"/>
      <c r="X1945" s="22"/>
      <c r="Y1945" s="22"/>
      <c r="Z1945" s="22"/>
      <c r="AA1945" s="22"/>
      <c r="AF1945" s="22"/>
      <c r="AG1945" s="22"/>
      <c r="AH1945" s="22"/>
      <c r="AI1945" s="22"/>
      <c r="AN1945" s="22"/>
      <c r="AO1945" s="22"/>
      <c r="AP1945" s="22"/>
      <c r="AQ1945" s="22"/>
      <c r="AR1945" s="35"/>
      <c r="AS1945" s="35"/>
      <c r="AT1945" s="35"/>
      <c r="AU1945" s="31"/>
      <c r="AV1945" s="36"/>
      <c r="AW1945" s="36"/>
    </row>
    <row r="1946" spans="4:49">
      <c r="D1946" s="31"/>
      <c r="E1946" s="31"/>
      <c r="F1946" s="31"/>
      <c r="G1946" s="31"/>
      <c r="H1946" s="32"/>
      <c r="J1946" s="33"/>
      <c r="K1946" s="33"/>
      <c r="L1946" s="33"/>
      <c r="X1946" s="22"/>
      <c r="Y1946" s="22"/>
      <c r="Z1946" s="22"/>
      <c r="AA1946" s="22"/>
      <c r="AF1946" s="22"/>
      <c r="AG1946" s="22"/>
      <c r="AH1946" s="22"/>
      <c r="AI1946" s="22"/>
      <c r="AN1946" s="22"/>
      <c r="AO1946" s="22"/>
      <c r="AP1946" s="22"/>
      <c r="AQ1946" s="22"/>
      <c r="AR1946" s="35"/>
      <c r="AS1946" s="35"/>
      <c r="AT1946" s="35"/>
      <c r="AU1946" s="31"/>
      <c r="AV1946" s="36"/>
      <c r="AW1946" s="36"/>
    </row>
    <row r="1947" spans="4:49">
      <c r="D1947" s="31"/>
      <c r="E1947" s="31"/>
      <c r="F1947" s="31"/>
      <c r="G1947" s="31"/>
      <c r="H1947" s="32"/>
      <c r="J1947" s="33"/>
      <c r="K1947" s="33"/>
      <c r="L1947" s="33"/>
      <c r="X1947" s="22"/>
      <c r="Y1947" s="22"/>
      <c r="Z1947" s="22"/>
      <c r="AA1947" s="22"/>
      <c r="AF1947" s="22"/>
      <c r="AG1947" s="22"/>
      <c r="AH1947" s="22"/>
      <c r="AI1947" s="22"/>
      <c r="AN1947" s="22"/>
      <c r="AO1947" s="22"/>
      <c r="AP1947" s="22"/>
      <c r="AQ1947" s="22"/>
      <c r="AR1947" s="35"/>
      <c r="AS1947" s="35"/>
      <c r="AT1947" s="35"/>
      <c r="AU1947" s="31"/>
      <c r="AV1947" s="36"/>
      <c r="AW1947" s="36"/>
    </row>
    <row r="1948" spans="4:49">
      <c r="D1948" s="31"/>
      <c r="E1948" s="31"/>
      <c r="F1948" s="31"/>
      <c r="G1948" s="31"/>
      <c r="H1948" s="32"/>
      <c r="J1948" s="33"/>
      <c r="K1948" s="33"/>
      <c r="L1948" s="33"/>
      <c r="X1948" s="22"/>
      <c r="Y1948" s="22"/>
      <c r="Z1948" s="22"/>
      <c r="AA1948" s="22"/>
      <c r="AF1948" s="22"/>
      <c r="AG1948" s="22"/>
      <c r="AH1948" s="22"/>
      <c r="AI1948" s="22"/>
      <c r="AN1948" s="22"/>
      <c r="AO1948" s="22"/>
      <c r="AP1948" s="22"/>
      <c r="AQ1948" s="22"/>
      <c r="AR1948" s="35"/>
      <c r="AS1948" s="35"/>
      <c r="AT1948" s="35"/>
      <c r="AU1948" s="31"/>
      <c r="AV1948" s="36"/>
      <c r="AW1948" s="36"/>
    </row>
    <row r="1949" spans="4:49">
      <c r="D1949" s="31"/>
      <c r="E1949" s="31"/>
      <c r="F1949" s="31"/>
      <c r="G1949" s="31"/>
      <c r="H1949" s="32"/>
      <c r="J1949" s="33"/>
      <c r="K1949" s="33"/>
      <c r="L1949" s="33"/>
      <c r="X1949" s="22"/>
      <c r="Y1949" s="22"/>
      <c r="Z1949" s="22"/>
      <c r="AA1949" s="22"/>
      <c r="AF1949" s="22"/>
      <c r="AG1949" s="22"/>
      <c r="AH1949" s="22"/>
      <c r="AI1949" s="22"/>
      <c r="AN1949" s="22"/>
      <c r="AO1949" s="22"/>
      <c r="AP1949" s="22"/>
      <c r="AQ1949" s="22"/>
      <c r="AR1949" s="35"/>
      <c r="AS1949" s="35"/>
      <c r="AT1949" s="35"/>
      <c r="AU1949" s="31"/>
      <c r="AV1949" s="36"/>
      <c r="AW1949" s="36"/>
    </row>
    <row r="1950" spans="4:49">
      <c r="D1950" s="31"/>
      <c r="E1950" s="31"/>
      <c r="F1950" s="31"/>
      <c r="G1950" s="31"/>
      <c r="H1950" s="32"/>
      <c r="J1950" s="33"/>
      <c r="K1950" s="33"/>
      <c r="L1950" s="33"/>
      <c r="X1950" s="22"/>
      <c r="Y1950" s="22"/>
      <c r="Z1950" s="22"/>
      <c r="AA1950" s="22"/>
      <c r="AF1950" s="22"/>
      <c r="AG1950" s="22"/>
      <c r="AH1950" s="22"/>
      <c r="AI1950" s="22"/>
      <c r="AN1950" s="22"/>
      <c r="AO1950" s="22"/>
      <c r="AP1950" s="22"/>
      <c r="AQ1950" s="22"/>
      <c r="AR1950" s="35"/>
      <c r="AS1950" s="35"/>
      <c r="AT1950" s="35"/>
      <c r="AU1950" s="31"/>
      <c r="AV1950" s="36"/>
      <c r="AW1950" s="36"/>
    </row>
    <row r="1951" spans="4:49">
      <c r="D1951" s="31"/>
      <c r="E1951" s="31"/>
      <c r="F1951" s="31"/>
      <c r="G1951" s="31"/>
      <c r="H1951" s="32"/>
      <c r="J1951" s="33"/>
      <c r="K1951" s="33"/>
      <c r="L1951" s="33"/>
      <c r="X1951" s="22"/>
      <c r="Y1951" s="22"/>
      <c r="Z1951" s="22"/>
      <c r="AA1951" s="22"/>
      <c r="AF1951" s="22"/>
      <c r="AG1951" s="22"/>
      <c r="AH1951" s="22"/>
      <c r="AI1951" s="22"/>
      <c r="AN1951" s="22"/>
      <c r="AO1951" s="22"/>
      <c r="AP1951" s="22"/>
      <c r="AQ1951" s="22"/>
      <c r="AR1951" s="35"/>
      <c r="AS1951" s="35"/>
      <c r="AT1951" s="35"/>
      <c r="AU1951" s="31"/>
      <c r="AV1951" s="36"/>
      <c r="AW1951" s="36"/>
    </row>
    <row r="1952" spans="4:49">
      <c r="D1952" s="31"/>
      <c r="E1952" s="31"/>
      <c r="F1952" s="31"/>
      <c r="G1952" s="31"/>
      <c r="H1952" s="32"/>
      <c r="J1952" s="33"/>
      <c r="K1952" s="33"/>
      <c r="L1952" s="33"/>
      <c r="X1952" s="22"/>
      <c r="Y1952" s="22"/>
      <c r="Z1952" s="22"/>
      <c r="AA1952" s="22"/>
      <c r="AF1952" s="22"/>
      <c r="AG1952" s="22"/>
      <c r="AH1952" s="22"/>
      <c r="AI1952" s="22"/>
      <c r="AN1952" s="22"/>
      <c r="AO1952" s="22"/>
      <c r="AP1952" s="22"/>
      <c r="AQ1952" s="22"/>
      <c r="AR1952" s="35"/>
      <c r="AS1952" s="35"/>
      <c r="AT1952" s="35"/>
      <c r="AU1952" s="31"/>
      <c r="AV1952" s="36"/>
      <c r="AW1952" s="36"/>
    </row>
    <row r="1953" spans="4:49">
      <c r="D1953" s="31"/>
      <c r="E1953" s="31"/>
      <c r="F1953" s="31"/>
      <c r="G1953" s="31"/>
      <c r="H1953" s="32"/>
      <c r="J1953" s="33"/>
      <c r="K1953" s="33"/>
      <c r="L1953" s="33"/>
      <c r="X1953" s="22"/>
      <c r="Y1953" s="22"/>
      <c r="Z1953" s="22"/>
      <c r="AA1953" s="22"/>
      <c r="AF1953" s="22"/>
      <c r="AG1953" s="22"/>
      <c r="AH1953" s="22"/>
      <c r="AI1953" s="22"/>
      <c r="AN1953" s="22"/>
      <c r="AO1953" s="22"/>
      <c r="AP1953" s="22"/>
      <c r="AQ1953" s="22"/>
      <c r="AR1953" s="35"/>
      <c r="AS1953" s="35"/>
      <c r="AT1953" s="35"/>
      <c r="AU1953" s="31"/>
      <c r="AV1953" s="36"/>
      <c r="AW1953" s="36"/>
    </row>
    <row r="1954" spans="4:49">
      <c r="D1954" s="31"/>
      <c r="E1954" s="31"/>
      <c r="F1954" s="31"/>
      <c r="G1954" s="31"/>
      <c r="H1954" s="32"/>
      <c r="J1954" s="33"/>
      <c r="K1954" s="33"/>
      <c r="L1954" s="33"/>
      <c r="X1954" s="22"/>
      <c r="Y1954" s="22"/>
      <c r="Z1954" s="22"/>
      <c r="AA1954" s="22"/>
      <c r="AF1954" s="22"/>
      <c r="AG1954" s="22"/>
      <c r="AH1954" s="22"/>
      <c r="AI1954" s="22"/>
      <c r="AN1954" s="22"/>
      <c r="AO1954" s="22"/>
      <c r="AP1954" s="22"/>
      <c r="AQ1954" s="22"/>
      <c r="AR1954" s="35"/>
      <c r="AS1954" s="35"/>
      <c r="AT1954" s="35"/>
      <c r="AU1954" s="31"/>
      <c r="AV1954" s="36"/>
      <c r="AW1954" s="36"/>
    </row>
    <row r="1955" spans="4:49">
      <c r="D1955" s="31"/>
      <c r="E1955" s="31"/>
      <c r="F1955" s="31"/>
      <c r="G1955" s="31"/>
      <c r="H1955" s="32"/>
      <c r="J1955" s="33"/>
      <c r="K1955" s="33"/>
      <c r="L1955" s="33"/>
      <c r="X1955" s="22"/>
      <c r="Y1955" s="22"/>
      <c r="Z1955" s="22"/>
      <c r="AA1955" s="22"/>
      <c r="AF1955" s="22"/>
      <c r="AG1955" s="22"/>
      <c r="AH1955" s="22"/>
      <c r="AI1955" s="22"/>
      <c r="AN1955" s="22"/>
      <c r="AO1955" s="22"/>
      <c r="AP1955" s="22"/>
      <c r="AQ1955" s="22"/>
      <c r="AR1955" s="35"/>
      <c r="AS1955" s="35"/>
      <c r="AT1955" s="35"/>
      <c r="AU1955" s="31"/>
      <c r="AV1955" s="36"/>
      <c r="AW1955" s="36"/>
    </row>
    <row r="1956" spans="4:49">
      <c r="D1956" s="31"/>
      <c r="E1956" s="31"/>
      <c r="F1956" s="31"/>
      <c r="G1956" s="31"/>
      <c r="H1956" s="32"/>
      <c r="J1956" s="33"/>
      <c r="K1956" s="33"/>
      <c r="L1956" s="33"/>
      <c r="X1956" s="22"/>
      <c r="Y1956" s="22"/>
      <c r="Z1956" s="22"/>
      <c r="AA1956" s="22"/>
      <c r="AF1956" s="22"/>
      <c r="AG1956" s="22"/>
      <c r="AH1956" s="22"/>
      <c r="AI1956" s="22"/>
      <c r="AN1956" s="22"/>
      <c r="AO1956" s="22"/>
      <c r="AP1956" s="22"/>
      <c r="AQ1956" s="22"/>
      <c r="AR1956" s="35"/>
      <c r="AS1956" s="35"/>
      <c r="AT1956" s="35"/>
      <c r="AU1956" s="31"/>
      <c r="AV1956" s="36"/>
      <c r="AW1956" s="36"/>
    </row>
    <row r="1957" spans="4:49">
      <c r="D1957" s="31"/>
      <c r="E1957" s="31"/>
      <c r="F1957" s="31"/>
      <c r="G1957" s="31"/>
      <c r="H1957" s="32"/>
      <c r="J1957" s="33"/>
      <c r="K1957" s="33"/>
      <c r="L1957" s="33"/>
      <c r="X1957" s="22"/>
      <c r="Y1957" s="22"/>
      <c r="Z1957" s="22"/>
      <c r="AA1957" s="22"/>
      <c r="AF1957" s="22"/>
      <c r="AG1957" s="22"/>
      <c r="AH1957" s="22"/>
      <c r="AI1957" s="22"/>
      <c r="AN1957" s="22"/>
      <c r="AO1957" s="22"/>
      <c r="AP1957" s="22"/>
      <c r="AQ1957" s="22"/>
      <c r="AR1957" s="35"/>
      <c r="AS1957" s="35"/>
      <c r="AT1957" s="35"/>
      <c r="AU1957" s="31"/>
      <c r="AV1957" s="36"/>
      <c r="AW1957" s="36"/>
    </row>
    <row r="1958" spans="4:49">
      <c r="D1958" s="31"/>
      <c r="E1958" s="31"/>
      <c r="F1958" s="31"/>
      <c r="G1958" s="31"/>
      <c r="H1958" s="32"/>
      <c r="J1958" s="33"/>
      <c r="K1958" s="33"/>
      <c r="L1958" s="33"/>
      <c r="X1958" s="22"/>
      <c r="Y1958" s="22"/>
      <c r="Z1958" s="22"/>
      <c r="AA1958" s="22"/>
      <c r="AF1958" s="22"/>
      <c r="AG1958" s="22"/>
      <c r="AH1958" s="22"/>
      <c r="AI1958" s="22"/>
      <c r="AN1958" s="22"/>
      <c r="AO1958" s="22"/>
      <c r="AP1958" s="22"/>
      <c r="AQ1958" s="22"/>
      <c r="AR1958" s="35"/>
      <c r="AS1958" s="35"/>
      <c r="AT1958" s="35"/>
      <c r="AU1958" s="31"/>
      <c r="AV1958" s="36"/>
      <c r="AW1958" s="36"/>
    </row>
    <row r="1959" spans="4:49">
      <c r="D1959" s="31"/>
      <c r="E1959" s="31"/>
      <c r="F1959" s="31"/>
      <c r="G1959" s="31"/>
      <c r="H1959" s="32"/>
      <c r="J1959" s="33"/>
      <c r="K1959" s="33"/>
      <c r="L1959" s="33"/>
      <c r="X1959" s="22"/>
      <c r="Y1959" s="22"/>
      <c r="Z1959" s="22"/>
      <c r="AA1959" s="22"/>
      <c r="AF1959" s="22"/>
      <c r="AG1959" s="22"/>
      <c r="AH1959" s="22"/>
      <c r="AI1959" s="22"/>
      <c r="AN1959" s="22"/>
      <c r="AO1959" s="22"/>
      <c r="AP1959" s="22"/>
      <c r="AQ1959" s="22"/>
      <c r="AR1959" s="35"/>
      <c r="AS1959" s="35"/>
      <c r="AT1959" s="35"/>
      <c r="AU1959" s="31"/>
      <c r="AV1959" s="36"/>
      <c r="AW1959" s="36"/>
    </row>
    <row r="1960" spans="4:49">
      <c r="D1960" s="31"/>
      <c r="E1960" s="31"/>
      <c r="F1960" s="31"/>
      <c r="G1960" s="31"/>
      <c r="H1960" s="32"/>
      <c r="J1960" s="33"/>
      <c r="K1960" s="33"/>
      <c r="L1960" s="33"/>
      <c r="X1960" s="22"/>
      <c r="Y1960" s="22"/>
      <c r="Z1960" s="22"/>
      <c r="AA1960" s="22"/>
      <c r="AF1960" s="22"/>
      <c r="AG1960" s="22"/>
      <c r="AH1960" s="22"/>
      <c r="AI1960" s="22"/>
      <c r="AN1960" s="22"/>
      <c r="AO1960" s="22"/>
      <c r="AP1960" s="22"/>
      <c r="AQ1960" s="22"/>
      <c r="AR1960" s="35"/>
      <c r="AS1960" s="35"/>
      <c r="AT1960" s="35"/>
      <c r="AU1960" s="31"/>
      <c r="AV1960" s="36"/>
      <c r="AW1960" s="36"/>
    </row>
    <row r="1961" spans="4:49">
      <c r="D1961" s="31"/>
      <c r="E1961" s="31"/>
      <c r="F1961" s="31"/>
      <c r="G1961" s="31"/>
      <c r="H1961" s="32"/>
      <c r="J1961" s="33"/>
      <c r="K1961" s="33"/>
      <c r="L1961" s="33"/>
      <c r="X1961" s="22"/>
      <c r="Y1961" s="22"/>
      <c r="Z1961" s="22"/>
      <c r="AA1961" s="22"/>
      <c r="AF1961" s="22"/>
      <c r="AG1961" s="22"/>
      <c r="AH1961" s="22"/>
      <c r="AI1961" s="22"/>
      <c r="AN1961" s="22"/>
      <c r="AO1961" s="22"/>
      <c r="AP1961" s="22"/>
      <c r="AQ1961" s="22"/>
      <c r="AR1961" s="35"/>
      <c r="AS1961" s="35"/>
      <c r="AT1961" s="35"/>
      <c r="AU1961" s="31"/>
      <c r="AV1961" s="36"/>
      <c r="AW1961" s="36"/>
    </row>
    <row r="1962" spans="4:49">
      <c r="D1962" s="31"/>
      <c r="E1962" s="31"/>
      <c r="F1962" s="31"/>
      <c r="G1962" s="31"/>
      <c r="H1962" s="32"/>
      <c r="J1962" s="33"/>
      <c r="K1962" s="33"/>
      <c r="L1962" s="33"/>
      <c r="X1962" s="22"/>
      <c r="Y1962" s="22"/>
      <c r="Z1962" s="22"/>
      <c r="AA1962" s="22"/>
      <c r="AF1962" s="22"/>
      <c r="AG1962" s="22"/>
      <c r="AH1962" s="22"/>
      <c r="AI1962" s="22"/>
      <c r="AN1962" s="22"/>
      <c r="AO1962" s="22"/>
      <c r="AP1962" s="22"/>
      <c r="AQ1962" s="22"/>
      <c r="AR1962" s="35"/>
      <c r="AS1962" s="35"/>
      <c r="AT1962" s="35"/>
      <c r="AU1962" s="31"/>
      <c r="AV1962" s="36"/>
      <c r="AW1962" s="36"/>
    </row>
    <row r="1963" spans="4:49">
      <c r="D1963" s="31"/>
      <c r="E1963" s="31"/>
      <c r="F1963" s="31"/>
      <c r="G1963" s="31"/>
      <c r="H1963" s="32"/>
      <c r="J1963" s="33"/>
      <c r="K1963" s="33"/>
      <c r="L1963" s="33"/>
      <c r="X1963" s="22"/>
      <c r="Y1963" s="22"/>
      <c r="Z1963" s="22"/>
      <c r="AA1963" s="22"/>
      <c r="AF1963" s="22"/>
      <c r="AG1963" s="22"/>
      <c r="AH1963" s="22"/>
      <c r="AI1963" s="22"/>
      <c r="AN1963" s="22"/>
      <c r="AO1963" s="22"/>
      <c r="AP1963" s="22"/>
      <c r="AQ1963" s="22"/>
      <c r="AR1963" s="35"/>
      <c r="AS1963" s="35"/>
      <c r="AT1963" s="35"/>
      <c r="AU1963" s="31"/>
      <c r="AV1963" s="36"/>
      <c r="AW1963" s="36"/>
    </row>
    <row r="1964" spans="4:49">
      <c r="D1964" s="31"/>
      <c r="E1964" s="31"/>
      <c r="F1964" s="31"/>
      <c r="G1964" s="31"/>
      <c r="H1964" s="32"/>
      <c r="J1964" s="33"/>
      <c r="K1964" s="33"/>
      <c r="L1964" s="33"/>
      <c r="X1964" s="22"/>
      <c r="Y1964" s="22"/>
      <c r="Z1964" s="22"/>
      <c r="AA1964" s="22"/>
      <c r="AF1964" s="22"/>
      <c r="AG1964" s="22"/>
      <c r="AH1964" s="22"/>
      <c r="AI1964" s="22"/>
      <c r="AN1964" s="22"/>
      <c r="AO1964" s="22"/>
      <c r="AP1964" s="22"/>
      <c r="AQ1964" s="22"/>
      <c r="AR1964" s="35"/>
      <c r="AS1964" s="35"/>
      <c r="AT1964" s="35"/>
      <c r="AU1964" s="31"/>
      <c r="AV1964" s="36"/>
      <c r="AW1964" s="36"/>
    </row>
    <row r="1965" spans="4:49">
      <c r="D1965" s="31"/>
      <c r="E1965" s="31"/>
      <c r="F1965" s="31"/>
      <c r="G1965" s="31"/>
      <c r="H1965" s="32"/>
      <c r="J1965" s="33"/>
      <c r="K1965" s="33"/>
      <c r="L1965" s="33"/>
      <c r="X1965" s="22"/>
      <c r="Y1965" s="22"/>
      <c r="Z1965" s="22"/>
      <c r="AA1965" s="22"/>
      <c r="AF1965" s="22"/>
      <c r="AG1965" s="22"/>
      <c r="AH1965" s="22"/>
      <c r="AI1965" s="22"/>
      <c r="AN1965" s="22"/>
      <c r="AO1965" s="22"/>
      <c r="AP1965" s="22"/>
      <c r="AQ1965" s="22"/>
      <c r="AR1965" s="35"/>
      <c r="AS1965" s="35"/>
      <c r="AT1965" s="35"/>
      <c r="AU1965" s="31"/>
      <c r="AV1965" s="36"/>
      <c r="AW1965" s="36"/>
    </row>
    <row r="1966" spans="4:49">
      <c r="D1966" s="31"/>
      <c r="E1966" s="31"/>
      <c r="F1966" s="31"/>
      <c r="G1966" s="31"/>
      <c r="H1966" s="32"/>
      <c r="J1966" s="33"/>
      <c r="K1966" s="33"/>
      <c r="L1966" s="33"/>
      <c r="X1966" s="22"/>
      <c r="Y1966" s="22"/>
      <c r="Z1966" s="22"/>
      <c r="AA1966" s="22"/>
      <c r="AF1966" s="22"/>
      <c r="AG1966" s="22"/>
      <c r="AH1966" s="22"/>
      <c r="AI1966" s="22"/>
      <c r="AN1966" s="22"/>
      <c r="AO1966" s="22"/>
      <c r="AP1966" s="22"/>
      <c r="AQ1966" s="22"/>
      <c r="AR1966" s="35"/>
      <c r="AS1966" s="35"/>
      <c r="AT1966" s="35"/>
      <c r="AU1966" s="31"/>
      <c r="AV1966" s="36"/>
      <c r="AW1966" s="36"/>
    </row>
    <row r="1967" spans="4:49">
      <c r="D1967" s="31"/>
      <c r="E1967" s="31"/>
      <c r="F1967" s="31"/>
      <c r="G1967" s="31"/>
      <c r="H1967" s="32"/>
      <c r="J1967" s="33"/>
      <c r="K1967" s="33"/>
      <c r="L1967" s="33"/>
      <c r="X1967" s="22"/>
      <c r="Y1967" s="22"/>
      <c r="Z1967" s="22"/>
      <c r="AA1967" s="22"/>
      <c r="AF1967" s="22"/>
      <c r="AG1967" s="22"/>
      <c r="AH1967" s="22"/>
      <c r="AI1967" s="22"/>
      <c r="AN1967" s="22"/>
      <c r="AO1967" s="22"/>
      <c r="AP1967" s="22"/>
      <c r="AQ1967" s="22"/>
      <c r="AR1967" s="35"/>
      <c r="AS1967" s="35"/>
      <c r="AT1967" s="35"/>
      <c r="AU1967" s="31"/>
      <c r="AV1967" s="36"/>
      <c r="AW1967" s="36"/>
    </row>
    <row r="1968" spans="4:49">
      <c r="D1968" s="31"/>
      <c r="E1968" s="31"/>
      <c r="F1968" s="31"/>
      <c r="G1968" s="31"/>
      <c r="H1968" s="32"/>
      <c r="J1968" s="33"/>
      <c r="K1968" s="33"/>
      <c r="L1968" s="33"/>
      <c r="X1968" s="22"/>
      <c r="Y1968" s="22"/>
      <c r="Z1968" s="22"/>
      <c r="AA1968" s="22"/>
      <c r="AF1968" s="22"/>
      <c r="AG1968" s="22"/>
      <c r="AH1968" s="22"/>
      <c r="AI1968" s="22"/>
      <c r="AN1968" s="22"/>
      <c r="AO1968" s="22"/>
      <c r="AP1968" s="22"/>
      <c r="AQ1968" s="22"/>
      <c r="AR1968" s="35"/>
      <c r="AS1968" s="35"/>
      <c r="AT1968" s="35"/>
      <c r="AU1968" s="31"/>
      <c r="AV1968" s="36"/>
      <c r="AW1968" s="36"/>
    </row>
    <row r="1969" spans="4:49">
      <c r="D1969" s="31"/>
      <c r="E1969" s="31"/>
      <c r="F1969" s="31"/>
      <c r="G1969" s="31"/>
      <c r="H1969" s="32"/>
      <c r="J1969" s="33"/>
      <c r="K1969" s="33"/>
      <c r="L1969" s="33"/>
      <c r="X1969" s="22"/>
      <c r="Y1969" s="22"/>
      <c r="Z1969" s="22"/>
      <c r="AA1969" s="22"/>
      <c r="AF1969" s="22"/>
      <c r="AG1969" s="22"/>
      <c r="AH1969" s="22"/>
      <c r="AI1969" s="22"/>
      <c r="AN1969" s="22"/>
      <c r="AO1969" s="22"/>
      <c r="AP1969" s="22"/>
      <c r="AQ1969" s="22"/>
      <c r="AR1969" s="35"/>
      <c r="AS1969" s="35"/>
      <c r="AT1969" s="35"/>
      <c r="AU1969" s="31"/>
      <c r="AV1969" s="36"/>
      <c r="AW1969" s="36"/>
    </row>
    <row r="1970" spans="4:49">
      <c r="D1970" s="31"/>
      <c r="E1970" s="31"/>
      <c r="F1970" s="31"/>
      <c r="G1970" s="31"/>
      <c r="H1970" s="32"/>
      <c r="J1970" s="33"/>
      <c r="K1970" s="33"/>
      <c r="L1970" s="33"/>
      <c r="X1970" s="22"/>
      <c r="Y1970" s="22"/>
      <c r="Z1970" s="22"/>
      <c r="AA1970" s="22"/>
      <c r="AF1970" s="22"/>
      <c r="AG1970" s="22"/>
      <c r="AH1970" s="22"/>
      <c r="AI1970" s="22"/>
      <c r="AN1970" s="22"/>
      <c r="AO1970" s="22"/>
      <c r="AP1970" s="22"/>
      <c r="AQ1970" s="22"/>
      <c r="AR1970" s="35"/>
      <c r="AS1970" s="35"/>
      <c r="AT1970" s="35"/>
      <c r="AU1970" s="31"/>
      <c r="AV1970" s="36"/>
      <c r="AW1970" s="36"/>
    </row>
    <row r="1971" spans="4:49">
      <c r="D1971" s="31"/>
      <c r="E1971" s="31"/>
      <c r="F1971" s="31"/>
      <c r="G1971" s="31"/>
      <c r="H1971" s="32"/>
      <c r="J1971" s="33"/>
      <c r="K1971" s="33"/>
      <c r="L1971" s="33"/>
      <c r="X1971" s="22"/>
      <c r="Y1971" s="22"/>
      <c r="Z1971" s="22"/>
      <c r="AA1971" s="22"/>
      <c r="AF1971" s="22"/>
      <c r="AG1971" s="22"/>
      <c r="AH1971" s="22"/>
      <c r="AI1971" s="22"/>
      <c r="AN1971" s="22"/>
      <c r="AO1971" s="22"/>
      <c r="AP1971" s="22"/>
      <c r="AQ1971" s="22"/>
      <c r="AR1971" s="35"/>
      <c r="AS1971" s="35"/>
      <c r="AT1971" s="35"/>
      <c r="AU1971" s="31"/>
      <c r="AV1971" s="36"/>
      <c r="AW1971" s="36"/>
    </row>
    <row r="1972" spans="4:49">
      <c r="D1972" s="31"/>
      <c r="E1972" s="31"/>
      <c r="F1972" s="31"/>
      <c r="G1972" s="31"/>
      <c r="H1972" s="32"/>
      <c r="J1972" s="33"/>
      <c r="K1972" s="33"/>
      <c r="L1972" s="33"/>
      <c r="X1972" s="22"/>
      <c r="Y1972" s="22"/>
      <c r="Z1972" s="22"/>
      <c r="AA1972" s="22"/>
      <c r="AF1972" s="22"/>
      <c r="AG1972" s="22"/>
      <c r="AH1972" s="22"/>
      <c r="AI1972" s="22"/>
      <c r="AN1972" s="22"/>
      <c r="AO1972" s="22"/>
      <c r="AP1972" s="22"/>
      <c r="AQ1972" s="22"/>
      <c r="AR1972" s="35"/>
      <c r="AS1972" s="35"/>
      <c r="AT1972" s="35"/>
      <c r="AU1972" s="31"/>
      <c r="AV1972" s="36"/>
      <c r="AW1972" s="36"/>
    </row>
    <row r="1973" spans="4:49">
      <c r="D1973" s="31"/>
      <c r="E1973" s="31"/>
      <c r="F1973" s="31"/>
      <c r="G1973" s="31"/>
      <c r="H1973" s="32"/>
      <c r="J1973" s="33"/>
      <c r="K1973" s="33"/>
      <c r="L1973" s="33"/>
      <c r="X1973" s="22"/>
      <c r="Y1973" s="22"/>
      <c r="Z1973" s="22"/>
      <c r="AA1973" s="22"/>
      <c r="AF1973" s="22"/>
      <c r="AG1973" s="22"/>
      <c r="AH1973" s="22"/>
      <c r="AI1973" s="22"/>
      <c r="AN1973" s="22"/>
      <c r="AO1973" s="22"/>
      <c r="AP1973" s="22"/>
      <c r="AQ1973" s="22"/>
      <c r="AR1973" s="35"/>
      <c r="AS1973" s="35"/>
      <c r="AT1973" s="35"/>
      <c r="AU1973" s="31"/>
      <c r="AV1973" s="36"/>
      <c r="AW1973" s="36"/>
    </row>
    <row r="1974" spans="4:49">
      <c r="D1974" s="31"/>
      <c r="E1974" s="31"/>
      <c r="F1974" s="31"/>
      <c r="G1974" s="31"/>
      <c r="H1974" s="32"/>
      <c r="J1974" s="33"/>
      <c r="K1974" s="33"/>
      <c r="L1974" s="33"/>
      <c r="X1974" s="22"/>
      <c r="Y1974" s="22"/>
      <c r="Z1974" s="22"/>
      <c r="AA1974" s="22"/>
      <c r="AF1974" s="22"/>
      <c r="AG1974" s="22"/>
      <c r="AH1974" s="22"/>
      <c r="AI1974" s="22"/>
      <c r="AN1974" s="22"/>
      <c r="AO1974" s="22"/>
      <c r="AP1974" s="22"/>
      <c r="AQ1974" s="22"/>
      <c r="AR1974" s="35"/>
      <c r="AS1974" s="35"/>
      <c r="AT1974" s="35"/>
      <c r="AU1974" s="31"/>
      <c r="AV1974" s="36"/>
      <c r="AW1974" s="36"/>
    </row>
    <row r="1975" spans="4:49">
      <c r="D1975" s="31"/>
      <c r="E1975" s="31"/>
      <c r="F1975" s="31"/>
      <c r="G1975" s="31"/>
      <c r="H1975" s="32"/>
      <c r="J1975" s="33"/>
      <c r="K1975" s="33"/>
      <c r="L1975" s="33"/>
      <c r="X1975" s="22"/>
      <c r="Y1975" s="22"/>
      <c r="Z1975" s="22"/>
      <c r="AA1975" s="22"/>
      <c r="AF1975" s="22"/>
      <c r="AG1975" s="22"/>
      <c r="AH1975" s="22"/>
      <c r="AI1975" s="22"/>
      <c r="AN1975" s="22"/>
      <c r="AO1975" s="22"/>
      <c r="AP1975" s="22"/>
      <c r="AQ1975" s="22"/>
      <c r="AR1975" s="35"/>
      <c r="AS1975" s="35"/>
      <c r="AT1975" s="35"/>
      <c r="AU1975" s="31"/>
      <c r="AV1975" s="36"/>
      <c r="AW1975" s="36"/>
    </row>
    <row r="1976" spans="4:49">
      <c r="D1976" s="31"/>
      <c r="E1976" s="31"/>
      <c r="F1976" s="31"/>
      <c r="G1976" s="31"/>
      <c r="H1976" s="32"/>
      <c r="J1976" s="33"/>
      <c r="K1976" s="33"/>
      <c r="L1976" s="33"/>
      <c r="X1976" s="22"/>
      <c r="Y1976" s="22"/>
      <c r="Z1976" s="22"/>
      <c r="AA1976" s="22"/>
      <c r="AF1976" s="22"/>
      <c r="AG1976" s="22"/>
      <c r="AH1976" s="22"/>
      <c r="AI1976" s="22"/>
      <c r="AN1976" s="22"/>
      <c r="AO1976" s="22"/>
      <c r="AP1976" s="22"/>
      <c r="AQ1976" s="22"/>
      <c r="AR1976" s="35"/>
      <c r="AS1976" s="35"/>
      <c r="AT1976" s="35"/>
      <c r="AU1976" s="31"/>
      <c r="AV1976" s="36"/>
      <c r="AW1976" s="36"/>
    </row>
    <row r="1977" spans="4:49">
      <c r="D1977" s="31"/>
      <c r="E1977" s="31"/>
      <c r="F1977" s="31"/>
      <c r="G1977" s="31"/>
      <c r="H1977" s="32"/>
      <c r="J1977" s="33"/>
      <c r="K1977" s="33"/>
      <c r="L1977" s="33"/>
      <c r="X1977" s="22"/>
      <c r="Y1977" s="22"/>
      <c r="Z1977" s="22"/>
      <c r="AA1977" s="22"/>
      <c r="AF1977" s="22"/>
      <c r="AG1977" s="22"/>
      <c r="AH1977" s="22"/>
      <c r="AI1977" s="22"/>
      <c r="AN1977" s="22"/>
      <c r="AO1977" s="22"/>
      <c r="AP1977" s="22"/>
      <c r="AQ1977" s="22"/>
      <c r="AR1977" s="35"/>
      <c r="AS1977" s="35"/>
      <c r="AT1977" s="35"/>
      <c r="AU1977" s="31"/>
      <c r="AV1977" s="36"/>
      <c r="AW1977" s="36"/>
    </row>
    <row r="1978" spans="4:49">
      <c r="D1978" s="31"/>
      <c r="E1978" s="31"/>
      <c r="F1978" s="31"/>
      <c r="G1978" s="31"/>
      <c r="H1978" s="32"/>
      <c r="J1978" s="33"/>
      <c r="K1978" s="33"/>
      <c r="L1978" s="33"/>
      <c r="X1978" s="22"/>
      <c r="Y1978" s="22"/>
      <c r="Z1978" s="22"/>
      <c r="AA1978" s="22"/>
      <c r="AF1978" s="22"/>
      <c r="AG1978" s="22"/>
      <c r="AH1978" s="22"/>
      <c r="AI1978" s="22"/>
      <c r="AN1978" s="22"/>
      <c r="AO1978" s="22"/>
      <c r="AP1978" s="22"/>
      <c r="AQ1978" s="22"/>
      <c r="AR1978" s="35"/>
      <c r="AS1978" s="35"/>
      <c r="AT1978" s="35"/>
      <c r="AU1978" s="31"/>
      <c r="AV1978" s="36"/>
      <c r="AW1978" s="36"/>
    </row>
    <row r="1979" spans="4:49">
      <c r="D1979" s="31"/>
      <c r="E1979" s="31"/>
      <c r="F1979" s="31"/>
      <c r="G1979" s="31"/>
      <c r="H1979" s="32"/>
      <c r="J1979" s="33"/>
      <c r="K1979" s="33"/>
      <c r="L1979" s="33"/>
      <c r="X1979" s="22"/>
      <c r="Y1979" s="22"/>
      <c r="Z1979" s="22"/>
      <c r="AA1979" s="22"/>
      <c r="AF1979" s="22"/>
      <c r="AG1979" s="22"/>
      <c r="AH1979" s="22"/>
      <c r="AI1979" s="22"/>
      <c r="AN1979" s="22"/>
      <c r="AO1979" s="22"/>
      <c r="AP1979" s="22"/>
      <c r="AQ1979" s="22"/>
      <c r="AR1979" s="35"/>
      <c r="AS1979" s="35"/>
      <c r="AT1979" s="35"/>
      <c r="AU1979" s="31"/>
      <c r="AV1979" s="36"/>
      <c r="AW1979" s="36"/>
    </row>
    <row r="1980" spans="4:49">
      <c r="D1980" s="31"/>
      <c r="E1980" s="31"/>
      <c r="F1980" s="31"/>
      <c r="G1980" s="31"/>
      <c r="H1980" s="32"/>
      <c r="J1980" s="33"/>
      <c r="K1980" s="33"/>
      <c r="L1980" s="33"/>
      <c r="X1980" s="22"/>
      <c r="Y1980" s="22"/>
      <c r="Z1980" s="22"/>
      <c r="AA1980" s="22"/>
      <c r="AF1980" s="22"/>
      <c r="AG1980" s="22"/>
      <c r="AH1980" s="22"/>
      <c r="AI1980" s="22"/>
      <c r="AN1980" s="22"/>
      <c r="AO1980" s="22"/>
      <c r="AP1980" s="22"/>
      <c r="AQ1980" s="22"/>
      <c r="AR1980" s="35"/>
      <c r="AS1980" s="35"/>
      <c r="AT1980" s="35"/>
      <c r="AU1980" s="31"/>
      <c r="AV1980" s="36"/>
      <c r="AW1980" s="36"/>
    </row>
    <row r="1981" spans="4:49">
      <c r="D1981" s="31"/>
      <c r="E1981" s="31"/>
      <c r="F1981" s="31"/>
      <c r="G1981" s="31"/>
      <c r="H1981" s="32"/>
      <c r="J1981" s="33"/>
      <c r="K1981" s="33"/>
      <c r="L1981" s="33"/>
      <c r="X1981" s="22"/>
      <c r="Y1981" s="22"/>
      <c r="Z1981" s="22"/>
      <c r="AA1981" s="22"/>
      <c r="AF1981" s="22"/>
      <c r="AG1981" s="22"/>
      <c r="AH1981" s="22"/>
      <c r="AI1981" s="22"/>
      <c r="AN1981" s="22"/>
      <c r="AO1981" s="22"/>
      <c r="AP1981" s="22"/>
      <c r="AQ1981" s="22"/>
      <c r="AR1981" s="35"/>
      <c r="AS1981" s="35"/>
      <c r="AT1981" s="35"/>
      <c r="AU1981" s="31"/>
      <c r="AV1981" s="36"/>
      <c r="AW1981" s="36"/>
    </row>
    <row r="1982" spans="4:49">
      <c r="D1982" s="31"/>
      <c r="E1982" s="31"/>
      <c r="F1982" s="31"/>
      <c r="G1982" s="31"/>
      <c r="H1982" s="32"/>
      <c r="J1982" s="33"/>
      <c r="K1982" s="33"/>
      <c r="L1982" s="33"/>
      <c r="X1982" s="22"/>
      <c r="Y1982" s="22"/>
      <c r="Z1982" s="22"/>
      <c r="AA1982" s="22"/>
      <c r="AF1982" s="22"/>
      <c r="AG1982" s="22"/>
      <c r="AH1982" s="22"/>
      <c r="AI1982" s="22"/>
      <c r="AN1982" s="22"/>
      <c r="AO1982" s="22"/>
      <c r="AP1982" s="22"/>
      <c r="AQ1982" s="22"/>
      <c r="AR1982" s="35"/>
      <c r="AS1982" s="35"/>
      <c r="AT1982" s="35"/>
      <c r="AU1982" s="31"/>
      <c r="AV1982" s="36"/>
      <c r="AW1982" s="36"/>
    </row>
    <row r="1983" spans="4:49">
      <c r="D1983" s="31"/>
      <c r="E1983" s="31"/>
      <c r="F1983" s="31"/>
      <c r="G1983" s="31"/>
      <c r="H1983" s="32"/>
      <c r="J1983" s="33"/>
      <c r="K1983" s="33"/>
      <c r="L1983" s="33"/>
      <c r="X1983" s="22"/>
      <c r="Y1983" s="22"/>
      <c r="Z1983" s="22"/>
      <c r="AA1983" s="22"/>
      <c r="AF1983" s="22"/>
      <c r="AG1983" s="22"/>
      <c r="AH1983" s="22"/>
      <c r="AI1983" s="22"/>
      <c r="AN1983" s="22"/>
      <c r="AO1983" s="22"/>
      <c r="AP1983" s="22"/>
      <c r="AQ1983" s="22"/>
      <c r="AR1983" s="35"/>
      <c r="AS1983" s="35"/>
      <c r="AT1983" s="35"/>
      <c r="AU1983" s="31"/>
      <c r="AV1983" s="36"/>
      <c r="AW1983" s="36"/>
    </row>
    <row r="1984" spans="4:49">
      <c r="D1984" s="31"/>
      <c r="E1984" s="31"/>
      <c r="F1984" s="31"/>
      <c r="G1984" s="31"/>
      <c r="H1984" s="32"/>
      <c r="J1984" s="33"/>
      <c r="K1984" s="33"/>
      <c r="L1984" s="33"/>
      <c r="X1984" s="22"/>
      <c r="Y1984" s="22"/>
      <c r="Z1984" s="22"/>
      <c r="AA1984" s="22"/>
      <c r="AF1984" s="22"/>
      <c r="AG1984" s="22"/>
      <c r="AH1984" s="22"/>
      <c r="AI1984" s="22"/>
      <c r="AN1984" s="22"/>
      <c r="AO1984" s="22"/>
      <c r="AP1984" s="22"/>
      <c r="AQ1984" s="22"/>
      <c r="AR1984" s="35"/>
      <c r="AS1984" s="35"/>
      <c r="AT1984" s="35"/>
      <c r="AU1984" s="31"/>
      <c r="AV1984" s="36"/>
      <c r="AW1984" s="36"/>
    </row>
    <row r="1985" spans="4:49">
      <c r="D1985" s="31"/>
      <c r="E1985" s="31"/>
      <c r="F1985" s="31"/>
      <c r="G1985" s="31"/>
      <c r="H1985" s="32"/>
      <c r="J1985" s="33"/>
      <c r="K1985" s="33"/>
      <c r="L1985" s="33"/>
      <c r="X1985" s="22"/>
      <c r="Y1985" s="22"/>
      <c r="Z1985" s="22"/>
      <c r="AA1985" s="22"/>
      <c r="AF1985" s="22"/>
      <c r="AG1985" s="22"/>
      <c r="AH1985" s="22"/>
      <c r="AI1985" s="22"/>
      <c r="AN1985" s="22"/>
      <c r="AO1985" s="22"/>
      <c r="AP1985" s="22"/>
      <c r="AQ1985" s="22"/>
      <c r="AR1985" s="35"/>
      <c r="AS1985" s="35"/>
      <c r="AT1985" s="35"/>
      <c r="AU1985" s="31"/>
      <c r="AV1985" s="36"/>
      <c r="AW1985" s="36"/>
    </row>
    <row r="1986" spans="4:49">
      <c r="D1986" s="31"/>
      <c r="E1986" s="31"/>
      <c r="F1986" s="31"/>
      <c r="G1986" s="31"/>
      <c r="H1986" s="32"/>
      <c r="J1986" s="33"/>
      <c r="K1986" s="33"/>
      <c r="L1986" s="33"/>
      <c r="X1986" s="22"/>
      <c r="Y1986" s="22"/>
      <c r="Z1986" s="22"/>
      <c r="AA1986" s="22"/>
      <c r="AF1986" s="22"/>
      <c r="AG1986" s="22"/>
      <c r="AH1986" s="22"/>
      <c r="AI1986" s="22"/>
      <c r="AN1986" s="22"/>
      <c r="AO1986" s="22"/>
      <c r="AP1986" s="22"/>
      <c r="AQ1986" s="22"/>
      <c r="AR1986" s="35"/>
      <c r="AS1986" s="35"/>
      <c r="AT1986" s="35"/>
      <c r="AU1986" s="31"/>
      <c r="AV1986" s="36"/>
      <c r="AW1986" s="36"/>
    </row>
    <row r="1987" spans="4:49">
      <c r="D1987" s="31"/>
      <c r="E1987" s="31"/>
      <c r="F1987" s="31"/>
      <c r="G1987" s="31"/>
      <c r="H1987" s="32"/>
      <c r="J1987" s="33"/>
      <c r="K1987" s="33"/>
      <c r="L1987" s="33"/>
      <c r="X1987" s="22"/>
      <c r="Y1987" s="22"/>
      <c r="Z1987" s="22"/>
      <c r="AA1987" s="22"/>
      <c r="AF1987" s="22"/>
      <c r="AG1987" s="22"/>
      <c r="AH1987" s="22"/>
      <c r="AI1987" s="22"/>
      <c r="AN1987" s="22"/>
      <c r="AO1987" s="22"/>
      <c r="AP1987" s="22"/>
      <c r="AQ1987" s="22"/>
      <c r="AR1987" s="35"/>
      <c r="AS1987" s="35"/>
      <c r="AT1987" s="35"/>
      <c r="AU1987" s="31"/>
      <c r="AV1987" s="36"/>
      <c r="AW1987" s="36"/>
    </row>
    <row r="1988" spans="4:49">
      <c r="D1988" s="31"/>
      <c r="E1988" s="31"/>
      <c r="F1988" s="31"/>
      <c r="G1988" s="31"/>
      <c r="H1988" s="32"/>
      <c r="J1988" s="33"/>
      <c r="K1988" s="33"/>
      <c r="L1988" s="33"/>
      <c r="X1988" s="22"/>
      <c r="Y1988" s="22"/>
      <c r="Z1988" s="22"/>
      <c r="AA1988" s="22"/>
      <c r="AF1988" s="22"/>
      <c r="AG1988" s="22"/>
      <c r="AH1988" s="22"/>
      <c r="AI1988" s="22"/>
      <c r="AN1988" s="22"/>
      <c r="AO1988" s="22"/>
      <c r="AP1988" s="22"/>
      <c r="AQ1988" s="22"/>
      <c r="AR1988" s="35"/>
      <c r="AS1988" s="35"/>
      <c r="AT1988" s="35"/>
      <c r="AU1988" s="31"/>
      <c r="AV1988" s="36"/>
      <c r="AW1988" s="36"/>
    </row>
    <row r="1989" spans="4:49">
      <c r="D1989" s="31"/>
      <c r="E1989" s="31"/>
      <c r="F1989" s="31"/>
      <c r="G1989" s="31"/>
      <c r="H1989" s="32"/>
      <c r="J1989" s="33"/>
      <c r="K1989" s="33"/>
      <c r="L1989" s="33"/>
      <c r="X1989" s="22"/>
      <c r="Y1989" s="22"/>
      <c r="Z1989" s="22"/>
      <c r="AA1989" s="22"/>
      <c r="AF1989" s="22"/>
      <c r="AG1989" s="22"/>
      <c r="AH1989" s="22"/>
      <c r="AI1989" s="22"/>
      <c r="AN1989" s="22"/>
      <c r="AO1989" s="22"/>
      <c r="AP1989" s="22"/>
      <c r="AQ1989" s="22"/>
      <c r="AR1989" s="35"/>
      <c r="AS1989" s="35"/>
      <c r="AT1989" s="35"/>
      <c r="AU1989" s="31"/>
      <c r="AV1989" s="36"/>
      <c r="AW1989" s="36"/>
    </row>
    <row r="1990" spans="4:49">
      <c r="D1990" s="31"/>
      <c r="E1990" s="31"/>
      <c r="F1990" s="31"/>
      <c r="G1990" s="31"/>
      <c r="H1990" s="32"/>
      <c r="J1990" s="33"/>
      <c r="K1990" s="33"/>
      <c r="L1990" s="33"/>
      <c r="X1990" s="22"/>
      <c r="Y1990" s="22"/>
      <c r="Z1990" s="22"/>
      <c r="AA1990" s="22"/>
      <c r="AF1990" s="22"/>
      <c r="AG1990" s="22"/>
      <c r="AH1990" s="22"/>
      <c r="AI1990" s="22"/>
      <c r="AN1990" s="22"/>
      <c r="AO1990" s="22"/>
      <c r="AP1990" s="22"/>
      <c r="AQ1990" s="22"/>
      <c r="AR1990" s="35"/>
      <c r="AS1990" s="35"/>
      <c r="AT1990" s="35"/>
      <c r="AU1990" s="31"/>
      <c r="AV1990" s="36"/>
      <c r="AW1990" s="36"/>
    </row>
    <row r="1991" spans="4:49">
      <c r="D1991" s="31"/>
      <c r="E1991" s="31"/>
      <c r="F1991" s="31"/>
      <c r="G1991" s="31"/>
      <c r="H1991" s="32"/>
      <c r="J1991" s="33"/>
      <c r="K1991" s="33"/>
      <c r="L1991" s="33"/>
      <c r="X1991" s="22"/>
      <c r="Y1991" s="22"/>
      <c r="Z1991" s="22"/>
      <c r="AA1991" s="22"/>
      <c r="AF1991" s="22"/>
      <c r="AG1991" s="22"/>
      <c r="AH1991" s="22"/>
      <c r="AI1991" s="22"/>
      <c r="AN1991" s="22"/>
      <c r="AO1991" s="22"/>
      <c r="AP1991" s="22"/>
      <c r="AQ1991" s="22"/>
      <c r="AR1991" s="35"/>
      <c r="AS1991" s="35"/>
      <c r="AT1991" s="35"/>
      <c r="AU1991" s="31"/>
      <c r="AV1991" s="36"/>
      <c r="AW1991" s="36"/>
    </row>
    <row r="1992" spans="4:49">
      <c r="D1992" s="31"/>
      <c r="E1992" s="31"/>
      <c r="F1992" s="31"/>
      <c r="G1992" s="31"/>
      <c r="H1992" s="32"/>
      <c r="J1992" s="33"/>
      <c r="K1992" s="33"/>
      <c r="L1992" s="33"/>
      <c r="X1992" s="22"/>
      <c r="Y1992" s="22"/>
      <c r="Z1992" s="22"/>
      <c r="AA1992" s="22"/>
      <c r="AF1992" s="22"/>
      <c r="AG1992" s="22"/>
      <c r="AH1992" s="22"/>
      <c r="AI1992" s="22"/>
      <c r="AN1992" s="22"/>
      <c r="AO1992" s="22"/>
      <c r="AP1992" s="22"/>
      <c r="AQ1992" s="22"/>
      <c r="AR1992" s="35"/>
      <c r="AS1992" s="35"/>
      <c r="AT1992" s="35"/>
      <c r="AU1992" s="31"/>
      <c r="AV1992" s="36"/>
      <c r="AW1992" s="36"/>
    </row>
    <row r="1993" spans="4:49">
      <c r="D1993" s="31"/>
      <c r="E1993" s="31"/>
      <c r="F1993" s="31"/>
      <c r="G1993" s="31"/>
      <c r="H1993" s="32"/>
      <c r="J1993" s="33"/>
      <c r="K1993" s="33"/>
      <c r="L1993" s="33"/>
      <c r="X1993" s="22"/>
      <c r="Y1993" s="22"/>
      <c r="Z1993" s="22"/>
      <c r="AA1993" s="22"/>
      <c r="AF1993" s="22"/>
      <c r="AG1993" s="22"/>
      <c r="AH1993" s="22"/>
      <c r="AI1993" s="22"/>
      <c r="AN1993" s="22"/>
      <c r="AO1993" s="22"/>
      <c r="AP1993" s="22"/>
      <c r="AQ1993" s="22"/>
      <c r="AR1993" s="35"/>
      <c r="AS1993" s="35"/>
      <c r="AT1993" s="35"/>
      <c r="AU1993" s="31"/>
      <c r="AV1993" s="36"/>
      <c r="AW1993" s="36"/>
    </row>
    <row r="1994" spans="4:49">
      <c r="D1994" s="31"/>
      <c r="E1994" s="31"/>
      <c r="F1994" s="31"/>
      <c r="G1994" s="31"/>
      <c r="H1994" s="32"/>
      <c r="J1994" s="33"/>
      <c r="K1994" s="33"/>
      <c r="L1994" s="33"/>
      <c r="X1994" s="22"/>
      <c r="Y1994" s="22"/>
      <c r="Z1994" s="22"/>
      <c r="AA1994" s="22"/>
      <c r="AF1994" s="22"/>
      <c r="AG1994" s="22"/>
      <c r="AH1994" s="22"/>
      <c r="AI1994" s="22"/>
      <c r="AN1994" s="22"/>
      <c r="AO1994" s="22"/>
      <c r="AP1994" s="22"/>
      <c r="AQ1994" s="22"/>
      <c r="AR1994" s="35"/>
      <c r="AS1994" s="35"/>
      <c r="AT1994" s="35"/>
      <c r="AU1994" s="31"/>
      <c r="AV1994" s="36"/>
      <c r="AW1994" s="36"/>
    </row>
    <row r="1995" spans="4:49">
      <c r="D1995" s="31"/>
      <c r="E1995" s="31"/>
      <c r="F1995" s="31"/>
      <c r="G1995" s="31"/>
      <c r="H1995" s="32"/>
      <c r="J1995" s="33"/>
      <c r="K1995" s="33"/>
      <c r="L1995" s="33"/>
      <c r="X1995" s="22"/>
      <c r="Y1995" s="22"/>
      <c r="Z1995" s="22"/>
      <c r="AA1995" s="22"/>
      <c r="AF1995" s="22"/>
      <c r="AG1995" s="22"/>
      <c r="AH1995" s="22"/>
      <c r="AI1995" s="22"/>
      <c r="AN1995" s="22"/>
      <c r="AO1995" s="22"/>
      <c r="AP1995" s="22"/>
      <c r="AQ1995" s="22"/>
      <c r="AR1995" s="35"/>
      <c r="AS1995" s="35"/>
      <c r="AT1995" s="35"/>
      <c r="AU1995" s="31"/>
      <c r="AV1995" s="36"/>
      <c r="AW1995" s="36"/>
    </row>
    <row r="1996" spans="4:49">
      <c r="D1996" s="31"/>
      <c r="E1996" s="31"/>
      <c r="F1996" s="31"/>
      <c r="G1996" s="31"/>
      <c r="H1996" s="32"/>
      <c r="J1996" s="33"/>
      <c r="K1996" s="33"/>
      <c r="L1996" s="33"/>
      <c r="X1996" s="22"/>
      <c r="Y1996" s="22"/>
      <c r="Z1996" s="22"/>
      <c r="AA1996" s="22"/>
      <c r="AF1996" s="22"/>
      <c r="AG1996" s="22"/>
      <c r="AH1996" s="22"/>
      <c r="AI1996" s="22"/>
      <c r="AN1996" s="22"/>
      <c r="AO1996" s="22"/>
      <c r="AP1996" s="22"/>
      <c r="AQ1996" s="22"/>
      <c r="AR1996" s="35"/>
      <c r="AS1996" s="35"/>
      <c r="AT1996" s="35"/>
      <c r="AU1996" s="31"/>
      <c r="AV1996" s="36"/>
      <c r="AW1996" s="36"/>
    </row>
    <row r="1997" spans="4:49">
      <c r="D1997" s="31"/>
      <c r="E1997" s="31"/>
      <c r="F1997" s="31"/>
      <c r="G1997" s="31"/>
      <c r="H1997" s="32"/>
      <c r="J1997" s="33"/>
      <c r="K1997" s="33"/>
      <c r="L1997" s="33"/>
      <c r="X1997" s="22"/>
      <c r="Y1997" s="22"/>
      <c r="Z1997" s="22"/>
      <c r="AA1997" s="22"/>
      <c r="AF1997" s="22"/>
      <c r="AG1997" s="22"/>
      <c r="AH1997" s="22"/>
      <c r="AI1997" s="22"/>
      <c r="AN1997" s="22"/>
      <c r="AO1997" s="22"/>
      <c r="AP1997" s="22"/>
      <c r="AQ1997" s="22"/>
      <c r="AR1997" s="35"/>
      <c r="AS1997" s="35"/>
      <c r="AT1997" s="35"/>
      <c r="AU1997" s="31"/>
      <c r="AV1997" s="36"/>
      <c r="AW1997" s="36"/>
    </row>
    <row r="1998" spans="4:49">
      <c r="D1998" s="31"/>
      <c r="E1998" s="31"/>
      <c r="F1998" s="31"/>
      <c r="G1998" s="31"/>
      <c r="H1998" s="32"/>
      <c r="J1998" s="33"/>
      <c r="K1998" s="33"/>
      <c r="L1998" s="33"/>
      <c r="X1998" s="22"/>
      <c r="Y1998" s="22"/>
      <c r="Z1998" s="22"/>
      <c r="AA1998" s="22"/>
      <c r="AF1998" s="22"/>
      <c r="AG1998" s="22"/>
      <c r="AH1998" s="22"/>
      <c r="AI1998" s="22"/>
      <c r="AN1998" s="22"/>
      <c r="AO1998" s="22"/>
      <c r="AP1998" s="22"/>
      <c r="AQ1998" s="22"/>
      <c r="AR1998" s="35"/>
      <c r="AS1998" s="35"/>
      <c r="AT1998" s="35"/>
      <c r="AU1998" s="31"/>
      <c r="AV1998" s="36"/>
      <c r="AW1998" s="36"/>
    </row>
    <row r="1999" spans="4:49">
      <c r="D1999" s="31"/>
      <c r="E1999" s="31"/>
      <c r="F1999" s="31"/>
      <c r="G1999" s="31"/>
      <c r="H1999" s="32"/>
      <c r="J1999" s="33"/>
      <c r="K1999" s="33"/>
      <c r="L1999" s="33"/>
      <c r="X1999" s="22"/>
      <c r="Y1999" s="22"/>
      <c r="Z1999" s="22"/>
      <c r="AA1999" s="22"/>
      <c r="AF1999" s="22"/>
      <c r="AG1999" s="22"/>
      <c r="AH1999" s="22"/>
      <c r="AI1999" s="22"/>
      <c r="AN1999" s="22"/>
      <c r="AO1999" s="22"/>
      <c r="AP1999" s="22"/>
      <c r="AQ1999" s="22"/>
      <c r="AR1999" s="35"/>
      <c r="AS1999" s="35"/>
      <c r="AT1999" s="35"/>
      <c r="AU1999" s="31"/>
      <c r="AV1999" s="36"/>
      <c r="AW1999" s="36"/>
    </row>
    <row r="2000" spans="4:49">
      <c r="D2000" s="31"/>
      <c r="E2000" s="31"/>
      <c r="F2000" s="31"/>
      <c r="G2000" s="31"/>
      <c r="H2000" s="32"/>
      <c r="J2000" s="33"/>
      <c r="K2000" s="33"/>
      <c r="L2000" s="33"/>
      <c r="X2000" s="22"/>
      <c r="Y2000" s="22"/>
      <c r="Z2000" s="22"/>
      <c r="AA2000" s="22"/>
      <c r="AF2000" s="22"/>
      <c r="AG2000" s="22"/>
      <c r="AH2000" s="22"/>
      <c r="AI2000" s="22"/>
      <c r="AN2000" s="22"/>
      <c r="AO2000" s="22"/>
      <c r="AP2000" s="22"/>
      <c r="AQ2000" s="22"/>
      <c r="AR2000" s="35"/>
      <c r="AS2000" s="35"/>
      <c r="AT2000" s="35"/>
      <c r="AU2000" s="31"/>
      <c r="AV2000" s="36"/>
      <c r="AW2000" s="36"/>
    </row>
    <row r="2001" spans="4:49">
      <c r="D2001" s="31"/>
      <c r="E2001" s="31"/>
      <c r="F2001" s="31"/>
      <c r="G2001" s="31"/>
      <c r="H2001" s="32"/>
      <c r="J2001" s="33"/>
      <c r="K2001" s="33"/>
      <c r="L2001" s="33"/>
      <c r="X2001" s="22"/>
      <c r="Y2001" s="22"/>
      <c r="Z2001" s="22"/>
      <c r="AA2001" s="22"/>
      <c r="AF2001" s="22"/>
      <c r="AG2001" s="22"/>
      <c r="AH2001" s="22"/>
      <c r="AI2001" s="22"/>
      <c r="AN2001" s="22"/>
      <c r="AO2001" s="22"/>
      <c r="AP2001" s="22"/>
      <c r="AQ2001" s="22"/>
      <c r="AR2001" s="35"/>
      <c r="AS2001" s="35"/>
      <c r="AT2001" s="35"/>
      <c r="AU2001" s="31"/>
      <c r="AV2001" s="36"/>
      <c r="AW2001" s="36"/>
    </row>
    <row r="2002" spans="4:49">
      <c r="D2002" s="31"/>
      <c r="E2002" s="31"/>
      <c r="F2002" s="31"/>
      <c r="G2002" s="31"/>
      <c r="H2002" s="32"/>
      <c r="J2002" s="33"/>
      <c r="K2002" s="33"/>
      <c r="L2002" s="33"/>
      <c r="X2002" s="22"/>
      <c r="Y2002" s="22"/>
      <c r="Z2002" s="22"/>
      <c r="AA2002" s="22"/>
      <c r="AF2002" s="22"/>
      <c r="AG2002" s="22"/>
      <c r="AH2002" s="22"/>
      <c r="AI2002" s="22"/>
      <c r="AN2002" s="22"/>
      <c r="AO2002" s="22"/>
      <c r="AP2002" s="22"/>
      <c r="AQ2002" s="22"/>
      <c r="AR2002" s="35"/>
      <c r="AS2002" s="35"/>
      <c r="AT2002" s="35"/>
      <c r="AU2002" s="31"/>
      <c r="AV2002" s="36"/>
      <c r="AW2002" s="36"/>
    </row>
    <row r="2003" spans="4:49">
      <c r="D2003" s="31"/>
      <c r="E2003" s="31"/>
      <c r="F2003" s="31"/>
      <c r="G2003" s="31"/>
      <c r="H2003" s="32"/>
      <c r="J2003" s="33"/>
      <c r="K2003" s="33"/>
      <c r="L2003" s="33"/>
      <c r="X2003" s="22"/>
      <c r="Y2003" s="22"/>
      <c r="Z2003" s="22"/>
      <c r="AA2003" s="22"/>
      <c r="AF2003" s="22"/>
      <c r="AG2003" s="22"/>
      <c r="AH2003" s="22"/>
      <c r="AI2003" s="22"/>
      <c r="AN2003" s="22"/>
      <c r="AO2003" s="22"/>
      <c r="AP2003" s="22"/>
      <c r="AQ2003" s="22"/>
      <c r="AR2003" s="35"/>
      <c r="AS2003" s="35"/>
      <c r="AT2003" s="35"/>
      <c r="AU2003" s="31"/>
      <c r="AV2003" s="36"/>
      <c r="AW2003" s="36"/>
    </row>
    <row r="2004" spans="4:49">
      <c r="D2004" s="31"/>
      <c r="E2004" s="31"/>
      <c r="F2004" s="31"/>
      <c r="G2004" s="31"/>
      <c r="H2004" s="32"/>
      <c r="J2004" s="33"/>
      <c r="K2004" s="33"/>
      <c r="L2004" s="33"/>
      <c r="X2004" s="22"/>
      <c r="Y2004" s="22"/>
      <c r="Z2004" s="22"/>
      <c r="AA2004" s="22"/>
      <c r="AF2004" s="22"/>
      <c r="AG2004" s="22"/>
      <c r="AH2004" s="22"/>
      <c r="AI2004" s="22"/>
      <c r="AN2004" s="22"/>
      <c r="AO2004" s="22"/>
      <c r="AP2004" s="22"/>
      <c r="AQ2004" s="22"/>
      <c r="AR2004" s="35"/>
      <c r="AS2004" s="35"/>
      <c r="AT2004" s="35"/>
      <c r="AU2004" s="31"/>
      <c r="AV2004" s="36"/>
      <c r="AW2004" s="36"/>
    </row>
    <row r="2005" spans="4:49">
      <c r="D2005" s="31"/>
      <c r="E2005" s="31"/>
      <c r="F2005" s="31"/>
      <c r="G2005" s="31"/>
      <c r="H2005" s="32"/>
      <c r="J2005" s="33"/>
      <c r="K2005" s="33"/>
      <c r="L2005" s="33"/>
      <c r="X2005" s="22"/>
      <c r="Y2005" s="22"/>
      <c r="Z2005" s="22"/>
      <c r="AA2005" s="22"/>
      <c r="AF2005" s="22"/>
      <c r="AG2005" s="22"/>
      <c r="AH2005" s="22"/>
      <c r="AI2005" s="22"/>
      <c r="AN2005" s="22"/>
      <c r="AO2005" s="22"/>
      <c r="AP2005" s="22"/>
      <c r="AQ2005" s="22"/>
      <c r="AR2005" s="35"/>
      <c r="AS2005" s="35"/>
      <c r="AT2005" s="35"/>
      <c r="AU2005" s="31"/>
      <c r="AV2005" s="36"/>
      <c r="AW2005" s="36"/>
    </row>
    <row r="2006" spans="4:49">
      <c r="D2006" s="31"/>
      <c r="E2006" s="31"/>
      <c r="F2006" s="31"/>
      <c r="G2006" s="31"/>
      <c r="H2006" s="32"/>
      <c r="J2006" s="33"/>
      <c r="K2006" s="33"/>
      <c r="L2006" s="33"/>
      <c r="X2006" s="22"/>
      <c r="Y2006" s="22"/>
      <c r="Z2006" s="22"/>
      <c r="AA2006" s="22"/>
      <c r="AF2006" s="22"/>
      <c r="AG2006" s="22"/>
      <c r="AH2006" s="22"/>
      <c r="AI2006" s="22"/>
      <c r="AN2006" s="22"/>
      <c r="AO2006" s="22"/>
      <c r="AP2006" s="22"/>
      <c r="AQ2006" s="22"/>
      <c r="AR2006" s="35"/>
      <c r="AS2006" s="35"/>
      <c r="AT2006" s="35"/>
      <c r="AU2006" s="31"/>
      <c r="AV2006" s="36"/>
      <c r="AW2006" s="36"/>
    </row>
    <row r="2007" spans="4:49">
      <c r="D2007" s="31"/>
      <c r="E2007" s="31"/>
      <c r="F2007" s="31"/>
      <c r="G2007" s="31"/>
      <c r="H2007" s="32"/>
      <c r="J2007" s="33"/>
      <c r="K2007" s="33"/>
      <c r="L2007" s="33"/>
      <c r="X2007" s="22"/>
      <c r="Y2007" s="22"/>
      <c r="Z2007" s="22"/>
      <c r="AA2007" s="22"/>
      <c r="AF2007" s="22"/>
      <c r="AG2007" s="22"/>
      <c r="AH2007" s="22"/>
      <c r="AI2007" s="22"/>
      <c r="AN2007" s="22"/>
      <c r="AO2007" s="22"/>
      <c r="AP2007" s="22"/>
      <c r="AQ2007" s="22"/>
      <c r="AR2007" s="35"/>
      <c r="AS2007" s="35"/>
      <c r="AT2007" s="35"/>
      <c r="AU2007" s="31"/>
      <c r="AV2007" s="36"/>
      <c r="AW2007" s="36"/>
    </row>
    <row r="2008" spans="4:49">
      <c r="D2008" s="31"/>
      <c r="E2008" s="31"/>
      <c r="F2008" s="31"/>
      <c r="G2008" s="31"/>
      <c r="H2008" s="32"/>
      <c r="J2008" s="33"/>
      <c r="K2008" s="33"/>
      <c r="L2008" s="33"/>
      <c r="X2008" s="22"/>
      <c r="Y2008" s="22"/>
      <c r="Z2008" s="22"/>
      <c r="AA2008" s="22"/>
      <c r="AF2008" s="22"/>
      <c r="AG2008" s="22"/>
      <c r="AH2008" s="22"/>
      <c r="AI2008" s="22"/>
      <c r="AN2008" s="22"/>
      <c r="AO2008" s="22"/>
      <c r="AP2008" s="22"/>
      <c r="AQ2008" s="22"/>
      <c r="AR2008" s="35"/>
      <c r="AS2008" s="35"/>
      <c r="AT2008" s="35"/>
      <c r="AU2008" s="31"/>
      <c r="AV2008" s="36"/>
      <c r="AW2008" s="36"/>
    </row>
    <row r="2009" spans="4:49">
      <c r="D2009" s="31"/>
      <c r="E2009" s="31"/>
      <c r="F2009" s="31"/>
      <c r="G2009" s="31"/>
      <c r="H2009" s="32"/>
      <c r="J2009" s="33"/>
      <c r="K2009" s="33"/>
      <c r="L2009" s="33"/>
      <c r="X2009" s="22"/>
      <c r="Y2009" s="22"/>
      <c r="Z2009" s="22"/>
      <c r="AA2009" s="22"/>
      <c r="AF2009" s="22"/>
      <c r="AG2009" s="22"/>
      <c r="AH2009" s="22"/>
      <c r="AI2009" s="22"/>
      <c r="AN2009" s="22"/>
      <c r="AO2009" s="22"/>
      <c r="AP2009" s="22"/>
      <c r="AQ2009" s="22"/>
      <c r="AR2009" s="35"/>
      <c r="AS2009" s="35"/>
      <c r="AT2009" s="35"/>
      <c r="AU2009" s="31"/>
      <c r="AV2009" s="36"/>
      <c r="AW2009" s="36"/>
    </row>
    <row r="2010" spans="4:49">
      <c r="D2010" s="31"/>
      <c r="E2010" s="31"/>
      <c r="F2010" s="31"/>
      <c r="G2010" s="31"/>
      <c r="H2010" s="32"/>
      <c r="J2010" s="33"/>
      <c r="K2010" s="33"/>
      <c r="L2010" s="33"/>
      <c r="X2010" s="22"/>
      <c r="Y2010" s="22"/>
      <c r="Z2010" s="22"/>
      <c r="AA2010" s="22"/>
      <c r="AF2010" s="22"/>
      <c r="AG2010" s="22"/>
      <c r="AH2010" s="22"/>
      <c r="AI2010" s="22"/>
      <c r="AN2010" s="22"/>
      <c r="AO2010" s="22"/>
      <c r="AP2010" s="22"/>
      <c r="AQ2010" s="22"/>
      <c r="AR2010" s="35"/>
      <c r="AS2010" s="35"/>
      <c r="AT2010" s="35"/>
      <c r="AU2010" s="31"/>
      <c r="AV2010" s="36"/>
      <c r="AW2010" s="36"/>
    </row>
    <row r="2011" spans="4:49">
      <c r="D2011" s="31"/>
      <c r="E2011" s="31"/>
      <c r="F2011" s="31"/>
      <c r="G2011" s="31"/>
      <c r="H2011" s="32"/>
      <c r="J2011" s="33"/>
      <c r="K2011" s="33"/>
      <c r="L2011" s="33"/>
      <c r="X2011" s="22"/>
      <c r="Y2011" s="22"/>
      <c r="Z2011" s="22"/>
      <c r="AA2011" s="22"/>
      <c r="AF2011" s="22"/>
      <c r="AG2011" s="22"/>
      <c r="AH2011" s="22"/>
      <c r="AI2011" s="22"/>
      <c r="AN2011" s="22"/>
      <c r="AO2011" s="22"/>
      <c r="AP2011" s="22"/>
      <c r="AQ2011" s="22"/>
      <c r="AR2011" s="35"/>
      <c r="AS2011" s="35"/>
      <c r="AT2011" s="35"/>
      <c r="AU2011" s="31"/>
      <c r="AV2011" s="36"/>
      <c r="AW2011" s="36"/>
    </row>
    <row r="2012" spans="4:49">
      <c r="D2012" s="31"/>
      <c r="E2012" s="31"/>
      <c r="F2012" s="31"/>
      <c r="G2012" s="31"/>
      <c r="H2012" s="32"/>
      <c r="J2012" s="33"/>
      <c r="K2012" s="33"/>
      <c r="L2012" s="33"/>
      <c r="X2012" s="22"/>
      <c r="Y2012" s="22"/>
      <c r="Z2012" s="22"/>
      <c r="AA2012" s="22"/>
      <c r="AF2012" s="22"/>
      <c r="AG2012" s="22"/>
      <c r="AH2012" s="22"/>
      <c r="AI2012" s="22"/>
      <c r="AN2012" s="22"/>
      <c r="AO2012" s="22"/>
      <c r="AP2012" s="22"/>
      <c r="AQ2012" s="22"/>
      <c r="AR2012" s="35"/>
      <c r="AS2012" s="35"/>
      <c r="AT2012" s="35"/>
      <c r="AU2012" s="31"/>
      <c r="AV2012" s="36"/>
      <c r="AW2012" s="36"/>
    </row>
    <row r="2013" spans="4:49">
      <c r="D2013" s="31"/>
      <c r="E2013" s="31"/>
      <c r="F2013" s="31"/>
      <c r="G2013" s="31"/>
      <c r="H2013" s="32"/>
      <c r="J2013" s="33"/>
      <c r="K2013" s="33"/>
      <c r="L2013" s="33"/>
      <c r="X2013" s="22"/>
      <c r="Y2013" s="22"/>
      <c r="Z2013" s="22"/>
      <c r="AA2013" s="22"/>
      <c r="AF2013" s="22"/>
      <c r="AG2013" s="22"/>
      <c r="AH2013" s="22"/>
      <c r="AI2013" s="22"/>
      <c r="AN2013" s="22"/>
      <c r="AO2013" s="22"/>
      <c r="AP2013" s="22"/>
      <c r="AQ2013" s="22"/>
      <c r="AR2013" s="35"/>
      <c r="AS2013" s="35"/>
      <c r="AT2013" s="35"/>
      <c r="AU2013" s="31"/>
      <c r="AV2013" s="36"/>
      <c r="AW2013" s="36"/>
    </row>
    <row r="2014" spans="4:49">
      <c r="D2014" s="31"/>
      <c r="E2014" s="31"/>
      <c r="F2014" s="31"/>
      <c r="G2014" s="31"/>
      <c r="H2014" s="32"/>
      <c r="J2014" s="33"/>
      <c r="K2014" s="33"/>
      <c r="L2014" s="33"/>
      <c r="X2014" s="22"/>
      <c r="Y2014" s="22"/>
      <c r="Z2014" s="22"/>
      <c r="AA2014" s="22"/>
      <c r="AF2014" s="22"/>
      <c r="AG2014" s="22"/>
      <c r="AH2014" s="22"/>
      <c r="AI2014" s="22"/>
      <c r="AN2014" s="22"/>
      <c r="AO2014" s="22"/>
      <c r="AP2014" s="22"/>
      <c r="AQ2014" s="22"/>
      <c r="AR2014" s="35"/>
      <c r="AS2014" s="35"/>
      <c r="AT2014" s="35"/>
      <c r="AU2014" s="31"/>
      <c r="AV2014" s="36"/>
      <c r="AW2014" s="36"/>
    </row>
    <row r="2015" spans="4:49">
      <c r="D2015" s="31"/>
      <c r="E2015" s="31"/>
      <c r="F2015" s="31"/>
      <c r="G2015" s="31"/>
      <c r="H2015" s="32"/>
      <c r="J2015" s="33"/>
      <c r="K2015" s="33"/>
      <c r="L2015" s="33"/>
      <c r="X2015" s="22"/>
      <c r="Y2015" s="22"/>
      <c r="Z2015" s="22"/>
      <c r="AA2015" s="22"/>
      <c r="AF2015" s="22"/>
      <c r="AG2015" s="22"/>
      <c r="AH2015" s="22"/>
      <c r="AI2015" s="22"/>
      <c r="AN2015" s="22"/>
      <c r="AO2015" s="22"/>
      <c r="AP2015" s="22"/>
      <c r="AQ2015" s="22"/>
      <c r="AR2015" s="35"/>
      <c r="AS2015" s="35"/>
      <c r="AT2015" s="35"/>
      <c r="AU2015" s="31"/>
      <c r="AV2015" s="36"/>
      <c r="AW2015" s="36"/>
    </row>
    <row r="2016" spans="4:49">
      <c r="D2016" s="31"/>
      <c r="E2016" s="31"/>
      <c r="F2016" s="31"/>
      <c r="G2016" s="31"/>
      <c r="H2016" s="32"/>
      <c r="J2016" s="33"/>
      <c r="K2016" s="33"/>
      <c r="L2016" s="33"/>
      <c r="X2016" s="22"/>
      <c r="Y2016" s="22"/>
      <c r="Z2016" s="22"/>
      <c r="AA2016" s="22"/>
      <c r="AF2016" s="22"/>
      <c r="AG2016" s="22"/>
      <c r="AH2016" s="22"/>
      <c r="AI2016" s="22"/>
      <c r="AN2016" s="22"/>
      <c r="AO2016" s="22"/>
      <c r="AP2016" s="22"/>
      <c r="AQ2016" s="22"/>
      <c r="AR2016" s="35"/>
      <c r="AS2016" s="35"/>
      <c r="AT2016" s="35"/>
      <c r="AU2016" s="31"/>
      <c r="AV2016" s="36"/>
      <c r="AW2016" s="36"/>
    </row>
    <row r="2017" spans="4:49">
      <c r="D2017" s="31"/>
      <c r="E2017" s="31"/>
      <c r="F2017" s="31"/>
      <c r="G2017" s="31"/>
      <c r="H2017" s="32"/>
      <c r="J2017" s="33"/>
      <c r="K2017" s="33"/>
      <c r="L2017" s="33"/>
      <c r="X2017" s="22"/>
      <c r="Y2017" s="22"/>
      <c r="Z2017" s="22"/>
      <c r="AA2017" s="22"/>
      <c r="AF2017" s="22"/>
      <c r="AG2017" s="22"/>
      <c r="AH2017" s="22"/>
      <c r="AI2017" s="22"/>
      <c r="AN2017" s="22"/>
      <c r="AO2017" s="22"/>
      <c r="AP2017" s="22"/>
      <c r="AQ2017" s="22"/>
      <c r="AR2017" s="35"/>
      <c r="AS2017" s="35"/>
      <c r="AT2017" s="35"/>
      <c r="AU2017" s="31"/>
      <c r="AV2017" s="36"/>
      <c r="AW2017" s="36"/>
    </row>
    <row r="2018" spans="4:49">
      <c r="D2018" s="31"/>
      <c r="E2018" s="31"/>
      <c r="F2018" s="31"/>
      <c r="G2018" s="31"/>
      <c r="H2018" s="32"/>
      <c r="J2018" s="33"/>
      <c r="K2018" s="33"/>
      <c r="L2018" s="33"/>
      <c r="X2018" s="22"/>
      <c r="Y2018" s="22"/>
      <c r="Z2018" s="22"/>
      <c r="AA2018" s="22"/>
      <c r="AF2018" s="22"/>
      <c r="AG2018" s="22"/>
      <c r="AH2018" s="22"/>
      <c r="AI2018" s="22"/>
      <c r="AN2018" s="22"/>
      <c r="AO2018" s="22"/>
      <c r="AP2018" s="22"/>
      <c r="AQ2018" s="22"/>
      <c r="AR2018" s="35"/>
      <c r="AS2018" s="35"/>
      <c r="AT2018" s="35"/>
      <c r="AU2018" s="31"/>
      <c r="AV2018" s="36"/>
      <c r="AW2018" s="36"/>
    </row>
    <row r="2019" spans="4:49">
      <c r="D2019" s="31"/>
      <c r="E2019" s="31"/>
      <c r="F2019" s="31"/>
      <c r="G2019" s="31"/>
      <c r="H2019" s="32"/>
      <c r="J2019" s="33"/>
      <c r="K2019" s="33"/>
      <c r="L2019" s="33"/>
      <c r="X2019" s="22"/>
      <c r="Y2019" s="22"/>
      <c r="Z2019" s="22"/>
      <c r="AA2019" s="22"/>
      <c r="AF2019" s="22"/>
      <c r="AG2019" s="22"/>
      <c r="AH2019" s="22"/>
      <c r="AI2019" s="22"/>
      <c r="AN2019" s="22"/>
      <c r="AO2019" s="22"/>
      <c r="AP2019" s="22"/>
      <c r="AQ2019" s="22"/>
      <c r="AR2019" s="35"/>
      <c r="AS2019" s="35"/>
      <c r="AT2019" s="35"/>
      <c r="AU2019" s="31"/>
      <c r="AV2019" s="36"/>
      <c r="AW2019" s="36"/>
    </row>
    <row r="2020" spans="4:49">
      <c r="D2020" s="31"/>
      <c r="E2020" s="31"/>
      <c r="F2020" s="31"/>
      <c r="G2020" s="31"/>
      <c r="H2020" s="32"/>
      <c r="J2020" s="33"/>
      <c r="K2020" s="33"/>
      <c r="L2020" s="33"/>
      <c r="X2020" s="22"/>
      <c r="Y2020" s="22"/>
      <c r="Z2020" s="22"/>
      <c r="AA2020" s="22"/>
      <c r="AF2020" s="22"/>
      <c r="AG2020" s="22"/>
      <c r="AH2020" s="22"/>
      <c r="AI2020" s="22"/>
      <c r="AN2020" s="22"/>
      <c r="AO2020" s="22"/>
      <c r="AP2020" s="22"/>
      <c r="AQ2020" s="22"/>
      <c r="AR2020" s="35"/>
      <c r="AS2020" s="35"/>
      <c r="AT2020" s="35"/>
      <c r="AU2020" s="31"/>
      <c r="AV2020" s="36"/>
      <c r="AW2020" s="36"/>
    </row>
    <row r="2021" spans="4:49">
      <c r="D2021" s="31"/>
      <c r="E2021" s="31"/>
      <c r="F2021" s="31"/>
      <c r="G2021" s="31"/>
      <c r="H2021" s="32"/>
      <c r="J2021" s="33"/>
      <c r="K2021" s="33"/>
      <c r="L2021" s="33"/>
      <c r="X2021" s="22"/>
      <c r="Y2021" s="22"/>
      <c r="Z2021" s="22"/>
      <c r="AA2021" s="22"/>
      <c r="AF2021" s="22"/>
      <c r="AG2021" s="22"/>
      <c r="AH2021" s="22"/>
      <c r="AI2021" s="22"/>
      <c r="AN2021" s="22"/>
      <c r="AO2021" s="22"/>
      <c r="AP2021" s="22"/>
      <c r="AQ2021" s="22"/>
      <c r="AR2021" s="35"/>
      <c r="AS2021" s="35"/>
      <c r="AT2021" s="35"/>
      <c r="AU2021" s="31"/>
      <c r="AV2021" s="36"/>
      <c r="AW2021" s="36"/>
    </row>
    <row r="2022" spans="4:48">
      <c r="D2022" s="31"/>
      <c r="E2022" s="31"/>
      <c r="F2022" s="31"/>
      <c r="G2022" s="31"/>
      <c r="H2022" s="32"/>
      <c r="J2022" s="33"/>
      <c r="K2022" s="33"/>
      <c r="L2022" s="33"/>
      <c r="X2022" s="22"/>
      <c r="Y2022" s="22"/>
      <c r="Z2022" s="22"/>
      <c r="AA2022" s="22"/>
      <c r="AF2022" s="22"/>
      <c r="AG2022" s="22"/>
      <c r="AH2022" s="22"/>
      <c r="AI2022" s="22"/>
      <c r="AN2022" s="22"/>
      <c r="AO2022" s="22"/>
      <c r="AP2022" s="22"/>
      <c r="AQ2022" s="22"/>
      <c r="AR2022" s="35"/>
      <c r="AS2022" s="35"/>
      <c r="AT2022" s="35"/>
      <c r="AU2022" s="31"/>
      <c r="AV2022" s="36"/>
    </row>
    <row r="2023" spans="4:48">
      <c r="D2023" s="31"/>
      <c r="E2023" s="31"/>
      <c r="F2023" s="31"/>
      <c r="G2023" s="31"/>
      <c r="H2023" s="32"/>
      <c r="J2023" s="33"/>
      <c r="K2023" s="33"/>
      <c r="L2023" s="33"/>
      <c r="X2023" s="22"/>
      <c r="Y2023" s="22"/>
      <c r="Z2023" s="22"/>
      <c r="AA2023" s="22"/>
      <c r="AF2023" s="22"/>
      <c r="AG2023" s="22"/>
      <c r="AH2023" s="22"/>
      <c r="AI2023" s="22"/>
      <c r="AN2023" s="22"/>
      <c r="AO2023" s="22"/>
      <c r="AP2023" s="22"/>
      <c r="AQ2023" s="22"/>
      <c r="AR2023" s="35"/>
      <c r="AS2023" s="35"/>
      <c r="AT2023" s="35"/>
      <c r="AU2023" s="31"/>
      <c r="AV2023" s="36"/>
    </row>
    <row r="2024" spans="4:48">
      <c r="D2024" s="31"/>
      <c r="E2024" s="31"/>
      <c r="F2024" s="31"/>
      <c r="G2024" s="31"/>
      <c r="H2024" s="32"/>
      <c r="J2024" s="33"/>
      <c r="K2024" s="33"/>
      <c r="L2024" s="33"/>
      <c r="X2024" s="22"/>
      <c r="Y2024" s="22"/>
      <c r="Z2024" s="22"/>
      <c r="AA2024" s="22"/>
      <c r="AF2024" s="22"/>
      <c r="AG2024" s="22"/>
      <c r="AH2024" s="22"/>
      <c r="AI2024" s="22"/>
      <c r="AN2024" s="22"/>
      <c r="AO2024" s="22"/>
      <c r="AP2024" s="22"/>
      <c r="AQ2024" s="22"/>
      <c r="AR2024" s="35"/>
      <c r="AS2024" s="35"/>
      <c r="AT2024" s="35"/>
      <c r="AU2024" s="31"/>
      <c r="AV2024" s="36"/>
    </row>
    <row r="2025" spans="4:48">
      <c r="D2025" s="31"/>
      <c r="E2025" s="31"/>
      <c r="F2025" s="31"/>
      <c r="G2025" s="31"/>
      <c r="H2025" s="32"/>
      <c r="J2025" s="33"/>
      <c r="K2025" s="33"/>
      <c r="L2025" s="33"/>
      <c r="X2025" s="22"/>
      <c r="Y2025" s="22"/>
      <c r="Z2025" s="22"/>
      <c r="AA2025" s="22"/>
      <c r="AF2025" s="22"/>
      <c r="AG2025" s="22"/>
      <c r="AH2025" s="22"/>
      <c r="AI2025" s="22"/>
      <c r="AN2025" s="22"/>
      <c r="AO2025" s="22"/>
      <c r="AP2025" s="22"/>
      <c r="AQ2025" s="22"/>
      <c r="AR2025" s="35"/>
      <c r="AS2025" s="35"/>
      <c r="AT2025" s="35"/>
      <c r="AU2025" s="31"/>
      <c r="AV2025" s="36"/>
    </row>
    <row r="2026" spans="4:48">
      <c r="D2026" s="31"/>
      <c r="E2026" s="31"/>
      <c r="F2026" s="31"/>
      <c r="G2026" s="31"/>
      <c r="H2026" s="32"/>
      <c r="J2026" s="33"/>
      <c r="K2026" s="33"/>
      <c r="L2026" s="33"/>
      <c r="X2026" s="22"/>
      <c r="Y2026" s="22"/>
      <c r="Z2026" s="22"/>
      <c r="AA2026" s="22"/>
      <c r="AF2026" s="22"/>
      <c r="AG2026" s="22"/>
      <c r="AH2026" s="22"/>
      <c r="AI2026" s="22"/>
      <c r="AN2026" s="22"/>
      <c r="AO2026" s="22"/>
      <c r="AP2026" s="22"/>
      <c r="AQ2026" s="22"/>
      <c r="AR2026" s="35"/>
      <c r="AS2026" s="35"/>
      <c r="AT2026" s="35"/>
      <c r="AU2026" s="31"/>
      <c r="AV2026" s="36"/>
    </row>
    <row r="2027" spans="4:48">
      <c r="D2027" s="31"/>
      <c r="E2027" s="31"/>
      <c r="F2027" s="31"/>
      <c r="G2027" s="31"/>
      <c r="H2027" s="32"/>
      <c r="J2027" s="33"/>
      <c r="K2027" s="33"/>
      <c r="L2027" s="33"/>
      <c r="X2027" s="22"/>
      <c r="Y2027" s="22"/>
      <c r="Z2027" s="22"/>
      <c r="AA2027" s="22"/>
      <c r="AF2027" s="22"/>
      <c r="AG2027" s="22"/>
      <c r="AH2027" s="22"/>
      <c r="AI2027" s="22"/>
      <c r="AN2027" s="22"/>
      <c r="AO2027" s="22"/>
      <c r="AP2027" s="22"/>
      <c r="AQ2027" s="22"/>
      <c r="AR2027" s="35"/>
      <c r="AS2027" s="35"/>
      <c r="AT2027" s="35"/>
      <c r="AU2027" s="31"/>
      <c r="AV2027" s="36"/>
    </row>
    <row r="2028" spans="4:48">
      <c r="D2028" s="31"/>
      <c r="E2028" s="31"/>
      <c r="F2028" s="31"/>
      <c r="G2028" s="31"/>
      <c r="H2028" s="32"/>
      <c r="J2028" s="33"/>
      <c r="K2028" s="33"/>
      <c r="L2028" s="33"/>
      <c r="X2028" s="22"/>
      <c r="Y2028" s="22"/>
      <c r="Z2028" s="22"/>
      <c r="AA2028" s="22"/>
      <c r="AF2028" s="22"/>
      <c r="AG2028" s="22"/>
      <c r="AH2028" s="22"/>
      <c r="AI2028" s="22"/>
      <c r="AN2028" s="22"/>
      <c r="AO2028" s="22"/>
      <c r="AP2028" s="22"/>
      <c r="AQ2028" s="22"/>
      <c r="AR2028" s="35"/>
      <c r="AS2028" s="35"/>
      <c r="AT2028" s="35"/>
      <c r="AU2028" s="31"/>
      <c r="AV2028" s="36"/>
    </row>
    <row r="2029" spans="4:48">
      <c r="D2029" s="31"/>
      <c r="E2029" s="31"/>
      <c r="F2029" s="31"/>
      <c r="G2029" s="31"/>
      <c r="H2029" s="32"/>
      <c r="J2029" s="33"/>
      <c r="K2029" s="33"/>
      <c r="L2029" s="33"/>
      <c r="X2029" s="22"/>
      <c r="Y2029" s="22"/>
      <c r="Z2029" s="22"/>
      <c r="AA2029" s="22"/>
      <c r="AF2029" s="22"/>
      <c r="AG2029" s="22"/>
      <c r="AH2029" s="22"/>
      <c r="AI2029" s="22"/>
      <c r="AN2029" s="22"/>
      <c r="AO2029" s="22"/>
      <c r="AP2029" s="22"/>
      <c r="AQ2029" s="22"/>
      <c r="AR2029" s="35"/>
      <c r="AS2029" s="35"/>
      <c r="AT2029" s="35"/>
      <c r="AU2029" s="31"/>
      <c r="AV2029" s="36"/>
    </row>
    <row r="2030" spans="4:48">
      <c r="D2030" s="31"/>
      <c r="E2030" s="31"/>
      <c r="F2030" s="31"/>
      <c r="G2030" s="31"/>
      <c r="H2030" s="32"/>
      <c r="J2030" s="33"/>
      <c r="K2030" s="33"/>
      <c r="L2030" s="33"/>
      <c r="X2030" s="22"/>
      <c r="Y2030" s="22"/>
      <c r="Z2030" s="22"/>
      <c r="AA2030" s="22"/>
      <c r="AF2030" s="22"/>
      <c r="AG2030" s="22"/>
      <c r="AH2030" s="22"/>
      <c r="AI2030" s="22"/>
      <c r="AN2030" s="22"/>
      <c r="AO2030" s="22"/>
      <c r="AP2030" s="22"/>
      <c r="AQ2030" s="22"/>
      <c r="AR2030" s="35"/>
      <c r="AS2030" s="35"/>
      <c r="AT2030" s="35"/>
      <c r="AU2030" s="31"/>
      <c r="AV2030" s="36"/>
    </row>
    <row r="2031" spans="4:48">
      <c r="D2031" s="31"/>
      <c r="E2031" s="31"/>
      <c r="F2031" s="31"/>
      <c r="G2031" s="31"/>
      <c r="H2031" s="32"/>
      <c r="J2031" s="33"/>
      <c r="K2031" s="33"/>
      <c r="L2031" s="33"/>
      <c r="X2031" s="22"/>
      <c r="Y2031" s="22"/>
      <c r="Z2031" s="22"/>
      <c r="AA2031" s="22"/>
      <c r="AF2031" s="22"/>
      <c r="AG2031" s="22"/>
      <c r="AH2031" s="22"/>
      <c r="AI2031" s="22"/>
      <c r="AN2031" s="22"/>
      <c r="AO2031" s="22"/>
      <c r="AP2031" s="22"/>
      <c r="AQ2031" s="22"/>
      <c r="AR2031" s="35"/>
      <c r="AS2031" s="35"/>
      <c r="AT2031" s="35"/>
      <c r="AU2031" s="31"/>
      <c r="AV2031" s="36"/>
    </row>
    <row r="2032" spans="4:48">
      <c r="D2032" s="31"/>
      <c r="E2032" s="31"/>
      <c r="F2032" s="31"/>
      <c r="G2032" s="31"/>
      <c r="H2032" s="32"/>
      <c r="J2032" s="33"/>
      <c r="K2032" s="33"/>
      <c r="L2032" s="33"/>
      <c r="X2032" s="22"/>
      <c r="Y2032" s="22"/>
      <c r="Z2032" s="22"/>
      <c r="AA2032" s="22"/>
      <c r="AF2032" s="22"/>
      <c r="AG2032" s="22"/>
      <c r="AH2032" s="22"/>
      <c r="AI2032" s="22"/>
      <c r="AN2032" s="22"/>
      <c r="AO2032" s="22"/>
      <c r="AP2032" s="22"/>
      <c r="AQ2032" s="22"/>
      <c r="AR2032" s="35"/>
      <c r="AS2032" s="35"/>
      <c r="AT2032" s="35"/>
      <c r="AU2032" s="31"/>
      <c r="AV2032" s="36"/>
    </row>
    <row r="2033" spans="4:48">
      <c r="D2033" s="31"/>
      <c r="E2033" s="31"/>
      <c r="F2033" s="31"/>
      <c r="G2033" s="31"/>
      <c r="H2033" s="32"/>
      <c r="J2033" s="33"/>
      <c r="K2033" s="33"/>
      <c r="L2033" s="33"/>
      <c r="X2033" s="22"/>
      <c r="Y2033" s="22"/>
      <c r="Z2033" s="22"/>
      <c r="AA2033" s="22"/>
      <c r="AF2033" s="22"/>
      <c r="AG2033" s="22"/>
      <c r="AH2033" s="22"/>
      <c r="AI2033" s="22"/>
      <c r="AN2033" s="22"/>
      <c r="AO2033" s="22"/>
      <c r="AP2033" s="22"/>
      <c r="AQ2033" s="22"/>
      <c r="AR2033" s="35"/>
      <c r="AS2033" s="35"/>
      <c r="AT2033" s="35"/>
      <c r="AU2033" s="31"/>
      <c r="AV2033" s="36"/>
    </row>
    <row r="2034" spans="4:48">
      <c r="D2034" s="31"/>
      <c r="E2034" s="31"/>
      <c r="F2034" s="31"/>
      <c r="G2034" s="31"/>
      <c r="H2034" s="32"/>
      <c r="J2034" s="33"/>
      <c r="K2034" s="33"/>
      <c r="L2034" s="33"/>
      <c r="X2034" s="22"/>
      <c r="Y2034" s="22"/>
      <c r="Z2034" s="22"/>
      <c r="AA2034" s="22"/>
      <c r="AF2034" s="22"/>
      <c r="AG2034" s="22"/>
      <c r="AH2034" s="22"/>
      <c r="AI2034" s="22"/>
      <c r="AN2034" s="22"/>
      <c r="AO2034" s="22"/>
      <c r="AP2034" s="22"/>
      <c r="AQ2034" s="22"/>
      <c r="AR2034" s="35"/>
      <c r="AS2034" s="35"/>
      <c r="AT2034" s="35"/>
      <c r="AU2034" s="31"/>
      <c r="AV2034" s="36"/>
    </row>
    <row r="2035" spans="4:48">
      <c r="D2035" s="31"/>
      <c r="E2035" s="31"/>
      <c r="F2035" s="31"/>
      <c r="G2035" s="31"/>
      <c r="H2035" s="32"/>
      <c r="J2035" s="33"/>
      <c r="K2035" s="33"/>
      <c r="L2035" s="33"/>
      <c r="X2035" s="22"/>
      <c r="Y2035" s="22"/>
      <c r="Z2035" s="22"/>
      <c r="AA2035" s="22"/>
      <c r="AF2035" s="22"/>
      <c r="AG2035" s="22"/>
      <c r="AH2035" s="22"/>
      <c r="AI2035" s="22"/>
      <c r="AN2035" s="22"/>
      <c r="AO2035" s="22"/>
      <c r="AP2035" s="22"/>
      <c r="AQ2035" s="22"/>
      <c r="AR2035" s="35"/>
      <c r="AS2035" s="35"/>
      <c r="AT2035" s="35"/>
      <c r="AU2035" s="31"/>
      <c r="AV2035" s="36"/>
    </row>
    <row r="2036" spans="4:48">
      <c r="D2036" s="31"/>
      <c r="E2036" s="31"/>
      <c r="F2036" s="31"/>
      <c r="G2036" s="31"/>
      <c r="H2036" s="32"/>
      <c r="J2036" s="33"/>
      <c r="K2036" s="33"/>
      <c r="L2036" s="33"/>
      <c r="X2036" s="22"/>
      <c r="Y2036" s="22"/>
      <c r="Z2036" s="22"/>
      <c r="AA2036" s="22"/>
      <c r="AF2036" s="22"/>
      <c r="AG2036" s="22"/>
      <c r="AH2036" s="22"/>
      <c r="AI2036" s="22"/>
      <c r="AN2036" s="22"/>
      <c r="AO2036" s="22"/>
      <c r="AP2036" s="22"/>
      <c r="AQ2036" s="22"/>
      <c r="AR2036" s="35"/>
      <c r="AS2036" s="35"/>
      <c r="AT2036" s="35"/>
      <c r="AU2036" s="31"/>
      <c r="AV2036" s="36"/>
    </row>
    <row r="2037" spans="4:48">
      <c r="D2037" s="31"/>
      <c r="E2037" s="31"/>
      <c r="F2037" s="31"/>
      <c r="G2037" s="31"/>
      <c r="H2037" s="32"/>
      <c r="J2037" s="33"/>
      <c r="K2037" s="33"/>
      <c r="L2037" s="33"/>
      <c r="X2037" s="22"/>
      <c r="Y2037" s="22"/>
      <c r="Z2037" s="22"/>
      <c r="AA2037" s="22"/>
      <c r="AF2037" s="22"/>
      <c r="AG2037" s="22"/>
      <c r="AH2037" s="22"/>
      <c r="AI2037" s="22"/>
      <c r="AN2037" s="22"/>
      <c r="AO2037" s="22"/>
      <c r="AP2037" s="22"/>
      <c r="AQ2037" s="22"/>
      <c r="AR2037" s="35"/>
      <c r="AS2037" s="35"/>
      <c r="AT2037" s="35"/>
      <c r="AU2037" s="31"/>
      <c r="AV2037" s="36"/>
    </row>
    <row r="2038" spans="4:48">
      <c r="D2038" s="31"/>
      <c r="E2038" s="31"/>
      <c r="F2038" s="31"/>
      <c r="G2038" s="31"/>
      <c r="H2038" s="32"/>
      <c r="J2038" s="33"/>
      <c r="K2038" s="33"/>
      <c r="L2038" s="33"/>
      <c r="X2038" s="22"/>
      <c r="Y2038" s="22"/>
      <c r="Z2038" s="22"/>
      <c r="AA2038" s="22"/>
      <c r="AF2038" s="22"/>
      <c r="AG2038" s="22"/>
      <c r="AH2038" s="22"/>
      <c r="AI2038" s="22"/>
      <c r="AN2038" s="22"/>
      <c r="AO2038" s="22"/>
      <c r="AP2038" s="22"/>
      <c r="AQ2038" s="22"/>
      <c r="AR2038" s="35"/>
      <c r="AS2038" s="35"/>
      <c r="AT2038" s="35"/>
      <c r="AU2038" s="31"/>
      <c r="AV2038" s="36"/>
    </row>
    <row r="2039" spans="4:48">
      <c r="D2039" s="31"/>
      <c r="E2039" s="31"/>
      <c r="F2039" s="31"/>
      <c r="G2039" s="31"/>
      <c r="H2039" s="32"/>
      <c r="J2039" s="33"/>
      <c r="K2039" s="33"/>
      <c r="L2039" s="33"/>
      <c r="X2039" s="22"/>
      <c r="Y2039" s="22"/>
      <c r="Z2039" s="22"/>
      <c r="AA2039" s="22"/>
      <c r="AF2039" s="22"/>
      <c r="AG2039" s="22"/>
      <c r="AH2039" s="22"/>
      <c r="AI2039" s="22"/>
      <c r="AN2039" s="22"/>
      <c r="AO2039" s="22"/>
      <c r="AP2039" s="22"/>
      <c r="AQ2039" s="22"/>
      <c r="AR2039" s="35"/>
      <c r="AS2039" s="35"/>
      <c r="AT2039" s="35"/>
      <c r="AU2039" s="31"/>
      <c r="AV2039" s="36"/>
    </row>
    <row r="2040" spans="4:48">
      <c r="D2040" s="31"/>
      <c r="E2040" s="31"/>
      <c r="F2040" s="31"/>
      <c r="G2040" s="31"/>
      <c r="H2040" s="32"/>
      <c r="J2040" s="33"/>
      <c r="K2040" s="33"/>
      <c r="L2040" s="33"/>
      <c r="X2040" s="22"/>
      <c r="Y2040" s="22"/>
      <c r="Z2040" s="22"/>
      <c r="AA2040" s="22"/>
      <c r="AF2040" s="22"/>
      <c r="AG2040" s="22"/>
      <c r="AH2040" s="22"/>
      <c r="AI2040" s="22"/>
      <c r="AN2040" s="22"/>
      <c r="AO2040" s="22"/>
      <c r="AP2040" s="22"/>
      <c r="AQ2040" s="22"/>
      <c r="AR2040" s="35"/>
      <c r="AS2040" s="35"/>
      <c r="AT2040" s="35"/>
      <c r="AU2040" s="31"/>
      <c r="AV2040" s="36"/>
    </row>
    <row r="2041" spans="4:48">
      <c r="D2041" s="31"/>
      <c r="E2041" s="31"/>
      <c r="F2041" s="31"/>
      <c r="G2041" s="31"/>
      <c r="H2041" s="32"/>
      <c r="J2041" s="33"/>
      <c r="K2041" s="33"/>
      <c r="L2041" s="33"/>
      <c r="X2041" s="22"/>
      <c r="Y2041" s="22"/>
      <c r="Z2041" s="22"/>
      <c r="AA2041" s="22"/>
      <c r="AF2041" s="22"/>
      <c r="AG2041" s="22"/>
      <c r="AH2041" s="22"/>
      <c r="AI2041" s="22"/>
      <c r="AN2041" s="22"/>
      <c r="AO2041" s="22"/>
      <c r="AP2041" s="22"/>
      <c r="AQ2041" s="22"/>
      <c r="AR2041" s="35"/>
      <c r="AS2041" s="35"/>
      <c r="AT2041" s="35"/>
      <c r="AU2041" s="31"/>
      <c r="AV2041" s="36"/>
    </row>
    <row r="2042" spans="4:48">
      <c r="D2042" s="31"/>
      <c r="E2042" s="31"/>
      <c r="F2042" s="31"/>
      <c r="G2042" s="31"/>
      <c r="H2042" s="32"/>
      <c r="J2042" s="33"/>
      <c r="K2042" s="33"/>
      <c r="L2042" s="33"/>
      <c r="X2042" s="22"/>
      <c r="Y2042" s="22"/>
      <c r="Z2042" s="22"/>
      <c r="AA2042" s="22"/>
      <c r="AF2042" s="22"/>
      <c r="AG2042" s="22"/>
      <c r="AH2042" s="22"/>
      <c r="AI2042" s="22"/>
      <c r="AN2042" s="22"/>
      <c r="AO2042" s="22"/>
      <c r="AP2042" s="22"/>
      <c r="AQ2042" s="22"/>
      <c r="AR2042" s="35"/>
      <c r="AS2042" s="35"/>
      <c r="AT2042" s="35"/>
      <c r="AU2042" s="31"/>
      <c r="AV2042" s="36"/>
    </row>
    <row r="2043" spans="4:48">
      <c r="D2043" s="31"/>
      <c r="E2043" s="31"/>
      <c r="F2043" s="31"/>
      <c r="G2043" s="31"/>
      <c r="H2043" s="32"/>
      <c r="J2043" s="33"/>
      <c r="K2043" s="33"/>
      <c r="L2043" s="33"/>
      <c r="X2043" s="22"/>
      <c r="Y2043" s="22"/>
      <c r="Z2043" s="22"/>
      <c r="AA2043" s="22"/>
      <c r="AF2043" s="22"/>
      <c r="AG2043" s="22"/>
      <c r="AH2043" s="22"/>
      <c r="AI2043" s="22"/>
      <c r="AN2043" s="22"/>
      <c r="AO2043" s="22"/>
      <c r="AP2043" s="22"/>
      <c r="AQ2043" s="22"/>
      <c r="AR2043" s="35"/>
      <c r="AS2043" s="35"/>
      <c r="AT2043" s="35"/>
      <c r="AU2043" s="31"/>
      <c r="AV2043" s="36"/>
    </row>
    <row r="2044" spans="4:48">
      <c r="D2044" s="31"/>
      <c r="E2044" s="31"/>
      <c r="F2044" s="31"/>
      <c r="G2044" s="31"/>
      <c r="H2044" s="32"/>
      <c r="J2044" s="33"/>
      <c r="K2044" s="33"/>
      <c r="L2044" s="33"/>
      <c r="X2044" s="22"/>
      <c r="Y2044" s="22"/>
      <c r="Z2044" s="22"/>
      <c r="AA2044" s="22"/>
      <c r="AF2044" s="22"/>
      <c r="AG2044" s="22"/>
      <c r="AH2044" s="22"/>
      <c r="AI2044" s="22"/>
      <c r="AN2044" s="22"/>
      <c r="AO2044" s="22"/>
      <c r="AP2044" s="22"/>
      <c r="AQ2044" s="22"/>
      <c r="AR2044" s="35"/>
      <c r="AS2044" s="35"/>
      <c r="AT2044" s="35"/>
      <c r="AU2044" s="31"/>
      <c r="AV2044" s="36"/>
    </row>
    <row r="2045" spans="4:48">
      <c r="D2045" s="31"/>
      <c r="E2045" s="31"/>
      <c r="F2045" s="31"/>
      <c r="G2045" s="31"/>
      <c r="H2045" s="32"/>
      <c r="J2045" s="33"/>
      <c r="K2045" s="33"/>
      <c r="L2045" s="33"/>
      <c r="X2045" s="22"/>
      <c r="Y2045" s="22"/>
      <c r="Z2045" s="22"/>
      <c r="AA2045" s="22"/>
      <c r="AF2045" s="22"/>
      <c r="AG2045" s="22"/>
      <c r="AH2045" s="22"/>
      <c r="AI2045" s="22"/>
      <c r="AN2045" s="22"/>
      <c r="AO2045" s="22"/>
      <c r="AP2045" s="22"/>
      <c r="AQ2045" s="22"/>
      <c r="AR2045" s="35"/>
      <c r="AS2045" s="35"/>
      <c r="AT2045" s="35"/>
      <c r="AU2045" s="31"/>
      <c r="AV2045" s="36"/>
    </row>
    <row r="2046" spans="4:48">
      <c r="D2046" s="31"/>
      <c r="E2046" s="31"/>
      <c r="F2046" s="31"/>
      <c r="G2046" s="31"/>
      <c r="H2046" s="32"/>
      <c r="J2046" s="33"/>
      <c r="K2046" s="33"/>
      <c r="L2046" s="33"/>
      <c r="X2046" s="22"/>
      <c r="Y2046" s="22"/>
      <c r="Z2046" s="22"/>
      <c r="AA2046" s="22"/>
      <c r="AF2046" s="22"/>
      <c r="AG2046" s="22"/>
      <c r="AH2046" s="22"/>
      <c r="AI2046" s="22"/>
      <c r="AN2046" s="22"/>
      <c r="AO2046" s="22"/>
      <c r="AP2046" s="22"/>
      <c r="AQ2046" s="22"/>
      <c r="AR2046" s="35"/>
      <c r="AS2046" s="35"/>
      <c r="AT2046" s="35"/>
      <c r="AU2046" s="31"/>
      <c r="AV2046" s="36"/>
    </row>
    <row r="2047" spans="4:48">
      <c r="D2047" s="31"/>
      <c r="E2047" s="31"/>
      <c r="F2047" s="31"/>
      <c r="G2047" s="31"/>
      <c r="H2047" s="32"/>
      <c r="J2047" s="33"/>
      <c r="K2047" s="33"/>
      <c r="L2047" s="33"/>
      <c r="X2047" s="22"/>
      <c r="Y2047" s="22"/>
      <c r="Z2047" s="22"/>
      <c r="AA2047" s="22"/>
      <c r="AF2047" s="22"/>
      <c r="AG2047" s="22"/>
      <c r="AH2047" s="22"/>
      <c r="AI2047" s="22"/>
      <c r="AN2047" s="22"/>
      <c r="AO2047" s="22"/>
      <c r="AP2047" s="22"/>
      <c r="AQ2047" s="22"/>
      <c r="AR2047" s="35"/>
      <c r="AS2047" s="35"/>
      <c r="AT2047" s="35"/>
      <c r="AU2047" s="31"/>
      <c r="AV2047" s="36"/>
    </row>
    <row r="2048" spans="4:48">
      <c r="D2048" s="31"/>
      <c r="E2048" s="31"/>
      <c r="F2048" s="31"/>
      <c r="G2048" s="31"/>
      <c r="H2048" s="32"/>
      <c r="J2048" s="33"/>
      <c r="K2048" s="33"/>
      <c r="L2048" s="33"/>
      <c r="X2048" s="22"/>
      <c r="Y2048" s="22"/>
      <c r="Z2048" s="22"/>
      <c r="AA2048" s="22"/>
      <c r="AF2048" s="22"/>
      <c r="AG2048" s="22"/>
      <c r="AH2048" s="22"/>
      <c r="AI2048" s="22"/>
      <c r="AN2048" s="22"/>
      <c r="AO2048" s="22"/>
      <c r="AP2048" s="22"/>
      <c r="AQ2048" s="22"/>
      <c r="AR2048" s="35"/>
      <c r="AS2048" s="35"/>
      <c r="AT2048" s="35"/>
      <c r="AU2048" s="31"/>
      <c r="AV2048" s="36"/>
    </row>
    <row r="2049" spans="4:48">
      <c r="D2049" s="31"/>
      <c r="E2049" s="31"/>
      <c r="F2049" s="31"/>
      <c r="G2049" s="31"/>
      <c r="H2049" s="32"/>
      <c r="J2049" s="33"/>
      <c r="K2049" s="33"/>
      <c r="L2049" s="33"/>
      <c r="X2049" s="22"/>
      <c r="Y2049" s="22"/>
      <c r="Z2049" s="22"/>
      <c r="AA2049" s="22"/>
      <c r="AF2049" s="22"/>
      <c r="AG2049" s="22"/>
      <c r="AH2049" s="22"/>
      <c r="AI2049" s="22"/>
      <c r="AN2049" s="22"/>
      <c r="AO2049" s="22"/>
      <c r="AP2049" s="22"/>
      <c r="AQ2049" s="22"/>
      <c r="AR2049" s="35"/>
      <c r="AS2049" s="35"/>
      <c r="AT2049" s="35"/>
      <c r="AU2049" s="31"/>
      <c r="AV2049" s="36"/>
    </row>
    <row r="2050" spans="4:48">
      <c r="D2050" s="31"/>
      <c r="E2050" s="31"/>
      <c r="F2050" s="31"/>
      <c r="G2050" s="31"/>
      <c r="H2050" s="32"/>
      <c r="J2050" s="33"/>
      <c r="K2050" s="33"/>
      <c r="L2050" s="33"/>
      <c r="X2050" s="22"/>
      <c r="Y2050" s="22"/>
      <c r="Z2050" s="22"/>
      <c r="AA2050" s="22"/>
      <c r="AF2050" s="22"/>
      <c r="AG2050" s="22"/>
      <c r="AH2050" s="22"/>
      <c r="AI2050" s="22"/>
      <c r="AN2050" s="22"/>
      <c r="AO2050" s="22"/>
      <c r="AP2050" s="22"/>
      <c r="AQ2050" s="22"/>
      <c r="AR2050" s="35"/>
      <c r="AS2050" s="35"/>
      <c r="AT2050" s="35"/>
      <c r="AU2050" s="31"/>
      <c r="AV2050" s="36"/>
    </row>
    <row r="2051" spans="4:48">
      <c r="D2051" s="31"/>
      <c r="E2051" s="31"/>
      <c r="F2051" s="31"/>
      <c r="G2051" s="31"/>
      <c r="H2051" s="32"/>
      <c r="J2051" s="33"/>
      <c r="K2051" s="33"/>
      <c r="L2051" s="33"/>
      <c r="X2051" s="22"/>
      <c r="Y2051" s="22"/>
      <c r="Z2051" s="22"/>
      <c r="AA2051" s="22"/>
      <c r="AF2051" s="22"/>
      <c r="AG2051" s="22"/>
      <c r="AH2051" s="22"/>
      <c r="AI2051" s="22"/>
      <c r="AN2051" s="22"/>
      <c r="AO2051" s="22"/>
      <c r="AP2051" s="22"/>
      <c r="AQ2051" s="22"/>
      <c r="AR2051" s="35"/>
      <c r="AS2051" s="35"/>
      <c r="AT2051" s="35"/>
      <c r="AU2051" s="31"/>
      <c r="AV2051" s="36"/>
    </row>
    <row r="2052" spans="4:48">
      <c r="D2052" s="31"/>
      <c r="E2052" s="31"/>
      <c r="F2052" s="31"/>
      <c r="G2052" s="31"/>
      <c r="H2052" s="32"/>
      <c r="J2052" s="33"/>
      <c r="K2052" s="33"/>
      <c r="L2052" s="33"/>
      <c r="X2052" s="22"/>
      <c r="Y2052" s="22"/>
      <c r="Z2052" s="22"/>
      <c r="AA2052" s="22"/>
      <c r="AF2052" s="22"/>
      <c r="AG2052" s="22"/>
      <c r="AH2052" s="22"/>
      <c r="AI2052" s="22"/>
      <c r="AN2052" s="22"/>
      <c r="AO2052" s="22"/>
      <c r="AP2052" s="22"/>
      <c r="AQ2052" s="22"/>
      <c r="AR2052" s="35"/>
      <c r="AS2052" s="35"/>
      <c r="AT2052" s="35"/>
      <c r="AU2052" s="31"/>
      <c r="AV2052" s="36"/>
    </row>
    <row r="2053" spans="4:48">
      <c r="D2053" s="31"/>
      <c r="E2053" s="31"/>
      <c r="F2053" s="31"/>
      <c r="G2053" s="31"/>
      <c r="H2053" s="32"/>
      <c r="J2053" s="33"/>
      <c r="K2053" s="33"/>
      <c r="L2053" s="33"/>
      <c r="X2053" s="22"/>
      <c r="Y2053" s="22"/>
      <c r="Z2053" s="22"/>
      <c r="AA2053" s="22"/>
      <c r="AF2053" s="22"/>
      <c r="AG2053" s="22"/>
      <c r="AH2053" s="22"/>
      <c r="AI2053" s="22"/>
      <c r="AN2053" s="22"/>
      <c r="AO2053" s="22"/>
      <c r="AP2053" s="22"/>
      <c r="AQ2053" s="22"/>
      <c r="AR2053" s="35"/>
      <c r="AS2053" s="35"/>
      <c r="AT2053" s="35"/>
      <c r="AU2053" s="31"/>
      <c r="AV2053" s="36"/>
    </row>
    <row r="2054" spans="4:48">
      <c r="D2054" s="31"/>
      <c r="E2054" s="31"/>
      <c r="F2054" s="31"/>
      <c r="G2054" s="31"/>
      <c r="H2054" s="32"/>
      <c r="J2054" s="33"/>
      <c r="K2054" s="33"/>
      <c r="L2054" s="33"/>
      <c r="X2054" s="22"/>
      <c r="Y2054" s="22"/>
      <c r="Z2054" s="22"/>
      <c r="AA2054" s="22"/>
      <c r="AF2054" s="22"/>
      <c r="AG2054" s="22"/>
      <c r="AH2054" s="22"/>
      <c r="AI2054" s="22"/>
      <c r="AN2054" s="22"/>
      <c r="AO2054" s="22"/>
      <c r="AP2054" s="22"/>
      <c r="AQ2054" s="22"/>
      <c r="AR2054" s="35"/>
      <c r="AS2054" s="35"/>
      <c r="AT2054" s="35"/>
      <c r="AU2054" s="31"/>
      <c r="AV2054" s="36"/>
    </row>
    <row r="2055" spans="4:48">
      <c r="D2055" s="31"/>
      <c r="E2055" s="31"/>
      <c r="F2055" s="31"/>
      <c r="G2055" s="31"/>
      <c r="H2055" s="32"/>
      <c r="J2055" s="33"/>
      <c r="K2055" s="33"/>
      <c r="L2055" s="33"/>
      <c r="X2055" s="22"/>
      <c r="Y2055" s="22"/>
      <c r="Z2055" s="22"/>
      <c r="AA2055" s="22"/>
      <c r="AF2055" s="22"/>
      <c r="AG2055" s="22"/>
      <c r="AH2055" s="22"/>
      <c r="AI2055" s="22"/>
      <c r="AN2055" s="22"/>
      <c r="AO2055" s="22"/>
      <c r="AP2055" s="22"/>
      <c r="AQ2055" s="22"/>
      <c r="AR2055" s="35"/>
      <c r="AS2055" s="35"/>
      <c r="AT2055" s="35"/>
      <c r="AU2055" s="31"/>
      <c r="AV2055" s="36"/>
    </row>
    <row r="2056" spans="4:48">
      <c r="D2056" s="31"/>
      <c r="E2056" s="31"/>
      <c r="F2056" s="31"/>
      <c r="G2056" s="31"/>
      <c r="H2056" s="32"/>
      <c r="J2056" s="33"/>
      <c r="K2056" s="33"/>
      <c r="L2056" s="33"/>
      <c r="X2056" s="22"/>
      <c r="Y2056" s="22"/>
      <c r="Z2056" s="22"/>
      <c r="AA2056" s="22"/>
      <c r="AF2056" s="22"/>
      <c r="AG2056" s="22"/>
      <c r="AH2056" s="22"/>
      <c r="AI2056" s="22"/>
      <c r="AN2056" s="22"/>
      <c r="AO2056" s="22"/>
      <c r="AP2056" s="22"/>
      <c r="AQ2056" s="22"/>
      <c r="AR2056" s="35"/>
      <c r="AS2056" s="35"/>
      <c r="AT2056" s="35"/>
      <c r="AU2056" s="31"/>
      <c r="AV2056" s="36"/>
    </row>
    <row r="2057" spans="4:48">
      <c r="D2057" s="31"/>
      <c r="E2057" s="31"/>
      <c r="F2057" s="31"/>
      <c r="G2057" s="31"/>
      <c r="H2057" s="32"/>
      <c r="J2057" s="33"/>
      <c r="K2057" s="33"/>
      <c r="L2057" s="33"/>
      <c r="X2057" s="22"/>
      <c r="Y2057" s="22"/>
      <c r="Z2057" s="22"/>
      <c r="AA2057" s="22"/>
      <c r="AF2057" s="22"/>
      <c r="AG2057" s="22"/>
      <c r="AH2057" s="22"/>
      <c r="AI2057" s="22"/>
      <c r="AN2057" s="22"/>
      <c r="AO2057" s="22"/>
      <c r="AP2057" s="22"/>
      <c r="AQ2057" s="22"/>
      <c r="AR2057" s="35"/>
      <c r="AS2057" s="35"/>
      <c r="AT2057" s="35"/>
      <c r="AU2057" s="31"/>
      <c r="AV2057" s="36"/>
    </row>
    <row r="2058" spans="4:48">
      <c r="D2058" s="31"/>
      <c r="E2058" s="31"/>
      <c r="F2058" s="31"/>
      <c r="G2058" s="31"/>
      <c r="H2058" s="32"/>
      <c r="J2058" s="33"/>
      <c r="K2058" s="33"/>
      <c r="L2058" s="33"/>
      <c r="X2058" s="22"/>
      <c r="Y2058" s="22"/>
      <c r="Z2058" s="22"/>
      <c r="AA2058" s="22"/>
      <c r="AF2058" s="22"/>
      <c r="AG2058" s="22"/>
      <c r="AH2058" s="22"/>
      <c r="AI2058" s="22"/>
      <c r="AN2058" s="22"/>
      <c r="AO2058" s="22"/>
      <c r="AP2058" s="22"/>
      <c r="AQ2058" s="22"/>
      <c r="AR2058" s="35"/>
      <c r="AS2058" s="35"/>
      <c r="AT2058" s="35"/>
      <c r="AU2058" s="31"/>
      <c r="AV2058" s="36"/>
    </row>
    <row r="2059" spans="4:48">
      <c r="D2059" s="31"/>
      <c r="E2059" s="31"/>
      <c r="F2059" s="31"/>
      <c r="G2059" s="31"/>
      <c r="H2059" s="32"/>
      <c r="J2059" s="33"/>
      <c r="K2059" s="33"/>
      <c r="L2059" s="33"/>
      <c r="X2059" s="22"/>
      <c r="Y2059" s="22"/>
      <c r="Z2059" s="22"/>
      <c r="AA2059" s="22"/>
      <c r="AF2059" s="22"/>
      <c r="AG2059" s="22"/>
      <c r="AH2059" s="22"/>
      <c r="AI2059" s="22"/>
      <c r="AN2059" s="22"/>
      <c r="AO2059" s="22"/>
      <c r="AP2059" s="22"/>
      <c r="AQ2059" s="22"/>
      <c r="AR2059" s="35"/>
      <c r="AS2059" s="35"/>
      <c r="AT2059" s="35"/>
      <c r="AU2059" s="31"/>
      <c r="AV2059" s="36"/>
    </row>
    <row r="2060" spans="4:48">
      <c r="D2060" s="31"/>
      <c r="E2060" s="31"/>
      <c r="F2060" s="31"/>
      <c r="G2060" s="31"/>
      <c r="H2060" s="32"/>
      <c r="J2060" s="33"/>
      <c r="K2060" s="33"/>
      <c r="L2060" s="33"/>
      <c r="X2060" s="22"/>
      <c r="Y2060" s="22"/>
      <c r="Z2060" s="22"/>
      <c r="AA2060" s="22"/>
      <c r="AF2060" s="22"/>
      <c r="AG2060" s="22"/>
      <c r="AH2060" s="22"/>
      <c r="AI2060" s="22"/>
      <c r="AN2060" s="22"/>
      <c r="AO2060" s="22"/>
      <c r="AP2060" s="22"/>
      <c r="AQ2060" s="22"/>
      <c r="AR2060" s="35"/>
      <c r="AS2060" s="35"/>
      <c r="AT2060" s="35"/>
      <c r="AU2060" s="31"/>
      <c r="AV2060" s="36"/>
    </row>
    <row r="2061" spans="4:48">
      <c r="D2061" s="31"/>
      <c r="E2061" s="31"/>
      <c r="F2061" s="31"/>
      <c r="G2061" s="31"/>
      <c r="H2061" s="32"/>
      <c r="J2061" s="33"/>
      <c r="K2061" s="33"/>
      <c r="L2061" s="33"/>
      <c r="X2061" s="22"/>
      <c r="Y2061" s="22"/>
      <c r="Z2061" s="22"/>
      <c r="AA2061" s="22"/>
      <c r="AF2061" s="22"/>
      <c r="AG2061" s="22"/>
      <c r="AH2061" s="22"/>
      <c r="AI2061" s="22"/>
      <c r="AN2061" s="22"/>
      <c r="AO2061" s="22"/>
      <c r="AP2061" s="22"/>
      <c r="AQ2061" s="22"/>
      <c r="AR2061" s="35"/>
      <c r="AS2061" s="35"/>
      <c r="AT2061" s="35"/>
      <c r="AU2061" s="31"/>
      <c r="AV2061" s="36"/>
    </row>
    <row r="2062" spans="4:48">
      <c r="D2062" s="31"/>
      <c r="E2062" s="31"/>
      <c r="F2062" s="31"/>
      <c r="G2062" s="31"/>
      <c r="H2062" s="32"/>
      <c r="J2062" s="33"/>
      <c r="K2062" s="33"/>
      <c r="L2062" s="33"/>
      <c r="X2062" s="22"/>
      <c r="Y2062" s="22"/>
      <c r="Z2062" s="22"/>
      <c r="AA2062" s="22"/>
      <c r="AF2062" s="22"/>
      <c r="AG2062" s="22"/>
      <c r="AH2062" s="22"/>
      <c r="AI2062" s="22"/>
      <c r="AN2062" s="22"/>
      <c r="AO2062" s="22"/>
      <c r="AP2062" s="22"/>
      <c r="AQ2062" s="22"/>
      <c r="AR2062" s="35"/>
      <c r="AS2062" s="35"/>
      <c r="AT2062" s="35"/>
      <c r="AU2062" s="31"/>
      <c r="AV2062" s="36"/>
    </row>
    <row r="2063" spans="4:48">
      <c r="D2063" s="31"/>
      <c r="E2063" s="31"/>
      <c r="F2063" s="31"/>
      <c r="G2063" s="31"/>
      <c r="H2063" s="32"/>
      <c r="J2063" s="33"/>
      <c r="K2063" s="33"/>
      <c r="L2063" s="33"/>
      <c r="X2063" s="22"/>
      <c r="Y2063" s="22"/>
      <c r="Z2063" s="22"/>
      <c r="AA2063" s="22"/>
      <c r="AF2063" s="22"/>
      <c r="AG2063" s="22"/>
      <c r="AH2063" s="22"/>
      <c r="AI2063" s="22"/>
      <c r="AN2063" s="22"/>
      <c r="AO2063" s="22"/>
      <c r="AP2063" s="22"/>
      <c r="AQ2063" s="22"/>
      <c r="AR2063" s="35"/>
      <c r="AS2063" s="35"/>
      <c r="AT2063" s="35"/>
      <c r="AU2063" s="31"/>
      <c r="AV2063" s="36"/>
    </row>
    <row r="2064" spans="4:48">
      <c r="D2064" s="31"/>
      <c r="E2064" s="31"/>
      <c r="F2064" s="31"/>
      <c r="G2064" s="31"/>
      <c r="H2064" s="32"/>
      <c r="J2064" s="33"/>
      <c r="K2064" s="33"/>
      <c r="L2064" s="33"/>
      <c r="X2064" s="22"/>
      <c r="Y2064" s="22"/>
      <c r="Z2064" s="22"/>
      <c r="AA2064" s="22"/>
      <c r="AF2064" s="22"/>
      <c r="AG2064" s="22"/>
      <c r="AH2064" s="22"/>
      <c r="AI2064" s="22"/>
      <c r="AN2064" s="22"/>
      <c r="AO2064" s="22"/>
      <c r="AP2064" s="22"/>
      <c r="AQ2064" s="22"/>
      <c r="AR2064" s="35"/>
      <c r="AS2064" s="35"/>
      <c r="AT2064" s="35"/>
      <c r="AU2064" s="31"/>
      <c r="AV2064" s="36"/>
    </row>
    <row r="2065" spans="4:48">
      <c r="D2065" s="31"/>
      <c r="E2065" s="31"/>
      <c r="F2065" s="31"/>
      <c r="G2065" s="31"/>
      <c r="H2065" s="32"/>
      <c r="J2065" s="33"/>
      <c r="K2065" s="33"/>
      <c r="L2065" s="33"/>
      <c r="X2065" s="22"/>
      <c r="Y2065" s="22"/>
      <c r="Z2065" s="22"/>
      <c r="AA2065" s="22"/>
      <c r="AF2065" s="22"/>
      <c r="AG2065" s="22"/>
      <c r="AH2065" s="22"/>
      <c r="AI2065" s="22"/>
      <c r="AN2065" s="22"/>
      <c r="AO2065" s="22"/>
      <c r="AP2065" s="22"/>
      <c r="AQ2065" s="22"/>
      <c r="AR2065" s="35"/>
      <c r="AS2065" s="35"/>
      <c r="AT2065" s="35"/>
      <c r="AU2065" s="31"/>
      <c r="AV2065" s="36"/>
    </row>
    <row r="2066" spans="4:48">
      <c r="D2066" s="31"/>
      <c r="E2066" s="31"/>
      <c r="F2066" s="31"/>
      <c r="G2066" s="31"/>
      <c r="H2066" s="32"/>
      <c r="J2066" s="33"/>
      <c r="K2066" s="33"/>
      <c r="L2066" s="33"/>
      <c r="X2066" s="22"/>
      <c r="Y2066" s="22"/>
      <c r="Z2066" s="22"/>
      <c r="AA2066" s="22"/>
      <c r="AF2066" s="22"/>
      <c r="AG2066" s="22"/>
      <c r="AH2066" s="22"/>
      <c r="AI2066" s="22"/>
      <c r="AN2066" s="22"/>
      <c r="AO2066" s="22"/>
      <c r="AP2066" s="22"/>
      <c r="AQ2066" s="22"/>
      <c r="AR2066" s="35"/>
      <c r="AS2066" s="35"/>
      <c r="AT2066" s="35"/>
      <c r="AU2066" s="31"/>
      <c r="AV2066" s="36"/>
    </row>
    <row r="2067" spans="4:48">
      <c r="D2067" s="31"/>
      <c r="E2067" s="31"/>
      <c r="F2067" s="31"/>
      <c r="G2067" s="31"/>
      <c r="H2067" s="32"/>
      <c r="J2067" s="33"/>
      <c r="K2067" s="33"/>
      <c r="L2067" s="33"/>
      <c r="X2067" s="22"/>
      <c r="Y2067" s="22"/>
      <c r="Z2067" s="22"/>
      <c r="AA2067" s="22"/>
      <c r="AF2067" s="22"/>
      <c r="AG2067" s="22"/>
      <c r="AH2067" s="22"/>
      <c r="AI2067" s="22"/>
      <c r="AN2067" s="22"/>
      <c r="AO2067" s="22"/>
      <c r="AP2067" s="22"/>
      <c r="AQ2067" s="22"/>
      <c r="AR2067" s="35"/>
      <c r="AS2067" s="35"/>
      <c r="AT2067" s="35"/>
      <c r="AU2067" s="31"/>
      <c r="AV2067" s="36"/>
    </row>
    <row r="2068" spans="4:48">
      <c r="D2068" s="31"/>
      <c r="E2068" s="31"/>
      <c r="F2068" s="31"/>
      <c r="G2068" s="31"/>
      <c r="H2068" s="32"/>
      <c r="J2068" s="33"/>
      <c r="K2068" s="33"/>
      <c r="L2068" s="33"/>
      <c r="X2068" s="22"/>
      <c r="Y2068" s="22"/>
      <c r="Z2068" s="22"/>
      <c r="AA2068" s="22"/>
      <c r="AF2068" s="22"/>
      <c r="AG2068" s="22"/>
      <c r="AH2068" s="22"/>
      <c r="AI2068" s="22"/>
      <c r="AN2068" s="22"/>
      <c r="AO2068" s="22"/>
      <c r="AP2068" s="22"/>
      <c r="AQ2068" s="22"/>
      <c r="AR2068" s="35"/>
      <c r="AS2068" s="35"/>
      <c r="AT2068" s="35"/>
      <c r="AU2068" s="31"/>
      <c r="AV2068" s="36"/>
    </row>
    <row r="2069" spans="4:48">
      <c r="D2069" s="31"/>
      <c r="E2069" s="31"/>
      <c r="F2069" s="31"/>
      <c r="G2069" s="31"/>
      <c r="H2069" s="32"/>
      <c r="J2069" s="33"/>
      <c r="K2069" s="33"/>
      <c r="L2069" s="33"/>
      <c r="X2069" s="22"/>
      <c r="Y2069" s="22"/>
      <c r="Z2069" s="22"/>
      <c r="AA2069" s="22"/>
      <c r="AF2069" s="22"/>
      <c r="AG2069" s="22"/>
      <c r="AH2069" s="22"/>
      <c r="AI2069" s="22"/>
      <c r="AN2069" s="22"/>
      <c r="AO2069" s="22"/>
      <c r="AP2069" s="22"/>
      <c r="AQ2069" s="22"/>
      <c r="AR2069" s="35"/>
      <c r="AS2069" s="35"/>
      <c r="AT2069" s="35"/>
      <c r="AU2069" s="31"/>
      <c r="AV2069" s="36"/>
    </row>
    <row r="2070" spans="4:48">
      <c r="D2070" s="31"/>
      <c r="E2070" s="31"/>
      <c r="F2070" s="31"/>
      <c r="G2070" s="31"/>
      <c r="H2070" s="32"/>
      <c r="J2070" s="33"/>
      <c r="K2070" s="33"/>
      <c r="L2070" s="33"/>
      <c r="X2070" s="22"/>
      <c r="Y2070" s="22"/>
      <c r="Z2070" s="22"/>
      <c r="AA2070" s="22"/>
      <c r="AF2070" s="22"/>
      <c r="AG2070" s="22"/>
      <c r="AH2070" s="22"/>
      <c r="AI2070" s="22"/>
      <c r="AN2070" s="22"/>
      <c r="AO2070" s="22"/>
      <c r="AP2070" s="22"/>
      <c r="AQ2070" s="22"/>
      <c r="AR2070" s="35"/>
      <c r="AS2070" s="35"/>
      <c r="AT2070" s="35"/>
      <c r="AU2070" s="31"/>
      <c r="AV2070" s="36"/>
    </row>
    <row r="2071" spans="4:48">
      <c r="D2071" s="31"/>
      <c r="E2071" s="31"/>
      <c r="F2071" s="31"/>
      <c r="G2071" s="31"/>
      <c r="H2071" s="32"/>
      <c r="J2071" s="33"/>
      <c r="K2071" s="33"/>
      <c r="L2071" s="33"/>
      <c r="X2071" s="22"/>
      <c r="Y2071" s="22"/>
      <c r="Z2071" s="22"/>
      <c r="AA2071" s="22"/>
      <c r="AF2071" s="22"/>
      <c r="AG2071" s="22"/>
      <c r="AH2071" s="22"/>
      <c r="AI2071" s="22"/>
      <c r="AN2071" s="22"/>
      <c r="AO2071" s="22"/>
      <c r="AP2071" s="22"/>
      <c r="AQ2071" s="22"/>
      <c r="AR2071" s="35"/>
      <c r="AS2071" s="35"/>
      <c r="AT2071" s="35"/>
      <c r="AU2071" s="31"/>
      <c r="AV2071" s="36"/>
    </row>
    <row r="2072" spans="4:48">
      <c r="D2072" s="31"/>
      <c r="E2072" s="31"/>
      <c r="F2072" s="31"/>
      <c r="G2072" s="31"/>
      <c r="H2072" s="32"/>
      <c r="J2072" s="33"/>
      <c r="K2072" s="33"/>
      <c r="L2072" s="33"/>
      <c r="X2072" s="22"/>
      <c r="Y2072" s="22"/>
      <c r="Z2072" s="22"/>
      <c r="AA2072" s="22"/>
      <c r="AF2072" s="22"/>
      <c r="AG2072" s="22"/>
      <c r="AH2072" s="22"/>
      <c r="AI2072" s="22"/>
      <c r="AN2072" s="22"/>
      <c r="AO2072" s="22"/>
      <c r="AP2072" s="22"/>
      <c r="AQ2072" s="22"/>
      <c r="AR2072" s="35"/>
      <c r="AS2072" s="35"/>
      <c r="AT2072" s="35"/>
      <c r="AU2072" s="31"/>
      <c r="AV2072" s="36"/>
    </row>
    <row r="2073" spans="4:48">
      <c r="D2073" s="31"/>
      <c r="E2073" s="31"/>
      <c r="F2073" s="31"/>
      <c r="G2073" s="31"/>
      <c r="H2073" s="32"/>
      <c r="J2073" s="33"/>
      <c r="K2073" s="33"/>
      <c r="L2073" s="33"/>
      <c r="X2073" s="22"/>
      <c r="Y2073" s="22"/>
      <c r="Z2073" s="22"/>
      <c r="AA2073" s="22"/>
      <c r="AF2073" s="22"/>
      <c r="AG2073" s="22"/>
      <c r="AH2073" s="22"/>
      <c r="AI2073" s="22"/>
      <c r="AN2073" s="22"/>
      <c r="AO2073" s="22"/>
      <c r="AP2073" s="22"/>
      <c r="AQ2073" s="22"/>
      <c r="AR2073" s="35"/>
      <c r="AS2073" s="35"/>
      <c r="AT2073" s="35"/>
      <c r="AU2073" s="31"/>
      <c r="AV2073" s="36"/>
    </row>
    <row r="2074" spans="4:48">
      <c r="D2074" s="31"/>
      <c r="E2074" s="31"/>
      <c r="F2074" s="31"/>
      <c r="G2074" s="31"/>
      <c r="H2074" s="32"/>
      <c r="J2074" s="33"/>
      <c r="K2074" s="33"/>
      <c r="L2074" s="33"/>
      <c r="X2074" s="22"/>
      <c r="Y2074" s="22"/>
      <c r="Z2074" s="22"/>
      <c r="AA2074" s="22"/>
      <c r="AF2074" s="22"/>
      <c r="AG2074" s="22"/>
      <c r="AH2074" s="22"/>
      <c r="AI2074" s="22"/>
      <c r="AN2074" s="22"/>
      <c r="AO2074" s="22"/>
      <c r="AP2074" s="22"/>
      <c r="AQ2074" s="22"/>
      <c r="AR2074" s="35"/>
      <c r="AS2074" s="35"/>
      <c r="AT2074" s="35"/>
      <c r="AU2074" s="31"/>
      <c r="AV2074" s="36"/>
    </row>
    <row r="2075" spans="4:48">
      <c r="D2075" s="31"/>
      <c r="E2075" s="31"/>
      <c r="F2075" s="31"/>
      <c r="G2075" s="31"/>
      <c r="H2075" s="32"/>
      <c r="J2075" s="33"/>
      <c r="K2075" s="33"/>
      <c r="L2075" s="33"/>
      <c r="X2075" s="22"/>
      <c r="Y2075" s="22"/>
      <c r="Z2075" s="22"/>
      <c r="AA2075" s="22"/>
      <c r="AF2075" s="22"/>
      <c r="AG2075" s="22"/>
      <c r="AH2075" s="22"/>
      <c r="AI2075" s="22"/>
      <c r="AN2075" s="22"/>
      <c r="AO2075" s="22"/>
      <c r="AP2075" s="22"/>
      <c r="AQ2075" s="22"/>
      <c r="AR2075" s="35"/>
      <c r="AS2075" s="35"/>
      <c r="AT2075" s="35"/>
      <c r="AU2075" s="31"/>
      <c r="AV2075" s="36"/>
    </row>
    <row r="2076" spans="4:48">
      <c r="D2076" s="31"/>
      <c r="E2076" s="31"/>
      <c r="F2076" s="31"/>
      <c r="G2076" s="31"/>
      <c r="H2076" s="32"/>
      <c r="J2076" s="33"/>
      <c r="K2076" s="33"/>
      <c r="L2076" s="33"/>
      <c r="X2076" s="22"/>
      <c r="Y2076" s="22"/>
      <c r="Z2076" s="22"/>
      <c r="AA2076" s="22"/>
      <c r="AF2076" s="22"/>
      <c r="AG2076" s="22"/>
      <c r="AH2076" s="22"/>
      <c r="AI2076" s="22"/>
      <c r="AN2076" s="22"/>
      <c r="AO2076" s="22"/>
      <c r="AP2076" s="22"/>
      <c r="AQ2076" s="22"/>
      <c r="AR2076" s="35"/>
      <c r="AS2076" s="35"/>
      <c r="AT2076" s="35"/>
      <c r="AU2076" s="31"/>
      <c r="AV2076" s="36"/>
    </row>
    <row r="2077" spans="4:48">
      <c r="D2077" s="31"/>
      <c r="E2077" s="31"/>
      <c r="F2077" s="31"/>
      <c r="G2077" s="31"/>
      <c r="H2077" s="32"/>
      <c r="J2077" s="33"/>
      <c r="K2077" s="33"/>
      <c r="L2077" s="33"/>
      <c r="X2077" s="22"/>
      <c r="Y2077" s="22"/>
      <c r="Z2077" s="22"/>
      <c r="AA2077" s="22"/>
      <c r="AF2077" s="22"/>
      <c r="AG2077" s="22"/>
      <c r="AH2077" s="22"/>
      <c r="AI2077" s="22"/>
      <c r="AN2077" s="22"/>
      <c r="AO2077" s="22"/>
      <c r="AP2077" s="22"/>
      <c r="AQ2077" s="22"/>
      <c r="AR2077" s="35"/>
      <c r="AS2077" s="35"/>
      <c r="AT2077" s="35"/>
      <c r="AU2077" s="31"/>
      <c r="AV2077" s="36"/>
    </row>
    <row r="2078" spans="4:48">
      <c r="D2078" s="31"/>
      <c r="E2078" s="31"/>
      <c r="F2078" s="31"/>
      <c r="G2078" s="31"/>
      <c r="H2078" s="32"/>
      <c r="J2078" s="33"/>
      <c r="K2078" s="33"/>
      <c r="L2078" s="33"/>
      <c r="X2078" s="22"/>
      <c r="Y2078" s="22"/>
      <c r="Z2078" s="22"/>
      <c r="AA2078" s="22"/>
      <c r="AF2078" s="22"/>
      <c r="AG2078" s="22"/>
      <c r="AH2078" s="22"/>
      <c r="AI2078" s="22"/>
      <c r="AN2078" s="22"/>
      <c r="AO2078" s="22"/>
      <c r="AP2078" s="22"/>
      <c r="AQ2078" s="22"/>
      <c r="AR2078" s="35"/>
      <c r="AS2078" s="35"/>
      <c r="AT2078" s="35"/>
      <c r="AU2078" s="31"/>
      <c r="AV2078" s="36"/>
    </row>
    <row r="2079" spans="4:48">
      <c r="D2079" s="31"/>
      <c r="E2079" s="31"/>
      <c r="F2079" s="31"/>
      <c r="G2079" s="31"/>
      <c r="H2079" s="32"/>
      <c r="J2079" s="33"/>
      <c r="K2079" s="33"/>
      <c r="L2079" s="33"/>
      <c r="X2079" s="22"/>
      <c r="Y2079" s="22"/>
      <c r="Z2079" s="22"/>
      <c r="AA2079" s="22"/>
      <c r="AF2079" s="22"/>
      <c r="AG2079" s="22"/>
      <c r="AH2079" s="22"/>
      <c r="AI2079" s="22"/>
      <c r="AN2079" s="22"/>
      <c r="AO2079" s="22"/>
      <c r="AP2079" s="22"/>
      <c r="AQ2079" s="22"/>
      <c r="AR2079" s="35"/>
      <c r="AS2079" s="35"/>
      <c r="AT2079" s="35"/>
      <c r="AU2079" s="31"/>
      <c r="AV2079" s="36"/>
    </row>
    <row r="2080" spans="4:48">
      <c r="D2080" s="31"/>
      <c r="E2080" s="31"/>
      <c r="F2080" s="31"/>
      <c r="G2080" s="31"/>
      <c r="H2080" s="32"/>
      <c r="J2080" s="33"/>
      <c r="K2080" s="33"/>
      <c r="L2080" s="33"/>
      <c r="X2080" s="22"/>
      <c r="Y2080" s="22"/>
      <c r="Z2080" s="22"/>
      <c r="AA2080" s="22"/>
      <c r="AF2080" s="22"/>
      <c r="AG2080" s="22"/>
      <c r="AH2080" s="22"/>
      <c r="AI2080" s="22"/>
      <c r="AN2080" s="22"/>
      <c r="AO2080" s="22"/>
      <c r="AP2080" s="22"/>
      <c r="AQ2080" s="22"/>
      <c r="AR2080" s="35"/>
      <c r="AS2080" s="35"/>
      <c r="AT2080" s="35"/>
      <c r="AU2080" s="31"/>
      <c r="AV2080" s="36"/>
    </row>
    <row r="2081" spans="4:48">
      <c r="D2081" s="31"/>
      <c r="E2081" s="31"/>
      <c r="F2081" s="31"/>
      <c r="G2081" s="31"/>
      <c r="H2081" s="32"/>
      <c r="J2081" s="33"/>
      <c r="K2081" s="33"/>
      <c r="L2081" s="33"/>
      <c r="X2081" s="22"/>
      <c r="Y2081" s="22"/>
      <c r="Z2081" s="22"/>
      <c r="AA2081" s="22"/>
      <c r="AF2081" s="22"/>
      <c r="AG2081" s="22"/>
      <c r="AH2081" s="22"/>
      <c r="AI2081" s="22"/>
      <c r="AN2081" s="22"/>
      <c r="AO2081" s="22"/>
      <c r="AP2081" s="22"/>
      <c r="AQ2081" s="22"/>
      <c r="AR2081" s="35"/>
      <c r="AS2081" s="35"/>
      <c r="AT2081" s="35"/>
      <c r="AU2081" s="31"/>
      <c r="AV2081" s="36"/>
    </row>
    <row r="2082" spans="4:48">
      <c r="D2082" s="31"/>
      <c r="E2082" s="31"/>
      <c r="F2082" s="31"/>
      <c r="G2082" s="31"/>
      <c r="H2082" s="32"/>
      <c r="J2082" s="33"/>
      <c r="K2082" s="33"/>
      <c r="L2082" s="33"/>
      <c r="X2082" s="22"/>
      <c r="Y2082" s="22"/>
      <c r="Z2082" s="22"/>
      <c r="AA2082" s="22"/>
      <c r="AF2082" s="22"/>
      <c r="AG2082" s="22"/>
      <c r="AH2082" s="22"/>
      <c r="AI2082" s="22"/>
      <c r="AN2082" s="22"/>
      <c r="AO2082" s="22"/>
      <c r="AP2082" s="22"/>
      <c r="AQ2082" s="22"/>
      <c r="AR2082" s="35"/>
      <c r="AS2082" s="35"/>
      <c r="AT2082" s="35"/>
      <c r="AU2082" s="31"/>
      <c r="AV2082" s="36"/>
    </row>
    <row r="2083" spans="4:48">
      <c r="D2083" s="31"/>
      <c r="E2083" s="31"/>
      <c r="F2083" s="31"/>
      <c r="G2083" s="31"/>
      <c r="H2083" s="32"/>
      <c r="J2083" s="33"/>
      <c r="K2083" s="33"/>
      <c r="L2083" s="33"/>
      <c r="X2083" s="22"/>
      <c r="Y2083" s="22"/>
      <c r="Z2083" s="22"/>
      <c r="AA2083" s="22"/>
      <c r="AF2083" s="22"/>
      <c r="AG2083" s="22"/>
      <c r="AH2083" s="22"/>
      <c r="AI2083" s="22"/>
      <c r="AN2083" s="22"/>
      <c r="AO2083" s="22"/>
      <c r="AP2083" s="22"/>
      <c r="AQ2083" s="22"/>
      <c r="AR2083" s="35"/>
      <c r="AS2083" s="35"/>
      <c r="AT2083" s="35"/>
      <c r="AU2083" s="31"/>
      <c r="AV2083" s="36"/>
    </row>
    <row r="2084" spans="4:48">
      <c r="D2084" s="31"/>
      <c r="E2084" s="31"/>
      <c r="F2084" s="31"/>
      <c r="G2084" s="31"/>
      <c r="H2084" s="32"/>
      <c r="J2084" s="33"/>
      <c r="K2084" s="33"/>
      <c r="L2084" s="33"/>
      <c r="X2084" s="22"/>
      <c r="Y2084" s="22"/>
      <c r="Z2084" s="22"/>
      <c r="AA2084" s="22"/>
      <c r="AF2084" s="22"/>
      <c r="AG2084" s="22"/>
      <c r="AH2084" s="22"/>
      <c r="AI2084" s="22"/>
      <c r="AN2084" s="22"/>
      <c r="AO2084" s="22"/>
      <c r="AP2084" s="22"/>
      <c r="AQ2084" s="22"/>
      <c r="AR2084" s="35"/>
      <c r="AS2084" s="35"/>
      <c r="AT2084" s="35"/>
      <c r="AU2084" s="31"/>
      <c r="AV2084" s="36"/>
    </row>
    <row r="2085" spans="4:48">
      <c r="D2085" s="31"/>
      <c r="E2085" s="31"/>
      <c r="F2085" s="31"/>
      <c r="G2085" s="31"/>
      <c r="H2085" s="32"/>
      <c r="J2085" s="33"/>
      <c r="K2085" s="33"/>
      <c r="L2085" s="33"/>
      <c r="X2085" s="22"/>
      <c r="Y2085" s="22"/>
      <c r="Z2085" s="22"/>
      <c r="AA2085" s="22"/>
      <c r="AF2085" s="22"/>
      <c r="AG2085" s="22"/>
      <c r="AH2085" s="22"/>
      <c r="AI2085" s="22"/>
      <c r="AN2085" s="22"/>
      <c r="AO2085" s="22"/>
      <c r="AP2085" s="22"/>
      <c r="AQ2085" s="22"/>
      <c r="AR2085" s="35"/>
      <c r="AS2085" s="35"/>
      <c r="AT2085" s="35"/>
      <c r="AU2085" s="31"/>
      <c r="AV2085" s="36"/>
    </row>
    <row r="2086" spans="4:48">
      <c r="D2086" s="31"/>
      <c r="E2086" s="31"/>
      <c r="F2086" s="31"/>
      <c r="G2086" s="31"/>
      <c r="H2086" s="32"/>
      <c r="J2086" s="33"/>
      <c r="K2086" s="33"/>
      <c r="L2086" s="33"/>
      <c r="X2086" s="22"/>
      <c r="Y2086" s="22"/>
      <c r="Z2086" s="22"/>
      <c r="AA2086" s="22"/>
      <c r="AF2086" s="22"/>
      <c r="AG2086" s="22"/>
      <c r="AH2086" s="22"/>
      <c r="AI2086" s="22"/>
      <c r="AN2086" s="22"/>
      <c r="AO2086" s="22"/>
      <c r="AP2086" s="22"/>
      <c r="AQ2086" s="22"/>
      <c r="AR2086" s="35"/>
      <c r="AS2086" s="35"/>
      <c r="AT2086" s="35"/>
      <c r="AU2086" s="31"/>
      <c r="AV2086" s="36"/>
    </row>
    <row r="2087" spans="4:48">
      <c r="D2087" s="31"/>
      <c r="E2087" s="31"/>
      <c r="F2087" s="31"/>
      <c r="G2087" s="31"/>
      <c r="H2087" s="32"/>
      <c r="J2087" s="33"/>
      <c r="K2087" s="33"/>
      <c r="L2087" s="33"/>
      <c r="X2087" s="22"/>
      <c r="Y2087" s="22"/>
      <c r="Z2087" s="22"/>
      <c r="AA2087" s="22"/>
      <c r="AF2087" s="22"/>
      <c r="AG2087" s="22"/>
      <c r="AH2087" s="22"/>
      <c r="AI2087" s="22"/>
      <c r="AN2087" s="22"/>
      <c r="AO2087" s="22"/>
      <c r="AP2087" s="22"/>
      <c r="AQ2087" s="22"/>
      <c r="AR2087" s="35"/>
      <c r="AS2087" s="35"/>
      <c r="AT2087" s="35"/>
      <c r="AU2087" s="31"/>
      <c r="AV2087" s="36"/>
    </row>
    <row r="2088" spans="4:48">
      <c r="D2088" s="31"/>
      <c r="E2088" s="31"/>
      <c r="F2088" s="31"/>
      <c r="G2088" s="31"/>
      <c r="H2088" s="32"/>
      <c r="J2088" s="33"/>
      <c r="K2088" s="33"/>
      <c r="L2088" s="33"/>
      <c r="X2088" s="22"/>
      <c r="Y2088" s="22"/>
      <c r="Z2088" s="22"/>
      <c r="AA2088" s="22"/>
      <c r="AF2088" s="22"/>
      <c r="AG2088" s="22"/>
      <c r="AH2088" s="22"/>
      <c r="AI2088" s="22"/>
      <c r="AN2088" s="22"/>
      <c r="AO2088" s="22"/>
      <c r="AP2088" s="22"/>
      <c r="AQ2088" s="22"/>
      <c r="AR2088" s="35"/>
      <c r="AS2088" s="35"/>
      <c r="AT2088" s="35"/>
      <c r="AU2088" s="31"/>
      <c r="AV2088" s="36"/>
    </row>
    <row r="2089" spans="4:48">
      <c r="D2089" s="31"/>
      <c r="E2089" s="31"/>
      <c r="F2089" s="31"/>
      <c r="G2089" s="31"/>
      <c r="H2089" s="32"/>
      <c r="J2089" s="33"/>
      <c r="K2089" s="33"/>
      <c r="L2089" s="33"/>
      <c r="X2089" s="22"/>
      <c r="Y2089" s="22"/>
      <c r="Z2089" s="22"/>
      <c r="AA2089" s="22"/>
      <c r="AF2089" s="22"/>
      <c r="AG2089" s="22"/>
      <c r="AH2089" s="22"/>
      <c r="AI2089" s="22"/>
      <c r="AN2089" s="22"/>
      <c r="AO2089" s="22"/>
      <c r="AP2089" s="22"/>
      <c r="AQ2089" s="22"/>
      <c r="AR2089" s="35"/>
      <c r="AS2089" s="35"/>
      <c r="AT2089" s="35"/>
      <c r="AU2089" s="31"/>
      <c r="AV2089" s="36"/>
    </row>
    <row r="2090" spans="4:48">
      <c r="D2090" s="31"/>
      <c r="E2090" s="31"/>
      <c r="F2090" s="31"/>
      <c r="G2090" s="31"/>
      <c r="H2090" s="32"/>
      <c r="J2090" s="33"/>
      <c r="K2090" s="33"/>
      <c r="L2090" s="33"/>
      <c r="X2090" s="22"/>
      <c r="Y2090" s="22"/>
      <c r="Z2090" s="22"/>
      <c r="AA2090" s="22"/>
      <c r="AF2090" s="22"/>
      <c r="AG2090" s="22"/>
      <c r="AH2090" s="22"/>
      <c r="AI2090" s="22"/>
      <c r="AN2090" s="22"/>
      <c r="AO2090" s="22"/>
      <c r="AP2090" s="22"/>
      <c r="AQ2090" s="22"/>
      <c r="AR2090" s="35"/>
      <c r="AS2090" s="35"/>
      <c r="AT2090" s="35"/>
      <c r="AU2090" s="31"/>
      <c r="AV2090" s="36"/>
    </row>
    <row r="2091" spans="4:48">
      <c r="D2091" s="31"/>
      <c r="E2091" s="31"/>
      <c r="F2091" s="31"/>
      <c r="G2091" s="31"/>
      <c r="H2091" s="32"/>
      <c r="J2091" s="33"/>
      <c r="K2091" s="33"/>
      <c r="L2091" s="33"/>
      <c r="X2091" s="22"/>
      <c r="Y2091" s="22"/>
      <c r="Z2091" s="22"/>
      <c r="AA2091" s="22"/>
      <c r="AF2091" s="22"/>
      <c r="AG2091" s="22"/>
      <c r="AH2091" s="22"/>
      <c r="AI2091" s="22"/>
      <c r="AN2091" s="22"/>
      <c r="AO2091" s="22"/>
      <c r="AP2091" s="22"/>
      <c r="AQ2091" s="22"/>
      <c r="AR2091" s="35"/>
      <c r="AS2091" s="35"/>
      <c r="AT2091" s="35"/>
      <c r="AU2091" s="31"/>
      <c r="AV2091" s="36"/>
    </row>
    <row r="2092" spans="4:48">
      <c r="D2092" s="31"/>
      <c r="E2092" s="31"/>
      <c r="F2092" s="31"/>
      <c r="G2092" s="31"/>
      <c r="H2092" s="32"/>
      <c r="J2092" s="33"/>
      <c r="K2092" s="33"/>
      <c r="L2092" s="33"/>
      <c r="X2092" s="22"/>
      <c r="Y2092" s="22"/>
      <c r="Z2092" s="22"/>
      <c r="AA2092" s="22"/>
      <c r="AF2092" s="22"/>
      <c r="AG2092" s="22"/>
      <c r="AH2092" s="22"/>
      <c r="AI2092" s="22"/>
      <c r="AN2092" s="22"/>
      <c r="AO2092" s="22"/>
      <c r="AP2092" s="22"/>
      <c r="AQ2092" s="22"/>
      <c r="AR2092" s="35"/>
      <c r="AS2092" s="35"/>
      <c r="AT2092" s="35"/>
      <c r="AU2092" s="31"/>
      <c r="AV2092" s="36"/>
    </row>
    <row r="2093" spans="4:48">
      <c r="D2093" s="31"/>
      <c r="E2093" s="31"/>
      <c r="F2093" s="31"/>
      <c r="G2093" s="31"/>
      <c r="H2093" s="32"/>
      <c r="J2093" s="33"/>
      <c r="K2093" s="33"/>
      <c r="L2093" s="33"/>
      <c r="X2093" s="22"/>
      <c r="Y2093" s="22"/>
      <c r="Z2093" s="22"/>
      <c r="AA2093" s="22"/>
      <c r="AF2093" s="22"/>
      <c r="AG2093" s="22"/>
      <c r="AH2093" s="22"/>
      <c r="AI2093" s="22"/>
      <c r="AN2093" s="22"/>
      <c r="AO2093" s="22"/>
      <c r="AP2093" s="22"/>
      <c r="AQ2093" s="22"/>
      <c r="AR2093" s="35"/>
      <c r="AS2093" s="35"/>
      <c r="AT2093" s="35"/>
      <c r="AU2093" s="31"/>
      <c r="AV2093" s="36"/>
    </row>
    <row r="2094" spans="4:48">
      <c r="D2094" s="31"/>
      <c r="E2094" s="31"/>
      <c r="F2094" s="31"/>
      <c r="G2094" s="31"/>
      <c r="H2094" s="32"/>
      <c r="J2094" s="33"/>
      <c r="K2094" s="33"/>
      <c r="L2094" s="33"/>
      <c r="X2094" s="22"/>
      <c r="Y2094" s="22"/>
      <c r="Z2094" s="22"/>
      <c r="AA2094" s="22"/>
      <c r="AF2094" s="22"/>
      <c r="AG2094" s="22"/>
      <c r="AH2094" s="22"/>
      <c r="AI2094" s="22"/>
      <c r="AN2094" s="22"/>
      <c r="AO2094" s="22"/>
      <c r="AP2094" s="22"/>
      <c r="AQ2094" s="22"/>
      <c r="AR2094" s="35"/>
      <c r="AS2094" s="35"/>
      <c r="AT2094" s="35"/>
      <c r="AU2094" s="31"/>
      <c r="AV2094" s="36"/>
    </row>
    <row r="2095" spans="4:48">
      <c r="D2095" s="31"/>
      <c r="E2095" s="31"/>
      <c r="F2095" s="31"/>
      <c r="G2095" s="31"/>
      <c r="H2095" s="32"/>
      <c r="J2095" s="33"/>
      <c r="K2095" s="33"/>
      <c r="L2095" s="33"/>
      <c r="X2095" s="22"/>
      <c r="Y2095" s="22"/>
      <c r="Z2095" s="22"/>
      <c r="AA2095" s="22"/>
      <c r="AF2095" s="22"/>
      <c r="AG2095" s="22"/>
      <c r="AH2095" s="22"/>
      <c r="AI2095" s="22"/>
      <c r="AN2095" s="22"/>
      <c r="AO2095" s="22"/>
      <c r="AP2095" s="22"/>
      <c r="AQ2095" s="22"/>
      <c r="AR2095" s="35"/>
      <c r="AS2095" s="35"/>
      <c r="AT2095" s="35"/>
      <c r="AU2095" s="31"/>
      <c r="AV2095" s="36"/>
    </row>
    <row r="2096" spans="4:48">
      <c r="D2096" s="31"/>
      <c r="E2096" s="31"/>
      <c r="F2096" s="31"/>
      <c r="G2096" s="31"/>
      <c r="H2096" s="32"/>
      <c r="J2096" s="33"/>
      <c r="K2096" s="33"/>
      <c r="L2096" s="33"/>
      <c r="X2096" s="22"/>
      <c r="Y2096" s="22"/>
      <c r="Z2096" s="22"/>
      <c r="AA2096" s="22"/>
      <c r="AF2096" s="22"/>
      <c r="AG2096" s="22"/>
      <c r="AH2096" s="22"/>
      <c r="AI2096" s="22"/>
      <c r="AN2096" s="22"/>
      <c r="AO2096" s="22"/>
      <c r="AP2096" s="22"/>
      <c r="AQ2096" s="22"/>
      <c r="AR2096" s="35"/>
      <c r="AS2096" s="35"/>
      <c r="AT2096" s="35"/>
      <c r="AU2096" s="31"/>
      <c r="AV2096" s="36"/>
    </row>
    <row r="2097" spans="4:48">
      <c r="D2097" s="31"/>
      <c r="E2097" s="31"/>
      <c r="F2097" s="31"/>
      <c r="G2097" s="31"/>
      <c r="H2097" s="32"/>
      <c r="J2097" s="33"/>
      <c r="K2097" s="33"/>
      <c r="L2097" s="33"/>
      <c r="X2097" s="22"/>
      <c r="Y2097" s="22"/>
      <c r="Z2097" s="22"/>
      <c r="AA2097" s="22"/>
      <c r="AF2097" s="22"/>
      <c r="AG2097" s="22"/>
      <c r="AH2097" s="22"/>
      <c r="AI2097" s="22"/>
      <c r="AN2097" s="22"/>
      <c r="AO2097" s="22"/>
      <c r="AP2097" s="22"/>
      <c r="AQ2097" s="22"/>
      <c r="AR2097" s="35"/>
      <c r="AS2097" s="35"/>
      <c r="AT2097" s="35"/>
      <c r="AU2097" s="31"/>
      <c r="AV2097" s="36"/>
    </row>
    <row r="2098" spans="4:48">
      <c r="D2098" s="31"/>
      <c r="E2098" s="31"/>
      <c r="F2098" s="31"/>
      <c r="G2098" s="31"/>
      <c r="H2098" s="32"/>
      <c r="J2098" s="33"/>
      <c r="K2098" s="33"/>
      <c r="L2098" s="33"/>
      <c r="X2098" s="22"/>
      <c r="Y2098" s="22"/>
      <c r="Z2098" s="22"/>
      <c r="AA2098" s="22"/>
      <c r="AF2098" s="22"/>
      <c r="AG2098" s="22"/>
      <c r="AH2098" s="22"/>
      <c r="AI2098" s="22"/>
      <c r="AN2098" s="22"/>
      <c r="AO2098" s="22"/>
      <c r="AP2098" s="22"/>
      <c r="AQ2098" s="22"/>
      <c r="AR2098" s="35"/>
      <c r="AS2098" s="35"/>
      <c r="AT2098" s="35"/>
      <c r="AU2098" s="31"/>
      <c r="AV2098" s="36"/>
    </row>
    <row r="2099" spans="4:48">
      <c r="D2099" s="31"/>
      <c r="E2099" s="31"/>
      <c r="F2099" s="31"/>
      <c r="G2099" s="31"/>
      <c r="H2099" s="32"/>
      <c r="J2099" s="33"/>
      <c r="K2099" s="33"/>
      <c r="L2099" s="33"/>
      <c r="X2099" s="22"/>
      <c r="Y2099" s="22"/>
      <c r="Z2099" s="22"/>
      <c r="AA2099" s="22"/>
      <c r="AF2099" s="22"/>
      <c r="AG2099" s="22"/>
      <c r="AH2099" s="22"/>
      <c r="AI2099" s="22"/>
      <c r="AN2099" s="22"/>
      <c r="AO2099" s="22"/>
      <c r="AP2099" s="22"/>
      <c r="AQ2099" s="22"/>
      <c r="AR2099" s="35"/>
      <c r="AS2099" s="35"/>
      <c r="AT2099" s="35"/>
      <c r="AU2099" s="31"/>
      <c r="AV2099" s="36"/>
    </row>
    <row r="2100" spans="4:48">
      <c r="D2100" s="31"/>
      <c r="E2100" s="31"/>
      <c r="F2100" s="31"/>
      <c r="G2100" s="31"/>
      <c r="H2100" s="32"/>
      <c r="J2100" s="33"/>
      <c r="K2100" s="33"/>
      <c r="L2100" s="33"/>
      <c r="X2100" s="22"/>
      <c r="Y2100" s="22"/>
      <c r="Z2100" s="22"/>
      <c r="AA2100" s="22"/>
      <c r="AF2100" s="22"/>
      <c r="AG2100" s="22"/>
      <c r="AH2100" s="22"/>
      <c r="AI2100" s="22"/>
      <c r="AN2100" s="22"/>
      <c r="AO2100" s="22"/>
      <c r="AP2100" s="22"/>
      <c r="AQ2100" s="22"/>
      <c r="AR2100" s="35"/>
      <c r="AS2100" s="35"/>
      <c r="AT2100" s="35"/>
      <c r="AU2100" s="31"/>
      <c r="AV2100" s="36"/>
    </row>
    <row r="2101" spans="4:48">
      <c r="D2101" s="31"/>
      <c r="E2101" s="31"/>
      <c r="F2101" s="31"/>
      <c r="G2101" s="31"/>
      <c r="H2101" s="32"/>
      <c r="J2101" s="33"/>
      <c r="K2101" s="33"/>
      <c r="L2101" s="33"/>
      <c r="X2101" s="22"/>
      <c r="Y2101" s="22"/>
      <c r="Z2101" s="22"/>
      <c r="AA2101" s="22"/>
      <c r="AF2101" s="22"/>
      <c r="AG2101" s="22"/>
      <c r="AH2101" s="22"/>
      <c r="AI2101" s="22"/>
      <c r="AN2101" s="22"/>
      <c r="AO2101" s="22"/>
      <c r="AP2101" s="22"/>
      <c r="AQ2101" s="22"/>
      <c r="AR2101" s="35"/>
      <c r="AS2101" s="35"/>
      <c r="AT2101" s="35"/>
      <c r="AU2101" s="31"/>
      <c r="AV2101" s="36"/>
    </row>
    <row r="2102" spans="4:48">
      <c r="D2102" s="31"/>
      <c r="E2102" s="31"/>
      <c r="F2102" s="31"/>
      <c r="G2102" s="31"/>
      <c r="H2102" s="32"/>
      <c r="J2102" s="33"/>
      <c r="K2102" s="33"/>
      <c r="L2102" s="33"/>
      <c r="X2102" s="22"/>
      <c r="Y2102" s="22"/>
      <c r="Z2102" s="22"/>
      <c r="AA2102" s="22"/>
      <c r="AF2102" s="22"/>
      <c r="AG2102" s="22"/>
      <c r="AH2102" s="22"/>
      <c r="AI2102" s="22"/>
      <c r="AN2102" s="22"/>
      <c r="AO2102" s="22"/>
      <c r="AP2102" s="22"/>
      <c r="AQ2102" s="22"/>
      <c r="AR2102" s="35"/>
      <c r="AS2102" s="35"/>
      <c r="AT2102" s="35"/>
      <c r="AU2102" s="31"/>
      <c r="AV2102" s="36"/>
    </row>
    <row r="2103" spans="4:48">
      <c r="D2103" s="31"/>
      <c r="E2103" s="31"/>
      <c r="F2103" s="31"/>
      <c r="G2103" s="31"/>
      <c r="H2103" s="32"/>
      <c r="J2103" s="33"/>
      <c r="K2103" s="33"/>
      <c r="L2103" s="33"/>
      <c r="X2103" s="22"/>
      <c r="Y2103" s="22"/>
      <c r="Z2103" s="22"/>
      <c r="AA2103" s="22"/>
      <c r="AF2103" s="22"/>
      <c r="AG2103" s="22"/>
      <c r="AH2103" s="22"/>
      <c r="AI2103" s="22"/>
      <c r="AN2103" s="22"/>
      <c r="AO2103" s="22"/>
      <c r="AP2103" s="22"/>
      <c r="AQ2103" s="22"/>
      <c r="AR2103" s="35"/>
      <c r="AS2103" s="35"/>
      <c r="AT2103" s="35"/>
      <c r="AU2103" s="31"/>
      <c r="AV2103" s="36"/>
    </row>
    <row r="2104" spans="4:48">
      <c r="D2104" s="31"/>
      <c r="E2104" s="31"/>
      <c r="F2104" s="31"/>
      <c r="G2104" s="31"/>
      <c r="H2104" s="32"/>
      <c r="J2104" s="33"/>
      <c r="K2104" s="33"/>
      <c r="L2104" s="33"/>
      <c r="X2104" s="22"/>
      <c r="Y2104" s="22"/>
      <c r="Z2104" s="22"/>
      <c r="AA2104" s="22"/>
      <c r="AF2104" s="22"/>
      <c r="AG2104" s="22"/>
      <c r="AH2104" s="22"/>
      <c r="AI2104" s="22"/>
      <c r="AN2104" s="22"/>
      <c r="AO2104" s="22"/>
      <c r="AP2104" s="22"/>
      <c r="AQ2104" s="22"/>
      <c r="AR2104" s="35"/>
      <c r="AS2104" s="35"/>
      <c r="AT2104" s="35"/>
      <c r="AU2104" s="31"/>
      <c r="AV2104" s="36"/>
    </row>
    <row r="2105" spans="4:48">
      <c r="D2105" s="31"/>
      <c r="E2105" s="31"/>
      <c r="F2105" s="31"/>
      <c r="G2105" s="31"/>
      <c r="H2105" s="32"/>
      <c r="J2105" s="33"/>
      <c r="K2105" s="33"/>
      <c r="L2105" s="33"/>
      <c r="X2105" s="22"/>
      <c r="Y2105" s="22"/>
      <c r="Z2105" s="22"/>
      <c r="AA2105" s="22"/>
      <c r="AF2105" s="22"/>
      <c r="AG2105" s="22"/>
      <c r="AH2105" s="22"/>
      <c r="AI2105" s="22"/>
      <c r="AN2105" s="22"/>
      <c r="AO2105" s="22"/>
      <c r="AP2105" s="22"/>
      <c r="AQ2105" s="22"/>
      <c r="AR2105" s="35"/>
      <c r="AS2105" s="35"/>
      <c r="AT2105" s="35"/>
      <c r="AU2105" s="31"/>
      <c r="AV2105" s="36"/>
    </row>
    <row r="2106" spans="4:48">
      <c r="D2106" s="31"/>
      <c r="E2106" s="31"/>
      <c r="F2106" s="31"/>
      <c r="G2106" s="31"/>
      <c r="H2106" s="32"/>
      <c r="J2106" s="33"/>
      <c r="K2106" s="33"/>
      <c r="L2106" s="33"/>
      <c r="X2106" s="22"/>
      <c r="Y2106" s="22"/>
      <c r="Z2106" s="22"/>
      <c r="AA2106" s="22"/>
      <c r="AF2106" s="22"/>
      <c r="AG2106" s="22"/>
      <c r="AH2106" s="22"/>
      <c r="AI2106" s="22"/>
      <c r="AN2106" s="22"/>
      <c r="AO2106" s="22"/>
      <c r="AP2106" s="22"/>
      <c r="AQ2106" s="22"/>
      <c r="AR2106" s="35"/>
      <c r="AS2106" s="35"/>
      <c r="AT2106" s="35"/>
      <c r="AU2106" s="31"/>
      <c r="AV2106" s="36"/>
    </row>
    <row r="2107" spans="4:48">
      <c r="D2107" s="31"/>
      <c r="E2107" s="31"/>
      <c r="F2107" s="31"/>
      <c r="G2107" s="31"/>
      <c r="H2107" s="32"/>
      <c r="J2107" s="33"/>
      <c r="K2107" s="33"/>
      <c r="L2107" s="33"/>
      <c r="X2107" s="22"/>
      <c r="Y2107" s="22"/>
      <c r="Z2107" s="22"/>
      <c r="AA2107" s="22"/>
      <c r="AF2107" s="22"/>
      <c r="AG2107" s="22"/>
      <c r="AH2107" s="22"/>
      <c r="AI2107" s="22"/>
      <c r="AN2107" s="22"/>
      <c r="AO2107" s="22"/>
      <c r="AP2107" s="22"/>
      <c r="AQ2107" s="22"/>
      <c r="AR2107" s="35"/>
      <c r="AS2107" s="35"/>
      <c r="AT2107" s="35"/>
      <c r="AU2107" s="31"/>
      <c r="AV2107" s="36"/>
    </row>
    <row r="2108" spans="4:48">
      <c r="D2108" s="31"/>
      <c r="E2108" s="31"/>
      <c r="F2108" s="31"/>
      <c r="G2108" s="31"/>
      <c r="H2108" s="32"/>
      <c r="J2108" s="33"/>
      <c r="K2108" s="33"/>
      <c r="L2108" s="33"/>
      <c r="X2108" s="22"/>
      <c r="Y2108" s="22"/>
      <c r="Z2108" s="22"/>
      <c r="AA2108" s="22"/>
      <c r="AF2108" s="22"/>
      <c r="AG2108" s="22"/>
      <c r="AH2108" s="22"/>
      <c r="AI2108" s="22"/>
      <c r="AN2108" s="22"/>
      <c r="AO2108" s="22"/>
      <c r="AP2108" s="22"/>
      <c r="AQ2108" s="22"/>
      <c r="AR2108" s="35"/>
      <c r="AS2108" s="35"/>
      <c r="AT2108" s="35"/>
      <c r="AU2108" s="31"/>
      <c r="AV2108" s="36"/>
    </row>
    <row r="2109" spans="4:48">
      <c r="D2109" s="31"/>
      <c r="E2109" s="31"/>
      <c r="F2109" s="31"/>
      <c r="G2109" s="31"/>
      <c r="H2109" s="32"/>
      <c r="J2109" s="33"/>
      <c r="K2109" s="33"/>
      <c r="L2109" s="33"/>
      <c r="X2109" s="22"/>
      <c r="Y2109" s="22"/>
      <c r="Z2109" s="22"/>
      <c r="AA2109" s="22"/>
      <c r="AF2109" s="22"/>
      <c r="AG2109" s="22"/>
      <c r="AH2109" s="22"/>
      <c r="AI2109" s="22"/>
      <c r="AN2109" s="22"/>
      <c r="AO2109" s="22"/>
      <c r="AP2109" s="22"/>
      <c r="AQ2109" s="22"/>
      <c r="AR2109" s="35"/>
      <c r="AS2109" s="35"/>
      <c r="AT2109" s="35"/>
      <c r="AU2109" s="31"/>
      <c r="AV2109" s="36"/>
    </row>
    <row r="2110" spans="4:48">
      <c r="D2110" s="31"/>
      <c r="E2110" s="31"/>
      <c r="F2110" s="31"/>
      <c r="G2110" s="31"/>
      <c r="H2110" s="32"/>
      <c r="J2110" s="33"/>
      <c r="K2110" s="33"/>
      <c r="L2110" s="33"/>
      <c r="X2110" s="22"/>
      <c r="Y2110" s="22"/>
      <c r="Z2110" s="22"/>
      <c r="AA2110" s="22"/>
      <c r="AF2110" s="22"/>
      <c r="AG2110" s="22"/>
      <c r="AH2110" s="22"/>
      <c r="AI2110" s="22"/>
      <c r="AN2110" s="22"/>
      <c r="AO2110" s="22"/>
      <c r="AP2110" s="22"/>
      <c r="AQ2110" s="22"/>
      <c r="AR2110" s="35"/>
      <c r="AS2110" s="35"/>
      <c r="AT2110" s="35"/>
      <c r="AU2110" s="31"/>
      <c r="AV2110" s="36"/>
    </row>
    <row r="2111" spans="4:48">
      <c r="D2111" s="31"/>
      <c r="E2111" s="31"/>
      <c r="F2111" s="31"/>
      <c r="G2111" s="31"/>
      <c r="H2111" s="32"/>
      <c r="J2111" s="33"/>
      <c r="K2111" s="33"/>
      <c r="L2111" s="33"/>
      <c r="X2111" s="22"/>
      <c r="Y2111" s="22"/>
      <c r="Z2111" s="22"/>
      <c r="AA2111" s="22"/>
      <c r="AF2111" s="22"/>
      <c r="AG2111" s="22"/>
      <c r="AH2111" s="22"/>
      <c r="AI2111" s="22"/>
      <c r="AN2111" s="22"/>
      <c r="AO2111" s="22"/>
      <c r="AP2111" s="22"/>
      <c r="AQ2111" s="22"/>
      <c r="AR2111" s="35"/>
      <c r="AS2111" s="35"/>
      <c r="AT2111" s="35"/>
      <c r="AU2111" s="31"/>
      <c r="AV2111" s="36"/>
    </row>
    <row r="2112" spans="4:48">
      <c r="D2112" s="31"/>
      <c r="E2112" s="31"/>
      <c r="F2112" s="31"/>
      <c r="G2112" s="31"/>
      <c r="H2112" s="32"/>
      <c r="J2112" s="33"/>
      <c r="K2112" s="33"/>
      <c r="L2112" s="33"/>
      <c r="X2112" s="22"/>
      <c r="Y2112" s="22"/>
      <c r="Z2112" s="22"/>
      <c r="AA2112" s="22"/>
      <c r="AF2112" s="22"/>
      <c r="AG2112" s="22"/>
      <c r="AH2112" s="22"/>
      <c r="AI2112" s="22"/>
      <c r="AN2112" s="22"/>
      <c r="AO2112" s="22"/>
      <c r="AP2112" s="22"/>
      <c r="AQ2112" s="22"/>
      <c r="AR2112" s="35"/>
      <c r="AS2112" s="35"/>
      <c r="AT2112" s="35"/>
      <c r="AU2112" s="31"/>
      <c r="AV2112" s="36"/>
    </row>
    <row r="2113" spans="4:48">
      <c r="D2113" s="31"/>
      <c r="E2113" s="31"/>
      <c r="F2113" s="31"/>
      <c r="G2113" s="31"/>
      <c r="H2113" s="32"/>
      <c r="J2113" s="33"/>
      <c r="K2113" s="33"/>
      <c r="L2113" s="33"/>
      <c r="X2113" s="22"/>
      <c r="Y2113" s="22"/>
      <c r="Z2113" s="22"/>
      <c r="AA2113" s="22"/>
      <c r="AF2113" s="22"/>
      <c r="AG2113" s="22"/>
      <c r="AH2113" s="22"/>
      <c r="AI2113" s="22"/>
      <c r="AN2113" s="22"/>
      <c r="AO2113" s="22"/>
      <c r="AP2113" s="22"/>
      <c r="AQ2113" s="22"/>
      <c r="AR2113" s="35"/>
      <c r="AS2113" s="35"/>
      <c r="AT2113" s="35"/>
      <c r="AU2113" s="31"/>
      <c r="AV2113" s="36"/>
    </row>
    <row r="2114" spans="4:48">
      <c r="D2114" s="31"/>
      <c r="E2114" s="31"/>
      <c r="F2114" s="31"/>
      <c r="G2114" s="31"/>
      <c r="H2114" s="32"/>
      <c r="J2114" s="33"/>
      <c r="K2114" s="33"/>
      <c r="L2114" s="33"/>
      <c r="X2114" s="22"/>
      <c r="Y2114" s="22"/>
      <c r="Z2114" s="22"/>
      <c r="AA2114" s="22"/>
      <c r="AF2114" s="22"/>
      <c r="AG2114" s="22"/>
      <c r="AH2114" s="22"/>
      <c r="AI2114" s="22"/>
      <c r="AN2114" s="22"/>
      <c r="AO2114" s="22"/>
      <c r="AP2114" s="22"/>
      <c r="AQ2114" s="22"/>
      <c r="AR2114" s="35"/>
      <c r="AS2114" s="35"/>
      <c r="AT2114" s="35"/>
      <c r="AU2114" s="31"/>
      <c r="AV2114" s="36"/>
    </row>
    <row r="2115" spans="4:48">
      <c r="D2115" s="31"/>
      <c r="E2115" s="31"/>
      <c r="F2115" s="31"/>
      <c r="G2115" s="31"/>
      <c r="H2115" s="32"/>
      <c r="J2115" s="33"/>
      <c r="K2115" s="33"/>
      <c r="L2115" s="33"/>
      <c r="X2115" s="22"/>
      <c r="Y2115" s="22"/>
      <c r="Z2115" s="22"/>
      <c r="AA2115" s="22"/>
      <c r="AF2115" s="22"/>
      <c r="AG2115" s="22"/>
      <c r="AH2115" s="22"/>
      <c r="AI2115" s="22"/>
      <c r="AN2115" s="22"/>
      <c r="AO2115" s="22"/>
      <c r="AP2115" s="22"/>
      <c r="AQ2115" s="22"/>
      <c r="AR2115" s="35"/>
      <c r="AS2115" s="35"/>
      <c r="AT2115" s="35"/>
      <c r="AU2115" s="31"/>
      <c r="AV2115" s="36"/>
    </row>
    <row r="2116" spans="4:48">
      <c r="D2116" s="31"/>
      <c r="E2116" s="31"/>
      <c r="F2116" s="31"/>
      <c r="G2116" s="31"/>
      <c r="H2116" s="32"/>
      <c r="J2116" s="33"/>
      <c r="K2116" s="33"/>
      <c r="L2116" s="33"/>
      <c r="X2116" s="22"/>
      <c r="Y2116" s="22"/>
      <c r="Z2116" s="22"/>
      <c r="AA2116" s="22"/>
      <c r="AF2116" s="22"/>
      <c r="AG2116" s="22"/>
      <c r="AH2116" s="22"/>
      <c r="AI2116" s="22"/>
      <c r="AN2116" s="22"/>
      <c r="AO2116" s="22"/>
      <c r="AP2116" s="22"/>
      <c r="AQ2116" s="22"/>
      <c r="AR2116" s="35"/>
      <c r="AS2116" s="35"/>
      <c r="AT2116" s="35"/>
      <c r="AU2116" s="31"/>
      <c r="AV2116" s="36"/>
    </row>
    <row r="2117" spans="4:48">
      <c r="D2117" s="31"/>
      <c r="E2117" s="31"/>
      <c r="F2117" s="31"/>
      <c r="G2117" s="31"/>
      <c r="H2117" s="32"/>
      <c r="J2117" s="33"/>
      <c r="K2117" s="33"/>
      <c r="L2117" s="33"/>
      <c r="X2117" s="22"/>
      <c r="Y2117" s="22"/>
      <c r="Z2117" s="22"/>
      <c r="AA2117" s="22"/>
      <c r="AF2117" s="22"/>
      <c r="AG2117" s="22"/>
      <c r="AH2117" s="22"/>
      <c r="AI2117" s="22"/>
      <c r="AN2117" s="22"/>
      <c r="AO2117" s="22"/>
      <c r="AP2117" s="22"/>
      <c r="AQ2117" s="22"/>
      <c r="AR2117" s="35"/>
      <c r="AS2117" s="35"/>
      <c r="AT2117" s="35"/>
      <c r="AU2117" s="31"/>
      <c r="AV2117" s="36"/>
    </row>
    <row r="2118" spans="4:48">
      <c r="D2118" s="31"/>
      <c r="E2118" s="31"/>
      <c r="F2118" s="31"/>
      <c r="G2118" s="31"/>
      <c r="H2118" s="32"/>
      <c r="J2118" s="33"/>
      <c r="K2118" s="33"/>
      <c r="L2118" s="33"/>
      <c r="X2118" s="22"/>
      <c r="Y2118" s="22"/>
      <c r="Z2118" s="22"/>
      <c r="AA2118" s="22"/>
      <c r="AF2118" s="22"/>
      <c r="AG2118" s="22"/>
      <c r="AH2118" s="22"/>
      <c r="AI2118" s="22"/>
      <c r="AN2118" s="22"/>
      <c r="AO2118" s="22"/>
      <c r="AP2118" s="22"/>
      <c r="AQ2118" s="22"/>
      <c r="AR2118" s="35"/>
      <c r="AS2118" s="35"/>
      <c r="AT2118" s="35"/>
      <c r="AU2118" s="31"/>
      <c r="AV2118" s="36"/>
    </row>
    <row r="2119" spans="4:48">
      <c r="D2119" s="31"/>
      <c r="E2119" s="31"/>
      <c r="F2119" s="31"/>
      <c r="G2119" s="31"/>
      <c r="H2119" s="32"/>
      <c r="J2119" s="33"/>
      <c r="K2119" s="33"/>
      <c r="L2119" s="33"/>
      <c r="X2119" s="22"/>
      <c r="Y2119" s="22"/>
      <c r="Z2119" s="22"/>
      <c r="AA2119" s="22"/>
      <c r="AF2119" s="22"/>
      <c r="AG2119" s="22"/>
      <c r="AH2119" s="22"/>
      <c r="AI2119" s="22"/>
      <c r="AN2119" s="22"/>
      <c r="AO2119" s="22"/>
      <c r="AP2119" s="22"/>
      <c r="AQ2119" s="22"/>
      <c r="AR2119" s="35"/>
      <c r="AS2119" s="35"/>
      <c r="AT2119" s="35"/>
      <c r="AU2119" s="31"/>
      <c r="AV2119" s="36"/>
    </row>
    <row r="2120" spans="4:48">
      <c r="D2120" s="31"/>
      <c r="E2120" s="31"/>
      <c r="F2120" s="31"/>
      <c r="G2120" s="31"/>
      <c r="H2120" s="32"/>
      <c r="J2120" s="33"/>
      <c r="K2120" s="33"/>
      <c r="L2120" s="33"/>
      <c r="X2120" s="22"/>
      <c r="Y2120" s="22"/>
      <c r="Z2120" s="22"/>
      <c r="AA2120" s="22"/>
      <c r="AF2120" s="22"/>
      <c r="AG2120" s="22"/>
      <c r="AH2120" s="22"/>
      <c r="AI2120" s="22"/>
      <c r="AN2120" s="22"/>
      <c r="AO2120" s="22"/>
      <c r="AP2120" s="22"/>
      <c r="AQ2120" s="22"/>
      <c r="AR2120" s="35"/>
      <c r="AS2120" s="35"/>
      <c r="AT2120" s="35"/>
      <c r="AU2120" s="31"/>
      <c r="AV2120" s="36"/>
    </row>
    <row r="2121" spans="4:48">
      <c r="D2121" s="31"/>
      <c r="E2121" s="31"/>
      <c r="F2121" s="31"/>
      <c r="G2121" s="31"/>
      <c r="H2121" s="32"/>
      <c r="J2121" s="33"/>
      <c r="K2121" s="33"/>
      <c r="L2121" s="33"/>
      <c r="X2121" s="22"/>
      <c r="Y2121" s="22"/>
      <c r="Z2121" s="22"/>
      <c r="AA2121" s="22"/>
      <c r="AF2121" s="22"/>
      <c r="AG2121" s="22"/>
      <c r="AH2121" s="22"/>
      <c r="AI2121" s="22"/>
      <c r="AN2121" s="22"/>
      <c r="AO2121" s="22"/>
      <c r="AP2121" s="22"/>
      <c r="AQ2121" s="22"/>
      <c r="AR2121" s="35"/>
      <c r="AS2121" s="35"/>
      <c r="AT2121" s="35"/>
      <c r="AU2121" s="31"/>
      <c r="AV2121" s="36"/>
    </row>
    <row r="2122" spans="4:48">
      <c r="D2122" s="31"/>
      <c r="E2122" s="31"/>
      <c r="F2122" s="31"/>
      <c r="G2122" s="31"/>
      <c r="H2122" s="32"/>
      <c r="J2122" s="33"/>
      <c r="K2122" s="33"/>
      <c r="L2122" s="33"/>
      <c r="X2122" s="22"/>
      <c r="Y2122" s="22"/>
      <c r="Z2122" s="22"/>
      <c r="AA2122" s="22"/>
      <c r="AF2122" s="22"/>
      <c r="AG2122" s="22"/>
      <c r="AH2122" s="22"/>
      <c r="AI2122" s="22"/>
      <c r="AN2122" s="22"/>
      <c r="AO2122" s="22"/>
      <c r="AP2122" s="22"/>
      <c r="AQ2122" s="22"/>
      <c r="AR2122" s="35"/>
      <c r="AS2122" s="35"/>
      <c r="AT2122" s="35"/>
      <c r="AU2122" s="31"/>
      <c r="AV2122" s="36"/>
    </row>
    <row r="2123" spans="4:48">
      <c r="D2123" s="31"/>
      <c r="E2123" s="31"/>
      <c r="F2123" s="31"/>
      <c r="G2123" s="31"/>
      <c r="H2123" s="32"/>
      <c r="J2123" s="33"/>
      <c r="K2123" s="33"/>
      <c r="L2123" s="33"/>
      <c r="X2123" s="22"/>
      <c r="Y2123" s="22"/>
      <c r="Z2123" s="22"/>
      <c r="AA2123" s="22"/>
      <c r="AF2123" s="22"/>
      <c r="AG2123" s="22"/>
      <c r="AH2123" s="22"/>
      <c r="AI2123" s="22"/>
      <c r="AN2123" s="22"/>
      <c r="AO2123" s="22"/>
      <c r="AP2123" s="22"/>
      <c r="AQ2123" s="22"/>
      <c r="AR2123" s="35"/>
      <c r="AS2123" s="35"/>
      <c r="AT2123" s="35"/>
      <c r="AU2123" s="31"/>
      <c r="AV2123" s="36"/>
    </row>
    <row r="2124" spans="4:48">
      <c r="D2124" s="31"/>
      <c r="E2124" s="31"/>
      <c r="F2124" s="31"/>
      <c r="G2124" s="31"/>
      <c r="H2124" s="32"/>
      <c r="J2124" s="33"/>
      <c r="K2124" s="33"/>
      <c r="L2124" s="33"/>
      <c r="X2124" s="22"/>
      <c r="Y2124" s="22"/>
      <c r="Z2124" s="22"/>
      <c r="AA2124" s="22"/>
      <c r="AF2124" s="22"/>
      <c r="AG2124" s="22"/>
      <c r="AH2124" s="22"/>
      <c r="AI2124" s="22"/>
      <c r="AN2124" s="22"/>
      <c r="AO2124" s="22"/>
      <c r="AP2124" s="22"/>
      <c r="AQ2124" s="22"/>
      <c r="AR2124" s="35"/>
      <c r="AS2124" s="35"/>
      <c r="AT2124" s="35"/>
      <c r="AU2124" s="31"/>
      <c r="AV2124" s="36"/>
    </row>
    <row r="2125" spans="4:48">
      <c r="D2125" s="31"/>
      <c r="E2125" s="31"/>
      <c r="F2125" s="31"/>
      <c r="G2125" s="31"/>
      <c r="H2125" s="32"/>
      <c r="J2125" s="33"/>
      <c r="K2125" s="33"/>
      <c r="L2125" s="33"/>
      <c r="X2125" s="22"/>
      <c r="Y2125" s="22"/>
      <c r="Z2125" s="22"/>
      <c r="AA2125" s="22"/>
      <c r="AF2125" s="22"/>
      <c r="AG2125" s="22"/>
      <c r="AH2125" s="22"/>
      <c r="AI2125" s="22"/>
      <c r="AN2125" s="22"/>
      <c r="AO2125" s="22"/>
      <c r="AP2125" s="22"/>
      <c r="AQ2125" s="22"/>
      <c r="AR2125" s="35"/>
      <c r="AS2125" s="35"/>
      <c r="AT2125" s="35"/>
      <c r="AU2125" s="31"/>
      <c r="AV2125" s="36"/>
    </row>
    <row r="2126" spans="4:48">
      <c r="D2126" s="31"/>
      <c r="E2126" s="31"/>
      <c r="F2126" s="31"/>
      <c r="G2126" s="31"/>
      <c r="H2126" s="32"/>
      <c r="J2126" s="33"/>
      <c r="K2126" s="33"/>
      <c r="L2126" s="33"/>
      <c r="X2126" s="22"/>
      <c r="Y2126" s="22"/>
      <c r="Z2126" s="22"/>
      <c r="AA2126" s="22"/>
      <c r="AF2126" s="22"/>
      <c r="AG2126" s="22"/>
      <c r="AH2126" s="22"/>
      <c r="AI2126" s="22"/>
      <c r="AN2126" s="22"/>
      <c r="AO2126" s="22"/>
      <c r="AP2126" s="22"/>
      <c r="AQ2126" s="22"/>
      <c r="AR2126" s="35"/>
      <c r="AS2126" s="35"/>
      <c r="AT2126" s="35"/>
      <c r="AU2126" s="31"/>
      <c r="AV2126" s="36"/>
    </row>
    <row r="2127" spans="4:48">
      <c r="D2127" s="31"/>
      <c r="E2127" s="31"/>
      <c r="F2127" s="31"/>
      <c r="G2127" s="31"/>
      <c r="H2127" s="32"/>
      <c r="J2127" s="33"/>
      <c r="K2127" s="33"/>
      <c r="L2127" s="33"/>
      <c r="X2127" s="22"/>
      <c r="Y2127" s="22"/>
      <c r="Z2127" s="22"/>
      <c r="AA2127" s="22"/>
      <c r="AF2127" s="22"/>
      <c r="AG2127" s="22"/>
      <c r="AH2127" s="22"/>
      <c r="AI2127" s="22"/>
      <c r="AN2127" s="22"/>
      <c r="AO2127" s="22"/>
      <c r="AP2127" s="22"/>
      <c r="AQ2127" s="22"/>
      <c r="AR2127" s="35"/>
      <c r="AS2127" s="35"/>
      <c r="AT2127" s="35"/>
      <c r="AU2127" s="31"/>
      <c r="AV2127" s="36"/>
    </row>
    <row r="2128" spans="4:48">
      <c r="D2128" s="31"/>
      <c r="E2128" s="31"/>
      <c r="F2128" s="31"/>
      <c r="G2128" s="31"/>
      <c r="H2128" s="32"/>
      <c r="J2128" s="33"/>
      <c r="K2128" s="33"/>
      <c r="L2128" s="33"/>
      <c r="X2128" s="22"/>
      <c r="Y2128" s="22"/>
      <c r="Z2128" s="22"/>
      <c r="AA2128" s="22"/>
      <c r="AF2128" s="22"/>
      <c r="AG2128" s="22"/>
      <c r="AH2128" s="22"/>
      <c r="AI2128" s="22"/>
      <c r="AN2128" s="22"/>
      <c r="AO2128" s="22"/>
      <c r="AP2128" s="22"/>
      <c r="AQ2128" s="22"/>
      <c r="AR2128" s="35"/>
      <c r="AS2128" s="35"/>
      <c r="AT2128" s="35"/>
      <c r="AU2128" s="31"/>
      <c r="AV2128" s="36"/>
    </row>
    <row r="2129" spans="4:48">
      <c r="D2129" s="31"/>
      <c r="E2129" s="31"/>
      <c r="F2129" s="31"/>
      <c r="G2129" s="31"/>
      <c r="H2129" s="32"/>
      <c r="J2129" s="33"/>
      <c r="K2129" s="33"/>
      <c r="L2129" s="33"/>
      <c r="X2129" s="22"/>
      <c r="Y2129" s="22"/>
      <c r="Z2129" s="22"/>
      <c r="AA2129" s="22"/>
      <c r="AF2129" s="22"/>
      <c r="AG2129" s="22"/>
      <c r="AH2129" s="22"/>
      <c r="AI2129" s="22"/>
      <c r="AN2129" s="22"/>
      <c r="AO2129" s="22"/>
      <c r="AP2129" s="22"/>
      <c r="AQ2129" s="22"/>
      <c r="AR2129" s="35"/>
      <c r="AS2129" s="35"/>
      <c r="AT2129" s="35"/>
      <c r="AU2129" s="31"/>
      <c r="AV2129" s="36"/>
    </row>
    <row r="2130" spans="4:48">
      <c r="D2130" s="31"/>
      <c r="E2130" s="31"/>
      <c r="F2130" s="31"/>
      <c r="G2130" s="31"/>
      <c r="H2130" s="32"/>
      <c r="J2130" s="33"/>
      <c r="K2130" s="33"/>
      <c r="L2130" s="33"/>
      <c r="X2130" s="22"/>
      <c r="Y2130" s="22"/>
      <c r="Z2130" s="22"/>
      <c r="AA2130" s="22"/>
      <c r="AF2130" s="22"/>
      <c r="AG2130" s="22"/>
      <c r="AH2130" s="22"/>
      <c r="AI2130" s="22"/>
      <c r="AN2130" s="22"/>
      <c r="AO2130" s="22"/>
      <c r="AP2130" s="22"/>
      <c r="AQ2130" s="22"/>
      <c r="AR2130" s="35"/>
      <c r="AS2130" s="35"/>
      <c r="AT2130" s="35"/>
      <c r="AU2130" s="31"/>
      <c r="AV2130" s="36"/>
    </row>
    <row r="2131" spans="4:48">
      <c r="D2131" s="31"/>
      <c r="E2131" s="31"/>
      <c r="F2131" s="31"/>
      <c r="G2131" s="31"/>
      <c r="H2131" s="32"/>
      <c r="J2131" s="33"/>
      <c r="K2131" s="33"/>
      <c r="L2131" s="33"/>
      <c r="X2131" s="22"/>
      <c r="Y2131" s="22"/>
      <c r="Z2131" s="22"/>
      <c r="AA2131" s="22"/>
      <c r="AF2131" s="22"/>
      <c r="AG2131" s="22"/>
      <c r="AH2131" s="22"/>
      <c r="AI2131" s="22"/>
      <c r="AN2131" s="22"/>
      <c r="AO2131" s="22"/>
      <c r="AP2131" s="22"/>
      <c r="AQ2131" s="22"/>
      <c r="AR2131" s="35"/>
      <c r="AS2131" s="35"/>
      <c r="AT2131" s="35"/>
      <c r="AU2131" s="31"/>
      <c r="AV2131" s="36"/>
    </row>
    <row r="2132" spans="4:48">
      <c r="D2132" s="31"/>
      <c r="E2132" s="31"/>
      <c r="F2132" s="31"/>
      <c r="G2132" s="31"/>
      <c r="H2132" s="32"/>
      <c r="J2132" s="33"/>
      <c r="K2132" s="33"/>
      <c r="L2132" s="33"/>
      <c r="X2132" s="22"/>
      <c r="Y2132" s="22"/>
      <c r="Z2132" s="22"/>
      <c r="AA2132" s="22"/>
      <c r="AF2132" s="22"/>
      <c r="AG2132" s="22"/>
      <c r="AH2132" s="22"/>
      <c r="AI2132" s="22"/>
      <c r="AN2132" s="22"/>
      <c r="AO2132" s="22"/>
      <c r="AP2132" s="22"/>
      <c r="AQ2132" s="22"/>
      <c r="AR2132" s="35"/>
      <c r="AS2132" s="35"/>
      <c r="AT2132" s="35"/>
      <c r="AU2132" s="31"/>
      <c r="AV2132" s="36"/>
    </row>
    <row r="2133" spans="4:48">
      <c r="D2133" s="31"/>
      <c r="E2133" s="31"/>
      <c r="F2133" s="31"/>
      <c r="G2133" s="31"/>
      <c r="H2133" s="32"/>
      <c r="J2133" s="33"/>
      <c r="K2133" s="33"/>
      <c r="L2133" s="33"/>
      <c r="X2133" s="22"/>
      <c r="Y2133" s="22"/>
      <c r="Z2133" s="22"/>
      <c r="AA2133" s="22"/>
      <c r="AF2133" s="22"/>
      <c r="AG2133" s="22"/>
      <c r="AH2133" s="22"/>
      <c r="AI2133" s="22"/>
      <c r="AN2133" s="22"/>
      <c r="AO2133" s="22"/>
      <c r="AP2133" s="22"/>
      <c r="AQ2133" s="22"/>
      <c r="AR2133" s="35"/>
      <c r="AS2133" s="35"/>
      <c r="AT2133" s="35"/>
      <c r="AU2133" s="31"/>
      <c r="AV2133" s="36"/>
    </row>
    <row r="2134" spans="4:48">
      <c r="D2134" s="31"/>
      <c r="E2134" s="31"/>
      <c r="F2134" s="31"/>
      <c r="G2134" s="31"/>
      <c r="H2134" s="32"/>
      <c r="J2134" s="33"/>
      <c r="K2134" s="33"/>
      <c r="L2134" s="33"/>
      <c r="X2134" s="22"/>
      <c r="Y2134" s="22"/>
      <c r="Z2134" s="22"/>
      <c r="AA2134" s="22"/>
      <c r="AF2134" s="22"/>
      <c r="AG2134" s="22"/>
      <c r="AH2134" s="22"/>
      <c r="AI2134" s="22"/>
      <c r="AN2134" s="22"/>
      <c r="AO2134" s="22"/>
      <c r="AP2134" s="22"/>
      <c r="AQ2134" s="22"/>
      <c r="AR2134" s="35"/>
      <c r="AS2134" s="35"/>
      <c r="AT2134" s="35"/>
      <c r="AU2134" s="31"/>
      <c r="AV2134" s="36"/>
    </row>
    <row r="2135" spans="4:48">
      <c r="D2135" s="31"/>
      <c r="E2135" s="31"/>
      <c r="F2135" s="31"/>
      <c r="G2135" s="31"/>
      <c r="H2135" s="32"/>
      <c r="J2135" s="33"/>
      <c r="K2135" s="33"/>
      <c r="L2135" s="33"/>
      <c r="X2135" s="22"/>
      <c r="Y2135" s="22"/>
      <c r="Z2135" s="22"/>
      <c r="AA2135" s="22"/>
      <c r="AF2135" s="22"/>
      <c r="AG2135" s="22"/>
      <c r="AH2135" s="22"/>
      <c r="AI2135" s="22"/>
      <c r="AN2135" s="22"/>
      <c r="AO2135" s="22"/>
      <c r="AP2135" s="22"/>
      <c r="AQ2135" s="22"/>
      <c r="AR2135" s="35"/>
      <c r="AS2135" s="35"/>
      <c r="AT2135" s="35"/>
      <c r="AU2135" s="31"/>
      <c r="AV2135" s="36"/>
    </row>
    <row r="2136" spans="4:48">
      <c r="D2136" s="31"/>
      <c r="E2136" s="31"/>
      <c r="F2136" s="31"/>
      <c r="G2136" s="31"/>
      <c r="H2136" s="32"/>
      <c r="J2136" s="33"/>
      <c r="K2136" s="33"/>
      <c r="L2136" s="33"/>
      <c r="X2136" s="22"/>
      <c r="Y2136" s="22"/>
      <c r="Z2136" s="22"/>
      <c r="AA2136" s="22"/>
      <c r="AF2136" s="22"/>
      <c r="AG2136" s="22"/>
      <c r="AH2136" s="22"/>
      <c r="AI2136" s="22"/>
      <c r="AN2136" s="22"/>
      <c r="AO2136" s="22"/>
      <c r="AP2136" s="22"/>
      <c r="AQ2136" s="22"/>
      <c r="AR2136" s="35"/>
      <c r="AS2136" s="35"/>
      <c r="AT2136" s="35"/>
      <c r="AU2136" s="31"/>
      <c r="AV2136" s="36"/>
    </row>
    <row r="2137" spans="4:48">
      <c r="D2137" s="31"/>
      <c r="E2137" s="31"/>
      <c r="F2137" s="31"/>
      <c r="G2137" s="31"/>
      <c r="H2137" s="32"/>
      <c r="J2137" s="33"/>
      <c r="K2137" s="33"/>
      <c r="L2137" s="33"/>
      <c r="X2137" s="22"/>
      <c r="Y2137" s="22"/>
      <c r="Z2137" s="22"/>
      <c r="AA2137" s="22"/>
      <c r="AF2137" s="22"/>
      <c r="AG2137" s="22"/>
      <c r="AH2137" s="22"/>
      <c r="AI2137" s="22"/>
      <c r="AN2137" s="22"/>
      <c r="AO2137" s="22"/>
      <c r="AP2137" s="22"/>
      <c r="AQ2137" s="22"/>
      <c r="AR2137" s="35"/>
      <c r="AS2137" s="35"/>
      <c r="AT2137" s="35"/>
      <c r="AU2137" s="31"/>
      <c r="AV2137" s="36"/>
    </row>
    <row r="2138" spans="4:48">
      <c r="D2138" s="31"/>
      <c r="E2138" s="31"/>
      <c r="F2138" s="31"/>
      <c r="G2138" s="31"/>
      <c r="H2138" s="32"/>
      <c r="J2138" s="33"/>
      <c r="K2138" s="33"/>
      <c r="L2138" s="33"/>
      <c r="X2138" s="22"/>
      <c r="Y2138" s="22"/>
      <c r="Z2138" s="22"/>
      <c r="AA2138" s="22"/>
      <c r="AF2138" s="22"/>
      <c r="AG2138" s="22"/>
      <c r="AH2138" s="22"/>
      <c r="AI2138" s="22"/>
      <c r="AN2138" s="22"/>
      <c r="AO2138" s="22"/>
      <c r="AP2138" s="22"/>
      <c r="AQ2138" s="22"/>
      <c r="AR2138" s="35"/>
      <c r="AS2138" s="35"/>
      <c r="AT2138" s="35"/>
      <c r="AU2138" s="31"/>
      <c r="AV2138" s="36"/>
    </row>
    <row r="2139" spans="4:48">
      <c r="D2139" s="31"/>
      <c r="E2139" s="31"/>
      <c r="F2139" s="31"/>
      <c r="G2139" s="31"/>
      <c r="H2139" s="32"/>
      <c r="J2139" s="33"/>
      <c r="K2139" s="33"/>
      <c r="L2139" s="33"/>
      <c r="X2139" s="22"/>
      <c r="Y2139" s="22"/>
      <c r="Z2139" s="22"/>
      <c r="AA2139" s="22"/>
      <c r="AF2139" s="22"/>
      <c r="AG2139" s="22"/>
      <c r="AH2139" s="22"/>
      <c r="AI2139" s="22"/>
      <c r="AN2139" s="22"/>
      <c r="AO2139" s="22"/>
      <c r="AP2139" s="22"/>
      <c r="AQ2139" s="22"/>
      <c r="AR2139" s="35"/>
      <c r="AS2139" s="35"/>
      <c r="AT2139" s="35"/>
      <c r="AU2139" s="31"/>
      <c r="AV2139" s="36"/>
    </row>
    <row r="2140" spans="4:48">
      <c r="D2140" s="31"/>
      <c r="E2140" s="31"/>
      <c r="F2140" s="31"/>
      <c r="G2140" s="31"/>
      <c r="H2140" s="32"/>
      <c r="J2140" s="33"/>
      <c r="K2140" s="33"/>
      <c r="L2140" s="33"/>
      <c r="X2140" s="22"/>
      <c r="Y2140" s="22"/>
      <c r="Z2140" s="22"/>
      <c r="AA2140" s="22"/>
      <c r="AF2140" s="22"/>
      <c r="AG2140" s="22"/>
      <c r="AH2140" s="22"/>
      <c r="AI2140" s="22"/>
      <c r="AN2140" s="22"/>
      <c r="AO2140" s="22"/>
      <c r="AP2140" s="22"/>
      <c r="AQ2140" s="22"/>
      <c r="AR2140" s="35"/>
      <c r="AS2140" s="35"/>
      <c r="AT2140" s="35"/>
      <c r="AU2140" s="31"/>
      <c r="AV2140" s="36"/>
    </row>
    <row r="2141" spans="4:48">
      <c r="D2141" s="31"/>
      <c r="E2141" s="31"/>
      <c r="F2141" s="31"/>
      <c r="G2141" s="31"/>
      <c r="H2141" s="32"/>
      <c r="J2141" s="33"/>
      <c r="K2141" s="33"/>
      <c r="L2141" s="33"/>
      <c r="X2141" s="22"/>
      <c r="Y2141" s="22"/>
      <c r="Z2141" s="22"/>
      <c r="AA2141" s="22"/>
      <c r="AF2141" s="22"/>
      <c r="AG2141" s="22"/>
      <c r="AH2141" s="22"/>
      <c r="AI2141" s="22"/>
      <c r="AN2141" s="22"/>
      <c r="AO2141" s="22"/>
      <c r="AP2141" s="22"/>
      <c r="AQ2141" s="22"/>
      <c r="AR2141" s="35"/>
      <c r="AS2141" s="35"/>
      <c r="AT2141" s="35"/>
      <c r="AU2141" s="31"/>
      <c r="AV2141" s="36"/>
    </row>
    <row r="2142" spans="4:48">
      <c r="D2142" s="31"/>
      <c r="E2142" s="31"/>
      <c r="F2142" s="31"/>
      <c r="G2142" s="31"/>
      <c r="H2142" s="32"/>
      <c r="J2142" s="33"/>
      <c r="K2142" s="33"/>
      <c r="L2142" s="33"/>
      <c r="X2142" s="22"/>
      <c r="Y2142" s="22"/>
      <c r="Z2142" s="22"/>
      <c r="AA2142" s="22"/>
      <c r="AF2142" s="22"/>
      <c r="AG2142" s="22"/>
      <c r="AH2142" s="22"/>
      <c r="AI2142" s="22"/>
      <c r="AN2142" s="22"/>
      <c r="AO2142" s="22"/>
      <c r="AP2142" s="22"/>
      <c r="AQ2142" s="22"/>
      <c r="AR2142" s="35"/>
      <c r="AS2142" s="35"/>
      <c r="AT2142" s="35"/>
      <c r="AU2142" s="31"/>
      <c r="AV2142" s="36"/>
    </row>
    <row r="2143" spans="4:48">
      <c r="D2143" s="31"/>
      <c r="E2143" s="31"/>
      <c r="F2143" s="31"/>
      <c r="G2143" s="31"/>
      <c r="H2143" s="32"/>
      <c r="J2143" s="33"/>
      <c r="K2143" s="33"/>
      <c r="L2143" s="33"/>
      <c r="X2143" s="22"/>
      <c r="Y2143" s="22"/>
      <c r="Z2143" s="22"/>
      <c r="AA2143" s="22"/>
      <c r="AF2143" s="22"/>
      <c r="AG2143" s="22"/>
      <c r="AH2143" s="22"/>
      <c r="AI2143" s="22"/>
      <c r="AN2143" s="22"/>
      <c r="AO2143" s="22"/>
      <c r="AP2143" s="22"/>
      <c r="AQ2143" s="22"/>
      <c r="AR2143" s="35"/>
      <c r="AS2143" s="35"/>
      <c r="AT2143" s="35"/>
      <c r="AU2143" s="31"/>
      <c r="AV2143" s="36"/>
    </row>
    <row r="2144" spans="4:48">
      <c r="D2144" s="31"/>
      <c r="E2144" s="31"/>
      <c r="F2144" s="31"/>
      <c r="G2144" s="31"/>
      <c r="H2144" s="32"/>
      <c r="J2144" s="33"/>
      <c r="K2144" s="33"/>
      <c r="L2144" s="33"/>
      <c r="X2144" s="22"/>
      <c r="Y2144" s="22"/>
      <c r="Z2144" s="22"/>
      <c r="AA2144" s="22"/>
      <c r="AF2144" s="22"/>
      <c r="AG2144" s="22"/>
      <c r="AH2144" s="22"/>
      <c r="AI2144" s="22"/>
      <c r="AN2144" s="22"/>
      <c r="AO2144" s="22"/>
      <c r="AP2144" s="22"/>
      <c r="AQ2144" s="22"/>
      <c r="AR2144" s="35"/>
      <c r="AS2144" s="35"/>
      <c r="AT2144" s="35"/>
      <c r="AU2144" s="31"/>
      <c r="AV2144" s="36"/>
    </row>
    <row r="2145" spans="4:48">
      <c r="D2145" s="31"/>
      <c r="E2145" s="31"/>
      <c r="F2145" s="31"/>
      <c r="G2145" s="31"/>
      <c r="H2145" s="32"/>
      <c r="J2145" s="33"/>
      <c r="K2145" s="33"/>
      <c r="L2145" s="33"/>
      <c r="X2145" s="22"/>
      <c r="Y2145" s="22"/>
      <c r="Z2145" s="22"/>
      <c r="AA2145" s="22"/>
      <c r="AF2145" s="22"/>
      <c r="AG2145" s="22"/>
      <c r="AH2145" s="22"/>
      <c r="AI2145" s="22"/>
      <c r="AN2145" s="22"/>
      <c r="AO2145" s="22"/>
      <c r="AP2145" s="22"/>
      <c r="AQ2145" s="22"/>
      <c r="AR2145" s="35"/>
      <c r="AS2145" s="35"/>
      <c r="AT2145" s="35"/>
      <c r="AU2145" s="31"/>
      <c r="AV2145" s="36"/>
    </row>
    <row r="2146" spans="4:48">
      <c r="D2146" s="31"/>
      <c r="E2146" s="31"/>
      <c r="F2146" s="31"/>
      <c r="G2146" s="31"/>
      <c r="H2146" s="32"/>
      <c r="J2146" s="33"/>
      <c r="K2146" s="33"/>
      <c r="L2146" s="33"/>
      <c r="X2146" s="22"/>
      <c r="Y2146" s="22"/>
      <c r="Z2146" s="22"/>
      <c r="AA2146" s="22"/>
      <c r="AF2146" s="22"/>
      <c r="AG2146" s="22"/>
      <c r="AH2146" s="22"/>
      <c r="AI2146" s="22"/>
      <c r="AN2146" s="22"/>
      <c r="AO2146" s="22"/>
      <c r="AP2146" s="22"/>
      <c r="AQ2146" s="22"/>
      <c r="AR2146" s="35"/>
      <c r="AS2146" s="35"/>
      <c r="AT2146" s="35"/>
      <c r="AU2146" s="31"/>
      <c r="AV2146" s="36"/>
    </row>
    <row r="2147" spans="4:48">
      <c r="D2147" s="31"/>
      <c r="E2147" s="31"/>
      <c r="F2147" s="31"/>
      <c r="G2147" s="31"/>
      <c r="H2147" s="32"/>
      <c r="J2147" s="33"/>
      <c r="K2147" s="33"/>
      <c r="L2147" s="33"/>
      <c r="X2147" s="22"/>
      <c r="Y2147" s="22"/>
      <c r="Z2147" s="22"/>
      <c r="AA2147" s="22"/>
      <c r="AF2147" s="22"/>
      <c r="AG2147" s="22"/>
      <c r="AH2147" s="22"/>
      <c r="AI2147" s="22"/>
      <c r="AN2147" s="22"/>
      <c r="AO2147" s="22"/>
      <c r="AP2147" s="22"/>
      <c r="AQ2147" s="22"/>
      <c r="AR2147" s="35"/>
      <c r="AS2147" s="35"/>
      <c r="AT2147" s="35"/>
      <c r="AU2147" s="31"/>
      <c r="AV2147" s="36"/>
    </row>
    <row r="2148" spans="4:48">
      <c r="D2148" s="31"/>
      <c r="E2148" s="31"/>
      <c r="F2148" s="31"/>
      <c r="G2148" s="31"/>
      <c r="H2148" s="32"/>
      <c r="J2148" s="33"/>
      <c r="K2148" s="33"/>
      <c r="L2148" s="33"/>
      <c r="X2148" s="22"/>
      <c r="Y2148" s="22"/>
      <c r="Z2148" s="22"/>
      <c r="AA2148" s="22"/>
      <c r="AF2148" s="22"/>
      <c r="AG2148" s="22"/>
      <c r="AH2148" s="22"/>
      <c r="AI2148" s="22"/>
      <c r="AN2148" s="22"/>
      <c r="AO2148" s="22"/>
      <c r="AP2148" s="22"/>
      <c r="AQ2148" s="22"/>
      <c r="AR2148" s="35"/>
      <c r="AS2148" s="35"/>
      <c r="AT2148" s="35"/>
      <c r="AU2148" s="31"/>
      <c r="AV2148" s="36"/>
    </row>
    <row r="2149" spans="4:48">
      <c r="D2149" s="31"/>
      <c r="E2149" s="31"/>
      <c r="F2149" s="31"/>
      <c r="G2149" s="31"/>
      <c r="H2149" s="32"/>
      <c r="J2149" s="33"/>
      <c r="K2149" s="33"/>
      <c r="L2149" s="33"/>
      <c r="X2149" s="22"/>
      <c r="Y2149" s="22"/>
      <c r="Z2149" s="22"/>
      <c r="AA2149" s="22"/>
      <c r="AF2149" s="22"/>
      <c r="AG2149" s="22"/>
      <c r="AH2149" s="22"/>
      <c r="AI2149" s="22"/>
      <c r="AN2149" s="22"/>
      <c r="AO2149" s="22"/>
      <c r="AP2149" s="22"/>
      <c r="AQ2149" s="22"/>
      <c r="AR2149" s="35"/>
      <c r="AS2149" s="35"/>
      <c r="AT2149" s="35"/>
      <c r="AU2149" s="31"/>
      <c r="AV2149" s="36"/>
    </row>
    <row r="2150" spans="4:48">
      <c r="D2150" s="31"/>
      <c r="E2150" s="31"/>
      <c r="F2150" s="31"/>
      <c r="G2150" s="31"/>
      <c r="H2150" s="32"/>
      <c r="J2150" s="33"/>
      <c r="K2150" s="33"/>
      <c r="L2150" s="33"/>
      <c r="X2150" s="22"/>
      <c r="Y2150" s="22"/>
      <c r="Z2150" s="22"/>
      <c r="AA2150" s="22"/>
      <c r="AF2150" s="22"/>
      <c r="AG2150" s="22"/>
      <c r="AH2150" s="22"/>
      <c r="AI2150" s="22"/>
      <c r="AN2150" s="22"/>
      <c r="AO2150" s="22"/>
      <c r="AP2150" s="22"/>
      <c r="AQ2150" s="22"/>
      <c r="AR2150" s="35"/>
      <c r="AS2150" s="35"/>
      <c r="AT2150" s="35"/>
      <c r="AU2150" s="31"/>
      <c r="AV2150" s="36"/>
    </row>
    <row r="2151" spans="4:48">
      <c r="D2151" s="31"/>
      <c r="E2151" s="31"/>
      <c r="F2151" s="31"/>
      <c r="G2151" s="31"/>
      <c r="H2151" s="32"/>
      <c r="J2151" s="33"/>
      <c r="K2151" s="33"/>
      <c r="L2151" s="33"/>
      <c r="X2151" s="22"/>
      <c r="Y2151" s="22"/>
      <c r="Z2151" s="22"/>
      <c r="AA2151" s="22"/>
      <c r="AF2151" s="22"/>
      <c r="AG2151" s="22"/>
      <c r="AH2151" s="22"/>
      <c r="AI2151" s="22"/>
      <c r="AN2151" s="22"/>
      <c r="AO2151" s="22"/>
      <c r="AP2151" s="22"/>
      <c r="AQ2151" s="22"/>
      <c r="AR2151" s="35"/>
      <c r="AS2151" s="35"/>
      <c r="AT2151" s="35"/>
      <c r="AU2151" s="31"/>
      <c r="AV2151" s="36"/>
    </row>
    <row r="2152" spans="4:48">
      <c r="D2152" s="31"/>
      <c r="E2152" s="31"/>
      <c r="F2152" s="31"/>
      <c r="G2152" s="31"/>
      <c r="H2152" s="32"/>
      <c r="J2152" s="33"/>
      <c r="K2152" s="33"/>
      <c r="L2152" s="33"/>
      <c r="X2152" s="22"/>
      <c r="Y2152" s="22"/>
      <c r="Z2152" s="22"/>
      <c r="AA2152" s="22"/>
      <c r="AF2152" s="22"/>
      <c r="AG2152" s="22"/>
      <c r="AH2152" s="22"/>
      <c r="AI2152" s="22"/>
      <c r="AN2152" s="22"/>
      <c r="AO2152" s="22"/>
      <c r="AP2152" s="22"/>
      <c r="AQ2152" s="22"/>
      <c r="AR2152" s="35"/>
      <c r="AS2152" s="35"/>
      <c r="AT2152" s="35"/>
      <c r="AU2152" s="31"/>
      <c r="AV2152" s="36"/>
    </row>
    <row r="2153" spans="4:48">
      <c r="D2153" s="31"/>
      <c r="E2153" s="31"/>
      <c r="F2153" s="31"/>
      <c r="G2153" s="31"/>
      <c r="H2153" s="32"/>
      <c r="J2153" s="33"/>
      <c r="K2153" s="33"/>
      <c r="L2153" s="33"/>
      <c r="X2153" s="22"/>
      <c r="Y2153" s="22"/>
      <c r="Z2153" s="22"/>
      <c r="AA2153" s="22"/>
      <c r="AF2153" s="22"/>
      <c r="AG2153" s="22"/>
      <c r="AH2153" s="22"/>
      <c r="AI2153" s="22"/>
      <c r="AN2153" s="22"/>
      <c r="AO2153" s="22"/>
      <c r="AP2153" s="22"/>
      <c r="AQ2153" s="22"/>
      <c r="AR2153" s="35"/>
      <c r="AS2153" s="35"/>
      <c r="AT2153" s="35"/>
      <c r="AU2153" s="31"/>
      <c r="AV2153" s="36"/>
    </row>
    <row r="2154" spans="4:48">
      <c r="D2154" s="31"/>
      <c r="E2154" s="31"/>
      <c r="F2154" s="31"/>
      <c r="G2154" s="31"/>
      <c r="H2154" s="32"/>
      <c r="J2154" s="33"/>
      <c r="K2154" s="33"/>
      <c r="L2154" s="33"/>
      <c r="X2154" s="22"/>
      <c r="Y2154" s="22"/>
      <c r="Z2154" s="22"/>
      <c r="AA2154" s="22"/>
      <c r="AF2154" s="22"/>
      <c r="AG2154" s="22"/>
      <c r="AH2154" s="22"/>
      <c r="AI2154" s="22"/>
      <c r="AN2154" s="22"/>
      <c r="AO2154" s="22"/>
      <c r="AP2154" s="22"/>
      <c r="AQ2154" s="22"/>
      <c r="AR2154" s="35"/>
      <c r="AS2154" s="35"/>
      <c r="AT2154" s="35"/>
      <c r="AU2154" s="31"/>
      <c r="AV2154" s="36"/>
    </row>
    <row r="2155" spans="4:48">
      <c r="D2155" s="31"/>
      <c r="E2155" s="31"/>
      <c r="F2155" s="31"/>
      <c r="G2155" s="31"/>
      <c r="H2155" s="32"/>
      <c r="J2155" s="33"/>
      <c r="K2155" s="33"/>
      <c r="L2155" s="33"/>
      <c r="X2155" s="22"/>
      <c r="Y2155" s="22"/>
      <c r="Z2155" s="22"/>
      <c r="AA2155" s="22"/>
      <c r="AF2155" s="22"/>
      <c r="AG2155" s="22"/>
      <c r="AH2155" s="22"/>
      <c r="AI2155" s="22"/>
      <c r="AN2155" s="22"/>
      <c r="AO2155" s="22"/>
      <c r="AP2155" s="22"/>
      <c r="AQ2155" s="22"/>
      <c r="AR2155" s="35"/>
      <c r="AS2155" s="35"/>
      <c r="AT2155" s="35"/>
      <c r="AU2155" s="31"/>
      <c r="AV2155" s="36"/>
    </row>
    <row r="2156" spans="4:48">
      <c r="D2156" s="31"/>
      <c r="E2156" s="31"/>
      <c r="F2156" s="31"/>
      <c r="G2156" s="31"/>
      <c r="H2156" s="32"/>
      <c r="J2156" s="33"/>
      <c r="K2156" s="33"/>
      <c r="L2156" s="33"/>
      <c r="X2156" s="22"/>
      <c r="Y2156" s="22"/>
      <c r="Z2156" s="22"/>
      <c r="AA2156" s="22"/>
      <c r="AF2156" s="22"/>
      <c r="AG2156" s="22"/>
      <c r="AH2156" s="22"/>
      <c r="AI2156" s="22"/>
      <c r="AN2156" s="22"/>
      <c r="AO2156" s="22"/>
      <c r="AP2156" s="22"/>
      <c r="AQ2156" s="22"/>
      <c r="AR2156" s="35"/>
      <c r="AS2156" s="35"/>
      <c r="AT2156" s="35"/>
      <c r="AU2156" s="31"/>
      <c r="AV2156" s="36"/>
    </row>
    <row r="2157" spans="4:48">
      <c r="D2157" s="31"/>
      <c r="E2157" s="31"/>
      <c r="F2157" s="31"/>
      <c r="G2157" s="31"/>
      <c r="H2157" s="32"/>
      <c r="J2157" s="33"/>
      <c r="K2157" s="33"/>
      <c r="L2157" s="33"/>
      <c r="X2157" s="22"/>
      <c r="Y2157" s="22"/>
      <c r="Z2157" s="22"/>
      <c r="AA2157" s="22"/>
      <c r="AF2157" s="22"/>
      <c r="AG2157" s="22"/>
      <c r="AH2157" s="22"/>
      <c r="AI2157" s="22"/>
      <c r="AN2157" s="22"/>
      <c r="AO2157" s="22"/>
      <c r="AP2157" s="22"/>
      <c r="AQ2157" s="22"/>
      <c r="AR2157" s="35"/>
      <c r="AS2157" s="35"/>
      <c r="AT2157" s="35"/>
      <c r="AU2157" s="31"/>
      <c r="AV2157" s="36"/>
    </row>
    <row r="2158" spans="4:48">
      <c r="D2158" s="31"/>
      <c r="E2158" s="31"/>
      <c r="F2158" s="31"/>
      <c r="G2158" s="31"/>
      <c r="H2158" s="32"/>
      <c r="J2158" s="33"/>
      <c r="K2158" s="33"/>
      <c r="L2158" s="33"/>
      <c r="X2158" s="22"/>
      <c r="Y2158" s="22"/>
      <c r="Z2158" s="22"/>
      <c r="AA2158" s="22"/>
      <c r="AF2158" s="22"/>
      <c r="AG2158" s="22"/>
      <c r="AH2158" s="22"/>
      <c r="AI2158" s="22"/>
      <c r="AN2158" s="22"/>
      <c r="AO2158" s="22"/>
      <c r="AP2158" s="22"/>
      <c r="AQ2158" s="22"/>
      <c r="AR2158" s="35"/>
      <c r="AS2158" s="35"/>
      <c r="AT2158" s="35"/>
      <c r="AU2158" s="31"/>
      <c r="AV2158" s="36"/>
    </row>
    <row r="2159" spans="4:48">
      <c r="D2159" s="31"/>
      <c r="E2159" s="31"/>
      <c r="F2159" s="31"/>
      <c r="G2159" s="31"/>
      <c r="H2159" s="32"/>
      <c r="J2159" s="33"/>
      <c r="K2159" s="33"/>
      <c r="L2159" s="33"/>
      <c r="X2159" s="22"/>
      <c r="Y2159" s="22"/>
      <c r="Z2159" s="22"/>
      <c r="AA2159" s="22"/>
      <c r="AF2159" s="22"/>
      <c r="AG2159" s="22"/>
      <c r="AH2159" s="22"/>
      <c r="AI2159" s="22"/>
      <c r="AN2159" s="22"/>
      <c r="AO2159" s="22"/>
      <c r="AP2159" s="22"/>
      <c r="AQ2159" s="22"/>
      <c r="AR2159" s="35"/>
      <c r="AS2159" s="35"/>
      <c r="AT2159" s="35"/>
      <c r="AU2159" s="31"/>
      <c r="AV2159" s="36"/>
    </row>
    <row r="2160" spans="4:48">
      <c r="D2160" s="31"/>
      <c r="E2160" s="31"/>
      <c r="F2160" s="31"/>
      <c r="G2160" s="31"/>
      <c r="H2160" s="32"/>
      <c r="J2160" s="33"/>
      <c r="K2160" s="33"/>
      <c r="L2160" s="33"/>
      <c r="X2160" s="22"/>
      <c r="Y2160" s="22"/>
      <c r="Z2160" s="22"/>
      <c r="AA2160" s="22"/>
      <c r="AF2160" s="22"/>
      <c r="AG2160" s="22"/>
      <c r="AH2160" s="22"/>
      <c r="AI2160" s="22"/>
      <c r="AN2160" s="22"/>
      <c r="AO2160" s="22"/>
      <c r="AP2160" s="22"/>
      <c r="AQ2160" s="22"/>
      <c r="AR2160" s="35"/>
      <c r="AS2160" s="35"/>
      <c r="AT2160" s="35"/>
      <c r="AU2160" s="31"/>
      <c r="AV2160" s="36"/>
    </row>
    <row r="2161" spans="4:48">
      <c r="D2161" s="31"/>
      <c r="E2161" s="31"/>
      <c r="F2161" s="31"/>
      <c r="G2161" s="31"/>
      <c r="H2161" s="32"/>
      <c r="J2161" s="33"/>
      <c r="K2161" s="33"/>
      <c r="L2161" s="33"/>
      <c r="X2161" s="22"/>
      <c r="Y2161" s="22"/>
      <c r="Z2161" s="22"/>
      <c r="AA2161" s="22"/>
      <c r="AF2161" s="22"/>
      <c r="AG2161" s="22"/>
      <c r="AH2161" s="22"/>
      <c r="AI2161" s="22"/>
      <c r="AN2161" s="22"/>
      <c r="AO2161" s="22"/>
      <c r="AP2161" s="22"/>
      <c r="AQ2161" s="22"/>
      <c r="AR2161" s="35"/>
      <c r="AS2161" s="35"/>
      <c r="AT2161" s="35"/>
      <c r="AU2161" s="31"/>
      <c r="AV2161" s="36"/>
    </row>
    <row r="2162" spans="4:48">
      <c r="D2162" s="31"/>
      <c r="E2162" s="31"/>
      <c r="F2162" s="31"/>
      <c r="G2162" s="31"/>
      <c r="H2162" s="32"/>
      <c r="J2162" s="33"/>
      <c r="K2162" s="33"/>
      <c r="L2162" s="33"/>
      <c r="X2162" s="22"/>
      <c r="Y2162" s="22"/>
      <c r="Z2162" s="22"/>
      <c r="AA2162" s="22"/>
      <c r="AF2162" s="22"/>
      <c r="AG2162" s="22"/>
      <c r="AH2162" s="22"/>
      <c r="AI2162" s="22"/>
      <c r="AN2162" s="22"/>
      <c r="AO2162" s="22"/>
      <c r="AP2162" s="22"/>
      <c r="AQ2162" s="22"/>
      <c r="AR2162" s="35"/>
      <c r="AS2162" s="35"/>
      <c r="AT2162" s="35"/>
      <c r="AU2162" s="31"/>
      <c r="AV2162" s="36"/>
    </row>
    <row r="2163" spans="4:48">
      <c r="D2163" s="31"/>
      <c r="E2163" s="31"/>
      <c r="F2163" s="31"/>
      <c r="G2163" s="31"/>
      <c r="H2163" s="32"/>
      <c r="J2163" s="33"/>
      <c r="K2163" s="33"/>
      <c r="L2163" s="33"/>
      <c r="X2163" s="22"/>
      <c r="Y2163" s="22"/>
      <c r="Z2163" s="22"/>
      <c r="AA2163" s="22"/>
      <c r="AF2163" s="22"/>
      <c r="AG2163" s="22"/>
      <c r="AH2163" s="22"/>
      <c r="AI2163" s="22"/>
      <c r="AN2163" s="22"/>
      <c r="AO2163" s="22"/>
      <c r="AP2163" s="22"/>
      <c r="AQ2163" s="22"/>
      <c r="AR2163" s="35"/>
      <c r="AS2163" s="35"/>
      <c r="AT2163" s="35"/>
      <c r="AU2163" s="31"/>
      <c r="AV2163" s="36"/>
    </row>
    <row r="2164" spans="4:48">
      <c r="D2164" s="31"/>
      <c r="E2164" s="31"/>
      <c r="F2164" s="31"/>
      <c r="G2164" s="31"/>
      <c r="H2164" s="32"/>
      <c r="J2164" s="33"/>
      <c r="K2164" s="33"/>
      <c r="L2164" s="33"/>
      <c r="X2164" s="22"/>
      <c r="Y2164" s="22"/>
      <c r="Z2164" s="22"/>
      <c r="AA2164" s="22"/>
      <c r="AF2164" s="22"/>
      <c r="AG2164" s="22"/>
      <c r="AH2164" s="22"/>
      <c r="AI2164" s="22"/>
      <c r="AN2164" s="22"/>
      <c r="AO2164" s="22"/>
      <c r="AP2164" s="22"/>
      <c r="AQ2164" s="22"/>
      <c r="AR2164" s="35"/>
      <c r="AS2164" s="35"/>
      <c r="AT2164" s="35"/>
      <c r="AU2164" s="31"/>
      <c r="AV2164" s="36"/>
    </row>
    <row r="2165" spans="4:48">
      <c r="D2165" s="31"/>
      <c r="E2165" s="31"/>
      <c r="F2165" s="31"/>
      <c r="G2165" s="31"/>
      <c r="H2165" s="32"/>
      <c r="J2165" s="33"/>
      <c r="K2165" s="33"/>
      <c r="L2165" s="33"/>
      <c r="X2165" s="22"/>
      <c r="Y2165" s="22"/>
      <c r="Z2165" s="22"/>
      <c r="AA2165" s="22"/>
      <c r="AF2165" s="22"/>
      <c r="AG2165" s="22"/>
      <c r="AH2165" s="22"/>
      <c r="AI2165" s="22"/>
      <c r="AN2165" s="22"/>
      <c r="AO2165" s="22"/>
      <c r="AP2165" s="22"/>
      <c r="AQ2165" s="22"/>
      <c r="AR2165" s="35"/>
      <c r="AS2165" s="35"/>
      <c r="AT2165" s="35"/>
      <c r="AU2165" s="31"/>
      <c r="AV2165" s="36"/>
    </row>
    <row r="2166" spans="4:48">
      <c r="D2166" s="31"/>
      <c r="E2166" s="31"/>
      <c r="F2166" s="31"/>
      <c r="G2166" s="31"/>
      <c r="H2166" s="32"/>
      <c r="J2166" s="33"/>
      <c r="K2166" s="33"/>
      <c r="L2166" s="33"/>
      <c r="X2166" s="22"/>
      <c r="Y2166" s="22"/>
      <c r="Z2166" s="22"/>
      <c r="AA2166" s="22"/>
      <c r="AF2166" s="22"/>
      <c r="AG2166" s="22"/>
      <c r="AH2166" s="22"/>
      <c r="AI2166" s="22"/>
      <c r="AN2166" s="22"/>
      <c r="AO2166" s="22"/>
      <c r="AP2166" s="22"/>
      <c r="AQ2166" s="22"/>
      <c r="AR2166" s="35"/>
      <c r="AS2166" s="35"/>
      <c r="AT2166" s="35"/>
      <c r="AU2166" s="31"/>
      <c r="AV2166" s="36"/>
    </row>
    <row r="2167" spans="4:48">
      <c r="D2167" s="31"/>
      <c r="E2167" s="31"/>
      <c r="F2167" s="31"/>
      <c r="G2167" s="31"/>
      <c r="H2167" s="32"/>
      <c r="J2167" s="33"/>
      <c r="K2167" s="33"/>
      <c r="L2167" s="33"/>
      <c r="X2167" s="22"/>
      <c r="Y2167" s="22"/>
      <c r="Z2167" s="22"/>
      <c r="AA2167" s="22"/>
      <c r="AF2167" s="22"/>
      <c r="AG2167" s="22"/>
      <c r="AH2167" s="22"/>
      <c r="AI2167" s="22"/>
      <c r="AN2167" s="22"/>
      <c r="AO2167" s="22"/>
      <c r="AP2167" s="22"/>
      <c r="AQ2167" s="22"/>
      <c r="AR2167" s="35"/>
      <c r="AS2167" s="35"/>
      <c r="AT2167" s="35"/>
      <c r="AU2167" s="31"/>
      <c r="AV2167" s="36"/>
    </row>
    <row r="2168" spans="4:48">
      <c r="D2168" s="31"/>
      <c r="E2168" s="31"/>
      <c r="F2168" s="31"/>
      <c r="G2168" s="31"/>
      <c r="H2168" s="32"/>
      <c r="J2168" s="33"/>
      <c r="K2168" s="33"/>
      <c r="L2168" s="33"/>
      <c r="X2168" s="22"/>
      <c r="Y2168" s="22"/>
      <c r="Z2168" s="22"/>
      <c r="AA2168" s="22"/>
      <c r="AF2168" s="22"/>
      <c r="AG2168" s="22"/>
      <c r="AH2168" s="22"/>
      <c r="AI2168" s="22"/>
      <c r="AN2168" s="22"/>
      <c r="AO2168" s="22"/>
      <c r="AP2168" s="22"/>
      <c r="AQ2168" s="22"/>
      <c r="AR2168" s="35"/>
      <c r="AS2168" s="35"/>
      <c r="AT2168" s="35"/>
      <c r="AU2168" s="31"/>
      <c r="AV2168" s="36"/>
    </row>
    <row r="2169" spans="4:48">
      <c r="D2169" s="31"/>
      <c r="E2169" s="31"/>
      <c r="F2169" s="31"/>
      <c r="G2169" s="31"/>
      <c r="H2169" s="32"/>
      <c r="J2169" s="33"/>
      <c r="K2169" s="33"/>
      <c r="L2169" s="33"/>
      <c r="X2169" s="22"/>
      <c r="Y2169" s="22"/>
      <c r="Z2169" s="22"/>
      <c r="AA2169" s="22"/>
      <c r="AF2169" s="22"/>
      <c r="AG2169" s="22"/>
      <c r="AH2169" s="22"/>
      <c r="AI2169" s="22"/>
      <c r="AN2169" s="22"/>
      <c r="AO2169" s="22"/>
      <c r="AP2169" s="22"/>
      <c r="AQ2169" s="22"/>
      <c r="AR2169" s="35"/>
      <c r="AS2169" s="35"/>
      <c r="AT2169" s="35"/>
      <c r="AU2169" s="31"/>
      <c r="AV2169" s="36"/>
    </row>
    <row r="2170" spans="4:48">
      <c r="D2170" s="31"/>
      <c r="E2170" s="31"/>
      <c r="F2170" s="31"/>
      <c r="G2170" s="31"/>
      <c r="H2170" s="32"/>
      <c r="J2170" s="33"/>
      <c r="K2170" s="33"/>
      <c r="L2170" s="33"/>
      <c r="X2170" s="22"/>
      <c r="Y2170" s="22"/>
      <c r="Z2170" s="22"/>
      <c r="AA2170" s="22"/>
      <c r="AF2170" s="22"/>
      <c r="AG2170" s="22"/>
      <c r="AH2170" s="22"/>
      <c r="AI2170" s="22"/>
      <c r="AN2170" s="22"/>
      <c r="AO2170" s="22"/>
      <c r="AP2170" s="22"/>
      <c r="AQ2170" s="22"/>
      <c r="AR2170" s="35"/>
      <c r="AS2170" s="35"/>
      <c r="AT2170" s="35"/>
      <c r="AU2170" s="31"/>
      <c r="AV2170" s="36"/>
    </row>
    <row r="2171" spans="4:48">
      <c r="D2171" s="31"/>
      <c r="E2171" s="31"/>
      <c r="F2171" s="31"/>
      <c r="G2171" s="31"/>
      <c r="H2171" s="32"/>
      <c r="J2171" s="33"/>
      <c r="K2171" s="33"/>
      <c r="L2171" s="33"/>
      <c r="X2171" s="22"/>
      <c r="Y2171" s="22"/>
      <c r="Z2171" s="22"/>
      <c r="AA2171" s="22"/>
      <c r="AF2171" s="22"/>
      <c r="AG2171" s="22"/>
      <c r="AH2171" s="22"/>
      <c r="AI2171" s="22"/>
      <c r="AN2171" s="22"/>
      <c r="AO2171" s="22"/>
      <c r="AP2171" s="22"/>
      <c r="AQ2171" s="22"/>
      <c r="AR2171" s="35"/>
      <c r="AS2171" s="35"/>
      <c r="AT2171" s="35"/>
      <c r="AU2171" s="31"/>
      <c r="AV2171" s="36"/>
    </row>
    <row r="2172" spans="4:48">
      <c r="D2172" s="31"/>
      <c r="E2172" s="31"/>
      <c r="F2172" s="31"/>
      <c r="G2172" s="31"/>
      <c r="H2172" s="32"/>
      <c r="J2172" s="33"/>
      <c r="K2172" s="33"/>
      <c r="L2172" s="33"/>
      <c r="X2172" s="22"/>
      <c r="Y2172" s="22"/>
      <c r="Z2172" s="22"/>
      <c r="AA2172" s="22"/>
      <c r="AF2172" s="22"/>
      <c r="AG2172" s="22"/>
      <c r="AH2172" s="22"/>
      <c r="AI2172" s="22"/>
      <c r="AN2172" s="22"/>
      <c r="AO2172" s="22"/>
      <c r="AP2172" s="22"/>
      <c r="AQ2172" s="22"/>
      <c r="AR2172" s="35"/>
      <c r="AS2172" s="35"/>
      <c r="AT2172" s="35"/>
      <c r="AU2172" s="31"/>
      <c r="AV2172" s="36"/>
    </row>
    <row r="2173" spans="4:48">
      <c r="D2173" s="31"/>
      <c r="E2173" s="31"/>
      <c r="F2173" s="31"/>
      <c r="G2173" s="31"/>
      <c r="H2173" s="32"/>
      <c r="J2173" s="33"/>
      <c r="K2173" s="33"/>
      <c r="L2173" s="33"/>
      <c r="X2173" s="22"/>
      <c r="Y2173" s="22"/>
      <c r="Z2173" s="22"/>
      <c r="AA2173" s="22"/>
      <c r="AF2173" s="22"/>
      <c r="AG2173" s="22"/>
      <c r="AH2173" s="22"/>
      <c r="AI2173" s="22"/>
      <c r="AN2173" s="22"/>
      <c r="AO2173" s="22"/>
      <c r="AP2173" s="22"/>
      <c r="AQ2173" s="22"/>
      <c r="AR2173" s="35"/>
      <c r="AS2173" s="35"/>
      <c r="AT2173" s="35"/>
      <c r="AU2173" s="31"/>
      <c r="AV2173" s="36"/>
    </row>
    <row r="2174" spans="4:48">
      <c r="D2174" s="31"/>
      <c r="E2174" s="31"/>
      <c r="F2174" s="31"/>
      <c r="G2174" s="31"/>
      <c r="H2174" s="32"/>
      <c r="J2174" s="33"/>
      <c r="K2174" s="33"/>
      <c r="L2174" s="33"/>
      <c r="X2174" s="22"/>
      <c r="Y2174" s="22"/>
      <c r="Z2174" s="22"/>
      <c r="AA2174" s="22"/>
      <c r="AF2174" s="22"/>
      <c r="AG2174" s="22"/>
      <c r="AH2174" s="22"/>
      <c r="AI2174" s="22"/>
      <c r="AN2174" s="22"/>
      <c r="AO2174" s="22"/>
      <c r="AP2174" s="22"/>
      <c r="AQ2174" s="22"/>
      <c r="AR2174" s="35"/>
      <c r="AS2174" s="35"/>
      <c r="AT2174" s="35"/>
      <c r="AU2174" s="31"/>
      <c r="AV2174" s="36"/>
    </row>
    <row r="2175" spans="4:48">
      <c r="D2175" s="31"/>
      <c r="E2175" s="31"/>
      <c r="F2175" s="31"/>
      <c r="G2175" s="31"/>
      <c r="H2175" s="32"/>
      <c r="J2175" s="33"/>
      <c r="K2175" s="33"/>
      <c r="L2175" s="33"/>
      <c r="X2175" s="22"/>
      <c r="Y2175" s="22"/>
      <c r="Z2175" s="22"/>
      <c r="AA2175" s="22"/>
      <c r="AF2175" s="22"/>
      <c r="AG2175" s="22"/>
      <c r="AH2175" s="22"/>
      <c r="AI2175" s="22"/>
      <c r="AN2175" s="22"/>
      <c r="AO2175" s="22"/>
      <c r="AP2175" s="22"/>
      <c r="AQ2175" s="22"/>
      <c r="AR2175" s="35"/>
      <c r="AS2175" s="35"/>
      <c r="AT2175" s="35"/>
      <c r="AU2175" s="31"/>
      <c r="AV2175" s="36"/>
    </row>
    <row r="2176" spans="4:48">
      <c r="D2176" s="31"/>
      <c r="E2176" s="31"/>
      <c r="F2176" s="31"/>
      <c r="G2176" s="31"/>
      <c r="H2176" s="32"/>
      <c r="J2176" s="33"/>
      <c r="K2176" s="33"/>
      <c r="L2176" s="33"/>
      <c r="X2176" s="22"/>
      <c r="Y2176" s="22"/>
      <c r="Z2176" s="22"/>
      <c r="AA2176" s="22"/>
      <c r="AF2176" s="22"/>
      <c r="AG2176" s="22"/>
      <c r="AH2176" s="22"/>
      <c r="AI2176" s="22"/>
      <c r="AN2176" s="22"/>
      <c r="AO2176" s="22"/>
      <c r="AP2176" s="22"/>
      <c r="AQ2176" s="22"/>
      <c r="AR2176" s="35"/>
      <c r="AS2176" s="35"/>
      <c r="AT2176" s="35"/>
      <c r="AU2176" s="31"/>
      <c r="AV2176" s="36"/>
    </row>
    <row r="2177" spans="4:48">
      <c r="D2177" s="31"/>
      <c r="E2177" s="31"/>
      <c r="F2177" s="31"/>
      <c r="G2177" s="31"/>
      <c r="H2177" s="32"/>
      <c r="J2177" s="33"/>
      <c r="K2177" s="33"/>
      <c r="L2177" s="33"/>
      <c r="X2177" s="22"/>
      <c r="Y2177" s="22"/>
      <c r="Z2177" s="22"/>
      <c r="AA2177" s="22"/>
      <c r="AF2177" s="22"/>
      <c r="AG2177" s="22"/>
      <c r="AH2177" s="22"/>
      <c r="AI2177" s="22"/>
      <c r="AN2177" s="22"/>
      <c r="AO2177" s="22"/>
      <c r="AP2177" s="22"/>
      <c r="AQ2177" s="22"/>
      <c r="AR2177" s="35"/>
      <c r="AS2177" s="35"/>
      <c r="AT2177" s="35"/>
      <c r="AU2177" s="31"/>
      <c r="AV2177" s="36"/>
    </row>
    <row r="2178" spans="4:48">
      <c r="D2178" s="31"/>
      <c r="E2178" s="31"/>
      <c r="F2178" s="31"/>
      <c r="G2178" s="31"/>
      <c r="H2178" s="32"/>
      <c r="J2178" s="33"/>
      <c r="K2178" s="33"/>
      <c r="L2178" s="33"/>
      <c r="X2178" s="22"/>
      <c r="Y2178" s="22"/>
      <c r="Z2178" s="22"/>
      <c r="AA2178" s="22"/>
      <c r="AF2178" s="22"/>
      <c r="AG2178" s="22"/>
      <c r="AH2178" s="22"/>
      <c r="AI2178" s="22"/>
      <c r="AN2178" s="22"/>
      <c r="AO2178" s="22"/>
      <c r="AP2178" s="22"/>
      <c r="AQ2178" s="22"/>
      <c r="AR2178" s="35"/>
      <c r="AS2178" s="35"/>
      <c r="AT2178" s="35"/>
      <c r="AU2178" s="31"/>
      <c r="AV2178" s="36"/>
    </row>
    <row r="2179" spans="4:48">
      <c r="D2179" s="31"/>
      <c r="E2179" s="31"/>
      <c r="F2179" s="31"/>
      <c r="G2179" s="31"/>
      <c r="H2179" s="32"/>
      <c r="J2179" s="33"/>
      <c r="K2179" s="33"/>
      <c r="L2179" s="33"/>
      <c r="X2179" s="22"/>
      <c r="Y2179" s="22"/>
      <c r="Z2179" s="22"/>
      <c r="AA2179" s="22"/>
      <c r="AF2179" s="22"/>
      <c r="AG2179" s="22"/>
      <c r="AH2179" s="22"/>
      <c r="AI2179" s="22"/>
      <c r="AN2179" s="22"/>
      <c r="AO2179" s="22"/>
      <c r="AP2179" s="22"/>
      <c r="AQ2179" s="22"/>
      <c r="AR2179" s="35"/>
      <c r="AS2179" s="35"/>
      <c r="AT2179" s="35"/>
      <c r="AU2179" s="31"/>
      <c r="AV2179" s="36"/>
    </row>
    <row r="2180" spans="4:48">
      <c r="D2180" s="31"/>
      <c r="E2180" s="31"/>
      <c r="F2180" s="31"/>
      <c r="G2180" s="31"/>
      <c r="H2180" s="32"/>
      <c r="J2180" s="33"/>
      <c r="K2180" s="33"/>
      <c r="L2180" s="33"/>
      <c r="X2180" s="22"/>
      <c r="Y2180" s="22"/>
      <c r="Z2180" s="22"/>
      <c r="AA2180" s="22"/>
      <c r="AF2180" s="22"/>
      <c r="AG2180" s="22"/>
      <c r="AH2180" s="22"/>
      <c r="AI2180" s="22"/>
      <c r="AN2180" s="22"/>
      <c r="AO2180" s="22"/>
      <c r="AP2180" s="22"/>
      <c r="AQ2180" s="22"/>
      <c r="AR2180" s="35"/>
      <c r="AS2180" s="35"/>
      <c r="AT2180" s="35"/>
      <c r="AU2180" s="31"/>
      <c r="AV2180" s="36"/>
    </row>
    <row r="2181" spans="4:48">
      <c r="D2181" s="31"/>
      <c r="E2181" s="31"/>
      <c r="F2181" s="31"/>
      <c r="G2181" s="31"/>
      <c r="H2181" s="32"/>
      <c r="J2181" s="33"/>
      <c r="K2181" s="33"/>
      <c r="L2181" s="33"/>
      <c r="X2181" s="22"/>
      <c r="Y2181" s="22"/>
      <c r="Z2181" s="22"/>
      <c r="AA2181" s="22"/>
      <c r="AF2181" s="22"/>
      <c r="AG2181" s="22"/>
      <c r="AH2181" s="22"/>
      <c r="AI2181" s="22"/>
      <c r="AN2181" s="22"/>
      <c r="AO2181" s="22"/>
      <c r="AP2181" s="22"/>
      <c r="AQ2181" s="22"/>
      <c r="AR2181" s="35"/>
      <c r="AS2181" s="35"/>
      <c r="AT2181" s="35"/>
      <c r="AU2181" s="31"/>
      <c r="AV2181" s="36"/>
    </row>
    <row r="2182" spans="4:48">
      <c r="D2182" s="31"/>
      <c r="E2182" s="31"/>
      <c r="F2182" s="31"/>
      <c r="G2182" s="31"/>
      <c r="H2182" s="32"/>
      <c r="J2182" s="33"/>
      <c r="K2182" s="33"/>
      <c r="L2182" s="33"/>
      <c r="X2182" s="22"/>
      <c r="Y2182" s="22"/>
      <c r="Z2182" s="22"/>
      <c r="AA2182" s="22"/>
      <c r="AF2182" s="22"/>
      <c r="AG2182" s="22"/>
      <c r="AH2182" s="22"/>
      <c r="AI2182" s="22"/>
      <c r="AN2182" s="22"/>
      <c r="AO2182" s="22"/>
      <c r="AP2182" s="22"/>
      <c r="AQ2182" s="22"/>
      <c r="AR2182" s="35"/>
      <c r="AS2182" s="35"/>
      <c r="AT2182" s="35"/>
      <c r="AU2182" s="31"/>
      <c r="AV2182" s="36"/>
    </row>
    <row r="2183" spans="4:48">
      <c r="D2183" s="31"/>
      <c r="E2183" s="31"/>
      <c r="F2183" s="31"/>
      <c r="G2183" s="31"/>
      <c r="H2183" s="32"/>
      <c r="J2183" s="33"/>
      <c r="K2183" s="33"/>
      <c r="L2183" s="33"/>
      <c r="X2183" s="22"/>
      <c r="Y2183" s="22"/>
      <c r="Z2183" s="22"/>
      <c r="AA2183" s="22"/>
      <c r="AF2183" s="22"/>
      <c r="AG2183" s="22"/>
      <c r="AH2183" s="22"/>
      <c r="AI2183" s="22"/>
      <c r="AN2183" s="22"/>
      <c r="AO2183" s="22"/>
      <c r="AP2183" s="22"/>
      <c r="AQ2183" s="22"/>
      <c r="AR2183" s="35"/>
      <c r="AS2183" s="35"/>
      <c r="AT2183" s="35"/>
      <c r="AU2183" s="31"/>
      <c r="AV2183" s="36"/>
    </row>
    <row r="2184" spans="4:48">
      <c r="D2184" s="31"/>
      <c r="E2184" s="31"/>
      <c r="F2184" s="31"/>
      <c r="G2184" s="31"/>
      <c r="H2184" s="32"/>
      <c r="J2184" s="33"/>
      <c r="K2184" s="33"/>
      <c r="L2184" s="33"/>
      <c r="X2184" s="22"/>
      <c r="Y2184" s="22"/>
      <c r="Z2184" s="22"/>
      <c r="AA2184" s="22"/>
      <c r="AF2184" s="22"/>
      <c r="AG2184" s="22"/>
      <c r="AH2184" s="22"/>
      <c r="AI2184" s="22"/>
      <c r="AN2184" s="22"/>
      <c r="AO2184" s="22"/>
      <c r="AP2184" s="22"/>
      <c r="AQ2184" s="22"/>
      <c r="AR2184" s="35"/>
      <c r="AS2184" s="35"/>
      <c r="AT2184" s="35"/>
      <c r="AU2184" s="31"/>
      <c r="AV2184" s="36"/>
    </row>
    <row r="2185" spans="4:48">
      <c r="D2185" s="31"/>
      <c r="E2185" s="31"/>
      <c r="F2185" s="31"/>
      <c r="G2185" s="31"/>
      <c r="H2185" s="32"/>
      <c r="J2185" s="33"/>
      <c r="K2185" s="33"/>
      <c r="L2185" s="33"/>
      <c r="X2185" s="22"/>
      <c r="Y2185" s="22"/>
      <c r="Z2185" s="22"/>
      <c r="AA2185" s="22"/>
      <c r="AF2185" s="22"/>
      <c r="AG2185" s="22"/>
      <c r="AH2185" s="22"/>
      <c r="AI2185" s="22"/>
      <c r="AN2185" s="22"/>
      <c r="AO2185" s="22"/>
      <c r="AP2185" s="22"/>
      <c r="AQ2185" s="22"/>
      <c r="AR2185" s="35"/>
      <c r="AS2185" s="35"/>
      <c r="AT2185" s="35"/>
      <c r="AU2185" s="31"/>
      <c r="AV2185" s="36"/>
    </row>
    <row r="2186" spans="4:48">
      <c r="D2186" s="31"/>
      <c r="E2186" s="31"/>
      <c r="F2186" s="31"/>
      <c r="G2186" s="31"/>
      <c r="H2186" s="32"/>
      <c r="J2186" s="33"/>
      <c r="K2186" s="33"/>
      <c r="L2186" s="33"/>
      <c r="X2186" s="22"/>
      <c r="Y2186" s="22"/>
      <c r="Z2186" s="22"/>
      <c r="AA2186" s="22"/>
      <c r="AF2186" s="22"/>
      <c r="AG2186" s="22"/>
      <c r="AH2186" s="22"/>
      <c r="AI2186" s="22"/>
      <c r="AN2186" s="22"/>
      <c r="AO2186" s="22"/>
      <c r="AP2186" s="22"/>
      <c r="AQ2186" s="22"/>
      <c r="AR2186" s="35"/>
      <c r="AS2186" s="35"/>
      <c r="AT2186" s="35"/>
      <c r="AU2186" s="31"/>
      <c r="AV2186" s="36"/>
    </row>
    <row r="2187" spans="4:48">
      <c r="D2187" s="31"/>
      <c r="E2187" s="31"/>
      <c r="F2187" s="31"/>
      <c r="G2187" s="31"/>
      <c r="H2187" s="32"/>
      <c r="J2187" s="33"/>
      <c r="K2187" s="33"/>
      <c r="L2187" s="33"/>
      <c r="X2187" s="22"/>
      <c r="Y2187" s="22"/>
      <c r="Z2187" s="22"/>
      <c r="AA2187" s="22"/>
      <c r="AF2187" s="22"/>
      <c r="AG2187" s="22"/>
      <c r="AH2187" s="22"/>
      <c r="AI2187" s="22"/>
      <c r="AN2187" s="22"/>
      <c r="AO2187" s="22"/>
      <c r="AP2187" s="22"/>
      <c r="AQ2187" s="22"/>
      <c r="AR2187" s="35"/>
      <c r="AS2187" s="35"/>
      <c r="AT2187" s="35"/>
      <c r="AU2187" s="31"/>
      <c r="AV2187" s="36"/>
    </row>
    <row r="2188" spans="4:48">
      <c r="D2188" s="31"/>
      <c r="E2188" s="31"/>
      <c r="F2188" s="31"/>
      <c r="G2188" s="31"/>
      <c r="H2188" s="32"/>
      <c r="J2188" s="33"/>
      <c r="K2188" s="33"/>
      <c r="L2188" s="33"/>
      <c r="X2188" s="22"/>
      <c r="Y2188" s="22"/>
      <c r="Z2188" s="22"/>
      <c r="AA2188" s="22"/>
      <c r="AF2188" s="22"/>
      <c r="AG2188" s="22"/>
      <c r="AH2188" s="22"/>
      <c r="AI2188" s="22"/>
      <c r="AN2188" s="22"/>
      <c r="AO2188" s="22"/>
      <c r="AP2188" s="22"/>
      <c r="AQ2188" s="22"/>
      <c r="AR2188" s="35"/>
      <c r="AS2188" s="35"/>
      <c r="AT2188" s="35"/>
      <c r="AU2188" s="31"/>
      <c r="AV2188" s="36"/>
    </row>
    <row r="2189" spans="4:48">
      <c r="D2189" s="31"/>
      <c r="E2189" s="31"/>
      <c r="F2189" s="31"/>
      <c r="G2189" s="31"/>
      <c r="H2189" s="32"/>
      <c r="J2189" s="33"/>
      <c r="K2189" s="33"/>
      <c r="L2189" s="33"/>
      <c r="X2189" s="22"/>
      <c r="Y2189" s="22"/>
      <c r="Z2189" s="22"/>
      <c r="AA2189" s="22"/>
      <c r="AF2189" s="22"/>
      <c r="AG2189" s="22"/>
      <c r="AH2189" s="22"/>
      <c r="AI2189" s="22"/>
      <c r="AN2189" s="22"/>
      <c r="AO2189" s="22"/>
      <c r="AP2189" s="22"/>
      <c r="AQ2189" s="22"/>
      <c r="AR2189" s="35"/>
      <c r="AS2189" s="35"/>
      <c r="AT2189" s="35"/>
      <c r="AU2189" s="31"/>
      <c r="AV2189" s="36"/>
    </row>
    <row r="2190" spans="4:48">
      <c r="D2190" s="31"/>
      <c r="E2190" s="31"/>
      <c r="F2190" s="31"/>
      <c r="G2190" s="31"/>
      <c r="H2190" s="32"/>
      <c r="J2190" s="33"/>
      <c r="K2190" s="33"/>
      <c r="L2190" s="33"/>
      <c r="X2190" s="22"/>
      <c r="Y2190" s="22"/>
      <c r="Z2190" s="22"/>
      <c r="AA2190" s="22"/>
      <c r="AF2190" s="22"/>
      <c r="AG2190" s="22"/>
      <c r="AH2190" s="22"/>
      <c r="AI2190" s="22"/>
      <c r="AN2190" s="22"/>
      <c r="AO2190" s="22"/>
      <c r="AP2190" s="22"/>
      <c r="AQ2190" s="22"/>
      <c r="AR2190" s="35"/>
      <c r="AS2190" s="35"/>
      <c r="AT2190" s="35"/>
      <c r="AU2190" s="31"/>
      <c r="AV2190" s="36"/>
    </row>
    <row r="2191" spans="4:48">
      <c r="D2191" s="31"/>
      <c r="E2191" s="31"/>
      <c r="F2191" s="31"/>
      <c r="G2191" s="31"/>
      <c r="H2191" s="32"/>
      <c r="J2191" s="33"/>
      <c r="K2191" s="33"/>
      <c r="L2191" s="33"/>
      <c r="X2191" s="22"/>
      <c r="Y2191" s="22"/>
      <c r="Z2191" s="22"/>
      <c r="AA2191" s="22"/>
      <c r="AF2191" s="22"/>
      <c r="AG2191" s="22"/>
      <c r="AH2191" s="22"/>
      <c r="AI2191" s="22"/>
      <c r="AN2191" s="22"/>
      <c r="AO2191" s="22"/>
      <c r="AP2191" s="22"/>
      <c r="AQ2191" s="22"/>
      <c r="AR2191" s="35"/>
      <c r="AS2191" s="35"/>
      <c r="AT2191" s="35"/>
      <c r="AU2191" s="31"/>
      <c r="AV2191" s="36"/>
    </row>
    <row r="2192" spans="4:48">
      <c r="D2192" s="31"/>
      <c r="E2192" s="31"/>
      <c r="F2192" s="31"/>
      <c r="G2192" s="31"/>
      <c r="H2192" s="32"/>
      <c r="J2192" s="33"/>
      <c r="K2192" s="33"/>
      <c r="L2192" s="33"/>
      <c r="X2192" s="22"/>
      <c r="Y2192" s="22"/>
      <c r="Z2192" s="22"/>
      <c r="AA2192" s="22"/>
      <c r="AF2192" s="22"/>
      <c r="AG2192" s="22"/>
      <c r="AH2192" s="22"/>
      <c r="AI2192" s="22"/>
      <c r="AN2192" s="22"/>
      <c r="AO2192" s="22"/>
      <c r="AP2192" s="22"/>
      <c r="AQ2192" s="22"/>
      <c r="AR2192" s="35"/>
      <c r="AS2192" s="35"/>
      <c r="AT2192" s="35"/>
      <c r="AU2192" s="31"/>
      <c r="AV2192" s="36"/>
    </row>
    <row r="2193" spans="4:48">
      <c r="D2193" s="31"/>
      <c r="E2193" s="31"/>
      <c r="F2193" s="31"/>
      <c r="G2193" s="31"/>
      <c r="H2193" s="32"/>
      <c r="J2193" s="33"/>
      <c r="K2193" s="33"/>
      <c r="L2193" s="33"/>
      <c r="X2193" s="22"/>
      <c r="Y2193" s="22"/>
      <c r="Z2193" s="22"/>
      <c r="AA2193" s="22"/>
      <c r="AF2193" s="22"/>
      <c r="AG2193" s="22"/>
      <c r="AH2193" s="22"/>
      <c r="AI2193" s="22"/>
      <c r="AN2193" s="22"/>
      <c r="AO2193" s="22"/>
      <c r="AP2193" s="22"/>
      <c r="AQ2193" s="22"/>
      <c r="AR2193" s="35"/>
      <c r="AS2193" s="35"/>
      <c r="AT2193" s="35"/>
      <c r="AU2193" s="31"/>
      <c r="AV2193" s="36"/>
    </row>
    <row r="2194" spans="4:48">
      <c r="D2194" s="31"/>
      <c r="E2194" s="31"/>
      <c r="F2194" s="31"/>
      <c r="G2194" s="31"/>
      <c r="H2194" s="32"/>
      <c r="J2194" s="33"/>
      <c r="K2194" s="33"/>
      <c r="L2194" s="33"/>
      <c r="X2194" s="22"/>
      <c r="Y2194" s="22"/>
      <c r="Z2194" s="22"/>
      <c r="AA2194" s="22"/>
      <c r="AF2194" s="22"/>
      <c r="AG2194" s="22"/>
      <c r="AH2194" s="22"/>
      <c r="AI2194" s="22"/>
      <c r="AN2194" s="22"/>
      <c r="AO2194" s="22"/>
      <c r="AP2194" s="22"/>
      <c r="AQ2194" s="22"/>
      <c r="AR2194" s="35"/>
      <c r="AS2194" s="35"/>
      <c r="AT2194" s="35"/>
      <c r="AU2194" s="31"/>
      <c r="AV2194" s="36"/>
    </row>
    <row r="2195" spans="4:48">
      <c r="D2195" s="31"/>
      <c r="E2195" s="31"/>
      <c r="F2195" s="31"/>
      <c r="G2195" s="31"/>
      <c r="H2195" s="32"/>
      <c r="J2195" s="33"/>
      <c r="K2195" s="33"/>
      <c r="L2195" s="33"/>
      <c r="X2195" s="22"/>
      <c r="Y2195" s="22"/>
      <c r="Z2195" s="22"/>
      <c r="AA2195" s="22"/>
      <c r="AF2195" s="22"/>
      <c r="AG2195" s="22"/>
      <c r="AH2195" s="22"/>
      <c r="AI2195" s="22"/>
      <c r="AN2195" s="22"/>
      <c r="AO2195" s="22"/>
      <c r="AP2195" s="22"/>
      <c r="AQ2195" s="22"/>
      <c r="AR2195" s="35"/>
      <c r="AS2195" s="35"/>
      <c r="AT2195" s="35"/>
      <c r="AU2195" s="31"/>
      <c r="AV2195" s="36"/>
    </row>
    <row r="2196" spans="4:48">
      <c r="D2196" s="31"/>
      <c r="E2196" s="31"/>
      <c r="F2196" s="31"/>
      <c r="G2196" s="31"/>
      <c r="H2196" s="32"/>
      <c r="J2196" s="33"/>
      <c r="K2196" s="33"/>
      <c r="L2196" s="33"/>
      <c r="X2196" s="22"/>
      <c r="Y2196" s="22"/>
      <c r="Z2196" s="22"/>
      <c r="AA2196" s="22"/>
      <c r="AF2196" s="22"/>
      <c r="AG2196" s="22"/>
      <c r="AH2196" s="22"/>
      <c r="AI2196" s="22"/>
      <c r="AN2196" s="22"/>
      <c r="AO2196" s="22"/>
      <c r="AP2196" s="22"/>
      <c r="AQ2196" s="22"/>
      <c r="AR2196" s="35"/>
      <c r="AS2196" s="35"/>
      <c r="AT2196" s="35"/>
      <c r="AU2196" s="31"/>
      <c r="AV2196" s="36"/>
    </row>
    <row r="2197" spans="4:48">
      <c r="D2197" s="31"/>
      <c r="E2197" s="31"/>
      <c r="F2197" s="31"/>
      <c r="G2197" s="31"/>
      <c r="H2197" s="32"/>
      <c r="J2197" s="33"/>
      <c r="K2197" s="33"/>
      <c r="L2197" s="33"/>
      <c r="X2197" s="22"/>
      <c r="Y2197" s="22"/>
      <c r="Z2197" s="22"/>
      <c r="AA2197" s="22"/>
      <c r="AF2197" s="22"/>
      <c r="AG2197" s="22"/>
      <c r="AH2197" s="22"/>
      <c r="AI2197" s="22"/>
      <c r="AN2197" s="22"/>
      <c r="AO2197" s="22"/>
      <c r="AP2197" s="22"/>
      <c r="AQ2197" s="22"/>
      <c r="AR2197" s="35"/>
      <c r="AS2197" s="35"/>
      <c r="AT2197" s="35"/>
      <c r="AU2197" s="31"/>
      <c r="AV2197" s="36"/>
    </row>
    <row r="2198" spans="4:48">
      <c r="D2198" s="31"/>
      <c r="E2198" s="31"/>
      <c r="F2198" s="31"/>
      <c r="G2198" s="31"/>
      <c r="H2198" s="32"/>
      <c r="J2198" s="33"/>
      <c r="K2198" s="33"/>
      <c r="L2198" s="33"/>
      <c r="X2198" s="22"/>
      <c r="Y2198" s="22"/>
      <c r="Z2198" s="22"/>
      <c r="AA2198" s="22"/>
      <c r="AF2198" s="22"/>
      <c r="AG2198" s="22"/>
      <c r="AH2198" s="22"/>
      <c r="AI2198" s="22"/>
      <c r="AN2198" s="22"/>
      <c r="AO2198" s="22"/>
      <c r="AP2198" s="22"/>
      <c r="AQ2198" s="22"/>
      <c r="AR2198" s="35"/>
      <c r="AS2198" s="35"/>
      <c r="AT2198" s="35"/>
      <c r="AU2198" s="31"/>
      <c r="AV2198" s="36"/>
    </row>
    <row r="2199" spans="4:48">
      <c r="D2199" s="31"/>
      <c r="E2199" s="31"/>
      <c r="F2199" s="31"/>
      <c r="G2199" s="31"/>
      <c r="H2199" s="32"/>
      <c r="J2199" s="33"/>
      <c r="K2199" s="33"/>
      <c r="L2199" s="33"/>
      <c r="X2199" s="22"/>
      <c r="Y2199" s="22"/>
      <c r="Z2199" s="22"/>
      <c r="AA2199" s="22"/>
      <c r="AF2199" s="22"/>
      <c r="AG2199" s="22"/>
      <c r="AH2199" s="22"/>
      <c r="AI2199" s="22"/>
      <c r="AN2199" s="22"/>
      <c r="AO2199" s="22"/>
      <c r="AP2199" s="22"/>
      <c r="AQ2199" s="22"/>
      <c r="AR2199" s="35"/>
      <c r="AS2199" s="35"/>
      <c r="AT2199" s="35"/>
      <c r="AU2199" s="31"/>
      <c r="AV2199" s="36"/>
    </row>
    <row r="2200" spans="4:48">
      <c r="D2200" s="31"/>
      <c r="E2200" s="31"/>
      <c r="F2200" s="31"/>
      <c r="G2200" s="31"/>
      <c r="H2200" s="32"/>
      <c r="J2200" s="33"/>
      <c r="K2200" s="33"/>
      <c r="L2200" s="33"/>
      <c r="X2200" s="22"/>
      <c r="Y2200" s="22"/>
      <c r="Z2200" s="22"/>
      <c r="AA2200" s="22"/>
      <c r="AF2200" s="22"/>
      <c r="AG2200" s="22"/>
      <c r="AH2200" s="22"/>
      <c r="AI2200" s="22"/>
      <c r="AN2200" s="22"/>
      <c r="AO2200" s="22"/>
      <c r="AP2200" s="22"/>
      <c r="AQ2200" s="22"/>
      <c r="AR2200" s="35"/>
      <c r="AS2200" s="35"/>
      <c r="AT2200" s="35"/>
      <c r="AU2200" s="31"/>
      <c r="AV2200" s="36"/>
    </row>
    <row r="2201" spans="4:48">
      <c r="D2201" s="31"/>
      <c r="E2201" s="31"/>
      <c r="F2201" s="31"/>
      <c r="G2201" s="31"/>
      <c r="H2201" s="32"/>
      <c r="J2201" s="33"/>
      <c r="K2201" s="33"/>
      <c r="L2201" s="33"/>
      <c r="X2201" s="22"/>
      <c r="Y2201" s="22"/>
      <c r="Z2201" s="22"/>
      <c r="AA2201" s="22"/>
      <c r="AF2201" s="22"/>
      <c r="AG2201" s="22"/>
      <c r="AH2201" s="22"/>
      <c r="AI2201" s="22"/>
      <c r="AN2201" s="22"/>
      <c r="AO2201" s="22"/>
      <c r="AP2201" s="22"/>
      <c r="AQ2201" s="22"/>
      <c r="AR2201" s="35"/>
      <c r="AS2201" s="35"/>
      <c r="AT2201" s="35"/>
      <c r="AU2201" s="31"/>
      <c r="AV2201" s="36"/>
    </row>
    <row r="2202" spans="4:48">
      <c r="D2202" s="31"/>
      <c r="E2202" s="31"/>
      <c r="F2202" s="31"/>
      <c r="G2202" s="31"/>
      <c r="H2202" s="32"/>
      <c r="J2202" s="33"/>
      <c r="K2202" s="33"/>
      <c r="L2202" s="33"/>
      <c r="X2202" s="22"/>
      <c r="Y2202" s="22"/>
      <c r="Z2202" s="22"/>
      <c r="AA2202" s="22"/>
      <c r="AF2202" s="22"/>
      <c r="AG2202" s="22"/>
      <c r="AH2202" s="22"/>
      <c r="AI2202" s="22"/>
      <c r="AN2202" s="22"/>
      <c r="AO2202" s="22"/>
      <c r="AP2202" s="22"/>
      <c r="AQ2202" s="22"/>
      <c r="AR2202" s="35"/>
      <c r="AS2202" s="35"/>
      <c r="AT2202" s="35"/>
      <c r="AU2202" s="31"/>
      <c r="AV2202" s="36"/>
    </row>
    <row r="2203" spans="4:48">
      <c r="D2203" s="31"/>
      <c r="E2203" s="31"/>
      <c r="F2203" s="31"/>
      <c r="G2203" s="31"/>
      <c r="H2203" s="32"/>
      <c r="J2203" s="33"/>
      <c r="K2203" s="33"/>
      <c r="L2203" s="33"/>
      <c r="X2203" s="22"/>
      <c r="Y2203" s="22"/>
      <c r="Z2203" s="22"/>
      <c r="AA2203" s="22"/>
      <c r="AF2203" s="22"/>
      <c r="AG2203" s="22"/>
      <c r="AH2203" s="22"/>
      <c r="AI2203" s="22"/>
      <c r="AN2203" s="22"/>
      <c r="AO2203" s="22"/>
      <c r="AP2203" s="22"/>
      <c r="AQ2203" s="22"/>
      <c r="AR2203" s="35"/>
      <c r="AS2203" s="35"/>
      <c r="AT2203" s="35"/>
      <c r="AU2203" s="31"/>
      <c r="AV2203" s="36"/>
    </row>
    <row r="2204" spans="4:48">
      <c r="D2204" s="31"/>
      <c r="E2204" s="31"/>
      <c r="F2204" s="31"/>
      <c r="G2204" s="31"/>
      <c r="H2204" s="32"/>
      <c r="J2204" s="33"/>
      <c r="K2204" s="33"/>
      <c r="L2204" s="33"/>
      <c r="X2204" s="22"/>
      <c r="Y2204" s="22"/>
      <c r="Z2204" s="22"/>
      <c r="AA2204" s="22"/>
      <c r="AF2204" s="22"/>
      <c r="AG2204" s="22"/>
      <c r="AH2204" s="22"/>
      <c r="AI2204" s="22"/>
      <c r="AN2204" s="22"/>
      <c r="AO2204" s="22"/>
      <c r="AP2204" s="22"/>
      <c r="AQ2204" s="22"/>
      <c r="AR2204" s="35"/>
      <c r="AS2204" s="35"/>
      <c r="AT2204" s="35"/>
      <c r="AU2204" s="31"/>
      <c r="AV2204" s="36"/>
    </row>
    <row r="2205" spans="4:48">
      <c r="D2205" s="31"/>
      <c r="E2205" s="31"/>
      <c r="F2205" s="31"/>
      <c r="G2205" s="31"/>
      <c r="H2205" s="32"/>
      <c r="J2205" s="33"/>
      <c r="K2205" s="33"/>
      <c r="L2205" s="33"/>
      <c r="X2205" s="22"/>
      <c r="Y2205" s="22"/>
      <c r="Z2205" s="22"/>
      <c r="AA2205" s="22"/>
      <c r="AF2205" s="22"/>
      <c r="AG2205" s="22"/>
      <c r="AH2205" s="22"/>
      <c r="AI2205" s="22"/>
      <c r="AN2205" s="22"/>
      <c r="AO2205" s="22"/>
      <c r="AP2205" s="22"/>
      <c r="AQ2205" s="22"/>
      <c r="AR2205" s="35"/>
      <c r="AS2205" s="35"/>
      <c r="AT2205" s="35"/>
      <c r="AU2205" s="31"/>
      <c r="AV2205" s="36"/>
    </row>
    <row r="2206" spans="4:48">
      <c r="D2206" s="31"/>
      <c r="E2206" s="31"/>
      <c r="F2206" s="31"/>
      <c r="G2206" s="31"/>
      <c r="H2206" s="32"/>
      <c r="J2206" s="33"/>
      <c r="K2206" s="33"/>
      <c r="L2206" s="33"/>
      <c r="X2206" s="22"/>
      <c r="Y2206" s="22"/>
      <c r="Z2206" s="22"/>
      <c r="AA2206" s="22"/>
      <c r="AF2206" s="22"/>
      <c r="AG2206" s="22"/>
      <c r="AH2206" s="22"/>
      <c r="AI2206" s="22"/>
      <c r="AN2206" s="22"/>
      <c r="AO2206" s="22"/>
      <c r="AP2206" s="22"/>
      <c r="AQ2206" s="22"/>
      <c r="AR2206" s="35"/>
      <c r="AS2206" s="35"/>
      <c r="AT2206" s="35"/>
      <c r="AU2206" s="31"/>
      <c r="AV2206" s="36"/>
    </row>
    <row r="2207" spans="4:48">
      <c r="D2207" s="31"/>
      <c r="E2207" s="31"/>
      <c r="F2207" s="31"/>
      <c r="G2207" s="31"/>
      <c r="H2207" s="32"/>
      <c r="J2207" s="33"/>
      <c r="K2207" s="33"/>
      <c r="L2207" s="33"/>
      <c r="X2207" s="22"/>
      <c r="Y2207" s="22"/>
      <c r="Z2207" s="22"/>
      <c r="AA2207" s="22"/>
      <c r="AF2207" s="22"/>
      <c r="AG2207" s="22"/>
      <c r="AH2207" s="22"/>
      <c r="AI2207" s="22"/>
      <c r="AN2207" s="22"/>
      <c r="AO2207" s="22"/>
      <c r="AP2207" s="22"/>
      <c r="AQ2207" s="22"/>
      <c r="AR2207" s="35"/>
      <c r="AS2207" s="35"/>
      <c r="AT2207" s="35"/>
      <c r="AU2207" s="31"/>
      <c r="AV2207" s="36"/>
    </row>
    <row r="2208" spans="4:48">
      <c r="D2208" s="31"/>
      <c r="E2208" s="31"/>
      <c r="F2208" s="31"/>
      <c r="G2208" s="31"/>
      <c r="H2208" s="32"/>
      <c r="J2208" s="33"/>
      <c r="K2208" s="33"/>
      <c r="L2208" s="33"/>
      <c r="X2208" s="22"/>
      <c r="Y2208" s="22"/>
      <c r="Z2208" s="22"/>
      <c r="AA2208" s="22"/>
      <c r="AF2208" s="22"/>
      <c r="AG2208" s="22"/>
      <c r="AH2208" s="22"/>
      <c r="AI2208" s="22"/>
      <c r="AN2208" s="22"/>
      <c r="AO2208" s="22"/>
      <c r="AP2208" s="22"/>
      <c r="AQ2208" s="22"/>
      <c r="AR2208" s="35"/>
      <c r="AS2208" s="35"/>
      <c r="AT2208" s="35"/>
      <c r="AU2208" s="31"/>
      <c r="AV2208" s="36"/>
    </row>
    <row r="2209" spans="4:48">
      <c r="D2209" s="31"/>
      <c r="E2209" s="31"/>
      <c r="F2209" s="31"/>
      <c r="G2209" s="31"/>
      <c r="H2209" s="32"/>
      <c r="J2209" s="33"/>
      <c r="K2209" s="33"/>
      <c r="L2209" s="33"/>
      <c r="X2209" s="22"/>
      <c r="Y2209" s="22"/>
      <c r="Z2209" s="22"/>
      <c r="AA2209" s="22"/>
      <c r="AF2209" s="22"/>
      <c r="AG2209" s="22"/>
      <c r="AH2209" s="22"/>
      <c r="AI2209" s="22"/>
      <c r="AN2209" s="22"/>
      <c r="AO2209" s="22"/>
      <c r="AP2209" s="22"/>
      <c r="AQ2209" s="22"/>
      <c r="AR2209" s="35"/>
      <c r="AS2209" s="35"/>
      <c r="AT2209" s="35"/>
      <c r="AU2209" s="31"/>
      <c r="AV2209" s="36"/>
    </row>
    <row r="2210" spans="4:48">
      <c r="D2210" s="31"/>
      <c r="E2210" s="31"/>
      <c r="F2210" s="31"/>
      <c r="G2210" s="31"/>
      <c r="H2210" s="32"/>
      <c r="J2210" s="33"/>
      <c r="K2210" s="33"/>
      <c r="L2210" s="33"/>
      <c r="X2210" s="22"/>
      <c r="Y2210" s="22"/>
      <c r="Z2210" s="22"/>
      <c r="AA2210" s="22"/>
      <c r="AF2210" s="22"/>
      <c r="AG2210" s="22"/>
      <c r="AH2210" s="22"/>
      <c r="AI2210" s="22"/>
      <c r="AN2210" s="22"/>
      <c r="AO2210" s="22"/>
      <c r="AP2210" s="22"/>
      <c r="AQ2210" s="22"/>
      <c r="AR2210" s="35"/>
      <c r="AS2210" s="35"/>
      <c r="AT2210" s="35"/>
      <c r="AU2210" s="31"/>
      <c r="AV2210" s="36"/>
    </row>
    <row r="2211" spans="4:48">
      <c r="D2211" s="31"/>
      <c r="E2211" s="31"/>
      <c r="F2211" s="31"/>
      <c r="G2211" s="31"/>
      <c r="H2211" s="32"/>
      <c r="J2211" s="33"/>
      <c r="K2211" s="33"/>
      <c r="L2211" s="33"/>
      <c r="X2211" s="22"/>
      <c r="Y2211" s="22"/>
      <c r="Z2211" s="22"/>
      <c r="AA2211" s="22"/>
      <c r="AF2211" s="22"/>
      <c r="AG2211" s="22"/>
      <c r="AH2211" s="22"/>
      <c r="AI2211" s="22"/>
      <c r="AN2211" s="22"/>
      <c r="AO2211" s="22"/>
      <c r="AP2211" s="22"/>
      <c r="AQ2211" s="22"/>
      <c r="AR2211" s="35"/>
      <c r="AS2211" s="35"/>
      <c r="AT2211" s="35"/>
      <c r="AU2211" s="31"/>
      <c r="AV2211" s="36"/>
    </row>
    <row r="2212" spans="4:48">
      <c r="D2212" s="31"/>
      <c r="E2212" s="31"/>
      <c r="F2212" s="31"/>
      <c r="G2212" s="31"/>
      <c r="H2212" s="32"/>
      <c r="J2212" s="33"/>
      <c r="K2212" s="33"/>
      <c r="L2212" s="33"/>
      <c r="X2212" s="22"/>
      <c r="Y2212" s="22"/>
      <c r="Z2212" s="22"/>
      <c r="AA2212" s="22"/>
      <c r="AF2212" s="22"/>
      <c r="AG2212" s="22"/>
      <c r="AH2212" s="22"/>
      <c r="AI2212" s="22"/>
      <c r="AN2212" s="22"/>
      <c r="AO2212" s="22"/>
      <c r="AP2212" s="22"/>
      <c r="AQ2212" s="22"/>
      <c r="AR2212" s="35"/>
      <c r="AS2212" s="35"/>
      <c r="AT2212" s="35"/>
      <c r="AU2212" s="31"/>
      <c r="AV2212" s="36"/>
    </row>
    <row r="2213" spans="4:48">
      <c r="D2213" s="31"/>
      <c r="E2213" s="31"/>
      <c r="F2213" s="31"/>
      <c r="G2213" s="31"/>
      <c r="H2213" s="32"/>
      <c r="J2213" s="33"/>
      <c r="K2213" s="33"/>
      <c r="L2213" s="33"/>
      <c r="X2213" s="22"/>
      <c r="Y2213" s="22"/>
      <c r="Z2213" s="22"/>
      <c r="AA2213" s="22"/>
      <c r="AF2213" s="22"/>
      <c r="AG2213" s="22"/>
      <c r="AH2213" s="22"/>
      <c r="AI2213" s="22"/>
      <c r="AN2213" s="22"/>
      <c r="AO2213" s="22"/>
      <c r="AP2213" s="22"/>
      <c r="AQ2213" s="22"/>
      <c r="AR2213" s="35"/>
      <c r="AS2213" s="35"/>
      <c r="AT2213" s="35"/>
      <c r="AU2213" s="31"/>
      <c r="AV2213" s="36"/>
    </row>
    <row r="2214" spans="4:48">
      <c r="D2214" s="31"/>
      <c r="E2214" s="31"/>
      <c r="F2214" s="31"/>
      <c r="G2214" s="31"/>
      <c r="H2214" s="32"/>
      <c r="J2214" s="33"/>
      <c r="K2214" s="33"/>
      <c r="L2214" s="33"/>
      <c r="X2214" s="22"/>
      <c r="Y2214" s="22"/>
      <c r="Z2214" s="22"/>
      <c r="AA2214" s="22"/>
      <c r="AF2214" s="22"/>
      <c r="AG2214" s="22"/>
      <c r="AH2214" s="22"/>
      <c r="AI2214" s="22"/>
      <c r="AN2214" s="22"/>
      <c r="AO2214" s="22"/>
      <c r="AP2214" s="22"/>
      <c r="AQ2214" s="22"/>
      <c r="AR2214" s="35"/>
      <c r="AS2214" s="35"/>
      <c r="AT2214" s="35"/>
      <c r="AU2214" s="31"/>
      <c r="AV2214" s="36"/>
    </row>
    <row r="2215" spans="4:48">
      <c r="D2215" s="31"/>
      <c r="E2215" s="31"/>
      <c r="F2215" s="31"/>
      <c r="G2215" s="31"/>
      <c r="H2215" s="32"/>
      <c r="J2215" s="33"/>
      <c r="K2215" s="33"/>
      <c r="L2215" s="33"/>
      <c r="X2215" s="22"/>
      <c r="Y2215" s="22"/>
      <c r="Z2215" s="22"/>
      <c r="AA2215" s="22"/>
      <c r="AF2215" s="22"/>
      <c r="AG2215" s="22"/>
      <c r="AH2215" s="22"/>
      <c r="AI2215" s="22"/>
      <c r="AN2215" s="22"/>
      <c r="AO2215" s="22"/>
      <c r="AP2215" s="22"/>
      <c r="AQ2215" s="22"/>
      <c r="AR2215" s="35"/>
      <c r="AS2215" s="35"/>
      <c r="AT2215" s="35"/>
      <c r="AU2215" s="31"/>
      <c r="AV2215" s="36"/>
    </row>
    <row r="2216" spans="4:48">
      <c r="D2216" s="31"/>
      <c r="E2216" s="31"/>
      <c r="F2216" s="31"/>
      <c r="G2216" s="31"/>
      <c r="H2216" s="32"/>
      <c r="J2216" s="33"/>
      <c r="K2216" s="33"/>
      <c r="L2216" s="33"/>
      <c r="X2216" s="22"/>
      <c r="Y2216" s="22"/>
      <c r="Z2216" s="22"/>
      <c r="AA2216" s="22"/>
      <c r="AF2216" s="22"/>
      <c r="AG2216" s="22"/>
      <c r="AH2216" s="22"/>
      <c r="AI2216" s="22"/>
      <c r="AN2216" s="22"/>
      <c r="AO2216" s="22"/>
      <c r="AP2216" s="22"/>
      <c r="AQ2216" s="22"/>
      <c r="AR2216" s="35"/>
      <c r="AS2216" s="35"/>
      <c r="AT2216" s="35"/>
      <c r="AU2216" s="31"/>
      <c r="AV2216" s="36"/>
    </row>
    <row r="2217" spans="4:48">
      <c r="D2217" s="31"/>
      <c r="E2217" s="31"/>
      <c r="F2217" s="31"/>
      <c r="G2217" s="31"/>
      <c r="H2217" s="32"/>
      <c r="J2217" s="33"/>
      <c r="K2217" s="33"/>
      <c r="L2217" s="33"/>
      <c r="X2217" s="22"/>
      <c r="Y2217" s="22"/>
      <c r="Z2217" s="22"/>
      <c r="AA2217" s="22"/>
      <c r="AF2217" s="22"/>
      <c r="AG2217" s="22"/>
      <c r="AH2217" s="22"/>
      <c r="AI2217" s="22"/>
      <c r="AN2217" s="22"/>
      <c r="AO2217" s="22"/>
      <c r="AP2217" s="22"/>
      <c r="AQ2217" s="22"/>
      <c r="AR2217" s="35"/>
      <c r="AS2217" s="35"/>
      <c r="AT2217" s="35"/>
      <c r="AU2217" s="31"/>
      <c r="AV2217" s="36"/>
    </row>
    <row r="2218" spans="4:48">
      <c r="D2218" s="31"/>
      <c r="E2218" s="31"/>
      <c r="F2218" s="31"/>
      <c r="G2218" s="31"/>
      <c r="H2218" s="32"/>
      <c r="J2218" s="33"/>
      <c r="K2218" s="33"/>
      <c r="L2218" s="33"/>
      <c r="X2218" s="22"/>
      <c r="Y2218" s="22"/>
      <c r="Z2218" s="22"/>
      <c r="AA2218" s="22"/>
      <c r="AF2218" s="22"/>
      <c r="AG2218" s="22"/>
      <c r="AH2218" s="22"/>
      <c r="AI2218" s="22"/>
      <c r="AN2218" s="22"/>
      <c r="AO2218" s="22"/>
      <c r="AP2218" s="22"/>
      <c r="AQ2218" s="22"/>
      <c r="AR2218" s="35"/>
      <c r="AS2218" s="35"/>
      <c r="AT2218" s="35"/>
      <c r="AU2218" s="31"/>
      <c r="AV2218" s="36"/>
    </row>
    <row r="2219" spans="4:48">
      <c r="D2219" s="31"/>
      <c r="E2219" s="31"/>
      <c r="F2219" s="31"/>
      <c r="G2219" s="31"/>
      <c r="H2219" s="32"/>
      <c r="J2219" s="33"/>
      <c r="K2219" s="33"/>
      <c r="L2219" s="33"/>
      <c r="X2219" s="22"/>
      <c r="Y2219" s="22"/>
      <c r="Z2219" s="22"/>
      <c r="AA2219" s="22"/>
      <c r="AF2219" s="22"/>
      <c r="AG2219" s="22"/>
      <c r="AH2219" s="22"/>
      <c r="AI2219" s="22"/>
      <c r="AN2219" s="22"/>
      <c r="AO2219" s="22"/>
      <c r="AP2219" s="22"/>
      <c r="AQ2219" s="22"/>
      <c r="AR2219" s="35"/>
      <c r="AS2219" s="35"/>
      <c r="AT2219" s="35"/>
      <c r="AU2219" s="31"/>
      <c r="AV2219" s="36"/>
    </row>
    <row r="2220" spans="4:48">
      <c r="D2220" s="31"/>
      <c r="E2220" s="31"/>
      <c r="F2220" s="31"/>
      <c r="G2220" s="31"/>
      <c r="H2220" s="32"/>
      <c r="J2220" s="33"/>
      <c r="K2220" s="33"/>
      <c r="L2220" s="33"/>
      <c r="X2220" s="22"/>
      <c r="Y2220" s="22"/>
      <c r="Z2220" s="22"/>
      <c r="AA2220" s="22"/>
      <c r="AF2220" s="22"/>
      <c r="AG2220" s="22"/>
      <c r="AH2220" s="22"/>
      <c r="AI2220" s="22"/>
      <c r="AN2220" s="22"/>
      <c r="AO2220" s="22"/>
      <c r="AP2220" s="22"/>
      <c r="AQ2220" s="22"/>
      <c r="AR2220" s="35"/>
      <c r="AS2220" s="35"/>
      <c r="AT2220" s="35"/>
      <c r="AU2220" s="31"/>
      <c r="AV2220" s="36"/>
    </row>
    <row r="2221" spans="4:48">
      <c r="D2221" s="31"/>
      <c r="E2221" s="31"/>
      <c r="F2221" s="31"/>
      <c r="G2221" s="31"/>
      <c r="H2221" s="32"/>
      <c r="J2221" s="33"/>
      <c r="K2221" s="33"/>
      <c r="L2221" s="33"/>
      <c r="X2221" s="22"/>
      <c r="Y2221" s="22"/>
      <c r="Z2221" s="22"/>
      <c r="AA2221" s="22"/>
      <c r="AF2221" s="22"/>
      <c r="AG2221" s="22"/>
      <c r="AH2221" s="22"/>
      <c r="AI2221" s="22"/>
      <c r="AN2221" s="22"/>
      <c r="AO2221" s="22"/>
      <c r="AP2221" s="22"/>
      <c r="AQ2221" s="22"/>
      <c r="AR2221" s="35"/>
      <c r="AS2221" s="35"/>
      <c r="AT2221" s="35"/>
      <c r="AU2221" s="31"/>
      <c r="AV2221" s="36"/>
    </row>
    <row r="2222" spans="4:48">
      <c r="D2222" s="31"/>
      <c r="E2222" s="31"/>
      <c r="F2222" s="31"/>
      <c r="G2222" s="31"/>
      <c r="H2222" s="32"/>
      <c r="J2222" s="33"/>
      <c r="K2222" s="33"/>
      <c r="L2222" s="33"/>
      <c r="X2222" s="22"/>
      <c r="Y2222" s="22"/>
      <c r="Z2222" s="22"/>
      <c r="AA2222" s="22"/>
      <c r="AF2222" s="22"/>
      <c r="AG2222" s="22"/>
      <c r="AH2222" s="22"/>
      <c r="AI2222" s="22"/>
      <c r="AN2222" s="22"/>
      <c r="AO2222" s="22"/>
      <c r="AP2222" s="22"/>
      <c r="AQ2222" s="22"/>
      <c r="AR2222" s="35"/>
      <c r="AS2222" s="35"/>
      <c r="AT2222" s="35"/>
      <c r="AU2222" s="31"/>
      <c r="AV2222" s="36"/>
    </row>
    <row r="2223" spans="4:48">
      <c r="D2223" s="31"/>
      <c r="E2223" s="31"/>
      <c r="F2223" s="31"/>
      <c r="G2223" s="31"/>
      <c r="H2223" s="32"/>
      <c r="J2223" s="33"/>
      <c r="K2223" s="33"/>
      <c r="L2223" s="33"/>
      <c r="X2223" s="22"/>
      <c r="Y2223" s="22"/>
      <c r="Z2223" s="22"/>
      <c r="AA2223" s="22"/>
      <c r="AF2223" s="22"/>
      <c r="AG2223" s="22"/>
      <c r="AH2223" s="22"/>
      <c r="AI2223" s="22"/>
      <c r="AN2223" s="22"/>
      <c r="AO2223" s="22"/>
      <c r="AP2223" s="22"/>
      <c r="AQ2223" s="22"/>
      <c r="AR2223" s="35"/>
      <c r="AS2223" s="35"/>
      <c r="AT2223" s="35"/>
      <c r="AU2223" s="31"/>
      <c r="AV2223" s="36"/>
    </row>
    <row r="2224" spans="4:48">
      <c r="D2224" s="31"/>
      <c r="E2224" s="31"/>
      <c r="F2224" s="31"/>
      <c r="G2224" s="31"/>
      <c r="H2224" s="32"/>
      <c r="J2224" s="33"/>
      <c r="K2224" s="33"/>
      <c r="L2224" s="33"/>
      <c r="X2224" s="22"/>
      <c r="Y2224" s="22"/>
      <c r="Z2224" s="22"/>
      <c r="AA2224" s="22"/>
      <c r="AF2224" s="22"/>
      <c r="AG2224" s="22"/>
      <c r="AH2224" s="22"/>
      <c r="AI2224" s="22"/>
      <c r="AN2224" s="22"/>
      <c r="AO2224" s="22"/>
      <c r="AP2224" s="22"/>
      <c r="AQ2224" s="22"/>
      <c r="AR2224" s="35"/>
      <c r="AS2224" s="35"/>
      <c r="AT2224" s="35"/>
      <c r="AU2224" s="31"/>
      <c r="AV2224" s="36"/>
    </row>
    <row r="2225" spans="4:48">
      <c r="D2225" s="31"/>
      <c r="E2225" s="31"/>
      <c r="F2225" s="31"/>
      <c r="G2225" s="31"/>
      <c r="H2225" s="32"/>
      <c r="J2225" s="33"/>
      <c r="K2225" s="33"/>
      <c r="L2225" s="33"/>
      <c r="X2225" s="22"/>
      <c r="Y2225" s="22"/>
      <c r="Z2225" s="22"/>
      <c r="AA2225" s="22"/>
      <c r="AF2225" s="22"/>
      <c r="AG2225" s="22"/>
      <c r="AH2225" s="22"/>
      <c r="AI2225" s="22"/>
      <c r="AN2225" s="22"/>
      <c r="AO2225" s="22"/>
      <c r="AP2225" s="22"/>
      <c r="AQ2225" s="22"/>
      <c r="AR2225" s="35"/>
      <c r="AS2225" s="35"/>
      <c r="AT2225" s="35"/>
      <c r="AU2225" s="31"/>
      <c r="AV2225" s="36"/>
    </row>
    <row r="2226" spans="4:48">
      <c r="D2226" s="31"/>
      <c r="E2226" s="31"/>
      <c r="F2226" s="31"/>
      <c r="G2226" s="31"/>
      <c r="H2226" s="32"/>
      <c r="J2226" s="33"/>
      <c r="K2226" s="33"/>
      <c r="L2226" s="33"/>
      <c r="X2226" s="22"/>
      <c r="Y2226" s="22"/>
      <c r="Z2226" s="22"/>
      <c r="AA2226" s="22"/>
      <c r="AF2226" s="22"/>
      <c r="AG2226" s="22"/>
      <c r="AH2226" s="22"/>
      <c r="AI2226" s="22"/>
      <c r="AN2226" s="22"/>
      <c r="AO2226" s="22"/>
      <c r="AP2226" s="22"/>
      <c r="AQ2226" s="22"/>
      <c r="AR2226" s="35"/>
      <c r="AS2226" s="35"/>
      <c r="AT2226" s="35"/>
      <c r="AU2226" s="31"/>
      <c r="AV2226" s="36"/>
    </row>
    <row r="2227" spans="4:48">
      <c r="D2227" s="31"/>
      <c r="E2227" s="31"/>
      <c r="F2227" s="31"/>
      <c r="G2227" s="31"/>
      <c r="H2227" s="32"/>
      <c r="J2227" s="33"/>
      <c r="K2227" s="33"/>
      <c r="L2227" s="33"/>
      <c r="X2227" s="22"/>
      <c r="Y2227" s="22"/>
      <c r="Z2227" s="22"/>
      <c r="AA2227" s="22"/>
      <c r="AF2227" s="22"/>
      <c r="AG2227" s="22"/>
      <c r="AH2227" s="22"/>
      <c r="AI2227" s="22"/>
      <c r="AN2227" s="22"/>
      <c r="AO2227" s="22"/>
      <c r="AP2227" s="22"/>
      <c r="AQ2227" s="22"/>
      <c r="AR2227" s="35"/>
      <c r="AS2227" s="35"/>
      <c r="AT2227" s="35"/>
      <c r="AU2227" s="31"/>
      <c r="AV2227" s="36"/>
    </row>
    <row r="2228" spans="4:48">
      <c r="D2228" s="31"/>
      <c r="E2228" s="31"/>
      <c r="F2228" s="31"/>
      <c r="G2228" s="31"/>
      <c r="H2228" s="32"/>
      <c r="J2228" s="33"/>
      <c r="K2228" s="33"/>
      <c r="L2228" s="33"/>
      <c r="X2228" s="22"/>
      <c r="Y2228" s="22"/>
      <c r="Z2228" s="22"/>
      <c r="AA2228" s="22"/>
      <c r="AF2228" s="22"/>
      <c r="AG2228" s="22"/>
      <c r="AH2228" s="22"/>
      <c r="AI2228" s="22"/>
      <c r="AN2228" s="22"/>
      <c r="AO2228" s="22"/>
      <c r="AP2228" s="22"/>
      <c r="AQ2228" s="22"/>
      <c r="AR2228" s="35"/>
      <c r="AS2228" s="35"/>
      <c r="AT2228" s="35"/>
      <c r="AU2228" s="31"/>
      <c r="AV2228" s="36"/>
    </row>
    <row r="2229" spans="4:48">
      <c r="D2229" s="31"/>
      <c r="E2229" s="31"/>
      <c r="F2229" s="31"/>
      <c r="G2229" s="31"/>
      <c r="H2229" s="32"/>
      <c r="J2229" s="33"/>
      <c r="K2229" s="33"/>
      <c r="L2229" s="33"/>
      <c r="X2229" s="22"/>
      <c r="Y2229" s="22"/>
      <c r="Z2229" s="22"/>
      <c r="AA2229" s="22"/>
      <c r="AF2229" s="22"/>
      <c r="AG2229" s="22"/>
      <c r="AH2229" s="22"/>
      <c r="AI2229" s="22"/>
      <c r="AN2229" s="22"/>
      <c r="AO2229" s="22"/>
      <c r="AP2229" s="22"/>
      <c r="AQ2229" s="22"/>
      <c r="AR2229" s="35"/>
      <c r="AS2229" s="35"/>
      <c r="AT2229" s="35"/>
      <c r="AU2229" s="31"/>
      <c r="AV2229" s="36"/>
    </row>
    <row r="2230" spans="4:48">
      <c r="D2230" s="31"/>
      <c r="E2230" s="31"/>
      <c r="F2230" s="31"/>
      <c r="G2230" s="31"/>
      <c r="H2230" s="32"/>
      <c r="J2230" s="33"/>
      <c r="K2230" s="33"/>
      <c r="L2230" s="33"/>
      <c r="X2230" s="22"/>
      <c r="Y2230" s="22"/>
      <c r="Z2230" s="22"/>
      <c r="AA2230" s="22"/>
      <c r="AF2230" s="22"/>
      <c r="AG2230" s="22"/>
      <c r="AH2230" s="22"/>
      <c r="AI2230" s="22"/>
      <c r="AN2230" s="22"/>
      <c r="AO2230" s="22"/>
      <c r="AP2230" s="22"/>
      <c r="AQ2230" s="22"/>
      <c r="AR2230" s="35"/>
      <c r="AS2230" s="35"/>
      <c r="AT2230" s="35"/>
      <c r="AU2230" s="31"/>
      <c r="AV2230" s="36"/>
    </row>
    <row r="2231" spans="4:48">
      <c r="D2231" s="31"/>
      <c r="E2231" s="31"/>
      <c r="F2231" s="31"/>
      <c r="G2231" s="31"/>
      <c r="H2231" s="32"/>
      <c r="J2231" s="33"/>
      <c r="K2231" s="33"/>
      <c r="L2231" s="33"/>
      <c r="X2231" s="22"/>
      <c r="Y2231" s="22"/>
      <c r="Z2231" s="22"/>
      <c r="AA2231" s="22"/>
      <c r="AF2231" s="22"/>
      <c r="AG2231" s="22"/>
      <c r="AH2231" s="22"/>
      <c r="AI2231" s="22"/>
      <c r="AN2231" s="22"/>
      <c r="AO2231" s="22"/>
      <c r="AP2231" s="22"/>
      <c r="AQ2231" s="22"/>
      <c r="AR2231" s="35"/>
      <c r="AS2231" s="35"/>
      <c r="AT2231" s="35"/>
      <c r="AU2231" s="31"/>
      <c r="AV2231" s="36"/>
    </row>
    <row r="2232" spans="4:48">
      <c r="D2232" s="31"/>
      <c r="E2232" s="31"/>
      <c r="F2232" s="31"/>
      <c r="G2232" s="31"/>
      <c r="H2232" s="32"/>
      <c r="J2232" s="33"/>
      <c r="K2232" s="33"/>
      <c r="L2232" s="33"/>
      <c r="X2232" s="22"/>
      <c r="Y2232" s="22"/>
      <c r="Z2232" s="22"/>
      <c r="AA2232" s="22"/>
      <c r="AF2232" s="22"/>
      <c r="AG2232" s="22"/>
      <c r="AH2232" s="22"/>
      <c r="AI2232" s="22"/>
      <c r="AN2232" s="22"/>
      <c r="AO2232" s="22"/>
      <c r="AP2232" s="22"/>
      <c r="AQ2232" s="22"/>
      <c r="AR2232" s="35"/>
      <c r="AS2232" s="35"/>
      <c r="AT2232" s="35"/>
      <c r="AU2232" s="31"/>
      <c r="AV2232" s="36"/>
    </row>
    <row r="2233" spans="4:48">
      <c r="D2233" s="31"/>
      <c r="E2233" s="31"/>
      <c r="F2233" s="31"/>
      <c r="G2233" s="31"/>
      <c r="H2233" s="32"/>
      <c r="J2233" s="33"/>
      <c r="K2233" s="33"/>
      <c r="L2233" s="33"/>
      <c r="X2233" s="22"/>
      <c r="Y2233" s="22"/>
      <c r="Z2233" s="22"/>
      <c r="AA2233" s="22"/>
      <c r="AF2233" s="22"/>
      <c r="AG2233" s="22"/>
      <c r="AH2233" s="22"/>
      <c r="AI2233" s="22"/>
      <c r="AN2233" s="22"/>
      <c r="AO2233" s="22"/>
      <c r="AP2233" s="22"/>
      <c r="AQ2233" s="22"/>
      <c r="AR2233" s="35"/>
      <c r="AS2233" s="35"/>
      <c r="AT2233" s="35"/>
      <c r="AU2233" s="31"/>
      <c r="AV2233" s="36"/>
    </row>
    <row r="2234" spans="4:48">
      <c r="D2234" s="31"/>
      <c r="E2234" s="31"/>
      <c r="F2234" s="31"/>
      <c r="G2234" s="31"/>
      <c r="H2234" s="32"/>
      <c r="J2234" s="33"/>
      <c r="K2234" s="33"/>
      <c r="L2234" s="33"/>
      <c r="X2234" s="22"/>
      <c r="Y2234" s="22"/>
      <c r="Z2234" s="22"/>
      <c r="AA2234" s="22"/>
      <c r="AF2234" s="22"/>
      <c r="AG2234" s="22"/>
      <c r="AH2234" s="22"/>
      <c r="AI2234" s="22"/>
      <c r="AN2234" s="22"/>
      <c r="AO2234" s="22"/>
      <c r="AP2234" s="22"/>
      <c r="AQ2234" s="22"/>
      <c r="AR2234" s="35"/>
      <c r="AS2234" s="35"/>
      <c r="AT2234" s="35"/>
      <c r="AU2234" s="31"/>
      <c r="AV2234" s="36"/>
    </row>
    <row r="2235" spans="4:48">
      <c r="D2235" s="31"/>
      <c r="E2235" s="31"/>
      <c r="F2235" s="31"/>
      <c r="G2235" s="31"/>
      <c r="H2235" s="32"/>
      <c r="J2235" s="33"/>
      <c r="K2235" s="33"/>
      <c r="L2235" s="33"/>
      <c r="X2235" s="22"/>
      <c r="Y2235" s="22"/>
      <c r="Z2235" s="22"/>
      <c r="AA2235" s="22"/>
      <c r="AF2235" s="22"/>
      <c r="AG2235" s="22"/>
      <c r="AH2235" s="22"/>
      <c r="AI2235" s="22"/>
      <c r="AN2235" s="22"/>
      <c r="AO2235" s="22"/>
      <c r="AP2235" s="22"/>
      <c r="AQ2235" s="22"/>
      <c r="AR2235" s="35"/>
      <c r="AS2235" s="35"/>
      <c r="AT2235" s="35"/>
      <c r="AU2235" s="31"/>
      <c r="AV2235" s="36"/>
    </row>
    <row r="2236" spans="4:48">
      <c r="D2236" s="31"/>
      <c r="E2236" s="31"/>
      <c r="F2236" s="31"/>
      <c r="G2236" s="31"/>
      <c r="H2236" s="32"/>
      <c r="J2236" s="33"/>
      <c r="K2236" s="33"/>
      <c r="L2236" s="33"/>
      <c r="X2236" s="22"/>
      <c r="Y2236" s="22"/>
      <c r="Z2236" s="22"/>
      <c r="AA2236" s="22"/>
      <c r="AF2236" s="22"/>
      <c r="AG2236" s="22"/>
      <c r="AH2236" s="22"/>
      <c r="AI2236" s="22"/>
      <c r="AN2236" s="22"/>
      <c r="AO2236" s="22"/>
      <c r="AP2236" s="22"/>
      <c r="AQ2236" s="22"/>
      <c r="AR2236" s="35"/>
      <c r="AS2236" s="35"/>
      <c r="AT2236" s="35"/>
      <c r="AU2236" s="31"/>
      <c r="AV2236" s="36"/>
    </row>
    <row r="2237" spans="4:48">
      <c r="D2237" s="31"/>
      <c r="E2237" s="31"/>
      <c r="F2237" s="31"/>
      <c r="G2237" s="31"/>
      <c r="H2237" s="32"/>
      <c r="J2237" s="33"/>
      <c r="K2237" s="33"/>
      <c r="L2237" s="33"/>
      <c r="X2237" s="22"/>
      <c r="Y2237" s="22"/>
      <c r="Z2237" s="22"/>
      <c r="AA2237" s="22"/>
      <c r="AF2237" s="22"/>
      <c r="AG2237" s="22"/>
      <c r="AH2237" s="22"/>
      <c r="AI2237" s="22"/>
      <c r="AN2237" s="22"/>
      <c r="AO2237" s="22"/>
      <c r="AP2237" s="22"/>
      <c r="AQ2237" s="22"/>
      <c r="AR2237" s="35"/>
      <c r="AS2237" s="35"/>
      <c r="AT2237" s="35"/>
      <c r="AU2237" s="31"/>
      <c r="AV2237" s="36"/>
    </row>
    <row r="2238" spans="4:48">
      <c r="D2238" s="31"/>
      <c r="E2238" s="31"/>
      <c r="F2238" s="31"/>
      <c r="G2238" s="31"/>
      <c r="H2238" s="32"/>
      <c r="J2238" s="33"/>
      <c r="K2238" s="33"/>
      <c r="L2238" s="33"/>
      <c r="X2238" s="22"/>
      <c r="Y2238" s="22"/>
      <c r="Z2238" s="22"/>
      <c r="AA2238" s="22"/>
      <c r="AF2238" s="22"/>
      <c r="AG2238" s="22"/>
      <c r="AH2238" s="22"/>
      <c r="AI2238" s="22"/>
      <c r="AN2238" s="22"/>
      <c r="AO2238" s="22"/>
      <c r="AP2238" s="22"/>
      <c r="AQ2238" s="22"/>
      <c r="AR2238" s="35"/>
      <c r="AS2238" s="35"/>
      <c r="AT2238" s="35"/>
      <c r="AU2238" s="31"/>
      <c r="AV2238" s="36"/>
    </row>
    <row r="2239" spans="4:48">
      <c r="D2239" s="31"/>
      <c r="E2239" s="31"/>
      <c r="F2239" s="31"/>
      <c r="G2239" s="31"/>
      <c r="H2239" s="32"/>
      <c r="J2239" s="33"/>
      <c r="K2239" s="33"/>
      <c r="L2239" s="33"/>
      <c r="X2239" s="22"/>
      <c r="Y2239" s="22"/>
      <c r="Z2239" s="22"/>
      <c r="AA2239" s="22"/>
      <c r="AF2239" s="22"/>
      <c r="AG2239" s="22"/>
      <c r="AH2239" s="22"/>
      <c r="AI2239" s="22"/>
      <c r="AN2239" s="22"/>
      <c r="AO2239" s="22"/>
      <c r="AP2239" s="22"/>
      <c r="AQ2239" s="22"/>
      <c r="AR2239" s="35"/>
      <c r="AS2239" s="35"/>
      <c r="AT2239" s="35"/>
      <c r="AU2239" s="31"/>
      <c r="AV2239" s="36"/>
    </row>
    <row r="2240" spans="4:48">
      <c r="D2240" s="31"/>
      <c r="E2240" s="31"/>
      <c r="F2240" s="31"/>
      <c r="G2240" s="31"/>
      <c r="H2240" s="32"/>
      <c r="J2240" s="33"/>
      <c r="K2240" s="33"/>
      <c r="L2240" s="33"/>
      <c r="X2240" s="22"/>
      <c r="Y2240" s="22"/>
      <c r="Z2240" s="22"/>
      <c r="AA2240" s="22"/>
      <c r="AF2240" s="22"/>
      <c r="AG2240" s="22"/>
      <c r="AH2240" s="22"/>
      <c r="AI2240" s="22"/>
      <c r="AN2240" s="22"/>
      <c r="AO2240" s="22"/>
      <c r="AP2240" s="22"/>
      <c r="AQ2240" s="22"/>
      <c r="AR2240" s="35"/>
      <c r="AS2240" s="35"/>
      <c r="AT2240" s="35"/>
      <c r="AU2240" s="31"/>
      <c r="AV2240" s="36"/>
    </row>
    <row r="2241" spans="4:48">
      <c r="D2241" s="31"/>
      <c r="E2241" s="31"/>
      <c r="F2241" s="31"/>
      <c r="G2241" s="31"/>
      <c r="H2241" s="32"/>
      <c r="J2241" s="33"/>
      <c r="K2241" s="33"/>
      <c r="L2241" s="33"/>
      <c r="X2241" s="22"/>
      <c r="Y2241" s="22"/>
      <c r="Z2241" s="22"/>
      <c r="AA2241" s="22"/>
      <c r="AF2241" s="22"/>
      <c r="AG2241" s="22"/>
      <c r="AH2241" s="22"/>
      <c r="AI2241" s="22"/>
      <c r="AN2241" s="22"/>
      <c r="AO2241" s="22"/>
      <c r="AP2241" s="22"/>
      <c r="AQ2241" s="22"/>
      <c r="AR2241" s="35"/>
      <c r="AS2241" s="35"/>
      <c r="AT2241" s="35"/>
      <c r="AU2241" s="31"/>
      <c r="AV2241" s="36"/>
    </row>
    <row r="2242" spans="4:48">
      <c r="D2242" s="31"/>
      <c r="E2242" s="31"/>
      <c r="F2242" s="31"/>
      <c r="G2242" s="31"/>
      <c r="H2242" s="32"/>
      <c r="J2242" s="33"/>
      <c r="K2242" s="33"/>
      <c r="L2242" s="33"/>
      <c r="X2242" s="22"/>
      <c r="Y2242" s="22"/>
      <c r="Z2242" s="22"/>
      <c r="AA2242" s="22"/>
      <c r="AF2242" s="22"/>
      <c r="AG2242" s="22"/>
      <c r="AH2242" s="22"/>
      <c r="AI2242" s="22"/>
      <c r="AN2242" s="22"/>
      <c r="AO2242" s="22"/>
      <c r="AP2242" s="22"/>
      <c r="AQ2242" s="22"/>
      <c r="AR2242" s="35"/>
      <c r="AS2242" s="35"/>
      <c r="AT2242" s="35"/>
      <c r="AU2242" s="31"/>
      <c r="AV2242" s="36"/>
    </row>
    <row r="2243" spans="4:48">
      <c r="D2243" s="31"/>
      <c r="E2243" s="31"/>
      <c r="F2243" s="31"/>
      <c r="G2243" s="31"/>
      <c r="H2243" s="32"/>
      <c r="J2243" s="33"/>
      <c r="K2243" s="33"/>
      <c r="L2243" s="33"/>
      <c r="X2243" s="22"/>
      <c r="Y2243" s="22"/>
      <c r="Z2243" s="22"/>
      <c r="AA2243" s="22"/>
      <c r="AF2243" s="22"/>
      <c r="AG2243" s="22"/>
      <c r="AH2243" s="22"/>
      <c r="AI2243" s="22"/>
      <c r="AN2243" s="22"/>
      <c r="AO2243" s="22"/>
      <c r="AP2243" s="22"/>
      <c r="AQ2243" s="22"/>
      <c r="AR2243" s="35"/>
      <c r="AS2243" s="35"/>
      <c r="AT2243" s="35"/>
      <c r="AU2243" s="31"/>
      <c r="AV2243" s="36"/>
    </row>
    <row r="2244" spans="4:48">
      <c r="D2244" s="31"/>
      <c r="E2244" s="31"/>
      <c r="F2244" s="31"/>
      <c r="G2244" s="31"/>
      <c r="H2244" s="32"/>
      <c r="J2244" s="33"/>
      <c r="K2244" s="33"/>
      <c r="L2244" s="33"/>
      <c r="X2244" s="22"/>
      <c r="Y2244" s="22"/>
      <c r="Z2244" s="22"/>
      <c r="AA2244" s="22"/>
      <c r="AF2244" s="22"/>
      <c r="AG2244" s="22"/>
      <c r="AH2244" s="22"/>
      <c r="AI2244" s="22"/>
      <c r="AN2244" s="22"/>
      <c r="AO2244" s="22"/>
      <c r="AP2244" s="22"/>
      <c r="AQ2244" s="22"/>
      <c r="AR2244" s="35"/>
      <c r="AS2244" s="35"/>
      <c r="AT2244" s="35"/>
      <c r="AU2244" s="31"/>
      <c r="AV2244" s="36"/>
    </row>
    <row r="2245" spans="4:48">
      <c r="D2245" s="31"/>
      <c r="E2245" s="31"/>
      <c r="F2245" s="31"/>
      <c r="G2245" s="31"/>
      <c r="H2245" s="32"/>
      <c r="J2245" s="33"/>
      <c r="K2245" s="33"/>
      <c r="L2245" s="33"/>
      <c r="X2245" s="22"/>
      <c r="Y2245" s="22"/>
      <c r="Z2245" s="22"/>
      <c r="AA2245" s="22"/>
      <c r="AF2245" s="22"/>
      <c r="AG2245" s="22"/>
      <c r="AH2245" s="22"/>
      <c r="AI2245" s="22"/>
      <c r="AN2245" s="22"/>
      <c r="AO2245" s="22"/>
      <c r="AP2245" s="22"/>
      <c r="AQ2245" s="22"/>
      <c r="AR2245" s="35"/>
      <c r="AS2245" s="35"/>
      <c r="AT2245" s="35"/>
      <c r="AU2245" s="31"/>
      <c r="AV2245" s="36"/>
    </row>
    <row r="2246" spans="4:48">
      <c r="D2246" s="31"/>
      <c r="E2246" s="31"/>
      <c r="F2246" s="31"/>
      <c r="G2246" s="31"/>
      <c r="H2246" s="32"/>
      <c r="J2246" s="33"/>
      <c r="K2246" s="33"/>
      <c r="L2246" s="33"/>
      <c r="X2246" s="22"/>
      <c r="Y2246" s="22"/>
      <c r="Z2246" s="22"/>
      <c r="AA2246" s="22"/>
      <c r="AF2246" s="22"/>
      <c r="AG2246" s="22"/>
      <c r="AH2246" s="22"/>
      <c r="AI2246" s="22"/>
      <c r="AN2246" s="22"/>
      <c r="AO2246" s="22"/>
      <c r="AP2246" s="22"/>
      <c r="AQ2246" s="22"/>
      <c r="AR2246" s="35"/>
      <c r="AS2246" s="35"/>
      <c r="AT2246" s="35"/>
      <c r="AU2246" s="31"/>
      <c r="AV2246" s="36"/>
    </row>
    <row r="2247" spans="4:48">
      <c r="D2247" s="31"/>
      <c r="E2247" s="31"/>
      <c r="F2247" s="31"/>
      <c r="G2247" s="31"/>
      <c r="H2247" s="32"/>
      <c r="J2247" s="33"/>
      <c r="K2247" s="33"/>
      <c r="L2247" s="33"/>
      <c r="X2247" s="22"/>
      <c r="Y2247" s="22"/>
      <c r="Z2247" s="22"/>
      <c r="AA2247" s="22"/>
      <c r="AF2247" s="22"/>
      <c r="AG2247" s="22"/>
      <c r="AH2247" s="22"/>
      <c r="AI2247" s="22"/>
      <c r="AN2247" s="22"/>
      <c r="AO2247" s="22"/>
      <c r="AP2247" s="22"/>
      <c r="AQ2247" s="22"/>
      <c r="AR2247" s="35"/>
      <c r="AS2247" s="35"/>
      <c r="AT2247" s="35"/>
      <c r="AU2247" s="31"/>
      <c r="AV2247" s="36"/>
    </row>
    <row r="2248" spans="4:48">
      <c r="D2248" s="31"/>
      <c r="E2248" s="31"/>
      <c r="F2248" s="31"/>
      <c r="G2248" s="31"/>
      <c r="H2248" s="32"/>
      <c r="J2248" s="33"/>
      <c r="K2248" s="33"/>
      <c r="L2248" s="33"/>
      <c r="X2248" s="22"/>
      <c r="Y2248" s="22"/>
      <c r="Z2248" s="22"/>
      <c r="AA2248" s="22"/>
      <c r="AF2248" s="22"/>
      <c r="AG2248" s="22"/>
      <c r="AH2248" s="22"/>
      <c r="AI2248" s="22"/>
      <c r="AN2248" s="22"/>
      <c r="AO2248" s="22"/>
      <c r="AP2248" s="22"/>
      <c r="AQ2248" s="22"/>
      <c r="AR2248" s="35"/>
      <c r="AS2248" s="35"/>
      <c r="AT2248" s="35"/>
      <c r="AU2248" s="31"/>
      <c r="AV2248" s="36"/>
    </row>
    <row r="2249" spans="4:48">
      <c r="D2249" s="31"/>
      <c r="E2249" s="31"/>
      <c r="F2249" s="31"/>
      <c r="G2249" s="31"/>
      <c r="H2249" s="32"/>
      <c r="J2249" s="33"/>
      <c r="K2249" s="33"/>
      <c r="L2249" s="33"/>
      <c r="X2249" s="22"/>
      <c r="Y2249" s="22"/>
      <c r="Z2249" s="22"/>
      <c r="AA2249" s="22"/>
      <c r="AF2249" s="22"/>
      <c r="AG2249" s="22"/>
      <c r="AH2249" s="22"/>
      <c r="AI2249" s="22"/>
      <c r="AN2249" s="22"/>
      <c r="AO2249" s="22"/>
      <c r="AP2249" s="22"/>
      <c r="AQ2249" s="22"/>
      <c r="AR2249" s="35"/>
      <c r="AS2249" s="35"/>
      <c r="AT2249" s="35"/>
      <c r="AU2249" s="31"/>
      <c r="AV2249" s="36"/>
    </row>
    <row r="2250" spans="4:48">
      <c r="D2250" s="31"/>
      <c r="E2250" s="31"/>
      <c r="F2250" s="31"/>
      <c r="G2250" s="31"/>
      <c r="H2250" s="32"/>
      <c r="J2250" s="33"/>
      <c r="K2250" s="33"/>
      <c r="L2250" s="33"/>
      <c r="X2250" s="22"/>
      <c r="Y2250" s="22"/>
      <c r="Z2250" s="22"/>
      <c r="AA2250" s="22"/>
      <c r="AF2250" s="22"/>
      <c r="AG2250" s="22"/>
      <c r="AH2250" s="22"/>
      <c r="AI2250" s="22"/>
      <c r="AN2250" s="22"/>
      <c r="AO2250" s="22"/>
      <c r="AP2250" s="22"/>
      <c r="AQ2250" s="22"/>
      <c r="AR2250" s="35"/>
      <c r="AS2250" s="35"/>
      <c r="AT2250" s="35"/>
      <c r="AU2250" s="31"/>
      <c r="AV2250" s="36"/>
    </row>
    <row r="2251" spans="4:48">
      <c r="D2251" s="31"/>
      <c r="E2251" s="31"/>
      <c r="F2251" s="31"/>
      <c r="G2251" s="31"/>
      <c r="H2251" s="32"/>
      <c r="J2251" s="33"/>
      <c r="K2251" s="33"/>
      <c r="L2251" s="33"/>
      <c r="X2251" s="22"/>
      <c r="Y2251" s="22"/>
      <c r="Z2251" s="22"/>
      <c r="AA2251" s="22"/>
      <c r="AF2251" s="22"/>
      <c r="AG2251" s="22"/>
      <c r="AH2251" s="22"/>
      <c r="AI2251" s="22"/>
      <c r="AN2251" s="22"/>
      <c r="AO2251" s="22"/>
      <c r="AP2251" s="22"/>
      <c r="AQ2251" s="22"/>
      <c r="AR2251" s="35"/>
      <c r="AS2251" s="35"/>
      <c r="AT2251" s="35"/>
      <c r="AU2251" s="31"/>
      <c r="AV2251" s="36"/>
    </row>
    <row r="2252" spans="4:48">
      <c r="D2252" s="31"/>
      <c r="E2252" s="31"/>
      <c r="F2252" s="31"/>
      <c r="G2252" s="31"/>
      <c r="H2252" s="32"/>
      <c r="J2252" s="33"/>
      <c r="K2252" s="33"/>
      <c r="L2252" s="33"/>
      <c r="X2252" s="22"/>
      <c r="Y2252" s="22"/>
      <c r="Z2252" s="22"/>
      <c r="AA2252" s="22"/>
      <c r="AF2252" s="22"/>
      <c r="AG2252" s="22"/>
      <c r="AH2252" s="22"/>
      <c r="AI2252" s="22"/>
      <c r="AN2252" s="22"/>
      <c r="AO2252" s="22"/>
      <c r="AP2252" s="22"/>
      <c r="AQ2252" s="22"/>
      <c r="AR2252" s="35"/>
      <c r="AS2252" s="35"/>
      <c r="AT2252" s="35"/>
      <c r="AU2252" s="31"/>
      <c r="AV2252" s="36"/>
    </row>
    <row r="2253" spans="4:48">
      <c r="D2253" s="31"/>
      <c r="E2253" s="31"/>
      <c r="F2253" s="31"/>
      <c r="G2253" s="31"/>
      <c r="H2253" s="32"/>
      <c r="J2253" s="33"/>
      <c r="K2253" s="33"/>
      <c r="L2253" s="33"/>
      <c r="X2253" s="22"/>
      <c r="Y2253" s="22"/>
      <c r="Z2253" s="22"/>
      <c r="AA2253" s="22"/>
      <c r="AF2253" s="22"/>
      <c r="AG2253" s="22"/>
      <c r="AH2253" s="22"/>
      <c r="AI2253" s="22"/>
      <c r="AN2253" s="22"/>
      <c r="AO2253" s="22"/>
      <c r="AP2253" s="22"/>
      <c r="AQ2253" s="22"/>
      <c r="AR2253" s="35"/>
      <c r="AS2253" s="35"/>
      <c r="AT2253" s="35"/>
      <c r="AU2253" s="31"/>
      <c r="AV2253" s="36"/>
    </row>
    <row r="2254" spans="4:48">
      <c r="D2254" s="31"/>
      <c r="E2254" s="31"/>
      <c r="F2254" s="31"/>
      <c r="G2254" s="31"/>
      <c r="H2254" s="32"/>
      <c r="J2254" s="33"/>
      <c r="K2254" s="33"/>
      <c r="L2254" s="33"/>
      <c r="X2254" s="22"/>
      <c r="Y2254" s="22"/>
      <c r="Z2254" s="22"/>
      <c r="AA2254" s="22"/>
      <c r="AF2254" s="22"/>
      <c r="AG2254" s="22"/>
      <c r="AH2254" s="22"/>
      <c r="AI2254" s="22"/>
      <c r="AN2254" s="22"/>
      <c r="AO2254" s="22"/>
      <c r="AP2254" s="22"/>
      <c r="AQ2254" s="22"/>
      <c r="AR2254" s="35"/>
      <c r="AS2254" s="35"/>
      <c r="AT2254" s="35"/>
      <c r="AU2254" s="31"/>
      <c r="AV2254" s="36"/>
    </row>
    <row r="2255" spans="4:48">
      <c r="D2255" s="31"/>
      <c r="E2255" s="31"/>
      <c r="F2255" s="31"/>
      <c r="G2255" s="31"/>
      <c r="H2255" s="32"/>
      <c r="J2255" s="33"/>
      <c r="K2255" s="33"/>
      <c r="L2255" s="33"/>
      <c r="X2255" s="22"/>
      <c r="Y2255" s="22"/>
      <c r="Z2255" s="22"/>
      <c r="AA2255" s="22"/>
      <c r="AF2255" s="22"/>
      <c r="AG2255" s="22"/>
      <c r="AH2255" s="22"/>
      <c r="AI2255" s="22"/>
      <c r="AN2255" s="22"/>
      <c r="AO2255" s="22"/>
      <c r="AP2255" s="22"/>
      <c r="AQ2255" s="22"/>
      <c r="AR2255" s="35"/>
      <c r="AS2255" s="35"/>
      <c r="AT2255" s="35"/>
      <c r="AU2255" s="31"/>
      <c r="AV2255" s="36"/>
    </row>
    <row r="2256" spans="4:48">
      <c r="D2256" s="31"/>
      <c r="E2256" s="31"/>
      <c r="F2256" s="31"/>
      <c r="G2256" s="31"/>
      <c r="H2256" s="32"/>
      <c r="J2256" s="33"/>
      <c r="K2256" s="33"/>
      <c r="L2256" s="33"/>
      <c r="X2256" s="22"/>
      <c r="Y2256" s="22"/>
      <c r="Z2256" s="22"/>
      <c r="AA2256" s="22"/>
      <c r="AF2256" s="22"/>
      <c r="AG2256" s="22"/>
      <c r="AH2256" s="22"/>
      <c r="AI2256" s="22"/>
      <c r="AN2256" s="22"/>
      <c r="AO2256" s="22"/>
      <c r="AP2256" s="22"/>
      <c r="AQ2256" s="22"/>
      <c r="AR2256" s="35"/>
      <c r="AS2256" s="35"/>
      <c r="AT2256" s="35"/>
      <c r="AU2256" s="31"/>
      <c r="AV2256" s="36"/>
    </row>
    <row r="2257" spans="4:48">
      <c r="D2257" s="31"/>
      <c r="E2257" s="31"/>
      <c r="F2257" s="31"/>
      <c r="G2257" s="31"/>
      <c r="H2257" s="32"/>
      <c r="J2257" s="33"/>
      <c r="K2257" s="33"/>
      <c r="L2257" s="33"/>
      <c r="X2257" s="22"/>
      <c r="Y2257" s="22"/>
      <c r="Z2257" s="22"/>
      <c r="AA2257" s="22"/>
      <c r="AF2257" s="22"/>
      <c r="AG2257" s="22"/>
      <c r="AH2257" s="22"/>
      <c r="AI2257" s="22"/>
      <c r="AN2257" s="22"/>
      <c r="AO2257" s="22"/>
      <c r="AP2257" s="22"/>
      <c r="AQ2257" s="22"/>
      <c r="AR2257" s="35"/>
      <c r="AS2257" s="35"/>
      <c r="AT2257" s="35"/>
      <c r="AU2257" s="31"/>
      <c r="AV2257" s="36"/>
    </row>
    <row r="2258" spans="4:48">
      <c r="D2258" s="31"/>
      <c r="E2258" s="31"/>
      <c r="F2258" s="31"/>
      <c r="G2258" s="31"/>
      <c r="H2258" s="32"/>
      <c r="J2258" s="33"/>
      <c r="K2258" s="33"/>
      <c r="L2258" s="33"/>
      <c r="X2258" s="22"/>
      <c r="Y2258" s="22"/>
      <c r="Z2258" s="22"/>
      <c r="AA2258" s="22"/>
      <c r="AF2258" s="22"/>
      <c r="AG2258" s="22"/>
      <c r="AH2258" s="22"/>
      <c r="AI2258" s="22"/>
      <c r="AN2258" s="22"/>
      <c r="AO2258" s="22"/>
      <c r="AP2258" s="22"/>
      <c r="AQ2258" s="22"/>
      <c r="AR2258" s="35"/>
      <c r="AS2258" s="35"/>
      <c r="AT2258" s="35"/>
      <c r="AU2258" s="31"/>
      <c r="AV2258" s="36"/>
    </row>
    <row r="2259" spans="4:48">
      <c r="D2259" s="31"/>
      <c r="E2259" s="31"/>
      <c r="F2259" s="31"/>
      <c r="G2259" s="31"/>
      <c r="H2259" s="32"/>
      <c r="J2259" s="33"/>
      <c r="K2259" s="33"/>
      <c r="L2259" s="33"/>
      <c r="X2259" s="22"/>
      <c r="Y2259" s="22"/>
      <c r="Z2259" s="22"/>
      <c r="AA2259" s="22"/>
      <c r="AF2259" s="22"/>
      <c r="AG2259" s="22"/>
      <c r="AH2259" s="22"/>
      <c r="AI2259" s="22"/>
      <c r="AN2259" s="22"/>
      <c r="AO2259" s="22"/>
      <c r="AP2259" s="22"/>
      <c r="AQ2259" s="22"/>
      <c r="AR2259" s="35"/>
      <c r="AS2259" s="35"/>
      <c r="AT2259" s="35"/>
      <c r="AU2259" s="31"/>
      <c r="AV2259" s="36"/>
    </row>
    <row r="2260" spans="4:48">
      <c r="D2260" s="31"/>
      <c r="E2260" s="31"/>
      <c r="F2260" s="31"/>
      <c r="G2260" s="31"/>
      <c r="H2260" s="32"/>
      <c r="J2260" s="33"/>
      <c r="K2260" s="33"/>
      <c r="L2260" s="33"/>
      <c r="X2260" s="22"/>
      <c r="Y2260" s="22"/>
      <c r="Z2260" s="22"/>
      <c r="AA2260" s="22"/>
      <c r="AF2260" s="22"/>
      <c r="AG2260" s="22"/>
      <c r="AH2260" s="22"/>
      <c r="AI2260" s="22"/>
      <c r="AN2260" s="22"/>
      <c r="AO2260" s="22"/>
      <c r="AP2260" s="22"/>
      <c r="AQ2260" s="22"/>
      <c r="AR2260" s="35"/>
      <c r="AS2260" s="35"/>
      <c r="AT2260" s="35"/>
      <c r="AU2260" s="31"/>
      <c r="AV2260" s="36"/>
    </row>
    <row r="2261" spans="4:48">
      <c r="D2261" s="31"/>
      <c r="E2261" s="31"/>
      <c r="F2261" s="31"/>
      <c r="G2261" s="31"/>
      <c r="H2261" s="32"/>
      <c r="J2261" s="33"/>
      <c r="K2261" s="33"/>
      <c r="L2261" s="33"/>
      <c r="X2261" s="22"/>
      <c r="Y2261" s="22"/>
      <c r="Z2261" s="22"/>
      <c r="AA2261" s="22"/>
      <c r="AF2261" s="22"/>
      <c r="AG2261" s="22"/>
      <c r="AH2261" s="22"/>
      <c r="AI2261" s="22"/>
      <c r="AN2261" s="22"/>
      <c r="AO2261" s="22"/>
      <c r="AP2261" s="22"/>
      <c r="AQ2261" s="22"/>
      <c r="AR2261" s="35"/>
      <c r="AS2261" s="35"/>
      <c r="AT2261" s="35"/>
      <c r="AU2261" s="31"/>
      <c r="AV2261" s="36"/>
    </row>
    <row r="2262" spans="4:48">
      <c r="D2262" s="31"/>
      <c r="E2262" s="31"/>
      <c r="F2262" s="31"/>
      <c r="G2262" s="31"/>
      <c r="H2262" s="32"/>
      <c r="J2262" s="33"/>
      <c r="K2262" s="33"/>
      <c r="L2262" s="33"/>
      <c r="X2262" s="22"/>
      <c r="Y2262" s="22"/>
      <c r="Z2262" s="22"/>
      <c r="AA2262" s="22"/>
      <c r="AF2262" s="22"/>
      <c r="AG2262" s="22"/>
      <c r="AH2262" s="22"/>
      <c r="AI2262" s="22"/>
      <c r="AN2262" s="22"/>
      <c r="AO2262" s="22"/>
      <c r="AP2262" s="22"/>
      <c r="AQ2262" s="22"/>
      <c r="AR2262" s="35"/>
      <c r="AS2262" s="35"/>
      <c r="AT2262" s="35"/>
      <c r="AU2262" s="31"/>
      <c r="AV2262" s="36"/>
    </row>
    <row r="2263" spans="4:48">
      <c r="D2263" s="31"/>
      <c r="E2263" s="31"/>
      <c r="F2263" s="31"/>
      <c r="G2263" s="31"/>
      <c r="H2263" s="32"/>
      <c r="J2263" s="33"/>
      <c r="K2263" s="33"/>
      <c r="L2263" s="33"/>
      <c r="X2263" s="22"/>
      <c r="Y2263" s="22"/>
      <c r="Z2263" s="22"/>
      <c r="AA2263" s="22"/>
      <c r="AF2263" s="22"/>
      <c r="AG2263" s="22"/>
      <c r="AH2263" s="22"/>
      <c r="AI2263" s="22"/>
      <c r="AN2263" s="22"/>
      <c r="AO2263" s="22"/>
      <c r="AP2263" s="22"/>
      <c r="AQ2263" s="22"/>
      <c r="AR2263" s="35"/>
      <c r="AS2263" s="35"/>
      <c r="AT2263" s="35"/>
      <c r="AU2263" s="31"/>
      <c r="AV2263" s="36"/>
    </row>
    <row r="2264" spans="4:48">
      <c r="D2264" s="31"/>
      <c r="E2264" s="31"/>
      <c r="F2264" s="31"/>
      <c r="G2264" s="31"/>
      <c r="H2264" s="32"/>
      <c r="J2264" s="33"/>
      <c r="K2264" s="33"/>
      <c r="L2264" s="33"/>
      <c r="X2264" s="22"/>
      <c r="Y2264" s="22"/>
      <c r="Z2264" s="22"/>
      <c r="AA2264" s="22"/>
      <c r="AF2264" s="22"/>
      <c r="AG2264" s="22"/>
      <c r="AH2264" s="22"/>
      <c r="AI2264" s="22"/>
      <c r="AN2264" s="22"/>
      <c r="AO2264" s="22"/>
      <c r="AP2264" s="22"/>
      <c r="AQ2264" s="22"/>
      <c r="AR2264" s="35"/>
      <c r="AS2264" s="35"/>
      <c r="AT2264" s="35"/>
      <c r="AU2264" s="31"/>
      <c r="AV2264" s="36"/>
    </row>
    <row r="2265" spans="4:48">
      <c r="D2265" s="31"/>
      <c r="E2265" s="31"/>
      <c r="F2265" s="31"/>
      <c r="G2265" s="31"/>
      <c r="H2265" s="32"/>
      <c r="J2265" s="33"/>
      <c r="K2265" s="33"/>
      <c r="L2265" s="33"/>
      <c r="X2265" s="22"/>
      <c r="Y2265" s="22"/>
      <c r="Z2265" s="22"/>
      <c r="AA2265" s="22"/>
      <c r="AF2265" s="22"/>
      <c r="AG2265" s="22"/>
      <c r="AH2265" s="22"/>
      <c r="AI2265" s="22"/>
      <c r="AN2265" s="22"/>
      <c r="AO2265" s="22"/>
      <c r="AP2265" s="22"/>
      <c r="AQ2265" s="22"/>
      <c r="AR2265" s="35"/>
      <c r="AS2265" s="35"/>
      <c r="AT2265" s="35"/>
      <c r="AU2265" s="31"/>
      <c r="AV2265" s="36"/>
    </row>
    <row r="2266" spans="4:48">
      <c r="D2266" s="31"/>
      <c r="E2266" s="31"/>
      <c r="F2266" s="31"/>
      <c r="G2266" s="31"/>
      <c r="H2266" s="32"/>
      <c r="J2266" s="33"/>
      <c r="K2266" s="33"/>
      <c r="L2266" s="33"/>
      <c r="X2266" s="22"/>
      <c r="Y2266" s="22"/>
      <c r="Z2266" s="22"/>
      <c r="AA2266" s="22"/>
      <c r="AF2266" s="22"/>
      <c r="AG2266" s="22"/>
      <c r="AH2266" s="22"/>
      <c r="AI2266" s="22"/>
      <c r="AN2266" s="22"/>
      <c r="AO2266" s="22"/>
      <c r="AP2266" s="22"/>
      <c r="AQ2266" s="22"/>
      <c r="AR2266" s="35"/>
      <c r="AS2266" s="35"/>
      <c r="AT2266" s="35"/>
      <c r="AU2266" s="31"/>
      <c r="AV2266" s="36"/>
    </row>
    <row r="2267" spans="4:48">
      <c r="D2267" s="31"/>
      <c r="E2267" s="31"/>
      <c r="F2267" s="31"/>
      <c r="G2267" s="31"/>
      <c r="H2267" s="32"/>
      <c r="J2267" s="33"/>
      <c r="K2267" s="33"/>
      <c r="L2267" s="33"/>
      <c r="X2267" s="22"/>
      <c r="Y2267" s="22"/>
      <c r="Z2267" s="22"/>
      <c r="AA2267" s="22"/>
      <c r="AF2267" s="22"/>
      <c r="AG2267" s="22"/>
      <c r="AH2267" s="22"/>
      <c r="AI2267" s="22"/>
      <c r="AN2267" s="22"/>
      <c r="AO2267" s="22"/>
      <c r="AP2267" s="22"/>
      <c r="AQ2267" s="22"/>
      <c r="AR2267" s="35"/>
      <c r="AS2267" s="35"/>
      <c r="AT2267" s="35"/>
      <c r="AU2267" s="31"/>
      <c r="AV2267" s="36"/>
    </row>
    <row r="2268" spans="4:48">
      <c r="D2268" s="31"/>
      <c r="E2268" s="31"/>
      <c r="F2268" s="31"/>
      <c r="G2268" s="31"/>
      <c r="H2268" s="32"/>
      <c r="J2268" s="33"/>
      <c r="K2268" s="33"/>
      <c r="L2268" s="33"/>
      <c r="X2268" s="22"/>
      <c r="Y2268" s="22"/>
      <c r="Z2268" s="22"/>
      <c r="AA2268" s="22"/>
      <c r="AF2268" s="22"/>
      <c r="AG2268" s="22"/>
      <c r="AH2268" s="22"/>
      <c r="AI2268" s="22"/>
      <c r="AN2268" s="22"/>
      <c r="AO2268" s="22"/>
      <c r="AP2268" s="22"/>
      <c r="AQ2268" s="22"/>
      <c r="AR2268" s="35"/>
      <c r="AS2268" s="35"/>
      <c r="AT2268" s="35"/>
      <c r="AU2268" s="31"/>
      <c r="AV2268" s="36"/>
    </row>
    <row r="2269" spans="4:48">
      <c r="D2269" s="31"/>
      <c r="E2269" s="31"/>
      <c r="F2269" s="31"/>
      <c r="G2269" s="31"/>
      <c r="H2269" s="32"/>
      <c r="J2269" s="33"/>
      <c r="K2269" s="33"/>
      <c r="L2269" s="33"/>
      <c r="X2269" s="22"/>
      <c r="Y2269" s="22"/>
      <c r="Z2269" s="22"/>
      <c r="AA2269" s="22"/>
      <c r="AF2269" s="22"/>
      <c r="AG2269" s="22"/>
      <c r="AH2269" s="22"/>
      <c r="AI2269" s="22"/>
      <c r="AN2269" s="22"/>
      <c r="AO2269" s="22"/>
      <c r="AP2269" s="22"/>
      <c r="AQ2269" s="22"/>
      <c r="AR2269" s="35"/>
      <c r="AS2269" s="35"/>
      <c r="AT2269" s="35"/>
      <c r="AU2269" s="31"/>
      <c r="AV2269" s="36"/>
    </row>
    <row r="2270" spans="4:48">
      <c r="D2270" s="31"/>
      <c r="E2270" s="31"/>
      <c r="F2270" s="31"/>
      <c r="G2270" s="31"/>
      <c r="H2270" s="32"/>
      <c r="J2270" s="33"/>
      <c r="K2270" s="33"/>
      <c r="L2270" s="33"/>
      <c r="X2270" s="22"/>
      <c r="Y2270" s="22"/>
      <c r="Z2270" s="22"/>
      <c r="AA2270" s="22"/>
      <c r="AF2270" s="22"/>
      <c r="AG2270" s="22"/>
      <c r="AH2270" s="22"/>
      <c r="AI2270" s="22"/>
      <c r="AN2270" s="22"/>
      <c r="AO2270" s="22"/>
      <c r="AP2270" s="22"/>
      <c r="AQ2270" s="22"/>
      <c r="AR2270" s="35"/>
      <c r="AS2270" s="35"/>
      <c r="AT2270" s="35"/>
      <c r="AU2270" s="31"/>
      <c r="AV2270" s="36"/>
    </row>
    <row r="2271" spans="4:48">
      <c r="D2271" s="31"/>
      <c r="E2271" s="31"/>
      <c r="F2271" s="31"/>
      <c r="G2271" s="31"/>
      <c r="H2271" s="32"/>
      <c r="J2271" s="33"/>
      <c r="K2271" s="33"/>
      <c r="L2271" s="33"/>
      <c r="X2271" s="22"/>
      <c r="Y2271" s="22"/>
      <c r="Z2271" s="22"/>
      <c r="AA2271" s="22"/>
      <c r="AF2271" s="22"/>
      <c r="AG2271" s="22"/>
      <c r="AH2271" s="22"/>
      <c r="AI2271" s="22"/>
      <c r="AN2271" s="22"/>
      <c r="AO2271" s="22"/>
      <c r="AP2271" s="22"/>
      <c r="AQ2271" s="22"/>
      <c r="AR2271" s="35"/>
      <c r="AS2271" s="35"/>
      <c r="AT2271" s="35"/>
      <c r="AU2271" s="31"/>
      <c r="AV2271" s="36"/>
    </row>
    <row r="2272" spans="4:48">
      <c r="D2272" s="31"/>
      <c r="E2272" s="31"/>
      <c r="F2272" s="31"/>
      <c r="G2272" s="31"/>
      <c r="H2272" s="32"/>
      <c r="J2272" s="33"/>
      <c r="K2272" s="33"/>
      <c r="L2272" s="33"/>
      <c r="X2272" s="22"/>
      <c r="Y2272" s="22"/>
      <c r="Z2272" s="22"/>
      <c r="AA2272" s="22"/>
      <c r="AF2272" s="22"/>
      <c r="AG2272" s="22"/>
      <c r="AH2272" s="22"/>
      <c r="AI2272" s="22"/>
      <c r="AN2272" s="22"/>
      <c r="AO2272" s="22"/>
      <c r="AP2272" s="22"/>
      <c r="AQ2272" s="22"/>
      <c r="AR2272" s="35"/>
      <c r="AS2272" s="35"/>
      <c r="AT2272" s="35"/>
      <c r="AU2272" s="31"/>
      <c r="AV2272" s="36"/>
    </row>
    <row r="2273" spans="4:48">
      <c r="D2273" s="31"/>
      <c r="E2273" s="31"/>
      <c r="F2273" s="31"/>
      <c r="G2273" s="31"/>
      <c r="H2273" s="32"/>
      <c r="J2273" s="33"/>
      <c r="K2273" s="33"/>
      <c r="L2273" s="33"/>
      <c r="X2273" s="22"/>
      <c r="Y2273" s="22"/>
      <c r="Z2273" s="22"/>
      <c r="AA2273" s="22"/>
      <c r="AF2273" s="22"/>
      <c r="AG2273" s="22"/>
      <c r="AH2273" s="22"/>
      <c r="AI2273" s="22"/>
      <c r="AN2273" s="22"/>
      <c r="AO2273" s="22"/>
      <c r="AP2273" s="22"/>
      <c r="AQ2273" s="22"/>
      <c r="AR2273" s="35"/>
      <c r="AS2273" s="35"/>
      <c r="AT2273" s="35"/>
      <c r="AU2273" s="31"/>
      <c r="AV2273" s="36"/>
    </row>
    <row r="2274" spans="4:48">
      <c r="D2274" s="31"/>
      <c r="E2274" s="31"/>
      <c r="F2274" s="31"/>
      <c r="G2274" s="31"/>
      <c r="H2274" s="32"/>
      <c r="J2274" s="33"/>
      <c r="K2274" s="33"/>
      <c r="L2274" s="33"/>
      <c r="X2274" s="22"/>
      <c r="Y2274" s="22"/>
      <c r="Z2274" s="22"/>
      <c r="AA2274" s="22"/>
      <c r="AF2274" s="22"/>
      <c r="AG2274" s="22"/>
      <c r="AH2274" s="22"/>
      <c r="AI2274" s="22"/>
      <c r="AN2274" s="22"/>
      <c r="AO2274" s="22"/>
      <c r="AP2274" s="22"/>
      <c r="AQ2274" s="22"/>
      <c r="AR2274" s="35"/>
      <c r="AS2274" s="35"/>
      <c r="AT2274" s="35"/>
      <c r="AU2274" s="31"/>
      <c r="AV2274" s="36"/>
    </row>
    <row r="2275" spans="4:48">
      <c r="D2275" s="31"/>
      <c r="E2275" s="31"/>
      <c r="F2275" s="31"/>
      <c r="G2275" s="31"/>
      <c r="H2275" s="32"/>
      <c r="J2275" s="33"/>
      <c r="K2275" s="33"/>
      <c r="L2275" s="33"/>
      <c r="X2275" s="22"/>
      <c r="Y2275" s="22"/>
      <c r="Z2275" s="22"/>
      <c r="AA2275" s="22"/>
      <c r="AF2275" s="22"/>
      <c r="AG2275" s="22"/>
      <c r="AH2275" s="22"/>
      <c r="AI2275" s="22"/>
      <c r="AN2275" s="22"/>
      <c r="AO2275" s="22"/>
      <c r="AP2275" s="22"/>
      <c r="AQ2275" s="22"/>
      <c r="AR2275" s="35"/>
      <c r="AS2275" s="35"/>
      <c r="AT2275" s="35"/>
      <c r="AU2275" s="31"/>
      <c r="AV2275" s="36"/>
    </row>
    <row r="2276" spans="4:48">
      <c r="D2276" s="31"/>
      <c r="E2276" s="31"/>
      <c r="F2276" s="31"/>
      <c r="G2276" s="31"/>
      <c r="H2276" s="32"/>
      <c r="J2276" s="33"/>
      <c r="K2276" s="33"/>
      <c r="L2276" s="33"/>
      <c r="X2276" s="22"/>
      <c r="Y2276" s="22"/>
      <c r="Z2276" s="22"/>
      <c r="AA2276" s="22"/>
      <c r="AF2276" s="22"/>
      <c r="AG2276" s="22"/>
      <c r="AH2276" s="22"/>
      <c r="AI2276" s="22"/>
      <c r="AN2276" s="22"/>
      <c r="AO2276" s="22"/>
      <c r="AP2276" s="22"/>
      <c r="AQ2276" s="22"/>
      <c r="AR2276" s="35"/>
      <c r="AS2276" s="35"/>
      <c r="AT2276" s="35"/>
      <c r="AU2276" s="31"/>
      <c r="AV2276" s="36"/>
    </row>
    <row r="2277" spans="4:48">
      <c r="D2277" s="31"/>
      <c r="E2277" s="31"/>
      <c r="F2277" s="31"/>
      <c r="G2277" s="31"/>
      <c r="H2277" s="32"/>
      <c r="J2277" s="33"/>
      <c r="K2277" s="33"/>
      <c r="L2277" s="33"/>
      <c r="X2277" s="22"/>
      <c r="Y2277" s="22"/>
      <c r="Z2277" s="22"/>
      <c r="AA2277" s="22"/>
      <c r="AF2277" s="22"/>
      <c r="AG2277" s="22"/>
      <c r="AH2277" s="22"/>
      <c r="AI2277" s="22"/>
      <c r="AN2277" s="22"/>
      <c r="AO2277" s="22"/>
      <c r="AP2277" s="22"/>
      <c r="AQ2277" s="22"/>
      <c r="AR2277" s="35"/>
      <c r="AS2277" s="35"/>
      <c r="AT2277" s="35"/>
      <c r="AU2277" s="31"/>
      <c r="AV2277" s="36"/>
    </row>
    <row r="2278" spans="4:48">
      <c r="D2278" s="31"/>
      <c r="E2278" s="31"/>
      <c r="F2278" s="31"/>
      <c r="G2278" s="31"/>
      <c r="H2278" s="32"/>
      <c r="J2278" s="33"/>
      <c r="K2278" s="33"/>
      <c r="L2278" s="33"/>
      <c r="X2278" s="22"/>
      <c r="Y2278" s="22"/>
      <c r="Z2278" s="22"/>
      <c r="AA2278" s="22"/>
      <c r="AF2278" s="22"/>
      <c r="AG2278" s="22"/>
      <c r="AH2278" s="22"/>
      <c r="AI2278" s="22"/>
      <c r="AN2278" s="22"/>
      <c r="AO2278" s="22"/>
      <c r="AP2278" s="22"/>
      <c r="AQ2278" s="22"/>
      <c r="AR2278" s="35"/>
      <c r="AS2278" s="35"/>
      <c r="AT2278" s="35"/>
      <c r="AU2278" s="31"/>
      <c r="AV2278" s="36"/>
    </row>
    <row r="2279" spans="4:48">
      <c r="D2279" s="31"/>
      <c r="E2279" s="31"/>
      <c r="F2279" s="31"/>
      <c r="G2279" s="31"/>
      <c r="H2279" s="32"/>
      <c r="J2279" s="33"/>
      <c r="K2279" s="33"/>
      <c r="L2279" s="33"/>
      <c r="X2279" s="22"/>
      <c r="Y2279" s="22"/>
      <c r="Z2279" s="22"/>
      <c r="AA2279" s="22"/>
      <c r="AF2279" s="22"/>
      <c r="AG2279" s="22"/>
      <c r="AH2279" s="22"/>
      <c r="AI2279" s="22"/>
      <c r="AN2279" s="22"/>
      <c r="AO2279" s="22"/>
      <c r="AP2279" s="22"/>
      <c r="AQ2279" s="22"/>
      <c r="AR2279" s="35"/>
      <c r="AS2279" s="35"/>
      <c r="AT2279" s="35"/>
      <c r="AU2279" s="31"/>
      <c r="AV2279" s="36"/>
    </row>
    <row r="2280" spans="4:48">
      <c r="D2280" s="31"/>
      <c r="E2280" s="31"/>
      <c r="F2280" s="31"/>
      <c r="G2280" s="31"/>
      <c r="H2280" s="32"/>
      <c r="J2280" s="33"/>
      <c r="K2280" s="33"/>
      <c r="L2280" s="33"/>
      <c r="X2280" s="22"/>
      <c r="Y2280" s="22"/>
      <c r="Z2280" s="22"/>
      <c r="AA2280" s="22"/>
      <c r="AF2280" s="22"/>
      <c r="AG2280" s="22"/>
      <c r="AH2280" s="22"/>
      <c r="AI2280" s="22"/>
      <c r="AN2280" s="22"/>
      <c r="AO2280" s="22"/>
      <c r="AP2280" s="22"/>
      <c r="AQ2280" s="22"/>
      <c r="AR2280" s="35"/>
      <c r="AS2280" s="35"/>
      <c r="AT2280" s="35"/>
      <c r="AU2280" s="31"/>
      <c r="AV2280" s="36"/>
    </row>
    <row r="2281" spans="4:48">
      <c r="D2281" s="31"/>
      <c r="E2281" s="31"/>
      <c r="F2281" s="31"/>
      <c r="G2281" s="31"/>
      <c r="H2281" s="32"/>
      <c r="J2281" s="33"/>
      <c r="K2281" s="33"/>
      <c r="L2281" s="33"/>
      <c r="X2281" s="22"/>
      <c r="Y2281" s="22"/>
      <c r="Z2281" s="22"/>
      <c r="AA2281" s="22"/>
      <c r="AF2281" s="22"/>
      <c r="AG2281" s="22"/>
      <c r="AH2281" s="22"/>
      <c r="AI2281" s="22"/>
      <c r="AN2281" s="22"/>
      <c r="AO2281" s="22"/>
      <c r="AP2281" s="22"/>
      <c r="AQ2281" s="22"/>
      <c r="AR2281" s="35"/>
      <c r="AS2281" s="35"/>
      <c r="AT2281" s="35"/>
      <c r="AU2281" s="31"/>
      <c r="AV2281" s="36"/>
    </row>
    <row r="2282" spans="4:48">
      <c r="D2282" s="31"/>
      <c r="E2282" s="31"/>
      <c r="F2282" s="31"/>
      <c r="G2282" s="31"/>
      <c r="H2282" s="32"/>
      <c r="J2282" s="33"/>
      <c r="K2282" s="33"/>
      <c r="L2282" s="33"/>
      <c r="X2282" s="22"/>
      <c r="Y2282" s="22"/>
      <c r="Z2282" s="22"/>
      <c r="AA2282" s="22"/>
      <c r="AF2282" s="22"/>
      <c r="AG2282" s="22"/>
      <c r="AH2282" s="22"/>
      <c r="AI2282" s="22"/>
      <c r="AN2282" s="22"/>
      <c r="AO2282" s="22"/>
      <c r="AP2282" s="22"/>
      <c r="AQ2282" s="22"/>
      <c r="AR2282" s="35"/>
      <c r="AS2282" s="35"/>
      <c r="AT2282" s="35"/>
      <c r="AU2282" s="31"/>
      <c r="AV2282" s="36"/>
    </row>
    <row r="2283" spans="4:48">
      <c r="D2283" s="31"/>
      <c r="E2283" s="31"/>
      <c r="F2283" s="31"/>
      <c r="G2283" s="31"/>
      <c r="H2283" s="32"/>
      <c r="J2283" s="33"/>
      <c r="K2283" s="33"/>
      <c r="L2283" s="33"/>
      <c r="X2283" s="22"/>
      <c r="Y2283" s="22"/>
      <c r="Z2283" s="22"/>
      <c r="AA2283" s="22"/>
      <c r="AF2283" s="22"/>
      <c r="AG2283" s="22"/>
      <c r="AH2283" s="22"/>
      <c r="AI2283" s="22"/>
      <c r="AN2283" s="22"/>
      <c r="AO2283" s="22"/>
      <c r="AP2283" s="22"/>
      <c r="AQ2283" s="22"/>
      <c r="AR2283" s="35"/>
      <c r="AS2283" s="35"/>
      <c r="AT2283" s="35"/>
      <c r="AU2283" s="31"/>
      <c r="AV2283" s="36"/>
    </row>
    <row r="2284" spans="4:48">
      <c r="D2284" s="31"/>
      <c r="E2284" s="31"/>
      <c r="F2284" s="31"/>
      <c r="G2284" s="31"/>
      <c r="H2284" s="32"/>
      <c r="J2284" s="33"/>
      <c r="K2284" s="33"/>
      <c r="L2284" s="33"/>
      <c r="X2284" s="22"/>
      <c r="Y2284" s="22"/>
      <c r="Z2284" s="22"/>
      <c r="AA2284" s="22"/>
      <c r="AF2284" s="22"/>
      <c r="AG2284" s="22"/>
      <c r="AH2284" s="22"/>
      <c r="AI2284" s="22"/>
      <c r="AN2284" s="22"/>
      <c r="AO2284" s="22"/>
      <c r="AP2284" s="22"/>
      <c r="AQ2284" s="22"/>
      <c r="AR2284" s="35"/>
      <c r="AS2284" s="35"/>
      <c r="AT2284" s="35"/>
      <c r="AU2284" s="31"/>
      <c r="AV2284" s="36"/>
    </row>
    <row r="2285" spans="4:48">
      <c r="D2285" s="31"/>
      <c r="E2285" s="31"/>
      <c r="F2285" s="31"/>
      <c r="G2285" s="31"/>
      <c r="H2285" s="32"/>
      <c r="J2285" s="33"/>
      <c r="K2285" s="33"/>
      <c r="L2285" s="33"/>
      <c r="X2285" s="22"/>
      <c r="Y2285" s="22"/>
      <c r="Z2285" s="22"/>
      <c r="AA2285" s="22"/>
      <c r="AF2285" s="22"/>
      <c r="AG2285" s="22"/>
      <c r="AH2285" s="22"/>
      <c r="AI2285" s="22"/>
      <c r="AN2285" s="22"/>
      <c r="AO2285" s="22"/>
      <c r="AP2285" s="22"/>
      <c r="AQ2285" s="22"/>
      <c r="AR2285" s="35"/>
      <c r="AS2285" s="35"/>
      <c r="AT2285" s="35"/>
      <c r="AU2285" s="31"/>
      <c r="AV2285" s="36"/>
    </row>
    <row r="2286" spans="4:48">
      <c r="D2286" s="31"/>
      <c r="E2286" s="31"/>
      <c r="F2286" s="31"/>
      <c r="G2286" s="31"/>
      <c r="H2286" s="32"/>
      <c r="J2286" s="33"/>
      <c r="K2286" s="33"/>
      <c r="L2286" s="33"/>
      <c r="X2286" s="22"/>
      <c r="Y2286" s="22"/>
      <c r="Z2286" s="22"/>
      <c r="AA2286" s="22"/>
      <c r="AF2286" s="22"/>
      <c r="AG2286" s="22"/>
      <c r="AH2286" s="22"/>
      <c r="AI2286" s="22"/>
      <c r="AN2286" s="22"/>
      <c r="AO2286" s="22"/>
      <c r="AP2286" s="22"/>
      <c r="AQ2286" s="22"/>
      <c r="AR2286" s="35"/>
      <c r="AS2286" s="35"/>
      <c r="AT2286" s="35"/>
      <c r="AU2286" s="31"/>
      <c r="AV2286" s="36"/>
    </row>
    <row r="2287" spans="4:48">
      <c r="D2287" s="31"/>
      <c r="E2287" s="31"/>
      <c r="F2287" s="31"/>
      <c r="G2287" s="31"/>
      <c r="H2287" s="32"/>
      <c r="J2287" s="33"/>
      <c r="K2287" s="33"/>
      <c r="L2287" s="33"/>
      <c r="X2287" s="22"/>
      <c r="Y2287" s="22"/>
      <c r="Z2287" s="22"/>
      <c r="AA2287" s="22"/>
      <c r="AF2287" s="22"/>
      <c r="AG2287" s="22"/>
      <c r="AH2287" s="22"/>
      <c r="AI2287" s="22"/>
      <c r="AN2287" s="22"/>
      <c r="AO2287" s="22"/>
      <c r="AP2287" s="22"/>
      <c r="AQ2287" s="22"/>
      <c r="AR2287" s="35"/>
      <c r="AS2287" s="35"/>
      <c r="AT2287" s="35"/>
      <c r="AU2287" s="31"/>
      <c r="AV2287" s="36"/>
    </row>
    <row r="2288" spans="4:48">
      <c r="D2288" s="31"/>
      <c r="E2288" s="31"/>
      <c r="F2288" s="31"/>
      <c r="G2288" s="31"/>
      <c r="H2288" s="32"/>
      <c r="J2288" s="33"/>
      <c r="K2288" s="33"/>
      <c r="L2288" s="33"/>
      <c r="X2288" s="22"/>
      <c r="Y2288" s="22"/>
      <c r="Z2288" s="22"/>
      <c r="AA2288" s="22"/>
      <c r="AF2288" s="22"/>
      <c r="AG2288" s="22"/>
      <c r="AH2288" s="22"/>
      <c r="AI2288" s="22"/>
      <c r="AN2288" s="22"/>
      <c r="AO2288" s="22"/>
      <c r="AP2288" s="22"/>
      <c r="AQ2288" s="22"/>
      <c r="AR2288" s="35"/>
      <c r="AS2288" s="35"/>
      <c r="AT2288" s="35"/>
      <c r="AU2288" s="31"/>
      <c r="AV2288" s="36"/>
    </row>
    <row r="2289" spans="4:48">
      <c r="D2289" s="31"/>
      <c r="E2289" s="31"/>
      <c r="F2289" s="31"/>
      <c r="G2289" s="31"/>
      <c r="H2289" s="32"/>
      <c r="J2289" s="33"/>
      <c r="K2289" s="33"/>
      <c r="L2289" s="33"/>
      <c r="X2289" s="22"/>
      <c r="Y2289" s="22"/>
      <c r="Z2289" s="22"/>
      <c r="AA2289" s="22"/>
      <c r="AF2289" s="22"/>
      <c r="AG2289" s="22"/>
      <c r="AH2289" s="22"/>
      <c r="AI2289" s="22"/>
      <c r="AN2289" s="22"/>
      <c r="AO2289" s="22"/>
      <c r="AP2289" s="22"/>
      <c r="AQ2289" s="22"/>
      <c r="AR2289" s="35"/>
      <c r="AS2289" s="35"/>
      <c r="AT2289" s="35"/>
      <c r="AU2289" s="31"/>
      <c r="AV2289" s="36"/>
    </row>
    <row r="2290" spans="4:48">
      <c r="D2290" s="31"/>
      <c r="E2290" s="31"/>
      <c r="F2290" s="31"/>
      <c r="G2290" s="31"/>
      <c r="H2290" s="32"/>
      <c r="J2290" s="33"/>
      <c r="K2290" s="33"/>
      <c r="L2290" s="33"/>
      <c r="X2290" s="22"/>
      <c r="Y2290" s="22"/>
      <c r="Z2290" s="22"/>
      <c r="AA2290" s="22"/>
      <c r="AF2290" s="22"/>
      <c r="AG2290" s="22"/>
      <c r="AH2290" s="22"/>
      <c r="AI2290" s="22"/>
      <c r="AN2290" s="22"/>
      <c r="AO2290" s="22"/>
      <c r="AP2290" s="22"/>
      <c r="AQ2290" s="22"/>
      <c r="AR2290" s="35"/>
      <c r="AS2290" s="35"/>
      <c r="AT2290" s="35"/>
      <c r="AU2290" s="31"/>
      <c r="AV2290" s="36"/>
    </row>
    <row r="2291" spans="4:48">
      <c r="D2291" s="31"/>
      <c r="E2291" s="31"/>
      <c r="F2291" s="31"/>
      <c r="G2291" s="31"/>
      <c r="H2291" s="32"/>
      <c r="J2291" s="33"/>
      <c r="K2291" s="33"/>
      <c r="L2291" s="33"/>
      <c r="X2291" s="22"/>
      <c r="Y2291" s="22"/>
      <c r="Z2291" s="22"/>
      <c r="AA2291" s="22"/>
      <c r="AF2291" s="22"/>
      <c r="AG2291" s="22"/>
      <c r="AH2291" s="22"/>
      <c r="AI2291" s="22"/>
      <c r="AN2291" s="22"/>
      <c r="AO2291" s="22"/>
      <c r="AP2291" s="22"/>
      <c r="AQ2291" s="22"/>
      <c r="AR2291" s="35"/>
      <c r="AS2291" s="35"/>
      <c r="AT2291" s="35"/>
      <c r="AU2291" s="31"/>
      <c r="AV2291" s="36"/>
    </row>
    <row r="2292" spans="4:48">
      <c r="D2292" s="31"/>
      <c r="E2292" s="31"/>
      <c r="F2292" s="31"/>
      <c r="G2292" s="31"/>
      <c r="H2292" s="32"/>
      <c r="J2292" s="33"/>
      <c r="K2292" s="33"/>
      <c r="L2292" s="33"/>
      <c r="X2292" s="22"/>
      <c r="Y2292" s="22"/>
      <c r="Z2292" s="22"/>
      <c r="AA2292" s="22"/>
      <c r="AF2292" s="22"/>
      <c r="AG2292" s="22"/>
      <c r="AH2292" s="22"/>
      <c r="AI2292" s="22"/>
      <c r="AN2292" s="22"/>
      <c r="AO2292" s="22"/>
      <c r="AP2292" s="22"/>
      <c r="AQ2292" s="22"/>
      <c r="AR2292" s="35"/>
      <c r="AS2292" s="35"/>
      <c r="AT2292" s="35"/>
      <c r="AU2292" s="31"/>
      <c r="AV2292" s="36"/>
    </row>
    <row r="2293" spans="4:48">
      <c r="D2293" s="31"/>
      <c r="E2293" s="31"/>
      <c r="F2293" s="31"/>
      <c r="G2293" s="31"/>
      <c r="H2293" s="32"/>
      <c r="J2293" s="33"/>
      <c r="K2293" s="33"/>
      <c r="L2293" s="33"/>
      <c r="X2293" s="22"/>
      <c r="Y2293" s="22"/>
      <c r="Z2293" s="22"/>
      <c r="AA2293" s="22"/>
      <c r="AF2293" s="22"/>
      <c r="AG2293" s="22"/>
      <c r="AH2293" s="22"/>
      <c r="AI2293" s="22"/>
      <c r="AN2293" s="22"/>
      <c r="AO2293" s="22"/>
      <c r="AP2293" s="22"/>
      <c r="AQ2293" s="22"/>
      <c r="AR2293" s="35"/>
      <c r="AS2293" s="35"/>
      <c r="AT2293" s="35"/>
      <c r="AU2293" s="31"/>
      <c r="AV2293" s="36"/>
    </row>
    <row r="2294" spans="4:48">
      <c r="D2294" s="31"/>
      <c r="E2294" s="31"/>
      <c r="F2294" s="31"/>
      <c r="G2294" s="31"/>
      <c r="H2294" s="32"/>
      <c r="J2294" s="33"/>
      <c r="K2294" s="33"/>
      <c r="L2294" s="33"/>
      <c r="X2294" s="22"/>
      <c r="Y2294" s="22"/>
      <c r="Z2294" s="22"/>
      <c r="AA2294" s="22"/>
      <c r="AF2294" s="22"/>
      <c r="AG2294" s="22"/>
      <c r="AH2294" s="22"/>
      <c r="AI2294" s="22"/>
      <c r="AN2294" s="22"/>
      <c r="AO2294" s="22"/>
      <c r="AP2294" s="22"/>
      <c r="AQ2294" s="22"/>
      <c r="AR2294" s="35"/>
      <c r="AS2294" s="35"/>
      <c r="AT2294" s="35"/>
      <c r="AU2294" s="31"/>
      <c r="AV2294" s="36"/>
    </row>
    <row r="2295" spans="4:48">
      <c r="D2295" s="31"/>
      <c r="E2295" s="31"/>
      <c r="F2295" s="31"/>
      <c r="G2295" s="31"/>
      <c r="H2295" s="32"/>
      <c r="J2295" s="33"/>
      <c r="K2295" s="33"/>
      <c r="L2295" s="33"/>
      <c r="X2295" s="22"/>
      <c r="Y2295" s="22"/>
      <c r="Z2295" s="22"/>
      <c r="AA2295" s="22"/>
      <c r="AF2295" s="22"/>
      <c r="AG2295" s="22"/>
      <c r="AH2295" s="22"/>
      <c r="AI2295" s="22"/>
      <c r="AN2295" s="22"/>
      <c r="AO2295" s="22"/>
      <c r="AP2295" s="22"/>
      <c r="AQ2295" s="22"/>
      <c r="AR2295" s="35"/>
      <c r="AS2295" s="35"/>
      <c r="AT2295" s="35"/>
      <c r="AU2295" s="31"/>
      <c r="AV2295" s="36"/>
    </row>
    <row r="2296" spans="4:48">
      <c r="D2296" s="31"/>
      <c r="E2296" s="31"/>
      <c r="F2296" s="31"/>
      <c r="G2296" s="31"/>
      <c r="H2296" s="32"/>
      <c r="J2296" s="33"/>
      <c r="K2296" s="33"/>
      <c r="L2296" s="33"/>
      <c r="X2296" s="22"/>
      <c r="Y2296" s="22"/>
      <c r="Z2296" s="22"/>
      <c r="AA2296" s="22"/>
      <c r="AF2296" s="22"/>
      <c r="AG2296" s="22"/>
      <c r="AH2296" s="22"/>
      <c r="AI2296" s="22"/>
      <c r="AN2296" s="22"/>
      <c r="AO2296" s="22"/>
      <c r="AP2296" s="22"/>
      <c r="AQ2296" s="22"/>
      <c r="AR2296" s="35"/>
      <c r="AS2296" s="35"/>
      <c r="AT2296" s="35"/>
      <c r="AU2296" s="31"/>
      <c r="AV2296" s="36"/>
    </row>
    <row r="2297" spans="4:48">
      <c r="D2297" s="31"/>
      <c r="E2297" s="31"/>
      <c r="F2297" s="31"/>
      <c r="G2297" s="31"/>
      <c r="H2297" s="32"/>
      <c r="J2297" s="33"/>
      <c r="K2297" s="33"/>
      <c r="L2297" s="33"/>
      <c r="X2297" s="22"/>
      <c r="Y2297" s="22"/>
      <c r="Z2297" s="22"/>
      <c r="AA2297" s="22"/>
      <c r="AF2297" s="22"/>
      <c r="AG2297" s="22"/>
      <c r="AH2297" s="22"/>
      <c r="AI2297" s="22"/>
      <c r="AN2297" s="22"/>
      <c r="AO2297" s="22"/>
      <c r="AP2297" s="22"/>
      <c r="AQ2297" s="22"/>
      <c r="AR2297" s="35"/>
      <c r="AS2297" s="35"/>
      <c r="AT2297" s="35"/>
      <c r="AU2297" s="31"/>
      <c r="AV2297" s="36"/>
    </row>
    <row r="2298" spans="4:48">
      <c r="D2298" s="31"/>
      <c r="E2298" s="31"/>
      <c r="F2298" s="31"/>
      <c r="G2298" s="31"/>
      <c r="H2298" s="32"/>
      <c r="J2298" s="33"/>
      <c r="K2298" s="33"/>
      <c r="L2298" s="33"/>
      <c r="X2298" s="22"/>
      <c r="Y2298" s="22"/>
      <c r="Z2298" s="22"/>
      <c r="AA2298" s="22"/>
      <c r="AF2298" s="22"/>
      <c r="AG2298" s="22"/>
      <c r="AH2298" s="22"/>
      <c r="AI2298" s="22"/>
      <c r="AN2298" s="22"/>
      <c r="AO2298" s="22"/>
      <c r="AP2298" s="22"/>
      <c r="AQ2298" s="22"/>
      <c r="AR2298" s="35"/>
      <c r="AS2298" s="35"/>
      <c r="AT2298" s="35"/>
      <c r="AU2298" s="31"/>
      <c r="AV2298" s="36"/>
    </row>
    <row r="2299" spans="4:48">
      <c r="D2299" s="31"/>
      <c r="E2299" s="31"/>
      <c r="F2299" s="31"/>
      <c r="G2299" s="31"/>
      <c r="H2299" s="32"/>
      <c r="J2299" s="33"/>
      <c r="K2299" s="33"/>
      <c r="L2299" s="33"/>
      <c r="X2299" s="22"/>
      <c r="Y2299" s="22"/>
      <c r="Z2299" s="22"/>
      <c r="AA2299" s="22"/>
      <c r="AF2299" s="22"/>
      <c r="AG2299" s="22"/>
      <c r="AH2299" s="22"/>
      <c r="AI2299" s="22"/>
      <c r="AN2299" s="22"/>
      <c r="AO2299" s="22"/>
      <c r="AP2299" s="22"/>
      <c r="AQ2299" s="22"/>
      <c r="AR2299" s="35"/>
      <c r="AS2299" s="35"/>
      <c r="AT2299" s="35"/>
      <c r="AU2299" s="31"/>
      <c r="AV2299" s="36"/>
    </row>
    <row r="2300" spans="4:48">
      <c r="D2300" s="31"/>
      <c r="E2300" s="31"/>
      <c r="F2300" s="31"/>
      <c r="G2300" s="31"/>
      <c r="H2300" s="32"/>
      <c r="J2300" s="33"/>
      <c r="K2300" s="33"/>
      <c r="L2300" s="33"/>
      <c r="X2300" s="22"/>
      <c r="Y2300" s="22"/>
      <c r="Z2300" s="22"/>
      <c r="AA2300" s="22"/>
      <c r="AF2300" s="22"/>
      <c r="AG2300" s="22"/>
      <c r="AH2300" s="22"/>
      <c r="AI2300" s="22"/>
      <c r="AN2300" s="22"/>
      <c r="AO2300" s="22"/>
      <c r="AP2300" s="22"/>
      <c r="AQ2300" s="22"/>
      <c r="AR2300" s="35"/>
      <c r="AS2300" s="35"/>
      <c r="AT2300" s="35"/>
      <c r="AU2300" s="31"/>
      <c r="AV2300" s="36"/>
    </row>
    <row r="2301" spans="4:48">
      <c r="D2301" s="31"/>
      <c r="E2301" s="31"/>
      <c r="F2301" s="31"/>
      <c r="G2301" s="31"/>
      <c r="H2301" s="32"/>
      <c r="J2301" s="33"/>
      <c r="K2301" s="33"/>
      <c r="L2301" s="33"/>
      <c r="X2301" s="22"/>
      <c r="Y2301" s="22"/>
      <c r="Z2301" s="22"/>
      <c r="AA2301" s="22"/>
      <c r="AF2301" s="22"/>
      <c r="AG2301" s="22"/>
      <c r="AH2301" s="22"/>
      <c r="AI2301" s="22"/>
      <c r="AN2301" s="22"/>
      <c r="AO2301" s="22"/>
      <c r="AP2301" s="22"/>
      <c r="AQ2301" s="22"/>
      <c r="AR2301" s="35"/>
      <c r="AS2301" s="35"/>
      <c r="AT2301" s="35"/>
      <c r="AU2301" s="31"/>
      <c r="AV2301" s="36"/>
    </row>
    <row r="2302" spans="4:48">
      <c r="D2302" s="31"/>
      <c r="E2302" s="31"/>
      <c r="F2302" s="31"/>
      <c r="G2302" s="31"/>
      <c r="H2302" s="32"/>
      <c r="J2302" s="33"/>
      <c r="K2302" s="33"/>
      <c r="L2302" s="33"/>
      <c r="X2302" s="22"/>
      <c r="Y2302" s="22"/>
      <c r="Z2302" s="22"/>
      <c r="AA2302" s="22"/>
      <c r="AF2302" s="22"/>
      <c r="AG2302" s="22"/>
      <c r="AH2302" s="22"/>
      <c r="AI2302" s="22"/>
      <c r="AN2302" s="22"/>
      <c r="AO2302" s="22"/>
      <c r="AP2302" s="22"/>
      <c r="AQ2302" s="22"/>
      <c r="AR2302" s="35"/>
      <c r="AS2302" s="35"/>
      <c r="AT2302" s="35"/>
      <c r="AU2302" s="31"/>
      <c r="AV2302" s="36"/>
    </row>
    <row r="2303" spans="4:48">
      <c r="D2303" s="31"/>
      <c r="E2303" s="31"/>
      <c r="F2303" s="31"/>
      <c r="G2303" s="31"/>
      <c r="H2303" s="32"/>
      <c r="J2303" s="33"/>
      <c r="K2303" s="33"/>
      <c r="L2303" s="33"/>
      <c r="X2303" s="22"/>
      <c r="Y2303" s="22"/>
      <c r="Z2303" s="22"/>
      <c r="AA2303" s="22"/>
      <c r="AF2303" s="22"/>
      <c r="AG2303" s="22"/>
      <c r="AH2303" s="22"/>
      <c r="AI2303" s="22"/>
      <c r="AN2303" s="22"/>
      <c r="AO2303" s="22"/>
      <c r="AP2303" s="22"/>
      <c r="AQ2303" s="22"/>
      <c r="AR2303" s="35"/>
      <c r="AS2303" s="35"/>
      <c r="AT2303" s="35"/>
      <c r="AU2303" s="31"/>
      <c r="AV2303" s="36"/>
    </row>
    <row r="2304" spans="4:48">
      <c r="D2304" s="31"/>
      <c r="E2304" s="31"/>
      <c r="F2304" s="31"/>
      <c r="G2304" s="31"/>
      <c r="H2304" s="32"/>
      <c r="J2304" s="33"/>
      <c r="K2304" s="33"/>
      <c r="L2304" s="33"/>
      <c r="X2304" s="22"/>
      <c r="Y2304" s="22"/>
      <c r="Z2304" s="22"/>
      <c r="AA2304" s="22"/>
      <c r="AF2304" s="22"/>
      <c r="AG2304" s="22"/>
      <c r="AH2304" s="22"/>
      <c r="AI2304" s="22"/>
      <c r="AN2304" s="22"/>
      <c r="AO2304" s="22"/>
      <c r="AP2304" s="22"/>
      <c r="AQ2304" s="22"/>
      <c r="AR2304" s="35"/>
      <c r="AS2304" s="35"/>
      <c r="AT2304" s="35"/>
      <c r="AU2304" s="31"/>
      <c r="AV2304" s="36"/>
    </row>
    <row r="2305" spans="4:48">
      <c r="D2305" s="31"/>
      <c r="E2305" s="31"/>
      <c r="F2305" s="31"/>
      <c r="G2305" s="31"/>
      <c r="H2305" s="32"/>
      <c r="J2305" s="33"/>
      <c r="K2305" s="33"/>
      <c r="L2305" s="33"/>
      <c r="X2305" s="22"/>
      <c r="Y2305" s="22"/>
      <c r="Z2305" s="22"/>
      <c r="AA2305" s="22"/>
      <c r="AF2305" s="22"/>
      <c r="AG2305" s="22"/>
      <c r="AH2305" s="22"/>
      <c r="AI2305" s="22"/>
      <c r="AN2305" s="22"/>
      <c r="AO2305" s="22"/>
      <c r="AP2305" s="22"/>
      <c r="AQ2305" s="22"/>
      <c r="AR2305" s="35"/>
      <c r="AS2305" s="35"/>
      <c r="AT2305" s="35"/>
      <c r="AU2305" s="31"/>
      <c r="AV2305" s="36"/>
    </row>
    <row r="2306" spans="4:48">
      <c r="D2306" s="31"/>
      <c r="E2306" s="31"/>
      <c r="F2306" s="31"/>
      <c r="G2306" s="31"/>
      <c r="H2306" s="32"/>
      <c r="J2306" s="33"/>
      <c r="K2306" s="33"/>
      <c r="L2306" s="33"/>
      <c r="X2306" s="22"/>
      <c r="Y2306" s="22"/>
      <c r="Z2306" s="22"/>
      <c r="AA2306" s="22"/>
      <c r="AF2306" s="22"/>
      <c r="AG2306" s="22"/>
      <c r="AH2306" s="22"/>
      <c r="AI2306" s="22"/>
      <c r="AN2306" s="22"/>
      <c r="AO2306" s="22"/>
      <c r="AP2306" s="22"/>
      <c r="AQ2306" s="22"/>
      <c r="AR2306" s="35"/>
      <c r="AS2306" s="35"/>
      <c r="AT2306" s="35"/>
      <c r="AU2306" s="31"/>
      <c r="AV2306" s="36"/>
    </row>
    <row r="2307" spans="4:48">
      <c r="D2307" s="31"/>
      <c r="E2307" s="31"/>
      <c r="F2307" s="31"/>
      <c r="G2307" s="31"/>
      <c r="H2307" s="32"/>
      <c r="J2307" s="33"/>
      <c r="K2307" s="33"/>
      <c r="L2307" s="33"/>
      <c r="X2307" s="22"/>
      <c r="Y2307" s="22"/>
      <c r="Z2307" s="22"/>
      <c r="AA2307" s="22"/>
      <c r="AF2307" s="22"/>
      <c r="AG2307" s="22"/>
      <c r="AH2307" s="22"/>
      <c r="AI2307" s="22"/>
      <c r="AN2307" s="22"/>
      <c r="AO2307" s="22"/>
      <c r="AP2307" s="22"/>
      <c r="AQ2307" s="22"/>
      <c r="AR2307" s="35"/>
      <c r="AS2307" s="35"/>
      <c r="AT2307" s="35"/>
      <c r="AU2307" s="31"/>
      <c r="AV2307" s="36"/>
    </row>
    <row r="2308" spans="4:48">
      <c r="D2308" s="31"/>
      <c r="E2308" s="31"/>
      <c r="F2308" s="31"/>
      <c r="G2308" s="31"/>
      <c r="H2308" s="32"/>
      <c r="J2308" s="33"/>
      <c r="K2308" s="33"/>
      <c r="L2308" s="33"/>
      <c r="X2308" s="22"/>
      <c r="Y2308" s="22"/>
      <c r="Z2308" s="22"/>
      <c r="AA2308" s="22"/>
      <c r="AF2308" s="22"/>
      <c r="AG2308" s="22"/>
      <c r="AH2308" s="22"/>
      <c r="AI2308" s="22"/>
      <c r="AN2308" s="22"/>
      <c r="AO2308" s="22"/>
      <c r="AP2308" s="22"/>
      <c r="AQ2308" s="22"/>
      <c r="AR2308" s="35"/>
      <c r="AS2308" s="35"/>
      <c r="AT2308" s="35"/>
      <c r="AU2308" s="31"/>
      <c r="AV2308" s="36"/>
    </row>
    <row r="2309" spans="4:48">
      <c r="D2309" s="31"/>
      <c r="E2309" s="31"/>
      <c r="F2309" s="31"/>
      <c r="G2309" s="31"/>
      <c r="H2309" s="32"/>
      <c r="J2309" s="33"/>
      <c r="K2309" s="33"/>
      <c r="L2309" s="33"/>
      <c r="X2309" s="22"/>
      <c r="Y2309" s="22"/>
      <c r="Z2309" s="22"/>
      <c r="AA2309" s="22"/>
      <c r="AF2309" s="22"/>
      <c r="AG2309" s="22"/>
      <c r="AH2309" s="22"/>
      <c r="AI2309" s="22"/>
      <c r="AN2309" s="22"/>
      <c r="AO2309" s="22"/>
      <c r="AP2309" s="22"/>
      <c r="AQ2309" s="22"/>
      <c r="AR2309" s="35"/>
      <c r="AS2309" s="35"/>
      <c r="AT2309" s="35"/>
      <c r="AU2309" s="31"/>
      <c r="AV2309" s="36"/>
    </row>
    <row r="2310" spans="4:48">
      <c r="D2310" s="31"/>
      <c r="E2310" s="31"/>
      <c r="F2310" s="31"/>
      <c r="G2310" s="31"/>
      <c r="H2310" s="32"/>
      <c r="J2310" s="33"/>
      <c r="K2310" s="33"/>
      <c r="L2310" s="33"/>
      <c r="X2310" s="22"/>
      <c r="Y2310" s="22"/>
      <c r="Z2310" s="22"/>
      <c r="AA2310" s="22"/>
      <c r="AF2310" s="22"/>
      <c r="AG2310" s="22"/>
      <c r="AH2310" s="22"/>
      <c r="AI2310" s="22"/>
      <c r="AN2310" s="22"/>
      <c r="AO2310" s="22"/>
      <c r="AP2310" s="22"/>
      <c r="AQ2310" s="22"/>
      <c r="AR2310" s="35"/>
      <c r="AS2310" s="35"/>
      <c r="AT2310" s="35"/>
      <c r="AU2310" s="31"/>
      <c r="AV2310" s="36"/>
    </row>
    <row r="2311" spans="4:48">
      <c r="D2311" s="31"/>
      <c r="E2311" s="31"/>
      <c r="F2311" s="31"/>
      <c r="G2311" s="31"/>
      <c r="H2311" s="32"/>
      <c r="J2311" s="33"/>
      <c r="K2311" s="33"/>
      <c r="L2311" s="33"/>
      <c r="X2311" s="22"/>
      <c r="Y2311" s="22"/>
      <c r="Z2311" s="22"/>
      <c r="AA2311" s="22"/>
      <c r="AF2311" s="22"/>
      <c r="AG2311" s="22"/>
      <c r="AH2311" s="22"/>
      <c r="AI2311" s="22"/>
      <c r="AN2311" s="22"/>
      <c r="AO2311" s="22"/>
      <c r="AP2311" s="22"/>
      <c r="AQ2311" s="22"/>
      <c r="AR2311" s="35"/>
      <c r="AS2311" s="35"/>
      <c r="AT2311" s="35"/>
      <c r="AU2311" s="31"/>
      <c r="AV2311" s="36"/>
    </row>
    <row r="2312" spans="4:48">
      <c r="D2312" s="31"/>
      <c r="E2312" s="31"/>
      <c r="F2312" s="31"/>
      <c r="G2312" s="31"/>
      <c r="H2312" s="32"/>
      <c r="J2312" s="33"/>
      <c r="K2312" s="33"/>
      <c r="L2312" s="33"/>
      <c r="X2312" s="22"/>
      <c r="Y2312" s="22"/>
      <c r="Z2312" s="22"/>
      <c r="AA2312" s="22"/>
      <c r="AF2312" s="22"/>
      <c r="AG2312" s="22"/>
      <c r="AH2312" s="22"/>
      <c r="AI2312" s="22"/>
      <c r="AN2312" s="22"/>
      <c r="AO2312" s="22"/>
      <c r="AP2312" s="22"/>
      <c r="AQ2312" s="22"/>
      <c r="AR2312" s="35"/>
      <c r="AS2312" s="35"/>
      <c r="AT2312" s="35"/>
      <c r="AU2312" s="31"/>
      <c r="AV2312" s="36"/>
    </row>
    <row r="2313" spans="4:48">
      <c r="D2313" s="31"/>
      <c r="E2313" s="31"/>
      <c r="F2313" s="31"/>
      <c r="G2313" s="31"/>
      <c r="H2313" s="32"/>
      <c r="J2313" s="33"/>
      <c r="K2313" s="33"/>
      <c r="L2313" s="33"/>
      <c r="X2313" s="22"/>
      <c r="Y2313" s="22"/>
      <c r="Z2313" s="22"/>
      <c r="AA2313" s="22"/>
      <c r="AF2313" s="22"/>
      <c r="AG2313" s="22"/>
      <c r="AH2313" s="22"/>
      <c r="AI2313" s="22"/>
      <c r="AN2313" s="22"/>
      <c r="AO2313" s="22"/>
      <c r="AP2313" s="22"/>
      <c r="AQ2313" s="22"/>
      <c r="AR2313" s="35"/>
      <c r="AS2313" s="35"/>
      <c r="AT2313" s="35"/>
      <c r="AU2313" s="31"/>
      <c r="AV2313" s="36"/>
    </row>
    <row r="2314" spans="4:48">
      <c r="D2314" s="31"/>
      <c r="E2314" s="31"/>
      <c r="F2314" s="31"/>
      <c r="G2314" s="31"/>
      <c r="H2314" s="32"/>
      <c r="J2314" s="33"/>
      <c r="K2314" s="33"/>
      <c r="L2314" s="33"/>
      <c r="X2314" s="22"/>
      <c r="Y2314" s="22"/>
      <c r="Z2314" s="22"/>
      <c r="AA2314" s="22"/>
      <c r="AF2314" s="22"/>
      <c r="AG2314" s="22"/>
      <c r="AH2314" s="22"/>
      <c r="AI2314" s="22"/>
      <c r="AN2314" s="22"/>
      <c r="AO2314" s="22"/>
      <c r="AP2314" s="22"/>
      <c r="AQ2314" s="22"/>
      <c r="AR2314" s="35"/>
      <c r="AS2314" s="35"/>
      <c r="AT2314" s="35"/>
      <c r="AU2314" s="31"/>
      <c r="AV2314" s="36"/>
    </row>
    <row r="2315" spans="4:48">
      <c r="D2315" s="31"/>
      <c r="E2315" s="31"/>
      <c r="F2315" s="31"/>
      <c r="G2315" s="31"/>
      <c r="H2315" s="32"/>
      <c r="J2315" s="33"/>
      <c r="K2315" s="33"/>
      <c r="L2315" s="33"/>
      <c r="X2315" s="22"/>
      <c r="Y2315" s="22"/>
      <c r="Z2315" s="22"/>
      <c r="AA2315" s="22"/>
      <c r="AF2315" s="22"/>
      <c r="AG2315" s="22"/>
      <c r="AH2315" s="22"/>
      <c r="AI2315" s="22"/>
      <c r="AN2315" s="22"/>
      <c r="AO2315" s="22"/>
      <c r="AP2315" s="22"/>
      <c r="AQ2315" s="22"/>
      <c r="AR2315" s="35"/>
      <c r="AS2315" s="35"/>
      <c r="AT2315" s="35"/>
      <c r="AU2315" s="31"/>
      <c r="AV2315" s="36"/>
    </row>
    <row r="2316" spans="4:48">
      <c r="D2316" s="31"/>
      <c r="E2316" s="31"/>
      <c r="F2316" s="31"/>
      <c r="G2316" s="31"/>
      <c r="H2316" s="32"/>
      <c r="J2316" s="33"/>
      <c r="K2316" s="33"/>
      <c r="L2316" s="33"/>
      <c r="X2316" s="22"/>
      <c r="Y2316" s="22"/>
      <c r="Z2316" s="22"/>
      <c r="AA2316" s="22"/>
      <c r="AF2316" s="22"/>
      <c r="AG2316" s="22"/>
      <c r="AH2316" s="22"/>
      <c r="AI2316" s="22"/>
      <c r="AN2316" s="22"/>
      <c r="AO2316" s="22"/>
      <c r="AP2316" s="22"/>
      <c r="AQ2316" s="22"/>
      <c r="AR2316" s="35"/>
      <c r="AS2316" s="35"/>
      <c r="AT2316" s="35"/>
      <c r="AU2316" s="31"/>
      <c r="AV2316" s="36"/>
    </row>
    <row r="2317" spans="4:48">
      <c r="D2317" s="31"/>
      <c r="E2317" s="31"/>
      <c r="F2317" s="31"/>
      <c r="G2317" s="31"/>
      <c r="H2317" s="32"/>
      <c r="J2317" s="33"/>
      <c r="K2317" s="33"/>
      <c r="L2317" s="33"/>
      <c r="X2317" s="22"/>
      <c r="Y2317" s="22"/>
      <c r="Z2317" s="22"/>
      <c r="AA2317" s="22"/>
      <c r="AF2317" s="22"/>
      <c r="AG2317" s="22"/>
      <c r="AH2317" s="22"/>
      <c r="AI2317" s="22"/>
      <c r="AN2317" s="22"/>
      <c r="AO2317" s="22"/>
      <c r="AP2317" s="22"/>
      <c r="AQ2317" s="22"/>
      <c r="AR2317" s="35"/>
      <c r="AS2317" s="35"/>
      <c r="AT2317" s="35"/>
      <c r="AU2317" s="31"/>
      <c r="AV2317" s="36"/>
    </row>
    <row r="2318" spans="4:48">
      <c r="D2318" s="31"/>
      <c r="E2318" s="31"/>
      <c r="F2318" s="31"/>
      <c r="G2318" s="31"/>
      <c r="H2318" s="32"/>
      <c r="J2318" s="33"/>
      <c r="K2318" s="33"/>
      <c r="L2318" s="33"/>
      <c r="X2318" s="22"/>
      <c r="Y2318" s="22"/>
      <c r="Z2318" s="22"/>
      <c r="AA2318" s="22"/>
      <c r="AF2318" s="22"/>
      <c r="AG2318" s="22"/>
      <c r="AH2318" s="22"/>
      <c r="AI2318" s="22"/>
      <c r="AN2318" s="22"/>
      <c r="AO2318" s="22"/>
      <c r="AP2318" s="22"/>
      <c r="AQ2318" s="22"/>
      <c r="AR2318" s="35"/>
      <c r="AS2318" s="35"/>
      <c r="AT2318" s="35"/>
      <c r="AU2318" s="31"/>
      <c r="AV2318" s="36"/>
    </row>
    <row r="2319" spans="4:48">
      <c r="D2319" s="31"/>
      <c r="E2319" s="31"/>
      <c r="F2319" s="31"/>
      <c r="G2319" s="31"/>
      <c r="H2319" s="32"/>
      <c r="J2319" s="33"/>
      <c r="K2319" s="33"/>
      <c r="L2319" s="33"/>
      <c r="X2319" s="22"/>
      <c r="Y2319" s="22"/>
      <c r="Z2319" s="22"/>
      <c r="AA2319" s="22"/>
      <c r="AF2319" s="22"/>
      <c r="AG2319" s="22"/>
      <c r="AH2319" s="22"/>
      <c r="AI2319" s="22"/>
      <c r="AN2319" s="22"/>
      <c r="AO2319" s="22"/>
      <c r="AP2319" s="22"/>
      <c r="AQ2319" s="22"/>
      <c r="AR2319" s="35"/>
      <c r="AS2319" s="35"/>
      <c r="AT2319" s="35"/>
      <c r="AU2319" s="31"/>
      <c r="AV2319" s="36"/>
    </row>
    <row r="2320" spans="4:48">
      <c r="D2320" s="31"/>
      <c r="E2320" s="31"/>
      <c r="F2320" s="31"/>
      <c r="G2320" s="31"/>
      <c r="H2320" s="32"/>
      <c r="J2320" s="33"/>
      <c r="K2320" s="33"/>
      <c r="L2320" s="33"/>
      <c r="X2320" s="22"/>
      <c r="Y2320" s="22"/>
      <c r="Z2320" s="22"/>
      <c r="AA2320" s="22"/>
      <c r="AF2320" s="22"/>
      <c r="AG2320" s="22"/>
      <c r="AH2320" s="22"/>
      <c r="AI2320" s="22"/>
      <c r="AN2320" s="22"/>
      <c r="AO2320" s="22"/>
      <c r="AP2320" s="22"/>
      <c r="AQ2320" s="22"/>
      <c r="AR2320" s="35"/>
      <c r="AS2320" s="35"/>
      <c r="AT2320" s="35"/>
      <c r="AU2320" s="31"/>
      <c r="AV2320" s="36"/>
    </row>
    <row r="2321" spans="4:48">
      <c r="D2321" s="31"/>
      <c r="E2321" s="31"/>
      <c r="F2321" s="31"/>
      <c r="G2321" s="31"/>
      <c r="H2321" s="32"/>
      <c r="J2321" s="33"/>
      <c r="K2321" s="33"/>
      <c r="L2321" s="33"/>
      <c r="X2321" s="22"/>
      <c r="Y2321" s="22"/>
      <c r="Z2321" s="22"/>
      <c r="AA2321" s="22"/>
      <c r="AF2321" s="22"/>
      <c r="AG2321" s="22"/>
      <c r="AH2321" s="22"/>
      <c r="AI2321" s="22"/>
      <c r="AN2321" s="22"/>
      <c r="AO2321" s="22"/>
      <c r="AP2321" s="22"/>
      <c r="AQ2321" s="22"/>
      <c r="AR2321" s="35"/>
      <c r="AS2321" s="35"/>
      <c r="AT2321" s="35"/>
      <c r="AU2321" s="31"/>
      <c r="AV2321" s="36"/>
    </row>
    <row r="2322" spans="4:48">
      <c r="D2322" s="31"/>
      <c r="E2322" s="31"/>
      <c r="F2322" s="31"/>
      <c r="G2322" s="31"/>
      <c r="H2322" s="32"/>
      <c r="J2322" s="33"/>
      <c r="K2322" s="33"/>
      <c r="L2322" s="33"/>
      <c r="X2322" s="22"/>
      <c r="Y2322" s="22"/>
      <c r="Z2322" s="22"/>
      <c r="AA2322" s="22"/>
      <c r="AF2322" s="22"/>
      <c r="AG2322" s="22"/>
      <c r="AH2322" s="22"/>
      <c r="AI2322" s="22"/>
      <c r="AN2322" s="22"/>
      <c r="AO2322" s="22"/>
      <c r="AP2322" s="22"/>
      <c r="AQ2322" s="22"/>
      <c r="AR2322" s="35"/>
      <c r="AS2322" s="35"/>
      <c r="AT2322" s="35"/>
      <c r="AU2322" s="31"/>
      <c r="AV2322" s="36"/>
    </row>
    <row r="2323" spans="4:48">
      <c r="D2323" s="31"/>
      <c r="E2323" s="31"/>
      <c r="F2323" s="31"/>
      <c r="G2323" s="31"/>
      <c r="H2323" s="32"/>
      <c r="J2323" s="33"/>
      <c r="K2323" s="33"/>
      <c r="L2323" s="33"/>
      <c r="X2323" s="22"/>
      <c r="Y2323" s="22"/>
      <c r="Z2323" s="22"/>
      <c r="AA2323" s="22"/>
      <c r="AF2323" s="22"/>
      <c r="AG2323" s="22"/>
      <c r="AH2323" s="22"/>
      <c r="AI2323" s="22"/>
      <c r="AN2323" s="22"/>
      <c r="AO2323" s="22"/>
      <c r="AP2323" s="22"/>
      <c r="AQ2323" s="22"/>
      <c r="AR2323" s="35"/>
      <c r="AS2323" s="35"/>
      <c r="AT2323" s="35"/>
      <c r="AU2323" s="31"/>
      <c r="AV2323" s="36"/>
    </row>
    <row r="2324" spans="4:48">
      <c r="D2324" s="31"/>
      <c r="E2324" s="31"/>
      <c r="F2324" s="31"/>
      <c r="G2324" s="31"/>
      <c r="H2324" s="32"/>
      <c r="J2324" s="33"/>
      <c r="K2324" s="33"/>
      <c r="L2324" s="33"/>
      <c r="X2324" s="22"/>
      <c r="Y2324" s="22"/>
      <c r="Z2324" s="22"/>
      <c r="AA2324" s="22"/>
      <c r="AF2324" s="22"/>
      <c r="AG2324" s="22"/>
      <c r="AH2324" s="22"/>
      <c r="AI2324" s="22"/>
      <c r="AN2324" s="22"/>
      <c r="AO2324" s="22"/>
      <c r="AP2324" s="22"/>
      <c r="AQ2324" s="22"/>
      <c r="AR2324" s="35"/>
      <c r="AS2324" s="35"/>
      <c r="AT2324" s="35"/>
      <c r="AU2324" s="31"/>
      <c r="AV2324" s="36"/>
    </row>
    <row r="2325" spans="4:48">
      <c r="D2325" s="31"/>
      <c r="E2325" s="31"/>
      <c r="F2325" s="31"/>
      <c r="G2325" s="31"/>
      <c r="H2325" s="32"/>
      <c r="J2325" s="33"/>
      <c r="K2325" s="33"/>
      <c r="L2325" s="33"/>
      <c r="X2325" s="22"/>
      <c r="Y2325" s="22"/>
      <c r="Z2325" s="22"/>
      <c r="AA2325" s="22"/>
      <c r="AF2325" s="22"/>
      <c r="AG2325" s="22"/>
      <c r="AH2325" s="22"/>
      <c r="AI2325" s="22"/>
      <c r="AN2325" s="22"/>
      <c r="AO2325" s="22"/>
      <c r="AP2325" s="22"/>
      <c r="AQ2325" s="22"/>
      <c r="AR2325" s="35"/>
      <c r="AS2325" s="35"/>
      <c r="AT2325" s="35"/>
      <c r="AU2325" s="31"/>
      <c r="AV2325" s="36"/>
    </row>
    <row r="2326" spans="4:48">
      <c r="D2326" s="31"/>
      <c r="E2326" s="31"/>
      <c r="F2326" s="31"/>
      <c r="G2326" s="31"/>
      <c r="H2326" s="32"/>
      <c r="J2326" s="33"/>
      <c r="K2326" s="33"/>
      <c r="L2326" s="33"/>
      <c r="X2326" s="22"/>
      <c r="Y2326" s="22"/>
      <c r="Z2326" s="22"/>
      <c r="AA2326" s="22"/>
      <c r="AF2326" s="22"/>
      <c r="AG2326" s="22"/>
      <c r="AH2326" s="22"/>
      <c r="AI2326" s="22"/>
      <c r="AN2326" s="22"/>
      <c r="AO2326" s="22"/>
      <c r="AP2326" s="22"/>
      <c r="AQ2326" s="22"/>
      <c r="AR2326" s="35"/>
      <c r="AS2326" s="35"/>
      <c r="AT2326" s="35"/>
      <c r="AU2326" s="31"/>
      <c r="AV2326" s="36"/>
    </row>
    <row r="2327" spans="4:48">
      <c r="D2327" s="31"/>
      <c r="E2327" s="31"/>
      <c r="F2327" s="31"/>
      <c r="G2327" s="31"/>
      <c r="H2327" s="32"/>
      <c r="J2327" s="33"/>
      <c r="K2327" s="33"/>
      <c r="L2327" s="33"/>
      <c r="X2327" s="22"/>
      <c r="Y2327" s="22"/>
      <c r="Z2327" s="22"/>
      <c r="AA2327" s="22"/>
      <c r="AF2327" s="22"/>
      <c r="AG2327" s="22"/>
      <c r="AH2327" s="22"/>
      <c r="AI2327" s="22"/>
      <c r="AN2327" s="22"/>
      <c r="AO2327" s="22"/>
      <c r="AP2327" s="22"/>
      <c r="AQ2327" s="22"/>
      <c r="AR2327" s="35"/>
      <c r="AS2327" s="35"/>
      <c r="AT2327" s="35"/>
      <c r="AU2327" s="31"/>
      <c r="AV2327" s="36"/>
    </row>
    <row r="2328" spans="4:48">
      <c r="D2328" s="31"/>
      <c r="E2328" s="31"/>
      <c r="F2328" s="31"/>
      <c r="G2328" s="31"/>
      <c r="H2328" s="32"/>
      <c r="J2328" s="33"/>
      <c r="K2328" s="33"/>
      <c r="L2328" s="33"/>
      <c r="X2328" s="22"/>
      <c r="Y2328" s="22"/>
      <c r="Z2328" s="22"/>
      <c r="AA2328" s="22"/>
      <c r="AF2328" s="22"/>
      <c r="AG2328" s="22"/>
      <c r="AH2328" s="22"/>
      <c r="AI2328" s="22"/>
      <c r="AN2328" s="22"/>
      <c r="AO2328" s="22"/>
      <c r="AP2328" s="22"/>
      <c r="AQ2328" s="22"/>
      <c r="AR2328" s="35"/>
      <c r="AS2328" s="35"/>
      <c r="AT2328" s="35"/>
      <c r="AU2328" s="31"/>
      <c r="AV2328" s="36"/>
    </row>
    <row r="2329" spans="4:48">
      <c r="D2329" s="31"/>
      <c r="E2329" s="31"/>
      <c r="F2329" s="31"/>
      <c r="G2329" s="31"/>
      <c r="H2329" s="32"/>
      <c r="J2329" s="33"/>
      <c r="K2329" s="33"/>
      <c r="L2329" s="33"/>
      <c r="X2329" s="22"/>
      <c r="Y2329" s="22"/>
      <c r="Z2329" s="22"/>
      <c r="AA2329" s="22"/>
      <c r="AF2329" s="22"/>
      <c r="AG2329" s="22"/>
      <c r="AH2329" s="22"/>
      <c r="AI2329" s="22"/>
      <c r="AN2329" s="22"/>
      <c r="AO2329" s="22"/>
      <c r="AP2329" s="22"/>
      <c r="AQ2329" s="22"/>
      <c r="AR2329" s="35"/>
      <c r="AS2329" s="35"/>
      <c r="AT2329" s="35"/>
      <c r="AU2329" s="31"/>
      <c r="AV2329" s="36"/>
    </row>
    <row r="2330" spans="4:48">
      <c r="D2330" s="31"/>
      <c r="E2330" s="31"/>
      <c r="F2330" s="31"/>
      <c r="G2330" s="31"/>
      <c r="H2330" s="32"/>
      <c r="J2330" s="33"/>
      <c r="K2330" s="33"/>
      <c r="L2330" s="33"/>
      <c r="X2330" s="22"/>
      <c r="Y2330" s="22"/>
      <c r="Z2330" s="22"/>
      <c r="AA2330" s="22"/>
      <c r="AF2330" s="22"/>
      <c r="AG2330" s="22"/>
      <c r="AH2330" s="22"/>
      <c r="AI2330" s="22"/>
      <c r="AN2330" s="22"/>
      <c r="AO2330" s="22"/>
      <c r="AP2330" s="22"/>
      <c r="AQ2330" s="22"/>
      <c r="AR2330" s="35"/>
      <c r="AS2330" s="35"/>
      <c r="AT2330" s="35"/>
      <c r="AU2330" s="31"/>
      <c r="AV2330" s="36"/>
    </row>
    <row r="2331" spans="4:48">
      <c r="D2331" s="31"/>
      <c r="E2331" s="31"/>
      <c r="F2331" s="31"/>
      <c r="G2331" s="31"/>
      <c r="H2331" s="32"/>
      <c r="J2331" s="33"/>
      <c r="K2331" s="33"/>
      <c r="L2331" s="33"/>
      <c r="X2331" s="22"/>
      <c r="Y2331" s="22"/>
      <c r="Z2331" s="22"/>
      <c r="AA2331" s="22"/>
      <c r="AF2331" s="22"/>
      <c r="AG2331" s="22"/>
      <c r="AH2331" s="22"/>
      <c r="AI2331" s="22"/>
      <c r="AN2331" s="22"/>
      <c r="AO2331" s="22"/>
      <c r="AP2331" s="22"/>
      <c r="AQ2331" s="22"/>
      <c r="AR2331" s="35"/>
      <c r="AS2331" s="35"/>
      <c r="AT2331" s="35"/>
      <c r="AU2331" s="31"/>
      <c r="AV2331" s="36"/>
    </row>
    <row r="2332" spans="4:48">
      <c r="D2332" s="31"/>
      <c r="E2332" s="31"/>
      <c r="F2332" s="31"/>
      <c r="G2332" s="31"/>
      <c r="H2332" s="32"/>
      <c r="J2332" s="33"/>
      <c r="K2332" s="33"/>
      <c r="L2332" s="33"/>
      <c r="X2332" s="22"/>
      <c r="Y2332" s="22"/>
      <c r="Z2332" s="22"/>
      <c r="AA2332" s="22"/>
      <c r="AF2332" s="22"/>
      <c r="AG2332" s="22"/>
      <c r="AH2332" s="22"/>
      <c r="AI2332" s="22"/>
      <c r="AN2332" s="22"/>
      <c r="AO2332" s="22"/>
      <c r="AP2332" s="22"/>
      <c r="AQ2332" s="22"/>
      <c r="AR2332" s="35"/>
      <c r="AS2332" s="35"/>
      <c r="AT2332" s="35"/>
      <c r="AU2332" s="31"/>
      <c r="AV2332" s="36"/>
    </row>
    <row r="2333" spans="4:48">
      <c r="D2333" s="31"/>
      <c r="E2333" s="31"/>
      <c r="F2333" s="31"/>
      <c r="G2333" s="31"/>
      <c r="H2333" s="32"/>
      <c r="J2333" s="33"/>
      <c r="K2333" s="33"/>
      <c r="L2333" s="33"/>
      <c r="X2333" s="22"/>
      <c r="Y2333" s="22"/>
      <c r="Z2333" s="22"/>
      <c r="AA2333" s="22"/>
      <c r="AF2333" s="22"/>
      <c r="AG2333" s="22"/>
      <c r="AH2333" s="22"/>
      <c r="AI2333" s="22"/>
      <c r="AN2333" s="22"/>
      <c r="AO2333" s="22"/>
      <c r="AP2333" s="22"/>
      <c r="AQ2333" s="22"/>
      <c r="AR2333" s="35"/>
      <c r="AS2333" s="35"/>
      <c r="AT2333" s="35"/>
      <c r="AU2333" s="31"/>
      <c r="AV2333" s="36"/>
    </row>
    <row r="2334" spans="4:48">
      <c r="D2334" s="31"/>
      <c r="E2334" s="31"/>
      <c r="F2334" s="31"/>
      <c r="G2334" s="31"/>
      <c r="H2334" s="32"/>
      <c r="J2334" s="33"/>
      <c r="K2334" s="33"/>
      <c r="L2334" s="33"/>
      <c r="X2334" s="22"/>
      <c r="Y2334" s="22"/>
      <c r="Z2334" s="22"/>
      <c r="AA2334" s="22"/>
      <c r="AF2334" s="22"/>
      <c r="AG2334" s="22"/>
      <c r="AH2334" s="22"/>
      <c r="AI2334" s="22"/>
      <c r="AN2334" s="22"/>
      <c r="AO2334" s="22"/>
      <c r="AP2334" s="22"/>
      <c r="AQ2334" s="22"/>
      <c r="AR2334" s="35"/>
      <c r="AS2334" s="35"/>
      <c r="AT2334" s="35"/>
      <c r="AU2334" s="31"/>
      <c r="AV2334" s="36"/>
    </row>
    <row r="2335" spans="4:48">
      <c r="D2335" s="31"/>
      <c r="E2335" s="31"/>
      <c r="F2335" s="31"/>
      <c r="G2335" s="31"/>
      <c r="H2335" s="32"/>
      <c r="J2335" s="33"/>
      <c r="K2335" s="33"/>
      <c r="L2335" s="33"/>
      <c r="X2335" s="22"/>
      <c r="Y2335" s="22"/>
      <c r="Z2335" s="22"/>
      <c r="AA2335" s="22"/>
      <c r="AF2335" s="22"/>
      <c r="AG2335" s="22"/>
      <c r="AH2335" s="22"/>
      <c r="AI2335" s="22"/>
      <c r="AN2335" s="22"/>
      <c r="AO2335" s="22"/>
      <c r="AP2335" s="22"/>
      <c r="AQ2335" s="22"/>
      <c r="AR2335" s="35"/>
      <c r="AS2335" s="35"/>
      <c r="AT2335" s="35"/>
      <c r="AU2335" s="31"/>
      <c r="AV2335" s="36"/>
    </row>
    <row r="2336" spans="4:48">
      <c r="D2336" s="31"/>
      <c r="E2336" s="31"/>
      <c r="F2336" s="31"/>
      <c r="G2336" s="31"/>
      <c r="H2336" s="32"/>
      <c r="J2336" s="33"/>
      <c r="K2336" s="33"/>
      <c r="L2336" s="33"/>
      <c r="X2336" s="22"/>
      <c r="Y2336" s="22"/>
      <c r="Z2336" s="22"/>
      <c r="AA2336" s="22"/>
      <c r="AF2336" s="22"/>
      <c r="AG2336" s="22"/>
      <c r="AH2336" s="22"/>
      <c r="AI2336" s="22"/>
      <c r="AN2336" s="22"/>
      <c r="AO2336" s="22"/>
      <c r="AP2336" s="22"/>
      <c r="AQ2336" s="22"/>
      <c r="AR2336" s="35"/>
      <c r="AS2336" s="35"/>
      <c r="AT2336" s="35"/>
      <c r="AU2336" s="31"/>
      <c r="AV2336" s="36"/>
    </row>
    <row r="2337" spans="4:48">
      <c r="D2337" s="31"/>
      <c r="E2337" s="31"/>
      <c r="F2337" s="31"/>
      <c r="G2337" s="31"/>
      <c r="H2337" s="32"/>
      <c r="J2337" s="33"/>
      <c r="K2337" s="33"/>
      <c r="L2337" s="33"/>
      <c r="X2337" s="22"/>
      <c r="Y2337" s="22"/>
      <c r="Z2337" s="22"/>
      <c r="AA2337" s="22"/>
      <c r="AF2337" s="22"/>
      <c r="AG2337" s="22"/>
      <c r="AH2337" s="22"/>
      <c r="AI2337" s="22"/>
      <c r="AN2337" s="22"/>
      <c r="AO2337" s="22"/>
      <c r="AP2337" s="22"/>
      <c r="AQ2337" s="22"/>
      <c r="AR2337" s="35"/>
      <c r="AS2337" s="35"/>
      <c r="AT2337" s="35"/>
      <c r="AU2337" s="31"/>
      <c r="AV2337" s="36"/>
    </row>
    <row r="2338" spans="4:48">
      <c r="D2338" s="31"/>
      <c r="E2338" s="31"/>
      <c r="F2338" s="31"/>
      <c r="G2338" s="31"/>
      <c r="H2338" s="32"/>
      <c r="J2338" s="33"/>
      <c r="K2338" s="33"/>
      <c r="L2338" s="33"/>
      <c r="X2338" s="22"/>
      <c r="Y2338" s="22"/>
      <c r="Z2338" s="22"/>
      <c r="AA2338" s="22"/>
      <c r="AF2338" s="22"/>
      <c r="AG2338" s="22"/>
      <c r="AH2338" s="22"/>
      <c r="AI2338" s="22"/>
      <c r="AN2338" s="22"/>
      <c r="AO2338" s="22"/>
      <c r="AP2338" s="22"/>
      <c r="AQ2338" s="22"/>
      <c r="AR2338" s="35"/>
      <c r="AS2338" s="35"/>
      <c r="AT2338" s="35"/>
      <c r="AU2338" s="31"/>
      <c r="AV2338" s="36"/>
    </row>
    <row r="2339" spans="4:48">
      <c r="D2339" s="31"/>
      <c r="E2339" s="31"/>
      <c r="F2339" s="31"/>
      <c r="G2339" s="31"/>
      <c r="H2339" s="32"/>
      <c r="J2339" s="33"/>
      <c r="K2339" s="33"/>
      <c r="L2339" s="33"/>
      <c r="X2339" s="22"/>
      <c r="Y2339" s="22"/>
      <c r="Z2339" s="22"/>
      <c r="AA2339" s="22"/>
      <c r="AF2339" s="22"/>
      <c r="AG2339" s="22"/>
      <c r="AH2339" s="22"/>
      <c r="AI2339" s="22"/>
      <c r="AN2339" s="22"/>
      <c r="AO2339" s="22"/>
      <c r="AP2339" s="22"/>
      <c r="AQ2339" s="22"/>
      <c r="AR2339" s="35"/>
      <c r="AS2339" s="35"/>
      <c r="AT2339" s="35"/>
      <c r="AU2339" s="31"/>
      <c r="AV2339" s="36"/>
    </row>
    <row r="2340" spans="4:48">
      <c r="D2340" s="31"/>
      <c r="E2340" s="31"/>
      <c r="F2340" s="31"/>
      <c r="G2340" s="31"/>
      <c r="H2340" s="32"/>
      <c r="J2340" s="33"/>
      <c r="K2340" s="33"/>
      <c r="L2340" s="33"/>
      <c r="X2340" s="22"/>
      <c r="Y2340" s="22"/>
      <c r="Z2340" s="22"/>
      <c r="AA2340" s="22"/>
      <c r="AF2340" s="22"/>
      <c r="AG2340" s="22"/>
      <c r="AH2340" s="22"/>
      <c r="AI2340" s="22"/>
      <c r="AN2340" s="22"/>
      <c r="AO2340" s="22"/>
      <c r="AP2340" s="22"/>
      <c r="AQ2340" s="22"/>
      <c r="AR2340" s="35"/>
      <c r="AS2340" s="35"/>
      <c r="AT2340" s="35"/>
      <c r="AU2340" s="31"/>
      <c r="AV2340" s="36"/>
    </row>
    <row r="2341" spans="4:48">
      <c r="D2341" s="31"/>
      <c r="E2341" s="31"/>
      <c r="F2341" s="31"/>
      <c r="G2341" s="31"/>
      <c r="H2341" s="32"/>
      <c r="J2341" s="33"/>
      <c r="K2341" s="33"/>
      <c r="L2341" s="33"/>
      <c r="X2341" s="22"/>
      <c r="Y2341" s="22"/>
      <c r="Z2341" s="22"/>
      <c r="AA2341" s="22"/>
      <c r="AF2341" s="22"/>
      <c r="AG2341" s="22"/>
      <c r="AH2341" s="22"/>
      <c r="AI2341" s="22"/>
      <c r="AN2341" s="22"/>
      <c r="AO2341" s="22"/>
      <c r="AP2341" s="22"/>
      <c r="AQ2341" s="22"/>
      <c r="AR2341" s="35"/>
      <c r="AS2341" s="35"/>
      <c r="AT2341" s="35"/>
      <c r="AU2341" s="31"/>
      <c r="AV2341" s="36"/>
    </row>
    <row r="2342" spans="4:48">
      <c r="D2342" s="31"/>
      <c r="E2342" s="31"/>
      <c r="F2342" s="31"/>
      <c r="G2342" s="31"/>
      <c r="H2342" s="32"/>
      <c r="J2342" s="33"/>
      <c r="K2342" s="33"/>
      <c r="L2342" s="33"/>
      <c r="X2342" s="22"/>
      <c r="Y2342" s="22"/>
      <c r="Z2342" s="22"/>
      <c r="AA2342" s="22"/>
      <c r="AF2342" s="22"/>
      <c r="AG2342" s="22"/>
      <c r="AH2342" s="22"/>
      <c r="AI2342" s="22"/>
      <c r="AN2342" s="22"/>
      <c r="AO2342" s="22"/>
      <c r="AP2342" s="22"/>
      <c r="AQ2342" s="22"/>
      <c r="AR2342" s="35"/>
      <c r="AS2342" s="35"/>
      <c r="AT2342" s="35"/>
      <c r="AU2342" s="31"/>
      <c r="AV2342" s="36"/>
    </row>
    <row r="2343" spans="4:48">
      <c r="D2343" s="31"/>
      <c r="E2343" s="31"/>
      <c r="F2343" s="31"/>
      <c r="G2343" s="31"/>
      <c r="H2343" s="32"/>
      <c r="J2343" s="33"/>
      <c r="K2343" s="33"/>
      <c r="L2343" s="33"/>
      <c r="X2343" s="22"/>
      <c r="Y2343" s="22"/>
      <c r="Z2343" s="22"/>
      <c r="AA2343" s="22"/>
      <c r="AF2343" s="22"/>
      <c r="AG2343" s="22"/>
      <c r="AH2343" s="22"/>
      <c r="AI2343" s="22"/>
      <c r="AN2343" s="22"/>
      <c r="AO2343" s="22"/>
      <c r="AP2343" s="22"/>
      <c r="AQ2343" s="22"/>
      <c r="AR2343" s="35"/>
      <c r="AS2343" s="35"/>
      <c r="AT2343" s="35"/>
      <c r="AU2343" s="31"/>
      <c r="AV2343" s="36"/>
    </row>
    <row r="2344" spans="4:48">
      <c r="D2344" s="31"/>
      <c r="E2344" s="31"/>
      <c r="F2344" s="31"/>
      <c r="G2344" s="31"/>
      <c r="H2344" s="32"/>
      <c r="J2344" s="33"/>
      <c r="K2344" s="33"/>
      <c r="L2344" s="33"/>
      <c r="X2344" s="22"/>
      <c r="Y2344" s="22"/>
      <c r="Z2344" s="22"/>
      <c r="AA2344" s="22"/>
      <c r="AF2344" s="22"/>
      <c r="AG2344" s="22"/>
      <c r="AH2344" s="22"/>
      <c r="AI2344" s="22"/>
      <c r="AN2344" s="22"/>
      <c r="AO2344" s="22"/>
      <c r="AP2344" s="22"/>
      <c r="AQ2344" s="22"/>
      <c r="AR2344" s="35"/>
      <c r="AS2344" s="35"/>
      <c r="AT2344" s="35"/>
      <c r="AU2344" s="31"/>
      <c r="AV2344" s="36"/>
    </row>
    <row r="2345" spans="4:48">
      <c r="D2345" s="31"/>
      <c r="E2345" s="31"/>
      <c r="F2345" s="31"/>
      <c r="G2345" s="31"/>
      <c r="H2345" s="32"/>
      <c r="J2345" s="33"/>
      <c r="K2345" s="33"/>
      <c r="L2345" s="33"/>
      <c r="X2345" s="22"/>
      <c r="Y2345" s="22"/>
      <c r="Z2345" s="22"/>
      <c r="AA2345" s="22"/>
      <c r="AF2345" s="22"/>
      <c r="AG2345" s="22"/>
      <c r="AH2345" s="22"/>
      <c r="AI2345" s="22"/>
      <c r="AN2345" s="22"/>
      <c r="AO2345" s="22"/>
      <c r="AP2345" s="22"/>
      <c r="AQ2345" s="22"/>
      <c r="AR2345" s="35"/>
      <c r="AS2345" s="35"/>
      <c r="AT2345" s="35"/>
      <c r="AU2345" s="31"/>
      <c r="AV2345" s="36"/>
    </row>
    <row r="2346" spans="4:48">
      <c r="D2346" s="31"/>
      <c r="E2346" s="31"/>
      <c r="F2346" s="31"/>
      <c r="G2346" s="31"/>
      <c r="H2346" s="32"/>
      <c r="J2346" s="33"/>
      <c r="K2346" s="33"/>
      <c r="L2346" s="33"/>
      <c r="X2346" s="22"/>
      <c r="Y2346" s="22"/>
      <c r="Z2346" s="22"/>
      <c r="AA2346" s="22"/>
      <c r="AF2346" s="22"/>
      <c r="AG2346" s="22"/>
      <c r="AH2346" s="22"/>
      <c r="AI2346" s="22"/>
      <c r="AN2346" s="22"/>
      <c r="AO2346" s="22"/>
      <c r="AP2346" s="22"/>
      <c r="AQ2346" s="22"/>
      <c r="AR2346" s="35"/>
      <c r="AS2346" s="35"/>
      <c r="AT2346" s="35"/>
      <c r="AU2346" s="31"/>
      <c r="AV2346" s="36"/>
    </row>
    <row r="2347" spans="4:48">
      <c r="D2347" s="31"/>
      <c r="E2347" s="31"/>
      <c r="F2347" s="31"/>
      <c r="G2347" s="31"/>
      <c r="H2347" s="32"/>
      <c r="J2347" s="33"/>
      <c r="K2347" s="33"/>
      <c r="L2347" s="33"/>
      <c r="X2347" s="22"/>
      <c r="Y2347" s="22"/>
      <c r="Z2347" s="22"/>
      <c r="AA2347" s="22"/>
      <c r="AF2347" s="22"/>
      <c r="AG2347" s="22"/>
      <c r="AH2347" s="22"/>
      <c r="AI2347" s="22"/>
      <c r="AN2347" s="22"/>
      <c r="AO2347" s="22"/>
      <c r="AP2347" s="22"/>
      <c r="AQ2347" s="22"/>
      <c r="AR2347" s="35"/>
      <c r="AS2347" s="35"/>
      <c r="AT2347" s="35"/>
      <c r="AU2347" s="31"/>
      <c r="AV2347" s="36"/>
    </row>
    <row r="2348" spans="4:48">
      <c r="D2348" s="31"/>
      <c r="E2348" s="31"/>
      <c r="F2348" s="31"/>
      <c r="G2348" s="31"/>
      <c r="H2348" s="32"/>
      <c r="J2348" s="33"/>
      <c r="K2348" s="33"/>
      <c r="L2348" s="33"/>
      <c r="X2348" s="22"/>
      <c r="Y2348" s="22"/>
      <c r="Z2348" s="22"/>
      <c r="AA2348" s="22"/>
      <c r="AF2348" s="22"/>
      <c r="AG2348" s="22"/>
      <c r="AH2348" s="22"/>
      <c r="AI2348" s="22"/>
      <c r="AN2348" s="22"/>
      <c r="AO2348" s="22"/>
      <c r="AP2348" s="22"/>
      <c r="AQ2348" s="22"/>
      <c r="AR2348" s="35"/>
      <c r="AS2348" s="35"/>
      <c r="AT2348" s="35"/>
      <c r="AU2348" s="31"/>
      <c r="AV2348" s="36"/>
    </row>
    <row r="2349" spans="4:48">
      <c r="D2349" s="31"/>
      <c r="E2349" s="31"/>
      <c r="F2349" s="31"/>
      <c r="G2349" s="31"/>
      <c r="H2349" s="32"/>
      <c r="J2349" s="33"/>
      <c r="K2349" s="33"/>
      <c r="L2349" s="33"/>
      <c r="X2349" s="22"/>
      <c r="Y2349" s="22"/>
      <c r="Z2349" s="22"/>
      <c r="AA2349" s="22"/>
      <c r="AF2349" s="22"/>
      <c r="AG2349" s="22"/>
      <c r="AH2349" s="22"/>
      <c r="AI2349" s="22"/>
      <c r="AN2349" s="22"/>
      <c r="AO2349" s="22"/>
      <c r="AP2349" s="22"/>
      <c r="AQ2349" s="22"/>
      <c r="AR2349" s="35"/>
      <c r="AS2349" s="35"/>
      <c r="AT2349" s="35"/>
      <c r="AU2349" s="31"/>
      <c r="AV2349" s="36"/>
    </row>
    <row r="2350" spans="4:48">
      <c r="D2350" s="31"/>
      <c r="E2350" s="31"/>
      <c r="F2350" s="31"/>
      <c r="G2350" s="31"/>
      <c r="H2350" s="32"/>
      <c r="J2350" s="33"/>
      <c r="K2350" s="33"/>
      <c r="L2350" s="33"/>
      <c r="X2350" s="22"/>
      <c r="Y2350" s="22"/>
      <c r="Z2350" s="22"/>
      <c r="AA2350" s="22"/>
      <c r="AF2350" s="22"/>
      <c r="AG2350" s="22"/>
      <c r="AH2350" s="22"/>
      <c r="AI2350" s="22"/>
      <c r="AN2350" s="22"/>
      <c r="AO2350" s="22"/>
      <c r="AP2350" s="22"/>
      <c r="AQ2350" s="22"/>
      <c r="AR2350" s="35"/>
      <c r="AS2350" s="35"/>
      <c r="AT2350" s="35"/>
      <c r="AU2350" s="31"/>
      <c r="AV2350" s="36"/>
    </row>
    <row r="2351" spans="4:48">
      <c r="D2351" s="31"/>
      <c r="E2351" s="31"/>
      <c r="F2351" s="31"/>
      <c r="G2351" s="31"/>
      <c r="H2351" s="32"/>
      <c r="J2351" s="33"/>
      <c r="K2351" s="33"/>
      <c r="L2351" s="33"/>
      <c r="X2351" s="22"/>
      <c r="Y2351" s="22"/>
      <c r="Z2351" s="22"/>
      <c r="AA2351" s="22"/>
      <c r="AF2351" s="22"/>
      <c r="AG2351" s="22"/>
      <c r="AH2351" s="22"/>
      <c r="AI2351" s="22"/>
      <c r="AN2351" s="22"/>
      <c r="AO2351" s="22"/>
      <c r="AP2351" s="22"/>
      <c r="AQ2351" s="22"/>
      <c r="AR2351" s="35"/>
      <c r="AS2351" s="35"/>
      <c r="AT2351" s="35"/>
      <c r="AU2351" s="31"/>
      <c r="AV2351" s="36"/>
    </row>
    <row r="2352" spans="4:48">
      <c r="D2352" s="31"/>
      <c r="E2352" s="31"/>
      <c r="F2352" s="31"/>
      <c r="G2352" s="31"/>
      <c r="H2352" s="32"/>
      <c r="J2352" s="33"/>
      <c r="K2352" s="33"/>
      <c r="L2352" s="33"/>
      <c r="X2352" s="22"/>
      <c r="Y2352" s="22"/>
      <c r="Z2352" s="22"/>
      <c r="AA2352" s="22"/>
      <c r="AF2352" s="22"/>
      <c r="AG2352" s="22"/>
      <c r="AH2352" s="22"/>
      <c r="AI2352" s="22"/>
      <c r="AN2352" s="22"/>
      <c r="AO2352" s="22"/>
      <c r="AP2352" s="22"/>
      <c r="AQ2352" s="22"/>
      <c r="AR2352" s="35"/>
      <c r="AS2352" s="35"/>
      <c r="AT2352" s="35"/>
      <c r="AU2352" s="31"/>
      <c r="AV2352" s="36"/>
    </row>
    <row r="2353" spans="4:48">
      <c r="D2353" s="31"/>
      <c r="E2353" s="31"/>
      <c r="F2353" s="31"/>
      <c r="G2353" s="31"/>
      <c r="H2353" s="32"/>
      <c r="J2353" s="33"/>
      <c r="K2353" s="33"/>
      <c r="L2353" s="33"/>
      <c r="X2353" s="22"/>
      <c r="Y2353" s="22"/>
      <c r="Z2353" s="22"/>
      <c r="AA2353" s="22"/>
      <c r="AF2353" s="22"/>
      <c r="AG2353" s="22"/>
      <c r="AH2353" s="22"/>
      <c r="AI2353" s="22"/>
      <c r="AN2353" s="22"/>
      <c r="AO2353" s="22"/>
      <c r="AP2353" s="22"/>
      <c r="AQ2353" s="22"/>
      <c r="AR2353" s="35"/>
      <c r="AS2353" s="35"/>
      <c r="AT2353" s="35"/>
      <c r="AU2353" s="31"/>
      <c r="AV2353" s="36"/>
    </row>
    <row r="2354" spans="4:48">
      <c r="D2354" s="31"/>
      <c r="E2354" s="31"/>
      <c r="F2354" s="31"/>
      <c r="G2354" s="31"/>
      <c r="H2354" s="32"/>
      <c r="J2354" s="33"/>
      <c r="K2354" s="33"/>
      <c r="L2354" s="33"/>
      <c r="X2354" s="22"/>
      <c r="Y2354" s="22"/>
      <c r="Z2354" s="22"/>
      <c r="AA2354" s="22"/>
      <c r="AF2354" s="22"/>
      <c r="AG2354" s="22"/>
      <c r="AH2354" s="22"/>
      <c r="AI2354" s="22"/>
      <c r="AN2354" s="22"/>
      <c r="AO2354" s="22"/>
      <c r="AP2354" s="22"/>
      <c r="AQ2354" s="22"/>
      <c r="AR2354" s="35"/>
      <c r="AS2354" s="35"/>
      <c r="AT2354" s="35"/>
      <c r="AU2354" s="31"/>
      <c r="AV2354" s="36"/>
    </row>
    <row r="2355" spans="4:48">
      <c r="D2355" s="31"/>
      <c r="E2355" s="31"/>
      <c r="F2355" s="31"/>
      <c r="G2355" s="31"/>
      <c r="H2355" s="32"/>
      <c r="J2355" s="33"/>
      <c r="K2355" s="33"/>
      <c r="L2355" s="33"/>
      <c r="X2355" s="22"/>
      <c r="Y2355" s="22"/>
      <c r="Z2355" s="22"/>
      <c r="AA2355" s="22"/>
      <c r="AF2355" s="22"/>
      <c r="AG2355" s="22"/>
      <c r="AH2355" s="22"/>
      <c r="AI2355" s="22"/>
      <c r="AN2355" s="22"/>
      <c r="AO2355" s="22"/>
      <c r="AP2355" s="22"/>
      <c r="AQ2355" s="22"/>
      <c r="AR2355" s="35"/>
      <c r="AS2355" s="35"/>
      <c r="AT2355" s="35"/>
      <c r="AU2355" s="31"/>
      <c r="AV2355" s="36"/>
    </row>
    <row r="2356" spans="4:48">
      <c r="D2356" s="31"/>
      <c r="E2356" s="31"/>
      <c r="F2356" s="31"/>
      <c r="G2356" s="31"/>
      <c r="H2356" s="32"/>
      <c r="J2356" s="33"/>
      <c r="K2356" s="33"/>
      <c r="L2356" s="33"/>
      <c r="X2356" s="22"/>
      <c r="Y2356" s="22"/>
      <c r="Z2356" s="22"/>
      <c r="AA2356" s="22"/>
      <c r="AF2356" s="22"/>
      <c r="AG2356" s="22"/>
      <c r="AH2356" s="22"/>
      <c r="AI2356" s="22"/>
      <c r="AN2356" s="22"/>
      <c r="AO2356" s="22"/>
      <c r="AP2356" s="22"/>
      <c r="AQ2356" s="22"/>
      <c r="AR2356" s="35"/>
      <c r="AS2356" s="35"/>
      <c r="AT2356" s="35"/>
      <c r="AU2356" s="31"/>
      <c r="AV2356" s="36"/>
    </row>
    <row r="2357" spans="4:48">
      <c r="D2357" s="31"/>
      <c r="E2357" s="31"/>
      <c r="F2357" s="31"/>
      <c r="G2357" s="31"/>
      <c r="H2357" s="32"/>
      <c r="J2357" s="33"/>
      <c r="K2357" s="33"/>
      <c r="L2357" s="33"/>
      <c r="X2357" s="22"/>
      <c r="Y2357" s="22"/>
      <c r="Z2357" s="22"/>
      <c r="AA2357" s="22"/>
      <c r="AF2357" s="22"/>
      <c r="AG2357" s="22"/>
      <c r="AH2357" s="22"/>
      <c r="AI2357" s="22"/>
      <c r="AN2357" s="22"/>
      <c r="AO2357" s="22"/>
      <c r="AP2357" s="22"/>
      <c r="AQ2357" s="22"/>
      <c r="AR2357" s="35"/>
      <c r="AS2357" s="35"/>
      <c r="AT2357" s="35"/>
      <c r="AU2357" s="31"/>
      <c r="AV2357" s="36"/>
    </row>
    <row r="2358" spans="4:48">
      <c r="D2358" s="31"/>
      <c r="E2358" s="31"/>
      <c r="F2358" s="31"/>
      <c r="G2358" s="31"/>
      <c r="H2358" s="32"/>
      <c r="J2358" s="33"/>
      <c r="K2358" s="33"/>
      <c r="L2358" s="33"/>
      <c r="X2358" s="22"/>
      <c r="Y2358" s="22"/>
      <c r="Z2358" s="22"/>
      <c r="AA2358" s="22"/>
      <c r="AF2358" s="22"/>
      <c r="AG2358" s="22"/>
      <c r="AH2358" s="22"/>
      <c r="AI2358" s="22"/>
      <c r="AN2358" s="22"/>
      <c r="AO2358" s="22"/>
      <c r="AP2358" s="22"/>
      <c r="AQ2358" s="22"/>
      <c r="AR2358" s="35"/>
      <c r="AS2358" s="35"/>
      <c r="AT2358" s="35"/>
      <c r="AU2358" s="31"/>
      <c r="AV2358" s="36"/>
    </row>
    <row r="2359" spans="4:48">
      <c r="D2359" s="31"/>
      <c r="E2359" s="31"/>
      <c r="F2359" s="31"/>
      <c r="G2359" s="31"/>
      <c r="H2359" s="32"/>
      <c r="J2359" s="33"/>
      <c r="K2359" s="33"/>
      <c r="L2359" s="33"/>
      <c r="X2359" s="22"/>
      <c r="Y2359" s="22"/>
      <c r="Z2359" s="22"/>
      <c r="AA2359" s="22"/>
      <c r="AF2359" s="22"/>
      <c r="AG2359" s="22"/>
      <c r="AH2359" s="22"/>
      <c r="AI2359" s="22"/>
      <c r="AN2359" s="22"/>
      <c r="AO2359" s="22"/>
      <c r="AP2359" s="22"/>
      <c r="AQ2359" s="22"/>
      <c r="AR2359" s="35"/>
      <c r="AS2359" s="35"/>
      <c r="AT2359" s="35"/>
      <c r="AU2359" s="31"/>
      <c r="AV2359" s="36"/>
    </row>
    <row r="2360" spans="4:48">
      <c r="D2360" s="31"/>
      <c r="E2360" s="31"/>
      <c r="F2360" s="31"/>
      <c r="G2360" s="31"/>
      <c r="H2360" s="32"/>
      <c r="J2360" s="33"/>
      <c r="K2360" s="33"/>
      <c r="L2360" s="33"/>
      <c r="X2360" s="22"/>
      <c r="Y2360" s="22"/>
      <c r="Z2360" s="22"/>
      <c r="AA2360" s="22"/>
      <c r="AF2360" s="22"/>
      <c r="AG2360" s="22"/>
      <c r="AH2360" s="22"/>
      <c r="AI2360" s="22"/>
      <c r="AN2360" s="22"/>
      <c r="AO2360" s="22"/>
      <c r="AP2360" s="22"/>
      <c r="AQ2360" s="22"/>
      <c r="AR2360" s="35"/>
      <c r="AS2360" s="35"/>
      <c r="AT2360" s="35"/>
      <c r="AU2360" s="31"/>
      <c r="AV2360" s="36"/>
    </row>
    <row r="2361" spans="4:48">
      <c r="D2361" s="31"/>
      <c r="E2361" s="31"/>
      <c r="F2361" s="31"/>
      <c r="G2361" s="31"/>
      <c r="H2361" s="32"/>
      <c r="J2361" s="33"/>
      <c r="K2361" s="33"/>
      <c r="L2361" s="33"/>
      <c r="X2361" s="22"/>
      <c r="Y2361" s="22"/>
      <c r="Z2361" s="22"/>
      <c r="AA2361" s="22"/>
      <c r="AF2361" s="22"/>
      <c r="AG2361" s="22"/>
      <c r="AH2361" s="22"/>
      <c r="AI2361" s="22"/>
      <c r="AN2361" s="22"/>
      <c r="AO2361" s="22"/>
      <c r="AP2361" s="22"/>
      <c r="AQ2361" s="22"/>
      <c r="AR2361" s="35"/>
      <c r="AS2361" s="35"/>
      <c r="AT2361" s="35"/>
      <c r="AU2361" s="31"/>
      <c r="AV2361" s="36"/>
    </row>
    <row r="2362" spans="4:48">
      <c r="D2362" s="31"/>
      <c r="E2362" s="31"/>
      <c r="F2362" s="31"/>
      <c r="G2362" s="31"/>
      <c r="H2362" s="32"/>
      <c r="J2362" s="33"/>
      <c r="K2362" s="33"/>
      <c r="L2362" s="33"/>
      <c r="X2362" s="22"/>
      <c r="Y2362" s="22"/>
      <c r="Z2362" s="22"/>
      <c r="AA2362" s="22"/>
      <c r="AF2362" s="22"/>
      <c r="AG2362" s="22"/>
      <c r="AH2362" s="22"/>
      <c r="AI2362" s="22"/>
      <c r="AN2362" s="22"/>
      <c r="AO2362" s="22"/>
      <c r="AP2362" s="22"/>
      <c r="AQ2362" s="22"/>
      <c r="AR2362" s="35"/>
      <c r="AS2362" s="35"/>
      <c r="AT2362" s="35"/>
      <c r="AU2362" s="31"/>
      <c r="AV2362" s="36"/>
    </row>
    <row r="2363" spans="4:48">
      <c r="D2363" s="31"/>
      <c r="E2363" s="31"/>
      <c r="F2363" s="31"/>
      <c r="G2363" s="31"/>
      <c r="H2363" s="32"/>
      <c r="J2363" s="33"/>
      <c r="K2363" s="33"/>
      <c r="L2363" s="33"/>
      <c r="X2363" s="22"/>
      <c r="Y2363" s="22"/>
      <c r="Z2363" s="22"/>
      <c r="AA2363" s="22"/>
      <c r="AF2363" s="22"/>
      <c r="AG2363" s="22"/>
      <c r="AH2363" s="22"/>
      <c r="AI2363" s="22"/>
      <c r="AN2363" s="22"/>
      <c r="AO2363" s="22"/>
      <c r="AP2363" s="22"/>
      <c r="AQ2363" s="22"/>
      <c r="AR2363" s="35"/>
      <c r="AS2363" s="35"/>
      <c r="AT2363" s="35"/>
      <c r="AU2363" s="31"/>
      <c r="AV2363" s="36"/>
    </row>
    <row r="2364" spans="4:48">
      <c r="D2364" s="31"/>
      <c r="E2364" s="31"/>
      <c r="F2364" s="31"/>
      <c r="G2364" s="31"/>
      <c r="H2364" s="32"/>
      <c r="J2364" s="33"/>
      <c r="K2364" s="33"/>
      <c r="L2364" s="33"/>
      <c r="X2364" s="22"/>
      <c r="Y2364" s="22"/>
      <c r="Z2364" s="22"/>
      <c r="AA2364" s="22"/>
      <c r="AF2364" s="22"/>
      <c r="AG2364" s="22"/>
      <c r="AH2364" s="22"/>
      <c r="AI2364" s="22"/>
      <c r="AN2364" s="22"/>
      <c r="AO2364" s="22"/>
      <c r="AP2364" s="22"/>
      <c r="AQ2364" s="22"/>
      <c r="AR2364" s="35"/>
      <c r="AS2364" s="35"/>
      <c r="AT2364" s="35"/>
      <c r="AU2364" s="31"/>
      <c r="AV2364" s="36"/>
    </row>
    <row r="2365" spans="4:48">
      <c r="D2365" s="31"/>
      <c r="E2365" s="31"/>
      <c r="F2365" s="31"/>
      <c r="G2365" s="31"/>
      <c r="H2365" s="32"/>
      <c r="J2365" s="33"/>
      <c r="K2365" s="33"/>
      <c r="L2365" s="33"/>
      <c r="X2365" s="22"/>
      <c r="Y2365" s="22"/>
      <c r="Z2365" s="22"/>
      <c r="AA2365" s="22"/>
      <c r="AF2365" s="22"/>
      <c r="AG2365" s="22"/>
      <c r="AH2365" s="22"/>
      <c r="AI2365" s="22"/>
      <c r="AN2365" s="22"/>
      <c r="AO2365" s="22"/>
      <c r="AP2365" s="22"/>
      <c r="AQ2365" s="22"/>
      <c r="AR2365" s="35"/>
      <c r="AS2365" s="35"/>
      <c r="AT2365" s="35"/>
      <c r="AU2365" s="31"/>
      <c r="AV2365" s="36"/>
    </row>
    <row r="2366" spans="4:48">
      <c r="D2366" s="31"/>
      <c r="E2366" s="31"/>
      <c r="F2366" s="31"/>
      <c r="G2366" s="31"/>
      <c r="H2366" s="32"/>
      <c r="J2366" s="33"/>
      <c r="K2366" s="33"/>
      <c r="L2366" s="33"/>
      <c r="X2366" s="22"/>
      <c r="Y2366" s="22"/>
      <c r="Z2366" s="22"/>
      <c r="AA2366" s="22"/>
      <c r="AF2366" s="22"/>
      <c r="AG2366" s="22"/>
      <c r="AH2366" s="22"/>
      <c r="AI2366" s="22"/>
      <c r="AN2366" s="22"/>
      <c r="AO2366" s="22"/>
      <c r="AP2366" s="22"/>
      <c r="AQ2366" s="22"/>
      <c r="AR2366" s="35"/>
      <c r="AS2366" s="35"/>
      <c r="AT2366" s="35"/>
      <c r="AU2366" s="31"/>
      <c r="AV2366" s="36"/>
    </row>
    <row r="2367" spans="4:48">
      <c r="D2367" s="31"/>
      <c r="E2367" s="31"/>
      <c r="F2367" s="31"/>
      <c r="G2367" s="31"/>
      <c r="H2367" s="32"/>
      <c r="J2367" s="33"/>
      <c r="K2367" s="33"/>
      <c r="L2367" s="33"/>
      <c r="X2367" s="22"/>
      <c r="Y2367" s="22"/>
      <c r="Z2367" s="22"/>
      <c r="AA2367" s="22"/>
      <c r="AF2367" s="22"/>
      <c r="AG2367" s="22"/>
      <c r="AH2367" s="22"/>
      <c r="AI2367" s="22"/>
      <c r="AN2367" s="22"/>
      <c r="AO2367" s="22"/>
      <c r="AP2367" s="22"/>
      <c r="AQ2367" s="22"/>
      <c r="AR2367" s="35"/>
      <c r="AS2367" s="35"/>
      <c r="AT2367" s="35"/>
      <c r="AU2367" s="31"/>
      <c r="AV2367" s="36"/>
    </row>
    <row r="2368" spans="4:48">
      <c r="D2368" s="31"/>
      <c r="E2368" s="31"/>
      <c r="F2368" s="31"/>
      <c r="G2368" s="31"/>
      <c r="H2368" s="32"/>
      <c r="J2368" s="33"/>
      <c r="K2368" s="33"/>
      <c r="L2368" s="33"/>
      <c r="X2368" s="22"/>
      <c r="Y2368" s="22"/>
      <c r="Z2368" s="22"/>
      <c r="AA2368" s="22"/>
      <c r="AF2368" s="22"/>
      <c r="AG2368" s="22"/>
      <c r="AH2368" s="22"/>
      <c r="AI2368" s="22"/>
      <c r="AN2368" s="22"/>
      <c r="AO2368" s="22"/>
      <c r="AP2368" s="22"/>
      <c r="AQ2368" s="22"/>
      <c r="AR2368" s="35"/>
      <c r="AS2368" s="35"/>
      <c r="AT2368" s="35"/>
      <c r="AU2368" s="31"/>
      <c r="AV2368" s="36"/>
    </row>
    <row r="2369" spans="4:48">
      <c r="D2369" s="31"/>
      <c r="E2369" s="31"/>
      <c r="F2369" s="31"/>
      <c r="G2369" s="31"/>
      <c r="H2369" s="32"/>
      <c r="J2369" s="33"/>
      <c r="K2369" s="33"/>
      <c r="L2369" s="33"/>
      <c r="X2369" s="22"/>
      <c r="Y2369" s="22"/>
      <c r="Z2369" s="22"/>
      <c r="AA2369" s="22"/>
      <c r="AF2369" s="22"/>
      <c r="AG2369" s="22"/>
      <c r="AH2369" s="22"/>
      <c r="AI2369" s="22"/>
      <c r="AN2369" s="22"/>
      <c r="AO2369" s="22"/>
      <c r="AP2369" s="22"/>
      <c r="AQ2369" s="22"/>
      <c r="AR2369" s="35"/>
      <c r="AS2369" s="35"/>
      <c r="AT2369" s="35"/>
      <c r="AU2369" s="31"/>
      <c r="AV2369" s="36"/>
    </row>
    <row r="2370" spans="4:48">
      <c r="D2370" s="31"/>
      <c r="E2370" s="31"/>
      <c r="F2370" s="31"/>
      <c r="G2370" s="31"/>
      <c r="H2370" s="32"/>
      <c r="J2370" s="33"/>
      <c r="K2370" s="33"/>
      <c r="L2370" s="33"/>
      <c r="X2370" s="22"/>
      <c r="Y2370" s="22"/>
      <c r="Z2370" s="22"/>
      <c r="AA2370" s="22"/>
      <c r="AF2370" s="22"/>
      <c r="AG2370" s="22"/>
      <c r="AH2370" s="22"/>
      <c r="AI2370" s="22"/>
      <c r="AN2370" s="22"/>
      <c r="AO2370" s="22"/>
      <c r="AP2370" s="22"/>
      <c r="AQ2370" s="22"/>
      <c r="AR2370" s="35"/>
      <c r="AS2370" s="35"/>
      <c r="AT2370" s="35"/>
      <c r="AU2370" s="31"/>
      <c r="AV2370" s="36"/>
    </row>
    <row r="2371" spans="4:48">
      <c r="D2371" s="31"/>
      <c r="E2371" s="31"/>
      <c r="F2371" s="31"/>
      <c r="G2371" s="31"/>
      <c r="H2371" s="32"/>
      <c r="J2371" s="33"/>
      <c r="K2371" s="33"/>
      <c r="L2371" s="33"/>
      <c r="X2371" s="22"/>
      <c r="Y2371" s="22"/>
      <c r="Z2371" s="22"/>
      <c r="AA2371" s="22"/>
      <c r="AF2371" s="22"/>
      <c r="AG2371" s="22"/>
      <c r="AH2371" s="22"/>
      <c r="AI2371" s="22"/>
      <c r="AN2371" s="22"/>
      <c r="AO2371" s="22"/>
      <c r="AP2371" s="22"/>
      <c r="AQ2371" s="22"/>
      <c r="AR2371" s="35"/>
      <c r="AS2371" s="35"/>
      <c r="AT2371" s="35"/>
      <c r="AU2371" s="31"/>
      <c r="AV2371" s="36"/>
    </row>
    <row r="2372" spans="4:48">
      <c r="D2372" s="31"/>
      <c r="E2372" s="31"/>
      <c r="F2372" s="31"/>
      <c r="G2372" s="31"/>
      <c r="H2372" s="32"/>
      <c r="J2372" s="33"/>
      <c r="K2372" s="33"/>
      <c r="L2372" s="33"/>
      <c r="X2372" s="22"/>
      <c r="Y2372" s="22"/>
      <c r="Z2372" s="22"/>
      <c r="AA2372" s="22"/>
      <c r="AF2372" s="22"/>
      <c r="AG2372" s="22"/>
      <c r="AH2372" s="22"/>
      <c r="AI2372" s="22"/>
      <c r="AN2372" s="22"/>
      <c r="AO2372" s="22"/>
      <c r="AP2372" s="22"/>
      <c r="AQ2372" s="22"/>
      <c r="AR2372" s="35"/>
      <c r="AS2372" s="35"/>
      <c r="AT2372" s="35"/>
      <c r="AU2372" s="31"/>
      <c r="AV2372" s="36"/>
    </row>
    <row r="2373" spans="4:48">
      <c r="D2373" s="31"/>
      <c r="E2373" s="31"/>
      <c r="F2373" s="31"/>
      <c r="G2373" s="31"/>
      <c r="H2373" s="32"/>
      <c r="J2373" s="33"/>
      <c r="K2373" s="33"/>
      <c r="L2373" s="33"/>
      <c r="X2373" s="22"/>
      <c r="Y2373" s="22"/>
      <c r="Z2373" s="22"/>
      <c r="AA2373" s="22"/>
      <c r="AF2373" s="22"/>
      <c r="AG2373" s="22"/>
      <c r="AH2373" s="22"/>
      <c r="AI2373" s="22"/>
      <c r="AN2373" s="22"/>
      <c r="AO2373" s="22"/>
      <c r="AP2373" s="22"/>
      <c r="AQ2373" s="22"/>
      <c r="AR2373" s="35"/>
      <c r="AS2373" s="35"/>
      <c r="AT2373" s="35"/>
      <c r="AU2373" s="31"/>
      <c r="AV2373" s="36"/>
    </row>
    <row r="2374" spans="4:48">
      <c r="D2374" s="31"/>
      <c r="E2374" s="31"/>
      <c r="F2374" s="31"/>
      <c r="G2374" s="31"/>
      <c r="H2374" s="32"/>
      <c r="J2374" s="33"/>
      <c r="K2374" s="33"/>
      <c r="L2374" s="33"/>
      <c r="X2374" s="22"/>
      <c r="Y2374" s="22"/>
      <c r="Z2374" s="22"/>
      <c r="AA2374" s="22"/>
      <c r="AF2374" s="22"/>
      <c r="AG2374" s="22"/>
      <c r="AH2374" s="22"/>
      <c r="AI2374" s="22"/>
      <c r="AN2374" s="22"/>
      <c r="AO2374" s="22"/>
      <c r="AP2374" s="22"/>
      <c r="AQ2374" s="22"/>
      <c r="AR2374" s="35"/>
      <c r="AS2374" s="35"/>
      <c r="AT2374" s="35"/>
      <c r="AU2374" s="31"/>
      <c r="AV2374" s="36"/>
    </row>
    <row r="2375" spans="4:48">
      <c r="D2375" s="31"/>
      <c r="E2375" s="31"/>
      <c r="F2375" s="31"/>
      <c r="G2375" s="31"/>
      <c r="H2375" s="32"/>
      <c r="J2375" s="33"/>
      <c r="K2375" s="33"/>
      <c r="L2375" s="33"/>
      <c r="X2375" s="22"/>
      <c r="Y2375" s="22"/>
      <c r="Z2375" s="22"/>
      <c r="AA2375" s="22"/>
      <c r="AF2375" s="22"/>
      <c r="AG2375" s="22"/>
      <c r="AH2375" s="22"/>
      <c r="AI2375" s="22"/>
      <c r="AN2375" s="22"/>
      <c r="AO2375" s="22"/>
      <c r="AP2375" s="22"/>
      <c r="AQ2375" s="22"/>
      <c r="AR2375" s="35"/>
      <c r="AS2375" s="35"/>
      <c r="AT2375" s="35"/>
      <c r="AU2375" s="31"/>
      <c r="AV2375" s="36"/>
    </row>
    <row r="2376" spans="4:48">
      <c r="D2376" s="31"/>
      <c r="E2376" s="31"/>
      <c r="F2376" s="31"/>
      <c r="G2376" s="31"/>
      <c r="H2376" s="32"/>
      <c r="J2376" s="33"/>
      <c r="K2376" s="33"/>
      <c r="L2376" s="33"/>
      <c r="X2376" s="22"/>
      <c r="Y2376" s="22"/>
      <c r="Z2376" s="22"/>
      <c r="AA2376" s="22"/>
      <c r="AF2376" s="22"/>
      <c r="AG2376" s="22"/>
      <c r="AH2376" s="22"/>
      <c r="AI2376" s="22"/>
      <c r="AN2376" s="22"/>
      <c r="AO2376" s="22"/>
      <c r="AP2376" s="22"/>
      <c r="AQ2376" s="22"/>
      <c r="AR2376" s="35"/>
      <c r="AS2376" s="35"/>
      <c r="AT2376" s="35"/>
      <c r="AU2376" s="31"/>
      <c r="AV2376" s="36"/>
    </row>
    <row r="2377" spans="4:48">
      <c r="D2377" s="31"/>
      <c r="E2377" s="31"/>
      <c r="F2377" s="31"/>
      <c r="G2377" s="31"/>
      <c r="H2377" s="32"/>
      <c r="J2377" s="33"/>
      <c r="K2377" s="33"/>
      <c r="L2377" s="33"/>
      <c r="X2377" s="22"/>
      <c r="Y2377" s="22"/>
      <c r="Z2377" s="22"/>
      <c r="AA2377" s="22"/>
      <c r="AF2377" s="22"/>
      <c r="AG2377" s="22"/>
      <c r="AH2377" s="22"/>
      <c r="AI2377" s="22"/>
      <c r="AN2377" s="22"/>
      <c r="AO2377" s="22"/>
      <c r="AP2377" s="22"/>
      <c r="AQ2377" s="22"/>
      <c r="AR2377" s="35"/>
      <c r="AS2377" s="35"/>
      <c r="AT2377" s="35"/>
      <c r="AU2377" s="31"/>
      <c r="AV2377" s="36"/>
    </row>
    <row r="2378" spans="4:48">
      <c r="D2378" s="31"/>
      <c r="E2378" s="31"/>
      <c r="F2378" s="31"/>
      <c r="G2378" s="31"/>
      <c r="H2378" s="32"/>
      <c r="J2378" s="33"/>
      <c r="K2378" s="33"/>
      <c r="L2378" s="33"/>
      <c r="X2378" s="22"/>
      <c r="Y2378" s="22"/>
      <c r="Z2378" s="22"/>
      <c r="AA2378" s="22"/>
      <c r="AF2378" s="22"/>
      <c r="AG2378" s="22"/>
      <c r="AH2378" s="22"/>
      <c r="AI2378" s="22"/>
      <c r="AN2378" s="22"/>
      <c r="AO2378" s="22"/>
      <c r="AP2378" s="22"/>
      <c r="AQ2378" s="22"/>
      <c r="AR2378" s="35"/>
      <c r="AS2378" s="35"/>
      <c r="AT2378" s="35"/>
      <c r="AU2378" s="31"/>
      <c r="AV2378" s="36"/>
    </row>
    <row r="2379" spans="4:48">
      <c r="D2379" s="31"/>
      <c r="E2379" s="31"/>
      <c r="F2379" s="31"/>
      <c r="G2379" s="31"/>
      <c r="H2379" s="32"/>
      <c r="J2379" s="33"/>
      <c r="K2379" s="33"/>
      <c r="L2379" s="33"/>
      <c r="X2379" s="22"/>
      <c r="Y2379" s="22"/>
      <c r="Z2379" s="22"/>
      <c r="AA2379" s="22"/>
      <c r="AF2379" s="22"/>
      <c r="AG2379" s="22"/>
      <c r="AH2379" s="22"/>
      <c r="AI2379" s="22"/>
      <c r="AN2379" s="22"/>
      <c r="AO2379" s="22"/>
      <c r="AP2379" s="22"/>
      <c r="AQ2379" s="22"/>
      <c r="AR2379" s="35"/>
      <c r="AS2379" s="35"/>
      <c r="AT2379" s="35"/>
      <c r="AU2379" s="31"/>
      <c r="AV2379" s="36"/>
    </row>
    <row r="2380" spans="4:48">
      <c r="D2380" s="31"/>
      <c r="E2380" s="31"/>
      <c r="F2380" s="31"/>
      <c r="G2380" s="31"/>
      <c r="H2380" s="32"/>
      <c r="J2380" s="33"/>
      <c r="K2380" s="33"/>
      <c r="L2380" s="33"/>
      <c r="X2380" s="22"/>
      <c r="Y2380" s="22"/>
      <c r="Z2380" s="22"/>
      <c r="AA2380" s="22"/>
      <c r="AF2380" s="22"/>
      <c r="AG2380" s="22"/>
      <c r="AH2380" s="22"/>
      <c r="AI2380" s="22"/>
      <c r="AN2380" s="22"/>
      <c r="AO2380" s="22"/>
      <c r="AP2380" s="22"/>
      <c r="AQ2380" s="22"/>
      <c r="AR2380" s="35"/>
      <c r="AS2380" s="35"/>
      <c r="AT2380" s="35"/>
      <c r="AU2380" s="31"/>
      <c r="AV2380" s="36"/>
    </row>
    <row r="2381" spans="4:48">
      <c r="D2381" s="31"/>
      <c r="E2381" s="31"/>
      <c r="F2381" s="31"/>
      <c r="G2381" s="31"/>
      <c r="H2381" s="32"/>
      <c r="J2381" s="33"/>
      <c r="K2381" s="33"/>
      <c r="L2381" s="33"/>
      <c r="X2381" s="22"/>
      <c r="Y2381" s="22"/>
      <c r="Z2381" s="22"/>
      <c r="AA2381" s="22"/>
      <c r="AF2381" s="22"/>
      <c r="AG2381" s="22"/>
      <c r="AH2381" s="22"/>
      <c r="AI2381" s="22"/>
      <c r="AN2381" s="22"/>
      <c r="AO2381" s="22"/>
      <c r="AP2381" s="22"/>
      <c r="AQ2381" s="22"/>
      <c r="AR2381" s="35"/>
      <c r="AS2381" s="35"/>
      <c r="AT2381" s="35"/>
      <c r="AU2381" s="31"/>
      <c r="AV2381" s="36"/>
    </row>
    <row r="2382" spans="4:48">
      <c r="D2382" s="31"/>
      <c r="E2382" s="31"/>
      <c r="F2382" s="31"/>
      <c r="G2382" s="31"/>
      <c r="H2382" s="32"/>
      <c r="J2382" s="33"/>
      <c r="K2382" s="33"/>
      <c r="L2382" s="33"/>
      <c r="X2382" s="22"/>
      <c r="Y2382" s="22"/>
      <c r="Z2382" s="22"/>
      <c r="AA2382" s="22"/>
      <c r="AF2382" s="22"/>
      <c r="AG2382" s="22"/>
      <c r="AH2382" s="22"/>
      <c r="AI2382" s="22"/>
      <c r="AN2382" s="22"/>
      <c r="AO2382" s="22"/>
      <c r="AP2382" s="22"/>
      <c r="AQ2382" s="22"/>
      <c r="AR2382" s="35"/>
      <c r="AS2382" s="35"/>
      <c r="AT2382" s="35"/>
      <c r="AU2382" s="31"/>
      <c r="AV2382" s="36"/>
    </row>
    <row r="2383" spans="4:48">
      <c r="D2383" s="31"/>
      <c r="E2383" s="31"/>
      <c r="F2383" s="31"/>
      <c r="G2383" s="31"/>
      <c r="H2383" s="32"/>
      <c r="J2383" s="33"/>
      <c r="K2383" s="33"/>
      <c r="L2383" s="33"/>
      <c r="X2383" s="22"/>
      <c r="Y2383" s="22"/>
      <c r="Z2383" s="22"/>
      <c r="AA2383" s="22"/>
      <c r="AF2383" s="22"/>
      <c r="AG2383" s="22"/>
      <c r="AH2383" s="22"/>
      <c r="AI2383" s="22"/>
      <c r="AN2383" s="22"/>
      <c r="AO2383" s="22"/>
      <c r="AP2383" s="22"/>
      <c r="AQ2383" s="22"/>
      <c r="AR2383" s="35"/>
      <c r="AS2383" s="35"/>
      <c r="AT2383" s="35"/>
      <c r="AU2383" s="31"/>
      <c r="AV2383" s="36"/>
    </row>
    <row r="2384" spans="4:48">
      <c r="D2384" s="31"/>
      <c r="E2384" s="31"/>
      <c r="F2384" s="31"/>
      <c r="G2384" s="31"/>
      <c r="H2384" s="32"/>
      <c r="J2384" s="33"/>
      <c r="K2384" s="33"/>
      <c r="L2384" s="33"/>
      <c r="X2384" s="22"/>
      <c r="Y2384" s="22"/>
      <c r="Z2384" s="22"/>
      <c r="AA2384" s="22"/>
      <c r="AF2384" s="22"/>
      <c r="AG2384" s="22"/>
      <c r="AH2384" s="22"/>
      <c r="AI2384" s="22"/>
      <c r="AN2384" s="22"/>
      <c r="AO2384" s="22"/>
      <c r="AP2384" s="22"/>
      <c r="AQ2384" s="22"/>
      <c r="AR2384" s="35"/>
      <c r="AS2384" s="35"/>
      <c r="AT2384" s="35"/>
      <c r="AU2384" s="31"/>
      <c r="AV2384" s="36"/>
    </row>
    <row r="2385" spans="4:48">
      <c r="D2385" s="31"/>
      <c r="E2385" s="31"/>
      <c r="F2385" s="31"/>
      <c r="G2385" s="31"/>
      <c r="H2385" s="32"/>
      <c r="J2385" s="33"/>
      <c r="K2385" s="33"/>
      <c r="L2385" s="33"/>
      <c r="X2385" s="22"/>
      <c r="Y2385" s="22"/>
      <c r="Z2385" s="22"/>
      <c r="AA2385" s="22"/>
      <c r="AF2385" s="22"/>
      <c r="AG2385" s="22"/>
      <c r="AH2385" s="22"/>
      <c r="AI2385" s="22"/>
      <c r="AN2385" s="22"/>
      <c r="AO2385" s="22"/>
      <c r="AP2385" s="22"/>
      <c r="AQ2385" s="22"/>
      <c r="AR2385" s="35"/>
      <c r="AS2385" s="35"/>
      <c r="AT2385" s="35"/>
      <c r="AU2385" s="31"/>
      <c r="AV2385" s="36"/>
    </row>
    <row r="2386" spans="4:48">
      <c r="D2386" s="31"/>
      <c r="E2386" s="31"/>
      <c r="F2386" s="31"/>
      <c r="G2386" s="31"/>
      <c r="H2386" s="32"/>
      <c r="J2386" s="33"/>
      <c r="K2386" s="33"/>
      <c r="L2386" s="33"/>
      <c r="X2386" s="22"/>
      <c r="Y2386" s="22"/>
      <c r="Z2386" s="22"/>
      <c r="AA2386" s="22"/>
      <c r="AF2386" s="22"/>
      <c r="AG2386" s="22"/>
      <c r="AH2386" s="22"/>
      <c r="AI2386" s="22"/>
      <c r="AN2386" s="22"/>
      <c r="AO2386" s="22"/>
      <c r="AP2386" s="22"/>
      <c r="AQ2386" s="22"/>
      <c r="AR2386" s="35"/>
      <c r="AS2386" s="35"/>
      <c r="AT2386" s="35"/>
      <c r="AU2386" s="31"/>
      <c r="AV2386" s="36"/>
    </row>
    <row r="2387" spans="4:48">
      <c r="D2387" s="31"/>
      <c r="E2387" s="31"/>
      <c r="F2387" s="31"/>
      <c r="G2387" s="31"/>
      <c r="H2387" s="32"/>
      <c r="J2387" s="33"/>
      <c r="K2387" s="33"/>
      <c r="L2387" s="33"/>
      <c r="X2387" s="22"/>
      <c r="Y2387" s="22"/>
      <c r="Z2387" s="22"/>
      <c r="AA2387" s="22"/>
      <c r="AF2387" s="22"/>
      <c r="AG2387" s="22"/>
      <c r="AH2387" s="22"/>
      <c r="AI2387" s="22"/>
      <c r="AN2387" s="22"/>
      <c r="AO2387" s="22"/>
      <c r="AP2387" s="22"/>
      <c r="AQ2387" s="22"/>
      <c r="AR2387" s="35"/>
      <c r="AS2387" s="35"/>
      <c r="AT2387" s="35"/>
      <c r="AU2387" s="31"/>
      <c r="AV2387" s="36"/>
    </row>
    <row r="2388" spans="4:48">
      <c r="D2388" s="31"/>
      <c r="E2388" s="31"/>
      <c r="F2388" s="31"/>
      <c r="G2388" s="31"/>
      <c r="H2388" s="32"/>
      <c r="J2388" s="33"/>
      <c r="K2388" s="33"/>
      <c r="L2388" s="33"/>
      <c r="X2388" s="22"/>
      <c r="Y2388" s="22"/>
      <c r="Z2388" s="22"/>
      <c r="AA2388" s="22"/>
      <c r="AF2388" s="22"/>
      <c r="AG2388" s="22"/>
      <c r="AH2388" s="22"/>
      <c r="AI2388" s="22"/>
      <c r="AN2388" s="22"/>
      <c r="AO2388" s="22"/>
      <c r="AP2388" s="22"/>
      <c r="AQ2388" s="22"/>
      <c r="AR2388" s="35"/>
      <c r="AS2388" s="35"/>
      <c r="AT2388" s="35"/>
      <c r="AU2388" s="31"/>
      <c r="AV2388" s="36"/>
    </row>
    <row r="2389" spans="4:48">
      <c r="D2389" s="31"/>
      <c r="E2389" s="31"/>
      <c r="F2389" s="31"/>
      <c r="G2389" s="31"/>
      <c r="H2389" s="32"/>
      <c r="J2389" s="33"/>
      <c r="K2389" s="33"/>
      <c r="L2389" s="33"/>
      <c r="X2389" s="22"/>
      <c r="Y2389" s="22"/>
      <c r="Z2389" s="22"/>
      <c r="AA2389" s="22"/>
      <c r="AF2389" s="22"/>
      <c r="AG2389" s="22"/>
      <c r="AH2389" s="22"/>
      <c r="AI2389" s="22"/>
      <c r="AN2389" s="22"/>
      <c r="AO2389" s="22"/>
      <c r="AP2389" s="22"/>
      <c r="AQ2389" s="22"/>
      <c r="AR2389" s="35"/>
      <c r="AS2389" s="35"/>
      <c r="AT2389" s="35"/>
      <c r="AU2389" s="31"/>
      <c r="AV2389" s="36"/>
    </row>
    <row r="2390" spans="4:48">
      <c r="D2390" s="31"/>
      <c r="E2390" s="31"/>
      <c r="F2390" s="31"/>
      <c r="G2390" s="31"/>
      <c r="H2390" s="32"/>
      <c r="J2390" s="33"/>
      <c r="K2390" s="33"/>
      <c r="L2390" s="33"/>
      <c r="X2390" s="22"/>
      <c r="Y2390" s="22"/>
      <c r="Z2390" s="22"/>
      <c r="AA2390" s="22"/>
      <c r="AF2390" s="22"/>
      <c r="AG2390" s="22"/>
      <c r="AH2390" s="22"/>
      <c r="AI2390" s="22"/>
      <c r="AN2390" s="22"/>
      <c r="AO2390" s="22"/>
      <c r="AP2390" s="22"/>
      <c r="AQ2390" s="22"/>
      <c r="AR2390" s="35"/>
      <c r="AS2390" s="35"/>
      <c r="AT2390" s="35"/>
      <c r="AU2390" s="31"/>
      <c r="AV2390" s="36"/>
    </row>
    <row r="2391" spans="4:48">
      <c r="D2391" s="31"/>
      <c r="E2391" s="31"/>
      <c r="F2391" s="31"/>
      <c r="G2391" s="31"/>
      <c r="H2391" s="32"/>
      <c r="J2391" s="33"/>
      <c r="K2391" s="33"/>
      <c r="L2391" s="33"/>
      <c r="X2391" s="22"/>
      <c r="Y2391" s="22"/>
      <c r="Z2391" s="22"/>
      <c r="AA2391" s="22"/>
      <c r="AF2391" s="22"/>
      <c r="AG2391" s="22"/>
      <c r="AH2391" s="22"/>
      <c r="AI2391" s="22"/>
      <c r="AN2391" s="22"/>
      <c r="AO2391" s="22"/>
      <c r="AP2391" s="22"/>
      <c r="AQ2391" s="22"/>
      <c r="AR2391" s="35"/>
      <c r="AS2391" s="35"/>
      <c r="AT2391" s="35"/>
      <c r="AU2391" s="31"/>
      <c r="AV2391" s="36"/>
    </row>
    <row r="2392" spans="4:48">
      <c r="D2392" s="31"/>
      <c r="E2392" s="31"/>
      <c r="F2392" s="31"/>
      <c r="G2392" s="31"/>
      <c r="H2392" s="32"/>
      <c r="J2392" s="33"/>
      <c r="K2392" s="33"/>
      <c r="L2392" s="33"/>
      <c r="X2392" s="22"/>
      <c r="Y2392" s="22"/>
      <c r="Z2392" s="22"/>
      <c r="AA2392" s="22"/>
      <c r="AF2392" s="22"/>
      <c r="AG2392" s="22"/>
      <c r="AH2392" s="22"/>
      <c r="AI2392" s="22"/>
      <c r="AN2392" s="22"/>
      <c r="AO2392" s="22"/>
      <c r="AP2392" s="22"/>
      <c r="AQ2392" s="22"/>
      <c r="AR2392" s="35"/>
      <c r="AS2392" s="35"/>
      <c r="AT2392" s="35"/>
      <c r="AU2392" s="31"/>
      <c r="AV2392" s="36"/>
    </row>
    <row r="2393" spans="4:48">
      <c r="D2393" s="31"/>
      <c r="E2393" s="31"/>
      <c r="F2393" s="31"/>
      <c r="G2393" s="31"/>
      <c r="H2393" s="32"/>
      <c r="J2393" s="33"/>
      <c r="K2393" s="33"/>
      <c r="L2393" s="33"/>
      <c r="X2393" s="22"/>
      <c r="Y2393" s="22"/>
      <c r="Z2393" s="22"/>
      <c r="AA2393" s="22"/>
      <c r="AF2393" s="22"/>
      <c r="AG2393" s="22"/>
      <c r="AH2393" s="22"/>
      <c r="AI2393" s="22"/>
      <c r="AN2393" s="22"/>
      <c r="AO2393" s="22"/>
      <c r="AP2393" s="22"/>
      <c r="AQ2393" s="22"/>
      <c r="AR2393" s="35"/>
      <c r="AS2393" s="35"/>
      <c r="AT2393" s="35"/>
      <c r="AU2393" s="31"/>
      <c r="AV2393" s="36"/>
    </row>
    <row r="2394" spans="4:48">
      <c r="D2394" s="31"/>
      <c r="E2394" s="31"/>
      <c r="F2394" s="31"/>
      <c r="G2394" s="31"/>
      <c r="H2394" s="32"/>
      <c r="J2394" s="33"/>
      <c r="K2394" s="33"/>
      <c r="L2394" s="33"/>
      <c r="X2394" s="22"/>
      <c r="Y2394" s="22"/>
      <c r="Z2394" s="22"/>
      <c r="AA2394" s="22"/>
      <c r="AF2394" s="22"/>
      <c r="AG2394" s="22"/>
      <c r="AH2394" s="22"/>
      <c r="AI2394" s="22"/>
      <c r="AN2394" s="22"/>
      <c r="AO2394" s="22"/>
      <c r="AP2394" s="22"/>
      <c r="AQ2394" s="22"/>
      <c r="AR2394" s="35"/>
      <c r="AS2394" s="35"/>
      <c r="AT2394" s="35"/>
      <c r="AU2394" s="31"/>
      <c r="AV2394" s="36"/>
    </row>
    <row r="2395" spans="4:48">
      <c r="D2395" s="31"/>
      <c r="E2395" s="31"/>
      <c r="F2395" s="31"/>
      <c r="G2395" s="31"/>
      <c r="H2395" s="32"/>
      <c r="J2395" s="33"/>
      <c r="K2395" s="33"/>
      <c r="L2395" s="33"/>
      <c r="X2395" s="22"/>
      <c r="Y2395" s="22"/>
      <c r="Z2395" s="22"/>
      <c r="AA2395" s="22"/>
      <c r="AF2395" s="22"/>
      <c r="AG2395" s="22"/>
      <c r="AH2395" s="22"/>
      <c r="AI2395" s="22"/>
      <c r="AN2395" s="22"/>
      <c r="AO2395" s="22"/>
      <c r="AP2395" s="22"/>
      <c r="AQ2395" s="22"/>
      <c r="AR2395" s="35"/>
      <c r="AS2395" s="35"/>
      <c r="AT2395" s="35"/>
      <c r="AU2395" s="31"/>
      <c r="AV2395" s="36"/>
    </row>
    <row r="2396" spans="4:48">
      <c r="D2396" s="31"/>
      <c r="E2396" s="31"/>
      <c r="F2396" s="31"/>
      <c r="G2396" s="31"/>
      <c r="H2396" s="32"/>
      <c r="J2396" s="33"/>
      <c r="K2396" s="33"/>
      <c r="L2396" s="33"/>
      <c r="X2396" s="22"/>
      <c r="Y2396" s="22"/>
      <c r="Z2396" s="22"/>
      <c r="AA2396" s="22"/>
      <c r="AF2396" s="22"/>
      <c r="AG2396" s="22"/>
      <c r="AH2396" s="22"/>
      <c r="AI2396" s="22"/>
      <c r="AN2396" s="22"/>
      <c r="AO2396" s="22"/>
      <c r="AP2396" s="22"/>
      <c r="AQ2396" s="22"/>
      <c r="AR2396" s="35"/>
      <c r="AS2396" s="35"/>
      <c r="AT2396" s="35"/>
      <c r="AU2396" s="31"/>
      <c r="AV2396" s="36"/>
    </row>
    <row r="2397" spans="4:48">
      <c r="D2397" s="31"/>
      <c r="E2397" s="31"/>
      <c r="F2397" s="31"/>
      <c r="G2397" s="31"/>
      <c r="H2397" s="32"/>
      <c r="J2397" s="33"/>
      <c r="K2397" s="33"/>
      <c r="L2397" s="33"/>
      <c r="X2397" s="22"/>
      <c r="Y2397" s="22"/>
      <c r="Z2397" s="22"/>
      <c r="AA2397" s="22"/>
      <c r="AF2397" s="22"/>
      <c r="AG2397" s="22"/>
      <c r="AH2397" s="22"/>
      <c r="AI2397" s="22"/>
      <c r="AN2397" s="22"/>
      <c r="AO2397" s="22"/>
      <c r="AP2397" s="22"/>
      <c r="AQ2397" s="22"/>
      <c r="AR2397" s="35"/>
      <c r="AS2397" s="35"/>
      <c r="AT2397" s="35"/>
      <c r="AU2397" s="31"/>
      <c r="AV2397" s="36"/>
    </row>
    <row r="2398" spans="4:48">
      <c r="D2398" s="31"/>
      <c r="E2398" s="31"/>
      <c r="F2398" s="31"/>
      <c r="G2398" s="31"/>
      <c r="H2398" s="32"/>
      <c r="J2398" s="33"/>
      <c r="K2398" s="33"/>
      <c r="L2398" s="33"/>
      <c r="X2398" s="22"/>
      <c r="Y2398" s="22"/>
      <c r="Z2398" s="22"/>
      <c r="AA2398" s="22"/>
      <c r="AF2398" s="22"/>
      <c r="AG2398" s="22"/>
      <c r="AH2398" s="22"/>
      <c r="AI2398" s="22"/>
      <c r="AN2398" s="22"/>
      <c r="AO2398" s="22"/>
      <c r="AP2398" s="22"/>
      <c r="AQ2398" s="22"/>
      <c r="AR2398" s="35"/>
      <c r="AS2398" s="35"/>
      <c r="AT2398" s="35"/>
      <c r="AU2398" s="31"/>
      <c r="AV2398" s="36"/>
    </row>
    <row r="2399" spans="4:48">
      <c r="D2399" s="31"/>
      <c r="E2399" s="31"/>
      <c r="F2399" s="31"/>
      <c r="G2399" s="31"/>
      <c r="H2399" s="32"/>
      <c r="J2399" s="33"/>
      <c r="K2399" s="33"/>
      <c r="L2399" s="33"/>
      <c r="X2399" s="22"/>
      <c r="Y2399" s="22"/>
      <c r="Z2399" s="22"/>
      <c r="AA2399" s="22"/>
      <c r="AF2399" s="22"/>
      <c r="AG2399" s="22"/>
      <c r="AH2399" s="22"/>
      <c r="AI2399" s="22"/>
      <c r="AN2399" s="22"/>
      <c r="AO2399" s="22"/>
      <c r="AP2399" s="22"/>
      <c r="AQ2399" s="22"/>
      <c r="AR2399" s="35"/>
      <c r="AS2399" s="35"/>
      <c r="AT2399" s="35"/>
      <c r="AU2399" s="31"/>
      <c r="AV2399" s="36"/>
    </row>
    <row r="2400" spans="4:48">
      <c r="D2400" s="31"/>
      <c r="E2400" s="31"/>
      <c r="F2400" s="31"/>
      <c r="G2400" s="31"/>
      <c r="H2400" s="32"/>
      <c r="J2400" s="33"/>
      <c r="K2400" s="33"/>
      <c r="L2400" s="33"/>
      <c r="X2400" s="22"/>
      <c r="Y2400" s="22"/>
      <c r="Z2400" s="22"/>
      <c r="AA2400" s="22"/>
      <c r="AF2400" s="22"/>
      <c r="AG2400" s="22"/>
      <c r="AH2400" s="22"/>
      <c r="AI2400" s="22"/>
      <c r="AN2400" s="22"/>
      <c r="AO2400" s="22"/>
      <c r="AP2400" s="22"/>
      <c r="AQ2400" s="22"/>
      <c r="AR2400" s="35"/>
      <c r="AS2400" s="35"/>
      <c r="AT2400" s="35"/>
      <c r="AU2400" s="31"/>
      <c r="AV2400" s="36"/>
    </row>
    <row r="2401" spans="4:48">
      <c r="D2401" s="31"/>
      <c r="E2401" s="31"/>
      <c r="F2401" s="31"/>
      <c r="G2401" s="31"/>
      <c r="H2401" s="32"/>
      <c r="J2401" s="33"/>
      <c r="K2401" s="33"/>
      <c r="L2401" s="33"/>
      <c r="X2401" s="22"/>
      <c r="Y2401" s="22"/>
      <c r="Z2401" s="22"/>
      <c r="AA2401" s="22"/>
      <c r="AF2401" s="22"/>
      <c r="AG2401" s="22"/>
      <c r="AH2401" s="22"/>
      <c r="AI2401" s="22"/>
      <c r="AN2401" s="22"/>
      <c r="AO2401" s="22"/>
      <c r="AP2401" s="22"/>
      <c r="AQ2401" s="22"/>
      <c r="AR2401" s="35"/>
      <c r="AS2401" s="35"/>
      <c r="AT2401" s="35"/>
      <c r="AU2401" s="31"/>
      <c r="AV2401" s="36"/>
    </row>
    <row r="2402" spans="4:48">
      <c r="D2402" s="31"/>
      <c r="E2402" s="31"/>
      <c r="F2402" s="31"/>
      <c r="G2402" s="31"/>
      <c r="H2402" s="32"/>
      <c r="J2402" s="33"/>
      <c r="K2402" s="33"/>
      <c r="L2402" s="33"/>
      <c r="X2402" s="22"/>
      <c r="Y2402" s="22"/>
      <c r="Z2402" s="22"/>
      <c r="AA2402" s="22"/>
      <c r="AF2402" s="22"/>
      <c r="AG2402" s="22"/>
      <c r="AH2402" s="22"/>
      <c r="AI2402" s="22"/>
      <c r="AN2402" s="22"/>
      <c r="AO2402" s="22"/>
      <c r="AP2402" s="22"/>
      <c r="AQ2402" s="22"/>
      <c r="AR2402" s="35"/>
      <c r="AS2402" s="35"/>
      <c r="AT2402" s="35"/>
      <c r="AU2402" s="31"/>
      <c r="AV2402" s="36"/>
    </row>
    <row r="2403" spans="4:48">
      <c r="D2403" s="31"/>
      <c r="E2403" s="31"/>
      <c r="F2403" s="31"/>
      <c r="G2403" s="31"/>
      <c r="H2403" s="32"/>
      <c r="J2403" s="33"/>
      <c r="K2403" s="33"/>
      <c r="L2403" s="33"/>
      <c r="X2403" s="22"/>
      <c r="Y2403" s="22"/>
      <c r="Z2403" s="22"/>
      <c r="AA2403" s="22"/>
      <c r="AF2403" s="22"/>
      <c r="AG2403" s="22"/>
      <c r="AH2403" s="22"/>
      <c r="AI2403" s="22"/>
      <c r="AN2403" s="22"/>
      <c r="AO2403" s="22"/>
      <c r="AP2403" s="22"/>
      <c r="AQ2403" s="22"/>
      <c r="AR2403" s="35"/>
      <c r="AS2403" s="35"/>
      <c r="AT2403" s="35"/>
      <c r="AU2403" s="31"/>
      <c r="AV2403" s="36"/>
    </row>
    <row r="2404" spans="4:48">
      <c r="D2404" s="31"/>
      <c r="E2404" s="31"/>
      <c r="F2404" s="31"/>
      <c r="G2404" s="31"/>
      <c r="H2404" s="32"/>
      <c r="J2404" s="33"/>
      <c r="K2404" s="33"/>
      <c r="L2404" s="33"/>
      <c r="X2404" s="22"/>
      <c r="Y2404" s="22"/>
      <c r="Z2404" s="22"/>
      <c r="AA2404" s="22"/>
      <c r="AF2404" s="22"/>
      <c r="AG2404" s="22"/>
      <c r="AH2404" s="22"/>
      <c r="AI2404" s="22"/>
      <c r="AN2404" s="22"/>
      <c r="AO2404" s="22"/>
      <c r="AP2404" s="22"/>
      <c r="AQ2404" s="22"/>
      <c r="AR2404" s="35"/>
      <c r="AS2404" s="35"/>
      <c r="AT2404" s="35"/>
      <c r="AU2404" s="31"/>
      <c r="AV2404" s="36"/>
    </row>
    <row r="2405" spans="4:48">
      <c r="D2405" s="31"/>
      <c r="E2405" s="31"/>
      <c r="F2405" s="31"/>
      <c r="G2405" s="31"/>
      <c r="H2405" s="32"/>
      <c r="J2405" s="33"/>
      <c r="K2405" s="33"/>
      <c r="L2405" s="33"/>
      <c r="X2405" s="22"/>
      <c r="Y2405" s="22"/>
      <c r="Z2405" s="22"/>
      <c r="AA2405" s="22"/>
      <c r="AF2405" s="22"/>
      <c r="AG2405" s="22"/>
      <c r="AH2405" s="22"/>
      <c r="AI2405" s="22"/>
      <c r="AN2405" s="22"/>
      <c r="AO2405" s="22"/>
      <c r="AP2405" s="22"/>
      <c r="AQ2405" s="22"/>
      <c r="AR2405" s="35"/>
      <c r="AS2405" s="35"/>
      <c r="AT2405" s="35"/>
      <c r="AU2405" s="31"/>
      <c r="AV2405" s="36"/>
    </row>
    <row r="2406" spans="4:48">
      <c r="D2406" s="31"/>
      <c r="E2406" s="31"/>
      <c r="F2406" s="31"/>
      <c r="G2406" s="31"/>
      <c r="H2406" s="32"/>
      <c r="J2406" s="33"/>
      <c r="K2406" s="33"/>
      <c r="L2406" s="33"/>
      <c r="X2406" s="22"/>
      <c r="Y2406" s="22"/>
      <c r="Z2406" s="22"/>
      <c r="AA2406" s="22"/>
      <c r="AF2406" s="22"/>
      <c r="AG2406" s="22"/>
      <c r="AH2406" s="22"/>
      <c r="AI2406" s="22"/>
      <c r="AN2406" s="22"/>
      <c r="AO2406" s="22"/>
      <c r="AP2406" s="22"/>
      <c r="AQ2406" s="22"/>
      <c r="AR2406" s="35"/>
      <c r="AS2406" s="35"/>
      <c r="AT2406" s="35"/>
      <c r="AU2406" s="31"/>
      <c r="AV2406" s="36"/>
    </row>
    <row r="2407" spans="4:48">
      <c r="D2407" s="31"/>
      <c r="E2407" s="31"/>
      <c r="F2407" s="31"/>
      <c r="G2407" s="31"/>
      <c r="H2407" s="32"/>
      <c r="J2407" s="33"/>
      <c r="K2407" s="33"/>
      <c r="L2407" s="33"/>
      <c r="X2407" s="22"/>
      <c r="Y2407" s="22"/>
      <c r="Z2407" s="22"/>
      <c r="AA2407" s="22"/>
      <c r="AF2407" s="22"/>
      <c r="AG2407" s="22"/>
      <c r="AH2407" s="22"/>
      <c r="AI2407" s="22"/>
      <c r="AN2407" s="22"/>
      <c r="AO2407" s="22"/>
      <c r="AP2407" s="22"/>
      <c r="AQ2407" s="22"/>
      <c r="AR2407" s="35"/>
      <c r="AS2407" s="35"/>
      <c r="AT2407" s="35"/>
      <c r="AU2407" s="31"/>
      <c r="AV2407" s="36"/>
    </row>
    <row r="2408" spans="4:48">
      <c r="D2408" s="31"/>
      <c r="E2408" s="31"/>
      <c r="F2408" s="31"/>
      <c r="G2408" s="31"/>
      <c r="H2408" s="32"/>
      <c r="J2408" s="33"/>
      <c r="K2408" s="33"/>
      <c r="L2408" s="33"/>
      <c r="X2408" s="22"/>
      <c r="Y2408" s="22"/>
      <c r="Z2408" s="22"/>
      <c r="AA2408" s="22"/>
      <c r="AF2408" s="22"/>
      <c r="AG2408" s="22"/>
      <c r="AH2408" s="22"/>
      <c r="AI2408" s="22"/>
      <c r="AN2408" s="22"/>
      <c r="AO2408" s="22"/>
      <c r="AP2408" s="22"/>
      <c r="AQ2408" s="22"/>
      <c r="AR2408" s="35"/>
      <c r="AS2408" s="35"/>
      <c r="AT2408" s="35"/>
      <c r="AU2408" s="31"/>
      <c r="AV2408" s="36"/>
    </row>
    <row r="2409" spans="4:48">
      <c r="D2409" s="31"/>
      <c r="E2409" s="31"/>
      <c r="F2409" s="31"/>
      <c r="G2409" s="31"/>
      <c r="H2409" s="32"/>
      <c r="J2409" s="33"/>
      <c r="K2409" s="33"/>
      <c r="L2409" s="33"/>
      <c r="X2409" s="22"/>
      <c r="Y2409" s="22"/>
      <c r="Z2409" s="22"/>
      <c r="AA2409" s="22"/>
      <c r="AF2409" s="22"/>
      <c r="AG2409" s="22"/>
      <c r="AH2409" s="22"/>
      <c r="AI2409" s="22"/>
      <c r="AN2409" s="22"/>
      <c r="AO2409" s="22"/>
      <c r="AP2409" s="22"/>
      <c r="AQ2409" s="22"/>
      <c r="AR2409" s="35"/>
      <c r="AS2409" s="35"/>
      <c r="AT2409" s="35"/>
      <c r="AU2409" s="31"/>
      <c r="AV2409" s="36"/>
    </row>
    <row r="2410" spans="4:48">
      <c r="D2410" s="31"/>
      <c r="E2410" s="31"/>
      <c r="F2410" s="31"/>
      <c r="G2410" s="31"/>
      <c r="H2410" s="32"/>
      <c r="J2410" s="33"/>
      <c r="K2410" s="33"/>
      <c r="L2410" s="33"/>
      <c r="X2410" s="22"/>
      <c r="Y2410" s="22"/>
      <c r="Z2410" s="22"/>
      <c r="AA2410" s="22"/>
      <c r="AF2410" s="22"/>
      <c r="AG2410" s="22"/>
      <c r="AH2410" s="22"/>
      <c r="AI2410" s="22"/>
      <c r="AN2410" s="22"/>
      <c r="AO2410" s="22"/>
      <c r="AP2410" s="22"/>
      <c r="AQ2410" s="22"/>
      <c r="AR2410" s="35"/>
      <c r="AS2410" s="35"/>
      <c r="AT2410" s="35"/>
      <c r="AU2410" s="31"/>
      <c r="AV2410" s="36"/>
    </row>
    <row r="2411" spans="4:48">
      <c r="D2411" s="31"/>
      <c r="E2411" s="31"/>
      <c r="F2411" s="31"/>
      <c r="G2411" s="31"/>
      <c r="H2411" s="32"/>
      <c r="J2411" s="33"/>
      <c r="K2411" s="33"/>
      <c r="L2411" s="33"/>
      <c r="X2411" s="22"/>
      <c r="Y2411" s="22"/>
      <c r="Z2411" s="22"/>
      <c r="AA2411" s="22"/>
      <c r="AF2411" s="22"/>
      <c r="AG2411" s="22"/>
      <c r="AH2411" s="22"/>
      <c r="AI2411" s="22"/>
      <c r="AN2411" s="22"/>
      <c r="AO2411" s="22"/>
      <c r="AP2411" s="22"/>
      <c r="AQ2411" s="22"/>
      <c r="AR2411" s="35"/>
      <c r="AS2411" s="35"/>
      <c r="AT2411" s="35"/>
      <c r="AU2411" s="31"/>
      <c r="AV2411" s="36"/>
    </row>
    <row r="2412" spans="4:48">
      <c r="D2412" s="31"/>
      <c r="E2412" s="31"/>
      <c r="F2412" s="31"/>
      <c r="G2412" s="31"/>
      <c r="H2412" s="32"/>
      <c r="J2412" s="33"/>
      <c r="K2412" s="33"/>
      <c r="L2412" s="33"/>
      <c r="X2412" s="22"/>
      <c r="Y2412" s="22"/>
      <c r="Z2412" s="22"/>
      <c r="AA2412" s="22"/>
      <c r="AF2412" s="22"/>
      <c r="AG2412" s="22"/>
      <c r="AH2412" s="22"/>
      <c r="AI2412" s="22"/>
      <c r="AN2412" s="22"/>
      <c r="AO2412" s="22"/>
      <c r="AP2412" s="22"/>
      <c r="AQ2412" s="22"/>
      <c r="AR2412" s="35"/>
      <c r="AS2412" s="35"/>
      <c r="AT2412" s="35"/>
      <c r="AU2412" s="31"/>
      <c r="AV2412" s="36"/>
    </row>
    <row r="2413" spans="4:48">
      <c r="D2413" s="31"/>
      <c r="E2413" s="31"/>
      <c r="F2413" s="31"/>
      <c r="G2413" s="31"/>
      <c r="H2413" s="32"/>
      <c r="J2413" s="33"/>
      <c r="K2413" s="33"/>
      <c r="L2413" s="33"/>
      <c r="X2413" s="22"/>
      <c r="Y2413" s="22"/>
      <c r="Z2413" s="22"/>
      <c r="AA2413" s="22"/>
      <c r="AF2413" s="22"/>
      <c r="AG2413" s="22"/>
      <c r="AH2413" s="22"/>
      <c r="AI2413" s="22"/>
      <c r="AN2413" s="22"/>
      <c r="AO2413" s="22"/>
      <c r="AP2413" s="22"/>
      <c r="AQ2413" s="22"/>
      <c r="AR2413" s="35"/>
      <c r="AS2413" s="35"/>
      <c r="AT2413" s="35"/>
      <c r="AU2413" s="31"/>
      <c r="AV2413" s="36"/>
    </row>
    <row r="2414" spans="4:48">
      <c r="D2414" s="31"/>
      <c r="E2414" s="31"/>
      <c r="F2414" s="31"/>
      <c r="G2414" s="31"/>
      <c r="H2414" s="32"/>
      <c r="J2414" s="33"/>
      <c r="K2414" s="33"/>
      <c r="L2414" s="33"/>
      <c r="X2414" s="22"/>
      <c r="Y2414" s="22"/>
      <c r="Z2414" s="22"/>
      <c r="AA2414" s="22"/>
      <c r="AF2414" s="22"/>
      <c r="AG2414" s="22"/>
      <c r="AH2414" s="22"/>
      <c r="AI2414" s="22"/>
      <c r="AN2414" s="22"/>
      <c r="AO2414" s="22"/>
      <c r="AP2414" s="22"/>
      <c r="AQ2414" s="22"/>
      <c r="AR2414" s="35"/>
      <c r="AS2414" s="35"/>
      <c r="AT2414" s="35"/>
      <c r="AU2414" s="31"/>
      <c r="AV2414" s="36"/>
    </row>
    <row r="2415" spans="4:48">
      <c r="D2415" s="31"/>
      <c r="E2415" s="31"/>
      <c r="F2415" s="31"/>
      <c r="G2415" s="31"/>
      <c r="H2415" s="32"/>
      <c r="J2415" s="33"/>
      <c r="K2415" s="33"/>
      <c r="L2415" s="33"/>
      <c r="X2415" s="22"/>
      <c r="Y2415" s="22"/>
      <c r="Z2415" s="22"/>
      <c r="AA2415" s="22"/>
      <c r="AF2415" s="22"/>
      <c r="AG2415" s="22"/>
      <c r="AH2415" s="22"/>
      <c r="AI2415" s="22"/>
      <c r="AN2415" s="22"/>
      <c r="AO2415" s="22"/>
      <c r="AP2415" s="22"/>
      <c r="AQ2415" s="22"/>
      <c r="AR2415" s="35"/>
      <c r="AS2415" s="35"/>
      <c r="AT2415" s="35"/>
      <c r="AU2415" s="31"/>
      <c r="AV2415" s="36"/>
    </row>
    <row r="2416" spans="4:48">
      <c r="D2416" s="31"/>
      <c r="E2416" s="31"/>
      <c r="F2416" s="31"/>
      <c r="G2416" s="31"/>
      <c r="H2416" s="32"/>
      <c r="J2416" s="33"/>
      <c r="K2416" s="33"/>
      <c r="L2416" s="33"/>
      <c r="X2416" s="22"/>
      <c r="Y2416" s="22"/>
      <c r="Z2416" s="22"/>
      <c r="AA2416" s="22"/>
      <c r="AF2416" s="22"/>
      <c r="AG2416" s="22"/>
      <c r="AH2416" s="22"/>
      <c r="AI2416" s="22"/>
      <c r="AN2416" s="22"/>
      <c r="AO2416" s="22"/>
      <c r="AP2416" s="22"/>
      <c r="AQ2416" s="22"/>
      <c r="AR2416" s="35"/>
      <c r="AS2416" s="35"/>
      <c r="AT2416" s="35"/>
      <c r="AU2416" s="31"/>
      <c r="AV2416" s="36"/>
    </row>
    <row r="2417" spans="4:48">
      <c r="D2417" s="31"/>
      <c r="E2417" s="31"/>
      <c r="F2417" s="31"/>
      <c r="G2417" s="31"/>
      <c r="H2417" s="32"/>
      <c r="J2417" s="33"/>
      <c r="K2417" s="33"/>
      <c r="L2417" s="33"/>
      <c r="X2417" s="22"/>
      <c r="Y2417" s="22"/>
      <c r="Z2417" s="22"/>
      <c r="AA2417" s="22"/>
      <c r="AF2417" s="22"/>
      <c r="AG2417" s="22"/>
      <c r="AH2417" s="22"/>
      <c r="AI2417" s="22"/>
      <c r="AN2417" s="22"/>
      <c r="AO2417" s="22"/>
      <c r="AP2417" s="22"/>
      <c r="AQ2417" s="22"/>
      <c r="AR2417" s="35"/>
      <c r="AS2417" s="35"/>
      <c r="AT2417" s="35"/>
      <c r="AU2417" s="31"/>
      <c r="AV2417" s="36"/>
    </row>
    <row r="2418" spans="4:48">
      <c r="D2418" s="31"/>
      <c r="E2418" s="31"/>
      <c r="F2418" s="31"/>
      <c r="G2418" s="31"/>
      <c r="H2418" s="32"/>
      <c r="J2418" s="33"/>
      <c r="K2418" s="33"/>
      <c r="L2418" s="33"/>
      <c r="X2418" s="22"/>
      <c r="Y2418" s="22"/>
      <c r="Z2418" s="22"/>
      <c r="AA2418" s="22"/>
      <c r="AF2418" s="22"/>
      <c r="AG2418" s="22"/>
      <c r="AH2418" s="22"/>
      <c r="AI2418" s="22"/>
      <c r="AN2418" s="22"/>
      <c r="AO2418" s="22"/>
      <c r="AP2418" s="22"/>
      <c r="AQ2418" s="22"/>
      <c r="AR2418" s="35"/>
      <c r="AS2418" s="35"/>
      <c r="AT2418" s="35"/>
      <c r="AU2418" s="31"/>
      <c r="AV2418" s="36"/>
    </row>
    <row r="2419" spans="4:48">
      <c r="D2419" s="31"/>
      <c r="E2419" s="31"/>
      <c r="F2419" s="31"/>
      <c r="G2419" s="31"/>
      <c r="H2419" s="32"/>
      <c r="J2419" s="33"/>
      <c r="K2419" s="33"/>
      <c r="L2419" s="33"/>
      <c r="X2419" s="22"/>
      <c r="Y2419" s="22"/>
      <c r="Z2419" s="22"/>
      <c r="AA2419" s="22"/>
      <c r="AF2419" s="22"/>
      <c r="AG2419" s="22"/>
      <c r="AH2419" s="22"/>
      <c r="AI2419" s="22"/>
      <c r="AN2419" s="22"/>
      <c r="AO2419" s="22"/>
      <c r="AP2419" s="22"/>
      <c r="AQ2419" s="22"/>
      <c r="AR2419" s="35"/>
      <c r="AS2419" s="35"/>
      <c r="AT2419" s="35"/>
      <c r="AU2419" s="31"/>
      <c r="AV2419" s="36"/>
    </row>
    <row r="2420" spans="4:48">
      <c r="D2420" s="31"/>
      <c r="E2420" s="31"/>
      <c r="F2420" s="31"/>
      <c r="G2420" s="31"/>
      <c r="H2420" s="32"/>
      <c r="J2420" s="33"/>
      <c r="K2420" s="33"/>
      <c r="L2420" s="33"/>
      <c r="X2420" s="22"/>
      <c r="Y2420" s="22"/>
      <c r="Z2420" s="22"/>
      <c r="AA2420" s="22"/>
      <c r="AF2420" s="22"/>
      <c r="AG2420" s="22"/>
      <c r="AH2420" s="22"/>
      <c r="AI2420" s="22"/>
      <c r="AN2420" s="22"/>
      <c r="AO2420" s="22"/>
      <c r="AP2420" s="22"/>
      <c r="AQ2420" s="22"/>
      <c r="AR2420" s="35"/>
      <c r="AS2420" s="35"/>
      <c r="AT2420" s="35"/>
      <c r="AU2420" s="31"/>
      <c r="AV2420" s="36"/>
    </row>
    <row r="2421" spans="4:48">
      <c r="D2421" s="31"/>
      <c r="E2421" s="31"/>
      <c r="F2421" s="31"/>
      <c r="G2421" s="31"/>
      <c r="H2421" s="32"/>
      <c r="J2421" s="33"/>
      <c r="K2421" s="33"/>
      <c r="L2421" s="33"/>
      <c r="X2421" s="22"/>
      <c r="Y2421" s="22"/>
      <c r="Z2421" s="22"/>
      <c r="AA2421" s="22"/>
      <c r="AF2421" s="22"/>
      <c r="AG2421" s="22"/>
      <c r="AH2421" s="22"/>
      <c r="AI2421" s="22"/>
      <c r="AN2421" s="22"/>
      <c r="AO2421" s="22"/>
      <c r="AP2421" s="22"/>
      <c r="AQ2421" s="22"/>
      <c r="AR2421" s="35"/>
      <c r="AS2421" s="35"/>
      <c r="AT2421" s="35"/>
      <c r="AU2421" s="31"/>
      <c r="AV2421" s="36"/>
    </row>
    <row r="2422" spans="4:48">
      <c r="D2422" s="31"/>
      <c r="E2422" s="31"/>
      <c r="F2422" s="31"/>
      <c r="G2422" s="31"/>
      <c r="H2422" s="32"/>
      <c r="J2422" s="33"/>
      <c r="K2422" s="33"/>
      <c r="L2422" s="33"/>
      <c r="X2422" s="22"/>
      <c r="Y2422" s="22"/>
      <c r="Z2422" s="22"/>
      <c r="AA2422" s="22"/>
      <c r="AF2422" s="22"/>
      <c r="AG2422" s="22"/>
      <c r="AH2422" s="22"/>
      <c r="AI2422" s="22"/>
      <c r="AN2422" s="22"/>
      <c r="AO2422" s="22"/>
      <c r="AP2422" s="22"/>
      <c r="AQ2422" s="22"/>
      <c r="AR2422" s="35"/>
      <c r="AS2422" s="35"/>
      <c r="AT2422" s="35"/>
      <c r="AU2422" s="31"/>
      <c r="AV2422" s="36"/>
    </row>
    <row r="2423" spans="4:48">
      <c r="D2423" s="31"/>
      <c r="E2423" s="31"/>
      <c r="F2423" s="31"/>
      <c r="G2423" s="31"/>
      <c r="H2423" s="32"/>
      <c r="J2423" s="33"/>
      <c r="K2423" s="33"/>
      <c r="L2423" s="33"/>
      <c r="X2423" s="22"/>
      <c r="Y2423" s="22"/>
      <c r="Z2423" s="22"/>
      <c r="AA2423" s="22"/>
      <c r="AF2423" s="22"/>
      <c r="AG2423" s="22"/>
      <c r="AH2423" s="22"/>
      <c r="AI2423" s="22"/>
      <c r="AN2423" s="22"/>
      <c r="AO2423" s="22"/>
      <c r="AP2423" s="22"/>
      <c r="AQ2423" s="22"/>
      <c r="AR2423" s="35"/>
      <c r="AS2423" s="35"/>
      <c r="AT2423" s="35"/>
      <c r="AU2423" s="31"/>
      <c r="AV2423" s="36"/>
    </row>
    <row r="2424" spans="4:48">
      <c r="D2424" s="31"/>
      <c r="E2424" s="31"/>
      <c r="F2424" s="31"/>
      <c r="G2424" s="31"/>
      <c r="H2424" s="32"/>
      <c r="J2424" s="33"/>
      <c r="K2424" s="33"/>
      <c r="L2424" s="33"/>
      <c r="X2424" s="22"/>
      <c r="Y2424" s="22"/>
      <c r="Z2424" s="22"/>
      <c r="AA2424" s="22"/>
      <c r="AF2424" s="22"/>
      <c r="AG2424" s="22"/>
      <c r="AH2424" s="22"/>
      <c r="AI2424" s="22"/>
      <c r="AN2424" s="22"/>
      <c r="AO2424" s="22"/>
      <c r="AP2424" s="22"/>
      <c r="AQ2424" s="22"/>
      <c r="AR2424" s="35"/>
      <c r="AS2424" s="35"/>
      <c r="AT2424" s="35"/>
      <c r="AU2424" s="31"/>
      <c r="AV2424" s="36"/>
    </row>
    <row r="2425" spans="4:48">
      <c r="D2425" s="31"/>
      <c r="E2425" s="31"/>
      <c r="F2425" s="31"/>
      <c r="G2425" s="31"/>
      <c r="H2425" s="32"/>
      <c r="J2425" s="33"/>
      <c r="K2425" s="33"/>
      <c r="L2425" s="33"/>
      <c r="X2425" s="22"/>
      <c r="Y2425" s="22"/>
      <c r="Z2425" s="22"/>
      <c r="AA2425" s="22"/>
      <c r="AF2425" s="22"/>
      <c r="AG2425" s="22"/>
      <c r="AH2425" s="22"/>
      <c r="AI2425" s="22"/>
      <c r="AN2425" s="22"/>
      <c r="AO2425" s="22"/>
      <c r="AP2425" s="22"/>
      <c r="AQ2425" s="22"/>
      <c r="AR2425" s="35"/>
      <c r="AS2425" s="35"/>
      <c r="AT2425" s="35"/>
      <c r="AU2425" s="31"/>
      <c r="AV2425" s="36"/>
    </row>
    <row r="2426" spans="4:48">
      <c r="D2426" s="31"/>
      <c r="E2426" s="31"/>
      <c r="F2426" s="31"/>
      <c r="G2426" s="31"/>
      <c r="H2426" s="32"/>
      <c r="J2426" s="33"/>
      <c r="K2426" s="33"/>
      <c r="L2426" s="33"/>
      <c r="X2426" s="22"/>
      <c r="Y2426" s="22"/>
      <c r="Z2426" s="22"/>
      <c r="AA2426" s="22"/>
      <c r="AF2426" s="22"/>
      <c r="AG2426" s="22"/>
      <c r="AH2426" s="22"/>
      <c r="AI2426" s="22"/>
      <c r="AN2426" s="22"/>
      <c r="AO2426" s="22"/>
      <c r="AP2426" s="22"/>
      <c r="AQ2426" s="22"/>
      <c r="AR2426" s="35"/>
      <c r="AS2426" s="35"/>
      <c r="AT2426" s="35"/>
      <c r="AU2426" s="31"/>
      <c r="AV2426" s="36"/>
    </row>
    <row r="2427" spans="4:48">
      <c r="D2427" s="31"/>
      <c r="E2427" s="31"/>
      <c r="F2427" s="31"/>
      <c r="G2427" s="31"/>
      <c r="H2427" s="32"/>
      <c r="J2427" s="33"/>
      <c r="K2427" s="33"/>
      <c r="L2427" s="33"/>
      <c r="X2427" s="22"/>
      <c r="Y2427" s="22"/>
      <c r="Z2427" s="22"/>
      <c r="AA2427" s="22"/>
      <c r="AF2427" s="22"/>
      <c r="AG2427" s="22"/>
      <c r="AH2427" s="22"/>
      <c r="AI2427" s="22"/>
      <c r="AN2427" s="22"/>
      <c r="AO2427" s="22"/>
      <c r="AP2427" s="22"/>
      <c r="AQ2427" s="22"/>
      <c r="AR2427" s="35"/>
      <c r="AS2427" s="35"/>
      <c r="AT2427" s="35"/>
      <c r="AU2427" s="31"/>
      <c r="AV2427" s="36"/>
    </row>
    <row r="2428" spans="4:48">
      <c r="D2428" s="31"/>
      <c r="E2428" s="31"/>
      <c r="F2428" s="31"/>
      <c r="G2428" s="31"/>
      <c r="H2428" s="32"/>
      <c r="J2428" s="33"/>
      <c r="K2428" s="33"/>
      <c r="L2428" s="33"/>
      <c r="X2428" s="22"/>
      <c r="Y2428" s="22"/>
      <c r="Z2428" s="22"/>
      <c r="AA2428" s="22"/>
      <c r="AF2428" s="22"/>
      <c r="AG2428" s="22"/>
      <c r="AH2428" s="22"/>
      <c r="AI2428" s="22"/>
      <c r="AN2428" s="22"/>
      <c r="AO2428" s="22"/>
      <c r="AP2428" s="22"/>
      <c r="AQ2428" s="22"/>
      <c r="AR2428" s="35"/>
      <c r="AS2428" s="35"/>
      <c r="AT2428" s="35"/>
      <c r="AU2428" s="31"/>
      <c r="AV2428" s="36"/>
    </row>
    <row r="2429" spans="4:48">
      <c r="D2429" s="31"/>
      <c r="E2429" s="31"/>
      <c r="F2429" s="31"/>
      <c r="G2429" s="31"/>
      <c r="H2429" s="32"/>
      <c r="J2429" s="33"/>
      <c r="K2429" s="33"/>
      <c r="L2429" s="33"/>
      <c r="X2429" s="22"/>
      <c r="Y2429" s="22"/>
      <c r="Z2429" s="22"/>
      <c r="AA2429" s="22"/>
      <c r="AF2429" s="22"/>
      <c r="AG2429" s="22"/>
      <c r="AH2429" s="22"/>
      <c r="AI2429" s="22"/>
      <c r="AN2429" s="22"/>
      <c r="AO2429" s="22"/>
      <c r="AP2429" s="22"/>
      <c r="AQ2429" s="22"/>
      <c r="AR2429" s="35"/>
      <c r="AS2429" s="35"/>
      <c r="AT2429" s="35"/>
      <c r="AU2429" s="31"/>
      <c r="AV2429" s="36"/>
    </row>
    <row r="2430" spans="4:48">
      <c r="D2430" s="31"/>
      <c r="E2430" s="31"/>
      <c r="F2430" s="31"/>
      <c r="G2430" s="31"/>
      <c r="H2430" s="32"/>
      <c r="J2430" s="33"/>
      <c r="K2430" s="33"/>
      <c r="L2430" s="33"/>
      <c r="X2430" s="22"/>
      <c r="Y2430" s="22"/>
      <c r="Z2430" s="22"/>
      <c r="AA2430" s="22"/>
      <c r="AF2430" s="22"/>
      <c r="AG2430" s="22"/>
      <c r="AH2430" s="22"/>
      <c r="AI2430" s="22"/>
      <c r="AN2430" s="22"/>
      <c r="AO2430" s="22"/>
      <c r="AP2430" s="22"/>
      <c r="AQ2430" s="22"/>
      <c r="AR2430" s="35"/>
      <c r="AS2430" s="35"/>
      <c r="AT2430" s="35"/>
      <c r="AU2430" s="31"/>
      <c r="AV2430" s="36"/>
    </row>
    <row r="2431" spans="4:48">
      <c r="D2431" s="31"/>
      <c r="E2431" s="31"/>
      <c r="F2431" s="31"/>
      <c r="G2431" s="31"/>
      <c r="H2431" s="32"/>
      <c r="J2431" s="33"/>
      <c r="K2431" s="33"/>
      <c r="L2431" s="33"/>
      <c r="X2431" s="22"/>
      <c r="Y2431" s="22"/>
      <c r="Z2431" s="22"/>
      <c r="AA2431" s="22"/>
      <c r="AF2431" s="22"/>
      <c r="AG2431" s="22"/>
      <c r="AH2431" s="22"/>
      <c r="AI2431" s="22"/>
      <c r="AN2431" s="22"/>
      <c r="AO2431" s="22"/>
      <c r="AP2431" s="22"/>
      <c r="AQ2431" s="22"/>
      <c r="AR2431" s="35"/>
      <c r="AS2431" s="35"/>
      <c r="AT2431" s="35"/>
      <c r="AU2431" s="31"/>
      <c r="AV2431" s="36"/>
    </row>
    <row r="2432" spans="4:48">
      <c r="D2432" s="31"/>
      <c r="E2432" s="31"/>
      <c r="F2432" s="31"/>
      <c r="G2432" s="31"/>
      <c r="H2432" s="32"/>
      <c r="J2432" s="33"/>
      <c r="K2432" s="33"/>
      <c r="L2432" s="33"/>
      <c r="X2432" s="22"/>
      <c r="Y2432" s="22"/>
      <c r="Z2432" s="22"/>
      <c r="AA2432" s="22"/>
      <c r="AF2432" s="22"/>
      <c r="AG2432" s="22"/>
      <c r="AH2432" s="22"/>
      <c r="AI2432" s="22"/>
      <c r="AN2432" s="22"/>
      <c r="AO2432" s="22"/>
      <c r="AP2432" s="22"/>
      <c r="AQ2432" s="22"/>
      <c r="AR2432" s="35"/>
      <c r="AS2432" s="35"/>
      <c r="AT2432" s="35"/>
      <c r="AU2432" s="31"/>
      <c r="AV2432" s="36"/>
    </row>
    <row r="2433" spans="4:48">
      <c r="D2433" s="31"/>
      <c r="E2433" s="31"/>
      <c r="F2433" s="31"/>
      <c r="G2433" s="31"/>
      <c r="H2433" s="32"/>
      <c r="J2433" s="33"/>
      <c r="K2433" s="33"/>
      <c r="L2433" s="33"/>
      <c r="X2433" s="22"/>
      <c r="Y2433" s="22"/>
      <c r="Z2433" s="22"/>
      <c r="AA2433" s="22"/>
      <c r="AF2433" s="22"/>
      <c r="AG2433" s="22"/>
      <c r="AH2433" s="22"/>
      <c r="AI2433" s="22"/>
      <c r="AN2433" s="22"/>
      <c r="AO2433" s="22"/>
      <c r="AP2433" s="22"/>
      <c r="AQ2433" s="22"/>
      <c r="AR2433" s="35"/>
      <c r="AS2433" s="35"/>
      <c r="AT2433" s="35"/>
      <c r="AU2433" s="31"/>
      <c r="AV2433" s="36"/>
    </row>
    <row r="2434" spans="4:48">
      <c r="D2434" s="31"/>
      <c r="E2434" s="31"/>
      <c r="F2434" s="31"/>
      <c r="G2434" s="31"/>
      <c r="H2434" s="32"/>
      <c r="J2434" s="33"/>
      <c r="K2434" s="33"/>
      <c r="L2434" s="33"/>
      <c r="X2434" s="22"/>
      <c r="Y2434" s="22"/>
      <c r="Z2434" s="22"/>
      <c r="AA2434" s="22"/>
      <c r="AF2434" s="22"/>
      <c r="AG2434" s="22"/>
      <c r="AH2434" s="22"/>
      <c r="AI2434" s="22"/>
      <c r="AN2434" s="22"/>
      <c r="AO2434" s="22"/>
      <c r="AP2434" s="22"/>
      <c r="AQ2434" s="22"/>
      <c r="AR2434" s="35"/>
      <c r="AS2434" s="35"/>
      <c r="AT2434" s="35"/>
      <c r="AU2434" s="31"/>
      <c r="AV2434" s="36"/>
    </row>
    <row r="2435" spans="4:48">
      <c r="D2435" s="31"/>
      <c r="E2435" s="31"/>
      <c r="F2435" s="31"/>
      <c r="G2435" s="31"/>
      <c r="H2435" s="32"/>
      <c r="J2435" s="33"/>
      <c r="K2435" s="33"/>
      <c r="L2435" s="33"/>
      <c r="X2435" s="22"/>
      <c r="Y2435" s="22"/>
      <c r="Z2435" s="22"/>
      <c r="AA2435" s="22"/>
      <c r="AF2435" s="22"/>
      <c r="AG2435" s="22"/>
      <c r="AH2435" s="22"/>
      <c r="AI2435" s="22"/>
      <c r="AN2435" s="22"/>
      <c r="AO2435" s="22"/>
      <c r="AP2435" s="22"/>
      <c r="AQ2435" s="22"/>
      <c r="AR2435" s="35"/>
      <c r="AS2435" s="35"/>
      <c r="AT2435" s="35"/>
      <c r="AU2435" s="31"/>
      <c r="AV2435" s="36"/>
    </row>
    <row r="2436" spans="4:48">
      <c r="D2436" s="31"/>
      <c r="E2436" s="31"/>
      <c r="F2436" s="31"/>
      <c r="G2436" s="31"/>
      <c r="H2436" s="32"/>
      <c r="J2436" s="33"/>
      <c r="K2436" s="33"/>
      <c r="L2436" s="33"/>
      <c r="X2436" s="22"/>
      <c r="Y2436" s="22"/>
      <c r="Z2436" s="22"/>
      <c r="AA2436" s="22"/>
      <c r="AF2436" s="22"/>
      <c r="AG2436" s="22"/>
      <c r="AH2436" s="22"/>
      <c r="AI2436" s="22"/>
      <c r="AN2436" s="22"/>
      <c r="AO2436" s="22"/>
      <c r="AP2436" s="22"/>
      <c r="AQ2436" s="22"/>
      <c r="AR2436" s="35"/>
      <c r="AS2436" s="35"/>
      <c r="AT2436" s="35"/>
      <c r="AU2436" s="31"/>
      <c r="AV2436" s="36"/>
    </row>
    <row r="2437" spans="4:48">
      <c r="D2437" s="31"/>
      <c r="E2437" s="31"/>
      <c r="F2437" s="31"/>
      <c r="G2437" s="31"/>
      <c r="H2437" s="32"/>
      <c r="J2437" s="33"/>
      <c r="K2437" s="33"/>
      <c r="L2437" s="33"/>
      <c r="X2437" s="22"/>
      <c r="Y2437" s="22"/>
      <c r="Z2437" s="22"/>
      <c r="AA2437" s="22"/>
      <c r="AF2437" s="22"/>
      <c r="AG2437" s="22"/>
      <c r="AH2437" s="22"/>
      <c r="AI2437" s="22"/>
      <c r="AN2437" s="22"/>
      <c r="AO2437" s="22"/>
      <c r="AP2437" s="22"/>
      <c r="AQ2437" s="22"/>
      <c r="AR2437" s="35"/>
      <c r="AS2437" s="35"/>
      <c r="AT2437" s="35"/>
      <c r="AU2437" s="31"/>
      <c r="AV2437" s="36"/>
    </row>
    <row r="2438" spans="4:48">
      <c r="D2438" s="31"/>
      <c r="E2438" s="31"/>
      <c r="F2438" s="31"/>
      <c r="G2438" s="31"/>
      <c r="H2438" s="32"/>
      <c r="J2438" s="33"/>
      <c r="K2438" s="33"/>
      <c r="L2438" s="33"/>
      <c r="X2438" s="22"/>
      <c r="Y2438" s="22"/>
      <c r="Z2438" s="22"/>
      <c r="AA2438" s="22"/>
      <c r="AF2438" s="22"/>
      <c r="AG2438" s="22"/>
      <c r="AH2438" s="22"/>
      <c r="AI2438" s="22"/>
      <c r="AN2438" s="22"/>
      <c r="AO2438" s="22"/>
      <c r="AP2438" s="22"/>
      <c r="AQ2438" s="22"/>
      <c r="AR2438" s="35"/>
      <c r="AS2438" s="35"/>
      <c r="AT2438" s="35"/>
      <c r="AU2438" s="31"/>
      <c r="AV2438" s="36"/>
    </row>
    <row r="2439" spans="4:48">
      <c r="D2439" s="31"/>
      <c r="E2439" s="31"/>
      <c r="F2439" s="31"/>
      <c r="G2439" s="31"/>
      <c r="H2439" s="32"/>
      <c r="J2439" s="33"/>
      <c r="K2439" s="33"/>
      <c r="L2439" s="33"/>
      <c r="X2439" s="22"/>
      <c r="Y2439" s="22"/>
      <c r="Z2439" s="22"/>
      <c r="AA2439" s="22"/>
      <c r="AF2439" s="22"/>
      <c r="AG2439" s="22"/>
      <c r="AH2439" s="22"/>
      <c r="AI2439" s="22"/>
      <c r="AN2439" s="22"/>
      <c r="AO2439" s="22"/>
      <c r="AP2439" s="22"/>
      <c r="AQ2439" s="22"/>
      <c r="AR2439" s="35"/>
      <c r="AS2439" s="35"/>
      <c r="AT2439" s="35"/>
      <c r="AU2439" s="31"/>
      <c r="AV2439" s="36"/>
    </row>
    <row r="2440" spans="4:48">
      <c r="D2440" s="31"/>
      <c r="E2440" s="31"/>
      <c r="F2440" s="31"/>
      <c r="G2440" s="31"/>
      <c r="H2440" s="32"/>
      <c r="J2440" s="33"/>
      <c r="K2440" s="33"/>
      <c r="L2440" s="33"/>
      <c r="X2440" s="22"/>
      <c r="Y2440" s="22"/>
      <c r="Z2440" s="22"/>
      <c r="AA2440" s="22"/>
      <c r="AF2440" s="22"/>
      <c r="AG2440" s="22"/>
      <c r="AH2440" s="22"/>
      <c r="AI2440" s="22"/>
      <c r="AN2440" s="22"/>
      <c r="AO2440" s="22"/>
      <c r="AP2440" s="22"/>
      <c r="AQ2440" s="22"/>
      <c r="AR2440" s="35"/>
      <c r="AS2440" s="35"/>
      <c r="AT2440" s="35"/>
      <c r="AU2440" s="31"/>
      <c r="AV2440" s="36"/>
    </row>
    <row r="2441" spans="4:48">
      <c r="D2441" s="31"/>
      <c r="E2441" s="31"/>
      <c r="F2441" s="31"/>
      <c r="G2441" s="31"/>
      <c r="H2441" s="32"/>
      <c r="J2441" s="33"/>
      <c r="K2441" s="33"/>
      <c r="L2441" s="33"/>
      <c r="X2441" s="22"/>
      <c r="Y2441" s="22"/>
      <c r="Z2441" s="22"/>
      <c r="AA2441" s="22"/>
      <c r="AF2441" s="22"/>
      <c r="AG2441" s="22"/>
      <c r="AH2441" s="22"/>
      <c r="AI2441" s="22"/>
      <c r="AN2441" s="22"/>
      <c r="AO2441" s="22"/>
      <c r="AP2441" s="22"/>
      <c r="AQ2441" s="22"/>
      <c r="AR2441" s="35"/>
      <c r="AS2441" s="35"/>
      <c r="AT2441" s="35"/>
      <c r="AU2441" s="31"/>
      <c r="AV2441" s="36"/>
    </row>
    <row r="2442" spans="4:48">
      <c r="D2442" s="31"/>
      <c r="E2442" s="31"/>
      <c r="F2442" s="31"/>
      <c r="G2442" s="31"/>
      <c r="H2442" s="32"/>
      <c r="J2442" s="33"/>
      <c r="K2442" s="33"/>
      <c r="L2442" s="33"/>
      <c r="X2442" s="22"/>
      <c r="Y2442" s="22"/>
      <c r="Z2442" s="22"/>
      <c r="AA2442" s="22"/>
      <c r="AF2442" s="22"/>
      <c r="AG2442" s="22"/>
      <c r="AH2442" s="22"/>
      <c r="AI2442" s="22"/>
      <c r="AN2442" s="22"/>
      <c r="AO2442" s="22"/>
      <c r="AP2442" s="22"/>
      <c r="AQ2442" s="22"/>
      <c r="AR2442" s="35"/>
      <c r="AS2442" s="35"/>
      <c r="AT2442" s="35"/>
      <c r="AU2442" s="31"/>
      <c r="AV2442" s="36"/>
    </row>
    <row r="2443" spans="4:48">
      <c r="D2443" s="31"/>
      <c r="E2443" s="31"/>
      <c r="F2443" s="31"/>
      <c r="G2443" s="31"/>
      <c r="H2443" s="32"/>
      <c r="J2443" s="33"/>
      <c r="K2443" s="33"/>
      <c r="L2443" s="33"/>
      <c r="X2443" s="22"/>
      <c r="Y2443" s="22"/>
      <c r="Z2443" s="22"/>
      <c r="AA2443" s="22"/>
      <c r="AF2443" s="22"/>
      <c r="AG2443" s="22"/>
      <c r="AH2443" s="22"/>
      <c r="AI2443" s="22"/>
      <c r="AN2443" s="22"/>
      <c r="AO2443" s="22"/>
      <c r="AP2443" s="22"/>
      <c r="AQ2443" s="22"/>
      <c r="AR2443" s="35"/>
      <c r="AS2443" s="35"/>
      <c r="AT2443" s="35"/>
      <c r="AU2443" s="31"/>
      <c r="AV2443" s="36"/>
    </row>
    <row r="2444" spans="4:48">
      <c r="D2444" s="31"/>
      <c r="E2444" s="31"/>
      <c r="F2444" s="31"/>
      <c r="G2444" s="31"/>
      <c r="H2444" s="32"/>
      <c r="J2444" s="33"/>
      <c r="K2444" s="33"/>
      <c r="L2444" s="33"/>
      <c r="X2444" s="22"/>
      <c r="Y2444" s="22"/>
      <c r="Z2444" s="22"/>
      <c r="AA2444" s="22"/>
      <c r="AF2444" s="22"/>
      <c r="AG2444" s="22"/>
      <c r="AH2444" s="22"/>
      <c r="AI2444" s="22"/>
      <c r="AN2444" s="22"/>
      <c r="AO2444" s="22"/>
      <c r="AP2444" s="22"/>
      <c r="AQ2444" s="22"/>
      <c r="AR2444" s="35"/>
      <c r="AS2444" s="35"/>
      <c r="AT2444" s="35"/>
      <c r="AU2444" s="31"/>
      <c r="AV2444" s="36"/>
    </row>
    <row r="2445" spans="4:48">
      <c r="D2445" s="31"/>
      <c r="E2445" s="31"/>
      <c r="F2445" s="31"/>
      <c r="G2445" s="31"/>
      <c r="H2445" s="32"/>
      <c r="J2445" s="33"/>
      <c r="K2445" s="33"/>
      <c r="L2445" s="33"/>
      <c r="X2445" s="22"/>
      <c r="Y2445" s="22"/>
      <c r="Z2445" s="22"/>
      <c r="AA2445" s="22"/>
      <c r="AF2445" s="22"/>
      <c r="AG2445" s="22"/>
      <c r="AH2445" s="22"/>
      <c r="AI2445" s="22"/>
      <c r="AN2445" s="22"/>
      <c r="AO2445" s="22"/>
      <c r="AP2445" s="22"/>
      <c r="AQ2445" s="22"/>
      <c r="AR2445" s="35"/>
      <c r="AS2445" s="35"/>
      <c r="AT2445" s="35"/>
      <c r="AU2445" s="31"/>
      <c r="AV2445" s="36"/>
    </row>
    <row r="2446" spans="4:48">
      <c r="D2446" s="31"/>
      <c r="E2446" s="31"/>
      <c r="F2446" s="31"/>
      <c r="G2446" s="31"/>
      <c r="H2446" s="32"/>
      <c r="J2446" s="33"/>
      <c r="K2446" s="33"/>
      <c r="L2446" s="33"/>
      <c r="X2446" s="22"/>
      <c r="Y2446" s="22"/>
      <c r="Z2446" s="22"/>
      <c r="AA2446" s="22"/>
      <c r="AF2446" s="22"/>
      <c r="AG2446" s="22"/>
      <c r="AH2446" s="22"/>
      <c r="AI2446" s="22"/>
      <c r="AN2446" s="22"/>
      <c r="AO2446" s="22"/>
      <c r="AP2446" s="22"/>
      <c r="AQ2446" s="22"/>
      <c r="AR2446" s="35"/>
      <c r="AS2446" s="35"/>
      <c r="AT2446" s="35"/>
      <c r="AU2446" s="31"/>
      <c r="AV2446" s="36"/>
    </row>
    <row r="2447" spans="4:48">
      <c r="D2447" s="31"/>
      <c r="E2447" s="31"/>
      <c r="F2447" s="31"/>
      <c r="G2447" s="31"/>
      <c r="H2447" s="32"/>
      <c r="J2447" s="33"/>
      <c r="K2447" s="33"/>
      <c r="L2447" s="33"/>
      <c r="X2447" s="22"/>
      <c r="Y2447" s="22"/>
      <c r="Z2447" s="22"/>
      <c r="AA2447" s="22"/>
      <c r="AF2447" s="22"/>
      <c r="AG2447" s="22"/>
      <c r="AH2447" s="22"/>
      <c r="AI2447" s="22"/>
      <c r="AN2447" s="22"/>
      <c r="AO2447" s="22"/>
      <c r="AP2447" s="22"/>
      <c r="AQ2447" s="22"/>
      <c r="AR2447" s="35"/>
      <c r="AS2447" s="35"/>
      <c r="AT2447" s="35"/>
      <c r="AU2447" s="31"/>
      <c r="AV2447" s="36"/>
    </row>
    <row r="2448" spans="4:48">
      <c r="D2448" s="31"/>
      <c r="E2448" s="31"/>
      <c r="F2448" s="31"/>
      <c r="G2448" s="31"/>
      <c r="H2448" s="32"/>
      <c r="J2448" s="33"/>
      <c r="K2448" s="33"/>
      <c r="L2448" s="33"/>
      <c r="X2448" s="22"/>
      <c r="Y2448" s="22"/>
      <c r="Z2448" s="22"/>
      <c r="AA2448" s="22"/>
      <c r="AF2448" s="22"/>
      <c r="AG2448" s="22"/>
      <c r="AH2448" s="22"/>
      <c r="AI2448" s="22"/>
      <c r="AN2448" s="22"/>
      <c r="AO2448" s="22"/>
      <c r="AP2448" s="22"/>
      <c r="AQ2448" s="22"/>
      <c r="AR2448" s="35"/>
      <c r="AS2448" s="35"/>
      <c r="AT2448" s="35"/>
      <c r="AU2448" s="31"/>
      <c r="AV2448" s="36"/>
    </row>
    <row r="2449" spans="4:48">
      <c r="D2449" s="31"/>
      <c r="E2449" s="31"/>
      <c r="F2449" s="31"/>
      <c r="G2449" s="31"/>
      <c r="H2449" s="32"/>
      <c r="J2449" s="33"/>
      <c r="K2449" s="33"/>
      <c r="L2449" s="33"/>
      <c r="X2449" s="22"/>
      <c r="Y2449" s="22"/>
      <c r="Z2449" s="22"/>
      <c r="AA2449" s="22"/>
      <c r="AF2449" s="22"/>
      <c r="AG2449" s="22"/>
      <c r="AH2449" s="22"/>
      <c r="AI2449" s="22"/>
      <c r="AN2449" s="22"/>
      <c r="AO2449" s="22"/>
      <c r="AP2449" s="22"/>
      <c r="AQ2449" s="22"/>
      <c r="AR2449" s="35"/>
      <c r="AS2449" s="35"/>
      <c r="AT2449" s="35"/>
      <c r="AU2449" s="31"/>
      <c r="AV2449" s="36"/>
    </row>
    <row r="2450" spans="4:48">
      <c r="D2450" s="31"/>
      <c r="E2450" s="31"/>
      <c r="F2450" s="31"/>
      <c r="G2450" s="31"/>
      <c r="H2450" s="32"/>
      <c r="J2450" s="33"/>
      <c r="K2450" s="33"/>
      <c r="L2450" s="33"/>
      <c r="X2450" s="22"/>
      <c r="Y2450" s="22"/>
      <c r="Z2450" s="22"/>
      <c r="AA2450" s="22"/>
      <c r="AF2450" s="22"/>
      <c r="AG2450" s="22"/>
      <c r="AH2450" s="22"/>
      <c r="AI2450" s="22"/>
      <c r="AN2450" s="22"/>
      <c r="AO2450" s="22"/>
      <c r="AP2450" s="22"/>
      <c r="AQ2450" s="22"/>
      <c r="AR2450" s="35"/>
      <c r="AS2450" s="35"/>
      <c r="AT2450" s="35"/>
      <c r="AU2450" s="31"/>
      <c r="AV2450" s="36"/>
    </row>
    <row r="2451" spans="4:48">
      <c r="D2451" s="31"/>
      <c r="E2451" s="31"/>
      <c r="F2451" s="31"/>
      <c r="G2451" s="31"/>
      <c r="H2451" s="32"/>
      <c r="J2451" s="33"/>
      <c r="K2451" s="33"/>
      <c r="L2451" s="33"/>
      <c r="X2451" s="22"/>
      <c r="Y2451" s="22"/>
      <c r="Z2451" s="22"/>
      <c r="AA2451" s="22"/>
      <c r="AF2451" s="22"/>
      <c r="AG2451" s="22"/>
      <c r="AH2451" s="22"/>
      <c r="AI2451" s="22"/>
      <c r="AN2451" s="22"/>
      <c r="AO2451" s="22"/>
      <c r="AP2451" s="22"/>
      <c r="AQ2451" s="22"/>
      <c r="AR2451" s="35"/>
      <c r="AS2451" s="35"/>
      <c r="AT2451" s="35"/>
      <c r="AU2451" s="31"/>
      <c r="AV2451" s="36"/>
    </row>
    <row r="2452" spans="4:48">
      <c r="D2452" s="31"/>
      <c r="E2452" s="31"/>
      <c r="F2452" s="31"/>
      <c r="G2452" s="31"/>
      <c r="H2452" s="32"/>
      <c r="J2452" s="33"/>
      <c r="K2452" s="33"/>
      <c r="L2452" s="33"/>
      <c r="X2452" s="22"/>
      <c r="Y2452" s="22"/>
      <c r="Z2452" s="22"/>
      <c r="AA2452" s="22"/>
      <c r="AF2452" s="22"/>
      <c r="AG2452" s="22"/>
      <c r="AH2452" s="22"/>
      <c r="AI2452" s="22"/>
      <c r="AN2452" s="22"/>
      <c r="AO2452" s="22"/>
      <c r="AP2452" s="22"/>
      <c r="AQ2452" s="22"/>
      <c r="AR2452" s="35"/>
      <c r="AS2452" s="35"/>
      <c r="AT2452" s="35"/>
      <c r="AU2452" s="31"/>
      <c r="AV2452" s="36"/>
    </row>
    <row r="2453" spans="4:48">
      <c r="D2453" s="31"/>
      <c r="E2453" s="31"/>
      <c r="F2453" s="31"/>
      <c r="G2453" s="31"/>
      <c r="H2453" s="32"/>
      <c r="J2453" s="33"/>
      <c r="K2453" s="33"/>
      <c r="L2453" s="33"/>
      <c r="X2453" s="22"/>
      <c r="Y2453" s="22"/>
      <c r="Z2453" s="22"/>
      <c r="AA2453" s="22"/>
      <c r="AF2453" s="22"/>
      <c r="AG2453" s="22"/>
      <c r="AH2453" s="22"/>
      <c r="AI2453" s="22"/>
      <c r="AN2453" s="22"/>
      <c r="AO2453" s="22"/>
      <c r="AP2453" s="22"/>
      <c r="AQ2453" s="22"/>
      <c r="AR2453" s="35"/>
      <c r="AS2453" s="35"/>
      <c r="AT2453" s="35"/>
      <c r="AU2453" s="31"/>
      <c r="AV2453" s="36"/>
    </row>
    <row r="2454" spans="4:48">
      <c r="D2454" s="31"/>
      <c r="E2454" s="31"/>
      <c r="F2454" s="31"/>
      <c r="G2454" s="31"/>
      <c r="H2454" s="32"/>
      <c r="J2454" s="33"/>
      <c r="K2454" s="33"/>
      <c r="L2454" s="33"/>
      <c r="X2454" s="22"/>
      <c r="Y2454" s="22"/>
      <c r="Z2454" s="22"/>
      <c r="AA2454" s="22"/>
      <c r="AF2454" s="22"/>
      <c r="AG2454" s="22"/>
      <c r="AH2454" s="22"/>
      <c r="AI2454" s="22"/>
      <c r="AN2454" s="22"/>
      <c r="AO2454" s="22"/>
      <c r="AP2454" s="22"/>
      <c r="AQ2454" s="22"/>
      <c r="AR2454" s="35"/>
      <c r="AS2454" s="35"/>
      <c r="AT2454" s="35"/>
      <c r="AU2454" s="31"/>
      <c r="AV2454" s="36"/>
    </row>
    <row r="2455" spans="4:48">
      <c r="D2455" s="31"/>
      <c r="E2455" s="31"/>
      <c r="F2455" s="31"/>
      <c r="G2455" s="31"/>
      <c r="H2455" s="32"/>
      <c r="J2455" s="33"/>
      <c r="K2455" s="33"/>
      <c r="L2455" s="33"/>
      <c r="X2455" s="22"/>
      <c r="Y2455" s="22"/>
      <c r="Z2455" s="22"/>
      <c r="AA2455" s="22"/>
      <c r="AF2455" s="22"/>
      <c r="AG2455" s="22"/>
      <c r="AH2455" s="22"/>
      <c r="AI2455" s="22"/>
      <c r="AN2455" s="22"/>
      <c r="AO2455" s="22"/>
      <c r="AP2455" s="22"/>
      <c r="AQ2455" s="22"/>
      <c r="AR2455" s="35"/>
      <c r="AS2455" s="35"/>
      <c r="AT2455" s="35"/>
      <c r="AU2455" s="31"/>
      <c r="AV2455" s="36"/>
    </row>
    <row r="2456" spans="4:48">
      <c r="D2456" s="31"/>
      <c r="E2456" s="31"/>
      <c r="F2456" s="31"/>
      <c r="G2456" s="31"/>
      <c r="H2456" s="32"/>
      <c r="J2456" s="33"/>
      <c r="K2456" s="33"/>
      <c r="L2456" s="33"/>
      <c r="X2456" s="22"/>
      <c r="Y2456" s="22"/>
      <c r="Z2456" s="22"/>
      <c r="AA2456" s="22"/>
      <c r="AF2456" s="22"/>
      <c r="AG2456" s="22"/>
      <c r="AH2456" s="22"/>
      <c r="AI2456" s="22"/>
      <c r="AN2456" s="22"/>
      <c r="AO2456" s="22"/>
      <c r="AP2456" s="22"/>
      <c r="AQ2456" s="22"/>
      <c r="AR2456" s="35"/>
      <c r="AS2456" s="35"/>
      <c r="AT2456" s="35"/>
      <c r="AU2456" s="31"/>
      <c r="AV2456" s="36"/>
    </row>
    <row r="2457" spans="4:48">
      <c r="D2457" s="31"/>
      <c r="E2457" s="31"/>
      <c r="F2457" s="31"/>
      <c r="G2457" s="31"/>
      <c r="H2457" s="32"/>
      <c r="J2457" s="33"/>
      <c r="K2457" s="33"/>
      <c r="L2457" s="33"/>
      <c r="X2457" s="22"/>
      <c r="Y2457" s="22"/>
      <c r="Z2457" s="22"/>
      <c r="AA2457" s="22"/>
      <c r="AF2457" s="22"/>
      <c r="AG2457" s="22"/>
      <c r="AH2457" s="22"/>
      <c r="AI2457" s="22"/>
      <c r="AN2457" s="22"/>
      <c r="AO2457" s="22"/>
      <c r="AP2457" s="22"/>
      <c r="AQ2457" s="22"/>
      <c r="AR2457" s="35"/>
      <c r="AS2457" s="35"/>
      <c r="AT2457" s="35"/>
      <c r="AU2457" s="31"/>
      <c r="AV2457" s="36"/>
    </row>
    <row r="2458" spans="4:48">
      <c r="D2458" s="31"/>
      <c r="E2458" s="31"/>
      <c r="F2458" s="31"/>
      <c r="G2458" s="31"/>
      <c r="H2458" s="32"/>
      <c r="J2458" s="33"/>
      <c r="K2458" s="33"/>
      <c r="L2458" s="33"/>
      <c r="X2458" s="22"/>
      <c r="Y2458" s="22"/>
      <c r="Z2458" s="22"/>
      <c r="AA2458" s="22"/>
      <c r="AF2458" s="22"/>
      <c r="AG2458" s="22"/>
      <c r="AH2458" s="22"/>
      <c r="AI2458" s="22"/>
      <c r="AN2458" s="22"/>
      <c r="AO2458" s="22"/>
      <c r="AP2458" s="22"/>
      <c r="AQ2458" s="22"/>
      <c r="AR2458" s="35"/>
      <c r="AS2458" s="35"/>
      <c r="AT2458" s="35"/>
      <c r="AU2458" s="31"/>
      <c r="AV2458" s="36"/>
    </row>
    <row r="2459" spans="4:48">
      <c r="D2459" s="31"/>
      <c r="E2459" s="31"/>
      <c r="F2459" s="31"/>
      <c r="G2459" s="31"/>
      <c r="H2459" s="32"/>
      <c r="J2459" s="33"/>
      <c r="K2459" s="33"/>
      <c r="L2459" s="33"/>
      <c r="X2459" s="22"/>
      <c r="Y2459" s="22"/>
      <c r="Z2459" s="22"/>
      <c r="AA2459" s="22"/>
      <c r="AF2459" s="22"/>
      <c r="AG2459" s="22"/>
      <c r="AH2459" s="22"/>
      <c r="AI2459" s="22"/>
      <c r="AN2459" s="22"/>
      <c r="AO2459" s="22"/>
      <c r="AP2459" s="22"/>
      <c r="AQ2459" s="22"/>
      <c r="AR2459" s="35"/>
      <c r="AS2459" s="35"/>
      <c r="AT2459" s="35"/>
      <c r="AU2459" s="31"/>
      <c r="AV2459" s="36"/>
    </row>
    <row r="2460" spans="4:48">
      <c r="D2460" s="31"/>
      <c r="E2460" s="31"/>
      <c r="F2460" s="31"/>
      <c r="G2460" s="31"/>
      <c r="H2460" s="32"/>
      <c r="J2460" s="33"/>
      <c r="K2460" s="33"/>
      <c r="L2460" s="33"/>
      <c r="X2460" s="22"/>
      <c r="Y2460" s="22"/>
      <c r="Z2460" s="22"/>
      <c r="AA2460" s="22"/>
      <c r="AF2460" s="22"/>
      <c r="AG2460" s="22"/>
      <c r="AH2460" s="22"/>
      <c r="AI2460" s="22"/>
      <c r="AN2460" s="22"/>
      <c r="AO2460" s="22"/>
      <c r="AP2460" s="22"/>
      <c r="AQ2460" s="22"/>
      <c r="AR2460" s="35"/>
      <c r="AS2460" s="35"/>
      <c r="AT2460" s="35"/>
      <c r="AU2460" s="31"/>
      <c r="AV2460" s="36"/>
    </row>
    <row r="2461" spans="4:48">
      <c r="D2461" s="31"/>
      <c r="E2461" s="31"/>
      <c r="F2461" s="31"/>
      <c r="G2461" s="31"/>
      <c r="H2461" s="32"/>
      <c r="J2461" s="33"/>
      <c r="K2461" s="33"/>
      <c r="L2461" s="33"/>
      <c r="X2461" s="22"/>
      <c r="Y2461" s="22"/>
      <c r="Z2461" s="22"/>
      <c r="AA2461" s="22"/>
      <c r="AF2461" s="22"/>
      <c r="AG2461" s="22"/>
      <c r="AH2461" s="22"/>
      <c r="AI2461" s="22"/>
      <c r="AN2461" s="22"/>
      <c r="AO2461" s="22"/>
      <c r="AP2461" s="22"/>
      <c r="AQ2461" s="22"/>
      <c r="AR2461" s="35"/>
      <c r="AS2461" s="35"/>
      <c r="AT2461" s="35"/>
      <c r="AU2461" s="31"/>
      <c r="AV2461" s="36"/>
    </row>
    <row r="2462" spans="4:48">
      <c r="D2462" s="31"/>
      <c r="E2462" s="31"/>
      <c r="F2462" s="31"/>
      <c r="G2462" s="31"/>
      <c r="H2462" s="32"/>
      <c r="J2462" s="33"/>
      <c r="K2462" s="33"/>
      <c r="L2462" s="33"/>
      <c r="X2462" s="22"/>
      <c r="Y2462" s="22"/>
      <c r="Z2462" s="22"/>
      <c r="AA2462" s="22"/>
      <c r="AF2462" s="22"/>
      <c r="AG2462" s="22"/>
      <c r="AH2462" s="22"/>
      <c r="AI2462" s="22"/>
      <c r="AN2462" s="22"/>
      <c r="AO2462" s="22"/>
      <c r="AP2462" s="22"/>
      <c r="AQ2462" s="22"/>
      <c r="AR2462" s="35"/>
      <c r="AS2462" s="35"/>
      <c r="AT2462" s="35"/>
      <c r="AU2462" s="31"/>
      <c r="AV2462" s="36"/>
    </row>
    <row r="2463" spans="4:48">
      <c r="D2463" s="31"/>
      <c r="E2463" s="31"/>
      <c r="F2463" s="31"/>
      <c r="G2463" s="31"/>
      <c r="H2463" s="32"/>
      <c r="J2463" s="33"/>
      <c r="K2463" s="33"/>
      <c r="L2463" s="33"/>
      <c r="X2463" s="22"/>
      <c r="Y2463" s="22"/>
      <c r="Z2463" s="22"/>
      <c r="AA2463" s="22"/>
      <c r="AF2463" s="22"/>
      <c r="AG2463" s="22"/>
      <c r="AH2463" s="22"/>
      <c r="AI2463" s="22"/>
      <c r="AN2463" s="22"/>
      <c r="AO2463" s="22"/>
      <c r="AP2463" s="22"/>
      <c r="AQ2463" s="22"/>
      <c r="AR2463" s="35"/>
      <c r="AS2463" s="35"/>
      <c r="AT2463" s="35"/>
      <c r="AU2463" s="31"/>
      <c r="AV2463" s="36"/>
    </row>
    <row r="2464" spans="4:48">
      <c r="D2464" s="31"/>
      <c r="E2464" s="31"/>
      <c r="F2464" s="31"/>
      <c r="G2464" s="31"/>
      <c r="H2464" s="32"/>
      <c r="J2464" s="33"/>
      <c r="K2464" s="33"/>
      <c r="L2464" s="33"/>
      <c r="X2464" s="22"/>
      <c r="Y2464" s="22"/>
      <c r="Z2464" s="22"/>
      <c r="AA2464" s="22"/>
      <c r="AF2464" s="22"/>
      <c r="AG2464" s="22"/>
      <c r="AH2464" s="22"/>
      <c r="AI2464" s="22"/>
      <c r="AN2464" s="22"/>
      <c r="AO2464" s="22"/>
      <c r="AP2464" s="22"/>
      <c r="AQ2464" s="22"/>
      <c r="AR2464" s="35"/>
      <c r="AS2464" s="35"/>
      <c r="AT2464" s="35"/>
      <c r="AU2464" s="31"/>
      <c r="AV2464" s="36"/>
    </row>
    <row r="2465" spans="4:48">
      <c r="D2465" s="31"/>
      <c r="E2465" s="31"/>
      <c r="F2465" s="31"/>
      <c r="G2465" s="31"/>
      <c r="H2465" s="32"/>
      <c r="J2465" s="33"/>
      <c r="K2465" s="33"/>
      <c r="L2465" s="33"/>
      <c r="X2465" s="22"/>
      <c r="Y2465" s="22"/>
      <c r="Z2465" s="22"/>
      <c r="AA2465" s="22"/>
      <c r="AF2465" s="22"/>
      <c r="AG2465" s="22"/>
      <c r="AH2465" s="22"/>
      <c r="AI2465" s="22"/>
      <c r="AN2465" s="22"/>
      <c r="AO2465" s="22"/>
      <c r="AP2465" s="22"/>
      <c r="AQ2465" s="22"/>
      <c r="AR2465" s="35"/>
      <c r="AS2465" s="35"/>
      <c r="AT2465" s="35"/>
      <c r="AU2465" s="31"/>
      <c r="AV2465" s="36"/>
    </row>
    <row r="2466" spans="4:48">
      <c r="D2466" s="31"/>
      <c r="E2466" s="31"/>
      <c r="F2466" s="31"/>
      <c r="G2466" s="31"/>
      <c r="H2466" s="32"/>
      <c r="J2466" s="33"/>
      <c r="K2466" s="33"/>
      <c r="L2466" s="33"/>
      <c r="X2466" s="22"/>
      <c r="Y2466" s="22"/>
      <c r="Z2466" s="22"/>
      <c r="AA2466" s="22"/>
      <c r="AF2466" s="22"/>
      <c r="AG2466" s="22"/>
      <c r="AH2466" s="22"/>
      <c r="AI2466" s="22"/>
      <c r="AN2466" s="22"/>
      <c r="AO2466" s="22"/>
      <c r="AP2466" s="22"/>
      <c r="AQ2466" s="22"/>
      <c r="AR2466" s="35"/>
      <c r="AS2466" s="35"/>
      <c r="AT2466" s="35"/>
      <c r="AU2466" s="31"/>
      <c r="AV2466" s="36"/>
    </row>
    <row r="2467" spans="4:48">
      <c r="D2467" s="31"/>
      <c r="E2467" s="31"/>
      <c r="F2467" s="31"/>
      <c r="G2467" s="31"/>
      <c r="H2467" s="32"/>
      <c r="J2467" s="33"/>
      <c r="K2467" s="33"/>
      <c r="L2467" s="33"/>
      <c r="X2467" s="22"/>
      <c r="Y2467" s="22"/>
      <c r="Z2467" s="22"/>
      <c r="AA2467" s="22"/>
      <c r="AF2467" s="22"/>
      <c r="AG2467" s="22"/>
      <c r="AH2467" s="22"/>
      <c r="AI2467" s="22"/>
      <c r="AN2467" s="22"/>
      <c r="AO2467" s="22"/>
      <c r="AP2467" s="22"/>
      <c r="AQ2467" s="22"/>
      <c r="AR2467" s="35"/>
      <c r="AS2467" s="35"/>
      <c r="AT2467" s="35"/>
      <c r="AU2467" s="31"/>
      <c r="AV2467" s="36"/>
    </row>
    <row r="2468" spans="4:48">
      <c r="D2468" s="31"/>
      <c r="E2468" s="31"/>
      <c r="F2468" s="31"/>
      <c r="G2468" s="31"/>
      <c r="H2468" s="32"/>
      <c r="J2468" s="33"/>
      <c r="K2468" s="33"/>
      <c r="L2468" s="33"/>
      <c r="X2468" s="22"/>
      <c r="Y2468" s="22"/>
      <c r="Z2468" s="22"/>
      <c r="AA2468" s="22"/>
      <c r="AF2468" s="22"/>
      <c r="AG2468" s="22"/>
      <c r="AH2468" s="22"/>
      <c r="AI2468" s="22"/>
      <c r="AN2468" s="22"/>
      <c r="AO2468" s="22"/>
      <c r="AP2468" s="22"/>
      <c r="AQ2468" s="22"/>
      <c r="AR2468" s="35"/>
      <c r="AS2468" s="35"/>
      <c r="AT2468" s="35"/>
      <c r="AU2468" s="31"/>
      <c r="AV2468" s="36"/>
    </row>
    <row r="2469" spans="4:48">
      <c r="D2469" s="31"/>
      <c r="E2469" s="31"/>
      <c r="F2469" s="31"/>
      <c r="G2469" s="31"/>
      <c r="H2469" s="32"/>
      <c r="J2469" s="33"/>
      <c r="K2469" s="33"/>
      <c r="L2469" s="33"/>
      <c r="X2469" s="22"/>
      <c r="Y2469" s="22"/>
      <c r="Z2469" s="22"/>
      <c r="AA2469" s="22"/>
      <c r="AF2469" s="22"/>
      <c r="AG2469" s="22"/>
      <c r="AH2469" s="22"/>
      <c r="AI2469" s="22"/>
      <c r="AN2469" s="22"/>
      <c r="AO2469" s="22"/>
      <c r="AP2469" s="22"/>
      <c r="AQ2469" s="22"/>
      <c r="AR2469" s="35"/>
      <c r="AS2469" s="35"/>
      <c r="AT2469" s="35"/>
      <c r="AU2469" s="31"/>
      <c r="AV2469" s="36"/>
    </row>
    <row r="2470" spans="4:48">
      <c r="D2470" s="31"/>
      <c r="E2470" s="31"/>
      <c r="F2470" s="31"/>
      <c r="G2470" s="31"/>
      <c r="H2470" s="32"/>
      <c r="J2470" s="33"/>
      <c r="K2470" s="33"/>
      <c r="L2470" s="33"/>
      <c r="X2470" s="22"/>
      <c r="Y2470" s="22"/>
      <c r="Z2470" s="22"/>
      <c r="AA2470" s="22"/>
      <c r="AF2470" s="22"/>
      <c r="AG2470" s="22"/>
      <c r="AH2470" s="22"/>
      <c r="AI2470" s="22"/>
      <c r="AN2470" s="22"/>
      <c r="AO2470" s="22"/>
      <c r="AP2470" s="22"/>
      <c r="AQ2470" s="22"/>
      <c r="AR2470" s="35"/>
      <c r="AS2470" s="35"/>
      <c r="AT2470" s="35"/>
      <c r="AU2470" s="31"/>
      <c r="AV2470" s="36"/>
    </row>
    <row r="2471" spans="4:48">
      <c r="D2471" s="31"/>
      <c r="E2471" s="31"/>
      <c r="F2471" s="31"/>
      <c r="G2471" s="31"/>
      <c r="H2471" s="32"/>
      <c r="J2471" s="33"/>
      <c r="K2471" s="33"/>
      <c r="L2471" s="33"/>
      <c r="X2471" s="22"/>
      <c r="Y2471" s="22"/>
      <c r="Z2471" s="22"/>
      <c r="AA2471" s="22"/>
      <c r="AF2471" s="22"/>
      <c r="AG2471" s="22"/>
      <c r="AH2471" s="22"/>
      <c r="AI2471" s="22"/>
      <c r="AN2471" s="22"/>
      <c r="AO2471" s="22"/>
      <c r="AP2471" s="22"/>
      <c r="AQ2471" s="22"/>
      <c r="AR2471" s="35"/>
      <c r="AS2471" s="35"/>
      <c r="AT2471" s="35"/>
      <c r="AU2471" s="31"/>
      <c r="AV2471" s="36"/>
    </row>
    <row r="2472" spans="4:48">
      <c r="D2472" s="31"/>
      <c r="E2472" s="31"/>
      <c r="F2472" s="31"/>
      <c r="G2472" s="31"/>
      <c r="H2472" s="32"/>
      <c r="J2472" s="33"/>
      <c r="K2472" s="33"/>
      <c r="L2472" s="33"/>
      <c r="X2472" s="22"/>
      <c r="Y2472" s="22"/>
      <c r="Z2472" s="22"/>
      <c r="AA2472" s="22"/>
      <c r="AF2472" s="22"/>
      <c r="AG2472" s="22"/>
      <c r="AH2472" s="22"/>
      <c r="AI2472" s="22"/>
      <c r="AN2472" s="22"/>
      <c r="AO2472" s="22"/>
      <c r="AP2472" s="22"/>
      <c r="AQ2472" s="22"/>
      <c r="AR2472" s="35"/>
      <c r="AS2472" s="35"/>
      <c r="AT2472" s="35"/>
      <c r="AU2472" s="31"/>
      <c r="AV2472" s="36"/>
    </row>
    <row r="2473" spans="4:48">
      <c r="D2473" s="31"/>
      <c r="E2473" s="31"/>
      <c r="F2473" s="31"/>
      <c r="G2473" s="31"/>
      <c r="H2473" s="32"/>
      <c r="J2473" s="33"/>
      <c r="K2473" s="33"/>
      <c r="L2473" s="33"/>
      <c r="X2473" s="22"/>
      <c r="Y2473" s="22"/>
      <c r="Z2473" s="22"/>
      <c r="AA2473" s="22"/>
      <c r="AF2473" s="22"/>
      <c r="AG2473" s="22"/>
      <c r="AH2473" s="22"/>
      <c r="AI2473" s="22"/>
      <c r="AN2473" s="22"/>
      <c r="AO2473" s="22"/>
      <c r="AP2473" s="22"/>
      <c r="AQ2473" s="22"/>
      <c r="AR2473" s="35"/>
      <c r="AS2473" s="35"/>
      <c r="AT2473" s="35"/>
      <c r="AU2473" s="31"/>
      <c r="AV2473" s="36"/>
    </row>
    <row r="2474" spans="4:48">
      <c r="D2474" s="31"/>
      <c r="E2474" s="31"/>
      <c r="F2474" s="31"/>
      <c r="G2474" s="31"/>
      <c r="H2474" s="32"/>
      <c r="J2474" s="33"/>
      <c r="K2474" s="33"/>
      <c r="L2474" s="33"/>
      <c r="X2474" s="22"/>
      <c r="Y2474" s="22"/>
      <c r="Z2474" s="22"/>
      <c r="AA2474" s="22"/>
      <c r="AF2474" s="22"/>
      <c r="AG2474" s="22"/>
      <c r="AH2474" s="22"/>
      <c r="AI2474" s="22"/>
      <c r="AN2474" s="22"/>
      <c r="AO2474" s="22"/>
      <c r="AP2474" s="22"/>
      <c r="AQ2474" s="22"/>
      <c r="AR2474" s="35"/>
      <c r="AS2474" s="35"/>
      <c r="AT2474" s="35"/>
      <c r="AU2474" s="31"/>
      <c r="AV2474" s="36"/>
    </row>
    <row r="2475" spans="4:48">
      <c r="D2475" s="31"/>
      <c r="E2475" s="31"/>
      <c r="F2475" s="31"/>
      <c r="G2475" s="31"/>
      <c r="H2475" s="32"/>
      <c r="J2475" s="33"/>
      <c r="K2475" s="33"/>
      <c r="L2475" s="33"/>
      <c r="X2475" s="22"/>
      <c r="Y2475" s="22"/>
      <c r="Z2475" s="22"/>
      <c r="AA2475" s="22"/>
      <c r="AF2475" s="22"/>
      <c r="AG2475" s="22"/>
      <c r="AH2475" s="22"/>
      <c r="AI2475" s="22"/>
      <c r="AN2475" s="22"/>
      <c r="AO2475" s="22"/>
      <c r="AP2475" s="22"/>
      <c r="AQ2475" s="22"/>
      <c r="AR2475" s="35"/>
      <c r="AS2475" s="35"/>
      <c r="AT2475" s="35"/>
      <c r="AU2475" s="31"/>
      <c r="AV2475" s="36"/>
    </row>
    <row r="2476" spans="4:48">
      <c r="D2476" s="31"/>
      <c r="E2476" s="31"/>
      <c r="F2476" s="31"/>
      <c r="G2476" s="31"/>
      <c r="H2476" s="32"/>
      <c r="J2476" s="33"/>
      <c r="K2476" s="33"/>
      <c r="L2476" s="33"/>
      <c r="X2476" s="22"/>
      <c r="Y2476" s="22"/>
      <c r="Z2476" s="22"/>
      <c r="AA2476" s="22"/>
      <c r="AF2476" s="22"/>
      <c r="AG2476" s="22"/>
      <c r="AH2476" s="22"/>
      <c r="AI2476" s="22"/>
      <c r="AN2476" s="22"/>
      <c r="AO2476" s="22"/>
      <c r="AP2476" s="22"/>
      <c r="AQ2476" s="22"/>
      <c r="AR2476" s="35"/>
      <c r="AS2476" s="35"/>
      <c r="AT2476" s="35"/>
      <c r="AU2476" s="31"/>
      <c r="AV2476" s="36"/>
    </row>
    <row r="2477" spans="4:48">
      <c r="D2477" s="31"/>
      <c r="E2477" s="31"/>
      <c r="F2477" s="31"/>
      <c r="G2477" s="31"/>
      <c r="H2477" s="32"/>
      <c r="J2477" s="33"/>
      <c r="K2477" s="33"/>
      <c r="L2477" s="33"/>
      <c r="X2477" s="22"/>
      <c r="Y2477" s="22"/>
      <c r="Z2477" s="22"/>
      <c r="AA2477" s="22"/>
      <c r="AF2477" s="22"/>
      <c r="AG2477" s="22"/>
      <c r="AH2477" s="22"/>
      <c r="AI2477" s="22"/>
      <c r="AN2477" s="22"/>
      <c r="AO2477" s="22"/>
      <c r="AP2477" s="22"/>
      <c r="AQ2477" s="22"/>
      <c r="AR2477" s="35"/>
      <c r="AS2477" s="35"/>
      <c r="AT2477" s="35"/>
      <c r="AU2477" s="31"/>
      <c r="AV2477" s="36"/>
    </row>
    <row r="2478" spans="4:48">
      <c r="D2478" s="31"/>
      <c r="E2478" s="31"/>
      <c r="F2478" s="31"/>
      <c r="G2478" s="31"/>
      <c r="H2478" s="32"/>
      <c r="J2478" s="33"/>
      <c r="K2478" s="33"/>
      <c r="L2478" s="33"/>
      <c r="X2478" s="22"/>
      <c r="Y2478" s="22"/>
      <c r="Z2478" s="22"/>
      <c r="AA2478" s="22"/>
      <c r="AF2478" s="22"/>
      <c r="AG2478" s="22"/>
      <c r="AH2478" s="22"/>
      <c r="AI2478" s="22"/>
      <c r="AN2478" s="22"/>
      <c r="AO2478" s="22"/>
      <c r="AP2478" s="22"/>
      <c r="AQ2478" s="22"/>
      <c r="AR2478" s="35"/>
      <c r="AS2478" s="35"/>
      <c r="AT2478" s="35"/>
      <c r="AU2478" s="31"/>
      <c r="AV2478" s="36"/>
    </row>
    <row r="2479" spans="4:48">
      <c r="D2479" s="31"/>
      <c r="E2479" s="31"/>
      <c r="F2479" s="31"/>
      <c r="G2479" s="31"/>
      <c r="H2479" s="32"/>
      <c r="J2479" s="33"/>
      <c r="K2479" s="33"/>
      <c r="L2479" s="33"/>
      <c r="X2479" s="22"/>
      <c r="Y2479" s="22"/>
      <c r="Z2479" s="22"/>
      <c r="AA2479" s="22"/>
      <c r="AF2479" s="22"/>
      <c r="AG2479" s="22"/>
      <c r="AH2479" s="22"/>
      <c r="AI2479" s="22"/>
      <c r="AN2479" s="22"/>
      <c r="AO2479" s="22"/>
      <c r="AP2479" s="22"/>
      <c r="AQ2479" s="22"/>
      <c r="AR2479" s="35"/>
      <c r="AS2479" s="35"/>
      <c r="AT2479" s="35"/>
      <c r="AU2479" s="31"/>
      <c r="AV2479" s="36"/>
    </row>
    <row r="2480" spans="4:48">
      <c r="D2480" s="31"/>
      <c r="E2480" s="31"/>
      <c r="F2480" s="31"/>
      <c r="G2480" s="31"/>
      <c r="H2480" s="32"/>
      <c r="J2480" s="33"/>
      <c r="K2480" s="33"/>
      <c r="L2480" s="33"/>
      <c r="X2480" s="22"/>
      <c r="Y2480" s="22"/>
      <c r="Z2480" s="22"/>
      <c r="AA2480" s="22"/>
      <c r="AF2480" s="22"/>
      <c r="AG2480" s="22"/>
      <c r="AH2480" s="22"/>
      <c r="AI2480" s="22"/>
      <c r="AN2480" s="22"/>
      <c r="AO2480" s="22"/>
      <c r="AP2480" s="22"/>
      <c r="AQ2480" s="22"/>
      <c r="AR2480" s="35"/>
      <c r="AS2480" s="35"/>
      <c r="AT2480" s="35"/>
      <c r="AU2480" s="31"/>
      <c r="AV2480" s="36"/>
    </row>
    <row r="2481" spans="4:48">
      <c r="D2481" s="31"/>
      <c r="E2481" s="31"/>
      <c r="F2481" s="31"/>
      <c r="G2481" s="31"/>
      <c r="H2481" s="32"/>
      <c r="J2481" s="33"/>
      <c r="K2481" s="33"/>
      <c r="L2481" s="33"/>
      <c r="X2481" s="22"/>
      <c r="Y2481" s="22"/>
      <c r="Z2481" s="22"/>
      <c r="AA2481" s="22"/>
      <c r="AF2481" s="22"/>
      <c r="AG2481" s="22"/>
      <c r="AH2481" s="22"/>
      <c r="AI2481" s="22"/>
      <c r="AN2481" s="22"/>
      <c r="AO2481" s="22"/>
      <c r="AP2481" s="22"/>
      <c r="AQ2481" s="22"/>
      <c r="AR2481" s="35"/>
      <c r="AS2481" s="35"/>
      <c r="AT2481" s="35"/>
      <c r="AU2481" s="31"/>
      <c r="AV2481" s="36"/>
    </row>
    <row r="2482" spans="4:48">
      <c r="D2482" s="31"/>
      <c r="E2482" s="31"/>
      <c r="F2482" s="31"/>
      <c r="G2482" s="31"/>
      <c r="H2482" s="32"/>
      <c r="J2482" s="33"/>
      <c r="K2482" s="33"/>
      <c r="L2482" s="33"/>
      <c r="X2482" s="22"/>
      <c r="Y2482" s="22"/>
      <c r="Z2482" s="22"/>
      <c r="AA2482" s="22"/>
      <c r="AF2482" s="22"/>
      <c r="AG2482" s="22"/>
      <c r="AH2482" s="22"/>
      <c r="AI2482" s="22"/>
      <c r="AN2482" s="22"/>
      <c r="AO2482" s="22"/>
      <c r="AP2482" s="22"/>
      <c r="AQ2482" s="22"/>
      <c r="AR2482" s="35"/>
      <c r="AS2482" s="35"/>
      <c r="AT2482" s="35"/>
      <c r="AU2482" s="31"/>
      <c r="AV2482" s="36"/>
    </row>
    <row r="2483" spans="4:48">
      <c r="D2483" s="31"/>
      <c r="E2483" s="31"/>
      <c r="F2483" s="31"/>
      <c r="G2483" s="31"/>
      <c r="H2483" s="32"/>
      <c r="J2483" s="33"/>
      <c r="K2483" s="33"/>
      <c r="L2483" s="33"/>
      <c r="X2483" s="22"/>
      <c r="Y2483" s="22"/>
      <c r="Z2483" s="22"/>
      <c r="AA2483" s="22"/>
      <c r="AF2483" s="22"/>
      <c r="AG2483" s="22"/>
      <c r="AH2483" s="22"/>
      <c r="AI2483" s="22"/>
      <c r="AN2483" s="22"/>
      <c r="AO2483" s="22"/>
      <c r="AP2483" s="22"/>
      <c r="AQ2483" s="22"/>
      <c r="AR2483" s="35"/>
      <c r="AS2483" s="35"/>
      <c r="AT2483" s="35"/>
      <c r="AU2483" s="31"/>
      <c r="AV2483" s="36"/>
    </row>
    <row r="2484" spans="4:48">
      <c r="D2484" s="31"/>
      <c r="E2484" s="31"/>
      <c r="F2484" s="31"/>
      <c r="G2484" s="31"/>
      <c r="H2484" s="32"/>
      <c r="J2484" s="33"/>
      <c r="K2484" s="33"/>
      <c r="L2484" s="33"/>
      <c r="X2484" s="22"/>
      <c r="Y2484" s="22"/>
      <c r="Z2484" s="22"/>
      <c r="AA2484" s="22"/>
      <c r="AF2484" s="22"/>
      <c r="AG2484" s="22"/>
      <c r="AH2484" s="22"/>
      <c r="AI2484" s="22"/>
      <c r="AN2484" s="22"/>
      <c r="AO2484" s="22"/>
      <c r="AP2484" s="22"/>
      <c r="AQ2484" s="22"/>
      <c r="AR2484" s="35"/>
      <c r="AS2484" s="35"/>
      <c r="AT2484" s="35"/>
      <c r="AU2484" s="31"/>
      <c r="AV2484" s="36"/>
    </row>
    <row r="2485" spans="4:48">
      <c r="D2485" s="31"/>
      <c r="E2485" s="31"/>
      <c r="F2485" s="31"/>
      <c r="G2485" s="31"/>
      <c r="H2485" s="32"/>
      <c r="J2485" s="33"/>
      <c r="K2485" s="33"/>
      <c r="L2485" s="33"/>
      <c r="X2485" s="22"/>
      <c r="Y2485" s="22"/>
      <c r="Z2485" s="22"/>
      <c r="AA2485" s="22"/>
      <c r="AF2485" s="22"/>
      <c r="AG2485" s="22"/>
      <c r="AH2485" s="22"/>
      <c r="AI2485" s="22"/>
      <c r="AN2485" s="22"/>
      <c r="AO2485" s="22"/>
      <c r="AP2485" s="22"/>
      <c r="AQ2485" s="22"/>
      <c r="AR2485" s="35"/>
      <c r="AS2485" s="35"/>
      <c r="AT2485" s="35"/>
      <c r="AU2485" s="31"/>
      <c r="AV2485" s="36"/>
    </row>
    <row r="2486" spans="4:48">
      <c r="D2486" s="31"/>
      <c r="E2486" s="31"/>
      <c r="F2486" s="31"/>
      <c r="G2486" s="31"/>
      <c r="H2486" s="32"/>
      <c r="J2486" s="33"/>
      <c r="K2486" s="33"/>
      <c r="L2486" s="33"/>
      <c r="X2486" s="22"/>
      <c r="Y2486" s="22"/>
      <c r="Z2486" s="22"/>
      <c r="AA2486" s="22"/>
      <c r="AF2486" s="22"/>
      <c r="AG2486" s="22"/>
      <c r="AH2486" s="22"/>
      <c r="AI2486" s="22"/>
      <c r="AN2486" s="22"/>
      <c r="AO2486" s="22"/>
      <c r="AP2486" s="22"/>
      <c r="AQ2486" s="22"/>
      <c r="AR2486" s="35"/>
      <c r="AS2486" s="35"/>
      <c r="AT2486" s="35"/>
      <c r="AU2486" s="31"/>
      <c r="AV2486" s="36"/>
    </row>
    <row r="2487" spans="4:48">
      <c r="D2487" s="31"/>
      <c r="E2487" s="31"/>
      <c r="F2487" s="31"/>
      <c r="G2487" s="31"/>
      <c r="H2487" s="32"/>
      <c r="J2487" s="33"/>
      <c r="K2487" s="33"/>
      <c r="L2487" s="33"/>
      <c r="X2487" s="22"/>
      <c r="Y2487" s="22"/>
      <c r="Z2487" s="22"/>
      <c r="AA2487" s="22"/>
      <c r="AF2487" s="22"/>
      <c r="AG2487" s="22"/>
      <c r="AH2487" s="22"/>
      <c r="AI2487" s="22"/>
      <c r="AN2487" s="22"/>
      <c r="AO2487" s="22"/>
      <c r="AP2487" s="22"/>
      <c r="AQ2487" s="22"/>
      <c r="AR2487" s="35"/>
      <c r="AS2487" s="35"/>
      <c r="AT2487" s="35"/>
      <c r="AU2487" s="31"/>
      <c r="AV2487" s="36"/>
    </row>
    <row r="2488" spans="4:48">
      <c r="D2488" s="31"/>
      <c r="E2488" s="31"/>
      <c r="F2488" s="31"/>
      <c r="G2488" s="31"/>
      <c r="H2488" s="32"/>
      <c r="J2488" s="33"/>
      <c r="K2488" s="33"/>
      <c r="L2488" s="33"/>
      <c r="X2488" s="22"/>
      <c r="Y2488" s="22"/>
      <c r="Z2488" s="22"/>
      <c r="AA2488" s="22"/>
      <c r="AF2488" s="22"/>
      <c r="AG2488" s="22"/>
      <c r="AH2488" s="22"/>
      <c r="AI2488" s="22"/>
      <c r="AN2488" s="22"/>
      <c r="AO2488" s="22"/>
      <c r="AP2488" s="22"/>
      <c r="AQ2488" s="22"/>
      <c r="AR2488" s="35"/>
      <c r="AS2488" s="35"/>
      <c r="AT2488" s="35"/>
      <c r="AU2488" s="31"/>
      <c r="AV2488" s="36"/>
    </row>
    <row r="2489" spans="4:48">
      <c r="D2489" s="31"/>
      <c r="E2489" s="31"/>
      <c r="F2489" s="31"/>
      <c r="G2489" s="31"/>
      <c r="H2489" s="32"/>
      <c r="J2489" s="33"/>
      <c r="K2489" s="33"/>
      <c r="L2489" s="33"/>
      <c r="X2489" s="22"/>
      <c r="Y2489" s="22"/>
      <c r="Z2489" s="22"/>
      <c r="AA2489" s="22"/>
      <c r="AF2489" s="22"/>
      <c r="AG2489" s="22"/>
      <c r="AH2489" s="22"/>
      <c r="AI2489" s="22"/>
      <c r="AN2489" s="22"/>
      <c r="AO2489" s="22"/>
      <c r="AP2489" s="22"/>
      <c r="AQ2489" s="22"/>
      <c r="AR2489" s="35"/>
      <c r="AS2489" s="35"/>
      <c r="AT2489" s="35"/>
      <c r="AU2489" s="31"/>
      <c r="AV2489" s="36"/>
    </row>
    <row r="2490" spans="4:48">
      <c r="D2490" s="31"/>
      <c r="E2490" s="31"/>
      <c r="F2490" s="31"/>
      <c r="G2490" s="31"/>
      <c r="H2490" s="32"/>
      <c r="J2490" s="33"/>
      <c r="K2490" s="33"/>
      <c r="L2490" s="33"/>
      <c r="X2490" s="22"/>
      <c r="Y2490" s="22"/>
      <c r="Z2490" s="22"/>
      <c r="AA2490" s="22"/>
      <c r="AF2490" s="22"/>
      <c r="AG2490" s="22"/>
      <c r="AH2490" s="22"/>
      <c r="AI2490" s="22"/>
      <c r="AN2490" s="22"/>
      <c r="AO2490" s="22"/>
      <c r="AP2490" s="22"/>
      <c r="AQ2490" s="22"/>
      <c r="AR2490" s="35"/>
      <c r="AS2490" s="35"/>
      <c r="AT2490" s="35"/>
      <c r="AU2490" s="31"/>
      <c r="AV2490" s="36"/>
    </row>
    <row r="2491" spans="4:48">
      <c r="D2491" s="31"/>
      <c r="E2491" s="31"/>
      <c r="F2491" s="31"/>
      <c r="G2491" s="31"/>
      <c r="H2491" s="32"/>
      <c r="J2491" s="33"/>
      <c r="K2491" s="33"/>
      <c r="L2491" s="33"/>
      <c r="X2491" s="22"/>
      <c r="Y2491" s="22"/>
      <c r="Z2491" s="22"/>
      <c r="AA2491" s="22"/>
      <c r="AF2491" s="22"/>
      <c r="AG2491" s="22"/>
      <c r="AH2491" s="22"/>
      <c r="AI2491" s="22"/>
      <c r="AN2491" s="22"/>
      <c r="AO2491" s="22"/>
      <c r="AP2491" s="22"/>
      <c r="AQ2491" s="22"/>
      <c r="AR2491" s="35"/>
      <c r="AS2491" s="35"/>
      <c r="AT2491" s="35"/>
      <c r="AU2491" s="31"/>
      <c r="AV2491" s="36"/>
    </row>
    <row r="2492" spans="4:48">
      <c r="D2492" s="31"/>
      <c r="E2492" s="31"/>
      <c r="F2492" s="31"/>
      <c r="G2492" s="31"/>
      <c r="H2492" s="32"/>
      <c r="J2492" s="33"/>
      <c r="K2492" s="33"/>
      <c r="L2492" s="33"/>
      <c r="X2492" s="22"/>
      <c r="Y2492" s="22"/>
      <c r="Z2492" s="22"/>
      <c r="AA2492" s="22"/>
      <c r="AF2492" s="22"/>
      <c r="AG2492" s="22"/>
      <c r="AH2492" s="22"/>
      <c r="AI2492" s="22"/>
      <c r="AN2492" s="22"/>
      <c r="AO2492" s="22"/>
      <c r="AP2492" s="22"/>
      <c r="AQ2492" s="22"/>
      <c r="AR2492" s="35"/>
      <c r="AS2492" s="35"/>
      <c r="AT2492" s="35"/>
      <c r="AU2492" s="31"/>
      <c r="AV2492" s="36"/>
    </row>
    <row r="2493" spans="4:48">
      <c r="D2493" s="31"/>
      <c r="E2493" s="31"/>
      <c r="F2493" s="31"/>
      <c r="G2493" s="31"/>
      <c r="H2493" s="32"/>
      <c r="J2493" s="33"/>
      <c r="K2493" s="33"/>
      <c r="L2493" s="33"/>
      <c r="X2493" s="22"/>
      <c r="Y2493" s="22"/>
      <c r="Z2493" s="22"/>
      <c r="AA2493" s="22"/>
      <c r="AF2493" s="22"/>
      <c r="AG2493" s="22"/>
      <c r="AH2493" s="22"/>
      <c r="AI2493" s="22"/>
      <c r="AN2493" s="22"/>
      <c r="AO2493" s="22"/>
      <c r="AP2493" s="22"/>
      <c r="AQ2493" s="22"/>
      <c r="AR2493" s="35"/>
      <c r="AS2493" s="35"/>
      <c r="AT2493" s="35"/>
      <c r="AU2493" s="31"/>
      <c r="AV2493" s="36"/>
    </row>
    <row r="2494" spans="4:48">
      <c r="D2494" s="31"/>
      <c r="E2494" s="31"/>
      <c r="F2494" s="31"/>
      <c r="G2494" s="31"/>
      <c r="H2494" s="32"/>
      <c r="J2494" s="33"/>
      <c r="K2494" s="33"/>
      <c r="L2494" s="33"/>
      <c r="X2494" s="22"/>
      <c r="Y2494" s="22"/>
      <c r="Z2494" s="22"/>
      <c r="AA2494" s="22"/>
      <c r="AF2494" s="22"/>
      <c r="AG2494" s="22"/>
      <c r="AH2494" s="22"/>
      <c r="AI2494" s="22"/>
      <c r="AN2494" s="22"/>
      <c r="AO2494" s="22"/>
      <c r="AP2494" s="22"/>
      <c r="AQ2494" s="22"/>
      <c r="AR2494" s="35"/>
      <c r="AS2494" s="35"/>
      <c r="AT2494" s="35"/>
      <c r="AU2494" s="31"/>
      <c r="AV2494" s="36"/>
    </row>
    <row r="2495" spans="4:48">
      <c r="D2495" s="31"/>
      <c r="E2495" s="31"/>
      <c r="F2495" s="31"/>
      <c r="G2495" s="31"/>
      <c r="H2495" s="32"/>
      <c r="J2495" s="33"/>
      <c r="K2495" s="33"/>
      <c r="L2495" s="33"/>
      <c r="X2495" s="22"/>
      <c r="Y2495" s="22"/>
      <c r="Z2495" s="22"/>
      <c r="AA2495" s="22"/>
      <c r="AF2495" s="22"/>
      <c r="AG2495" s="22"/>
      <c r="AH2495" s="22"/>
      <c r="AI2495" s="22"/>
      <c r="AN2495" s="22"/>
      <c r="AO2495" s="22"/>
      <c r="AP2495" s="22"/>
      <c r="AQ2495" s="22"/>
      <c r="AR2495" s="35"/>
      <c r="AS2495" s="35"/>
      <c r="AT2495" s="35"/>
      <c r="AU2495" s="31"/>
      <c r="AV2495" s="36"/>
    </row>
    <row r="2496" spans="4:48">
      <c r="D2496" s="31"/>
      <c r="E2496" s="31"/>
      <c r="F2496" s="31"/>
      <c r="G2496" s="31"/>
      <c r="H2496" s="32"/>
      <c r="J2496" s="33"/>
      <c r="K2496" s="33"/>
      <c r="L2496" s="33"/>
      <c r="X2496" s="22"/>
      <c r="Y2496" s="22"/>
      <c r="Z2496" s="22"/>
      <c r="AA2496" s="22"/>
      <c r="AF2496" s="22"/>
      <c r="AG2496" s="22"/>
      <c r="AH2496" s="22"/>
      <c r="AI2496" s="22"/>
      <c r="AN2496" s="22"/>
      <c r="AO2496" s="22"/>
      <c r="AP2496" s="22"/>
      <c r="AQ2496" s="22"/>
      <c r="AR2496" s="35"/>
      <c r="AS2496" s="35"/>
      <c r="AT2496" s="35"/>
      <c r="AU2496" s="31"/>
      <c r="AV2496" s="36"/>
    </row>
    <row r="2497" spans="4:48">
      <c r="D2497" s="31"/>
      <c r="E2497" s="31"/>
      <c r="F2497" s="31"/>
      <c r="G2497" s="31"/>
      <c r="H2497" s="32"/>
      <c r="J2497" s="33"/>
      <c r="K2497" s="33"/>
      <c r="L2497" s="33"/>
      <c r="X2497" s="22"/>
      <c r="Y2497" s="22"/>
      <c r="Z2497" s="22"/>
      <c r="AA2497" s="22"/>
      <c r="AF2497" s="22"/>
      <c r="AG2497" s="22"/>
      <c r="AH2497" s="22"/>
      <c r="AI2497" s="22"/>
      <c r="AN2497" s="22"/>
      <c r="AO2497" s="22"/>
      <c r="AP2497" s="22"/>
      <c r="AQ2497" s="22"/>
      <c r="AR2497" s="35"/>
      <c r="AS2497" s="35"/>
      <c r="AT2497" s="35"/>
      <c r="AU2497" s="31"/>
      <c r="AV2497" s="36"/>
    </row>
    <row r="2498" spans="4:48">
      <c r="D2498" s="31"/>
      <c r="E2498" s="31"/>
      <c r="F2498" s="31"/>
      <c r="G2498" s="31"/>
      <c r="H2498" s="32"/>
      <c r="J2498" s="33"/>
      <c r="K2498" s="33"/>
      <c r="L2498" s="33"/>
      <c r="X2498" s="22"/>
      <c r="Y2498" s="22"/>
      <c r="Z2498" s="22"/>
      <c r="AA2498" s="22"/>
      <c r="AF2498" s="22"/>
      <c r="AG2498" s="22"/>
      <c r="AH2498" s="22"/>
      <c r="AI2498" s="22"/>
      <c r="AN2498" s="22"/>
      <c r="AO2498" s="22"/>
      <c r="AP2498" s="22"/>
      <c r="AQ2498" s="22"/>
      <c r="AR2498" s="35"/>
      <c r="AS2498" s="35"/>
      <c r="AT2498" s="35"/>
      <c r="AU2498" s="31"/>
      <c r="AV2498" s="36"/>
    </row>
    <row r="2499" spans="4:48">
      <c r="D2499" s="31"/>
      <c r="E2499" s="31"/>
      <c r="F2499" s="31"/>
      <c r="G2499" s="31"/>
      <c r="H2499" s="32"/>
      <c r="J2499" s="33"/>
      <c r="K2499" s="33"/>
      <c r="L2499" s="33"/>
      <c r="X2499" s="22"/>
      <c r="Y2499" s="22"/>
      <c r="Z2499" s="22"/>
      <c r="AA2499" s="22"/>
      <c r="AF2499" s="22"/>
      <c r="AG2499" s="22"/>
      <c r="AH2499" s="22"/>
      <c r="AI2499" s="22"/>
      <c r="AN2499" s="22"/>
      <c r="AO2499" s="22"/>
      <c r="AP2499" s="22"/>
      <c r="AQ2499" s="22"/>
      <c r="AR2499" s="35"/>
      <c r="AS2499" s="35"/>
      <c r="AT2499" s="35"/>
      <c r="AU2499" s="31"/>
      <c r="AV2499" s="36"/>
    </row>
    <row r="2500" spans="4:48">
      <c r="D2500" s="31"/>
      <c r="E2500" s="31"/>
      <c r="F2500" s="31"/>
      <c r="G2500" s="31"/>
      <c r="H2500" s="32"/>
      <c r="J2500" s="33"/>
      <c r="K2500" s="33"/>
      <c r="L2500" s="33"/>
      <c r="X2500" s="22"/>
      <c r="Y2500" s="22"/>
      <c r="Z2500" s="22"/>
      <c r="AA2500" s="22"/>
      <c r="AF2500" s="22"/>
      <c r="AG2500" s="22"/>
      <c r="AH2500" s="22"/>
      <c r="AI2500" s="22"/>
      <c r="AN2500" s="22"/>
      <c r="AO2500" s="22"/>
      <c r="AP2500" s="22"/>
      <c r="AQ2500" s="22"/>
      <c r="AR2500" s="35"/>
      <c r="AS2500" s="35"/>
      <c r="AT2500" s="35"/>
      <c r="AU2500" s="31"/>
      <c r="AV2500" s="36"/>
    </row>
    <row r="2501" spans="4:48">
      <c r="D2501" s="31"/>
      <c r="E2501" s="31"/>
      <c r="F2501" s="31"/>
      <c r="G2501" s="31"/>
      <c r="H2501" s="32"/>
      <c r="J2501" s="33"/>
      <c r="K2501" s="33"/>
      <c r="L2501" s="33"/>
      <c r="X2501" s="22"/>
      <c r="Y2501" s="22"/>
      <c r="Z2501" s="22"/>
      <c r="AA2501" s="22"/>
      <c r="AF2501" s="22"/>
      <c r="AG2501" s="22"/>
      <c r="AH2501" s="22"/>
      <c r="AI2501" s="22"/>
      <c r="AN2501" s="22"/>
      <c r="AO2501" s="22"/>
      <c r="AP2501" s="22"/>
      <c r="AQ2501" s="22"/>
      <c r="AR2501" s="35"/>
      <c r="AS2501" s="35"/>
      <c r="AT2501" s="35"/>
      <c r="AU2501" s="31"/>
      <c r="AV2501" s="36"/>
    </row>
    <row r="2502" spans="4:48">
      <c r="D2502" s="31"/>
      <c r="E2502" s="31"/>
      <c r="F2502" s="31"/>
      <c r="G2502" s="31"/>
      <c r="H2502" s="32"/>
      <c r="J2502" s="33"/>
      <c r="K2502" s="33"/>
      <c r="L2502" s="33"/>
      <c r="X2502" s="22"/>
      <c r="Y2502" s="22"/>
      <c r="Z2502" s="22"/>
      <c r="AA2502" s="22"/>
      <c r="AF2502" s="22"/>
      <c r="AG2502" s="22"/>
      <c r="AH2502" s="22"/>
      <c r="AI2502" s="22"/>
      <c r="AN2502" s="22"/>
      <c r="AO2502" s="22"/>
      <c r="AP2502" s="22"/>
      <c r="AQ2502" s="22"/>
      <c r="AR2502" s="35"/>
      <c r="AS2502" s="35"/>
      <c r="AT2502" s="35"/>
      <c r="AU2502" s="31"/>
      <c r="AV2502" s="36"/>
    </row>
    <row r="2503" spans="4:48">
      <c r="D2503" s="31"/>
      <c r="E2503" s="31"/>
      <c r="F2503" s="31"/>
      <c r="G2503" s="31"/>
      <c r="H2503" s="32"/>
      <c r="J2503" s="33"/>
      <c r="K2503" s="33"/>
      <c r="L2503" s="33"/>
      <c r="X2503" s="22"/>
      <c r="Y2503" s="22"/>
      <c r="Z2503" s="22"/>
      <c r="AA2503" s="22"/>
      <c r="AF2503" s="22"/>
      <c r="AG2503" s="22"/>
      <c r="AH2503" s="22"/>
      <c r="AI2503" s="22"/>
      <c r="AN2503" s="22"/>
      <c r="AO2503" s="22"/>
      <c r="AP2503" s="22"/>
      <c r="AQ2503" s="22"/>
      <c r="AR2503" s="35"/>
      <c r="AS2503" s="35"/>
      <c r="AT2503" s="35"/>
      <c r="AU2503" s="31"/>
      <c r="AV2503" s="36"/>
    </row>
    <row r="2504" spans="4:48">
      <c r="D2504" s="31"/>
      <c r="E2504" s="31"/>
      <c r="F2504" s="31"/>
      <c r="G2504" s="31"/>
      <c r="H2504" s="32"/>
      <c r="J2504" s="33"/>
      <c r="K2504" s="33"/>
      <c r="L2504" s="33"/>
      <c r="X2504" s="22"/>
      <c r="Y2504" s="22"/>
      <c r="Z2504" s="22"/>
      <c r="AA2504" s="22"/>
      <c r="AF2504" s="22"/>
      <c r="AG2504" s="22"/>
      <c r="AH2504" s="22"/>
      <c r="AI2504" s="22"/>
      <c r="AN2504" s="22"/>
      <c r="AO2504" s="22"/>
      <c r="AP2504" s="22"/>
      <c r="AQ2504" s="22"/>
      <c r="AR2504" s="35"/>
      <c r="AS2504" s="35"/>
      <c r="AT2504" s="35"/>
      <c r="AU2504" s="31"/>
      <c r="AV2504" s="36"/>
    </row>
    <row r="2505" spans="4:48">
      <c r="D2505" s="31"/>
      <c r="E2505" s="31"/>
      <c r="F2505" s="31"/>
      <c r="G2505" s="31"/>
      <c r="H2505" s="32"/>
      <c r="J2505" s="33"/>
      <c r="K2505" s="33"/>
      <c r="L2505" s="33"/>
      <c r="X2505" s="22"/>
      <c r="Y2505" s="22"/>
      <c r="Z2505" s="22"/>
      <c r="AA2505" s="22"/>
      <c r="AF2505" s="22"/>
      <c r="AG2505" s="22"/>
      <c r="AH2505" s="22"/>
      <c r="AI2505" s="22"/>
      <c r="AN2505" s="22"/>
      <c r="AO2505" s="22"/>
      <c r="AP2505" s="22"/>
      <c r="AQ2505" s="22"/>
      <c r="AR2505" s="35"/>
      <c r="AS2505" s="35"/>
      <c r="AT2505" s="35"/>
      <c r="AU2505" s="31"/>
      <c r="AV2505" s="36"/>
    </row>
    <row r="2506" spans="4:48">
      <c r="D2506" s="31"/>
      <c r="E2506" s="31"/>
      <c r="F2506" s="31"/>
      <c r="G2506" s="31"/>
      <c r="H2506" s="32"/>
      <c r="J2506" s="33"/>
      <c r="K2506" s="33"/>
      <c r="L2506" s="33"/>
      <c r="X2506" s="22"/>
      <c r="Y2506" s="22"/>
      <c r="Z2506" s="22"/>
      <c r="AA2506" s="22"/>
      <c r="AF2506" s="22"/>
      <c r="AG2506" s="22"/>
      <c r="AH2506" s="22"/>
      <c r="AI2506" s="22"/>
      <c r="AN2506" s="22"/>
      <c r="AO2506" s="22"/>
      <c r="AP2506" s="22"/>
      <c r="AQ2506" s="22"/>
      <c r="AR2506" s="35"/>
      <c r="AS2506" s="35"/>
      <c r="AT2506" s="35"/>
      <c r="AU2506" s="31"/>
      <c r="AV2506" s="36"/>
    </row>
    <row r="2507" spans="4:48">
      <c r="D2507" s="31"/>
      <c r="E2507" s="31"/>
      <c r="F2507" s="31"/>
      <c r="G2507" s="31"/>
      <c r="H2507" s="32"/>
      <c r="J2507" s="33"/>
      <c r="K2507" s="33"/>
      <c r="L2507" s="33"/>
      <c r="X2507" s="22"/>
      <c r="Y2507" s="22"/>
      <c r="Z2507" s="22"/>
      <c r="AA2507" s="22"/>
      <c r="AF2507" s="22"/>
      <c r="AG2507" s="22"/>
      <c r="AH2507" s="22"/>
      <c r="AI2507" s="22"/>
      <c r="AN2507" s="22"/>
      <c r="AO2507" s="22"/>
      <c r="AP2507" s="22"/>
      <c r="AQ2507" s="22"/>
      <c r="AR2507" s="35"/>
      <c r="AS2507" s="35"/>
      <c r="AT2507" s="35"/>
      <c r="AU2507" s="31"/>
      <c r="AV2507" s="36"/>
    </row>
    <row r="2508" spans="4:48">
      <c r="D2508" s="31"/>
      <c r="E2508" s="31"/>
      <c r="F2508" s="31"/>
      <c r="G2508" s="31"/>
      <c r="H2508" s="32"/>
      <c r="J2508" s="33"/>
      <c r="K2508" s="33"/>
      <c r="L2508" s="33"/>
      <c r="X2508" s="22"/>
      <c r="Y2508" s="22"/>
      <c r="Z2508" s="22"/>
      <c r="AA2508" s="22"/>
      <c r="AF2508" s="22"/>
      <c r="AG2508" s="22"/>
      <c r="AH2508" s="22"/>
      <c r="AI2508" s="22"/>
      <c r="AN2508" s="22"/>
      <c r="AO2508" s="22"/>
      <c r="AP2508" s="22"/>
      <c r="AQ2508" s="22"/>
      <c r="AR2508" s="35"/>
      <c r="AS2508" s="35"/>
      <c r="AT2508" s="35"/>
      <c r="AU2508" s="31"/>
      <c r="AV2508" s="36"/>
    </row>
    <row r="2509" spans="4:48">
      <c r="D2509" s="31"/>
      <c r="E2509" s="31"/>
      <c r="F2509" s="31"/>
      <c r="G2509" s="31"/>
      <c r="H2509" s="32"/>
      <c r="J2509" s="33"/>
      <c r="K2509" s="33"/>
      <c r="L2509" s="33"/>
      <c r="X2509" s="22"/>
      <c r="Y2509" s="22"/>
      <c r="Z2509" s="22"/>
      <c r="AA2509" s="22"/>
      <c r="AF2509" s="22"/>
      <c r="AG2509" s="22"/>
      <c r="AH2509" s="22"/>
      <c r="AI2509" s="22"/>
      <c r="AN2509" s="22"/>
      <c r="AO2509" s="22"/>
      <c r="AP2509" s="22"/>
      <c r="AQ2509" s="22"/>
      <c r="AR2509" s="35"/>
      <c r="AS2509" s="35"/>
      <c r="AT2509" s="35"/>
      <c r="AU2509" s="31"/>
      <c r="AV2509" s="36"/>
    </row>
    <row r="2510" spans="4:48">
      <c r="D2510" s="31"/>
      <c r="E2510" s="31"/>
      <c r="F2510" s="31"/>
      <c r="G2510" s="31"/>
      <c r="H2510" s="32"/>
      <c r="J2510" s="33"/>
      <c r="K2510" s="33"/>
      <c r="L2510" s="33"/>
      <c r="X2510" s="22"/>
      <c r="Y2510" s="22"/>
      <c r="Z2510" s="22"/>
      <c r="AA2510" s="22"/>
      <c r="AF2510" s="22"/>
      <c r="AG2510" s="22"/>
      <c r="AH2510" s="22"/>
      <c r="AI2510" s="22"/>
      <c r="AN2510" s="22"/>
      <c r="AO2510" s="22"/>
      <c r="AP2510" s="22"/>
      <c r="AQ2510" s="22"/>
      <c r="AR2510" s="35"/>
      <c r="AS2510" s="35"/>
      <c r="AT2510" s="35"/>
      <c r="AU2510" s="31"/>
      <c r="AV2510" s="36"/>
    </row>
    <row r="2511" spans="4:48">
      <c r="D2511" s="31"/>
      <c r="E2511" s="31"/>
      <c r="F2511" s="31"/>
      <c r="G2511" s="31"/>
      <c r="H2511" s="32"/>
      <c r="J2511" s="33"/>
      <c r="K2511" s="33"/>
      <c r="L2511" s="33"/>
      <c r="X2511" s="22"/>
      <c r="Y2511" s="22"/>
      <c r="Z2511" s="22"/>
      <c r="AA2511" s="22"/>
      <c r="AF2511" s="22"/>
      <c r="AG2511" s="22"/>
      <c r="AH2511" s="22"/>
      <c r="AI2511" s="22"/>
      <c r="AN2511" s="22"/>
      <c r="AO2511" s="22"/>
      <c r="AP2511" s="22"/>
      <c r="AQ2511" s="22"/>
      <c r="AR2511" s="35"/>
      <c r="AS2511" s="35"/>
      <c r="AT2511" s="35"/>
      <c r="AU2511" s="31"/>
      <c r="AV2511" s="36"/>
    </row>
    <row r="2512" spans="4:48">
      <c r="D2512" s="31"/>
      <c r="E2512" s="31"/>
      <c r="F2512" s="31"/>
      <c r="G2512" s="31"/>
      <c r="H2512" s="32"/>
      <c r="J2512" s="33"/>
      <c r="K2512" s="33"/>
      <c r="L2512" s="33"/>
      <c r="X2512" s="22"/>
      <c r="Y2512" s="22"/>
      <c r="Z2512" s="22"/>
      <c r="AA2512" s="22"/>
      <c r="AF2512" s="22"/>
      <c r="AG2512" s="22"/>
      <c r="AH2512" s="22"/>
      <c r="AI2512" s="22"/>
      <c r="AN2512" s="22"/>
      <c r="AO2512" s="22"/>
      <c r="AP2512" s="22"/>
      <c r="AQ2512" s="22"/>
      <c r="AR2512" s="35"/>
      <c r="AS2512" s="35"/>
      <c r="AT2512" s="35"/>
      <c r="AU2512" s="31"/>
      <c r="AV2512" s="36"/>
    </row>
    <row r="2513" spans="4:48">
      <c r="D2513" s="31"/>
      <c r="E2513" s="31"/>
      <c r="F2513" s="31"/>
      <c r="G2513" s="31"/>
      <c r="H2513" s="32"/>
      <c r="J2513" s="33"/>
      <c r="K2513" s="33"/>
      <c r="L2513" s="33"/>
      <c r="X2513" s="22"/>
      <c r="Y2513" s="22"/>
      <c r="Z2513" s="22"/>
      <c r="AA2513" s="22"/>
      <c r="AF2513" s="22"/>
      <c r="AG2513" s="22"/>
      <c r="AH2513" s="22"/>
      <c r="AI2513" s="22"/>
      <c r="AN2513" s="22"/>
      <c r="AO2513" s="22"/>
      <c r="AP2513" s="22"/>
      <c r="AQ2513" s="22"/>
      <c r="AR2513" s="35"/>
      <c r="AS2513" s="35"/>
      <c r="AT2513" s="35"/>
      <c r="AU2513" s="31"/>
      <c r="AV2513" s="36"/>
    </row>
    <row r="2514" spans="4:48">
      <c r="D2514" s="31"/>
      <c r="E2514" s="31"/>
      <c r="F2514" s="31"/>
      <c r="G2514" s="31"/>
      <c r="H2514" s="32"/>
      <c r="J2514" s="33"/>
      <c r="K2514" s="33"/>
      <c r="L2514" s="33"/>
      <c r="X2514" s="22"/>
      <c r="Y2514" s="22"/>
      <c r="Z2514" s="22"/>
      <c r="AA2514" s="22"/>
      <c r="AF2514" s="22"/>
      <c r="AG2514" s="22"/>
      <c r="AH2514" s="22"/>
      <c r="AI2514" s="22"/>
      <c r="AN2514" s="22"/>
      <c r="AO2514" s="22"/>
      <c r="AP2514" s="22"/>
      <c r="AQ2514" s="22"/>
      <c r="AR2514" s="35"/>
      <c r="AS2514" s="35"/>
      <c r="AT2514" s="35"/>
      <c r="AU2514" s="31"/>
      <c r="AV2514" s="36"/>
    </row>
    <row r="2515" spans="4:48">
      <c r="D2515" s="31"/>
      <c r="E2515" s="31"/>
      <c r="F2515" s="31"/>
      <c r="G2515" s="31"/>
      <c r="H2515" s="32"/>
      <c r="J2515" s="33"/>
      <c r="K2515" s="33"/>
      <c r="L2515" s="33"/>
      <c r="X2515" s="22"/>
      <c r="Y2515" s="22"/>
      <c r="Z2515" s="22"/>
      <c r="AA2515" s="22"/>
      <c r="AF2515" s="22"/>
      <c r="AG2515" s="22"/>
      <c r="AH2515" s="22"/>
      <c r="AI2515" s="22"/>
      <c r="AN2515" s="22"/>
      <c r="AO2515" s="22"/>
      <c r="AP2515" s="22"/>
      <c r="AQ2515" s="22"/>
      <c r="AR2515" s="35"/>
      <c r="AS2515" s="35"/>
      <c r="AT2515" s="35"/>
      <c r="AU2515" s="31"/>
      <c r="AV2515" s="36"/>
    </row>
    <row r="2516" spans="4:48">
      <c r="D2516" s="31"/>
      <c r="E2516" s="31"/>
      <c r="F2516" s="31"/>
      <c r="G2516" s="31"/>
      <c r="H2516" s="32"/>
      <c r="J2516" s="33"/>
      <c r="K2516" s="33"/>
      <c r="L2516" s="33"/>
      <c r="X2516" s="22"/>
      <c r="Y2516" s="22"/>
      <c r="Z2516" s="22"/>
      <c r="AA2516" s="22"/>
      <c r="AF2516" s="22"/>
      <c r="AG2516" s="22"/>
      <c r="AH2516" s="22"/>
      <c r="AI2516" s="22"/>
      <c r="AN2516" s="22"/>
      <c r="AO2516" s="22"/>
      <c r="AP2516" s="22"/>
      <c r="AQ2516" s="22"/>
      <c r="AR2516" s="35"/>
      <c r="AS2516" s="35"/>
      <c r="AT2516" s="35"/>
      <c r="AU2516" s="31"/>
      <c r="AV2516" s="36"/>
    </row>
    <row r="2517" spans="4:48">
      <c r="D2517" s="31"/>
      <c r="E2517" s="31"/>
      <c r="F2517" s="31"/>
      <c r="G2517" s="31"/>
      <c r="H2517" s="32"/>
      <c r="J2517" s="33"/>
      <c r="K2517" s="33"/>
      <c r="L2517" s="33"/>
      <c r="X2517" s="22"/>
      <c r="Y2517" s="22"/>
      <c r="Z2517" s="22"/>
      <c r="AA2517" s="22"/>
      <c r="AF2517" s="22"/>
      <c r="AG2517" s="22"/>
      <c r="AH2517" s="22"/>
      <c r="AI2517" s="22"/>
      <c r="AN2517" s="22"/>
      <c r="AO2517" s="22"/>
      <c r="AP2517" s="22"/>
      <c r="AQ2517" s="22"/>
      <c r="AR2517" s="35"/>
      <c r="AS2517" s="35"/>
      <c r="AT2517" s="35"/>
      <c r="AU2517" s="31"/>
      <c r="AV2517" s="36"/>
    </row>
    <row r="2518" spans="4:48">
      <c r="D2518" s="31"/>
      <c r="E2518" s="31"/>
      <c r="F2518" s="31"/>
      <c r="G2518" s="31"/>
      <c r="H2518" s="32"/>
      <c r="J2518" s="33"/>
      <c r="K2518" s="33"/>
      <c r="L2518" s="33"/>
      <c r="X2518" s="22"/>
      <c r="Y2518" s="22"/>
      <c r="Z2518" s="22"/>
      <c r="AA2518" s="22"/>
      <c r="AF2518" s="22"/>
      <c r="AG2518" s="22"/>
      <c r="AH2518" s="22"/>
      <c r="AI2518" s="22"/>
      <c r="AN2518" s="22"/>
      <c r="AO2518" s="22"/>
      <c r="AP2518" s="22"/>
      <c r="AQ2518" s="22"/>
      <c r="AR2518" s="35"/>
      <c r="AS2518" s="35"/>
      <c r="AT2518" s="35"/>
      <c r="AU2518" s="31"/>
      <c r="AV2518" s="36"/>
    </row>
    <row r="2519" spans="4:48">
      <c r="D2519" s="31"/>
      <c r="E2519" s="31"/>
      <c r="F2519" s="31"/>
      <c r="G2519" s="31"/>
      <c r="H2519" s="32"/>
      <c r="J2519" s="33"/>
      <c r="K2519" s="33"/>
      <c r="L2519" s="33"/>
      <c r="X2519" s="22"/>
      <c r="Y2519" s="22"/>
      <c r="Z2519" s="22"/>
      <c r="AA2519" s="22"/>
      <c r="AF2519" s="22"/>
      <c r="AG2519" s="22"/>
      <c r="AH2519" s="22"/>
      <c r="AI2519" s="22"/>
      <c r="AN2519" s="22"/>
      <c r="AO2519" s="22"/>
      <c r="AP2519" s="22"/>
      <c r="AQ2519" s="22"/>
      <c r="AR2519" s="35"/>
      <c r="AS2519" s="35"/>
      <c r="AT2519" s="35"/>
      <c r="AU2519" s="31"/>
      <c r="AV2519" s="36"/>
    </row>
    <row r="2520" spans="4:48">
      <c r="D2520" s="31"/>
      <c r="E2520" s="31"/>
      <c r="F2520" s="31"/>
      <c r="G2520" s="31"/>
      <c r="H2520" s="32"/>
      <c r="J2520" s="33"/>
      <c r="K2520" s="33"/>
      <c r="L2520" s="33"/>
      <c r="X2520" s="22"/>
      <c r="Y2520" s="22"/>
      <c r="Z2520" s="22"/>
      <c r="AA2520" s="22"/>
      <c r="AF2520" s="22"/>
      <c r="AG2520" s="22"/>
      <c r="AH2520" s="22"/>
      <c r="AI2520" s="22"/>
      <c r="AN2520" s="22"/>
      <c r="AO2520" s="22"/>
      <c r="AP2520" s="22"/>
      <c r="AQ2520" s="22"/>
      <c r="AR2520" s="35"/>
      <c r="AS2520" s="35"/>
      <c r="AT2520" s="35"/>
      <c r="AU2520" s="31"/>
      <c r="AV2520" s="36"/>
    </row>
    <row r="2521" spans="4:48">
      <c r="D2521" s="31"/>
      <c r="E2521" s="31"/>
      <c r="F2521" s="31"/>
      <c r="G2521" s="31"/>
      <c r="H2521" s="32"/>
      <c r="J2521" s="33"/>
      <c r="K2521" s="33"/>
      <c r="L2521" s="33"/>
      <c r="X2521" s="22"/>
      <c r="Y2521" s="22"/>
      <c r="Z2521" s="22"/>
      <c r="AA2521" s="22"/>
      <c r="AF2521" s="22"/>
      <c r="AG2521" s="22"/>
      <c r="AH2521" s="22"/>
      <c r="AI2521" s="22"/>
      <c r="AN2521" s="22"/>
      <c r="AO2521" s="22"/>
      <c r="AP2521" s="22"/>
      <c r="AQ2521" s="22"/>
      <c r="AR2521" s="35"/>
      <c r="AS2521" s="35"/>
      <c r="AT2521" s="35"/>
      <c r="AU2521" s="31"/>
      <c r="AV2521" s="36"/>
    </row>
    <row r="2522" spans="4:48">
      <c r="D2522" s="31"/>
      <c r="E2522" s="31"/>
      <c r="F2522" s="31"/>
      <c r="G2522" s="31"/>
      <c r="H2522" s="32"/>
      <c r="J2522" s="33"/>
      <c r="K2522" s="33"/>
      <c r="L2522" s="33"/>
      <c r="X2522" s="22"/>
      <c r="Y2522" s="22"/>
      <c r="Z2522" s="22"/>
      <c r="AA2522" s="22"/>
      <c r="AF2522" s="22"/>
      <c r="AG2522" s="22"/>
      <c r="AH2522" s="22"/>
      <c r="AI2522" s="22"/>
      <c r="AN2522" s="22"/>
      <c r="AO2522" s="22"/>
      <c r="AP2522" s="22"/>
      <c r="AQ2522" s="22"/>
      <c r="AR2522" s="35"/>
      <c r="AS2522" s="35"/>
      <c r="AT2522" s="35"/>
      <c r="AU2522" s="31"/>
      <c r="AV2522" s="36"/>
    </row>
    <row r="2523" spans="4:48">
      <c r="D2523" s="31"/>
      <c r="E2523" s="31"/>
      <c r="F2523" s="31"/>
      <c r="G2523" s="31"/>
      <c r="H2523" s="32"/>
      <c r="J2523" s="33"/>
      <c r="K2523" s="33"/>
      <c r="L2523" s="33"/>
      <c r="X2523" s="22"/>
      <c r="Y2523" s="22"/>
      <c r="Z2523" s="22"/>
      <c r="AA2523" s="22"/>
      <c r="AF2523" s="22"/>
      <c r="AG2523" s="22"/>
      <c r="AH2523" s="22"/>
      <c r="AI2523" s="22"/>
      <c r="AN2523" s="22"/>
      <c r="AO2523" s="22"/>
      <c r="AP2523" s="22"/>
      <c r="AQ2523" s="22"/>
      <c r="AR2523" s="35"/>
      <c r="AS2523" s="35"/>
      <c r="AT2523" s="35"/>
      <c r="AU2523" s="31"/>
      <c r="AV2523" s="36"/>
    </row>
    <row r="2524" spans="4:48">
      <c r="D2524" s="31"/>
      <c r="E2524" s="31"/>
      <c r="F2524" s="31"/>
      <c r="G2524" s="31"/>
      <c r="H2524" s="32"/>
      <c r="J2524" s="33"/>
      <c r="K2524" s="33"/>
      <c r="L2524" s="33"/>
      <c r="X2524" s="22"/>
      <c r="Y2524" s="22"/>
      <c r="Z2524" s="22"/>
      <c r="AA2524" s="22"/>
      <c r="AF2524" s="22"/>
      <c r="AG2524" s="22"/>
      <c r="AH2524" s="22"/>
      <c r="AI2524" s="22"/>
      <c r="AN2524" s="22"/>
      <c r="AO2524" s="22"/>
      <c r="AP2524" s="22"/>
      <c r="AQ2524" s="22"/>
      <c r="AR2524" s="35"/>
      <c r="AS2524" s="35"/>
      <c r="AT2524" s="35"/>
      <c r="AU2524" s="31"/>
      <c r="AV2524" s="36"/>
    </row>
    <row r="2525" spans="4:48">
      <c r="D2525" s="31"/>
      <c r="E2525" s="31"/>
      <c r="F2525" s="31"/>
      <c r="G2525" s="31"/>
      <c r="H2525" s="32"/>
      <c r="J2525" s="33"/>
      <c r="K2525" s="33"/>
      <c r="L2525" s="33"/>
      <c r="X2525" s="22"/>
      <c r="Y2525" s="22"/>
      <c r="Z2525" s="22"/>
      <c r="AA2525" s="22"/>
      <c r="AF2525" s="22"/>
      <c r="AG2525" s="22"/>
      <c r="AH2525" s="22"/>
      <c r="AI2525" s="22"/>
      <c r="AN2525" s="22"/>
      <c r="AO2525" s="22"/>
      <c r="AP2525" s="22"/>
      <c r="AQ2525" s="22"/>
      <c r="AR2525" s="35"/>
      <c r="AS2525" s="35"/>
      <c r="AT2525" s="35"/>
      <c r="AU2525" s="31"/>
      <c r="AV2525" s="36"/>
    </row>
    <row r="2526" spans="4:48">
      <c r="D2526" s="31"/>
      <c r="E2526" s="31"/>
      <c r="F2526" s="31"/>
      <c r="G2526" s="31"/>
      <c r="H2526" s="32"/>
      <c r="J2526" s="33"/>
      <c r="K2526" s="33"/>
      <c r="L2526" s="33"/>
      <c r="X2526" s="22"/>
      <c r="Y2526" s="22"/>
      <c r="Z2526" s="22"/>
      <c r="AA2526" s="22"/>
      <c r="AF2526" s="22"/>
      <c r="AG2526" s="22"/>
      <c r="AH2526" s="22"/>
      <c r="AI2526" s="22"/>
      <c r="AN2526" s="22"/>
      <c r="AO2526" s="22"/>
      <c r="AP2526" s="22"/>
      <c r="AQ2526" s="22"/>
      <c r="AR2526" s="35"/>
      <c r="AS2526" s="35"/>
      <c r="AT2526" s="35"/>
      <c r="AU2526" s="31"/>
      <c r="AV2526" s="36"/>
    </row>
    <row r="2527" spans="4:48">
      <c r="D2527" s="31"/>
      <c r="E2527" s="31"/>
      <c r="F2527" s="31"/>
      <c r="G2527" s="31"/>
      <c r="H2527" s="32"/>
      <c r="J2527" s="33"/>
      <c r="K2527" s="33"/>
      <c r="L2527" s="33"/>
      <c r="X2527" s="22"/>
      <c r="Y2527" s="22"/>
      <c r="Z2527" s="22"/>
      <c r="AA2527" s="22"/>
      <c r="AF2527" s="22"/>
      <c r="AG2527" s="22"/>
      <c r="AH2527" s="22"/>
      <c r="AI2527" s="22"/>
      <c r="AN2527" s="22"/>
      <c r="AO2527" s="22"/>
      <c r="AP2527" s="22"/>
      <c r="AQ2527" s="22"/>
      <c r="AR2527" s="35"/>
      <c r="AS2527" s="35"/>
      <c r="AT2527" s="35"/>
      <c r="AU2527" s="31"/>
      <c r="AV2527" s="36"/>
    </row>
    <row r="2528" spans="4:48">
      <c r="D2528" s="31"/>
      <c r="E2528" s="31"/>
      <c r="F2528" s="31"/>
      <c r="G2528" s="31"/>
      <c r="H2528" s="32"/>
      <c r="J2528" s="33"/>
      <c r="K2528" s="33"/>
      <c r="L2528" s="33"/>
      <c r="X2528" s="22"/>
      <c r="Y2528" s="22"/>
      <c r="Z2528" s="22"/>
      <c r="AA2528" s="22"/>
      <c r="AF2528" s="22"/>
      <c r="AG2528" s="22"/>
      <c r="AH2528" s="22"/>
      <c r="AI2528" s="22"/>
      <c r="AN2528" s="22"/>
      <c r="AO2528" s="22"/>
      <c r="AP2528" s="22"/>
      <c r="AQ2528" s="22"/>
      <c r="AR2528" s="35"/>
      <c r="AS2528" s="35"/>
      <c r="AT2528" s="35"/>
      <c r="AU2528" s="31"/>
      <c r="AV2528" s="36"/>
    </row>
    <row r="2529" spans="4:48">
      <c r="D2529" s="31"/>
      <c r="E2529" s="31"/>
      <c r="F2529" s="31"/>
      <c r="G2529" s="31"/>
      <c r="H2529" s="32"/>
      <c r="J2529" s="33"/>
      <c r="K2529" s="33"/>
      <c r="L2529" s="33"/>
      <c r="X2529" s="22"/>
      <c r="Y2529" s="22"/>
      <c r="Z2529" s="22"/>
      <c r="AA2529" s="22"/>
      <c r="AF2529" s="22"/>
      <c r="AG2529" s="22"/>
      <c r="AH2529" s="22"/>
      <c r="AI2529" s="22"/>
      <c r="AN2529" s="22"/>
      <c r="AO2529" s="22"/>
      <c r="AP2529" s="22"/>
      <c r="AQ2529" s="22"/>
      <c r="AR2529" s="35"/>
      <c r="AS2529" s="35"/>
      <c r="AT2529" s="35"/>
      <c r="AU2529" s="31"/>
      <c r="AV2529" s="36"/>
    </row>
    <row r="2530" spans="4:48">
      <c r="D2530" s="31"/>
      <c r="E2530" s="31"/>
      <c r="F2530" s="31"/>
      <c r="G2530" s="31"/>
      <c r="H2530" s="32"/>
      <c r="J2530" s="33"/>
      <c r="K2530" s="33"/>
      <c r="L2530" s="33"/>
      <c r="X2530" s="22"/>
      <c r="Y2530" s="22"/>
      <c r="Z2530" s="22"/>
      <c r="AA2530" s="22"/>
      <c r="AF2530" s="22"/>
      <c r="AG2530" s="22"/>
      <c r="AH2530" s="22"/>
      <c r="AI2530" s="22"/>
      <c r="AN2530" s="22"/>
      <c r="AO2530" s="22"/>
      <c r="AP2530" s="22"/>
      <c r="AQ2530" s="22"/>
      <c r="AR2530" s="35"/>
      <c r="AS2530" s="35"/>
      <c r="AT2530" s="35"/>
      <c r="AU2530" s="31"/>
      <c r="AV2530" s="36"/>
    </row>
    <row r="2531" spans="4:48">
      <c r="D2531" s="31"/>
      <c r="E2531" s="31"/>
      <c r="F2531" s="31"/>
      <c r="G2531" s="31"/>
      <c r="H2531" s="32"/>
      <c r="J2531" s="33"/>
      <c r="K2531" s="33"/>
      <c r="L2531" s="33"/>
      <c r="X2531" s="22"/>
      <c r="Y2531" s="22"/>
      <c r="Z2531" s="22"/>
      <c r="AA2531" s="22"/>
      <c r="AF2531" s="22"/>
      <c r="AG2531" s="22"/>
      <c r="AH2531" s="22"/>
      <c r="AI2531" s="22"/>
      <c r="AN2531" s="22"/>
      <c r="AO2531" s="22"/>
      <c r="AP2531" s="22"/>
      <c r="AQ2531" s="22"/>
      <c r="AR2531" s="35"/>
      <c r="AS2531" s="35"/>
      <c r="AT2531" s="35"/>
      <c r="AU2531" s="31"/>
      <c r="AV2531" s="36"/>
    </row>
    <row r="2532" spans="4:48">
      <c r="D2532" s="31"/>
      <c r="E2532" s="31"/>
      <c r="F2532" s="31"/>
      <c r="G2532" s="31"/>
      <c r="H2532" s="32"/>
      <c r="J2532" s="33"/>
      <c r="K2532" s="33"/>
      <c r="L2532" s="33"/>
      <c r="X2532" s="22"/>
      <c r="Y2532" s="22"/>
      <c r="Z2532" s="22"/>
      <c r="AA2532" s="22"/>
      <c r="AF2532" s="22"/>
      <c r="AG2532" s="22"/>
      <c r="AH2532" s="22"/>
      <c r="AI2532" s="22"/>
      <c r="AN2532" s="22"/>
      <c r="AO2532" s="22"/>
      <c r="AP2532" s="22"/>
      <c r="AQ2532" s="22"/>
      <c r="AR2532" s="35"/>
      <c r="AS2532" s="35"/>
      <c r="AT2532" s="35"/>
      <c r="AU2532" s="31"/>
      <c r="AV2532" s="36"/>
    </row>
    <row r="2533" spans="4:48">
      <c r="D2533" s="31"/>
      <c r="E2533" s="31"/>
      <c r="F2533" s="31"/>
      <c r="G2533" s="31"/>
      <c r="H2533" s="32"/>
      <c r="J2533" s="33"/>
      <c r="K2533" s="33"/>
      <c r="L2533" s="33"/>
      <c r="X2533" s="22"/>
      <c r="Y2533" s="22"/>
      <c r="Z2533" s="22"/>
      <c r="AA2533" s="22"/>
      <c r="AF2533" s="22"/>
      <c r="AG2533" s="22"/>
      <c r="AH2533" s="22"/>
      <c r="AI2533" s="22"/>
      <c r="AN2533" s="22"/>
      <c r="AO2533" s="22"/>
      <c r="AP2533" s="22"/>
      <c r="AQ2533" s="22"/>
      <c r="AR2533" s="35"/>
      <c r="AS2533" s="35"/>
      <c r="AT2533" s="35"/>
      <c r="AU2533" s="31"/>
      <c r="AV2533" s="36"/>
    </row>
    <row r="2534" spans="4:48">
      <c r="D2534" s="31"/>
      <c r="E2534" s="31"/>
      <c r="F2534" s="31"/>
      <c r="G2534" s="31"/>
      <c r="H2534" s="32"/>
      <c r="J2534" s="33"/>
      <c r="K2534" s="33"/>
      <c r="L2534" s="33"/>
      <c r="X2534" s="22"/>
      <c r="Y2534" s="22"/>
      <c r="Z2534" s="22"/>
      <c r="AA2534" s="22"/>
      <c r="AF2534" s="22"/>
      <c r="AG2534" s="22"/>
      <c r="AH2534" s="22"/>
      <c r="AI2534" s="22"/>
      <c r="AN2534" s="22"/>
      <c r="AO2534" s="22"/>
      <c r="AP2534" s="22"/>
      <c r="AQ2534" s="22"/>
      <c r="AR2534" s="35"/>
      <c r="AS2534" s="35"/>
      <c r="AT2534" s="35"/>
      <c r="AU2534" s="31"/>
      <c r="AV2534" s="36"/>
    </row>
    <row r="2535" spans="4:48">
      <c r="D2535" s="31"/>
      <c r="E2535" s="31"/>
      <c r="F2535" s="31"/>
      <c r="G2535" s="31"/>
      <c r="H2535" s="32"/>
      <c r="J2535" s="33"/>
      <c r="K2535" s="33"/>
      <c r="L2535" s="33"/>
      <c r="X2535" s="22"/>
      <c r="Y2535" s="22"/>
      <c r="Z2535" s="22"/>
      <c r="AA2535" s="22"/>
      <c r="AF2535" s="22"/>
      <c r="AG2535" s="22"/>
      <c r="AH2535" s="22"/>
      <c r="AI2535" s="22"/>
      <c r="AN2535" s="22"/>
      <c r="AO2535" s="22"/>
      <c r="AP2535" s="22"/>
      <c r="AQ2535" s="22"/>
      <c r="AR2535" s="35"/>
      <c r="AS2535" s="35"/>
      <c r="AT2535" s="35"/>
      <c r="AU2535" s="31"/>
      <c r="AV2535" s="36"/>
    </row>
    <row r="2536" spans="4:48">
      <c r="D2536" s="31"/>
      <c r="E2536" s="31"/>
      <c r="F2536" s="31"/>
      <c r="G2536" s="31"/>
      <c r="H2536" s="32"/>
      <c r="J2536" s="33"/>
      <c r="K2536" s="33"/>
      <c r="L2536" s="33"/>
      <c r="X2536" s="22"/>
      <c r="Y2536" s="22"/>
      <c r="Z2536" s="22"/>
      <c r="AA2536" s="22"/>
      <c r="AF2536" s="22"/>
      <c r="AG2536" s="22"/>
      <c r="AH2536" s="22"/>
      <c r="AI2536" s="22"/>
      <c r="AN2536" s="22"/>
      <c r="AO2536" s="22"/>
      <c r="AP2536" s="22"/>
      <c r="AQ2536" s="22"/>
      <c r="AR2536" s="35"/>
      <c r="AS2536" s="35"/>
      <c r="AT2536" s="35"/>
      <c r="AU2536" s="31"/>
      <c r="AV2536" s="36"/>
    </row>
    <row r="2537" spans="4:48">
      <c r="D2537" s="31"/>
      <c r="E2537" s="31"/>
      <c r="F2537" s="31"/>
      <c r="G2537" s="31"/>
      <c r="H2537" s="32"/>
      <c r="J2537" s="33"/>
      <c r="K2537" s="33"/>
      <c r="L2537" s="33"/>
      <c r="X2537" s="22"/>
      <c r="Y2537" s="22"/>
      <c r="Z2537" s="22"/>
      <c r="AA2537" s="22"/>
      <c r="AF2537" s="22"/>
      <c r="AG2537" s="22"/>
      <c r="AH2537" s="22"/>
      <c r="AI2537" s="22"/>
      <c r="AN2537" s="22"/>
      <c r="AO2537" s="22"/>
      <c r="AP2537" s="22"/>
      <c r="AQ2537" s="22"/>
      <c r="AR2537" s="35"/>
      <c r="AS2537" s="35"/>
      <c r="AT2537" s="35"/>
      <c r="AU2537" s="31"/>
      <c r="AV2537" s="36"/>
    </row>
    <row r="2538" spans="4:48">
      <c r="D2538" s="31"/>
      <c r="E2538" s="31"/>
      <c r="F2538" s="31"/>
      <c r="G2538" s="31"/>
      <c r="H2538" s="32"/>
      <c r="J2538" s="33"/>
      <c r="K2538" s="33"/>
      <c r="L2538" s="33"/>
      <c r="X2538" s="22"/>
      <c r="Y2538" s="22"/>
      <c r="Z2538" s="22"/>
      <c r="AA2538" s="22"/>
      <c r="AF2538" s="22"/>
      <c r="AG2538" s="22"/>
      <c r="AH2538" s="22"/>
      <c r="AI2538" s="22"/>
      <c r="AN2538" s="22"/>
      <c r="AO2538" s="22"/>
      <c r="AP2538" s="22"/>
      <c r="AQ2538" s="22"/>
      <c r="AR2538" s="35"/>
      <c r="AS2538" s="35"/>
      <c r="AT2538" s="35"/>
      <c r="AU2538" s="31"/>
      <c r="AV2538" s="36"/>
    </row>
    <row r="2539" spans="4:48">
      <c r="D2539" s="31"/>
      <c r="E2539" s="31"/>
      <c r="F2539" s="31"/>
      <c r="G2539" s="31"/>
      <c r="H2539" s="32"/>
      <c r="J2539" s="33"/>
      <c r="K2539" s="33"/>
      <c r="L2539" s="33"/>
      <c r="X2539" s="22"/>
      <c r="Y2539" s="22"/>
      <c r="Z2539" s="22"/>
      <c r="AA2539" s="22"/>
      <c r="AF2539" s="22"/>
      <c r="AG2539" s="22"/>
      <c r="AH2539" s="22"/>
      <c r="AI2539" s="22"/>
      <c r="AN2539" s="22"/>
      <c r="AO2539" s="22"/>
      <c r="AP2539" s="22"/>
      <c r="AQ2539" s="22"/>
      <c r="AR2539" s="35"/>
      <c r="AS2539" s="35"/>
      <c r="AT2539" s="35"/>
      <c r="AU2539" s="31"/>
      <c r="AV2539" s="36"/>
    </row>
    <row r="2540" spans="4:48">
      <c r="D2540" s="31"/>
      <c r="E2540" s="31"/>
      <c r="F2540" s="31"/>
      <c r="G2540" s="31"/>
      <c r="H2540" s="32"/>
      <c r="J2540" s="33"/>
      <c r="K2540" s="33"/>
      <c r="L2540" s="33"/>
      <c r="X2540" s="22"/>
      <c r="Y2540" s="22"/>
      <c r="Z2540" s="22"/>
      <c r="AA2540" s="22"/>
      <c r="AF2540" s="22"/>
      <c r="AG2540" s="22"/>
      <c r="AH2540" s="22"/>
      <c r="AI2540" s="22"/>
      <c r="AN2540" s="22"/>
      <c r="AO2540" s="22"/>
      <c r="AP2540" s="22"/>
      <c r="AQ2540" s="22"/>
      <c r="AR2540" s="35"/>
      <c r="AS2540" s="35"/>
      <c r="AT2540" s="35"/>
      <c r="AU2540" s="31"/>
      <c r="AV2540" s="36"/>
    </row>
    <row r="2541" spans="4:48">
      <c r="D2541" s="31"/>
      <c r="E2541" s="31"/>
      <c r="F2541" s="31"/>
      <c r="G2541" s="31"/>
      <c r="H2541" s="32"/>
      <c r="J2541" s="33"/>
      <c r="K2541" s="33"/>
      <c r="L2541" s="33"/>
      <c r="X2541" s="22"/>
      <c r="Y2541" s="22"/>
      <c r="Z2541" s="22"/>
      <c r="AA2541" s="22"/>
      <c r="AF2541" s="22"/>
      <c r="AG2541" s="22"/>
      <c r="AH2541" s="22"/>
      <c r="AI2541" s="22"/>
      <c r="AN2541" s="22"/>
      <c r="AO2541" s="22"/>
      <c r="AP2541" s="22"/>
      <c r="AQ2541" s="22"/>
      <c r="AR2541" s="35"/>
      <c r="AS2541" s="35"/>
      <c r="AT2541" s="35"/>
      <c r="AU2541" s="31"/>
      <c r="AV2541" s="36"/>
    </row>
    <row r="2542" spans="4:48">
      <c r="D2542" s="31"/>
      <c r="E2542" s="31"/>
      <c r="F2542" s="31"/>
      <c r="G2542" s="31"/>
      <c r="H2542" s="32"/>
      <c r="J2542" s="33"/>
      <c r="K2542" s="33"/>
      <c r="L2542" s="33"/>
      <c r="X2542" s="22"/>
      <c r="Y2542" s="22"/>
      <c r="Z2542" s="22"/>
      <c r="AA2542" s="22"/>
      <c r="AF2542" s="22"/>
      <c r="AG2542" s="22"/>
      <c r="AH2542" s="22"/>
      <c r="AI2542" s="22"/>
      <c r="AN2542" s="22"/>
      <c r="AO2542" s="22"/>
      <c r="AP2542" s="22"/>
      <c r="AQ2542" s="22"/>
      <c r="AR2542" s="35"/>
      <c r="AS2542" s="35"/>
      <c r="AT2542" s="35"/>
      <c r="AU2542" s="31"/>
      <c r="AV2542" s="36"/>
    </row>
    <row r="2543" spans="4:48">
      <c r="D2543" s="31"/>
      <c r="E2543" s="31"/>
      <c r="F2543" s="31"/>
      <c r="G2543" s="31"/>
      <c r="H2543" s="32"/>
      <c r="J2543" s="33"/>
      <c r="K2543" s="33"/>
      <c r="L2543" s="33"/>
      <c r="X2543" s="22"/>
      <c r="Y2543" s="22"/>
      <c r="Z2543" s="22"/>
      <c r="AA2543" s="22"/>
      <c r="AF2543" s="22"/>
      <c r="AG2543" s="22"/>
      <c r="AH2543" s="22"/>
      <c r="AI2543" s="22"/>
      <c r="AN2543" s="22"/>
      <c r="AO2543" s="22"/>
      <c r="AP2543" s="22"/>
      <c r="AQ2543" s="22"/>
      <c r="AR2543" s="35"/>
      <c r="AS2543" s="35"/>
      <c r="AT2543" s="35"/>
      <c r="AU2543" s="31"/>
      <c r="AV2543" s="36"/>
    </row>
    <row r="2544" spans="4:48">
      <c r="D2544" s="31"/>
      <c r="E2544" s="31"/>
      <c r="F2544" s="31"/>
      <c r="G2544" s="31"/>
      <c r="H2544" s="32"/>
      <c r="J2544" s="33"/>
      <c r="K2544" s="33"/>
      <c r="L2544" s="33"/>
      <c r="X2544" s="22"/>
      <c r="Y2544" s="22"/>
      <c r="Z2544" s="22"/>
      <c r="AA2544" s="22"/>
      <c r="AF2544" s="22"/>
      <c r="AG2544" s="22"/>
      <c r="AH2544" s="22"/>
      <c r="AI2544" s="22"/>
      <c r="AN2544" s="22"/>
      <c r="AO2544" s="22"/>
      <c r="AP2544" s="22"/>
      <c r="AQ2544" s="22"/>
      <c r="AR2544" s="35"/>
      <c r="AS2544" s="35"/>
      <c r="AT2544" s="35"/>
      <c r="AU2544" s="31"/>
      <c r="AV2544" s="36"/>
    </row>
    <row r="2545" spans="4:48">
      <c r="D2545" s="31"/>
      <c r="E2545" s="31"/>
      <c r="F2545" s="31"/>
      <c r="G2545" s="31"/>
      <c r="H2545" s="32"/>
      <c r="J2545" s="33"/>
      <c r="K2545" s="33"/>
      <c r="L2545" s="33"/>
      <c r="X2545" s="22"/>
      <c r="Y2545" s="22"/>
      <c r="Z2545" s="22"/>
      <c r="AA2545" s="22"/>
      <c r="AF2545" s="22"/>
      <c r="AG2545" s="22"/>
      <c r="AH2545" s="22"/>
      <c r="AI2545" s="22"/>
      <c r="AN2545" s="22"/>
      <c r="AO2545" s="22"/>
      <c r="AP2545" s="22"/>
      <c r="AQ2545" s="22"/>
      <c r="AR2545" s="35"/>
      <c r="AS2545" s="35"/>
      <c r="AT2545" s="35"/>
      <c r="AU2545" s="31"/>
      <c r="AV2545" s="36"/>
    </row>
    <row r="2546" spans="4:48">
      <c r="D2546" s="31"/>
      <c r="E2546" s="31"/>
      <c r="F2546" s="31"/>
      <c r="G2546" s="31"/>
      <c r="H2546" s="32"/>
      <c r="J2546" s="33"/>
      <c r="K2546" s="33"/>
      <c r="L2546" s="33"/>
      <c r="X2546" s="22"/>
      <c r="Y2546" s="22"/>
      <c r="Z2546" s="22"/>
      <c r="AA2546" s="22"/>
      <c r="AF2546" s="22"/>
      <c r="AG2546" s="22"/>
      <c r="AH2546" s="22"/>
      <c r="AI2546" s="22"/>
      <c r="AN2546" s="22"/>
      <c r="AO2546" s="22"/>
      <c r="AP2546" s="22"/>
      <c r="AQ2546" s="22"/>
      <c r="AR2546" s="35"/>
      <c r="AS2546" s="35"/>
      <c r="AT2546" s="35"/>
      <c r="AU2546" s="31"/>
      <c r="AV2546" s="36"/>
    </row>
    <row r="2547" spans="4:48">
      <c r="D2547" s="31"/>
      <c r="E2547" s="31"/>
      <c r="F2547" s="31"/>
      <c r="G2547" s="31"/>
      <c r="H2547" s="32"/>
      <c r="J2547" s="33"/>
      <c r="K2547" s="33"/>
      <c r="L2547" s="33"/>
      <c r="X2547" s="22"/>
      <c r="Y2547" s="22"/>
      <c r="Z2547" s="22"/>
      <c r="AA2547" s="22"/>
      <c r="AF2547" s="22"/>
      <c r="AG2547" s="22"/>
      <c r="AH2547" s="22"/>
      <c r="AI2547" s="22"/>
      <c r="AN2547" s="22"/>
      <c r="AO2547" s="22"/>
      <c r="AP2547" s="22"/>
      <c r="AQ2547" s="22"/>
      <c r="AR2547" s="35"/>
      <c r="AS2547" s="35"/>
      <c r="AT2547" s="35"/>
      <c r="AU2547" s="31"/>
      <c r="AV2547" s="36"/>
    </row>
    <row r="2548" spans="4:48">
      <c r="D2548" s="31"/>
      <c r="E2548" s="31"/>
      <c r="F2548" s="31"/>
      <c r="G2548" s="31"/>
      <c r="H2548" s="32"/>
      <c r="J2548" s="33"/>
      <c r="K2548" s="33"/>
      <c r="L2548" s="33"/>
      <c r="X2548" s="22"/>
      <c r="Y2548" s="22"/>
      <c r="Z2548" s="22"/>
      <c r="AA2548" s="22"/>
      <c r="AF2548" s="22"/>
      <c r="AG2548" s="22"/>
      <c r="AH2548" s="22"/>
      <c r="AI2548" s="22"/>
      <c r="AN2548" s="22"/>
      <c r="AO2548" s="22"/>
      <c r="AP2548" s="22"/>
      <c r="AQ2548" s="22"/>
      <c r="AR2548" s="35"/>
      <c r="AS2548" s="35"/>
      <c r="AT2548" s="35"/>
      <c r="AU2548" s="31"/>
      <c r="AV2548" s="36"/>
    </row>
    <row r="2549" spans="4:48">
      <c r="D2549" s="31"/>
      <c r="E2549" s="31"/>
      <c r="F2549" s="31"/>
      <c r="G2549" s="31"/>
      <c r="H2549" s="32"/>
      <c r="J2549" s="33"/>
      <c r="K2549" s="33"/>
      <c r="L2549" s="33"/>
      <c r="X2549" s="22"/>
      <c r="Y2549" s="22"/>
      <c r="Z2549" s="22"/>
      <c r="AA2549" s="22"/>
      <c r="AF2549" s="22"/>
      <c r="AG2549" s="22"/>
      <c r="AH2549" s="22"/>
      <c r="AI2549" s="22"/>
      <c r="AN2549" s="22"/>
      <c r="AO2549" s="22"/>
      <c r="AP2549" s="22"/>
      <c r="AQ2549" s="22"/>
      <c r="AR2549" s="35"/>
      <c r="AS2549" s="35"/>
      <c r="AT2549" s="35"/>
      <c r="AU2549" s="31"/>
      <c r="AV2549" s="36"/>
    </row>
    <row r="2550" spans="4:48">
      <c r="D2550" s="31"/>
      <c r="E2550" s="31"/>
      <c r="F2550" s="31"/>
      <c r="G2550" s="31"/>
      <c r="H2550" s="32"/>
      <c r="J2550" s="33"/>
      <c r="K2550" s="33"/>
      <c r="L2550" s="33"/>
      <c r="X2550" s="22"/>
      <c r="Y2550" s="22"/>
      <c r="Z2550" s="22"/>
      <c r="AA2550" s="22"/>
      <c r="AF2550" s="22"/>
      <c r="AG2550" s="22"/>
      <c r="AH2550" s="22"/>
      <c r="AI2550" s="22"/>
      <c r="AN2550" s="22"/>
      <c r="AO2550" s="22"/>
      <c r="AP2550" s="22"/>
      <c r="AQ2550" s="22"/>
      <c r="AR2550" s="35"/>
      <c r="AS2550" s="35"/>
      <c r="AT2550" s="35"/>
      <c r="AU2550" s="31"/>
      <c r="AV2550" s="36"/>
    </row>
    <row r="2551" spans="4:48">
      <c r="D2551" s="31"/>
      <c r="E2551" s="31"/>
      <c r="F2551" s="31"/>
      <c r="G2551" s="31"/>
      <c r="H2551" s="32"/>
      <c r="J2551" s="33"/>
      <c r="K2551" s="33"/>
      <c r="L2551" s="33"/>
      <c r="X2551" s="22"/>
      <c r="Y2551" s="22"/>
      <c r="Z2551" s="22"/>
      <c r="AA2551" s="22"/>
      <c r="AF2551" s="22"/>
      <c r="AG2551" s="22"/>
      <c r="AH2551" s="22"/>
      <c r="AI2551" s="22"/>
      <c r="AN2551" s="22"/>
      <c r="AO2551" s="22"/>
      <c r="AP2551" s="22"/>
      <c r="AQ2551" s="22"/>
      <c r="AR2551" s="35"/>
      <c r="AS2551" s="35"/>
      <c r="AT2551" s="35"/>
      <c r="AU2551" s="31"/>
      <c r="AV2551" s="36"/>
    </row>
    <row r="2552" spans="4:48">
      <c r="D2552" s="31"/>
      <c r="E2552" s="31"/>
      <c r="F2552" s="31"/>
      <c r="G2552" s="31"/>
      <c r="H2552" s="32"/>
      <c r="J2552" s="33"/>
      <c r="K2552" s="33"/>
      <c r="L2552" s="33"/>
      <c r="X2552" s="22"/>
      <c r="Y2552" s="22"/>
      <c r="Z2552" s="22"/>
      <c r="AA2552" s="22"/>
      <c r="AF2552" s="22"/>
      <c r="AG2552" s="22"/>
      <c r="AH2552" s="22"/>
      <c r="AI2552" s="22"/>
      <c r="AN2552" s="22"/>
      <c r="AO2552" s="22"/>
      <c r="AP2552" s="22"/>
      <c r="AQ2552" s="22"/>
      <c r="AR2552" s="35"/>
      <c r="AS2552" s="35"/>
      <c r="AT2552" s="35"/>
      <c r="AU2552" s="31"/>
      <c r="AV2552" s="36"/>
    </row>
    <row r="2553" spans="4:48">
      <c r="D2553" s="31"/>
      <c r="E2553" s="31"/>
      <c r="F2553" s="31"/>
      <c r="G2553" s="31"/>
      <c r="H2553" s="32"/>
      <c r="J2553" s="33"/>
      <c r="K2553" s="33"/>
      <c r="L2553" s="33"/>
      <c r="X2553" s="22"/>
      <c r="Y2553" s="22"/>
      <c r="Z2553" s="22"/>
      <c r="AA2553" s="22"/>
      <c r="AF2553" s="22"/>
      <c r="AG2553" s="22"/>
      <c r="AH2553" s="22"/>
      <c r="AI2553" s="22"/>
      <c r="AN2553" s="22"/>
      <c r="AO2553" s="22"/>
      <c r="AP2553" s="22"/>
      <c r="AQ2553" s="22"/>
      <c r="AR2553" s="35"/>
      <c r="AS2553" s="35"/>
      <c r="AT2553" s="35"/>
      <c r="AU2553" s="31"/>
      <c r="AV2553" s="36"/>
    </row>
    <row r="2554" spans="4:48">
      <c r="D2554" s="31"/>
      <c r="E2554" s="31"/>
      <c r="F2554" s="31"/>
      <c r="G2554" s="31"/>
      <c r="H2554" s="32"/>
      <c r="J2554" s="33"/>
      <c r="K2554" s="33"/>
      <c r="L2554" s="33"/>
      <c r="X2554" s="22"/>
      <c r="Y2554" s="22"/>
      <c r="Z2554" s="22"/>
      <c r="AA2554" s="22"/>
      <c r="AF2554" s="22"/>
      <c r="AG2554" s="22"/>
      <c r="AH2554" s="22"/>
      <c r="AI2554" s="22"/>
      <c r="AN2554" s="22"/>
      <c r="AO2554" s="22"/>
      <c r="AP2554" s="22"/>
      <c r="AQ2554" s="22"/>
      <c r="AR2554" s="35"/>
      <c r="AS2554" s="35"/>
      <c r="AT2554" s="35"/>
      <c r="AU2554" s="31"/>
      <c r="AV2554" s="36"/>
    </row>
    <row r="2555" spans="4:48">
      <c r="D2555" s="31"/>
      <c r="E2555" s="31"/>
      <c r="F2555" s="31"/>
      <c r="G2555" s="31"/>
      <c r="H2555" s="32"/>
      <c r="J2555" s="33"/>
      <c r="K2555" s="33"/>
      <c r="L2555" s="33"/>
      <c r="X2555" s="22"/>
      <c r="Y2555" s="22"/>
      <c r="Z2555" s="22"/>
      <c r="AA2555" s="22"/>
      <c r="AF2555" s="22"/>
      <c r="AG2555" s="22"/>
      <c r="AH2555" s="22"/>
      <c r="AI2555" s="22"/>
      <c r="AN2555" s="22"/>
      <c r="AO2555" s="22"/>
      <c r="AP2555" s="22"/>
      <c r="AQ2555" s="22"/>
      <c r="AR2555" s="35"/>
      <c r="AS2555" s="35"/>
      <c r="AT2555" s="35"/>
      <c r="AU2555" s="31"/>
      <c r="AV2555" s="36"/>
    </row>
    <row r="2556" spans="4:48">
      <c r="D2556" s="31"/>
      <c r="E2556" s="31"/>
      <c r="F2556" s="31"/>
      <c r="G2556" s="31"/>
      <c r="H2556" s="32"/>
      <c r="J2556" s="33"/>
      <c r="K2556" s="33"/>
      <c r="L2556" s="33"/>
      <c r="X2556" s="22"/>
      <c r="Y2556" s="22"/>
      <c r="Z2556" s="22"/>
      <c r="AA2556" s="22"/>
      <c r="AF2556" s="22"/>
      <c r="AG2556" s="22"/>
      <c r="AH2556" s="22"/>
      <c r="AI2556" s="22"/>
      <c r="AN2556" s="22"/>
      <c r="AO2556" s="22"/>
      <c r="AP2556" s="22"/>
      <c r="AQ2556" s="22"/>
      <c r="AR2556" s="35"/>
      <c r="AS2556" s="35"/>
      <c r="AT2556" s="35"/>
      <c r="AU2556" s="31"/>
      <c r="AV2556" s="36"/>
    </row>
    <row r="2557" spans="4:48">
      <c r="D2557" s="31"/>
      <c r="E2557" s="31"/>
      <c r="F2557" s="31"/>
      <c r="G2557" s="31"/>
      <c r="H2557" s="32"/>
      <c r="J2557" s="33"/>
      <c r="K2557" s="33"/>
      <c r="L2557" s="33"/>
      <c r="X2557" s="22"/>
      <c r="Y2557" s="22"/>
      <c r="Z2557" s="22"/>
      <c r="AA2557" s="22"/>
      <c r="AF2557" s="22"/>
      <c r="AG2557" s="22"/>
      <c r="AH2557" s="22"/>
      <c r="AI2557" s="22"/>
      <c r="AN2557" s="22"/>
      <c r="AO2557" s="22"/>
      <c r="AP2557" s="22"/>
      <c r="AQ2557" s="22"/>
      <c r="AR2557" s="35"/>
      <c r="AS2557" s="35"/>
      <c r="AT2557" s="35"/>
      <c r="AU2557" s="31"/>
      <c r="AV2557" s="36"/>
    </row>
    <row r="2558" spans="4:48">
      <c r="D2558" s="31"/>
      <c r="E2558" s="31"/>
      <c r="F2558" s="31"/>
      <c r="G2558" s="31"/>
      <c r="H2558" s="32"/>
      <c r="J2558" s="33"/>
      <c r="K2558" s="33"/>
      <c r="L2558" s="33"/>
      <c r="X2558" s="22"/>
      <c r="Y2558" s="22"/>
      <c r="Z2558" s="22"/>
      <c r="AA2558" s="22"/>
      <c r="AF2558" s="22"/>
      <c r="AG2558" s="22"/>
      <c r="AH2558" s="22"/>
      <c r="AI2558" s="22"/>
      <c r="AN2558" s="22"/>
      <c r="AO2558" s="22"/>
      <c r="AP2558" s="22"/>
      <c r="AQ2558" s="22"/>
      <c r="AR2558" s="35"/>
      <c r="AS2558" s="35"/>
      <c r="AT2558" s="35"/>
      <c r="AU2558" s="31"/>
      <c r="AV2558" s="36"/>
    </row>
    <row r="2559" spans="4:48">
      <c r="D2559" s="31"/>
      <c r="E2559" s="31"/>
      <c r="F2559" s="31"/>
      <c r="G2559" s="31"/>
      <c r="H2559" s="32"/>
      <c r="J2559" s="33"/>
      <c r="K2559" s="33"/>
      <c r="L2559" s="33"/>
      <c r="X2559" s="22"/>
      <c r="Y2559" s="22"/>
      <c r="Z2559" s="22"/>
      <c r="AA2559" s="22"/>
      <c r="AF2559" s="22"/>
      <c r="AG2559" s="22"/>
      <c r="AH2559" s="22"/>
      <c r="AI2559" s="22"/>
      <c r="AN2559" s="22"/>
      <c r="AO2559" s="22"/>
      <c r="AP2559" s="22"/>
      <c r="AQ2559" s="22"/>
      <c r="AR2559" s="35"/>
      <c r="AS2559" s="35"/>
      <c r="AT2559" s="35"/>
      <c r="AU2559" s="31"/>
      <c r="AV2559" s="36"/>
    </row>
    <row r="2560" spans="4:48">
      <c r="D2560" s="31"/>
      <c r="E2560" s="31"/>
      <c r="F2560" s="31"/>
      <c r="G2560" s="31"/>
      <c r="H2560" s="32"/>
      <c r="J2560" s="33"/>
      <c r="K2560" s="33"/>
      <c r="L2560" s="33"/>
      <c r="X2560" s="22"/>
      <c r="Y2560" s="22"/>
      <c r="Z2560" s="22"/>
      <c r="AA2560" s="22"/>
      <c r="AF2560" s="22"/>
      <c r="AG2560" s="22"/>
      <c r="AH2560" s="22"/>
      <c r="AI2560" s="22"/>
      <c r="AN2560" s="22"/>
      <c r="AO2560" s="22"/>
      <c r="AP2560" s="22"/>
      <c r="AQ2560" s="22"/>
      <c r="AR2560" s="35"/>
      <c r="AS2560" s="35"/>
      <c r="AT2560" s="35"/>
      <c r="AU2560" s="31"/>
      <c r="AV2560" s="36"/>
    </row>
    <row r="2561" spans="4:48">
      <c r="D2561" s="31"/>
      <c r="E2561" s="31"/>
      <c r="F2561" s="31"/>
      <c r="G2561" s="31"/>
      <c r="H2561" s="32"/>
      <c r="J2561" s="33"/>
      <c r="K2561" s="33"/>
      <c r="L2561" s="33"/>
      <c r="X2561" s="22"/>
      <c r="Y2561" s="22"/>
      <c r="Z2561" s="22"/>
      <c r="AA2561" s="22"/>
      <c r="AF2561" s="22"/>
      <c r="AG2561" s="22"/>
      <c r="AH2561" s="22"/>
      <c r="AI2561" s="22"/>
      <c r="AN2561" s="22"/>
      <c r="AO2561" s="22"/>
      <c r="AP2561" s="22"/>
      <c r="AQ2561" s="22"/>
      <c r="AR2561" s="35"/>
      <c r="AS2561" s="35"/>
      <c r="AT2561" s="35"/>
      <c r="AU2561" s="31"/>
      <c r="AV2561" s="36"/>
    </row>
    <row r="2562" spans="4:48">
      <c r="D2562" s="31"/>
      <c r="E2562" s="31"/>
      <c r="F2562" s="31"/>
      <c r="G2562" s="31"/>
      <c r="H2562" s="32"/>
      <c r="J2562" s="33"/>
      <c r="K2562" s="33"/>
      <c r="L2562" s="33"/>
      <c r="X2562" s="22"/>
      <c r="Y2562" s="22"/>
      <c r="Z2562" s="22"/>
      <c r="AA2562" s="22"/>
      <c r="AF2562" s="22"/>
      <c r="AG2562" s="22"/>
      <c r="AH2562" s="22"/>
      <c r="AI2562" s="22"/>
      <c r="AN2562" s="22"/>
      <c r="AO2562" s="22"/>
      <c r="AP2562" s="22"/>
      <c r="AQ2562" s="22"/>
      <c r="AR2562" s="35"/>
      <c r="AS2562" s="35"/>
      <c r="AT2562" s="35"/>
      <c r="AU2562" s="31"/>
      <c r="AV2562" s="36"/>
    </row>
    <row r="2563" spans="4:48">
      <c r="D2563" s="31"/>
      <c r="E2563" s="31"/>
      <c r="F2563" s="31"/>
      <c r="G2563" s="31"/>
      <c r="H2563" s="32"/>
      <c r="J2563" s="33"/>
      <c r="K2563" s="33"/>
      <c r="L2563" s="33"/>
      <c r="X2563" s="22"/>
      <c r="Y2563" s="22"/>
      <c r="Z2563" s="22"/>
      <c r="AA2563" s="22"/>
      <c r="AF2563" s="22"/>
      <c r="AG2563" s="22"/>
      <c r="AH2563" s="22"/>
      <c r="AI2563" s="22"/>
      <c r="AN2563" s="22"/>
      <c r="AO2563" s="22"/>
      <c r="AP2563" s="22"/>
      <c r="AQ2563" s="22"/>
      <c r="AR2563" s="35"/>
      <c r="AS2563" s="35"/>
      <c r="AT2563" s="35"/>
      <c r="AU2563" s="31"/>
      <c r="AV2563" s="36"/>
    </row>
    <row r="2564" spans="4:48">
      <c r="D2564" s="31"/>
      <c r="E2564" s="31"/>
      <c r="F2564" s="31"/>
      <c r="G2564" s="31"/>
      <c r="H2564" s="32"/>
      <c r="J2564" s="33"/>
      <c r="K2564" s="33"/>
      <c r="L2564" s="33"/>
      <c r="X2564" s="22"/>
      <c r="Y2564" s="22"/>
      <c r="Z2564" s="22"/>
      <c r="AA2564" s="22"/>
      <c r="AF2564" s="22"/>
      <c r="AG2564" s="22"/>
      <c r="AH2564" s="22"/>
      <c r="AI2564" s="22"/>
      <c r="AN2564" s="22"/>
      <c r="AO2564" s="22"/>
      <c r="AP2564" s="22"/>
      <c r="AQ2564" s="22"/>
      <c r="AR2564" s="35"/>
      <c r="AS2564" s="35"/>
      <c r="AT2564" s="35"/>
      <c r="AU2564" s="31"/>
      <c r="AV2564" s="36"/>
    </row>
    <row r="2565" spans="4:48">
      <c r="D2565" s="31"/>
      <c r="E2565" s="31"/>
      <c r="F2565" s="31"/>
      <c r="G2565" s="31"/>
      <c r="H2565" s="32"/>
      <c r="J2565" s="33"/>
      <c r="K2565" s="33"/>
      <c r="L2565" s="33"/>
      <c r="X2565" s="22"/>
      <c r="Y2565" s="22"/>
      <c r="Z2565" s="22"/>
      <c r="AA2565" s="22"/>
      <c r="AF2565" s="22"/>
      <c r="AG2565" s="22"/>
      <c r="AH2565" s="22"/>
      <c r="AI2565" s="22"/>
      <c r="AN2565" s="22"/>
      <c r="AO2565" s="22"/>
      <c r="AP2565" s="22"/>
      <c r="AQ2565" s="22"/>
      <c r="AR2565" s="35"/>
      <c r="AS2565" s="35"/>
      <c r="AT2565" s="35"/>
      <c r="AU2565" s="31"/>
      <c r="AV2565" s="36"/>
    </row>
    <row r="2566" spans="4:48">
      <c r="D2566" s="31"/>
      <c r="E2566" s="31"/>
      <c r="F2566" s="31"/>
      <c r="G2566" s="31"/>
      <c r="H2566" s="32"/>
      <c r="J2566" s="33"/>
      <c r="K2566" s="33"/>
      <c r="L2566" s="33"/>
      <c r="X2566" s="22"/>
      <c r="Y2566" s="22"/>
      <c r="Z2566" s="22"/>
      <c r="AA2566" s="22"/>
      <c r="AF2566" s="22"/>
      <c r="AG2566" s="22"/>
      <c r="AH2566" s="22"/>
      <c r="AI2566" s="22"/>
      <c r="AN2566" s="22"/>
      <c r="AO2566" s="22"/>
      <c r="AP2566" s="22"/>
      <c r="AQ2566" s="22"/>
      <c r="AR2566" s="35"/>
      <c r="AS2566" s="35"/>
      <c r="AT2566" s="35"/>
      <c r="AU2566" s="31"/>
      <c r="AV2566" s="36"/>
    </row>
    <row r="2567" spans="4:48">
      <c r="D2567" s="31"/>
      <c r="E2567" s="31"/>
      <c r="F2567" s="31"/>
      <c r="G2567" s="31"/>
      <c r="H2567" s="32"/>
      <c r="J2567" s="33"/>
      <c r="K2567" s="33"/>
      <c r="L2567" s="33"/>
      <c r="X2567" s="22"/>
      <c r="Y2567" s="22"/>
      <c r="Z2567" s="22"/>
      <c r="AA2567" s="22"/>
      <c r="AF2567" s="22"/>
      <c r="AG2567" s="22"/>
      <c r="AH2567" s="22"/>
      <c r="AI2567" s="22"/>
      <c r="AN2567" s="22"/>
      <c r="AO2567" s="22"/>
      <c r="AP2567" s="22"/>
      <c r="AQ2567" s="22"/>
      <c r="AR2567" s="35"/>
      <c r="AS2567" s="35"/>
      <c r="AT2567" s="35"/>
      <c r="AU2567" s="31"/>
      <c r="AV2567" s="36"/>
    </row>
    <row r="2568" spans="4:48">
      <c r="D2568" s="31"/>
      <c r="E2568" s="31"/>
      <c r="F2568" s="31"/>
      <c r="G2568" s="31"/>
      <c r="H2568" s="32"/>
      <c r="J2568" s="33"/>
      <c r="K2568" s="33"/>
      <c r="L2568" s="33"/>
      <c r="X2568" s="22"/>
      <c r="Y2568" s="22"/>
      <c r="Z2568" s="22"/>
      <c r="AA2568" s="22"/>
      <c r="AF2568" s="22"/>
      <c r="AG2568" s="22"/>
      <c r="AH2568" s="22"/>
      <c r="AI2568" s="22"/>
      <c r="AN2568" s="22"/>
      <c r="AO2568" s="22"/>
      <c r="AP2568" s="22"/>
      <c r="AQ2568" s="22"/>
      <c r="AR2568" s="35"/>
      <c r="AS2568" s="35"/>
      <c r="AT2568" s="35"/>
      <c r="AU2568" s="31"/>
      <c r="AV2568" s="36"/>
    </row>
    <row r="2569" spans="4:48">
      <c r="D2569" s="31"/>
      <c r="E2569" s="31"/>
      <c r="F2569" s="31"/>
      <c r="G2569" s="31"/>
      <c r="H2569" s="32"/>
      <c r="J2569" s="33"/>
      <c r="K2569" s="33"/>
      <c r="L2569" s="33"/>
      <c r="X2569" s="22"/>
      <c r="Y2569" s="22"/>
      <c r="Z2569" s="22"/>
      <c r="AA2569" s="22"/>
      <c r="AF2569" s="22"/>
      <c r="AG2569" s="22"/>
      <c r="AH2569" s="22"/>
      <c r="AI2569" s="22"/>
      <c r="AN2569" s="22"/>
      <c r="AO2569" s="22"/>
      <c r="AP2569" s="22"/>
      <c r="AQ2569" s="22"/>
      <c r="AR2569" s="35"/>
      <c r="AS2569" s="35"/>
      <c r="AT2569" s="35"/>
      <c r="AU2569" s="31"/>
      <c r="AV2569" s="36"/>
    </row>
    <row r="2570" spans="4:48">
      <c r="D2570" s="31"/>
      <c r="E2570" s="31"/>
      <c r="F2570" s="31"/>
      <c r="G2570" s="31"/>
      <c r="H2570" s="32"/>
      <c r="J2570" s="33"/>
      <c r="K2570" s="33"/>
      <c r="L2570" s="33"/>
      <c r="X2570" s="22"/>
      <c r="Y2570" s="22"/>
      <c r="Z2570" s="22"/>
      <c r="AA2570" s="22"/>
      <c r="AF2570" s="22"/>
      <c r="AG2570" s="22"/>
      <c r="AH2570" s="22"/>
      <c r="AI2570" s="22"/>
      <c r="AN2570" s="22"/>
      <c r="AO2570" s="22"/>
      <c r="AP2570" s="22"/>
      <c r="AQ2570" s="22"/>
      <c r="AR2570" s="35"/>
      <c r="AS2570" s="35"/>
      <c r="AT2570" s="35"/>
      <c r="AU2570" s="31"/>
      <c r="AV2570" s="36"/>
    </row>
    <row r="2571" spans="4:48">
      <c r="D2571" s="31"/>
      <c r="E2571" s="31"/>
      <c r="F2571" s="31"/>
      <c r="G2571" s="31"/>
      <c r="H2571" s="32"/>
      <c r="J2571" s="33"/>
      <c r="K2571" s="33"/>
      <c r="L2571" s="33"/>
      <c r="X2571" s="22"/>
      <c r="Y2571" s="22"/>
      <c r="Z2571" s="22"/>
      <c r="AA2571" s="22"/>
      <c r="AF2571" s="22"/>
      <c r="AG2571" s="22"/>
      <c r="AH2571" s="22"/>
      <c r="AI2571" s="22"/>
      <c r="AN2571" s="22"/>
      <c r="AO2571" s="22"/>
      <c r="AP2571" s="22"/>
      <c r="AQ2571" s="22"/>
      <c r="AR2571" s="35"/>
      <c r="AS2571" s="35"/>
      <c r="AT2571" s="35"/>
      <c r="AU2571" s="31"/>
      <c r="AV2571" s="36"/>
    </row>
    <row r="2572" spans="4:48">
      <c r="D2572" s="31"/>
      <c r="E2572" s="31"/>
      <c r="F2572" s="31"/>
      <c r="G2572" s="31"/>
      <c r="H2572" s="32"/>
      <c r="J2572" s="33"/>
      <c r="K2572" s="33"/>
      <c r="L2572" s="33"/>
      <c r="X2572" s="22"/>
      <c r="Y2572" s="22"/>
      <c r="Z2572" s="22"/>
      <c r="AA2572" s="22"/>
      <c r="AF2572" s="22"/>
      <c r="AG2572" s="22"/>
      <c r="AH2572" s="22"/>
      <c r="AI2572" s="22"/>
      <c r="AN2572" s="22"/>
      <c r="AO2572" s="22"/>
      <c r="AP2572" s="22"/>
      <c r="AQ2572" s="22"/>
      <c r="AR2572" s="35"/>
      <c r="AS2572" s="35"/>
      <c r="AT2572" s="35"/>
      <c r="AU2572" s="31"/>
      <c r="AV2572" s="36"/>
    </row>
    <row r="2573" spans="4:48">
      <c r="D2573" s="31"/>
      <c r="E2573" s="31"/>
      <c r="F2573" s="31"/>
      <c r="G2573" s="31"/>
      <c r="H2573" s="32"/>
      <c r="J2573" s="33"/>
      <c r="K2573" s="33"/>
      <c r="L2573" s="33"/>
      <c r="X2573" s="22"/>
      <c r="Y2573" s="22"/>
      <c r="Z2573" s="22"/>
      <c r="AA2573" s="22"/>
      <c r="AF2573" s="22"/>
      <c r="AG2573" s="22"/>
      <c r="AH2573" s="22"/>
      <c r="AI2573" s="22"/>
      <c r="AN2573" s="22"/>
      <c r="AO2573" s="22"/>
      <c r="AP2573" s="22"/>
      <c r="AQ2573" s="22"/>
      <c r="AR2573" s="35"/>
      <c r="AS2573" s="35"/>
      <c r="AT2573" s="35"/>
      <c r="AU2573" s="31"/>
      <c r="AV2573" s="36"/>
    </row>
    <row r="2574" spans="4:48">
      <c r="D2574" s="31"/>
      <c r="E2574" s="31"/>
      <c r="F2574" s="31"/>
      <c r="G2574" s="31"/>
      <c r="H2574" s="32"/>
      <c r="J2574" s="33"/>
      <c r="K2574" s="33"/>
      <c r="L2574" s="33"/>
      <c r="X2574" s="22"/>
      <c r="Y2574" s="22"/>
      <c r="Z2574" s="22"/>
      <c r="AA2574" s="22"/>
      <c r="AF2574" s="22"/>
      <c r="AG2574" s="22"/>
      <c r="AH2574" s="22"/>
      <c r="AI2574" s="22"/>
      <c r="AN2574" s="22"/>
      <c r="AO2574" s="22"/>
      <c r="AP2574" s="22"/>
      <c r="AQ2574" s="22"/>
      <c r="AR2574" s="35"/>
      <c r="AS2574" s="35"/>
      <c r="AT2574" s="35"/>
      <c r="AU2574" s="31"/>
      <c r="AV2574" s="36"/>
    </row>
    <row r="2575" spans="4:48">
      <c r="D2575" s="31"/>
      <c r="E2575" s="31"/>
      <c r="F2575" s="31"/>
      <c r="G2575" s="31"/>
      <c r="H2575" s="32"/>
      <c r="J2575" s="33"/>
      <c r="K2575" s="33"/>
      <c r="L2575" s="33"/>
      <c r="X2575" s="22"/>
      <c r="Y2575" s="22"/>
      <c r="Z2575" s="22"/>
      <c r="AA2575" s="22"/>
      <c r="AF2575" s="22"/>
      <c r="AG2575" s="22"/>
      <c r="AH2575" s="22"/>
      <c r="AI2575" s="22"/>
      <c r="AN2575" s="22"/>
      <c r="AO2575" s="22"/>
      <c r="AP2575" s="22"/>
      <c r="AQ2575" s="22"/>
      <c r="AR2575" s="35"/>
      <c r="AS2575" s="35"/>
      <c r="AT2575" s="35"/>
      <c r="AU2575" s="31"/>
      <c r="AV2575" s="36"/>
    </row>
    <row r="2576" spans="4:48">
      <c r="D2576" s="31"/>
      <c r="E2576" s="31"/>
      <c r="F2576" s="31"/>
      <c r="G2576" s="31"/>
      <c r="H2576" s="32"/>
      <c r="J2576" s="33"/>
      <c r="K2576" s="33"/>
      <c r="L2576" s="33"/>
      <c r="X2576" s="22"/>
      <c r="Y2576" s="22"/>
      <c r="Z2576" s="22"/>
      <c r="AA2576" s="22"/>
      <c r="AF2576" s="22"/>
      <c r="AG2576" s="22"/>
      <c r="AH2576" s="22"/>
      <c r="AI2576" s="22"/>
      <c r="AN2576" s="22"/>
      <c r="AO2576" s="22"/>
      <c r="AP2576" s="22"/>
      <c r="AQ2576" s="22"/>
      <c r="AR2576" s="35"/>
      <c r="AS2576" s="35"/>
      <c r="AT2576" s="35"/>
      <c r="AU2576" s="31"/>
      <c r="AV2576" s="36"/>
    </row>
    <row r="2577" spans="4:48">
      <c r="D2577" s="31"/>
      <c r="E2577" s="31"/>
      <c r="F2577" s="31"/>
      <c r="G2577" s="31"/>
      <c r="H2577" s="32"/>
      <c r="J2577" s="33"/>
      <c r="K2577" s="33"/>
      <c r="L2577" s="33"/>
      <c r="X2577" s="22"/>
      <c r="Y2577" s="22"/>
      <c r="Z2577" s="22"/>
      <c r="AA2577" s="22"/>
      <c r="AF2577" s="22"/>
      <c r="AG2577" s="22"/>
      <c r="AH2577" s="22"/>
      <c r="AI2577" s="22"/>
      <c r="AN2577" s="22"/>
      <c r="AO2577" s="22"/>
      <c r="AP2577" s="22"/>
      <c r="AQ2577" s="22"/>
      <c r="AR2577" s="35"/>
      <c r="AS2577" s="35"/>
      <c r="AT2577" s="35"/>
      <c r="AU2577" s="31"/>
      <c r="AV2577" s="36"/>
    </row>
    <row r="2578" spans="4:48">
      <c r="D2578" s="31"/>
      <c r="E2578" s="31"/>
      <c r="F2578" s="31"/>
      <c r="G2578" s="31"/>
      <c r="H2578" s="32"/>
      <c r="J2578" s="33"/>
      <c r="K2578" s="33"/>
      <c r="L2578" s="33"/>
      <c r="X2578" s="22"/>
      <c r="Y2578" s="22"/>
      <c r="Z2578" s="22"/>
      <c r="AA2578" s="22"/>
      <c r="AF2578" s="22"/>
      <c r="AG2578" s="22"/>
      <c r="AH2578" s="22"/>
      <c r="AI2578" s="22"/>
      <c r="AN2578" s="22"/>
      <c r="AO2578" s="22"/>
      <c r="AP2578" s="22"/>
      <c r="AQ2578" s="22"/>
      <c r="AR2578" s="35"/>
      <c r="AS2578" s="35"/>
      <c r="AT2578" s="35"/>
      <c r="AU2578" s="31"/>
      <c r="AV2578" s="36"/>
    </row>
    <row r="2579" spans="4:48">
      <c r="D2579" s="31"/>
      <c r="E2579" s="31"/>
      <c r="F2579" s="31"/>
      <c r="G2579" s="31"/>
      <c r="H2579" s="32"/>
      <c r="J2579" s="33"/>
      <c r="K2579" s="33"/>
      <c r="L2579" s="33"/>
      <c r="X2579" s="22"/>
      <c r="Y2579" s="22"/>
      <c r="Z2579" s="22"/>
      <c r="AA2579" s="22"/>
      <c r="AF2579" s="22"/>
      <c r="AG2579" s="22"/>
      <c r="AH2579" s="22"/>
      <c r="AI2579" s="22"/>
      <c r="AN2579" s="22"/>
      <c r="AO2579" s="22"/>
      <c r="AP2579" s="22"/>
      <c r="AQ2579" s="22"/>
      <c r="AR2579" s="35"/>
      <c r="AS2579" s="35"/>
      <c r="AT2579" s="35"/>
      <c r="AU2579" s="31"/>
      <c r="AV2579" s="36"/>
    </row>
    <row r="2580" spans="4:48">
      <c r="D2580" s="31"/>
      <c r="E2580" s="31"/>
      <c r="F2580" s="31"/>
      <c r="G2580" s="31"/>
      <c r="H2580" s="32"/>
      <c r="J2580" s="33"/>
      <c r="K2580" s="33"/>
      <c r="L2580" s="33"/>
      <c r="X2580" s="22"/>
      <c r="Y2580" s="22"/>
      <c r="Z2580" s="22"/>
      <c r="AA2580" s="22"/>
      <c r="AF2580" s="22"/>
      <c r="AG2580" s="22"/>
      <c r="AH2580" s="22"/>
      <c r="AI2580" s="22"/>
      <c r="AN2580" s="22"/>
      <c r="AO2580" s="22"/>
      <c r="AP2580" s="22"/>
      <c r="AQ2580" s="22"/>
      <c r="AR2580" s="35"/>
      <c r="AS2580" s="35"/>
      <c r="AT2580" s="35"/>
      <c r="AU2580" s="31"/>
      <c r="AV2580" s="36"/>
    </row>
    <row r="2581" spans="4:48">
      <c r="D2581" s="31"/>
      <c r="E2581" s="31"/>
      <c r="F2581" s="31"/>
      <c r="G2581" s="31"/>
      <c r="H2581" s="32"/>
      <c r="J2581" s="33"/>
      <c r="K2581" s="33"/>
      <c r="L2581" s="33"/>
      <c r="X2581" s="22"/>
      <c r="Y2581" s="22"/>
      <c r="Z2581" s="22"/>
      <c r="AA2581" s="22"/>
      <c r="AF2581" s="22"/>
      <c r="AG2581" s="22"/>
      <c r="AH2581" s="22"/>
      <c r="AI2581" s="22"/>
      <c r="AN2581" s="22"/>
      <c r="AO2581" s="22"/>
      <c r="AP2581" s="22"/>
      <c r="AQ2581" s="22"/>
      <c r="AR2581" s="35"/>
      <c r="AS2581" s="35"/>
      <c r="AT2581" s="35"/>
      <c r="AU2581" s="31"/>
      <c r="AV2581" s="36"/>
    </row>
    <row r="2582" spans="4:48">
      <c r="D2582" s="31"/>
      <c r="E2582" s="31"/>
      <c r="F2582" s="31"/>
      <c r="G2582" s="31"/>
      <c r="H2582" s="32"/>
      <c r="J2582" s="33"/>
      <c r="K2582" s="33"/>
      <c r="L2582" s="33"/>
      <c r="X2582" s="22"/>
      <c r="Y2582" s="22"/>
      <c r="Z2582" s="22"/>
      <c r="AA2582" s="22"/>
      <c r="AF2582" s="22"/>
      <c r="AG2582" s="22"/>
      <c r="AH2582" s="22"/>
      <c r="AI2582" s="22"/>
      <c r="AN2582" s="22"/>
      <c r="AO2582" s="22"/>
      <c r="AP2582" s="22"/>
      <c r="AQ2582" s="22"/>
      <c r="AR2582" s="35"/>
      <c r="AS2582" s="35"/>
      <c r="AT2582" s="35"/>
      <c r="AU2582" s="31"/>
      <c r="AV2582" s="36"/>
    </row>
    <row r="2583" spans="4:48">
      <c r="D2583" s="31"/>
      <c r="E2583" s="31"/>
      <c r="F2583" s="31"/>
      <c r="G2583" s="31"/>
      <c r="H2583" s="32"/>
      <c r="J2583" s="33"/>
      <c r="K2583" s="33"/>
      <c r="L2583" s="33"/>
      <c r="X2583" s="22"/>
      <c r="Y2583" s="22"/>
      <c r="Z2583" s="22"/>
      <c r="AA2583" s="22"/>
      <c r="AF2583" s="22"/>
      <c r="AG2583" s="22"/>
      <c r="AH2583" s="22"/>
      <c r="AI2583" s="22"/>
      <c r="AN2583" s="22"/>
      <c r="AO2583" s="22"/>
      <c r="AP2583" s="22"/>
      <c r="AQ2583" s="22"/>
      <c r="AR2583" s="35"/>
      <c r="AS2583" s="35"/>
      <c r="AT2583" s="35"/>
      <c r="AU2583" s="31"/>
      <c r="AV2583" s="36"/>
    </row>
    <row r="2584" spans="4:48">
      <c r="D2584" s="31"/>
      <c r="E2584" s="31"/>
      <c r="F2584" s="31"/>
      <c r="G2584" s="31"/>
      <c r="H2584" s="32"/>
      <c r="J2584" s="33"/>
      <c r="K2584" s="33"/>
      <c r="L2584" s="33"/>
      <c r="X2584" s="22"/>
      <c r="Y2584" s="22"/>
      <c r="Z2584" s="22"/>
      <c r="AA2584" s="22"/>
      <c r="AF2584" s="22"/>
      <c r="AG2584" s="22"/>
      <c r="AH2584" s="22"/>
      <c r="AI2584" s="22"/>
      <c r="AN2584" s="22"/>
      <c r="AO2584" s="22"/>
      <c r="AP2584" s="22"/>
      <c r="AQ2584" s="22"/>
      <c r="AR2584" s="35"/>
      <c r="AS2584" s="35"/>
      <c r="AT2584" s="35"/>
      <c r="AU2584" s="31"/>
      <c r="AV2584" s="36"/>
    </row>
    <row r="2585" spans="4:48">
      <c r="D2585" s="31"/>
      <c r="E2585" s="31"/>
      <c r="F2585" s="31"/>
      <c r="G2585" s="31"/>
      <c r="H2585" s="32"/>
      <c r="J2585" s="33"/>
      <c r="K2585" s="33"/>
      <c r="L2585" s="33"/>
      <c r="X2585" s="22"/>
      <c r="Y2585" s="22"/>
      <c r="Z2585" s="22"/>
      <c r="AA2585" s="22"/>
      <c r="AF2585" s="22"/>
      <c r="AG2585" s="22"/>
      <c r="AH2585" s="22"/>
      <c r="AI2585" s="22"/>
      <c r="AN2585" s="22"/>
      <c r="AO2585" s="22"/>
      <c r="AP2585" s="22"/>
      <c r="AQ2585" s="22"/>
      <c r="AR2585" s="35"/>
      <c r="AS2585" s="35"/>
      <c r="AT2585" s="35"/>
      <c r="AU2585" s="31"/>
      <c r="AV2585" s="36"/>
    </row>
    <row r="2586" spans="4:48">
      <c r="D2586" s="31"/>
      <c r="E2586" s="31"/>
      <c r="F2586" s="31"/>
      <c r="G2586" s="31"/>
      <c r="H2586" s="32"/>
      <c r="J2586" s="33"/>
      <c r="K2586" s="33"/>
      <c r="L2586" s="33"/>
      <c r="X2586" s="22"/>
      <c r="Y2586" s="22"/>
      <c r="Z2586" s="22"/>
      <c r="AA2586" s="22"/>
      <c r="AF2586" s="22"/>
      <c r="AG2586" s="22"/>
      <c r="AH2586" s="22"/>
      <c r="AI2586" s="22"/>
      <c r="AN2586" s="22"/>
      <c r="AO2586" s="22"/>
      <c r="AP2586" s="22"/>
      <c r="AQ2586" s="22"/>
      <c r="AR2586" s="35"/>
      <c r="AS2586" s="35"/>
      <c r="AT2586" s="35"/>
      <c r="AU2586" s="31"/>
      <c r="AV2586" s="36"/>
    </row>
    <row r="2587" spans="4:48">
      <c r="D2587" s="31"/>
      <c r="E2587" s="31"/>
      <c r="F2587" s="31"/>
      <c r="G2587" s="31"/>
      <c r="H2587" s="32"/>
      <c r="J2587" s="33"/>
      <c r="K2587" s="33"/>
      <c r="L2587" s="33"/>
      <c r="X2587" s="22"/>
      <c r="Y2587" s="22"/>
      <c r="Z2587" s="22"/>
      <c r="AA2587" s="22"/>
      <c r="AF2587" s="22"/>
      <c r="AG2587" s="22"/>
      <c r="AH2587" s="22"/>
      <c r="AI2587" s="22"/>
      <c r="AN2587" s="22"/>
      <c r="AO2587" s="22"/>
      <c r="AP2587" s="22"/>
      <c r="AQ2587" s="22"/>
      <c r="AR2587" s="35"/>
      <c r="AS2587" s="35"/>
      <c r="AT2587" s="35"/>
      <c r="AU2587" s="31"/>
      <c r="AV2587" s="36"/>
    </row>
    <row r="2588" spans="4:48">
      <c r="D2588" s="31"/>
      <c r="E2588" s="31"/>
      <c r="F2588" s="31"/>
      <c r="G2588" s="31"/>
      <c r="H2588" s="32"/>
      <c r="J2588" s="33"/>
      <c r="K2588" s="33"/>
      <c r="L2588" s="33"/>
      <c r="X2588" s="22"/>
      <c r="Y2588" s="22"/>
      <c r="Z2588" s="22"/>
      <c r="AA2588" s="22"/>
      <c r="AF2588" s="22"/>
      <c r="AG2588" s="22"/>
      <c r="AH2588" s="22"/>
      <c r="AI2588" s="22"/>
      <c r="AN2588" s="22"/>
      <c r="AO2588" s="22"/>
      <c r="AP2588" s="22"/>
      <c r="AQ2588" s="22"/>
      <c r="AR2588" s="35"/>
      <c r="AS2588" s="35"/>
      <c r="AT2588" s="35"/>
      <c r="AU2588" s="31"/>
      <c r="AV2588" s="36"/>
    </row>
    <row r="2589" spans="4:48">
      <c r="D2589" s="31"/>
      <c r="E2589" s="31"/>
      <c r="F2589" s="31"/>
      <c r="G2589" s="31"/>
      <c r="H2589" s="32"/>
      <c r="J2589" s="33"/>
      <c r="K2589" s="33"/>
      <c r="L2589" s="33"/>
      <c r="X2589" s="22"/>
      <c r="Y2589" s="22"/>
      <c r="Z2589" s="22"/>
      <c r="AA2589" s="22"/>
      <c r="AF2589" s="22"/>
      <c r="AG2589" s="22"/>
      <c r="AH2589" s="22"/>
      <c r="AI2589" s="22"/>
      <c r="AN2589" s="22"/>
      <c r="AO2589" s="22"/>
      <c r="AP2589" s="22"/>
      <c r="AQ2589" s="22"/>
      <c r="AR2589" s="35"/>
      <c r="AS2589" s="35"/>
      <c r="AT2589" s="35"/>
      <c r="AU2589" s="31"/>
      <c r="AV2589" s="36"/>
    </row>
    <row r="2590" spans="4:48">
      <c r="D2590" s="31"/>
      <c r="E2590" s="31"/>
      <c r="F2590" s="31"/>
      <c r="G2590" s="31"/>
      <c r="H2590" s="32"/>
      <c r="J2590" s="33"/>
      <c r="K2590" s="33"/>
      <c r="L2590" s="33"/>
      <c r="X2590" s="22"/>
      <c r="Y2590" s="22"/>
      <c r="Z2590" s="22"/>
      <c r="AA2590" s="22"/>
      <c r="AF2590" s="22"/>
      <c r="AG2590" s="22"/>
      <c r="AH2590" s="22"/>
      <c r="AI2590" s="22"/>
      <c r="AN2590" s="22"/>
      <c r="AO2590" s="22"/>
      <c r="AP2590" s="22"/>
      <c r="AQ2590" s="22"/>
      <c r="AR2590" s="35"/>
      <c r="AS2590" s="35"/>
      <c r="AT2590" s="35"/>
      <c r="AU2590" s="31"/>
      <c r="AV2590" s="36"/>
    </row>
    <row r="2591" spans="4:48">
      <c r="D2591" s="31"/>
      <c r="E2591" s="31"/>
      <c r="F2591" s="31"/>
      <c r="G2591" s="31"/>
      <c r="H2591" s="32"/>
      <c r="J2591" s="33"/>
      <c r="K2591" s="33"/>
      <c r="L2591" s="33"/>
      <c r="X2591" s="22"/>
      <c r="Y2591" s="22"/>
      <c r="Z2591" s="22"/>
      <c r="AA2591" s="22"/>
      <c r="AF2591" s="22"/>
      <c r="AG2591" s="22"/>
      <c r="AH2591" s="22"/>
      <c r="AI2591" s="22"/>
      <c r="AN2591" s="22"/>
      <c r="AO2591" s="22"/>
      <c r="AP2591" s="22"/>
      <c r="AQ2591" s="22"/>
      <c r="AR2591" s="35"/>
      <c r="AS2591" s="35"/>
      <c r="AT2591" s="35"/>
      <c r="AU2591" s="31"/>
      <c r="AV2591" s="36"/>
    </row>
    <row r="2592" spans="4:48">
      <c r="D2592" s="31"/>
      <c r="E2592" s="31"/>
      <c r="F2592" s="31"/>
      <c r="G2592" s="31"/>
      <c r="H2592" s="32"/>
      <c r="J2592" s="33"/>
      <c r="K2592" s="33"/>
      <c r="L2592" s="33"/>
      <c r="X2592" s="22"/>
      <c r="Y2592" s="22"/>
      <c r="Z2592" s="22"/>
      <c r="AA2592" s="22"/>
      <c r="AF2592" s="22"/>
      <c r="AG2592" s="22"/>
      <c r="AH2592" s="22"/>
      <c r="AI2592" s="22"/>
      <c r="AN2592" s="22"/>
      <c r="AO2592" s="22"/>
      <c r="AP2592" s="22"/>
      <c r="AQ2592" s="22"/>
      <c r="AR2592" s="35"/>
      <c r="AS2592" s="35"/>
      <c r="AT2592" s="35"/>
      <c r="AU2592" s="31"/>
      <c r="AV2592" s="36"/>
    </row>
    <row r="2593" spans="4:48">
      <c r="D2593" s="31"/>
      <c r="E2593" s="31"/>
      <c r="F2593" s="31"/>
      <c r="G2593" s="31"/>
      <c r="H2593" s="32"/>
      <c r="J2593" s="33"/>
      <c r="K2593" s="33"/>
      <c r="L2593" s="33"/>
      <c r="X2593" s="22"/>
      <c r="Y2593" s="22"/>
      <c r="Z2593" s="22"/>
      <c r="AA2593" s="22"/>
      <c r="AF2593" s="22"/>
      <c r="AG2593" s="22"/>
      <c r="AH2593" s="22"/>
      <c r="AI2593" s="22"/>
      <c r="AN2593" s="22"/>
      <c r="AO2593" s="22"/>
      <c r="AP2593" s="22"/>
      <c r="AQ2593" s="22"/>
      <c r="AR2593" s="35"/>
      <c r="AS2593" s="35"/>
      <c r="AT2593" s="35"/>
      <c r="AU2593" s="31"/>
      <c r="AV2593" s="36"/>
    </row>
    <row r="2594" spans="4:48">
      <c r="D2594" s="31"/>
      <c r="E2594" s="31"/>
      <c r="F2594" s="31"/>
      <c r="G2594" s="31"/>
      <c r="H2594" s="32"/>
      <c r="J2594" s="33"/>
      <c r="K2594" s="33"/>
      <c r="L2594" s="33"/>
      <c r="X2594" s="22"/>
      <c r="Y2594" s="22"/>
      <c r="Z2594" s="22"/>
      <c r="AA2594" s="22"/>
      <c r="AF2594" s="22"/>
      <c r="AG2594" s="22"/>
      <c r="AH2594" s="22"/>
      <c r="AI2594" s="22"/>
      <c r="AN2594" s="22"/>
      <c r="AO2594" s="22"/>
      <c r="AP2594" s="22"/>
      <c r="AQ2594" s="22"/>
      <c r="AR2594" s="35"/>
      <c r="AS2594" s="35"/>
      <c r="AT2594" s="35"/>
      <c r="AU2594" s="31"/>
      <c r="AV2594" s="36"/>
    </row>
    <row r="2595" spans="4:48">
      <c r="D2595" s="31"/>
      <c r="E2595" s="31"/>
      <c r="F2595" s="31"/>
      <c r="G2595" s="31"/>
      <c r="H2595" s="32"/>
      <c r="J2595" s="33"/>
      <c r="K2595" s="33"/>
      <c r="L2595" s="33"/>
      <c r="X2595" s="22"/>
      <c r="Y2595" s="22"/>
      <c r="Z2595" s="22"/>
      <c r="AA2595" s="22"/>
      <c r="AF2595" s="22"/>
      <c r="AG2595" s="22"/>
      <c r="AH2595" s="22"/>
      <c r="AI2595" s="22"/>
      <c r="AN2595" s="22"/>
      <c r="AO2595" s="22"/>
      <c r="AP2595" s="22"/>
      <c r="AQ2595" s="22"/>
      <c r="AR2595" s="35"/>
      <c r="AS2595" s="35"/>
      <c r="AT2595" s="35"/>
      <c r="AU2595" s="31"/>
      <c r="AV2595" s="36"/>
    </row>
    <row r="2596" spans="4:48">
      <c r="D2596" s="31"/>
      <c r="E2596" s="31"/>
      <c r="F2596" s="31"/>
      <c r="G2596" s="31"/>
      <c r="H2596" s="32"/>
      <c r="J2596" s="33"/>
      <c r="K2596" s="33"/>
      <c r="L2596" s="33"/>
      <c r="X2596" s="22"/>
      <c r="Y2596" s="22"/>
      <c r="Z2596" s="22"/>
      <c r="AA2596" s="22"/>
      <c r="AF2596" s="22"/>
      <c r="AG2596" s="22"/>
      <c r="AH2596" s="22"/>
      <c r="AI2596" s="22"/>
      <c r="AN2596" s="22"/>
      <c r="AO2596" s="22"/>
      <c r="AP2596" s="22"/>
      <c r="AQ2596" s="22"/>
      <c r="AR2596" s="35"/>
      <c r="AS2596" s="35"/>
      <c r="AT2596" s="35"/>
      <c r="AU2596" s="31"/>
      <c r="AV2596" s="36"/>
    </row>
    <row r="2597" spans="4:48">
      <c r="D2597" s="31"/>
      <c r="E2597" s="31"/>
      <c r="F2597" s="31"/>
      <c r="G2597" s="31"/>
      <c r="H2597" s="32"/>
      <c r="J2597" s="33"/>
      <c r="K2597" s="33"/>
      <c r="L2597" s="33"/>
      <c r="X2597" s="22"/>
      <c r="Y2597" s="22"/>
      <c r="Z2597" s="22"/>
      <c r="AA2597" s="22"/>
      <c r="AF2597" s="22"/>
      <c r="AG2597" s="22"/>
      <c r="AH2597" s="22"/>
      <c r="AI2597" s="22"/>
      <c r="AN2597" s="22"/>
      <c r="AO2597" s="22"/>
      <c r="AP2597" s="22"/>
      <c r="AQ2597" s="22"/>
      <c r="AR2597" s="35"/>
      <c r="AS2597" s="35"/>
      <c r="AT2597" s="35"/>
      <c r="AU2597" s="31"/>
      <c r="AV2597" s="36"/>
    </row>
    <row r="2598" spans="4:48">
      <c r="D2598" s="31"/>
      <c r="E2598" s="31"/>
      <c r="F2598" s="31"/>
      <c r="G2598" s="31"/>
      <c r="H2598" s="32"/>
      <c r="J2598" s="33"/>
      <c r="K2598" s="33"/>
      <c r="L2598" s="33"/>
      <c r="X2598" s="22"/>
      <c r="Y2598" s="22"/>
      <c r="Z2598" s="22"/>
      <c r="AA2598" s="22"/>
      <c r="AF2598" s="22"/>
      <c r="AG2598" s="22"/>
      <c r="AH2598" s="22"/>
      <c r="AI2598" s="22"/>
      <c r="AN2598" s="22"/>
      <c r="AO2598" s="22"/>
      <c r="AP2598" s="22"/>
      <c r="AQ2598" s="22"/>
      <c r="AR2598" s="35"/>
      <c r="AS2598" s="35"/>
      <c r="AT2598" s="35"/>
      <c r="AU2598" s="31"/>
      <c r="AV2598" s="36"/>
    </row>
    <row r="2599" spans="4:48">
      <c r="D2599" s="31"/>
      <c r="E2599" s="31"/>
      <c r="F2599" s="31"/>
      <c r="G2599" s="31"/>
      <c r="H2599" s="32"/>
      <c r="J2599" s="33"/>
      <c r="K2599" s="33"/>
      <c r="L2599" s="33"/>
      <c r="X2599" s="22"/>
      <c r="Y2599" s="22"/>
      <c r="Z2599" s="22"/>
      <c r="AA2599" s="22"/>
      <c r="AF2599" s="22"/>
      <c r="AG2599" s="22"/>
      <c r="AH2599" s="22"/>
      <c r="AI2599" s="22"/>
      <c r="AN2599" s="22"/>
      <c r="AO2599" s="22"/>
      <c r="AP2599" s="22"/>
      <c r="AQ2599" s="22"/>
      <c r="AR2599" s="35"/>
      <c r="AS2599" s="35"/>
      <c r="AT2599" s="35"/>
      <c r="AU2599" s="31"/>
      <c r="AV2599" s="36"/>
    </row>
    <row r="2600" spans="4:48">
      <c r="D2600" s="31"/>
      <c r="E2600" s="31"/>
      <c r="F2600" s="31"/>
      <c r="G2600" s="31"/>
      <c r="H2600" s="32"/>
      <c r="J2600" s="33"/>
      <c r="K2600" s="33"/>
      <c r="L2600" s="33"/>
      <c r="X2600" s="22"/>
      <c r="Y2600" s="22"/>
      <c r="Z2600" s="22"/>
      <c r="AA2600" s="22"/>
      <c r="AF2600" s="22"/>
      <c r="AG2600" s="22"/>
      <c r="AH2600" s="22"/>
      <c r="AI2600" s="22"/>
      <c r="AN2600" s="22"/>
      <c r="AO2600" s="22"/>
      <c r="AP2600" s="22"/>
      <c r="AQ2600" s="22"/>
      <c r="AR2600" s="35"/>
      <c r="AS2600" s="35"/>
      <c r="AT2600" s="35"/>
      <c r="AU2600" s="31"/>
      <c r="AV2600" s="36"/>
    </row>
    <row r="2601" spans="4:48">
      <c r="D2601" s="31"/>
      <c r="E2601" s="31"/>
      <c r="F2601" s="31"/>
      <c r="G2601" s="31"/>
      <c r="H2601" s="32"/>
      <c r="J2601" s="33"/>
      <c r="K2601" s="33"/>
      <c r="L2601" s="33"/>
      <c r="X2601" s="22"/>
      <c r="Y2601" s="22"/>
      <c r="Z2601" s="22"/>
      <c r="AA2601" s="22"/>
      <c r="AF2601" s="22"/>
      <c r="AG2601" s="22"/>
      <c r="AH2601" s="22"/>
      <c r="AI2601" s="22"/>
      <c r="AN2601" s="22"/>
      <c r="AO2601" s="22"/>
      <c r="AP2601" s="22"/>
      <c r="AQ2601" s="22"/>
      <c r="AR2601" s="35"/>
      <c r="AS2601" s="35"/>
      <c r="AT2601" s="35"/>
      <c r="AU2601" s="31"/>
      <c r="AV2601" s="36"/>
    </row>
    <row r="2602" spans="4:48">
      <c r="D2602" s="31"/>
      <c r="E2602" s="31"/>
      <c r="F2602" s="31"/>
      <c r="G2602" s="31"/>
      <c r="H2602" s="32"/>
      <c r="J2602" s="33"/>
      <c r="K2602" s="33"/>
      <c r="L2602" s="33"/>
      <c r="X2602" s="22"/>
      <c r="Y2602" s="22"/>
      <c r="Z2602" s="22"/>
      <c r="AA2602" s="22"/>
      <c r="AF2602" s="22"/>
      <c r="AG2602" s="22"/>
      <c r="AH2602" s="22"/>
      <c r="AI2602" s="22"/>
      <c r="AN2602" s="22"/>
      <c r="AO2602" s="22"/>
      <c r="AP2602" s="22"/>
      <c r="AQ2602" s="22"/>
      <c r="AR2602" s="35"/>
      <c r="AS2602" s="35"/>
      <c r="AT2602" s="35"/>
      <c r="AU2602" s="31"/>
      <c r="AV2602" s="36"/>
    </row>
    <row r="2603" spans="4:48">
      <c r="D2603" s="31"/>
      <c r="E2603" s="31"/>
      <c r="F2603" s="31"/>
      <c r="G2603" s="31"/>
      <c r="H2603" s="32"/>
      <c r="J2603" s="33"/>
      <c r="K2603" s="33"/>
      <c r="L2603" s="33"/>
      <c r="X2603" s="22"/>
      <c r="Y2603" s="22"/>
      <c r="Z2603" s="22"/>
      <c r="AA2603" s="22"/>
      <c r="AF2603" s="22"/>
      <c r="AG2603" s="22"/>
      <c r="AH2603" s="22"/>
      <c r="AI2603" s="22"/>
      <c r="AN2603" s="22"/>
      <c r="AO2603" s="22"/>
      <c r="AP2603" s="22"/>
      <c r="AQ2603" s="22"/>
      <c r="AR2603" s="35"/>
      <c r="AS2603" s="35"/>
      <c r="AT2603" s="35"/>
      <c r="AU2603" s="31"/>
      <c r="AV2603" s="36"/>
    </row>
    <row r="2604" spans="4:48">
      <c r="D2604" s="31"/>
      <c r="E2604" s="31"/>
      <c r="F2604" s="31"/>
      <c r="G2604" s="31"/>
      <c r="H2604" s="32"/>
      <c r="J2604" s="33"/>
      <c r="K2604" s="33"/>
      <c r="L2604" s="33"/>
      <c r="X2604" s="22"/>
      <c r="Y2604" s="22"/>
      <c r="Z2604" s="22"/>
      <c r="AA2604" s="22"/>
      <c r="AF2604" s="22"/>
      <c r="AG2604" s="22"/>
      <c r="AH2604" s="22"/>
      <c r="AI2604" s="22"/>
      <c r="AN2604" s="22"/>
      <c r="AO2604" s="22"/>
      <c r="AP2604" s="22"/>
      <c r="AQ2604" s="22"/>
      <c r="AR2604" s="35"/>
      <c r="AS2604" s="35"/>
      <c r="AT2604" s="35"/>
      <c r="AU2604" s="31"/>
      <c r="AV2604" s="36"/>
    </row>
    <row r="2605" spans="4:48">
      <c r="D2605" s="31"/>
      <c r="E2605" s="31"/>
      <c r="F2605" s="31"/>
      <c r="G2605" s="31"/>
      <c r="H2605" s="32"/>
      <c r="J2605" s="33"/>
      <c r="K2605" s="33"/>
      <c r="L2605" s="33"/>
      <c r="X2605" s="22"/>
      <c r="Y2605" s="22"/>
      <c r="Z2605" s="22"/>
      <c r="AA2605" s="22"/>
      <c r="AF2605" s="22"/>
      <c r="AG2605" s="22"/>
      <c r="AH2605" s="22"/>
      <c r="AI2605" s="22"/>
      <c r="AN2605" s="22"/>
      <c r="AO2605" s="22"/>
      <c r="AP2605" s="22"/>
      <c r="AQ2605" s="22"/>
      <c r="AR2605" s="35"/>
      <c r="AS2605" s="35"/>
      <c r="AT2605" s="35"/>
      <c r="AU2605" s="31"/>
      <c r="AV2605" s="36"/>
    </row>
    <row r="2606" spans="4:48">
      <c r="D2606" s="31"/>
      <c r="E2606" s="31"/>
      <c r="F2606" s="31"/>
      <c r="G2606" s="31"/>
      <c r="H2606" s="32"/>
      <c r="J2606" s="33"/>
      <c r="K2606" s="33"/>
      <c r="L2606" s="33"/>
      <c r="X2606" s="22"/>
      <c r="Y2606" s="22"/>
      <c r="Z2606" s="22"/>
      <c r="AA2606" s="22"/>
      <c r="AF2606" s="22"/>
      <c r="AG2606" s="22"/>
      <c r="AH2606" s="22"/>
      <c r="AI2606" s="22"/>
      <c r="AN2606" s="22"/>
      <c r="AO2606" s="22"/>
      <c r="AP2606" s="22"/>
      <c r="AQ2606" s="22"/>
      <c r="AR2606" s="35"/>
      <c r="AS2606" s="35"/>
      <c r="AT2606" s="35"/>
      <c r="AU2606" s="31"/>
      <c r="AV2606" s="36"/>
    </row>
    <row r="2607" spans="4:48">
      <c r="D2607" s="31"/>
      <c r="E2607" s="31"/>
      <c r="F2607" s="31"/>
      <c r="G2607" s="31"/>
      <c r="H2607" s="32"/>
      <c r="J2607" s="33"/>
      <c r="K2607" s="33"/>
      <c r="L2607" s="33"/>
      <c r="X2607" s="22"/>
      <c r="Y2607" s="22"/>
      <c r="Z2607" s="22"/>
      <c r="AA2607" s="22"/>
      <c r="AF2607" s="22"/>
      <c r="AG2607" s="22"/>
      <c r="AH2607" s="22"/>
      <c r="AI2607" s="22"/>
      <c r="AN2607" s="22"/>
      <c r="AO2607" s="22"/>
      <c r="AP2607" s="22"/>
      <c r="AQ2607" s="22"/>
      <c r="AR2607" s="35"/>
      <c r="AS2607" s="35"/>
      <c r="AT2607" s="35"/>
      <c r="AU2607" s="31"/>
      <c r="AV2607" s="36"/>
    </row>
    <row r="2608" spans="4:48">
      <c r="D2608" s="31"/>
      <c r="E2608" s="31"/>
      <c r="F2608" s="31"/>
      <c r="G2608" s="31"/>
      <c r="H2608" s="32"/>
      <c r="J2608" s="33"/>
      <c r="K2608" s="33"/>
      <c r="L2608" s="33"/>
      <c r="X2608" s="22"/>
      <c r="Y2608" s="22"/>
      <c r="Z2608" s="22"/>
      <c r="AA2608" s="22"/>
      <c r="AF2608" s="22"/>
      <c r="AG2608" s="22"/>
      <c r="AH2608" s="22"/>
      <c r="AI2608" s="22"/>
      <c r="AN2608" s="22"/>
      <c r="AO2608" s="22"/>
      <c r="AP2608" s="22"/>
      <c r="AQ2608" s="22"/>
      <c r="AR2608" s="35"/>
      <c r="AS2608" s="35"/>
      <c r="AT2608" s="35"/>
      <c r="AU2608" s="31"/>
      <c r="AV2608" s="36"/>
    </row>
    <row r="2609" spans="4:48">
      <c r="D2609" s="31"/>
      <c r="E2609" s="31"/>
      <c r="F2609" s="31"/>
      <c r="G2609" s="31"/>
      <c r="H2609" s="32"/>
      <c r="J2609" s="33"/>
      <c r="K2609" s="33"/>
      <c r="L2609" s="33"/>
      <c r="X2609" s="22"/>
      <c r="Y2609" s="22"/>
      <c r="Z2609" s="22"/>
      <c r="AA2609" s="22"/>
      <c r="AF2609" s="22"/>
      <c r="AG2609" s="22"/>
      <c r="AH2609" s="22"/>
      <c r="AI2609" s="22"/>
      <c r="AN2609" s="22"/>
      <c r="AO2609" s="22"/>
      <c r="AP2609" s="22"/>
      <c r="AQ2609" s="22"/>
      <c r="AR2609" s="35"/>
      <c r="AS2609" s="35"/>
      <c r="AT2609" s="35"/>
      <c r="AU2609" s="31"/>
      <c r="AV2609" s="36"/>
    </row>
    <row r="2610" spans="4:48">
      <c r="D2610" s="31"/>
      <c r="E2610" s="31"/>
      <c r="F2610" s="31"/>
      <c r="G2610" s="31"/>
      <c r="H2610" s="32"/>
      <c r="J2610" s="33"/>
      <c r="K2610" s="33"/>
      <c r="L2610" s="33"/>
      <c r="X2610" s="22"/>
      <c r="Y2610" s="22"/>
      <c r="Z2610" s="22"/>
      <c r="AA2610" s="22"/>
      <c r="AF2610" s="22"/>
      <c r="AG2610" s="22"/>
      <c r="AH2610" s="22"/>
      <c r="AI2610" s="22"/>
      <c r="AN2610" s="22"/>
      <c r="AO2610" s="22"/>
      <c r="AP2610" s="22"/>
      <c r="AQ2610" s="22"/>
      <c r="AR2610" s="35"/>
      <c r="AS2610" s="35"/>
      <c r="AT2610" s="35"/>
      <c r="AU2610" s="31"/>
      <c r="AV2610" s="36"/>
    </row>
    <row r="2611" spans="4:48">
      <c r="D2611" s="31"/>
      <c r="E2611" s="31"/>
      <c r="F2611" s="31"/>
      <c r="G2611" s="31"/>
      <c r="H2611" s="32"/>
      <c r="J2611" s="33"/>
      <c r="K2611" s="33"/>
      <c r="L2611" s="33"/>
      <c r="X2611" s="22"/>
      <c r="Y2611" s="22"/>
      <c r="Z2611" s="22"/>
      <c r="AA2611" s="22"/>
      <c r="AF2611" s="22"/>
      <c r="AG2611" s="22"/>
      <c r="AH2611" s="22"/>
      <c r="AI2611" s="22"/>
      <c r="AN2611" s="22"/>
      <c r="AO2611" s="22"/>
      <c r="AP2611" s="22"/>
      <c r="AQ2611" s="22"/>
      <c r="AR2611" s="35"/>
      <c r="AS2611" s="35"/>
      <c r="AT2611" s="35"/>
      <c r="AU2611" s="31"/>
      <c r="AV2611" s="36"/>
    </row>
    <row r="2612" spans="4:48">
      <c r="D2612" s="31"/>
      <c r="E2612" s="31"/>
      <c r="F2612" s="31"/>
      <c r="G2612" s="31"/>
      <c r="H2612" s="32"/>
      <c r="J2612" s="33"/>
      <c r="K2612" s="33"/>
      <c r="L2612" s="33"/>
      <c r="X2612" s="22"/>
      <c r="Y2612" s="22"/>
      <c r="Z2612" s="22"/>
      <c r="AA2612" s="22"/>
      <c r="AF2612" s="22"/>
      <c r="AG2612" s="22"/>
      <c r="AH2612" s="22"/>
      <c r="AI2612" s="22"/>
      <c r="AN2612" s="22"/>
      <c r="AO2612" s="22"/>
      <c r="AP2612" s="22"/>
      <c r="AQ2612" s="22"/>
      <c r="AR2612" s="35"/>
      <c r="AS2612" s="35"/>
      <c r="AT2612" s="35"/>
      <c r="AU2612" s="31"/>
      <c r="AV2612" s="36"/>
    </row>
    <row r="2613" spans="4:48">
      <c r="D2613" s="31"/>
      <c r="E2613" s="31"/>
      <c r="F2613" s="31"/>
      <c r="G2613" s="31"/>
      <c r="H2613" s="32"/>
      <c r="J2613" s="33"/>
      <c r="K2613" s="33"/>
      <c r="L2613" s="33"/>
      <c r="X2613" s="22"/>
      <c r="Y2613" s="22"/>
      <c r="Z2613" s="22"/>
      <c r="AA2613" s="22"/>
      <c r="AF2613" s="22"/>
      <c r="AG2613" s="22"/>
      <c r="AH2613" s="22"/>
      <c r="AI2613" s="22"/>
      <c r="AN2613" s="22"/>
      <c r="AO2613" s="22"/>
      <c r="AP2613" s="22"/>
      <c r="AQ2613" s="22"/>
      <c r="AR2613" s="35"/>
      <c r="AS2613" s="35"/>
      <c r="AT2613" s="35"/>
      <c r="AU2613" s="31"/>
      <c r="AV2613" s="36"/>
    </row>
    <row r="2614" spans="4:48">
      <c r="D2614" s="31"/>
      <c r="E2614" s="31"/>
      <c r="F2614" s="31"/>
      <c r="G2614" s="31"/>
      <c r="H2614" s="32"/>
      <c r="J2614" s="33"/>
      <c r="K2614" s="33"/>
      <c r="L2614" s="33"/>
      <c r="X2614" s="22"/>
      <c r="Y2614" s="22"/>
      <c r="Z2614" s="22"/>
      <c r="AA2614" s="22"/>
      <c r="AF2614" s="22"/>
      <c r="AG2614" s="22"/>
      <c r="AH2614" s="22"/>
      <c r="AI2614" s="22"/>
      <c r="AN2614" s="22"/>
      <c r="AO2614" s="22"/>
      <c r="AP2614" s="22"/>
      <c r="AQ2614" s="22"/>
      <c r="AR2614" s="35"/>
      <c r="AS2614" s="35"/>
      <c r="AT2614" s="35"/>
      <c r="AU2614" s="31"/>
      <c r="AV2614" s="36"/>
    </row>
    <row r="2615" spans="4:48">
      <c r="D2615" s="31"/>
      <c r="E2615" s="31"/>
      <c r="F2615" s="31"/>
      <c r="G2615" s="31"/>
      <c r="H2615" s="32"/>
      <c r="J2615" s="33"/>
      <c r="K2615" s="33"/>
      <c r="L2615" s="33"/>
      <c r="X2615" s="22"/>
      <c r="Y2615" s="22"/>
      <c r="Z2615" s="22"/>
      <c r="AA2615" s="22"/>
      <c r="AF2615" s="22"/>
      <c r="AG2615" s="22"/>
      <c r="AH2615" s="22"/>
      <c r="AI2615" s="22"/>
      <c r="AN2615" s="22"/>
      <c r="AO2615" s="22"/>
      <c r="AP2615" s="22"/>
      <c r="AQ2615" s="22"/>
      <c r="AR2615" s="35"/>
      <c r="AS2615" s="35"/>
      <c r="AT2615" s="35"/>
      <c r="AU2615" s="31"/>
      <c r="AV2615" s="36"/>
    </row>
    <row r="2616" spans="4:48">
      <c r="D2616" s="31"/>
      <c r="E2616" s="31"/>
      <c r="F2616" s="31"/>
      <c r="G2616" s="31"/>
      <c r="H2616" s="32"/>
      <c r="J2616" s="33"/>
      <c r="K2616" s="33"/>
      <c r="L2616" s="33"/>
      <c r="X2616" s="22"/>
      <c r="Y2616" s="22"/>
      <c r="Z2616" s="22"/>
      <c r="AA2616" s="22"/>
      <c r="AF2616" s="22"/>
      <c r="AG2616" s="22"/>
      <c r="AH2616" s="22"/>
      <c r="AI2616" s="22"/>
      <c r="AN2616" s="22"/>
      <c r="AO2616" s="22"/>
      <c r="AP2616" s="22"/>
      <c r="AQ2616" s="22"/>
      <c r="AR2616" s="35"/>
      <c r="AS2616" s="35"/>
      <c r="AT2616" s="35"/>
      <c r="AU2616" s="31"/>
      <c r="AV2616" s="36"/>
    </row>
    <row r="2617" spans="4:48">
      <c r="D2617" s="31"/>
      <c r="E2617" s="31"/>
      <c r="F2617" s="31"/>
      <c r="G2617" s="31"/>
      <c r="H2617" s="32"/>
      <c r="J2617" s="33"/>
      <c r="K2617" s="33"/>
      <c r="L2617" s="33"/>
      <c r="X2617" s="22"/>
      <c r="Y2617" s="22"/>
      <c r="Z2617" s="22"/>
      <c r="AA2617" s="22"/>
      <c r="AF2617" s="22"/>
      <c r="AG2617" s="22"/>
      <c r="AH2617" s="22"/>
      <c r="AI2617" s="22"/>
      <c r="AN2617" s="22"/>
      <c r="AO2617" s="22"/>
      <c r="AP2617" s="22"/>
      <c r="AQ2617" s="22"/>
      <c r="AR2617" s="35"/>
      <c r="AS2617" s="35"/>
      <c r="AT2617" s="35"/>
      <c r="AU2617" s="31"/>
      <c r="AV2617" s="36"/>
    </row>
    <row r="2618" spans="4:48">
      <c r="D2618" s="31"/>
      <c r="E2618" s="31"/>
      <c r="F2618" s="31"/>
      <c r="G2618" s="31"/>
      <c r="H2618" s="32"/>
      <c r="J2618" s="33"/>
      <c r="K2618" s="33"/>
      <c r="L2618" s="33"/>
      <c r="X2618" s="22"/>
      <c r="Y2618" s="22"/>
      <c r="Z2618" s="22"/>
      <c r="AA2618" s="22"/>
      <c r="AF2618" s="22"/>
      <c r="AG2618" s="22"/>
      <c r="AH2618" s="22"/>
      <c r="AI2618" s="22"/>
      <c r="AN2618" s="22"/>
      <c r="AO2618" s="22"/>
      <c r="AP2618" s="22"/>
      <c r="AQ2618" s="22"/>
      <c r="AR2618" s="35"/>
      <c r="AS2618" s="35"/>
      <c r="AT2618" s="35"/>
      <c r="AU2618" s="31"/>
      <c r="AV2618" s="36"/>
    </row>
    <row r="2619" spans="4:48">
      <c r="D2619" s="31"/>
      <c r="E2619" s="31"/>
      <c r="F2619" s="31"/>
      <c r="G2619" s="31"/>
      <c r="H2619" s="32"/>
      <c r="J2619" s="33"/>
      <c r="K2619" s="33"/>
      <c r="L2619" s="33"/>
      <c r="X2619" s="22"/>
      <c r="Y2619" s="22"/>
      <c r="Z2619" s="22"/>
      <c r="AA2619" s="22"/>
      <c r="AF2619" s="22"/>
      <c r="AG2619" s="22"/>
      <c r="AH2619" s="22"/>
      <c r="AI2619" s="22"/>
      <c r="AN2619" s="22"/>
      <c r="AO2619" s="22"/>
      <c r="AP2619" s="22"/>
      <c r="AQ2619" s="22"/>
      <c r="AR2619" s="35"/>
      <c r="AS2619" s="35"/>
      <c r="AT2619" s="35"/>
      <c r="AU2619" s="31"/>
      <c r="AV2619" s="36"/>
    </row>
    <row r="2620" spans="4:48">
      <c r="D2620" s="31"/>
      <c r="E2620" s="31"/>
      <c r="F2620" s="31"/>
      <c r="G2620" s="31"/>
      <c r="H2620" s="32"/>
      <c r="J2620" s="33"/>
      <c r="K2620" s="33"/>
      <c r="L2620" s="33"/>
      <c r="X2620" s="22"/>
      <c r="Y2620" s="22"/>
      <c r="Z2620" s="22"/>
      <c r="AA2620" s="22"/>
      <c r="AF2620" s="22"/>
      <c r="AG2620" s="22"/>
      <c r="AH2620" s="22"/>
      <c r="AI2620" s="22"/>
      <c r="AN2620" s="22"/>
      <c r="AO2620" s="22"/>
      <c r="AP2620" s="22"/>
      <c r="AQ2620" s="22"/>
      <c r="AR2620" s="35"/>
      <c r="AS2620" s="35"/>
      <c r="AT2620" s="35"/>
      <c r="AU2620" s="31"/>
      <c r="AV2620" s="36"/>
    </row>
    <row r="2621" spans="4:48">
      <c r="D2621" s="31"/>
      <c r="E2621" s="31"/>
      <c r="F2621" s="31"/>
      <c r="G2621" s="31"/>
      <c r="H2621" s="32"/>
      <c r="J2621" s="33"/>
      <c r="K2621" s="33"/>
      <c r="L2621" s="33"/>
      <c r="X2621" s="22"/>
      <c r="Y2621" s="22"/>
      <c r="Z2621" s="22"/>
      <c r="AA2621" s="22"/>
      <c r="AF2621" s="22"/>
      <c r="AG2621" s="22"/>
      <c r="AH2621" s="22"/>
      <c r="AI2621" s="22"/>
      <c r="AN2621" s="22"/>
      <c r="AO2621" s="22"/>
      <c r="AP2621" s="22"/>
      <c r="AQ2621" s="22"/>
      <c r="AR2621" s="35"/>
      <c r="AS2621" s="35"/>
      <c r="AT2621" s="35"/>
      <c r="AU2621" s="31"/>
      <c r="AV2621" s="36"/>
    </row>
    <row r="2622" spans="4:48">
      <c r="D2622" s="31"/>
      <c r="E2622" s="31"/>
      <c r="F2622" s="31"/>
      <c r="G2622" s="31"/>
      <c r="H2622" s="32"/>
      <c r="J2622" s="33"/>
      <c r="K2622" s="33"/>
      <c r="L2622" s="33"/>
      <c r="X2622" s="22"/>
      <c r="Y2622" s="22"/>
      <c r="Z2622" s="22"/>
      <c r="AA2622" s="22"/>
      <c r="AF2622" s="22"/>
      <c r="AG2622" s="22"/>
      <c r="AH2622" s="22"/>
      <c r="AI2622" s="22"/>
      <c r="AN2622" s="22"/>
      <c r="AO2622" s="22"/>
      <c r="AP2622" s="22"/>
      <c r="AQ2622" s="22"/>
      <c r="AR2622" s="35"/>
      <c r="AS2622" s="35"/>
      <c r="AT2622" s="35"/>
      <c r="AU2622" s="31"/>
      <c r="AV2622" s="36"/>
    </row>
    <row r="2623" spans="4:48">
      <c r="D2623" s="31"/>
      <c r="E2623" s="31"/>
      <c r="F2623" s="31"/>
      <c r="G2623" s="31"/>
      <c r="H2623" s="32"/>
      <c r="J2623" s="33"/>
      <c r="K2623" s="33"/>
      <c r="L2623" s="33"/>
      <c r="X2623" s="22"/>
      <c r="Y2623" s="22"/>
      <c r="Z2623" s="22"/>
      <c r="AA2623" s="22"/>
      <c r="AF2623" s="22"/>
      <c r="AG2623" s="22"/>
      <c r="AH2623" s="22"/>
      <c r="AI2623" s="22"/>
      <c r="AN2623" s="22"/>
      <c r="AO2623" s="22"/>
      <c r="AP2623" s="22"/>
      <c r="AQ2623" s="22"/>
      <c r="AR2623" s="35"/>
      <c r="AS2623" s="35"/>
      <c r="AT2623" s="35"/>
      <c r="AU2623" s="31"/>
      <c r="AV2623" s="36"/>
    </row>
    <row r="2624" spans="4:48">
      <c r="D2624" s="31"/>
      <c r="E2624" s="31"/>
      <c r="F2624" s="31"/>
      <c r="G2624" s="31"/>
      <c r="H2624" s="32"/>
      <c r="J2624" s="33"/>
      <c r="K2624" s="33"/>
      <c r="L2624" s="33"/>
      <c r="X2624" s="22"/>
      <c r="Y2624" s="22"/>
      <c r="Z2624" s="22"/>
      <c r="AA2624" s="22"/>
      <c r="AF2624" s="22"/>
      <c r="AG2624" s="22"/>
      <c r="AH2624" s="22"/>
      <c r="AI2624" s="22"/>
      <c r="AN2624" s="22"/>
      <c r="AO2624" s="22"/>
      <c r="AP2624" s="22"/>
      <c r="AQ2624" s="22"/>
      <c r="AR2624" s="35"/>
      <c r="AS2624" s="35"/>
      <c r="AT2624" s="35"/>
      <c r="AU2624" s="31"/>
      <c r="AV2624" s="36"/>
    </row>
    <row r="2625" spans="4:48">
      <c r="D2625" s="31"/>
      <c r="E2625" s="31"/>
      <c r="F2625" s="31"/>
      <c r="G2625" s="31"/>
      <c r="H2625" s="32"/>
      <c r="J2625" s="33"/>
      <c r="K2625" s="33"/>
      <c r="L2625" s="33"/>
      <c r="X2625" s="22"/>
      <c r="Y2625" s="22"/>
      <c r="Z2625" s="22"/>
      <c r="AA2625" s="22"/>
      <c r="AF2625" s="22"/>
      <c r="AG2625" s="22"/>
      <c r="AH2625" s="22"/>
      <c r="AI2625" s="22"/>
      <c r="AN2625" s="22"/>
      <c r="AO2625" s="22"/>
      <c r="AP2625" s="22"/>
      <c r="AQ2625" s="22"/>
      <c r="AR2625" s="35"/>
      <c r="AS2625" s="35"/>
      <c r="AT2625" s="35"/>
      <c r="AU2625" s="31"/>
      <c r="AV2625" s="36"/>
    </row>
    <row r="2626" spans="4:48">
      <c r="D2626" s="31"/>
      <c r="E2626" s="31"/>
      <c r="F2626" s="31"/>
      <c r="G2626" s="31"/>
      <c r="H2626" s="32"/>
      <c r="J2626" s="33"/>
      <c r="K2626" s="33"/>
      <c r="L2626" s="33"/>
      <c r="X2626" s="22"/>
      <c r="Y2626" s="22"/>
      <c r="Z2626" s="22"/>
      <c r="AA2626" s="22"/>
      <c r="AF2626" s="22"/>
      <c r="AG2626" s="22"/>
      <c r="AH2626" s="22"/>
      <c r="AI2626" s="22"/>
      <c r="AN2626" s="22"/>
      <c r="AO2626" s="22"/>
      <c r="AP2626" s="22"/>
      <c r="AQ2626" s="22"/>
      <c r="AR2626" s="35"/>
      <c r="AS2626" s="35"/>
      <c r="AT2626" s="35"/>
      <c r="AU2626" s="31"/>
      <c r="AV2626" s="36"/>
    </row>
    <row r="2627" spans="4:48">
      <c r="D2627" s="31"/>
      <c r="E2627" s="31"/>
      <c r="F2627" s="31"/>
      <c r="G2627" s="31"/>
      <c r="H2627" s="32"/>
      <c r="J2627" s="33"/>
      <c r="K2627" s="33"/>
      <c r="L2627" s="33"/>
      <c r="X2627" s="22"/>
      <c r="Y2627" s="22"/>
      <c r="Z2627" s="22"/>
      <c r="AA2627" s="22"/>
      <c r="AF2627" s="22"/>
      <c r="AG2627" s="22"/>
      <c r="AH2627" s="22"/>
      <c r="AI2627" s="22"/>
      <c r="AN2627" s="22"/>
      <c r="AO2627" s="22"/>
      <c r="AP2627" s="22"/>
      <c r="AQ2627" s="22"/>
      <c r="AR2627" s="35"/>
      <c r="AS2627" s="35"/>
      <c r="AT2627" s="35"/>
      <c r="AU2627" s="31"/>
      <c r="AV2627" s="36"/>
    </row>
    <row r="2628" spans="4:48">
      <c r="D2628" s="31"/>
      <c r="E2628" s="31"/>
      <c r="F2628" s="31"/>
      <c r="G2628" s="31"/>
      <c r="H2628" s="32"/>
      <c r="J2628" s="33"/>
      <c r="K2628" s="33"/>
      <c r="L2628" s="33"/>
      <c r="X2628" s="22"/>
      <c r="Y2628" s="22"/>
      <c r="Z2628" s="22"/>
      <c r="AA2628" s="22"/>
      <c r="AF2628" s="22"/>
      <c r="AG2628" s="22"/>
      <c r="AH2628" s="22"/>
      <c r="AI2628" s="22"/>
      <c r="AN2628" s="22"/>
      <c r="AO2628" s="22"/>
      <c r="AP2628" s="22"/>
      <c r="AQ2628" s="22"/>
      <c r="AR2628" s="35"/>
      <c r="AS2628" s="35"/>
      <c r="AT2628" s="35"/>
      <c r="AU2628" s="31"/>
      <c r="AV2628" s="36"/>
    </row>
    <row r="2629" spans="4:48">
      <c r="D2629" s="31"/>
      <c r="E2629" s="31"/>
      <c r="F2629" s="31"/>
      <c r="G2629" s="31"/>
      <c r="H2629" s="32"/>
      <c r="J2629" s="33"/>
      <c r="K2629" s="33"/>
      <c r="L2629" s="33"/>
      <c r="X2629" s="22"/>
      <c r="Y2629" s="22"/>
      <c r="Z2629" s="22"/>
      <c r="AA2629" s="22"/>
      <c r="AF2629" s="22"/>
      <c r="AG2629" s="22"/>
      <c r="AH2629" s="22"/>
      <c r="AI2629" s="22"/>
      <c r="AN2629" s="22"/>
      <c r="AO2629" s="22"/>
      <c r="AP2629" s="22"/>
      <c r="AQ2629" s="22"/>
      <c r="AR2629" s="35"/>
      <c r="AS2629" s="35"/>
      <c r="AT2629" s="35"/>
      <c r="AU2629" s="31"/>
      <c r="AV2629" s="36"/>
    </row>
    <row r="2630" spans="4:48">
      <c r="D2630" s="31"/>
      <c r="E2630" s="31"/>
      <c r="F2630" s="31"/>
      <c r="G2630" s="31"/>
      <c r="H2630" s="32"/>
      <c r="J2630" s="33"/>
      <c r="K2630" s="33"/>
      <c r="L2630" s="33"/>
      <c r="X2630" s="22"/>
      <c r="Y2630" s="22"/>
      <c r="Z2630" s="22"/>
      <c r="AA2630" s="22"/>
      <c r="AF2630" s="22"/>
      <c r="AG2630" s="22"/>
      <c r="AH2630" s="22"/>
      <c r="AI2630" s="22"/>
      <c r="AN2630" s="22"/>
      <c r="AO2630" s="22"/>
      <c r="AP2630" s="22"/>
      <c r="AQ2630" s="22"/>
      <c r="AR2630" s="35"/>
      <c r="AS2630" s="35"/>
      <c r="AT2630" s="35"/>
      <c r="AU2630" s="31"/>
      <c r="AV2630" s="36"/>
    </row>
    <row r="2631" spans="4:48">
      <c r="D2631" s="31"/>
      <c r="E2631" s="31"/>
      <c r="F2631" s="31"/>
      <c r="G2631" s="31"/>
      <c r="H2631" s="32"/>
      <c r="J2631" s="33"/>
      <c r="K2631" s="33"/>
      <c r="L2631" s="33"/>
      <c r="X2631" s="22"/>
      <c r="Y2631" s="22"/>
      <c r="Z2631" s="22"/>
      <c r="AA2631" s="22"/>
      <c r="AF2631" s="22"/>
      <c r="AG2631" s="22"/>
      <c r="AH2631" s="22"/>
      <c r="AI2631" s="22"/>
      <c r="AN2631" s="22"/>
      <c r="AO2631" s="22"/>
      <c r="AP2631" s="22"/>
      <c r="AQ2631" s="22"/>
      <c r="AR2631" s="35"/>
      <c r="AS2631" s="35"/>
      <c r="AT2631" s="35"/>
      <c r="AU2631" s="31"/>
      <c r="AV2631" s="36"/>
    </row>
    <row r="2632" spans="4:48">
      <c r="D2632" s="31"/>
      <c r="E2632" s="31"/>
      <c r="F2632" s="31"/>
      <c r="G2632" s="31"/>
      <c r="H2632" s="32"/>
      <c r="J2632" s="33"/>
      <c r="K2632" s="33"/>
      <c r="L2632" s="33"/>
      <c r="X2632" s="22"/>
      <c r="Y2632" s="22"/>
      <c r="Z2632" s="22"/>
      <c r="AA2632" s="22"/>
      <c r="AF2632" s="22"/>
      <c r="AG2632" s="22"/>
      <c r="AH2632" s="22"/>
      <c r="AI2632" s="22"/>
      <c r="AN2632" s="22"/>
      <c r="AO2632" s="22"/>
      <c r="AP2632" s="22"/>
      <c r="AQ2632" s="22"/>
      <c r="AR2632" s="35"/>
      <c r="AS2632" s="35"/>
      <c r="AT2632" s="35"/>
      <c r="AU2632" s="31"/>
      <c r="AV2632" s="36"/>
    </row>
    <row r="2633" spans="4:48">
      <c r="D2633" s="31"/>
      <c r="E2633" s="31"/>
      <c r="F2633" s="31"/>
      <c r="G2633" s="31"/>
      <c r="H2633" s="32"/>
      <c r="J2633" s="33"/>
      <c r="K2633" s="33"/>
      <c r="L2633" s="33"/>
      <c r="X2633" s="22"/>
      <c r="Y2633" s="22"/>
      <c r="Z2633" s="22"/>
      <c r="AA2633" s="22"/>
      <c r="AF2633" s="22"/>
      <c r="AG2633" s="22"/>
      <c r="AH2633" s="22"/>
      <c r="AI2633" s="22"/>
      <c r="AN2633" s="22"/>
      <c r="AO2633" s="22"/>
      <c r="AP2633" s="22"/>
      <c r="AQ2633" s="22"/>
      <c r="AR2633" s="35"/>
      <c r="AS2633" s="35"/>
      <c r="AT2633" s="35"/>
      <c r="AU2633" s="31"/>
      <c r="AV2633" s="36"/>
    </row>
    <row r="2634" spans="4:48">
      <c r="D2634" s="31"/>
      <c r="E2634" s="31"/>
      <c r="F2634" s="31"/>
      <c r="G2634" s="31"/>
      <c r="H2634" s="32"/>
      <c r="J2634" s="33"/>
      <c r="K2634" s="33"/>
      <c r="L2634" s="33"/>
      <c r="X2634" s="22"/>
      <c r="Y2634" s="22"/>
      <c r="Z2634" s="22"/>
      <c r="AA2634" s="22"/>
      <c r="AF2634" s="22"/>
      <c r="AG2634" s="22"/>
      <c r="AH2634" s="22"/>
      <c r="AI2634" s="22"/>
      <c r="AN2634" s="22"/>
      <c r="AO2634" s="22"/>
      <c r="AP2634" s="22"/>
      <c r="AQ2634" s="22"/>
      <c r="AR2634" s="35"/>
      <c r="AS2634" s="35"/>
      <c r="AT2634" s="35"/>
      <c r="AU2634" s="31"/>
      <c r="AV2634" s="36"/>
    </row>
    <row r="2635" spans="4:48">
      <c r="D2635" s="31"/>
      <c r="E2635" s="31"/>
      <c r="F2635" s="31"/>
      <c r="G2635" s="31"/>
      <c r="H2635" s="32"/>
      <c r="J2635" s="33"/>
      <c r="K2635" s="33"/>
      <c r="L2635" s="33"/>
      <c r="X2635" s="22"/>
      <c r="Y2635" s="22"/>
      <c r="Z2635" s="22"/>
      <c r="AA2635" s="22"/>
      <c r="AF2635" s="22"/>
      <c r="AG2635" s="22"/>
      <c r="AH2635" s="22"/>
      <c r="AI2635" s="22"/>
      <c r="AN2635" s="22"/>
      <c r="AO2635" s="22"/>
      <c r="AP2635" s="22"/>
      <c r="AQ2635" s="22"/>
      <c r="AR2635" s="35"/>
      <c r="AS2635" s="35"/>
      <c r="AT2635" s="35"/>
      <c r="AU2635" s="31"/>
      <c r="AV2635" s="36"/>
    </row>
    <row r="2636" spans="4:48">
      <c r="D2636" s="31"/>
      <c r="E2636" s="31"/>
      <c r="F2636" s="31"/>
      <c r="G2636" s="31"/>
      <c r="H2636" s="32"/>
      <c r="J2636" s="33"/>
      <c r="K2636" s="33"/>
      <c r="L2636" s="33"/>
      <c r="X2636" s="22"/>
      <c r="Y2636" s="22"/>
      <c r="Z2636" s="22"/>
      <c r="AA2636" s="22"/>
      <c r="AF2636" s="22"/>
      <c r="AG2636" s="22"/>
      <c r="AH2636" s="22"/>
      <c r="AI2636" s="22"/>
      <c r="AN2636" s="22"/>
      <c r="AO2636" s="22"/>
      <c r="AP2636" s="22"/>
      <c r="AQ2636" s="22"/>
      <c r="AR2636" s="35"/>
      <c r="AS2636" s="35"/>
      <c r="AT2636" s="35"/>
      <c r="AU2636" s="31"/>
      <c r="AV2636" s="36"/>
    </row>
    <row r="2637" spans="4:48">
      <c r="D2637" s="31"/>
      <c r="E2637" s="31"/>
      <c r="F2637" s="31"/>
      <c r="G2637" s="31"/>
      <c r="H2637" s="32"/>
      <c r="J2637" s="33"/>
      <c r="K2637" s="33"/>
      <c r="L2637" s="33"/>
      <c r="X2637" s="22"/>
      <c r="Y2637" s="22"/>
      <c r="Z2637" s="22"/>
      <c r="AA2637" s="22"/>
      <c r="AF2637" s="22"/>
      <c r="AG2637" s="22"/>
      <c r="AH2637" s="22"/>
      <c r="AI2637" s="22"/>
      <c r="AN2637" s="22"/>
      <c r="AO2637" s="22"/>
      <c r="AP2637" s="22"/>
      <c r="AQ2637" s="22"/>
      <c r="AR2637" s="35"/>
      <c r="AS2637" s="35"/>
      <c r="AT2637" s="35"/>
      <c r="AU2637" s="31"/>
      <c r="AV2637" s="36"/>
    </row>
    <row r="2638" spans="4:48">
      <c r="D2638" s="31"/>
      <c r="E2638" s="31"/>
      <c r="F2638" s="31"/>
      <c r="G2638" s="31"/>
      <c r="H2638" s="32"/>
      <c r="J2638" s="33"/>
      <c r="K2638" s="33"/>
      <c r="L2638" s="33"/>
      <c r="X2638" s="22"/>
      <c r="Y2638" s="22"/>
      <c r="Z2638" s="22"/>
      <c r="AA2638" s="22"/>
      <c r="AF2638" s="22"/>
      <c r="AG2638" s="22"/>
      <c r="AH2638" s="22"/>
      <c r="AI2638" s="22"/>
      <c r="AN2638" s="22"/>
      <c r="AO2638" s="22"/>
      <c r="AP2638" s="22"/>
      <c r="AQ2638" s="22"/>
      <c r="AR2638" s="35"/>
      <c r="AS2638" s="35"/>
      <c r="AT2638" s="35"/>
      <c r="AU2638" s="31"/>
      <c r="AV2638" s="36"/>
    </row>
    <row r="2639" spans="4:48">
      <c r="D2639" s="31"/>
      <c r="E2639" s="31"/>
      <c r="F2639" s="31"/>
      <c r="G2639" s="31"/>
      <c r="H2639" s="32"/>
      <c r="J2639" s="33"/>
      <c r="K2639" s="33"/>
      <c r="L2639" s="33"/>
      <c r="X2639" s="22"/>
      <c r="Y2639" s="22"/>
      <c r="Z2639" s="22"/>
      <c r="AA2639" s="22"/>
      <c r="AF2639" s="22"/>
      <c r="AG2639" s="22"/>
      <c r="AH2639" s="22"/>
      <c r="AI2639" s="22"/>
      <c r="AN2639" s="22"/>
      <c r="AO2639" s="22"/>
      <c r="AP2639" s="22"/>
      <c r="AQ2639" s="22"/>
      <c r="AR2639" s="35"/>
      <c r="AS2639" s="35"/>
      <c r="AT2639" s="35"/>
      <c r="AU2639" s="31"/>
      <c r="AV2639" s="36"/>
    </row>
    <row r="2640" spans="4:48">
      <c r="D2640" s="31"/>
      <c r="E2640" s="31"/>
      <c r="F2640" s="31"/>
      <c r="G2640" s="31"/>
      <c r="H2640" s="32"/>
      <c r="J2640" s="33"/>
      <c r="K2640" s="33"/>
      <c r="L2640" s="33"/>
      <c r="X2640" s="22"/>
      <c r="Y2640" s="22"/>
      <c r="Z2640" s="22"/>
      <c r="AA2640" s="22"/>
      <c r="AF2640" s="22"/>
      <c r="AG2640" s="22"/>
      <c r="AH2640" s="22"/>
      <c r="AI2640" s="22"/>
      <c r="AN2640" s="22"/>
      <c r="AO2640" s="22"/>
      <c r="AP2640" s="22"/>
      <c r="AQ2640" s="22"/>
      <c r="AR2640" s="35"/>
      <c r="AS2640" s="35"/>
      <c r="AT2640" s="35"/>
      <c r="AU2640" s="31"/>
      <c r="AV2640" s="36"/>
    </row>
    <row r="2641" spans="1:48">
      <c r="A2641" s="20"/>
      <c r="D2641" s="31"/>
      <c r="E2641" s="31"/>
      <c r="F2641" s="31"/>
      <c r="G2641" s="31"/>
      <c r="H2641" s="32"/>
      <c r="J2641" s="33"/>
      <c r="K2641" s="33"/>
      <c r="L2641" s="33"/>
      <c r="X2641" s="22"/>
      <c r="Y2641" s="22"/>
      <c r="Z2641" s="22"/>
      <c r="AA2641" s="22"/>
      <c r="AF2641" s="22"/>
      <c r="AG2641" s="22"/>
      <c r="AH2641" s="22"/>
      <c r="AI2641" s="22"/>
      <c r="AN2641" s="22"/>
      <c r="AO2641" s="22"/>
      <c r="AP2641" s="22"/>
      <c r="AQ2641" s="22"/>
      <c r="AR2641" s="35"/>
      <c r="AS2641" s="35"/>
      <c r="AT2641" s="35"/>
      <c r="AU2641" s="31"/>
      <c r="AV2641" s="36"/>
    </row>
    <row r="2642" spans="1:48">
      <c r="A2642" s="20"/>
      <c r="D2642" s="31"/>
      <c r="E2642" s="31"/>
      <c r="F2642" s="31"/>
      <c r="G2642" s="31"/>
      <c r="H2642" s="32"/>
      <c r="J2642" s="33"/>
      <c r="K2642" s="33"/>
      <c r="L2642" s="33"/>
      <c r="X2642" s="22"/>
      <c r="Y2642" s="22"/>
      <c r="Z2642" s="22"/>
      <c r="AA2642" s="22"/>
      <c r="AF2642" s="22"/>
      <c r="AG2642" s="22"/>
      <c r="AH2642" s="22"/>
      <c r="AI2642" s="22"/>
      <c r="AN2642" s="22"/>
      <c r="AO2642" s="22"/>
      <c r="AP2642" s="22"/>
      <c r="AQ2642" s="22"/>
      <c r="AR2642" s="35"/>
      <c r="AS2642" s="35"/>
      <c r="AT2642" s="35"/>
      <c r="AU2642" s="31"/>
      <c r="AV2642" s="36"/>
    </row>
    <row r="2643" spans="1:48">
      <c r="A2643" s="20"/>
      <c r="D2643" s="31"/>
      <c r="E2643" s="31"/>
      <c r="F2643" s="31"/>
      <c r="G2643" s="31"/>
      <c r="H2643" s="32"/>
      <c r="J2643" s="33"/>
      <c r="K2643" s="33"/>
      <c r="L2643" s="33"/>
      <c r="X2643" s="22"/>
      <c r="Y2643" s="22"/>
      <c r="Z2643" s="22"/>
      <c r="AA2643" s="22"/>
      <c r="AF2643" s="22"/>
      <c r="AG2643" s="22"/>
      <c r="AH2643" s="22"/>
      <c r="AI2643" s="22"/>
      <c r="AN2643" s="22"/>
      <c r="AO2643" s="22"/>
      <c r="AP2643" s="22"/>
      <c r="AQ2643" s="22"/>
      <c r="AR2643" s="35"/>
      <c r="AS2643" s="35"/>
      <c r="AT2643" s="35"/>
      <c r="AU2643" s="31"/>
      <c r="AV2643" s="36"/>
    </row>
    <row r="2644" spans="1:48">
      <c r="A2644" s="20"/>
      <c r="D2644" s="31"/>
      <c r="E2644" s="31"/>
      <c r="F2644" s="31"/>
      <c r="G2644" s="31"/>
      <c r="H2644" s="32"/>
      <c r="J2644" s="33"/>
      <c r="K2644" s="33"/>
      <c r="L2644" s="33"/>
      <c r="X2644" s="22"/>
      <c r="Y2644" s="22"/>
      <c r="Z2644" s="22"/>
      <c r="AA2644" s="22"/>
      <c r="AF2644" s="22"/>
      <c r="AG2644" s="22"/>
      <c r="AH2644" s="22"/>
      <c r="AI2644" s="22"/>
      <c r="AN2644" s="22"/>
      <c r="AO2644" s="22"/>
      <c r="AP2644" s="22"/>
      <c r="AQ2644" s="22"/>
      <c r="AR2644" s="35"/>
      <c r="AS2644" s="35"/>
      <c r="AT2644" s="35"/>
      <c r="AU2644" s="31"/>
      <c r="AV2644" s="36"/>
    </row>
    <row r="2645" spans="1:48">
      <c r="A2645" s="20"/>
      <c r="D2645" s="31"/>
      <c r="E2645" s="31"/>
      <c r="F2645" s="31"/>
      <c r="G2645" s="31"/>
      <c r="H2645" s="32"/>
      <c r="J2645" s="33"/>
      <c r="K2645" s="33"/>
      <c r="L2645" s="33"/>
      <c r="X2645" s="22"/>
      <c r="Y2645" s="22"/>
      <c r="Z2645" s="22"/>
      <c r="AA2645" s="22"/>
      <c r="AF2645" s="22"/>
      <c r="AG2645" s="22"/>
      <c r="AH2645" s="22"/>
      <c r="AI2645" s="22"/>
      <c r="AN2645" s="22"/>
      <c r="AO2645" s="22"/>
      <c r="AP2645" s="22"/>
      <c r="AQ2645" s="22"/>
      <c r="AR2645" s="35"/>
      <c r="AS2645" s="35"/>
      <c r="AT2645" s="35"/>
      <c r="AU2645" s="31"/>
      <c r="AV2645" s="36"/>
    </row>
    <row r="2646" spans="1:48">
      <c r="A2646" s="20"/>
      <c r="D2646" s="31"/>
      <c r="E2646" s="31"/>
      <c r="F2646" s="31"/>
      <c r="G2646" s="31"/>
      <c r="H2646" s="32"/>
      <c r="J2646" s="33"/>
      <c r="K2646" s="33"/>
      <c r="L2646" s="33"/>
      <c r="X2646" s="22"/>
      <c r="Y2646" s="22"/>
      <c r="Z2646" s="22"/>
      <c r="AA2646" s="22"/>
      <c r="AF2646" s="22"/>
      <c r="AG2646" s="22"/>
      <c r="AH2646" s="22"/>
      <c r="AI2646" s="22"/>
      <c r="AN2646" s="22"/>
      <c r="AO2646" s="22"/>
      <c r="AP2646" s="22"/>
      <c r="AQ2646" s="22"/>
      <c r="AR2646" s="35"/>
      <c r="AS2646" s="35"/>
      <c r="AT2646" s="35"/>
      <c r="AU2646" s="31"/>
      <c r="AV2646" s="36"/>
    </row>
    <row r="2647" spans="1:48">
      <c r="A2647" s="20"/>
      <c r="D2647" s="31"/>
      <c r="E2647" s="31"/>
      <c r="F2647" s="31"/>
      <c r="G2647" s="31"/>
      <c r="H2647" s="32"/>
      <c r="J2647" s="33"/>
      <c r="K2647" s="33"/>
      <c r="L2647" s="33"/>
      <c r="X2647" s="22"/>
      <c r="Y2647" s="22"/>
      <c r="Z2647" s="22"/>
      <c r="AA2647" s="22"/>
      <c r="AF2647" s="22"/>
      <c r="AG2647" s="22"/>
      <c r="AH2647" s="22"/>
      <c r="AI2647" s="22"/>
      <c r="AN2647" s="22"/>
      <c r="AO2647" s="22"/>
      <c r="AP2647" s="22"/>
      <c r="AQ2647" s="22"/>
      <c r="AR2647" s="35"/>
      <c r="AS2647" s="35"/>
      <c r="AT2647" s="35"/>
      <c r="AU2647" s="31"/>
      <c r="AV2647" s="36"/>
    </row>
    <row r="2648" spans="1:48">
      <c r="A2648" s="20"/>
      <c r="D2648" s="31"/>
      <c r="E2648" s="31"/>
      <c r="F2648" s="31"/>
      <c r="G2648" s="31"/>
      <c r="H2648" s="32"/>
      <c r="J2648" s="33"/>
      <c r="K2648" s="33"/>
      <c r="L2648" s="33"/>
      <c r="X2648" s="22"/>
      <c r="Y2648" s="22"/>
      <c r="Z2648" s="22"/>
      <c r="AA2648" s="22"/>
      <c r="AF2648" s="22"/>
      <c r="AG2648" s="22"/>
      <c r="AH2648" s="22"/>
      <c r="AI2648" s="22"/>
      <c r="AN2648" s="22"/>
      <c r="AO2648" s="22"/>
      <c r="AP2648" s="22"/>
      <c r="AQ2648" s="22"/>
      <c r="AR2648" s="35"/>
      <c r="AS2648" s="35"/>
      <c r="AT2648" s="35"/>
      <c r="AU2648" s="31"/>
      <c r="AV2648" s="36"/>
    </row>
    <row r="2649" spans="4:48">
      <c r="D2649" s="31"/>
      <c r="E2649" s="31"/>
      <c r="F2649" s="31"/>
      <c r="G2649" s="31"/>
      <c r="H2649" s="32"/>
      <c r="J2649" s="33"/>
      <c r="K2649" s="33"/>
      <c r="L2649" s="33"/>
      <c r="X2649" s="22"/>
      <c r="Y2649" s="22"/>
      <c r="Z2649" s="22"/>
      <c r="AA2649" s="22"/>
      <c r="AF2649" s="22"/>
      <c r="AG2649" s="22"/>
      <c r="AH2649" s="22"/>
      <c r="AI2649" s="22"/>
      <c r="AN2649" s="22"/>
      <c r="AO2649" s="22"/>
      <c r="AP2649" s="22"/>
      <c r="AQ2649" s="22"/>
      <c r="AR2649" s="35"/>
      <c r="AS2649" s="35"/>
      <c r="AT2649" s="35"/>
      <c r="AU2649" s="31"/>
      <c r="AV2649" s="36"/>
    </row>
    <row r="2650" spans="4:48">
      <c r="D2650" s="31"/>
      <c r="E2650" s="31"/>
      <c r="F2650" s="31"/>
      <c r="G2650" s="31"/>
      <c r="H2650" s="32"/>
      <c r="J2650" s="33"/>
      <c r="K2650" s="33"/>
      <c r="L2650" s="33"/>
      <c r="X2650" s="22"/>
      <c r="Y2650" s="22"/>
      <c r="Z2650" s="22"/>
      <c r="AA2650" s="22"/>
      <c r="AF2650" s="22"/>
      <c r="AG2650" s="22"/>
      <c r="AH2650" s="22"/>
      <c r="AI2650" s="22"/>
      <c r="AN2650" s="22"/>
      <c r="AO2650" s="22"/>
      <c r="AP2650" s="22"/>
      <c r="AQ2650" s="22"/>
      <c r="AR2650" s="35"/>
      <c r="AS2650" s="35"/>
      <c r="AT2650" s="35"/>
      <c r="AU2650" s="31"/>
      <c r="AV2650" s="36"/>
    </row>
    <row r="2651" spans="4:48">
      <c r="D2651" s="31"/>
      <c r="E2651" s="31"/>
      <c r="F2651" s="31"/>
      <c r="G2651" s="31"/>
      <c r="H2651" s="32"/>
      <c r="J2651" s="33"/>
      <c r="K2651" s="33"/>
      <c r="L2651" s="33"/>
      <c r="X2651" s="22"/>
      <c r="Y2651" s="22"/>
      <c r="Z2651" s="22"/>
      <c r="AA2651" s="22"/>
      <c r="AF2651" s="22"/>
      <c r="AG2651" s="22"/>
      <c r="AH2651" s="22"/>
      <c r="AI2651" s="22"/>
      <c r="AN2651" s="22"/>
      <c r="AO2651" s="22"/>
      <c r="AP2651" s="22"/>
      <c r="AQ2651" s="22"/>
      <c r="AR2651" s="35"/>
      <c r="AS2651" s="35"/>
      <c r="AT2651" s="35"/>
      <c r="AU2651" s="31"/>
      <c r="AV2651" s="36"/>
    </row>
    <row r="2652" spans="4:48">
      <c r="D2652" s="31"/>
      <c r="E2652" s="31"/>
      <c r="F2652" s="31"/>
      <c r="G2652" s="31"/>
      <c r="H2652" s="32"/>
      <c r="J2652" s="33"/>
      <c r="K2652" s="33"/>
      <c r="L2652" s="33"/>
      <c r="X2652" s="22"/>
      <c r="Y2652" s="22"/>
      <c r="Z2652" s="22"/>
      <c r="AA2652" s="22"/>
      <c r="AF2652" s="22"/>
      <c r="AG2652" s="22"/>
      <c r="AH2652" s="22"/>
      <c r="AI2652" s="22"/>
      <c r="AN2652" s="22"/>
      <c r="AO2652" s="22"/>
      <c r="AP2652" s="22"/>
      <c r="AQ2652" s="22"/>
      <c r="AR2652" s="35"/>
      <c r="AS2652" s="35"/>
      <c r="AT2652" s="35"/>
      <c r="AU2652" s="31"/>
      <c r="AV2652" s="36"/>
    </row>
    <row r="2653" spans="4:48">
      <c r="D2653" s="31"/>
      <c r="E2653" s="31"/>
      <c r="F2653" s="31"/>
      <c r="G2653" s="31"/>
      <c r="H2653" s="32"/>
      <c r="J2653" s="33"/>
      <c r="K2653" s="33"/>
      <c r="L2653" s="33"/>
      <c r="X2653" s="22"/>
      <c r="Y2653" s="22"/>
      <c r="Z2653" s="22"/>
      <c r="AA2653" s="22"/>
      <c r="AF2653" s="22"/>
      <c r="AG2653" s="22"/>
      <c r="AH2653" s="22"/>
      <c r="AI2653" s="22"/>
      <c r="AN2653" s="22"/>
      <c r="AO2653" s="22"/>
      <c r="AP2653" s="22"/>
      <c r="AQ2653" s="22"/>
      <c r="AR2653" s="35"/>
      <c r="AS2653" s="35"/>
      <c r="AT2653" s="35"/>
      <c r="AU2653" s="31"/>
      <c r="AV2653" s="36"/>
    </row>
    <row r="2654" spans="4:48">
      <c r="D2654" s="31"/>
      <c r="E2654" s="31"/>
      <c r="F2654" s="31"/>
      <c r="G2654" s="31"/>
      <c r="H2654" s="32"/>
      <c r="J2654" s="33"/>
      <c r="K2654" s="33"/>
      <c r="L2654" s="33"/>
      <c r="X2654" s="22"/>
      <c r="Y2654" s="22"/>
      <c r="Z2654" s="22"/>
      <c r="AA2654" s="22"/>
      <c r="AF2654" s="22"/>
      <c r="AG2654" s="22"/>
      <c r="AH2654" s="22"/>
      <c r="AI2654" s="22"/>
      <c r="AN2654" s="22"/>
      <c r="AO2654" s="22"/>
      <c r="AP2654" s="22"/>
      <c r="AQ2654" s="22"/>
      <c r="AR2654" s="35"/>
      <c r="AS2654" s="35"/>
      <c r="AT2654" s="35"/>
      <c r="AU2654" s="31"/>
      <c r="AV2654" s="36"/>
    </row>
    <row r="2655" spans="4:48">
      <c r="D2655" s="31"/>
      <c r="E2655" s="31"/>
      <c r="F2655" s="31"/>
      <c r="G2655" s="31"/>
      <c r="H2655" s="32"/>
      <c r="J2655" s="33"/>
      <c r="K2655" s="33"/>
      <c r="L2655" s="33"/>
      <c r="X2655" s="22"/>
      <c r="Y2655" s="22"/>
      <c r="Z2655" s="22"/>
      <c r="AA2655" s="22"/>
      <c r="AF2655" s="22"/>
      <c r="AG2655" s="22"/>
      <c r="AH2655" s="22"/>
      <c r="AI2655" s="22"/>
      <c r="AN2655" s="22"/>
      <c r="AO2655" s="22"/>
      <c r="AP2655" s="22"/>
      <c r="AQ2655" s="22"/>
      <c r="AR2655" s="35"/>
      <c r="AS2655" s="35"/>
      <c r="AT2655" s="35"/>
      <c r="AU2655" s="31"/>
      <c r="AV2655" s="36"/>
    </row>
    <row r="2656" spans="4:48">
      <c r="D2656" s="31"/>
      <c r="E2656" s="31"/>
      <c r="F2656" s="31"/>
      <c r="G2656" s="31"/>
      <c r="H2656" s="32"/>
      <c r="J2656" s="33"/>
      <c r="K2656" s="33"/>
      <c r="L2656" s="33"/>
      <c r="X2656" s="22"/>
      <c r="Y2656" s="22"/>
      <c r="Z2656" s="22"/>
      <c r="AA2656" s="22"/>
      <c r="AF2656" s="22"/>
      <c r="AG2656" s="22"/>
      <c r="AH2656" s="22"/>
      <c r="AI2656" s="22"/>
      <c r="AN2656" s="22"/>
      <c r="AO2656" s="22"/>
      <c r="AP2656" s="22"/>
      <c r="AQ2656" s="22"/>
      <c r="AR2656" s="35"/>
      <c r="AS2656" s="35"/>
      <c r="AT2656" s="35"/>
      <c r="AU2656" s="31"/>
      <c r="AV2656" s="36"/>
    </row>
    <row r="2657" spans="4:48">
      <c r="D2657" s="31"/>
      <c r="E2657" s="31"/>
      <c r="F2657" s="31"/>
      <c r="G2657" s="31"/>
      <c r="H2657" s="32"/>
      <c r="J2657" s="33"/>
      <c r="K2657" s="33"/>
      <c r="L2657" s="33"/>
      <c r="X2657" s="22"/>
      <c r="Y2657" s="22"/>
      <c r="Z2657" s="22"/>
      <c r="AA2657" s="22"/>
      <c r="AF2657" s="22"/>
      <c r="AG2657" s="22"/>
      <c r="AH2657" s="22"/>
      <c r="AI2657" s="22"/>
      <c r="AN2657" s="22"/>
      <c r="AO2657" s="22"/>
      <c r="AP2657" s="22"/>
      <c r="AQ2657" s="22"/>
      <c r="AR2657" s="35"/>
      <c r="AS2657" s="35"/>
      <c r="AT2657" s="35"/>
      <c r="AU2657" s="31"/>
      <c r="AV2657" s="36"/>
    </row>
    <row r="2658" spans="4:48">
      <c r="D2658" s="31"/>
      <c r="E2658" s="31"/>
      <c r="F2658" s="31"/>
      <c r="G2658" s="31"/>
      <c r="H2658" s="32"/>
      <c r="J2658" s="33"/>
      <c r="K2658" s="33"/>
      <c r="L2658" s="33"/>
      <c r="X2658" s="22"/>
      <c r="Y2658" s="22"/>
      <c r="Z2658" s="22"/>
      <c r="AA2658" s="22"/>
      <c r="AF2658" s="22"/>
      <c r="AG2658" s="22"/>
      <c r="AH2658" s="22"/>
      <c r="AI2658" s="22"/>
      <c r="AN2658" s="22"/>
      <c r="AO2658" s="22"/>
      <c r="AP2658" s="22"/>
      <c r="AQ2658" s="22"/>
      <c r="AR2658" s="35"/>
      <c r="AS2658" s="35"/>
      <c r="AT2658" s="35"/>
      <c r="AU2658" s="31"/>
      <c r="AV2658" s="36"/>
    </row>
    <row r="2659" spans="4:48">
      <c r="D2659" s="31"/>
      <c r="E2659" s="31"/>
      <c r="F2659" s="31"/>
      <c r="G2659" s="31"/>
      <c r="H2659" s="32"/>
      <c r="J2659" s="33"/>
      <c r="K2659" s="33"/>
      <c r="L2659" s="33"/>
      <c r="X2659" s="22"/>
      <c r="Y2659" s="22"/>
      <c r="Z2659" s="22"/>
      <c r="AA2659" s="22"/>
      <c r="AF2659" s="22"/>
      <c r="AG2659" s="22"/>
      <c r="AH2659" s="22"/>
      <c r="AI2659" s="22"/>
      <c r="AN2659" s="22"/>
      <c r="AO2659" s="22"/>
      <c r="AP2659" s="22"/>
      <c r="AQ2659" s="22"/>
      <c r="AR2659" s="35"/>
      <c r="AS2659" s="35"/>
      <c r="AT2659" s="35"/>
      <c r="AU2659" s="31"/>
      <c r="AV2659" s="36"/>
    </row>
    <row r="2660" spans="4:48">
      <c r="D2660" s="31"/>
      <c r="E2660" s="31"/>
      <c r="F2660" s="31"/>
      <c r="G2660" s="31"/>
      <c r="H2660" s="32"/>
      <c r="J2660" s="33"/>
      <c r="K2660" s="33"/>
      <c r="L2660" s="33"/>
      <c r="X2660" s="22"/>
      <c r="Y2660" s="22"/>
      <c r="Z2660" s="22"/>
      <c r="AA2660" s="22"/>
      <c r="AF2660" s="22"/>
      <c r="AG2660" s="22"/>
      <c r="AH2660" s="22"/>
      <c r="AI2660" s="22"/>
      <c r="AN2660" s="22"/>
      <c r="AO2660" s="22"/>
      <c r="AP2660" s="22"/>
      <c r="AQ2660" s="22"/>
      <c r="AR2660" s="35"/>
      <c r="AS2660" s="35"/>
      <c r="AT2660" s="35"/>
      <c r="AU2660" s="31"/>
      <c r="AV2660" s="36"/>
    </row>
    <row r="2661" spans="4:48">
      <c r="D2661" s="31"/>
      <c r="E2661" s="31"/>
      <c r="F2661" s="31"/>
      <c r="G2661" s="31"/>
      <c r="H2661" s="32"/>
      <c r="J2661" s="33"/>
      <c r="K2661" s="33"/>
      <c r="L2661" s="33"/>
      <c r="X2661" s="22"/>
      <c r="Y2661" s="22"/>
      <c r="Z2661" s="22"/>
      <c r="AA2661" s="22"/>
      <c r="AF2661" s="22"/>
      <c r="AG2661" s="22"/>
      <c r="AH2661" s="22"/>
      <c r="AI2661" s="22"/>
      <c r="AN2661" s="22"/>
      <c r="AO2661" s="22"/>
      <c r="AP2661" s="22"/>
      <c r="AQ2661" s="22"/>
      <c r="AR2661" s="35"/>
      <c r="AS2661" s="35"/>
      <c r="AT2661" s="35"/>
      <c r="AU2661" s="31"/>
      <c r="AV2661" s="36"/>
    </row>
    <row r="2662" spans="4:48">
      <c r="D2662" s="31"/>
      <c r="E2662" s="31"/>
      <c r="F2662" s="31"/>
      <c r="G2662" s="31"/>
      <c r="H2662" s="32"/>
      <c r="J2662" s="33"/>
      <c r="K2662" s="33"/>
      <c r="L2662" s="33"/>
      <c r="X2662" s="22"/>
      <c r="Y2662" s="22"/>
      <c r="Z2662" s="22"/>
      <c r="AA2662" s="22"/>
      <c r="AF2662" s="22"/>
      <c r="AG2662" s="22"/>
      <c r="AH2662" s="22"/>
      <c r="AI2662" s="22"/>
      <c r="AN2662" s="22"/>
      <c r="AO2662" s="22"/>
      <c r="AP2662" s="22"/>
      <c r="AQ2662" s="22"/>
      <c r="AR2662" s="35"/>
      <c r="AS2662" s="35"/>
      <c r="AT2662" s="35"/>
      <c r="AU2662" s="31"/>
      <c r="AV2662" s="36"/>
    </row>
    <row r="2663" spans="4:48">
      <c r="D2663" s="31"/>
      <c r="E2663" s="31"/>
      <c r="F2663" s="31"/>
      <c r="G2663" s="31"/>
      <c r="H2663" s="32"/>
      <c r="J2663" s="33"/>
      <c r="K2663" s="33"/>
      <c r="L2663" s="33"/>
      <c r="X2663" s="22"/>
      <c r="Y2663" s="22"/>
      <c r="Z2663" s="22"/>
      <c r="AA2663" s="22"/>
      <c r="AF2663" s="22"/>
      <c r="AG2663" s="22"/>
      <c r="AH2663" s="22"/>
      <c r="AI2663" s="22"/>
      <c r="AN2663" s="22"/>
      <c r="AO2663" s="22"/>
      <c r="AP2663" s="22"/>
      <c r="AQ2663" s="22"/>
      <c r="AR2663" s="35"/>
      <c r="AS2663" s="35"/>
      <c r="AT2663" s="35"/>
      <c r="AU2663" s="31"/>
      <c r="AV2663" s="36"/>
    </row>
    <row r="2664" spans="4:48">
      <c r="D2664" s="31"/>
      <c r="E2664" s="31"/>
      <c r="F2664" s="31"/>
      <c r="G2664" s="31"/>
      <c r="H2664" s="32"/>
      <c r="J2664" s="33"/>
      <c r="K2664" s="33"/>
      <c r="L2664" s="33"/>
      <c r="X2664" s="22"/>
      <c r="Y2664" s="22"/>
      <c r="Z2664" s="22"/>
      <c r="AA2664" s="22"/>
      <c r="AF2664" s="22"/>
      <c r="AG2664" s="22"/>
      <c r="AH2664" s="22"/>
      <c r="AI2664" s="22"/>
      <c r="AN2664" s="22"/>
      <c r="AO2664" s="22"/>
      <c r="AP2664" s="22"/>
      <c r="AQ2664" s="22"/>
      <c r="AR2664" s="35"/>
      <c r="AS2664" s="35"/>
      <c r="AT2664" s="35"/>
      <c r="AU2664" s="31"/>
      <c r="AV2664" s="36"/>
    </row>
    <row r="2665" spans="4:48">
      <c r="D2665" s="31"/>
      <c r="E2665" s="31"/>
      <c r="F2665" s="31"/>
      <c r="G2665" s="31"/>
      <c r="H2665" s="32"/>
      <c r="J2665" s="33"/>
      <c r="K2665" s="33"/>
      <c r="L2665" s="33"/>
      <c r="X2665" s="22"/>
      <c r="Y2665" s="22"/>
      <c r="Z2665" s="22"/>
      <c r="AA2665" s="22"/>
      <c r="AF2665" s="22"/>
      <c r="AG2665" s="22"/>
      <c r="AH2665" s="22"/>
      <c r="AI2665" s="22"/>
      <c r="AN2665" s="22"/>
      <c r="AO2665" s="22"/>
      <c r="AP2665" s="22"/>
      <c r="AQ2665" s="22"/>
      <c r="AR2665" s="35"/>
      <c r="AS2665" s="35"/>
      <c r="AT2665" s="35"/>
      <c r="AU2665" s="31"/>
      <c r="AV2665" s="36"/>
    </row>
    <row r="2666" spans="4:48">
      <c r="D2666" s="31"/>
      <c r="E2666" s="31"/>
      <c r="F2666" s="31"/>
      <c r="G2666" s="31"/>
      <c r="H2666" s="32"/>
      <c r="J2666" s="33"/>
      <c r="K2666" s="33"/>
      <c r="L2666" s="33"/>
      <c r="X2666" s="22"/>
      <c r="Y2666" s="22"/>
      <c r="Z2666" s="22"/>
      <c r="AA2666" s="22"/>
      <c r="AF2666" s="22"/>
      <c r="AG2666" s="22"/>
      <c r="AH2666" s="22"/>
      <c r="AI2666" s="22"/>
      <c r="AN2666" s="22"/>
      <c r="AO2666" s="22"/>
      <c r="AP2666" s="22"/>
      <c r="AQ2666" s="22"/>
      <c r="AR2666" s="35"/>
      <c r="AS2666" s="35"/>
      <c r="AT2666" s="35"/>
      <c r="AU2666" s="31"/>
      <c r="AV2666" s="36"/>
    </row>
    <row r="2667" spans="4:48">
      <c r="D2667" s="31"/>
      <c r="E2667" s="31"/>
      <c r="F2667" s="31"/>
      <c r="G2667" s="31"/>
      <c r="H2667" s="32"/>
      <c r="J2667" s="33"/>
      <c r="K2667" s="33"/>
      <c r="L2667" s="33"/>
      <c r="X2667" s="22"/>
      <c r="Y2667" s="22"/>
      <c r="Z2667" s="22"/>
      <c r="AA2667" s="22"/>
      <c r="AF2667" s="22"/>
      <c r="AG2667" s="22"/>
      <c r="AH2667" s="22"/>
      <c r="AI2667" s="22"/>
      <c r="AN2667" s="22"/>
      <c r="AO2667" s="22"/>
      <c r="AP2667" s="22"/>
      <c r="AQ2667" s="22"/>
      <c r="AR2667" s="35"/>
      <c r="AS2667" s="35"/>
      <c r="AT2667" s="35"/>
      <c r="AU2667" s="31"/>
      <c r="AV2667" s="36"/>
    </row>
    <row r="2668" spans="4:48">
      <c r="D2668" s="31"/>
      <c r="E2668" s="31"/>
      <c r="F2668" s="31"/>
      <c r="G2668" s="31"/>
      <c r="H2668" s="32"/>
      <c r="J2668" s="33"/>
      <c r="K2668" s="33"/>
      <c r="L2668" s="33"/>
      <c r="X2668" s="22"/>
      <c r="Y2668" s="22"/>
      <c r="Z2668" s="22"/>
      <c r="AA2668" s="22"/>
      <c r="AF2668" s="22"/>
      <c r="AG2668" s="22"/>
      <c r="AH2668" s="22"/>
      <c r="AI2668" s="22"/>
      <c r="AN2668" s="22"/>
      <c r="AO2668" s="22"/>
      <c r="AP2668" s="22"/>
      <c r="AQ2668" s="22"/>
      <c r="AR2668" s="35"/>
      <c r="AS2668" s="35"/>
      <c r="AT2668" s="35"/>
      <c r="AU2668" s="31"/>
      <c r="AV2668" s="36"/>
    </row>
    <row r="2669" spans="4:48">
      <c r="D2669" s="31"/>
      <c r="E2669" s="31"/>
      <c r="F2669" s="31"/>
      <c r="G2669" s="31"/>
      <c r="H2669" s="32"/>
      <c r="J2669" s="33"/>
      <c r="K2669" s="33"/>
      <c r="L2669" s="33"/>
      <c r="X2669" s="22"/>
      <c r="Y2669" s="22"/>
      <c r="Z2669" s="22"/>
      <c r="AA2669" s="22"/>
      <c r="AF2669" s="22"/>
      <c r="AG2669" s="22"/>
      <c r="AH2669" s="22"/>
      <c r="AI2669" s="22"/>
      <c r="AN2669" s="22"/>
      <c r="AO2669" s="22"/>
      <c r="AP2669" s="22"/>
      <c r="AQ2669" s="22"/>
      <c r="AR2669" s="35"/>
      <c r="AS2669" s="35"/>
      <c r="AT2669" s="35"/>
      <c r="AU2669" s="31"/>
      <c r="AV2669" s="36"/>
    </row>
    <row r="2670" spans="4:48">
      <c r="D2670" s="31"/>
      <c r="E2670" s="31"/>
      <c r="F2670" s="31"/>
      <c r="G2670" s="31"/>
      <c r="H2670" s="32"/>
      <c r="J2670" s="33"/>
      <c r="K2670" s="33"/>
      <c r="L2670" s="33"/>
      <c r="X2670" s="22"/>
      <c r="Y2670" s="22"/>
      <c r="Z2670" s="22"/>
      <c r="AA2670" s="22"/>
      <c r="AF2670" s="22"/>
      <c r="AG2670" s="22"/>
      <c r="AH2670" s="22"/>
      <c r="AI2670" s="22"/>
      <c r="AN2670" s="22"/>
      <c r="AO2670" s="22"/>
      <c r="AP2670" s="22"/>
      <c r="AQ2670" s="22"/>
      <c r="AR2670" s="35"/>
      <c r="AS2670" s="35"/>
      <c r="AT2670" s="35"/>
      <c r="AU2670" s="31"/>
      <c r="AV2670" s="36"/>
    </row>
    <row r="2671" spans="4:48">
      <c r="D2671" s="31"/>
      <c r="E2671" s="31"/>
      <c r="F2671" s="31"/>
      <c r="G2671" s="31"/>
      <c r="H2671" s="32"/>
      <c r="J2671" s="33"/>
      <c r="K2671" s="33"/>
      <c r="L2671" s="33"/>
      <c r="X2671" s="22"/>
      <c r="Y2671" s="22"/>
      <c r="Z2671" s="22"/>
      <c r="AA2671" s="22"/>
      <c r="AF2671" s="22"/>
      <c r="AG2671" s="22"/>
      <c r="AH2671" s="22"/>
      <c r="AI2671" s="22"/>
      <c r="AN2671" s="22"/>
      <c r="AO2671" s="22"/>
      <c r="AP2671" s="22"/>
      <c r="AQ2671" s="22"/>
      <c r="AR2671" s="35"/>
      <c r="AS2671" s="35"/>
      <c r="AT2671" s="35"/>
      <c r="AU2671" s="31"/>
      <c r="AV2671" s="36"/>
    </row>
    <row r="2672" spans="4:48">
      <c r="D2672" s="31"/>
      <c r="E2672" s="31"/>
      <c r="F2672" s="31"/>
      <c r="G2672" s="31"/>
      <c r="H2672" s="32"/>
      <c r="J2672" s="33"/>
      <c r="K2672" s="33"/>
      <c r="L2672" s="33"/>
      <c r="X2672" s="22"/>
      <c r="Y2672" s="22"/>
      <c r="Z2672" s="22"/>
      <c r="AA2672" s="22"/>
      <c r="AF2672" s="22"/>
      <c r="AG2672" s="22"/>
      <c r="AH2672" s="22"/>
      <c r="AI2672" s="22"/>
      <c r="AN2672" s="22"/>
      <c r="AO2672" s="22"/>
      <c r="AP2672" s="22"/>
      <c r="AQ2672" s="22"/>
      <c r="AR2672" s="35"/>
      <c r="AS2672" s="35"/>
      <c r="AT2672" s="35"/>
      <c r="AU2672" s="31"/>
      <c r="AV2672" s="36"/>
    </row>
    <row r="2673" spans="4:48">
      <c r="D2673" s="31"/>
      <c r="E2673" s="31"/>
      <c r="F2673" s="31"/>
      <c r="G2673" s="31"/>
      <c r="H2673" s="32"/>
      <c r="J2673" s="33"/>
      <c r="K2673" s="33"/>
      <c r="L2673" s="33"/>
      <c r="X2673" s="22"/>
      <c r="Y2673" s="22"/>
      <c r="Z2673" s="22"/>
      <c r="AA2673" s="22"/>
      <c r="AF2673" s="22"/>
      <c r="AG2673" s="22"/>
      <c r="AH2673" s="22"/>
      <c r="AI2673" s="22"/>
      <c r="AN2673" s="22"/>
      <c r="AO2673" s="22"/>
      <c r="AP2673" s="22"/>
      <c r="AQ2673" s="22"/>
      <c r="AR2673" s="35"/>
      <c r="AS2673" s="35"/>
      <c r="AT2673" s="35"/>
      <c r="AU2673" s="31"/>
      <c r="AV2673" s="36"/>
    </row>
    <row r="2674" spans="4:48">
      <c r="D2674" s="31"/>
      <c r="E2674" s="31"/>
      <c r="F2674" s="31"/>
      <c r="G2674" s="31"/>
      <c r="H2674" s="32"/>
      <c r="J2674" s="33"/>
      <c r="K2674" s="33"/>
      <c r="L2674" s="33"/>
      <c r="X2674" s="22"/>
      <c r="Y2674" s="22"/>
      <c r="Z2674" s="22"/>
      <c r="AA2674" s="22"/>
      <c r="AF2674" s="22"/>
      <c r="AG2674" s="22"/>
      <c r="AH2674" s="22"/>
      <c r="AI2674" s="22"/>
      <c r="AN2674" s="22"/>
      <c r="AO2674" s="22"/>
      <c r="AP2674" s="22"/>
      <c r="AQ2674" s="22"/>
      <c r="AR2674" s="35"/>
      <c r="AS2674" s="35"/>
      <c r="AT2674" s="35"/>
      <c r="AU2674" s="31"/>
      <c r="AV2674" s="36"/>
    </row>
    <row r="2675" spans="4:48">
      <c r="D2675" s="31"/>
      <c r="E2675" s="31"/>
      <c r="F2675" s="31"/>
      <c r="G2675" s="31"/>
      <c r="H2675" s="32"/>
      <c r="J2675" s="33"/>
      <c r="K2675" s="33"/>
      <c r="L2675" s="33"/>
      <c r="X2675" s="22"/>
      <c r="Y2675" s="22"/>
      <c r="Z2675" s="22"/>
      <c r="AA2675" s="22"/>
      <c r="AF2675" s="22"/>
      <c r="AG2675" s="22"/>
      <c r="AH2675" s="22"/>
      <c r="AI2675" s="22"/>
      <c r="AN2675" s="22"/>
      <c r="AO2675" s="22"/>
      <c r="AP2675" s="22"/>
      <c r="AQ2675" s="22"/>
      <c r="AR2675" s="35"/>
      <c r="AS2675" s="35"/>
      <c r="AT2675" s="35"/>
      <c r="AU2675" s="31"/>
      <c r="AV2675" s="36"/>
    </row>
    <row r="2676" spans="4:48">
      <c r="D2676" s="31"/>
      <c r="E2676" s="31"/>
      <c r="F2676" s="31"/>
      <c r="G2676" s="31"/>
      <c r="H2676" s="32"/>
      <c r="J2676" s="33"/>
      <c r="K2676" s="33"/>
      <c r="L2676" s="33"/>
      <c r="X2676" s="22"/>
      <c r="Y2676" s="22"/>
      <c r="Z2676" s="22"/>
      <c r="AA2676" s="22"/>
      <c r="AF2676" s="22"/>
      <c r="AG2676" s="22"/>
      <c r="AH2676" s="22"/>
      <c r="AI2676" s="22"/>
      <c r="AN2676" s="22"/>
      <c r="AO2676" s="22"/>
      <c r="AP2676" s="22"/>
      <c r="AQ2676" s="22"/>
      <c r="AR2676" s="35"/>
      <c r="AS2676" s="35"/>
      <c r="AT2676" s="35"/>
      <c r="AU2676" s="31"/>
      <c r="AV2676" s="36"/>
    </row>
    <row r="2677" spans="4:48">
      <c r="D2677" s="31"/>
      <c r="E2677" s="31"/>
      <c r="F2677" s="31"/>
      <c r="G2677" s="31"/>
      <c r="H2677" s="32"/>
      <c r="J2677" s="33"/>
      <c r="K2677" s="33"/>
      <c r="L2677" s="33"/>
      <c r="X2677" s="22"/>
      <c r="Y2677" s="22"/>
      <c r="Z2677" s="22"/>
      <c r="AA2677" s="22"/>
      <c r="AF2677" s="22"/>
      <c r="AG2677" s="22"/>
      <c r="AH2677" s="22"/>
      <c r="AI2677" s="22"/>
      <c r="AN2677" s="22"/>
      <c r="AO2677" s="22"/>
      <c r="AP2677" s="22"/>
      <c r="AQ2677" s="22"/>
      <c r="AR2677" s="35"/>
      <c r="AS2677" s="35"/>
      <c r="AT2677" s="35"/>
      <c r="AU2677" s="31"/>
      <c r="AV2677" s="36"/>
    </row>
    <row r="2678" spans="4:48">
      <c r="D2678" s="31"/>
      <c r="E2678" s="31"/>
      <c r="F2678" s="31"/>
      <c r="G2678" s="31"/>
      <c r="H2678" s="32"/>
      <c r="J2678" s="33"/>
      <c r="K2678" s="33"/>
      <c r="L2678" s="33"/>
      <c r="X2678" s="22"/>
      <c r="Y2678" s="22"/>
      <c r="Z2678" s="22"/>
      <c r="AA2678" s="22"/>
      <c r="AF2678" s="22"/>
      <c r="AG2678" s="22"/>
      <c r="AH2678" s="22"/>
      <c r="AI2678" s="22"/>
      <c r="AN2678" s="22"/>
      <c r="AO2678" s="22"/>
      <c r="AP2678" s="22"/>
      <c r="AQ2678" s="22"/>
      <c r="AR2678" s="35"/>
      <c r="AS2678" s="35"/>
      <c r="AT2678" s="35"/>
      <c r="AU2678" s="31"/>
      <c r="AV2678" s="36"/>
    </row>
    <row r="2679" spans="4:48">
      <c r="D2679" s="31"/>
      <c r="E2679" s="31"/>
      <c r="F2679" s="31"/>
      <c r="G2679" s="31"/>
      <c r="H2679" s="32"/>
      <c r="J2679" s="33"/>
      <c r="K2679" s="33"/>
      <c r="L2679" s="33"/>
      <c r="X2679" s="22"/>
      <c r="Y2679" s="22"/>
      <c r="Z2679" s="22"/>
      <c r="AA2679" s="22"/>
      <c r="AF2679" s="22"/>
      <c r="AG2679" s="22"/>
      <c r="AH2679" s="22"/>
      <c r="AI2679" s="22"/>
      <c r="AN2679" s="22"/>
      <c r="AO2679" s="22"/>
      <c r="AP2679" s="22"/>
      <c r="AQ2679" s="22"/>
      <c r="AR2679" s="35"/>
      <c r="AS2679" s="35"/>
      <c r="AT2679" s="35"/>
      <c r="AU2679" s="31"/>
      <c r="AV2679" s="36"/>
    </row>
    <row r="2680" spans="4:48">
      <c r="D2680" s="31"/>
      <c r="E2680" s="31"/>
      <c r="F2680" s="31"/>
      <c r="G2680" s="31"/>
      <c r="H2680" s="32"/>
      <c r="J2680" s="33"/>
      <c r="K2680" s="33"/>
      <c r="L2680" s="33"/>
      <c r="X2680" s="22"/>
      <c r="Y2680" s="22"/>
      <c r="Z2680" s="22"/>
      <c r="AA2680" s="22"/>
      <c r="AF2680" s="22"/>
      <c r="AG2680" s="22"/>
      <c r="AH2680" s="22"/>
      <c r="AI2680" s="22"/>
      <c r="AN2680" s="22"/>
      <c r="AO2680" s="22"/>
      <c r="AP2680" s="22"/>
      <c r="AQ2680" s="22"/>
      <c r="AR2680" s="35"/>
      <c r="AS2680" s="35"/>
      <c r="AT2680" s="35"/>
      <c r="AU2680" s="31"/>
      <c r="AV2680" s="36"/>
    </row>
    <row r="2681" spans="4:48">
      <c r="D2681" s="31"/>
      <c r="E2681" s="31"/>
      <c r="F2681" s="31"/>
      <c r="G2681" s="31"/>
      <c r="H2681" s="32"/>
      <c r="J2681" s="33"/>
      <c r="K2681" s="33"/>
      <c r="L2681" s="33"/>
      <c r="X2681" s="22"/>
      <c r="Y2681" s="22"/>
      <c r="Z2681" s="22"/>
      <c r="AA2681" s="22"/>
      <c r="AF2681" s="22"/>
      <c r="AG2681" s="22"/>
      <c r="AH2681" s="22"/>
      <c r="AI2681" s="22"/>
      <c r="AN2681" s="22"/>
      <c r="AO2681" s="22"/>
      <c r="AP2681" s="22"/>
      <c r="AQ2681" s="22"/>
      <c r="AR2681" s="35"/>
      <c r="AS2681" s="35"/>
      <c r="AT2681" s="35"/>
      <c r="AU2681" s="31"/>
      <c r="AV2681" s="36"/>
    </row>
    <row r="2682" spans="4:48">
      <c r="D2682" s="31"/>
      <c r="E2682" s="31"/>
      <c r="F2682" s="31"/>
      <c r="G2682" s="31"/>
      <c r="H2682" s="32"/>
      <c r="J2682" s="33"/>
      <c r="K2682" s="33"/>
      <c r="L2682" s="33"/>
      <c r="X2682" s="22"/>
      <c r="Y2682" s="22"/>
      <c r="Z2682" s="22"/>
      <c r="AA2682" s="22"/>
      <c r="AF2682" s="22"/>
      <c r="AG2682" s="22"/>
      <c r="AH2682" s="22"/>
      <c r="AI2682" s="22"/>
      <c r="AN2682" s="22"/>
      <c r="AO2682" s="22"/>
      <c r="AP2682" s="22"/>
      <c r="AQ2682" s="22"/>
      <c r="AR2682" s="35"/>
      <c r="AS2682" s="35"/>
      <c r="AT2682" s="35"/>
      <c r="AU2682" s="31"/>
      <c r="AV2682" s="36"/>
    </row>
    <row r="2683" spans="4:48">
      <c r="D2683" s="31"/>
      <c r="E2683" s="31"/>
      <c r="F2683" s="31"/>
      <c r="G2683" s="31"/>
      <c r="H2683" s="32"/>
      <c r="J2683" s="33"/>
      <c r="K2683" s="33"/>
      <c r="L2683" s="33"/>
      <c r="X2683" s="22"/>
      <c r="Y2683" s="22"/>
      <c r="Z2683" s="22"/>
      <c r="AA2683" s="22"/>
      <c r="AF2683" s="22"/>
      <c r="AG2683" s="22"/>
      <c r="AH2683" s="22"/>
      <c r="AI2683" s="22"/>
      <c r="AN2683" s="22"/>
      <c r="AO2683" s="22"/>
      <c r="AP2683" s="22"/>
      <c r="AQ2683" s="22"/>
      <c r="AR2683" s="35"/>
      <c r="AS2683" s="35"/>
      <c r="AT2683" s="35"/>
      <c r="AU2683" s="31"/>
      <c r="AV2683" s="36"/>
    </row>
    <row r="2684" spans="4:48">
      <c r="D2684" s="31"/>
      <c r="E2684" s="31"/>
      <c r="F2684" s="31"/>
      <c r="G2684" s="31"/>
      <c r="H2684" s="32"/>
      <c r="J2684" s="33"/>
      <c r="K2684" s="33"/>
      <c r="L2684" s="33"/>
      <c r="X2684" s="22"/>
      <c r="Y2684" s="22"/>
      <c r="Z2684" s="22"/>
      <c r="AA2684" s="22"/>
      <c r="AF2684" s="22"/>
      <c r="AG2684" s="22"/>
      <c r="AH2684" s="22"/>
      <c r="AI2684" s="22"/>
      <c r="AN2684" s="22"/>
      <c r="AO2684" s="22"/>
      <c r="AP2684" s="22"/>
      <c r="AQ2684" s="22"/>
      <c r="AR2684" s="35"/>
      <c r="AS2684" s="35"/>
      <c r="AT2684" s="35"/>
      <c r="AU2684" s="31"/>
      <c r="AV2684" s="36"/>
    </row>
    <row r="2685" spans="4:48">
      <c r="D2685" s="31"/>
      <c r="E2685" s="31"/>
      <c r="F2685" s="31"/>
      <c r="G2685" s="31"/>
      <c r="H2685" s="32"/>
      <c r="J2685" s="33"/>
      <c r="K2685" s="33"/>
      <c r="L2685" s="33"/>
      <c r="X2685" s="22"/>
      <c r="Y2685" s="22"/>
      <c r="Z2685" s="22"/>
      <c r="AA2685" s="22"/>
      <c r="AF2685" s="22"/>
      <c r="AG2685" s="22"/>
      <c r="AH2685" s="22"/>
      <c r="AI2685" s="22"/>
      <c r="AN2685" s="22"/>
      <c r="AO2685" s="22"/>
      <c r="AP2685" s="22"/>
      <c r="AQ2685" s="22"/>
      <c r="AR2685" s="35"/>
      <c r="AS2685" s="35"/>
      <c r="AT2685" s="35"/>
      <c r="AU2685" s="31"/>
      <c r="AV2685" s="36"/>
    </row>
    <row r="2686" spans="4:48">
      <c r="D2686" s="31"/>
      <c r="E2686" s="31"/>
      <c r="F2686" s="31"/>
      <c r="G2686" s="31"/>
      <c r="H2686" s="32"/>
      <c r="J2686" s="33"/>
      <c r="K2686" s="33"/>
      <c r="L2686" s="33"/>
      <c r="X2686" s="22"/>
      <c r="Y2686" s="22"/>
      <c r="Z2686" s="22"/>
      <c r="AA2686" s="22"/>
      <c r="AF2686" s="22"/>
      <c r="AG2686" s="22"/>
      <c r="AH2686" s="22"/>
      <c r="AI2686" s="22"/>
      <c r="AN2686" s="22"/>
      <c r="AO2686" s="22"/>
      <c r="AP2686" s="22"/>
      <c r="AQ2686" s="22"/>
      <c r="AR2686" s="35"/>
      <c r="AS2686" s="35"/>
      <c r="AT2686" s="35"/>
      <c r="AU2686" s="31"/>
      <c r="AV2686" s="36"/>
    </row>
    <row r="2687" spans="4:48">
      <c r="D2687" s="31"/>
      <c r="E2687" s="31"/>
      <c r="F2687" s="31"/>
      <c r="G2687" s="31"/>
      <c r="H2687" s="32"/>
      <c r="J2687" s="33"/>
      <c r="K2687" s="33"/>
      <c r="L2687" s="33"/>
      <c r="X2687" s="22"/>
      <c r="Y2687" s="22"/>
      <c r="Z2687" s="22"/>
      <c r="AA2687" s="22"/>
      <c r="AF2687" s="22"/>
      <c r="AG2687" s="22"/>
      <c r="AH2687" s="22"/>
      <c r="AI2687" s="22"/>
      <c r="AN2687" s="22"/>
      <c r="AO2687" s="22"/>
      <c r="AP2687" s="22"/>
      <c r="AQ2687" s="22"/>
      <c r="AR2687" s="35"/>
      <c r="AS2687" s="35"/>
      <c r="AT2687" s="35"/>
      <c r="AU2687" s="31"/>
      <c r="AV2687" s="36"/>
    </row>
    <row r="2688" spans="4:48">
      <c r="D2688" s="31"/>
      <c r="E2688" s="31"/>
      <c r="F2688" s="31"/>
      <c r="G2688" s="31"/>
      <c r="H2688" s="32"/>
      <c r="J2688" s="33"/>
      <c r="K2688" s="33"/>
      <c r="L2688" s="33"/>
      <c r="X2688" s="22"/>
      <c r="Y2688" s="22"/>
      <c r="Z2688" s="22"/>
      <c r="AA2688" s="22"/>
      <c r="AF2688" s="22"/>
      <c r="AG2688" s="22"/>
      <c r="AH2688" s="22"/>
      <c r="AI2688" s="22"/>
      <c r="AN2688" s="22"/>
      <c r="AO2688" s="22"/>
      <c r="AP2688" s="22"/>
      <c r="AQ2688" s="22"/>
      <c r="AR2688" s="35"/>
      <c r="AS2688" s="35"/>
      <c r="AT2688" s="35"/>
      <c r="AU2688" s="31"/>
      <c r="AV2688" s="36"/>
    </row>
    <row r="2689" spans="4:48">
      <c r="D2689" s="31"/>
      <c r="E2689" s="31"/>
      <c r="F2689" s="31"/>
      <c r="G2689" s="31"/>
      <c r="H2689" s="32"/>
      <c r="J2689" s="33"/>
      <c r="K2689" s="33"/>
      <c r="L2689" s="33"/>
      <c r="X2689" s="22"/>
      <c r="Y2689" s="22"/>
      <c r="Z2689" s="22"/>
      <c r="AA2689" s="22"/>
      <c r="AF2689" s="22"/>
      <c r="AG2689" s="22"/>
      <c r="AH2689" s="22"/>
      <c r="AI2689" s="22"/>
      <c r="AN2689" s="22"/>
      <c r="AO2689" s="22"/>
      <c r="AP2689" s="22"/>
      <c r="AQ2689" s="22"/>
      <c r="AR2689" s="35"/>
      <c r="AS2689" s="35"/>
      <c r="AT2689" s="35"/>
      <c r="AU2689" s="31"/>
      <c r="AV2689" s="36"/>
    </row>
    <row r="2690" spans="4:48">
      <c r="D2690" s="31"/>
      <c r="E2690" s="31"/>
      <c r="F2690" s="31"/>
      <c r="G2690" s="31"/>
      <c r="H2690" s="32"/>
      <c r="J2690" s="33"/>
      <c r="K2690" s="33"/>
      <c r="L2690" s="33"/>
      <c r="X2690" s="22"/>
      <c r="Y2690" s="22"/>
      <c r="Z2690" s="22"/>
      <c r="AA2690" s="22"/>
      <c r="AF2690" s="22"/>
      <c r="AG2690" s="22"/>
      <c r="AH2690" s="22"/>
      <c r="AI2690" s="22"/>
      <c r="AN2690" s="22"/>
      <c r="AO2690" s="22"/>
      <c r="AP2690" s="22"/>
      <c r="AQ2690" s="22"/>
      <c r="AR2690" s="35"/>
      <c r="AS2690" s="35"/>
      <c r="AT2690" s="35"/>
      <c r="AU2690" s="31"/>
      <c r="AV2690" s="36"/>
    </row>
    <row r="2691" spans="4:48">
      <c r="D2691" s="31"/>
      <c r="E2691" s="31"/>
      <c r="F2691" s="31"/>
      <c r="G2691" s="31"/>
      <c r="H2691" s="32"/>
      <c r="J2691" s="33"/>
      <c r="K2691" s="33"/>
      <c r="L2691" s="33"/>
      <c r="X2691" s="22"/>
      <c r="Y2691" s="22"/>
      <c r="Z2691" s="22"/>
      <c r="AA2691" s="22"/>
      <c r="AF2691" s="22"/>
      <c r="AG2691" s="22"/>
      <c r="AH2691" s="22"/>
      <c r="AI2691" s="22"/>
      <c r="AN2691" s="22"/>
      <c r="AO2691" s="22"/>
      <c r="AP2691" s="22"/>
      <c r="AQ2691" s="22"/>
      <c r="AR2691" s="35"/>
      <c r="AS2691" s="35"/>
      <c r="AT2691" s="35"/>
      <c r="AU2691" s="31"/>
      <c r="AV2691" s="36"/>
    </row>
    <row r="2692" spans="4:48">
      <c r="D2692" s="31"/>
      <c r="E2692" s="31"/>
      <c r="F2692" s="31"/>
      <c r="G2692" s="31"/>
      <c r="H2692" s="32"/>
      <c r="J2692" s="33"/>
      <c r="K2692" s="33"/>
      <c r="L2692" s="33"/>
      <c r="X2692" s="22"/>
      <c r="Y2692" s="22"/>
      <c r="Z2692" s="22"/>
      <c r="AA2692" s="22"/>
      <c r="AF2692" s="22"/>
      <c r="AG2692" s="22"/>
      <c r="AH2692" s="22"/>
      <c r="AI2692" s="22"/>
      <c r="AN2692" s="22"/>
      <c r="AO2692" s="22"/>
      <c r="AP2692" s="22"/>
      <c r="AQ2692" s="22"/>
      <c r="AR2692" s="35"/>
      <c r="AS2692" s="35"/>
      <c r="AT2692" s="35"/>
      <c r="AU2692" s="31"/>
      <c r="AV2692" s="36"/>
    </row>
    <row r="2693" spans="4:48">
      <c r="D2693" s="31"/>
      <c r="E2693" s="31"/>
      <c r="F2693" s="31"/>
      <c r="G2693" s="31"/>
      <c r="H2693" s="32"/>
      <c r="J2693" s="33"/>
      <c r="K2693" s="33"/>
      <c r="L2693" s="33"/>
      <c r="X2693" s="22"/>
      <c r="Y2693" s="22"/>
      <c r="Z2693" s="22"/>
      <c r="AA2693" s="22"/>
      <c r="AF2693" s="22"/>
      <c r="AG2693" s="22"/>
      <c r="AH2693" s="22"/>
      <c r="AI2693" s="22"/>
      <c r="AN2693" s="22"/>
      <c r="AO2693" s="22"/>
      <c r="AP2693" s="22"/>
      <c r="AQ2693" s="22"/>
      <c r="AR2693" s="35"/>
      <c r="AS2693" s="35"/>
      <c r="AT2693" s="35"/>
      <c r="AU2693" s="31"/>
      <c r="AV2693" s="36"/>
    </row>
    <row r="2694" spans="4:48">
      <c r="D2694" s="31"/>
      <c r="E2694" s="31"/>
      <c r="F2694" s="31"/>
      <c r="G2694" s="31"/>
      <c r="H2694" s="32"/>
      <c r="J2694" s="33"/>
      <c r="K2694" s="33"/>
      <c r="L2694" s="33"/>
      <c r="X2694" s="22"/>
      <c r="Y2694" s="22"/>
      <c r="Z2694" s="22"/>
      <c r="AA2694" s="22"/>
      <c r="AF2694" s="22"/>
      <c r="AG2694" s="22"/>
      <c r="AH2694" s="22"/>
      <c r="AI2694" s="22"/>
      <c r="AN2694" s="22"/>
      <c r="AO2694" s="22"/>
      <c r="AP2694" s="22"/>
      <c r="AQ2694" s="22"/>
      <c r="AR2694" s="35"/>
      <c r="AS2694" s="35"/>
      <c r="AT2694" s="35"/>
      <c r="AU2694" s="31"/>
      <c r="AV2694" s="36"/>
    </row>
    <row r="2695" spans="4:48">
      <c r="D2695" s="31"/>
      <c r="E2695" s="31"/>
      <c r="F2695" s="31"/>
      <c r="G2695" s="31"/>
      <c r="H2695" s="32"/>
      <c r="J2695" s="33"/>
      <c r="K2695" s="33"/>
      <c r="L2695" s="33"/>
      <c r="X2695" s="22"/>
      <c r="Y2695" s="22"/>
      <c r="Z2695" s="22"/>
      <c r="AA2695" s="22"/>
      <c r="AF2695" s="22"/>
      <c r="AG2695" s="22"/>
      <c r="AH2695" s="22"/>
      <c r="AI2695" s="22"/>
      <c r="AN2695" s="22"/>
      <c r="AO2695" s="22"/>
      <c r="AP2695" s="22"/>
      <c r="AQ2695" s="22"/>
      <c r="AR2695" s="35"/>
      <c r="AS2695" s="35"/>
      <c r="AT2695" s="35"/>
      <c r="AU2695" s="31"/>
      <c r="AV2695" s="36"/>
    </row>
    <row r="2696" spans="4:48">
      <c r="D2696" s="31"/>
      <c r="E2696" s="31"/>
      <c r="F2696" s="31"/>
      <c r="G2696" s="31"/>
      <c r="H2696" s="32"/>
      <c r="J2696" s="33"/>
      <c r="K2696" s="33"/>
      <c r="L2696" s="33"/>
      <c r="X2696" s="22"/>
      <c r="Y2696" s="22"/>
      <c r="Z2696" s="22"/>
      <c r="AA2696" s="22"/>
      <c r="AF2696" s="22"/>
      <c r="AG2696" s="22"/>
      <c r="AH2696" s="22"/>
      <c r="AI2696" s="22"/>
      <c r="AN2696" s="22"/>
      <c r="AO2696" s="22"/>
      <c r="AP2696" s="22"/>
      <c r="AQ2696" s="22"/>
      <c r="AR2696" s="35"/>
      <c r="AS2696" s="35"/>
      <c r="AT2696" s="35"/>
      <c r="AU2696" s="31"/>
      <c r="AV2696" s="36"/>
    </row>
    <row r="2697" spans="4:48">
      <c r="D2697" s="31"/>
      <c r="E2697" s="31"/>
      <c r="F2697" s="31"/>
      <c r="G2697" s="31"/>
      <c r="H2697" s="32"/>
      <c r="J2697" s="33"/>
      <c r="K2697" s="33"/>
      <c r="L2697" s="33"/>
      <c r="X2697" s="22"/>
      <c r="Y2697" s="22"/>
      <c r="Z2697" s="22"/>
      <c r="AA2697" s="22"/>
      <c r="AF2697" s="22"/>
      <c r="AG2697" s="22"/>
      <c r="AH2697" s="22"/>
      <c r="AI2697" s="22"/>
      <c r="AN2697" s="22"/>
      <c r="AO2697" s="22"/>
      <c r="AP2697" s="22"/>
      <c r="AQ2697" s="22"/>
      <c r="AR2697" s="35"/>
      <c r="AS2697" s="35"/>
      <c r="AT2697" s="35"/>
      <c r="AU2697" s="31"/>
      <c r="AV2697" s="36"/>
    </row>
    <row r="2698" spans="4:48">
      <c r="D2698" s="31"/>
      <c r="E2698" s="31"/>
      <c r="F2698" s="31"/>
      <c r="G2698" s="31"/>
      <c r="H2698" s="32"/>
      <c r="J2698" s="33"/>
      <c r="K2698" s="33"/>
      <c r="L2698" s="33"/>
      <c r="X2698" s="22"/>
      <c r="Y2698" s="22"/>
      <c r="Z2698" s="22"/>
      <c r="AA2698" s="22"/>
      <c r="AF2698" s="22"/>
      <c r="AG2698" s="22"/>
      <c r="AH2698" s="22"/>
      <c r="AI2698" s="22"/>
      <c r="AN2698" s="22"/>
      <c r="AO2698" s="22"/>
      <c r="AP2698" s="22"/>
      <c r="AQ2698" s="22"/>
      <c r="AR2698" s="35"/>
      <c r="AS2698" s="35"/>
      <c r="AT2698" s="35"/>
      <c r="AU2698" s="31"/>
      <c r="AV2698" s="36"/>
    </row>
    <row r="2699" spans="4:48">
      <c r="D2699" s="31"/>
      <c r="E2699" s="31"/>
      <c r="F2699" s="31"/>
      <c r="G2699" s="31"/>
      <c r="H2699" s="32"/>
      <c r="J2699" s="33"/>
      <c r="K2699" s="33"/>
      <c r="L2699" s="33"/>
      <c r="X2699" s="22"/>
      <c r="Y2699" s="22"/>
      <c r="Z2699" s="22"/>
      <c r="AA2699" s="22"/>
      <c r="AF2699" s="22"/>
      <c r="AG2699" s="22"/>
      <c r="AH2699" s="22"/>
      <c r="AI2699" s="22"/>
      <c r="AN2699" s="22"/>
      <c r="AO2699" s="22"/>
      <c r="AP2699" s="22"/>
      <c r="AQ2699" s="22"/>
      <c r="AR2699" s="35"/>
      <c r="AS2699" s="35"/>
      <c r="AT2699" s="35"/>
      <c r="AU2699" s="31"/>
      <c r="AV2699" s="36"/>
    </row>
    <row r="2700" spans="4:48">
      <c r="D2700" s="31"/>
      <c r="E2700" s="31"/>
      <c r="F2700" s="31"/>
      <c r="G2700" s="31"/>
      <c r="H2700" s="32"/>
      <c r="J2700" s="33"/>
      <c r="K2700" s="33"/>
      <c r="L2700" s="33"/>
      <c r="X2700" s="22"/>
      <c r="Y2700" s="22"/>
      <c r="Z2700" s="22"/>
      <c r="AA2700" s="22"/>
      <c r="AF2700" s="22"/>
      <c r="AG2700" s="22"/>
      <c r="AH2700" s="22"/>
      <c r="AI2700" s="22"/>
      <c r="AN2700" s="22"/>
      <c r="AO2700" s="22"/>
      <c r="AP2700" s="22"/>
      <c r="AQ2700" s="22"/>
      <c r="AR2700" s="35"/>
      <c r="AS2700" s="35"/>
      <c r="AT2700" s="35"/>
      <c r="AU2700" s="31"/>
      <c r="AV2700" s="36"/>
    </row>
    <row r="2701" spans="4:48">
      <c r="D2701" s="31"/>
      <c r="E2701" s="31"/>
      <c r="F2701" s="31"/>
      <c r="G2701" s="31"/>
      <c r="H2701" s="32"/>
      <c r="J2701" s="33"/>
      <c r="K2701" s="33"/>
      <c r="L2701" s="33"/>
      <c r="X2701" s="22"/>
      <c r="Y2701" s="22"/>
      <c r="Z2701" s="22"/>
      <c r="AA2701" s="22"/>
      <c r="AF2701" s="22"/>
      <c r="AG2701" s="22"/>
      <c r="AH2701" s="22"/>
      <c r="AI2701" s="22"/>
      <c r="AN2701" s="22"/>
      <c r="AO2701" s="22"/>
      <c r="AP2701" s="22"/>
      <c r="AQ2701" s="22"/>
      <c r="AR2701" s="35"/>
      <c r="AS2701" s="35"/>
      <c r="AT2701" s="35"/>
      <c r="AU2701" s="31"/>
      <c r="AV2701" s="36"/>
    </row>
    <row r="2702" spans="4:48">
      <c r="D2702" s="31"/>
      <c r="E2702" s="31"/>
      <c r="F2702" s="31"/>
      <c r="G2702" s="31"/>
      <c r="H2702" s="32"/>
      <c r="J2702" s="33"/>
      <c r="K2702" s="33"/>
      <c r="L2702" s="33"/>
      <c r="X2702" s="22"/>
      <c r="Y2702" s="22"/>
      <c r="Z2702" s="22"/>
      <c r="AA2702" s="22"/>
      <c r="AF2702" s="22"/>
      <c r="AG2702" s="22"/>
      <c r="AH2702" s="22"/>
      <c r="AI2702" s="22"/>
      <c r="AN2702" s="22"/>
      <c r="AO2702" s="22"/>
      <c r="AP2702" s="22"/>
      <c r="AQ2702" s="22"/>
      <c r="AR2702" s="35"/>
      <c r="AS2702" s="35"/>
      <c r="AT2702" s="35"/>
      <c r="AU2702" s="31"/>
      <c r="AV2702" s="36"/>
    </row>
    <row r="2703" spans="4:48">
      <c r="D2703" s="31"/>
      <c r="E2703" s="31"/>
      <c r="F2703" s="31"/>
      <c r="G2703" s="31"/>
      <c r="H2703" s="32"/>
      <c r="J2703" s="33"/>
      <c r="K2703" s="33"/>
      <c r="L2703" s="33"/>
      <c r="X2703" s="22"/>
      <c r="Y2703" s="22"/>
      <c r="Z2703" s="22"/>
      <c r="AA2703" s="22"/>
      <c r="AF2703" s="22"/>
      <c r="AG2703" s="22"/>
      <c r="AH2703" s="22"/>
      <c r="AI2703" s="22"/>
      <c r="AN2703" s="22"/>
      <c r="AO2703" s="22"/>
      <c r="AP2703" s="22"/>
      <c r="AQ2703" s="22"/>
      <c r="AR2703" s="35"/>
      <c r="AS2703" s="35"/>
      <c r="AT2703" s="35"/>
      <c r="AU2703" s="31"/>
      <c r="AV2703" s="36"/>
    </row>
    <row r="2704" spans="4:48">
      <c r="D2704" s="31"/>
      <c r="E2704" s="31"/>
      <c r="F2704" s="31"/>
      <c r="G2704" s="31"/>
      <c r="H2704" s="32"/>
      <c r="J2704" s="33"/>
      <c r="K2704" s="33"/>
      <c r="L2704" s="33"/>
      <c r="X2704" s="22"/>
      <c r="Y2704" s="22"/>
      <c r="Z2704" s="22"/>
      <c r="AA2704" s="22"/>
      <c r="AF2704" s="22"/>
      <c r="AG2704" s="22"/>
      <c r="AH2704" s="22"/>
      <c r="AI2704" s="22"/>
      <c r="AN2704" s="22"/>
      <c r="AO2704" s="22"/>
      <c r="AP2704" s="22"/>
      <c r="AQ2704" s="22"/>
      <c r="AR2704" s="35"/>
      <c r="AS2704" s="35"/>
      <c r="AT2704" s="35"/>
      <c r="AU2704" s="31"/>
      <c r="AV2704" s="36"/>
    </row>
    <row r="2705" spans="4:48">
      <c r="D2705" s="31"/>
      <c r="E2705" s="31"/>
      <c r="F2705" s="31"/>
      <c r="G2705" s="31"/>
      <c r="H2705" s="32"/>
      <c r="J2705" s="33"/>
      <c r="K2705" s="33"/>
      <c r="L2705" s="33"/>
      <c r="X2705" s="22"/>
      <c r="Y2705" s="22"/>
      <c r="Z2705" s="22"/>
      <c r="AA2705" s="22"/>
      <c r="AF2705" s="22"/>
      <c r="AG2705" s="22"/>
      <c r="AH2705" s="22"/>
      <c r="AI2705" s="22"/>
      <c r="AN2705" s="22"/>
      <c r="AO2705" s="22"/>
      <c r="AP2705" s="22"/>
      <c r="AQ2705" s="22"/>
      <c r="AR2705" s="35"/>
      <c r="AS2705" s="35"/>
      <c r="AT2705" s="35"/>
      <c r="AU2705" s="31"/>
      <c r="AV2705" s="36"/>
    </row>
    <row r="2706" spans="4:48">
      <c r="D2706" s="31"/>
      <c r="E2706" s="31"/>
      <c r="F2706" s="31"/>
      <c r="G2706" s="31"/>
      <c r="H2706" s="32"/>
      <c r="J2706" s="33"/>
      <c r="K2706" s="33"/>
      <c r="L2706" s="33"/>
      <c r="X2706" s="22"/>
      <c r="Y2706" s="22"/>
      <c r="Z2706" s="22"/>
      <c r="AA2706" s="22"/>
      <c r="AF2706" s="22"/>
      <c r="AG2706" s="22"/>
      <c r="AH2706" s="22"/>
      <c r="AI2706" s="22"/>
      <c r="AN2706" s="22"/>
      <c r="AO2706" s="22"/>
      <c r="AP2706" s="22"/>
      <c r="AQ2706" s="22"/>
      <c r="AR2706" s="35"/>
      <c r="AS2706" s="35"/>
      <c r="AT2706" s="35"/>
      <c r="AU2706" s="31"/>
      <c r="AV2706" s="36"/>
    </row>
    <row r="2707" spans="4:48">
      <c r="D2707" s="31"/>
      <c r="E2707" s="31"/>
      <c r="F2707" s="31"/>
      <c r="G2707" s="31"/>
      <c r="H2707" s="32"/>
      <c r="J2707" s="33"/>
      <c r="K2707" s="33"/>
      <c r="L2707" s="33"/>
      <c r="X2707" s="22"/>
      <c r="Y2707" s="22"/>
      <c r="Z2707" s="22"/>
      <c r="AA2707" s="22"/>
      <c r="AF2707" s="22"/>
      <c r="AG2707" s="22"/>
      <c r="AH2707" s="22"/>
      <c r="AI2707" s="22"/>
      <c r="AN2707" s="22"/>
      <c r="AO2707" s="22"/>
      <c r="AP2707" s="22"/>
      <c r="AQ2707" s="22"/>
      <c r="AR2707" s="35"/>
      <c r="AS2707" s="35"/>
      <c r="AT2707" s="35"/>
      <c r="AU2707" s="31"/>
      <c r="AV2707" s="36"/>
    </row>
    <row r="2708" spans="4:48">
      <c r="D2708" s="31"/>
      <c r="E2708" s="31"/>
      <c r="F2708" s="31"/>
      <c r="G2708" s="31"/>
      <c r="H2708" s="32"/>
      <c r="J2708" s="33"/>
      <c r="K2708" s="33"/>
      <c r="L2708" s="33"/>
      <c r="X2708" s="22"/>
      <c r="Y2708" s="22"/>
      <c r="Z2708" s="22"/>
      <c r="AA2708" s="22"/>
      <c r="AF2708" s="22"/>
      <c r="AG2708" s="22"/>
      <c r="AH2708" s="22"/>
      <c r="AI2708" s="22"/>
      <c r="AN2708" s="22"/>
      <c r="AO2708" s="22"/>
      <c r="AP2708" s="22"/>
      <c r="AQ2708" s="22"/>
      <c r="AR2708" s="35"/>
      <c r="AS2708" s="35"/>
      <c r="AT2708" s="35"/>
      <c r="AU2708" s="31"/>
      <c r="AV2708" s="36"/>
    </row>
    <row r="2709" spans="4:48">
      <c r="D2709" s="31"/>
      <c r="E2709" s="31"/>
      <c r="F2709" s="31"/>
      <c r="G2709" s="31"/>
      <c r="H2709" s="32"/>
      <c r="J2709" s="33"/>
      <c r="K2709" s="33"/>
      <c r="L2709" s="33"/>
      <c r="X2709" s="22"/>
      <c r="Y2709" s="22"/>
      <c r="Z2709" s="22"/>
      <c r="AA2709" s="22"/>
      <c r="AF2709" s="22"/>
      <c r="AG2709" s="22"/>
      <c r="AH2709" s="22"/>
      <c r="AI2709" s="22"/>
      <c r="AN2709" s="22"/>
      <c r="AO2709" s="22"/>
      <c r="AP2709" s="22"/>
      <c r="AQ2709" s="22"/>
      <c r="AR2709" s="35"/>
      <c r="AS2709" s="35"/>
      <c r="AT2709" s="35"/>
      <c r="AU2709" s="31"/>
      <c r="AV2709" s="36"/>
    </row>
    <row r="2710" spans="4:48">
      <c r="D2710" s="31"/>
      <c r="E2710" s="31"/>
      <c r="F2710" s="31"/>
      <c r="G2710" s="31"/>
      <c r="H2710" s="32"/>
      <c r="J2710" s="33"/>
      <c r="K2710" s="33"/>
      <c r="L2710" s="33"/>
      <c r="X2710" s="22"/>
      <c r="Y2710" s="22"/>
      <c r="Z2710" s="22"/>
      <c r="AA2710" s="22"/>
      <c r="AF2710" s="22"/>
      <c r="AG2710" s="22"/>
      <c r="AH2710" s="22"/>
      <c r="AI2710" s="22"/>
      <c r="AN2710" s="22"/>
      <c r="AO2710" s="22"/>
      <c r="AP2710" s="22"/>
      <c r="AQ2710" s="22"/>
      <c r="AR2710" s="35"/>
      <c r="AS2710" s="35"/>
      <c r="AT2710" s="35"/>
      <c r="AU2710" s="31"/>
      <c r="AV2710" s="36"/>
    </row>
    <row r="2711" spans="4:48">
      <c r="D2711" s="31"/>
      <c r="E2711" s="31"/>
      <c r="F2711" s="31"/>
      <c r="G2711" s="31"/>
      <c r="H2711" s="32"/>
      <c r="J2711" s="33"/>
      <c r="K2711" s="33"/>
      <c r="L2711" s="33"/>
      <c r="X2711" s="22"/>
      <c r="Y2711" s="22"/>
      <c r="Z2711" s="22"/>
      <c r="AA2711" s="22"/>
      <c r="AF2711" s="22"/>
      <c r="AG2711" s="22"/>
      <c r="AH2711" s="22"/>
      <c r="AI2711" s="22"/>
      <c r="AN2711" s="22"/>
      <c r="AO2711" s="22"/>
      <c r="AP2711" s="22"/>
      <c r="AQ2711" s="22"/>
      <c r="AR2711" s="35"/>
      <c r="AS2711" s="35"/>
      <c r="AT2711" s="35"/>
      <c r="AU2711" s="31"/>
      <c r="AV2711" s="36"/>
    </row>
    <row r="2712" spans="4:48">
      <c r="D2712" s="31"/>
      <c r="E2712" s="31"/>
      <c r="F2712" s="31"/>
      <c r="G2712" s="31"/>
      <c r="H2712" s="32"/>
      <c r="J2712" s="33"/>
      <c r="K2712" s="33"/>
      <c r="L2712" s="33"/>
      <c r="X2712" s="22"/>
      <c r="Y2712" s="22"/>
      <c r="Z2712" s="22"/>
      <c r="AA2712" s="22"/>
      <c r="AF2712" s="22"/>
      <c r="AG2712" s="22"/>
      <c r="AH2712" s="22"/>
      <c r="AI2712" s="22"/>
      <c r="AN2712" s="22"/>
      <c r="AO2712" s="22"/>
      <c r="AP2712" s="22"/>
      <c r="AQ2712" s="22"/>
      <c r="AR2712" s="35"/>
      <c r="AS2712" s="35"/>
      <c r="AT2712" s="35"/>
      <c r="AU2712" s="31"/>
      <c r="AV2712" s="36"/>
    </row>
    <row r="2713" spans="4:48">
      <c r="D2713" s="31"/>
      <c r="E2713" s="31"/>
      <c r="F2713" s="31"/>
      <c r="G2713" s="31"/>
      <c r="H2713" s="32"/>
      <c r="J2713" s="33"/>
      <c r="K2713" s="33"/>
      <c r="L2713" s="33"/>
      <c r="X2713" s="22"/>
      <c r="Y2713" s="22"/>
      <c r="Z2713" s="22"/>
      <c r="AA2713" s="22"/>
      <c r="AF2713" s="22"/>
      <c r="AG2713" s="22"/>
      <c r="AH2713" s="22"/>
      <c r="AI2713" s="22"/>
      <c r="AN2713" s="22"/>
      <c r="AO2713" s="22"/>
      <c r="AP2713" s="22"/>
      <c r="AQ2713" s="22"/>
      <c r="AR2713" s="35"/>
      <c r="AS2713" s="35"/>
      <c r="AT2713" s="35"/>
      <c r="AU2713" s="31"/>
      <c r="AV2713" s="36"/>
    </row>
    <row r="2714" spans="4:48">
      <c r="D2714" s="31"/>
      <c r="E2714" s="31"/>
      <c r="F2714" s="31"/>
      <c r="G2714" s="31"/>
      <c r="H2714" s="32"/>
      <c r="J2714" s="33"/>
      <c r="K2714" s="33"/>
      <c r="L2714" s="33"/>
      <c r="X2714" s="22"/>
      <c r="Y2714" s="22"/>
      <c r="Z2714" s="22"/>
      <c r="AA2714" s="22"/>
      <c r="AF2714" s="22"/>
      <c r="AG2714" s="22"/>
      <c r="AH2714" s="22"/>
      <c r="AI2714" s="22"/>
      <c r="AN2714" s="22"/>
      <c r="AO2714" s="22"/>
      <c r="AP2714" s="22"/>
      <c r="AQ2714" s="22"/>
      <c r="AR2714" s="35"/>
      <c r="AS2714" s="35"/>
      <c r="AT2714" s="35"/>
      <c r="AU2714" s="31"/>
      <c r="AV2714" s="36"/>
    </row>
    <row r="2715" spans="4:48">
      <c r="D2715" s="31"/>
      <c r="E2715" s="31"/>
      <c r="F2715" s="31"/>
      <c r="G2715" s="31"/>
      <c r="H2715" s="32"/>
      <c r="J2715" s="33"/>
      <c r="K2715" s="33"/>
      <c r="L2715" s="33"/>
      <c r="X2715" s="22"/>
      <c r="Y2715" s="22"/>
      <c r="Z2715" s="22"/>
      <c r="AA2715" s="22"/>
      <c r="AF2715" s="22"/>
      <c r="AG2715" s="22"/>
      <c r="AH2715" s="22"/>
      <c r="AI2715" s="22"/>
      <c r="AN2715" s="22"/>
      <c r="AO2715" s="22"/>
      <c r="AP2715" s="22"/>
      <c r="AQ2715" s="22"/>
      <c r="AR2715" s="35"/>
      <c r="AS2715" s="35"/>
      <c r="AT2715" s="35"/>
      <c r="AU2715" s="31"/>
      <c r="AV2715" s="36"/>
    </row>
    <row r="2716" spans="4:48">
      <c r="D2716" s="31"/>
      <c r="E2716" s="31"/>
      <c r="F2716" s="31"/>
      <c r="G2716" s="31"/>
      <c r="H2716" s="32"/>
      <c r="J2716" s="33"/>
      <c r="K2716" s="33"/>
      <c r="L2716" s="33"/>
      <c r="X2716" s="22"/>
      <c r="Y2716" s="22"/>
      <c r="Z2716" s="22"/>
      <c r="AA2716" s="22"/>
      <c r="AF2716" s="22"/>
      <c r="AG2716" s="22"/>
      <c r="AH2716" s="22"/>
      <c r="AI2716" s="22"/>
      <c r="AN2716" s="22"/>
      <c r="AO2716" s="22"/>
      <c r="AP2716" s="22"/>
      <c r="AQ2716" s="22"/>
      <c r="AR2716" s="35"/>
      <c r="AS2716" s="35"/>
      <c r="AT2716" s="35"/>
      <c r="AU2716" s="31"/>
      <c r="AV2716" s="36"/>
    </row>
    <row r="2717" spans="4:48">
      <c r="D2717" s="31"/>
      <c r="E2717" s="31"/>
      <c r="F2717" s="31"/>
      <c r="G2717" s="31"/>
      <c r="H2717" s="32"/>
      <c r="J2717" s="33"/>
      <c r="K2717" s="33"/>
      <c r="L2717" s="33"/>
      <c r="X2717" s="22"/>
      <c r="Y2717" s="22"/>
      <c r="Z2717" s="22"/>
      <c r="AA2717" s="22"/>
      <c r="AF2717" s="22"/>
      <c r="AG2717" s="22"/>
      <c r="AH2717" s="22"/>
      <c r="AI2717" s="22"/>
      <c r="AN2717" s="22"/>
      <c r="AO2717" s="22"/>
      <c r="AP2717" s="22"/>
      <c r="AQ2717" s="22"/>
      <c r="AR2717" s="35"/>
      <c r="AS2717" s="35"/>
      <c r="AT2717" s="35"/>
      <c r="AU2717" s="31"/>
      <c r="AV2717" s="36"/>
    </row>
    <row r="2718" spans="4:48">
      <c r="D2718" s="31"/>
      <c r="E2718" s="31"/>
      <c r="F2718" s="31"/>
      <c r="G2718" s="31"/>
      <c r="H2718" s="32"/>
      <c r="J2718" s="33"/>
      <c r="K2718" s="33"/>
      <c r="L2718" s="33"/>
      <c r="X2718" s="22"/>
      <c r="Y2718" s="22"/>
      <c r="Z2718" s="22"/>
      <c r="AA2718" s="22"/>
      <c r="AF2718" s="22"/>
      <c r="AG2718" s="22"/>
      <c r="AH2718" s="22"/>
      <c r="AI2718" s="22"/>
      <c r="AN2718" s="22"/>
      <c r="AO2718" s="22"/>
      <c r="AP2718" s="22"/>
      <c r="AQ2718" s="22"/>
      <c r="AR2718" s="35"/>
      <c r="AS2718" s="35"/>
      <c r="AT2718" s="35"/>
      <c r="AU2718" s="31"/>
      <c r="AV2718" s="36"/>
    </row>
    <row r="2719" spans="4:48">
      <c r="D2719" s="31"/>
      <c r="E2719" s="31"/>
      <c r="F2719" s="31"/>
      <c r="G2719" s="31"/>
      <c r="H2719" s="32"/>
      <c r="J2719" s="33"/>
      <c r="K2719" s="33"/>
      <c r="L2719" s="33"/>
      <c r="X2719" s="22"/>
      <c r="Y2719" s="22"/>
      <c r="Z2719" s="22"/>
      <c r="AA2719" s="22"/>
      <c r="AF2719" s="22"/>
      <c r="AG2719" s="22"/>
      <c r="AH2719" s="22"/>
      <c r="AI2719" s="22"/>
      <c r="AN2719" s="22"/>
      <c r="AO2719" s="22"/>
      <c r="AP2719" s="22"/>
      <c r="AQ2719" s="22"/>
      <c r="AR2719" s="35"/>
      <c r="AS2719" s="35"/>
      <c r="AT2719" s="35"/>
      <c r="AU2719" s="31"/>
      <c r="AV2719" s="36"/>
    </row>
    <row r="2720" spans="4:48">
      <c r="D2720" s="31"/>
      <c r="E2720" s="31"/>
      <c r="F2720" s="31"/>
      <c r="G2720" s="31"/>
      <c r="H2720" s="32"/>
      <c r="J2720" s="33"/>
      <c r="K2720" s="33"/>
      <c r="L2720" s="33"/>
      <c r="X2720" s="22"/>
      <c r="Y2720" s="22"/>
      <c r="Z2720" s="22"/>
      <c r="AA2720" s="22"/>
      <c r="AF2720" s="22"/>
      <c r="AG2720" s="22"/>
      <c r="AH2720" s="22"/>
      <c r="AI2720" s="22"/>
      <c r="AN2720" s="22"/>
      <c r="AO2720" s="22"/>
      <c r="AP2720" s="22"/>
      <c r="AQ2720" s="22"/>
      <c r="AR2720" s="35"/>
      <c r="AS2720" s="35"/>
      <c r="AT2720" s="35"/>
      <c r="AU2720" s="31"/>
      <c r="AV2720" s="36"/>
    </row>
    <row r="2721" spans="4:48">
      <c r="D2721" s="31"/>
      <c r="E2721" s="31"/>
      <c r="F2721" s="31"/>
      <c r="G2721" s="31"/>
      <c r="H2721" s="32"/>
      <c r="J2721" s="33"/>
      <c r="K2721" s="33"/>
      <c r="L2721" s="33"/>
      <c r="X2721" s="22"/>
      <c r="Y2721" s="22"/>
      <c r="Z2721" s="22"/>
      <c r="AA2721" s="22"/>
      <c r="AF2721" s="22"/>
      <c r="AG2721" s="22"/>
      <c r="AH2721" s="22"/>
      <c r="AI2721" s="22"/>
      <c r="AN2721" s="22"/>
      <c r="AO2721" s="22"/>
      <c r="AP2721" s="22"/>
      <c r="AQ2721" s="22"/>
      <c r="AR2721" s="35"/>
      <c r="AS2721" s="35"/>
      <c r="AT2721" s="35"/>
      <c r="AU2721" s="31"/>
      <c r="AV2721" s="36"/>
    </row>
    <row r="2722" spans="4:48">
      <c r="D2722" s="31"/>
      <c r="E2722" s="31"/>
      <c r="F2722" s="31"/>
      <c r="G2722" s="31"/>
      <c r="H2722" s="32"/>
      <c r="J2722" s="33"/>
      <c r="K2722" s="33"/>
      <c r="L2722" s="33"/>
      <c r="X2722" s="22"/>
      <c r="Y2722" s="22"/>
      <c r="Z2722" s="22"/>
      <c r="AA2722" s="22"/>
      <c r="AF2722" s="22"/>
      <c r="AG2722" s="22"/>
      <c r="AH2722" s="22"/>
      <c r="AI2722" s="22"/>
      <c r="AN2722" s="22"/>
      <c r="AO2722" s="22"/>
      <c r="AP2722" s="22"/>
      <c r="AQ2722" s="22"/>
      <c r="AR2722" s="35"/>
      <c r="AS2722" s="35"/>
      <c r="AT2722" s="35"/>
      <c r="AU2722" s="31"/>
      <c r="AV2722" s="36"/>
    </row>
    <row r="2723" spans="4:48">
      <c r="D2723" s="31"/>
      <c r="E2723" s="31"/>
      <c r="F2723" s="31"/>
      <c r="G2723" s="31"/>
      <c r="H2723" s="32"/>
      <c r="J2723" s="33"/>
      <c r="K2723" s="33"/>
      <c r="L2723" s="33"/>
      <c r="X2723" s="22"/>
      <c r="Y2723" s="22"/>
      <c r="Z2723" s="22"/>
      <c r="AA2723" s="22"/>
      <c r="AF2723" s="22"/>
      <c r="AG2723" s="22"/>
      <c r="AH2723" s="22"/>
      <c r="AI2723" s="22"/>
      <c r="AN2723" s="22"/>
      <c r="AO2723" s="22"/>
      <c r="AP2723" s="22"/>
      <c r="AQ2723" s="22"/>
      <c r="AR2723" s="35"/>
      <c r="AS2723" s="35"/>
      <c r="AT2723" s="35"/>
      <c r="AU2723" s="31"/>
      <c r="AV2723" s="36"/>
    </row>
    <row r="2724" spans="4:48">
      <c r="D2724" s="31"/>
      <c r="E2724" s="31"/>
      <c r="F2724" s="31"/>
      <c r="G2724" s="31"/>
      <c r="H2724" s="32"/>
      <c r="J2724" s="33"/>
      <c r="K2724" s="33"/>
      <c r="L2724" s="33"/>
      <c r="X2724" s="22"/>
      <c r="Y2724" s="22"/>
      <c r="Z2724" s="22"/>
      <c r="AA2724" s="22"/>
      <c r="AF2724" s="22"/>
      <c r="AG2724" s="22"/>
      <c r="AH2724" s="22"/>
      <c r="AI2724" s="22"/>
      <c r="AN2724" s="22"/>
      <c r="AO2724" s="22"/>
      <c r="AP2724" s="22"/>
      <c r="AQ2724" s="22"/>
      <c r="AR2724" s="35"/>
      <c r="AS2724" s="35"/>
      <c r="AT2724" s="35"/>
      <c r="AU2724" s="31"/>
      <c r="AV2724" s="36"/>
    </row>
    <row r="2725" spans="4:48">
      <c r="D2725" s="31"/>
      <c r="E2725" s="31"/>
      <c r="F2725" s="31"/>
      <c r="G2725" s="31"/>
      <c r="H2725" s="32"/>
      <c r="J2725" s="33"/>
      <c r="K2725" s="33"/>
      <c r="L2725" s="33"/>
      <c r="X2725" s="22"/>
      <c r="Y2725" s="22"/>
      <c r="Z2725" s="22"/>
      <c r="AA2725" s="22"/>
      <c r="AF2725" s="22"/>
      <c r="AG2725" s="22"/>
      <c r="AH2725" s="22"/>
      <c r="AI2725" s="22"/>
      <c r="AN2725" s="22"/>
      <c r="AO2725" s="22"/>
      <c r="AP2725" s="22"/>
      <c r="AQ2725" s="22"/>
      <c r="AR2725" s="35"/>
      <c r="AS2725" s="35"/>
      <c r="AT2725" s="35"/>
      <c r="AU2725" s="31"/>
      <c r="AV2725" s="36"/>
    </row>
    <row r="2726" spans="4:48">
      <c r="D2726" s="31"/>
      <c r="E2726" s="31"/>
      <c r="F2726" s="31"/>
      <c r="G2726" s="31"/>
      <c r="H2726" s="32"/>
      <c r="J2726" s="33"/>
      <c r="K2726" s="33"/>
      <c r="L2726" s="33"/>
      <c r="X2726" s="22"/>
      <c r="Y2726" s="22"/>
      <c r="Z2726" s="22"/>
      <c r="AA2726" s="22"/>
      <c r="AF2726" s="22"/>
      <c r="AG2726" s="22"/>
      <c r="AH2726" s="22"/>
      <c r="AI2726" s="22"/>
      <c r="AN2726" s="22"/>
      <c r="AO2726" s="22"/>
      <c r="AP2726" s="22"/>
      <c r="AQ2726" s="22"/>
      <c r="AR2726" s="35"/>
      <c r="AS2726" s="35"/>
      <c r="AT2726" s="35"/>
      <c r="AU2726" s="31"/>
      <c r="AV2726" s="36"/>
    </row>
    <row r="2727" spans="4:48">
      <c r="D2727" s="31"/>
      <c r="E2727" s="31"/>
      <c r="F2727" s="31"/>
      <c r="G2727" s="31"/>
      <c r="H2727" s="32"/>
      <c r="J2727" s="33"/>
      <c r="K2727" s="33"/>
      <c r="L2727" s="33"/>
      <c r="X2727" s="22"/>
      <c r="Y2727" s="22"/>
      <c r="Z2727" s="22"/>
      <c r="AA2727" s="22"/>
      <c r="AF2727" s="22"/>
      <c r="AG2727" s="22"/>
      <c r="AH2727" s="22"/>
      <c r="AI2727" s="22"/>
      <c r="AN2727" s="22"/>
      <c r="AO2727" s="22"/>
      <c r="AP2727" s="22"/>
      <c r="AQ2727" s="22"/>
      <c r="AR2727" s="35"/>
      <c r="AS2727" s="35"/>
      <c r="AT2727" s="35"/>
      <c r="AU2727" s="31"/>
      <c r="AV2727" s="36"/>
    </row>
    <row r="2728" spans="4:48">
      <c r="D2728" s="31"/>
      <c r="E2728" s="31"/>
      <c r="F2728" s="31"/>
      <c r="G2728" s="31"/>
      <c r="H2728" s="32"/>
      <c r="J2728" s="33"/>
      <c r="K2728" s="33"/>
      <c r="L2728" s="33"/>
      <c r="X2728" s="22"/>
      <c r="Y2728" s="22"/>
      <c r="Z2728" s="22"/>
      <c r="AA2728" s="22"/>
      <c r="AF2728" s="22"/>
      <c r="AG2728" s="22"/>
      <c r="AH2728" s="22"/>
      <c r="AI2728" s="22"/>
      <c r="AN2728" s="22"/>
      <c r="AO2728" s="22"/>
      <c r="AP2728" s="22"/>
      <c r="AQ2728" s="22"/>
      <c r="AR2728" s="35"/>
      <c r="AS2728" s="35"/>
      <c r="AT2728" s="35"/>
      <c r="AU2728" s="31"/>
      <c r="AV2728" s="36"/>
    </row>
    <row r="2729" spans="4:48">
      <c r="D2729" s="31"/>
      <c r="E2729" s="31"/>
      <c r="F2729" s="31"/>
      <c r="G2729" s="31"/>
      <c r="H2729" s="32"/>
      <c r="J2729" s="33"/>
      <c r="K2729" s="33"/>
      <c r="L2729" s="33"/>
      <c r="X2729" s="22"/>
      <c r="Y2729" s="22"/>
      <c r="Z2729" s="22"/>
      <c r="AA2729" s="22"/>
      <c r="AF2729" s="22"/>
      <c r="AG2729" s="22"/>
      <c r="AH2729" s="22"/>
      <c r="AI2729" s="22"/>
      <c r="AN2729" s="22"/>
      <c r="AO2729" s="22"/>
      <c r="AP2729" s="22"/>
      <c r="AQ2729" s="22"/>
      <c r="AR2729" s="35"/>
      <c r="AS2729" s="35"/>
      <c r="AT2729" s="35"/>
      <c r="AU2729" s="31"/>
      <c r="AV2729" s="36"/>
    </row>
    <row r="2730" spans="4:48">
      <c r="D2730" s="31"/>
      <c r="E2730" s="31"/>
      <c r="F2730" s="31"/>
      <c r="G2730" s="31"/>
      <c r="H2730" s="32"/>
      <c r="J2730" s="33"/>
      <c r="K2730" s="33"/>
      <c r="L2730" s="33"/>
      <c r="X2730" s="22"/>
      <c r="Y2730" s="22"/>
      <c r="Z2730" s="22"/>
      <c r="AA2730" s="22"/>
      <c r="AF2730" s="22"/>
      <c r="AG2730" s="22"/>
      <c r="AH2730" s="22"/>
      <c r="AI2730" s="22"/>
      <c r="AN2730" s="22"/>
      <c r="AO2730" s="22"/>
      <c r="AP2730" s="22"/>
      <c r="AQ2730" s="22"/>
      <c r="AR2730" s="35"/>
      <c r="AS2730" s="35"/>
      <c r="AT2730" s="35"/>
      <c r="AU2730" s="31"/>
      <c r="AV2730" s="36"/>
    </row>
    <row r="2731" spans="4:48">
      <c r="D2731" s="31"/>
      <c r="E2731" s="31"/>
      <c r="F2731" s="31"/>
      <c r="G2731" s="31"/>
      <c r="H2731" s="32"/>
      <c r="J2731" s="33"/>
      <c r="K2731" s="33"/>
      <c r="L2731" s="33"/>
      <c r="X2731" s="22"/>
      <c r="Y2731" s="22"/>
      <c r="Z2731" s="22"/>
      <c r="AA2731" s="22"/>
      <c r="AF2731" s="22"/>
      <c r="AG2731" s="22"/>
      <c r="AH2731" s="22"/>
      <c r="AI2731" s="22"/>
      <c r="AN2731" s="22"/>
      <c r="AO2731" s="22"/>
      <c r="AP2731" s="22"/>
      <c r="AQ2731" s="22"/>
      <c r="AR2731" s="35"/>
      <c r="AS2731" s="35"/>
      <c r="AT2731" s="35"/>
      <c r="AU2731" s="31"/>
      <c r="AV2731" s="36"/>
    </row>
    <row r="2732" spans="4:48">
      <c r="D2732" s="31"/>
      <c r="E2732" s="31"/>
      <c r="F2732" s="31"/>
      <c r="G2732" s="31"/>
      <c r="H2732" s="32"/>
      <c r="J2732" s="33"/>
      <c r="K2732" s="33"/>
      <c r="L2732" s="33"/>
      <c r="X2732" s="22"/>
      <c r="Y2732" s="22"/>
      <c r="Z2732" s="22"/>
      <c r="AA2732" s="22"/>
      <c r="AF2732" s="22"/>
      <c r="AG2732" s="22"/>
      <c r="AH2732" s="22"/>
      <c r="AI2732" s="22"/>
      <c r="AN2732" s="22"/>
      <c r="AO2732" s="22"/>
      <c r="AP2732" s="22"/>
      <c r="AQ2732" s="22"/>
      <c r="AR2732" s="35"/>
      <c r="AS2732" s="35"/>
      <c r="AT2732" s="35"/>
      <c r="AU2732" s="31"/>
      <c r="AV2732" s="36"/>
    </row>
    <row r="2733" spans="4:48">
      <c r="D2733" s="31"/>
      <c r="E2733" s="31"/>
      <c r="F2733" s="31"/>
      <c r="G2733" s="31"/>
      <c r="H2733" s="32"/>
      <c r="J2733" s="33"/>
      <c r="K2733" s="33"/>
      <c r="L2733" s="33"/>
      <c r="X2733" s="22"/>
      <c r="Y2733" s="22"/>
      <c r="Z2733" s="22"/>
      <c r="AA2733" s="22"/>
      <c r="AF2733" s="22"/>
      <c r="AG2733" s="22"/>
      <c r="AH2733" s="22"/>
      <c r="AI2733" s="22"/>
      <c r="AN2733" s="22"/>
      <c r="AO2733" s="22"/>
      <c r="AP2733" s="22"/>
      <c r="AQ2733" s="22"/>
      <c r="AR2733" s="35"/>
      <c r="AS2733" s="35"/>
      <c r="AT2733" s="35"/>
      <c r="AU2733" s="31"/>
      <c r="AV2733" s="36"/>
    </row>
    <row r="2734" spans="4:48">
      <c r="D2734" s="31"/>
      <c r="E2734" s="31"/>
      <c r="F2734" s="31"/>
      <c r="G2734" s="31"/>
      <c r="H2734" s="32"/>
      <c r="J2734" s="33"/>
      <c r="K2734" s="33"/>
      <c r="L2734" s="33"/>
      <c r="X2734" s="22"/>
      <c r="Y2734" s="22"/>
      <c r="Z2734" s="22"/>
      <c r="AA2734" s="22"/>
      <c r="AF2734" s="22"/>
      <c r="AG2734" s="22"/>
      <c r="AH2734" s="22"/>
      <c r="AI2734" s="22"/>
      <c r="AN2734" s="22"/>
      <c r="AO2734" s="22"/>
      <c r="AP2734" s="22"/>
      <c r="AQ2734" s="22"/>
      <c r="AR2734" s="35"/>
      <c r="AS2734" s="35"/>
      <c r="AT2734" s="35"/>
      <c r="AU2734" s="31"/>
      <c r="AV2734" s="36"/>
    </row>
    <row r="2735" spans="4:48">
      <c r="D2735" s="31"/>
      <c r="E2735" s="31"/>
      <c r="F2735" s="31"/>
      <c r="G2735" s="31"/>
      <c r="H2735" s="32"/>
      <c r="J2735" s="33"/>
      <c r="K2735" s="33"/>
      <c r="L2735" s="33"/>
      <c r="X2735" s="22"/>
      <c r="Y2735" s="22"/>
      <c r="Z2735" s="22"/>
      <c r="AA2735" s="22"/>
      <c r="AF2735" s="22"/>
      <c r="AG2735" s="22"/>
      <c r="AH2735" s="22"/>
      <c r="AI2735" s="22"/>
      <c r="AN2735" s="22"/>
      <c r="AO2735" s="22"/>
      <c r="AP2735" s="22"/>
      <c r="AQ2735" s="22"/>
      <c r="AR2735" s="35"/>
      <c r="AS2735" s="35"/>
      <c r="AT2735" s="35"/>
      <c r="AU2735" s="31"/>
      <c r="AV2735" s="36"/>
    </row>
    <row r="2736" spans="4:48">
      <c r="D2736" s="31"/>
      <c r="E2736" s="31"/>
      <c r="F2736" s="31"/>
      <c r="G2736" s="31"/>
      <c r="H2736" s="32"/>
      <c r="J2736" s="33"/>
      <c r="K2736" s="33"/>
      <c r="L2736" s="33"/>
      <c r="X2736" s="22"/>
      <c r="Y2736" s="22"/>
      <c r="Z2736" s="22"/>
      <c r="AA2736" s="22"/>
      <c r="AF2736" s="22"/>
      <c r="AG2736" s="22"/>
      <c r="AH2736" s="22"/>
      <c r="AI2736" s="22"/>
      <c r="AN2736" s="22"/>
      <c r="AO2736" s="22"/>
      <c r="AP2736" s="22"/>
      <c r="AQ2736" s="22"/>
      <c r="AR2736" s="35"/>
      <c r="AS2736" s="35"/>
      <c r="AT2736" s="35"/>
      <c r="AU2736" s="31"/>
      <c r="AV2736" s="36"/>
    </row>
    <row r="2737" spans="4:48">
      <c r="D2737" s="31"/>
      <c r="E2737" s="31"/>
      <c r="F2737" s="31"/>
      <c r="G2737" s="31"/>
      <c r="H2737" s="32"/>
      <c r="J2737" s="33"/>
      <c r="K2737" s="33"/>
      <c r="L2737" s="33"/>
      <c r="X2737" s="22"/>
      <c r="Y2737" s="22"/>
      <c r="Z2737" s="22"/>
      <c r="AA2737" s="22"/>
      <c r="AF2737" s="22"/>
      <c r="AG2737" s="22"/>
      <c r="AH2737" s="22"/>
      <c r="AI2737" s="22"/>
      <c r="AN2737" s="22"/>
      <c r="AO2737" s="22"/>
      <c r="AP2737" s="22"/>
      <c r="AQ2737" s="22"/>
      <c r="AR2737" s="35"/>
      <c r="AS2737" s="35"/>
      <c r="AT2737" s="35"/>
      <c r="AU2737" s="31"/>
      <c r="AV2737" s="36"/>
    </row>
    <row r="2738" spans="4:48">
      <c r="D2738" s="31"/>
      <c r="E2738" s="31"/>
      <c r="F2738" s="31"/>
      <c r="G2738" s="31"/>
      <c r="H2738" s="32"/>
      <c r="J2738" s="33"/>
      <c r="K2738" s="33"/>
      <c r="L2738" s="33"/>
      <c r="X2738" s="22"/>
      <c r="Y2738" s="22"/>
      <c r="Z2738" s="22"/>
      <c r="AA2738" s="22"/>
      <c r="AF2738" s="22"/>
      <c r="AG2738" s="22"/>
      <c r="AH2738" s="22"/>
      <c r="AI2738" s="22"/>
      <c r="AN2738" s="22"/>
      <c r="AO2738" s="22"/>
      <c r="AP2738" s="22"/>
      <c r="AQ2738" s="22"/>
      <c r="AR2738" s="35"/>
      <c r="AS2738" s="35"/>
      <c r="AT2738" s="35"/>
      <c r="AU2738" s="31"/>
      <c r="AV2738" s="36"/>
    </row>
    <row r="2739" spans="4:48">
      <c r="D2739" s="31"/>
      <c r="E2739" s="31"/>
      <c r="F2739" s="31"/>
      <c r="G2739" s="31"/>
      <c r="H2739" s="32"/>
      <c r="J2739" s="33"/>
      <c r="K2739" s="33"/>
      <c r="L2739" s="33"/>
      <c r="X2739" s="22"/>
      <c r="Y2739" s="22"/>
      <c r="Z2739" s="22"/>
      <c r="AA2739" s="22"/>
      <c r="AF2739" s="22"/>
      <c r="AG2739" s="22"/>
      <c r="AH2739" s="22"/>
      <c r="AI2739" s="22"/>
      <c r="AN2739" s="22"/>
      <c r="AO2739" s="22"/>
      <c r="AP2739" s="22"/>
      <c r="AQ2739" s="22"/>
      <c r="AR2739" s="35"/>
      <c r="AS2739" s="35"/>
      <c r="AT2739" s="35"/>
      <c r="AU2739" s="31"/>
      <c r="AV2739" s="36"/>
    </row>
    <row r="2740" spans="4:48">
      <c r="D2740" s="31"/>
      <c r="E2740" s="31"/>
      <c r="F2740" s="31"/>
      <c r="G2740" s="31"/>
      <c r="H2740" s="32"/>
      <c r="J2740" s="33"/>
      <c r="K2740" s="33"/>
      <c r="L2740" s="33"/>
      <c r="X2740" s="22"/>
      <c r="Y2740" s="22"/>
      <c r="Z2740" s="22"/>
      <c r="AA2740" s="22"/>
      <c r="AF2740" s="22"/>
      <c r="AG2740" s="22"/>
      <c r="AH2740" s="22"/>
      <c r="AI2740" s="22"/>
      <c r="AN2740" s="22"/>
      <c r="AO2740" s="22"/>
      <c r="AP2740" s="22"/>
      <c r="AQ2740" s="22"/>
      <c r="AR2740" s="35"/>
      <c r="AS2740" s="35"/>
      <c r="AT2740" s="35"/>
      <c r="AU2740" s="31"/>
      <c r="AV2740" s="36"/>
    </row>
    <row r="2741" spans="4:48">
      <c r="D2741" s="31"/>
      <c r="E2741" s="31"/>
      <c r="F2741" s="31"/>
      <c r="G2741" s="31"/>
      <c r="H2741" s="32"/>
      <c r="J2741" s="33"/>
      <c r="K2741" s="33"/>
      <c r="L2741" s="33"/>
      <c r="X2741" s="22"/>
      <c r="Y2741" s="22"/>
      <c r="Z2741" s="22"/>
      <c r="AA2741" s="22"/>
      <c r="AF2741" s="22"/>
      <c r="AG2741" s="22"/>
      <c r="AH2741" s="22"/>
      <c r="AI2741" s="22"/>
      <c r="AN2741" s="22"/>
      <c r="AO2741" s="22"/>
      <c r="AP2741" s="22"/>
      <c r="AQ2741" s="22"/>
      <c r="AR2741" s="35"/>
      <c r="AS2741" s="35"/>
      <c r="AT2741" s="35"/>
      <c r="AU2741" s="31"/>
      <c r="AV2741" s="36"/>
    </row>
    <row r="2742" spans="4:48">
      <c r="D2742" s="31"/>
      <c r="E2742" s="31"/>
      <c r="F2742" s="31"/>
      <c r="G2742" s="31"/>
      <c r="H2742" s="32"/>
      <c r="J2742" s="33"/>
      <c r="K2742" s="33"/>
      <c r="L2742" s="33"/>
      <c r="X2742" s="22"/>
      <c r="Y2742" s="22"/>
      <c r="Z2742" s="22"/>
      <c r="AA2742" s="22"/>
      <c r="AF2742" s="22"/>
      <c r="AG2742" s="22"/>
      <c r="AH2742" s="22"/>
      <c r="AI2742" s="22"/>
      <c r="AN2742" s="22"/>
      <c r="AO2742" s="22"/>
      <c r="AP2742" s="22"/>
      <c r="AQ2742" s="22"/>
      <c r="AR2742" s="35"/>
      <c r="AS2742" s="35"/>
      <c r="AT2742" s="35"/>
      <c r="AU2742" s="31"/>
      <c r="AV2742" s="36"/>
    </row>
    <row r="2743" spans="4:48">
      <c r="D2743" s="31"/>
      <c r="E2743" s="31"/>
      <c r="F2743" s="31"/>
      <c r="G2743" s="31"/>
      <c r="H2743" s="32"/>
      <c r="J2743" s="33"/>
      <c r="K2743" s="33"/>
      <c r="L2743" s="33"/>
      <c r="X2743" s="22"/>
      <c r="Y2743" s="22"/>
      <c r="Z2743" s="22"/>
      <c r="AA2743" s="22"/>
      <c r="AF2743" s="22"/>
      <c r="AG2743" s="22"/>
      <c r="AH2743" s="22"/>
      <c r="AI2743" s="22"/>
      <c r="AN2743" s="22"/>
      <c r="AO2743" s="22"/>
      <c r="AP2743" s="22"/>
      <c r="AQ2743" s="22"/>
      <c r="AR2743" s="35"/>
      <c r="AS2743" s="35"/>
      <c r="AT2743" s="35"/>
      <c r="AU2743" s="31"/>
      <c r="AV2743" s="36"/>
    </row>
    <row r="2744" spans="4:48">
      <c r="D2744" s="31"/>
      <c r="E2744" s="31"/>
      <c r="F2744" s="31"/>
      <c r="G2744" s="31"/>
      <c r="H2744" s="32"/>
      <c r="J2744" s="33"/>
      <c r="K2744" s="33"/>
      <c r="L2744" s="33"/>
      <c r="X2744" s="22"/>
      <c r="Y2744" s="22"/>
      <c r="Z2744" s="22"/>
      <c r="AA2744" s="22"/>
      <c r="AF2744" s="22"/>
      <c r="AG2744" s="22"/>
      <c r="AH2744" s="22"/>
      <c r="AI2744" s="22"/>
      <c r="AN2744" s="22"/>
      <c r="AO2744" s="22"/>
      <c r="AP2744" s="22"/>
      <c r="AQ2744" s="22"/>
      <c r="AR2744" s="35"/>
      <c r="AS2744" s="35"/>
      <c r="AT2744" s="35"/>
      <c r="AU2744" s="31"/>
      <c r="AV2744" s="36"/>
    </row>
    <row r="2745" spans="4:48">
      <c r="D2745" s="31"/>
      <c r="E2745" s="31"/>
      <c r="F2745" s="31"/>
      <c r="G2745" s="31"/>
      <c r="H2745" s="32"/>
      <c r="J2745" s="33"/>
      <c r="K2745" s="33"/>
      <c r="L2745" s="33"/>
      <c r="X2745" s="22"/>
      <c r="Y2745" s="22"/>
      <c r="Z2745" s="22"/>
      <c r="AA2745" s="22"/>
      <c r="AF2745" s="22"/>
      <c r="AG2745" s="22"/>
      <c r="AH2745" s="22"/>
      <c r="AI2745" s="22"/>
      <c r="AN2745" s="22"/>
      <c r="AO2745" s="22"/>
      <c r="AP2745" s="22"/>
      <c r="AQ2745" s="22"/>
      <c r="AR2745" s="35"/>
      <c r="AS2745" s="35"/>
      <c r="AT2745" s="35"/>
      <c r="AU2745" s="31"/>
      <c r="AV2745" s="36"/>
    </row>
    <row r="2746" spans="4:48">
      <c r="D2746" s="31"/>
      <c r="E2746" s="31"/>
      <c r="F2746" s="31"/>
      <c r="G2746" s="31"/>
      <c r="H2746" s="32"/>
      <c r="J2746" s="33"/>
      <c r="K2746" s="33"/>
      <c r="L2746" s="33"/>
      <c r="X2746" s="22"/>
      <c r="Y2746" s="22"/>
      <c r="Z2746" s="22"/>
      <c r="AA2746" s="22"/>
      <c r="AF2746" s="22"/>
      <c r="AG2746" s="22"/>
      <c r="AH2746" s="22"/>
      <c r="AI2746" s="22"/>
      <c r="AN2746" s="22"/>
      <c r="AO2746" s="22"/>
      <c r="AP2746" s="22"/>
      <c r="AQ2746" s="22"/>
      <c r="AR2746" s="35"/>
      <c r="AS2746" s="35"/>
      <c r="AT2746" s="35"/>
      <c r="AU2746" s="31"/>
      <c r="AV2746" s="36"/>
    </row>
    <row r="2747" spans="4:48">
      <c r="D2747" s="31"/>
      <c r="E2747" s="31"/>
      <c r="F2747" s="31"/>
      <c r="G2747" s="31"/>
      <c r="H2747" s="32"/>
      <c r="J2747" s="33"/>
      <c r="K2747" s="33"/>
      <c r="L2747" s="33"/>
      <c r="X2747" s="22"/>
      <c r="Y2747" s="22"/>
      <c r="Z2747" s="22"/>
      <c r="AA2747" s="22"/>
      <c r="AF2747" s="22"/>
      <c r="AG2747" s="22"/>
      <c r="AH2747" s="22"/>
      <c r="AI2747" s="22"/>
      <c r="AN2747" s="22"/>
      <c r="AO2747" s="22"/>
      <c r="AP2747" s="22"/>
      <c r="AQ2747" s="22"/>
      <c r="AR2747" s="35"/>
      <c r="AS2747" s="35"/>
      <c r="AT2747" s="35"/>
      <c r="AU2747" s="31"/>
      <c r="AV2747" s="36"/>
    </row>
    <row r="2748" spans="4:48">
      <c r="D2748" s="31"/>
      <c r="E2748" s="31"/>
      <c r="F2748" s="31"/>
      <c r="G2748" s="31"/>
      <c r="H2748" s="32"/>
      <c r="J2748" s="33"/>
      <c r="K2748" s="33"/>
      <c r="L2748" s="33"/>
      <c r="X2748" s="22"/>
      <c r="Y2748" s="22"/>
      <c r="Z2748" s="22"/>
      <c r="AA2748" s="22"/>
      <c r="AF2748" s="22"/>
      <c r="AG2748" s="22"/>
      <c r="AH2748" s="22"/>
      <c r="AI2748" s="22"/>
      <c r="AN2748" s="22"/>
      <c r="AO2748" s="22"/>
      <c r="AP2748" s="22"/>
      <c r="AQ2748" s="22"/>
      <c r="AR2748" s="35"/>
      <c r="AS2748" s="35"/>
      <c r="AT2748" s="35"/>
      <c r="AU2748" s="31"/>
      <c r="AV2748" s="36"/>
    </row>
    <row r="2749" spans="4:48">
      <c r="D2749" s="31"/>
      <c r="E2749" s="31"/>
      <c r="F2749" s="31"/>
      <c r="G2749" s="31"/>
      <c r="H2749" s="32"/>
      <c r="J2749" s="33"/>
      <c r="K2749" s="33"/>
      <c r="L2749" s="33"/>
      <c r="X2749" s="22"/>
      <c r="Y2749" s="22"/>
      <c r="Z2749" s="22"/>
      <c r="AA2749" s="22"/>
      <c r="AF2749" s="22"/>
      <c r="AG2749" s="22"/>
      <c r="AH2749" s="22"/>
      <c r="AI2749" s="22"/>
      <c r="AN2749" s="22"/>
      <c r="AO2749" s="22"/>
      <c r="AP2749" s="22"/>
      <c r="AQ2749" s="22"/>
      <c r="AR2749" s="35"/>
      <c r="AS2749" s="35"/>
      <c r="AT2749" s="35"/>
      <c r="AU2749" s="31"/>
      <c r="AV2749" s="36"/>
    </row>
    <row r="2750" spans="4:48">
      <c r="D2750" s="31"/>
      <c r="E2750" s="31"/>
      <c r="F2750" s="31"/>
      <c r="G2750" s="31"/>
      <c r="H2750" s="32"/>
      <c r="J2750" s="33"/>
      <c r="K2750" s="33"/>
      <c r="L2750" s="33"/>
      <c r="X2750" s="22"/>
      <c r="Y2750" s="22"/>
      <c r="Z2750" s="22"/>
      <c r="AA2750" s="22"/>
      <c r="AF2750" s="22"/>
      <c r="AG2750" s="22"/>
      <c r="AH2750" s="22"/>
      <c r="AI2750" s="22"/>
      <c r="AN2750" s="22"/>
      <c r="AO2750" s="22"/>
      <c r="AP2750" s="22"/>
      <c r="AQ2750" s="22"/>
      <c r="AR2750" s="35"/>
      <c r="AS2750" s="35"/>
      <c r="AT2750" s="35"/>
      <c r="AU2750" s="31"/>
      <c r="AV2750" s="36"/>
    </row>
    <row r="2751" spans="4:48">
      <c r="D2751" s="31"/>
      <c r="E2751" s="31"/>
      <c r="F2751" s="31"/>
      <c r="G2751" s="31"/>
      <c r="H2751" s="32"/>
      <c r="J2751" s="33"/>
      <c r="K2751" s="33"/>
      <c r="L2751" s="33"/>
      <c r="X2751" s="22"/>
      <c r="Y2751" s="22"/>
      <c r="Z2751" s="22"/>
      <c r="AA2751" s="22"/>
      <c r="AF2751" s="22"/>
      <c r="AG2751" s="22"/>
      <c r="AH2751" s="22"/>
      <c r="AI2751" s="22"/>
      <c r="AN2751" s="22"/>
      <c r="AO2751" s="22"/>
      <c r="AP2751" s="22"/>
      <c r="AQ2751" s="22"/>
      <c r="AR2751" s="35"/>
      <c r="AS2751" s="35"/>
      <c r="AT2751" s="35"/>
      <c r="AU2751" s="31"/>
      <c r="AV2751" s="36"/>
    </row>
    <row r="2752" spans="4:48">
      <c r="D2752" s="31"/>
      <c r="E2752" s="31"/>
      <c r="F2752" s="31"/>
      <c r="G2752" s="31"/>
      <c r="H2752" s="32"/>
      <c r="J2752" s="33"/>
      <c r="K2752" s="33"/>
      <c r="L2752" s="33"/>
      <c r="X2752" s="22"/>
      <c r="Y2752" s="22"/>
      <c r="Z2752" s="22"/>
      <c r="AA2752" s="22"/>
      <c r="AF2752" s="22"/>
      <c r="AG2752" s="22"/>
      <c r="AH2752" s="22"/>
      <c r="AI2752" s="22"/>
      <c r="AN2752" s="22"/>
      <c r="AO2752" s="22"/>
      <c r="AP2752" s="22"/>
      <c r="AQ2752" s="22"/>
      <c r="AR2752" s="35"/>
      <c r="AS2752" s="35"/>
      <c r="AT2752" s="35"/>
      <c r="AU2752" s="31"/>
      <c r="AV2752" s="36"/>
    </row>
    <row r="2753" spans="4:48">
      <c r="D2753" s="31"/>
      <c r="E2753" s="31"/>
      <c r="F2753" s="31"/>
      <c r="G2753" s="31"/>
      <c r="H2753" s="32"/>
      <c r="J2753" s="33"/>
      <c r="K2753" s="33"/>
      <c r="L2753" s="33"/>
      <c r="X2753" s="22"/>
      <c r="Y2753" s="22"/>
      <c r="Z2753" s="22"/>
      <c r="AA2753" s="22"/>
      <c r="AF2753" s="22"/>
      <c r="AG2753" s="22"/>
      <c r="AH2753" s="22"/>
      <c r="AI2753" s="22"/>
      <c r="AN2753" s="22"/>
      <c r="AO2753" s="22"/>
      <c r="AP2753" s="22"/>
      <c r="AQ2753" s="22"/>
      <c r="AR2753" s="35"/>
      <c r="AS2753" s="35"/>
      <c r="AT2753" s="35"/>
      <c r="AU2753" s="31"/>
      <c r="AV2753" s="36"/>
    </row>
    <row r="2754" spans="4:48">
      <c r="D2754" s="31"/>
      <c r="E2754" s="31"/>
      <c r="F2754" s="31"/>
      <c r="G2754" s="31"/>
      <c r="H2754" s="32"/>
      <c r="J2754" s="33"/>
      <c r="K2754" s="33"/>
      <c r="L2754" s="33"/>
      <c r="X2754" s="22"/>
      <c r="Y2754" s="22"/>
      <c r="Z2754" s="22"/>
      <c r="AA2754" s="22"/>
      <c r="AF2754" s="22"/>
      <c r="AG2754" s="22"/>
      <c r="AH2754" s="22"/>
      <c r="AI2754" s="22"/>
      <c r="AN2754" s="22"/>
      <c r="AO2754" s="22"/>
      <c r="AP2754" s="22"/>
      <c r="AQ2754" s="22"/>
      <c r="AR2754" s="35"/>
      <c r="AS2754" s="35"/>
      <c r="AT2754" s="35"/>
      <c r="AU2754" s="31"/>
      <c r="AV2754" s="36"/>
    </row>
    <row r="2755" spans="4:48">
      <c r="D2755" s="31"/>
      <c r="E2755" s="31"/>
      <c r="F2755" s="31"/>
      <c r="G2755" s="31"/>
      <c r="H2755" s="32"/>
      <c r="J2755" s="33"/>
      <c r="K2755" s="33"/>
      <c r="L2755" s="33"/>
      <c r="X2755" s="22"/>
      <c r="Y2755" s="22"/>
      <c r="Z2755" s="22"/>
      <c r="AA2755" s="22"/>
      <c r="AF2755" s="22"/>
      <c r="AG2755" s="22"/>
      <c r="AH2755" s="22"/>
      <c r="AI2755" s="22"/>
      <c r="AN2755" s="22"/>
      <c r="AO2755" s="22"/>
      <c r="AP2755" s="22"/>
      <c r="AQ2755" s="22"/>
      <c r="AR2755" s="35"/>
      <c r="AS2755" s="35"/>
      <c r="AT2755" s="35"/>
      <c r="AU2755" s="31"/>
      <c r="AV2755" s="36"/>
    </row>
    <row r="2756" spans="4:48">
      <c r="D2756" s="31"/>
      <c r="E2756" s="31"/>
      <c r="F2756" s="31"/>
      <c r="G2756" s="31"/>
      <c r="H2756" s="32"/>
      <c r="J2756" s="33"/>
      <c r="K2756" s="33"/>
      <c r="L2756" s="33"/>
      <c r="X2756" s="22"/>
      <c r="Y2756" s="22"/>
      <c r="Z2756" s="22"/>
      <c r="AA2756" s="22"/>
      <c r="AF2756" s="22"/>
      <c r="AG2756" s="22"/>
      <c r="AH2756" s="22"/>
      <c r="AI2756" s="22"/>
      <c r="AN2756" s="22"/>
      <c r="AO2756" s="22"/>
      <c r="AP2756" s="22"/>
      <c r="AQ2756" s="22"/>
      <c r="AR2756" s="35"/>
      <c r="AS2756" s="35"/>
      <c r="AT2756" s="35"/>
      <c r="AU2756" s="31"/>
      <c r="AV2756" s="36"/>
    </row>
    <row r="2757" spans="4:48">
      <c r="D2757" s="31"/>
      <c r="E2757" s="31"/>
      <c r="F2757" s="31"/>
      <c r="G2757" s="31"/>
      <c r="H2757" s="32"/>
      <c r="J2757" s="33"/>
      <c r="K2757" s="33"/>
      <c r="L2757" s="33"/>
      <c r="X2757" s="22"/>
      <c r="Y2757" s="22"/>
      <c r="Z2757" s="22"/>
      <c r="AA2757" s="22"/>
      <c r="AF2757" s="22"/>
      <c r="AG2757" s="22"/>
      <c r="AH2757" s="22"/>
      <c r="AI2757" s="22"/>
      <c r="AN2757" s="22"/>
      <c r="AO2757" s="22"/>
      <c r="AP2757" s="22"/>
      <c r="AQ2757" s="22"/>
      <c r="AR2757" s="35"/>
      <c r="AS2757" s="35"/>
      <c r="AT2757" s="35"/>
      <c r="AU2757" s="31"/>
      <c r="AV2757" s="36"/>
    </row>
    <row r="2758" spans="4:48">
      <c r="D2758" s="31"/>
      <c r="E2758" s="31"/>
      <c r="F2758" s="31"/>
      <c r="G2758" s="31"/>
      <c r="H2758" s="32"/>
      <c r="J2758" s="33"/>
      <c r="K2758" s="33"/>
      <c r="L2758" s="33"/>
      <c r="X2758" s="22"/>
      <c r="Y2758" s="22"/>
      <c r="Z2758" s="22"/>
      <c r="AA2758" s="22"/>
      <c r="AF2758" s="22"/>
      <c r="AG2758" s="22"/>
      <c r="AH2758" s="22"/>
      <c r="AI2758" s="22"/>
      <c r="AN2758" s="22"/>
      <c r="AO2758" s="22"/>
      <c r="AP2758" s="22"/>
      <c r="AQ2758" s="22"/>
      <c r="AR2758" s="35"/>
      <c r="AS2758" s="35"/>
      <c r="AT2758" s="35"/>
      <c r="AU2758" s="31"/>
      <c r="AV2758" s="36"/>
    </row>
    <row r="2759" spans="4:48">
      <c r="D2759" s="31"/>
      <c r="E2759" s="31"/>
      <c r="F2759" s="31"/>
      <c r="G2759" s="31"/>
      <c r="H2759" s="32"/>
      <c r="J2759" s="33"/>
      <c r="K2759" s="33"/>
      <c r="L2759" s="33"/>
      <c r="X2759" s="22"/>
      <c r="Y2759" s="22"/>
      <c r="Z2759" s="22"/>
      <c r="AA2759" s="22"/>
      <c r="AF2759" s="22"/>
      <c r="AG2759" s="22"/>
      <c r="AH2759" s="22"/>
      <c r="AI2759" s="22"/>
      <c r="AN2759" s="22"/>
      <c r="AO2759" s="22"/>
      <c r="AP2759" s="22"/>
      <c r="AQ2759" s="22"/>
      <c r="AR2759" s="35"/>
      <c r="AS2759" s="35"/>
      <c r="AT2759" s="35"/>
      <c r="AU2759" s="31"/>
      <c r="AV2759" s="36"/>
    </row>
    <row r="2760" spans="4:48">
      <c r="D2760" s="31"/>
      <c r="E2760" s="31"/>
      <c r="F2760" s="31"/>
      <c r="G2760" s="31"/>
      <c r="H2760" s="32"/>
      <c r="J2760" s="33"/>
      <c r="K2760" s="33"/>
      <c r="L2760" s="33"/>
      <c r="X2760" s="22"/>
      <c r="Y2760" s="22"/>
      <c r="Z2760" s="22"/>
      <c r="AA2760" s="22"/>
      <c r="AF2760" s="22"/>
      <c r="AG2760" s="22"/>
      <c r="AH2760" s="22"/>
      <c r="AI2760" s="22"/>
      <c r="AN2760" s="22"/>
      <c r="AO2760" s="22"/>
      <c r="AP2760" s="22"/>
      <c r="AQ2760" s="22"/>
      <c r="AR2760" s="35"/>
      <c r="AS2760" s="35"/>
      <c r="AT2760" s="35"/>
      <c r="AU2760" s="31"/>
      <c r="AV2760" s="36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8175" operator="lessThan">
      <formula>20</formula>
    </cfRule>
    <cfRule type="cellIs" dxfId="1" priority="68174" operator="greaterThan">
      <formula>120</formula>
    </cfRule>
    <cfRule type="containsText" dxfId="2" priority="68173" operator="between" text="库存为">
      <formula>NOT(ISERROR(SEARCH("库存为",AU2)))</formula>
    </cfRule>
  </conditionalFormatting>
  <conditionalFormatting sqref="AU6">
    <cfRule type="cellIs" dxfId="0" priority="744" operator="lessThan">
      <formula>20</formula>
    </cfRule>
    <cfRule type="cellIs" dxfId="1" priority="496" operator="greaterThan">
      <formula>120</formula>
    </cfRule>
    <cfRule type="containsText" dxfId="2" priority="248" operator="between" text="库存为">
      <formula>NOT(ISERROR(SEARCH("库存为",AU6)))</formula>
    </cfRule>
  </conditionalFormatting>
  <conditionalFormatting sqref="AU7">
    <cfRule type="cellIs" dxfId="0" priority="743" operator="lessThan">
      <formula>20</formula>
    </cfRule>
    <cfRule type="cellIs" dxfId="1" priority="495" operator="greaterThan">
      <formula>120</formula>
    </cfRule>
    <cfRule type="containsText" dxfId="2" priority="247" operator="between" text="库存为">
      <formula>NOT(ISERROR(SEARCH("库存为",AU7)))</formula>
    </cfRule>
  </conditionalFormatting>
  <conditionalFormatting sqref="AU8">
    <cfRule type="cellIs" dxfId="0" priority="742" operator="lessThan">
      <formula>20</formula>
    </cfRule>
    <cfRule type="cellIs" dxfId="1" priority="494" operator="greaterThan">
      <formula>120</formula>
    </cfRule>
    <cfRule type="containsText" dxfId="2" priority="246" operator="between" text="库存为">
      <formula>NOT(ISERROR(SEARCH("库存为",AU8)))</formula>
    </cfRule>
  </conditionalFormatting>
  <conditionalFormatting sqref="AU9">
    <cfRule type="cellIs" dxfId="0" priority="741" operator="lessThan">
      <formula>20</formula>
    </cfRule>
    <cfRule type="cellIs" dxfId="1" priority="493" operator="greaterThan">
      <formula>120</formula>
    </cfRule>
    <cfRule type="containsText" dxfId="2" priority="245" operator="between" text="库存为">
      <formula>NOT(ISERROR(SEARCH("库存为",AU9)))</formula>
    </cfRule>
  </conditionalFormatting>
  <conditionalFormatting sqref="AU10">
    <cfRule type="cellIs" dxfId="0" priority="740" operator="lessThan">
      <formula>20</formula>
    </cfRule>
    <cfRule type="cellIs" dxfId="1" priority="492" operator="greaterThan">
      <formula>120</formula>
    </cfRule>
    <cfRule type="containsText" dxfId="2" priority="244" operator="between" text="库存为">
      <formula>NOT(ISERROR(SEARCH("库存为",AU10)))</formula>
    </cfRule>
  </conditionalFormatting>
  <conditionalFormatting sqref="AU11">
    <cfRule type="cellIs" dxfId="0" priority="739" operator="lessThan">
      <formula>20</formula>
    </cfRule>
    <cfRule type="cellIs" dxfId="1" priority="491" operator="greaterThan">
      <formula>120</formula>
    </cfRule>
    <cfRule type="containsText" dxfId="2" priority="243" operator="between" text="库存为">
      <formula>NOT(ISERROR(SEARCH("库存为",AU11)))</formula>
    </cfRule>
  </conditionalFormatting>
  <conditionalFormatting sqref="AU12">
    <cfRule type="cellIs" dxfId="0" priority="738" operator="lessThan">
      <formula>20</formula>
    </cfRule>
    <cfRule type="cellIs" dxfId="1" priority="490" operator="greaterThan">
      <formula>120</formula>
    </cfRule>
    <cfRule type="containsText" dxfId="2" priority="242" operator="between" text="库存为">
      <formula>NOT(ISERROR(SEARCH("库存为",AU12)))</formula>
    </cfRule>
  </conditionalFormatting>
  <conditionalFormatting sqref="AU13">
    <cfRule type="cellIs" dxfId="0" priority="737" operator="lessThan">
      <formula>20</formula>
    </cfRule>
    <cfRule type="cellIs" dxfId="1" priority="489" operator="greaterThan">
      <formula>120</formula>
    </cfRule>
    <cfRule type="containsText" dxfId="2" priority="241" operator="between" text="库存为">
      <formula>NOT(ISERROR(SEARCH("库存为",AU13)))</formula>
    </cfRule>
  </conditionalFormatting>
  <conditionalFormatting sqref="AU14">
    <cfRule type="cellIs" dxfId="0" priority="736" operator="lessThan">
      <formula>20</formula>
    </cfRule>
    <cfRule type="cellIs" dxfId="1" priority="488" operator="greaterThan">
      <formula>120</formula>
    </cfRule>
    <cfRule type="containsText" dxfId="2" priority="240" operator="between" text="库存为">
      <formula>NOT(ISERROR(SEARCH("库存为",AU14)))</formula>
    </cfRule>
  </conditionalFormatting>
  <conditionalFormatting sqref="AU15">
    <cfRule type="cellIs" dxfId="0" priority="735" operator="lessThan">
      <formula>20</formula>
    </cfRule>
    <cfRule type="cellIs" dxfId="1" priority="487" operator="greaterThan">
      <formula>120</formula>
    </cfRule>
    <cfRule type="containsText" dxfId="2" priority="239" operator="between" text="库存为">
      <formula>NOT(ISERROR(SEARCH("库存为",AU15)))</formula>
    </cfRule>
  </conditionalFormatting>
  <conditionalFormatting sqref="AU16">
    <cfRule type="cellIs" dxfId="0" priority="734" operator="lessThan">
      <formula>20</formula>
    </cfRule>
    <cfRule type="cellIs" dxfId="1" priority="486" operator="greaterThan">
      <formula>120</formula>
    </cfRule>
    <cfRule type="containsText" dxfId="2" priority="238" operator="between" text="库存为">
      <formula>NOT(ISERROR(SEARCH("库存为",AU16)))</formula>
    </cfRule>
  </conditionalFormatting>
  <conditionalFormatting sqref="AU17">
    <cfRule type="cellIs" dxfId="0" priority="733" operator="lessThan">
      <formula>20</formula>
    </cfRule>
    <cfRule type="cellIs" dxfId="1" priority="485" operator="greaterThan">
      <formula>120</formula>
    </cfRule>
    <cfRule type="containsText" dxfId="2" priority="237" operator="between" text="库存为">
      <formula>NOT(ISERROR(SEARCH("库存为",AU17)))</formula>
    </cfRule>
  </conditionalFormatting>
  <conditionalFormatting sqref="AU18">
    <cfRule type="cellIs" dxfId="0" priority="732" operator="lessThan">
      <formula>20</formula>
    </cfRule>
    <cfRule type="cellIs" dxfId="1" priority="484" operator="greaterThan">
      <formula>120</formula>
    </cfRule>
    <cfRule type="containsText" dxfId="2" priority="236" operator="between" text="库存为">
      <formula>NOT(ISERROR(SEARCH("库存为",AU18)))</formula>
    </cfRule>
  </conditionalFormatting>
  <conditionalFormatting sqref="AU19">
    <cfRule type="cellIs" dxfId="0" priority="731" operator="lessThan">
      <formula>20</formula>
    </cfRule>
    <cfRule type="cellIs" dxfId="1" priority="483" operator="greaterThan">
      <formula>120</formula>
    </cfRule>
    <cfRule type="containsText" dxfId="2" priority="235" operator="between" text="库存为">
      <formula>NOT(ISERROR(SEARCH("库存为",AU19)))</formula>
    </cfRule>
  </conditionalFormatting>
  <conditionalFormatting sqref="AU20">
    <cfRule type="cellIs" dxfId="0" priority="730" operator="lessThan">
      <formula>20</formula>
    </cfRule>
    <cfRule type="cellIs" dxfId="1" priority="482" operator="greaterThan">
      <formula>120</formula>
    </cfRule>
    <cfRule type="containsText" dxfId="2" priority="234" operator="between" text="库存为">
      <formula>NOT(ISERROR(SEARCH("库存为",AU20)))</formula>
    </cfRule>
  </conditionalFormatting>
  <conditionalFormatting sqref="AU21">
    <cfRule type="cellIs" dxfId="0" priority="729" operator="lessThan">
      <formula>20</formula>
    </cfRule>
    <cfRule type="cellIs" dxfId="1" priority="481" operator="greaterThan">
      <formula>120</formula>
    </cfRule>
    <cfRule type="containsText" dxfId="2" priority="233" operator="between" text="库存为">
      <formula>NOT(ISERROR(SEARCH("库存为",AU21)))</formula>
    </cfRule>
  </conditionalFormatting>
  <conditionalFormatting sqref="AU22">
    <cfRule type="cellIs" dxfId="0" priority="728" operator="lessThan">
      <formula>20</formula>
    </cfRule>
    <cfRule type="cellIs" dxfId="1" priority="480" operator="greaterThan">
      <formula>120</formula>
    </cfRule>
    <cfRule type="containsText" dxfId="2" priority="232" operator="between" text="库存为">
      <formula>NOT(ISERROR(SEARCH("库存为",AU22)))</formula>
    </cfRule>
  </conditionalFormatting>
  <conditionalFormatting sqref="AU23">
    <cfRule type="cellIs" dxfId="0" priority="727" operator="lessThan">
      <formula>20</formula>
    </cfRule>
    <cfRule type="cellIs" dxfId="1" priority="479" operator="greaterThan">
      <formula>120</formula>
    </cfRule>
    <cfRule type="containsText" dxfId="2" priority="231" operator="between" text="库存为">
      <formula>NOT(ISERROR(SEARCH("库存为",AU23)))</formula>
    </cfRule>
  </conditionalFormatting>
  <conditionalFormatting sqref="AU24">
    <cfRule type="cellIs" dxfId="0" priority="726" operator="lessThan">
      <formula>20</formula>
    </cfRule>
    <cfRule type="cellIs" dxfId="1" priority="478" operator="greaterThan">
      <formula>120</formula>
    </cfRule>
    <cfRule type="containsText" dxfId="2" priority="230" operator="between" text="库存为">
      <formula>NOT(ISERROR(SEARCH("库存为",AU24)))</formula>
    </cfRule>
  </conditionalFormatting>
  <conditionalFormatting sqref="AU25">
    <cfRule type="cellIs" dxfId="0" priority="725" operator="lessThan">
      <formula>20</formula>
    </cfRule>
    <cfRule type="cellIs" dxfId="1" priority="477" operator="greaterThan">
      <formula>120</formula>
    </cfRule>
    <cfRule type="containsText" dxfId="2" priority="229" operator="between" text="库存为">
      <formula>NOT(ISERROR(SEARCH("库存为",AU25)))</formula>
    </cfRule>
  </conditionalFormatting>
  <conditionalFormatting sqref="AU26">
    <cfRule type="cellIs" dxfId="0" priority="724" operator="lessThan">
      <formula>20</formula>
    </cfRule>
    <cfRule type="cellIs" dxfId="1" priority="476" operator="greaterThan">
      <formula>120</formula>
    </cfRule>
    <cfRule type="containsText" dxfId="2" priority="228" operator="between" text="库存为">
      <formula>NOT(ISERROR(SEARCH("库存为",AU26)))</formula>
    </cfRule>
  </conditionalFormatting>
  <conditionalFormatting sqref="AU27">
    <cfRule type="cellIs" dxfId="0" priority="723" operator="lessThan">
      <formula>20</formula>
    </cfRule>
    <cfRule type="cellIs" dxfId="1" priority="475" operator="greaterThan">
      <formula>120</formula>
    </cfRule>
    <cfRule type="containsText" dxfId="2" priority="227" operator="between" text="库存为">
      <formula>NOT(ISERROR(SEARCH("库存为",AU27)))</formula>
    </cfRule>
  </conditionalFormatting>
  <conditionalFormatting sqref="AU28">
    <cfRule type="cellIs" dxfId="0" priority="722" operator="lessThan">
      <formula>20</formula>
    </cfRule>
    <cfRule type="cellIs" dxfId="1" priority="474" operator="greaterThan">
      <formula>120</formula>
    </cfRule>
    <cfRule type="containsText" dxfId="2" priority="226" operator="between" text="库存为">
      <formula>NOT(ISERROR(SEARCH("库存为",AU28)))</formula>
    </cfRule>
  </conditionalFormatting>
  <conditionalFormatting sqref="AU29">
    <cfRule type="cellIs" dxfId="0" priority="721" operator="lessThan">
      <formula>20</formula>
    </cfRule>
    <cfRule type="cellIs" dxfId="1" priority="473" operator="greaterThan">
      <formula>120</formula>
    </cfRule>
    <cfRule type="containsText" dxfId="2" priority="225" operator="between" text="库存为">
      <formula>NOT(ISERROR(SEARCH("库存为",AU29)))</formula>
    </cfRule>
  </conditionalFormatting>
  <conditionalFormatting sqref="AU30">
    <cfRule type="cellIs" dxfId="0" priority="720" operator="lessThan">
      <formula>20</formula>
    </cfRule>
    <cfRule type="cellIs" dxfId="1" priority="472" operator="greaterThan">
      <formula>120</formula>
    </cfRule>
    <cfRule type="containsText" dxfId="2" priority="224" operator="between" text="库存为">
      <formula>NOT(ISERROR(SEARCH("库存为",AU30)))</formula>
    </cfRule>
  </conditionalFormatting>
  <conditionalFormatting sqref="AU31">
    <cfRule type="cellIs" dxfId="0" priority="719" operator="lessThan">
      <formula>20</formula>
    </cfRule>
    <cfRule type="cellIs" dxfId="1" priority="471" operator="greaterThan">
      <formula>120</formula>
    </cfRule>
    <cfRule type="containsText" dxfId="2" priority="223" operator="between" text="库存为">
      <formula>NOT(ISERROR(SEARCH("库存为",AU31)))</formula>
    </cfRule>
  </conditionalFormatting>
  <conditionalFormatting sqref="AU32">
    <cfRule type="cellIs" dxfId="0" priority="718" operator="lessThan">
      <formula>20</formula>
    </cfRule>
    <cfRule type="cellIs" dxfId="1" priority="470" operator="greaterThan">
      <formula>120</formula>
    </cfRule>
    <cfRule type="containsText" dxfId="2" priority="222" operator="between" text="库存为">
      <formula>NOT(ISERROR(SEARCH("库存为",AU32)))</formula>
    </cfRule>
  </conditionalFormatting>
  <conditionalFormatting sqref="AU33">
    <cfRule type="cellIs" dxfId="0" priority="717" operator="lessThan">
      <formula>20</formula>
    </cfRule>
    <cfRule type="cellIs" dxfId="1" priority="469" operator="greaterThan">
      <formula>120</formula>
    </cfRule>
    <cfRule type="containsText" dxfId="2" priority="221" operator="between" text="库存为">
      <formula>NOT(ISERROR(SEARCH("库存为",AU33)))</formula>
    </cfRule>
  </conditionalFormatting>
  <conditionalFormatting sqref="AU34">
    <cfRule type="cellIs" dxfId="0" priority="716" operator="lessThan">
      <formula>20</formula>
    </cfRule>
    <cfRule type="cellIs" dxfId="1" priority="468" operator="greaterThan">
      <formula>120</formula>
    </cfRule>
    <cfRule type="containsText" dxfId="2" priority="220" operator="between" text="库存为">
      <formula>NOT(ISERROR(SEARCH("库存为",AU34)))</formula>
    </cfRule>
  </conditionalFormatting>
  <conditionalFormatting sqref="AU35">
    <cfRule type="cellIs" dxfId="0" priority="715" operator="lessThan">
      <formula>20</formula>
    </cfRule>
    <cfRule type="cellIs" dxfId="1" priority="467" operator="greaterThan">
      <formula>120</formula>
    </cfRule>
    <cfRule type="containsText" dxfId="2" priority="219" operator="between" text="库存为">
      <formula>NOT(ISERROR(SEARCH("库存为",AU35)))</formula>
    </cfRule>
  </conditionalFormatting>
  <conditionalFormatting sqref="AU36">
    <cfRule type="cellIs" dxfId="0" priority="714" operator="lessThan">
      <formula>20</formula>
    </cfRule>
    <cfRule type="cellIs" dxfId="1" priority="466" operator="greaterThan">
      <formula>120</formula>
    </cfRule>
    <cfRule type="containsText" dxfId="2" priority="218" operator="between" text="库存为">
      <formula>NOT(ISERROR(SEARCH("库存为",AU36)))</formula>
    </cfRule>
  </conditionalFormatting>
  <conditionalFormatting sqref="AU37">
    <cfRule type="cellIs" dxfId="0" priority="713" operator="lessThan">
      <formula>20</formula>
    </cfRule>
    <cfRule type="cellIs" dxfId="1" priority="465" operator="greaterThan">
      <formula>120</formula>
    </cfRule>
    <cfRule type="containsText" dxfId="2" priority="217" operator="between" text="库存为">
      <formula>NOT(ISERROR(SEARCH("库存为",AU37)))</formula>
    </cfRule>
  </conditionalFormatting>
  <conditionalFormatting sqref="AU38">
    <cfRule type="cellIs" dxfId="0" priority="712" operator="lessThan">
      <formula>20</formula>
    </cfRule>
    <cfRule type="cellIs" dxfId="1" priority="464" operator="greaterThan">
      <formula>120</formula>
    </cfRule>
    <cfRule type="containsText" dxfId="2" priority="216" operator="between" text="库存为">
      <formula>NOT(ISERROR(SEARCH("库存为",AU38)))</formula>
    </cfRule>
  </conditionalFormatting>
  <conditionalFormatting sqref="AU39">
    <cfRule type="cellIs" dxfId="0" priority="711" operator="lessThan">
      <formula>20</formula>
    </cfRule>
    <cfRule type="cellIs" dxfId="1" priority="463" operator="greaterThan">
      <formula>120</formula>
    </cfRule>
    <cfRule type="containsText" dxfId="2" priority="215" operator="between" text="库存为">
      <formula>NOT(ISERROR(SEARCH("库存为",AU39)))</formula>
    </cfRule>
  </conditionalFormatting>
  <conditionalFormatting sqref="AU40">
    <cfRule type="cellIs" dxfId="0" priority="710" operator="lessThan">
      <formula>20</formula>
    </cfRule>
    <cfRule type="cellIs" dxfId="1" priority="462" operator="greaterThan">
      <formula>120</formula>
    </cfRule>
    <cfRule type="containsText" dxfId="2" priority="214" operator="between" text="库存为">
      <formula>NOT(ISERROR(SEARCH("库存为",AU40)))</formula>
    </cfRule>
  </conditionalFormatting>
  <conditionalFormatting sqref="AU41">
    <cfRule type="cellIs" dxfId="0" priority="709" operator="lessThan">
      <formula>20</formula>
    </cfRule>
    <cfRule type="cellIs" dxfId="1" priority="461" operator="greaterThan">
      <formula>120</formula>
    </cfRule>
    <cfRule type="containsText" dxfId="2" priority="213" operator="between" text="库存为">
      <formula>NOT(ISERROR(SEARCH("库存为",AU41)))</formula>
    </cfRule>
  </conditionalFormatting>
  <conditionalFormatting sqref="AU42">
    <cfRule type="cellIs" dxfId="0" priority="708" operator="lessThan">
      <formula>20</formula>
    </cfRule>
    <cfRule type="cellIs" dxfId="1" priority="460" operator="greaterThan">
      <formula>120</formula>
    </cfRule>
    <cfRule type="containsText" dxfId="2" priority="212" operator="between" text="库存为">
      <formula>NOT(ISERROR(SEARCH("库存为",AU42)))</formula>
    </cfRule>
  </conditionalFormatting>
  <conditionalFormatting sqref="AU43">
    <cfRule type="cellIs" dxfId="0" priority="707" operator="lessThan">
      <formula>20</formula>
    </cfRule>
    <cfRule type="cellIs" dxfId="1" priority="459" operator="greaterThan">
      <formula>120</formula>
    </cfRule>
    <cfRule type="containsText" dxfId="2" priority="211" operator="between" text="库存为">
      <formula>NOT(ISERROR(SEARCH("库存为",AU43)))</formula>
    </cfRule>
  </conditionalFormatting>
  <conditionalFormatting sqref="AU44">
    <cfRule type="cellIs" dxfId="0" priority="706" operator="lessThan">
      <formula>20</formula>
    </cfRule>
    <cfRule type="cellIs" dxfId="1" priority="458" operator="greaterThan">
      <formula>120</formula>
    </cfRule>
    <cfRule type="containsText" dxfId="2" priority="210" operator="between" text="库存为">
      <formula>NOT(ISERROR(SEARCH("库存为",AU44)))</formula>
    </cfRule>
  </conditionalFormatting>
  <conditionalFormatting sqref="AU45">
    <cfRule type="cellIs" dxfId="0" priority="705" operator="lessThan">
      <formula>20</formula>
    </cfRule>
    <cfRule type="cellIs" dxfId="1" priority="457" operator="greaterThan">
      <formula>120</formula>
    </cfRule>
    <cfRule type="containsText" dxfId="2" priority="209" operator="between" text="库存为">
      <formula>NOT(ISERROR(SEARCH("库存为",AU45)))</formula>
    </cfRule>
  </conditionalFormatting>
  <conditionalFormatting sqref="AU46">
    <cfRule type="cellIs" dxfId="0" priority="704" operator="lessThan">
      <formula>20</formula>
    </cfRule>
    <cfRule type="cellIs" dxfId="1" priority="456" operator="greaterThan">
      <formula>120</formula>
    </cfRule>
    <cfRule type="containsText" dxfId="2" priority="208" operator="between" text="库存为">
      <formula>NOT(ISERROR(SEARCH("库存为",AU46)))</formula>
    </cfRule>
  </conditionalFormatting>
  <conditionalFormatting sqref="AU47">
    <cfRule type="cellIs" dxfId="0" priority="703" operator="lessThan">
      <formula>20</formula>
    </cfRule>
    <cfRule type="cellIs" dxfId="1" priority="455" operator="greaterThan">
      <formula>120</formula>
    </cfRule>
    <cfRule type="containsText" dxfId="2" priority="207" operator="between" text="库存为">
      <formula>NOT(ISERROR(SEARCH("库存为",AU47)))</formula>
    </cfRule>
  </conditionalFormatting>
  <conditionalFormatting sqref="AU48">
    <cfRule type="cellIs" dxfId="0" priority="702" operator="lessThan">
      <formula>20</formula>
    </cfRule>
    <cfRule type="cellIs" dxfId="1" priority="454" operator="greaterThan">
      <formula>120</formula>
    </cfRule>
    <cfRule type="containsText" dxfId="2" priority="206" operator="between" text="库存为">
      <formula>NOT(ISERROR(SEARCH("库存为",AU48)))</formula>
    </cfRule>
  </conditionalFormatting>
  <conditionalFormatting sqref="AU49">
    <cfRule type="cellIs" dxfId="0" priority="701" operator="lessThan">
      <formula>20</formula>
    </cfRule>
    <cfRule type="cellIs" dxfId="1" priority="453" operator="greaterThan">
      <formula>120</formula>
    </cfRule>
    <cfRule type="containsText" dxfId="2" priority="205" operator="between" text="库存为">
      <formula>NOT(ISERROR(SEARCH("库存为",AU49)))</formula>
    </cfRule>
  </conditionalFormatting>
  <conditionalFormatting sqref="AU50">
    <cfRule type="cellIs" dxfId="0" priority="700" operator="lessThan">
      <formula>20</formula>
    </cfRule>
    <cfRule type="cellIs" dxfId="1" priority="452" operator="greaterThan">
      <formula>120</formula>
    </cfRule>
    <cfRule type="containsText" dxfId="2" priority="204" operator="between" text="库存为">
      <formula>NOT(ISERROR(SEARCH("库存为",AU50)))</formula>
    </cfRule>
  </conditionalFormatting>
  <conditionalFormatting sqref="AU51">
    <cfRule type="cellIs" dxfId="0" priority="699" operator="lessThan">
      <formula>20</formula>
    </cfRule>
    <cfRule type="cellIs" dxfId="1" priority="451" operator="greaterThan">
      <formula>120</formula>
    </cfRule>
    <cfRule type="containsText" dxfId="2" priority="203" operator="between" text="库存为">
      <formula>NOT(ISERROR(SEARCH("库存为",AU51)))</formula>
    </cfRule>
  </conditionalFormatting>
  <conditionalFormatting sqref="AU52">
    <cfRule type="cellIs" dxfId="0" priority="698" operator="lessThan">
      <formula>20</formula>
    </cfRule>
    <cfRule type="cellIs" dxfId="1" priority="450" operator="greaterThan">
      <formula>120</formula>
    </cfRule>
    <cfRule type="containsText" dxfId="2" priority="202" operator="between" text="库存为">
      <formula>NOT(ISERROR(SEARCH("库存为",AU52)))</formula>
    </cfRule>
  </conditionalFormatting>
  <conditionalFormatting sqref="AU53">
    <cfRule type="cellIs" dxfId="0" priority="697" operator="lessThan">
      <formula>20</formula>
    </cfRule>
    <cfRule type="cellIs" dxfId="1" priority="449" operator="greaterThan">
      <formula>120</formula>
    </cfRule>
    <cfRule type="containsText" dxfId="2" priority="201" operator="between" text="库存为">
      <formula>NOT(ISERROR(SEARCH("库存为",AU53)))</formula>
    </cfRule>
  </conditionalFormatting>
  <conditionalFormatting sqref="AU54">
    <cfRule type="cellIs" dxfId="0" priority="696" operator="lessThan">
      <formula>20</formula>
    </cfRule>
    <cfRule type="cellIs" dxfId="1" priority="448" operator="greaterThan">
      <formula>120</formula>
    </cfRule>
    <cfRule type="containsText" dxfId="2" priority="200" operator="between" text="库存为">
      <formula>NOT(ISERROR(SEARCH("库存为",AU54)))</formula>
    </cfRule>
  </conditionalFormatting>
  <conditionalFormatting sqref="AU55">
    <cfRule type="cellIs" dxfId="0" priority="695" operator="lessThan">
      <formula>20</formula>
    </cfRule>
    <cfRule type="cellIs" dxfId="1" priority="447" operator="greaterThan">
      <formula>120</formula>
    </cfRule>
    <cfRule type="containsText" dxfId="2" priority="199" operator="between" text="库存为">
      <formula>NOT(ISERROR(SEARCH("库存为",AU55)))</formula>
    </cfRule>
  </conditionalFormatting>
  <conditionalFormatting sqref="AU56">
    <cfRule type="cellIs" dxfId="0" priority="694" operator="lessThan">
      <formula>20</formula>
    </cfRule>
    <cfRule type="cellIs" dxfId="1" priority="446" operator="greaterThan">
      <formula>120</formula>
    </cfRule>
    <cfRule type="containsText" dxfId="2" priority="198" operator="between" text="库存为">
      <formula>NOT(ISERROR(SEARCH("库存为",AU56)))</formula>
    </cfRule>
  </conditionalFormatting>
  <conditionalFormatting sqref="AU57">
    <cfRule type="cellIs" dxfId="0" priority="693" operator="lessThan">
      <formula>20</formula>
    </cfRule>
    <cfRule type="cellIs" dxfId="1" priority="445" operator="greaterThan">
      <formula>120</formula>
    </cfRule>
    <cfRule type="containsText" dxfId="2" priority="197" operator="between" text="库存为">
      <formula>NOT(ISERROR(SEARCH("库存为",AU57)))</formula>
    </cfRule>
  </conditionalFormatting>
  <conditionalFormatting sqref="AU58">
    <cfRule type="cellIs" dxfId="0" priority="692" operator="lessThan">
      <formula>20</formula>
    </cfRule>
    <cfRule type="cellIs" dxfId="1" priority="444" operator="greaterThan">
      <formula>120</formula>
    </cfRule>
    <cfRule type="containsText" dxfId="2" priority="196" operator="between" text="库存为">
      <formula>NOT(ISERROR(SEARCH("库存为",AU58)))</formula>
    </cfRule>
  </conditionalFormatting>
  <conditionalFormatting sqref="AU59">
    <cfRule type="cellIs" dxfId="0" priority="691" operator="lessThan">
      <formula>20</formula>
    </cfRule>
    <cfRule type="cellIs" dxfId="1" priority="443" operator="greaterThan">
      <formula>120</formula>
    </cfRule>
    <cfRule type="containsText" dxfId="2" priority="195" operator="between" text="库存为">
      <formula>NOT(ISERROR(SEARCH("库存为",AU59)))</formula>
    </cfRule>
  </conditionalFormatting>
  <conditionalFormatting sqref="AU60">
    <cfRule type="cellIs" dxfId="0" priority="690" operator="lessThan">
      <formula>20</formula>
    </cfRule>
    <cfRule type="cellIs" dxfId="1" priority="442" operator="greaterThan">
      <formula>120</formula>
    </cfRule>
    <cfRule type="containsText" dxfId="2" priority="194" operator="between" text="库存为">
      <formula>NOT(ISERROR(SEARCH("库存为",AU60)))</formula>
    </cfRule>
  </conditionalFormatting>
  <conditionalFormatting sqref="AU61">
    <cfRule type="cellIs" dxfId="0" priority="689" operator="lessThan">
      <formula>20</formula>
    </cfRule>
    <cfRule type="cellIs" dxfId="1" priority="441" operator="greaterThan">
      <formula>120</formula>
    </cfRule>
    <cfRule type="containsText" dxfId="2" priority="193" operator="between" text="库存为">
      <formula>NOT(ISERROR(SEARCH("库存为",AU61)))</formula>
    </cfRule>
  </conditionalFormatting>
  <conditionalFormatting sqref="AU62">
    <cfRule type="cellIs" dxfId="0" priority="688" operator="lessThan">
      <formula>20</formula>
    </cfRule>
    <cfRule type="cellIs" dxfId="1" priority="440" operator="greaterThan">
      <formula>120</formula>
    </cfRule>
    <cfRule type="containsText" dxfId="2" priority="192" operator="between" text="库存为">
      <formula>NOT(ISERROR(SEARCH("库存为",AU62)))</formula>
    </cfRule>
  </conditionalFormatting>
  <conditionalFormatting sqref="AU63">
    <cfRule type="cellIs" dxfId="0" priority="687" operator="lessThan">
      <formula>20</formula>
    </cfRule>
    <cfRule type="cellIs" dxfId="1" priority="439" operator="greaterThan">
      <formula>120</formula>
    </cfRule>
    <cfRule type="containsText" dxfId="2" priority="191" operator="between" text="库存为">
      <formula>NOT(ISERROR(SEARCH("库存为",AU63)))</formula>
    </cfRule>
  </conditionalFormatting>
  <conditionalFormatting sqref="AU64">
    <cfRule type="cellIs" dxfId="0" priority="686" operator="lessThan">
      <formula>20</formula>
    </cfRule>
    <cfRule type="cellIs" dxfId="1" priority="438" operator="greaterThan">
      <formula>120</formula>
    </cfRule>
    <cfRule type="containsText" dxfId="2" priority="190" operator="between" text="库存为">
      <formula>NOT(ISERROR(SEARCH("库存为",AU64)))</formula>
    </cfRule>
  </conditionalFormatting>
  <conditionalFormatting sqref="AU65">
    <cfRule type="cellIs" dxfId="0" priority="685" operator="lessThan">
      <formula>20</formula>
    </cfRule>
    <cfRule type="cellIs" dxfId="1" priority="437" operator="greaterThan">
      <formula>120</formula>
    </cfRule>
    <cfRule type="containsText" dxfId="2" priority="189" operator="between" text="库存为">
      <formula>NOT(ISERROR(SEARCH("库存为",AU65)))</formula>
    </cfRule>
  </conditionalFormatting>
  <conditionalFormatting sqref="AU66">
    <cfRule type="cellIs" dxfId="0" priority="684" operator="lessThan">
      <formula>20</formula>
    </cfRule>
    <cfRule type="cellIs" dxfId="1" priority="436" operator="greaterThan">
      <formula>120</formula>
    </cfRule>
    <cfRule type="containsText" dxfId="2" priority="188" operator="between" text="库存为">
      <formula>NOT(ISERROR(SEARCH("库存为",AU66)))</formula>
    </cfRule>
  </conditionalFormatting>
  <conditionalFormatting sqref="AU67">
    <cfRule type="cellIs" dxfId="0" priority="683" operator="lessThan">
      <formula>20</formula>
    </cfRule>
    <cfRule type="cellIs" dxfId="1" priority="435" operator="greaterThan">
      <formula>120</formula>
    </cfRule>
    <cfRule type="containsText" dxfId="2" priority="187" operator="between" text="库存为">
      <formula>NOT(ISERROR(SEARCH("库存为",AU67)))</formula>
    </cfRule>
  </conditionalFormatting>
  <conditionalFormatting sqref="AU68">
    <cfRule type="cellIs" dxfId="0" priority="682" operator="lessThan">
      <formula>20</formula>
    </cfRule>
    <cfRule type="cellIs" dxfId="1" priority="434" operator="greaterThan">
      <formula>120</formula>
    </cfRule>
    <cfRule type="containsText" dxfId="2" priority="186" operator="between" text="库存为">
      <formula>NOT(ISERROR(SEARCH("库存为",AU68)))</formula>
    </cfRule>
  </conditionalFormatting>
  <conditionalFormatting sqref="AU69">
    <cfRule type="cellIs" dxfId="0" priority="681" operator="lessThan">
      <formula>20</formula>
    </cfRule>
    <cfRule type="cellIs" dxfId="1" priority="433" operator="greaterThan">
      <formula>120</formula>
    </cfRule>
    <cfRule type="containsText" dxfId="2" priority="185" operator="between" text="库存为">
      <formula>NOT(ISERROR(SEARCH("库存为",AU69)))</formula>
    </cfRule>
  </conditionalFormatting>
  <conditionalFormatting sqref="AU70">
    <cfRule type="cellIs" dxfId="0" priority="680" operator="lessThan">
      <formula>20</formula>
    </cfRule>
    <cfRule type="cellIs" dxfId="1" priority="432" operator="greaterThan">
      <formula>120</formula>
    </cfRule>
    <cfRule type="containsText" dxfId="2" priority="184" operator="between" text="库存为">
      <formula>NOT(ISERROR(SEARCH("库存为",AU70)))</formula>
    </cfRule>
  </conditionalFormatting>
  <conditionalFormatting sqref="AU71">
    <cfRule type="cellIs" dxfId="0" priority="679" operator="lessThan">
      <formula>20</formula>
    </cfRule>
    <cfRule type="cellIs" dxfId="1" priority="431" operator="greaterThan">
      <formula>120</formula>
    </cfRule>
    <cfRule type="containsText" dxfId="2" priority="183" operator="between" text="库存为">
      <formula>NOT(ISERROR(SEARCH("库存为",AU71)))</formula>
    </cfRule>
  </conditionalFormatting>
  <conditionalFormatting sqref="AU72">
    <cfRule type="cellIs" dxfId="0" priority="678" operator="lessThan">
      <formula>20</formula>
    </cfRule>
    <cfRule type="cellIs" dxfId="1" priority="430" operator="greaterThan">
      <formula>120</formula>
    </cfRule>
    <cfRule type="containsText" dxfId="2" priority="182" operator="between" text="库存为">
      <formula>NOT(ISERROR(SEARCH("库存为",AU72)))</formula>
    </cfRule>
  </conditionalFormatting>
  <conditionalFormatting sqref="AU73">
    <cfRule type="cellIs" dxfId="0" priority="677" operator="lessThan">
      <formula>20</formula>
    </cfRule>
    <cfRule type="cellIs" dxfId="1" priority="429" operator="greaterThan">
      <formula>120</formula>
    </cfRule>
    <cfRule type="containsText" dxfId="2" priority="181" operator="between" text="库存为">
      <formula>NOT(ISERROR(SEARCH("库存为",AU73)))</formula>
    </cfRule>
  </conditionalFormatting>
  <conditionalFormatting sqref="AU74">
    <cfRule type="cellIs" dxfId="0" priority="676" operator="lessThan">
      <formula>20</formula>
    </cfRule>
    <cfRule type="cellIs" dxfId="1" priority="428" operator="greaterThan">
      <formula>120</formula>
    </cfRule>
    <cfRule type="containsText" dxfId="2" priority="180" operator="between" text="库存为">
      <formula>NOT(ISERROR(SEARCH("库存为",AU74)))</formula>
    </cfRule>
  </conditionalFormatting>
  <conditionalFormatting sqref="AU75">
    <cfRule type="cellIs" dxfId="0" priority="675" operator="lessThan">
      <formula>20</formula>
    </cfRule>
    <cfRule type="cellIs" dxfId="1" priority="427" operator="greaterThan">
      <formula>120</formula>
    </cfRule>
    <cfRule type="containsText" dxfId="2" priority="179" operator="between" text="库存为">
      <formula>NOT(ISERROR(SEARCH("库存为",AU75)))</formula>
    </cfRule>
  </conditionalFormatting>
  <conditionalFormatting sqref="AU76">
    <cfRule type="cellIs" dxfId="0" priority="674" operator="lessThan">
      <formula>20</formula>
    </cfRule>
    <cfRule type="cellIs" dxfId="1" priority="426" operator="greaterThan">
      <formula>120</formula>
    </cfRule>
    <cfRule type="containsText" dxfId="2" priority="178" operator="between" text="库存为">
      <formula>NOT(ISERROR(SEARCH("库存为",AU76)))</formula>
    </cfRule>
  </conditionalFormatting>
  <conditionalFormatting sqref="AU77">
    <cfRule type="cellIs" dxfId="0" priority="673" operator="lessThan">
      <formula>20</formula>
    </cfRule>
    <cfRule type="cellIs" dxfId="1" priority="425" operator="greaterThan">
      <formula>120</formula>
    </cfRule>
    <cfRule type="containsText" dxfId="2" priority="177" operator="between" text="库存为">
      <formula>NOT(ISERROR(SEARCH("库存为",AU77)))</formula>
    </cfRule>
  </conditionalFormatting>
  <conditionalFormatting sqref="AU78">
    <cfRule type="cellIs" dxfId="0" priority="672" operator="lessThan">
      <formula>20</formula>
    </cfRule>
    <cfRule type="cellIs" dxfId="1" priority="424" operator="greaterThan">
      <formula>120</formula>
    </cfRule>
    <cfRule type="containsText" dxfId="2" priority="176" operator="between" text="库存为">
      <formula>NOT(ISERROR(SEARCH("库存为",AU78)))</formula>
    </cfRule>
  </conditionalFormatting>
  <conditionalFormatting sqref="AU79">
    <cfRule type="cellIs" dxfId="0" priority="671" operator="lessThan">
      <formula>20</formula>
    </cfRule>
    <cfRule type="cellIs" dxfId="1" priority="423" operator="greaterThan">
      <formula>120</formula>
    </cfRule>
    <cfRule type="containsText" dxfId="2" priority="175" operator="between" text="库存为">
      <formula>NOT(ISERROR(SEARCH("库存为",AU79)))</formula>
    </cfRule>
  </conditionalFormatting>
  <conditionalFormatting sqref="AU80">
    <cfRule type="cellIs" dxfId="0" priority="670" operator="lessThan">
      <formula>20</formula>
    </cfRule>
    <cfRule type="cellIs" dxfId="1" priority="422" operator="greaterThan">
      <formula>120</formula>
    </cfRule>
    <cfRule type="containsText" dxfId="2" priority="174" operator="between" text="库存为">
      <formula>NOT(ISERROR(SEARCH("库存为",AU80)))</formula>
    </cfRule>
  </conditionalFormatting>
  <conditionalFormatting sqref="AU81">
    <cfRule type="cellIs" dxfId="0" priority="669" operator="lessThan">
      <formula>20</formula>
    </cfRule>
    <cfRule type="cellIs" dxfId="1" priority="421" operator="greaterThan">
      <formula>120</formula>
    </cfRule>
    <cfRule type="containsText" dxfId="2" priority="173" operator="between" text="库存为">
      <formula>NOT(ISERROR(SEARCH("库存为",AU81)))</formula>
    </cfRule>
  </conditionalFormatting>
  <conditionalFormatting sqref="AU82">
    <cfRule type="cellIs" dxfId="0" priority="668" operator="lessThan">
      <formula>20</formula>
    </cfRule>
    <cfRule type="cellIs" dxfId="1" priority="420" operator="greaterThan">
      <formula>120</formula>
    </cfRule>
    <cfRule type="containsText" dxfId="2" priority="172" operator="between" text="库存为">
      <formula>NOT(ISERROR(SEARCH("库存为",AU82)))</formula>
    </cfRule>
  </conditionalFormatting>
  <conditionalFormatting sqref="AU83">
    <cfRule type="cellIs" dxfId="0" priority="667" operator="lessThan">
      <formula>20</formula>
    </cfRule>
    <cfRule type="cellIs" dxfId="1" priority="419" operator="greaterThan">
      <formula>120</formula>
    </cfRule>
    <cfRule type="containsText" dxfId="2" priority="171" operator="between" text="库存为">
      <formula>NOT(ISERROR(SEARCH("库存为",AU83)))</formula>
    </cfRule>
  </conditionalFormatting>
  <conditionalFormatting sqref="AU84">
    <cfRule type="cellIs" dxfId="0" priority="666" operator="lessThan">
      <formula>20</formula>
    </cfRule>
    <cfRule type="cellIs" dxfId="1" priority="418" operator="greaterThan">
      <formula>120</formula>
    </cfRule>
    <cfRule type="containsText" dxfId="2" priority="170" operator="between" text="库存为">
      <formula>NOT(ISERROR(SEARCH("库存为",AU84)))</formula>
    </cfRule>
  </conditionalFormatting>
  <conditionalFormatting sqref="AU85">
    <cfRule type="cellIs" dxfId="0" priority="665" operator="lessThan">
      <formula>20</formula>
    </cfRule>
    <cfRule type="cellIs" dxfId="1" priority="417" operator="greaterThan">
      <formula>120</formula>
    </cfRule>
    <cfRule type="containsText" dxfId="2" priority="169" operator="between" text="库存为">
      <formula>NOT(ISERROR(SEARCH("库存为",AU85)))</formula>
    </cfRule>
  </conditionalFormatting>
  <conditionalFormatting sqref="AU86">
    <cfRule type="cellIs" dxfId="0" priority="664" operator="lessThan">
      <formula>20</formula>
    </cfRule>
    <cfRule type="cellIs" dxfId="1" priority="416" operator="greaterThan">
      <formula>120</formula>
    </cfRule>
    <cfRule type="containsText" dxfId="2" priority="168" operator="between" text="库存为">
      <formula>NOT(ISERROR(SEARCH("库存为",AU86)))</formula>
    </cfRule>
  </conditionalFormatting>
  <conditionalFormatting sqref="AU87">
    <cfRule type="cellIs" dxfId="0" priority="663" operator="lessThan">
      <formula>20</formula>
    </cfRule>
    <cfRule type="cellIs" dxfId="1" priority="415" operator="greaterThan">
      <formula>120</formula>
    </cfRule>
    <cfRule type="containsText" dxfId="2" priority="167" operator="between" text="库存为">
      <formula>NOT(ISERROR(SEARCH("库存为",AU87)))</formula>
    </cfRule>
  </conditionalFormatting>
  <conditionalFormatting sqref="AU88">
    <cfRule type="cellIs" dxfId="0" priority="662" operator="lessThan">
      <formula>20</formula>
    </cfRule>
    <cfRule type="cellIs" dxfId="1" priority="414" operator="greaterThan">
      <formula>120</formula>
    </cfRule>
    <cfRule type="containsText" dxfId="2" priority="166" operator="between" text="库存为">
      <formula>NOT(ISERROR(SEARCH("库存为",AU88)))</formula>
    </cfRule>
  </conditionalFormatting>
  <conditionalFormatting sqref="AU89">
    <cfRule type="cellIs" dxfId="0" priority="661" operator="lessThan">
      <formula>20</formula>
    </cfRule>
    <cfRule type="cellIs" dxfId="1" priority="413" operator="greaterThan">
      <formula>120</formula>
    </cfRule>
    <cfRule type="containsText" dxfId="2" priority="165" operator="between" text="库存为">
      <formula>NOT(ISERROR(SEARCH("库存为",AU89)))</formula>
    </cfRule>
  </conditionalFormatting>
  <conditionalFormatting sqref="AU90">
    <cfRule type="cellIs" dxfId="0" priority="660" operator="lessThan">
      <formula>20</formula>
    </cfRule>
    <cfRule type="cellIs" dxfId="1" priority="412" operator="greaterThan">
      <formula>120</formula>
    </cfRule>
    <cfRule type="containsText" dxfId="2" priority="164" operator="between" text="库存为">
      <formula>NOT(ISERROR(SEARCH("库存为",AU90)))</formula>
    </cfRule>
  </conditionalFormatting>
  <conditionalFormatting sqref="AU91">
    <cfRule type="cellIs" dxfId="0" priority="659" operator="lessThan">
      <formula>20</formula>
    </cfRule>
    <cfRule type="cellIs" dxfId="1" priority="411" operator="greaterThan">
      <formula>120</formula>
    </cfRule>
    <cfRule type="containsText" dxfId="2" priority="163" operator="between" text="库存为">
      <formula>NOT(ISERROR(SEARCH("库存为",AU91)))</formula>
    </cfRule>
  </conditionalFormatting>
  <conditionalFormatting sqref="AU92">
    <cfRule type="cellIs" dxfId="0" priority="658" operator="lessThan">
      <formula>20</formula>
    </cfRule>
    <cfRule type="cellIs" dxfId="1" priority="410" operator="greaterThan">
      <formula>120</formula>
    </cfRule>
    <cfRule type="containsText" dxfId="2" priority="162" operator="between" text="库存为">
      <formula>NOT(ISERROR(SEARCH("库存为",AU92)))</formula>
    </cfRule>
  </conditionalFormatting>
  <conditionalFormatting sqref="AU93">
    <cfRule type="cellIs" dxfId="0" priority="657" operator="lessThan">
      <formula>20</formula>
    </cfRule>
    <cfRule type="cellIs" dxfId="1" priority="409" operator="greaterThan">
      <formula>120</formula>
    </cfRule>
    <cfRule type="containsText" dxfId="2" priority="161" operator="between" text="库存为">
      <formula>NOT(ISERROR(SEARCH("库存为",AU93)))</formula>
    </cfRule>
  </conditionalFormatting>
  <conditionalFormatting sqref="AU94">
    <cfRule type="cellIs" dxfId="0" priority="656" operator="lessThan">
      <formula>20</formula>
    </cfRule>
    <cfRule type="cellIs" dxfId="1" priority="408" operator="greaterThan">
      <formula>120</formula>
    </cfRule>
    <cfRule type="containsText" dxfId="2" priority="160" operator="between" text="库存为">
      <formula>NOT(ISERROR(SEARCH("库存为",AU94)))</formula>
    </cfRule>
  </conditionalFormatting>
  <conditionalFormatting sqref="AU95">
    <cfRule type="cellIs" dxfId="0" priority="655" operator="lessThan">
      <formula>20</formula>
    </cfRule>
    <cfRule type="cellIs" dxfId="1" priority="407" operator="greaterThan">
      <formula>120</formula>
    </cfRule>
    <cfRule type="containsText" dxfId="2" priority="159" operator="between" text="库存为">
      <formula>NOT(ISERROR(SEARCH("库存为",AU95)))</formula>
    </cfRule>
  </conditionalFormatting>
  <conditionalFormatting sqref="AU96">
    <cfRule type="cellIs" dxfId="0" priority="654" operator="lessThan">
      <formula>20</formula>
    </cfRule>
    <cfRule type="cellIs" dxfId="1" priority="406" operator="greaterThan">
      <formula>120</formula>
    </cfRule>
    <cfRule type="containsText" dxfId="2" priority="158" operator="between" text="库存为">
      <formula>NOT(ISERROR(SEARCH("库存为",AU96)))</formula>
    </cfRule>
  </conditionalFormatting>
  <conditionalFormatting sqref="AU97">
    <cfRule type="cellIs" dxfId="0" priority="653" operator="lessThan">
      <formula>20</formula>
    </cfRule>
    <cfRule type="cellIs" dxfId="1" priority="405" operator="greaterThan">
      <formula>120</formula>
    </cfRule>
    <cfRule type="containsText" dxfId="2" priority="157" operator="between" text="库存为">
      <formula>NOT(ISERROR(SEARCH("库存为",AU97)))</formula>
    </cfRule>
  </conditionalFormatting>
  <conditionalFormatting sqref="AU98">
    <cfRule type="cellIs" dxfId="0" priority="652" operator="lessThan">
      <formula>20</formula>
    </cfRule>
    <cfRule type="cellIs" dxfId="1" priority="404" operator="greaterThan">
      <formula>120</formula>
    </cfRule>
    <cfRule type="containsText" dxfId="2" priority="156" operator="between" text="库存为">
      <formula>NOT(ISERROR(SEARCH("库存为",AU98)))</formula>
    </cfRule>
  </conditionalFormatting>
  <conditionalFormatting sqref="AU99">
    <cfRule type="cellIs" dxfId="0" priority="651" operator="lessThan">
      <formula>20</formula>
    </cfRule>
    <cfRule type="cellIs" dxfId="1" priority="403" operator="greaterThan">
      <formula>120</formula>
    </cfRule>
    <cfRule type="containsText" dxfId="2" priority="155" operator="between" text="库存为">
      <formula>NOT(ISERROR(SEARCH("库存为",AU99)))</formula>
    </cfRule>
  </conditionalFormatting>
  <conditionalFormatting sqref="AU100">
    <cfRule type="cellIs" dxfId="0" priority="650" operator="lessThan">
      <formula>20</formula>
    </cfRule>
    <cfRule type="cellIs" dxfId="1" priority="402" operator="greaterThan">
      <formula>120</formula>
    </cfRule>
    <cfRule type="containsText" dxfId="2" priority="154" operator="between" text="库存为">
      <formula>NOT(ISERROR(SEARCH("库存为",AU100)))</formula>
    </cfRule>
  </conditionalFormatting>
  <conditionalFormatting sqref="AU101">
    <cfRule type="cellIs" dxfId="0" priority="649" operator="lessThan">
      <formula>20</formula>
    </cfRule>
    <cfRule type="cellIs" dxfId="1" priority="401" operator="greaterThan">
      <formula>120</formula>
    </cfRule>
    <cfRule type="containsText" dxfId="2" priority="153" operator="between" text="库存为">
      <formula>NOT(ISERROR(SEARCH("库存为",AU101)))</formula>
    </cfRule>
  </conditionalFormatting>
  <conditionalFormatting sqref="AU102">
    <cfRule type="cellIs" dxfId="0" priority="648" operator="lessThan">
      <formula>20</formula>
    </cfRule>
    <cfRule type="cellIs" dxfId="1" priority="400" operator="greaterThan">
      <formula>120</formula>
    </cfRule>
    <cfRule type="containsText" dxfId="2" priority="152" operator="between" text="库存为">
      <formula>NOT(ISERROR(SEARCH("库存为",AU102)))</formula>
    </cfRule>
  </conditionalFormatting>
  <conditionalFormatting sqref="AU103">
    <cfRule type="cellIs" dxfId="0" priority="647" operator="lessThan">
      <formula>20</formula>
    </cfRule>
    <cfRule type="cellIs" dxfId="1" priority="399" operator="greaterThan">
      <formula>120</formula>
    </cfRule>
    <cfRule type="containsText" dxfId="2" priority="151" operator="between" text="库存为">
      <formula>NOT(ISERROR(SEARCH("库存为",AU103)))</formula>
    </cfRule>
  </conditionalFormatting>
  <conditionalFormatting sqref="AU104">
    <cfRule type="cellIs" dxfId="0" priority="646" operator="lessThan">
      <formula>20</formula>
    </cfRule>
    <cfRule type="cellIs" dxfId="1" priority="398" operator="greaterThan">
      <formula>120</formula>
    </cfRule>
    <cfRule type="containsText" dxfId="2" priority="150" operator="between" text="库存为">
      <formula>NOT(ISERROR(SEARCH("库存为",AU104)))</formula>
    </cfRule>
  </conditionalFormatting>
  <conditionalFormatting sqref="AU105">
    <cfRule type="cellIs" dxfId="0" priority="645" operator="lessThan">
      <formula>20</formula>
    </cfRule>
    <cfRule type="cellIs" dxfId="1" priority="397" operator="greaterThan">
      <formula>120</formula>
    </cfRule>
    <cfRule type="containsText" dxfId="2" priority="149" operator="between" text="库存为">
      <formula>NOT(ISERROR(SEARCH("库存为",AU105)))</formula>
    </cfRule>
  </conditionalFormatting>
  <conditionalFormatting sqref="AU106">
    <cfRule type="cellIs" dxfId="0" priority="644" operator="lessThan">
      <formula>20</formula>
    </cfRule>
    <cfRule type="cellIs" dxfId="1" priority="396" operator="greaterThan">
      <formula>120</formula>
    </cfRule>
    <cfRule type="containsText" dxfId="2" priority="148" operator="between" text="库存为">
      <formula>NOT(ISERROR(SEARCH("库存为",AU106)))</formula>
    </cfRule>
  </conditionalFormatting>
  <conditionalFormatting sqref="AU107">
    <cfRule type="cellIs" dxfId="0" priority="643" operator="lessThan">
      <formula>20</formula>
    </cfRule>
    <cfRule type="cellIs" dxfId="1" priority="395" operator="greaterThan">
      <formula>120</formula>
    </cfRule>
    <cfRule type="containsText" dxfId="2" priority="147" operator="between" text="库存为">
      <formula>NOT(ISERROR(SEARCH("库存为",AU107)))</formula>
    </cfRule>
  </conditionalFormatting>
  <conditionalFormatting sqref="AU108">
    <cfRule type="cellIs" dxfId="0" priority="642" operator="lessThan">
      <formula>20</formula>
    </cfRule>
    <cfRule type="cellIs" dxfId="1" priority="394" operator="greaterThan">
      <formula>120</formula>
    </cfRule>
    <cfRule type="containsText" dxfId="2" priority="146" operator="between" text="库存为">
      <formula>NOT(ISERROR(SEARCH("库存为",AU108)))</formula>
    </cfRule>
  </conditionalFormatting>
  <conditionalFormatting sqref="AU109">
    <cfRule type="cellIs" dxfId="0" priority="641" operator="lessThan">
      <formula>20</formula>
    </cfRule>
    <cfRule type="cellIs" dxfId="1" priority="393" operator="greaterThan">
      <formula>120</formula>
    </cfRule>
    <cfRule type="containsText" dxfId="2" priority="145" operator="between" text="库存为">
      <formula>NOT(ISERROR(SEARCH("库存为",AU109)))</formula>
    </cfRule>
  </conditionalFormatting>
  <conditionalFormatting sqref="AU110">
    <cfRule type="cellIs" dxfId="0" priority="640" operator="lessThan">
      <formula>20</formula>
    </cfRule>
    <cfRule type="cellIs" dxfId="1" priority="392" operator="greaterThan">
      <formula>120</formula>
    </cfRule>
    <cfRule type="containsText" dxfId="2" priority="144" operator="between" text="库存为">
      <formula>NOT(ISERROR(SEARCH("库存为",AU110)))</formula>
    </cfRule>
  </conditionalFormatting>
  <conditionalFormatting sqref="AU111">
    <cfRule type="cellIs" dxfId="0" priority="639" operator="lessThan">
      <formula>20</formula>
    </cfRule>
    <cfRule type="cellIs" dxfId="1" priority="391" operator="greaterThan">
      <formula>120</formula>
    </cfRule>
    <cfRule type="containsText" dxfId="2" priority="143" operator="between" text="库存为">
      <formula>NOT(ISERROR(SEARCH("库存为",AU111)))</formula>
    </cfRule>
  </conditionalFormatting>
  <conditionalFormatting sqref="AU112">
    <cfRule type="cellIs" dxfId="0" priority="638" operator="lessThan">
      <formula>20</formula>
    </cfRule>
    <cfRule type="cellIs" dxfId="1" priority="390" operator="greaterThan">
      <formula>120</formula>
    </cfRule>
    <cfRule type="containsText" dxfId="2" priority="142" operator="between" text="库存为">
      <formula>NOT(ISERROR(SEARCH("库存为",AU112)))</formula>
    </cfRule>
  </conditionalFormatting>
  <conditionalFormatting sqref="AU113">
    <cfRule type="cellIs" dxfId="0" priority="637" operator="lessThan">
      <formula>20</formula>
    </cfRule>
    <cfRule type="cellIs" dxfId="1" priority="389" operator="greaterThan">
      <formula>120</formula>
    </cfRule>
    <cfRule type="containsText" dxfId="2" priority="141" operator="between" text="库存为">
      <formula>NOT(ISERROR(SEARCH("库存为",AU113)))</formula>
    </cfRule>
  </conditionalFormatting>
  <conditionalFormatting sqref="AU114">
    <cfRule type="cellIs" dxfId="0" priority="636" operator="lessThan">
      <formula>20</formula>
    </cfRule>
    <cfRule type="cellIs" dxfId="1" priority="388" operator="greaterThan">
      <formula>120</formula>
    </cfRule>
    <cfRule type="containsText" dxfId="2" priority="140" operator="between" text="库存为">
      <formula>NOT(ISERROR(SEARCH("库存为",AU114)))</formula>
    </cfRule>
  </conditionalFormatting>
  <conditionalFormatting sqref="AU115">
    <cfRule type="cellIs" dxfId="0" priority="635" operator="lessThan">
      <formula>20</formula>
    </cfRule>
    <cfRule type="cellIs" dxfId="1" priority="387" operator="greaterThan">
      <formula>120</formula>
    </cfRule>
    <cfRule type="containsText" dxfId="2" priority="139" operator="between" text="库存为">
      <formula>NOT(ISERROR(SEARCH("库存为",AU115)))</formula>
    </cfRule>
  </conditionalFormatting>
  <conditionalFormatting sqref="AU116">
    <cfRule type="cellIs" dxfId="0" priority="634" operator="lessThan">
      <formula>20</formula>
    </cfRule>
    <cfRule type="cellIs" dxfId="1" priority="386" operator="greaterThan">
      <formula>120</formula>
    </cfRule>
    <cfRule type="containsText" dxfId="2" priority="138" operator="between" text="库存为">
      <formula>NOT(ISERROR(SEARCH("库存为",AU116)))</formula>
    </cfRule>
  </conditionalFormatting>
  <conditionalFormatting sqref="AU117">
    <cfRule type="cellIs" dxfId="0" priority="633" operator="lessThan">
      <formula>20</formula>
    </cfRule>
    <cfRule type="cellIs" dxfId="1" priority="385" operator="greaterThan">
      <formula>120</formula>
    </cfRule>
    <cfRule type="containsText" dxfId="2" priority="137" operator="between" text="库存为">
      <formula>NOT(ISERROR(SEARCH("库存为",AU117)))</formula>
    </cfRule>
  </conditionalFormatting>
  <conditionalFormatting sqref="AU118">
    <cfRule type="cellIs" dxfId="0" priority="632" operator="lessThan">
      <formula>20</formula>
    </cfRule>
    <cfRule type="cellIs" dxfId="1" priority="384" operator="greaterThan">
      <formula>120</formula>
    </cfRule>
    <cfRule type="containsText" dxfId="2" priority="136" operator="between" text="库存为">
      <formula>NOT(ISERROR(SEARCH("库存为",AU118)))</formula>
    </cfRule>
  </conditionalFormatting>
  <conditionalFormatting sqref="AU119">
    <cfRule type="cellIs" dxfId="0" priority="631" operator="lessThan">
      <formula>20</formula>
    </cfRule>
    <cfRule type="cellIs" dxfId="1" priority="383" operator="greaterThan">
      <formula>120</formula>
    </cfRule>
    <cfRule type="containsText" dxfId="2" priority="135" operator="between" text="库存为">
      <formula>NOT(ISERROR(SEARCH("库存为",AU119)))</formula>
    </cfRule>
  </conditionalFormatting>
  <conditionalFormatting sqref="AU120">
    <cfRule type="cellIs" dxfId="0" priority="630" operator="lessThan">
      <formula>20</formula>
    </cfRule>
    <cfRule type="cellIs" dxfId="1" priority="382" operator="greaterThan">
      <formula>120</formula>
    </cfRule>
    <cfRule type="containsText" dxfId="2" priority="134" operator="between" text="库存为">
      <formula>NOT(ISERROR(SEARCH("库存为",AU120)))</formula>
    </cfRule>
  </conditionalFormatting>
  <conditionalFormatting sqref="AU121">
    <cfRule type="cellIs" dxfId="0" priority="629" operator="lessThan">
      <formula>20</formula>
    </cfRule>
    <cfRule type="cellIs" dxfId="1" priority="381" operator="greaterThan">
      <formula>120</formula>
    </cfRule>
    <cfRule type="containsText" dxfId="2" priority="133" operator="between" text="库存为">
      <formula>NOT(ISERROR(SEARCH("库存为",AU121)))</formula>
    </cfRule>
  </conditionalFormatting>
  <conditionalFormatting sqref="AU122">
    <cfRule type="cellIs" dxfId="0" priority="628" operator="lessThan">
      <formula>20</formula>
    </cfRule>
    <cfRule type="cellIs" dxfId="1" priority="380" operator="greaterThan">
      <formula>120</formula>
    </cfRule>
    <cfRule type="containsText" dxfId="2" priority="132" operator="between" text="库存为">
      <formula>NOT(ISERROR(SEARCH("库存为",AU122)))</formula>
    </cfRule>
  </conditionalFormatting>
  <conditionalFormatting sqref="AU123">
    <cfRule type="cellIs" dxfId="0" priority="627" operator="lessThan">
      <formula>20</formula>
    </cfRule>
    <cfRule type="cellIs" dxfId="1" priority="379" operator="greaterThan">
      <formula>120</formula>
    </cfRule>
    <cfRule type="containsText" dxfId="2" priority="131" operator="between" text="库存为">
      <formula>NOT(ISERROR(SEARCH("库存为",AU123)))</formula>
    </cfRule>
  </conditionalFormatting>
  <conditionalFormatting sqref="AU124">
    <cfRule type="cellIs" dxfId="0" priority="626" operator="lessThan">
      <formula>20</formula>
    </cfRule>
    <cfRule type="cellIs" dxfId="1" priority="378" operator="greaterThan">
      <formula>120</formula>
    </cfRule>
    <cfRule type="containsText" dxfId="2" priority="130" operator="between" text="库存为">
      <formula>NOT(ISERROR(SEARCH("库存为",AU124)))</formula>
    </cfRule>
  </conditionalFormatting>
  <conditionalFormatting sqref="AU125">
    <cfRule type="cellIs" dxfId="0" priority="625" operator="lessThan">
      <formula>20</formula>
    </cfRule>
    <cfRule type="cellIs" dxfId="1" priority="377" operator="greaterThan">
      <formula>120</formula>
    </cfRule>
    <cfRule type="containsText" dxfId="2" priority="129" operator="between" text="库存为">
      <formula>NOT(ISERROR(SEARCH("库存为",AU125)))</formula>
    </cfRule>
  </conditionalFormatting>
  <conditionalFormatting sqref="AU126">
    <cfRule type="cellIs" dxfId="0" priority="624" operator="lessThan">
      <formula>20</formula>
    </cfRule>
    <cfRule type="cellIs" dxfId="1" priority="376" operator="greaterThan">
      <formula>120</formula>
    </cfRule>
    <cfRule type="containsText" dxfId="2" priority="128" operator="between" text="库存为">
      <formula>NOT(ISERROR(SEARCH("库存为",AU126)))</formula>
    </cfRule>
  </conditionalFormatting>
  <conditionalFormatting sqref="AU127">
    <cfRule type="cellIs" dxfId="0" priority="623" operator="lessThan">
      <formula>20</formula>
    </cfRule>
    <cfRule type="cellIs" dxfId="1" priority="375" operator="greaterThan">
      <formula>120</formula>
    </cfRule>
    <cfRule type="containsText" dxfId="2" priority="127" operator="between" text="库存为">
      <formula>NOT(ISERROR(SEARCH("库存为",AU127)))</formula>
    </cfRule>
  </conditionalFormatting>
  <conditionalFormatting sqref="AU128">
    <cfRule type="cellIs" dxfId="0" priority="622" operator="lessThan">
      <formula>20</formula>
    </cfRule>
    <cfRule type="cellIs" dxfId="1" priority="374" operator="greaterThan">
      <formula>120</formula>
    </cfRule>
    <cfRule type="containsText" dxfId="2" priority="126" operator="between" text="库存为">
      <formula>NOT(ISERROR(SEARCH("库存为",AU128)))</formula>
    </cfRule>
  </conditionalFormatting>
  <conditionalFormatting sqref="AU129">
    <cfRule type="cellIs" dxfId="0" priority="621" operator="lessThan">
      <formula>20</formula>
    </cfRule>
    <cfRule type="cellIs" dxfId="1" priority="373" operator="greaterThan">
      <formula>120</formula>
    </cfRule>
    <cfRule type="containsText" dxfId="2" priority="125" operator="between" text="库存为">
      <formula>NOT(ISERROR(SEARCH("库存为",AU129)))</formula>
    </cfRule>
  </conditionalFormatting>
  <conditionalFormatting sqref="AU130">
    <cfRule type="cellIs" dxfId="0" priority="620" operator="lessThan">
      <formula>20</formula>
    </cfRule>
    <cfRule type="cellIs" dxfId="1" priority="372" operator="greaterThan">
      <formula>120</formula>
    </cfRule>
    <cfRule type="containsText" dxfId="2" priority="124" operator="between" text="库存为">
      <formula>NOT(ISERROR(SEARCH("库存为",AU130)))</formula>
    </cfRule>
  </conditionalFormatting>
  <conditionalFormatting sqref="AU131">
    <cfRule type="cellIs" dxfId="0" priority="619" operator="lessThan">
      <formula>20</formula>
    </cfRule>
    <cfRule type="cellIs" dxfId="1" priority="371" operator="greaterThan">
      <formula>120</formula>
    </cfRule>
    <cfRule type="containsText" dxfId="2" priority="123" operator="between" text="库存为">
      <formula>NOT(ISERROR(SEARCH("库存为",AU131)))</formula>
    </cfRule>
  </conditionalFormatting>
  <conditionalFormatting sqref="AU132">
    <cfRule type="cellIs" dxfId="0" priority="618" operator="lessThan">
      <formula>20</formula>
    </cfRule>
    <cfRule type="cellIs" dxfId="1" priority="370" operator="greaterThan">
      <formula>120</formula>
    </cfRule>
    <cfRule type="containsText" dxfId="2" priority="122" operator="between" text="库存为">
      <formula>NOT(ISERROR(SEARCH("库存为",AU132)))</formula>
    </cfRule>
  </conditionalFormatting>
  <conditionalFormatting sqref="AU133">
    <cfRule type="cellIs" dxfId="0" priority="617" operator="lessThan">
      <formula>20</formula>
    </cfRule>
    <cfRule type="cellIs" dxfId="1" priority="369" operator="greaterThan">
      <formula>120</formula>
    </cfRule>
    <cfRule type="containsText" dxfId="2" priority="121" operator="between" text="库存为">
      <formula>NOT(ISERROR(SEARCH("库存为",AU133)))</formula>
    </cfRule>
  </conditionalFormatting>
  <conditionalFormatting sqref="AU134">
    <cfRule type="cellIs" dxfId="0" priority="616" operator="lessThan">
      <formula>20</formula>
    </cfRule>
    <cfRule type="cellIs" dxfId="1" priority="368" operator="greaterThan">
      <formula>120</formula>
    </cfRule>
    <cfRule type="containsText" dxfId="2" priority="120" operator="between" text="库存为">
      <formula>NOT(ISERROR(SEARCH("库存为",AU134)))</formula>
    </cfRule>
  </conditionalFormatting>
  <conditionalFormatting sqref="AU135">
    <cfRule type="cellIs" dxfId="0" priority="615" operator="lessThan">
      <formula>20</formula>
    </cfRule>
    <cfRule type="cellIs" dxfId="1" priority="367" operator="greaterThan">
      <formula>120</formula>
    </cfRule>
    <cfRule type="containsText" dxfId="2" priority="119" operator="between" text="库存为">
      <formula>NOT(ISERROR(SEARCH("库存为",AU135)))</formula>
    </cfRule>
  </conditionalFormatting>
  <conditionalFormatting sqref="AU136">
    <cfRule type="cellIs" dxfId="0" priority="614" operator="lessThan">
      <formula>20</formula>
    </cfRule>
    <cfRule type="cellIs" dxfId="1" priority="366" operator="greaterThan">
      <formula>120</formula>
    </cfRule>
    <cfRule type="containsText" dxfId="2" priority="118" operator="between" text="库存为">
      <formula>NOT(ISERROR(SEARCH("库存为",AU136)))</formula>
    </cfRule>
  </conditionalFormatting>
  <conditionalFormatting sqref="AU137">
    <cfRule type="cellIs" dxfId="0" priority="613" operator="lessThan">
      <formula>20</formula>
    </cfRule>
    <cfRule type="cellIs" dxfId="1" priority="365" operator="greaterThan">
      <formula>120</formula>
    </cfRule>
    <cfRule type="containsText" dxfId="2" priority="117" operator="between" text="库存为">
      <formula>NOT(ISERROR(SEARCH("库存为",AU137)))</formula>
    </cfRule>
  </conditionalFormatting>
  <conditionalFormatting sqref="AU138">
    <cfRule type="cellIs" dxfId="0" priority="612" operator="lessThan">
      <formula>20</formula>
    </cfRule>
    <cfRule type="cellIs" dxfId="1" priority="364" operator="greaterThan">
      <formula>120</formula>
    </cfRule>
    <cfRule type="containsText" dxfId="2" priority="116" operator="between" text="库存为">
      <formula>NOT(ISERROR(SEARCH("库存为",AU138)))</formula>
    </cfRule>
  </conditionalFormatting>
  <conditionalFormatting sqref="AU139">
    <cfRule type="cellIs" dxfId="0" priority="611" operator="lessThan">
      <formula>20</formula>
    </cfRule>
    <cfRule type="cellIs" dxfId="1" priority="363" operator="greaterThan">
      <formula>120</formula>
    </cfRule>
    <cfRule type="containsText" dxfId="2" priority="115" operator="between" text="库存为">
      <formula>NOT(ISERROR(SEARCH("库存为",AU139)))</formula>
    </cfRule>
  </conditionalFormatting>
  <conditionalFormatting sqref="AU140">
    <cfRule type="cellIs" dxfId="0" priority="610" operator="lessThan">
      <formula>20</formula>
    </cfRule>
    <cfRule type="cellIs" dxfId="1" priority="362" operator="greaterThan">
      <formula>120</formula>
    </cfRule>
    <cfRule type="containsText" dxfId="2" priority="114" operator="between" text="库存为">
      <formula>NOT(ISERROR(SEARCH("库存为",AU140)))</formula>
    </cfRule>
  </conditionalFormatting>
  <conditionalFormatting sqref="AU141">
    <cfRule type="cellIs" dxfId="0" priority="609" operator="lessThan">
      <formula>20</formula>
    </cfRule>
    <cfRule type="cellIs" dxfId="1" priority="361" operator="greaterThan">
      <formula>120</formula>
    </cfRule>
    <cfRule type="containsText" dxfId="2" priority="113" operator="between" text="库存为">
      <formula>NOT(ISERROR(SEARCH("库存为",AU141)))</formula>
    </cfRule>
  </conditionalFormatting>
  <conditionalFormatting sqref="AU142">
    <cfRule type="cellIs" dxfId="0" priority="608" operator="lessThan">
      <formula>20</formula>
    </cfRule>
    <cfRule type="cellIs" dxfId="1" priority="360" operator="greaterThan">
      <formula>120</formula>
    </cfRule>
    <cfRule type="containsText" dxfId="2" priority="112" operator="between" text="库存为">
      <formula>NOT(ISERROR(SEARCH("库存为",AU142)))</formula>
    </cfRule>
  </conditionalFormatting>
  <conditionalFormatting sqref="AU143">
    <cfRule type="cellIs" dxfId="0" priority="607" operator="lessThan">
      <formula>20</formula>
    </cfRule>
    <cfRule type="cellIs" dxfId="1" priority="359" operator="greaterThan">
      <formula>120</formula>
    </cfRule>
    <cfRule type="containsText" dxfId="2" priority="111" operator="between" text="库存为">
      <formula>NOT(ISERROR(SEARCH("库存为",AU143)))</formula>
    </cfRule>
  </conditionalFormatting>
  <conditionalFormatting sqref="AU144">
    <cfRule type="cellIs" dxfId="0" priority="606" operator="lessThan">
      <formula>20</formula>
    </cfRule>
    <cfRule type="cellIs" dxfId="1" priority="358" operator="greaterThan">
      <formula>120</formula>
    </cfRule>
    <cfRule type="containsText" dxfId="2" priority="110" operator="between" text="库存为">
      <formula>NOT(ISERROR(SEARCH("库存为",AU144)))</formula>
    </cfRule>
  </conditionalFormatting>
  <conditionalFormatting sqref="AU145">
    <cfRule type="cellIs" dxfId="0" priority="605" operator="lessThan">
      <formula>20</formula>
    </cfRule>
    <cfRule type="cellIs" dxfId="1" priority="357" operator="greaterThan">
      <formula>120</formula>
    </cfRule>
    <cfRule type="containsText" dxfId="2" priority="109" operator="between" text="库存为">
      <formula>NOT(ISERROR(SEARCH("库存为",AU145)))</formula>
    </cfRule>
  </conditionalFormatting>
  <conditionalFormatting sqref="AU146">
    <cfRule type="cellIs" dxfId="0" priority="604" operator="lessThan">
      <formula>20</formula>
    </cfRule>
    <cfRule type="cellIs" dxfId="1" priority="356" operator="greaterThan">
      <formula>120</formula>
    </cfRule>
    <cfRule type="containsText" dxfId="2" priority="108" operator="between" text="库存为">
      <formula>NOT(ISERROR(SEARCH("库存为",AU146)))</formula>
    </cfRule>
  </conditionalFormatting>
  <conditionalFormatting sqref="AU147">
    <cfRule type="cellIs" dxfId="0" priority="603" operator="lessThan">
      <formula>20</formula>
    </cfRule>
    <cfRule type="cellIs" dxfId="1" priority="355" operator="greaterThan">
      <formula>120</formula>
    </cfRule>
    <cfRule type="containsText" dxfId="2" priority="107" operator="between" text="库存为">
      <formula>NOT(ISERROR(SEARCH("库存为",AU147)))</formula>
    </cfRule>
  </conditionalFormatting>
  <conditionalFormatting sqref="AU148">
    <cfRule type="cellIs" dxfId="0" priority="602" operator="lessThan">
      <formula>20</formula>
    </cfRule>
    <cfRule type="cellIs" dxfId="1" priority="354" operator="greaterThan">
      <formula>120</formula>
    </cfRule>
    <cfRule type="containsText" dxfId="2" priority="106" operator="between" text="库存为">
      <formula>NOT(ISERROR(SEARCH("库存为",AU148)))</formula>
    </cfRule>
  </conditionalFormatting>
  <conditionalFormatting sqref="AU149">
    <cfRule type="cellIs" dxfId="0" priority="601" operator="lessThan">
      <formula>20</formula>
    </cfRule>
    <cfRule type="cellIs" dxfId="1" priority="353" operator="greaterThan">
      <formula>120</formula>
    </cfRule>
    <cfRule type="containsText" dxfId="2" priority="105" operator="between" text="库存为">
      <formula>NOT(ISERROR(SEARCH("库存为",AU149)))</formula>
    </cfRule>
  </conditionalFormatting>
  <conditionalFormatting sqref="AU150">
    <cfRule type="cellIs" dxfId="0" priority="600" operator="lessThan">
      <formula>20</formula>
    </cfRule>
    <cfRule type="cellIs" dxfId="1" priority="352" operator="greaterThan">
      <formula>120</formula>
    </cfRule>
    <cfRule type="containsText" dxfId="2" priority="104" operator="between" text="库存为">
      <formula>NOT(ISERROR(SEARCH("库存为",AU150)))</formula>
    </cfRule>
  </conditionalFormatting>
  <conditionalFormatting sqref="AU151">
    <cfRule type="cellIs" dxfId="0" priority="599" operator="lessThan">
      <formula>20</formula>
    </cfRule>
    <cfRule type="cellIs" dxfId="1" priority="351" operator="greaterThan">
      <formula>120</formula>
    </cfRule>
    <cfRule type="containsText" dxfId="2" priority="103" operator="between" text="库存为">
      <formula>NOT(ISERROR(SEARCH("库存为",AU151)))</formula>
    </cfRule>
  </conditionalFormatting>
  <conditionalFormatting sqref="AU152">
    <cfRule type="cellIs" dxfId="0" priority="598" operator="lessThan">
      <formula>20</formula>
    </cfRule>
    <cfRule type="cellIs" dxfId="1" priority="350" operator="greaterThan">
      <formula>120</formula>
    </cfRule>
    <cfRule type="containsText" dxfId="2" priority="102" operator="between" text="库存为">
      <formula>NOT(ISERROR(SEARCH("库存为",AU152)))</formula>
    </cfRule>
  </conditionalFormatting>
  <conditionalFormatting sqref="AU153">
    <cfRule type="cellIs" dxfId="0" priority="597" operator="lessThan">
      <formula>20</formula>
    </cfRule>
    <cfRule type="cellIs" dxfId="1" priority="349" operator="greaterThan">
      <formula>120</formula>
    </cfRule>
    <cfRule type="containsText" dxfId="2" priority="101" operator="between" text="库存为">
      <formula>NOT(ISERROR(SEARCH("库存为",AU153)))</formula>
    </cfRule>
  </conditionalFormatting>
  <conditionalFormatting sqref="AU154">
    <cfRule type="cellIs" dxfId="0" priority="596" operator="lessThan">
      <formula>20</formula>
    </cfRule>
    <cfRule type="cellIs" dxfId="1" priority="348" operator="greaterThan">
      <formula>120</formula>
    </cfRule>
    <cfRule type="containsText" dxfId="2" priority="100" operator="between" text="库存为">
      <formula>NOT(ISERROR(SEARCH("库存为",AU154)))</formula>
    </cfRule>
  </conditionalFormatting>
  <conditionalFormatting sqref="AU155">
    <cfRule type="cellIs" dxfId="0" priority="595" operator="lessThan">
      <formula>20</formula>
    </cfRule>
    <cfRule type="cellIs" dxfId="1" priority="347" operator="greaterThan">
      <formula>120</formula>
    </cfRule>
    <cfRule type="containsText" dxfId="2" priority="99" operator="between" text="库存为">
      <formula>NOT(ISERROR(SEARCH("库存为",AU155)))</formula>
    </cfRule>
  </conditionalFormatting>
  <conditionalFormatting sqref="AU156">
    <cfRule type="cellIs" dxfId="0" priority="594" operator="lessThan">
      <formula>20</formula>
    </cfRule>
    <cfRule type="cellIs" dxfId="1" priority="346" operator="greaterThan">
      <formula>120</formula>
    </cfRule>
    <cfRule type="containsText" dxfId="2" priority="98" operator="between" text="库存为">
      <formula>NOT(ISERROR(SEARCH("库存为",AU156)))</formula>
    </cfRule>
  </conditionalFormatting>
  <conditionalFormatting sqref="AU157">
    <cfRule type="cellIs" dxfId="0" priority="593" operator="lessThan">
      <formula>20</formula>
    </cfRule>
    <cfRule type="cellIs" dxfId="1" priority="345" operator="greaterThan">
      <formula>120</formula>
    </cfRule>
    <cfRule type="containsText" dxfId="2" priority="97" operator="between" text="库存为">
      <formula>NOT(ISERROR(SEARCH("库存为",AU157)))</formula>
    </cfRule>
  </conditionalFormatting>
  <conditionalFormatting sqref="AU158">
    <cfRule type="cellIs" dxfId="0" priority="592" operator="lessThan">
      <formula>20</formula>
    </cfRule>
    <cfRule type="cellIs" dxfId="1" priority="344" operator="greaterThan">
      <formula>120</formula>
    </cfRule>
    <cfRule type="containsText" dxfId="2" priority="96" operator="between" text="库存为">
      <formula>NOT(ISERROR(SEARCH("库存为",AU158)))</formula>
    </cfRule>
  </conditionalFormatting>
  <conditionalFormatting sqref="AU159">
    <cfRule type="cellIs" dxfId="0" priority="591" operator="lessThan">
      <formula>20</formula>
    </cfRule>
    <cfRule type="cellIs" dxfId="1" priority="343" operator="greaterThan">
      <formula>120</formula>
    </cfRule>
    <cfRule type="containsText" dxfId="2" priority="95" operator="between" text="库存为">
      <formula>NOT(ISERROR(SEARCH("库存为",AU159)))</formula>
    </cfRule>
  </conditionalFormatting>
  <conditionalFormatting sqref="AU160">
    <cfRule type="cellIs" dxfId="0" priority="590" operator="lessThan">
      <formula>20</formula>
    </cfRule>
    <cfRule type="cellIs" dxfId="1" priority="342" operator="greaterThan">
      <formula>120</formula>
    </cfRule>
    <cfRule type="containsText" dxfId="2" priority="94" operator="between" text="库存为">
      <formula>NOT(ISERROR(SEARCH("库存为",AU160)))</formula>
    </cfRule>
  </conditionalFormatting>
  <conditionalFormatting sqref="AU161">
    <cfRule type="cellIs" dxfId="0" priority="589" operator="lessThan">
      <formula>20</formula>
    </cfRule>
    <cfRule type="cellIs" dxfId="1" priority="341" operator="greaterThan">
      <formula>120</formula>
    </cfRule>
    <cfRule type="containsText" dxfId="2" priority="93" operator="between" text="库存为">
      <formula>NOT(ISERROR(SEARCH("库存为",AU161)))</formula>
    </cfRule>
  </conditionalFormatting>
  <conditionalFormatting sqref="AU162">
    <cfRule type="cellIs" dxfId="0" priority="588" operator="lessThan">
      <formula>20</formula>
    </cfRule>
    <cfRule type="cellIs" dxfId="1" priority="340" operator="greaterThan">
      <formula>120</formula>
    </cfRule>
    <cfRule type="containsText" dxfId="2" priority="92" operator="between" text="库存为">
      <formula>NOT(ISERROR(SEARCH("库存为",AU162)))</formula>
    </cfRule>
  </conditionalFormatting>
  <conditionalFormatting sqref="AU163">
    <cfRule type="cellIs" dxfId="0" priority="587" operator="lessThan">
      <formula>20</formula>
    </cfRule>
    <cfRule type="cellIs" dxfId="1" priority="339" operator="greaterThan">
      <formula>120</formula>
    </cfRule>
    <cfRule type="containsText" dxfId="2" priority="91" operator="between" text="库存为">
      <formula>NOT(ISERROR(SEARCH("库存为",AU163)))</formula>
    </cfRule>
  </conditionalFormatting>
  <conditionalFormatting sqref="AU164">
    <cfRule type="cellIs" dxfId="0" priority="586" operator="lessThan">
      <formula>20</formula>
    </cfRule>
    <cfRule type="cellIs" dxfId="1" priority="338" operator="greaterThan">
      <formula>120</formula>
    </cfRule>
    <cfRule type="containsText" dxfId="2" priority="90" operator="between" text="库存为">
      <formula>NOT(ISERROR(SEARCH("库存为",AU164)))</formula>
    </cfRule>
  </conditionalFormatting>
  <conditionalFormatting sqref="AU165">
    <cfRule type="cellIs" dxfId="0" priority="585" operator="lessThan">
      <formula>20</formula>
    </cfRule>
    <cfRule type="cellIs" dxfId="1" priority="337" operator="greaterThan">
      <formula>120</formula>
    </cfRule>
    <cfRule type="containsText" dxfId="2" priority="89" operator="between" text="库存为">
      <formula>NOT(ISERROR(SEARCH("库存为",AU165)))</formula>
    </cfRule>
  </conditionalFormatting>
  <conditionalFormatting sqref="AU166">
    <cfRule type="cellIs" dxfId="0" priority="584" operator="lessThan">
      <formula>20</formula>
    </cfRule>
    <cfRule type="cellIs" dxfId="1" priority="336" operator="greaterThan">
      <formula>120</formula>
    </cfRule>
    <cfRule type="containsText" dxfId="2" priority="88" operator="between" text="库存为">
      <formula>NOT(ISERROR(SEARCH("库存为",AU166)))</formula>
    </cfRule>
  </conditionalFormatting>
  <conditionalFormatting sqref="AU167">
    <cfRule type="cellIs" dxfId="0" priority="583" operator="lessThan">
      <formula>20</formula>
    </cfRule>
    <cfRule type="cellIs" dxfId="1" priority="335" operator="greaterThan">
      <formula>120</formula>
    </cfRule>
    <cfRule type="containsText" dxfId="2" priority="87" operator="between" text="库存为">
      <formula>NOT(ISERROR(SEARCH("库存为",AU167)))</formula>
    </cfRule>
  </conditionalFormatting>
  <conditionalFormatting sqref="AU168">
    <cfRule type="cellIs" dxfId="0" priority="582" operator="lessThan">
      <formula>20</formula>
    </cfRule>
    <cfRule type="cellIs" dxfId="1" priority="334" operator="greaterThan">
      <formula>120</formula>
    </cfRule>
    <cfRule type="containsText" dxfId="2" priority="86" operator="between" text="库存为">
      <formula>NOT(ISERROR(SEARCH("库存为",AU168)))</formula>
    </cfRule>
  </conditionalFormatting>
  <conditionalFormatting sqref="AU169">
    <cfRule type="cellIs" dxfId="0" priority="581" operator="lessThan">
      <formula>20</formula>
    </cfRule>
    <cfRule type="cellIs" dxfId="1" priority="333" operator="greaterThan">
      <formula>120</formula>
    </cfRule>
    <cfRule type="containsText" dxfId="2" priority="85" operator="between" text="库存为">
      <formula>NOT(ISERROR(SEARCH("库存为",AU169)))</formula>
    </cfRule>
  </conditionalFormatting>
  <conditionalFormatting sqref="AU170">
    <cfRule type="cellIs" dxfId="0" priority="580" operator="lessThan">
      <formula>20</formula>
    </cfRule>
    <cfRule type="cellIs" dxfId="1" priority="332" operator="greaterThan">
      <formula>120</formula>
    </cfRule>
    <cfRule type="containsText" dxfId="2" priority="84" operator="between" text="库存为">
      <formula>NOT(ISERROR(SEARCH("库存为",AU170)))</formula>
    </cfRule>
  </conditionalFormatting>
  <conditionalFormatting sqref="AU171">
    <cfRule type="cellIs" dxfId="0" priority="579" operator="lessThan">
      <formula>20</formula>
    </cfRule>
    <cfRule type="cellIs" dxfId="1" priority="331" operator="greaterThan">
      <formula>120</formula>
    </cfRule>
    <cfRule type="containsText" dxfId="2" priority="83" operator="between" text="库存为">
      <formula>NOT(ISERROR(SEARCH("库存为",AU171)))</formula>
    </cfRule>
  </conditionalFormatting>
  <conditionalFormatting sqref="AU172">
    <cfRule type="cellIs" dxfId="0" priority="578" operator="lessThan">
      <formula>20</formula>
    </cfRule>
    <cfRule type="cellIs" dxfId="1" priority="330" operator="greaterThan">
      <formula>120</formula>
    </cfRule>
    <cfRule type="containsText" dxfId="2" priority="82" operator="between" text="库存为">
      <formula>NOT(ISERROR(SEARCH("库存为",AU172)))</formula>
    </cfRule>
  </conditionalFormatting>
  <conditionalFormatting sqref="AU173">
    <cfRule type="cellIs" dxfId="0" priority="577" operator="lessThan">
      <formula>20</formula>
    </cfRule>
    <cfRule type="cellIs" dxfId="1" priority="329" operator="greaterThan">
      <formula>120</formula>
    </cfRule>
    <cfRule type="containsText" dxfId="2" priority="81" operator="between" text="库存为">
      <formula>NOT(ISERROR(SEARCH("库存为",AU173)))</formula>
    </cfRule>
  </conditionalFormatting>
  <conditionalFormatting sqref="AU174">
    <cfRule type="cellIs" dxfId="0" priority="576" operator="lessThan">
      <formula>20</formula>
    </cfRule>
    <cfRule type="cellIs" dxfId="1" priority="328" operator="greaterThan">
      <formula>120</formula>
    </cfRule>
    <cfRule type="containsText" dxfId="2" priority="80" operator="between" text="库存为">
      <formula>NOT(ISERROR(SEARCH("库存为",AU174)))</formula>
    </cfRule>
  </conditionalFormatting>
  <conditionalFormatting sqref="AU175">
    <cfRule type="cellIs" dxfId="0" priority="575" operator="lessThan">
      <formula>20</formula>
    </cfRule>
    <cfRule type="cellIs" dxfId="1" priority="327" operator="greaterThan">
      <formula>120</formula>
    </cfRule>
    <cfRule type="containsText" dxfId="2" priority="79" operator="between" text="库存为">
      <formula>NOT(ISERROR(SEARCH("库存为",AU175)))</formula>
    </cfRule>
  </conditionalFormatting>
  <conditionalFormatting sqref="AU176">
    <cfRule type="cellIs" dxfId="0" priority="574" operator="lessThan">
      <formula>20</formula>
    </cfRule>
    <cfRule type="cellIs" dxfId="1" priority="326" operator="greaterThan">
      <formula>120</formula>
    </cfRule>
    <cfRule type="containsText" dxfId="2" priority="78" operator="between" text="库存为">
      <formula>NOT(ISERROR(SEARCH("库存为",AU176)))</formula>
    </cfRule>
  </conditionalFormatting>
  <conditionalFormatting sqref="AU177">
    <cfRule type="cellIs" dxfId="0" priority="573" operator="lessThan">
      <formula>20</formula>
    </cfRule>
    <cfRule type="cellIs" dxfId="1" priority="325" operator="greaterThan">
      <formula>120</formula>
    </cfRule>
    <cfRule type="containsText" dxfId="2" priority="77" operator="between" text="库存为">
      <formula>NOT(ISERROR(SEARCH("库存为",AU177)))</formula>
    </cfRule>
  </conditionalFormatting>
  <conditionalFormatting sqref="AU178">
    <cfRule type="cellIs" dxfId="0" priority="572" operator="lessThan">
      <formula>20</formula>
    </cfRule>
    <cfRule type="cellIs" dxfId="1" priority="324" operator="greaterThan">
      <formula>120</formula>
    </cfRule>
    <cfRule type="containsText" dxfId="2" priority="76" operator="between" text="库存为">
      <formula>NOT(ISERROR(SEARCH("库存为",AU178)))</formula>
    </cfRule>
  </conditionalFormatting>
  <conditionalFormatting sqref="AU179">
    <cfRule type="cellIs" dxfId="0" priority="571" operator="lessThan">
      <formula>20</formula>
    </cfRule>
    <cfRule type="cellIs" dxfId="1" priority="323" operator="greaterThan">
      <formula>120</formula>
    </cfRule>
    <cfRule type="containsText" dxfId="2" priority="75" operator="between" text="库存为">
      <formula>NOT(ISERROR(SEARCH("库存为",AU179)))</formula>
    </cfRule>
  </conditionalFormatting>
  <conditionalFormatting sqref="AU180">
    <cfRule type="cellIs" dxfId="0" priority="570" operator="lessThan">
      <formula>20</formula>
    </cfRule>
    <cfRule type="cellIs" dxfId="1" priority="322" operator="greaterThan">
      <formula>120</formula>
    </cfRule>
    <cfRule type="containsText" dxfId="2" priority="74" operator="between" text="库存为">
      <formula>NOT(ISERROR(SEARCH("库存为",AU180)))</formula>
    </cfRule>
  </conditionalFormatting>
  <conditionalFormatting sqref="AU181">
    <cfRule type="cellIs" dxfId="0" priority="569" operator="lessThan">
      <formula>20</formula>
    </cfRule>
    <cfRule type="cellIs" dxfId="1" priority="321" operator="greaterThan">
      <formula>120</formula>
    </cfRule>
    <cfRule type="containsText" dxfId="2" priority="73" operator="between" text="库存为">
      <formula>NOT(ISERROR(SEARCH("库存为",AU181)))</formula>
    </cfRule>
  </conditionalFormatting>
  <conditionalFormatting sqref="AU182">
    <cfRule type="cellIs" dxfId="0" priority="568" operator="lessThan">
      <formula>20</formula>
    </cfRule>
    <cfRule type="cellIs" dxfId="1" priority="320" operator="greaterThan">
      <formula>120</formula>
    </cfRule>
    <cfRule type="containsText" dxfId="2" priority="72" operator="between" text="库存为">
      <formula>NOT(ISERROR(SEARCH("库存为",AU182)))</formula>
    </cfRule>
  </conditionalFormatting>
  <conditionalFormatting sqref="AU183">
    <cfRule type="cellIs" dxfId="0" priority="567" operator="lessThan">
      <formula>20</formula>
    </cfRule>
    <cfRule type="cellIs" dxfId="1" priority="319" operator="greaterThan">
      <formula>120</formula>
    </cfRule>
    <cfRule type="containsText" dxfId="2" priority="71" operator="between" text="库存为">
      <formula>NOT(ISERROR(SEARCH("库存为",AU183)))</formula>
    </cfRule>
  </conditionalFormatting>
  <conditionalFormatting sqref="AU184">
    <cfRule type="cellIs" dxfId="0" priority="566" operator="lessThan">
      <formula>20</formula>
    </cfRule>
    <cfRule type="cellIs" dxfId="1" priority="318" operator="greaterThan">
      <formula>120</formula>
    </cfRule>
    <cfRule type="containsText" dxfId="2" priority="70" operator="between" text="库存为">
      <formula>NOT(ISERROR(SEARCH("库存为",AU184)))</formula>
    </cfRule>
  </conditionalFormatting>
  <conditionalFormatting sqref="AU185">
    <cfRule type="cellIs" dxfId="0" priority="565" operator="lessThan">
      <formula>20</formula>
    </cfRule>
    <cfRule type="cellIs" dxfId="1" priority="317" operator="greaterThan">
      <formula>120</formula>
    </cfRule>
    <cfRule type="containsText" dxfId="2" priority="69" operator="between" text="库存为">
      <formula>NOT(ISERROR(SEARCH("库存为",AU185)))</formula>
    </cfRule>
  </conditionalFormatting>
  <conditionalFormatting sqref="AU186">
    <cfRule type="cellIs" dxfId="0" priority="564" operator="lessThan">
      <formula>20</formula>
    </cfRule>
    <cfRule type="cellIs" dxfId="1" priority="316" operator="greaterThan">
      <formula>120</formula>
    </cfRule>
    <cfRule type="containsText" dxfId="2" priority="68" operator="between" text="库存为">
      <formula>NOT(ISERROR(SEARCH("库存为",AU186)))</formula>
    </cfRule>
  </conditionalFormatting>
  <conditionalFormatting sqref="AU187">
    <cfRule type="cellIs" dxfId="0" priority="563" operator="lessThan">
      <formula>20</formula>
    </cfRule>
    <cfRule type="cellIs" dxfId="1" priority="315" operator="greaterThan">
      <formula>120</formula>
    </cfRule>
    <cfRule type="containsText" dxfId="2" priority="67" operator="between" text="库存为">
      <formula>NOT(ISERROR(SEARCH("库存为",AU187)))</formula>
    </cfRule>
  </conditionalFormatting>
  <conditionalFormatting sqref="AU188">
    <cfRule type="cellIs" dxfId="0" priority="562" operator="lessThan">
      <formula>20</formula>
    </cfRule>
    <cfRule type="cellIs" dxfId="1" priority="314" operator="greaterThan">
      <formula>120</formula>
    </cfRule>
    <cfRule type="containsText" dxfId="2" priority="66" operator="between" text="库存为">
      <formula>NOT(ISERROR(SEARCH("库存为",AU188)))</formula>
    </cfRule>
  </conditionalFormatting>
  <conditionalFormatting sqref="AU189">
    <cfRule type="cellIs" dxfId="0" priority="561" operator="lessThan">
      <formula>20</formula>
    </cfRule>
    <cfRule type="cellIs" dxfId="1" priority="313" operator="greaterThan">
      <formula>120</formula>
    </cfRule>
    <cfRule type="containsText" dxfId="2" priority="65" operator="between" text="库存为">
      <formula>NOT(ISERROR(SEARCH("库存为",AU189)))</formula>
    </cfRule>
  </conditionalFormatting>
  <conditionalFormatting sqref="AU190">
    <cfRule type="cellIs" dxfId="0" priority="560" operator="lessThan">
      <formula>20</formula>
    </cfRule>
    <cfRule type="cellIs" dxfId="1" priority="312" operator="greaterThan">
      <formula>120</formula>
    </cfRule>
    <cfRule type="containsText" dxfId="2" priority="64" operator="between" text="库存为">
      <formula>NOT(ISERROR(SEARCH("库存为",AU190)))</formula>
    </cfRule>
  </conditionalFormatting>
  <conditionalFormatting sqref="AU191">
    <cfRule type="cellIs" dxfId="0" priority="559" operator="lessThan">
      <formula>20</formula>
    </cfRule>
    <cfRule type="cellIs" dxfId="1" priority="311" operator="greaterThan">
      <formula>120</formula>
    </cfRule>
    <cfRule type="containsText" dxfId="2" priority="63" operator="between" text="库存为">
      <formula>NOT(ISERROR(SEARCH("库存为",AU191)))</formula>
    </cfRule>
  </conditionalFormatting>
  <conditionalFormatting sqref="AU192">
    <cfRule type="cellIs" dxfId="0" priority="558" operator="lessThan">
      <formula>20</formula>
    </cfRule>
    <cfRule type="cellIs" dxfId="1" priority="310" operator="greaterThan">
      <formula>120</formula>
    </cfRule>
    <cfRule type="containsText" dxfId="2" priority="62" operator="between" text="库存为">
      <formula>NOT(ISERROR(SEARCH("库存为",AU192)))</formula>
    </cfRule>
  </conditionalFormatting>
  <conditionalFormatting sqref="AU193">
    <cfRule type="cellIs" dxfId="0" priority="557" operator="lessThan">
      <formula>20</formula>
    </cfRule>
    <cfRule type="cellIs" dxfId="1" priority="309" operator="greaterThan">
      <formula>120</formula>
    </cfRule>
    <cfRule type="containsText" dxfId="2" priority="61" operator="between" text="库存为">
      <formula>NOT(ISERROR(SEARCH("库存为",AU193)))</formula>
    </cfRule>
  </conditionalFormatting>
  <conditionalFormatting sqref="AU194">
    <cfRule type="cellIs" dxfId="0" priority="556" operator="lessThan">
      <formula>20</formula>
    </cfRule>
    <cfRule type="cellIs" dxfId="1" priority="308" operator="greaterThan">
      <formula>120</formula>
    </cfRule>
    <cfRule type="containsText" dxfId="2" priority="60" operator="between" text="库存为">
      <formula>NOT(ISERROR(SEARCH("库存为",AU194)))</formula>
    </cfRule>
  </conditionalFormatting>
  <conditionalFormatting sqref="AU195">
    <cfRule type="cellIs" dxfId="0" priority="555" operator="lessThan">
      <formula>20</formula>
    </cfRule>
    <cfRule type="cellIs" dxfId="1" priority="307" operator="greaterThan">
      <formula>120</formula>
    </cfRule>
    <cfRule type="containsText" dxfId="2" priority="59" operator="between" text="库存为">
      <formula>NOT(ISERROR(SEARCH("库存为",AU195)))</formula>
    </cfRule>
  </conditionalFormatting>
  <conditionalFormatting sqref="AU196">
    <cfRule type="cellIs" dxfId="0" priority="554" operator="lessThan">
      <formula>20</formula>
    </cfRule>
    <cfRule type="cellIs" dxfId="1" priority="306" operator="greaterThan">
      <formula>120</formula>
    </cfRule>
    <cfRule type="containsText" dxfId="2" priority="58" operator="between" text="库存为">
      <formula>NOT(ISERROR(SEARCH("库存为",AU196)))</formula>
    </cfRule>
  </conditionalFormatting>
  <conditionalFormatting sqref="AU197">
    <cfRule type="cellIs" dxfId="0" priority="553" operator="lessThan">
      <formula>20</formula>
    </cfRule>
    <cfRule type="cellIs" dxfId="1" priority="305" operator="greaterThan">
      <formula>120</formula>
    </cfRule>
    <cfRule type="containsText" dxfId="2" priority="57" operator="between" text="库存为">
      <formula>NOT(ISERROR(SEARCH("库存为",AU197)))</formula>
    </cfRule>
  </conditionalFormatting>
  <conditionalFormatting sqref="AU198">
    <cfRule type="cellIs" dxfId="0" priority="552" operator="lessThan">
      <formula>20</formula>
    </cfRule>
    <cfRule type="cellIs" dxfId="1" priority="304" operator="greaterThan">
      <formula>120</formula>
    </cfRule>
    <cfRule type="containsText" dxfId="2" priority="56" operator="between" text="库存为">
      <formula>NOT(ISERROR(SEARCH("库存为",AU198)))</formula>
    </cfRule>
  </conditionalFormatting>
  <conditionalFormatting sqref="AU199">
    <cfRule type="cellIs" dxfId="0" priority="551" operator="lessThan">
      <formula>20</formula>
    </cfRule>
    <cfRule type="cellIs" dxfId="1" priority="303" operator="greaterThan">
      <formula>120</formula>
    </cfRule>
    <cfRule type="containsText" dxfId="2" priority="55" operator="between" text="库存为">
      <formula>NOT(ISERROR(SEARCH("库存为",AU199)))</formula>
    </cfRule>
  </conditionalFormatting>
  <conditionalFormatting sqref="AU200">
    <cfRule type="cellIs" dxfId="0" priority="550" operator="lessThan">
      <formula>20</formula>
    </cfRule>
    <cfRule type="cellIs" dxfId="1" priority="302" operator="greaterThan">
      <formula>120</formula>
    </cfRule>
    <cfRule type="containsText" dxfId="2" priority="54" operator="between" text="库存为">
      <formula>NOT(ISERROR(SEARCH("库存为",AU200)))</formula>
    </cfRule>
  </conditionalFormatting>
  <conditionalFormatting sqref="AU201">
    <cfRule type="cellIs" dxfId="0" priority="549" operator="lessThan">
      <formula>20</formula>
    </cfRule>
    <cfRule type="cellIs" dxfId="1" priority="301" operator="greaterThan">
      <formula>120</formula>
    </cfRule>
    <cfRule type="containsText" dxfId="2" priority="53" operator="between" text="库存为">
      <formula>NOT(ISERROR(SEARCH("库存为",AU201)))</formula>
    </cfRule>
  </conditionalFormatting>
  <conditionalFormatting sqref="AU202">
    <cfRule type="cellIs" dxfId="0" priority="548" operator="lessThan">
      <formula>20</formula>
    </cfRule>
    <cfRule type="cellIs" dxfId="1" priority="300" operator="greaterThan">
      <formula>120</formula>
    </cfRule>
    <cfRule type="containsText" dxfId="2" priority="52" operator="between" text="库存为">
      <formula>NOT(ISERROR(SEARCH("库存为",AU202)))</formula>
    </cfRule>
  </conditionalFormatting>
  <conditionalFormatting sqref="AU203">
    <cfRule type="cellIs" dxfId="0" priority="547" operator="lessThan">
      <formula>20</formula>
    </cfRule>
    <cfRule type="cellIs" dxfId="1" priority="299" operator="greaterThan">
      <formula>120</formula>
    </cfRule>
    <cfRule type="containsText" dxfId="2" priority="51" operator="between" text="库存为">
      <formula>NOT(ISERROR(SEARCH("库存为",AU203)))</formula>
    </cfRule>
  </conditionalFormatting>
  <conditionalFormatting sqref="AU204">
    <cfRule type="cellIs" dxfId="0" priority="546" operator="lessThan">
      <formula>20</formula>
    </cfRule>
    <cfRule type="cellIs" dxfId="1" priority="298" operator="greaterThan">
      <formula>120</formula>
    </cfRule>
    <cfRule type="containsText" dxfId="2" priority="50" operator="between" text="库存为">
      <formula>NOT(ISERROR(SEARCH("库存为",AU204)))</formula>
    </cfRule>
  </conditionalFormatting>
  <conditionalFormatting sqref="AU205">
    <cfRule type="cellIs" dxfId="0" priority="545" operator="lessThan">
      <formula>20</formula>
    </cfRule>
    <cfRule type="cellIs" dxfId="1" priority="297" operator="greaterThan">
      <formula>120</formula>
    </cfRule>
    <cfRule type="containsText" dxfId="2" priority="49" operator="between" text="库存为">
      <formula>NOT(ISERROR(SEARCH("库存为",AU205)))</formula>
    </cfRule>
  </conditionalFormatting>
  <conditionalFormatting sqref="AU206">
    <cfRule type="cellIs" dxfId="0" priority="544" operator="lessThan">
      <formula>20</formula>
    </cfRule>
    <cfRule type="cellIs" dxfId="1" priority="296" operator="greaterThan">
      <formula>120</formula>
    </cfRule>
    <cfRule type="containsText" dxfId="2" priority="48" operator="between" text="库存为">
      <formula>NOT(ISERROR(SEARCH("库存为",AU206)))</formula>
    </cfRule>
  </conditionalFormatting>
  <conditionalFormatting sqref="AU207">
    <cfRule type="cellIs" dxfId="0" priority="543" operator="lessThan">
      <formula>20</formula>
    </cfRule>
    <cfRule type="cellIs" dxfId="1" priority="295" operator="greaterThan">
      <formula>120</formula>
    </cfRule>
    <cfRule type="containsText" dxfId="2" priority="47" operator="between" text="库存为">
      <formula>NOT(ISERROR(SEARCH("库存为",AU207)))</formula>
    </cfRule>
  </conditionalFormatting>
  <conditionalFormatting sqref="AU208">
    <cfRule type="cellIs" dxfId="0" priority="542" operator="lessThan">
      <formula>20</formula>
    </cfRule>
    <cfRule type="cellIs" dxfId="1" priority="294" operator="greaterThan">
      <formula>120</formula>
    </cfRule>
    <cfRule type="containsText" dxfId="2" priority="46" operator="between" text="库存为">
      <formula>NOT(ISERROR(SEARCH("库存为",AU208)))</formula>
    </cfRule>
  </conditionalFormatting>
  <conditionalFormatting sqref="AU209">
    <cfRule type="cellIs" dxfId="0" priority="541" operator="lessThan">
      <formula>20</formula>
    </cfRule>
    <cfRule type="cellIs" dxfId="1" priority="293" operator="greaterThan">
      <formula>120</formula>
    </cfRule>
    <cfRule type="containsText" dxfId="2" priority="45" operator="between" text="库存为">
      <formula>NOT(ISERROR(SEARCH("库存为",AU209)))</formula>
    </cfRule>
  </conditionalFormatting>
  <conditionalFormatting sqref="AU210">
    <cfRule type="cellIs" dxfId="0" priority="540" operator="lessThan">
      <formula>20</formula>
    </cfRule>
    <cfRule type="cellIs" dxfId="1" priority="292" operator="greaterThan">
      <formula>120</formula>
    </cfRule>
    <cfRule type="containsText" dxfId="2" priority="44" operator="between" text="库存为">
      <formula>NOT(ISERROR(SEARCH("库存为",AU210)))</formula>
    </cfRule>
  </conditionalFormatting>
  <conditionalFormatting sqref="AU211">
    <cfRule type="cellIs" dxfId="0" priority="539" operator="lessThan">
      <formula>20</formula>
    </cfRule>
    <cfRule type="cellIs" dxfId="1" priority="291" operator="greaterThan">
      <formula>120</formula>
    </cfRule>
    <cfRule type="containsText" dxfId="2" priority="43" operator="between" text="库存为">
      <formula>NOT(ISERROR(SEARCH("库存为",AU211)))</formula>
    </cfRule>
  </conditionalFormatting>
  <conditionalFormatting sqref="AU212">
    <cfRule type="cellIs" dxfId="0" priority="538" operator="lessThan">
      <formula>20</formula>
    </cfRule>
    <cfRule type="cellIs" dxfId="1" priority="290" operator="greaterThan">
      <formula>120</formula>
    </cfRule>
    <cfRule type="containsText" dxfId="2" priority="42" operator="between" text="库存为">
      <formula>NOT(ISERROR(SEARCH("库存为",AU212)))</formula>
    </cfRule>
  </conditionalFormatting>
  <conditionalFormatting sqref="AU213">
    <cfRule type="cellIs" dxfId="0" priority="537" operator="lessThan">
      <formula>20</formula>
    </cfRule>
    <cfRule type="cellIs" dxfId="1" priority="289" operator="greaterThan">
      <formula>120</formula>
    </cfRule>
    <cfRule type="containsText" dxfId="2" priority="41" operator="between" text="库存为">
      <formula>NOT(ISERROR(SEARCH("库存为",AU213)))</formula>
    </cfRule>
  </conditionalFormatting>
  <conditionalFormatting sqref="AU214">
    <cfRule type="cellIs" dxfId="0" priority="536" operator="lessThan">
      <formula>20</formula>
    </cfRule>
    <cfRule type="cellIs" dxfId="1" priority="288" operator="greaterThan">
      <formula>120</formula>
    </cfRule>
    <cfRule type="containsText" dxfId="2" priority="40" operator="between" text="库存为">
      <formula>NOT(ISERROR(SEARCH("库存为",AU214)))</formula>
    </cfRule>
  </conditionalFormatting>
  <conditionalFormatting sqref="AU215">
    <cfRule type="cellIs" dxfId="0" priority="535" operator="lessThan">
      <formula>20</formula>
    </cfRule>
    <cfRule type="cellIs" dxfId="1" priority="287" operator="greaterThan">
      <formula>120</formula>
    </cfRule>
    <cfRule type="containsText" dxfId="2" priority="39" operator="between" text="库存为">
      <formula>NOT(ISERROR(SEARCH("库存为",AU215)))</formula>
    </cfRule>
  </conditionalFormatting>
  <conditionalFormatting sqref="AU216">
    <cfRule type="cellIs" dxfId="0" priority="534" operator="lessThan">
      <formula>20</formula>
    </cfRule>
    <cfRule type="cellIs" dxfId="1" priority="286" operator="greaterThan">
      <formula>120</formula>
    </cfRule>
    <cfRule type="containsText" dxfId="2" priority="38" operator="between" text="库存为">
      <formula>NOT(ISERROR(SEARCH("库存为",AU216)))</formula>
    </cfRule>
  </conditionalFormatting>
  <conditionalFormatting sqref="AU217">
    <cfRule type="cellIs" dxfId="0" priority="533" operator="lessThan">
      <formula>20</formula>
    </cfRule>
    <cfRule type="cellIs" dxfId="1" priority="285" operator="greaterThan">
      <formula>120</formula>
    </cfRule>
    <cfRule type="containsText" dxfId="2" priority="37" operator="between" text="库存为">
      <formula>NOT(ISERROR(SEARCH("库存为",AU217)))</formula>
    </cfRule>
  </conditionalFormatting>
  <conditionalFormatting sqref="AU218">
    <cfRule type="cellIs" dxfId="0" priority="532" operator="lessThan">
      <formula>20</formula>
    </cfRule>
    <cfRule type="cellIs" dxfId="1" priority="284" operator="greaterThan">
      <formula>120</formula>
    </cfRule>
    <cfRule type="containsText" dxfId="2" priority="36" operator="between" text="库存为">
      <formula>NOT(ISERROR(SEARCH("库存为",AU218)))</formula>
    </cfRule>
  </conditionalFormatting>
  <conditionalFormatting sqref="AU219">
    <cfRule type="cellIs" dxfId="0" priority="531" operator="lessThan">
      <formula>20</formula>
    </cfRule>
    <cfRule type="cellIs" dxfId="1" priority="283" operator="greaterThan">
      <formula>120</formula>
    </cfRule>
    <cfRule type="containsText" dxfId="2" priority="35" operator="between" text="库存为">
      <formula>NOT(ISERROR(SEARCH("库存为",AU219)))</formula>
    </cfRule>
  </conditionalFormatting>
  <conditionalFormatting sqref="AU220">
    <cfRule type="cellIs" dxfId="0" priority="530" operator="lessThan">
      <formula>20</formula>
    </cfRule>
    <cfRule type="cellIs" dxfId="1" priority="282" operator="greaterThan">
      <formula>120</formula>
    </cfRule>
    <cfRule type="containsText" dxfId="2" priority="34" operator="between" text="库存为">
      <formula>NOT(ISERROR(SEARCH("库存为",AU220)))</formula>
    </cfRule>
  </conditionalFormatting>
  <conditionalFormatting sqref="AU221">
    <cfRule type="cellIs" dxfId="0" priority="529" operator="lessThan">
      <formula>20</formula>
    </cfRule>
    <cfRule type="cellIs" dxfId="1" priority="281" operator="greaterThan">
      <formula>120</formula>
    </cfRule>
    <cfRule type="containsText" dxfId="2" priority="33" operator="between" text="库存为">
      <formula>NOT(ISERROR(SEARCH("库存为",AU221)))</formula>
    </cfRule>
  </conditionalFormatting>
  <conditionalFormatting sqref="AU222">
    <cfRule type="cellIs" dxfId="0" priority="528" operator="lessThan">
      <formula>20</formula>
    </cfRule>
    <cfRule type="cellIs" dxfId="1" priority="280" operator="greaterThan">
      <formula>120</formula>
    </cfRule>
    <cfRule type="containsText" dxfId="2" priority="32" operator="between" text="库存为">
      <formula>NOT(ISERROR(SEARCH("库存为",AU222)))</formula>
    </cfRule>
  </conditionalFormatting>
  <conditionalFormatting sqref="AU223">
    <cfRule type="cellIs" dxfId="0" priority="527" operator="lessThan">
      <formula>20</formula>
    </cfRule>
    <cfRule type="cellIs" dxfId="1" priority="279" operator="greaterThan">
      <formula>120</formula>
    </cfRule>
    <cfRule type="containsText" dxfId="2" priority="31" operator="between" text="库存为">
      <formula>NOT(ISERROR(SEARCH("库存为",AU223)))</formula>
    </cfRule>
  </conditionalFormatting>
  <conditionalFormatting sqref="AU224">
    <cfRule type="cellIs" dxfId="0" priority="526" operator="lessThan">
      <formula>20</formula>
    </cfRule>
    <cfRule type="cellIs" dxfId="1" priority="278" operator="greaterThan">
      <formula>120</formula>
    </cfRule>
    <cfRule type="containsText" dxfId="2" priority="30" operator="between" text="库存为">
      <formula>NOT(ISERROR(SEARCH("库存为",AU224)))</formula>
    </cfRule>
  </conditionalFormatting>
  <conditionalFormatting sqref="AU225">
    <cfRule type="cellIs" dxfId="0" priority="525" operator="lessThan">
      <formula>20</formula>
    </cfRule>
    <cfRule type="cellIs" dxfId="1" priority="277" operator="greaterThan">
      <formula>120</formula>
    </cfRule>
    <cfRule type="containsText" dxfId="2" priority="29" operator="between" text="库存为">
      <formula>NOT(ISERROR(SEARCH("库存为",AU225)))</formula>
    </cfRule>
  </conditionalFormatting>
  <conditionalFormatting sqref="AU226">
    <cfRule type="cellIs" dxfId="0" priority="524" operator="lessThan">
      <formula>20</formula>
    </cfRule>
    <cfRule type="cellIs" dxfId="1" priority="276" operator="greaterThan">
      <formula>120</formula>
    </cfRule>
    <cfRule type="containsText" dxfId="2" priority="28" operator="between" text="库存为">
      <formula>NOT(ISERROR(SEARCH("库存为",AU226)))</formula>
    </cfRule>
  </conditionalFormatting>
  <conditionalFormatting sqref="AU227">
    <cfRule type="cellIs" dxfId="0" priority="523" operator="lessThan">
      <formula>20</formula>
    </cfRule>
    <cfRule type="cellIs" dxfId="1" priority="275" operator="greaterThan">
      <formula>120</formula>
    </cfRule>
    <cfRule type="containsText" dxfId="2" priority="27" operator="between" text="库存为">
      <formula>NOT(ISERROR(SEARCH("库存为",AU227)))</formula>
    </cfRule>
  </conditionalFormatting>
  <conditionalFormatting sqref="AU228">
    <cfRule type="cellIs" dxfId="0" priority="522" operator="lessThan">
      <formula>20</formula>
    </cfRule>
    <cfRule type="cellIs" dxfId="1" priority="274" operator="greaterThan">
      <formula>120</formula>
    </cfRule>
    <cfRule type="containsText" dxfId="2" priority="26" operator="between" text="库存为">
      <formula>NOT(ISERROR(SEARCH("库存为",AU228)))</formula>
    </cfRule>
  </conditionalFormatting>
  <conditionalFormatting sqref="AU229">
    <cfRule type="cellIs" dxfId="0" priority="521" operator="lessThan">
      <formula>20</formula>
    </cfRule>
    <cfRule type="cellIs" dxfId="1" priority="273" operator="greaterThan">
      <formula>120</formula>
    </cfRule>
    <cfRule type="containsText" dxfId="2" priority="25" operator="between" text="库存为">
      <formula>NOT(ISERROR(SEARCH("库存为",AU229)))</formula>
    </cfRule>
  </conditionalFormatting>
  <conditionalFormatting sqref="AU230">
    <cfRule type="cellIs" dxfId="0" priority="520" operator="lessThan">
      <formula>20</formula>
    </cfRule>
    <cfRule type="cellIs" dxfId="1" priority="272" operator="greaterThan">
      <formula>120</formula>
    </cfRule>
    <cfRule type="containsText" dxfId="2" priority="24" operator="between" text="库存为">
      <formula>NOT(ISERROR(SEARCH("库存为",AU230)))</formula>
    </cfRule>
  </conditionalFormatting>
  <conditionalFormatting sqref="AU231">
    <cfRule type="cellIs" dxfId="0" priority="519" operator="lessThan">
      <formula>20</formula>
    </cfRule>
    <cfRule type="cellIs" dxfId="1" priority="271" operator="greaterThan">
      <formula>120</formula>
    </cfRule>
    <cfRule type="containsText" dxfId="2" priority="23" operator="between" text="库存为">
      <formula>NOT(ISERROR(SEARCH("库存为",AU231)))</formula>
    </cfRule>
  </conditionalFormatting>
  <conditionalFormatting sqref="AU232">
    <cfRule type="cellIs" dxfId="0" priority="518" operator="lessThan">
      <formula>20</formula>
    </cfRule>
    <cfRule type="cellIs" dxfId="1" priority="270" operator="greaterThan">
      <formula>120</formula>
    </cfRule>
    <cfRule type="containsText" dxfId="2" priority="22" operator="between" text="库存为">
      <formula>NOT(ISERROR(SEARCH("库存为",AU232)))</formula>
    </cfRule>
  </conditionalFormatting>
  <conditionalFormatting sqref="AU233">
    <cfRule type="cellIs" dxfId="0" priority="517" operator="lessThan">
      <formula>20</formula>
    </cfRule>
    <cfRule type="cellIs" dxfId="1" priority="269" operator="greaterThan">
      <formula>120</formula>
    </cfRule>
    <cfRule type="containsText" dxfId="2" priority="21" operator="between" text="库存为">
      <formula>NOT(ISERROR(SEARCH("库存为",AU233)))</formula>
    </cfRule>
  </conditionalFormatting>
  <conditionalFormatting sqref="AU234">
    <cfRule type="cellIs" dxfId="0" priority="516" operator="lessThan">
      <formula>20</formula>
    </cfRule>
    <cfRule type="cellIs" dxfId="1" priority="268" operator="greaterThan">
      <formula>120</formula>
    </cfRule>
    <cfRule type="containsText" dxfId="2" priority="20" operator="between" text="库存为">
      <formula>NOT(ISERROR(SEARCH("库存为",AU234)))</formula>
    </cfRule>
  </conditionalFormatting>
  <conditionalFormatting sqref="AU235">
    <cfRule type="cellIs" dxfId="0" priority="515" operator="lessThan">
      <formula>20</formula>
    </cfRule>
    <cfRule type="cellIs" dxfId="1" priority="267" operator="greaterThan">
      <formula>120</formula>
    </cfRule>
    <cfRule type="containsText" dxfId="2" priority="19" operator="between" text="库存为">
      <formula>NOT(ISERROR(SEARCH("库存为",AU235)))</formula>
    </cfRule>
  </conditionalFormatting>
  <conditionalFormatting sqref="AU236">
    <cfRule type="cellIs" dxfId="0" priority="514" operator="lessThan">
      <formula>20</formula>
    </cfRule>
    <cfRule type="cellIs" dxfId="1" priority="266" operator="greaterThan">
      <formula>120</formula>
    </cfRule>
    <cfRule type="containsText" dxfId="2" priority="18" operator="between" text="库存为">
      <formula>NOT(ISERROR(SEARCH("库存为",AU236)))</formula>
    </cfRule>
  </conditionalFormatting>
  <conditionalFormatting sqref="AU237">
    <cfRule type="cellIs" dxfId="0" priority="513" operator="lessThan">
      <formula>20</formula>
    </cfRule>
    <cfRule type="cellIs" dxfId="1" priority="265" operator="greaterThan">
      <formula>120</formula>
    </cfRule>
    <cfRule type="containsText" dxfId="2" priority="17" operator="between" text="库存为">
      <formula>NOT(ISERROR(SEARCH("库存为",AU237)))</formula>
    </cfRule>
  </conditionalFormatting>
  <conditionalFormatting sqref="AU238">
    <cfRule type="cellIs" dxfId="0" priority="512" operator="lessThan">
      <formula>20</formula>
    </cfRule>
    <cfRule type="cellIs" dxfId="1" priority="264" operator="greaterThan">
      <formula>120</formula>
    </cfRule>
    <cfRule type="containsText" dxfId="2" priority="16" operator="between" text="库存为">
      <formula>NOT(ISERROR(SEARCH("库存为",AU238)))</formula>
    </cfRule>
  </conditionalFormatting>
  <conditionalFormatting sqref="AU239">
    <cfRule type="cellIs" dxfId="0" priority="511" operator="lessThan">
      <formula>20</formula>
    </cfRule>
    <cfRule type="cellIs" dxfId="1" priority="263" operator="greaterThan">
      <formula>120</formula>
    </cfRule>
    <cfRule type="containsText" dxfId="2" priority="15" operator="between" text="库存为">
      <formula>NOT(ISERROR(SEARCH("库存为",AU239)))</formula>
    </cfRule>
  </conditionalFormatting>
  <conditionalFormatting sqref="AU240">
    <cfRule type="cellIs" dxfId="0" priority="510" operator="lessThan">
      <formula>20</formula>
    </cfRule>
    <cfRule type="cellIs" dxfId="1" priority="262" operator="greaterThan">
      <formula>120</formula>
    </cfRule>
    <cfRule type="containsText" dxfId="2" priority="14" operator="between" text="库存为">
      <formula>NOT(ISERROR(SEARCH("库存为",AU240)))</formula>
    </cfRule>
  </conditionalFormatting>
  <conditionalFormatting sqref="AU241">
    <cfRule type="cellIs" dxfId="0" priority="509" operator="lessThan">
      <formula>20</formula>
    </cfRule>
    <cfRule type="cellIs" dxfId="1" priority="261" operator="greaterThan">
      <formula>120</formula>
    </cfRule>
    <cfRule type="containsText" dxfId="2" priority="13" operator="between" text="库存为">
      <formula>NOT(ISERROR(SEARCH("库存为",AU241)))</formula>
    </cfRule>
  </conditionalFormatting>
  <conditionalFormatting sqref="AU242">
    <cfRule type="cellIs" dxfId="0" priority="508" operator="lessThan">
      <formula>20</formula>
    </cfRule>
    <cfRule type="cellIs" dxfId="1" priority="260" operator="greaterThan">
      <formula>120</formula>
    </cfRule>
    <cfRule type="containsText" dxfId="2" priority="12" operator="between" text="库存为">
      <formula>NOT(ISERROR(SEARCH("库存为",AU242)))</formula>
    </cfRule>
  </conditionalFormatting>
  <conditionalFormatting sqref="AU243">
    <cfRule type="cellIs" dxfId="0" priority="507" operator="lessThan">
      <formula>20</formula>
    </cfRule>
    <cfRule type="cellIs" dxfId="1" priority="259" operator="greaterThan">
      <formula>120</formula>
    </cfRule>
    <cfRule type="containsText" dxfId="2" priority="11" operator="between" text="库存为">
      <formula>NOT(ISERROR(SEARCH("库存为",AU243)))</formula>
    </cfRule>
  </conditionalFormatting>
  <conditionalFormatting sqref="AU244">
    <cfRule type="cellIs" dxfId="0" priority="506" operator="lessThan">
      <formula>20</formula>
    </cfRule>
    <cfRule type="cellIs" dxfId="1" priority="258" operator="greaterThan">
      <formula>120</formula>
    </cfRule>
    <cfRule type="containsText" dxfId="2" priority="10" operator="between" text="库存为">
      <formula>NOT(ISERROR(SEARCH("库存为",AU244)))</formula>
    </cfRule>
  </conditionalFormatting>
  <conditionalFormatting sqref="AU245">
    <cfRule type="cellIs" dxfId="0" priority="505" operator="lessThan">
      <formula>20</formula>
    </cfRule>
    <cfRule type="cellIs" dxfId="1" priority="257" operator="greaterThan">
      <formula>120</formula>
    </cfRule>
    <cfRule type="containsText" dxfId="2" priority="9" operator="between" text="库存为">
      <formula>NOT(ISERROR(SEARCH("库存为",AU245)))</formula>
    </cfRule>
  </conditionalFormatting>
  <conditionalFormatting sqref="AU246">
    <cfRule type="cellIs" dxfId="0" priority="504" operator="lessThan">
      <formula>20</formula>
    </cfRule>
    <cfRule type="cellIs" dxfId="1" priority="256" operator="greaterThan">
      <formula>120</formula>
    </cfRule>
    <cfRule type="containsText" dxfId="2" priority="8" operator="between" text="库存为">
      <formula>NOT(ISERROR(SEARCH("库存为",AU246)))</formula>
    </cfRule>
  </conditionalFormatting>
  <conditionalFormatting sqref="AU247">
    <cfRule type="cellIs" dxfId="0" priority="503" operator="lessThan">
      <formula>20</formula>
    </cfRule>
    <cfRule type="cellIs" dxfId="1" priority="255" operator="greaterThan">
      <formula>120</formula>
    </cfRule>
    <cfRule type="containsText" dxfId="2" priority="7" operator="between" text="库存为">
      <formula>NOT(ISERROR(SEARCH("库存为",AU247)))</formula>
    </cfRule>
  </conditionalFormatting>
  <conditionalFormatting sqref="AU248">
    <cfRule type="cellIs" dxfId="0" priority="502" operator="lessThan">
      <formula>20</formula>
    </cfRule>
    <cfRule type="cellIs" dxfId="1" priority="254" operator="greaterThan">
      <formula>120</formula>
    </cfRule>
    <cfRule type="containsText" dxfId="2" priority="6" operator="between" text="库存为">
      <formula>NOT(ISERROR(SEARCH("库存为",AU248)))</formula>
    </cfRule>
  </conditionalFormatting>
  <conditionalFormatting sqref="AU249">
    <cfRule type="cellIs" dxfId="0" priority="501" operator="lessThan">
      <formula>20</formula>
    </cfRule>
    <cfRule type="cellIs" dxfId="1" priority="253" operator="greaterThan">
      <formula>120</formula>
    </cfRule>
    <cfRule type="containsText" dxfId="2" priority="5" operator="between" text="库存为">
      <formula>NOT(ISERROR(SEARCH("库存为",AU249)))</formula>
    </cfRule>
  </conditionalFormatting>
  <conditionalFormatting sqref="AU250">
    <cfRule type="cellIs" dxfId="0" priority="500" operator="lessThan">
      <formula>20</formula>
    </cfRule>
    <cfRule type="cellIs" dxfId="1" priority="252" operator="greaterThan">
      <formula>120</formula>
    </cfRule>
    <cfRule type="containsText" dxfId="2" priority="4" operator="between" text="库存为">
      <formula>NOT(ISERROR(SEARCH("库存为",AU250)))</formula>
    </cfRule>
  </conditionalFormatting>
  <conditionalFormatting sqref="AU251">
    <cfRule type="cellIs" dxfId="0" priority="499" operator="lessThan">
      <formula>20</formula>
    </cfRule>
    <cfRule type="cellIs" dxfId="1" priority="251" operator="greaterThan">
      <formula>120</formula>
    </cfRule>
    <cfRule type="containsText" dxfId="2" priority="3" operator="between" text="库存为">
      <formula>NOT(ISERROR(SEARCH("库存为",AU251)))</formula>
    </cfRule>
  </conditionalFormatting>
  <conditionalFormatting sqref="AU252">
    <cfRule type="cellIs" dxfId="0" priority="498" operator="lessThan">
      <formula>20</formula>
    </cfRule>
    <cfRule type="cellIs" dxfId="1" priority="250" operator="greaterThan">
      <formula>120</formula>
    </cfRule>
    <cfRule type="containsText" dxfId="2" priority="2" operator="between" text="库存为">
      <formula>NOT(ISERROR(SEARCH("库存为",AU252)))</formula>
    </cfRule>
  </conditionalFormatting>
  <conditionalFormatting sqref="AU253">
    <cfRule type="cellIs" dxfId="0" priority="497" operator="lessThan">
      <formula>20</formula>
    </cfRule>
    <cfRule type="cellIs" dxfId="1" priority="249" operator="greaterThan">
      <formula>120</formula>
    </cfRule>
    <cfRule type="containsText" dxfId="2" priority="1" operator="between" text="库存为">
      <formula>NOT(ISERROR(SEARCH("库存为",AU253)))</formula>
    </cfRule>
  </conditionalFormatting>
  <conditionalFormatting sqref="AU254">
    <cfRule type="cellIs" dxfId="0" priority="2011" operator="lessThan">
      <formula>20</formula>
    </cfRule>
    <cfRule type="cellIs" dxfId="1" priority="1754" operator="greaterThan">
      <formula>120</formula>
    </cfRule>
    <cfRule type="containsText" dxfId="2" priority="1497" operator="between" text="库存为">
      <formula>NOT(ISERROR(SEARCH("库存为",AU254)))</formula>
    </cfRule>
  </conditionalFormatting>
  <conditionalFormatting sqref="AU255">
    <cfRule type="cellIs" dxfId="0" priority="2010" operator="lessThan">
      <formula>20</formula>
    </cfRule>
    <cfRule type="cellIs" dxfId="1" priority="1753" operator="greaterThan">
      <formula>120</formula>
    </cfRule>
    <cfRule type="containsText" dxfId="2" priority="1496" operator="between" text="库存为">
      <formula>NOT(ISERROR(SEARCH("库存为",AU255)))</formula>
    </cfRule>
  </conditionalFormatting>
  <conditionalFormatting sqref="AU256">
    <cfRule type="cellIs" dxfId="0" priority="2009" operator="lessThan">
      <formula>20</formula>
    </cfRule>
    <cfRule type="cellIs" dxfId="1" priority="1752" operator="greaterThan">
      <formula>120</formula>
    </cfRule>
    <cfRule type="containsText" dxfId="2" priority="1495" operator="between" text="库存为">
      <formula>NOT(ISERROR(SEARCH("库存为",AU256)))</formula>
    </cfRule>
  </conditionalFormatting>
  <conditionalFormatting sqref="AU257">
    <cfRule type="cellIs" dxfId="0" priority="2008" operator="lessThan">
      <formula>20</formula>
    </cfRule>
    <cfRule type="cellIs" dxfId="1" priority="1751" operator="greaterThan">
      <formula>120</formula>
    </cfRule>
    <cfRule type="containsText" dxfId="2" priority="1494" operator="between" text="库存为">
      <formula>NOT(ISERROR(SEARCH("库存为",AU257)))</formula>
    </cfRule>
  </conditionalFormatting>
  <conditionalFormatting sqref="AU258">
    <cfRule type="cellIs" dxfId="0" priority="2007" operator="lessThan">
      <formula>20</formula>
    </cfRule>
    <cfRule type="cellIs" dxfId="1" priority="1750" operator="greaterThan">
      <formula>120</formula>
    </cfRule>
    <cfRule type="containsText" dxfId="2" priority="1493" operator="between" text="库存为">
      <formula>NOT(ISERROR(SEARCH("库存为",AU258)))</formula>
    </cfRule>
  </conditionalFormatting>
  <conditionalFormatting sqref="AU259">
    <cfRule type="cellIs" dxfId="0" priority="2006" operator="lessThan">
      <formula>20</formula>
    </cfRule>
    <cfRule type="cellIs" dxfId="1" priority="1749" operator="greaterThan">
      <formula>120</formula>
    </cfRule>
    <cfRule type="containsText" dxfId="2" priority="1492" operator="between" text="库存为">
      <formula>NOT(ISERROR(SEARCH("库存为",AU259)))</formula>
    </cfRule>
  </conditionalFormatting>
  <conditionalFormatting sqref="AU260">
    <cfRule type="cellIs" dxfId="0" priority="2005" operator="lessThan">
      <formula>20</formula>
    </cfRule>
    <cfRule type="cellIs" dxfId="1" priority="1748" operator="greaterThan">
      <formula>120</formula>
    </cfRule>
    <cfRule type="containsText" dxfId="2" priority="1491" operator="between" text="库存为">
      <formula>NOT(ISERROR(SEARCH("库存为",AU260)))</formula>
    </cfRule>
  </conditionalFormatting>
  <conditionalFormatting sqref="AU261">
    <cfRule type="cellIs" dxfId="0" priority="2004" operator="lessThan">
      <formula>20</formula>
    </cfRule>
    <cfRule type="cellIs" dxfId="1" priority="1747" operator="greaterThan">
      <formula>120</formula>
    </cfRule>
    <cfRule type="containsText" dxfId="2" priority="1490" operator="between" text="库存为">
      <formula>NOT(ISERROR(SEARCH("库存为",AU261)))</formula>
    </cfRule>
  </conditionalFormatting>
  <conditionalFormatting sqref="AU262">
    <cfRule type="cellIs" dxfId="0" priority="2003" operator="lessThan">
      <formula>20</formula>
    </cfRule>
    <cfRule type="cellIs" dxfId="1" priority="1746" operator="greaterThan">
      <formula>120</formula>
    </cfRule>
    <cfRule type="containsText" dxfId="2" priority="1489" operator="between" text="库存为">
      <formula>NOT(ISERROR(SEARCH("库存为",AU262)))</formula>
    </cfRule>
  </conditionalFormatting>
  <conditionalFormatting sqref="AU263">
    <cfRule type="cellIs" dxfId="0" priority="2797" operator="lessThan">
      <formula>20</formula>
    </cfRule>
    <cfRule type="cellIs" dxfId="1" priority="2532" operator="greaterThan">
      <formula>120</formula>
    </cfRule>
    <cfRule type="containsText" dxfId="2" priority="2267" operator="between" text="库存为">
      <formula>NOT(ISERROR(SEARCH("库存为",AU263)))</formula>
    </cfRule>
  </conditionalFormatting>
  <conditionalFormatting sqref="AU264">
    <cfRule type="cellIs" dxfId="0" priority="2796" operator="lessThan">
      <formula>20</formula>
    </cfRule>
    <cfRule type="cellIs" dxfId="1" priority="2531" operator="greaterThan">
      <formula>120</formula>
    </cfRule>
    <cfRule type="containsText" dxfId="2" priority="2266" operator="between" text="库存为">
      <formula>NOT(ISERROR(SEARCH("库存为",AU264)))</formula>
    </cfRule>
  </conditionalFormatting>
  <conditionalFormatting sqref="AU265">
    <cfRule type="cellIs" dxfId="0" priority="2795" operator="lessThan">
      <formula>20</formula>
    </cfRule>
    <cfRule type="cellIs" dxfId="1" priority="2530" operator="greaterThan">
      <formula>120</formula>
    </cfRule>
    <cfRule type="containsText" dxfId="2" priority="2265" operator="between" text="库存为">
      <formula>NOT(ISERROR(SEARCH("库存为",AU265)))</formula>
    </cfRule>
  </conditionalFormatting>
  <conditionalFormatting sqref="AU266">
    <cfRule type="cellIs" dxfId="0" priority="2794" operator="lessThan">
      <formula>20</formula>
    </cfRule>
    <cfRule type="cellIs" dxfId="1" priority="2529" operator="greaterThan">
      <formula>120</formula>
    </cfRule>
    <cfRule type="containsText" dxfId="2" priority="2264" operator="between" text="库存为">
      <formula>NOT(ISERROR(SEARCH("库存为",AU266)))</formula>
    </cfRule>
  </conditionalFormatting>
  <conditionalFormatting sqref="AU267">
    <cfRule type="cellIs" dxfId="0" priority="2793" operator="lessThan">
      <formula>20</formula>
    </cfRule>
    <cfRule type="cellIs" dxfId="1" priority="2528" operator="greaterThan">
      <formula>120</formula>
    </cfRule>
    <cfRule type="containsText" dxfId="2" priority="2263" operator="between" text="库存为">
      <formula>NOT(ISERROR(SEARCH("库存为",AU267)))</formula>
    </cfRule>
  </conditionalFormatting>
  <conditionalFormatting sqref="AU268">
    <cfRule type="cellIs" dxfId="0" priority="2792" operator="lessThan">
      <formula>20</formula>
    </cfRule>
    <cfRule type="cellIs" dxfId="1" priority="2527" operator="greaterThan">
      <formula>120</formula>
    </cfRule>
    <cfRule type="containsText" dxfId="2" priority="2262" operator="between" text="库存为">
      <formula>NOT(ISERROR(SEARCH("库存为",AU268)))</formula>
    </cfRule>
  </conditionalFormatting>
  <conditionalFormatting sqref="AU269">
    <cfRule type="cellIs" dxfId="0" priority="2791" operator="lessThan">
      <formula>20</formula>
    </cfRule>
    <cfRule type="cellIs" dxfId="1" priority="2526" operator="greaterThan">
      <formula>120</formula>
    </cfRule>
    <cfRule type="containsText" dxfId="2" priority="2261" operator="between" text="库存为">
      <formula>NOT(ISERROR(SEARCH("库存为",AU269)))</formula>
    </cfRule>
  </conditionalFormatting>
  <conditionalFormatting sqref="AU270">
    <cfRule type="cellIs" dxfId="0" priority="2790" operator="lessThan">
      <formula>20</formula>
    </cfRule>
    <cfRule type="cellIs" dxfId="1" priority="2525" operator="greaterThan">
      <formula>120</formula>
    </cfRule>
    <cfRule type="containsText" dxfId="2" priority="2260" operator="between" text="库存为">
      <formula>NOT(ISERROR(SEARCH("库存为",AU270)))</formula>
    </cfRule>
  </conditionalFormatting>
  <conditionalFormatting sqref="AU271">
    <cfRule type="cellIs" dxfId="0" priority="3617" operator="lessThan">
      <formula>20</formula>
    </cfRule>
    <cfRule type="cellIs" dxfId="1" priority="3341" operator="greaterThan">
      <formula>120</formula>
    </cfRule>
    <cfRule type="containsText" dxfId="2" priority="3065" operator="between" text="库存为">
      <formula>NOT(ISERROR(SEARCH("库存为",AU271)))</formula>
    </cfRule>
  </conditionalFormatting>
  <conditionalFormatting sqref="AU272">
    <cfRule type="cellIs" dxfId="0" priority="3616" operator="lessThan">
      <formula>20</formula>
    </cfRule>
    <cfRule type="cellIs" dxfId="1" priority="3340" operator="greaterThan">
      <formula>120</formula>
    </cfRule>
    <cfRule type="containsText" dxfId="2" priority="3064" operator="between" text="库存为">
      <formula>NOT(ISERROR(SEARCH("库存为",AU272)))</formula>
    </cfRule>
  </conditionalFormatting>
  <conditionalFormatting sqref="AU273">
    <cfRule type="cellIs" dxfId="0" priority="3615" operator="lessThan">
      <formula>20</formula>
    </cfRule>
    <cfRule type="cellIs" dxfId="1" priority="3339" operator="greaterThan">
      <formula>120</formula>
    </cfRule>
    <cfRule type="containsText" dxfId="2" priority="3063" operator="between" text="库存为">
      <formula>NOT(ISERROR(SEARCH("库存为",AU273)))</formula>
    </cfRule>
  </conditionalFormatting>
  <conditionalFormatting sqref="AU274">
    <cfRule type="cellIs" dxfId="0" priority="3614" operator="lessThan">
      <formula>20</formula>
    </cfRule>
    <cfRule type="cellIs" dxfId="1" priority="3338" operator="greaterThan">
      <formula>120</formula>
    </cfRule>
    <cfRule type="containsText" dxfId="2" priority="3062" operator="between" text="库存为">
      <formula>NOT(ISERROR(SEARCH("库存为",AU274)))</formula>
    </cfRule>
  </conditionalFormatting>
  <conditionalFormatting sqref="AU275">
    <cfRule type="cellIs" dxfId="0" priority="3613" operator="lessThan">
      <formula>20</formula>
    </cfRule>
    <cfRule type="cellIs" dxfId="1" priority="3337" operator="greaterThan">
      <formula>120</formula>
    </cfRule>
    <cfRule type="containsText" dxfId="2" priority="3061" operator="between" text="库存为">
      <formula>NOT(ISERROR(SEARCH("库存为",AU275)))</formula>
    </cfRule>
  </conditionalFormatting>
  <conditionalFormatting sqref="AU276">
    <cfRule type="cellIs" dxfId="0" priority="3612" operator="lessThan">
      <formula>20</formula>
    </cfRule>
    <cfRule type="cellIs" dxfId="1" priority="3336" operator="greaterThan">
      <formula>120</formula>
    </cfRule>
    <cfRule type="containsText" dxfId="2" priority="3060" operator="between" text="库存为">
      <formula>NOT(ISERROR(SEARCH("库存为",AU276)))</formula>
    </cfRule>
  </conditionalFormatting>
  <conditionalFormatting sqref="AU277">
    <cfRule type="cellIs" dxfId="0" priority="3611" operator="lessThan">
      <formula>20</formula>
    </cfRule>
    <cfRule type="cellIs" dxfId="1" priority="3335" operator="greaterThan">
      <formula>120</formula>
    </cfRule>
    <cfRule type="containsText" dxfId="2" priority="3059" operator="between" text="库存为">
      <formula>NOT(ISERROR(SEARCH("库存为",AU277)))</formula>
    </cfRule>
  </conditionalFormatting>
  <conditionalFormatting sqref="AU278">
    <cfRule type="cellIs" dxfId="0" priority="3610" operator="lessThan">
      <formula>20</formula>
    </cfRule>
    <cfRule type="cellIs" dxfId="1" priority="3334" operator="greaterThan">
      <formula>120</formula>
    </cfRule>
    <cfRule type="containsText" dxfId="2" priority="3058" operator="between" text="库存为">
      <formula>NOT(ISERROR(SEARCH("库存为",AU278)))</formula>
    </cfRule>
  </conditionalFormatting>
  <conditionalFormatting sqref="AU279">
    <cfRule type="cellIs" dxfId="0" priority="3609" operator="lessThan">
      <formula>20</formula>
    </cfRule>
    <cfRule type="cellIs" dxfId="1" priority="3333" operator="greaterThan">
      <formula>120</formula>
    </cfRule>
    <cfRule type="containsText" dxfId="2" priority="3057" operator="between" text="库存为">
      <formula>NOT(ISERROR(SEARCH("库存为",AU279)))</formula>
    </cfRule>
  </conditionalFormatting>
  <conditionalFormatting sqref="AU280">
    <cfRule type="cellIs" dxfId="0" priority="3608" operator="lessThan">
      <formula>20</formula>
    </cfRule>
    <cfRule type="cellIs" dxfId="1" priority="3332" operator="greaterThan">
      <formula>120</formula>
    </cfRule>
    <cfRule type="containsText" dxfId="2" priority="3056" operator="between" text="库存为">
      <formula>NOT(ISERROR(SEARCH("库存为",AU280)))</formula>
    </cfRule>
  </conditionalFormatting>
  <conditionalFormatting sqref="AU281">
    <cfRule type="cellIs" dxfId="0" priority="3607" operator="lessThan">
      <formula>20</formula>
    </cfRule>
    <cfRule type="cellIs" dxfId="1" priority="3331" operator="greaterThan">
      <formula>120</formula>
    </cfRule>
    <cfRule type="containsText" dxfId="2" priority="3055" operator="between" text="库存为">
      <formula>NOT(ISERROR(SEARCH("库存为",AU281)))</formula>
    </cfRule>
  </conditionalFormatting>
  <conditionalFormatting sqref="AU282">
    <cfRule type="cellIs" dxfId="0" priority="4440" operator="lessThan">
      <formula>20</formula>
    </cfRule>
    <cfRule type="cellIs" dxfId="1" priority="4162" operator="greaterThan">
      <formula>120</formula>
    </cfRule>
    <cfRule type="containsText" dxfId="2" priority="3884" operator="between" text="库存为">
      <formula>NOT(ISERROR(SEARCH("库存为",AU282)))</formula>
    </cfRule>
  </conditionalFormatting>
  <conditionalFormatting sqref="AU283">
    <cfRule type="cellIs" dxfId="0" priority="4439" operator="lessThan">
      <formula>20</formula>
    </cfRule>
    <cfRule type="cellIs" dxfId="1" priority="4161" operator="greaterThan">
      <formula>120</formula>
    </cfRule>
    <cfRule type="containsText" dxfId="2" priority="3883" operator="between" text="库存为">
      <formula>NOT(ISERROR(SEARCH("库存为",AU283)))</formula>
    </cfRule>
  </conditionalFormatting>
  <conditionalFormatting sqref="AU284">
    <cfRule type="cellIs" dxfId="0" priority="5281" operator="lessThan">
      <formula>20</formula>
    </cfRule>
    <cfRule type="cellIs" dxfId="1" priority="5000" operator="greaterThan">
      <formula>120</formula>
    </cfRule>
    <cfRule type="containsText" dxfId="2" priority="4719" operator="between" text="库存为">
      <formula>NOT(ISERROR(SEARCH("库存为",AU284)))</formula>
    </cfRule>
  </conditionalFormatting>
  <conditionalFormatting sqref="AU285">
    <cfRule type="cellIs" dxfId="0" priority="5280" operator="lessThan">
      <formula>20</formula>
    </cfRule>
    <cfRule type="cellIs" dxfId="1" priority="4999" operator="greaterThan">
      <formula>120</formula>
    </cfRule>
    <cfRule type="containsText" dxfId="2" priority="4718" operator="between" text="库存为">
      <formula>NOT(ISERROR(SEARCH("库存为",AU285)))</formula>
    </cfRule>
  </conditionalFormatting>
  <conditionalFormatting sqref="AU286">
    <cfRule type="cellIs" dxfId="0" priority="5279" operator="lessThan">
      <formula>20</formula>
    </cfRule>
    <cfRule type="cellIs" dxfId="1" priority="4998" operator="greaterThan">
      <formula>120</formula>
    </cfRule>
    <cfRule type="containsText" dxfId="2" priority="4717" operator="between" text="库存为">
      <formula>NOT(ISERROR(SEARCH("库存为",AU286)))</formula>
    </cfRule>
  </conditionalFormatting>
  <conditionalFormatting sqref="AU287">
    <cfRule type="cellIs" dxfId="0" priority="6958" operator="lessThan">
      <formula>20</formula>
    </cfRule>
    <cfRule type="cellIs" dxfId="1" priority="6676" operator="greaterThan">
      <formula>120</formula>
    </cfRule>
    <cfRule type="containsText" dxfId="2" priority="6394" operator="between" text="库存为">
      <formula>NOT(ISERROR(SEARCH("库存为",AU287)))</formula>
    </cfRule>
  </conditionalFormatting>
  <conditionalFormatting sqref="AU288">
    <cfRule type="cellIs" dxfId="0" priority="9264" operator="lessThan">
      <formula>20</formula>
    </cfRule>
    <cfRule type="cellIs" dxfId="1" priority="8495" operator="greaterThan">
      <formula>120</formula>
    </cfRule>
    <cfRule type="containsText" dxfId="2" priority="7726" operator="between" text="库存为">
      <formula>NOT(ISERROR(SEARCH("库存为",AU288)))</formula>
    </cfRule>
  </conditionalFormatting>
  <conditionalFormatting sqref="AU289">
    <cfRule type="cellIs" dxfId="0" priority="9263" operator="lessThan">
      <formula>20</formula>
    </cfRule>
    <cfRule type="cellIs" dxfId="1" priority="8494" operator="greaterThan">
      <formula>120</formula>
    </cfRule>
    <cfRule type="containsText" dxfId="2" priority="7725" operator="between" text="库存为">
      <formula>NOT(ISERROR(SEARCH("库存为",AU289)))</formula>
    </cfRule>
  </conditionalFormatting>
  <conditionalFormatting sqref="AU290">
    <cfRule type="cellIs" dxfId="0" priority="9262" operator="lessThan">
      <formula>20</formula>
    </cfRule>
    <cfRule type="cellIs" dxfId="1" priority="8493" operator="greaterThan">
      <formula>120</formula>
    </cfRule>
    <cfRule type="containsText" dxfId="2" priority="7724" operator="between" text="库存为">
      <formula>NOT(ISERROR(SEARCH("库存为",AU290)))</formula>
    </cfRule>
  </conditionalFormatting>
  <conditionalFormatting sqref="AU291">
    <cfRule type="cellIs" dxfId="0" priority="9261" operator="lessThan">
      <formula>20</formula>
    </cfRule>
    <cfRule type="cellIs" dxfId="1" priority="8492" operator="greaterThan">
      <formula>120</formula>
    </cfRule>
    <cfRule type="containsText" dxfId="2" priority="7723" operator="between" text="库存为">
      <formula>NOT(ISERROR(SEARCH("库存为",AU291)))</formula>
    </cfRule>
  </conditionalFormatting>
  <conditionalFormatting sqref="AU292">
    <cfRule type="cellIs" dxfId="0" priority="9260" operator="lessThan">
      <formula>20</formula>
    </cfRule>
    <cfRule type="cellIs" dxfId="1" priority="8491" operator="greaterThan">
      <formula>120</formula>
    </cfRule>
    <cfRule type="containsText" dxfId="2" priority="7722" operator="between" text="库存为">
      <formula>NOT(ISERROR(SEARCH("库存为",AU292)))</formula>
    </cfRule>
  </conditionalFormatting>
  <conditionalFormatting sqref="AU293">
    <cfRule type="cellIs" dxfId="0" priority="9259" operator="lessThan">
      <formula>20</formula>
    </cfRule>
    <cfRule type="cellIs" dxfId="1" priority="8490" operator="greaterThan">
      <formula>120</formula>
    </cfRule>
    <cfRule type="containsText" dxfId="2" priority="7721" operator="between" text="库存为">
      <formula>NOT(ISERROR(SEARCH("库存为",AU293)))</formula>
    </cfRule>
  </conditionalFormatting>
  <conditionalFormatting sqref="AU294">
    <cfRule type="cellIs" dxfId="0" priority="9258" operator="lessThan">
      <formula>20</formula>
    </cfRule>
    <cfRule type="cellIs" dxfId="1" priority="8489" operator="greaterThan">
      <formula>120</formula>
    </cfRule>
    <cfRule type="containsText" dxfId="2" priority="7720" operator="between" text="库存为">
      <formula>NOT(ISERROR(SEARCH("库存为",AU294)))</formula>
    </cfRule>
  </conditionalFormatting>
  <conditionalFormatting sqref="AU295">
    <cfRule type="cellIs" dxfId="0" priority="9257" operator="lessThan">
      <formula>20</formula>
    </cfRule>
    <cfRule type="cellIs" dxfId="1" priority="8488" operator="greaterThan">
      <formula>120</formula>
    </cfRule>
    <cfRule type="containsText" dxfId="2" priority="7719" operator="between" text="库存为">
      <formula>NOT(ISERROR(SEARCH("库存为",AU295)))</formula>
    </cfRule>
  </conditionalFormatting>
  <conditionalFormatting sqref="AU296">
    <cfRule type="cellIs" dxfId="0" priority="9256" operator="lessThan">
      <formula>20</formula>
    </cfRule>
    <cfRule type="cellIs" dxfId="1" priority="8487" operator="greaterThan">
      <formula>120</formula>
    </cfRule>
    <cfRule type="containsText" dxfId="2" priority="7718" operator="between" text="库存为">
      <formula>NOT(ISERROR(SEARCH("库存为",AU296)))</formula>
    </cfRule>
  </conditionalFormatting>
  <conditionalFormatting sqref="AU297">
    <cfRule type="cellIs" dxfId="0" priority="9255" operator="lessThan">
      <formula>20</formula>
    </cfRule>
    <cfRule type="cellIs" dxfId="1" priority="8486" operator="greaterThan">
      <formula>120</formula>
    </cfRule>
    <cfRule type="containsText" dxfId="2" priority="7717" operator="between" text="库存为">
      <formula>NOT(ISERROR(SEARCH("库存为",AU297)))</formula>
    </cfRule>
  </conditionalFormatting>
  <conditionalFormatting sqref="AU298">
    <cfRule type="cellIs" dxfId="0" priority="9254" operator="lessThan">
      <formula>20</formula>
    </cfRule>
    <cfRule type="cellIs" dxfId="1" priority="8485" operator="greaterThan">
      <formula>120</formula>
    </cfRule>
    <cfRule type="containsText" dxfId="2" priority="7716" operator="between" text="库存为">
      <formula>NOT(ISERROR(SEARCH("库存为",AU298)))</formula>
    </cfRule>
  </conditionalFormatting>
  <conditionalFormatting sqref="AU299">
    <cfRule type="cellIs" dxfId="0" priority="9253" operator="lessThan">
      <formula>20</formula>
    </cfRule>
    <cfRule type="cellIs" dxfId="1" priority="8484" operator="greaterThan">
      <formula>120</formula>
    </cfRule>
    <cfRule type="containsText" dxfId="2" priority="7715" operator="between" text="库存为">
      <formula>NOT(ISERROR(SEARCH("库存为",AU299)))</formula>
    </cfRule>
  </conditionalFormatting>
  <conditionalFormatting sqref="AU300">
    <cfRule type="cellIs" dxfId="0" priority="9252" operator="lessThan">
      <formula>20</formula>
    </cfRule>
    <cfRule type="cellIs" dxfId="1" priority="8483" operator="greaterThan">
      <formula>120</formula>
    </cfRule>
    <cfRule type="containsText" dxfId="2" priority="7714" operator="between" text="库存为">
      <formula>NOT(ISERROR(SEARCH("库存为",AU300)))</formula>
    </cfRule>
  </conditionalFormatting>
  <conditionalFormatting sqref="AU301">
    <cfRule type="cellIs" dxfId="0" priority="9251" operator="lessThan">
      <formula>20</formula>
    </cfRule>
    <cfRule type="cellIs" dxfId="1" priority="8482" operator="greaterThan">
      <formula>120</formula>
    </cfRule>
    <cfRule type="containsText" dxfId="2" priority="7713" operator="between" text="库存为">
      <formula>NOT(ISERROR(SEARCH("库存为",AU301)))</formula>
    </cfRule>
  </conditionalFormatting>
  <conditionalFormatting sqref="AU302">
    <cfRule type="cellIs" dxfId="0" priority="9250" operator="lessThan">
      <formula>20</formula>
    </cfRule>
    <cfRule type="cellIs" dxfId="1" priority="8481" operator="greaterThan">
      <formula>120</formula>
    </cfRule>
    <cfRule type="containsText" dxfId="2" priority="7712" operator="between" text="库存为">
      <formula>NOT(ISERROR(SEARCH("库存为",AU302)))</formula>
    </cfRule>
  </conditionalFormatting>
  <conditionalFormatting sqref="AU303">
    <cfRule type="cellIs" dxfId="0" priority="9249" operator="lessThan">
      <formula>20</formula>
    </cfRule>
    <cfRule type="cellIs" dxfId="1" priority="8480" operator="greaterThan">
      <formula>120</formula>
    </cfRule>
    <cfRule type="containsText" dxfId="2" priority="7711" operator="between" text="库存为">
      <formula>NOT(ISERROR(SEARCH("库存为",AU303)))</formula>
    </cfRule>
  </conditionalFormatting>
  <conditionalFormatting sqref="AU304">
    <cfRule type="cellIs" dxfId="0" priority="9248" operator="lessThan">
      <formula>20</formula>
    </cfRule>
    <cfRule type="cellIs" dxfId="1" priority="8479" operator="greaterThan">
      <formula>120</formula>
    </cfRule>
    <cfRule type="containsText" dxfId="2" priority="7710" operator="between" text="库存为">
      <formula>NOT(ISERROR(SEARCH("库存为",AU304)))</formula>
    </cfRule>
  </conditionalFormatting>
  <conditionalFormatting sqref="AU305">
    <cfRule type="cellIs" dxfId="0" priority="9247" operator="lessThan">
      <formula>20</formula>
    </cfRule>
    <cfRule type="cellIs" dxfId="1" priority="8478" operator="greaterThan">
      <formula>120</formula>
    </cfRule>
    <cfRule type="containsText" dxfId="2" priority="7709" operator="between" text="库存为">
      <formula>NOT(ISERROR(SEARCH("库存为",AU305)))</formula>
    </cfRule>
  </conditionalFormatting>
  <conditionalFormatting sqref="AU306">
    <cfRule type="cellIs" dxfId="0" priority="9246" operator="lessThan">
      <formula>20</formula>
    </cfRule>
    <cfRule type="cellIs" dxfId="1" priority="8477" operator="greaterThan">
      <formula>120</formula>
    </cfRule>
    <cfRule type="containsText" dxfId="2" priority="7708" operator="between" text="库存为">
      <formula>NOT(ISERROR(SEARCH("库存为",AU306)))</formula>
    </cfRule>
  </conditionalFormatting>
  <conditionalFormatting sqref="AU307">
    <cfRule type="cellIs" dxfId="0" priority="9245" operator="lessThan">
      <formula>20</formula>
    </cfRule>
    <cfRule type="cellIs" dxfId="1" priority="8476" operator="greaterThan">
      <formula>120</formula>
    </cfRule>
    <cfRule type="containsText" dxfId="2" priority="7707" operator="between" text="库存为">
      <formula>NOT(ISERROR(SEARCH("库存为",AU307)))</formula>
    </cfRule>
  </conditionalFormatting>
  <conditionalFormatting sqref="AU308">
    <cfRule type="cellIs" dxfId="0" priority="9244" operator="lessThan">
      <formula>20</formula>
    </cfRule>
    <cfRule type="cellIs" dxfId="1" priority="8475" operator="greaterThan">
      <formula>120</formula>
    </cfRule>
    <cfRule type="containsText" dxfId="2" priority="7706" operator="between" text="库存为">
      <formula>NOT(ISERROR(SEARCH("库存为",AU308)))</formula>
    </cfRule>
  </conditionalFormatting>
  <conditionalFormatting sqref="AU309">
    <cfRule type="cellIs" dxfId="0" priority="9243" operator="lessThan">
      <formula>20</formula>
    </cfRule>
    <cfRule type="cellIs" dxfId="1" priority="8474" operator="greaterThan">
      <formula>120</formula>
    </cfRule>
    <cfRule type="containsText" dxfId="2" priority="7705" operator="between" text="库存为">
      <formula>NOT(ISERROR(SEARCH("库存为",AU309)))</formula>
    </cfRule>
  </conditionalFormatting>
  <conditionalFormatting sqref="AU310">
    <cfRule type="cellIs" dxfId="0" priority="9242" operator="lessThan">
      <formula>20</formula>
    </cfRule>
    <cfRule type="cellIs" dxfId="1" priority="8473" operator="greaterThan">
      <formula>120</formula>
    </cfRule>
    <cfRule type="containsText" dxfId="2" priority="7704" operator="between" text="库存为">
      <formula>NOT(ISERROR(SEARCH("库存为",AU310)))</formula>
    </cfRule>
  </conditionalFormatting>
  <conditionalFormatting sqref="AU311">
    <cfRule type="cellIs" dxfId="0" priority="9241" operator="lessThan">
      <formula>20</formula>
    </cfRule>
    <cfRule type="cellIs" dxfId="1" priority="8472" operator="greaterThan">
      <formula>120</formula>
    </cfRule>
    <cfRule type="containsText" dxfId="2" priority="7703" operator="between" text="库存为">
      <formula>NOT(ISERROR(SEARCH("库存为",AU311)))</formula>
    </cfRule>
  </conditionalFormatting>
  <conditionalFormatting sqref="AU312">
    <cfRule type="cellIs" dxfId="0" priority="9240" operator="lessThan">
      <formula>20</formula>
    </cfRule>
    <cfRule type="cellIs" dxfId="1" priority="8471" operator="greaterThan">
      <formula>120</formula>
    </cfRule>
    <cfRule type="containsText" dxfId="2" priority="7702" operator="between" text="库存为">
      <formula>NOT(ISERROR(SEARCH("库存为",AU312)))</formula>
    </cfRule>
  </conditionalFormatting>
  <conditionalFormatting sqref="AU313">
    <cfRule type="cellIs" dxfId="0" priority="9239" operator="lessThan">
      <formula>20</formula>
    </cfRule>
    <cfRule type="cellIs" dxfId="1" priority="8470" operator="greaterThan">
      <formula>120</formula>
    </cfRule>
    <cfRule type="containsText" dxfId="2" priority="7701" operator="between" text="库存为">
      <formula>NOT(ISERROR(SEARCH("库存为",AU313)))</formula>
    </cfRule>
  </conditionalFormatting>
  <conditionalFormatting sqref="AU314">
    <cfRule type="cellIs" dxfId="0" priority="9238" operator="lessThan">
      <formula>20</formula>
    </cfRule>
    <cfRule type="cellIs" dxfId="1" priority="8469" operator="greaterThan">
      <formula>120</formula>
    </cfRule>
    <cfRule type="containsText" dxfId="2" priority="7700" operator="between" text="库存为">
      <formula>NOT(ISERROR(SEARCH("库存为",AU314)))</formula>
    </cfRule>
  </conditionalFormatting>
  <conditionalFormatting sqref="AU315">
    <cfRule type="cellIs" dxfId="0" priority="9237" operator="lessThan">
      <formula>20</formula>
    </cfRule>
    <cfRule type="cellIs" dxfId="1" priority="8468" operator="greaterThan">
      <formula>120</formula>
    </cfRule>
    <cfRule type="containsText" dxfId="2" priority="7699" operator="between" text="库存为">
      <formula>NOT(ISERROR(SEARCH("库存为",AU315)))</formula>
    </cfRule>
  </conditionalFormatting>
  <conditionalFormatting sqref="AU316">
    <cfRule type="cellIs" dxfId="0" priority="9236" operator="lessThan">
      <formula>20</formula>
    </cfRule>
    <cfRule type="cellIs" dxfId="1" priority="8467" operator="greaterThan">
      <formula>120</formula>
    </cfRule>
    <cfRule type="containsText" dxfId="2" priority="7698" operator="between" text="库存为">
      <formula>NOT(ISERROR(SEARCH("库存为",AU316)))</formula>
    </cfRule>
  </conditionalFormatting>
  <conditionalFormatting sqref="AU317">
    <cfRule type="cellIs" dxfId="0" priority="9235" operator="lessThan">
      <formula>20</formula>
    </cfRule>
    <cfRule type="cellIs" dxfId="1" priority="8466" operator="greaterThan">
      <formula>120</formula>
    </cfRule>
    <cfRule type="containsText" dxfId="2" priority="7697" operator="between" text="库存为">
      <formula>NOT(ISERROR(SEARCH("库存为",AU317)))</formula>
    </cfRule>
  </conditionalFormatting>
  <conditionalFormatting sqref="AU318">
    <cfRule type="cellIs" dxfId="0" priority="9234" operator="lessThan">
      <formula>20</formula>
    </cfRule>
    <cfRule type="cellIs" dxfId="1" priority="8465" operator="greaterThan">
      <formula>120</formula>
    </cfRule>
    <cfRule type="containsText" dxfId="2" priority="7696" operator="between" text="库存为">
      <formula>NOT(ISERROR(SEARCH("库存为",AU318)))</formula>
    </cfRule>
  </conditionalFormatting>
  <conditionalFormatting sqref="AU319">
    <cfRule type="cellIs" dxfId="0" priority="9233" operator="lessThan">
      <formula>20</formula>
    </cfRule>
    <cfRule type="cellIs" dxfId="1" priority="8464" operator="greaterThan">
      <formula>120</formula>
    </cfRule>
    <cfRule type="containsText" dxfId="2" priority="7695" operator="between" text="库存为">
      <formula>NOT(ISERROR(SEARCH("库存为",AU319)))</formula>
    </cfRule>
  </conditionalFormatting>
  <conditionalFormatting sqref="AU320">
    <cfRule type="cellIs" dxfId="0" priority="9232" operator="lessThan">
      <formula>20</formula>
    </cfRule>
    <cfRule type="cellIs" dxfId="1" priority="8463" operator="greaterThan">
      <formula>120</formula>
    </cfRule>
    <cfRule type="containsText" dxfId="2" priority="7694" operator="between" text="库存为">
      <formula>NOT(ISERROR(SEARCH("库存为",AU320)))</formula>
    </cfRule>
  </conditionalFormatting>
  <conditionalFormatting sqref="AU321">
    <cfRule type="cellIs" dxfId="0" priority="9231" operator="lessThan">
      <formula>20</formula>
    </cfRule>
    <cfRule type="cellIs" dxfId="1" priority="8462" operator="greaterThan">
      <formula>120</formula>
    </cfRule>
    <cfRule type="containsText" dxfId="2" priority="7693" operator="between" text="库存为">
      <formula>NOT(ISERROR(SEARCH("库存为",AU321)))</formula>
    </cfRule>
  </conditionalFormatting>
  <conditionalFormatting sqref="AU322">
    <cfRule type="cellIs" dxfId="0" priority="9230" operator="lessThan">
      <formula>20</formula>
    </cfRule>
    <cfRule type="cellIs" dxfId="1" priority="8461" operator="greaterThan">
      <formula>120</formula>
    </cfRule>
    <cfRule type="containsText" dxfId="2" priority="7692" operator="between" text="库存为">
      <formula>NOT(ISERROR(SEARCH("库存为",AU322)))</formula>
    </cfRule>
  </conditionalFormatting>
  <conditionalFormatting sqref="AU323">
    <cfRule type="cellIs" dxfId="0" priority="9229" operator="lessThan">
      <formula>20</formula>
    </cfRule>
    <cfRule type="cellIs" dxfId="1" priority="8460" operator="greaterThan">
      <formula>120</formula>
    </cfRule>
    <cfRule type="containsText" dxfId="2" priority="7691" operator="between" text="库存为">
      <formula>NOT(ISERROR(SEARCH("库存为",AU323)))</formula>
    </cfRule>
  </conditionalFormatting>
  <conditionalFormatting sqref="AU324">
    <cfRule type="cellIs" dxfId="0" priority="9228" operator="lessThan">
      <formula>20</formula>
    </cfRule>
    <cfRule type="cellIs" dxfId="1" priority="8459" operator="greaterThan">
      <formula>120</formula>
    </cfRule>
    <cfRule type="containsText" dxfId="2" priority="7690" operator="between" text="库存为">
      <formula>NOT(ISERROR(SEARCH("库存为",AU324)))</formula>
    </cfRule>
  </conditionalFormatting>
  <conditionalFormatting sqref="AU325">
    <cfRule type="cellIs" dxfId="0" priority="9227" operator="lessThan">
      <formula>20</formula>
    </cfRule>
    <cfRule type="cellIs" dxfId="1" priority="8458" operator="greaterThan">
      <formula>120</formula>
    </cfRule>
    <cfRule type="containsText" dxfId="2" priority="7689" operator="between" text="库存为">
      <formula>NOT(ISERROR(SEARCH("库存为",AU325)))</formula>
    </cfRule>
  </conditionalFormatting>
  <conditionalFormatting sqref="AU326">
    <cfRule type="cellIs" dxfId="0" priority="9226" operator="lessThan">
      <formula>20</formula>
    </cfRule>
    <cfRule type="cellIs" dxfId="1" priority="8457" operator="greaterThan">
      <formula>120</formula>
    </cfRule>
    <cfRule type="containsText" dxfId="2" priority="7688" operator="between" text="库存为">
      <formula>NOT(ISERROR(SEARCH("库存为",AU326)))</formula>
    </cfRule>
  </conditionalFormatting>
  <conditionalFormatting sqref="AU327">
    <cfRule type="cellIs" dxfId="0" priority="9225" operator="lessThan">
      <formula>20</formula>
    </cfRule>
    <cfRule type="cellIs" dxfId="1" priority="8456" operator="greaterThan">
      <formula>120</formula>
    </cfRule>
    <cfRule type="containsText" dxfId="2" priority="7687" operator="between" text="库存为">
      <formula>NOT(ISERROR(SEARCH("库存为",AU327)))</formula>
    </cfRule>
  </conditionalFormatting>
  <conditionalFormatting sqref="AU328">
    <cfRule type="cellIs" dxfId="0" priority="9224" operator="lessThan">
      <formula>20</formula>
    </cfRule>
    <cfRule type="cellIs" dxfId="1" priority="8455" operator="greaterThan">
      <formula>120</formula>
    </cfRule>
    <cfRule type="containsText" dxfId="2" priority="7686" operator="between" text="库存为">
      <formula>NOT(ISERROR(SEARCH("库存为",AU328)))</formula>
    </cfRule>
  </conditionalFormatting>
  <conditionalFormatting sqref="AU329">
    <cfRule type="cellIs" dxfId="0" priority="9223" operator="lessThan">
      <formula>20</formula>
    </cfRule>
    <cfRule type="cellIs" dxfId="1" priority="8454" operator="greaterThan">
      <formula>120</formula>
    </cfRule>
    <cfRule type="containsText" dxfId="2" priority="7685" operator="between" text="库存为">
      <formula>NOT(ISERROR(SEARCH("库存为",AU329)))</formula>
    </cfRule>
  </conditionalFormatting>
  <conditionalFormatting sqref="AU330">
    <cfRule type="cellIs" dxfId="0" priority="9222" operator="lessThan">
      <formula>20</formula>
    </cfRule>
    <cfRule type="cellIs" dxfId="1" priority="8453" operator="greaterThan">
      <formula>120</formula>
    </cfRule>
    <cfRule type="containsText" dxfId="2" priority="7684" operator="between" text="库存为">
      <formula>NOT(ISERROR(SEARCH("库存为",AU330)))</formula>
    </cfRule>
  </conditionalFormatting>
  <conditionalFormatting sqref="AU331">
    <cfRule type="cellIs" dxfId="0" priority="9221" operator="lessThan">
      <formula>20</formula>
    </cfRule>
    <cfRule type="cellIs" dxfId="1" priority="8452" operator="greaterThan">
      <formula>120</formula>
    </cfRule>
    <cfRule type="containsText" dxfId="2" priority="7683" operator="between" text="库存为">
      <formula>NOT(ISERROR(SEARCH("库存为",AU331)))</formula>
    </cfRule>
  </conditionalFormatting>
  <conditionalFormatting sqref="AU332">
    <cfRule type="cellIs" dxfId="0" priority="9220" operator="lessThan">
      <formula>20</formula>
    </cfRule>
    <cfRule type="cellIs" dxfId="1" priority="8451" operator="greaterThan">
      <formula>120</formula>
    </cfRule>
    <cfRule type="containsText" dxfId="2" priority="7682" operator="between" text="库存为">
      <formula>NOT(ISERROR(SEARCH("库存为",AU332)))</formula>
    </cfRule>
  </conditionalFormatting>
  <conditionalFormatting sqref="AU333">
    <cfRule type="cellIs" dxfId="0" priority="9219" operator="lessThan">
      <formula>20</formula>
    </cfRule>
    <cfRule type="cellIs" dxfId="1" priority="8450" operator="greaterThan">
      <formula>120</formula>
    </cfRule>
    <cfRule type="containsText" dxfId="2" priority="7681" operator="between" text="库存为">
      <formula>NOT(ISERROR(SEARCH("库存为",AU333)))</formula>
    </cfRule>
  </conditionalFormatting>
  <conditionalFormatting sqref="AU334">
    <cfRule type="cellIs" dxfId="0" priority="9218" operator="lessThan">
      <formula>20</formula>
    </cfRule>
    <cfRule type="cellIs" dxfId="1" priority="8449" operator="greaterThan">
      <formula>120</formula>
    </cfRule>
    <cfRule type="containsText" dxfId="2" priority="7680" operator="between" text="库存为">
      <formula>NOT(ISERROR(SEARCH("库存为",AU334)))</formula>
    </cfRule>
  </conditionalFormatting>
  <conditionalFormatting sqref="AU335">
    <cfRule type="cellIs" dxfId="0" priority="9217" operator="lessThan">
      <formula>20</formula>
    </cfRule>
    <cfRule type="cellIs" dxfId="1" priority="8448" operator="greaterThan">
      <formula>120</formula>
    </cfRule>
    <cfRule type="containsText" dxfId="2" priority="7679" operator="between" text="库存为">
      <formula>NOT(ISERROR(SEARCH("库存为",AU335)))</formula>
    </cfRule>
  </conditionalFormatting>
  <conditionalFormatting sqref="AU336">
    <cfRule type="cellIs" dxfId="0" priority="9216" operator="lessThan">
      <formula>20</formula>
    </cfRule>
    <cfRule type="cellIs" dxfId="1" priority="8447" operator="greaterThan">
      <formula>120</formula>
    </cfRule>
    <cfRule type="containsText" dxfId="2" priority="7678" operator="between" text="库存为">
      <formula>NOT(ISERROR(SEARCH("库存为",AU336)))</formula>
    </cfRule>
  </conditionalFormatting>
  <conditionalFormatting sqref="AU337">
    <cfRule type="cellIs" dxfId="0" priority="9215" operator="lessThan">
      <formula>20</formula>
    </cfRule>
    <cfRule type="cellIs" dxfId="1" priority="8446" operator="greaterThan">
      <formula>120</formula>
    </cfRule>
    <cfRule type="containsText" dxfId="2" priority="7677" operator="between" text="库存为">
      <formula>NOT(ISERROR(SEARCH("库存为",AU337)))</formula>
    </cfRule>
  </conditionalFormatting>
  <conditionalFormatting sqref="AU338">
    <cfRule type="cellIs" dxfId="0" priority="9214" operator="lessThan">
      <formula>20</formula>
    </cfRule>
    <cfRule type="cellIs" dxfId="1" priority="8445" operator="greaterThan">
      <formula>120</formula>
    </cfRule>
    <cfRule type="containsText" dxfId="2" priority="7676" operator="between" text="库存为">
      <formula>NOT(ISERROR(SEARCH("库存为",AU338)))</formula>
    </cfRule>
  </conditionalFormatting>
  <conditionalFormatting sqref="AU339">
    <cfRule type="cellIs" dxfId="0" priority="9213" operator="lessThan">
      <formula>20</formula>
    </cfRule>
    <cfRule type="cellIs" dxfId="1" priority="8444" operator="greaterThan">
      <formula>120</formula>
    </cfRule>
    <cfRule type="containsText" dxfId="2" priority="7675" operator="between" text="库存为">
      <formula>NOT(ISERROR(SEARCH("库存为",AU339)))</formula>
    </cfRule>
  </conditionalFormatting>
  <conditionalFormatting sqref="AU340">
    <cfRule type="cellIs" dxfId="0" priority="9212" operator="lessThan">
      <formula>20</formula>
    </cfRule>
    <cfRule type="cellIs" dxfId="1" priority="8443" operator="greaterThan">
      <formula>120</formula>
    </cfRule>
    <cfRule type="containsText" dxfId="2" priority="7674" operator="between" text="库存为">
      <formula>NOT(ISERROR(SEARCH("库存为",AU340)))</formula>
    </cfRule>
  </conditionalFormatting>
  <conditionalFormatting sqref="AU341">
    <cfRule type="cellIs" dxfId="0" priority="9211" operator="lessThan">
      <formula>20</formula>
    </cfRule>
    <cfRule type="cellIs" dxfId="1" priority="8442" operator="greaterThan">
      <formula>120</formula>
    </cfRule>
    <cfRule type="containsText" dxfId="2" priority="7673" operator="between" text="库存为">
      <formula>NOT(ISERROR(SEARCH("库存为",AU341)))</formula>
    </cfRule>
  </conditionalFormatting>
  <conditionalFormatting sqref="AU342">
    <cfRule type="cellIs" dxfId="0" priority="9210" operator="lessThan">
      <formula>20</formula>
    </cfRule>
    <cfRule type="cellIs" dxfId="1" priority="8441" operator="greaterThan">
      <formula>120</formula>
    </cfRule>
    <cfRule type="containsText" dxfId="2" priority="7672" operator="between" text="库存为">
      <formula>NOT(ISERROR(SEARCH("库存为",AU342)))</formula>
    </cfRule>
  </conditionalFormatting>
  <conditionalFormatting sqref="AU343">
    <cfRule type="cellIs" dxfId="0" priority="9209" operator="lessThan">
      <formula>20</formula>
    </cfRule>
    <cfRule type="cellIs" dxfId="1" priority="8440" operator="greaterThan">
      <formula>120</formula>
    </cfRule>
    <cfRule type="containsText" dxfId="2" priority="7671" operator="between" text="库存为">
      <formula>NOT(ISERROR(SEARCH("库存为",AU343)))</formula>
    </cfRule>
  </conditionalFormatting>
  <conditionalFormatting sqref="AU344">
    <cfRule type="cellIs" dxfId="0" priority="9208" operator="lessThan">
      <formula>20</formula>
    </cfRule>
    <cfRule type="cellIs" dxfId="1" priority="8439" operator="greaterThan">
      <formula>120</formula>
    </cfRule>
    <cfRule type="containsText" dxfId="2" priority="7670" operator="between" text="库存为">
      <formula>NOT(ISERROR(SEARCH("库存为",AU344)))</formula>
    </cfRule>
  </conditionalFormatting>
  <conditionalFormatting sqref="AU345">
    <cfRule type="cellIs" dxfId="0" priority="9207" operator="lessThan">
      <formula>20</formula>
    </cfRule>
    <cfRule type="cellIs" dxfId="1" priority="8438" operator="greaterThan">
      <formula>120</formula>
    </cfRule>
    <cfRule type="containsText" dxfId="2" priority="7669" operator="between" text="库存为">
      <formula>NOT(ISERROR(SEARCH("库存为",AU345)))</formula>
    </cfRule>
  </conditionalFormatting>
  <conditionalFormatting sqref="AU346">
    <cfRule type="cellIs" dxfId="0" priority="9206" operator="lessThan">
      <formula>20</formula>
    </cfRule>
    <cfRule type="cellIs" dxfId="1" priority="8437" operator="greaterThan">
      <formula>120</formula>
    </cfRule>
    <cfRule type="containsText" dxfId="2" priority="7668" operator="between" text="库存为">
      <formula>NOT(ISERROR(SEARCH("库存为",AU346)))</formula>
    </cfRule>
  </conditionalFormatting>
  <conditionalFormatting sqref="AU347">
    <cfRule type="cellIs" dxfId="0" priority="9205" operator="lessThan">
      <formula>20</formula>
    </cfRule>
    <cfRule type="cellIs" dxfId="1" priority="8436" operator="greaterThan">
      <formula>120</formula>
    </cfRule>
    <cfRule type="containsText" dxfId="2" priority="7667" operator="between" text="库存为">
      <formula>NOT(ISERROR(SEARCH("库存为",AU347)))</formula>
    </cfRule>
  </conditionalFormatting>
  <conditionalFormatting sqref="AU348">
    <cfRule type="cellIs" dxfId="0" priority="9204" operator="lessThan">
      <formula>20</formula>
    </cfRule>
    <cfRule type="cellIs" dxfId="1" priority="8435" operator="greaterThan">
      <formula>120</formula>
    </cfRule>
    <cfRule type="containsText" dxfId="2" priority="7666" operator="between" text="库存为">
      <formula>NOT(ISERROR(SEARCH("库存为",AU348)))</formula>
    </cfRule>
  </conditionalFormatting>
  <conditionalFormatting sqref="AU349">
    <cfRule type="cellIs" dxfId="0" priority="9203" operator="lessThan">
      <formula>20</formula>
    </cfRule>
    <cfRule type="cellIs" dxfId="1" priority="8434" operator="greaterThan">
      <formula>120</formula>
    </cfRule>
    <cfRule type="containsText" dxfId="2" priority="7665" operator="between" text="库存为">
      <formula>NOT(ISERROR(SEARCH("库存为",AU349)))</formula>
    </cfRule>
  </conditionalFormatting>
  <conditionalFormatting sqref="AU350">
    <cfRule type="cellIs" dxfId="0" priority="9202" operator="lessThan">
      <formula>20</formula>
    </cfRule>
    <cfRule type="cellIs" dxfId="1" priority="8433" operator="greaterThan">
      <formula>120</formula>
    </cfRule>
    <cfRule type="containsText" dxfId="2" priority="7664" operator="between" text="库存为">
      <formula>NOT(ISERROR(SEARCH("库存为",AU350)))</formula>
    </cfRule>
  </conditionalFormatting>
  <conditionalFormatting sqref="AU351">
    <cfRule type="cellIs" dxfId="0" priority="9201" operator="lessThan">
      <formula>20</formula>
    </cfRule>
    <cfRule type="cellIs" dxfId="1" priority="8432" operator="greaterThan">
      <formula>120</formula>
    </cfRule>
    <cfRule type="containsText" dxfId="2" priority="7663" operator="between" text="库存为">
      <formula>NOT(ISERROR(SEARCH("库存为",AU351)))</formula>
    </cfRule>
  </conditionalFormatting>
  <conditionalFormatting sqref="AU352">
    <cfRule type="cellIs" dxfId="0" priority="9200" operator="lessThan">
      <formula>20</formula>
    </cfRule>
    <cfRule type="cellIs" dxfId="1" priority="8431" operator="greaterThan">
      <formula>120</formula>
    </cfRule>
    <cfRule type="containsText" dxfId="2" priority="7662" operator="between" text="库存为">
      <formula>NOT(ISERROR(SEARCH("库存为",AU352)))</formula>
    </cfRule>
  </conditionalFormatting>
  <conditionalFormatting sqref="AU353">
    <cfRule type="cellIs" dxfId="0" priority="9199" operator="lessThan">
      <formula>20</formula>
    </cfRule>
    <cfRule type="cellIs" dxfId="1" priority="8430" operator="greaterThan">
      <formula>120</formula>
    </cfRule>
    <cfRule type="containsText" dxfId="2" priority="7661" operator="between" text="库存为">
      <formula>NOT(ISERROR(SEARCH("库存为",AU353)))</formula>
    </cfRule>
  </conditionalFormatting>
  <conditionalFormatting sqref="AU354">
    <cfRule type="cellIs" dxfId="0" priority="9198" operator="lessThan">
      <formula>20</formula>
    </cfRule>
    <cfRule type="cellIs" dxfId="1" priority="8429" operator="greaterThan">
      <formula>120</formula>
    </cfRule>
    <cfRule type="containsText" dxfId="2" priority="7660" operator="between" text="库存为">
      <formula>NOT(ISERROR(SEARCH("库存为",AU354)))</formula>
    </cfRule>
  </conditionalFormatting>
  <conditionalFormatting sqref="AU355">
    <cfRule type="cellIs" dxfId="0" priority="9197" operator="lessThan">
      <formula>20</formula>
    </cfRule>
    <cfRule type="cellIs" dxfId="1" priority="8428" operator="greaterThan">
      <formula>120</formula>
    </cfRule>
    <cfRule type="containsText" dxfId="2" priority="7659" operator="between" text="库存为">
      <formula>NOT(ISERROR(SEARCH("库存为",AU355)))</formula>
    </cfRule>
  </conditionalFormatting>
  <conditionalFormatting sqref="AU356">
    <cfRule type="cellIs" dxfId="0" priority="9196" operator="lessThan">
      <formula>20</formula>
    </cfRule>
    <cfRule type="cellIs" dxfId="1" priority="8427" operator="greaterThan">
      <formula>120</formula>
    </cfRule>
    <cfRule type="containsText" dxfId="2" priority="7658" operator="between" text="库存为">
      <formula>NOT(ISERROR(SEARCH("库存为",AU356)))</formula>
    </cfRule>
  </conditionalFormatting>
  <conditionalFormatting sqref="AU357">
    <cfRule type="cellIs" dxfId="0" priority="9195" operator="lessThan">
      <formula>20</formula>
    </cfRule>
    <cfRule type="cellIs" dxfId="1" priority="8426" operator="greaterThan">
      <formula>120</formula>
    </cfRule>
    <cfRule type="containsText" dxfId="2" priority="7657" operator="between" text="库存为">
      <formula>NOT(ISERROR(SEARCH("库存为",AU357)))</formula>
    </cfRule>
  </conditionalFormatting>
  <conditionalFormatting sqref="AU358">
    <cfRule type="cellIs" dxfId="0" priority="9194" operator="lessThan">
      <formula>20</formula>
    </cfRule>
    <cfRule type="cellIs" dxfId="1" priority="8425" operator="greaterThan">
      <formula>120</formula>
    </cfRule>
    <cfRule type="containsText" dxfId="2" priority="7656" operator="between" text="库存为">
      <formula>NOT(ISERROR(SEARCH("库存为",AU358)))</formula>
    </cfRule>
  </conditionalFormatting>
  <conditionalFormatting sqref="AU359">
    <cfRule type="cellIs" dxfId="0" priority="9193" operator="lessThan">
      <formula>20</formula>
    </cfRule>
    <cfRule type="cellIs" dxfId="1" priority="8424" operator="greaterThan">
      <formula>120</formula>
    </cfRule>
    <cfRule type="containsText" dxfId="2" priority="7655" operator="between" text="库存为">
      <formula>NOT(ISERROR(SEARCH("库存为",AU359)))</formula>
    </cfRule>
  </conditionalFormatting>
  <conditionalFormatting sqref="AU360">
    <cfRule type="cellIs" dxfId="0" priority="9192" operator="lessThan">
      <formula>20</formula>
    </cfRule>
    <cfRule type="cellIs" dxfId="1" priority="8423" operator="greaterThan">
      <formula>120</formula>
    </cfRule>
    <cfRule type="containsText" dxfId="2" priority="7654" operator="between" text="库存为">
      <formula>NOT(ISERROR(SEARCH("库存为",AU360)))</formula>
    </cfRule>
  </conditionalFormatting>
  <conditionalFormatting sqref="AU361">
    <cfRule type="cellIs" dxfId="0" priority="9191" operator="lessThan">
      <formula>20</formula>
    </cfRule>
    <cfRule type="cellIs" dxfId="1" priority="8422" operator="greaterThan">
      <formula>120</formula>
    </cfRule>
    <cfRule type="containsText" dxfId="2" priority="7653" operator="between" text="库存为">
      <formula>NOT(ISERROR(SEARCH("库存为",AU361)))</formula>
    </cfRule>
  </conditionalFormatting>
  <conditionalFormatting sqref="AU362">
    <cfRule type="cellIs" dxfId="0" priority="9190" operator="lessThan">
      <formula>20</formula>
    </cfRule>
    <cfRule type="cellIs" dxfId="1" priority="8421" operator="greaterThan">
      <formula>120</formula>
    </cfRule>
    <cfRule type="containsText" dxfId="2" priority="7652" operator="between" text="库存为">
      <formula>NOT(ISERROR(SEARCH("库存为",AU362)))</formula>
    </cfRule>
  </conditionalFormatting>
  <conditionalFormatting sqref="AU363">
    <cfRule type="cellIs" dxfId="0" priority="9189" operator="lessThan">
      <formula>20</formula>
    </cfRule>
    <cfRule type="cellIs" dxfId="1" priority="8420" operator="greaterThan">
      <formula>120</formula>
    </cfRule>
    <cfRule type="containsText" dxfId="2" priority="7651" operator="between" text="库存为">
      <formula>NOT(ISERROR(SEARCH("库存为",AU363)))</formula>
    </cfRule>
  </conditionalFormatting>
  <conditionalFormatting sqref="AU364">
    <cfRule type="cellIs" dxfId="0" priority="9188" operator="lessThan">
      <formula>20</formula>
    </cfRule>
    <cfRule type="cellIs" dxfId="1" priority="8419" operator="greaterThan">
      <formula>120</formula>
    </cfRule>
    <cfRule type="containsText" dxfId="2" priority="7650" operator="between" text="库存为">
      <formula>NOT(ISERROR(SEARCH("库存为",AU364)))</formula>
    </cfRule>
  </conditionalFormatting>
  <conditionalFormatting sqref="AU365">
    <cfRule type="cellIs" dxfId="0" priority="9187" operator="lessThan">
      <formula>20</formula>
    </cfRule>
    <cfRule type="cellIs" dxfId="1" priority="8418" operator="greaterThan">
      <formula>120</formula>
    </cfRule>
    <cfRule type="containsText" dxfId="2" priority="7649" operator="between" text="库存为">
      <formula>NOT(ISERROR(SEARCH("库存为",AU365)))</formula>
    </cfRule>
  </conditionalFormatting>
  <conditionalFormatting sqref="AU366">
    <cfRule type="cellIs" dxfId="0" priority="9186" operator="lessThan">
      <formula>20</formula>
    </cfRule>
    <cfRule type="cellIs" dxfId="1" priority="8417" operator="greaterThan">
      <formula>120</formula>
    </cfRule>
    <cfRule type="containsText" dxfId="2" priority="7648" operator="between" text="库存为">
      <formula>NOT(ISERROR(SEARCH("库存为",AU366)))</formula>
    </cfRule>
  </conditionalFormatting>
  <conditionalFormatting sqref="AU367">
    <cfRule type="cellIs" dxfId="0" priority="9185" operator="lessThan">
      <formula>20</formula>
    </cfRule>
    <cfRule type="cellIs" dxfId="1" priority="8416" operator="greaterThan">
      <formula>120</formula>
    </cfRule>
    <cfRule type="containsText" dxfId="2" priority="7647" operator="between" text="库存为">
      <formula>NOT(ISERROR(SEARCH("库存为",AU367)))</formula>
    </cfRule>
  </conditionalFormatting>
  <conditionalFormatting sqref="AU368">
    <cfRule type="cellIs" dxfId="0" priority="9184" operator="lessThan">
      <formula>20</formula>
    </cfRule>
    <cfRule type="cellIs" dxfId="1" priority="8415" operator="greaterThan">
      <formula>120</formula>
    </cfRule>
    <cfRule type="containsText" dxfId="2" priority="7646" operator="between" text="库存为">
      <formula>NOT(ISERROR(SEARCH("库存为",AU368)))</formula>
    </cfRule>
  </conditionalFormatting>
  <conditionalFormatting sqref="AU369">
    <cfRule type="cellIs" dxfId="0" priority="9183" operator="lessThan">
      <formula>20</formula>
    </cfRule>
    <cfRule type="cellIs" dxfId="1" priority="8414" operator="greaterThan">
      <formula>120</formula>
    </cfRule>
    <cfRule type="containsText" dxfId="2" priority="7645" operator="between" text="库存为">
      <formula>NOT(ISERROR(SEARCH("库存为",AU369)))</formula>
    </cfRule>
  </conditionalFormatting>
  <conditionalFormatting sqref="AU370">
    <cfRule type="cellIs" dxfId="0" priority="9182" operator="lessThan">
      <formula>20</formula>
    </cfRule>
    <cfRule type="cellIs" dxfId="1" priority="8413" operator="greaterThan">
      <formula>120</formula>
    </cfRule>
    <cfRule type="containsText" dxfId="2" priority="7644" operator="between" text="库存为">
      <formula>NOT(ISERROR(SEARCH("库存为",AU370)))</formula>
    </cfRule>
  </conditionalFormatting>
  <conditionalFormatting sqref="AU371">
    <cfRule type="cellIs" dxfId="0" priority="9181" operator="lessThan">
      <formula>20</formula>
    </cfRule>
    <cfRule type="cellIs" dxfId="1" priority="8412" operator="greaterThan">
      <formula>120</formula>
    </cfRule>
    <cfRule type="containsText" dxfId="2" priority="7643" operator="between" text="库存为">
      <formula>NOT(ISERROR(SEARCH("库存为",AU371)))</formula>
    </cfRule>
  </conditionalFormatting>
  <conditionalFormatting sqref="AU372">
    <cfRule type="cellIs" dxfId="0" priority="9180" operator="lessThan">
      <formula>20</formula>
    </cfRule>
    <cfRule type="cellIs" dxfId="1" priority="8411" operator="greaterThan">
      <formula>120</formula>
    </cfRule>
    <cfRule type="containsText" dxfId="2" priority="7642" operator="between" text="库存为">
      <formula>NOT(ISERROR(SEARCH("库存为",AU372)))</formula>
    </cfRule>
  </conditionalFormatting>
  <conditionalFormatting sqref="AU373">
    <cfRule type="cellIs" dxfId="0" priority="9179" operator="lessThan">
      <formula>20</formula>
    </cfRule>
    <cfRule type="cellIs" dxfId="1" priority="8410" operator="greaterThan">
      <formula>120</formula>
    </cfRule>
    <cfRule type="containsText" dxfId="2" priority="7641" operator="between" text="库存为">
      <formula>NOT(ISERROR(SEARCH("库存为",AU373)))</formula>
    </cfRule>
  </conditionalFormatting>
  <conditionalFormatting sqref="AU374">
    <cfRule type="cellIs" dxfId="0" priority="9178" operator="lessThan">
      <formula>20</formula>
    </cfRule>
    <cfRule type="cellIs" dxfId="1" priority="8409" operator="greaterThan">
      <formula>120</formula>
    </cfRule>
    <cfRule type="containsText" dxfId="2" priority="7640" operator="between" text="库存为">
      <formula>NOT(ISERROR(SEARCH("库存为",AU374)))</formula>
    </cfRule>
  </conditionalFormatting>
  <conditionalFormatting sqref="AU375">
    <cfRule type="cellIs" dxfId="0" priority="9177" operator="lessThan">
      <formula>20</formula>
    </cfRule>
    <cfRule type="cellIs" dxfId="1" priority="8408" operator="greaterThan">
      <formula>120</formula>
    </cfRule>
    <cfRule type="containsText" dxfId="2" priority="7639" operator="between" text="库存为">
      <formula>NOT(ISERROR(SEARCH("库存为",AU375)))</formula>
    </cfRule>
  </conditionalFormatting>
  <conditionalFormatting sqref="AU376">
    <cfRule type="cellIs" dxfId="0" priority="9176" operator="lessThan">
      <formula>20</formula>
    </cfRule>
    <cfRule type="cellIs" dxfId="1" priority="8407" operator="greaterThan">
      <formula>120</formula>
    </cfRule>
    <cfRule type="containsText" dxfId="2" priority="7638" operator="between" text="库存为">
      <formula>NOT(ISERROR(SEARCH("库存为",AU376)))</formula>
    </cfRule>
  </conditionalFormatting>
  <conditionalFormatting sqref="AU377">
    <cfRule type="cellIs" dxfId="0" priority="9175" operator="lessThan">
      <formula>20</formula>
    </cfRule>
    <cfRule type="cellIs" dxfId="1" priority="8406" operator="greaterThan">
      <formula>120</formula>
    </cfRule>
    <cfRule type="containsText" dxfId="2" priority="7637" operator="between" text="库存为">
      <formula>NOT(ISERROR(SEARCH("库存为",AU377)))</formula>
    </cfRule>
  </conditionalFormatting>
  <conditionalFormatting sqref="AU378">
    <cfRule type="cellIs" dxfId="0" priority="9174" operator="lessThan">
      <formula>20</formula>
    </cfRule>
    <cfRule type="cellIs" dxfId="1" priority="8405" operator="greaterThan">
      <formula>120</formula>
    </cfRule>
    <cfRule type="containsText" dxfId="2" priority="7636" operator="between" text="库存为">
      <formula>NOT(ISERROR(SEARCH("库存为",AU378)))</formula>
    </cfRule>
  </conditionalFormatting>
  <conditionalFormatting sqref="AU379">
    <cfRule type="cellIs" dxfId="0" priority="9173" operator="lessThan">
      <formula>20</formula>
    </cfRule>
    <cfRule type="cellIs" dxfId="1" priority="8404" operator="greaterThan">
      <formula>120</formula>
    </cfRule>
    <cfRule type="containsText" dxfId="2" priority="7635" operator="between" text="库存为">
      <formula>NOT(ISERROR(SEARCH("库存为",AU379)))</formula>
    </cfRule>
  </conditionalFormatting>
  <conditionalFormatting sqref="AU380">
    <cfRule type="cellIs" dxfId="0" priority="9172" operator="lessThan">
      <formula>20</formula>
    </cfRule>
    <cfRule type="cellIs" dxfId="1" priority="8403" operator="greaterThan">
      <formula>120</formula>
    </cfRule>
    <cfRule type="containsText" dxfId="2" priority="7634" operator="between" text="库存为">
      <formula>NOT(ISERROR(SEARCH("库存为",AU380)))</formula>
    </cfRule>
  </conditionalFormatting>
  <conditionalFormatting sqref="AU381">
    <cfRule type="cellIs" dxfId="0" priority="9171" operator="lessThan">
      <formula>20</formula>
    </cfRule>
    <cfRule type="cellIs" dxfId="1" priority="8402" operator="greaterThan">
      <formula>120</formula>
    </cfRule>
    <cfRule type="containsText" dxfId="2" priority="7633" operator="between" text="库存为">
      <formula>NOT(ISERROR(SEARCH("库存为",AU381)))</formula>
    </cfRule>
  </conditionalFormatting>
  <conditionalFormatting sqref="AU382">
    <cfRule type="cellIs" dxfId="0" priority="9170" operator="lessThan">
      <formula>20</formula>
    </cfRule>
    <cfRule type="cellIs" dxfId="1" priority="8401" operator="greaterThan">
      <formula>120</formula>
    </cfRule>
    <cfRule type="containsText" dxfId="2" priority="7632" operator="between" text="库存为">
      <formula>NOT(ISERROR(SEARCH("库存为",AU382)))</formula>
    </cfRule>
  </conditionalFormatting>
  <conditionalFormatting sqref="AU383">
    <cfRule type="cellIs" dxfId="0" priority="9169" operator="lessThan">
      <formula>20</formula>
    </cfRule>
    <cfRule type="cellIs" dxfId="1" priority="8400" operator="greaterThan">
      <formula>120</formula>
    </cfRule>
    <cfRule type="containsText" dxfId="2" priority="7631" operator="between" text="库存为">
      <formula>NOT(ISERROR(SEARCH("库存为",AU383)))</formula>
    </cfRule>
  </conditionalFormatting>
  <conditionalFormatting sqref="AU384">
    <cfRule type="cellIs" dxfId="0" priority="9168" operator="lessThan">
      <formula>20</formula>
    </cfRule>
    <cfRule type="cellIs" dxfId="1" priority="8399" operator="greaterThan">
      <formula>120</formula>
    </cfRule>
    <cfRule type="containsText" dxfId="2" priority="7630" operator="between" text="库存为">
      <formula>NOT(ISERROR(SEARCH("库存为",AU384)))</formula>
    </cfRule>
  </conditionalFormatting>
  <conditionalFormatting sqref="AU385">
    <cfRule type="cellIs" dxfId="0" priority="9167" operator="lessThan">
      <formula>20</formula>
    </cfRule>
    <cfRule type="cellIs" dxfId="1" priority="8398" operator="greaterThan">
      <formula>120</formula>
    </cfRule>
    <cfRule type="containsText" dxfId="2" priority="7629" operator="between" text="库存为">
      <formula>NOT(ISERROR(SEARCH("库存为",AU385)))</formula>
    </cfRule>
  </conditionalFormatting>
  <conditionalFormatting sqref="AU386">
    <cfRule type="cellIs" dxfId="0" priority="9166" operator="lessThan">
      <formula>20</formula>
    </cfRule>
    <cfRule type="cellIs" dxfId="1" priority="8397" operator="greaterThan">
      <formula>120</formula>
    </cfRule>
    <cfRule type="containsText" dxfId="2" priority="7628" operator="between" text="库存为">
      <formula>NOT(ISERROR(SEARCH("库存为",AU386)))</formula>
    </cfRule>
  </conditionalFormatting>
  <conditionalFormatting sqref="AU387">
    <cfRule type="cellIs" dxfId="0" priority="9165" operator="lessThan">
      <formula>20</formula>
    </cfRule>
    <cfRule type="cellIs" dxfId="1" priority="8396" operator="greaterThan">
      <formula>120</formula>
    </cfRule>
    <cfRule type="containsText" dxfId="2" priority="7627" operator="between" text="库存为">
      <formula>NOT(ISERROR(SEARCH("库存为",AU387)))</formula>
    </cfRule>
  </conditionalFormatting>
  <conditionalFormatting sqref="AU388">
    <cfRule type="cellIs" dxfId="0" priority="9164" operator="lessThan">
      <formula>20</formula>
    </cfRule>
    <cfRule type="cellIs" dxfId="1" priority="8395" operator="greaterThan">
      <formula>120</formula>
    </cfRule>
    <cfRule type="containsText" dxfId="2" priority="7626" operator="between" text="库存为">
      <formula>NOT(ISERROR(SEARCH("库存为",AU388)))</formula>
    </cfRule>
  </conditionalFormatting>
  <conditionalFormatting sqref="AU389">
    <cfRule type="cellIs" dxfId="0" priority="9163" operator="lessThan">
      <formula>20</formula>
    </cfRule>
    <cfRule type="cellIs" dxfId="1" priority="8394" operator="greaterThan">
      <formula>120</formula>
    </cfRule>
    <cfRule type="containsText" dxfId="2" priority="7625" operator="between" text="库存为">
      <formula>NOT(ISERROR(SEARCH("库存为",AU389)))</formula>
    </cfRule>
  </conditionalFormatting>
  <conditionalFormatting sqref="AU390">
    <cfRule type="cellIs" dxfId="0" priority="9162" operator="lessThan">
      <formula>20</formula>
    </cfRule>
    <cfRule type="cellIs" dxfId="1" priority="8393" operator="greaterThan">
      <formula>120</formula>
    </cfRule>
    <cfRule type="containsText" dxfId="2" priority="7624" operator="between" text="库存为">
      <formula>NOT(ISERROR(SEARCH("库存为",AU390)))</formula>
    </cfRule>
  </conditionalFormatting>
  <conditionalFormatting sqref="AU391">
    <cfRule type="cellIs" dxfId="0" priority="9161" operator="lessThan">
      <formula>20</formula>
    </cfRule>
    <cfRule type="cellIs" dxfId="1" priority="8392" operator="greaterThan">
      <formula>120</formula>
    </cfRule>
    <cfRule type="containsText" dxfId="2" priority="7623" operator="between" text="库存为">
      <formula>NOT(ISERROR(SEARCH("库存为",AU391)))</formula>
    </cfRule>
  </conditionalFormatting>
  <conditionalFormatting sqref="AU392">
    <cfRule type="cellIs" dxfId="0" priority="9160" operator="lessThan">
      <formula>20</formula>
    </cfRule>
    <cfRule type="cellIs" dxfId="1" priority="8391" operator="greaterThan">
      <formula>120</formula>
    </cfRule>
    <cfRule type="containsText" dxfId="2" priority="7622" operator="between" text="库存为">
      <formula>NOT(ISERROR(SEARCH("库存为",AU392)))</formula>
    </cfRule>
  </conditionalFormatting>
  <conditionalFormatting sqref="AU393">
    <cfRule type="cellIs" dxfId="0" priority="9159" operator="lessThan">
      <formula>20</formula>
    </cfRule>
    <cfRule type="cellIs" dxfId="1" priority="8390" operator="greaterThan">
      <formula>120</formula>
    </cfRule>
    <cfRule type="containsText" dxfId="2" priority="7621" operator="between" text="库存为">
      <formula>NOT(ISERROR(SEARCH("库存为",AU393)))</formula>
    </cfRule>
  </conditionalFormatting>
  <conditionalFormatting sqref="AU394">
    <cfRule type="cellIs" dxfId="0" priority="9158" operator="lessThan">
      <formula>20</formula>
    </cfRule>
    <cfRule type="cellIs" dxfId="1" priority="8389" operator="greaterThan">
      <formula>120</formula>
    </cfRule>
    <cfRule type="containsText" dxfId="2" priority="7620" operator="between" text="库存为">
      <formula>NOT(ISERROR(SEARCH("库存为",AU394)))</formula>
    </cfRule>
  </conditionalFormatting>
  <conditionalFormatting sqref="AU395">
    <cfRule type="cellIs" dxfId="0" priority="9157" operator="lessThan">
      <formula>20</formula>
    </cfRule>
    <cfRule type="cellIs" dxfId="1" priority="8388" operator="greaterThan">
      <formula>120</formula>
    </cfRule>
    <cfRule type="containsText" dxfId="2" priority="7619" operator="between" text="库存为">
      <formula>NOT(ISERROR(SEARCH("库存为",AU395)))</formula>
    </cfRule>
  </conditionalFormatting>
  <conditionalFormatting sqref="AU396">
    <cfRule type="cellIs" dxfId="0" priority="9156" operator="lessThan">
      <formula>20</formula>
    </cfRule>
    <cfRule type="cellIs" dxfId="1" priority="8387" operator="greaterThan">
      <formula>120</formula>
    </cfRule>
    <cfRule type="containsText" dxfId="2" priority="7618" operator="between" text="库存为">
      <formula>NOT(ISERROR(SEARCH("库存为",AU396)))</formula>
    </cfRule>
  </conditionalFormatting>
  <conditionalFormatting sqref="AU397">
    <cfRule type="cellIs" dxfId="0" priority="9155" operator="lessThan">
      <formula>20</formula>
    </cfRule>
    <cfRule type="cellIs" dxfId="1" priority="8386" operator="greaterThan">
      <formula>120</formula>
    </cfRule>
    <cfRule type="containsText" dxfId="2" priority="7617" operator="between" text="库存为">
      <formula>NOT(ISERROR(SEARCH("库存为",AU397)))</formula>
    </cfRule>
  </conditionalFormatting>
  <conditionalFormatting sqref="AU398">
    <cfRule type="cellIs" dxfId="0" priority="9154" operator="lessThan">
      <formula>20</formula>
    </cfRule>
    <cfRule type="cellIs" dxfId="1" priority="8385" operator="greaterThan">
      <formula>120</formula>
    </cfRule>
    <cfRule type="containsText" dxfId="2" priority="7616" operator="between" text="库存为">
      <formula>NOT(ISERROR(SEARCH("库存为",AU398)))</formula>
    </cfRule>
  </conditionalFormatting>
  <conditionalFormatting sqref="AU399">
    <cfRule type="cellIs" dxfId="0" priority="9153" operator="lessThan">
      <formula>20</formula>
    </cfRule>
    <cfRule type="cellIs" dxfId="1" priority="8384" operator="greaterThan">
      <formula>120</formula>
    </cfRule>
    <cfRule type="containsText" dxfId="2" priority="7615" operator="between" text="库存为">
      <formula>NOT(ISERROR(SEARCH("库存为",AU399)))</formula>
    </cfRule>
  </conditionalFormatting>
  <conditionalFormatting sqref="AU400">
    <cfRule type="cellIs" dxfId="0" priority="9152" operator="lessThan">
      <formula>20</formula>
    </cfRule>
    <cfRule type="cellIs" dxfId="1" priority="8383" operator="greaterThan">
      <formula>120</formula>
    </cfRule>
    <cfRule type="containsText" dxfId="2" priority="7614" operator="between" text="库存为">
      <formula>NOT(ISERROR(SEARCH("库存为",AU400)))</formula>
    </cfRule>
  </conditionalFormatting>
  <conditionalFormatting sqref="AU401">
    <cfRule type="cellIs" dxfId="0" priority="9151" operator="lessThan">
      <formula>20</formula>
    </cfRule>
    <cfRule type="cellIs" dxfId="1" priority="8382" operator="greaterThan">
      <formula>120</formula>
    </cfRule>
    <cfRule type="containsText" dxfId="2" priority="7613" operator="between" text="库存为">
      <formula>NOT(ISERROR(SEARCH("库存为",AU401)))</formula>
    </cfRule>
  </conditionalFormatting>
  <conditionalFormatting sqref="AU402">
    <cfRule type="cellIs" dxfId="0" priority="9150" operator="lessThan">
      <formula>20</formula>
    </cfRule>
    <cfRule type="cellIs" dxfId="1" priority="8381" operator="greaterThan">
      <formula>120</formula>
    </cfRule>
    <cfRule type="containsText" dxfId="2" priority="7612" operator="between" text="库存为">
      <formula>NOT(ISERROR(SEARCH("库存为",AU402)))</formula>
    </cfRule>
  </conditionalFormatting>
  <conditionalFormatting sqref="AU403">
    <cfRule type="cellIs" dxfId="0" priority="9149" operator="lessThan">
      <formula>20</formula>
    </cfRule>
    <cfRule type="cellIs" dxfId="1" priority="8380" operator="greaterThan">
      <formula>120</formula>
    </cfRule>
    <cfRule type="containsText" dxfId="2" priority="7611" operator="between" text="库存为">
      <formula>NOT(ISERROR(SEARCH("库存为",AU403)))</formula>
    </cfRule>
  </conditionalFormatting>
  <conditionalFormatting sqref="AU404">
    <cfRule type="cellIs" dxfId="0" priority="9148" operator="lessThan">
      <formula>20</formula>
    </cfRule>
    <cfRule type="cellIs" dxfId="1" priority="8379" operator="greaterThan">
      <formula>120</formula>
    </cfRule>
    <cfRule type="containsText" dxfId="2" priority="7610" operator="between" text="库存为">
      <formula>NOT(ISERROR(SEARCH("库存为",AU404)))</formula>
    </cfRule>
  </conditionalFormatting>
  <conditionalFormatting sqref="AU405">
    <cfRule type="cellIs" dxfId="0" priority="9147" operator="lessThan">
      <formula>20</formula>
    </cfRule>
    <cfRule type="cellIs" dxfId="1" priority="8378" operator="greaterThan">
      <formula>120</formula>
    </cfRule>
    <cfRule type="containsText" dxfId="2" priority="7609" operator="between" text="库存为">
      <formula>NOT(ISERROR(SEARCH("库存为",AU405)))</formula>
    </cfRule>
  </conditionalFormatting>
  <conditionalFormatting sqref="AU406">
    <cfRule type="cellIs" dxfId="0" priority="9146" operator="lessThan">
      <formula>20</formula>
    </cfRule>
    <cfRule type="cellIs" dxfId="1" priority="8377" operator="greaterThan">
      <formula>120</formula>
    </cfRule>
    <cfRule type="containsText" dxfId="2" priority="7608" operator="between" text="库存为">
      <formula>NOT(ISERROR(SEARCH("库存为",AU406)))</formula>
    </cfRule>
  </conditionalFormatting>
  <conditionalFormatting sqref="AU407">
    <cfRule type="cellIs" dxfId="0" priority="9145" operator="lessThan">
      <formula>20</formula>
    </cfRule>
    <cfRule type="cellIs" dxfId="1" priority="8376" operator="greaterThan">
      <formula>120</formula>
    </cfRule>
    <cfRule type="containsText" dxfId="2" priority="7607" operator="between" text="库存为">
      <formula>NOT(ISERROR(SEARCH("库存为",AU407)))</formula>
    </cfRule>
  </conditionalFormatting>
  <conditionalFormatting sqref="AU408">
    <cfRule type="cellIs" dxfId="0" priority="9144" operator="lessThan">
      <formula>20</formula>
    </cfRule>
    <cfRule type="cellIs" dxfId="1" priority="8375" operator="greaterThan">
      <formula>120</formula>
    </cfRule>
    <cfRule type="containsText" dxfId="2" priority="7606" operator="between" text="库存为">
      <formula>NOT(ISERROR(SEARCH("库存为",AU408)))</formula>
    </cfRule>
  </conditionalFormatting>
  <conditionalFormatting sqref="AU409">
    <cfRule type="cellIs" dxfId="0" priority="9143" operator="lessThan">
      <formula>20</formula>
    </cfRule>
    <cfRule type="cellIs" dxfId="1" priority="8374" operator="greaterThan">
      <formula>120</formula>
    </cfRule>
    <cfRule type="containsText" dxfId="2" priority="7605" operator="between" text="库存为">
      <formula>NOT(ISERROR(SEARCH("库存为",AU409)))</formula>
    </cfRule>
  </conditionalFormatting>
  <conditionalFormatting sqref="AU410">
    <cfRule type="cellIs" dxfId="0" priority="9142" operator="lessThan">
      <formula>20</formula>
    </cfRule>
    <cfRule type="cellIs" dxfId="1" priority="8373" operator="greaterThan">
      <formula>120</formula>
    </cfRule>
    <cfRule type="containsText" dxfId="2" priority="7604" operator="between" text="库存为">
      <formula>NOT(ISERROR(SEARCH("库存为",AU410)))</formula>
    </cfRule>
  </conditionalFormatting>
  <conditionalFormatting sqref="AU411">
    <cfRule type="cellIs" dxfId="0" priority="9141" operator="lessThan">
      <formula>20</formula>
    </cfRule>
    <cfRule type="cellIs" dxfId="1" priority="8372" operator="greaterThan">
      <formula>120</formula>
    </cfRule>
    <cfRule type="containsText" dxfId="2" priority="7603" operator="between" text="库存为">
      <formula>NOT(ISERROR(SEARCH("库存为",AU411)))</formula>
    </cfRule>
  </conditionalFormatting>
  <conditionalFormatting sqref="AU412">
    <cfRule type="cellIs" dxfId="0" priority="9140" operator="lessThan">
      <formula>20</formula>
    </cfRule>
    <cfRule type="cellIs" dxfId="1" priority="8371" operator="greaterThan">
      <formula>120</formula>
    </cfRule>
    <cfRule type="containsText" dxfId="2" priority="7602" operator="between" text="库存为">
      <formula>NOT(ISERROR(SEARCH("库存为",AU412)))</formula>
    </cfRule>
  </conditionalFormatting>
  <conditionalFormatting sqref="AU413">
    <cfRule type="cellIs" dxfId="0" priority="9139" operator="lessThan">
      <formula>20</formula>
    </cfRule>
    <cfRule type="cellIs" dxfId="1" priority="8370" operator="greaterThan">
      <formula>120</formula>
    </cfRule>
    <cfRule type="containsText" dxfId="2" priority="7601" operator="between" text="库存为">
      <formula>NOT(ISERROR(SEARCH("库存为",AU413)))</formula>
    </cfRule>
  </conditionalFormatting>
  <conditionalFormatting sqref="AU414">
    <cfRule type="cellIs" dxfId="0" priority="9138" operator="lessThan">
      <formula>20</formula>
    </cfRule>
    <cfRule type="cellIs" dxfId="1" priority="8369" operator="greaterThan">
      <formula>120</formula>
    </cfRule>
    <cfRule type="containsText" dxfId="2" priority="7600" operator="between" text="库存为">
      <formula>NOT(ISERROR(SEARCH("库存为",AU414)))</formula>
    </cfRule>
  </conditionalFormatting>
  <conditionalFormatting sqref="AU415">
    <cfRule type="cellIs" dxfId="0" priority="9137" operator="lessThan">
      <formula>20</formula>
    </cfRule>
    <cfRule type="cellIs" dxfId="1" priority="8368" operator="greaterThan">
      <formula>120</formula>
    </cfRule>
    <cfRule type="containsText" dxfId="2" priority="7599" operator="between" text="库存为">
      <formula>NOT(ISERROR(SEARCH("库存为",AU415)))</formula>
    </cfRule>
  </conditionalFormatting>
  <conditionalFormatting sqref="AU416">
    <cfRule type="cellIs" dxfId="0" priority="9136" operator="lessThan">
      <formula>20</formula>
    </cfRule>
    <cfRule type="cellIs" dxfId="1" priority="8367" operator="greaterThan">
      <formula>120</formula>
    </cfRule>
    <cfRule type="containsText" dxfId="2" priority="7598" operator="between" text="库存为">
      <formula>NOT(ISERROR(SEARCH("库存为",AU416)))</formula>
    </cfRule>
  </conditionalFormatting>
  <conditionalFormatting sqref="AU417">
    <cfRule type="cellIs" dxfId="0" priority="9135" operator="lessThan">
      <formula>20</formula>
    </cfRule>
    <cfRule type="cellIs" dxfId="1" priority="8366" operator="greaterThan">
      <formula>120</formula>
    </cfRule>
    <cfRule type="containsText" dxfId="2" priority="7597" operator="between" text="库存为">
      <formula>NOT(ISERROR(SEARCH("库存为",AU417)))</formula>
    </cfRule>
  </conditionalFormatting>
  <conditionalFormatting sqref="AU418">
    <cfRule type="cellIs" dxfId="0" priority="9134" operator="lessThan">
      <formula>20</formula>
    </cfRule>
    <cfRule type="cellIs" dxfId="1" priority="8365" operator="greaterThan">
      <formula>120</formula>
    </cfRule>
    <cfRule type="containsText" dxfId="2" priority="7596" operator="between" text="库存为">
      <formula>NOT(ISERROR(SEARCH("库存为",AU418)))</formula>
    </cfRule>
  </conditionalFormatting>
  <conditionalFormatting sqref="AU419">
    <cfRule type="cellIs" dxfId="0" priority="9133" operator="lessThan">
      <formula>20</formula>
    </cfRule>
    <cfRule type="cellIs" dxfId="1" priority="8364" operator="greaterThan">
      <formula>120</formula>
    </cfRule>
    <cfRule type="containsText" dxfId="2" priority="7595" operator="between" text="库存为">
      <formula>NOT(ISERROR(SEARCH("库存为",AU419)))</formula>
    </cfRule>
  </conditionalFormatting>
  <conditionalFormatting sqref="AU420">
    <cfRule type="cellIs" dxfId="0" priority="9132" operator="lessThan">
      <formula>20</formula>
    </cfRule>
    <cfRule type="cellIs" dxfId="1" priority="8363" operator="greaterThan">
      <formula>120</formula>
    </cfRule>
    <cfRule type="containsText" dxfId="2" priority="7594" operator="between" text="库存为">
      <formula>NOT(ISERROR(SEARCH("库存为",AU420)))</formula>
    </cfRule>
  </conditionalFormatting>
  <conditionalFormatting sqref="AU421">
    <cfRule type="cellIs" dxfId="0" priority="9131" operator="lessThan">
      <formula>20</formula>
    </cfRule>
    <cfRule type="cellIs" dxfId="1" priority="8362" operator="greaterThan">
      <formula>120</formula>
    </cfRule>
    <cfRule type="containsText" dxfId="2" priority="7593" operator="between" text="库存为">
      <formula>NOT(ISERROR(SEARCH("库存为",AU421)))</formula>
    </cfRule>
  </conditionalFormatting>
  <conditionalFormatting sqref="AU422">
    <cfRule type="cellIs" dxfId="0" priority="9130" operator="lessThan">
      <formula>20</formula>
    </cfRule>
    <cfRule type="cellIs" dxfId="1" priority="8361" operator="greaterThan">
      <formula>120</formula>
    </cfRule>
    <cfRule type="containsText" dxfId="2" priority="7592" operator="between" text="库存为">
      <formula>NOT(ISERROR(SEARCH("库存为",AU422)))</formula>
    </cfRule>
  </conditionalFormatting>
  <conditionalFormatting sqref="AU423">
    <cfRule type="cellIs" dxfId="0" priority="9129" operator="lessThan">
      <formula>20</formula>
    </cfRule>
    <cfRule type="cellIs" dxfId="1" priority="8360" operator="greaterThan">
      <formula>120</formula>
    </cfRule>
    <cfRule type="containsText" dxfId="2" priority="7591" operator="between" text="库存为">
      <formula>NOT(ISERROR(SEARCH("库存为",AU423)))</formula>
    </cfRule>
  </conditionalFormatting>
  <conditionalFormatting sqref="AU424">
    <cfRule type="cellIs" dxfId="0" priority="9128" operator="lessThan">
      <formula>20</formula>
    </cfRule>
    <cfRule type="cellIs" dxfId="1" priority="8359" operator="greaterThan">
      <formula>120</formula>
    </cfRule>
    <cfRule type="containsText" dxfId="2" priority="7590" operator="between" text="库存为">
      <formula>NOT(ISERROR(SEARCH("库存为",AU424)))</formula>
    </cfRule>
  </conditionalFormatting>
  <conditionalFormatting sqref="AU425">
    <cfRule type="cellIs" dxfId="0" priority="9127" operator="lessThan">
      <formula>20</formula>
    </cfRule>
    <cfRule type="cellIs" dxfId="1" priority="8358" operator="greaterThan">
      <formula>120</formula>
    </cfRule>
    <cfRule type="containsText" dxfId="2" priority="7589" operator="between" text="库存为">
      <formula>NOT(ISERROR(SEARCH("库存为",AU425)))</formula>
    </cfRule>
  </conditionalFormatting>
  <conditionalFormatting sqref="AU426">
    <cfRule type="cellIs" dxfId="0" priority="9126" operator="lessThan">
      <formula>20</formula>
    </cfRule>
    <cfRule type="cellIs" dxfId="1" priority="8357" operator="greaterThan">
      <formula>120</formula>
    </cfRule>
    <cfRule type="containsText" dxfId="2" priority="7588" operator="between" text="库存为">
      <formula>NOT(ISERROR(SEARCH("库存为",AU426)))</formula>
    </cfRule>
  </conditionalFormatting>
  <conditionalFormatting sqref="AU427">
    <cfRule type="cellIs" dxfId="0" priority="9125" operator="lessThan">
      <formula>20</formula>
    </cfRule>
    <cfRule type="cellIs" dxfId="1" priority="8356" operator="greaterThan">
      <formula>120</formula>
    </cfRule>
    <cfRule type="containsText" dxfId="2" priority="7587" operator="between" text="库存为">
      <formula>NOT(ISERROR(SEARCH("库存为",AU427)))</formula>
    </cfRule>
  </conditionalFormatting>
  <conditionalFormatting sqref="AU428">
    <cfRule type="cellIs" dxfId="0" priority="9124" operator="lessThan">
      <formula>20</formula>
    </cfRule>
    <cfRule type="cellIs" dxfId="1" priority="8355" operator="greaterThan">
      <formula>120</formula>
    </cfRule>
    <cfRule type="containsText" dxfId="2" priority="7586" operator="between" text="库存为">
      <formula>NOT(ISERROR(SEARCH("库存为",AU428)))</formula>
    </cfRule>
  </conditionalFormatting>
  <conditionalFormatting sqref="AU429">
    <cfRule type="cellIs" dxfId="0" priority="9123" operator="lessThan">
      <formula>20</formula>
    </cfRule>
    <cfRule type="cellIs" dxfId="1" priority="8354" operator="greaterThan">
      <formula>120</formula>
    </cfRule>
    <cfRule type="containsText" dxfId="2" priority="7585" operator="between" text="库存为">
      <formula>NOT(ISERROR(SEARCH("库存为",AU429)))</formula>
    </cfRule>
  </conditionalFormatting>
  <conditionalFormatting sqref="AU430">
    <cfRule type="cellIs" dxfId="0" priority="9122" operator="lessThan">
      <formula>20</formula>
    </cfRule>
    <cfRule type="cellIs" dxfId="1" priority="8353" operator="greaterThan">
      <formula>120</formula>
    </cfRule>
    <cfRule type="containsText" dxfId="2" priority="7584" operator="between" text="库存为">
      <formula>NOT(ISERROR(SEARCH("库存为",AU430)))</formula>
    </cfRule>
  </conditionalFormatting>
  <conditionalFormatting sqref="AU431">
    <cfRule type="cellIs" dxfId="0" priority="9121" operator="lessThan">
      <formula>20</formula>
    </cfRule>
    <cfRule type="cellIs" dxfId="1" priority="8352" operator="greaterThan">
      <formula>120</formula>
    </cfRule>
    <cfRule type="containsText" dxfId="2" priority="7583" operator="between" text="库存为">
      <formula>NOT(ISERROR(SEARCH("库存为",AU431)))</formula>
    </cfRule>
  </conditionalFormatting>
  <conditionalFormatting sqref="AU432">
    <cfRule type="cellIs" dxfId="0" priority="9120" operator="lessThan">
      <formula>20</formula>
    </cfRule>
    <cfRule type="cellIs" dxfId="1" priority="8351" operator="greaterThan">
      <formula>120</formula>
    </cfRule>
    <cfRule type="containsText" dxfId="2" priority="7582" operator="between" text="库存为">
      <formula>NOT(ISERROR(SEARCH("库存为",AU432)))</formula>
    </cfRule>
  </conditionalFormatting>
  <conditionalFormatting sqref="AU433">
    <cfRule type="cellIs" dxfId="0" priority="9119" operator="lessThan">
      <formula>20</formula>
    </cfRule>
    <cfRule type="cellIs" dxfId="1" priority="8350" operator="greaterThan">
      <formula>120</formula>
    </cfRule>
    <cfRule type="containsText" dxfId="2" priority="7581" operator="between" text="库存为">
      <formula>NOT(ISERROR(SEARCH("库存为",AU433)))</formula>
    </cfRule>
  </conditionalFormatting>
  <conditionalFormatting sqref="AU434">
    <cfRule type="cellIs" dxfId="0" priority="9118" operator="lessThan">
      <formula>20</formula>
    </cfRule>
    <cfRule type="cellIs" dxfId="1" priority="8349" operator="greaterThan">
      <formula>120</formula>
    </cfRule>
    <cfRule type="containsText" dxfId="2" priority="7580" operator="between" text="库存为">
      <formula>NOT(ISERROR(SEARCH("库存为",AU434)))</formula>
    </cfRule>
  </conditionalFormatting>
  <conditionalFormatting sqref="AU435">
    <cfRule type="cellIs" dxfId="0" priority="9117" operator="lessThan">
      <formula>20</formula>
    </cfRule>
    <cfRule type="cellIs" dxfId="1" priority="8348" operator="greaterThan">
      <formula>120</formula>
    </cfRule>
    <cfRule type="containsText" dxfId="2" priority="7579" operator="between" text="库存为">
      <formula>NOT(ISERROR(SEARCH("库存为",AU435)))</formula>
    </cfRule>
  </conditionalFormatting>
  <conditionalFormatting sqref="AU436">
    <cfRule type="cellIs" dxfId="0" priority="9116" operator="lessThan">
      <formula>20</formula>
    </cfRule>
    <cfRule type="cellIs" dxfId="1" priority="8347" operator="greaterThan">
      <formula>120</formula>
    </cfRule>
    <cfRule type="containsText" dxfId="2" priority="7578" operator="between" text="库存为">
      <formula>NOT(ISERROR(SEARCH("库存为",AU436)))</formula>
    </cfRule>
  </conditionalFormatting>
  <conditionalFormatting sqref="AU437">
    <cfRule type="cellIs" dxfId="0" priority="9115" operator="lessThan">
      <formula>20</formula>
    </cfRule>
    <cfRule type="cellIs" dxfId="1" priority="8346" operator="greaterThan">
      <formula>120</formula>
    </cfRule>
    <cfRule type="containsText" dxfId="2" priority="7577" operator="between" text="库存为">
      <formula>NOT(ISERROR(SEARCH("库存为",AU437)))</formula>
    </cfRule>
  </conditionalFormatting>
  <conditionalFormatting sqref="AU438">
    <cfRule type="cellIs" dxfId="0" priority="9114" operator="lessThan">
      <formula>20</formula>
    </cfRule>
    <cfRule type="cellIs" dxfId="1" priority="8345" operator="greaterThan">
      <formula>120</formula>
    </cfRule>
    <cfRule type="containsText" dxfId="2" priority="7576" operator="between" text="库存为">
      <formula>NOT(ISERROR(SEARCH("库存为",AU438)))</formula>
    </cfRule>
  </conditionalFormatting>
  <conditionalFormatting sqref="AU439">
    <cfRule type="cellIs" dxfId="0" priority="9113" operator="lessThan">
      <formula>20</formula>
    </cfRule>
    <cfRule type="cellIs" dxfId="1" priority="8344" operator="greaterThan">
      <formula>120</formula>
    </cfRule>
    <cfRule type="containsText" dxfId="2" priority="7575" operator="between" text="库存为">
      <formula>NOT(ISERROR(SEARCH("库存为",AU439)))</formula>
    </cfRule>
  </conditionalFormatting>
  <conditionalFormatting sqref="AU440">
    <cfRule type="cellIs" dxfId="0" priority="9112" operator="lessThan">
      <formula>20</formula>
    </cfRule>
    <cfRule type="cellIs" dxfId="1" priority="8343" operator="greaterThan">
      <formula>120</formula>
    </cfRule>
    <cfRule type="containsText" dxfId="2" priority="7574" operator="between" text="库存为">
      <formula>NOT(ISERROR(SEARCH("库存为",AU440)))</formula>
    </cfRule>
  </conditionalFormatting>
  <conditionalFormatting sqref="AU441">
    <cfRule type="cellIs" dxfId="0" priority="9111" operator="lessThan">
      <formula>20</formula>
    </cfRule>
    <cfRule type="cellIs" dxfId="1" priority="8342" operator="greaterThan">
      <formula>120</formula>
    </cfRule>
    <cfRule type="containsText" dxfId="2" priority="7573" operator="between" text="库存为">
      <formula>NOT(ISERROR(SEARCH("库存为",AU441)))</formula>
    </cfRule>
  </conditionalFormatting>
  <conditionalFormatting sqref="AU442">
    <cfRule type="cellIs" dxfId="0" priority="9110" operator="lessThan">
      <formula>20</formula>
    </cfRule>
    <cfRule type="cellIs" dxfId="1" priority="8341" operator="greaterThan">
      <formula>120</formula>
    </cfRule>
    <cfRule type="containsText" dxfId="2" priority="7572" operator="between" text="库存为">
      <formula>NOT(ISERROR(SEARCH("库存为",AU442)))</formula>
    </cfRule>
  </conditionalFormatting>
  <conditionalFormatting sqref="AU443">
    <cfRule type="cellIs" dxfId="0" priority="9109" operator="lessThan">
      <formula>20</formula>
    </cfRule>
    <cfRule type="cellIs" dxfId="1" priority="8340" operator="greaterThan">
      <formula>120</formula>
    </cfRule>
    <cfRule type="containsText" dxfId="2" priority="7571" operator="between" text="库存为">
      <formula>NOT(ISERROR(SEARCH("库存为",AU443)))</formula>
    </cfRule>
  </conditionalFormatting>
  <conditionalFormatting sqref="AU444">
    <cfRule type="cellIs" dxfId="0" priority="9108" operator="lessThan">
      <formula>20</formula>
    </cfRule>
    <cfRule type="cellIs" dxfId="1" priority="8339" operator="greaterThan">
      <formula>120</formula>
    </cfRule>
    <cfRule type="containsText" dxfId="2" priority="7570" operator="between" text="库存为">
      <formula>NOT(ISERROR(SEARCH("库存为",AU444)))</formula>
    </cfRule>
  </conditionalFormatting>
  <conditionalFormatting sqref="AU445">
    <cfRule type="cellIs" dxfId="0" priority="9107" operator="lessThan">
      <formula>20</formula>
    </cfRule>
    <cfRule type="cellIs" dxfId="1" priority="8338" operator="greaterThan">
      <formula>120</formula>
    </cfRule>
    <cfRule type="containsText" dxfId="2" priority="7569" operator="between" text="库存为">
      <formula>NOT(ISERROR(SEARCH("库存为",AU445)))</formula>
    </cfRule>
  </conditionalFormatting>
  <conditionalFormatting sqref="AU446">
    <cfRule type="cellIs" dxfId="0" priority="9106" operator="lessThan">
      <formula>20</formula>
    </cfRule>
    <cfRule type="cellIs" dxfId="1" priority="8337" operator="greaterThan">
      <formula>120</formula>
    </cfRule>
    <cfRule type="containsText" dxfId="2" priority="7568" operator="between" text="库存为">
      <formula>NOT(ISERROR(SEARCH("库存为",AU446)))</formula>
    </cfRule>
  </conditionalFormatting>
  <conditionalFormatting sqref="AU447">
    <cfRule type="cellIs" dxfId="0" priority="9105" operator="lessThan">
      <formula>20</formula>
    </cfRule>
    <cfRule type="cellIs" dxfId="1" priority="8336" operator="greaterThan">
      <formula>120</formula>
    </cfRule>
    <cfRule type="containsText" dxfId="2" priority="7567" operator="between" text="库存为">
      <formula>NOT(ISERROR(SEARCH("库存为",AU447)))</formula>
    </cfRule>
  </conditionalFormatting>
  <conditionalFormatting sqref="AU448">
    <cfRule type="cellIs" dxfId="0" priority="9104" operator="lessThan">
      <formula>20</formula>
    </cfRule>
    <cfRule type="cellIs" dxfId="1" priority="8335" operator="greaterThan">
      <formula>120</formula>
    </cfRule>
    <cfRule type="containsText" dxfId="2" priority="7566" operator="between" text="库存为">
      <formula>NOT(ISERROR(SEARCH("库存为",AU448)))</formula>
    </cfRule>
  </conditionalFormatting>
  <conditionalFormatting sqref="AU449">
    <cfRule type="cellIs" dxfId="0" priority="9103" operator="lessThan">
      <formula>20</formula>
    </cfRule>
    <cfRule type="cellIs" dxfId="1" priority="8334" operator="greaterThan">
      <formula>120</formula>
    </cfRule>
    <cfRule type="containsText" dxfId="2" priority="7565" operator="between" text="库存为">
      <formula>NOT(ISERROR(SEARCH("库存为",AU449)))</formula>
    </cfRule>
  </conditionalFormatting>
  <conditionalFormatting sqref="AU450">
    <cfRule type="cellIs" dxfId="0" priority="9102" operator="lessThan">
      <formula>20</formula>
    </cfRule>
    <cfRule type="cellIs" dxfId="1" priority="8333" operator="greaterThan">
      <formula>120</formula>
    </cfRule>
    <cfRule type="containsText" dxfId="2" priority="7564" operator="between" text="库存为">
      <formula>NOT(ISERROR(SEARCH("库存为",AU450)))</formula>
    </cfRule>
  </conditionalFormatting>
  <conditionalFormatting sqref="AU451">
    <cfRule type="cellIs" dxfId="0" priority="9101" operator="lessThan">
      <formula>20</formula>
    </cfRule>
    <cfRule type="cellIs" dxfId="1" priority="8332" operator="greaterThan">
      <formula>120</formula>
    </cfRule>
    <cfRule type="containsText" dxfId="2" priority="7563" operator="between" text="库存为">
      <formula>NOT(ISERROR(SEARCH("库存为",AU451)))</formula>
    </cfRule>
  </conditionalFormatting>
  <conditionalFormatting sqref="AU452">
    <cfRule type="cellIs" dxfId="0" priority="9100" operator="lessThan">
      <formula>20</formula>
    </cfRule>
    <cfRule type="cellIs" dxfId="1" priority="8331" operator="greaterThan">
      <formula>120</formula>
    </cfRule>
    <cfRule type="containsText" dxfId="2" priority="7562" operator="between" text="库存为">
      <formula>NOT(ISERROR(SEARCH("库存为",AU452)))</formula>
    </cfRule>
  </conditionalFormatting>
  <conditionalFormatting sqref="AU453">
    <cfRule type="cellIs" dxfId="0" priority="9099" operator="lessThan">
      <formula>20</formula>
    </cfRule>
    <cfRule type="cellIs" dxfId="1" priority="8330" operator="greaterThan">
      <formula>120</formula>
    </cfRule>
    <cfRule type="containsText" dxfId="2" priority="7561" operator="between" text="库存为">
      <formula>NOT(ISERROR(SEARCH("库存为",AU453)))</formula>
    </cfRule>
  </conditionalFormatting>
  <conditionalFormatting sqref="AU454">
    <cfRule type="cellIs" dxfId="0" priority="9098" operator="lessThan">
      <formula>20</formula>
    </cfRule>
    <cfRule type="cellIs" dxfId="1" priority="8329" operator="greaterThan">
      <formula>120</formula>
    </cfRule>
    <cfRule type="containsText" dxfId="2" priority="7560" operator="between" text="库存为">
      <formula>NOT(ISERROR(SEARCH("库存为",AU454)))</formula>
    </cfRule>
  </conditionalFormatting>
  <conditionalFormatting sqref="AU455">
    <cfRule type="cellIs" dxfId="0" priority="9097" operator="lessThan">
      <formula>20</formula>
    </cfRule>
    <cfRule type="cellIs" dxfId="1" priority="8328" operator="greaterThan">
      <formula>120</formula>
    </cfRule>
    <cfRule type="containsText" dxfId="2" priority="7559" operator="between" text="库存为">
      <formula>NOT(ISERROR(SEARCH("库存为",AU455)))</formula>
    </cfRule>
  </conditionalFormatting>
  <conditionalFormatting sqref="AU456">
    <cfRule type="cellIs" dxfId="0" priority="9096" operator="lessThan">
      <formula>20</formula>
    </cfRule>
    <cfRule type="cellIs" dxfId="1" priority="8327" operator="greaterThan">
      <formula>120</formula>
    </cfRule>
    <cfRule type="containsText" dxfId="2" priority="7558" operator="between" text="库存为">
      <formula>NOT(ISERROR(SEARCH("库存为",AU456)))</formula>
    </cfRule>
  </conditionalFormatting>
  <conditionalFormatting sqref="AU457">
    <cfRule type="cellIs" dxfId="0" priority="9095" operator="lessThan">
      <formula>20</formula>
    </cfRule>
    <cfRule type="cellIs" dxfId="1" priority="8326" operator="greaterThan">
      <formula>120</formula>
    </cfRule>
    <cfRule type="containsText" dxfId="2" priority="7557" operator="between" text="库存为">
      <formula>NOT(ISERROR(SEARCH("库存为",AU457)))</formula>
    </cfRule>
  </conditionalFormatting>
  <conditionalFormatting sqref="AU458">
    <cfRule type="cellIs" dxfId="0" priority="9094" operator="lessThan">
      <formula>20</formula>
    </cfRule>
    <cfRule type="cellIs" dxfId="1" priority="8325" operator="greaterThan">
      <formula>120</formula>
    </cfRule>
    <cfRule type="containsText" dxfId="2" priority="7556" operator="between" text="库存为">
      <formula>NOT(ISERROR(SEARCH("库存为",AU458)))</formula>
    </cfRule>
  </conditionalFormatting>
  <conditionalFormatting sqref="AU459">
    <cfRule type="cellIs" dxfId="0" priority="9093" operator="lessThan">
      <formula>20</formula>
    </cfRule>
    <cfRule type="cellIs" dxfId="1" priority="8324" operator="greaterThan">
      <formula>120</formula>
    </cfRule>
    <cfRule type="containsText" dxfId="2" priority="7555" operator="between" text="库存为">
      <formula>NOT(ISERROR(SEARCH("库存为",AU459)))</formula>
    </cfRule>
  </conditionalFormatting>
  <conditionalFormatting sqref="AU460">
    <cfRule type="cellIs" dxfId="0" priority="9092" operator="lessThan">
      <formula>20</formula>
    </cfRule>
    <cfRule type="cellIs" dxfId="1" priority="8323" operator="greaterThan">
      <formula>120</formula>
    </cfRule>
    <cfRule type="containsText" dxfId="2" priority="7554" operator="between" text="库存为">
      <formula>NOT(ISERROR(SEARCH("库存为",AU460)))</formula>
    </cfRule>
  </conditionalFormatting>
  <conditionalFormatting sqref="AU461">
    <cfRule type="cellIs" dxfId="0" priority="9091" operator="lessThan">
      <formula>20</formula>
    </cfRule>
    <cfRule type="cellIs" dxfId="1" priority="8322" operator="greaterThan">
      <formula>120</formula>
    </cfRule>
    <cfRule type="containsText" dxfId="2" priority="7553" operator="between" text="库存为">
      <formula>NOT(ISERROR(SEARCH("库存为",AU461)))</formula>
    </cfRule>
  </conditionalFormatting>
  <conditionalFormatting sqref="AU462">
    <cfRule type="cellIs" dxfId="0" priority="9090" operator="lessThan">
      <formula>20</formula>
    </cfRule>
    <cfRule type="cellIs" dxfId="1" priority="8321" operator="greaterThan">
      <formula>120</formula>
    </cfRule>
    <cfRule type="containsText" dxfId="2" priority="7552" operator="between" text="库存为">
      <formula>NOT(ISERROR(SEARCH("库存为",AU462)))</formula>
    </cfRule>
  </conditionalFormatting>
  <conditionalFormatting sqref="AU463">
    <cfRule type="cellIs" dxfId="0" priority="9089" operator="lessThan">
      <formula>20</formula>
    </cfRule>
    <cfRule type="cellIs" dxfId="1" priority="8320" operator="greaterThan">
      <formula>120</formula>
    </cfRule>
    <cfRule type="containsText" dxfId="2" priority="7551" operator="between" text="库存为">
      <formula>NOT(ISERROR(SEARCH("库存为",AU463)))</formula>
    </cfRule>
  </conditionalFormatting>
  <conditionalFormatting sqref="AU464">
    <cfRule type="cellIs" dxfId="0" priority="9088" operator="lessThan">
      <formula>20</formula>
    </cfRule>
    <cfRule type="cellIs" dxfId="1" priority="8319" operator="greaterThan">
      <formula>120</formula>
    </cfRule>
    <cfRule type="containsText" dxfId="2" priority="7550" operator="between" text="库存为">
      <formula>NOT(ISERROR(SEARCH("库存为",AU464)))</formula>
    </cfRule>
  </conditionalFormatting>
  <conditionalFormatting sqref="AU465">
    <cfRule type="cellIs" dxfId="0" priority="9087" operator="lessThan">
      <formula>20</formula>
    </cfRule>
    <cfRule type="cellIs" dxfId="1" priority="8318" operator="greaterThan">
      <formula>120</formula>
    </cfRule>
    <cfRule type="containsText" dxfId="2" priority="7549" operator="between" text="库存为">
      <formula>NOT(ISERROR(SEARCH("库存为",AU465)))</formula>
    </cfRule>
  </conditionalFormatting>
  <conditionalFormatting sqref="AU466">
    <cfRule type="cellIs" dxfId="0" priority="9086" operator="lessThan">
      <formula>20</formula>
    </cfRule>
    <cfRule type="cellIs" dxfId="1" priority="8317" operator="greaterThan">
      <formula>120</formula>
    </cfRule>
    <cfRule type="containsText" dxfId="2" priority="7548" operator="between" text="库存为">
      <formula>NOT(ISERROR(SEARCH("库存为",AU466)))</formula>
    </cfRule>
  </conditionalFormatting>
  <conditionalFormatting sqref="AU467">
    <cfRule type="cellIs" dxfId="0" priority="9085" operator="lessThan">
      <formula>20</formula>
    </cfRule>
    <cfRule type="cellIs" dxfId="1" priority="8316" operator="greaterThan">
      <formula>120</formula>
    </cfRule>
    <cfRule type="containsText" dxfId="2" priority="7547" operator="between" text="库存为">
      <formula>NOT(ISERROR(SEARCH("库存为",AU467)))</formula>
    </cfRule>
  </conditionalFormatting>
  <conditionalFormatting sqref="AU468">
    <cfRule type="cellIs" dxfId="0" priority="9084" operator="lessThan">
      <formula>20</formula>
    </cfRule>
    <cfRule type="cellIs" dxfId="1" priority="8315" operator="greaterThan">
      <formula>120</formula>
    </cfRule>
    <cfRule type="containsText" dxfId="2" priority="7546" operator="between" text="库存为">
      <formula>NOT(ISERROR(SEARCH("库存为",AU468)))</formula>
    </cfRule>
  </conditionalFormatting>
  <conditionalFormatting sqref="AU469">
    <cfRule type="cellIs" dxfId="0" priority="9083" operator="lessThan">
      <formula>20</formula>
    </cfRule>
    <cfRule type="cellIs" dxfId="1" priority="8314" operator="greaterThan">
      <formula>120</formula>
    </cfRule>
    <cfRule type="containsText" dxfId="2" priority="7545" operator="between" text="库存为">
      <formula>NOT(ISERROR(SEARCH("库存为",AU469)))</formula>
    </cfRule>
  </conditionalFormatting>
  <conditionalFormatting sqref="AU470">
    <cfRule type="cellIs" dxfId="0" priority="9082" operator="lessThan">
      <formula>20</formula>
    </cfRule>
    <cfRule type="cellIs" dxfId="1" priority="8313" operator="greaterThan">
      <formula>120</formula>
    </cfRule>
    <cfRule type="containsText" dxfId="2" priority="7544" operator="between" text="库存为">
      <formula>NOT(ISERROR(SEARCH("库存为",AU470)))</formula>
    </cfRule>
  </conditionalFormatting>
  <conditionalFormatting sqref="AU471">
    <cfRule type="cellIs" dxfId="0" priority="9081" operator="lessThan">
      <formula>20</formula>
    </cfRule>
    <cfRule type="cellIs" dxfId="1" priority="8312" operator="greaterThan">
      <formula>120</formula>
    </cfRule>
    <cfRule type="containsText" dxfId="2" priority="7543" operator="between" text="库存为">
      <formula>NOT(ISERROR(SEARCH("库存为",AU471)))</formula>
    </cfRule>
  </conditionalFormatting>
  <conditionalFormatting sqref="AU472">
    <cfRule type="cellIs" dxfId="0" priority="9080" operator="lessThan">
      <formula>20</formula>
    </cfRule>
    <cfRule type="cellIs" dxfId="1" priority="8311" operator="greaterThan">
      <formula>120</formula>
    </cfRule>
    <cfRule type="containsText" dxfId="2" priority="7542" operator="between" text="库存为">
      <formula>NOT(ISERROR(SEARCH("库存为",AU472)))</formula>
    </cfRule>
  </conditionalFormatting>
  <conditionalFormatting sqref="AU473">
    <cfRule type="cellIs" dxfId="0" priority="9079" operator="lessThan">
      <formula>20</formula>
    </cfRule>
    <cfRule type="cellIs" dxfId="1" priority="8310" operator="greaterThan">
      <formula>120</formula>
    </cfRule>
    <cfRule type="containsText" dxfId="2" priority="7541" operator="between" text="库存为">
      <formula>NOT(ISERROR(SEARCH("库存为",AU473)))</formula>
    </cfRule>
  </conditionalFormatting>
  <conditionalFormatting sqref="AU474">
    <cfRule type="cellIs" dxfId="0" priority="9078" operator="lessThan">
      <formula>20</formula>
    </cfRule>
    <cfRule type="cellIs" dxfId="1" priority="8309" operator="greaterThan">
      <formula>120</formula>
    </cfRule>
    <cfRule type="containsText" dxfId="2" priority="7540" operator="between" text="库存为">
      <formula>NOT(ISERROR(SEARCH("库存为",AU474)))</formula>
    </cfRule>
  </conditionalFormatting>
  <conditionalFormatting sqref="AU475">
    <cfRule type="cellIs" dxfId="0" priority="9077" operator="lessThan">
      <formula>20</formula>
    </cfRule>
    <cfRule type="cellIs" dxfId="1" priority="8308" operator="greaterThan">
      <formula>120</formula>
    </cfRule>
    <cfRule type="containsText" dxfId="2" priority="7539" operator="between" text="库存为">
      <formula>NOT(ISERROR(SEARCH("库存为",AU475)))</formula>
    </cfRule>
  </conditionalFormatting>
  <conditionalFormatting sqref="AU476">
    <cfRule type="cellIs" dxfId="0" priority="9076" operator="lessThan">
      <formula>20</formula>
    </cfRule>
    <cfRule type="cellIs" dxfId="1" priority="8307" operator="greaterThan">
      <formula>120</formula>
    </cfRule>
    <cfRule type="containsText" dxfId="2" priority="7538" operator="between" text="库存为">
      <formula>NOT(ISERROR(SEARCH("库存为",AU476)))</formula>
    </cfRule>
  </conditionalFormatting>
  <conditionalFormatting sqref="AU477">
    <cfRule type="cellIs" dxfId="0" priority="9075" operator="lessThan">
      <formula>20</formula>
    </cfRule>
    <cfRule type="cellIs" dxfId="1" priority="8306" operator="greaterThan">
      <formula>120</formula>
    </cfRule>
    <cfRule type="containsText" dxfId="2" priority="7537" operator="between" text="库存为">
      <formula>NOT(ISERROR(SEARCH("库存为",AU477)))</formula>
    </cfRule>
  </conditionalFormatting>
  <conditionalFormatting sqref="AU478">
    <cfRule type="cellIs" dxfId="0" priority="9074" operator="lessThan">
      <formula>20</formula>
    </cfRule>
    <cfRule type="cellIs" dxfId="1" priority="8305" operator="greaterThan">
      <formula>120</formula>
    </cfRule>
    <cfRule type="containsText" dxfId="2" priority="7536" operator="between" text="库存为">
      <formula>NOT(ISERROR(SEARCH("库存为",AU478)))</formula>
    </cfRule>
  </conditionalFormatting>
  <conditionalFormatting sqref="AU479">
    <cfRule type="cellIs" dxfId="0" priority="9073" operator="lessThan">
      <formula>20</formula>
    </cfRule>
    <cfRule type="cellIs" dxfId="1" priority="8304" operator="greaterThan">
      <formula>120</formula>
    </cfRule>
    <cfRule type="containsText" dxfId="2" priority="7535" operator="between" text="库存为">
      <formula>NOT(ISERROR(SEARCH("库存为",AU479)))</formula>
    </cfRule>
  </conditionalFormatting>
  <conditionalFormatting sqref="AU480">
    <cfRule type="cellIs" dxfId="0" priority="9072" operator="lessThan">
      <formula>20</formula>
    </cfRule>
    <cfRule type="cellIs" dxfId="1" priority="8303" operator="greaterThan">
      <formula>120</formula>
    </cfRule>
    <cfRule type="containsText" dxfId="2" priority="7534" operator="between" text="库存为">
      <formula>NOT(ISERROR(SEARCH("库存为",AU480)))</formula>
    </cfRule>
  </conditionalFormatting>
  <conditionalFormatting sqref="AU481">
    <cfRule type="cellIs" dxfId="0" priority="9071" operator="lessThan">
      <formula>20</formula>
    </cfRule>
    <cfRule type="cellIs" dxfId="1" priority="8302" operator="greaterThan">
      <formula>120</formula>
    </cfRule>
    <cfRule type="containsText" dxfId="2" priority="7533" operator="between" text="库存为">
      <formula>NOT(ISERROR(SEARCH("库存为",AU481)))</formula>
    </cfRule>
  </conditionalFormatting>
  <conditionalFormatting sqref="AU482">
    <cfRule type="cellIs" dxfId="0" priority="9070" operator="lessThan">
      <formula>20</formula>
    </cfRule>
    <cfRule type="cellIs" dxfId="1" priority="8301" operator="greaterThan">
      <formula>120</formula>
    </cfRule>
    <cfRule type="containsText" dxfId="2" priority="7532" operator="between" text="库存为">
      <formula>NOT(ISERROR(SEARCH("库存为",AU482)))</formula>
    </cfRule>
  </conditionalFormatting>
  <conditionalFormatting sqref="AU483">
    <cfRule type="cellIs" dxfId="0" priority="9069" operator="lessThan">
      <formula>20</formula>
    </cfRule>
    <cfRule type="cellIs" dxfId="1" priority="8300" operator="greaterThan">
      <formula>120</formula>
    </cfRule>
    <cfRule type="containsText" dxfId="2" priority="7531" operator="between" text="库存为">
      <formula>NOT(ISERROR(SEARCH("库存为",AU483)))</formula>
    </cfRule>
  </conditionalFormatting>
  <conditionalFormatting sqref="AU484">
    <cfRule type="cellIs" dxfId="0" priority="9068" operator="lessThan">
      <formula>20</formula>
    </cfRule>
    <cfRule type="cellIs" dxfId="1" priority="8299" operator="greaterThan">
      <formula>120</formula>
    </cfRule>
    <cfRule type="containsText" dxfId="2" priority="7530" operator="between" text="库存为">
      <formula>NOT(ISERROR(SEARCH("库存为",AU484)))</formula>
    </cfRule>
  </conditionalFormatting>
  <conditionalFormatting sqref="AU485">
    <cfRule type="cellIs" dxfId="0" priority="9067" operator="lessThan">
      <formula>20</formula>
    </cfRule>
    <cfRule type="cellIs" dxfId="1" priority="8298" operator="greaterThan">
      <formula>120</formula>
    </cfRule>
    <cfRule type="containsText" dxfId="2" priority="7529" operator="between" text="库存为">
      <formula>NOT(ISERROR(SEARCH("库存为",AU485)))</formula>
    </cfRule>
  </conditionalFormatting>
  <conditionalFormatting sqref="AU486">
    <cfRule type="cellIs" dxfId="0" priority="9066" operator="lessThan">
      <formula>20</formula>
    </cfRule>
    <cfRule type="cellIs" dxfId="1" priority="8297" operator="greaterThan">
      <formula>120</formula>
    </cfRule>
    <cfRule type="containsText" dxfId="2" priority="7528" operator="between" text="库存为">
      <formula>NOT(ISERROR(SEARCH("库存为",AU486)))</formula>
    </cfRule>
  </conditionalFormatting>
  <conditionalFormatting sqref="AU487">
    <cfRule type="cellIs" dxfId="0" priority="9065" operator="lessThan">
      <formula>20</formula>
    </cfRule>
    <cfRule type="cellIs" dxfId="1" priority="8296" operator="greaterThan">
      <formula>120</formula>
    </cfRule>
    <cfRule type="containsText" dxfId="2" priority="7527" operator="between" text="库存为">
      <formula>NOT(ISERROR(SEARCH("库存为",AU487)))</formula>
    </cfRule>
  </conditionalFormatting>
  <conditionalFormatting sqref="AU488">
    <cfRule type="cellIs" dxfId="0" priority="9064" operator="lessThan">
      <formula>20</formula>
    </cfRule>
    <cfRule type="cellIs" dxfId="1" priority="8295" operator="greaterThan">
      <formula>120</formula>
    </cfRule>
    <cfRule type="containsText" dxfId="2" priority="7526" operator="between" text="库存为">
      <formula>NOT(ISERROR(SEARCH("库存为",AU488)))</formula>
    </cfRule>
  </conditionalFormatting>
  <conditionalFormatting sqref="AU489">
    <cfRule type="cellIs" dxfId="0" priority="9063" operator="lessThan">
      <formula>20</formula>
    </cfRule>
    <cfRule type="cellIs" dxfId="1" priority="8294" operator="greaterThan">
      <formula>120</formula>
    </cfRule>
    <cfRule type="containsText" dxfId="2" priority="7525" operator="between" text="库存为">
      <formula>NOT(ISERROR(SEARCH("库存为",AU489)))</formula>
    </cfRule>
  </conditionalFormatting>
  <conditionalFormatting sqref="AU490">
    <cfRule type="cellIs" dxfId="0" priority="9062" operator="lessThan">
      <formula>20</formula>
    </cfRule>
    <cfRule type="cellIs" dxfId="1" priority="8293" operator="greaterThan">
      <formula>120</formula>
    </cfRule>
    <cfRule type="containsText" dxfId="2" priority="7524" operator="between" text="库存为">
      <formula>NOT(ISERROR(SEARCH("库存为",AU490)))</formula>
    </cfRule>
  </conditionalFormatting>
  <conditionalFormatting sqref="AU491">
    <cfRule type="cellIs" dxfId="0" priority="9061" operator="lessThan">
      <formula>20</formula>
    </cfRule>
    <cfRule type="cellIs" dxfId="1" priority="8292" operator="greaterThan">
      <formula>120</formula>
    </cfRule>
    <cfRule type="containsText" dxfId="2" priority="7523" operator="between" text="库存为">
      <formula>NOT(ISERROR(SEARCH("库存为",AU491)))</formula>
    </cfRule>
  </conditionalFormatting>
  <conditionalFormatting sqref="AU492">
    <cfRule type="cellIs" dxfId="0" priority="9060" operator="lessThan">
      <formula>20</formula>
    </cfRule>
    <cfRule type="cellIs" dxfId="1" priority="8291" operator="greaterThan">
      <formula>120</formula>
    </cfRule>
    <cfRule type="containsText" dxfId="2" priority="7522" operator="between" text="库存为">
      <formula>NOT(ISERROR(SEARCH("库存为",AU492)))</formula>
    </cfRule>
  </conditionalFormatting>
  <conditionalFormatting sqref="AU493">
    <cfRule type="cellIs" dxfId="0" priority="9059" operator="lessThan">
      <formula>20</formula>
    </cfRule>
    <cfRule type="cellIs" dxfId="1" priority="8290" operator="greaterThan">
      <formula>120</formula>
    </cfRule>
    <cfRule type="containsText" dxfId="2" priority="7521" operator="between" text="库存为">
      <formula>NOT(ISERROR(SEARCH("库存为",AU493)))</formula>
    </cfRule>
  </conditionalFormatting>
  <conditionalFormatting sqref="AU494">
    <cfRule type="cellIs" dxfId="0" priority="9058" operator="lessThan">
      <formula>20</formula>
    </cfRule>
    <cfRule type="cellIs" dxfId="1" priority="8289" operator="greaterThan">
      <formula>120</formula>
    </cfRule>
    <cfRule type="containsText" dxfId="2" priority="7520" operator="between" text="库存为">
      <formula>NOT(ISERROR(SEARCH("库存为",AU494)))</formula>
    </cfRule>
  </conditionalFormatting>
  <conditionalFormatting sqref="AU495">
    <cfRule type="cellIs" dxfId="0" priority="9057" operator="lessThan">
      <formula>20</formula>
    </cfRule>
    <cfRule type="cellIs" dxfId="1" priority="8288" operator="greaterThan">
      <formula>120</formula>
    </cfRule>
    <cfRule type="containsText" dxfId="2" priority="7519" operator="between" text="库存为">
      <formula>NOT(ISERROR(SEARCH("库存为",AU495)))</formula>
    </cfRule>
  </conditionalFormatting>
  <conditionalFormatting sqref="AU496">
    <cfRule type="cellIs" dxfId="0" priority="9056" operator="lessThan">
      <formula>20</formula>
    </cfRule>
    <cfRule type="cellIs" dxfId="1" priority="8287" operator="greaterThan">
      <formula>120</formula>
    </cfRule>
    <cfRule type="containsText" dxfId="2" priority="7518" operator="between" text="库存为">
      <formula>NOT(ISERROR(SEARCH("库存为",AU496)))</formula>
    </cfRule>
  </conditionalFormatting>
  <conditionalFormatting sqref="AU497">
    <cfRule type="cellIs" dxfId="0" priority="9055" operator="lessThan">
      <formula>20</formula>
    </cfRule>
    <cfRule type="cellIs" dxfId="1" priority="8286" operator="greaterThan">
      <formula>120</formula>
    </cfRule>
    <cfRule type="containsText" dxfId="2" priority="7517" operator="between" text="库存为">
      <formula>NOT(ISERROR(SEARCH("库存为",AU497)))</formula>
    </cfRule>
  </conditionalFormatting>
  <conditionalFormatting sqref="AU498">
    <cfRule type="cellIs" dxfId="0" priority="9054" operator="lessThan">
      <formula>20</formula>
    </cfRule>
    <cfRule type="cellIs" dxfId="1" priority="8285" operator="greaterThan">
      <formula>120</formula>
    </cfRule>
    <cfRule type="containsText" dxfId="2" priority="7516" operator="between" text="库存为">
      <formula>NOT(ISERROR(SEARCH("库存为",AU498)))</formula>
    </cfRule>
  </conditionalFormatting>
  <conditionalFormatting sqref="AU499">
    <cfRule type="cellIs" dxfId="0" priority="9053" operator="lessThan">
      <formula>20</formula>
    </cfRule>
    <cfRule type="cellIs" dxfId="1" priority="8284" operator="greaterThan">
      <formula>120</formula>
    </cfRule>
    <cfRule type="containsText" dxfId="2" priority="7515" operator="between" text="库存为">
      <formula>NOT(ISERROR(SEARCH("库存为",AU499)))</formula>
    </cfRule>
  </conditionalFormatting>
  <conditionalFormatting sqref="AU500">
    <cfRule type="cellIs" dxfId="0" priority="9052" operator="lessThan">
      <formula>20</formula>
    </cfRule>
    <cfRule type="cellIs" dxfId="1" priority="8283" operator="greaterThan">
      <formula>120</formula>
    </cfRule>
    <cfRule type="containsText" dxfId="2" priority="7514" operator="between" text="库存为">
      <formula>NOT(ISERROR(SEARCH("库存为",AU500)))</formula>
    </cfRule>
  </conditionalFormatting>
  <conditionalFormatting sqref="AU501">
    <cfRule type="cellIs" dxfId="0" priority="9051" operator="lessThan">
      <formula>20</formula>
    </cfRule>
    <cfRule type="cellIs" dxfId="1" priority="8282" operator="greaterThan">
      <formula>120</formula>
    </cfRule>
    <cfRule type="containsText" dxfId="2" priority="7513" operator="between" text="库存为">
      <formula>NOT(ISERROR(SEARCH("库存为",AU501)))</formula>
    </cfRule>
  </conditionalFormatting>
  <conditionalFormatting sqref="AU502">
    <cfRule type="cellIs" dxfId="0" priority="9050" operator="lessThan">
      <formula>20</formula>
    </cfRule>
    <cfRule type="cellIs" dxfId="1" priority="8281" operator="greaterThan">
      <formula>120</formula>
    </cfRule>
    <cfRule type="containsText" dxfId="2" priority="7512" operator="between" text="库存为">
      <formula>NOT(ISERROR(SEARCH("库存为",AU502)))</formula>
    </cfRule>
  </conditionalFormatting>
  <conditionalFormatting sqref="AU503">
    <cfRule type="cellIs" dxfId="0" priority="9049" operator="lessThan">
      <formula>20</formula>
    </cfRule>
    <cfRule type="cellIs" dxfId="1" priority="8280" operator="greaterThan">
      <formula>120</formula>
    </cfRule>
    <cfRule type="containsText" dxfId="2" priority="7511" operator="between" text="库存为">
      <formula>NOT(ISERROR(SEARCH("库存为",AU503)))</formula>
    </cfRule>
  </conditionalFormatting>
  <conditionalFormatting sqref="AU504">
    <cfRule type="cellIs" dxfId="0" priority="9048" operator="lessThan">
      <formula>20</formula>
    </cfRule>
    <cfRule type="cellIs" dxfId="1" priority="8279" operator="greaterThan">
      <formula>120</formula>
    </cfRule>
    <cfRule type="containsText" dxfId="2" priority="7510" operator="between" text="库存为">
      <formula>NOT(ISERROR(SEARCH("库存为",AU504)))</formula>
    </cfRule>
  </conditionalFormatting>
  <conditionalFormatting sqref="AU505">
    <cfRule type="cellIs" dxfId="0" priority="9047" operator="lessThan">
      <formula>20</formula>
    </cfRule>
    <cfRule type="cellIs" dxfId="1" priority="8278" operator="greaterThan">
      <formula>120</formula>
    </cfRule>
    <cfRule type="containsText" dxfId="2" priority="7509" operator="between" text="库存为">
      <formula>NOT(ISERROR(SEARCH("库存为",AU505)))</formula>
    </cfRule>
  </conditionalFormatting>
  <conditionalFormatting sqref="AU506">
    <cfRule type="cellIs" dxfId="0" priority="9046" operator="lessThan">
      <formula>20</formula>
    </cfRule>
    <cfRule type="cellIs" dxfId="1" priority="8277" operator="greaterThan">
      <formula>120</formula>
    </cfRule>
    <cfRule type="containsText" dxfId="2" priority="7508" operator="between" text="库存为">
      <formula>NOT(ISERROR(SEARCH("库存为",AU506)))</formula>
    </cfRule>
  </conditionalFormatting>
  <conditionalFormatting sqref="AU507">
    <cfRule type="cellIs" dxfId="0" priority="9045" operator="lessThan">
      <formula>20</formula>
    </cfRule>
    <cfRule type="cellIs" dxfId="1" priority="8276" operator="greaterThan">
      <formula>120</formula>
    </cfRule>
    <cfRule type="containsText" dxfId="2" priority="7507" operator="between" text="库存为">
      <formula>NOT(ISERROR(SEARCH("库存为",AU507)))</formula>
    </cfRule>
  </conditionalFormatting>
  <conditionalFormatting sqref="AU508">
    <cfRule type="cellIs" dxfId="0" priority="9044" operator="lessThan">
      <formula>20</formula>
    </cfRule>
    <cfRule type="cellIs" dxfId="1" priority="8275" operator="greaterThan">
      <formula>120</formula>
    </cfRule>
    <cfRule type="containsText" dxfId="2" priority="7506" operator="between" text="库存为">
      <formula>NOT(ISERROR(SEARCH("库存为",AU508)))</formula>
    </cfRule>
  </conditionalFormatting>
  <conditionalFormatting sqref="AU509">
    <cfRule type="cellIs" dxfId="0" priority="9043" operator="lessThan">
      <formula>20</formula>
    </cfRule>
    <cfRule type="cellIs" dxfId="1" priority="8274" operator="greaterThan">
      <formula>120</formula>
    </cfRule>
    <cfRule type="containsText" dxfId="2" priority="7505" operator="between" text="库存为">
      <formula>NOT(ISERROR(SEARCH("库存为",AU509)))</formula>
    </cfRule>
  </conditionalFormatting>
  <conditionalFormatting sqref="AU510">
    <cfRule type="cellIs" dxfId="0" priority="9042" operator="lessThan">
      <formula>20</formula>
    </cfRule>
    <cfRule type="cellIs" dxfId="1" priority="8273" operator="greaterThan">
      <formula>120</formula>
    </cfRule>
    <cfRule type="containsText" dxfId="2" priority="7504" operator="between" text="库存为">
      <formula>NOT(ISERROR(SEARCH("库存为",AU510)))</formula>
    </cfRule>
  </conditionalFormatting>
  <conditionalFormatting sqref="AU511">
    <cfRule type="cellIs" dxfId="0" priority="9041" operator="lessThan">
      <formula>20</formula>
    </cfRule>
    <cfRule type="cellIs" dxfId="1" priority="8272" operator="greaterThan">
      <formula>120</formula>
    </cfRule>
    <cfRule type="containsText" dxfId="2" priority="7503" operator="between" text="库存为">
      <formula>NOT(ISERROR(SEARCH("库存为",AU511)))</formula>
    </cfRule>
  </conditionalFormatting>
  <conditionalFormatting sqref="AU512">
    <cfRule type="cellIs" dxfId="0" priority="9040" operator="lessThan">
      <formula>20</formula>
    </cfRule>
    <cfRule type="cellIs" dxfId="1" priority="8271" operator="greaterThan">
      <formula>120</formula>
    </cfRule>
    <cfRule type="containsText" dxfId="2" priority="7502" operator="between" text="库存为">
      <formula>NOT(ISERROR(SEARCH("库存为",AU512)))</formula>
    </cfRule>
  </conditionalFormatting>
  <conditionalFormatting sqref="AU513">
    <cfRule type="cellIs" dxfId="0" priority="9039" operator="lessThan">
      <formula>20</formula>
    </cfRule>
    <cfRule type="cellIs" dxfId="1" priority="8270" operator="greaterThan">
      <formula>120</formula>
    </cfRule>
    <cfRule type="containsText" dxfId="2" priority="7501" operator="between" text="库存为">
      <formula>NOT(ISERROR(SEARCH("库存为",AU513)))</formula>
    </cfRule>
  </conditionalFormatting>
  <conditionalFormatting sqref="AU514">
    <cfRule type="cellIs" dxfId="0" priority="9038" operator="lessThan">
      <formula>20</formula>
    </cfRule>
    <cfRule type="cellIs" dxfId="1" priority="8269" operator="greaterThan">
      <formula>120</formula>
    </cfRule>
    <cfRule type="containsText" dxfId="2" priority="7500" operator="between" text="库存为">
      <formula>NOT(ISERROR(SEARCH("库存为",AU514)))</formula>
    </cfRule>
  </conditionalFormatting>
  <conditionalFormatting sqref="AU515">
    <cfRule type="cellIs" dxfId="0" priority="9037" operator="lessThan">
      <formula>20</formula>
    </cfRule>
    <cfRule type="cellIs" dxfId="1" priority="8268" operator="greaterThan">
      <formula>120</formula>
    </cfRule>
    <cfRule type="containsText" dxfId="2" priority="7499" operator="between" text="库存为">
      <formula>NOT(ISERROR(SEARCH("库存为",AU515)))</formula>
    </cfRule>
  </conditionalFormatting>
  <conditionalFormatting sqref="AU516">
    <cfRule type="cellIs" dxfId="0" priority="9036" operator="lessThan">
      <formula>20</formula>
    </cfRule>
    <cfRule type="cellIs" dxfId="1" priority="8267" operator="greaterThan">
      <formula>120</formula>
    </cfRule>
    <cfRule type="containsText" dxfId="2" priority="7498" operator="between" text="库存为">
      <formula>NOT(ISERROR(SEARCH("库存为",AU516)))</formula>
    </cfRule>
  </conditionalFormatting>
  <conditionalFormatting sqref="AU517">
    <cfRule type="cellIs" dxfId="0" priority="9035" operator="lessThan">
      <formula>20</formula>
    </cfRule>
    <cfRule type="cellIs" dxfId="1" priority="8266" operator="greaterThan">
      <formula>120</formula>
    </cfRule>
    <cfRule type="containsText" dxfId="2" priority="7497" operator="between" text="库存为">
      <formula>NOT(ISERROR(SEARCH("库存为",AU517)))</formula>
    </cfRule>
  </conditionalFormatting>
  <conditionalFormatting sqref="AU518">
    <cfRule type="cellIs" dxfId="0" priority="9034" operator="lessThan">
      <formula>20</formula>
    </cfRule>
    <cfRule type="cellIs" dxfId="1" priority="8265" operator="greaterThan">
      <formula>120</formula>
    </cfRule>
    <cfRule type="containsText" dxfId="2" priority="7496" operator="between" text="库存为">
      <formula>NOT(ISERROR(SEARCH("库存为",AU518)))</formula>
    </cfRule>
  </conditionalFormatting>
  <conditionalFormatting sqref="AU519">
    <cfRule type="cellIs" dxfId="0" priority="9033" operator="lessThan">
      <formula>20</formula>
    </cfRule>
    <cfRule type="cellIs" dxfId="1" priority="8264" operator="greaterThan">
      <formula>120</formula>
    </cfRule>
    <cfRule type="containsText" dxfId="2" priority="7495" operator="between" text="库存为">
      <formula>NOT(ISERROR(SEARCH("库存为",AU519)))</formula>
    </cfRule>
  </conditionalFormatting>
  <conditionalFormatting sqref="AU520">
    <cfRule type="cellIs" dxfId="0" priority="9032" operator="lessThan">
      <formula>20</formula>
    </cfRule>
    <cfRule type="cellIs" dxfId="1" priority="8263" operator="greaterThan">
      <formula>120</formula>
    </cfRule>
    <cfRule type="containsText" dxfId="2" priority="7494" operator="between" text="库存为">
      <formula>NOT(ISERROR(SEARCH("库存为",AU520)))</formula>
    </cfRule>
  </conditionalFormatting>
  <conditionalFormatting sqref="AU521">
    <cfRule type="cellIs" dxfId="0" priority="9031" operator="lessThan">
      <formula>20</formula>
    </cfRule>
    <cfRule type="cellIs" dxfId="1" priority="8262" operator="greaterThan">
      <formula>120</formula>
    </cfRule>
    <cfRule type="containsText" dxfId="2" priority="7493" operator="between" text="库存为">
      <formula>NOT(ISERROR(SEARCH("库存为",AU521)))</formula>
    </cfRule>
  </conditionalFormatting>
  <conditionalFormatting sqref="AU522">
    <cfRule type="cellIs" dxfId="0" priority="9030" operator="lessThan">
      <formula>20</formula>
    </cfRule>
    <cfRule type="cellIs" dxfId="1" priority="8261" operator="greaterThan">
      <formula>120</formula>
    </cfRule>
    <cfRule type="containsText" dxfId="2" priority="7492" operator="between" text="库存为">
      <formula>NOT(ISERROR(SEARCH("库存为",AU522)))</formula>
    </cfRule>
  </conditionalFormatting>
  <conditionalFormatting sqref="AU523">
    <cfRule type="cellIs" dxfId="0" priority="9029" operator="lessThan">
      <formula>20</formula>
    </cfRule>
    <cfRule type="cellIs" dxfId="1" priority="8260" operator="greaterThan">
      <formula>120</formula>
    </cfRule>
    <cfRule type="containsText" dxfId="2" priority="7491" operator="between" text="库存为">
      <formula>NOT(ISERROR(SEARCH("库存为",AU523)))</formula>
    </cfRule>
  </conditionalFormatting>
  <conditionalFormatting sqref="AU524">
    <cfRule type="cellIs" dxfId="0" priority="9028" operator="lessThan">
      <formula>20</formula>
    </cfRule>
    <cfRule type="cellIs" dxfId="1" priority="8259" operator="greaterThan">
      <formula>120</formula>
    </cfRule>
    <cfRule type="containsText" dxfId="2" priority="7490" operator="between" text="库存为">
      <formula>NOT(ISERROR(SEARCH("库存为",AU524)))</formula>
    </cfRule>
  </conditionalFormatting>
  <conditionalFormatting sqref="AU525">
    <cfRule type="cellIs" dxfId="0" priority="9027" operator="lessThan">
      <formula>20</formula>
    </cfRule>
    <cfRule type="cellIs" dxfId="1" priority="8258" operator="greaterThan">
      <formula>120</formula>
    </cfRule>
    <cfRule type="containsText" dxfId="2" priority="7489" operator="between" text="库存为">
      <formula>NOT(ISERROR(SEARCH("库存为",AU525)))</formula>
    </cfRule>
  </conditionalFormatting>
  <conditionalFormatting sqref="AU526">
    <cfRule type="cellIs" dxfId="0" priority="9026" operator="lessThan">
      <formula>20</formula>
    </cfRule>
    <cfRule type="cellIs" dxfId="1" priority="8257" operator="greaterThan">
      <formula>120</formula>
    </cfRule>
    <cfRule type="containsText" dxfId="2" priority="7488" operator="between" text="库存为">
      <formula>NOT(ISERROR(SEARCH("库存为",AU526)))</formula>
    </cfRule>
  </conditionalFormatting>
  <conditionalFormatting sqref="AU527">
    <cfRule type="cellIs" dxfId="0" priority="9025" operator="lessThan">
      <formula>20</formula>
    </cfRule>
    <cfRule type="cellIs" dxfId="1" priority="8256" operator="greaterThan">
      <formula>120</formula>
    </cfRule>
    <cfRule type="containsText" dxfId="2" priority="7487" operator="between" text="库存为">
      <formula>NOT(ISERROR(SEARCH("库存为",AU527)))</formula>
    </cfRule>
  </conditionalFormatting>
  <conditionalFormatting sqref="AU528">
    <cfRule type="cellIs" dxfId="0" priority="9024" operator="lessThan">
      <formula>20</formula>
    </cfRule>
    <cfRule type="cellIs" dxfId="1" priority="8255" operator="greaterThan">
      <formula>120</formula>
    </cfRule>
    <cfRule type="containsText" dxfId="2" priority="7486" operator="between" text="库存为">
      <formula>NOT(ISERROR(SEARCH("库存为",AU528)))</formula>
    </cfRule>
  </conditionalFormatting>
  <conditionalFormatting sqref="AU529">
    <cfRule type="cellIs" dxfId="0" priority="9023" operator="lessThan">
      <formula>20</formula>
    </cfRule>
    <cfRule type="cellIs" dxfId="1" priority="8254" operator="greaterThan">
      <formula>120</formula>
    </cfRule>
    <cfRule type="containsText" dxfId="2" priority="7485" operator="between" text="库存为">
      <formula>NOT(ISERROR(SEARCH("库存为",AU529)))</formula>
    </cfRule>
  </conditionalFormatting>
  <conditionalFormatting sqref="AU530">
    <cfRule type="cellIs" dxfId="0" priority="9022" operator="lessThan">
      <formula>20</formula>
    </cfRule>
    <cfRule type="cellIs" dxfId="1" priority="8253" operator="greaterThan">
      <formula>120</formula>
    </cfRule>
    <cfRule type="containsText" dxfId="2" priority="7484" operator="between" text="库存为">
      <formula>NOT(ISERROR(SEARCH("库存为",AU530)))</formula>
    </cfRule>
  </conditionalFormatting>
  <conditionalFormatting sqref="AU531">
    <cfRule type="cellIs" dxfId="0" priority="9021" operator="lessThan">
      <formula>20</formula>
    </cfRule>
    <cfRule type="cellIs" dxfId="1" priority="8252" operator="greaterThan">
      <formula>120</formula>
    </cfRule>
    <cfRule type="containsText" dxfId="2" priority="7483" operator="between" text="库存为">
      <formula>NOT(ISERROR(SEARCH("库存为",AU531)))</formula>
    </cfRule>
  </conditionalFormatting>
  <conditionalFormatting sqref="AU532">
    <cfRule type="cellIs" dxfId="0" priority="9020" operator="lessThan">
      <formula>20</formula>
    </cfRule>
    <cfRule type="cellIs" dxfId="1" priority="8251" operator="greaterThan">
      <formula>120</formula>
    </cfRule>
    <cfRule type="containsText" dxfId="2" priority="7482" operator="between" text="库存为">
      <formula>NOT(ISERROR(SEARCH("库存为",AU532)))</formula>
    </cfRule>
  </conditionalFormatting>
  <conditionalFormatting sqref="AU533">
    <cfRule type="cellIs" dxfId="0" priority="9019" operator="lessThan">
      <formula>20</formula>
    </cfRule>
    <cfRule type="cellIs" dxfId="1" priority="8250" operator="greaterThan">
      <formula>120</formula>
    </cfRule>
    <cfRule type="containsText" dxfId="2" priority="7481" operator="between" text="库存为">
      <formula>NOT(ISERROR(SEARCH("库存为",AU533)))</formula>
    </cfRule>
  </conditionalFormatting>
  <conditionalFormatting sqref="AU534">
    <cfRule type="cellIs" dxfId="0" priority="9018" operator="lessThan">
      <formula>20</formula>
    </cfRule>
    <cfRule type="cellIs" dxfId="1" priority="8249" operator="greaterThan">
      <formula>120</formula>
    </cfRule>
    <cfRule type="containsText" dxfId="2" priority="7480" operator="between" text="库存为">
      <formula>NOT(ISERROR(SEARCH("库存为",AU534)))</formula>
    </cfRule>
  </conditionalFormatting>
  <conditionalFormatting sqref="AU535">
    <cfRule type="cellIs" dxfId="0" priority="9017" operator="lessThan">
      <formula>20</formula>
    </cfRule>
    <cfRule type="cellIs" dxfId="1" priority="8248" operator="greaterThan">
      <formula>120</formula>
    </cfRule>
    <cfRule type="containsText" dxfId="2" priority="7479" operator="between" text="库存为">
      <formula>NOT(ISERROR(SEARCH("库存为",AU535)))</formula>
    </cfRule>
  </conditionalFormatting>
  <conditionalFormatting sqref="AU536">
    <cfRule type="cellIs" dxfId="0" priority="9016" operator="lessThan">
      <formula>20</formula>
    </cfRule>
    <cfRule type="cellIs" dxfId="1" priority="8247" operator="greaterThan">
      <formula>120</formula>
    </cfRule>
    <cfRule type="containsText" dxfId="2" priority="7478" operator="between" text="库存为">
      <formula>NOT(ISERROR(SEARCH("库存为",AU536)))</formula>
    </cfRule>
  </conditionalFormatting>
  <conditionalFormatting sqref="AU537">
    <cfRule type="cellIs" dxfId="0" priority="9015" operator="lessThan">
      <formula>20</formula>
    </cfRule>
    <cfRule type="cellIs" dxfId="1" priority="8246" operator="greaterThan">
      <formula>120</formula>
    </cfRule>
    <cfRule type="containsText" dxfId="2" priority="7477" operator="between" text="库存为">
      <formula>NOT(ISERROR(SEARCH("库存为",AU537)))</formula>
    </cfRule>
  </conditionalFormatting>
  <conditionalFormatting sqref="AU538">
    <cfRule type="cellIs" dxfId="0" priority="9014" operator="lessThan">
      <formula>20</formula>
    </cfRule>
    <cfRule type="cellIs" dxfId="1" priority="8245" operator="greaterThan">
      <formula>120</formula>
    </cfRule>
    <cfRule type="containsText" dxfId="2" priority="7476" operator="between" text="库存为">
      <formula>NOT(ISERROR(SEARCH("库存为",AU538)))</formula>
    </cfRule>
  </conditionalFormatting>
  <conditionalFormatting sqref="AU539">
    <cfRule type="cellIs" dxfId="0" priority="9013" operator="lessThan">
      <formula>20</formula>
    </cfRule>
    <cfRule type="cellIs" dxfId="1" priority="8244" operator="greaterThan">
      <formula>120</formula>
    </cfRule>
    <cfRule type="containsText" dxfId="2" priority="7475" operator="between" text="库存为">
      <formula>NOT(ISERROR(SEARCH("库存为",AU539)))</formula>
    </cfRule>
  </conditionalFormatting>
  <conditionalFormatting sqref="AU540">
    <cfRule type="cellIs" dxfId="0" priority="9012" operator="lessThan">
      <formula>20</formula>
    </cfRule>
    <cfRule type="cellIs" dxfId="1" priority="8243" operator="greaterThan">
      <formula>120</formula>
    </cfRule>
    <cfRule type="containsText" dxfId="2" priority="7474" operator="between" text="库存为">
      <formula>NOT(ISERROR(SEARCH("库存为",AU540)))</formula>
    </cfRule>
  </conditionalFormatting>
  <conditionalFormatting sqref="AU541">
    <cfRule type="cellIs" dxfId="0" priority="9011" operator="lessThan">
      <formula>20</formula>
    </cfRule>
    <cfRule type="cellIs" dxfId="1" priority="8242" operator="greaterThan">
      <formula>120</formula>
    </cfRule>
    <cfRule type="containsText" dxfId="2" priority="7473" operator="between" text="库存为">
      <formula>NOT(ISERROR(SEARCH("库存为",AU541)))</formula>
    </cfRule>
  </conditionalFormatting>
  <conditionalFormatting sqref="AU542">
    <cfRule type="cellIs" dxfId="0" priority="9010" operator="lessThan">
      <formula>20</formula>
    </cfRule>
    <cfRule type="cellIs" dxfId="1" priority="8241" operator="greaterThan">
      <formula>120</formula>
    </cfRule>
    <cfRule type="containsText" dxfId="2" priority="7472" operator="between" text="库存为">
      <formula>NOT(ISERROR(SEARCH("库存为",AU542)))</formula>
    </cfRule>
  </conditionalFormatting>
  <conditionalFormatting sqref="AU543">
    <cfRule type="cellIs" dxfId="0" priority="9009" operator="lessThan">
      <formula>20</formula>
    </cfRule>
    <cfRule type="cellIs" dxfId="1" priority="8240" operator="greaterThan">
      <formula>120</formula>
    </cfRule>
    <cfRule type="containsText" dxfId="2" priority="7471" operator="between" text="库存为">
      <formula>NOT(ISERROR(SEARCH("库存为",AU543)))</formula>
    </cfRule>
  </conditionalFormatting>
  <conditionalFormatting sqref="AU544">
    <cfRule type="cellIs" dxfId="0" priority="9008" operator="lessThan">
      <formula>20</formula>
    </cfRule>
    <cfRule type="cellIs" dxfId="1" priority="8239" operator="greaterThan">
      <formula>120</formula>
    </cfRule>
    <cfRule type="containsText" dxfId="2" priority="7470" operator="between" text="库存为">
      <formula>NOT(ISERROR(SEARCH("库存为",AU544)))</formula>
    </cfRule>
  </conditionalFormatting>
  <conditionalFormatting sqref="AU545">
    <cfRule type="cellIs" dxfId="0" priority="9007" operator="lessThan">
      <formula>20</formula>
    </cfRule>
    <cfRule type="cellIs" dxfId="1" priority="8238" operator="greaterThan">
      <formula>120</formula>
    </cfRule>
    <cfRule type="containsText" dxfId="2" priority="7469" operator="between" text="库存为">
      <formula>NOT(ISERROR(SEARCH("库存为",AU545)))</formula>
    </cfRule>
  </conditionalFormatting>
  <conditionalFormatting sqref="AU546">
    <cfRule type="cellIs" dxfId="0" priority="9006" operator="lessThan">
      <formula>20</formula>
    </cfRule>
    <cfRule type="cellIs" dxfId="1" priority="8237" operator="greaterThan">
      <formula>120</formula>
    </cfRule>
    <cfRule type="containsText" dxfId="2" priority="7468" operator="between" text="库存为">
      <formula>NOT(ISERROR(SEARCH("库存为",AU546)))</formula>
    </cfRule>
  </conditionalFormatting>
  <conditionalFormatting sqref="AU547">
    <cfRule type="cellIs" dxfId="0" priority="9005" operator="lessThan">
      <formula>20</formula>
    </cfRule>
    <cfRule type="cellIs" dxfId="1" priority="8236" operator="greaterThan">
      <formula>120</formula>
    </cfRule>
    <cfRule type="containsText" dxfId="2" priority="7467" operator="between" text="库存为">
      <formula>NOT(ISERROR(SEARCH("库存为",AU547)))</formula>
    </cfRule>
  </conditionalFormatting>
  <conditionalFormatting sqref="AU548">
    <cfRule type="cellIs" dxfId="0" priority="9004" operator="lessThan">
      <formula>20</formula>
    </cfRule>
    <cfRule type="cellIs" dxfId="1" priority="8235" operator="greaterThan">
      <formula>120</formula>
    </cfRule>
    <cfRule type="containsText" dxfId="2" priority="7466" operator="between" text="库存为">
      <formula>NOT(ISERROR(SEARCH("库存为",AU548)))</formula>
    </cfRule>
  </conditionalFormatting>
  <conditionalFormatting sqref="AU549">
    <cfRule type="cellIs" dxfId="0" priority="9003" operator="lessThan">
      <formula>20</formula>
    </cfRule>
    <cfRule type="cellIs" dxfId="1" priority="8234" operator="greaterThan">
      <formula>120</formula>
    </cfRule>
    <cfRule type="containsText" dxfId="2" priority="7465" operator="between" text="库存为">
      <formula>NOT(ISERROR(SEARCH("库存为",AU549)))</formula>
    </cfRule>
  </conditionalFormatting>
  <conditionalFormatting sqref="AU550">
    <cfRule type="cellIs" dxfId="0" priority="9002" operator="lessThan">
      <formula>20</formula>
    </cfRule>
    <cfRule type="cellIs" dxfId="1" priority="8233" operator="greaterThan">
      <formula>120</formula>
    </cfRule>
    <cfRule type="containsText" dxfId="2" priority="7464" operator="between" text="库存为">
      <formula>NOT(ISERROR(SEARCH("库存为",AU550)))</formula>
    </cfRule>
  </conditionalFormatting>
  <conditionalFormatting sqref="AU551">
    <cfRule type="cellIs" dxfId="0" priority="9001" operator="lessThan">
      <formula>20</formula>
    </cfRule>
    <cfRule type="cellIs" dxfId="1" priority="8232" operator="greaterThan">
      <formula>120</formula>
    </cfRule>
    <cfRule type="containsText" dxfId="2" priority="7463" operator="between" text="库存为">
      <formula>NOT(ISERROR(SEARCH("库存为",AU551)))</formula>
    </cfRule>
  </conditionalFormatting>
  <conditionalFormatting sqref="AU552">
    <cfRule type="cellIs" dxfId="0" priority="9000" operator="lessThan">
      <formula>20</formula>
    </cfRule>
    <cfRule type="cellIs" dxfId="1" priority="8231" operator="greaterThan">
      <formula>120</formula>
    </cfRule>
    <cfRule type="containsText" dxfId="2" priority="7462" operator="between" text="库存为">
      <formula>NOT(ISERROR(SEARCH("库存为",AU552)))</formula>
    </cfRule>
  </conditionalFormatting>
  <conditionalFormatting sqref="AU553">
    <cfRule type="cellIs" dxfId="0" priority="8999" operator="lessThan">
      <formula>20</formula>
    </cfRule>
    <cfRule type="cellIs" dxfId="1" priority="8230" operator="greaterThan">
      <formula>120</formula>
    </cfRule>
    <cfRule type="containsText" dxfId="2" priority="7461" operator="between" text="库存为">
      <formula>NOT(ISERROR(SEARCH("库存为",AU553)))</formula>
    </cfRule>
  </conditionalFormatting>
  <conditionalFormatting sqref="AU554">
    <cfRule type="cellIs" dxfId="0" priority="8998" operator="lessThan">
      <formula>20</formula>
    </cfRule>
    <cfRule type="cellIs" dxfId="1" priority="8229" operator="greaterThan">
      <formula>120</formula>
    </cfRule>
    <cfRule type="containsText" dxfId="2" priority="7460" operator="between" text="库存为">
      <formula>NOT(ISERROR(SEARCH("库存为",AU554)))</formula>
    </cfRule>
  </conditionalFormatting>
  <conditionalFormatting sqref="AU555">
    <cfRule type="cellIs" dxfId="0" priority="8997" operator="lessThan">
      <formula>20</formula>
    </cfRule>
    <cfRule type="cellIs" dxfId="1" priority="8228" operator="greaterThan">
      <formula>120</formula>
    </cfRule>
    <cfRule type="containsText" dxfId="2" priority="7459" operator="between" text="库存为">
      <formula>NOT(ISERROR(SEARCH("库存为",AU555)))</formula>
    </cfRule>
  </conditionalFormatting>
  <conditionalFormatting sqref="AU556">
    <cfRule type="cellIs" dxfId="0" priority="8996" operator="lessThan">
      <formula>20</formula>
    </cfRule>
    <cfRule type="cellIs" dxfId="1" priority="8227" operator="greaterThan">
      <formula>120</formula>
    </cfRule>
    <cfRule type="containsText" dxfId="2" priority="7458" operator="between" text="库存为">
      <formula>NOT(ISERROR(SEARCH("库存为",AU556)))</formula>
    </cfRule>
  </conditionalFormatting>
  <conditionalFormatting sqref="AU557">
    <cfRule type="cellIs" dxfId="0" priority="8995" operator="lessThan">
      <formula>20</formula>
    </cfRule>
    <cfRule type="cellIs" dxfId="1" priority="8226" operator="greaterThan">
      <formula>120</formula>
    </cfRule>
    <cfRule type="containsText" dxfId="2" priority="7457" operator="between" text="库存为">
      <formula>NOT(ISERROR(SEARCH("库存为",AU557)))</formula>
    </cfRule>
  </conditionalFormatting>
  <conditionalFormatting sqref="AU558">
    <cfRule type="cellIs" dxfId="0" priority="8994" operator="lessThan">
      <formula>20</formula>
    </cfRule>
    <cfRule type="cellIs" dxfId="1" priority="8225" operator="greaterThan">
      <formula>120</formula>
    </cfRule>
    <cfRule type="containsText" dxfId="2" priority="7456" operator="between" text="库存为">
      <formula>NOT(ISERROR(SEARCH("库存为",AU558)))</formula>
    </cfRule>
  </conditionalFormatting>
  <conditionalFormatting sqref="AU559">
    <cfRule type="cellIs" dxfId="0" priority="8993" operator="lessThan">
      <formula>20</formula>
    </cfRule>
    <cfRule type="cellIs" dxfId="1" priority="8224" operator="greaterThan">
      <formula>120</formula>
    </cfRule>
    <cfRule type="containsText" dxfId="2" priority="7455" operator="between" text="库存为">
      <formula>NOT(ISERROR(SEARCH("库存为",AU559)))</formula>
    </cfRule>
  </conditionalFormatting>
  <conditionalFormatting sqref="AU560">
    <cfRule type="cellIs" dxfId="0" priority="8992" operator="lessThan">
      <formula>20</formula>
    </cfRule>
    <cfRule type="cellIs" dxfId="1" priority="8223" operator="greaterThan">
      <formula>120</formula>
    </cfRule>
    <cfRule type="containsText" dxfId="2" priority="7454" operator="between" text="库存为">
      <formula>NOT(ISERROR(SEARCH("库存为",AU560)))</formula>
    </cfRule>
  </conditionalFormatting>
  <conditionalFormatting sqref="AU561">
    <cfRule type="cellIs" dxfId="0" priority="8991" operator="lessThan">
      <formula>20</formula>
    </cfRule>
    <cfRule type="cellIs" dxfId="1" priority="8222" operator="greaterThan">
      <formula>120</formula>
    </cfRule>
    <cfRule type="containsText" dxfId="2" priority="7453" operator="between" text="库存为">
      <formula>NOT(ISERROR(SEARCH("库存为",AU561)))</formula>
    </cfRule>
  </conditionalFormatting>
  <conditionalFormatting sqref="AU562">
    <cfRule type="cellIs" dxfId="0" priority="8990" operator="lessThan">
      <formula>20</formula>
    </cfRule>
    <cfRule type="cellIs" dxfId="1" priority="8221" operator="greaterThan">
      <formula>120</formula>
    </cfRule>
    <cfRule type="containsText" dxfId="2" priority="7452" operator="between" text="库存为">
      <formula>NOT(ISERROR(SEARCH("库存为",AU562)))</formula>
    </cfRule>
  </conditionalFormatting>
  <conditionalFormatting sqref="AU563">
    <cfRule type="cellIs" dxfId="0" priority="8989" operator="lessThan">
      <formula>20</formula>
    </cfRule>
    <cfRule type="cellIs" dxfId="1" priority="8220" operator="greaterThan">
      <formula>120</formula>
    </cfRule>
    <cfRule type="containsText" dxfId="2" priority="7451" operator="between" text="库存为">
      <formula>NOT(ISERROR(SEARCH("库存为",AU563)))</formula>
    </cfRule>
  </conditionalFormatting>
  <conditionalFormatting sqref="AU564">
    <cfRule type="cellIs" dxfId="0" priority="8988" operator="lessThan">
      <formula>20</formula>
    </cfRule>
    <cfRule type="cellIs" dxfId="1" priority="8219" operator="greaterThan">
      <formula>120</formula>
    </cfRule>
    <cfRule type="containsText" dxfId="2" priority="7450" operator="between" text="库存为">
      <formula>NOT(ISERROR(SEARCH("库存为",AU564)))</formula>
    </cfRule>
  </conditionalFormatting>
  <conditionalFormatting sqref="AU565">
    <cfRule type="cellIs" dxfId="0" priority="8987" operator="lessThan">
      <formula>20</formula>
    </cfRule>
    <cfRule type="cellIs" dxfId="1" priority="8218" operator="greaterThan">
      <formula>120</formula>
    </cfRule>
    <cfRule type="containsText" dxfId="2" priority="7449" operator="between" text="库存为">
      <formula>NOT(ISERROR(SEARCH("库存为",AU565)))</formula>
    </cfRule>
  </conditionalFormatting>
  <conditionalFormatting sqref="AU566">
    <cfRule type="cellIs" dxfId="0" priority="8986" operator="lessThan">
      <formula>20</formula>
    </cfRule>
    <cfRule type="cellIs" dxfId="1" priority="8217" operator="greaterThan">
      <formula>120</formula>
    </cfRule>
    <cfRule type="containsText" dxfId="2" priority="7448" operator="between" text="库存为">
      <formula>NOT(ISERROR(SEARCH("库存为",AU566)))</formula>
    </cfRule>
  </conditionalFormatting>
  <conditionalFormatting sqref="AU567">
    <cfRule type="cellIs" dxfId="0" priority="8985" operator="lessThan">
      <formula>20</formula>
    </cfRule>
    <cfRule type="cellIs" dxfId="1" priority="8216" operator="greaterThan">
      <formula>120</formula>
    </cfRule>
    <cfRule type="containsText" dxfId="2" priority="7447" operator="between" text="库存为">
      <formula>NOT(ISERROR(SEARCH("库存为",AU567)))</formula>
    </cfRule>
  </conditionalFormatting>
  <conditionalFormatting sqref="AU568">
    <cfRule type="cellIs" dxfId="0" priority="8984" operator="lessThan">
      <formula>20</formula>
    </cfRule>
    <cfRule type="cellIs" dxfId="1" priority="8215" operator="greaterThan">
      <formula>120</formula>
    </cfRule>
    <cfRule type="containsText" dxfId="2" priority="7446" operator="between" text="库存为">
      <formula>NOT(ISERROR(SEARCH("库存为",AU568)))</formula>
    </cfRule>
  </conditionalFormatting>
  <conditionalFormatting sqref="AU569">
    <cfRule type="cellIs" dxfId="0" priority="8983" operator="lessThan">
      <formula>20</formula>
    </cfRule>
    <cfRule type="cellIs" dxfId="1" priority="8214" operator="greaterThan">
      <formula>120</formula>
    </cfRule>
    <cfRule type="containsText" dxfId="2" priority="7445" operator="between" text="库存为">
      <formula>NOT(ISERROR(SEARCH("库存为",AU569)))</formula>
    </cfRule>
  </conditionalFormatting>
  <conditionalFormatting sqref="AU570">
    <cfRule type="cellIs" dxfId="0" priority="8982" operator="lessThan">
      <formula>20</formula>
    </cfRule>
    <cfRule type="cellIs" dxfId="1" priority="8213" operator="greaterThan">
      <formula>120</formula>
    </cfRule>
    <cfRule type="containsText" dxfId="2" priority="7444" operator="between" text="库存为">
      <formula>NOT(ISERROR(SEARCH("库存为",AU570)))</formula>
    </cfRule>
  </conditionalFormatting>
  <conditionalFormatting sqref="AU571">
    <cfRule type="cellIs" dxfId="0" priority="8981" operator="lessThan">
      <formula>20</formula>
    </cfRule>
    <cfRule type="cellIs" dxfId="1" priority="8212" operator="greaterThan">
      <formula>120</formula>
    </cfRule>
    <cfRule type="containsText" dxfId="2" priority="7443" operator="between" text="库存为">
      <formula>NOT(ISERROR(SEARCH("库存为",AU571)))</formula>
    </cfRule>
  </conditionalFormatting>
  <conditionalFormatting sqref="AU572">
    <cfRule type="cellIs" dxfId="0" priority="8980" operator="lessThan">
      <formula>20</formula>
    </cfRule>
    <cfRule type="cellIs" dxfId="1" priority="8211" operator="greaterThan">
      <formula>120</formula>
    </cfRule>
    <cfRule type="containsText" dxfId="2" priority="7442" operator="between" text="库存为">
      <formula>NOT(ISERROR(SEARCH("库存为",AU572)))</formula>
    </cfRule>
  </conditionalFormatting>
  <conditionalFormatting sqref="AU573">
    <cfRule type="cellIs" dxfId="0" priority="8979" operator="lessThan">
      <formula>20</formula>
    </cfRule>
    <cfRule type="cellIs" dxfId="1" priority="8210" operator="greaterThan">
      <formula>120</formula>
    </cfRule>
    <cfRule type="containsText" dxfId="2" priority="7441" operator="between" text="库存为">
      <formula>NOT(ISERROR(SEARCH("库存为",AU573)))</formula>
    </cfRule>
  </conditionalFormatting>
  <conditionalFormatting sqref="AU574">
    <cfRule type="cellIs" dxfId="0" priority="8978" operator="lessThan">
      <formula>20</formula>
    </cfRule>
    <cfRule type="cellIs" dxfId="1" priority="8209" operator="greaterThan">
      <formula>120</formula>
    </cfRule>
    <cfRule type="containsText" dxfId="2" priority="7440" operator="between" text="库存为">
      <formula>NOT(ISERROR(SEARCH("库存为",AU574)))</formula>
    </cfRule>
  </conditionalFormatting>
  <conditionalFormatting sqref="AU575">
    <cfRule type="cellIs" dxfId="0" priority="8977" operator="lessThan">
      <formula>20</formula>
    </cfRule>
    <cfRule type="cellIs" dxfId="1" priority="8208" operator="greaterThan">
      <formula>120</formula>
    </cfRule>
    <cfRule type="containsText" dxfId="2" priority="7439" operator="between" text="库存为">
      <formula>NOT(ISERROR(SEARCH("库存为",AU575)))</formula>
    </cfRule>
  </conditionalFormatting>
  <conditionalFormatting sqref="AU576">
    <cfRule type="cellIs" dxfId="0" priority="8976" operator="lessThan">
      <formula>20</formula>
    </cfRule>
    <cfRule type="cellIs" dxfId="1" priority="8207" operator="greaterThan">
      <formula>120</formula>
    </cfRule>
    <cfRule type="containsText" dxfId="2" priority="7438" operator="between" text="库存为">
      <formula>NOT(ISERROR(SEARCH("库存为",AU576)))</formula>
    </cfRule>
  </conditionalFormatting>
  <conditionalFormatting sqref="AU577">
    <cfRule type="cellIs" dxfId="0" priority="8975" operator="lessThan">
      <formula>20</formula>
    </cfRule>
    <cfRule type="cellIs" dxfId="1" priority="8206" operator="greaterThan">
      <formula>120</formula>
    </cfRule>
    <cfRule type="containsText" dxfId="2" priority="7437" operator="between" text="库存为">
      <formula>NOT(ISERROR(SEARCH("库存为",AU577)))</formula>
    </cfRule>
  </conditionalFormatting>
  <conditionalFormatting sqref="AU578">
    <cfRule type="cellIs" dxfId="0" priority="8974" operator="lessThan">
      <formula>20</formula>
    </cfRule>
    <cfRule type="cellIs" dxfId="1" priority="8205" operator="greaterThan">
      <formula>120</formula>
    </cfRule>
    <cfRule type="containsText" dxfId="2" priority="7436" operator="between" text="库存为">
      <formula>NOT(ISERROR(SEARCH("库存为",AU578)))</formula>
    </cfRule>
  </conditionalFormatting>
  <conditionalFormatting sqref="AU579">
    <cfRule type="cellIs" dxfId="0" priority="8973" operator="lessThan">
      <formula>20</formula>
    </cfRule>
    <cfRule type="cellIs" dxfId="1" priority="8204" operator="greaterThan">
      <formula>120</formula>
    </cfRule>
    <cfRule type="containsText" dxfId="2" priority="7435" operator="between" text="库存为">
      <formula>NOT(ISERROR(SEARCH("库存为",AU579)))</formula>
    </cfRule>
  </conditionalFormatting>
  <conditionalFormatting sqref="AU580">
    <cfRule type="cellIs" dxfId="0" priority="8972" operator="lessThan">
      <formula>20</formula>
    </cfRule>
    <cfRule type="cellIs" dxfId="1" priority="8203" operator="greaterThan">
      <formula>120</formula>
    </cfRule>
    <cfRule type="containsText" dxfId="2" priority="7434" operator="between" text="库存为">
      <formula>NOT(ISERROR(SEARCH("库存为",AU580)))</formula>
    </cfRule>
  </conditionalFormatting>
  <conditionalFormatting sqref="AU581">
    <cfRule type="cellIs" dxfId="0" priority="8971" operator="lessThan">
      <formula>20</formula>
    </cfRule>
    <cfRule type="cellIs" dxfId="1" priority="8202" operator="greaterThan">
      <formula>120</formula>
    </cfRule>
    <cfRule type="containsText" dxfId="2" priority="7433" operator="between" text="库存为">
      <formula>NOT(ISERROR(SEARCH("库存为",AU581)))</formula>
    </cfRule>
  </conditionalFormatting>
  <conditionalFormatting sqref="AU582">
    <cfRule type="cellIs" dxfId="0" priority="8970" operator="lessThan">
      <formula>20</formula>
    </cfRule>
    <cfRule type="cellIs" dxfId="1" priority="8201" operator="greaterThan">
      <formula>120</formula>
    </cfRule>
    <cfRule type="containsText" dxfId="2" priority="7432" operator="between" text="库存为">
      <formula>NOT(ISERROR(SEARCH("库存为",AU582)))</formula>
    </cfRule>
  </conditionalFormatting>
  <conditionalFormatting sqref="AU583">
    <cfRule type="cellIs" dxfId="0" priority="8969" operator="lessThan">
      <formula>20</formula>
    </cfRule>
    <cfRule type="cellIs" dxfId="1" priority="8200" operator="greaterThan">
      <formula>120</formula>
    </cfRule>
    <cfRule type="containsText" dxfId="2" priority="7431" operator="between" text="库存为">
      <formula>NOT(ISERROR(SEARCH("库存为",AU583)))</formula>
    </cfRule>
  </conditionalFormatting>
  <conditionalFormatting sqref="AU584">
    <cfRule type="cellIs" dxfId="0" priority="8968" operator="lessThan">
      <formula>20</formula>
    </cfRule>
    <cfRule type="cellIs" dxfId="1" priority="8199" operator="greaterThan">
      <formula>120</formula>
    </cfRule>
    <cfRule type="containsText" dxfId="2" priority="7430" operator="between" text="库存为">
      <formula>NOT(ISERROR(SEARCH("库存为",AU584)))</formula>
    </cfRule>
  </conditionalFormatting>
  <conditionalFormatting sqref="AU585">
    <cfRule type="cellIs" dxfId="0" priority="8967" operator="lessThan">
      <formula>20</formula>
    </cfRule>
    <cfRule type="cellIs" dxfId="1" priority="8198" operator="greaterThan">
      <formula>120</formula>
    </cfRule>
    <cfRule type="containsText" dxfId="2" priority="7429" operator="between" text="库存为">
      <formula>NOT(ISERROR(SEARCH("库存为",AU585)))</formula>
    </cfRule>
  </conditionalFormatting>
  <conditionalFormatting sqref="AU586">
    <cfRule type="cellIs" dxfId="0" priority="8966" operator="lessThan">
      <formula>20</formula>
    </cfRule>
    <cfRule type="cellIs" dxfId="1" priority="8197" operator="greaterThan">
      <formula>120</formula>
    </cfRule>
    <cfRule type="containsText" dxfId="2" priority="7428" operator="between" text="库存为">
      <formula>NOT(ISERROR(SEARCH("库存为",AU586)))</formula>
    </cfRule>
  </conditionalFormatting>
  <conditionalFormatting sqref="AU587">
    <cfRule type="cellIs" dxfId="0" priority="8965" operator="lessThan">
      <formula>20</formula>
    </cfRule>
    <cfRule type="cellIs" dxfId="1" priority="8196" operator="greaterThan">
      <formula>120</formula>
    </cfRule>
    <cfRule type="containsText" dxfId="2" priority="7427" operator="between" text="库存为">
      <formula>NOT(ISERROR(SEARCH("库存为",AU587)))</formula>
    </cfRule>
  </conditionalFormatting>
  <conditionalFormatting sqref="AU588">
    <cfRule type="cellIs" dxfId="0" priority="8964" operator="lessThan">
      <formula>20</formula>
    </cfRule>
    <cfRule type="cellIs" dxfId="1" priority="8195" operator="greaterThan">
      <formula>120</formula>
    </cfRule>
    <cfRule type="containsText" dxfId="2" priority="7426" operator="between" text="库存为">
      <formula>NOT(ISERROR(SEARCH("库存为",AU588)))</formula>
    </cfRule>
  </conditionalFormatting>
  <conditionalFormatting sqref="AU589">
    <cfRule type="cellIs" dxfId="0" priority="8963" operator="lessThan">
      <formula>20</formula>
    </cfRule>
    <cfRule type="cellIs" dxfId="1" priority="8194" operator="greaterThan">
      <formula>120</formula>
    </cfRule>
    <cfRule type="containsText" dxfId="2" priority="7425" operator="between" text="库存为">
      <formula>NOT(ISERROR(SEARCH("库存为",AU589)))</formula>
    </cfRule>
  </conditionalFormatting>
  <conditionalFormatting sqref="AU590">
    <cfRule type="cellIs" dxfId="0" priority="8962" operator="lessThan">
      <formula>20</formula>
    </cfRule>
    <cfRule type="cellIs" dxfId="1" priority="8193" operator="greaterThan">
      <formula>120</formula>
    </cfRule>
    <cfRule type="containsText" dxfId="2" priority="7424" operator="between" text="库存为">
      <formula>NOT(ISERROR(SEARCH("库存为",AU590)))</formula>
    </cfRule>
  </conditionalFormatting>
  <conditionalFormatting sqref="AU591">
    <cfRule type="cellIs" dxfId="0" priority="8961" operator="lessThan">
      <formula>20</formula>
    </cfRule>
    <cfRule type="cellIs" dxfId="1" priority="8192" operator="greaterThan">
      <formula>120</formula>
    </cfRule>
    <cfRule type="containsText" dxfId="2" priority="7423" operator="between" text="库存为">
      <formula>NOT(ISERROR(SEARCH("库存为",AU591)))</formula>
    </cfRule>
  </conditionalFormatting>
  <conditionalFormatting sqref="AU592">
    <cfRule type="cellIs" dxfId="0" priority="8960" operator="lessThan">
      <formula>20</formula>
    </cfRule>
    <cfRule type="cellIs" dxfId="1" priority="8191" operator="greaterThan">
      <formula>120</formula>
    </cfRule>
    <cfRule type="containsText" dxfId="2" priority="7422" operator="between" text="库存为">
      <formula>NOT(ISERROR(SEARCH("库存为",AU592)))</formula>
    </cfRule>
  </conditionalFormatting>
  <conditionalFormatting sqref="AU593">
    <cfRule type="cellIs" dxfId="0" priority="8959" operator="lessThan">
      <formula>20</formula>
    </cfRule>
    <cfRule type="cellIs" dxfId="1" priority="8190" operator="greaterThan">
      <formula>120</formula>
    </cfRule>
    <cfRule type="containsText" dxfId="2" priority="7421" operator="between" text="库存为">
      <formula>NOT(ISERROR(SEARCH("库存为",AU593)))</formula>
    </cfRule>
  </conditionalFormatting>
  <conditionalFormatting sqref="AU594">
    <cfRule type="cellIs" dxfId="0" priority="8958" operator="lessThan">
      <formula>20</formula>
    </cfRule>
    <cfRule type="cellIs" dxfId="1" priority="8189" operator="greaterThan">
      <formula>120</formula>
    </cfRule>
    <cfRule type="containsText" dxfId="2" priority="7420" operator="between" text="库存为">
      <formula>NOT(ISERROR(SEARCH("库存为",AU594)))</formula>
    </cfRule>
  </conditionalFormatting>
  <conditionalFormatting sqref="AU595">
    <cfRule type="cellIs" dxfId="0" priority="8957" operator="lessThan">
      <formula>20</formula>
    </cfRule>
    <cfRule type="cellIs" dxfId="1" priority="8188" operator="greaterThan">
      <formula>120</formula>
    </cfRule>
    <cfRule type="containsText" dxfId="2" priority="7419" operator="between" text="库存为">
      <formula>NOT(ISERROR(SEARCH("库存为",AU595)))</formula>
    </cfRule>
  </conditionalFormatting>
  <conditionalFormatting sqref="AU596">
    <cfRule type="cellIs" dxfId="0" priority="8956" operator="lessThan">
      <formula>20</formula>
    </cfRule>
    <cfRule type="cellIs" dxfId="1" priority="8187" operator="greaterThan">
      <formula>120</formula>
    </cfRule>
    <cfRule type="containsText" dxfId="2" priority="7418" operator="between" text="库存为">
      <formula>NOT(ISERROR(SEARCH("库存为",AU596)))</formula>
    </cfRule>
  </conditionalFormatting>
  <conditionalFormatting sqref="AU597">
    <cfRule type="cellIs" dxfId="0" priority="8955" operator="lessThan">
      <formula>20</formula>
    </cfRule>
    <cfRule type="cellIs" dxfId="1" priority="8186" operator="greaterThan">
      <formula>120</formula>
    </cfRule>
    <cfRule type="containsText" dxfId="2" priority="7417" operator="between" text="库存为">
      <formula>NOT(ISERROR(SEARCH("库存为",AU597)))</formula>
    </cfRule>
  </conditionalFormatting>
  <conditionalFormatting sqref="AU598">
    <cfRule type="cellIs" dxfId="0" priority="8954" operator="lessThan">
      <formula>20</formula>
    </cfRule>
    <cfRule type="cellIs" dxfId="1" priority="8185" operator="greaterThan">
      <formula>120</formula>
    </cfRule>
    <cfRule type="containsText" dxfId="2" priority="7416" operator="between" text="库存为">
      <formula>NOT(ISERROR(SEARCH("库存为",AU598)))</formula>
    </cfRule>
  </conditionalFormatting>
  <conditionalFormatting sqref="AU599">
    <cfRule type="cellIs" dxfId="0" priority="8953" operator="lessThan">
      <formula>20</formula>
    </cfRule>
    <cfRule type="cellIs" dxfId="1" priority="8184" operator="greaterThan">
      <formula>120</formula>
    </cfRule>
    <cfRule type="containsText" dxfId="2" priority="7415" operator="between" text="库存为">
      <formula>NOT(ISERROR(SEARCH("库存为",AU599)))</formula>
    </cfRule>
  </conditionalFormatting>
  <conditionalFormatting sqref="AU600">
    <cfRule type="cellIs" dxfId="0" priority="8952" operator="lessThan">
      <formula>20</formula>
    </cfRule>
    <cfRule type="cellIs" dxfId="1" priority="8183" operator="greaterThan">
      <formula>120</formula>
    </cfRule>
    <cfRule type="containsText" dxfId="2" priority="7414" operator="between" text="库存为">
      <formula>NOT(ISERROR(SEARCH("库存为",AU600)))</formula>
    </cfRule>
  </conditionalFormatting>
  <conditionalFormatting sqref="AU601">
    <cfRule type="cellIs" dxfId="0" priority="8951" operator="lessThan">
      <formula>20</formula>
    </cfRule>
    <cfRule type="cellIs" dxfId="1" priority="8182" operator="greaterThan">
      <formula>120</formula>
    </cfRule>
    <cfRule type="containsText" dxfId="2" priority="7413" operator="between" text="库存为">
      <formula>NOT(ISERROR(SEARCH("库存为",AU601)))</formula>
    </cfRule>
  </conditionalFormatting>
  <conditionalFormatting sqref="AU602">
    <cfRule type="cellIs" dxfId="0" priority="8950" operator="lessThan">
      <formula>20</formula>
    </cfRule>
    <cfRule type="cellIs" dxfId="1" priority="8181" operator="greaterThan">
      <formula>120</formula>
    </cfRule>
    <cfRule type="containsText" dxfId="2" priority="7412" operator="between" text="库存为">
      <formula>NOT(ISERROR(SEARCH("库存为",AU602)))</formula>
    </cfRule>
  </conditionalFormatting>
  <conditionalFormatting sqref="AU603">
    <cfRule type="cellIs" dxfId="0" priority="8949" operator="lessThan">
      <formula>20</formula>
    </cfRule>
    <cfRule type="cellIs" dxfId="1" priority="8180" operator="greaterThan">
      <formula>120</formula>
    </cfRule>
    <cfRule type="containsText" dxfId="2" priority="7411" operator="between" text="库存为">
      <formula>NOT(ISERROR(SEARCH("库存为",AU603)))</formula>
    </cfRule>
  </conditionalFormatting>
  <conditionalFormatting sqref="AU604">
    <cfRule type="cellIs" dxfId="0" priority="8948" operator="lessThan">
      <formula>20</formula>
    </cfRule>
    <cfRule type="cellIs" dxfId="1" priority="8179" operator="greaterThan">
      <formula>120</formula>
    </cfRule>
    <cfRule type="containsText" dxfId="2" priority="7410" operator="between" text="库存为">
      <formula>NOT(ISERROR(SEARCH("库存为",AU604)))</formula>
    </cfRule>
  </conditionalFormatting>
  <conditionalFormatting sqref="AU605">
    <cfRule type="cellIs" dxfId="0" priority="8947" operator="lessThan">
      <formula>20</formula>
    </cfRule>
    <cfRule type="cellIs" dxfId="1" priority="8178" operator="greaterThan">
      <formula>120</formula>
    </cfRule>
    <cfRule type="containsText" dxfId="2" priority="7409" operator="between" text="库存为">
      <formula>NOT(ISERROR(SEARCH("库存为",AU605)))</formula>
    </cfRule>
  </conditionalFormatting>
  <conditionalFormatting sqref="AU606">
    <cfRule type="cellIs" dxfId="0" priority="8946" operator="lessThan">
      <formula>20</formula>
    </cfRule>
    <cfRule type="cellIs" dxfId="1" priority="8177" operator="greaterThan">
      <formula>120</formula>
    </cfRule>
    <cfRule type="containsText" dxfId="2" priority="7408" operator="between" text="库存为">
      <formula>NOT(ISERROR(SEARCH("库存为",AU606)))</formula>
    </cfRule>
  </conditionalFormatting>
  <conditionalFormatting sqref="AU607">
    <cfRule type="cellIs" dxfId="0" priority="8945" operator="lessThan">
      <formula>20</formula>
    </cfRule>
    <cfRule type="cellIs" dxfId="1" priority="8176" operator="greaterThan">
      <formula>120</formula>
    </cfRule>
    <cfRule type="containsText" dxfId="2" priority="7407" operator="between" text="库存为">
      <formula>NOT(ISERROR(SEARCH("库存为",AU607)))</formula>
    </cfRule>
  </conditionalFormatting>
  <conditionalFormatting sqref="AU608">
    <cfRule type="cellIs" dxfId="0" priority="8944" operator="lessThan">
      <formula>20</formula>
    </cfRule>
    <cfRule type="cellIs" dxfId="1" priority="8175" operator="greaterThan">
      <formula>120</formula>
    </cfRule>
    <cfRule type="containsText" dxfId="2" priority="7406" operator="between" text="库存为">
      <formula>NOT(ISERROR(SEARCH("库存为",AU608)))</formula>
    </cfRule>
  </conditionalFormatting>
  <conditionalFormatting sqref="AU609">
    <cfRule type="cellIs" dxfId="0" priority="8943" operator="lessThan">
      <formula>20</formula>
    </cfRule>
    <cfRule type="cellIs" dxfId="1" priority="8174" operator="greaterThan">
      <formula>120</formula>
    </cfRule>
    <cfRule type="containsText" dxfId="2" priority="7405" operator="between" text="库存为">
      <formula>NOT(ISERROR(SEARCH("库存为",AU609)))</formula>
    </cfRule>
  </conditionalFormatting>
  <conditionalFormatting sqref="AU610">
    <cfRule type="cellIs" dxfId="0" priority="8942" operator="lessThan">
      <formula>20</formula>
    </cfRule>
    <cfRule type="cellIs" dxfId="1" priority="8173" operator="greaterThan">
      <formula>120</formula>
    </cfRule>
    <cfRule type="containsText" dxfId="2" priority="7404" operator="between" text="库存为">
      <formula>NOT(ISERROR(SEARCH("库存为",AU610)))</formula>
    </cfRule>
  </conditionalFormatting>
  <conditionalFormatting sqref="AU611">
    <cfRule type="cellIs" dxfId="0" priority="8941" operator="lessThan">
      <formula>20</formula>
    </cfRule>
    <cfRule type="cellIs" dxfId="1" priority="8172" operator="greaterThan">
      <formula>120</formula>
    </cfRule>
    <cfRule type="containsText" dxfId="2" priority="7403" operator="between" text="库存为">
      <formula>NOT(ISERROR(SEARCH("库存为",AU611)))</formula>
    </cfRule>
  </conditionalFormatting>
  <conditionalFormatting sqref="AU612">
    <cfRule type="cellIs" dxfId="0" priority="8940" operator="lessThan">
      <formula>20</formula>
    </cfRule>
    <cfRule type="cellIs" dxfId="1" priority="8171" operator="greaterThan">
      <formula>120</formula>
    </cfRule>
    <cfRule type="containsText" dxfId="2" priority="7402" operator="between" text="库存为">
      <formula>NOT(ISERROR(SEARCH("库存为",AU612)))</formula>
    </cfRule>
  </conditionalFormatting>
  <conditionalFormatting sqref="AU613">
    <cfRule type="cellIs" dxfId="0" priority="8939" operator="lessThan">
      <formula>20</formula>
    </cfRule>
    <cfRule type="cellIs" dxfId="1" priority="8170" operator="greaterThan">
      <formula>120</formula>
    </cfRule>
    <cfRule type="containsText" dxfId="2" priority="7401" operator="between" text="库存为">
      <formula>NOT(ISERROR(SEARCH("库存为",AU613)))</formula>
    </cfRule>
  </conditionalFormatting>
  <conditionalFormatting sqref="AU614">
    <cfRule type="cellIs" dxfId="0" priority="8938" operator="lessThan">
      <formula>20</formula>
    </cfRule>
    <cfRule type="cellIs" dxfId="1" priority="8169" operator="greaterThan">
      <formula>120</formula>
    </cfRule>
    <cfRule type="containsText" dxfId="2" priority="7400" operator="between" text="库存为">
      <formula>NOT(ISERROR(SEARCH("库存为",AU614)))</formula>
    </cfRule>
  </conditionalFormatting>
  <conditionalFormatting sqref="AU615">
    <cfRule type="cellIs" dxfId="0" priority="8937" operator="lessThan">
      <formula>20</formula>
    </cfRule>
    <cfRule type="cellIs" dxfId="1" priority="8168" operator="greaterThan">
      <formula>120</formula>
    </cfRule>
    <cfRule type="containsText" dxfId="2" priority="7399" operator="between" text="库存为">
      <formula>NOT(ISERROR(SEARCH("库存为",AU615)))</formula>
    </cfRule>
  </conditionalFormatting>
  <conditionalFormatting sqref="AU616">
    <cfRule type="cellIs" dxfId="0" priority="8936" operator="lessThan">
      <formula>20</formula>
    </cfRule>
    <cfRule type="cellIs" dxfId="1" priority="8167" operator="greaterThan">
      <formula>120</formula>
    </cfRule>
    <cfRule type="containsText" dxfId="2" priority="7398" operator="between" text="库存为">
      <formula>NOT(ISERROR(SEARCH("库存为",AU616)))</formula>
    </cfRule>
  </conditionalFormatting>
  <conditionalFormatting sqref="AU617">
    <cfRule type="cellIs" dxfId="0" priority="8935" operator="lessThan">
      <formula>20</formula>
    </cfRule>
    <cfRule type="cellIs" dxfId="1" priority="8166" operator="greaterThan">
      <formula>120</formula>
    </cfRule>
    <cfRule type="containsText" dxfId="2" priority="7397" operator="between" text="库存为">
      <formula>NOT(ISERROR(SEARCH("库存为",AU617)))</formula>
    </cfRule>
  </conditionalFormatting>
  <conditionalFormatting sqref="AU618">
    <cfRule type="cellIs" dxfId="0" priority="8934" operator="lessThan">
      <formula>20</formula>
    </cfRule>
    <cfRule type="cellIs" dxfId="1" priority="8165" operator="greaterThan">
      <formula>120</formula>
    </cfRule>
    <cfRule type="containsText" dxfId="2" priority="7396" operator="between" text="库存为">
      <formula>NOT(ISERROR(SEARCH("库存为",AU618)))</formula>
    </cfRule>
  </conditionalFormatting>
  <conditionalFormatting sqref="AU619">
    <cfRule type="cellIs" dxfId="0" priority="8933" operator="lessThan">
      <formula>20</formula>
    </cfRule>
    <cfRule type="cellIs" dxfId="1" priority="8164" operator="greaterThan">
      <formula>120</formula>
    </cfRule>
    <cfRule type="containsText" dxfId="2" priority="7395" operator="between" text="库存为">
      <formula>NOT(ISERROR(SEARCH("库存为",AU619)))</formula>
    </cfRule>
  </conditionalFormatting>
  <conditionalFormatting sqref="AU620">
    <cfRule type="cellIs" dxfId="0" priority="8932" operator="lessThan">
      <formula>20</formula>
    </cfRule>
    <cfRule type="cellIs" dxfId="1" priority="8163" operator="greaterThan">
      <formula>120</formula>
    </cfRule>
    <cfRule type="containsText" dxfId="2" priority="7394" operator="between" text="库存为">
      <formula>NOT(ISERROR(SEARCH("库存为",AU620)))</formula>
    </cfRule>
  </conditionalFormatting>
  <conditionalFormatting sqref="AU621">
    <cfRule type="cellIs" dxfId="0" priority="8931" operator="lessThan">
      <formula>20</formula>
    </cfRule>
    <cfRule type="cellIs" dxfId="1" priority="8162" operator="greaterThan">
      <formula>120</formula>
    </cfRule>
    <cfRule type="containsText" dxfId="2" priority="7393" operator="between" text="库存为">
      <formula>NOT(ISERROR(SEARCH("库存为",AU621)))</formula>
    </cfRule>
  </conditionalFormatting>
  <conditionalFormatting sqref="AU622">
    <cfRule type="cellIs" dxfId="0" priority="8930" operator="lessThan">
      <formula>20</formula>
    </cfRule>
    <cfRule type="cellIs" dxfId="1" priority="8161" operator="greaterThan">
      <formula>120</formula>
    </cfRule>
    <cfRule type="containsText" dxfId="2" priority="7392" operator="between" text="库存为">
      <formula>NOT(ISERROR(SEARCH("库存为",AU622)))</formula>
    </cfRule>
  </conditionalFormatting>
  <conditionalFormatting sqref="AU623">
    <cfRule type="cellIs" dxfId="0" priority="8929" operator="lessThan">
      <formula>20</formula>
    </cfRule>
    <cfRule type="cellIs" dxfId="1" priority="8160" operator="greaterThan">
      <formula>120</formula>
    </cfRule>
    <cfRule type="containsText" dxfId="2" priority="7391" operator="between" text="库存为">
      <formula>NOT(ISERROR(SEARCH("库存为",AU623)))</formula>
    </cfRule>
  </conditionalFormatting>
  <conditionalFormatting sqref="AU624">
    <cfRule type="cellIs" dxfId="0" priority="8928" operator="lessThan">
      <formula>20</formula>
    </cfRule>
    <cfRule type="cellIs" dxfId="1" priority="8159" operator="greaterThan">
      <formula>120</formula>
    </cfRule>
    <cfRule type="containsText" dxfId="2" priority="7390" operator="between" text="库存为">
      <formula>NOT(ISERROR(SEARCH("库存为",AU624)))</formula>
    </cfRule>
  </conditionalFormatting>
  <conditionalFormatting sqref="AU625">
    <cfRule type="cellIs" dxfId="0" priority="8927" operator="lessThan">
      <formula>20</formula>
    </cfRule>
    <cfRule type="cellIs" dxfId="1" priority="8158" operator="greaterThan">
      <formula>120</formula>
    </cfRule>
    <cfRule type="containsText" dxfId="2" priority="7389" operator="between" text="库存为">
      <formula>NOT(ISERROR(SEARCH("库存为",AU625)))</formula>
    </cfRule>
  </conditionalFormatting>
  <conditionalFormatting sqref="AU626">
    <cfRule type="cellIs" dxfId="0" priority="8926" operator="lessThan">
      <formula>20</formula>
    </cfRule>
    <cfRule type="cellIs" dxfId="1" priority="8157" operator="greaterThan">
      <formula>120</formula>
    </cfRule>
    <cfRule type="containsText" dxfId="2" priority="7388" operator="between" text="库存为">
      <formula>NOT(ISERROR(SEARCH("库存为",AU626)))</formula>
    </cfRule>
  </conditionalFormatting>
  <conditionalFormatting sqref="AU627">
    <cfRule type="cellIs" dxfId="0" priority="8925" operator="lessThan">
      <formula>20</formula>
    </cfRule>
    <cfRule type="cellIs" dxfId="1" priority="8156" operator="greaterThan">
      <formula>120</formula>
    </cfRule>
    <cfRule type="containsText" dxfId="2" priority="7387" operator="between" text="库存为">
      <formula>NOT(ISERROR(SEARCH("库存为",AU627)))</formula>
    </cfRule>
  </conditionalFormatting>
  <conditionalFormatting sqref="AU628">
    <cfRule type="cellIs" dxfId="0" priority="8924" operator="lessThan">
      <formula>20</formula>
    </cfRule>
    <cfRule type="cellIs" dxfId="1" priority="8155" operator="greaterThan">
      <formula>120</formula>
    </cfRule>
    <cfRule type="containsText" dxfId="2" priority="7386" operator="between" text="库存为">
      <formula>NOT(ISERROR(SEARCH("库存为",AU628)))</formula>
    </cfRule>
  </conditionalFormatting>
  <conditionalFormatting sqref="AU629">
    <cfRule type="cellIs" dxfId="0" priority="8923" operator="lessThan">
      <formula>20</formula>
    </cfRule>
    <cfRule type="cellIs" dxfId="1" priority="8154" operator="greaterThan">
      <formula>120</formula>
    </cfRule>
    <cfRule type="containsText" dxfId="2" priority="7385" operator="between" text="库存为">
      <formula>NOT(ISERROR(SEARCH("库存为",AU629)))</formula>
    </cfRule>
  </conditionalFormatting>
  <conditionalFormatting sqref="AU630">
    <cfRule type="cellIs" dxfId="0" priority="8922" operator="lessThan">
      <formula>20</formula>
    </cfRule>
    <cfRule type="cellIs" dxfId="1" priority="8153" operator="greaterThan">
      <formula>120</formula>
    </cfRule>
    <cfRule type="containsText" dxfId="2" priority="7384" operator="between" text="库存为">
      <formula>NOT(ISERROR(SEARCH("库存为",AU630)))</formula>
    </cfRule>
  </conditionalFormatting>
  <conditionalFormatting sqref="AU631">
    <cfRule type="cellIs" dxfId="0" priority="8921" operator="lessThan">
      <formula>20</formula>
    </cfRule>
    <cfRule type="cellIs" dxfId="1" priority="8152" operator="greaterThan">
      <formula>120</formula>
    </cfRule>
    <cfRule type="containsText" dxfId="2" priority="7383" operator="between" text="库存为">
      <formula>NOT(ISERROR(SEARCH("库存为",AU631)))</formula>
    </cfRule>
  </conditionalFormatting>
  <conditionalFormatting sqref="AU632">
    <cfRule type="cellIs" dxfId="0" priority="8920" operator="lessThan">
      <formula>20</formula>
    </cfRule>
    <cfRule type="cellIs" dxfId="1" priority="8151" operator="greaterThan">
      <formula>120</formula>
    </cfRule>
    <cfRule type="containsText" dxfId="2" priority="7382" operator="between" text="库存为">
      <formula>NOT(ISERROR(SEARCH("库存为",AU632)))</formula>
    </cfRule>
  </conditionalFormatting>
  <conditionalFormatting sqref="AU633">
    <cfRule type="cellIs" dxfId="0" priority="8919" operator="lessThan">
      <formula>20</formula>
    </cfRule>
    <cfRule type="cellIs" dxfId="1" priority="8150" operator="greaterThan">
      <formula>120</formula>
    </cfRule>
    <cfRule type="containsText" dxfId="2" priority="7381" operator="between" text="库存为">
      <formula>NOT(ISERROR(SEARCH("库存为",AU633)))</formula>
    </cfRule>
  </conditionalFormatting>
  <conditionalFormatting sqref="AU634">
    <cfRule type="cellIs" dxfId="0" priority="8918" operator="lessThan">
      <formula>20</formula>
    </cfRule>
    <cfRule type="cellIs" dxfId="1" priority="8149" operator="greaterThan">
      <formula>120</formula>
    </cfRule>
    <cfRule type="containsText" dxfId="2" priority="7380" operator="between" text="库存为">
      <formula>NOT(ISERROR(SEARCH("库存为",AU634)))</formula>
    </cfRule>
  </conditionalFormatting>
  <conditionalFormatting sqref="AU635">
    <cfRule type="cellIs" dxfId="0" priority="8917" operator="lessThan">
      <formula>20</formula>
    </cfRule>
    <cfRule type="cellIs" dxfId="1" priority="8148" operator="greaterThan">
      <formula>120</formula>
    </cfRule>
    <cfRule type="containsText" dxfId="2" priority="7379" operator="between" text="库存为">
      <formula>NOT(ISERROR(SEARCH("库存为",AU635)))</formula>
    </cfRule>
  </conditionalFormatting>
  <conditionalFormatting sqref="AU636">
    <cfRule type="cellIs" dxfId="0" priority="8916" operator="lessThan">
      <formula>20</formula>
    </cfRule>
    <cfRule type="cellIs" dxfId="1" priority="8147" operator="greaterThan">
      <formula>120</formula>
    </cfRule>
    <cfRule type="containsText" dxfId="2" priority="7378" operator="between" text="库存为">
      <formula>NOT(ISERROR(SEARCH("库存为",AU636)))</formula>
    </cfRule>
  </conditionalFormatting>
  <conditionalFormatting sqref="AU637">
    <cfRule type="cellIs" dxfId="0" priority="8915" operator="lessThan">
      <formula>20</formula>
    </cfRule>
    <cfRule type="cellIs" dxfId="1" priority="8146" operator="greaterThan">
      <formula>120</formula>
    </cfRule>
    <cfRule type="containsText" dxfId="2" priority="7377" operator="between" text="库存为">
      <formula>NOT(ISERROR(SEARCH("库存为",AU637)))</formula>
    </cfRule>
  </conditionalFormatting>
  <conditionalFormatting sqref="AU638">
    <cfRule type="cellIs" dxfId="0" priority="8914" operator="lessThan">
      <formula>20</formula>
    </cfRule>
    <cfRule type="cellIs" dxfId="1" priority="8145" operator="greaterThan">
      <formula>120</formula>
    </cfRule>
    <cfRule type="containsText" dxfId="2" priority="7376" operator="between" text="库存为">
      <formula>NOT(ISERROR(SEARCH("库存为",AU638)))</formula>
    </cfRule>
  </conditionalFormatting>
  <conditionalFormatting sqref="AU639">
    <cfRule type="cellIs" dxfId="0" priority="8913" operator="lessThan">
      <formula>20</formula>
    </cfRule>
    <cfRule type="cellIs" dxfId="1" priority="8144" operator="greaterThan">
      <formula>120</formula>
    </cfRule>
    <cfRule type="containsText" dxfId="2" priority="7375" operator="between" text="库存为">
      <formula>NOT(ISERROR(SEARCH("库存为",AU639)))</formula>
    </cfRule>
  </conditionalFormatting>
  <conditionalFormatting sqref="AU640">
    <cfRule type="cellIs" dxfId="0" priority="8912" operator="lessThan">
      <formula>20</formula>
    </cfRule>
    <cfRule type="cellIs" dxfId="1" priority="8143" operator="greaterThan">
      <formula>120</formula>
    </cfRule>
    <cfRule type="containsText" dxfId="2" priority="7374" operator="between" text="库存为">
      <formula>NOT(ISERROR(SEARCH("库存为",AU640)))</formula>
    </cfRule>
  </conditionalFormatting>
  <conditionalFormatting sqref="AU641">
    <cfRule type="cellIs" dxfId="0" priority="8911" operator="lessThan">
      <formula>20</formula>
    </cfRule>
    <cfRule type="cellIs" dxfId="1" priority="8142" operator="greaterThan">
      <formula>120</formula>
    </cfRule>
    <cfRule type="containsText" dxfId="2" priority="7373" operator="between" text="库存为">
      <formula>NOT(ISERROR(SEARCH("库存为",AU641)))</formula>
    </cfRule>
  </conditionalFormatting>
  <conditionalFormatting sqref="AU642">
    <cfRule type="cellIs" dxfId="0" priority="8910" operator="lessThan">
      <formula>20</formula>
    </cfRule>
    <cfRule type="cellIs" dxfId="1" priority="8141" operator="greaterThan">
      <formula>120</formula>
    </cfRule>
    <cfRule type="containsText" dxfId="2" priority="7372" operator="between" text="库存为">
      <formula>NOT(ISERROR(SEARCH("库存为",AU642)))</formula>
    </cfRule>
  </conditionalFormatting>
  <conditionalFormatting sqref="AU643">
    <cfRule type="cellIs" dxfId="0" priority="8909" operator="lessThan">
      <formula>20</formula>
    </cfRule>
    <cfRule type="cellIs" dxfId="1" priority="8140" operator="greaterThan">
      <formula>120</formula>
    </cfRule>
    <cfRule type="containsText" dxfId="2" priority="7371" operator="between" text="库存为">
      <formula>NOT(ISERROR(SEARCH("库存为",AU643)))</formula>
    </cfRule>
  </conditionalFormatting>
  <conditionalFormatting sqref="AU644">
    <cfRule type="cellIs" dxfId="0" priority="8908" operator="lessThan">
      <formula>20</formula>
    </cfRule>
    <cfRule type="cellIs" dxfId="1" priority="8139" operator="greaterThan">
      <formula>120</formula>
    </cfRule>
    <cfRule type="containsText" dxfId="2" priority="7370" operator="between" text="库存为">
      <formula>NOT(ISERROR(SEARCH("库存为",AU644)))</formula>
    </cfRule>
  </conditionalFormatting>
  <conditionalFormatting sqref="AU645">
    <cfRule type="cellIs" dxfId="0" priority="8907" operator="lessThan">
      <formula>20</formula>
    </cfRule>
    <cfRule type="cellIs" dxfId="1" priority="8138" operator="greaterThan">
      <formula>120</formula>
    </cfRule>
    <cfRule type="containsText" dxfId="2" priority="7369" operator="between" text="库存为">
      <formula>NOT(ISERROR(SEARCH("库存为",AU645)))</formula>
    </cfRule>
  </conditionalFormatting>
  <conditionalFormatting sqref="AU646">
    <cfRule type="cellIs" dxfId="0" priority="8906" operator="lessThan">
      <formula>20</formula>
    </cfRule>
    <cfRule type="cellIs" dxfId="1" priority="8137" operator="greaterThan">
      <formula>120</formula>
    </cfRule>
    <cfRule type="containsText" dxfId="2" priority="7368" operator="between" text="库存为">
      <formula>NOT(ISERROR(SEARCH("库存为",AU646)))</formula>
    </cfRule>
  </conditionalFormatting>
  <conditionalFormatting sqref="AU647">
    <cfRule type="cellIs" dxfId="0" priority="8905" operator="lessThan">
      <formula>20</formula>
    </cfRule>
    <cfRule type="cellIs" dxfId="1" priority="8136" operator="greaterThan">
      <formula>120</formula>
    </cfRule>
    <cfRule type="containsText" dxfId="2" priority="7367" operator="between" text="库存为">
      <formula>NOT(ISERROR(SEARCH("库存为",AU647)))</formula>
    </cfRule>
  </conditionalFormatting>
  <conditionalFormatting sqref="AU648">
    <cfRule type="cellIs" dxfId="0" priority="8904" operator="lessThan">
      <formula>20</formula>
    </cfRule>
    <cfRule type="cellIs" dxfId="1" priority="8135" operator="greaterThan">
      <formula>120</formula>
    </cfRule>
    <cfRule type="containsText" dxfId="2" priority="7366" operator="between" text="库存为">
      <formula>NOT(ISERROR(SEARCH("库存为",AU648)))</formula>
    </cfRule>
  </conditionalFormatting>
  <conditionalFormatting sqref="AU649">
    <cfRule type="cellIs" dxfId="0" priority="8903" operator="lessThan">
      <formula>20</formula>
    </cfRule>
    <cfRule type="cellIs" dxfId="1" priority="8134" operator="greaterThan">
      <formula>120</formula>
    </cfRule>
    <cfRule type="containsText" dxfId="2" priority="7365" operator="between" text="库存为">
      <formula>NOT(ISERROR(SEARCH("库存为",AU649)))</formula>
    </cfRule>
  </conditionalFormatting>
  <conditionalFormatting sqref="AU650">
    <cfRule type="cellIs" dxfId="0" priority="8902" operator="lessThan">
      <formula>20</formula>
    </cfRule>
    <cfRule type="cellIs" dxfId="1" priority="8133" operator="greaterThan">
      <formula>120</formula>
    </cfRule>
    <cfRule type="containsText" dxfId="2" priority="7364" operator="between" text="库存为">
      <formula>NOT(ISERROR(SEARCH("库存为",AU650)))</formula>
    </cfRule>
  </conditionalFormatting>
  <conditionalFormatting sqref="AU651">
    <cfRule type="cellIs" dxfId="0" priority="8901" operator="lessThan">
      <formula>20</formula>
    </cfRule>
    <cfRule type="cellIs" dxfId="1" priority="8132" operator="greaterThan">
      <formula>120</formula>
    </cfRule>
    <cfRule type="containsText" dxfId="2" priority="7363" operator="between" text="库存为">
      <formula>NOT(ISERROR(SEARCH("库存为",AU651)))</formula>
    </cfRule>
  </conditionalFormatting>
  <conditionalFormatting sqref="AU652">
    <cfRule type="cellIs" dxfId="0" priority="8900" operator="lessThan">
      <formula>20</formula>
    </cfRule>
    <cfRule type="cellIs" dxfId="1" priority="8131" operator="greaterThan">
      <formula>120</formula>
    </cfRule>
    <cfRule type="containsText" dxfId="2" priority="7362" operator="between" text="库存为">
      <formula>NOT(ISERROR(SEARCH("库存为",AU652)))</formula>
    </cfRule>
  </conditionalFormatting>
  <conditionalFormatting sqref="AU653">
    <cfRule type="cellIs" dxfId="0" priority="8899" operator="lessThan">
      <formula>20</formula>
    </cfRule>
    <cfRule type="cellIs" dxfId="1" priority="8130" operator="greaterThan">
      <formula>120</formula>
    </cfRule>
    <cfRule type="containsText" dxfId="2" priority="7361" operator="between" text="库存为">
      <formula>NOT(ISERROR(SEARCH("库存为",AU653)))</formula>
    </cfRule>
  </conditionalFormatting>
  <conditionalFormatting sqref="AU654">
    <cfRule type="cellIs" dxfId="0" priority="8898" operator="lessThan">
      <formula>20</formula>
    </cfRule>
    <cfRule type="cellIs" dxfId="1" priority="8129" operator="greaterThan">
      <formula>120</formula>
    </cfRule>
    <cfRule type="containsText" dxfId="2" priority="7360" operator="between" text="库存为">
      <formula>NOT(ISERROR(SEARCH("库存为",AU654)))</formula>
    </cfRule>
  </conditionalFormatting>
  <conditionalFormatting sqref="AU655">
    <cfRule type="cellIs" dxfId="0" priority="8897" operator="lessThan">
      <formula>20</formula>
    </cfRule>
    <cfRule type="cellIs" dxfId="1" priority="8128" operator="greaterThan">
      <formula>120</formula>
    </cfRule>
    <cfRule type="containsText" dxfId="2" priority="7359" operator="between" text="库存为">
      <formula>NOT(ISERROR(SEARCH("库存为",AU655)))</formula>
    </cfRule>
  </conditionalFormatting>
  <conditionalFormatting sqref="AU656">
    <cfRule type="cellIs" dxfId="0" priority="8896" operator="lessThan">
      <formula>20</formula>
    </cfRule>
    <cfRule type="cellIs" dxfId="1" priority="8127" operator="greaterThan">
      <formula>120</formula>
    </cfRule>
    <cfRule type="containsText" dxfId="2" priority="7358" operator="between" text="库存为">
      <formula>NOT(ISERROR(SEARCH("库存为",AU656)))</formula>
    </cfRule>
  </conditionalFormatting>
  <conditionalFormatting sqref="AU657">
    <cfRule type="cellIs" dxfId="0" priority="8895" operator="lessThan">
      <formula>20</formula>
    </cfRule>
    <cfRule type="cellIs" dxfId="1" priority="8126" operator="greaterThan">
      <formula>120</formula>
    </cfRule>
    <cfRule type="containsText" dxfId="2" priority="7357" operator="between" text="库存为">
      <formula>NOT(ISERROR(SEARCH("库存为",AU657)))</formula>
    </cfRule>
  </conditionalFormatting>
  <conditionalFormatting sqref="AU658">
    <cfRule type="cellIs" dxfId="0" priority="8894" operator="lessThan">
      <formula>20</formula>
    </cfRule>
    <cfRule type="cellIs" dxfId="1" priority="8125" operator="greaterThan">
      <formula>120</formula>
    </cfRule>
    <cfRule type="containsText" dxfId="2" priority="7356" operator="between" text="库存为">
      <formula>NOT(ISERROR(SEARCH("库存为",AU658)))</formula>
    </cfRule>
  </conditionalFormatting>
  <conditionalFormatting sqref="AU659">
    <cfRule type="cellIs" dxfId="0" priority="8893" operator="lessThan">
      <formula>20</formula>
    </cfRule>
    <cfRule type="cellIs" dxfId="1" priority="8124" operator="greaterThan">
      <formula>120</formula>
    </cfRule>
    <cfRule type="containsText" dxfId="2" priority="7355" operator="between" text="库存为">
      <formula>NOT(ISERROR(SEARCH("库存为",AU659)))</formula>
    </cfRule>
  </conditionalFormatting>
  <conditionalFormatting sqref="AU660">
    <cfRule type="cellIs" dxfId="0" priority="8892" operator="lessThan">
      <formula>20</formula>
    </cfRule>
    <cfRule type="cellIs" dxfId="1" priority="8123" operator="greaterThan">
      <formula>120</formula>
    </cfRule>
    <cfRule type="containsText" dxfId="2" priority="7354" operator="between" text="库存为">
      <formula>NOT(ISERROR(SEARCH("库存为",AU660)))</formula>
    </cfRule>
  </conditionalFormatting>
  <conditionalFormatting sqref="AU661">
    <cfRule type="cellIs" dxfId="0" priority="8891" operator="lessThan">
      <formula>20</formula>
    </cfRule>
    <cfRule type="cellIs" dxfId="1" priority="8122" operator="greaterThan">
      <formula>120</formula>
    </cfRule>
    <cfRule type="containsText" dxfId="2" priority="7353" operator="between" text="库存为">
      <formula>NOT(ISERROR(SEARCH("库存为",AU661)))</formula>
    </cfRule>
  </conditionalFormatting>
  <conditionalFormatting sqref="AU662">
    <cfRule type="cellIs" dxfId="0" priority="8890" operator="lessThan">
      <formula>20</formula>
    </cfRule>
    <cfRule type="cellIs" dxfId="1" priority="8121" operator="greaterThan">
      <formula>120</formula>
    </cfRule>
    <cfRule type="containsText" dxfId="2" priority="7352" operator="between" text="库存为">
      <formula>NOT(ISERROR(SEARCH("库存为",AU662)))</formula>
    </cfRule>
  </conditionalFormatting>
  <conditionalFormatting sqref="AU663">
    <cfRule type="cellIs" dxfId="0" priority="8889" operator="lessThan">
      <formula>20</formula>
    </cfRule>
    <cfRule type="cellIs" dxfId="1" priority="8120" operator="greaterThan">
      <formula>120</formula>
    </cfRule>
    <cfRule type="containsText" dxfId="2" priority="7351" operator="between" text="库存为">
      <formula>NOT(ISERROR(SEARCH("库存为",AU663)))</formula>
    </cfRule>
  </conditionalFormatting>
  <conditionalFormatting sqref="AU664">
    <cfRule type="cellIs" dxfId="0" priority="8888" operator="lessThan">
      <formula>20</formula>
    </cfRule>
    <cfRule type="cellIs" dxfId="1" priority="8119" operator="greaterThan">
      <formula>120</formula>
    </cfRule>
    <cfRule type="containsText" dxfId="2" priority="7350" operator="between" text="库存为">
      <formula>NOT(ISERROR(SEARCH("库存为",AU664)))</formula>
    </cfRule>
  </conditionalFormatting>
  <conditionalFormatting sqref="AU665">
    <cfRule type="cellIs" dxfId="0" priority="8887" operator="lessThan">
      <formula>20</formula>
    </cfRule>
    <cfRule type="cellIs" dxfId="1" priority="8118" operator="greaterThan">
      <formula>120</formula>
    </cfRule>
    <cfRule type="containsText" dxfId="2" priority="7349" operator="between" text="库存为">
      <formula>NOT(ISERROR(SEARCH("库存为",AU665)))</formula>
    </cfRule>
  </conditionalFormatting>
  <conditionalFormatting sqref="AU666">
    <cfRule type="cellIs" dxfId="0" priority="8886" operator="lessThan">
      <formula>20</formula>
    </cfRule>
    <cfRule type="cellIs" dxfId="1" priority="8117" operator="greaterThan">
      <formula>120</formula>
    </cfRule>
    <cfRule type="containsText" dxfId="2" priority="7348" operator="between" text="库存为">
      <formula>NOT(ISERROR(SEARCH("库存为",AU666)))</formula>
    </cfRule>
  </conditionalFormatting>
  <conditionalFormatting sqref="AU667">
    <cfRule type="cellIs" dxfId="0" priority="8885" operator="lessThan">
      <formula>20</formula>
    </cfRule>
    <cfRule type="cellIs" dxfId="1" priority="8116" operator="greaterThan">
      <formula>120</formula>
    </cfRule>
    <cfRule type="containsText" dxfId="2" priority="7347" operator="between" text="库存为">
      <formula>NOT(ISERROR(SEARCH("库存为",AU667)))</formula>
    </cfRule>
  </conditionalFormatting>
  <conditionalFormatting sqref="AU668">
    <cfRule type="cellIs" dxfId="0" priority="8884" operator="lessThan">
      <formula>20</formula>
    </cfRule>
    <cfRule type="cellIs" dxfId="1" priority="8115" operator="greaterThan">
      <formula>120</formula>
    </cfRule>
    <cfRule type="containsText" dxfId="2" priority="7346" operator="between" text="库存为">
      <formula>NOT(ISERROR(SEARCH("库存为",AU668)))</formula>
    </cfRule>
  </conditionalFormatting>
  <conditionalFormatting sqref="AU669">
    <cfRule type="cellIs" dxfId="0" priority="8883" operator="lessThan">
      <formula>20</formula>
    </cfRule>
    <cfRule type="cellIs" dxfId="1" priority="8114" operator="greaterThan">
      <formula>120</formula>
    </cfRule>
    <cfRule type="containsText" dxfId="2" priority="7345" operator="between" text="库存为">
      <formula>NOT(ISERROR(SEARCH("库存为",AU669)))</formula>
    </cfRule>
  </conditionalFormatting>
  <conditionalFormatting sqref="AU670">
    <cfRule type="cellIs" dxfId="0" priority="8882" operator="lessThan">
      <formula>20</formula>
    </cfRule>
    <cfRule type="cellIs" dxfId="1" priority="8113" operator="greaterThan">
      <formula>120</formula>
    </cfRule>
    <cfRule type="containsText" dxfId="2" priority="7344" operator="between" text="库存为">
      <formula>NOT(ISERROR(SEARCH("库存为",AU670)))</formula>
    </cfRule>
  </conditionalFormatting>
  <conditionalFormatting sqref="AU671">
    <cfRule type="cellIs" dxfId="0" priority="8881" operator="lessThan">
      <formula>20</formula>
    </cfRule>
    <cfRule type="cellIs" dxfId="1" priority="8112" operator="greaterThan">
      <formula>120</formula>
    </cfRule>
    <cfRule type="containsText" dxfId="2" priority="7343" operator="between" text="库存为">
      <formula>NOT(ISERROR(SEARCH("库存为",AU671)))</formula>
    </cfRule>
  </conditionalFormatting>
  <conditionalFormatting sqref="AU672">
    <cfRule type="cellIs" dxfId="0" priority="8880" operator="lessThan">
      <formula>20</formula>
    </cfRule>
    <cfRule type="cellIs" dxfId="1" priority="8111" operator="greaterThan">
      <formula>120</formula>
    </cfRule>
    <cfRule type="containsText" dxfId="2" priority="7342" operator="between" text="库存为">
      <formula>NOT(ISERROR(SEARCH("库存为",AU672)))</formula>
    </cfRule>
  </conditionalFormatting>
  <conditionalFormatting sqref="AU673">
    <cfRule type="cellIs" dxfId="0" priority="8879" operator="lessThan">
      <formula>20</formula>
    </cfRule>
    <cfRule type="cellIs" dxfId="1" priority="8110" operator="greaterThan">
      <formula>120</formula>
    </cfRule>
    <cfRule type="containsText" dxfId="2" priority="7341" operator="between" text="库存为">
      <formula>NOT(ISERROR(SEARCH("库存为",AU673)))</formula>
    </cfRule>
  </conditionalFormatting>
  <conditionalFormatting sqref="AU674">
    <cfRule type="cellIs" dxfId="0" priority="8878" operator="lessThan">
      <formula>20</formula>
    </cfRule>
    <cfRule type="cellIs" dxfId="1" priority="8109" operator="greaterThan">
      <formula>120</formula>
    </cfRule>
    <cfRule type="containsText" dxfId="2" priority="7340" operator="between" text="库存为">
      <formula>NOT(ISERROR(SEARCH("库存为",AU674)))</formula>
    </cfRule>
  </conditionalFormatting>
  <conditionalFormatting sqref="AU675">
    <cfRule type="cellIs" dxfId="0" priority="8877" operator="lessThan">
      <formula>20</formula>
    </cfRule>
    <cfRule type="cellIs" dxfId="1" priority="8108" operator="greaterThan">
      <formula>120</formula>
    </cfRule>
    <cfRule type="containsText" dxfId="2" priority="7339" operator="between" text="库存为">
      <formula>NOT(ISERROR(SEARCH("库存为",AU675)))</formula>
    </cfRule>
  </conditionalFormatting>
  <conditionalFormatting sqref="AU676">
    <cfRule type="cellIs" dxfId="0" priority="8876" operator="lessThan">
      <formula>20</formula>
    </cfRule>
    <cfRule type="cellIs" dxfId="1" priority="8107" operator="greaterThan">
      <formula>120</formula>
    </cfRule>
    <cfRule type="containsText" dxfId="2" priority="7338" operator="between" text="库存为">
      <formula>NOT(ISERROR(SEARCH("库存为",AU676)))</formula>
    </cfRule>
  </conditionalFormatting>
  <conditionalFormatting sqref="AU677">
    <cfRule type="cellIs" dxfId="0" priority="8875" operator="lessThan">
      <formula>20</formula>
    </cfRule>
    <cfRule type="cellIs" dxfId="1" priority="8106" operator="greaterThan">
      <formula>120</formula>
    </cfRule>
    <cfRule type="containsText" dxfId="2" priority="7337" operator="between" text="库存为">
      <formula>NOT(ISERROR(SEARCH("库存为",AU677)))</formula>
    </cfRule>
  </conditionalFormatting>
  <conditionalFormatting sqref="AU678">
    <cfRule type="cellIs" dxfId="0" priority="8874" operator="lessThan">
      <formula>20</formula>
    </cfRule>
    <cfRule type="cellIs" dxfId="1" priority="8105" operator="greaterThan">
      <formula>120</formula>
    </cfRule>
    <cfRule type="containsText" dxfId="2" priority="7336" operator="between" text="库存为">
      <formula>NOT(ISERROR(SEARCH("库存为",AU678)))</formula>
    </cfRule>
  </conditionalFormatting>
  <conditionalFormatting sqref="AU679">
    <cfRule type="cellIs" dxfId="0" priority="8873" operator="lessThan">
      <formula>20</formula>
    </cfRule>
    <cfRule type="cellIs" dxfId="1" priority="8104" operator="greaterThan">
      <formula>120</formula>
    </cfRule>
    <cfRule type="containsText" dxfId="2" priority="7335" operator="between" text="库存为">
      <formula>NOT(ISERROR(SEARCH("库存为",AU679)))</formula>
    </cfRule>
  </conditionalFormatting>
  <conditionalFormatting sqref="AU680">
    <cfRule type="cellIs" dxfId="0" priority="8872" operator="lessThan">
      <formula>20</formula>
    </cfRule>
    <cfRule type="cellIs" dxfId="1" priority="8103" operator="greaterThan">
      <formula>120</formula>
    </cfRule>
    <cfRule type="containsText" dxfId="2" priority="7334" operator="between" text="库存为">
      <formula>NOT(ISERROR(SEARCH("库存为",AU680)))</formula>
    </cfRule>
  </conditionalFormatting>
  <conditionalFormatting sqref="AU681">
    <cfRule type="cellIs" dxfId="0" priority="8871" operator="lessThan">
      <formula>20</formula>
    </cfRule>
    <cfRule type="cellIs" dxfId="1" priority="8102" operator="greaterThan">
      <formula>120</formula>
    </cfRule>
    <cfRule type="containsText" dxfId="2" priority="7333" operator="between" text="库存为">
      <formula>NOT(ISERROR(SEARCH("库存为",AU681)))</formula>
    </cfRule>
  </conditionalFormatting>
  <conditionalFormatting sqref="AU682">
    <cfRule type="cellIs" dxfId="0" priority="8870" operator="lessThan">
      <formula>20</formula>
    </cfRule>
    <cfRule type="cellIs" dxfId="1" priority="8101" operator="greaterThan">
      <formula>120</formula>
    </cfRule>
    <cfRule type="containsText" dxfId="2" priority="7332" operator="between" text="库存为">
      <formula>NOT(ISERROR(SEARCH("库存为",AU682)))</formula>
    </cfRule>
  </conditionalFormatting>
  <conditionalFormatting sqref="AU683">
    <cfRule type="cellIs" dxfId="0" priority="8869" operator="lessThan">
      <formula>20</formula>
    </cfRule>
    <cfRule type="cellIs" dxfId="1" priority="8100" operator="greaterThan">
      <formula>120</formula>
    </cfRule>
    <cfRule type="containsText" dxfId="2" priority="7331" operator="between" text="库存为">
      <formula>NOT(ISERROR(SEARCH("库存为",AU683)))</formula>
    </cfRule>
  </conditionalFormatting>
  <conditionalFormatting sqref="AU684">
    <cfRule type="cellIs" dxfId="0" priority="8868" operator="lessThan">
      <formula>20</formula>
    </cfRule>
    <cfRule type="cellIs" dxfId="1" priority="8099" operator="greaterThan">
      <formula>120</formula>
    </cfRule>
    <cfRule type="containsText" dxfId="2" priority="7330" operator="between" text="库存为">
      <formula>NOT(ISERROR(SEARCH("库存为",AU684)))</formula>
    </cfRule>
  </conditionalFormatting>
  <conditionalFormatting sqref="AU685">
    <cfRule type="cellIs" dxfId="0" priority="8867" operator="lessThan">
      <formula>20</formula>
    </cfRule>
    <cfRule type="cellIs" dxfId="1" priority="8098" operator="greaterThan">
      <formula>120</formula>
    </cfRule>
    <cfRule type="containsText" dxfId="2" priority="7329" operator="between" text="库存为">
      <formula>NOT(ISERROR(SEARCH("库存为",AU685)))</formula>
    </cfRule>
  </conditionalFormatting>
  <conditionalFormatting sqref="AU686">
    <cfRule type="cellIs" dxfId="0" priority="8866" operator="lessThan">
      <formula>20</formula>
    </cfRule>
    <cfRule type="cellIs" dxfId="1" priority="8097" operator="greaterThan">
      <formula>120</formula>
    </cfRule>
    <cfRule type="containsText" dxfId="2" priority="7328" operator="between" text="库存为">
      <formula>NOT(ISERROR(SEARCH("库存为",AU686)))</formula>
    </cfRule>
  </conditionalFormatting>
  <conditionalFormatting sqref="AU687">
    <cfRule type="cellIs" dxfId="0" priority="8865" operator="lessThan">
      <formula>20</formula>
    </cfRule>
    <cfRule type="cellIs" dxfId="1" priority="8096" operator="greaterThan">
      <formula>120</formula>
    </cfRule>
    <cfRule type="containsText" dxfId="2" priority="7327" operator="between" text="库存为">
      <formula>NOT(ISERROR(SEARCH("库存为",AU687)))</formula>
    </cfRule>
  </conditionalFormatting>
  <conditionalFormatting sqref="AU688">
    <cfRule type="cellIs" dxfId="0" priority="8864" operator="lessThan">
      <formula>20</formula>
    </cfRule>
    <cfRule type="cellIs" dxfId="1" priority="8095" operator="greaterThan">
      <formula>120</formula>
    </cfRule>
    <cfRule type="containsText" dxfId="2" priority="7326" operator="between" text="库存为">
      <formula>NOT(ISERROR(SEARCH("库存为",AU688)))</formula>
    </cfRule>
  </conditionalFormatting>
  <conditionalFormatting sqref="AU689">
    <cfRule type="cellIs" dxfId="0" priority="8863" operator="lessThan">
      <formula>20</formula>
    </cfRule>
    <cfRule type="cellIs" dxfId="1" priority="8094" operator="greaterThan">
      <formula>120</formula>
    </cfRule>
    <cfRule type="containsText" dxfId="2" priority="7325" operator="between" text="库存为">
      <formula>NOT(ISERROR(SEARCH("库存为",AU689)))</formula>
    </cfRule>
  </conditionalFormatting>
  <conditionalFormatting sqref="AU690">
    <cfRule type="cellIs" dxfId="0" priority="8862" operator="lessThan">
      <formula>20</formula>
    </cfRule>
    <cfRule type="cellIs" dxfId="1" priority="8093" operator="greaterThan">
      <formula>120</formula>
    </cfRule>
    <cfRule type="containsText" dxfId="2" priority="7324" operator="between" text="库存为">
      <formula>NOT(ISERROR(SEARCH("库存为",AU690)))</formula>
    </cfRule>
  </conditionalFormatting>
  <conditionalFormatting sqref="AU691">
    <cfRule type="cellIs" dxfId="0" priority="8861" operator="lessThan">
      <formula>20</formula>
    </cfRule>
    <cfRule type="cellIs" dxfId="1" priority="8092" operator="greaterThan">
      <formula>120</formula>
    </cfRule>
    <cfRule type="containsText" dxfId="2" priority="7323" operator="between" text="库存为">
      <formula>NOT(ISERROR(SEARCH("库存为",AU691)))</formula>
    </cfRule>
  </conditionalFormatting>
  <conditionalFormatting sqref="AU692">
    <cfRule type="cellIs" dxfId="0" priority="8860" operator="lessThan">
      <formula>20</formula>
    </cfRule>
    <cfRule type="cellIs" dxfId="1" priority="8091" operator="greaterThan">
      <formula>120</formula>
    </cfRule>
    <cfRule type="containsText" dxfId="2" priority="7322" operator="between" text="库存为">
      <formula>NOT(ISERROR(SEARCH("库存为",AU692)))</formula>
    </cfRule>
  </conditionalFormatting>
  <conditionalFormatting sqref="AU693">
    <cfRule type="cellIs" dxfId="0" priority="8859" operator="lessThan">
      <formula>20</formula>
    </cfRule>
    <cfRule type="cellIs" dxfId="1" priority="8090" operator="greaterThan">
      <formula>120</formula>
    </cfRule>
    <cfRule type="containsText" dxfId="2" priority="7321" operator="between" text="库存为">
      <formula>NOT(ISERROR(SEARCH("库存为",AU693)))</formula>
    </cfRule>
  </conditionalFormatting>
  <conditionalFormatting sqref="AU694">
    <cfRule type="cellIs" dxfId="0" priority="8858" operator="lessThan">
      <formula>20</formula>
    </cfRule>
    <cfRule type="cellIs" dxfId="1" priority="8089" operator="greaterThan">
      <formula>120</formula>
    </cfRule>
    <cfRule type="containsText" dxfId="2" priority="7320" operator="between" text="库存为">
      <formula>NOT(ISERROR(SEARCH("库存为",AU694)))</formula>
    </cfRule>
  </conditionalFormatting>
  <conditionalFormatting sqref="AU695">
    <cfRule type="cellIs" dxfId="0" priority="8857" operator="lessThan">
      <formula>20</formula>
    </cfRule>
    <cfRule type="cellIs" dxfId="1" priority="8088" operator="greaterThan">
      <formula>120</formula>
    </cfRule>
    <cfRule type="containsText" dxfId="2" priority="7319" operator="between" text="库存为">
      <formula>NOT(ISERROR(SEARCH("库存为",AU695)))</formula>
    </cfRule>
  </conditionalFormatting>
  <conditionalFormatting sqref="AU696">
    <cfRule type="cellIs" dxfId="0" priority="8856" operator="lessThan">
      <formula>20</formula>
    </cfRule>
    <cfRule type="cellIs" dxfId="1" priority="8087" operator="greaterThan">
      <formula>120</formula>
    </cfRule>
    <cfRule type="containsText" dxfId="2" priority="7318" operator="between" text="库存为">
      <formula>NOT(ISERROR(SEARCH("库存为",AU696)))</formula>
    </cfRule>
  </conditionalFormatting>
  <conditionalFormatting sqref="AU697">
    <cfRule type="cellIs" dxfId="0" priority="8855" operator="lessThan">
      <formula>20</formula>
    </cfRule>
    <cfRule type="cellIs" dxfId="1" priority="8086" operator="greaterThan">
      <formula>120</formula>
    </cfRule>
    <cfRule type="containsText" dxfId="2" priority="7317" operator="between" text="库存为">
      <formula>NOT(ISERROR(SEARCH("库存为",AU697)))</formula>
    </cfRule>
  </conditionalFormatting>
  <conditionalFormatting sqref="AU698">
    <cfRule type="cellIs" dxfId="0" priority="8854" operator="lessThan">
      <formula>20</formula>
    </cfRule>
    <cfRule type="cellIs" dxfId="1" priority="8085" operator="greaterThan">
      <formula>120</formula>
    </cfRule>
    <cfRule type="containsText" dxfId="2" priority="7316" operator="between" text="库存为">
      <formula>NOT(ISERROR(SEARCH("库存为",AU698)))</formula>
    </cfRule>
  </conditionalFormatting>
  <conditionalFormatting sqref="AU699">
    <cfRule type="cellIs" dxfId="0" priority="8853" operator="lessThan">
      <formula>20</formula>
    </cfRule>
    <cfRule type="cellIs" dxfId="1" priority="8084" operator="greaterThan">
      <formula>120</formula>
    </cfRule>
    <cfRule type="containsText" dxfId="2" priority="7315" operator="between" text="库存为">
      <formula>NOT(ISERROR(SEARCH("库存为",AU699)))</formula>
    </cfRule>
  </conditionalFormatting>
  <conditionalFormatting sqref="AU700">
    <cfRule type="cellIs" dxfId="0" priority="8852" operator="lessThan">
      <formula>20</formula>
    </cfRule>
    <cfRule type="cellIs" dxfId="1" priority="8083" operator="greaterThan">
      <formula>120</formula>
    </cfRule>
    <cfRule type="containsText" dxfId="2" priority="7314" operator="between" text="库存为">
      <formula>NOT(ISERROR(SEARCH("库存为",AU700)))</formula>
    </cfRule>
  </conditionalFormatting>
  <conditionalFormatting sqref="AU701">
    <cfRule type="cellIs" dxfId="0" priority="8851" operator="lessThan">
      <formula>20</formula>
    </cfRule>
    <cfRule type="cellIs" dxfId="1" priority="8082" operator="greaterThan">
      <formula>120</formula>
    </cfRule>
    <cfRule type="containsText" dxfId="2" priority="7313" operator="between" text="库存为">
      <formula>NOT(ISERROR(SEARCH("库存为",AU701)))</formula>
    </cfRule>
  </conditionalFormatting>
  <conditionalFormatting sqref="AU702">
    <cfRule type="cellIs" dxfId="0" priority="8850" operator="lessThan">
      <formula>20</formula>
    </cfRule>
    <cfRule type="cellIs" dxfId="1" priority="8081" operator="greaterThan">
      <formula>120</formula>
    </cfRule>
    <cfRule type="containsText" dxfId="2" priority="7312" operator="between" text="库存为">
      <formula>NOT(ISERROR(SEARCH("库存为",AU702)))</formula>
    </cfRule>
  </conditionalFormatting>
  <conditionalFormatting sqref="AU703">
    <cfRule type="cellIs" dxfId="0" priority="8849" operator="lessThan">
      <formula>20</formula>
    </cfRule>
    <cfRule type="cellIs" dxfId="1" priority="8080" operator="greaterThan">
      <formula>120</formula>
    </cfRule>
    <cfRule type="containsText" dxfId="2" priority="7311" operator="between" text="库存为">
      <formula>NOT(ISERROR(SEARCH("库存为",AU703)))</formula>
    </cfRule>
  </conditionalFormatting>
  <conditionalFormatting sqref="AU704">
    <cfRule type="cellIs" dxfId="0" priority="8848" operator="lessThan">
      <formula>20</formula>
    </cfRule>
    <cfRule type="cellIs" dxfId="1" priority="8079" operator="greaterThan">
      <formula>120</formula>
    </cfRule>
    <cfRule type="containsText" dxfId="2" priority="7310" operator="between" text="库存为">
      <formula>NOT(ISERROR(SEARCH("库存为",AU704)))</formula>
    </cfRule>
  </conditionalFormatting>
  <conditionalFormatting sqref="AU705">
    <cfRule type="cellIs" dxfId="0" priority="8847" operator="lessThan">
      <formula>20</formula>
    </cfRule>
    <cfRule type="cellIs" dxfId="1" priority="8078" operator="greaterThan">
      <formula>120</formula>
    </cfRule>
    <cfRule type="containsText" dxfId="2" priority="7309" operator="between" text="库存为">
      <formula>NOT(ISERROR(SEARCH("库存为",AU705)))</formula>
    </cfRule>
  </conditionalFormatting>
  <conditionalFormatting sqref="AU706">
    <cfRule type="cellIs" dxfId="0" priority="8846" operator="lessThan">
      <formula>20</formula>
    </cfRule>
    <cfRule type="cellIs" dxfId="1" priority="8077" operator="greaterThan">
      <formula>120</formula>
    </cfRule>
    <cfRule type="containsText" dxfId="2" priority="7308" operator="between" text="库存为">
      <formula>NOT(ISERROR(SEARCH("库存为",AU706)))</formula>
    </cfRule>
  </conditionalFormatting>
  <conditionalFormatting sqref="AU707">
    <cfRule type="cellIs" dxfId="0" priority="8845" operator="lessThan">
      <formula>20</formula>
    </cfRule>
    <cfRule type="cellIs" dxfId="1" priority="8076" operator="greaterThan">
      <formula>120</formula>
    </cfRule>
    <cfRule type="containsText" dxfId="2" priority="7307" operator="between" text="库存为">
      <formula>NOT(ISERROR(SEARCH("库存为",AU707)))</formula>
    </cfRule>
  </conditionalFormatting>
  <conditionalFormatting sqref="AU708">
    <cfRule type="cellIs" dxfId="0" priority="8844" operator="lessThan">
      <formula>20</formula>
    </cfRule>
    <cfRule type="cellIs" dxfId="1" priority="8075" operator="greaterThan">
      <formula>120</formula>
    </cfRule>
    <cfRule type="containsText" dxfId="2" priority="7306" operator="between" text="库存为">
      <formula>NOT(ISERROR(SEARCH("库存为",AU708)))</formula>
    </cfRule>
  </conditionalFormatting>
  <conditionalFormatting sqref="AU709">
    <cfRule type="cellIs" dxfId="0" priority="8843" operator="lessThan">
      <formula>20</formula>
    </cfRule>
    <cfRule type="cellIs" dxfId="1" priority="8074" operator="greaterThan">
      <formula>120</formula>
    </cfRule>
    <cfRule type="containsText" dxfId="2" priority="7305" operator="between" text="库存为">
      <formula>NOT(ISERROR(SEARCH("库存为",AU709)))</formula>
    </cfRule>
  </conditionalFormatting>
  <conditionalFormatting sqref="AU710">
    <cfRule type="cellIs" dxfId="0" priority="8842" operator="lessThan">
      <formula>20</formula>
    </cfRule>
    <cfRule type="cellIs" dxfId="1" priority="8073" operator="greaterThan">
      <formula>120</formula>
    </cfRule>
    <cfRule type="containsText" dxfId="2" priority="7304" operator="between" text="库存为">
      <formula>NOT(ISERROR(SEARCH("库存为",AU710)))</formula>
    </cfRule>
  </conditionalFormatting>
  <conditionalFormatting sqref="AU711">
    <cfRule type="cellIs" dxfId="0" priority="8841" operator="lessThan">
      <formula>20</formula>
    </cfRule>
    <cfRule type="cellIs" dxfId="1" priority="8072" operator="greaterThan">
      <formula>120</formula>
    </cfRule>
    <cfRule type="containsText" dxfId="2" priority="7303" operator="between" text="库存为">
      <formula>NOT(ISERROR(SEARCH("库存为",AU711)))</formula>
    </cfRule>
  </conditionalFormatting>
  <conditionalFormatting sqref="AU712">
    <cfRule type="cellIs" dxfId="0" priority="8840" operator="lessThan">
      <formula>20</formula>
    </cfRule>
    <cfRule type="cellIs" dxfId="1" priority="8071" operator="greaterThan">
      <formula>120</formula>
    </cfRule>
    <cfRule type="containsText" dxfId="2" priority="7302" operator="between" text="库存为">
      <formula>NOT(ISERROR(SEARCH("库存为",AU712)))</formula>
    </cfRule>
  </conditionalFormatting>
  <conditionalFormatting sqref="AU713">
    <cfRule type="cellIs" dxfId="0" priority="8839" operator="lessThan">
      <formula>20</formula>
    </cfRule>
    <cfRule type="cellIs" dxfId="1" priority="8070" operator="greaterThan">
      <formula>120</formula>
    </cfRule>
    <cfRule type="containsText" dxfId="2" priority="7301" operator="between" text="库存为">
      <formula>NOT(ISERROR(SEARCH("库存为",AU713)))</formula>
    </cfRule>
  </conditionalFormatting>
  <conditionalFormatting sqref="AU714">
    <cfRule type="cellIs" dxfId="0" priority="8838" operator="lessThan">
      <formula>20</formula>
    </cfRule>
    <cfRule type="cellIs" dxfId="1" priority="8069" operator="greaterThan">
      <formula>120</formula>
    </cfRule>
    <cfRule type="containsText" dxfId="2" priority="7300" operator="between" text="库存为">
      <formula>NOT(ISERROR(SEARCH("库存为",AU714)))</formula>
    </cfRule>
  </conditionalFormatting>
  <conditionalFormatting sqref="AU715">
    <cfRule type="cellIs" dxfId="0" priority="8837" operator="lessThan">
      <formula>20</formula>
    </cfRule>
    <cfRule type="cellIs" dxfId="1" priority="8068" operator="greaterThan">
      <formula>120</formula>
    </cfRule>
    <cfRule type="containsText" dxfId="2" priority="7299" operator="between" text="库存为">
      <formula>NOT(ISERROR(SEARCH("库存为",AU715)))</formula>
    </cfRule>
  </conditionalFormatting>
  <conditionalFormatting sqref="AU716">
    <cfRule type="cellIs" dxfId="0" priority="8836" operator="lessThan">
      <formula>20</formula>
    </cfRule>
    <cfRule type="cellIs" dxfId="1" priority="8067" operator="greaterThan">
      <formula>120</formula>
    </cfRule>
    <cfRule type="containsText" dxfId="2" priority="7298" operator="between" text="库存为">
      <formula>NOT(ISERROR(SEARCH("库存为",AU716)))</formula>
    </cfRule>
  </conditionalFormatting>
  <conditionalFormatting sqref="AU717">
    <cfRule type="cellIs" dxfId="0" priority="8835" operator="lessThan">
      <formula>20</formula>
    </cfRule>
    <cfRule type="cellIs" dxfId="1" priority="8066" operator="greaterThan">
      <formula>120</formula>
    </cfRule>
    <cfRule type="containsText" dxfId="2" priority="7297" operator="between" text="库存为">
      <formula>NOT(ISERROR(SEARCH("库存为",AU717)))</formula>
    </cfRule>
  </conditionalFormatting>
  <conditionalFormatting sqref="AU718">
    <cfRule type="cellIs" dxfId="0" priority="8834" operator="lessThan">
      <formula>20</formula>
    </cfRule>
    <cfRule type="cellIs" dxfId="1" priority="8065" operator="greaterThan">
      <formula>120</formula>
    </cfRule>
    <cfRule type="containsText" dxfId="2" priority="7296" operator="between" text="库存为">
      <formula>NOT(ISERROR(SEARCH("库存为",AU718)))</formula>
    </cfRule>
  </conditionalFormatting>
  <conditionalFormatting sqref="AU719">
    <cfRule type="cellIs" dxfId="0" priority="8833" operator="lessThan">
      <formula>20</formula>
    </cfRule>
    <cfRule type="cellIs" dxfId="1" priority="8064" operator="greaterThan">
      <formula>120</formula>
    </cfRule>
    <cfRule type="containsText" dxfId="2" priority="7295" operator="between" text="库存为">
      <formula>NOT(ISERROR(SEARCH("库存为",AU719)))</formula>
    </cfRule>
  </conditionalFormatting>
  <conditionalFormatting sqref="AU720">
    <cfRule type="cellIs" dxfId="0" priority="8832" operator="lessThan">
      <formula>20</formula>
    </cfRule>
    <cfRule type="cellIs" dxfId="1" priority="8063" operator="greaterThan">
      <formula>120</formula>
    </cfRule>
    <cfRule type="containsText" dxfId="2" priority="7294" operator="between" text="库存为">
      <formula>NOT(ISERROR(SEARCH("库存为",AU720)))</formula>
    </cfRule>
  </conditionalFormatting>
  <conditionalFormatting sqref="AU721">
    <cfRule type="cellIs" dxfId="0" priority="8831" operator="lessThan">
      <formula>20</formula>
    </cfRule>
    <cfRule type="cellIs" dxfId="1" priority="8062" operator="greaterThan">
      <formula>120</formula>
    </cfRule>
    <cfRule type="containsText" dxfId="2" priority="7293" operator="between" text="库存为">
      <formula>NOT(ISERROR(SEARCH("库存为",AU721)))</formula>
    </cfRule>
  </conditionalFormatting>
  <conditionalFormatting sqref="AU722">
    <cfRule type="cellIs" dxfId="0" priority="8830" operator="lessThan">
      <formula>20</formula>
    </cfRule>
    <cfRule type="cellIs" dxfId="1" priority="8061" operator="greaterThan">
      <formula>120</formula>
    </cfRule>
    <cfRule type="containsText" dxfId="2" priority="7292" operator="between" text="库存为">
      <formula>NOT(ISERROR(SEARCH("库存为",AU722)))</formula>
    </cfRule>
  </conditionalFormatting>
  <conditionalFormatting sqref="AU723">
    <cfRule type="cellIs" dxfId="0" priority="8829" operator="lessThan">
      <formula>20</formula>
    </cfRule>
    <cfRule type="cellIs" dxfId="1" priority="8060" operator="greaterThan">
      <formula>120</formula>
    </cfRule>
    <cfRule type="containsText" dxfId="2" priority="7291" operator="between" text="库存为">
      <formula>NOT(ISERROR(SEARCH("库存为",AU723)))</formula>
    </cfRule>
  </conditionalFormatting>
  <conditionalFormatting sqref="AU724">
    <cfRule type="cellIs" dxfId="0" priority="8828" operator="lessThan">
      <formula>20</formula>
    </cfRule>
    <cfRule type="cellIs" dxfId="1" priority="8059" operator="greaterThan">
      <formula>120</formula>
    </cfRule>
    <cfRule type="containsText" dxfId="2" priority="7290" operator="between" text="库存为">
      <formula>NOT(ISERROR(SEARCH("库存为",AU724)))</formula>
    </cfRule>
  </conditionalFormatting>
  <conditionalFormatting sqref="AU725">
    <cfRule type="cellIs" dxfId="0" priority="8827" operator="lessThan">
      <formula>20</formula>
    </cfRule>
    <cfRule type="cellIs" dxfId="1" priority="8058" operator="greaterThan">
      <formula>120</formula>
    </cfRule>
    <cfRule type="containsText" dxfId="2" priority="7289" operator="between" text="库存为">
      <formula>NOT(ISERROR(SEARCH("库存为",AU725)))</formula>
    </cfRule>
  </conditionalFormatting>
  <conditionalFormatting sqref="AU726">
    <cfRule type="cellIs" dxfId="0" priority="8826" operator="lessThan">
      <formula>20</formula>
    </cfRule>
    <cfRule type="cellIs" dxfId="1" priority="8057" operator="greaterThan">
      <formula>120</formula>
    </cfRule>
    <cfRule type="containsText" dxfId="2" priority="7288" operator="between" text="库存为">
      <formula>NOT(ISERROR(SEARCH("库存为",AU726)))</formula>
    </cfRule>
  </conditionalFormatting>
  <conditionalFormatting sqref="AU727">
    <cfRule type="cellIs" dxfId="0" priority="8825" operator="lessThan">
      <formula>20</formula>
    </cfRule>
    <cfRule type="cellIs" dxfId="1" priority="8056" operator="greaterThan">
      <formula>120</formula>
    </cfRule>
    <cfRule type="containsText" dxfId="2" priority="7287" operator="between" text="库存为">
      <formula>NOT(ISERROR(SEARCH("库存为",AU727)))</formula>
    </cfRule>
  </conditionalFormatting>
  <conditionalFormatting sqref="AU728">
    <cfRule type="cellIs" dxfId="0" priority="8824" operator="lessThan">
      <formula>20</formula>
    </cfRule>
    <cfRule type="cellIs" dxfId="1" priority="8055" operator="greaterThan">
      <formula>120</formula>
    </cfRule>
    <cfRule type="containsText" dxfId="2" priority="7286" operator="between" text="库存为">
      <formula>NOT(ISERROR(SEARCH("库存为",AU728)))</formula>
    </cfRule>
  </conditionalFormatting>
  <conditionalFormatting sqref="AU729">
    <cfRule type="cellIs" dxfId="0" priority="8823" operator="lessThan">
      <formula>20</formula>
    </cfRule>
    <cfRule type="cellIs" dxfId="1" priority="8054" operator="greaterThan">
      <formula>120</formula>
    </cfRule>
    <cfRule type="containsText" dxfId="2" priority="7285" operator="between" text="库存为">
      <formula>NOT(ISERROR(SEARCH("库存为",AU729)))</formula>
    </cfRule>
  </conditionalFormatting>
  <conditionalFormatting sqref="AU730">
    <cfRule type="cellIs" dxfId="0" priority="8822" operator="lessThan">
      <formula>20</formula>
    </cfRule>
    <cfRule type="cellIs" dxfId="1" priority="8053" operator="greaterThan">
      <formula>120</formula>
    </cfRule>
    <cfRule type="containsText" dxfId="2" priority="7284" operator="between" text="库存为">
      <formula>NOT(ISERROR(SEARCH("库存为",AU730)))</formula>
    </cfRule>
  </conditionalFormatting>
  <conditionalFormatting sqref="AU731">
    <cfRule type="cellIs" dxfId="0" priority="8821" operator="lessThan">
      <formula>20</formula>
    </cfRule>
    <cfRule type="cellIs" dxfId="1" priority="8052" operator="greaterThan">
      <formula>120</formula>
    </cfRule>
    <cfRule type="containsText" dxfId="2" priority="7283" operator="between" text="库存为">
      <formula>NOT(ISERROR(SEARCH("库存为",AU731)))</formula>
    </cfRule>
  </conditionalFormatting>
  <conditionalFormatting sqref="AU732">
    <cfRule type="cellIs" dxfId="0" priority="8820" operator="lessThan">
      <formula>20</formula>
    </cfRule>
    <cfRule type="cellIs" dxfId="1" priority="8051" operator="greaterThan">
      <formula>120</formula>
    </cfRule>
    <cfRule type="containsText" dxfId="2" priority="7282" operator="between" text="库存为">
      <formula>NOT(ISERROR(SEARCH("库存为",AU732)))</formula>
    </cfRule>
  </conditionalFormatting>
  <conditionalFormatting sqref="AU733">
    <cfRule type="cellIs" dxfId="0" priority="8819" operator="lessThan">
      <formula>20</formula>
    </cfRule>
    <cfRule type="cellIs" dxfId="1" priority="8050" operator="greaterThan">
      <formula>120</formula>
    </cfRule>
    <cfRule type="containsText" dxfId="2" priority="7281" operator="between" text="库存为">
      <formula>NOT(ISERROR(SEARCH("库存为",AU733)))</formula>
    </cfRule>
  </conditionalFormatting>
  <conditionalFormatting sqref="AU734">
    <cfRule type="cellIs" dxfId="0" priority="8818" operator="lessThan">
      <formula>20</formula>
    </cfRule>
    <cfRule type="cellIs" dxfId="1" priority="8049" operator="greaterThan">
      <formula>120</formula>
    </cfRule>
    <cfRule type="containsText" dxfId="2" priority="7280" operator="between" text="库存为">
      <formula>NOT(ISERROR(SEARCH("库存为",AU734)))</formula>
    </cfRule>
  </conditionalFormatting>
  <conditionalFormatting sqref="AU735">
    <cfRule type="cellIs" dxfId="0" priority="8817" operator="lessThan">
      <formula>20</formula>
    </cfRule>
    <cfRule type="cellIs" dxfId="1" priority="8048" operator="greaterThan">
      <formula>120</formula>
    </cfRule>
    <cfRule type="containsText" dxfId="2" priority="7279" operator="between" text="库存为">
      <formula>NOT(ISERROR(SEARCH("库存为",AU735)))</formula>
    </cfRule>
  </conditionalFormatting>
  <conditionalFormatting sqref="AU736">
    <cfRule type="cellIs" dxfId="0" priority="8816" operator="lessThan">
      <formula>20</formula>
    </cfRule>
    <cfRule type="cellIs" dxfId="1" priority="8047" operator="greaterThan">
      <formula>120</formula>
    </cfRule>
    <cfRule type="containsText" dxfId="2" priority="7278" operator="between" text="库存为">
      <formula>NOT(ISERROR(SEARCH("库存为",AU736)))</formula>
    </cfRule>
  </conditionalFormatting>
  <conditionalFormatting sqref="AU737">
    <cfRule type="cellIs" dxfId="0" priority="8815" operator="lessThan">
      <formula>20</formula>
    </cfRule>
    <cfRule type="cellIs" dxfId="1" priority="8046" operator="greaterThan">
      <formula>120</formula>
    </cfRule>
    <cfRule type="containsText" dxfId="2" priority="7277" operator="between" text="库存为">
      <formula>NOT(ISERROR(SEARCH("库存为",AU737)))</formula>
    </cfRule>
  </conditionalFormatting>
  <conditionalFormatting sqref="AU738">
    <cfRule type="cellIs" dxfId="0" priority="8814" operator="lessThan">
      <formula>20</formula>
    </cfRule>
    <cfRule type="cellIs" dxfId="1" priority="8045" operator="greaterThan">
      <formula>120</formula>
    </cfRule>
    <cfRule type="containsText" dxfId="2" priority="7276" operator="between" text="库存为">
      <formula>NOT(ISERROR(SEARCH("库存为",AU738)))</formula>
    </cfRule>
  </conditionalFormatting>
  <conditionalFormatting sqref="AU739">
    <cfRule type="cellIs" dxfId="0" priority="8813" operator="lessThan">
      <formula>20</formula>
    </cfRule>
    <cfRule type="cellIs" dxfId="1" priority="8044" operator="greaterThan">
      <formula>120</formula>
    </cfRule>
    <cfRule type="containsText" dxfId="2" priority="7275" operator="between" text="库存为">
      <formula>NOT(ISERROR(SEARCH("库存为",AU739)))</formula>
    </cfRule>
  </conditionalFormatting>
  <conditionalFormatting sqref="AU740">
    <cfRule type="cellIs" dxfId="0" priority="8812" operator="lessThan">
      <formula>20</formula>
    </cfRule>
    <cfRule type="cellIs" dxfId="1" priority="8043" operator="greaterThan">
      <formula>120</formula>
    </cfRule>
    <cfRule type="containsText" dxfId="2" priority="7274" operator="between" text="库存为">
      <formula>NOT(ISERROR(SEARCH("库存为",AU740)))</formula>
    </cfRule>
  </conditionalFormatting>
  <conditionalFormatting sqref="AU741">
    <cfRule type="cellIs" dxfId="0" priority="8811" operator="lessThan">
      <formula>20</formula>
    </cfRule>
    <cfRule type="cellIs" dxfId="1" priority="8042" operator="greaterThan">
      <formula>120</formula>
    </cfRule>
    <cfRule type="containsText" dxfId="2" priority="7273" operator="between" text="库存为">
      <formula>NOT(ISERROR(SEARCH("库存为",AU741)))</formula>
    </cfRule>
  </conditionalFormatting>
  <conditionalFormatting sqref="AU742">
    <cfRule type="cellIs" dxfId="0" priority="8810" operator="lessThan">
      <formula>20</formula>
    </cfRule>
    <cfRule type="cellIs" dxfId="1" priority="8041" operator="greaterThan">
      <formula>120</formula>
    </cfRule>
    <cfRule type="containsText" dxfId="2" priority="7272" operator="between" text="库存为">
      <formula>NOT(ISERROR(SEARCH("库存为",AU742)))</formula>
    </cfRule>
  </conditionalFormatting>
  <conditionalFormatting sqref="AU743">
    <cfRule type="cellIs" dxfId="0" priority="8809" operator="lessThan">
      <formula>20</formula>
    </cfRule>
    <cfRule type="cellIs" dxfId="1" priority="8040" operator="greaterThan">
      <formula>120</formula>
    </cfRule>
    <cfRule type="containsText" dxfId="2" priority="7271" operator="between" text="库存为">
      <formula>NOT(ISERROR(SEARCH("库存为",AU743)))</formula>
    </cfRule>
  </conditionalFormatting>
  <conditionalFormatting sqref="AU744">
    <cfRule type="cellIs" dxfId="0" priority="8808" operator="lessThan">
      <formula>20</formula>
    </cfRule>
    <cfRule type="cellIs" dxfId="1" priority="8039" operator="greaterThan">
      <formula>120</formula>
    </cfRule>
    <cfRule type="containsText" dxfId="2" priority="7270" operator="between" text="库存为">
      <formula>NOT(ISERROR(SEARCH("库存为",AU744)))</formula>
    </cfRule>
  </conditionalFormatting>
  <conditionalFormatting sqref="AU745">
    <cfRule type="cellIs" dxfId="0" priority="8807" operator="lessThan">
      <formula>20</formula>
    </cfRule>
    <cfRule type="cellIs" dxfId="1" priority="8038" operator="greaterThan">
      <formula>120</formula>
    </cfRule>
    <cfRule type="containsText" dxfId="2" priority="7269" operator="between" text="库存为">
      <formula>NOT(ISERROR(SEARCH("库存为",AU745)))</formula>
    </cfRule>
  </conditionalFormatting>
  <conditionalFormatting sqref="AU746">
    <cfRule type="cellIs" dxfId="0" priority="8806" operator="lessThan">
      <formula>20</formula>
    </cfRule>
    <cfRule type="cellIs" dxfId="1" priority="8037" operator="greaterThan">
      <formula>120</formula>
    </cfRule>
    <cfRule type="containsText" dxfId="2" priority="7268" operator="between" text="库存为">
      <formula>NOT(ISERROR(SEARCH("库存为",AU746)))</formula>
    </cfRule>
  </conditionalFormatting>
  <conditionalFormatting sqref="AU747">
    <cfRule type="cellIs" dxfId="0" priority="8805" operator="lessThan">
      <formula>20</formula>
    </cfRule>
    <cfRule type="cellIs" dxfId="1" priority="8036" operator="greaterThan">
      <formula>120</formula>
    </cfRule>
    <cfRule type="containsText" dxfId="2" priority="7267" operator="between" text="库存为">
      <formula>NOT(ISERROR(SEARCH("库存为",AU747)))</formula>
    </cfRule>
  </conditionalFormatting>
  <conditionalFormatting sqref="AU748">
    <cfRule type="cellIs" dxfId="0" priority="8804" operator="lessThan">
      <formula>20</formula>
    </cfRule>
    <cfRule type="cellIs" dxfId="1" priority="8035" operator="greaterThan">
      <formula>120</formula>
    </cfRule>
    <cfRule type="containsText" dxfId="2" priority="7266" operator="between" text="库存为">
      <formula>NOT(ISERROR(SEARCH("库存为",AU748)))</formula>
    </cfRule>
  </conditionalFormatting>
  <conditionalFormatting sqref="AU749">
    <cfRule type="cellIs" dxfId="0" priority="8803" operator="lessThan">
      <formula>20</formula>
    </cfRule>
    <cfRule type="cellIs" dxfId="1" priority="8034" operator="greaterThan">
      <formula>120</formula>
    </cfRule>
    <cfRule type="containsText" dxfId="2" priority="7265" operator="between" text="库存为">
      <formula>NOT(ISERROR(SEARCH("库存为",AU749)))</formula>
    </cfRule>
  </conditionalFormatting>
  <conditionalFormatting sqref="AU750">
    <cfRule type="cellIs" dxfId="0" priority="8802" operator="lessThan">
      <formula>20</formula>
    </cfRule>
    <cfRule type="cellIs" dxfId="1" priority="8033" operator="greaterThan">
      <formula>120</formula>
    </cfRule>
    <cfRule type="containsText" dxfId="2" priority="7264" operator="between" text="库存为">
      <formula>NOT(ISERROR(SEARCH("库存为",AU750)))</formula>
    </cfRule>
  </conditionalFormatting>
  <conditionalFormatting sqref="AU751">
    <cfRule type="cellIs" dxfId="0" priority="8801" operator="lessThan">
      <formula>20</formula>
    </cfRule>
    <cfRule type="cellIs" dxfId="1" priority="8032" operator="greaterThan">
      <formula>120</formula>
    </cfRule>
    <cfRule type="containsText" dxfId="2" priority="7263" operator="between" text="库存为">
      <formula>NOT(ISERROR(SEARCH("库存为",AU751)))</formula>
    </cfRule>
  </conditionalFormatting>
  <conditionalFormatting sqref="AU752">
    <cfRule type="cellIs" dxfId="0" priority="8800" operator="lessThan">
      <formula>20</formula>
    </cfRule>
    <cfRule type="cellIs" dxfId="1" priority="8031" operator="greaterThan">
      <formula>120</formula>
    </cfRule>
    <cfRule type="containsText" dxfId="2" priority="7262" operator="between" text="库存为">
      <formula>NOT(ISERROR(SEARCH("库存为",AU752)))</formula>
    </cfRule>
  </conditionalFormatting>
  <conditionalFormatting sqref="AU753">
    <cfRule type="cellIs" dxfId="0" priority="8799" operator="lessThan">
      <formula>20</formula>
    </cfRule>
    <cfRule type="cellIs" dxfId="1" priority="8030" operator="greaterThan">
      <formula>120</formula>
    </cfRule>
    <cfRule type="containsText" dxfId="2" priority="7261" operator="between" text="库存为">
      <formula>NOT(ISERROR(SEARCH("库存为",AU753)))</formula>
    </cfRule>
  </conditionalFormatting>
  <conditionalFormatting sqref="AU754">
    <cfRule type="cellIs" dxfId="0" priority="8798" operator="lessThan">
      <formula>20</formula>
    </cfRule>
    <cfRule type="cellIs" dxfId="1" priority="8029" operator="greaterThan">
      <formula>120</formula>
    </cfRule>
    <cfRule type="containsText" dxfId="2" priority="7260" operator="between" text="库存为">
      <formula>NOT(ISERROR(SEARCH("库存为",AU754)))</formula>
    </cfRule>
  </conditionalFormatting>
  <conditionalFormatting sqref="AU755">
    <cfRule type="cellIs" dxfId="0" priority="8797" operator="lessThan">
      <formula>20</formula>
    </cfRule>
    <cfRule type="cellIs" dxfId="1" priority="8028" operator="greaterThan">
      <formula>120</formula>
    </cfRule>
    <cfRule type="containsText" dxfId="2" priority="7259" operator="between" text="库存为">
      <formula>NOT(ISERROR(SEARCH("库存为",AU755)))</formula>
    </cfRule>
  </conditionalFormatting>
  <conditionalFormatting sqref="AU756">
    <cfRule type="cellIs" dxfId="0" priority="8796" operator="lessThan">
      <formula>20</formula>
    </cfRule>
    <cfRule type="cellIs" dxfId="1" priority="8027" operator="greaterThan">
      <formula>120</formula>
    </cfRule>
    <cfRule type="containsText" dxfId="2" priority="7258" operator="between" text="库存为">
      <formula>NOT(ISERROR(SEARCH("库存为",AU756)))</formula>
    </cfRule>
  </conditionalFormatting>
  <conditionalFormatting sqref="AU757">
    <cfRule type="cellIs" dxfId="0" priority="8795" operator="lessThan">
      <formula>20</formula>
    </cfRule>
    <cfRule type="cellIs" dxfId="1" priority="8026" operator="greaterThan">
      <formula>120</formula>
    </cfRule>
    <cfRule type="containsText" dxfId="2" priority="7257" operator="between" text="库存为">
      <formula>NOT(ISERROR(SEARCH("库存为",AU757)))</formula>
    </cfRule>
  </conditionalFormatting>
  <conditionalFormatting sqref="AU758">
    <cfRule type="cellIs" dxfId="0" priority="8794" operator="lessThan">
      <formula>20</formula>
    </cfRule>
    <cfRule type="cellIs" dxfId="1" priority="8025" operator="greaterThan">
      <formula>120</formula>
    </cfRule>
    <cfRule type="containsText" dxfId="2" priority="7256" operator="between" text="库存为">
      <formula>NOT(ISERROR(SEARCH("库存为",AU758)))</formula>
    </cfRule>
  </conditionalFormatting>
  <conditionalFormatting sqref="AU759">
    <cfRule type="cellIs" dxfId="0" priority="8793" operator="lessThan">
      <formula>20</formula>
    </cfRule>
    <cfRule type="cellIs" dxfId="1" priority="8024" operator="greaterThan">
      <formula>120</formula>
    </cfRule>
    <cfRule type="containsText" dxfId="2" priority="7255" operator="between" text="库存为">
      <formula>NOT(ISERROR(SEARCH("库存为",AU759)))</formula>
    </cfRule>
  </conditionalFormatting>
  <conditionalFormatting sqref="AU760">
    <cfRule type="cellIs" dxfId="0" priority="8792" operator="lessThan">
      <formula>20</formula>
    </cfRule>
    <cfRule type="cellIs" dxfId="1" priority="8023" operator="greaterThan">
      <formula>120</formula>
    </cfRule>
    <cfRule type="containsText" dxfId="2" priority="7254" operator="between" text="库存为">
      <formula>NOT(ISERROR(SEARCH("库存为",AU760)))</formula>
    </cfRule>
  </conditionalFormatting>
  <conditionalFormatting sqref="AU761">
    <cfRule type="cellIs" dxfId="0" priority="8791" operator="lessThan">
      <formula>20</formula>
    </cfRule>
    <cfRule type="cellIs" dxfId="1" priority="8022" operator="greaterThan">
      <formula>120</formula>
    </cfRule>
    <cfRule type="containsText" dxfId="2" priority="7253" operator="between" text="库存为">
      <formula>NOT(ISERROR(SEARCH("库存为",AU761)))</formula>
    </cfRule>
  </conditionalFormatting>
  <conditionalFormatting sqref="AU762">
    <cfRule type="cellIs" dxfId="0" priority="8790" operator="lessThan">
      <formula>20</formula>
    </cfRule>
    <cfRule type="cellIs" dxfId="1" priority="8021" operator="greaterThan">
      <formula>120</formula>
    </cfRule>
    <cfRule type="containsText" dxfId="2" priority="7252" operator="between" text="库存为">
      <formula>NOT(ISERROR(SEARCH("库存为",AU762)))</formula>
    </cfRule>
  </conditionalFormatting>
  <conditionalFormatting sqref="AU763">
    <cfRule type="cellIs" dxfId="0" priority="8789" operator="lessThan">
      <formula>20</formula>
    </cfRule>
    <cfRule type="cellIs" dxfId="1" priority="8020" operator="greaterThan">
      <formula>120</formula>
    </cfRule>
    <cfRule type="containsText" dxfId="2" priority="7251" operator="between" text="库存为">
      <formula>NOT(ISERROR(SEARCH("库存为",AU763)))</formula>
    </cfRule>
  </conditionalFormatting>
  <conditionalFormatting sqref="AU764">
    <cfRule type="cellIs" dxfId="0" priority="8788" operator="lessThan">
      <formula>20</formula>
    </cfRule>
    <cfRule type="cellIs" dxfId="1" priority="8019" operator="greaterThan">
      <formula>120</formula>
    </cfRule>
    <cfRule type="containsText" dxfId="2" priority="7250" operator="between" text="库存为">
      <formula>NOT(ISERROR(SEARCH("库存为",AU764)))</formula>
    </cfRule>
  </conditionalFormatting>
  <conditionalFormatting sqref="AU765">
    <cfRule type="cellIs" dxfId="0" priority="8787" operator="lessThan">
      <formula>20</formula>
    </cfRule>
    <cfRule type="cellIs" dxfId="1" priority="8018" operator="greaterThan">
      <formula>120</formula>
    </cfRule>
    <cfRule type="containsText" dxfId="2" priority="7249" operator="between" text="库存为">
      <formula>NOT(ISERROR(SEARCH("库存为",AU765)))</formula>
    </cfRule>
  </conditionalFormatting>
  <conditionalFormatting sqref="AU766">
    <cfRule type="cellIs" dxfId="0" priority="8786" operator="lessThan">
      <formula>20</formula>
    </cfRule>
    <cfRule type="cellIs" dxfId="1" priority="8017" operator="greaterThan">
      <formula>120</formula>
    </cfRule>
    <cfRule type="containsText" dxfId="2" priority="7248" operator="between" text="库存为">
      <formula>NOT(ISERROR(SEARCH("库存为",AU766)))</formula>
    </cfRule>
  </conditionalFormatting>
  <conditionalFormatting sqref="AU767">
    <cfRule type="cellIs" dxfId="0" priority="8785" operator="lessThan">
      <formula>20</formula>
    </cfRule>
    <cfRule type="cellIs" dxfId="1" priority="8016" operator="greaterThan">
      <formula>120</formula>
    </cfRule>
    <cfRule type="containsText" dxfId="2" priority="7247" operator="between" text="库存为">
      <formula>NOT(ISERROR(SEARCH("库存为",AU767)))</formula>
    </cfRule>
  </conditionalFormatting>
  <conditionalFormatting sqref="AU768">
    <cfRule type="cellIs" dxfId="0" priority="8784" operator="lessThan">
      <formula>20</formula>
    </cfRule>
    <cfRule type="cellIs" dxfId="1" priority="8015" operator="greaterThan">
      <formula>120</formula>
    </cfRule>
    <cfRule type="containsText" dxfId="2" priority="7246" operator="between" text="库存为">
      <formula>NOT(ISERROR(SEARCH("库存为",AU768)))</formula>
    </cfRule>
  </conditionalFormatting>
  <conditionalFormatting sqref="AU769">
    <cfRule type="cellIs" dxfId="0" priority="8783" operator="lessThan">
      <formula>20</formula>
    </cfRule>
    <cfRule type="cellIs" dxfId="1" priority="8014" operator="greaterThan">
      <formula>120</formula>
    </cfRule>
    <cfRule type="containsText" dxfId="2" priority="7245" operator="between" text="库存为">
      <formula>NOT(ISERROR(SEARCH("库存为",AU769)))</formula>
    </cfRule>
  </conditionalFormatting>
  <conditionalFormatting sqref="AU770">
    <cfRule type="cellIs" dxfId="0" priority="8782" operator="lessThan">
      <formula>20</formula>
    </cfRule>
    <cfRule type="cellIs" dxfId="1" priority="8013" operator="greaterThan">
      <formula>120</formula>
    </cfRule>
    <cfRule type="containsText" dxfId="2" priority="7244" operator="between" text="库存为">
      <formula>NOT(ISERROR(SEARCH("库存为",AU770)))</formula>
    </cfRule>
  </conditionalFormatting>
  <conditionalFormatting sqref="AU771">
    <cfRule type="cellIs" dxfId="0" priority="8781" operator="lessThan">
      <formula>20</formula>
    </cfRule>
    <cfRule type="cellIs" dxfId="1" priority="8012" operator="greaterThan">
      <formula>120</formula>
    </cfRule>
    <cfRule type="containsText" dxfId="2" priority="7243" operator="between" text="库存为">
      <formula>NOT(ISERROR(SEARCH("库存为",AU771)))</formula>
    </cfRule>
  </conditionalFormatting>
  <conditionalFormatting sqref="AU772">
    <cfRule type="cellIs" dxfId="0" priority="8780" operator="lessThan">
      <formula>20</formula>
    </cfRule>
    <cfRule type="cellIs" dxfId="1" priority="8011" operator="greaterThan">
      <formula>120</formula>
    </cfRule>
    <cfRule type="containsText" dxfId="2" priority="7242" operator="between" text="库存为">
      <formula>NOT(ISERROR(SEARCH("库存为",AU772)))</formula>
    </cfRule>
  </conditionalFormatting>
  <conditionalFormatting sqref="AU773">
    <cfRule type="cellIs" dxfId="0" priority="8779" operator="lessThan">
      <formula>20</formula>
    </cfRule>
    <cfRule type="cellIs" dxfId="1" priority="8010" operator="greaterThan">
      <formula>120</formula>
    </cfRule>
    <cfRule type="containsText" dxfId="2" priority="7241" operator="between" text="库存为">
      <formula>NOT(ISERROR(SEARCH("库存为",AU773)))</formula>
    </cfRule>
  </conditionalFormatting>
  <conditionalFormatting sqref="AU774">
    <cfRule type="cellIs" dxfId="0" priority="8778" operator="lessThan">
      <formula>20</formula>
    </cfRule>
    <cfRule type="cellIs" dxfId="1" priority="8009" operator="greaterThan">
      <formula>120</formula>
    </cfRule>
    <cfRule type="containsText" dxfId="2" priority="7240" operator="between" text="库存为">
      <formula>NOT(ISERROR(SEARCH("库存为",AU774)))</formula>
    </cfRule>
  </conditionalFormatting>
  <conditionalFormatting sqref="AU775">
    <cfRule type="cellIs" dxfId="0" priority="42285" operator="lessThan">
      <formula>20</formula>
    </cfRule>
    <cfRule type="cellIs" dxfId="1" priority="42245" operator="greaterThan">
      <formula>120</formula>
    </cfRule>
    <cfRule type="containsText" dxfId="2" priority="42205" operator="between" text="库存为">
      <formula>NOT(ISERROR(SEARCH("库存为",AU775)))</formula>
    </cfRule>
  </conditionalFormatting>
  <conditionalFormatting sqref="AU776:AU2760">
    <cfRule type="containsText" dxfId="2" priority="68185" operator="between" text="库存为">
      <formula>NOT(ISERROR(SEARCH("库存为",AU776)))</formula>
    </cfRule>
    <cfRule type="cellIs" dxfId="1" priority="68186" operator="greaterThan">
      <formula>120</formula>
    </cfRule>
    <cfRule type="cellIs" dxfId="0" priority="68187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77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67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4.9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642</v>
      </c>
      <c r="O1" s="10"/>
      <c r="P1" s="10"/>
      <c r="Q1" s="10"/>
      <c r="R1" s="10" t="s">
        <v>643</v>
      </c>
      <c r="S1" s="10"/>
      <c r="T1" s="10"/>
      <c r="U1" s="10"/>
      <c r="V1" s="10" t="s">
        <v>4</v>
      </c>
      <c r="W1" s="10"/>
      <c r="X1" s="10"/>
      <c r="Y1" s="10"/>
      <c r="Z1" s="10" t="s">
        <v>5</v>
      </c>
      <c r="AA1" s="10"/>
      <c r="AB1" s="10"/>
      <c r="AC1" s="10"/>
      <c r="AD1" s="10" t="s">
        <v>6</v>
      </c>
      <c r="AE1" s="10"/>
      <c r="AF1" s="10"/>
      <c r="AG1" s="10"/>
      <c r="AH1" s="10" t="s">
        <v>644</v>
      </c>
      <c r="AI1" s="10"/>
      <c r="AJ1" s="10"/>
      <c r="AK1" s="10"/>
      <c r="AL1" s="10" t="s">
        <v>645</v>
      </c>
      <c r="AM1" s="10"/>
      <c r="AN1" s="10"/>
      <c r="AO1" s="10"/>
      <c r="AP1" s="10" t="s">
        <v>9</v>
      </c>
      <c r="AQ1" s="23"/>
      <c r="AR1" s="23"/>
      <c r="AS1" s="10"/>
      <c r="AT1" s="10"/>
    </row>
    <row r="2" hidden="1" spans="1:46">
      <c r="A2" s="11">
        <f>时间!$B$1</f>
        <v>43311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IFERROR(VLOOKUP(A2,'[2]父sku-单价'!$A:$B,2,0),"")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7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2" t="str">
        <f t="shared" ref="V2:Y2" si="1">IFERROR(R2/N2,"")</f>
        <v/>
      </c>
      <c r="W2" s="22" t="str">
        <f t="shared" si="1"/>
        <v/>
      </c>
      <c r="X2" s="22" t="str">
        <f t="shared" si="1"/>
        <v/>
      </c>
      <c r="Y2" s="22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2" t="str">
        <f t="shared" ref="AD2:AD67" si="2">IF(AND(Z2&gt;0,B2=0),"无销量广告费为"&amp;Z2,IFERROR(Z2/(B2*$F2),""))</f>
        <v/>
      </c>
      <c r="AE2" s="22" t="str">
        <f t="shared" ref="AE2:AE67" si="3">IF(AND(AA2&gt;0,C2=0),"无销量广告费为"&amp;AA2,IFERROR(AA2/(C2*$F2),""))</f>
        <v/>
      </c>
      <c r="AF2" s="22" t="str">
        <f t="shared" ref="AF2:AF67" si="4">IF(AND(AB2&gt;0,D2=0),"无销量广告费为"&amp;AB2,IFERROR(AB2/(D2*$F2),""))</f>
        <v/>
      </c>
      <c r="AG2" s="22" t="str">
        <f t="shared" ref="AG2:AG67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2" t="str">
        <f t="shared" ref="AL2:AL67" si="6">IFERROR(B2/AH2,"")</f>
        <v/>
      </c>
      <c r="AM2" s="22" t="str">
        <f t="shared" ref="AM2:AM67" si="7">IFERROR(C2/AI2,"")</f>
        <v/>
      </c>
      <c r="AN2" s="22" t="str">
        <f t="shared" ref="AN2:AN67" si="8">IFERROR(D2/AJ2,"")</f>
        <v/>
      </c>
      <c r="AO2" s="22" t="str">
        <f t="shared" ref="AO2:AO67" si="9">IFERROR(E2/AK2,"")</f>
        <v/>
      </c>
      <c r="AP2" s="7">
        <f t="shared" ref="AP2:AP67" si="10">B2/7</f>
        <v>0</v>
      </c>
      <c r="AQ2" s="7">
        <f t="shared" ref="AQ2:AQ67" si="11">AP2*60</f>
        <v>0</v>
      </c>
      <c r="AR2" s="7">
        <f t="shared" ref="AR2:AR67" si="12">K2-AQ2</f>
        <v>0</v>
      </c>
      <c r="AS2" t="str">
        <f t="shared" ref="AS2:AS67" si="13">IF(AP2=0,"库存为"&amp;K2,INT(K2/AP2))</f>
        <v>库存为0</v>
      </c>
      <c r="AT2" s="2" t="str">
        <f>IFERROR($A$2+AS2,"上周无销量")</f>
        <v>上周无销量</v>
      </c>
    </row>
    <row r="3" ht="24.95" customHeight="1" spans="1:46">
      <c r="A3" s="12"/>
      <c r="B3" s="13" t="str">
        <f>TEXT(时间!$B$6,"yyyy/M/d")&amp;"-"&amp;TEXT(时间!$B$5,"yyyy/M/d")</f>
        <v>2018/8/20-2018/8/26</v>
      </c>
      <c r="C3" s="13" t="str">
        <f>TEXT(时间!$B$8,"yyyy/M/d")&amp;"-"&amp;TEXT(时间!$B$7,"yyyy/Md")</f>
        <v>2018/8/13-2018/819</v>
      </c>
      <c r="D3" s="13" t="str">
        <f>TEXT(时间!$B$10,"yyyy/M/d")&amp;"-"&amp;TEXT(时间!$B$9,"yyyy/M/d")</f>
        <v>2018/8/6-2018/8/12</v>
      </c>
      <c r="E3" s="13" t="str">
        <f>TEXT(时间!$B$12,"yyyy/M/d")&amp;"-"&amp;TEXT(时间!$B$11,"yyyy/M/d")</f>
        <v>2018/7/30-2018/8/5</v>
      </c>
      <c r="F3" s="14"/>
      <c r="G3" s="15"/>
      <c r="H3" s="15"/>
      <c r="I3" s="15"/>
      <c r="J3" s="15"/>
      <c r="K3" s="15"/>
      <c r="L3" s="15"/>
      <c r="M3" s="18" t="s">
        <v>646</v>
      </c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24"/>
      <c r="AR3" s="24"/>
      <c r="AS3" s="19"/>
      <c r="AT3" s="19"/>
    </row>
    <row r="4" spans="1:46">
      <c r="A4" s="5" t="s">
        <v>14</v>
      </c>
      <c r="B4" s="5" t="s">
        <v>647</v>
      </c>
      <c r="C4" s="5" t="s">
        <v>648</v>
      </c>
      <c r="D4" s="5" t="s">
        <v>649</v>
      </c>
      <c r="E4" s="5" t="s">
        <v>650</v>
      </c>
      <c r="F4" s="6" t="s">
        <v>19</v>
      </c>
      <c r="G4" t="s">
        <v>20</v>
      </c>
      <c r="H4" t="s">
        <v>21</v>
      </c>
      <c r="I4" t="s">
        <v>651</v>
      </c>
      <c r="J4" t="s">
        <v>23</v>
      </c>
      <c r="K4" t="s">
        <v>24</v>
      </c>
      <c r="L4" t="s">
        <v>25</v>
      </c>
      <c r="M4" t="s">
        <v>26</v>
      </c>
      <c r="N4" s="20" t="s">
        <v>27</v>
      </c>
      <c r="O4" s="20" t="s">
        <v>28</v>
      </c>
      <c r="P4" s="20" t="s">
        <v>29</v>
      </c>
      <c r="Q4" s="20" t="s">
        <v>30</v>
      </c>
      <c r="R4" s="20" t="s">
        <v>31</v>
      </c>
      <c r="S4" s="20" t="s">
        <v>32</v>
      </c>
      <c r="T4" s="20" t="s">
        <v>33</v>
      </c>
      <c r="U4" s="20" t="s">
        <v>34</v>
      </c>
      <c r="V4" s="20" t="s">
        <v>35</v>
      </c>
      <c r="W4" s="20" t="s">
        <v>36</v>
      </c>
      <c r="X4" s="20" t="s">
        <v>37</v>
      </c>
      <c r="Y4" s="20" t="s">
        <v>38</v>
      </c>
      <c r="Z4" s="20" t="s">
        <v>39</v>
      </c>
      <c r="AA4" s="20" t="s">
        <v>40</v>
      </c>
      <c r="AB4" s="20" t="s">
        <v>41</v>
      </c>
      <c r="AC4" s="20" t="s">
        <v>42</v>
      </c>
      <c r="AD4" s="20" t="str">
        <f>TEXT(时间!$B$6,"yyyy/M/d")&amp;"-"&amp;TEXT(时间!$B$5,"yyyy/M/d")</f>
        <v>2018/8/20-2018/8/26</v>
      </c>
      <c r="AE4" s="20" t="str">
        <f>TEXT(时间!$B$8,"yyyy/M/d")&amp;"-"&amp;TEXT(时间!$B$7,"yyyy/Md")</f>
        <v>2018/8/13-2018/819</v>
      </c>
      <c r="AF4" s="20" t="str">
        <f>TEXT(时间!$B$10,"yyyy/M/d")&amp;"-"&amp;TEXT(时间!$B$9,"yyyy/M/d")</f>
        <v>2018/8/6-2018/8/12</v>
      </c>
      <c r="AG4" s="20" t="str">
        <f>TEXT(时间!$B$12,"yyyy/M/d")&amp;"-"&amp;TEXT(时间!$B$11,"yyyy/M/d")</f>
        <v>2018/7/30-2018/8/5</v>
      </c>
      <c r="AH4" s="20" t="str">
        <f>TEXT(时间!$B$6,"yyyy/M/d")&amp;"-"&amp;TEXT(时间!$B$5,"yyyy/M/d")</f>
        <v>2018/8/20-2018/8/26</v>
      </c>
      <c r="AI4" s="20" t="str">
        <f>TEXT(时间!$B$8,"yyyy/M/d")&amp;"-"&amp;TEXT(时间!$B$7,"yyyy/Md")</f>
        <v>2018/8/13-2018/819</v>
      </c>
      <c r="AJ4" s="20" t="str">
        <f>TEXT(时间!$B$10,"yyyy/M/d")&amp;"-"&amp;TEXT(时间!$B$9,"yyyy/M/d")</f>
        <v>2018/8/6-2018/8/12</v>
      </c>
      <c r="AK4" s="20" t="str">
        <f>TEXT(时间!$B$12,"yyyy/M/d")&amp;"-"&amp;TEXT(时间!$B$11,"yyyy/M/d")</f>
        <v>2018/7/30-2018/8/5</v>
      </c>
      <c r="AL4" s="20" t="str">
        <f>TEXT(时间!$B$6,"yyyy/M/d")&amp;"-"&amp;TEXT(时间!$B$5,"yyyy/M/d")</f>
        <v>2018/8/20-2018/8/26</v>
      </c>
      <c r="AM4" s="20" t="str">
        <f>TEXT(时间!$B$8,"yyyy/M/d")&amp;"-"&amp;TEXT(时间!$B$7,"yyyy/Md")</f>
        <v>2018/8/13-2018/819</v>
      </c>
      <c r="AN4" s="20" t="str">
        <f>TEXT(时间!$B$10,"yyyy/M/d")&amp;"-"&amp;TEXT(时间!$B$9,"yyyy/M/d")</f>
        <v>2018/8/6-2018/8/12</v>
      </c>
      <c r="AO4" s="20" t="str">
        <f>TEXT(时间!$B$12,"yyyy/M/d")&amp;"-"&amp;TEXT(时间!$B$11,"yyyy/M/d")</f>
        <v>2018/7/30-2018/8/5</v>
      </c>
      <c r="AP4" s="7" t="s">
        <v>43</v>
      </c>
      <c r="AQ4" s="7" t="s">
        <v>44</v>
      </c>
      <c r="AR4" s="7" t="s">
        <v>45</v>
      </c>
      <c r="AS4" t="s">
        <v>46</v>
      </c>
      <c r="AT4" t="s">
        <v>47</v>
      </c>
    </row>
    <row r="5" s="4" customFormat="1" spans="1:44">
      <c r="A5" s="16" t="s">
        <v>48</v>
      </c>
      <c r="B5" s="16">
        <f t="shared" ref="B5:M5" si="14">SUM(B6:B9999)</f>
        <v>53</v>
      </c>
      <c r="C5" s="16">
        <f t="shared" si="14"/>
        <v>66</v>
      </c>
      <c r="D5" s="16">
        <f t="shared" si="14"/>
        <v>91</v>
      </c>
      <c r="E5" s="16">
        <f t="shared" si="14"/>
        <v>109</v>
      </c>
      <c r="F5" s="17"/>
      <c r="G5" s="4">
        <f t="shared" si="14"/>
        <v>850</v>
      </c>
      <c r="H5" s="4">
        <f t="shared" si="14"/>
        <v>50</v>
      </c>
      <c r="I5" s="4">
        <f t="shared" si="14"/>
        <v>1</v>
      </c>
      <c r="J5" s="4">
        <f t="shared" si="14"/>
        <v>12</v>
      </c>
      <c r="K5" s="4">
        <f t="shared" si="14"/>
        <v>913</v>
      </c>
      <c r="L5" s="4">
        <f t="shared" si="14"/>
        <v>14</v>
      </c>
      <c r="M5" s="4">
        <f t="shared" si="14"/>
        <v>408</v>
      </c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4">
        <f>SUM(Z6:Z9999)</f>
        <v>22.77</v>
      </c>
      <c r="AA5" s="4">
        <f>SUM(AA6:AA9999)</f>
        <v>260.11</v>
      </c>
      <c r="AB5" s="4">
        <f>SUM(AB6:AB9999)</f>
        <v>443.18</v>
      </c>
      <c r="AC5" s="4">
        <f>SUM(AC6:AC9999)</f>
        <v>225.47</v>
      </c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5"/>
      <c r="AQ5" s="25"/>
      <c r="AR5" s="25"/>
    </row>
    <row r="6" spans="1:46">
      <c r="A6" s="5" t="s">
        <v>52</v>
      </c>
      <c r="B6" s="5">
        <f>SUMIF('库存（子SKU）'!$C:$C,$A6,'库存（子SKU）'!D:D)</f>
        <v>0</v>
      </c>
      <c r="C6" s="5">
        <f>SUMIF('库存（子SKU）'!$C:$C,$A6,'库存（子SKU）'!E:E)</f>
        <v>1</v>
      </c>
      <c r="D6" s="5">
        <f>SUMIF('库存（子SKU）'!$C:$C,$A6,'库存（子SKU）'!F:F)</f>
        <v>0</v>
      </c>
      <c r="E6" s="5">
        <f>SUMIF('库存（子SKU）'!$C:$C,$A6,'库存（子SKU）'!G:G)</f>
        <v>4</v>
      </c>
      <c r="F6" s="6">
        <v>16.59</v>
      </c>
      <c r="G6">
        <f>SUMIF('库存（子SKU）'!$C:$C,$A6,'库存（子SKU）'!I:I)</f>
        <v>2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</v>
      </c>
      <c r="L6">
        <f>SUMIF('库存（子SKU）'!$C:$C,$A6,'库存（子SKU）'!N:N)</f>
        <v>3</v>
      </c>
      <c r="M6">
        <f>SUMIF('库存（子SKU）'!$C:$C,$A6,'库存（子SKU）'!O:O)</f>
        <v>2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2" t="str">
        <f t="shared" ref="V6:V67" si="15">IFERROR(R6/N6,"")</f>
        <v/>
      </c>
      <c r="W6" s="22" t="str">
        <f t="shared" ref="W6:W67" si="16">IFERROR(S6/O6,"")</f>
        <v/>
      </c>
      <c r="X6" s="22" t="str">
        <f t="shared" ref="X6:X67" si="17">IFERROR(T6/P6,"")</f>
        <v/>
      </c>
      <c r="Y6" s="22" t="str">
        <f t="shared" ref="Y6:Y67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2" t="str">
        <f t="shared" si="2"/>
        <v/>
      </c>
      <c r="AE6" s="22">
        <f t="shared" si="3"/>
        <v>0</v>
      </c>
      <c r="AF6" s="22" t="str">
        <f t="shared" si="4"/>
        <v/>
      </c>
      <c r="AG6" s="22">
        <f t="shared" si="5"/>
        <v>0</v>
      </c>
      <c r="AH6">
        <f>SUMIF('库存（子SKU）'!$C:$C,$A6,'库存（子SKU）'!AJ:AJ)</f>
        <v>13</v>
      </c>
      <c r="AI6">
        <f>SUMIF('库存（子SKU）'!$C:$C,$A6,'库存（子SKU）'!AK:AK)</f>
        <v>19</v>
      </c>
      <c r="AJ6">
        <f>SUMIF('库存（子SKU）'!$C:$C,$A6,'库存（子SKU）'!AL:AL)</f>
        <v>49</v>
      </c>
      <c r="AK6">
        <f>SUMIF('库存（子SKU）'!$C:$C,$A6,'库存（子SKU）'!AM:AM)</f>
        <v>55</v>
      </c>
      <c r="AL6" s="22">
        <f t="shared" si="6"/>
        <v>0</v>
      </c>
      <c r="AM6" s="22">
        <f t="shared" si="7"/>
        <v>0.0526315789473684</v>
      </c>
      <c r="AN6" s="22">
        <f t="shared" si="8"/>
        <v>0</v>
      </c>
      <c r="AO6" s="22">
        <f t="shared" si="9"/>
        <v>0.0727272727272727</v>
      </c>
      <c r="AP6" s="7">
        <f t="shared" si="10"/>
        <v>0</v>
      </c>
      <c r="AQ6" s="7">
        <f t="shared" si="11"/>
        <v>0</v>
      </c>
      <c r="AR6" s="7">
        <f t="shared" si="12"/>
        <v>2</v>
      </c>
      <c r="AS6" t="str">
        <f t="shared" si="13"/>
        <v>库存为2</v>
      </c>
      <c r="AT6" s="2" t="str">
        <f>IFERROR(时间!$B$4+AS6,"上周无销量")</f>
        <v>上周无销量</v>
      </c>
    </row>
    <row r="7" spans="1:46">
      <c r="A7" t="s">
        <v>68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53</v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2" t="str">
        <f t="shared" si="15"/>
        <v/>
      </c>
      <c r="W7" s="22" t="str">
        <f t="shared" si="16"/>
        <v/>
      </c>
      <c r="X7" s="22" t="str">
        <f t="shared" si="17"/>
        <v/>
      </c>
      <c r="Y7" s="22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2" t="str">
        <f t="shared" si="2"/>
        <v/>
      </c>
      <c r="AE7" s="22" t="str">
        <f t="shared" si="3"/>
        <v/>
      </c>
      <c r="AF7" s="22" t="str">
        <f t="shared" si="4"/>
        <v/>
      </c>
      <c r="AG7" s="22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2" t="str">
        <f t="shared" si="6"/>
        <v/>
      </c>
      <c r="AM7" s="22" t="str">
        <f t="shared" si="7"/>
        <v/>
      </c>
      <c r="AN7" s="22" t="str">
        <f t="shared" si="8"/>
        <v/>
      </c>
      <c r="AO7" s="22" t="str">
        <f t="shared" si="9"/>
        <v/>
      </c>
      <c r="AP7" s="7">
        <f t="shared" si="10"/>
        <v>0</v>
      </c>
      <c r="AQ7" s="7">
        <f t="shared" si="11"/>
        <v>0</v>
      </c>
      <c r="AR7" s="7">
        <f t="shared" si="12"/>
        <v>0</v>
      </c>
      <c r="AS7" t="str">
        <f t="shared" si="13"/>
        <v>库存为0</v>
      </c>
      <c r="AT7" s="2" t="str">
        <f>IFERROR(时间!$B$4+AS7,"上周无销量")</f>
        <v>上周无销量</v>
      </c>
    </row>
    <row r="8" spans="1:46">
      <c r="A8" t="s">
        <v>71</v>
      </c>
      <c r="B8" s="5">
        <f>SUMIF('库存（子SKU）'!$C:$C,$A8,'库存（子SKU）'!D:D)</f>
        <v>0</v>
      </c>
      <c r="C8" s="5">
        <f>SUMIF('库存（子SKU）'!$C:$C,$A8,'库存（子SKU）'!E:E)</f>
        <v>0</v>
      </c>
      <c r="D8" s="5">
        <f>SUMIF('库存（子SKU）'!$C:$C,$A8,'库存（子SKU）'!F:F)</f>
        <v>2</v>
      </c>
      <c r="E8" s="5">
        <f>SUMIF('库存（子SKU）'!$C:$C,$A8,'库存（子SKU）'!G:G)</f>
        <v>2</v>
      </c>
      <c r="F8" s="6">
        <v>9.9</v>
      </c>
      <c r="G8">
        <f>SUMIF('库存（子SKU）'!$C:$C,$A8,'库存（子SKU）'!I:I)</f>
        <v>7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7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202</v>
      </c>
      <c r="P8">
        <f>SUMIF('库存（子SKU）'!$C:$C,$A8,'库存（子SKU）'!R:R)</f>
        <v>873</v>
      </c>
      <c r="Q8">
        <f>SUMIF('库存（子SKU）'!$C:$C,$A8,'库存（子SKU）'!S:S)</f>
        <v>537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4</v>
      </c>
      <c r="U8">
        <f>SUMIF('库存（子SKU）'!$C:$C,$A8,'库存（子SKU）'!W:W)</f>
        <v>7</v>
      </c>
      <c r="V8" s="22" t="str">
        <f t="shared" si="15"/>
        <v/>
      </c>
      <c r="W8" s="22">
        <f t="shared" si="16"/>
        <v>0</v>
      </c>
      <c r="X8" s="22">
        <f t="shared" si="17"/>
        <v>0.00458190148911798</v>
      </c>
      <c r="Y8" s="22">
        <f t="shared" si="18"/>
        <v>0.0130353817504655</v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1.14</v>
      </c>
      <c r="AC8">
        <f>SUMIF('库存（子SKU）'!$C:$C,$A8,'库存（子SKU）'!AE:AE)</f>
        <v>1.65</v>
      </c>
      <c r="AD8" s="22" t="str">
        <f t="shared" si="2"/>
        <v/>
      </c>
      <c r="AE8" s="22" t="str">
        <f t="shared" si="3"/>
        <v/>
      </c>
      <c r="AF8" s="22">
        <f t="shared" si="4"/>
        <v>0.0575757575757576</v>
      </c>
      <c r="AG8" s="22">
        <f t="shared" si="5"/>
        <v>0.0833333333333333</v>
      </c>
      <c r="AH8">
        <f>SUMIF('库存（子SKU）'!$C:$C,$A8,'库存（子SKU）'!AJ:AJ)</f>
        <v>48</v>
      </c>
      <c r="AI8">
        <f>SUMIF('库存（子SKU）'!$C:$C,$A8,'库存（子SKU）'!AK:AK)</f>
        <v>45</v>
      </c>
      <c r="AJ8">
        <f>SUMIF('库存（子SKU）'!$C:$C,$A8,'库存（子SKU）'!AL:AL)</f>
        <v>53</v>
      </c>
      <c r="AK8">
        <f>SUMIF('库存（子SKU）'!$C:$C,$A8,'库存（子SKU）'!AM:AM)</f>
        <v>50</v>
      </c>
      <c r="AL8" s="22">
        <f t="shared" si="6"/>
        <v>0</v>
      </c>
      <c r="AM8" s="22">
        <f t="shared" si="7"/>
        <v>0</v>
      </c>
      <c r="AN8" s="22">
        <f t="shared" si="8"/>
        <v>0.0377358490566038</v>
      </c>
      <c r="AO8" s="22">
        <f t="shared" si="9"/>
        <v>0.04</v>
      </c>
      <c r="AP8" s="7">
        <f t="shared" si="10"/>
        <v>0</v>
      </c>
      <c r="AQ8" s="7">
        <f t="shared" si="11"/>
        <v>0</v>
      </c>
      <c r="AR8" s="7">
        <f t="shared" si="12"/>
        <v>7</v>
      </c>
      <c r="AS8" t="str">
        <f t="shared" si="13"/>
        <v>库存为7</v>
      </c>
      <c r="AT8" s="2" t="str">
        <f>IFERROR(时间!$B$4+AS8,"上周无销量")</f>
        <v>上周无销量</v>
      </c>
    </row>
    <row r="9" spans="1:46">
      <c r="A9" t="s">
        <v>87</v>
      </c>
      <c r="B9" s="5">
        <f>SUMIF('库存（子SKU）'!$C:$C,$A9,'库存（子SKU）'!D:D)</f>
        <v>0</v>
      </c>
      <c r="C9" s="5">
        <f>SUMIF('库存（子SKU）'!$C:$C,$A9,'库存（子SKU）'!E:E)</f>
        <v>2</v>
      </c>
      <c r="D9" s="5">
        <f>SUMIF('库存（子SKU）'!$C:$C,$A9,'库存（子SKU）'!F:F)</f>
        <v>9</v>
      </c>
      <c r="E9" s="5">
        <f>SUMIF('库存（子SKU）'!$C:$C,$A9,'库存（子SKU）'!G:G)</f>
        <v>10</v>
      </c>
      <c r="F9" s="6">
        <v>9.40809523809524</v>
      </c>
      <c r="G9">
        <f>SUMIF('库存（子SKU）'!$C:$C,$A9,'库存（子SKU）'!I:I)</f>
        <v>10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2</v>
      </c>
      <c r="K9">
        <f t="shared" si="0"/>
        <v>12</v>
      </c>
      <c r="L9">
        <f>SUMIF('库存（子SKU）'!$C:$C,$A9,'库存（子SKU）'!N:N)</f>
        <v>1</v>
      </c>
      <c r="M9">
        <f>SUMIF('库存（子SKU）'!$C:$C,$A9,'库存（子SKU）'!O:O)</f>
        <v>10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2" t="str">
        <f t="shared" si="15"/>
        <v/>
      </c>
      <c r="W9" s="22" t="str">
        <f t="shared" si="16"/>
        <v/>
      </c>
      <c r="X9" s="22" t="str">
        <f t="shared" si="17"/>
        <v/>
      </c>
      <c r="Y9" s="22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2" t="str">
        <f t="shared" si="2"/>
        <v/>
      </c>
      <c r="AE9" s="22">
        <f t="shared" si="3"/>
        <v>0</v>
      </c>
      <c r="AF9" s="22">
        <f t="shared" si="4"/>
        <v>0</v>
      </c>
      <c r="AG9" s="22">
        <f t="shared" si="5"/>
        <v>0</v>
      </c>
      <c r="AH9">
        <f>SUMIF('库存（子SKU）'!$C:$C,$A9,'库存（子SKU）'!AJ:AJ)</f>
        <v>26</v>
      </c>
      <c r="AI9">
        <f>SUMIF('库存（子SKU）'!$C:$C,$A9,'库存（子SKU）'!AK:AK)</f>
        <v>39</v>
      </c>
      <c r="AJ9">
        <f>SUMIF('库存（子SKU）'!$C:$C,$A9,'库存（子SKU）'!AL:AL)</f>
        <v>73</v>
      </c>
      <c r="AK9">
        <f>SUMIF('库存（子SKU）'!$C:$C,$A9,'库存（子SKU）'!AM:AM)</f>
        <v>93</v>
      </c>
      <c r="AL9" s="22">
        <f t="shared" si="6"/>
        <v>0</v>
      </c>
      <c r="AM9" s="22">
        <f t="shared" si="7"/>
        <v>0.0512820512820513</v>
      </c>
      <c r="AN9" s="22">
        <f t="shared" si="8"/>
        <v>0.123287671232877</v>
      </c>
      <c r="AO9" s="22">
        <f t="shared" si="9"/>
        <v>0.10752688172043</v>
      </c>
      <c r="AP9" s="7">
        <f t="shared" si="10"/>
        <v>0</v>
      </c>
      <c r="AQ9" s="7">
        <f t="shared" si="11"/>
        <v>0</v>
      </c>
      <c r="AR9" s="7">
        <f t="shared" si="12"/>
        <v>12</v>
      </c>
      <c r="AS9" t="str">
        <f t="shared" si="13"/>
        <v>库存为12</v>
      </c>
      <c r="AT9" s="2" t="str">
        <f>IFERROR(时间!$B$4+AS9,"上周无销量")</f>
        <v>上周无销量</v>
      </c>
    </row>
    <row r="10" spans="1:46">
      <c r="A10" t="s">
        <v>98</v>
      </c>
      <c r="B10" s="5">
        <f>SUMIF('库存（子SKU）'!$C:$C,$A10,'库存（子SKU）'!D:D)</f>
        <v>1</v>
      </c>
      <c r="C10" s="5">
        <f>SUMIF('库存（子SKU）'!$C:$C,$A10,'库存（子SKU）'!E:E)</f>
        <v>3</v>
      </c>
      <c r="D10" s="5">
        <f>SUMIF('库存（子SKU）'!$C:$C,$A10,'库存（子SKU）'!F:F)</f>
        <v>1</v>
      </c>
      <c r="E10" s="5">
        <f>SUMIF('库存（子SKU）'!$C:$C,$A10,'库存（子SKU）'!G:G)</f>
        <v>3</v>
      </c>
      <c r="F10" s="6">
        <v>9.99</v>
      </c>
      <c r="G10">
        <f>SUMIF('库存（子SKU）'!$C:$C,$A10,'库存（子SKU）'!I:I)</f>
        <v>67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67</v>
      </c>
      <c r="L10">
        <f>SUMIF('库存（子SKU）'!$C:$C,$A10,'库存（子SKU）'!N:N)</f>
        <v>0</v>
      </c>
      <c r="M10">
        <f>SUMIF('库存（子SKU）'!$C:$C,$A10,'库存（子SKU）'!O:O)</f>
        <v>15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2" t="str">
        <f t="shared" si="15"/>
        <v/>
      </c>
      <c r="W10" s="22" t="str">
        <f t="shared" si="16"/>
        <v/>
      </c>
      <c r="X10" s="22" t="str">
        <f t="shared" si="17"/>
        <v/>
      </c>
      <c r="Y10" s="22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2">
        <f t="shared" si="2"/>
        <v>0</v>
      </c>
      <c r="AE10" s="22">
        <f t="shared" si="3"/>
        <v>0</v>
      </c>
      <c r="AF10" s="22">
        <f t="shared" si="4"/>
        <v>0</v>
      </c>
      <c r="AG10" s="22">
        <f t="shared" si="5"/>
        <v>0</v>
      </c>
      <c r="AH10">
        <f>SUMIF('库存（子SKU）'!$C:$C,$A10,'库存（子SKU）'!AJ:AJ)</f>
        <v>57</v>
      </c>
      <c r="AI10">
        <f>SUMIF('库存（子SKU）'!$C:$C,$A10,'库存（子SKU）'!AK:AK)</f>
        <v>89</v>
      </c>
      <c r="AJ10">
        <f>SUMIF('库存（子SKU）'!$C:$C,$A10,'库存（子SKU）'!AL:AL)</f>
        <v>69</v>
      </c>
      <c r="AK10">
        <f>SUMIF('库存（子SKU）'!$C:$C,$A10,'库存（子SKU）'!AM:AM)</f>
        <v>52</v>
      </c>
      <c r="AL10" s="22">
        <f t="shared" si="6"/>
        <v>0.0175438596491228</v>
      </c>
      <c r="AM10" s="22">
        <f t="shared" si="7"/>
        <v>0.0337078651685393</v>
      </c>
      <c r="AN10" s="22">
        <f t="shared" si="8"/>
        <v>0.0144927536231884</v>
      </c>
      <c r="AO10" s="22">
        <f t="shared" si="9"/>
        <v>0.0576923076923077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58.4285714285714</v>
      </c>
      <c r="AS10">
        <f t="shared" si="13"/>
        <v>469</v>
      </c>
      <c r="AT10" s="2">
        <f>IFERROR(时间!$B$4+AS10,"上周无销量")</f>
        <v>43808</v>
      </c>
    </row>
    <row r="11" spans="1:46">
      <c r="A11" t="s">
        <v>111</v>
      </c>
      <c r="B11" s="5">
        <f>SUMIF('库存（子SKU）'!$C:$C,$A11,'库存（子SKU）'!D:D)</f>
        <v>0</v>
      </c>
      <c r="C11" s="5">
        <f>SUMIF('库存（子SKU）'!$C:$C,$A11,'库存（子SKU）'!E:E)</f>
        <v>1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8.99</v>
      </c>
      <c r="G11">
        <f>SUMIF('库存（子SKU）'!$C:$C,$A11,'库存（子SKU）'!I:I)</f>
        <v>7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7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2" t="str">
        <f t="shared" si="15"/>
        <v/>
      </c>
      <c r="W11" s="22" t="str">
        <f t="shared" si="16"/>
        <v/>
      </c>
      <c r="X11" s="22" t="str">
        <f t="shared" si="17"/>
        <v/>
      </c>
      <c r="Y11" s="22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2" t="str">
        <f t="shared" si="2"/>
        <v/>
      </c>
      <c r="AE11" s="22">
        <f t="shared" si="3"/>
        <v>0</v>
      </c>
      <c r="AF11" s="22" t="str">
        <f t="shared" si="4"/>
        <v/>
      </c>
      <c r="AG11" s="22" t="str">
        <f t="shared" si="5"/>
        <v/>
      </c>
      <c r="AH11">
        <f>SUMIF('库存（子SKU）'!$C:$C,$A11,'库存（子SKU）'!AJ:AJ)</f>
        <v>14</v>
      </c>
      <c r="AI11">
        <f>SUMIF('库存（子SKU）'!$C:$C,$A11,'库存（子SKU）'!AK:AK)</f>
        <v>25</v>
      </c>
      <c r="AJ11">
        <f>SUMIF('库存（子SKU）'!$C:$C,$A11,'库存（子SKU）'!AL:AL)</f>
        <v>6</v>
      </c>
      <c r="AK11">
        <f>SUMIF('库存（子SKU）'!$C:$C,$A11,'库存（子SKU）'!AM:AM)</f>
        <v>10</v>
      </c>
      <c r="AL11" s="22">
        <f t="shared" si="6"/>
        <v>0</v>
      </c>
      <c r="AM11" s="22">
        <f t="shared" si="7"/>
        <v>0.04</v>
      </c>
      <c r="AN11" s="22">
        <f t="shared" si="8"/>
        <v>0</v>
      </c>
      <c r="AO11" s="22">
        <f t="shared" si="9"/>
        <v>0</v>
      </c>
      <c r="AP11" s="7">
        <f t="shared" si="10"/>
        <v>0</v>
      </c>
      <c r="AQ11" s="7">
        <f t="shared" si="11"/>
        <v>0</v>
      </c>
      <c r="AR11" s="7">
        <f t="shared" si="12"/>
        <v>7</v>
      </c>
      <c r="AS11" t="str">
        <f t="shared" si="13"/>
        <v>库存为7</v>
      </c>
      <c r="AT11" s="2" t="str">
        <f>IFERROR(时间!$B$4+AS11,"上周无销量")</f>
        <v>上周无销量</v>
      </c>
    </row>
    <row r="12" spans="1:46">
      <c r="A12" t="s">
        <v>114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53</v>
      </c>
      <c r="G12">
        <f>SUMIF('库存（子SKU）'!$C:$C,$A12,'库存（子SKU）'!I:I)</f>
        <v>2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2" t="str">
        <f t="shared" si="15"/>
        <v/>
      </c>
      <c r="W12" s="22" t="str">
        <f t="shared" si="16"/>
        <v/>
      </c>
      <c r="X12" s="22" t="str">
        <f t="shared" si="17"/>
        <v/>
      </c>
      <c r="Y12" s="22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2" t="str">
        <f t="shared" si="2"/>
        <v/>
      </c>
      <c r="AE12" s="22" t="str">
        <f t="shared" si="3"/>
        <v/>
      </c>
      <c r="AF12" s="22" t="str">
        <f t="shared" si="4"/>
        <v/>
      </c>
      <c r="AG12" s="22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2" t="str">
        <f t="shared" si="6"/>
        <v/>
      </c>
      <c r="AM12" s="22" t="str">
        <f t="shared" si="7"/>
        <v/>
      </c>
      <c r="AN12" s="22" t="str">
        <f t="shared" si="8"/>
        <v/>
      </c>
      <c r="AO12" s="22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2</v>
      </c>
      <c r="AS12" t="str">
        <f t="shared" si="13"/>
        <v>库存为2</v>
      </c>
      <c r="AT12" s="2" t="str">
        <f>IFERROR(时间!$B$4+AS12,"上周无销量")</f>
        <v>上周无销量</v>
      </c>
    </row>
    <row r="13" spans="1:46">
      <c r="A13" t="s">
        <v>119</v>
      </c>
      <c r="B13" s="5">
        <f>SUMIF('库存（子SKU）'!$C:$C,$A13,'库存（子SKU）'!D:D)</f>
        <v>2</v>
      </c>
      <c r="C13" s="5">
        <f>SUMIF('库存（子SKU）'!$C:$C,$A13,'库存（子SKU）'!E:E)</f>
        <v>0</v>
      </c>
      <c r="D13" s="5">
        <f>SUMIF('库存（子SKU）'!$C:$C,$A13,'库存（子SKU）'!F:F)</f>
        <v>0</v>
      </c>
      <c r="E13" s="5">
        <f>SUMIF('库存（子SKU）'!$C:$C,$A13,'库存（子SKU）'!G:G)</f>
        <v>2</v>
      </c>
      <c r="F13" s="6">
        <v>8.99</v>
      </c>
      <c r="G13">
        <f>SUMIF('库存（子SKU）'!$C:$C,$A13,'库存（子SKU）'!I:I)</f>
        <v>77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1</v>
      </c>
      <c r="K13">
        <f t="shared" si="0"/>
        <v>78</v>
      </c>
      <c r="L13">
        <f>SUMIF('库存（子SKU）'!$C:$C,$A13,'库存（子SKU）'!N:N)</f>
        <v>0</v>
      </c>
      <c r="M13">
        <f>SUMIF('库存（子SKU）'!$C:$C,$A13,'库存（子SKU）'!O:O)</f>
        <v>78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2" t="str">
        <f t="shared" si="15"/>
        <v/>
      </c>
      <c r="W13" s="22" t="str">
        <f t="shared" si="16"/>
        <v/>
      </c>
      <c r="X13" s="22" t="str">
        <f t="shared" si="17"/>
        <v/>
      </c>
      <c r="Y13" s="22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2">
        <f t="shared" si="2"/>
        <v>0</v>
      </c>
      <c r="AE13" s="22" t="str">
        <f t="shared" si="3"/>
        <v/>
      </c>
      <c r="AF13" s="22" t="str">
        <f t="shared" si="4"/>
        <v/>
      </c>
      <c r="AG13" s="22">
        <f t="shared" si="5"/>
        <v>0</v>
      </c>
      <c r="AH13">
        <f>SUMIF('库存（子SKU）'!$C:$C,$A13,'库存（子SKU）'!AJ:AJ)</f>
        <v>66</v>
      </c>
      <c r="AI13">
        <f>SUMIF('库存（子SKU）'!$C:$C,$A13,'库存（子SKU）'!AK:AK)</f>
        <v>57</v>
      </c>
      <c r="AJ13">
        <f>SUMIF('库存（子SKU）'!$C:$C,$A13,'库存（子SKU）'!AL:AL)</f>
        <v>77</v>
      </c>
      <c r="AK13">
        <f>SUMIF('库存（子SKU）'!$C:$C,$A13,'库存（子SKU）'!AM:AM)</f>
        <v>44</v>
      </c>
      <c r="AL13" s="22">
        <f t="shared" si="6"/>
        <v>0.0303030303030303</v>
      </c>
      <c r="AM13" s="22">
        <f t="shared" si="7"/>
        <v>0</v>
      </c>
      <c r="AN13" s="22">
        <f t="shared" si="8"/>
        <v>0</v>
      </c>
      <c r="AO13" s="22">
        <f t="shared" si="9"/>
        <v>0.0454545454545455</v>
      </c>
      <c r="AP13" s="7">
        <f t="shared" si="10"/>
        <v>0.285714285714286</v>
      </c>
      <c r="AQ13" s="7">
        <f t="shared" si="11"/>
        <v>17.1428571428571</v>
      </c>
      <c r="AR13" s="7">
        <f t="shared" si="12"/>
        <v>60.8571428571429</v>
      </c>
      <c r="AS13">
        <f t="shared" si="13"/>
        <v>273</v>
      </c>
      <c r="AT13" s="2">
        <f>IFERROR(时间!$B$4+AS13,"上周无销量")</f>
        <v>43612</v>
      </c>
    </row>
    <row r="14" spans="1:46">
      <c r="A14" t="s">
        <v>128</v>
      </c>
      <c r="B14" s="5">
        <f>SUMIF('库存（子SKU）'!$C:$C,$A14,'库存（子SKU）'!D:D)</f>
        <v>0</v>
      </c>
      <c r="C14" s="5">
        <f>SUMIF('库存（子SKU）'!$C:$C,$A14,'库存（子SKU）'!E:E)</f>
        <v>0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 t="s">
        <v>53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2" t="str">
        <f t="shared" si="15"/>
        <v/>
      </c>
      <c r="W14" s="22" t="str">
        <f t="shared" si="16"/>
        <v/>
      </c>
      <c r="X14" s="22" t="str">
        <f t="shared" si="17"/>
        <v/>
      </c>
      <c r="Y14" s="22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2" t="str">
        <f t="shared" si="2"/>
        <v/>
      </c>
      <c r="AE14" s="22" t="str">
        <f t="shared" si="3"/>
        <v/>
      </c>
      <c r="AF14" s="22" t="str">
        <f t="shared" si="4"/>
        <v/>
      </c>
      <c r="AG14" s="22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2" t="str">
        <f t="shared" si="6"/>
        <v/>
      </c>
      <c r="AM14" s="22" t="str">
        <f t="shared" si="7"/>
        <v/>
      </c>
      <c r="AN14" s="22" t="str">
        <f t="shared" si="8"/>
        <v/>
      </c>
      <c r="AO14" s="22" t="str">
        <f t="shared" si="9"/>
        <v/>
      </c>
      <c r="AP14" s="7">
        <f t="shared" si="10"/>
        <v>0</v>
      </c>
      <c r="AQ14" s="7">
        <f t="shared" si="11"/>
        <v>0</v>
      </c>
      <c r="AR14" s="7">
        <f t="shared" si="12"/>
        <v>0</v>
      </c>
      <c r="AS14" t="str">
        <f t="shared" si="13"/>
        <v>库存为0</v>
      </c>
      <c r="AT14" s="2" t="str">
        <f>IFERROR(时间!$B$4+AS14,"上周无销量")</f>
        <v>上周无销量</v>
      </c>
    </row>
    <row r="15" spans="1:46">
      <c r="A15" t="s">
        <v>133</v>
      </c>
      <c r="B15" s="5">
        <f>SUMIF('库存（子SKU）'!$C:$C,$A15,'库存（子SKU）'!D:D)</f>
        <v>0</v>
      </c>
      <c r="C15" s="5">
        <f>SUMIF('库存（子SKU）'!$C:$C,$A15,'库存（子SKU）'!E:E)</f>
        <v>0</v>
      </c>
      <c r="D15" s="5">
        <f>SUMIF('库存（子SKU）'!$C:$C,$A15,'库存（子SKU）'!F:F)</f>
        <v>0</v>
      </c>
      <c r="E15" s="5">
        <f>SUMIF('库存（子SKU）'!$C:$C,$A15,'库存（子SKU）'!G:G)</f>
        <v>0</v>
      </c>
      <c r="F15" s="6" t="s">
        <v>53</v>
      </c>
      <c r="G15">
        <f>SUMIF('库存（子SKU）'!$C:$C,$A15,'库存（子SKU）'!I:I)</f>
        <v>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</v>
      </c>
      <c r="L15">
        <f>SUMIF('库存（子SKU）'!$C:$C,$A15,'库存（子SKU）'!N:N)</f>
        <v>0</v>
      </c>
      <c r="M15">
        <f>SUMIF('库存（子SKU）'!$C:$C,$A15,'库存（子SKU）'!O:O)</f>
        <v>2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2" t="str">
        <f t="shared" si="15"/>
        <v/>
      </c>
      <c r="W15" s="22" t="str">
        <f t="shared" si="16"/>
        <v/>
      </c>
      <c r="X15" s="22" t="str">
        <f t="shared" si="17"/>
        <v/>
      </c>
      <c r="Y15" s="22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2" t="str">
        <f t="shared" si="2"/>
        <v/>
      </c>
      <c r="AE15" s="22" t="str">
        <f t="shared" si="3"/>
        <v/>
      </c>
      <c r="AF15" s="22" t="str">
        <f t="shared" si="4"/>
        <v/>
      </c>
      <c r="AG15" s="22" t="str">
        <f t="shared" si="5"/>
        <v/>
      </c>
      <c r="AH15">
        <f>SUMIF('库存（子SKU）'!$C:$C,$A15,'库存（子SKU）'!AJ:AJ)</f>
        <v>3</v>
      </c>
      <c r="AI15">
        <f>SUMIF('库存（子SKU）'!$C:$C,$A15,'库存（子SKU）'!AK:AK)</f>
        <v>4</v>
      </c>
      <c r="AJ15">
        <f>SUMIF('库存（子SKU）'!$C:$C,$A15,'库存（子SKU）'!AL:AL)</f>
        <v>10</v>
      </c>
      <c r="AK15">
        <f>SUMIF('库存（子SKU）'!$C:$C,$A15,'库存（子SKU）'!AM:AM)</f>
        <v>1</v>
      </c>
      <c r="AL15" s="22">
        <f t="shared" si="6"/>
        <v>0</v>
      </c>
      <c r="AM15" s="22">
        <f t="shared" si="7"/>
        <v>0</v>
      </c>
      <c r="AN15" s="22">
        <f t="shared" si="8"/>
        <v>0</v>
      </c>
      <c r="AO15" s="22">
        <f t="shared" si="9"/>
        <v>0</v>
      </c>
      <c r="AP15" s="7">
        <f t="shared" si="10"/>
        <v>0</v>
      </c>
      <c r="AQ15" s="7">
        <f t="shared" si="11"/>
        <v>0</v>
      </c>
      <c r="AR15" s="7">
        <f t="shared" si="12"/>
        <v>2</v>
      </c>
      <c r="AS15" t="str">
        <f t="shared" si="13"/>
        <v>库存为2</v>
      </c>
      <c r="AT15" s="2" t="str">
        <f>IFERROR(时间!$B$4+AS15,"上周无销量")</f>
        <v>上周无销量</v>
      </c>
    </row>
    <row r="16" spans="1:46">
      <c r="A16" t="s">
        <v>142</v>
      </c>
      <c r="B16" s="5">
        <f>SUMIF('库存（子SKU）'!$C:$C,$A16,'库存（子SKU）'!D:D)</f>
        <v>0</v>
      </c>
      <c r="C16" s="5">
        <f>SUMIF('库存（子SKU）'!$C:$C,$A16,'库存（子SKU）'!E:E)</f>
        <v>0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 t="s">
        <v>53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2" t="str">
        <f t="shared" si="15"/>
        <v/>
      </c>
      <c r="W16" s="22" t="str">
        <f t="shared" si="16"/>
        <v/>
      </c>
      <c r="X16" s="22" t="str">
        <f t="shared" si="17"/>
        <v/>
      </c>
      <c r="Y16" s="22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2" t="str">
        <f t="shared" si="2"/>
        <v/>
      </c>
      <c r="AE16" s="22" t="str">
        <f t="shared" si="3"/>
        <v/>
      </c>
      <c r="AF16" s="22" t="str">
        <f t="shared" si="4"/>
        <v/>
      </c>
      <c r="AG16" s="22" t="str">
        <f t="shared" si="5"/>
        <v/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2" t="str">
        <f t="shared" si="6"/>
        <v/>
      </c>
      <c r="AM16" s="22" t="str">
        <f t="shared" si="7"/>
        <v/>
      </c>
      <c r="AN16" s="22" t="str">
        <f t="shared" si="8"/>
        <v/>
      </c>
      <c r="AO16" s="22" t="str">
        <f t="shared" si="9"/>
        <v/>
      </c>
      <c r="AP16" s="7">
        <f t="shared" si="10"/>
        <v>0</v>
      </c>
      <c r="AQ16" s="7">
        <f t="shared" si="11"/>
        <v>0</v>
      </c>
      <c r="AR16" s="7">
        <f t="shared" si="12"/>
        <v>0</v>
      </c>
      <c r="AS16" t="str">
        <f t="shared" si="13"/>
        <v>库存为0</v>
      </c>
      <c r="AT16" s="2" t="str">
        <f>IFERROR(时间!$B$4+AS16,"上周无销量")</f>
        <v>上周无销量</v>
      </c>
    </row>
    <row r="17" spans="1:46">
      <c r="A17" t="s">
        <v>153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53</v>
      </c>
      <c r="G17">
        <f>SUMIF('库存（子SKU）'!$C:$C,$A17,'库存（子SKU）'!I:I)</f>
        <v>0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0</v>
      </c>
      <c r="L17">
        <f>SUMIF('库存（子SKU）'!$C:$C,$A17,'库存（子SKU）'!N:N)</f>
        <v>0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2" t="str">
        <f t="shared" si="15"/>
        <v/>
      </c>
      <c r="W17" s="22" t="str">
        <f t="shared" si="16"/>
        <v/>
      </c>
      <c r="X17" s="22" t="str">
        <f t="shared" si="17"/>
        <v/>
      </c>
      <c r="Y17" s="22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2" t="str">
        <f t="shared" si="2"/>
        <v/>
      </c>
      <c r="AE17" s="22" t="str">
        <f t="shared" si="3"/>
        <v/>
      </c>
      <c r="AF17" s="22" t="str">
        <f t="shared" si="4"/>
        <v/>
      </c>
      <c r="AG17" s="22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2" t="str">
        <f t="shared" si="6"/>
        <v/>
      </c>
      <c r="AM17" s="22" t="str">
        <f t="shared" si="7"/>
        <v/>
      </c>
      <c r="AN17" s="22" t="str">
        <f t="shared" si="8"/>
        <v/>
      </c>
      <c r="AO17" s="22" t="str">
        <f t="shared" si="9"/>
        <v/>
      </c>
      <c r="AP17" s="7">
        <f t="shared" si="10"/>
        <v>0</v>
      </c>
      <c r="AQ17" s="7">
        <f t="shared" si="11"/>
        <v>0</v>
      </c>
      <c r="AR17" s="7">
        <f t="shared" si="12"/>
        <v>0</v>
      </c>
      <c r="AS17" t="str">
        <f t="shared" si="13"/>
        <v>库存为0</v>
      </c>
      <c r="AT17" s="2" t="str">
        <f>IFERROR(时间!$B$4+AS17,"上周无销量")</f>
        <v>上周无销量</v>
      </c>
    </row>
    <row r="18" spans="1:46">
      <c r="A18" t="s">
        <v>156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53</v>
      </c>
      <c r="G18">
        <f>SUMIF('库存（子SKU）'!$C:$C,$A18,'库存（子SKU）'!I:I)</f>
        <v>0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0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2" t="str">
        <f t="shared" si="15"/>
        <v/>
      </c>
      <c r="W18" s="22" t="str">
        <f t="shared" si="16"/>
        <v/>
      </c>
      <c r="X18" s="22" t="str">
        <f t="shared" si="17"/>
        <v/>
      </c>
      <c r="Y18" s="22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2" t="str">
        <f t="shared" si="2"/>
        <v/>
      </c>
      <c r="AE18" s="22" t="str">
        <f t="shared" si="3"/>
        <v/>
      </c>
      <c r="AF18" s="22" t="str">
        <f t="shared" si="4"/>
        <v/>
      </c>
      <c r="AG18" s="22" t="str">
        <f t="shared" si="5"/>
        <v/>
      </c>
      <c r="AH18">
        <f>SUMIF('库存（子SKU）'!$C:$C,$A18,'库存（子SKU）'!AJ:AJ)</f>
        <v>0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2" t="str">
        <f t="shared" si="6"/>
        <v/>
      </c>
      <c r="AM18" s="22" t="str">
        <f t="shared" si="7"/>
        <v/>
      </c>
      <c r="AN18" s="22" t="str">
        <f t="shared" si="8"/>
        <v/>
      </c>
      <c r="AO18" s="22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0</v>
      </c>
      <c r="AS18" t="str">
        <f t="shared" si="13"/>
        <v>库存为0</v>
      </c>
      <c r="AT18" s="2" t="str">
        <f>IFERROR(时间!$B$4+AS18,"上周无销量")</f>
        <v>上周无销量</v>
      </c>
    </row>
    <row r="19" spans="1:46">
      <c r="A19" t="s">
        <v>161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53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2" t="str">
        <f t="shared" si="15"/>
        <v/>
      </c>
      <c r="W19" s="22" t="str">
        <f t="shared" si="16"/>
        <v/>
      </c>
      <c r="X19" s="22" t="str">
        <f t="shared" si="17"/>
        <v/>
      </c>
      <c r="Y19" s="22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2" t="str">
        <f t="shared" si="2"/>
        <v/>
      </c>
      <c r="AE19" s="22" t="str">
        <f t="shared" si="3"/>
        <v/>
      </c>
      <c r="AF19" s="22" t="str">
        <f t="shared" si="4"/>
        <v/>
      </c>
      <c r="AG19" s="22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2" t="str">
        <f t="shared" si="6"/>
        <v/>
      </c>
      <c r="AM19" s="22" t="str">
        <f t="shared" si="7"/>
        <v/>
      </c>
      <c r="AN19" s="22" t="str">
        <f t="shared" si="8"/>
        <v/>
      </c>
      <c r="AO19" s="22" t="str">
        <f t="shared" si="9"/>
        <v/>
      </c>
      <c r="AP19" s="7">
        <f t="shared" si="10"/>
        <v>0</v>
      </c>
      <c r="AQ19" s="7">
        <f t="shared" si="11"/>
        <v>0</v>
      </c>
      <c r="AR19" s="7">
        <f t="shared" si="12"/>
        <v>0</v>
      </c>
      <c r="AS19" t="str">
        <f t="shared" si="13"/>
        <v>库存为0</v>
      </c>
      <c r="AT19" s="2" t="str">
        <f>IFERROR(时间!$B$4+AS19,"上周无销量")</f>
        <v>上周无销量</v>
      </c>
    </row>
    <row r="20" spans="1:46">
      <c r="A20" t="s">
        <v>171</v>
      </c>
      <c r="B20" s="5">
        <f>SUMIF('库存（子SKU）'!$C:$C,$A20,'库存（子SKU）'!D:D)</f>
        <v>0</v>
      </c>
      <c r="C20" s="5">
        <f>SUMIF('库存（子SKU）'!$C:$C,$A20,'库存（子SKU）'!E:E)</f>
        <v>0</v>
      </c>
      <c r="D20" s="5">
        <f>SUMIF('库存（子SKU）'!$C:$C,$A20,'库存（子SKU）'!F:F)</f>
        <v>0</v>
      </c>
      <c r="E20" s="5">
        <f>SUMIF('库存（子SKU）'!$C:$C,$A20,'库存（子SKU）'!G:G)</f>
        <v>0</v>
      </c>
      <c r="F20" s="6" t="s">
        <v>53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2" t="str">
        <f t="shared" si="15"/>
        <v/>
      </c>
      <c r="W20" s="22" t="str">
        <f t="shared" si="16"/>
        <v/>
      </c>
      <c r="X20" s="22" t="str">
        <f t="shared" si="17"/>
        <v/>
      </c>
      <c r="Y20" s="22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2" t="str">
        <f t="shared" si="2"/>
        <v/>
      </c>
      <c r="AE20" s="22" t="str">
        <f t="shared" si="3"/>
        <v/>
      </c>
      <c r="AF20" s="22" t="str">
        <f t="shared" si="4"/>
        <v/>
      </c>
      <c r="AG20" s="22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1</v>
      </c>
      <c r="AJ20">
        <f>SUMIF('库存（子SKU）'!$C:$C,$A20,'库存（子SKU）'!AL:AL)</f>
        <v>19</v>
      </c>
      <c r="AK20">
        <f>SUMIF('库存（子SKU）'!$C:$C,$A20,'库存（子SKU）'!AM:AM)</f>
        <v>1</v>
      </c>
      <c r="AL20" s="22" t="str">
        <f t="shared" si="6"/>
        <v/>
      </c>
      <c r="AM20" s="22">
        <f t="shared" si="7"/>
        <v>0</v>
      </c>
      <c r="AN20" s="22">
        <f t="shared" si="8"/>
        <v>0</v>
      </c>
      <c r="AO20" s="22">
        <f t="shared" si="9"/>
        <v>0</v>
      </c>
      <c r="AP20" s="7">
        <f t="shared" si="10"/>
        <v>0</v>
      </c>
      <c r="AQ20" s="7">
        <f t="shared" si="11"/>
        <v>0</v>
      </c>
      <c r="AR20" s="7">
        <f t="shared" si="12"/>
        <v>0</v>
      </c>
      <c r="AS20" t="str">
        <f t="shared" si="13"/>
        <v>库存为0</v>
      </c>
      <c r="AT20" s="2" t="str">
        <f>IFERROR(时间!$B$4+AS20,"上周无销量")</f>
        <v>上周无销量</v>
      </c>
    </row>
    <row r="21" spans="1:46">
      <c r="A21" t="s">
        <v>176</v>
      </c>
      <c r="B21" s="5">
        <f>SUMIF('库存（子SKU）'!$C:$C,$A21,'库存（子SKU）'!D:D)</f>
        <v>0</v>
      </c>
      <c r="C21" s="5">
        <f>SUMIF('库存（子SKU）'!$C:$C,$A21,'库存（子SKU）'!E:E)</f>
        <v>0</v>
      </c>
      <c r="D21" s="5">
        <f>SUMIF('库存（子SKU）'!$C:$C,$A21,'库存（子SKU）'!F:F)</f>
        <v>0</v>
      </c>
      <c r="E21" s="5">
        <f>SUMIF('库存（子SKU）'!$C:$C,$A21,'库存（子SKU）'!G:G)</f>
        <v>0</v>
      </c>
      <c r="F21" s="6" t="s">
        <v>53</v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2" t="str">
        <f t="shared" si="15"/>
        <v/>
      </c>
      <c r="W21" s="22" t="str">
        <f t="shared" si="16"/>
        <v/>
      </c>
      <c r="X21" s="22" t="str">
        <f t="shared" si="17"/>
        <v/>
      </c>
      <c r="Y21" s="22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2" t="str">
        <f t="shared" si="2"/>
        <v/>
      </c>
      <c r="AE21" s="22" t="str">
        <f t="shared" si="3"/>
        <v/>
      </c>
      <c r="AF21" s="22" t="str">
        <f t="shared" si="4"/>
        <v/>
      </c>
      <c r="AG21" s="22" t="str">
        <f t="shared" si="5"/>
        <v/>
      </c>
      <c r="AH21">
        <f>SUMIF('库存（子SKU）'!$C:$C,$A21,'库存（子SKU）'!AJ:AJ)</f>
        <v>0</v>
      </c>
      <c r="AI21">
        <f>SUMIF('库存（子SKU）'!$C:$C,$A21,'库存（子SKU）'!AK:AK)</f>
        <v>0</v>
      </c>
      <c r="AJ21">
        <f>SUMIF('库存（子SKU）'!$C:$C,$A21,'库存（子SKU）'!AL:AL)</f>
        <v>0</v>
      </c>
      <c r="AK21">
        <f>SUMIF('库存（子SKU）'!$C:$C,$A21,'库存（子SKU）'!AM:AM)</f>
        <v>0</v>
      </c>
      <c r="AL21" s="22" t="str">
        <f t="shared" si="6"/>
        <v/>
      </c>
      <c r="AM21" s="22" t="str">
        <f t="shared" si="7"/>
        <v/>
      </c>
      <c r="AN21" s="22" t="str">
        <f t="shared" si="8"/>
        <v/>
      </c>
      <c r="AO21" s="22" t="str">
        <f t="shared" si="9"/>
        <v/>
      </c>
      <c r="AP21" s="7">
        <f t="shared" si="10"/>
        <v>0</v>
      </c>
      <c r="AQ21" s="7">
        <f t="shared" si="11"/>
        <v>0</v>
      </c>
      <c r="AR21" s="7">
        <f t="shared" si="12"/>
        <v>0</v>
      </c>
      <c r="AS21" t="str">
        <f t="shared" si="13"/>
        <v>库存为0</v>
      </c>
      <c r="AT21" s="2" t="str">
        <f>IFERROR(时间!$B$4+AS21,"上周无销量")</f>
        <v>上周无销量</v>
      </c>
    </row>
    <row r="22" spans="1:46">
      <c r="A22" t="s">
        <v>183</v>
      </c>
      <c r="B22" s="5">
        <f>SUMIF('库存（子SKU）'!$C:$C,$A22,'库存（子SKU）'!D:D)</f>
        <v>0</v>
      </c>
      <c r="C22" s="5">
        <f>SUMIF('库存（子SKU）'!$C:$C,$A22,'库存（子SKU）'!E:E)</f>
        <v>0</v>
      </c>
      <c r="D22" s="5">
        <f>SUMIF('库存（子SKU）'!$C:$C,$A22,'库存（子SKU）'!F:F)</f>
        <v>0</v>
      </c>
      <c r="E22" s="5">
        <f>SUMIF('库存（子SKU）'!$C:$C,$A22,'库存（子SKU）'!G:G)</f>
        <v>0</v>
      </c>
      <c r="F22" s="6" t="s">
        <v>53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2" t="str">
        <f t="shared" si="15"/>
        <v/>
      </c>
      <c r="W22" s="22" t="str">
        <f t="shared" si="16"/>
        <v/>
      </c>
      <c r="X22" s="22" t="str">
        <f t="shared" si="17"/>
        <v/>
      </c>
      <c r="Y22" s="22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2" t="str">
        <f t="shared" si="2"/>
        <v/>
      </c>
      <c r="AE22" s="22" t="str">
        <f t="shared" si="3"/>
        <v/>
      </c>
      <c r="AF22" s="22" t="str">
        <f t="shared" si="4"/>
        <v/>
      </c>
      <c r="AG22" s="22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2" t="str">
        <f t="shared" si="6"/>
        <v/>
      </c>
      <c r="AM22" s="22" t="str">
        <f t="shared" si="7"/>
        <v/>
      </c>
      <c r="AN22" s="22" t="str">
        <f t="shared" si="8"/>
        <v/>
      </c>
      <c r="AO22" s="22" t="str">
        <f t="shared" si="9"/>
        <v/>
      </c>
      <c r="AP22" s="7">
        <f t="shared" si="10"/>
        <v>0</v>
      </c>
      <c r="AQ22" s="7">
        <f t="shared" si="11"/>
        <v>0</v>
      </c>
      <c r="AR22" s="7">
        <f t="shared" si="12"/>
        <v>0</v>
      </c>
      <c r="AS22" t="str">
        <f t="shared" si="13"/>
        <v>库存为0</v>
      </c>
      <c r="AT22" s="2" t="str">
        <f>IFERROR(时间!$B$4+AS22,"上周无销量")</f>
        <v>上周无销量</v>
      </c>
    </row>
    <row r="23" spans="1:46">
      <c r="A23" t="s">
        <v>186</v>
      </c>
      <c r="B23" s="5">
        <f>SUMIF('库存（子SKU）'!$C:$C,$A23,'库存（子SKU）'!D:D)</f>
        <v>0</v>
      </c>
      <c r="C23" s="5">
        <f>SUMIF('库存（子SKU）'!$C:$C,$A23,'库存（子SKU）'!E:E)</f>
        <v>1</v>
      </c>
      <c r="D23" s="5">
        <f>SUMIF('库存（子SKU）'!$C:$C,$A23,'库存（子SKU）'!F:F)</f>
        <v>4</v>
      </c>
      <c r="E23" s="5">
        <f>SUMIF('库存（子SKU）'!$C:$C,$A23,'库存（子SKU）'!G:G)</f>
        <v>2</v>
      </c>
      <c r="F23" s="6">
        <v>13.2757142857143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2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2" t="str">
        <f t="shared" si="15"/>
        <v/>
      </c>
      <c r="W23" s="22" t="str">
        <f t="shared" si="16"/>
        <v/>
      </c>
      <c r="X23" s="22" t="str">
        <f t="shared" si="17"/>
        <v/>
      </c>
      <c r="Y23" s="22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2" t="str">
        <f t="shared" si="2"/>
        <v/>
      </c>
      <c r="AE23" s="22">
        <f t="shared" si="3"/>
        <v>0</v>
      </c>
      <c r="AF23" s="22">
        <f t="shared" si="4"/>
        <v>0</v>
      </c>
      <c r="AG23" s="22">
        <f t="shared" si="5"/>
        <v>0</v>
      </c>
      <c r="AH23">
        <f>SUMIF('库存（子SKU）'!$C:$C,$A23,'库存（子SKU）'!AJ:AJ)</f>
        <v>22</v>
      </c>
      <c r="AI23">
        <f>SUMIF('库存（子SKU）'!$C:$C,$A23,'库存（子SKU）'!AK:AK)</f>
        <v>21</v>
      </c>
      <c r="AJ23">
        <f>SUMIF('库存（子SKU）'!$C:$C,$A23,'库存（子SKU）'!AL:AL)</f>
        <v>92</v>
      </c>
      <c r="AK23">
        <f>SUMIF('库存（子SKU）'!$C:$C,$A23,'库存（子SKU）'!AM:AM)</f>
        <v>83</v>
      </c>
      <c r="AL23" s="22">
        <f t="shared" si="6"/>
        <v>0</v>
      </c>
      <c r="AM23" s="22">
        <f t="shared" si="7"/>
        <v>0.0476190476190476</v>
      </c>
      <c r="AN23" s="22">
        <f t="shared" si="8"/>
        <v>0.0434782608695652</v>
      </c>
      <c r="AO23" s="22">
        <f t="shared" si="9"/>
        <v>0.0240963855421687</v>
      </c>
      <c r="AP23" s="7">
        <f t="shared" si="10"/>
        <v>0</v>
      </c>
      <c r="AQ23" s="7">
        <f t="shared" si="11"/>
        <v>0</v>
      </c>
      <c r="AR23" s="7">
        <f t="shared" si="12"/>
        <v>1</v>
      </c>
      <c r="AS23" t="str">
        <f t="shared" si="13"/>
        <v>库存为1</v>
      </c>
      <c r="AT23" s="2" t="str">
        <f>IFERROR(时间!$B$4+AS23,"上周无销量")</f>
        <v>上周无销量</v>
      </c>
    </row>
    <row r="24" spans="1:46">
      <c r="A24" t="s">
        <v>211</v>
      </c>
      <c r="B24" s="5">
        <f>SUMIF('库存（子SKU）'!$C:$C,$A24,'库存（子SKU）'!D:D)</f>
        <v>0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 t="s">
        <v>53</v>
      </c>
      <c r="G24">
        <f>SUMIF('库存（子SKU）'!$C:$C,$A24,'库存（子SKU）'!I:I)</f>
        <v>6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6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11742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39</v>
      </c>
      <c r="V24" s="22" t="str">
        <f t="shared" si="15"/>
        <v/>
      </c>
      <c r="W24" s="22" t="str">
        <f t="shared" si="16"/>
        <v/>
      </c>
      <c r="X24" s="22" t="str">
        <f t="shared" si="17"/>
        <v/>
      </c>
      <c r="Y24" s="22">
        <f t="shared" si="18"/>
        <v>0.00332141032192131</v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11.84</v>
      </c>
      <c r="AD24" s="22" t="str">
        <f t="shared" si="2"/>
        <v/>
      </c>
      <c r="AE24" s="22" t="str">
        <f t="shared" si="3"/>
        <v/>
      </c>
      <c r="AF24" s="22" t="str">
        <f t="shared" si="4"/>
        <v/>
      </c>
      <c r="AG24" s="22" t="str">
        <f t="shared" si="5"/>
        <v>无销量广告费为11.84</v>
      </c>
      <c r="AH24">
        <f>SUMIF('库存（子SKU）'!$C:$C,$A24,'库存（子SKU）'!AJ:AJ)</f>
        <v>32</v>
      </c>
      <c r="AI24">
        <f>SUMIF('库存（子SKU）'!$C:$C,$A24,'库存（子SKU）'!AK:AK)</f>
        <v>11</v>
      </c>
      <c r="AJ24">
        <f>SUMIF('库存（子SKU）'!$C:$C,$A24,'库存（子SKU）'!AL:AL)</f>
        <v>24</v>
      </c>
      <c r="AK24">
        <f>SUMIF('库存（子SKU）'!$C:$C,$A24,'库存（子SKU）'!AM:AM)</f>
        <v>15</v>
      </c>
      <c r="AL24" s="22">
        <f t="shared" si="6"/>
        <v>0</v>
      </c>
      <c r="AM24" s="22">
        <f t="shared" si="7"/>
        <v>0</v>
      </c>
      <c r="AN24" s="22">
        <f t="shared" si="8"/>
        <v>0</v>
      </c>
      <c r="AO24" s="22">
        <f t="shared" si="9"/>
        <v>0</v>
      </c>
      <c r="AP24" s="7">
        <f t="shared" si="10"/>
        <v>0</v>
      </c>
      <c r="AQ24" s="7">
        <f t="shared" si="11"/>
        <v>0</v>
      </c>
      <c r="AR24" s="7">
        <f t="shared" si="12"/>
        <v>6</v>
      </c>
      <c r="AS24" t="str">
        <f t="shared" si="13"/>
        <v>库存为6</v>
      </c>
      <c r="AT24" s="2" t="str">
        <f>IFERROR(时间!$B$4+AS24,"上周无销量")</f>
        <v>上周无销量</v>
      </c>
    </row>
    <row r="25" spans="1:46">
      <c r="A25" t="s">
        <v>219</v>
      </c>
      <c r="B25" s="5">
        <f>SUMIF('库存（子SKU）'!$C:$C,$A25,'库存（子SKU）'!D:D)</f>
        <v>0</v>
      </c>
      <c r="C25" s="5">
        <f>SUMIF('库存（子SKU）'!$C:$C,$A25,'库存（子SKU）'!E:E)</f>
        <v>1</v>
      </c>
      <c r="D25" s="5">
        <f>SUMIF('库存（子SKU）'!$C:$C,$A25,'库存（子SKU）'!F:F)</f>
        <v>0</v>
      </c>
      <c r="E25" s="5">
        <f>SUMIF('库存（子SKU）'!$C:$C,$A25,'库存（子SKU）'!G:G)</f>
        <v>1</v>
      </c>
      <c r="F25" s="6">
        <v>8.99</v>
      </c>
      <c r="G25">
        <f>SUMIF('库存（子SKU）'!$C:$C,$A25,'库存（子SKU）'!I:I)</f>
        <v>7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7</v>
      </c>
      <c r="L25">
        <f>SUMIF('库存（子SKU）'!$C:$C,$A25,'库存（子SKU）'!N:N)</f>
        <v>0</v>
      </c>
      <c r="M25">
        <f>SUMIF('库存（子SKU）'!$C:$C,$A25,'库存（子SKU）'!O:O)</f>
        <v>7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2" t="str">
        <f t="shared" si="15"/>
        <v/>
      </c>
      <c r="W25" s="22" t="str">
        <f t="shared" si="16"/>
        <v/>
      </c>
      <c r="X25" s="22" t="str">
        <f t="shared" si="17"/>
        <v/>
      </c>
      <c r="Y25" s="22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2" t="str">
        <f t="shared" si="2"/>
        <v/>
      </c>
      <c r="AE25" s="22">
        <f t="shared" si="3"/>
        <v>0</v>
      </c>
      <c r="AF25" s="22" t="str">
        <f t="shared" si="4"/>
        <v/>
      </c>
      <c r="AG25" s="22">
        <f t="shared" si="5"/>
        <v>0</v>
      </c>
      <c r="AH25">
        <f>SUMIF('库存（子SKU）'!$C:$C,$A25,'库存（子SKU）'!AJ:AJ)</f>
        <v>14</v>
      </c>
      <c r="AI25">
        <f>SUMIF('库存（子SKU）'!$C:$C,$A25,'库存（子SKU）'!AK:AK)</f>
        <v>12</v>
      </c>
      <c r="AJ25">
        <f>SUMIF('库存（子SKU）'!$C:$C,$A25,'库存（子SKU）'!AL:AL)</f>
        <v>22</v>
      </c>
      <c r="AK25">
        <f>SUMIF('库存（子SKU）'!$C:$C,$A25,'库存（子SKU）'!AM:AM)</f>
        <v>4</v>
      </c>
      <c r="AL25" s="22">
        <f t="shared" si="6"/>
        <v>0</v>
      </c>
      <c r="AM25" s="22">
        <f t="shared" si="7"/>
        <v>0.0833333333333333</v>
      </c>
      <c r="AN25" s="22">
        <f t="shared" si="8"/>
        <v>0</v>
      </c>
      <c r="AO25" s="22">
        <f t="shared" si="9"/>
        <v>0.25</v>
      </c>
      <c r="AP25" s="7">
        <f t="shared" si="10"/>
        <v>0</v>
      </c>
      <c r="AQ25" s="7">
        <f t="shared" si="11"/>
        <v>0</v>
      </c>
      <c r="AR25" s="7">
        <f t="shared" si="12"/>
        <v>7</v>
      </c>
      <c r="AS25" t="str">
        <f t="shared" si="13"/>
        <v>库存为7</v>
      </c>
      <c r="AT25" s="2" t="str">
        <f>IFERROR(时间!$B$4+AS25,"上周无销量")</f>
        <v>上周无销量</v>
      </c>
    </row>
    <row r="26" spans="1:46">
      <c r="A26" t="s">
        <v>222</v>
      </c>
      <c r="B26" s="5">
        <f>SUMIF('库存（子SKU）'!$C:$C,$A26,'库存（子SKU）'!D:D)</f>
        <v>4</v>
      </c>
      <c r="C26" s="5">
        <f>SUMIF('库存（子SKU）'!$C:$C,$A26,'库存（子SKU）'!E:E)</f>
        <v>4</v>
      </c>
      <c r="D26" s="5">
        <f>SUMIF('库存（子SKU）'!$C:$C,$A26,'库存（子SKU）'!F:F)</f>
        <v>2</v>
      </c>
      <c r="E26" s="5">
        <f>SUMIF('库存（子SKU）'!$C:$C,$A26,'库存（子SKU）'!G:G)</f>
        <v>2</v>
      </c>
      <c r="F26" s="6">
        <v>12.3275</v>
      </c>
      <c r="G26">
        <f>SUMIF('库存（子SKU）'!$C:$C,$A26,'库存（子SKU）'!I:I)</f>
        <v>29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29</v>
      </c>
      <c r="L26">
        <f>SUMIF('库存（子SKU）'!$C:$C,$A26,'库存（子SKU）'!N:N)</f>
        <v>0</v>
      </c>
      <c r="M26">
        <f>SUMIF('库存（子SKU）'!$C:$C,$A26,'库存（子SKU）'!O:O)</f>
        <v>30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2" t="str">
        <f t="shared" si="15"/>
        <v/>
      </c>
      <c r="W26" s="22" t="str">
        <f t="shared" si="16"/>
        <v/>
      </c>
      <c r="X26" s="22" t="str">
        <f t="shared" si="17"/>
        <v/>
      </c>
      <c r="Y26" s="22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2">
        <f t="shared" si="2"/>
        <v>0</v>
      </c>
      <c r="AE26" s="22">
        <f t="shared" si="3"/>
        <v>0</v>
      </c>
      <c r="AF26" s="22">
        <f t="shared" si="4"/>
        <v>0</v>
      </c>
      <c r="AG26" s="22">
        <f t="shared" si="5"/>
        <v>0</v>
      </c>
      <c r="AH26">
        <f>SUMIF('库存（子SKU）'!$C:$C,$A26,'库存（子SKU）'!AJ:AJ)</f>
        <v>111</v>
      </c>
      <c r="AI26">
        <f>SUMIF('库存（子SKU）'!$C:$C,$A26,'库存（子SKU）'!AK:AK)</f>
        <v>108</v>
      </c>
      <c r="AJ26">
        <f>SUMIF('库存（子SKU）'!$C:$C,$A26,'库存（子SKU）'!AL:AL)</f>
        <v>57</v>
      </c>
      <c r="AK26">
        <f>SUMIF('库存（子SKU）'!$C:$C,$A26,'库存（子SKU）'!AM:AM)</f>
        <v>62</v>
      </c>
      <c r="AL26" s="22">
        <f t="shared" si="6"/>
        <v>0.036036036036036</v>
      </c>
      <c r="AM26" s="22">
        <f t="shared" si="7"/>
        <v>0.037037037037037</v>
      </c>
      <c r="AN26" s="22">
        <f t="shared" si="8"/>
        <v>0.0350877192982456</v>
      </c>
      <c r="AO26" s="22">
        <f t="shared" si="9"/>
        <v>0.032258064516129</v>
      </c>
      <c r="AP26" s="7">
        <f t="shared" si="10"/>
        <v>0.571428571428571</v>
      </c>
      <c r="AQ26" s="7">
        <f t="shared" si="11"/>
        <v>34.2857142857143</v>
      </c>
      <c r="AR26" s="7">
        <f t="shared" si="12"/>
        <v>-5.28571428571428</v>
      </c>
      <c r="AS26">
        <f t="shared" si="13"/>
        <v>50</v>
      </c>
      <c r="AT26" s="2">
        <f>IFERROR(时间!$B$4+AS26,"上周无销量")</f>
        <v>43389</v>
      </c>
    </row>
    <row r="27" spans="1:46">
      <c r="A27" t="s">
        <v>239</v>
      </c>
      <c r="B27" s="5">
        <f>SUMIF('库存（子SKU）'!$C:$C,$A27,'库存（子SKU）'!D:D)</f>
        <v>1</v>
      </c>
      <c r="C27" s="5">
        <f>SUMIF('库存（子SKU）'!$C:$C,$A27,'库存（子SKU）'!E:E)</f>
        <v>2</v>
      </c>
      <c r="D27" s="5">
        <f>SUMIF('库存（子SKU）'!$C:$C,$A27,'库存（子SKU）'!F:F)</f>
        <v>1</v>
      </c>
      <c r="E27" s="5">
        <f>SUMIF('库存（子SKU）'!$C:$C,$A27,'库存（子SKU）'!G:G)</f>
        <v>0</v>
      </c>
      <c r="F27" s="6">
        <v>12.9925</v>
      </c>
      <c r="G27">
        <f>SUMIF('库存（子SKU）'!$C:$C,$A27,'库存（子SKU）'!I:I)</f>
        <v>12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12</v>
      </c>
      <c r="L27">
        <f>SUMIF('库存（子SKU）'!$C:$C,$A27,'库存（子SKU）'!N:N)</f>
        <v>0</v>
      </c>
      <c r="M27">
        <f>SUMIF('库存（子SKU）'!$C:$C,$A27,'库存（子SKU）'!O:O)</f>
        <v>3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2" t="str">
        <f t="shared" si="15"/>
        <v/>
      </c>
      <c r="W27" s="22" t="str">
        <f t="shared" si="16"/>
        <v/>
      </c>
      <c r="X27" s="22" t="str">
        <f t="shared" si="17"/>
        <v/>
      </c>
      <c r="Y27" s="22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2">
        <f t="shared" si="2"/>
        <v>0</v>
      </c>
      <c r="AE27" s="22">
        <f t="shared" si="3"/>
        <v>0</v>
      </c>
      <c r="AF27" s="22">
        <f t="shared" si="4"/>
        <v>0</v>
      </c>
      <c r="AG27" s="22" t="str">
        <f t="shared" si="5"/>
        <v/>
      </c>
      <c r="AH27">
        <f>SUMIF('库存（子SKU）'!$C:$C,$A27,'库存（子SKU）'!AJ:AJ)</f>
        <v>51</v>
      </c>
      <c r="AI27">
        <f>SUMIF('库存（子SKU）'!$C:$C,$A27,'库存（子SKU）'!AK:AK)</f>
        <v>26</v>
      </c>
      <c r="AJ27">
        <f>SUMIF('库存（子SKU）'!$C:$C,$A27,'库存（子SKU）'!AL:AL)</f>
        <v>33</v>
      </c>
      <c r="AK27">
        <f>SUMIF('库存（子SKU）'!$C:$C,$A27,'库存（子SKU）'!AM:AM)</f>
        <v>37</v>
      </c>
      <c r="AL27" s="22">
        <f t="shared" si="6"/>
        <v>0.0196078431372549</v>
      </c>
      <c r="AM27" s="22">
        <f t="shared" si="7"/>
        <v>0.0769230769230769</v>
      </c>
      <c r="AN27" s="22">
        <f t="shared" si="8"/>
        <v>0.0303030303030303</v>
      </c>
      <c r="AO27" s="22">
        <f t="shared" si="9"/>
        <v>0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3.42857142857143</v>
      </c>
      <c r="AS27">
        <f t="shared" si="13"/>
        <v>84</v>
      </c>
      <c r="AT27" s="2">
        <f>IFERROR(时间!$B$4+AS27,"上周无销量")</f>
        <v>43423</v>
      </c>
    </row>
    <row r="28" spans="1:46">
      <c r="A28" t="s">
        <v>248</v>
      </c>
      <c r="B28" s="5">
        <f>SUMIF('库存（子SKU）'!$C:$C,$A28,'库存（子SKU）'!D:D)</f>
        <v>1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1</v>
      </c>
      <c r="F28" s="6">
        <v>10</v>
      </c>
      <c r="G28">
        <f>SUMIF('库存（子SKU）'!$C:$C,$A28,'库存（子SKU）'!I:I)</f>
        <v>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</v>
      </c>
      <c r="L28">
        <f>SUMIF('库存（子SKU）'!$C:$C,$A28,'库存（子SKU）'!N:N)</f>
        <v>0</v>
      </c>
      <c r="M28">
        <f>SUMIF('库存（子SKU）'!$C:$C,$A28,'库存（子SKU）'!O:O)</f>
        <v>3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2" t="str">
        <f t="shared" si="15"/>
        <v/>
      </c>
      <c r="W28" s="22" t="str">
        <f t="shared" si="16"/>
        <v/>
      </c>
      <c r="X28" s="22" t="str">
        <f t="shared" si="17"/>
        <v/>
      </c>
      <c r="Y28" s="22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2">
        <f t="shared" si="2"/>
        <v>0</v>
      </c>
      <c r="AE28" s="22" t="str">
        <f t="shared" si="3"/>
        <v/>
      </c>
      <c r="AF28" s="22" t="str">
        <f t="shared" si="4"/>
        <v/>
      </c>
      <c r="AG28" s="22">
        <f t="shared" si="5"/>
        <v>0</v>
      </c>
      <c r="AH28">
        <f>SUMIF('库存（子SKU）'!$C:$C,$A28,'库存（子SKU）'!AJ:AJ)</f>
        <v>14</v>
      </c>
      <c r="AI28">
        <f>SUMIF('库存（子SKU）'!$C:$C,$A28,'库存（子SKU）'!AK:AK)</f>
        <v>9</v>
      </c>
      <c r="AJ28">
        <f>SUMIF('库存（子SKU）'!$C:$C,$A28,'库存（子SKU）'!AL:AL)</f>
        <v>15</v>
      </c>
      <c r="AK28">
        <f>SUMIF('库存（子SKU）'!$C:$C,$A28,'库存（子SKU）'!AM:AM)</f>
        <v>12</v>
      </c>
      <c r="AL28" s="22">
        <f t="shared" si="6"/>
        <v>0.0714285714285714</v>
      </c>
      <c r="AM28" s="22">
        <f t="shared" si="7"/>
        <v>0</v>
      </c>
      <c r="AN28" s="22">
        <f t="shared" si="8"/>
        <v>0</v>
      </c>
      <c r="AO28" s="22">
        <f t="shared" si="9"/>
        <v>0.0833333333333333</v>
      </c>
      <c r="AP28" s="7">
        <f t="shared" si="10"/>
        <v>0.142857142857143</v>
      </c>
      <c r="AQ28" s="7">
        <f t="shared" si="11"/>
        <v>8.57142857142857</v>
      </c>
      <c r="AR28" s="7">
        <f t="shared" si="12"/>
        <v>-5.57142857142857</v>
      </c>
      <c r="AS28">
        <f t="shared" si="13"/>
        <v>21</v>
      </c>
      <c r="AT28" s="2">
        <f>IFERROR(时间!$B$4+AS28,"上周无销量")</f>
        <v>43360</v>
      </c>
    </row>
    <row r="29" spans="1:46">
      <c r="A29" t="s">
        <v>253</v>
      </c>
      <c r="B29" s="5">
        <f>SUMIF('库存（子SKU）'!$C:$C,$A29,'库存（子SKU）'!D:D)</f>
        <v>2</v>
      </c>
      <c r="C29" s="5">
        <f>SUMIF('库存（子SKU）'!$C:$C,$A29,'库存（子SKU）'!E:E)</f>
        <v>2</v>
      </c>
      <c r="D29" s="5">
        <f>SUMIF('库存（子SKU）'!$C:$C,$A29,'库存（子SKU）'!F:F)</f>
        <v>3</v>
      </c>
      <c r="E29" s="5">
        <f>SUMIF('库存（子SKU）'!$C:$C,$A29,'库存（子SKU）'!G:G)</f>
        <v>2</v>
      </c>
      <c r="F29" s="6">
        <v>19.4444444444444</v>
      </c>
      <c r="G29">
        <f>SUMIF('库存（子SKU）'!$C:$C,$A29,'库存（子SKU）'!I:I)</f>
        <v>55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3</v>
      </c>
      <c r="K29">
        <f t="shared" si="0"/>
        <v>58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3075</v>
      </c>
      <c r="O29">
        <f>SUMIF('库存（子SKU）'!$C:$C,$A29,'库存（子SKU）'!Q:Q)</f>
        <v>7252</v>
      </c>
      <c r="P29">
        <f>SUMIF('库存（子SKU）'!$C:$C,$A29,'库存（子SKU）'!R:R)</f>
        <v>13593</v>
      </c>
      <c r="Q29">
        <f>SUMIF('库存（子SKU）'!$C:$C,$A29,'库存（子SKU）'!S:S)</f>
        <v>11136</v>
      </c>
      <c r="R29">
        <f>SUMIF('库存（子SKU）'!$C:$C,$A29,'库存（子SKU）'!T:T)</f>
        <v>8</v>
      </c>
      <c r="S29">
        <f>SUMIF('库存（子SKU）'!$C:$C,$A29,'库存（子SKU）'!U:U)</f>
        <v>16</v>
      </c>
      <c r="T29">
        <f>SUMIF('库存（子SKU）'!$C:$C,$A29,'库存（子SKU）'!V:V)</f>
        <v>44</v>
      </c>
      <c r="U29">
        <f>SUMIF('库存（子SKU）'!$C:$C,$A29,'库存（子SKU）'!W:W)</f>
        <v>22</v>
      </c>
      <c r="V29" s="22">
        <f t="shared" si="15"/>
        <v>0.00260162601626016</v>
      </c>
      <c r="W29" s="22">
        <f t="shared" si="16"/>
        <v>0.00220628792057364</v>
      </c>
      <c r="X29" s="22">
        <f t="shared" si="17"/>
        <v>0.00323696020010299</v>
      </c>
      <c r="Y29" s="22">
        <f t="shared" si="18"/>
        <v>0.00197557471264368</v>
      </c>
      <c r="Z29">
        <f>SUMIF('库存（子SKU）'!$C:$C,$A29,'库存（子SKU）'!AB:AB)</f>
        <v>4.11</v>
      </c>
      <c r="AA29">
        <f>SUMIF('库存（子SKU）'!$C:$C,$A29,'库存（子SKU）'!AC:AC)</f>
        <v>15.45</v>
      </c>
      <c r="AB29">
        <f>SUMIF('库存（子SKU）'!$C:$C,$A29,'库存（子SKU）'!AD:AD)</f>
        <v>47.27</v>
      </c>
      <c r="AC29">
        <f>SUMIF('库存（子SKU）'!$C:$C,$A29,'库存（子SKU）'!AE:AE)</f>
        <v>28.76</v>
      </c>
      <c r="AD29" s="22">
        <f t="shared" si="2"/>
        <v>0.105685714285715</v>
      </c>
      <c r="AE29" s="22">
        <f t="shared" si="3"/>
        <v>0.397285714285715</v>
      </c>
      <c r="AF29" s="22">
        <f t="shared" si="4"/>
        <v>0.810342857142859</v>
      </c>
      <c r="AG29" s="22">
        <f t="shared" si="5"/>
        <v>0.739542857142859</v>
      </c>
      <c r="AH29">
        <f>SUMIF('库存（子SKU）'!$C:$C,$A29,'库存（子SKU）'!AJ:AJ)</f>
        <v>100</v>
      </c>
      <c r="AI29">
        <f>SUMIF('库存（子SKU）'!$C:$C,$A29,'库存（子SKU）'!AK:AK)</f>
        <v>73</v>
      </c>
      <c r="AJ29">
        <f>SUMIF('库存（子SKU）'!$C:$C,$A29,'库存（子SKU）'!AL:AL)</f>
        <v>100</v>
      </c>
      <c r="AK29">
        <f>SUMIF('库存（子SKU）'!$C:$C,$A29,'库存（子SKU）'!AM:AM)</f>
        <v>62</v>
      </c>
      <c r="AL29" s="22">
        <f t="shared" si="6"/>
        <v>0.02</v>
      </c>
      <c r="AM29" s="22">
        <f t="shared" si="7"/>
        <v>0.0273972602739726</v>
      </c>
      <c r="AN29" s="22">
        <f t="shared" si="8"/>
        <v>0.03</v>
      </c>
      <c r="AO29" s="22">
        <f t="shared" si="9"/>
        <v>0.032258064516129</v>
      </c>
      <c r="AP29" s="7">
        <f t="shared" si="10"/>
        <v>0.285714285714286</v>
      </c>
      <c r="AQ29" s="7">
        <f t="shared" si="11"/>
        <v>17.1428571428571</v>
      </c>
      <c r="AR29" s="7">
        <f t="shared" si="12"/>
        <v>40.8571428571429</v>
      </c>
      <c r="AS29">
        <f t="shared" si="13"/>
        <v>203</v>
      </c>
      <c r="AT29" s="2">
        <f>IFERROR(时间!$B$4+AS29,"上周无销量")</f>
        <v>43542</v>
      </c>
    </row>
    <row r="30" spans="1:46">
      <c r="A30" t="s">
        <v>279</v>
      </c>
      <c r="B30" s="5">
        <f>SUMIF('库存（子SKU）'!$C:$C,$A30,'库存（子SKU）'!D:D)</f>
        <v>0</v>
      </c>
      <c r="C30" s="5">
        <f>SUMIF('库存（子SKU）'!$C:$C,$A30,'库存（子SKU）'!E:E)</f>
        <v>0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 t="s">
        <v>53</v>
      </c>
      <c r="G30">
        <f>SUMIF('库存（子SKU）'!$C:$C,$A30,'库存（子SKU）'!I:I)</f>
        <v>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3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2" t="str">
        <f t="shared" si="15"/>
        <v/>
      </c>
      <c r="W30" s="22" t="str">
        <f t="shared" si="16"/>
        <v/>
      </c>
      <c r="X30" s="22" t="str">
        <f t="shared" si="17"/>
        <v/>
      </c>
      <c r="Y30" s="22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2" t="str">
        <f t="shared" si="2"/>
        <v/>
      </c>
      <c r="AE30" s="22" t="str">
        <f t="shared" si="3"/>
        <v/>
      </c>
      <c r="AF30" s="22" t="str">
        <f t="shared" si="4"/>
        <v/>
      </c>
      <c r="AG30" s="22" t="str">
        <f t="shared" si="5"/>
        <v/>
      </c>
      <c r="AH30">
        <f>SUMIF('库存（子SKU）'!$C:$C,$A30,'库存（子SKU）'!AJ:AJ)</f>
        <v>8</v>
      </c>
      <c r="AI30">
        <f>SUMIF('库存（子SKU）'!$C:$C,$A30,'库存（子SKU）'!AK:AK)</f>
        <v>5</v>
      </c>
      <c r="AJ30">
        <f>SUMIF('库存（子SKU）'!$C:$C,$A30,'库存（子SKU）'!AL:AL)</f>
        <v>4</v>
      </c>
      <c r="AK30">
        <f>SUMIF('库存（子SKU）'!$C:$C,$A30,'库存（子SKU）'!AM:AM)</f>
        <v>4</v>
      </c>
      <c r="AL30" s="22">
        <f t="shared" si="6"/>
        <v>0</v>
      </c>
      <c r="AM30" s="22">
        <f t="shared" si="7"/>
        <v>0</v>
      </c>
      <c r="AN30" s="22">
        <f t="shared" si="8"/>
        <v>0</v>
      </c>
      <c r="AO30" s="22">
        <f t="shared" si="9"/>
        <v>0</v>
      </c>
      <c r="AP30" s="7">
        <f t="shared" si="10"/>
        <v>0</v>
      </c>
      <c r="AQ30" s="7">
        <f t="shared" si="11"/>
        <v>0</v>
      </c>
      <c r="AR30" s="7">
        <f t="shared" si="12"/>
        <v>3</v>
      </c>
      <c r="AS30" t="str">
        <f t="shared" si="13"/>
        <v>库存为3</v>
      </c>
      <c r="AT30" s="2" t="str">
        <f>IFERROR(时间!$B$4+AS30,"上周无销量")</f>
        <v>上周无销量</v>
      </c>
    </row>
    <row r="31" spans="1:46">
      <c r="A31" t="s">
        <v>282</v>
      </c>
      <c r="B31" s="5">
        <f>SUMIF('库存（子SKU）'!$C:$C,$A31,'库存（子SKU）'!D:D)</f>
        <v>0</v>
      </c>
      <c r="C31" s="5">
        <f>SUMIF('库存（子SKU）'!$C:$C,$A31,'库存（子SKU）'!E:E)</f>
        <v>0</v>
      </c>
      <c r="D31" s="5">
        <f>SUMIF('库存（子SKU）'!$C:$C,$A31,'库存（子SKU）'!F:F)</f>
        <v>3</v>
      </c>
      <c r="E31" s="5">
        <f>SUMIF('库存（子SKU）'!$C:$C,$A31,'库存（子SKU）'!G:G)</f>
        <v>9</v>
      </c>
      <c r="F31" s="6">
        <v>9.99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15275</v>
      </c>
      <c r="P31">
        <f>SUMIF('库存（子SKU）'!$C:$C,$A31,'库存（子SKU）'!R:R)</f>
        <v>63429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139</v>
      </c>
      <c r="T31">
        <f>SUMIF('库存（子SKU）'!$C:$C,$A31,'库存（子SKU）'!V:V)</f>
        <v>217</v>
      </c>
      <c r="U31">
        <f>SUMIF('库存（子SKU）'!$C:$C,$A31,'库存（子SKU）'!W:W)</f>
        <v>0</v>
      </c>
      <c r="V31" s="22" t="str">
        <f t="shared" si="15"/>
        <v/>
      </c>
      <c r="W31" s="22">
        <f t="shared" si="16"/>
        <v>0.00909983633387889</v>
      </c>
      <c r="X31" s="22">
        <f t="shared" si="17"/>
        <v>0.00342114805530593</v>
      </c>
      <c r="Y31" s="22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90.76</v>
      </c>
      <c r="AB31">
        <f>SUMIF('库存（子SKU）'!$C:$C,$A31,'库存（子SKU）'!AD:AD)</f>
        <v>124.69</v>
      </c>
      <c r="AC31">
        <f>SUMIF('库存（子SKU）'!$C:$C,$A31,'库存（子SKU）'!AE:AE)</f>
        <v>0</v>
      </c>
      <c r="AD31" s="22" t="str">
        <f t="shared" si="2"/>
        <v/>
      </c>
      <c r="AE31" s="22" t="str">
        <f t="shared" si="3"/>
        <v>无销量广告费为90.76</v>
      </c>
      <c r="AF31" s="22">
        <f t="shared" si="4"/>
        <v>4.16049382716049</v>
      </c>
      <c r="AG31" s="22">
        <f t="shared" si="5"/>
        <v>0</v>
      </c>
      <c r="AH31">
        <f>SUMIF('库存（子SKU）'!$C:$C,$A31,'库存（子SKU）'!AJ:AJ)</f>
        <v>1</v>
      </c>
      <c r="AI31">
        <f>SUMIF('库存（子SKU）'!$C:$C,$A31,'库存（子SKU）'!AK:AK)</f>
        <v>8</v>
      </c>
      <c r="AJ31">
        <f>SUMIF('库存（子SKU）'!$C:$C,$A31,'库存（子SKU）'!AL:AL)</f>
        <v>256</v>
      </c>
      <c r="AK31">
        <f>SUMIF('库存（子SKU）'!$C:$C,$A31,'库存（子SKU）'!AM:AM)</f>
        <v>255</v>
      </c>
      <c r="AL31" s="22">
        <f t="shared" si="6"/>
        <v>0</v>
      </c>
      <c r="AM31" s="22">
        <f t="shared" si="7"/>
        <v>0</v>
      </c>
      <c r="AN31" s="22">
        <f t="shared" si="8"/>
        <v>0.01171875</v>
      </c>
      <c r="AO31" s="22">
        <f t="shared" si="9"/>
        <v>0.0352941176470588</v>
      </c>
      <c r="AP31" s="7">
        <f t="shared" si="10"/>
        <v>0</v>
      </c>
      <c r="AQ31" s="7">
        <f t="shared" si="11"/>
        <v>0</v>
      </c>
      <c r="AR31" s="7">
        <f t="shared" si="12"/>
        <v>2</v>
      </c>
      <c r="AS31" t="str">
        <f t="shared" si="13"/>
        <v>库存为2</v>
      </c>
      <c r="AT31" s="2" t="str">
        <f>IFERROR(时间!$B$4+AS31,"上周无销量")</f>
        <v>上周无销量</v>
      </c>
    </row>
    <row r="32" spans="1:46">
      <c r="A32" t="s">
        <v>333</v>
      </c>
      <c r="B32" s="5">
        <f>SUMIF('库存（子SKU）'!$C:$C,$A32,'库存（子SKU）'!D:D)</f>
        <v>0</v>
      </c>
      <c r="C32" s="5">
        <f>SUMIF('库存（子SKU）'!$C:$C,$A32,'库存（子SKU）'!E:E)</f>
        <v>0</v>
      </c>
      <c r="D32" s="5">
        <f>SUMIF('库存（子SKU）'!$C:$C,$A32,'库存（子SKU）'!F:F)</f>
        <v>0</v>
      </c>
      <c r="E32" s="5">
        <f>SUMIF('库存（子SKU）'!$C:$C,$A32,'库存（子SKU）'!G:G)</f>
        <v>0</v>
      </c>
      <c r="F32" s="6" t="s">
        <v>53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2" t="str">
        <f t="shared" si="15"/>
        <v/>
      </c>
      <c r="W32" s="22" t="str">
        <f t="shared" si="16"/>
        <v/>
      </c>
      <c r="X32" s="22" t="str">
        <f t="shared" si="17"/>
        <v/>
      </c>
      <c r="Y32" s="22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2" t="str">
        <f t="shared" si="2"/>
        <v/>
      </c>
      <c r="AE32" s="22" t="str">
        <f t="shared" si="3"/>
        <v/>
      </c>
      <c r="AF32" s="22" t="str">
        <f t="shared" si="4"/>
        <v/>
      </c>
      <c r="AG32" s="22" t="str">
        <f t="shared" si="5"/>
        <v/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0</v>
      </c>
      <c r="AK32">
        <f>SUMIF('库存（子SKU）'!$C:$C,$A32,'库存（子SKU）'!AM:AM)</f>
        <v>0</v>
      </c>
      <c r="AL32" s="22" t="str">
        <f t="shared" si="6"/>
        <v/>
      </c>
      <c r="AM32" s="22" t="str">
        <f t="shared" si="7"/>
        <v/>
      </c>
      <c r="AN32" s="22" t="str">
        <f t="shared" si="8"/>
        <v/>
      </c>
      <c r="AO32" s="22" t="str">
        <f t="shared" si="9"/>
        <v/>
      </c>
      <c r="AP32" s="7">
        <f t="shared" si="10"/>
        <v>0</v>
      </c>
      <c r="AQ32" s="7">
        <f t="shared" si="11"/>
        <v>0</v>
      </c>
      <c r="AR32" s="7">
        <f t="shared" si="12"/>
        <v>0</v>
      </c>
      <c r="AS32" t="str">
        <f t="shared" si="13"/>
        <v>库存为0</v>
      </c>
      <c r="AT32" s="2" t="str">
        <f>IFERROR(时间!$B$4+AS32,"上周无销量")</f>
        <v>上周无销量</v>
      </c>
    </row>
    <row r="33" spans="1:46">
      <c r="A33" t="s">
        <v>336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0</v>
      </c>
      <c r="F33" s="6" t="s">
        <v>53</v>
      </c>
      <c r="G33">
        <f>SUMIF('库存（子SKU）'!$C:$C,$A33,'库存（子SKU）'!I:I)</f>
        <v>1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1</v>
      </c>
      <c r="L33">
        <f>SUMIF('库存（子SKU）'!$C:$C,$A33,'库存（子SKU）'!N:N)</f>
        <v>1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2" t="str">
        <f t="shared" si="15"/>
        <v/>
      </c>
      <c r="W33" s="22" t="str">
        <f t="shared" si="16"/>
        <v/>
      </c>
      <c r="X33" s="22" t="str">
        <f t="shared" si="17"/>
        <v/>
      </c>
      <c r="Y33" s="22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2" t="str">
        <f t="shared" si="2"/>
        <v/>
      </c>
      <c r="AE33" s="22" t="str">
        <f t="shared" si="3"/>
        <v/>
      </c>
      <c r="AF33" s="22" t="str">
        <f t="shared" si="4"/>
        <v/>
      </c>
      <c r="AG33" s="22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2" t="str">
        <f t="shared" si="6"/>
        <v/>
      </c>
      <c r="AM33" s="22" t="str">
        <f t="shared" si="7"/>
        <v/>
      </c>
      <c r="AN33" s="22" t="str">
        <f t="shared" si="8"/>
        <v/>
      </c>
      <c r="AO33" s="22" t="str">
        <f t="shared" si="9"/>
        <v/>
      </c>
      <c r="AP33" s="7">
        <f t="shared" si="10"/>
        <v>0</v>
      </c>
      <c r="AQ33" s="7">
        <f t="shared" si="11"/>
        <v>0</v>
      </c>
      <c r="AR33" s="7">
        <f t="shared" si="12"/>
        <v>1</v>
      </c>
      <c r="AS33" t="str">
        <f t="shared" si="13"/>
        <v>库存为1</v>
      </c>
      <c r="AT33" s="2" t="str">
        <f>IFERROR(时间!$B$4+AS33,"上周无销量")</f>
        <v>上周无销量</v>
      </c>
    </row>
    <row r="34" spans="1:46">
      <c r="A34" t="s">
        <v>342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0</v>
      </c>
      <c r="E34" s="5">
        <f>SUMIF('库存（子SKU）'!$C:$C,$A34,'库存（子SKU）'!G:G)</f>
        <v>0</v>
      </c>
      <c r="F34" s="6" t="s">
        <v>53</v>
      </c>
      <c r="G34">
        <f>SUMIF('库存（子SKU）'!$C:$C,$A34,'库存（子SKU）'!I:I)</f>
        <v>0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0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2" t="str">
        <f t="shared" si="15"/>
        <v/>
      </c>
      <c r="W34" s="22" t="str">
        <f t="shared" si="16"/>
        <v/>
      </c>
      <c r="X34" s="22" t="str">
        <f t="shared" si="17"/>
        <v/>
      </c>
      <c r="Y34" s="22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2" t="str">
        <f t="shared" si="2"/>
        <v/>
      </c>
      <c r="AE34" s="22" t="str">
        <f t="shared" si="3"/>
        <v/>
      </c>
      <c r="AF34" s="22" t="str">
        <f t="shared" si="4"/>
        <v/>
      </c>
      <c r="AG34" s="22" t="str">
        <f t="shared" si="5"/>
        <v/>
      </c>
      <c r="AH34">
        <f>SUMIF('库存（子SKU）'!$C:$C,$A34,'库存（子SKU）'!AJ:AJ)</f>
        <v>0</v>
      </c>
      <c r="AI34">
        <f>SUMIF('库存（子SKU）'!$C:$C,$A34,'库存（子SKU）'!AK:AK)</f>
        <v>0</v>
      </c>
      <c r="AJ34">
        <f>SUMIF('库存（子SKU）'!$C:$C,$A34,'库存（子SKU）'!AL:AL)</f>
        <v>0</v>
      </c>
      <c r="AK34">
        <f>SUMIF('库存（子SKU）'!$C:$C,$A34,'库存（子SKU）'!AM:AM)</f>
        <v>0</v>
      </c>
      <c r="AL34" s="22" t="str">
        <f t="shared" si="6"/>
        <v/>
      </c>
      <c r="AM34" s="22" t="str">
        <f t="shared" si="7"/>
        <v/>
      </c>
      <c r="AN34" s="22" t="str">
        <f t="shared" si="8"/>
        <v/>
      </c>
      <c r="AO34" s="22" t="str">
        <f t="shared" si="9"/>
        <v/>
      </c>
      <c r="AP34" s="7">
        <f t="shared" si="10"/>
        <v>0</v>
      </c>
      <c r="AQ34" s="7">
        <f t="shared" si="11"/>
        <v>0</v>
      </c>
      <c r="AR34" s="7">
        <f t="shared" si="12"/>
        <v>0</v>
      </c>
      <c r="AS34" t="str">
        <f t="shared" si="13"/>
        <v>库存为0</v>
      </c>
      <c r="AT34" s="2" t="str">
        <f>IFERROR(时间!$B$4+AS34,"上周无销量")</f>
        <v>上周无销量</v>
      </c>
    </row>
    <row r="35" spans="1:46">
      <c r="A35" t="s">
        <v>343</v>
      </c>
      <c r="B35" s="5">
        <f>SUMIF('库存（子SKU）'!$C:$C,$A35,'库存（子SKU）'!D:D)</f>
        <v>0</v>
      </c>
      <c r="C35" s="5">
        <f>SUMIF('库存（子SKU）'!$C:$C,$A35,'库存（子SKU）'!E:E)</f>
        <v>1</v>
      </c>
      <c r="D35" s="5">
        <f>SUMIF('库存（子SKU）'!$C:$C,$A35,'库存（子SKU）'!F:F)</f>
        <v>0</v>
      </c>
      <c r="E35" s="5">
        <f>SUMIF('库存（子SKU）'!$C:$C,$A35,'库存（子SKU）'!G:G)</f>
        <v>1</v>
      </c>
      <c r="F35" s="6">
        <v>8.99</v>
      </c>
      <c r="G35">
        <f>SUMIF('库存（子SKU）'!$C:$C,$A35,'库存（子SKU）'!I:I)</f>
        <v>15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15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2" t="str">
        <f t="shared" si="15"/>
        <v/>
      </c>
      <c r="W35" s="22" t="str">
        <f t="shared" si="16"/>
        <v/>
      </c>
      <c r="X35" s="22" t="str">
        <f t="shared" si="17"/>
        <v/>
      </c>
      <c r="Y35" s="22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2" t="str">
        <f t="shared" si="2"/>
        <v/>
      </c>
      <c r="AE35" s="22">
        <f t="shared" si="3"/>
        <v>0</v>
      </c>
      <c r="AF35" s="22" t="str">
        <f t="shared" si="4"/>
        <v/>
      </c>
      <c r="AG35" s="22">
        <f t="shared" si="5"/>
        <v>0</v>
      </c>
      <c r="AH35">
        <f>SUMIF('库存（子SKU）'!$C:$C,$A35,'库存（子SKU）'!AJ:AJ)</f>
        <v>17</v>
      </c>
      <c r="AI35">
        <f>SUMIF('库存（子SKU）'!$C:$C,$A35,'库存（子SKU）'!AK:AK)</f>
        <v>20</v>
      </c>
      <c r="AJ35">
        <f>SUMIF('库存（子SKU）'!$C:$C,$A35,'库存（子SKU）'!AL:AL)</f>
        <v>11</v>
      </c>
      <c r="AK35">
        <f>SUMIF('库存（子SKU）'!$C:$C,$A35,'库存（子SKU）'!AM:AM)</f>
        <v>7</v>
      </c>
      <c r="AL35" s="22">
        <f t="shared" si="6"/>
        <v>0</v>
      </c>
      <c r="AM35" s="22">
        <f t="shared" si="7"/>
        <v>0.05</v>
      </c>
      <c r="AN35" s="22">
        <f t="shared" si="8"/>
        <v>0</v>
      </c>
      <c r="AO35" s="22">
        <f t="shared" si="9"/>
        <v>0.142857142857143</v>
      </c>
      <c r="AP35" s="7">
        <f t="shared" si="10"/>
        <v>0</v>
      </c>
      <c r="AQ35" s="7">
        <f t="shared" si="11"/>
        <v>0</v>
      </c>
      <c r="AR35" s="7">
        <f t="shared" si="12"/>
        <v>15</v>
      </c>
      <c r="AS35" t="str">
        <f t="shared" si="13"/>
        <v>库存为15</v>
      </c>
      <c r="AT35" s="2" t="str">
        <f>IFERROR(时间!$B$4+AS35,"上周无销量")</f>
        <v>上周无销量</v>
      </c>
    </row>
    <row r="36" spans="1:46">
      <c r="A36" t="s">
        <v>347</v>
      </c>
      <c r="B36" s="5">
        <f>SUMIF('库存（子SKU）'!$C:$C,$A36,'库存（子SKU）'!D:D)</f>
        <v>0</v>
      </c>
      <c r="C36" s="5">
        <f>SUMIF('库存（子SKU）'!$C:$C,$A36,'库存（子SKU）'!E:E)</f>
        <v>0</v>
      </c>
      <c r="D36" s="5">
        <f>SUMIF('库存（子SKU）'!$C:$C,$A36,'库存（子SKU）'!F:F)</f>
        <v>1</v>
      </c>
      <c r="E36" s="5">
        <f>SUMIF('库存（子SKU）'!$C:$C,$A36,'库存（子SKU）'!G:G)</f>
        <v>3</v>
      </c>
      <c r="F36" s="6">
        <v>14.08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15629</v>
      </c>
      <c r="P36">
        <f>SUMIF('库存（子SKU）'!$C:$C,$A36,'库存（子SKU）'!R:R)</f>
        <v>25192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9</v>
      </c>
      <c r="T36">
        <f>SUMIF('库存（子SKU）'!$C:$C,$A36,'库存（子SKU）'!V:V)</f>
        <v>66</v>
      </c>
      <c r="U36">
        <f>SUMIF('库存（子SKU）'!$C:$C,$A36,'库存（子SKU）'!W:W)</f>
        <v>0</v>
      </c>
      <c r="V36" s="22" t="str">
        <f t="shared" si="15"/>
        <v/>
      </c>
      <c r="W36" s="22">
        <f t="shared" si="16"/>
        <v>0.000575852581739075</v>
      </c>
      <c r="X36" s="22">
        <f t="shared" si="17"/>
        <v>0.0026198793267704</v>
      </c>
      <c r="Y36" s="22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6.03</v>
      </c>
      <c r="AB36">
        <f>SUMIF('库存（子SKU）'!$C:$C,$A36,'库存（子SKU）'!AD:AD)</f>
        <v>43.2</v>
      </c>
      <c r="AC36">
        <f>SUMIF('库存（子SKU）'!$C:$C,$A36,'库存（子SKU）'!AE:AE)</f>
        <v>0</v>
      </c>
      <c r="AD36" s="22" t="str">
        <f t="shared" si="2"/>
        <v/>
      </c>
      <c r="AE36" s="22" t="str">
        <f t="shared" si="3"/>
        <v>无销量广告费为6.03</v>
      </c>
      <c r="AF36" s="22">
        <f t="shared" si="4"/>
        <v>3.06818181818182</v>
      </c>
      <c r="AG36" s="22">
        <f t="shared" si="5"/>
        <v>0</v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37</v>
      </c>
      <c r="AK36">
        <f>SUMIF('库存（子SKU）'!$C:$C,$A36,'库存（子SKU）'!AM:AM)</f>
        <v>55</v>
      </c>
      <c r="AL36" s="22" t="str">
        <f t="shared" si="6"/>
        <v/>
      </c>
      <c r="AM36" s="22" t="str">
        <f t="shared" si="7"/>
        <v/>
      </c>
      <c r="AN36" s="22">
        <f t="shared" si="8"/>
        <v>0.027027027027027</v>
      </c>
      <c r="AO36" s="22">
        <f t="shared" si="9"/>
        <v>0.0545454545454545</v>
      </c>
      <c r="AP36" s="7">
        <f t="shared" si="10"/>
        <v>0</v>
      </c>
      <c r="AQ36" s="7">
        <f t="shared" si="11"/>
        <v>0</v>
      </c>
      <c r="AR36" s="7">
        <f t="shared" si="12"/>
        <v>0</v>
      </c>
      <c r="AS36" t="str">
        <f t="shared" si="13"/>
        <v>库存为0</v>
      </c>
      <c r="AT36" s="2" t="str">
        <f>IFERROR(时间!$B$4+AS36,"上周无销量")</f>
        <v>上周无销量</v>
      </c>
    </row>
    <row r="37" spans="1:46">
      <c r="A37" t="s">
        <v>357</v>
      </c>
      <c r="B37" s="5">
        <f>SUMIF('库存（子SKU）'!$C:$C,$A37,'库存（子SKU）'!D:D)</f>
        <v>0</v>
      </c>
      <c r="C37" s="5">
        <f>SUMIF('库存（子SKU）'!$C:$C,$A37,'库存（子SKU）'!E:E)</f>
        <v>2</v>
      </c>
      <c r="D37" s="5">
        <f>SUMIF('库存（子SKU）'!$C:$C,$A37,'库存（子SKU）'!F:F)</f>
        <v>10</v>
      </c>
      <c r="E37" s="5">
        <f>SUMIF('库存（子SKU）'!$C:$C,$A37,'库存（子SKU）'!G:G)</f>
        <v>9</v>
      </c>
      <c r="F37" s="6">
        <v>13.2828571428571</v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570</v>
      </c>
      <c r="P37">
        <f>SUMIF('库存（子SKU）'!$C:$C,$A37,'库存（子SKU）'!R:R)</f>
        <v>20313</v>
      </c>
      <c r="Q37">
        <f>SUMIF('库存（子SKU）'!$C:$C,$A37,'库存（子SKU）'!S:S)</f>
        <v>28398</v>
      </c>
      <c r="R37">
        <f>SUMIF('库存（子SKU）'!$C:$C,$A37,'库存（子SKU）'!T:T)</f>
        <v>0</v>
      </c>
      <c r="S37">
        <f>SUMIF('库存（子SKU）'!$C:$C,$A37,'库存（子SKU）'!U:U)</f>
        <v>7</v>
      </c>
      <c r="T37">
        <f>SUMIF('库存（子SKU）'!$C:$C,$A37,'库存（子SKU）'!V:V)</f>
        <v>77</v>
      </c>
      <c r="U37">
        <f>SUMIF('库存（子SKU）'!$C:$C,$A37,'库存（子SKU）'!W:W)</f>
        <v>152</v>
      </c>
      <c r="V37" s="22" t="str">
        <f t="shared" si="15"/>
        <v/>
      </c>
      <c r="W37" s="22">
        <f t="shared" si="16"/>
        <v>0.012280701754386</v>
      </c>
      <c r="X37" s="22">
        <f t="shared" si="17"/>
        <v>0.00379067592182346</v>
      </c>
      <c r="Y37" s="22">
        <f t="shared" si="18"/>
        <v>0.0053524896119445</v>
      </c>
      <c r="Z37">
        <f>SUMIF('库存（子SKU）'!$C:$C,$A37,'库存（子SKU）'!AB:AB)</f>
        <v>0</v>
      </c>
      <c r="AA37">
        <f>SUMIF('库存（子SKU）'!$C:$C,$A37,'库存（子SKU）'!AC:AC)</f>
        <v>3.91</v>
      </c>
      <c r="AB37">
        <f>SUMIF('库存（子SKU）'!$C:$C,$A37,'库存（子SKU）'!AD:AD)</f>
        <v>31.31</v>
      </c>
      <c r="AC37">
        <f>SUMIF('库存（子SKU）'!$C:$C,$A37,'库存（子SKU）'!AE:AE)</f>
        <v>56.73</v>
      </c>
      <c r="AD37" s="22" t="str">
        <f t="shared" si="2"/>
        <v/>
      </c>
      <c r="AE37" s="22">
        <f t="shared" si="3"/>
        <v>0.147182189718219</v>
      </c>
      <c r="AF37" s="22">
        <f t="shared" si="4"/>
        <v>0.235717358571737</v>
      </c>
      <c r="AG37" s="22">
        <f t="shared" si="5"/>
        <v>0.474546497454651</v>
      </c>
      <c r="AH37">
        <f>SUMIF('库存（子SKU）'!$C:$C,$A37,'库存（子SKU）'!AJ:AJ)</f>
        <v>0</v>
      </c>
      <c r="AI37">
        <f>SUMIF('库存（子SKU）'!$C:$C,$A37,'库存（子SKU）'!AK:AK)</f>
        <v>7</v>
      </c>
      <c r="AJ37">
        <f>SUMIF('库存（子SKU）'!$C:$C,$A37,'库存（子SKU）'!AL:AL)</f>
        <v>53</v>
      </c>
      <c r="AK37">
        <f>SUMIF('库存（子SKU）'!$C:$C,$A37,'库存（子SKU）'!AM:AM)</f>
        <v>68</v>
      </c>
      <c r="AL37" s="22" t="str">
        <f t="shared" si="6"/>
        <v/>
      </c>
      <c r="AM37" s="22">
        <f t="shared" si="7"/>
        <v>0.285714285714286</v>
      </c>
      <c r="AN37" s="22">
        <f t="shared" si="8"/>
        <v>0.188679245283019</v>
      </c>
      <c r="AO37" s="22">
        <f t="shared" si="9"/>
        <v>0.132352941176471</v>
      </c>
      <c r="AP37" s="7">
        <f t="shared" si="10"/>
        <v>0</v>
      </c>
      <c r="AQ37" s="7">
        <f t="shared" si="11"/>
        <v>0</v>
      </c>
      <c r="AR37" s="7">
        <f t="shared" si="12"/>
        <v>0</v>
      </c>
      <c r="AS37" t="str">
        <f t="shared" si="13"/>
        <v>库存为0</v>
      </c>
      <c r="AT37" s="2" t="str">
        <f>IFERROR(时间!$B$4+AS37,"上周无销量")</f>
        <v>上周无销量</v>
      </c>
    </row>
    <row r="38" spans="1:46">
      <c r="A38" t="s">
        <v>367</v>
      </c>
      <c r="B38" s="5">
        <f>SUMIF('库存（子SKU）'!$C:$C,$A38,'库存（子SKU）'!D:D)</f>
        <v>0</v>
      </c>
      <c r="C38" s="5">
        <f>SUMIF('库存（子SKU）'!$C:$C,$A38,'库存（子SKU）'!E:E)</f>
        <v>0</v>
      </c>
      <c r="D38" s="5">
        <f>SUMIF('库存（子SKU）'!$C:$C,$A38,'库存（子SKU）'!F:F)</f>
        <v>4</v>
      </c>
      <c r="E38" s="5">
        <f>SUMIF('库存（子SKU）'!$C:$C,$A38,'库存（子SKU）'!G:G)</f>
        <v>5</v>
      </c>
      <c r="F38" s="6">
        <v>13.99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2" t="str">
        <f t="shared" si="15"/>
        <v/>
      </c>
      <c r="W38" s="22" t="str">
        <f t="shared" si="16"/>
        <v/>
      </c>
      <c r="X38" s="22" t="str">
        <f t="shared" si="17"/>
        <v/>
      </c>
      <c r="Y38" s="22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2" t="str">
        <f t="shared" si="2"/>
        <v/>
      </c>
      <c r="AE38" s="22" t="str">
        <f t="shared" si="3"/>
        <v/>
      </c>
      <c r="AF38" s="22">
        <f t="shared" si="4"/>
        <v>0</v>
      </c>
      <c r="AG38" s="22">
        <f t="shared" si="5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18</v>
      </c>
      <c r="AK38">
        <f>SUMIF('库存（子SKU）'!$C:$C,$A38,'库存（子SKU）'!AM:AM)</f>
        <v>21</v>
      </c>
      <c r="AL38" s="22" t="str">
        <f t="shared" si="6"/>
        <v/>
      </c>
      <c r="AM38" s="22" t="str">
        <f t="shared" si="7"/>
        <v/>
      </c>
      <c r="AN38" s="22">
        <f t="shared" si="8"/>
        <v>0.222222222222222</v>
      </c>
      <c r="AO38" s="22">
        <f t="shared" si="9"/>
        <v>0.238095238095238</v>
      </c>
      <c r="AP38" s="7">
        <f t="shared" si="10"/>
        <v>0</v>
      </c>
      <c r="AQ38" s="7">
        <f t="shared" si="11"/>
        <v>0</v>
      </c>
      <c r="AR38" s="7">
        <f t="shared" si="12"/>
        <v>0</v>
      </c>
      <c r="AS38" t="str">
        <f t="shared" si="13"/>
        <v>库存为0</v>
      </c>
      <c r="AT38" s="2" t="str">
        <f>IFERROR(时间!$B$4+AS38,"上周无销量")</f>
        <v>上周无销量</v>
      </c>
    </row>
    <row r="39" spans="1:46">
      <c r="A39" t="s">
        <v>370</v>
      </c>
      <c r="B39" s="5">
        <f>SUMIF('库存（子SKU）'!$C:$C,$A39,'库存（子SKU）'!D:D)</f>
        <v>0</v>
      </c>
      <c r="C39" s="5">
        <f>SUMIF('库存（子SKU）'!$C:$C,$A39,'库存（子SKU）'!E:E)</f>
        <v>0</v>
      </c>
      <c r="D39" s="5">
        <f>SUMIF('库存（子SKU）'!$C:$C,$A39,'库存（子SKU）'!F:F)</f>
        <v>0</v>
      </c>
      <c r="E39" s="5">
        <f>SUMIF('库存（子SKU）'!$C:$C,$A39,'库存（子SKU）'!G:G)</f>
        <v>0</v>
      </c>
      <c r="F39" s="6" t="s">
        <v>53</v>
      </c>
      <c r="G39">
        <f>SUMIF('库存（子SKU）'!$C:$C,$A39,'库存（子SKU）'!I:I)</f>
        <v>18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18</v>
      </c>
      <c r="L39">
        <f>SUMIF('库存（子SKU）'!$C:$C,$A39,'库存（子SKU）'!N:N)</f>
        <v>0</v>
      </c>
      <c r="M39">
        <f>SUMIF('库存（子SKU）'!$C:$C,$A39,'库存（子SKU）'!O:O)</f>
        <v>18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2" t="str">
        <f t="shared" si="15"/>
        <v/>
      </c>
      <c r="W39" s="22" t="str">
        <f t="shared" si="16"/>
        <v/>
      </c>
      <c r="X39" s="22" t="str">
        <f t="shared" si="17"/>
        <v/>
      </c>
      <c r="Y39" s="22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2" t="str">
        <f t="shared" si="2"/>
        <v/>
      </c>
      <c r="AE39" s="22" t="str">
        <f t="shared" si="3"/>
        <v/>
      </c>
      <c r="AF39" s="22" t="str">
        <f t="shared" si="4"/>
        <v/>
      </c>
      <c r="AG39" s="22" t="str">
        <f t="shared" si="5"/>
        <v/>
      </c>
      <c r="AH39">
        <f>SUMIF('库存（子SKU）'!$C:$C,$A39,'库存（子SKU）'!AJ:AJ)</f>
        <v>20</v>
      </c>
      <c r="AI39">
        <f>SUMIF('库存（子SKU）'!$C:$C,$A39,'库存（子SKU）'!AK:AK)</f>
        <v>10</v>
      </c>
      <c r="AJ39">
        <f>SUMIF('库存（子SKU）'!$C:$C,$A39,'库存（子SKU）'!AL:AL)</f>
        <v>14</v>
      </c>
      <c r="AK39">
        <f>SUMIF('库存（子SKU）'!$C:$C,$A39,'库存（子SKU）'!AM:AM)</f>
        <v>16</v>
      </c>
      <c r="AL39" s="22">
        <f t="shared" si="6"/>
        <v>0</v>
      </c>
      <c r="AM39" s="22">
        <f t="shared" si="7"/>
        <v>0</v>
      </c>
      <c r="AN39" s="22">
        <f t="shared" si="8"/>
        <v>0</v>
      </c>
      <c r="AO39" s="22">
        <f t="shared" si="9"/>
        <v>0</v>
      </c>
      <c r="AP39" s="7">
        <f t="shared" si="10"/>
        <v>0</v>
      </c>
      <c r="AQ39" s="7">
        <f t="shared" si="11"/>
        <v>0</v>
      </c>
      <c r="AR39" s="7">
        <f t="shared" si="12"/>
        <v>18</v>
      </c>
      <c r="AS39" t="str">
        <f t="shared" si="13"/>
        <v>库存为18</v>
      </c>
      <c r="AT39" s="2" t="str">
        <f>IFERROR(时间!$B$4+AS39,"上周无销量")</f>
        <v>上周无销量</v>
      </c>
    </row>
    <row r="40" spans="1:46">
      <c r="A40" t="s">
        <v>381</v>
      </c>
      <c r="B40" s="5">
        <f>SUMIF('库存（子SKU）'!$C:$C,$A40,'库存（子SKU）'!D:D)</f>
        <v>0</v>
      </c>
      <c r="C40" s="5">
        <f>SUMIF('库存（子SKU）'!$C:$C,$A40,'库存（子SKU）'!E:E)</f>
        <v>0</v>
      </c>
      <c r="D40" s="5">
        <f>SUMIF('库存（子SKU）'!$C:$C,$A40,'库存（子SKU）'!F:F)</f>
        <v>0</v>
      </c>
      <c r="E40" s="5">
        <f>SUMIF('库存（子SKU）'!$C:$C,$A40,'库存（子SKU）'!G:G)</f>
        <v>0</v>
      </c>
      <c r="F40" s="6" t="s">
        <v>53</v>
      </c>
      <c r="G40">
        <f>SUMIF('库存（子SKU）'!$C:$C,$A40,'库存（子SKU）'!I:I)</f>
        <v>4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4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2" t="str">
        <f t="shared" si="15"/>
        <v/>
      </c>
      <c r="W40" s="22" t="str">
        <f t="shared" si="16"/>
        <v/>
      </c>
      <c r="X40" s="22" t="str">
        <f t="shared" si="17"/>
        <v/>
      </c>
      <c r="Y40" s="22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2" t="str">
        <f t="shared" si="2"/>
        <v/>
      </c>
      <c r="AE40" s="22" t="str">
        <f t="shared" si="3"/>
        <v/>
      </c>
      <c r="AF40" s="22" t="str">
        <f t="shared" si="4"/>
        <v/>
      </c>
      <c r="AG40" s="22" t="str">
        <f t="shared" si="5"/>
        <v/>
      </c>
      <c r="AH40">
        <f>SUMIF('库存（子SKU）'!$C:$C,$A40,'库存（子SKU）'!AJ:AJ)</f>
        <v>8</v>
      </c>
      <c r="AI40">
        <f>SUMIF('库存（子SKU）'!$C:$C,$A40,'库存（子SKU）'!AK:AK)</f>
        <v>10</v>
      </c>
      <c r="AJ40">
        <f>SUMIF('库存（子SKU）'!$C:$C,$A40,'库存（子SKU）'!AL:AL)</f>
        <v>19</v>
      </c>
      <c r="AK40">
        <f>SUMIF('库存（子SKU）'!$C:$C,$A40,'库存（子SKU）'!AM:AM)</f>
        <v>6</v>
      </c>
      <c r="AL40" s="22">
        <f t="shared" si="6"/>
        <v>0</v>
      </c>
      <c r="AM40" s="22">
        <f t="shared" si="7"/>
        <v>0</v>
      </c>
      <c r="AN40" s="22">
        <f t="shared" si="8"/>
        <v>0</v>
      </c>
      <c r="AO40" s="22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4</v>
      </c>
      <c r="AS40" t="str">
        <f t="shared" si="13"/>
        <v>库存为4</v>
      </c>
      <c r="AT40" s="2" t="str">
        <f>IFERROR(时间!$B$4+AS40,"上周无销量")</f>
        <v>上周无销量</v>
      </c>
    </row>
    <row r="41" spans="1:46">
      <c r="A41" t="s">
        <v>388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1</v>
      </c>
      <c r="E41" s="5">
        <f>SUMIF('库存（子SKU）'!$C:$C,$A41,'库存（子SKU）'!G:G)</f>
        <v>1</v>
      </c>
      <c r="F41" s="6">
        <v>28</v>
      </c>
      <c r="G41">
        <f>SUMIF('库存（子SKU）'!$C:$C,$A41,'库存（子SKU）'!I:I)</f>
        <v>15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3</v>
      </c>
      <c r="K41">
        <f t="shared" si="0"/>
        <v>18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1524</v>
      </c>
      <c r="O41">
        <f>SUMIF('库存（子SKU）'!$C:$C,$A41,'库存（子SKU）'!Q:Q)</f>
        <v>2075</v>
      </c>
      <c r="P41">
        <f>SUMIF('库存（子SKU）'!$C:$C,$A41,'库存（子SKU）'!R:R)</f>
        <v>2053</v>
      </c>
      <c r="Q41">
        <f>SUMIF('库存（子SKU）'!$C:$C,$A41,'库存（子SKU）'!S:S)</f>
        <v>1710</v>
      </c>
      <c r="R41">
        <f>SUMIF('库存（子SKU）'!$C:$C,$A41,'库存（子SKU）'!T:T)</f>
        <v>2</v>
      </c>
      <c r="S41">
        <f>SUMIF('库存（子SKU）'!$C:$C,$A41,'库存（子SKU）'!U:U)</f>
        <v>1</v>
      </c>
      <c r="T41">
        <f>SUMIF('库存（子SKU）'!$C:$C,$A41,'库存（子SKU）'!V:V)</f>
        <v>3</v>
      </c>
      <c r="U41">
        <f>SUMIF('库存（子SKU）'!$C:$C,$A41,'库存（子SKU）'!W:W)</f>
        <v>1</v>
      </c>
      <c r="V41" s="22">
        <f t="shared" si="15"/>
        <v>0.00131233595800525</v>
      </c>
      <c r="W41" s="22">
        <f t="shared" si="16"/>
        <v>0.000481927710843373</v>
      </c>
      <c r="X41" s="22">
        <f t="shared" si="17"/>
        <v>0.00146127618119825</v>
      </c>
      <c r="Y41" s="22">
        <f t="shared" si="18"/>
        <v>0.000584795321637427</v>
      </c>
      <c r="Z41">
        <f>SUMIF('库存（子SKU）'!$C:$C,$A41,'库存（子SKU）'!AB:AB)</f>
        <v>0.72</v>
      </c>
      <c r="AA41">
        <f>SUMIF('库存（子SKU）'!$C:$C,$A41,'库存（子SKU）'!AC:AC)</f>
        <v>0.84</v>
      </c>
      <c r="AB41">
        <f>SUMIF('库存（子SKU）'!$C:$C,$A41,'库存（子SKU）'!AD:AD)</f>
        <v>3.11</v>
      </c>
      <c r="AC41">
        <f>SUMIF('库存（子SKU）'!$C:$C,$A41,'库存（子SKU）'!AE:AE)</f>
        <v>1.22</v>
      </c>
      <c r="AD41" s="22" t="str">
        <f t="shared" si="2"/>
        <v>无销量广告费为0.72</v>
      </c>
      <c r="AE41" s="22" t="str">
        <f t="shared" si="3"/>
        <v>无销量广告费为0.84</v>
      </c>
      <c r="AF41" s="22">
        <f t="shared" si="4"/>
        <v>0.111071428571429</v>
      </c>
      <c r="AG41" s="22">
        <f t="shared" si="5"/>
        <v>0.0435714285714286</v>
      </c>
      <c r="AH41">
        <f>SUMIF('库存（子SKU）'!$C:$C,$A41,'库存（子SKU）'!AJ:AJ)</f>
        <v>8</v>
      </c>
      <c r="AI41">
        <f>SUMIF('库存（子SKU）'!$C:$C,$A41,'库存（子SKU）'!AK:AK)</f>
        <v>10</v>
      </c>
      <c r="AJ41">
        <f>SUMIF('库存（子SKU）'!$C:$C,$A41,'库存（子SKU）'!AL:AL)</f>
        <v>15</v>
      </c>
      <c r="AK41">
        <f>SUMIF('库存（子SKU）'!$C:$C,$A41,'库存（子SKU）'!AM:AM)</f>
        <v>2</v>
      </c>
      <c r="AL41" s="22">
        <f t="shared" si="6"/>
        <v>0</v>
      </c>
      <c r="AM41" s="22">
        <f t="shared" si="7"/>
        <v>0</v>
      </c>
      <c r="AN41" s="22">
        <f t="shared" si="8"/>
        <v>0.0666666666666667</v>
      </c>
      <c r="AO41" s="22">
        <f t="shared" si="9"/>
        <v>0.5</v>
      </c>
      <c r="AP41" s="7">
        <f t="shared" si="10"/>
        <v>0</v>
      </c>
      <c r="AQ41" s="7">
        <f t="shared" si="11"/>
        <v>0</v>
      </c>
      <c r="AR41" s="7">
        <f t="shared" si="12"/>
        <v>18</v>
      </c>
      <c r="AS41" t="str">
        <f t="shared" si="13"/>
        <v>库存为18</v>
      </c>
      <c r="AT41" s="2" t="str">
        <f>IFERROR(时间!$B$4+AS41,"上周无销量")</f>
        <v>上周无销量</v>
      </c>
    </row>
    <row r="42" spans="1:46">
      <c r="A42" t="s">
        <v>393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0</v>
      </c>
      <c r="F42" s="6">
        <v>40</v>
      </c>
      <c r="G42">
        <f>SUMIF('库存（子SKU）'!$C:$C,$A42,'库存（子SKU）'!I:I)</f>
        <v>17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1</v>
      </c>
      <c r="K42">
        <f t="shared" si="0"/>
        <v>18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2" t="str">
        <f t="shared" si="15"/>
        <v/>
      </c>
      <c r="W42" s="22" t="str">
        <f t="shared" si="16"/>
        <v/>
      </c>
      <c r="X42" s="22" t="str">
        <f t="shared" si="17"/>
        <v/>
      </c>
      <c r="Y42" s="22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2" t="str">
        <f t="shared" si="2"/>
        <v/>
      </c>
      <c r="AE42" s="22">
        <f t="shared" si="3"/>
        <v>0</v>
      </c>
      <c r="AF42" s="22" t="str">
        <f t="shared" si="4"/>
        <v/>
      </c>
      <c r="AG42" s="22" t="str">
        <f t="shared" si="5"/>
        <v/>
      </c>
      <c r="AH42">
        <f>SUMIF('库存（子SKU）'!$C:$C,$A42,'库存（子SKU）'!AJ:AJ)</f>
        <v>9</v>
      </c>
      <c r="AI42">
        <f>SUMIF('库存（子SKU）'!$C:$C,$A42,'库存（子SKU）'!AK:AK)</f>
        <v>0</v>
      </c>
      <c r="AJ42">
        <f>SUMIF('库存（子SKU）'!$C:$C,$A42,'库存（子SKU）'!AL:AL)</f>
        <v>5</v>
      </c>
      <c r="AK42">
        <f>SUMIF('库存（子SKU）'!$C:$C,$A42,'库存（子SKU）'!AM:AM)</f>
        <v>5</v>
      </c>
      <c r="AL42" s="22">
        <f t="shared" si="6"/>
        <v>0</v>
      </c>
      <c r="AM42" s="22" t="str">
        <f t="shared" si="7"/>
        <v/>
      </c>
      <c r="AN42" s="22">
        <f t="shared" si="8"/>
        <v>0</v>
      </c>
      <c r="AO42" s="22">
        <f t="shared" si="9"/>
        <v>0</v>
      </c>
      <c r="AP42" s="7">
        <f t="shared" si="10"/>
        <v>0</v>
      </c>
      <c r="AQ42" s="7">
        <f t="shared" si="11"/>
        <v>0</v>
      </c>
      <c r="AR42" s="7">
        <f t="shared" si="12"/>
        <v>18</v>
      </c>
      <c r="AS42" t="str">
        <f t="shared" si="13"/>
        <v>库存为18</v>
      </c>
      <c r="AT42" s="2" t="str">
        <f>IFERROR(时间!$B$4+AS42,"上周无销量")</f>
        <v>上周无销量</v>
      </c>
    </row>
    <row r="43" spans="1:46">
      <c r="A43" t="s">
        <v>396</v>
      </c>
      <c r="B43" s="5">
        <f>SUMIF('库存（子SKU）'!$C:$C,$A43,'库存（子SKU）'!D:D)</f>
        <v>2</v>
      </c>
      <c r="C43" s="5">
        <f>SUMIF('库存（子SKU）'!$C:$C,$A43,'库存（子SKU）'!E:E)</f>
        <v>0</v>
      </c>
      <c r="D43" s="5">
        <f>SUMIF('库存（子SKU）'!$C:$C,$A43,'库存（子SKU）'!F:F)</f>
        <v>2</v>
      </c>
      <c r="E43" s="5">
        <f>SUMIF('库存（子SKU）'!$C:$C,$A43,'库存（子SKU）'!G:G)</f>
        <v>0</v>
      </c>
      <c r="F43" s="6">
        <v>12.995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0</v>
      </c>
      <c r="L43">
        <f>SUMIF('库存（子SKU）'!$C:$C,$A43,'库存（子SKU）'!N:N)</f>
        <v>1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7919</v>
      </c>
      <c r="P43">
        <f>SUMIF('库存（子SKU）'!$C:$C,$A43,'库存（子SKU）'!R:R)</f>
        <v>4684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41</v>
      </c>
      <c r="T43">
        <f>SUMIF('库存（子SKU）'!$C:$C,$A43,'库存（子SKU）'!V:V)</f>
        <v>22</v>
      </c>
      <c r="U43">
        <f>SUMIF('库存（子SKU）'!$C:$C,$A43,'库存（子SKU）'!W:W)</f>
        <v>0</v>
      </c>
      <c r="V43" s="22" t="str">
        <f t="shared" si="15"/>
        <v/>
      </c>
      <c r="W43" s="22">
        <f t="shared" si="16"/>
        <v>0.00517742139158985</v>
      </c>
      <c r="X43" s="22">
        <f t="shared" si="17"/>
        <v>0.00469684030742955</v>
      </c>
      <c r="Y43" s="22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14.97</v>
      </c>
      <c r="AB43">
        <f>SUMIF('库存（子SKU）'!$C:$C,$A43,'库存（子SKU）'!AD:AD)</f>
        <v>8.29</v>
      </c>
      <c r="AC43">
        <f>SUMIF('库存（子SKU）'!$C:$C,$A43,'库存（子SKU）'!AE:AE)</f>
        <v>0</v>
      </c>
      <c r="AD43" s="22">
        <f t="shared" si="2"/>
        <v>0</v>
      </c>
      <c r="AE43" s="22" t="str">
        <f t="shared" si="3"/>
        <v>无销量广告费为14.97</v>
      </c>
      <c r="AF43" s="22">
        <f t="shared" si="4"/>
        <v>0.318968834166987</v>
      </c>
      <c r="AG43" s="22" t="str">
        <f t="shared" si="5"/>
        <v/>
      </c>
      <c r="AH43">
        <f>SUMIF('库存（子SKU）'!$C:$C,$A43,'库存（子SKU）'!AJ:AJ)</f>
        <v>0</v>
      </c>
      <c r="AI43">
        <f>SUMIF('库存（子SKU）'!$C:$C,$A43,'库存（子SKU）'!AK:AK)</f>
        <v>12</v>
      </c>
      <c r="AJ43">
        <f>SUMIF('库存（子SKU）'!$C:$C,$A43,'库存（子SKU）'!AL:AL)</f>
        <v>34</v>
      </c>
      <c r="AK43">
        <f>SUMIF('库存（子SKU）'!$C:$C,$A43,'库存（子SKU）'!AM:AM)</f>
        <v>19</v>
      </c>
      <c r="AL43" s="22" t="str">
        <f t="shared" si="6"/>
        <v/>
      </c>
      <c r="AM43" s="22">
        <f t="shared" si="7"/>
        <v>0</v>
      </c>
      <c r="AN43" s="22">
        <f t="shared" si="8"/>
        <v>0.0588235294117647</v>
      </c>
      <c r="AO43" s="22">
        <f t="shared" si="9"/>
        <v>0</v>
      </c>
      <c r="AP43" s="7">
        <f t="shared" si="10"/>
        <v>0.285714285714286</v>
      </c>
      <c r="AQ43" s="7">
        <f t="shared" si="11"/>
        <v>17.1428571428571</v>
      </c>
      <c r="AR43" s="7">
        <f t="shared" si="12"/>
        <v>-17.1428571428571</v>
      </c>
      <c r="AS43">
        <f t="shared" si="13"/>
        <v>0</v>
      </c>
      <c r="AT43" s="2">
        <f>IFERROR(时间!$B$4+AS43,"上周无销量")</f>
        <v>43339</v>
      </c>
    </row>
    <row r="44" spans="1:46">
      <c r="A44" t="s">
        <v>408</v>
      </c>
      <c r="B44" s="5">
        <f>SUMIF('库存（子SKU）'!$C:$C,$A44,'库存（子SKU）'!D:D)</f>
        <v>0</v>
      </c>
      <c r="C44" s="5">
        <f>SUMIF('库存（子SKU）'!$C:$C,$A44,'库存（子SKU）'!E:E)</f>
        <v>0</v>
      </c>
      <c r="D44" s="5">
        <f>SUMIF('库存（子SKU）'!$C:$C,$A44,'库存（子SKU）'!F:F)</f>
        <v>0</v>
      </c>
      <c r="E44" s="5">
        <f>SUMIF('库存（子SKU）'!$C:$C,$A44,'库存（子SKU）'!G:G)</f>
        <v>0</v>
      </c>
      <c r="F44" s="6" t="s">
        <v>53</v>
      </c>
      <c r="G44">
        <f>SUMIF('库存（子SKU）'!$C:$C,$A44,'库存（子SKU）'!I:I)</f>
        <v>0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0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2" t="str">
        <f t="shared" si="15"/>
        <v/>
      </c>
      <c r="W44" s="22" t="str">
        <f t="shared" si="16"/>
        <v/>
      </c>
      <c r="X44" s="22" t="str">
        <f t="shared" si="17"/>
        <v/>
      </c>
      <c r="Y44" s="22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2" t="str">
        <f t="shared" si="2"/>
        <v/>
      </c>
      <c r="AE44" s="22" t="str">
        <f t="shared" si="3"/>
        <v/>
      </c>
      <c r="AF44" s="22" t="str">
        <f t="shared" si="4"/>
        <v/>
      </c>
      <c r="AG44" s="22" t="str">
        <f t="shared" si="5"/>
        <v/>
      </c>
      <c r="AH44">
        <f>SUMIF('库存（子SKU）'!$C:$C,$A44,'库存（子SKU）'!AJ:AJ)</f>
        <v>0</v>
      </c>
      <c r="AI44">
        <f>SUMIF('库存（子SKU）'!$C:$C,$A44,'库存（子SKU）'!AK:AK)</f>
        <v>0</v>
      </c>
      <c r="AJ44">
        <f>SUMIF('库存（子SKU）'!$C:$C,$A44,'库存（子SKU）'!AL:AL)</f>
        <v>0</v>
      </c>
      <c r="AK44">
        <f>SUMIF('库存（子SKU）'!$C:$C,$A44,'库存（子SKU）'!AM:AM)</f>
        <v>0</v>
      </c>
      <c r="AL44" s="22" t="str">
        <f t="shared" si="6"/>
        <v/>
      </c>
      <c r="AM44" s="22" t="str">
        <f t="shared" si="7"/>
        <v/>
      </c>
      <c r="AN44" s="22" t="str">
        <f t="shared" si="8"/>
        <v/>
      </c>
      <c r="AO44" s="22" t="str">
        <f t="shared" si="9"/>
        <v/>
      </c>
      <c r="AP44" s="7">
        <f t="shared" si="10"/>
        <v>0</v>
      </c>
      <c r="AQ44" s="7">
        <f t="shared" si="11"/>
        <v>0</v>
      </c>
      <c r="AR44" s="7">
        <f t="shared" si="12"/>
        <v>0</v>
      </c>
      <c r="AS44" t="str">
        <f t="shared" si="13"/>
        <v>库存为0</v>
      </c>
      <c r="AT44" s="2" t="str">
        <f>IFERROR(时间!$B$4+AS44,"上周无销量")</f>
        <v>上周无销量</v>
      </c>
    </row>
    <row r="45" spans="1:46">
      <c r="A45" t="s">
        <v>411</v>
      </c>
      <c r="B45" s="5">
        <f>SUMIF('库存（子SKU）'!$C:$C,$A45,'库存（子SKU）'!D:D)</f>
        <v>0</v>
      </c>
      <c r="C45" s="5">
        <f>SUMIF('库存（子SKU）'!$C:$C,$A45,'库存（子SKU）'!E:E)</f>
        <v>0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 t="s">
        <v>53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2" t="str">
        <f t="shared" si="15"/>
        <v/>
      </c>
      <c r="W45" s="22" t="str">
        <f t="shared" si="16"/>
        <v/>
      </c>
      <c r="X45" s="22" t="str">
        <f t="shared" si="17"/>
        <v/>
      </c>
      <c r="Y45" s="22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2" t="str">
        <f t="shared" si="2"/>
        <v/>
      </c>
      <c r="AE45" s="22" t="str">
        <f t="shared" si="3"/>
        <v/>
      </c>
      <c r="AF45" s="22" t="str">
        <f t="shared" si="4"/>
        <v/>
      </c>
      <c r="AG45" s="22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2" t="str">
        <f t="shared" si="6"/>
        <v/>
      </c>
      <c r="AM45" s="22" t="str">
        <f t="shared" si="7"/>
        <v/>
      </c>
      <c r="AN45" s="22" t="str">
        <f t="shared" si="8"/>
        <v/>
      </c>
      <c r="AO45" s="22" t="str">
        <f t="shared" si="9"/>
        <v/>
      </c>
      <c r="AP45" s="7">
        <f t="shared" si="10"/>
        <v>0</v>
      </c>
      <c r="AQ45" s="7">
        <f t="shared" si="11"/>
        <v>0</v>
      </c>
      <c r="AR45" s="7">
        <f t="shared" si="12"/>
        <v>0</v>
      </c>
      <c r="AS45" t="str">
        <f t="shared" si="13"/>
        <v>库存为0</v>
      </c>
      <c r="AT45" s="2" t="str">
        <f>IFERROR(时间!$B$4+AS45,"上周无销量")</f>
        <v>上周无销量</v>
      </c>
    </row>
    <row r="46" spans="1:46">
      <c r="A46" t="s">
        <v>416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53</v>
      </c>
      <c r="G46">
        <f>SUMIF('库存（子SKU）'!$C:$C,$A46,'库存（子SKU）'!I:I)</f>
        <v>0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0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2" t="str">
        <f t="shared" si="15"/>
        <v/>
      </c>
      <c r="W46" s="22" t="str">
        <f t="shared" si="16"/>
        <v/>
      </c>
      <c r="X46" s="22" t="str">
        <f t="shared" si="17"/>
        <v/>
      </c>
      <c r="Y46" s="22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2" t="str">
        <f t="shared" si="2"/>
        <v/>
      </c>
      <c r="AE46" s="22" t="str">
        <f t="shared" si="3"/>
        <v/>
      </c>
      <c r="AF46" s="22" t="str">
        <f t="shared" si="4"/>
        <v/>
      </c>
      <c r="AG46" s="22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2" t="str">
        <f t="shared" si="6"/>
        <v/>
      </c>
      <c r="AM46" s="22" t="str">
        <f t="shared" si="7"/>
        <v/>
      </c>
      <c r="AN46" s="22" t="str">
        <f t="shared" si="8"/>
        <v/>
      </c>
      <c r="AO46" s="22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0</v>
      </c>
      <c r="AS46" t="str">
        <f t="shared" si="13"/>
        <v>库存为0</v>
      </c>
      <c r="AT46" s="2" t="str">
        <f>IFERROR(时间!$B$4+AS46,"上周无销量")</f>
        <v>上周无销量</v>
      </c>
    </row>
    <row r="47" spans="1:46">
      <c r="A47" t="s">
        <v>421</v>
      </c>
      <c r="B47" s="5">
        <f>SUMIF('库存（子SKU）'!$C:$C,$A47,'库存（子SKU）'!D:D)</f>
        <v>0</v>
      </c>
      <c r="C47" s="5">
        <f>SUMIF('库存（子SKU）'!$C:$C,$A47,'库存（子SKU）'!E:E)</f>
        <v>4</v>
      </c>
      <c r="D47" s="5">
        <f>SUMIF('库存（子SKU）'!$C:$C,$A47,'库存（子SKU）'!F:F)</f>
        <v>3</v>
      </c>
      <c r="E47" s="5">
        <f>SUMIF('库存（子SKU）'!$C:$C,$A47,'库存（子SKU）'!G:G)</f>
        <v>2</v>
      </c>
      <c r="F47" s="6">
        <v>8.76777777777778</v>
      </c>
      <c r="G47">
        <f>SUMIF('库存（子SKU）'!$C:$C,$A47,'库存（子SKU）'!I:I)</f>
        <v>12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12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2" t="str">
        <f t="shared" si="15"/>
        <v/>
      </c>
      <c r="W47" s="22" t="str">
        <f t="shared" si="16"/>
        <v/>
      </c>
      <c r="X47" s="22" t="str">
        <f t="shared" si="17"/>
        <v/>
      </c>
      <c r="Y47" s="22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2" t="str">
        <f t="shared" si="2"/>
        <v/>
      </c>
      <c r="AE47" s="22">
        <f t="shared" si="3"/>
        <v>0</v>
      </c>
      <c r="AF47" s="22">
        <f t="shared" si="4"/>
        <v>0</v>
      </c>
      <c r="AG47" s="22">
        <f t="shared" si="5"/>
        <v>0</v>
      </c>
      <c r="AH47">
        <f>SUMIF('库存（子SKU）'!$C:$C,$A47,'库存（子SKU）'!AJ:AJ)</f>
        <v>117</v>
      </c>
      <c r="AI47">
        <f>SUMIF('库存（子SKU）'!$C:$C,$A47,'库存（子SKU）'!AK:AK)</f>
        <v>102</v>
      </c>
      <c r="AJ47">
        <f>SUMIF('库存（子SKU）'!$C:$C,$A47,'库存（子SKU）'!AL:AL)</f>
        <v>108</v>
      </c>
      <c r="AK47">
        <f>SUMIF('库存（子SKU）'!$C:$C,$A47,'库存（子SKU）'!AM:AM)</f>
        <v>80</v>
      </c>
      <c r="AL47" s="22">
        <f t="shared" si="6"/>
        <v>0</v>
      </c>
      <c r="AM47" s="22">
        <f t="shared" si="7"/>
        <v>0.0392156862745098</v>
      </c>
      <c r="AN47" s="22">
        <f t="shared" si="8"/>
        <v>0.0277777777777778</v>
      </c>
      <c r="AO47" s="22">
        <f t="shared" si="9"/>
        <v>0.025</v>
      </c>
      <c r="AP47" s="7">
        <f t="shared" si="10"/>
        <v>0</v>
      </c>
      <c r="AQ47" s="7">
        <f t="shared" si="11"/>
        <v>0</v>
      </c>
      <c r="AR47" s="7">
        <f t="shared" si="12"/>
        <v>12</v>
      </c>
      <c r="AS47" t="str">
        <f t="shared" si="13"/>
        <v>库存为12</v>
      </c>
      <c r="AT47" s="2" t="str">
        <f>IFERROR(时间!$B$4+AS47,"上周无销量")</f>
        <v>上周无销量</v>
      </c>
    </row>
    <row r="48" spans="1:46">
      <c r="A48" t="s">
        <v>448</v>
      </c>
      <c r="B48" s="5">
        <f>SUMIF('库存（子SKU）'!$C:$C,$A48,'库存（子SKU）'!D:D)</f>
        <v>14</v>
      </c>
      <c r="C48" s="5">
        <f>SUMIF('库存（子SKU）'!$C:$C,$A48,'库存（子SKU）'!E:E)</f>
        <v>18</v>
      </c>
      <c r="D48" s="5">
        <f>SUMIF('库存（子SKU）'!$C:$C,$A48,'库存（子SKU）'!F:F)</f>
        <v>10</v>
      </c>
      <c r="E48" s="5">
        <f>SUMIF('库存（子SKU）'!$C:$C,$A48,'库存（子SKU）'!G:G)</f>
        <v>14</v>
      </c>
      <c r="F48" s="6">
        <v>20.7221428571429</v>
      </c>
      <c r="G48">
        <f>SUMIF('库存（子SKU）'!$C:$C,$A48,'库存（子SKU）'!I:I)</f>
        <v>102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0"/>
        <v>103</v>
      </c>
      <c r="L48">
        <f>SUMIF('库存（子SKU）'!$C:$C,$A48,'库存（子SKU）'!N:N)</f>
        <v>1</v>
      </c>
      <c r="M48">
        <f>SUMIF('库存（子SKU）'!$C:$C,$A48,'库存（子SKU）'!O:O)</f>
        <v>0</v>
      </c>
      <c r="N48">
        <f>SUMIF('库存（子SKU）'!$C:$C,$A48,'库存（子SKU）'!P:P)</f>
        <v>6122</v>
      </c>
      <c r="O48">
        <f>SUMIF('库存（子SKU）'!$C:$C,$A48,'库存（子SKU）'!Q:Q)</f>
        <v>8893</v>
      </c>
      <c r="P48">
        <f>SUMIF('库存（子SKU）'!$C:$C,$A48,'库存（子SKU）'!R:R)</f>
        <v>41198</v>
      </c>
      <c r="Q48">
        <f>SUMIF('库存（子SKU）'!$C:$C,$A48,'库存（子SKU）'!S:S)</f>
        <v>49045</v>
      </c>
      <c r="R48">
        <f>SUMIF('库存（子SKU）'!$C:$C,$A48,'库存（子SKU）'!T:T)</f>
        <v>23</v>
      </c>
      <c r="S48">
        <f>SUMIF('库存（子SKU）'!$C:$C,$A48,'库存（子SKU）'!U:U)</f>
        <v>32</v>
      </c>
      <c r="T48">
        <f>SUMIF('库存（子SKU）'!$C:$C,$A48,'库存（子SKU）'!V:V)</f>
        <v>84</v>
      </c>
      <c r="U48">
        <f>SUMIF('库存（子SKU）'!$C:$C,$A48,'库存（子SKU）'!W:W)</f>
        <v>118</v>
      </c>
      <c r="V48" s="22">
        <f t="shared" si="15"/>
        <v>0.00375694217575956</v>
      </c>
      <c r="W48" s="22">
        <f t="shared" si="16"/>
        <v>0.00359833576970651</v>
      </c>
      <c r="X48" s="22">
        <f t="shared" si="17"/>
        <v>0.0020389339288315</v>
      </c>
      <c r="Y48" s="22">
        <f t="shared" si="18"/>
        <v>0.00240595371597512</v>
      </c>
      <c r="Z48">
        <f>SUMIF('库存（子SKU）'!$C:$C,$A48,'库存（子SKU）'!AB:AB)</f>
        <v>17.94</v>
      </c>
      <c r="AA48">
        <f>SUMIF('库存（子SKU）'!$C:$C,$A48,'库存（子SKU）'!AC:AC)</f>
        <v>24.51</v>
      </c>
      <c r="AB48">
        <f>SUMIF('库存（子SKU）'!$C:$C,$A48,'库存（子SKU）'!AD:AD)</f>
        <v>56.92</v>
      </c>
      <c r="AC48">
        <f>SUMIF('库存（子SKU）'!$C:$C,$A48,'库存（子SKU）'!AE:AE)</f>
        <v>79.11</v>
      </c>
      <c r="AD48" s="22">
        <f t="shared" si="2"/>
        <v>0.0618386129399192</v>
      </c>
      <c r="AE48" s="22">
        <f t="shared" si="3"/>
        <v>0.0657107074328127</v>
      </c>
      <c r="AF48" s="22">
        <f t="shared" si="4"/>
        <v>0.274682017165902</v>
      </c>
      <c r="AG48" s="22">
        <f t="shared" si="5"/>
        <v>0.272689669435731</v>
      </c>
      <c r="AH48">
        <f>SUMIF('库存（子SKU）'!$C:$C,$A48,'库存（子SKU）'!AJ:AJ)</f>
        <v>60</v>
      </c>
      <c r="AI48">
        <f>SUMIF('库存（子SKU）'!$C:$C,$A48,'库存（子SKU）'!AK:AK)</f>
        <v>134</v>
      </c>
      <c r="AJ48">
        <f>SUMIF('库存（子SKU）'!$C:$C,$A48,'库存（子SKU）'!AL:AL)</f>
        <v>65</v>
      </c>
      <c r="AK48">
        <f>SUMIF('库存（子SKU）'!$C:$C,$A48,'库存（子SKU）'!AM:AM)</f>
        <v>83</v>
      </c>
      <c r="AL48" s="22">
        <f t="shared" si="6"/>
        <v>0.233333333333333</v>
      </c>
      <c r="AM48" s="22">
        <f t="shared" si="7"/>
        <v>0.134328358208955</v>
      </c>
      <c r="AN48" s="22">
        <f t="shared" si="8"/>
        <v>0.153846153846154</v>
      </c>
      <c r="AO48" s="22">
        <f t="shared" si="9"/>
        <v>0.168674698795181</v>
      </c>
      <c r="AP48" s="7">
        <f t="shared" si="10"/>
        <v>2</v>
      </c>
      <c r="AQ48" s="7">
        <f t="shared" si="11"/>
        <v>120</v>
      </c>
      <c r="AR48" s="7">
        <f t="shared" si="12"/>
        <v>-17</v>
      </c>
      <c r="AS48">
        <f t="shared" si="13"/>
        <v>51</v>
      </c>
      <c r="AT48" s="2">
        <f>IFERROR(时间!$B$4+AS48,"上周无销量")</f>
        <v>43390</v>
      </c>
    </row>
    <row r="49" spans="1:46">
      <c r="A49" t="s">
        <v>463</v>
      </c>
      <c r="B49" s="5">
        <f>SUMIF('库存（子SKU）'!$C:$C,$A49,'库存（子SKU）'!D:D)</f>
        <v>0</v>
      </c>
      <c r="C49" s="5">
        <f>SUMIF('库存（子SKU）'!$C:$C,$A49,'库存（子SKU）'!E:E)</f>
        <v>0</v>
      </c>
      <c r="D49" s="5">
        <f>SUMIF('库存（子SKU）'!$C:$C,$A49,'库存（子SKU）'!F:F)</f>
        <v>0</v>
      </c>
      <c r="E49" s="5">
        <f>SUMIF('库存（子SKU）'!$C:$C,$A49,'库存（子SKU）'!G:G)</f>
        <v>0</v>
      </c>
      <c r="F49" s="6" t="s">
        <v>53</v>
      </c>
      <c r="G49">
        <f>SUMIF('库存（子SKU）'!$C:$C,$A49,'库存（子SKU）'!I:I)</f>
        <v>25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25</v>
      </c>
      <c r="L49">
        <f>SUMIF('库存（子SKU）'!$C:$C,$A49,'库存（子SKU）'!N:N)</f>
        <v>0</v>
      </c>
      <c r="M49">
        <f>SUMIF('库存（子SKU）'!$C:$C,$A49,'库存（子SKU）'!O:O)</f>
        <v>25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2" t="str">
        <f t="shared" si="15"/>
        <v/>
      </c>
      <c r="W49" s="22" t="str">
        <f t="shared" si="16"/>
        <v/>
      </c>
      <c r="X49" s="22" t="str">
        <f t="shared" si="17"/>
        <v/>
      </c>
      <c r="Y49" s="22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2" t="str">
        <f t="shared" si="2"/>
        <v/>
      </c>
      <c r="AE49" s="22" t="str">
        <f t="shared" si="3"/>
        <v/>
      </c>
      <c r="AF49" s="22" t="str">
        <f t="shared" si="4"/>
        <v/>
      </c>
      <c r="AG49" s="22" t="str">
        <f t="shared" si="5"/>
        <v/>
      </c>
      <c r="AH49">
        <f>SUMIF('库存（子SKU）'!$C:$C,$A49,'库存（子SKU）'!AJ:AJ)</f>
        <v>13</v>
      </c>
      <c r="AI49">
        <f>SUMIF('库存（子SKU）'!$C:$C,$A49,'库存（子SKU）'!AK:AK)</f>
        <v>8</v>
      </c>
      <c r="AJ49">
        <f>SUMIF('库存（子SKU）'!$C:$C,$A49,'库存（子SKU）'!AL:AL)</f>
        <v>24</v>
      </c>
      <c r="AK49">
        <f>SUMIF('库存（子SKU）'!$C:$C,$A49,'库存（子SKU）'!AM:AM)</f>
        <v>17</v>
      </c>
      <c r="AL49" s="22">
        <f t="shared" si="6"/>
        <v>0</v>
      </c>
      <c r="AM49" s="22">
        <f t="shared" si="7"/>
        <v>0</v>
      </c>
      <c r="AN49" s="22">
        <f t="shared" si="8"/>
        <v>0</v>
      </c>
      <c r="AO49" s="22">
        <f t="shared" si="9"/>
        <v>0</v>
      </c>
      <c r="AP49" s="7">
        <f t="shared" si="10"/>
        <v>0</v>
      </c>
      <c r="AQ49" s="7">
        <f t="shared" si="11"/>
        <v>0</v>
      </c>
      <c r="AR49" s="7">
        <f t="shared" si="12"/>
        <v>25</v>
      </c>
      <c r="AS49" t="str">
        <f t="shared" si="13"/>
        <v>库存为25</v>
      </c>
      <c r="AT49" s="2" t="str">
        <f>IFERROR(时间!$B$4+AS49,"上周无销量")</f>
        <v>上周无销量</v>
      </c>
    </row>
    <row r="50" spans="1:46">
      <c r="A50" t="s">
        <v>476</v>
      </c>
      <c r="B50" s="5">
        <f>SUMIF('库存（子SKU）'!$C:$C,$A50,'库存（子SKU）'!D:D)</f>
        <v>0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0</v>
      </c>
      <c r="F50" s="6" t="s">
        <v>53</v>
      </c>
      <c r="G50">
        <f>SUMIF('库存（子SKU）'!$C:$C,$A50,'库存（子SKU）'!I:I)</f>
        <v>24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24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1585</v>
      </c>
      <c r="P50">
        <f>SUMIF('库存（子SKU）'!$C:$C,$A50,'库存（子SKU）'!R:R)</f>
        <v>1815</v>
      </c>
      <c r="Q50">
        <f>SUMIF('库存（子SKU）'!$C:$C,$A50,'库存（子SKU）'!S:S)</f>
        <v>1699</v>
      </c>
      <c r="R50">
        <f>SUMIF('库存（子SKU）'!$C:$C,$A50,'库存（子SKU）'!T:T)</f>
        <v>0</v>
      </c>
      <c r="S50">
        <f>SUMIF('库存（子SKU）'!$C:$C,$A50,'库存（子SKU）'!U:U)</f>
        <v>5</v>
      </c>
      <c r="T50">
        <f>SUMIF('库存（子SKU）'!$C:$C,$A50,'库存（子SKU）'!V:V)</f>
        <v>7</v>
      </c>
      <c r="U50">
        <f>SUMIF('库存（子SKU）'!$C:$C,$A50,'库存（子SKU）'!W:W)</f>
        <v>7</v>
      </c>
      <c r="V50" s="22" t="str">
        <f t="shared" si="15"/>
        <v/>
      </c>
      <c r="W50" s="22">
        <f t="shared" si="16"/>
        <v>0.00315457413249211</v>
      </c>
      <c r="X50" s="22">
        <f t="shared" si="17"/>
        <v>0.00385674931129477</v>
      </c>
      <c r="Y50" s="22">
        <f t="shared" si="18"/>
        <v>0.00412007062978222</v>
      </c>
      <c r="Z50">
        <f>SUMIF('库存（子SKU）'!$C:$C,$A50,'库存（子SKU）'!AB:AB)</f>
        <v>0</v>
      </c>
      <c r="AA50">
        <f>SUMIF('库存（子SKU）'!$C:$C,$A50,'库存（子SKU）'!AC:AC)</f>
        <v>2.73</v>
      </c>
      <c r="AB50">
        <f>SUMIF('库存（子SKU）'!$C:$C,$A50,'库存（子SKU）'!AD:AD)</f>
        <v>2.97</v>
      </c>
      <c r="AC50">
        <f>SUMIF('库存（子SKU）'!$C:$C,$A50,'库存（子SKU）'!AE:AE)</f>
        <v>2.51</v>
      </c>
      <c r="AD50" s="22" t="str">
        <f t="shared" si="2"/>
        <v/>
      </c>
      <c r="AE50" s="22" t="str">
        <f t="shared" si="3"/>
        <v>无销量广告费为2.73</v>
      </c>
      <c r="AF50" s="22" t="str">
        <f t="shared" si="4"/>
        <v>无销量广告费为2.97</v>
      </c>
      <c r="AG50" s="22" t="str">
        <f t="shared" si="5"/>
        <v>无销量广告费为2.51</v>
      </c>
      <c r="AH50">
        <f>SUMIF('库存（子SKU）'!$C:$C,$A50,'库存（子SKU）'!AJ:AJ)</f>
        <v>12</v>
      </c>
      <c r="AI50">
        <f>SUMIF('库存（子SKU）'!$C:$C,$A50,'库存（子SKU）'!AK:AK)</f>
        <v>4</v>
      </c>
      <c r="AJ50">
        <f>SUMIF('库存（子SKU）'!$C:$C,$A50,'库存（子SKU）'!AL:AL)</f>
        <v>18</v>
      </c>
      <c r="AK50">
        <f>SUMIF('库存（子SKU）'!$C:$C,$A50,'库存（子SKU）'!AM:AM)</f>
        <v>7</v>
      </c>
      <c r="AL50" s="22">
        <f t="shared" si="6"/>
        <v>0</v>
      </c>
      <c r="AM50" s="22">
        <f t="shared" si="7"/>
        <v>0</v>
      </c>
      <c r="AN50" s="22">
        <f t="shared" si="8"/>
        <v>0</v>
      </c>
      <c r="AO50" s="22">
        <f t="shared" si="9"/>
        <v>0</v>
      </c>
      <c r="AP50" s="7">
        <f t="shared" si="10"/>
        <v>0</v>
      </c>
      <c r="AQ50" s="7">
        <f t="shared" si="11"/>
        <v>0</v>
      </c>
      <c r="AR50" s="7">
        <f t="shared" si="12"/>
        <v>24</v>
      </c>
      <c r="AS50" t="str">
        <f t="shared" si="13"/>
        <v>库存为24</v>
      </c>
      <c r="AT50" s="2" t="str">
        <f>IFERROR(时间!$B$4+AS50,"上周无销量")</f>
        <v>上周无销量</v>
      </c>
    </row>
    <row r="51" spans="1:46">
      <c r="A51" t="s">
        <v>482</v>
      </c>
      <c r="B51" s="5">
        <f>SUMIF('库存（子SKU）'!$C:$C,$A51,'库存（子SKU）'!D:D)</f>
        <v>1</v>
      </c>
      <c r="C51" s="5">
        <f>SUMIF('库存（子SKU）'!$C:$C,$A51,'库存（子SKU）'!E:E)</f>
        <v>1</v>
      </c>
      <c r="D51" s="5">
        <f>SUMIF('库存（子SKU）'!$C:$C,$A51,'库存（子SKU）'!F:F)</f>
        <v>7</v>
      </c>
      <c r="E51" s="5">
        <f>SUMIF('库存（子SKU）'!$C:$C,$A51,'库存（子SKU）'!G:G)</f>
        <v>7</v>
      </c>
      <c r="F51" s="6">
        <v>11</v>
      </c>
      <c r="G51">
        <f>SUMIF('库存（子SKU）'!$C:$C,$A51,'库存（子SKU）'!I:I)</f>
        <v>2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2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5930</v>
      </c>
      <c r="P51">
        <f>SUMIF('库存（子SKU）'!$C:$C,$A51,'库存（子SKU）'!R:R)</f>
        <v>22227</v>
      </c>
      <c r="Q51">
        <f>SUMIF('库存（子SKU）'!$C:$C,$A51,'库存（子SKU）'!S:S)</f>
        <v>11774</v>
      </c>
      <c r="R51">
        <f>SUMIF('库存（子SKU）'!$C:$C,$A51,'库存（子SKU）'!T:T)</f>
        <v>0</v>
      </c>
      <c r="S51">
        <f>SUMIF('库存（子SKU）'!$C:$C,$A51,'库存（子SKU）'!U:U)</f>
        <v>99</v>
      </c>
      <c r="T51">
        <f>SUMIF('库存（子SKU）'!$C:$C,$A51,'库存（子SKU）'!V:V)</f>
        <v>198</v>
      </c>
      <c r="U51">
        <f>SUMIF('库存（子SKU）'!$C:$C,$A51,'库存（子SKU）'!W:W)</f>
        <v>41</v>
      </c>
      <c r="V51" s="22" t="str">
        <f t="shared" si="15"/>
        <v/>
      </c>
      <c r="W51" s="22">
        <f t="shared" si="16"/>
        <v>0.0166947723440135</v>
      </c>
      <c r="X51" s="22">
        <f t="shared" si="17"/>
        <v>0.00890808476177622</v>
      </c>
      <c r="Y51" s="22">
        <f t="shared" si="18"/>
        <v>0.00348224902327162</v>
      </c>
      <c r="Z51">
        <f>SUMIF('库存（子SKU）'!$C:$C,$A51,'库存（子SKU）'!AB:AB)</f>
        <v>0</v>
      </c>
      <c r="AA51">
        <f>SUMIF('库存（子SKU）'!$C:$C,$A51,'库存（子SKU）'!AC:AC)</f>
        <v>30.78</v>
      </c>
      <c r="AB51">
        <f>SUMIF('库存（子SKU）'!$C:$C,$A51,'库存（子SKU）'!AD:AD)</f>
        <v>54.33</v>
      </c>
      <c r="AC51">
        <f>SUMIF('库存（子SKU）'!$C:$C,$A51,'库存（子SKU）'!AE:AE)</f>
        <v>9.49</v>
      </c>
      <c r="AD51" s="22">
        <f t="shared" si="2"/>
        <v>0</v>
      </c>
      <c r="AE51" s="22">
        <f t="shared" si="3"/>
        <v>2.79818181818182</v>
      </c>
      <c r="AF51" s="22">
        <f t="shared" si="4"/>
        <v>0.705584415584416</v>
      </c>
      <c r="AG51" s="22">
        <f t="shared" si="5"/>
        <v>0.123246753246753</v>
      </c>
      <c r="AH51">
        <f>SUMIF('库存（子SKU）'!$C:$C,$A51,'库存（子SKU）'!AJ:AJ)</f>
        <v>31</v>
      </c>
      <c r="AI51">
        <f>SUMIF('库存（子SKU）'!$C:$C,$A51,'库存（子SKU）'!AK:AK)</f>
        <v>34</v>
      </c>
      <c r="AJ51">
        <f>SUMIF('库存（子SKU）'!$C:$C,$A51,'库存（子SKU）'!AL:AL)</f>
        <v>134</v>
      </c>
      <c r="AK51">
        <f>SUMIF('库存（子SKU）'!$C:$C,$A51,'库存（子SKU）'!AM:AM)</f>
        <v>134</v>
      </c>
      <c r="AL51" s="22">
        <f t="shared" si="6"/>
        <v>0.032258064516129</v>
      </c>
      <c r="AM51" s="22">
        <f t="shared" si="7"/>
        <v>0.0294117647058824</v>
      </c>
      <c r="AN51" s="22">
        <f t="shared" si="8"/>
        <v>0.0522388059701493</v>
      </c>
      <c r="AO51" s="22">
        <f t="shared" si="9"/>
        <v>0.0522388059701493</v>
      </c>
      <c r="AP51" s="7">
        <f t="shared" si="10"/>
        <v>0.142857142857143</v>
      </c>
      <c r="AQ51" s="7">
        <f t="shared" si="11"/>
        <v>8.57142857142857</v>
      </c>
      <c r="AR51" s="7">
        <f t="shared" si="12"/>
        <v>-6.57142857142857</v>
      </c>
      <c r="AS51">
        <f t="shared" si="13"/>
        <v>14</v>
      </c>
      <c r="AT51" s="2">
        <f>IFERROR(时间!$B$4+AS51,"上周无销量")</f>
        <v>43353</v>
      </c>
    </row>
    <row r="52" spans="1:46">
      <c r="A52" t="s">
        <v>493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53</v>
      </c>
      <c r="G52">
        <f>SUMIF('库存（子SKU）'!$C:$C,$A52,'库存（子SKU）'!I:I)</f>
        <v>5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5</v>
      </c>
      <c r="L52">
        <f>SUMIF('库存（子SKU）'!$C:$C,$A52,'库存（子SKU）'!N:N)</f>
        <v>1</v>
      </c>
      <c r="M52">
        <f>SUMIF('库存（子SKU）'!$C:$C,$A52,'库存（子SKU）'!O:O)</f>
        <v>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2" t="str">
        <f t="shared" si="15"/>
        <v/>
      </c>
      <c r="W52" s="22" t="str">
        <f t="shared" si="16"/>
        <v/>
      </c>
      <c r="X52" s="22" t="str">
        <f t="shared" si="17"/>
        <v/>
      </c>
      <c r="Y52" s="22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2" t="str">
        <f t="shared" si="2"/>
        <v/>
      </c>
      <c r="AE52" s="22" t="str">
        <f t="shared" si="3"/>
        <v/>
      </c>
      <c r="AF52" s="22" t="str">
        <f t="shared" si="4"/>
        <v/>
      </c>
      <c r="AG52" s="22" t="str">
        <f t="shared" si="5"/>
        <v/>
      </c>
      <c r="AH52">
        <f>SUMIF('库存（子SKU）'!$C:$C,$A52,'库存（子SKU）'!AJ:AJ)</f>
        <v>3</v>
      </c>
      <c r="AI52">
        <f>SUMIF('库存（子SKU）'!$C:$C,$A52,'库存（子SKU）'!AK:AK)</f>
        <v>8</v>
      </c>
      <c r="AJ52">
        <f>SUMIF('库存（子SKU）'!$C:$C,$A52,'库存（子SKU）'!AL:AL)</f>
        <v>65</v>
      </c>
      <c r="AK52">
        <f>SUMIF('库存（子SKU）'!$C:$C,$A52,'库存（子SKU）'!AM:AM)</f>
        <v>28</v>
      </c>
      <c r="AL52" s="22">
        <f t="shared" si="6"/>
        <v>0</v>
      </c>
      <c r="AM52" s="22">
        <f t="shared" si="7"/>
        <v>0</v>
      </c>
      <c r="AN52" s="22">
        <f t="shared" si="8"/>
        <v>0</v>
      </c>
      <c r="AO52" s="22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5</v>
      </c>
      <c r="AS52" t="str">
        <f t="shared" si="13"/>
        <v>库存为5</v>
      </c>
      <c r="AT52" s="2" t="str">
        <f>IFERROR(时间!$B$4+AS52,"上周无销量")</f>
        <v>上周无销量</v>
      </c>
    </row>
    <row r="53" spans="1:46">
      <c r="A53" t="s">
        <v>526</v>
      </c>
      <c r="B53" s="5">
        <f>SUMIF('库存（子SKU）'!$C:$C,$A53,'库存（子SKU）'!D:D)</f>
        <v>0</v>
      </c>
      <c r="C53" s="5">
        <f>SUMIF('库存（子SKU）'!$C:$C,$A53,'库存（子SKU）'!E:E)</f>
        <v>0</v>
      </c>
      <c r="D53" s="5">
        <f>SUMIF('库存（子SKU）'!$C:$C,$A53,'库存（子SKU）'!F:F)</f>
        <v>0</v>
      </c>
      <c r="E53" s="5">
        <f>SUMIF('库存（子SKU）'!$C:$C,$A53,'库存（子SKU）'!G:G)</f>
        <v>0</v>
      </c>
      <c r="F53" s="6" t="s">
        <v>53</v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2" t="str">
        <f t="shared" si="15"/>
        <v/>
      </c>
      <c r="W53" s="22" t="str">
        <f t="shared" si="16"/>
        <v/>
      </c>
      <c r="X53" s="22" t="str">
        <f t="shared" si="17"/>
        <v/>
      </c>
      <c r="Y53" s="22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2" t="str">
        <f t="shared" si="2"/>
        <v/>
      </c>
      <c r="AE53" s="22" t="str">
        <f t="shared" si="3"/>
        <v/>
      </c>
      <c r="AF53" s="22" t="str">
        <f t="shared" si="4"/>
        <v/>
      </c>
      <c r="AG53" s="22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35</v>
      </c>
      <c r="AK53">
        <f>SUMIF('库存（子SKU）'!$C:$C,$A53,'库存（子SKU）'!AM:AM)</f>
        <v>10</v>
      </c>
      <c r="AL53" s="22" t="str">
        <f t="shared" si="6"/>
        <v/>
      </c>
      <c r="AM53" s="22" t="str">
        <f t="shared" si="7"/>
        <v/>
      </c>
      <c r="AN53" s="22">
        <f t="shared" si="8"/>
        <v>0</v>
      </c>
      <c r="AO53" s="22">
        <f t="shared" si="9"/>
        <v>0</v>
      </c>
      <c r="AP53" s="7">
        <f t="shared" si="10"/>
        <v>0</v>
      </c>
      <c r="AQ53" s="7">
        <f t="shared" si="11"/>
        <v>0</v>
      </c>
      <c r="AR53" s="7">
        <f t="shared" si="12"/>
        <v>0</v>
      </c>
      <c r="AS53" t="str">
        <f t="shared" si="13"/>
        <v>库存为0</v>
      </c>
      <c r="AT53" s="2" t="str">
        <f>IFERROR(时间!$B$4+AS53,"上周无销量")</f>
        <v>上周无销量</v>
      </c>
    </row>
    <row r="54" spans="1:46">
      <c r="A54" t="s">
        <v>543</v>
      </c>
      <c r="B54" s="5">
        <f>SUMIF('库存（子SKU）'!$C:$C,$A54,'库存（子SKU）'!D:D)</f>
        <v>0</v>
      </c>
      <c r="C54" s="5">
        <f>SUMIF('库存（子SKU）'!$C:$C,$A54,'库存（子SKU）'!E:E)</f>
        <v>0</v>
      </c>
      <c r="D54" s="5">
        <f>SUMIF('库存（子SKU）'!$C:$C,$A54,'库存（子SKU）'!F:F)</f>
        <v>0</v>
      </c>
      <c r="E54" s="5">
        <f>SUMIF('库存（子SKU）'!$C:$C,$A54,'库存（子SKU）'!G:G)</f>
        <v>0</v>
      </c>
      <c r="F54" s="6" t="s">
        <v>53</v>
      </c>
      <c r="G54">
        <f>SUMIF('库存（子SKU）'!$C:$C,$A54,'库存（子SKU）'!I:I)</f>
        <v>9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9</v>
      </c>
      <c r="L54">
        <f>SUMIF('库存（子SKU）'!$C:$C,$A54,'库存（子SKU）'!N:N)</f>
        <v>0</v>
      </c>
      <c r="M54">
        <f>SUMIF('库存（子SKU）'!$C:$C,$A54,'库存（子SKU）'!O:O)</f>
        <v>8</v>
      </c>
      <c r="N54">
        <f>SUMIF('库存（子SKU）'!$C:$C,$A54,'库存（子SKU）'!P:P)</f>
        <v>0</v>
      </c>
      <c r="O54">
        <f>SUMIF('库存（子SKU）'!$C:$C,$A54,'库存（子SKU）'!Q:Q)</f>
        <v>6</v>
      </c>
      <c r="P54">
        <f>SUMIF('库存（子SKU）'!$C:$C,$A54,'库存（子SKU）'!R:R)</f>
        <v>14</v>
      </c>
      <c r="Q54">
        <f>SUMIF('库存（子SKU）'!$C:$C,$A54,'库存（子SKU）'!S:S)</f>
        <v>8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2" t="str">
        <f t="shared" si="15"/>
        <v/>
      </c>
      <c r="W54" s="22">
        <f t="shared" si="16"/>
        <v>0</v>
      </c>
      <c r="X54" s="22">
        <f t="shared" si="17"/>
        <v>0</v>
      </c>
      <c r="Y54" s="22">
        <f t="shared" si="18"/>
        <v>0</v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2" t="str">
        <f t="shared" si="2"/>
        <v/>
      </c>
      <c r="AE54" s="22" t="str">
        <f t="shared" si="3"/>
        <v/>
      </c>
      <c r="AF54" s="22" t="str">
        <f t="shared" si="4"/>
        <v/>
      </c>
      <c r="AG54" s="22" t="str">
        <f t="shared" si="5"/>
        <v/>
      </c>
      <c r="AH54">
        <f>SUMIF('库存（子SKU）'!$C:$C,$A54,'库存（子SKU）'!AJ:AJ)</f>
        <v>11</v>
      </c>
      <c r="AI54">
        <f>SUMIF('库存（子SKU）'!$C:$C,$A54,'库存（子SKU）'!AK:AK)</f>
        <v>7</v>
      </c>
      <c r="AJ54">
        <f>SUMIF('库存（子SKU）'!$C:$C,$A54,'库存（子SKU）'!AL:AL)</f>
        <v>5</v>
      </c>
      <c r="AK54">
        <f>SUMIF('库存（子SKU）'!$C:$C,$A54,'库存（子SKU）'!AM:AM)</f>
        <v>6</v>
      </c>
      <c r="AL54" s="22">
        <f t="shared" si="6"/>
        <v>0</v>
      </c>
      <c r="AM54" s="22">
        <f t="shared" si="7"/>
        <v>0</v>
      </c>
      <c r="AN54" s="22">
        <f t="shared" si="8"/>
        <v>0</v>
      </c>
      <c r="AO54" s="22">
        <f t="shared" si="9"/>
        <v>0</v>
      </c>
      <c r="AP54" s="7">
        <f t="shared" si="10"/>
        <v>0</v>
      </c>
      <c r="AQ54" s="7">
        <f t="shared" si="11"/>
        <v>0</v>
      </c>
      <c r="AR54" s="7">
        <f t="shared" si="12"/>
        <v>9</v>
      </c>
      <c r="AS54" t="str">
        <f t="shared" si="13"/>
        <v>库存为9</v>
      </c>
      <c r="AT54" s="2" t="str">
        <f>IFERROR(时间!$B$4+AS54,"上周无销量")</f>
        <v>上周无销量</v>
      </c>
    </row>
    <row r="55" spans="1:46">
      <c r="A55" t="s">
        <v>554</v>
      </c>
      <c r="B55" s="5">
        <f>SUMIF('库存（子SKU）'!$C:$C,$A55,'库存（子SKU）'!D:D)</f>
        <v>1</v>
      </c>
      <c r="C55" s="5">
        <f>SUMIF('库存（子SKU）'!$C:$C,$A55,'库存（子SKU）'!E:E)</f>
        <v>2</v>
      </c>
      <c r="D55" s="5">
        <f>SUMIF('库存（子SKU）'!$C:$C,$A55,'库存（子SKU）'!F:F)</f>
        <v>0</v>
      </c>
      <c r="E55" s="5">
        <f>SUMIF('库存（子SKU）'!$C:$C,$A55,'库存（子SKU）'!G:G)</f>
        <v>4</v>
      </c>
      <c r="F55" s="6">
        <v>13.8471428571429</v>
      </c>
      <c r="G55">
        <f>SUMIF('库存（子SKU）'!$C:$C,$A55,'库存（子SKU）'!I:I)</f>
        <v>50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50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148</v>
      </c>
      <c r="P55">
        <f>SUMIF('库存（子SKU）'!$C:$C,$A55,'库存（子SKU）'!R:R)</f>
        <v>368</v>
      </c>
      <c r="Q55">
        <f>SUMIF('库存（子SKU）'!$C:$C,$A55,'库存（子SKU）'!S:S)</f>
        <v>352</v>
      </c>
      <c r="R55">
        <f>SUMIF('库存（子SKU）'!$C:$C,$A55,'库存（子SKU）'!T:T)</f>
        <v>0</v>
      </c>
      <c r="S55">
        <f>SUMIF('库存（子SKU）'!$C:$C,$A55,'库存（子SKU）'!U:U)</f>
        <v>4</v>
      </c>
      <c r="T55">
        <f>SUMIF('库存（子SKU）'!$C:$C,$A55,'库存（子SKU）'!V:V)</f>
        <v>1</v>
      </c>
      <c r="U55">
        <f>SUMIF('库存（子SKU）'!$C:$C,$A55,'库存（子SKU）'!W:W)</f>
        <v>2</v>
      </c>
      <c r="V55" s="22" t="str">
        <f t="shared" si="15"/>
        <v/>
      </c>
      <c r="W55" s="22">
        <f t="shared" si="16"/>
        <v>0.027027027027027</v>
      </c>
      <c r="X55" s="22">
        <f t="shared" si="17"/>
        <v>0.00271739130434783</v>
      </c>
      <c r="Y55" s="22">
        <f t="shared" si="18"/>
        <v>0.00568181818181818</v>
      </c>
      <c r="Z55">
        <f>SUMIF('库存（子SKU）'!$C:$C,$A55,'库存（子SKU）'!AB:AB)</f>
        <v>0</v>
      </c>
      <c r="AA55">
        <f>SUMIF('库存（子SKU）'!$C:$C,$A55,'库存（子SKU）'!AC:AC)</f>
        <v>2.12</v>
      </c>
      <c r="AB55">
        <f>SUMIF('库存（子SKU）'!$C:$C,$A55,'库存（子SKU）'!AD:AD)</f>
        <v>0.75</v>
      </c>
      <c r="AC55">
        <f>SUMIF('库存（子SKU）'!$C:$C,$A55,'库存（子SKU）'!AE:AE)</f>
        <v>1.33</v>
      </c>
      <c r="AD55" s="22">
        <f t="shared" si="2"/>
        <v>0</v>
      </c>
      <c r="AE55" s="22">
        <f t="shared" si="3"/>
        <v>0.0765500876921487</v>
      </c>
      <c r="AF55" s="22" t="str">
        <f t="shared" si="4"/>
        <v>无销量广告费为0.75</v>
      </c>
      <c r="AG55" s="22">
        <f t="shared" si="5"/>
        <v>0.0240121737336221</v>
      </c>
      <c r="AH55">
        <f>SUMIF('库存（子SKU）'!$C:$C,$A55,'库存（子SKU）'!AJ:AJ)</f>
        <v>20</v>
      </c>
      <c r="AI55">
        <f>SUMIF('库存（子SKU）'!$C:$C,$A55,'库存（子SKU）'!AK:AK)</f>
        <v>10</v>
      </c>
      <c r="AJ55">
        <f>SUMIF('库存（子SKU）'!$C:$C,$A55,'库存（子SKU）'!AL:AL)</f>
        <v>22</v>
      </c>
      <c r="AK55">
        <f>SUMIF('库存（子SKU）'!$C:$C,$A55,'库存（子SKU）'!AM:AM)</f>
        <v>23</v>
      </c>
      <c r="AL55" s="22">
        <f t="shared" si="6"/>
        <v>0.05</v>
      </c>
      <c r="AM55" s="22">
        <f t="shared" si="7"/>
        <v>0.2</v>
      </c>
      <c r="AN55" s="22">
        <f t="shared" si="8"/>
        <v>0</v>
      </c>
      <c r="AO55" s="22">
        <f t="shared" si="9"/>
        <v>0.173913043478261</v>
      </c>
      <c r="AP55" s="7">
        <f t="shared" si="10"/>
        <v>0.142857142857143</v>
      </c>
      <c r="AQ55" s="7">
        <f t="shared" si="11"/>
        <v>8.57142857142857</v>
      </c>
      <c r="AR55" s="7">
        <f t="shared" si="12"/>
        <v>41.4285714285714</v>
      </c>
      <c r="AS55">
        <f t="shared" si="13"/>
        <v>350</v>
      </c>
      <c r="AT55" s="2">
        <f>IFERROR(时间!$B$4+AS55,"上周无销量")</f>
        <v>43689</v>
      </c>
    </row>
    <row r="56" spans="1:46">
      <c r="A56" t="s">
        <v>567</v>
      </c>
      <c r="B56" s="5">
        <f>SUMIF('库存（子SKU）'!$C:$C,$A56,'库存（子SKU）'!D:D)</f>
        <v>0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 t="s">
        <v>53</v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0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2" t="str">
        <f t="shared" si="15"/>
        <v/>
      </c>
      <c r="W56" s="22" t="str">
        <f t="shared" si="16"/>
        <v/>
      </c>
      <c r="X56" s="22" t="str">
        <f t="shared" si="17"/>
        <v/>
      </c>
      <c r="Y56" s="22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2" t="str">
        <f t="shared" si="2"/>
        <v/>
      </c>
      <c r="AE56" s="22" t="str">
        <f t="shared" si="3"/>
        <v/>
      </c>
      <c r="AF56" s="22" t="str">
        <f t="shared" si="4"/>
        <v/>
      </c>
      <c r="AG56" s="22" t="str">
        <f t="shared" si="5"/>
        <v/>
      </c>
      <c r="AH56">
        <f>SUMIF('库存（子SKU）'!$C:$C,$A56,'库存（子SKU）'!AJ:AJ)</f>
        <v>0</v>
      </c>
      <c r="AI56">
        <f>SUMIF('库存（子SKU）'!$C:$C,$A56,'库存（子SKU）'!AK:AK)</f>
        <v>0</v>
      </c>
      <c r="AJ56">
        <f>SUMIF('库存（子SKU）'!$C:$C,$A56,'库存（子SKU）'!AL:AL)</f>
        <v>0</v>
      </c>
      <c r="AK56">
        <f>SUMIF('库存（子SKU）'!$C:$C,$A56,'库存（子SKU）'!AM:AM)</f>
        <v>0</v>
      </c>
      <c r="AL56" s="22" t="str">
        <f t="shared" si="6"/>
        <v/>
      </c>
      <c r="AM56" s="22" t="str">
        <f t="shared" si="7"/>
        <v/>
      </c>
      <c r="AN56" s="22" t="str">
        <f t="shared" si="8"/>
        <v/>
      </c>
      <c r="AO56" s="22" t="str">
        <f t="shared" si="9"/>
        <v/>
      </c>
      <c r="AP56" s="7">
        <f t="shared" si="10"/>
        <v>0</v>
      </c>
      <c r="AQ56" s="7">
        <f t="shared" si="11"/>
        <v>0</v>
      </c>
      <c r="AR56" s="7">
        <f t="shared" si="12"/>
        <v>0</v>
      </c>
      <c r="AS56" t="str">
        <f t="shared" si="13"/>
        <v>库存为0</v>
      </c>
      <c r="AT56" s="2" t="str">
        <f>IFERROR(时间!$B$4+AS56,"上周无销量")</f>
        <v>上周无销量</v>
      </c>
    </row>
    <row r="57" spans="1:46">
      <c r="A57" t="s">
        <v>572</v>
      </c>
      <c r="B57" s="5">
        <f>SUMIF('库存（子SKU）'!$C:$C,$A57,'库存（子SKU）'!D:D)</f>
        <v>0</v>
      </c>
      <c r="C57" s="5">
        <f>SUMIF('库存（子SKU）'!$C:$C,$A57,'库存（子SKU）'!E:E)</f>
        <v>0</v>
      </c>
      <c r="D57" s="5">
        <f>SUMIF('库存（子SKU）'!$C:$C,$A57,'库存（子SKU）'!F:F)</f>
        <v>0</v>
      </c>
      <c r="E57" s="5">
        <f>SUMIF('库存（子SKU）'!$C:$C,$A57,'库存（子SKU）'!G:G)</f>
        <v>0</v>
      </c>
      <c r="F57" s="6" t="s">
        <v>53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2" t="str">
        <f t="shared" si="15"/>
        <v/>
      </c>
      <c r="W57" s="22" t="str">
        <f t="shared" si="16"/>
        <v/>
      </c>
      <c r="X57" s="22" t="str">
        <f t="shared" si="17"/>
        <v/>
      </c>
      <c r="Y57" s="22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2" t="str">
        <f t="shared" si="2"/>
        <v/>
      </c>
      <c r="AE57" s="22" t="str">
        <f t="shared" si="3"/>
        <v/>
      </c>
      <c r="AF57" s="22" t="str">
        <f t="shared" si="4"/>
        <v/>
      </c>
      <c r="AG57" s="22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2" t="str">
        <f t="shared" si="6"/>
        <v/>
      </c>
      <c r="AM57" s="22" t="str">
        <f t="shared" si="7"/>
        <v/>
      </c>
      <c r="AN57" s="22" t="str">
        <f t="shared" si="8"/>
        <v/>
      </c>
      <c r="AO57" s="22" t="str">
        <f t="shared" si="9"/>
        <v/>
      </c>
      <c r="AP57" s="7">
        <f t="shared" si="10"/>
        <v>0</v>
      </c>
      <c r="AQ57" s="7">
        <f t="shared" si="11"/>
        <v>0</v>
      </c>
      <c r="AR57" s="7">
        <f t="shared" si="12"/>
        <v>0</v>
      </c>
      <c r="AS57" t="str">
        <f t="shared" si="13"/>
        <v>库存为0</v>
      </c>
      <c r="AT57" s="2" t="str">
        <f>IFERROR(时间!$B$4+AS57,"上周无销量")</f>
        <v>上周无销量</v>
      </c>
    </row>
    <row r="58" spans="1:46">
      <c r="A58" t="s">
        <v>575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53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2" t="str">
        <f t="shared" si="15"/>
        <v/>
      </c>
      <c r="W58" s="22" t="str">
        <f t="shared" si="16"/>
        <v/>
      </c>
      <c r="X58" s="22" t="str">
        <f t="shared" si="17"/>
        <v/>
      </c>
      <c r="Y58" s="22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2" t="str">
        <f t="shared" si="2"/>
        <v/>
      </c>
      <c r="AE58" s="22" t="str">
        <f t="shared" si="3"/>
        <v/>
      </c>
      <c r="AF58" s="22" t="str">
        <f t="shared" si="4"/>
        <v/>
      </c>
      <c r="AG58" s="22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2" t="str">
        <f t="shared" si="6"/>
        <v/>
      </c>
      <c r="AM58" s="22" t="str">
        <f t="shared" si="7"/>
        <v/>
      </c>
      <c r="AN58" s="22" t="str">
        <f t="shared" si="8"/>
        <v/>
      </c>
      <c r="AO58" s="22" t="str">
        <f t="shared" si="9"/>
        <v/>
      </c>
      <c r="AP58" s="7">
        <f t="shared" si="10"/>
        <v>0</v>
      </c>
      <c r="AQ58" s="7">
        <f t="shared" si="11"/>
        <v>0</v>
      </c>
      <c r="AR58" s="7">
        <f t="shared" si="12"/>
        <v>0</v>
      </c>
      <c r="AS58" t="str">
        <f t="shared" si="13"/>
        <v>库存为0</v>
      </c>
      <c r="AT58" s="2" t="str">
        <f>IFERROR(时间!$B$4+AS58,"上周无销量")</f>
        <v>上周无销量</v>
      </c>
    </row>
    <row r="59" spans="1:46">
      <c r="A59" t="s">
        <v>578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53</v>
      </c>
      <c r="G59">
        <f>SUMIF('库存（子SKU）'!$C:$C,$A59,'库存（子SKU）'!I:I)</f>
        <v>0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0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2" t="str">
        <f t="shared" si="15"/>
        <v/>
      </c>
      <c r="W59" s="22" t="str">
        <f t="shared" si="16"/>
        <v/>
      </c>
      <c r="X59" s="22" t="str">
        <f t="shared" si="17"/>
        <v/>
      </c>
      <c r="Y59" s="22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2" t="str">
        <f t="shared" si="2"/>
        <v/>
      </c>
      <c r="AE59" s="22" t="str">
        <f t="shared" si="3"/>
        <v/>
      </c>
      <c r="AF59" s="22" t="str">
        <f t="shared" si="4"/>
        <v/>
      </c>
      <c r="AG59" s="22" t="str">
        <f t="shared" si="5"/>
        <v/>
      </c>
      <c r="AH59">
        <f>SUMIF('库存（子SKU）'!$C:$C,$A59,'库存（子SKU）'!AJ:AJ)</f>
        <v>0</v>
      </c>
      <c r="AI59">
        <f>SUMIF('库存（子SKU）'!$C:$C,$A59,'库存（子SKU）'!AK:AK)</f>
        <v>0</v>
      </c>
      <c r="AJ59">
        <f>SUMIF('库存（子SKU）'!$C:$C,$A59,'库存（子SKU）'!AL:AL)</f>
        <v>0</v>
      </c>
      <c r="AK59">
        <f>SUMIF('库存（子SKU）'!$C:$C,$A59,'库存（子SKU）'!AM:AM)</f>
        <v>0</v>
      </c>
      <c r="AL59" s="22" t="str">
        <f t="shared" si="6"/>
        <v/>
      </c>
      <c r="AM59" s="22" t="str">
        <f t="shared" si="7"/>
        <v/>
      </c>
      <c r="AN59" s="22" t="str">
        <f t="shared" si="8"/>
        <v/>
      </c>
      <c r="AO59" s="22" t="str">
        <f t="shared" si="9"/>
        <v/>
      </c>
      <c r="AP59" s="7">
        <f t="shared" si="10"/>
        <v>0</v>
      </c>
      <c r="AQ59" s="7">
        <f t="shared" si="11"/>
        <v>0</v>
      </c>
      <c r="AR59" s="7">
        <f t="shared" si="12"/>
        <v>0</v>
      </c>
      <c r="AS59" t="str">
        <f t="shared" si="13"/>
        <v>库存为0</v>
      </c>
      <c r="AT59" s="2" t="str">
        <f>IFERROR(时间!$B$4+AS59,"上周无销量")</f>
        <v>上周无销量</v>
      </c>
    </row>
    <row r="60" spans="1:46">
      <c r="A60" t="s">
        <v>581</v>
      </c>
      <c r="B60" s="5">
        <f>SUMIF('库存（子SKU）'!$C:$C,$A60,'库存（子SKU）'!D:D)</f>
        <v>1</v>
      </c>
      <c r="C60" s="5">
        <f>SUMIF('库存（子SKU）'!$C:$C,$A60,'库存（子SKU）'!E:E)</f>
        <v>2</v>
      </c>
      <c r="D60" s="5">
        <f>SUMIF('库存（子SKU）'!$C:$C,$A60,'库存（子SKU）'!F:F)</f>
        <v>0</v>
      </c>
      <c r="E60" s="5">
        <f>SUMIF('库存（子SKU）'!$C:$C,$A60,'库存（子SKU）'!G:G)</f>
        <v>2</v>
      </c>
      <c r="F60" s="6">
        <v>12.79</v>
      </c>
      <c r="G60">
        <f>SUMIF('库存（子SKU）'!$C:$C,$A60,'库存（子SKU）'!I:I)</f>
        <v>30</v>
      </c>
      <c r="H60">
        <f>SUMIF('库存（子SKU）'!$C:$C,$A60,'库存（子SKU）'!J:J)</f>
        <v>50</v>
      </c>
      <c r="I60">
        <f>SUMIF('库存（子SKU）'!$C:$C,$A60,'库存（子SKU）'!K:K)</f>
        <v>1</v>
      </c>
      <c r="J60">
        <f>SUMIF('库存（子SKU）'!$C:$C,$A60,'库存（子SKU）'!L:L)</f>
        <v>0</v>
      </c>
      <c r="K60">
        <f t="shared" si="0"/>
        <v>81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2123</v>
      </c>
      <c r="P60">
        <f>SUMIF('库存（子SKU）'!$C:$C,$A60,'库存（子SKU）'!R:R)</f>
        <v>4110</v>
      </c>
      <c r="Q60">
        <f>SUMIF('库存（子SKU）'!$C:$C,$A60,'库存（子SKU）'!S:S)</f>
        <v>3222</v>
      </c>
      <c r="R60">
        <f>SUMIF('库存（子SKU）'!$C:$C,$A60,'库存（子SKU）'!T:T)</f>
        <v>0</v>
      </c>
      <c r="S60">
        <f>SUMIF('库存（子SKU）'!$C:$C,$A60,'库存（子SKU）'!U:U)</f>
        <v>5</v>
      </c>
      <c r="T60">
        <f>SUMIF('库存（子SKU）'!$C:$C,$A60,'库存（子SKU）'!V:V)</f>
        <v>11</v>
      </c>
      <c r="U60">
        <f>SUMIF('库存（子SKU）'!$C:$C,$A60,'库存（子SKU）'!W:W)</f>
        <v>7</v>
      </c>
      <c r="V60" s="22" t="str">
        <f t="shared" si="15"/>
        <v/>
      </c>
      <c r="W60" s="22">
        <f t="shared" si="16"/>
        <v>0.0023551577955723</v>
      </c>
      <c r="X60" s="22">
        <f t="shared" si="17"/>
        <v>0.00267639902676399</v>
      </c>
      <c r="Y60" s="22">
        <f t="shared" si="18"/>
        <v>0.00217256362507759</v>
      </c>
      <c r="Z60">
        <f>SUMIF('库存（子SKU）'!$C:$C,$A60,'库存（子SKU）'!AB:AB)</f>
        <v>0</v>
      </c>
      <c r="AA60">
        <f>SUMIF('库存（子SKU）'!$C:$C,$A60,'库存（子SKU）'!AC:AC)</f>
        <v>4.33</v>
      </c>
      <c r="AB60">
        <f>SUMIF('库存（子SKU）'!$C:$C,$A60,'库存（子SKU）'!AD:AD)</f>
        <v>10.64</v>
      </c>
      <c r="AC60">
        <f>SUMIF('库存（子SKU）'!$C:$C,$A60,'库存（子SKU）'!AE:AE)</f>
        <v>6.68</v>
      </c>
      <c r="AD60" s="22">
        <f t="shared" si="2"/>
        <v>0</v>
      </c>
      <c r="AE60" s="22">
        <f t="shared" si="3"/>
        <v>0.169272869429242</v>
      </c>
      <c r="AF60" s="22" t="str">
        <f t="shared" si="4"/>
        <v>无销量广告费为10.64</v>
      </c>
      <c r="AG60" s="22">
        <f t="shared" si="5"/>
        <v>0.261141516810008</v>
      </c>
      <c r="AH60">
        <f>SUMIF('库存（子SKU）'!$C:$C,$A60,'库存（子SKU）'!AJ:AJ)</f>
        <v>25</v>
      </c>
      <c r="AI60">
        <f>SUMIF('库存（子SKU）'!$C:$C,$A60,'库存（子SKU）'!AK:AK)</f>
        <v>23</v>
      </c>
      <c r="AJ60">
        <f>SUMIF('库存（子SKU）'!$C:$C,$A60,'库存（子SKU）'!AL:AL)</f>
        <v>23</v>
      </c>
      <c r="AK60">
        <f>SUMIF('库存（子SKU）'!$C:$C,$A60,'库存（子SKU）'!AM:AM)</f>
        <v>25</v>
      </c>
      <c r="AL60" s="22">
        <f t="shared" si="6"/>
        <v>0.04</v>
      </c>
      <c r="AM60" s="22">
        <f t="shared" si="7"/>
        <v>0.0869565217391304</v>
      </c>
      <c r="AN60" s="22">
        <f t="shared" si="8"/>
        <v>0</v>
      </c>
      <c r="AO60" s="22">
        <f t="shared" si="9"/>
        <v>0.08</v>
      </c>
      <c r="AP60" s="7">
        <f t="shared" si="10"/>
        <v>0.142857142857143</v>
      </c>
      <c r="AQ60" s="7">
        <f t="shared" si="11"/>
        <v>8.57142857142857</v>
      </c>
      <c r="AR60" s="7">
        <f t="shared" si="12"/>
        <v>72.4285714285714</v>
      </c>
      <c r="AS60">
        <f t="shared" si="13"/>
        <v>567</v>
      </c>
      <c r="AT60" s="2">
        <f>IFERROR(时间!$B$4+AS60,"上周无销量")</f>
        <v>43906</v>
      </c>
    </row>
    <row r="61" spans="1:46">
      <c r="A61" t="s">
        <v>590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53</v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7</v>
      </c>
      <c r="L61">
        <f>SUMIF('库存（子SKU）'!$C:$C,$A61,'库存（子SKU）'!N:N)</f>
        <v>0</v>
      </c>
      <c r="M61">
        <f>SUMIF('库存（子SKU）'!$C:$C,$A61,'库存（子SKU）'!O:O)</f>
        <v>7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2" t="str">
        <f t="shared" si="15"/>
        <v/>
      </c>
      <c r="W61" s="22" t="str">
        <f t="shared" si="16"/>
        <v/>
      </c>
      <c r="X61" s="22" t="str">
        <f t="shared" si="17"/>
        <v/>
      </c>
      <c r="Y61" s="22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2" t="str">
        <f t="shared" si="2"/>
        <v/>
      </c>
      <c r="AE61" s="22" t="str">
        <f t="shared" si="3"/>
        <v/>
      </c>
      <c r="AF61" s="22" t="str">
        <f t="shared" si="4"/>
        <v/>
      </c>
      <c r="AG61" s="22" t="str">
        <f t="shared" si="5"/>
        <v/>
      </c>
      <c r="AH61">
        <f>SUMIF('库存（子SKU）'!$C:$C,$A61,'库存（子SKU）'!AJ:AJ)</f>
        <v>10</v>
      </c>
      <c r="AI61">
        <f>SUMIF('库存（子SKU）'!$C:$C,$A61,'库存（子SKU）'!AK:AK)</f>
        <v>4</v>
      </c>
      <c r="AJ61">
        <f>SUMIF('库存（子SKU）'!$C:$C,$A61,'库存（子SKU）'!AL:AL)</f>
        <v>18</v>
      </c>
      <c r="AK61">
        <f>SUMIF('库存（子SKU）'!$C:$C,$A61,'库存（子SKU）'!AM:AM)</f>
        <v>12</v>
      </c>
      <c r="AL61" s="22">
        <f t="shared" si="6"/>
        <v>0</v>
      </c>
      <c r="AM61" s="22">
        <f t="shared" si="7"/>
        <v>0</v>
      </c>
      <c r="AN61" s="22">
        <f t="shared" si="8"/>
        <v>0</v>
      </c>
      <c r="AO61" s="22">
        <f t="shared" si="9"/>
        <v>0</v>
      </c>
      <c r="AP61" s="7">
        <f t="shared" si="10"/>
        <v>0</v>
      </c>
      <c r="AQ61" s="7">
        <f t="shared" si="11"/>
        <v>0</v>
      </c>
      <c r="AR61" s="7">
        <f t="shared" si="12"/>
        <v>7</v>
      </c>
      <c r="AS61" t="str">
        <f t="shared" si="13"/>
        <v>库存为7</v>
      </c>
      <c r="AT61" s="2" t="str">
        <f>IFERROR(时间!$B$4+AS61,"上周无销量")</f>
        <v>上周无销量</v>
      </c>
    </row>
    <row r="62" spans="1:46">
      <c r="A62" t="s">
        <v>599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1</v>
      </c>
      <c r="E62" s="5">
        <f>SUMIF('库存（子SKU）'!$C:$C,$A62,'库存（子SKU）'!G:G)</f>
        <v>0</v>
      </c>
      <c r="F62" s="6">
        <v>15.99</v>
      </c>
      <c r="G62">
        <f>SUMIF('库存（子SKU）'!$C:$C,$A62,'库存（子SKU）'!I:I)</f>
        <v>7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7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2" t="str">
        <f t="shared" si="15"/>
        <v/>
      </c>
      <c r="W62" s="22" t="str">
        <f t="shared" si="16"/>
        <v/>
      </c>
      <c r="X62" s="22" t="str">
        <f t="shared" si="17"/>
        <v/>
      </c>
      <c r="Y62" s="22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2" t="str">
        <f t="shared" si="2"/>
        <v/>
      </c>
      <c r="AE62" s="22" t="str">
        <f t="shared" si="3"/>
        <v/>
      </c>
      <c r="AF62" s="22">
        <f t="shared" si="4"/>
        <v>0</v>
      </c>
      <c r="AG62" s="22" t="str">
        <f t="shared" si="5"/>
        <v/>
      </c>
      <c r="AH62">
        <f>SUMIF('库存（子SKU）'!$C:$C,$A62,'库存（子SKU）'!AJ:AJ)</f>
        <v>13</v>
      </c>
      <c r="AI62">
        <f>SUMIF('库存（子SKU）'!$C:$C,$A62,'库存（子SKU）'!AK:AK)</f>
        <v>9</v>
      </c>
      <c r="AJ62">
        <f>SUMIF('库存（子SKU）'!$C:$C,$A62,'库存（子SKU）'!AL:AL)</f>
        <v>13</v>
      </c>
      <c r="AK62">
        <f>SUMIF('库存（子SKU）'!$C:$C,$A62,'库存（子SKU）'!AM:AM)</f>
        <v>5</v>
      </c>
      <c r="AL62" s="22">
        <f t="shared" si="6"/>
        <v>0</v>
      </c>
      <c r="AM62" s="22">
        <f t="shared" si="7"/>
        <v>0</v>
      </c>
      <c r="AN62" s="22">
        <f t="shared" si="8"/>
        <v>0.0769230769230769</v>
      </c>
      <c r="AO62" s="22">
        <f t="shared" si="9"/>
        <v>0</v>
      </c>
      <c r="AP62" s="7">
        <f t="shared" si="10"/>
        <v>0</v>
      </c>
      <c r="AQ62" s="7">
        <f t="shared" si="11"/>
        <v>0</v>
      </c>
      <c r="AR62" s="7">
        <f t="shared" si="12"/>
        <v>7</v>
      </c>
      <c r="AS62" t="str">
        <f t="shared" si="13"/>
        <v>库存为7</v>
      </c>
      <c r="AT62" s="2" t="str">
        <f>IFERROR(时间!$B$4+AS62,"上周无销量")</f>
        <v>上周无销量</v>
      </c>
    </row>
    <row r="63" spans="1:46">
      <c r="A63" t="s">
        <v>602</v>
      </c>
      <c r="B63" s="5">
        <f>SUMIF('库存（子SKU）'!$C:$C,$A63,'库存（子SKU）'!D:D)</f>
        <v>0</v>
      </c>
      <c r="C63" s="5">
        <f>SUMIF('库存（子SKU）'!$C:$C,$A63,'库存（子SKU）'!E:E)</f>
        <v>3</v>
      </c>
      <c r="D63" s="5">
        <f>SUMIF('库存（子SKU）'!$C:$C,$A63,'库存（子SKU）'!F:F)</f>
        <v>3</v>
      </c>
      <c r="E63" s="5">
        <f>SUMIF('库存（子SKU）'!$C:$C,$A63,'库存（子SKU）'!G:G)</f>
        <v>0</v>
      </c>
      <c r="F63" s="6">
        <v>12.995</v>
      </c>
      <c r="G63">
        <f>SUMIF('库存（子SKU）'!$C:$C,$A63,'库存（子SKU）'!I:I)</f>
        <v>2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2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2" t="str">
        <f t="shared" si="15"/>
        <v/>
      </c>
      <c r="W63" s="22" t="str">
        <f t="shared" si="16"/>
        <v/>
      </c>
      <c r="X63" s="22" t="str">
        <f t="shared" si="17"/>
        <v/>
      </c>
      <c r="Y63" s="22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2" t="str">
        <f t="shared" si="2"/>
        <v/>
      </c>
      <c r="AE63" s="22">
        <f t="shared" si="3"/>
        <v>0</v>
      </c>
      <c r="AF63" s="22">
        <f t="shared" si="4"/>
        <v>0</v>
      </c>
      <c r="AG63" s="22" t="str">
        <f t="shared" si="5"/>
        <v/>
      </c>
      <c r="AH63">
        <f>SUMIF('库存（子SKU）'!$C:$C,$A63,'库存（子SKU）'!AJ:AJ)</f>
        <v>4</v>
      </c>
      <c r="AI63">
        <f>SUMIF('库存（子SKU）'!$C:$C,$A63,'库存（子SKU）'!AK:AK)</f>
        <v>44</v>
      </c>
      <c r="AJ63">
        <f>SUMIF('库存（子SKU）'!$C:$C,$A63,'库存（子SKU）'!AL:AL)</f>
        <v>39</v>
      </c>
      <c r="AK63">
        <f>SUMIF('库存（子SKU）'!$C:$C,$A63,'库存（子SKU）'!AM:AM)</f>
        <v>11</v>
      </c>
      <c r="AL63" s="22">
        <f t="shared" si="6"/>
        <v>0</v>
      </c>
      <c r="AM63" s="22">
        <f t="shared" si="7"/>
        <v>0.0681818181818182</v>
      </c>
      <c r="AN63" s="22">
        <f t="shared" si="8"/>
        <v>0.0769230769230769</v>
      </c>
      <c r="AO63" s="22">
        <f t="shared" si="9"/>
        <v>0</v>
      </c>
      <c r="AP63" s="7">
        <f t="shared" si="10"/>
        <v>0</v>
      </c>
      <c r="AQ63" s="7">
        <f t="shared" si="11"/>
        <v>0</v>
      </c>
      <c r="AR63" s="7">
        <f t="shared" si="12"/>
        <v>2</v>
      </c>
      <c r="AS63" t="str">
        <f t="shared" si="13"/>
        <v>库存为2</v>
      </c>
      <c r="AT63" s="2" t="str">
        <f>IFERROR(时间!$B$4+AS63,"上周无销量")</f>
        <v>上周无销量</v>
      </c>
    </row>
    <row r="64" spans="1:46">
      <c r="A64" t="s">
        <v>611</v>
      </c>
      <c r="B64" s="5">
        <f>SUMIF('库存（子SKU）'!$C:$C,$A64,'库存（子SKU）'!D:D)</f>
        <v>0</v>
      </c>
      <c r="C64" s="5">
        <f>SUMIF('库存（子SKU）'!$C:$C,$A64,'库存（子SKU）'!E:E)</f>
        <v>0</v>
      </c>
      <c r="D64" s="5">
        <f>SUMIF('库存（子SKU）'!$C:$C,$A64,'库存（子SKU）'!F:F)</f>
        <v>0</v>
      </c>
      <c r="E64" s="5">
        <f>SUMIF('库存（子SKU）'!$C:$C,$A64,'库存（子SKU）'!G:G)</f>
        <v>0</v>
      </c>
      <c r="F64" s="6" t="s">
        <v>53</v>
      </c>
      <c r="G64">
        <f>SUMIF('库存（子SKU）'!$C:$C,$A64,'库存（子SKU）'!I:I)</f>
        <v>6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6</v>
      </c>
      <c r="L64">
        <f>SUMIF('库存（子SKU）'!$C:$C,$A64,'库存（子SKU）'!N:N)</f>
        <v>0</v>
      </c>
      <c r="M64">
        <f>SUMIF('库存（子SKU）'!$C:$C,$A64,'库存（子SKU）'!O:O)</f>
        <v>6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2" t="str">
        <f t="shared" si="15"/>
        <v/>
      </c>
      <c r="W64" s="22" t="str">
        <f t="shared" si="16"/>
        <v/>
      </c>
      <c r="X64" s="22" t="str">
        <f t="shared" si="17"/>
        <v/>
      </c>
      <c r="Y64" s="22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2" t="str">
        <f t="shared" si="2"/>
        <v/>
      </c>
      <c r="AE64" s="22" t="str">
        <f t="shared" si="3"/>
        <v/>
      </c>
      <c r="AF64" s="22" t="str">
        <f t="shared" si="4"/>
        <v/>
      </c>
      <c r="AG64" s="22" t="str">
        <f t="shared" si="5"/>
        <v/>
      </c>
      <c r="AH64">
        <f>SUMIF('库存（子SKU）'!$C:$C,$A64,'库存（子SKU）'!AJ:AJ)</f>
        <v>10</v>
      </c>
      <c r="AI64">
        <f>SUMIF('库存（子SKU）'!$C:$C,$A64,'库存（子SKU）'!AK:AK)</f>
        <v>11</v>
      </c>
      <c r="AJ64">
        <f>SUMIF('库存（子SKU）'!$C:$C,$A64,'库存（子SKU）'!AL:AL)</f>
        <v>2</v>
      </c>
      <c r="AK64">
        <f>SUMIF('库存（子SKU）'!$C:$C,$A64,'库存（子SKU）'!AM:AM)</f>
        <v>5</v>
      </c>
      <c r="AL64" s="22">
        <f t="shared" si="6"/>
        <v>0</v>
      </c>
      <c r="AM64" s="22">
        <f t="shared" si="7"/>
        <v>0</v>
      </c>
      <c r="AN64" s="22">
        <f t="shared" si="8"/>
        <v>0</v>
      </c>
      <c r="AO64" s="22">
        <f t="shared" si="9"/>
        <v>0</v>
      </c>
      <c r="AP64" s="7">
        <f t="shared" si="10"/>
        <v>0</v>
      </c>
      <c r="AQ64" s="7">
        <f t="shared" si="11"/>
        <v>0</v>
      </c>
      <c r="AR64" s="7">
        <f t="shared" si="12"/>
        <v>6</v>
      </c>
      <c r="AS64" t="str">
        <f t="shared" si="13"/>
        <v>库存为6</v>
      </c>
      <c r="AT64" s="2" t="str">
        <f>IFERROR(时间!$B$4+AS64,"上周无销量")</f>
        <v>上周无销量</v>
      </c>
    </row>
    <row r="65" spans="1:46">
      <c r="A65" t="s">
        <v>616</v>
      </c>
      <c r="B65" s="5">
        <f>SUMIF('库存（子SKU）'!$C:$C,$A65,'库存（子SKU）'!D:D)</f>
        <v>14</v>
      </c>
      <c r="C65" s="5">
        <f>SUMIF('库存（子SKU）'!$C:$C,$A65,'库存（子SKU）'!E:E)</f>
        <v>6</v>
      </c>
      <c r="D65" s="5">
        <f>SUMIF('库存（子SKU）'!$C:$C,$A65,'库存（子SKU）'!F:F)</f>
        <v>8</v>
      </c>
      <c r="E65" s="5">
        <f>SUMIF('库存（子SKU）'!$C:$C,$A65,'库存（子SKU）'!G:G)</f>
        <v>15</v>
      </c>
      <c r="F65" s="6">
        <v>13.5946511627907</v>
      </c>
      <c r="G65">
        <f>SUMIF('库存（子SKU）'!$C:$C,$A65,'库存（子SKU）'!I:I)</f>
        <v>34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34</v>
      </c>
      <c r="L65">
        <f>SUMIF('库存（子SKU）'!$C:$C,$A65,'库存（子SKU）'!N:N)</f>
        <v>0</v>
      </c>
      <c r="M65">
        <f>SUMIF('库存（子SKU）'!$C:$C,$A65,'库存（子SKU）'!O:O)</f>
        <v>29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1360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9</v>
      </c>
      <c r="V65" s="22" t="str">
        <f t="shared" si="15"/>
        <v/>
      </c>
      <c r="W65" s="22" t="str">
        <f t="shared" si="16"/>
        <v/>
      </c>
      <c r="X65" s="22" t="str">
        <f t="shared" si="17"/>
        <v/>
      </c>
      <c r="Y65" s="22">
        <f t="shared" si="18"/>
        <v>0.00661764705882353</v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2.43</v>
      </c>
      <c r="AD65" s="22">
        <f t="shared" si="2"/>
        <v>0</v>
      </c>
      <c r="AE65" s="22">
        <f t="shared" si="3"/>
        <v>0</v>
      </c>
      <c r="AF65" s="22">
        <f t="shared" si="4"/>
        <v>0</v>
      </c>
      <c r="AG65" s="22">
        <f t="shared" si="5"/>
        <v>0.0119164514087278</v>
      </c>
      <c r="AH65">
        <f>SUMIF('库存（子SKU）'!$C:$C,$A65,'库存（子SKU）'!AJ:AJ)</f>
        <v>150</v>
      </c>
      <c r="AI65">
        <f>SUMIF('库存（子SKU）'!$C:$C,$A65,'库存（子SKU）'!AK:AK)</f>
        <v>174</v>
      </c>
      <c r="AJ65">
        <f>SUMIF('库存（子SKU）'!$C:$C,$A65,'库存（子SKU）'!AL:AL)</f>
        <v>134</v>
      </c>
      <c r="AK65">
        <f>SUMIF('库存（子SKU）'!$C:$C,$A65,'库存（子SKU）'!AM:AM)</f>
        <v>116</v>
      </c>
      <c r="AL65" s="22">
        <f t="shared" si="6"/>
        <v>0.0933333333333333</v>
      </c>
      <c r="AM65" s="22">
        <f t="shared" si="7"/>
        <v>0.0344827586206897</v>
      </c>
      <c r="AN65" s="22">
        <f t="shared" si="8"/>
        <v>0.0597014925373134</v>
      </c>
      <c r="AO65" s="22">
        <f t="shared" si="9"/>
        <v>0.129310344827586</v>
      </c>
      <c r="AP65" s="7">
        <f t="shared" si="10"/>
        <v>2</v>
      </c>
      <c r="AQ65" s="7">
        <f t="shared" si="11"/>
        <v>120</v>
      </c>
      <c r="AR65" s="7">
        <f t="shared" si="12"/>
        <v>-86</v>
      </c>
      <c r="AS65">
        <f t="shared" si="13"/>
        <v>17</v>
      </c>
      <c r="AT65" s="2">
        <f>IFERROR(时间!$B$4+AS65,"上周无销量")</f>
        <v>43356</v>
      </c>
    </row>
    <row r="66" spans="1:46">
      <c r="A66" t="s">
        <v>626</v>
      </c>
      <c r="B66" s="5">
        <f>SUMIF('库存（子SKU）'!$C:$C,$A66,'库存（子SKU）'!D:D)</f>
        <v>0</v>
      </c>
      <c r="C66" s="5">
        <f>SUMIF('库存（子SKU）'!$C:$C,$A66,'库存（子SKU）'!E:E)</f>
        <v>0</v>
      </c>
      <c r="D66" s="5">
        <f>SUMIF('库存（子SKU）'!$C:$C,$A66,'库存（子SKU）'!F:F)</f>
        <v>2</v>
      </c>
      <c r="E66" s="5">
        <f>SUMIF('库存（子SKU）'!$C:$C,$A66,'库存（子SKU）'!G:G)</f>
        <v>5</v>
      </c>
      <c r="F66" s="6">
        <v>14.99</v>
      </c>
      <c r="G66">
        <f>SUMIF('库存（子SKU）'!$C:$C,$A66,'库存（子SKU）'!I:I)</f>
        <v>56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56</v>
      </c>
      <c r="L66">
        <f>SUMIF('库存（子SKU）'!$C:$C,$A66,'库存（子SKU）'!N:N)</f>
        <v>0</v>
      </c>
      <c r="M66">
        <f>SUMIF('库存（子SKU）'!$C:$C,$A66,'库存（子SKU）'!O:O)</f>
        <v>36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2" t="str">
        <f t="shared" si="15"/>
        <v/>
      </c>
      <c r="W66" s="22" t="str">
        <f t="shared" si="16"/>
        <v/>
      </c>
      <c r="X66" s="22" t="str">
        <f t="shared" si="17"/>
        <v/>
      </c>
      <c r="Y66" s="22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2" t="str">
        <f t="shared" si="2"/>
        <v/>
      </c>
      <c r="AE66" s="22" t="str">
        <f t="shared" si="3"/>
        <v/>
      </c>
      <c r="AF66" s="22">
        <f t="shared" si="4"/>
        <v>0</v>
      </c>
      <c r="AG66" s="22">
        <f t="shared" si="5"/>
        <v>0</v>
      </c>
      <c r="AH66">
        <f>SUMIF('库存（子SKU）'!$C:$C,$A66,'库存（子SKU）'!AJ:AJ)</f>
        <v>56</v>
      </c>
      <c r="AI66">
        <f>SUMIF('库存（子SKU）'!$C:$C,$A66,'库存（子SKU）'!AK:AK)</f>
        <v>52</v>
      </c>
      <c r="AJ66">
        <f>SUMIF('库存（子SKU）'!$C:$C,$A66,'库存（子SKU）'!AL:AL)</f>
        <v>47</v>
      </c>
      <c r="AK66">
        <f>SUMIF('库存（子SKU）'!$C:$C,$A66,'库存（子SKU）'!AM:AM)</f>
        <v>50</v>
      </c>
      <c r="AL66" s="22">
        <f t="shared" si="6"/>
        <v>0</v>
      </c>
      <c r="AM66" s="22">
        <f t="shared" si="7"/>
        <v>0</v>
      </c>
      <c r="AN66" s="22">
        <f t="shared" si="8"/>
        <v>0.0425531914893617</v>
      </c>
      <c r="AO66" s="22">
        <f t="shared" si="9"/>
        <v>0.1</v>
      </c>
      <c r="AP66" s="7">
        <f t="shared" si="10"/>
        <v>0</v>
      </c>
      <c r="AQ66" s="7">
        <f t="shared" si="11"/>
        <v>0</v>
      </c>
      <c r="AR66" s="7">
        <f t="shared" si="12"/>
        <v>56</v>
      </c>
      <c r="AS66" t="str">
        <f t="shared" si="13"/>
        <v>库存为56</v>
      </c>
      <c r="AT66" s="2" t="str">
        <f>IFERROR(时间!$B$4+AS66,"上周无销量")</f>
        <v>上周无销量</v>
      </c>
    </row>
    <row r="67" spans="1:46">
      <c r="A67" t="s">
        <v>633</v>
      </c>
      <c r="B67" s="5">
        <f>SUMIF('库存（子SKU）'!$C:$C,$A67,'库存（子SKU）'!D:D)</f>
        <v>9</v>
      </c>
      <c r="C67" s="5">
        <f>SUMIF('库存（子SKU）'!$C:$C,$A67,'库存（子SKU）'!E:E)</f>
        <v>9</v>
      </c>
      <c r="D67" s="5">
        <f>SUMIF('库存（子SKU）'!$C:$C,$A67,'库存（子SKU）'!F:F)</f>
        <v>14</v>
      </c>
      <c r="E67" s="5">
        <f>SUMIF('库存（子SKU）'!$C:$C,$A67,'库存（子SKU）'!G:G)</f>
        <v>3</v>
      </c>
      <c r="F67" s="6">
        <v>13.0825714285714</v>
      </c>
      <c r="G67">
        <f>SUMIF('库存（子SKU）'!$C:$C,$A67,'库存（子SKU）'!I:I)</f>
        <v>117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1</v>
      </c>
      <c r="K67">
        <f t="shared" si="0"/>
        <v>118</v>
      </c>
      <c r="L67">
        <f>SUMIF('库存（子SKU）'!$C:$C,$A67,'库存（子SKU）'!N:N)</f>
        <v>4</v>
      </c>
      <c r="M67">
        <f>SUMIF('库存（子SKU）'!$C:$C,$A67,'库存（子SKU）'!O:O)</f>
        <v>113</v>
      </c>
      <c r="N67">
        <f>SUMIF('库存（子SKU）'!$C:$C,$A67,'库存（子SKU）'!P:P)</f>
        <v>0</v>
      </c>
      <c r="O67">
        <f>SUMIF('库存（子SKU）'!$C:$C,$A67,'库存（子SKU）'!Q:Q)</f>
        <v>25109</v>
      </c>
      <c r="P67">
        <f>SUMIF('库存（子SKU）'!$C:$C,$A67,'库存（子SKU）'!R:R)</f>
        <v>71415</v>
      </c>
      <c r="Q67">
        <f>SUMIF('库存（子SKU）'!$C:$C,$A67,'库存（子SKU）'!S:S)</f>
        <v>7443</v>
      </c>
      <c r="R67">
        <f>SUMIF('库存（子SKU）'!$C:$C,$A67,'库存（子SKU）'!T:T)</f>
        <v>0</v>
      </c>
      <c r="S67">
        <f>SUMIF('库存（子SKU）'!$C:$C,$A67,'库存（子SKU）'!U:U)</f>
        <v>105</v>
      </c>
      <c r="T67">
        <f>SUMIF('库存（子SKU）'!$C:$C,$A67,'库存（子SKU）'!V:V)</f>
        <v>106</v>
      </c>
      <c r="U67">
        <f>SUMIF('库存（子SKU）'!$C:$C,$A67,'库存（子SKU）'!W:W)</f>
        <v>43</v>
      </c>
      <c r="V67" s="22" t="str">
        <f t="shared" si="15"/>
        <v/>
      </c>
      <c r="W67" s="22">
        <f t="shared" si="16"/>
        <v>0.00418176749372735</v>
      </c>
      <c r="X67" s="22">
        <f t="shared" si="17"/>
        <v>0.00148428201358258</v>
      </c>
      <c r="Y67" s="22">
        <f t="shared" si="18"/>
        <v>0.00577724036006986</v>
      </c>
      <c r="Z67">
        <f>SUMIF('库存（子SKU）'!$C:$C,$A67,'库存（子SKU）'!AB:AB)</f>
        <v>0</v>
      </c>
      <c r="AA67">
        <f>SUMIF('库存（子SKU）'!$C:$C,$A67,'库存（子SKU）'!AC:AC)</f>
        <v>63.68</v>
      </c>
      <c r="AB67">
        <f>SUMIF('库存（子SKU）'!$C:$C,$A67,'库存（子SKU）'!AD:AD)</f>
        <v>58.56</v>
      </c>
      <c r="AC67">
        <f>SUMIF('库存（子SKU）'!$C:$C,$A67,'库存（子SKU）'!AE:AE)</f>
        <v>23.72</v>
      </c>
      <c r="AD67" s="22">
        <f t="shared" si="2"/>
        <v>0</v>
      </c>
      <c r="AE67" s="22">
        <f t="shared" si="3"/>
        <v>0.540838289642589</v>
      </c>
      <c r="AF67" s="22">
        <f t="shared" si="4"/>
        <v>0.319727445456333</v>
      </c>
      <c r="AG67" s="22">
        <f t="shared" si="5"/>
        <v>0.604366405322968</v>
      </c>
      <c r="AH67">
        <f>SUMIF('库存（子SKU）'!$C:$C,$A67,'库存（子SKU）'!AJ:AJ)</f>
        <v>81</v>
      </c>
      <c r="AI67">
        <f>SUMIF('库存（子SKU）'!$C:$C,$A67,'库存（子SKU）'!AK:AK)</f>
        <v>104</v>
      </c>
      <c r="AJ67">
        <f>SUMIF('库存（子SKU）'!$C:$C,$A67,'库存（子SKU）'!AL:AL)</f>
        <v>147</v>
      </c>
      <c r="AK67">
        <f>SUMIF('库存（子SKU）'!$C:$C,$A67,'库存（子SKU）'!AM:AM)</f>
        <v>122</v>
      </c>
      <c r="AL67" s="22">
        <f t="shared" si="6"/>
        <v>0.111111111111111</v>
      </c>
      <c r="AM67" s="22">
        <f t="shared" si="7"/>
        <v>0.0865384615384615</v>
      </c>
      <c r="AN67" s="22">
        <f t="shared" si="8"/>
        <v>0.0952380952380952</v>
      </c>
      <c r="AO67" s="22">
        <f t="shared" si="9"/>
        <v>0.0245901639344262</v>
      </c>
      <c r="AP67" s="7">
        <f t="shared" si="10"/>
        <v>1.28571428571429</v>
      </c>
      <c r="AQ67" s="7">
        <f t="shared" si="11"/>
        <v>77.1428571428572</v>
      </c>
      <c r="AR67" s="7">
        <f t="shared" si="12"/>
        <v>40.8571428571428</v>
      </c>
      <c r="AS67">
        <f t="shared" si="13"/>
        <v>91</v>
      </c>
      <c r="AT67" s="2">
        <f>IFERROR(时间!$B$4+AS67,"上周无销量")</f>
        <v>43430</v>
      </c>
    </row>
    <row r="68" spans="1:46">
      <c r="A68"/>
      <c r="V68" s="22"/>
      <c r="W68" s="22"/>
      <c r="X68" s="22"/>
      <c r="Y68" s="22"/>
      <c r="AD68" s="22"/>
      <c r="AE68" s="22"/>
      <c r="AF68" s="22"/>
      <c r="AG68" s="22"/>
      <c r="AL68" s="22"/>
      <c r="AM68" s="22"/>
      <c r="AN68" s="22"/>
      <c r="AO68" s="22"/>
      <c r="AP68" s="7"/>
      <c r="AT68" s="2"/>
    </row>
    <row r="69" spans="1:46">
      <c r="A69"/>
      <c r="V69" s="22"/>
      <c r="W69" s="22"/>
      <c r="X69" s="22"/>
      <c r="Y69" s="22"/>
      <c r="AD69" s="22"/>
      <c r="AE69" s="22"/>
      <c r="AF69" s="22"/>
      <c r="AG69" s="22"/>
      <c r="AL69" s="22"/>
      <c r="AM69" s="22"/>
      <c r="AN69" s="22"/>
      <c r="AO69" s="22"/>
      <c r="AP69" s="7"/>
      <c r="AT69" s="2"/>
    </row>
    <row r="70" spans="1:46">
      <c r="A70"/>
      <c r="V70" s="22"/>
      <c r="W70" s="22"/>
      <c r="X70" s="22"/>
      <c r="Y70" s="22"/>
      <c r="AD70" s="22"/>
      <c r="AE70" s="22"/>
      <c r="AF70" s="22"/>
      <c r="AG70" s="22"/>
      <c r="AL70" s="22"/>
      <c r="AM70" s="22"/>
      <c r="AN70" s="22"/>
      <c r="AO70" s="22"/>
      <c r="AP70" s="7"/>
      <c r="AT70" s="2"/>
    </row>
    <row r="71" spans="1:46">
      <c r="A71"/>
      <c r="V71" s="22"/>
      <c r="W71" s="22"/>
      <c r="X71" s="22"/>
      <c r="Y71" s="22"/>
      <c r="AD71" s="22"/>
      <c r="AE71" s="22"/>
      <c r="AF71" s="22"/>
      <c r="AG71" s="22"/>
      <c r="AL71" s="22"/>
      <c r="AM71" s="22"/>
      <c r="AN71" s="22"/>
      <c r="AO71" s="22"/>
      <c r="AP71" s="7"/>
      <c r="AT71" s="2"/>
    </row>
    <row r="72" spans="1:46">
      <c r="A72"/>
      <c r="V72" s="22"/>
      <c r="W72" s="22"/>
      <c r="X72" s="22"/>
      <c r="Y72" s="22"/>
      <c r="AD72" s="22"/>
      <c r="AE72" s="22"/>
      <c r="AF72" s="22"/>
      <c r="AG72" s="22"/>
      <c r="AL72" s="22"/>
      <c r="AM72" s="22"/>
      <c r="AN72" s="22"/>
      <c r="AO72" s="22"/>
      <c r="AP72" s="7"/>
      <c r="AT72" s="2"/>
    </row>
    <row r="73" spans="1:46">
      <c r="A73"/>
      <c r="V73" s="22"/>
      <c r="W73" s="22"/>
      <c r="X73" s="22"/>
      <c r="Y73" s="22"/>
      <c r="AD73" s="22"/>
      <c r="AE73" s="22"/>
      <c r="AF73" s="22"/>
      <c r="AG73" s="22"/>
      <c r="AL73" s="22"/>
      <c r="AM73" s="22"/>
      <c r="AN73" s="22"/>
      <c r="AO73" s="22"/>
      <c r="AP73" s="7"/>
      <c r="AT73" s="2"/>
    </row>
    <row r="74" spans="1:46">
      <c r="A74"/>
      <c r="V74" s="22"/>
      <c r="W74" s="22"/>
      <c r="X74" s="22"/>
      <c r="Y74" s="22"/>
      <c r="AD74" s="22"/>
      <c r="AE74" s="22"/>
      <c r="AF74" s="22"/>
      <c r="AG74" s="22"/>
      <c r="AL74" s="22"/>
      <c r="AM74" s="22"/>
      <c r="AN74" s="22"/>
      <c r="AO74" s="22"/>
      <c r="AP74" s="7"/>
      <c r="AT74" s="2"/>
    </row>
    <row r="75" spans="1:46">
      <c r="A75"/>
      <c r="V75" s="22"/>
      <c r="W75" s="22"/>
      <c r="X75" s="22"/>
      <c r="Y75" s="22"/>
      <c r="AD75" s="22"/>
      <c r="AE75" s="22"/>
      <c r="AF75" s="22"/>
      <c r="AG75" s="22"/>
      <c r="AL75" s="22"/>
      <c r="AM75" s="22"/>
      <c r="AN75" s="22"/>
      <c r="AO75" s="22"/>
      <c r="AP75" s="7"/>
      <c r="AT75" s="2"/>
    </row>
    <row r="76" spans="1:46">
      <c r="A76"/>
      <c r="V76" s="22"/>
      <c r="W76" s="22"/>
      <c r="X76" s="22"/>
      <c r="Y76" s="22"/>
      <c r="AD76" s="22"/>
      <c r="AE76" s="22"/>
      <c r="AF76" s="22"/>
      <c r="AG76" s="22"/>
      <c r="AL76" s="22"/>
      <c r="AM76" s="22"/>
      <c r="AN76" s="22"/>
      <c r="AO76" s="22"/>
      <c r="AP76" s="7"/>
      <c r="AT76" s="2"/>
    </row>
    <row r="77" spans="1:46">
      <c r="A77"/>
      <c r="V77" s="22"/>
      <c r="W77" s="22"/>
      <c r="X77" s="22"/>
      <c r="Y77" s="22"/>
      <c r="AD77" s="22"/>
      <c r="AE77" s="22"/>
      <c r="AF77" s="22"/>
      <c r="AG77" s="22"/>
      <c r="AL77" s="22"/>
      <c r="AM77" s="22"/>
      <c r="AN77" s="22"/>
      <c r="AO77" s="22"/>
      <c r="AP77" s="7"/>
      <c r="AT77" s="2"/>
    </row>
    <row r="78" spans="1:46">
      <c r="A78"/>
      <c r="V78" s="22"/>
      <c r="W78" s="22"/>
      <c r="X78" s="22"/>
      <c r="Y78" s="22"/>
      <c r="AD78" s="22"/>
      <c r="AE78" s="22"/>
      <c r="AF78" s="22"/>
      <c r="AG78" s="22"/>
      <c r="AL78" s="22"/>
      <c r="AM78" s="22"/>
      <c r="AN78" s="22"/>
      <c r="AO78" s="22"/>
      <c r="AP78" s="7"/>
      <c r="AT78" s="2"/>
    </row>
    <row r="79" spans="1:46">
      <c r="A79"/>
      <c r="V79" s="22"/>
      <c r="W79" s="22"/>
      <c r="X79" s="22"/>
      <c r="Y79" s="22"/>
      <c r="AD79" s="22"/>
      <c r="AE79" s="22"/>
      <c r="AF79" s="22"/>
      <c r="AG79" s="22"/>
      <c r="AL79" s="22"/>
      <c r="AM79" s="22"/>
      <c r="AN79" s="22"/>
      <c r="AO79" s="22"/>
      <c r="AP79" s="7"/>
      <c r="AT79" s="2"/>
    </row>
    <row r="80" spans="1:46">
      <c r="A80"/>
      <c r="V80" s="22"/>
      <c r="W80" s="22"/>
      <c r="X80" s="22"/>
      <c r="Y80" s="22"/>
      <c r="AD80" s="22"/>
      <c r="AE80" s="22"/>
      <c r="AF80" s="22"/>
      <c r="AG80" s="22"/>
      <c r="AL80" s="22"/>
      <c r="AM80" s="22"/>
      <c r="AN80" s="22"/>
      <c r="AO80" s="22"/>
      <c r="AP80" s="7"/>
      <c r="AT80" s="2"/>
    </row>
    <row r="81" spans="1:46">
      <c r="A81"/>
      <c r="V81" s="22"/>
      <c r="W81" s="22"/>
      <c r="X81" s="22"/>
      <c r="Y81" s="22"/>
      <c r="AD81" s="22"/>
      <c r="AE81" s="22"/>
      <c r="AF81" s="22"/>
      <c r="AG81" s="22"/>
      <c r="AL81" s="22"/>
      <c r="AM81" s="22"/>
      <c r="AN81" s="22"/>
      <c r="AO81" s="22"/>
      <c r="AP81" s="7"/>
      <c r="AT81" s="2"/>
    </row>
    <row r="82" spans="1:46">
      <c r="A82"/>
      <c r="V82" s="22"/>
      <c r="W82" s="22"/>
      <c r="X82" s="22"/>
      <c r="Y82" s="22"/>
      <c r="AD82" s="22"/>
      <c r="AE82" s="22"/>
      <c r="AF82" s="22"/>
      <c r="AG82" s="22"/>
      <c r="AL82" s="22"/>
      <c r="AM82" s="22"/>
      <c r="AN82" s="22"/>
      <c r="AO82" s="22"/>
      <c r="AP82" s="7"/>
      <c r="AT82" s="2"/>
    </row>
    <row r="83" spans="1:46">
      <c r="A83"/>
      <c r="V83" s="22"/>
      <c r="W83" s="22"/>
      <c r="X83" s="22"/>
      <c r="Y83" s="22"/>
      <c r="AD83" s="22"/>
      <c r="AE83" s="22"/>
      <c r="AF83" s="22"/>
      <c r="AG83" s="22"/>
      <c r="AL83" s="22"/>
      <c r="AM83" s="22"/>
      <c r="AN83" s="22"/>
      <c r="AO83" s="22"/>
      <c r="AP83" s="7"/>
      <c r="AT83" s="2"/>
    </row>
    <row r="84" spans="1:46">
      <c r="A84"/>
      <c r="V84" s="22"/>
      <c r="W84" s="22"/>
      <c r="X84" s="22"/>
      <c r="Y84" s="22"/>
      <c r="AD84" s="22"/>
      <c r="AE84" s="22"/>
      <c r="AF84" s="22"/>
      <c r="AG84" s="22"/>
      <c r="AL84" s="22"/>
      <c r="AM84" s="22"/>
      <c r="AN84" s="22"/>
      <c r="AO84" s="22"/>
      <c r="AP84" s="7"/>
      <c r="AT84" s="2"/>
    </row>
    <row r="85" spans="1:46">
      <c r="A85"/>
      <c r="V85" s="22"/>
      <c r="W85" s="22"/>
      <c r="X85" s="22"/>
      <c r="Y85" s="22"/>
      <c r="AD85" s="22"/>
      <c r="AE85" s="22"/>
      <c r="AF85" s="22"/>
      <c r="AG85" s="22"/>
      <c r="AL85" s="22"/>
      <c r="AM85" s="22"/>
      <c r="AN85" s="22"/>
      <c r="AO85" s="22"/>
      <c r="AP85" s="7"/>
      <c r="AT85" s="2"/>
    </row>
    <row r="86" spans="1:46">
      <c r="A86"/>
      <c r="V86" s="22"/>
      <c r="W86" s="22"/>
      <c r="X86" s="22"/>
      <c r="Y86" s="22"/>
      <c r="AD86" s="22"/>
      <c r="AE86" s="22"/>
      <c r="AF86" s="22"/>
      <c r="AG86" s="22"/>
      <c r="AL86" s="22"/>
      <c r="AM86" s="22"/>
      <c r="AN86" s="22"/>
      <c r="AO86" s="22"/>
      <c r="AP86" s="7"/>
      <c r="AT86" s="2"/>
    </row>
    <row r="87" spans="1:46">
      <c r="A87"/>
      <c r="V87" s="22"/>
      <c r="W87" s="22"/>
      <c r="X87" s="22"/>
      <c r="Y87" s="22"/>
      <c r="AD87" s="22"/>
      <c r="AE87" s="22"/>
      <c r="AF87" s="22"/>
      <c r="AG87" s="22"/>
      <c r="AL87" s="22"/>
      <c r="AM87" s="22"/>
      <c r="AN87" s="22"/>
      <c r="AO87" s="22"/>
      <c r="AP87" s="7"/>
      <c r="AT87" s="2"/>
    </row>
    <row r="88" spans="1:46">
      <c r="A88"/>
      <c r="V88" s="22"/>
      <c r="W88" s="22"/>
      <c r="X88" s="22"/>
      <c r="Y88" s="22"/>
      <c r="AD88" s="22"/>
      <c r="AE88" s="22"/>
      <c r="AF88" s="22"/>
      <c r="AG88" s="22"/>
      <c r="AL88" s="22"/>
      <c r="AM88" s="22"/>
      <c r="AN88" s="22"/>
      <c r="AO88" s="22"/>
      <c r="AP88" s="7"/>
      <c r="AT88" s="2"/>
    </row>
    <row r="89" spans="1:46">
      <c r="A89"/>
      <c r="V89" s="22"/>
      <c r="W89" s="22"/>
      <c r="X89" s="22"/>
      <c r="Y89" s="22"/>
      <c r="AD89" s="22"/>
      <c r="AE89" s="22"/>
      <c r="AF89" s="22"/>
      <c r="AG89" s="22"/>
      <c r="AL89" s="22"/>
      <c r="AM89" s="22"/>
      <c r="AN89" s="22"/>
      <c r="AO89" s="22"/>
      <c r="AP89" s="7"/>
      <c r="AT89" s="2"/>
    </row>
    <row r="90" spans="1:46">
      <c r="A90"/>
      <c r="V90" s="22"/>
      <c r="W90" s="22"/>
      <c r="X90" s="22"/>
      <c r="Y90" s="22"/>
      <c r="AD90" s="22"/>
      <c r="AE90" s="22"/>
      <c r="AF90" s="22"/>
      <c r="AG90" s="22"/>
      <c r="AL90" s="22"/>
      <c r="AM90" s="22"/>
      <c r="AN90" s="22"/>
      <c r="AO90" s="22"/>
      <c r="AP90" s="7"/>
      <c r="AT90" s="2"/>
    </row>
    <row r="91" spans="1:46">
      <c r="A91"/>
      <c r="V91" s="22"/>
      <c r="W91" s="22"/>
      <c r="X91" s="22"/>
      <c r="Y91" s="22"/>
      <c r="AD91" s="22"/>
      <c r="AE91" s="22"/>
      <c r="AF91" s="22"/>
      <c r="AG91" s="22"/>
      <c r="AL91" s="22"/>
      <c r="AM91" s="22"/>
      <c r="AN91" s="22"/>
      <c r="AO91" s="22"/>
      <c r="AP91" s="7"/>
      <c r="AT91" s="2"/>
    </row>
    <row r="92" spans="1:46">
      <c r="A92"/>
      <c r="V92" s="22"/>
      <c r="W92" s="22"/>
      <c r="X92" s="22"/>
      <c r="Y92" s="22"/>
      <c r="AD92" s="22"/>
      <c r="AE92" s="22"/>
      <c r="AF92" s="22"/>
      <c r="AG92" s="22"/>
      <c r="AL92" s="22"/>
      <c r="AM92" s="22"/>
      <c r="AN92" s="22"/>
      <c r="AO92" s="22"/>
      <c r="AP92" s="7"/>
      <c r="AT92" s="2"/>
    </row>
    <row r="93" spans="1:46">
      <c r="A93"/>
      <c r="V93" s="22"/>
      <c r="W93" s="22"/>
      <c r="X93" s="22"/>
      <c r="Y93" s="22"/>
      <c r="AD93" s="22"/>
      <c r="AE93" s="22"/>
      <c r="AF93" s="22"/>
      <c r="AG93" s="22"/>
      <c r="AL93" s="22"/>
      <c r="AM93" s="22"/>
      <c r="AN93" s="22"/>
      <c r="AO93" s="22"/>
      <c r="AP93" s="7"/>
      <c r="AT93" s="2"/>
    </row>
    <row r="94" spans="1:46">
      <c r="A94"/>
      <c r="V94" s="22"/>
      <c r="W94" s="22"/>
      <c r="X94" s="22"/>
      <c r="Y94" s="22"/>
      <c r="AD94" s="22"/>
      <c r="AE94" s="22"/>
      <c r="AF94" s="22"/>
      <c r="AG94" s="22"/>
      <c r="AL94" s="22"/>
      <c r="AM94" s="22"/>
      <c r="AN94" s="22"/>
      <c r="AO94" s="22"/>
      <c r="AP94" s="7"/>
      <c r="AT94" s="2"/>
    </row>
    <row r="95" spans="1:46">
      <c r="A95"/>
      <c r="V95" s="22"/>
      <c r="W95" s="22"/>
      <c r="X95" s="22"/>
      <c r="Y95" s="22"/>
      <c r="AD95" s="22"/>
      <c r="AE95" s="22"/>
      <c r="AF95" s="22"/>
      <c r="AG95" s="22"/>
      <c r="AL95" s="22"/>
      <c r="AM95" s="22"/>
      <c r="AN95" s="22"/>
      <c r="AO95" s="22"/>
      <c r="AP95" s="7"/>
      <c r="AT95" s="2"/>
    </row>
    <row r="96" spans="1:46">
      <c r="A96"/>
      <c r="V96" s="22"/>
      <c r="W96" s="22"/>
      <c r="X96" s="22"/>
      <c r="Y96" s="22"/>
      <c r="AD96" s="22"/>
      <c r="AE96" s="22"/>
      <c r="AF96" s="22"/>
      <c r="AG96" s="22"/>
      <c r="AL96" s="22"/>
      <c r="AM96" s="22"/>
      <c r="AN96" s="22"/>
      <c r="AO96" s="22"/>
      <c r="AP96" s="7"/>
      <c r="AT96" s="2"/>
    </row>
    <row r="97" spans="1:46">
      <c r="A97"/>
      <c r="V97" s="22"/>
      <c r="W97" s="22"/>
      <c r="X97" s="22"/>
      <c r="Y97" s="22"/>
      <c r="AD97" s="22"/>
      <c r="AE97" s="22"/>
      <c r="AF97" s="22"/>
      <c r="AG97" s="22"/>
      <c r="AL97" s="22"/>
      <c r="AM97" s="22"/>
      <c r="AN97" s="22"/>
      <c r="AO97" s="22"/>
      <c r="AP97" s="7"/>
      <c r="AT97" s="2"/>
    </row>
    <row r="98" spans="1:46">
      <c r="A98"/>
      <c r="V98" s="22"/>
      <c r="W98" s="22"/>
      <c r="X98" s="22"/>
      <c r="Y98" s="22"/>
      <c r="AD98" s="22"/>
      <c r="AE98" s="22"/>
      <c r="AF98" s="22"/>
      <c r="AG98" s="22"/>
      <c r="AL98" s="22"/>
      <c r="AM98" s="22"/>
      <c r="AN98" s="22"/>
      <c r="AO98" s="22"/>
      <c r="AP98" s="7"/>
      <c r="AT98" s="2"/>
    </row>
    <row r="99" spans="1:46">
      <c r="A99"/>
      <c r="V99" s="22"/>
      <c r="W99" s="22"/>
      <c r="X99" s="22"/>
      <c r="Y99" s="22"/>
      <c r="AD99" s="22"/>
      <c r="AE99" s="22"/>
      <c r="AF99" s="22"/>
      <c r="AG99" s="22"/>
      <c r="AL99" s="22"/>
      <c r="AM99" s="22"/>
      <c r="AN99" s="22"/>
      <c r="AO99" s="22"/>
      <c r="AP99" s="7"/>
      <c r="AT99" s="2"/>
    </row>
    <row r="100" spans="1:46">
      <c r="A100"/>
      <c r="V100" s="22"/>
      <c r="W100" s="22"/>
      <c r="X100" s="22"/>
      <c r="Y100" s="22"/>
      <c r="AD100" s="22"/>
      <c r="AE100" s="22"/>
      <c r="AF100" s="22"/>
      <c r="AG100" s="22"/>
      <c r="AL100" s="22"/>
      <c r="AM100" s="22"/>
      <c r="AN100" s="22"/>
      <c r="AO100" s="22"/>
      <c r="AP100" s="7"/>
      <c r="AT100" s="2"/>
    </row>
    <row r="101" spans="1:46">
      <c r="A101"/>
      <c r="V101" s="22"/>
      <c r="W101" s="22"/>
      <c r="X101" s="22"/>
      <c r="Y101" s="22"/>
      <c r="AD101" s="22"/>
      <c r="AE101" s="22"/>
      <c r="AF101" s="22"/>
      <c r="AG101" s="22"/>
      <c r="AL101" s="22"/>
      <c r="AM101" s="22"/>
      <c r="AN101" s="22"/>
      <c r="AO101" s="22"/>
      <c r="AP101" s="7"/>
      <c r="AT101" s="2"/>
    </row>
    <row r="102" spans="1:46">
      <c r="A102"/>
      <c r="V102" s="22"/>
      <c r="W102" s="22"/>
      <c r="X102" s="22"/>
      <c r="Y102" s="22"/>
      <c r="AD102" s="22"/>
      <c r="AE102" s="22"/>
      <c r="AF102" s="22"/>
      <c r="AG102" s="22"/>
      <c r="AL102" s="22"/>
      <c r="AM102" s="22"/>
      <c r="AN102" s="22"/>
      <c r="AO102" s="22"/>
      <c r="AP102" s="7"/>
      <c r="AT102" s="2"/>
    </row>
    <row r="103" spans="1:46">
      <c r="A103"/>
      <c r="V103" s="22"/>
      <c r="W103" s="22"/>
      <c r="X103" s="22"/>
      <c r="Y103" s="22"/>
      <c r="AD103" s="22"/>
      <c r="AE103" s="22"/>
      <c r="AF103" s="22"/>
      <c r="AG103" s="22"/>
      <c r="AL103" s="22"/>
      <c r="AM103" s="22"/>
      <c r="AN103" s="22"/>
      <c r="AO103" s="22"/>
      <c r="AP103" s="7"/>
      <c r="AT103" s="2"/>
    </row>
    <row r="104" spans="1:46">
      <c r="A104"/>
      <c r="V104" s="22"/>
      <c r="W104" s="22"/>
      <c r="X104" s="22"/>
      <c r="Y104" s="22"/>
      <c r="AD104" s="22"/>
      <c r="AE104" s="22"/>
      <c r="AF104" s="22"/>
      <c r="AG104" s="22"/>
      <c r="AL104" s="22"/>
      <c r="AM104" s="22"/>
      <c r="AN104" s="22"/>
      <c r="AO104" s="22"/>
      <c r="AP104" s="7"/>
      <c r="AT104" s="2"/>
    </row>
    <row r="105" spans="1:46">
      <c r="A105"/>
      <c r="V105" s="22"/>
      <c r="W105" s="22"/>
      <c r="X105" s="22"/>
      <c r="Y105" s="22"/>
      <c r="AD105" s="22"/>
      <c r="AE105" s="22"/>
      <c r="AF105" s="22"/>
      <c r="AG105" s="22"/>
      <c r="AL105" s="22"/>
      <c r="AM105" s="22"/>
      <c r="AN105" s="22"/>
      <c r="AO105" s="22"/>
      <c r="AP105" s="7"/>
      <c r="AT105" s="2"/>
    </row>
    <row r="106" spans="1:46">
      <c r="A106"/>
      <c r="V106" s="22"/>
      <c r="W106" s="22"/>
      <c r="X106" s="22"/>
      <c r="Y106" s="22"/>
      <c r="AD106" s="22"/>
      <c r="AE106" s="22"/>
      <c r="AF106" s="22"/>
      <c r="AG106" s="22"/>
      <c r="AL106" s="22"/>
      <c r="AM106" s="22"/>
      <c r="AN106" s="22"/>
      <c r="AO106" s="22"/>
      <c r="AP106" s="7"/>
      <c r="AT106" s="2"/>
    </row>
    <row r="107" spans="1:46">
      <c r="A107"/>
      <c r="V107" s="22"/>
      <c r="W107" s="22"/>
      <c r="X107" s="22"/>
      <c r="Y107" s="22"/>
      <c r="AD107" s="22"/>
      <c r="AE107" s="22"/>
      <c r="AF107" s="22"/>
      <c r="AG107" s="22"/>
      <c r="AL107" s="22"/>
      <c r="AM107" s="22"/>
      <c r="AN107" s="22"/>
      <c r="AO107" s="22"/>
      <c r="AP107" s="7"/>
      <c r="AT107" s="2"/>
    </row>
    <row r="108" spans="1:46">
      <c r="A108"/>
      <c r="V108" s="22"/>
      <c r="W108" s="22"/>
      <c r="X108" s="22"/>
      <c r="Y108" s="22"/>
      <c r="AD108" s="22"/>
      <c r="AE108" s="22"/>
      <c r="AF108" s="22"/>
      <c r="AG108" s="22"/>
      <c r="AL108" s="22"/>
      <c r="AM108" s="22"/>
      <c r="AN108" s="22"/>
      <c r="AO108" s="22"/>
      <c r="AP108" s="7"/>
      <c r="AT108" s="2"/>
    </row>
    <row r="109" spans="1:46">
      <c r="A109"/>
      <c r="V109" s="22"/>
      <c r="W109" s="22"/>
      <c r="X109" s="22"/>
      <c r="Y109" s="22"/>
      <c r="AD109" s="22"/>
      <c r="AE109" s="22"/>
      <c r="AF109" s="22"/>
      <c r="AG109" s="22"/>
      <c r="AL109" s="22"/>
      <c r="AM109" s="22"/>
      <c r="AN109" s="22"/>
      <c r="AO109" s="22"/>
      <c r="AP109" s="7"/>
      <c r="AT109" s="2"/>
    </row>
    <row r="110" spans="1:46">
      <c r="A110"/>
      <c r="V110" s="22"/>
      <c r="W110" s="22"/>
      <c r="X110" s="22"/>
      <c r="Y110" s="22"/>
      <c r="AD110" s="22"/>
      <c r="AE110" s="22"/>
      <c r="AF110" s="22"/>
      <c r="AG110" s="22"/>
      <c r="AL110" s="22"/>
      <c r="AM110" s="22"/>
      <c r="AN110" s="22"/>
      <c r="AO110" s="22"/>
      <c r="AP110" s="7"/>
      <c r="AT110" s="2"/>
    </row>
    <row r="111" spans="1:46">
      <c r="A111"/>
      <c r="V111" s="22"/>
      <c r="W111" s="22"/>
      <c r="X111" s="22"/>
      <c r="Y111" s="22"/>
      <c r="AD111" s="22"/>
      <c r="AE111" s="22"/>
      <c r="AF111" s="22"/>
      <c r="AG111" s="22"/>
      <c r="AL111" s="22"/>
      <c r="AM111" s="22"/>
      <c r="AN111" s="22"/>
      <c r="AO111" s="22"/>
      <c r="AP111" s="7"/>
      <c r="AT111" s="2"/>
    </row>
    <row r="112" spans="1:46">
      <c r="A112"/>
      <c r="V112" s="22"/>
      <c r="W112" s="22"/>
      <c r="X112" s="22"/>
      <c r="Y112" s="22"/>
      <c r="AD112" s="22"/>
      <c r="AE112" s="22"/>
      <c r="AF112" s="22"/>
      <c r="AG112" s="22"/>
      <c r="AL112" s="22"/>
      <c r="AM112" s="22"/>
      <c r="AN112" s="22"/>
      <c r="AO112" s="22"/>
      <c r="AP112" s="7"/>
      <c r="AT112" s="2"/>
    </row>
    <row r="113" spans="1:46">
      <c r="A113"/>
      <c r="V113" s="22"/>
      <c r="W113" s="22"/>
      <c r="X113" s="22"/>
      <c r="Y113" s="22"/>
      <c r="AD113" s="22"/>
      <c r="AE113" s="22"/>
      <c r="AF113" s="22"/>
      <c r="AG113" s="22"/>
      <c r="AL113" s="22"/>
      <c r="AM113" s="22"/>
      <c r="AN113" s="22"/>
      <c r="AO113" s="22"/>
      <c r="AP113" s="7"/>
      <c r="AT113" s="2"/>
    </row>
    <row r="114" spans="1:46">
      <c r="A114"/>
      <c r="V114" s="22"/>
      <c r="W114" s="22"/>
      <c r="X114" s="22"/>
      <c r="Y114" s="22"/>
      <c r="AD114" s="22"/>
      <c r="AE114" s="22"/>
      <c r="AF114" s="22"/>
      <c r="AG114" s="22"/>
      <c r="AL114" s="22"/>
      <c r="AM114" s="22"/>
      <c r="AN114" s="22"/>
      <c r="AO114" s="22"/>
      <c r="AP114" s="7"/>
      <c r="AT114" s="2"/>
    </row>
    <row r="115" spans="1:46">
      <c r="A115"/>
      <c r="V115" s="22"/>
      <c r="W115" s="22"/>
      <c r="X115" s="22"/>
      <c r="Y115" s="22"/>
      <c r="AD115" s="22"/>
      <c r="AE115" s="22"/>
      <c r="AF115" s="22"/>
      <c r="AG115" s="22"/>
      <c r="AL115" s="22"/>
      <c r="AM115" s="22"/>
      <c r="AN115" s="22"/>
      <c r="AO115" s="22"/>
      <c r="AP115" s="7"/>
      <c r="AT115" s="2"/>
    </row>
    <row r="116" spans="1:46">
      <c r="A116"/>
      <c r="V116" s="22"/>
      <c r="W116" s="22"/>
      <c r="X116" s="22"/>
      <c r="Y116" s="22"/>
      <c r="AD116" s="22"/>
      <c r="AE116" s="22"/>
      <c r="AF116" s="22"/>
      <c r="AG116" s="22"/>
      <c r="AL116" s="22"/>
      <c r="AM116" s="22"/>
      <c r="AN116" s="22"/>
      <c r="AO116" s="22"/>
      <c r="AP116" s="7"/>
      <c r="AT116" s="2"/>
    </row>
    <row r="117" spans="1:46">
      <c r="A117"/>
      <c r="V117" s="22"/>
      <c r="W117" s="22"/>
      <c r="X117" s="22"/>
      <c r="Y117" s="22"/>
      <c r="AD117" s="22"/>
      <c r="AE117" s="22"/>
      <c r="AF117" s="22"/>
      <c r="AG117" s="22"/>
      <c r="AL117" s="22"/>
      <c r="AM117" s="22"/>
      <c r="AN117" s="22"/>
      <c r="AO117" s="22"/>
      <c r="AP117" s="7"/>
      <c r="AT117" s="2"/>
    </row>
    <row r="118" spans="1:46">
      <c r="A118"/>
      <c r="V118" s="22"/>
      <c r="W118" s="22"/>
      <c r="X118" s="22"/>
      <c r="Y118" s="22"/>
      <c r="AD118" s="22"/>
      <c r="AE118" s="22"/>
      <c r="AF118" s="22"/>
      <c r="AG118" s="22"/>
      <c r="AL118" s="22"/>
      <c r="AM118" s="22"/>
      <c r="AN118" s="22"/>
      <c r="AO118" s="22"/>
      <c r="AP118" s="7"/>
      <c r="AT118" s="2"/>
    </row>
    <row r="119" spans="1:46">
      <c r="A119"/>
      <c r="V119" s="22"/>
      <c r="W119" s="22"/>
      <c r="X119" s="22"/>
      <c r="Y119" s="22"/>
      <c r="AD119" s="22"/>
      <c r="AE119" s="22"/>
      <c r="AF119" s="22"/>
      <c r="AG119" s="22"/>
      <c r="AL119" s="22"/>
      <c r="AM119" s="22"/>
      <c r="AN119" s="22"/>
      <c r="AO119" s="22"/>
      <c r="AP119" s="7"/>
      <c r="AT119" s="2"/>
    </row>
    <row r="120" spans="1:46">
      <c r="A120"/>
      <c r="V120" s="22"/>
      <c r="W120" s="22"/>
      <c r="X120" s="22"/>
      <c r="Y120" s="22"/>
      <c r="AD120" s="22"/>
      <c r="AE120" s="22"/>
      <c r="AF120" s="22"/>
      <c r="AG120" s="22"/>
      <c r="AL120" s="22"/>
      <c r="AM120" s="22"/>
      <c r="AN120" s="22"/>
      <c r="AO120" s="22"/>
      <c r="AP120" s="7"/>
      <c r="AT120" s="2"/>
    </row>
    <row r="121" spans="1:46">
      <c r="A121"/>
      <c r="V121" s="22"/>
      <c r="W121" s="22"/>
      <c r="X121" s="22"/>
      <c r="Y121" s="22"/>
      <c r="AD121" s="22"/>
      <c r="AE121" s="22"/>
      <c r="AF121" s="22"/>
      <c r="AG121" s="22"/>
      <c r="AL121" s="22"/>
      <c r="AM121" s="22"/>
      <c r="AN121" s="22"/>
      <c r="AO121" s="22"/>
      <c r="AP121" s="7"/>
      <c r="AT121" s="2"/>
    </row>
    <row r="122" spans="1:46">
      <c r="A122"/>
      <c r="V122" s="22"/>
      <c r="W122" s="22"/>
      <c r="X122" s="22"/>
      <c r="Y122" s="22"/>
      <c r="AD122" s="22"/>
      <c r="AE122" s="22"/>
      <c r="AF122" s="22"/>
      <c r="AG122" s="22"/>
      <c r="AL122" s="22"/>
      <c r="AM122" s="22"/>
      <c r="AN122" s="22"/>
      <c r="AO122" s="22"/>
      <c r="AP122" s="7"/>
      <c r="AT122" s="2"/>
    </row>
    <row r="123" spans="1:46">
      <c r="A123"/>
      <c r="V123" s="22"/>
      <c r="W123" s="22"/>
      <c r="X123" s="22"/>
      <c r="Y123" s="22"/>
      <c r="AD123" s="22"/>
      <c r="AE123" s="22"/>
      <c r="AF123" s="22"/>
      <c r="AG123" s="22"/>
      <c r="AL123" s="22"/>
      <c r="AM123" s="22"/>
      <c r="AN123" s="22"/>
      <c r="AO123" s="22"/>
      <c r="AP123" s="7"/>
      <c r="AT123" s="2"/>
    </row>
    <row r="124" spans="1:46">
      <c r="A124"/>
      <c r="V124" s="22"/>
      <c r="W124" s="22"/>
      <c r="X124" s="22"/>
      <c r="Y124" s="22"/>
      <c r="AD124" s="22"/>
      <c r="AE124" s="22"/>
      <c r="AF124" s="22"/>
      <c r="AG124" s="22"/>
      <c r="AL124" s="22"/>
      <c r="AM124" s="22"/>
      <c r="AN124" s="22"/>
      <c r="AO124" s="22"/>
      <c r="AP124" s="7"/>
      <c r="AT124" s="2"/>
    </row>
    <row r="125" spans="1:46">
      <c r="A125"/>
      <c r="V125" s="22"/>
      <c r="W125" s="22"/>
      <c r="X125" s="22"/>
      <c r="Y125" s="22"/>
      <c r="AD125" s="22"/>
      <c r="AE125" s="22"/>
      <c r="AF125" s="22"/>
      <c r="AG125" s="22"/>
      <c r="AL125" s="22"/>
      <c r="AM125" s="22"/>
      <c r="AN125" s="22"/>
      <c r="AO125" s="22"/>
      <c r="AP125" s="7"/>
      <c r="AT125" s="2"/>
    </row>
    <row r="126" spans="1:46">
      <c r="A126"/>
      <c r="V126" s="22"/>
      <c r="W126" s="22"/>
      <c r="X126" s="22"/>
      <c r="Y126" s="22"/>
      <c r="AD126" s="22"/>
      <c r="AE126" s="22"/>
      <c r="AF126" s="22"/>
      <c r="AG126" s="22"/>
      <c r="AL126" s="22"/>
      <c r="AM126" s="22"/>
      <c r="AN126" s="22"/>
      <c r="AO126" s="22"/>
      <c r="AP126" s="7"/>
      <c r="AT126" s="2"/>
    </row>
    <row r="127" spans="1:46">
      <c r="A127"/>
      <c r="V127" s="22"/>
      <c r="W127" s="22"/>
      <c r="X127" s="22"/>
      <c r="Y127" s="22"/>
      <c r="AD127" s="22"/>
      <c r="AE127" s="22"/>
      <c r="AF127" s="22"/>
      <c r="AG127" s="22"/>
      <c r="AL127" s="22"/>
      <c r="AM127" s="22"/>
      <c r="AN127" s="22"/>
      <c r="AO127" s="22"/>
      <c r="AP127" s="7"/>
      <c r="AT127" s="2"/>
    </row>
    <row r="128" spans="1:46">
      <c r="A128"/>
      <c r="V128" s="22"/>
      <c r="W128" s="22"/>
      <c r="X128" s="22"/>
      <c r="Y128" s="22"/>
      <c r="AD128" s="22"/>
      <c r="AE128" s="22"/>
      <c r="AF128" s="22"/>
      <c r="AG128" s="22"/>
      <c r="AL128" s="22"/>
      <c r="AM128" s="22"/>
      <c r="AN128" s="22"/>
      <c r="AO128" s="22"/>
      <c r="AP128" s="7"/>
      <c r="AT128" s="2"/>
    </row>
    <row r="129" spans="1:46">
      <c r="A129"/>
      <c r="V129" s="22"/>
      <c r="W129" s="22"/>
      <c r="X129" s="22"/>
      <c r="Y129" s="22"/>
      <c r="AD129" s="22"/>
      <c r="AE129" s="22"/>
      <c r="AF129" s="22"/>
      <c r="AG129" s="22"/>
      <c r="AL129" s="22"/>
      <c r="AM129" s="22"/>
      <c r="AN129" s="22"/>
      <c r="AO129" s="22"/>
      <c r="AP129" s="7"/>
      <c r="AT129" s="2"/>
    </row>
    <row r="130" spans="1:46">
      <c r="A130"/>
      <c r="V130" s="22"/>
      <c r="W130" s="22"/>
      <c r="X130" s="22"/>
      <c r="Y130" s="22"/>
      <c r="AD130" s="22"/>
      <c r="AE130" s="22"/>
      <c r="AF130" s="22"/>
      <c r="AG130" s="22"/>
      <c r="AL130" s="22"/>
      <c r="AM130" s="22"/>
      <c r="AN130" s="22"/>
      <c r="AO130" s="22"/>
      <c r="AP130" s="7"/>
      <c r="AT130" s="2"/>
    </row>
    <row r="131" spans="1:46">
      <c r="A131"/>
      <c r="V131" s="22"/>
      <c r="W131" s="22"/>
      <c r="X131" s="22"/>
      <c r="Y131" s="22"/>
      <c r="AD131" s="22"/>
      <c r="AE131" s="22"/>
      <c r="AF131" s="22"/>
      <c r="AG131" s="22"/>
      <c r="AL131" s="22"/>
      <c r="AM131" s="22"/>
      <c r="AN131" s="22"/>
      <c r="AO131" s="22"/>
      <c r="AP131" s="7"/>
      <c r="AT131" s="2"/>
    </row>
    <row r="132" spans="1:46">
      <c r="A132"/>
      <c r="V132" s="22"/>
      <c r="W132" s="22"/>
      <c r="X132" s="22"/>
      <c r="Y132" s="22"/>
      <c r="AD132" s="22"/>
      <c r="AE132" s="22"/>
      <c r="AF132" s="22"/>
      <c r="AG132" s="22"/>
      <c r="AL132" s="22"/>
      <c r="AM132" s="22"/>
      <c r="AN132" s="22"/>
      <c r="AO132" s="22"/>
      <c r="AP132" s="7"/>
      <c r="AT132" s="2"/>
    </row>
    <row r="133" spans="1:46">
      <c r="A133"/>
      <c r="V133" s="22"/>
      <c r="W133" s="22"/>
      <c r="X133" s="22"/>
      <c r="Y133" s="22"/>
      <c r="AD133" s="22"/>
      <c r="AE133" s="22"/>
      <c r="AF133" s="22"/>
      <c r="AG133" s="22"/>
      <c r="AL133" s="22"/>
      <c r="AM133" s="22"/>
      <c r="AN133" s="22"/>
      <c r="AO133" s="22"/>
      <c r="AP133" s="7"/>
      <c r="AT133" s="2"/>
    </row>
    <row r="134" spans="1:46">
      <c r="A134"/>
      <c r="V134" s="22"/>
      <c r="W134" s="22"/>
      <c r="X134" s="22"/>
      <c r="Y134" s="22"/>
      <c r="AD134" s="22"/>
      <c r="AE134" s="22"/>
      <c r="AF134" s="22"/>
      <c r="AG134" s="22"/>
      <c r="AL134" s="22"/>
      <c r="AM134" s="22"/>
      <c r="AN134" s="22"/>
      <c r="AO134" s="22"/>
      <c r="AP134" s="7"/>
      <c r="AT134" s="2"/>
    </row>
    <row r="135" spans="1:46">
      <c r="A135"/>
      <c r="V135" s="22"/>
      <c r="W135" s="22"/>
      <c r="X135" s="22"/>
      <c r="Y135" s="22"/>
      <c r="AD135" s="22"/>
      <c r="AE135" s="22"/>
      <c r="AF135" s="22"/>
      <c r="AG135" s="22"/>
      <c r="AL135" s="22"/>
      <c r="AM135" s="22"/>
      <c r="AN135" s="22"/>
      <c r="AO135" s="22"/>
      <c r="AP135" s="7"/>
      <c r="AT135" s="2"/>
    </row>
    <row r="136" spans="1:46">
      <c r="A136"/>
      <c r="V136" s="22"/>
      <c r="W136" s="22"/>
      <c r="X136" s="22"/>
      <c r="Y136" s="22"/>
      <c r="AD136" s="22"/>
      <c r="AE136" s="22"/>
      <c r="AF136" s="22"/>
      <c r="AG136" s="22"/>
      <c r="AL136" s="22"/>
      <c r="AM136" s="22"/>
      <c r="AN136" s="22"/>
      <c r="AO136" s="22"/>
      <c r="AP136" s="7"/>
      <c r="AT136" s="2"/>
    </row>
    <row r="137" spans="1:46">
      <c r="A137"/>
      <c r="V137" s="22"/>
      <c r="W137" s="22"/>
      <c r="X137" s="22"/>
      <c r="Y137" s="22"/>
      <c r="AD137" s="22"/>
      <c r="AE137" s="22"/>
      <c r="AF137" s="22"/>
      <c r="AG137" s="22"/>
      <c r="AL137" s="22"/>
      <c r="AM137" s="22"/>
      <c r="AN137" s="22"/>
      <c r="AO137" s="22"/>
      <c r="AP137" s="7"/>
      <c r="AT137" s="2"/>
    </row>
    <row r="138" spans="1:46">
      <c r="A138"/>
      <c r="V138" s="22"/>
      <c r="W138" s="22"/>
      <c r="X138" s="22"/>
      <c r="Y138" s="22"/>
      <c r="AD138" s="22"/>
      <c r="AE138" s="22"/>
      <c r="AF138" s="22"/>
      <c r="AG138" s="22"/>
      <c r="AL138" s="22"/>
      <c r="AM138" s="22"/>
      <c r="AN138" s="22"/>
      <c r="AO138" s="22"/>
      <c r="AP138" s="7"/>
      <c r="AT138" s="2"/>
    </row>
    <row r="139" spans="1:46">
      <c r="A139"/>
      <c r="V139" s="22"/>
      <c r="W139" s="22"/>
      <c r="X139" s="22"/>
      <c r="Y139" s="22"/>
      <c r="AD139" s="22"/>
      <c r="AE139" s="22"/>
      <c r="AF139" s="22"/>
      <c r="AG139" s="22"/>
      <c r="AL139" s="22"/>
      <c r="AM139" s="22"/>
      <c r="AN139" s="22"/>
      <c r="AO139" s="22"/>
      <c r="AP139" s="7"/>
      <c r="AT139" s="2"/>
    </row>
    <row r="140" spans="1:46">
      <c r="A140"/>
      <c r="V140" s="22"/>
      <c r="W140" s="22"/>
      <c r="X140" s="22"/>
      <c r="Y140" s="22"/>
      <c r="AD140" s="22"/>
      <c r="AE140" s="22"/>
      <c r="AF140" s="22"/>
      <c r="AG140" s="22"/>
      <c r="AL140" s="22"/>
      <c r="AM140" s="22"/>
      <c r="AN140" s="22"/>
      <c r="AO140" s="22"/>
      <c r="AP140" s="7"/>
      <c r="AT140" s="2"/>
    </row>
    <row r="141" spans="1:46">
      <c r="A141"/>
      <c r="V141" s="22"/>
      <c r="W141" s="22"/>
      <c r="X141" s="22"/>
      <c r="Y141" s="22"/>
      <c r="AD141" s="22"/>
      <c r="AE141" s="22"/>
      <c r="AF141" s="22"/>
      <c r="AG141" s="22"/>
      <c r="AL141" s="22"/>
      <c r="AM141" s="22"/>
      <c r="AN141" s="22"/>
      <c r="AO141" s="22"/>
      <c r="AP141" s="7"/>
      <c r="AT141" s="2"/>
    </row>
    <row r="142" spans="1:46">
      <c r="A142"/>
      <c r="V142" s="22"/>
      <c r="W142" s="22"/>
      <c r="X142" s="22"/>
      <c r="Y142" s="22"/>
      <c r="AD142" s="22"/>
      <c r="AE142" s="22"/>
      <c r="AF142" s="22"/>
      <c r="AG142" s="22"/>
      <c r="AL142" s="22"/>
      <c r="AM142" s="22"/>
      <c r="AN142" s="22"/>
      <c r="AO142" s="22"/>
      <c r="AP142" s="7"/>
      <c r="AT142" s="2"/>
    </row>
    <row r="143" spans="1:46">
      <c r="A143"/>
      <c r="V143" s="22"/>
      <c r="W143" s="22"/>
      <c r="X143" s="22"/>
      <c r="Y143" s="22"/>
      <c r="AD143" s="22"/>
      <c r="AE143" s="22"/>
      <c r="AF143" s="22"/>
      <c r="AG143" s="22"/>
      <c r="AL143" s="22"/>
      <c r="AM143" s="22"/>
      <c r="AN143" s="22"/>
      <c r="AO143" s="22"/>
      <c r="AP143" s="7"/>
      <c r="AT143" s="2"/>
    </row>
    <row r="144" spans="1:46">
      <c r="A144"/>
      <c r="V144" s="22"/>
      <c r="W144" s="22"/>
      <c r="X144" s="22"/>
      <c r="Y144" s="22"/>
      <c r="AD144" s="22"/>
      <c r="AE144" s="22"/>
      <c r="AF144" s="22"/>
      <c r="AG144" s="22"/>
      <c r="AL144" s="22"/>
      <c r="AM144" s="22"/>
      <c r="AN144" s="22"/>
      <c r="AO144" s="22"/>
      <c r="AP144" s="7"/>
      <c r="AT144" s="2"/>
    </row>
    <row r="145" spans="1:46">
      <c r="A145"/>
      <c r="V145" s="22"/>
      <c r="W145" s="22"/>
      <c r="X145" s="22"/>
      <c r="Y145" s="22"/>
      <c r="AD145" s="22"/>
      <c r="AE145" s="22"/>
      <c r="AF145" s="22"/>
      <c r="AG145" s="22"/>
      <c r="AL145" s="22"/>
      <c r="AM145" s="22"/>
      <c r="AN145" s="22"/>
      <c r="AO145" s="22"/>
      <c r="AP145" s="7"/>
      <c r="AT145" s="2"/>
    </row>
    <row r="146" spans="1:46">
      <c r="A146"/>
      <c r="V146" s="22"/>
      <c r="W146" s="22"/>
      <c r="X146" s="22"/>
      <c r="Y146" s="22"/>
      <c r="AD146" s="22"/>
      <c r="AE146" s="22"/>
      <c r="AF146" s="22"/>
      <c r="AG146" s="22"/>
      <c r="AL146" s="22"/>
      <c r="AM146" s="22"/>
      <c r="AN146" s="22"/>
      <c r="AO146" s="22"/>
      <c r="AP146" s="7"/>
      <c r="AT146" s="2"/>
    </row>
    <row r="147" spans="1:46">
      <c r="A147"/>
      <c r="V147" s="22"/>
      <c r="W147" s="22"/>
      <c r="X147" s="22"/>
      <c r="Y147" s="22"/>
      <c r="AD147" s="22"/>
      <c r="AE147" s="22"/>
      <c r="AF147" s="22"/>
      <c r="AG147" s="22"/>
      <c r="AL147" s="22"/>
      <c r="AM147" s="22"/>
      <c r="AN147" s="22"/>
      <c r="AO147" s="22"/>
      <c r="AP147" s="7"/>
      <c r="AT147" s="2"/>
    </row>
    <row r="148" spans="1:46">
      <c r="A148"/>
      <c r="V148" s="22"/>
      <c r="W148" s="22"/>
      <c r="X148" s="22"/>
      <c r="Y148" s="22"/>
      <c r="AD148" s="22"/>
      <c r="AE148" s="22"/>
      <c r="AF148" s="22"/>
      <c r="AG148" s="22"/>
      <c r="AL148" s="22"/>
      <c r="AM148" s="22"/>
      <c r="AN148" s="22"/>
      <c r="AO148" s="22"/>
      <c r="AP148" s="7"/>
      <c r="AT148" s="2"/>
    </row>
    <row r="149" spans="1:46">
      <c r="A149"/>
      <c r="V149" s="22"/>
      <c r="W149" s="22"/>
      <c r="X149" s="22"/>
      <c r="Y149" s="22"/>
      <c r="AD149" s="22"/>
      <c r="AE149" s="22"/>
      <c r="AF149" s="22"/>
      <c r="AG149" s="22"/>
      <c r="AL149" s="22"/>
      <c r="AM149" s="22"/>
      <c r="AN149" s="22"/>
      <c r="AO149" s="22"/>
      <c r="AP149" s="7"/>
      <c r="AT149" s="2"/>
    </row>
    <row r="150" spans="1:46">
      <c r="A150"/>
      <c r="V150" s="22"/>
      <c r="W150" s="22"/>
      <c r="X150" s="22"/>
      <c r="Y150" s="22"/>
      <c r="AD150" s="22"/>
      <c r="AE150" s="22"/>
      <c r="AF150" s="22"/>
      <c r="AG150" s="22"/>
      <c r="AL150" s="22"/>
      <c r="AM150" s="22"/>
      <c r="AN150" s="22"/>
      <c r="AO150" s="22"/>
      <c r="AP150" s="7"/>
      <c r="AT150" s="2"/>
    </row>
    <row r="151" spans="1:46">
      <c r="A151"/>
      <c r="V151" s="22"/>
      <c r="W151" s="22"/>
      <c r="X151" s="22"/>
      <c r="Y151" s="22"/>
      <c r="AD151" s="22"/>
      <c r="AE151" s="22"/>
      <c r="AF151" s="22"/>
      <c r="AG151" s="22"/>
      <c r="AL151" s="22"/>
      <c r="AM151" s="22"/>
      <c r="AN151" s="22"/>
      <c r="AO151" s="22"/>
      <c r="AP151" s="7"/>
      <c r="AT151" s="2"/>
    </row>
    <row r="152" spans="1:46">
      <c r="A152"/>
      <c r="V152" s="22"/>
      <c r="W152" s="22"/>
      <c r="X152" s="22"/>
      <c r="Y152" s="22"/>
      <c r="AD152" s="22"/>
      <c r="AE152" s="22"/>
      <c r="AF152" s="22"/>
      <c r="AG152" s="22"/>
      <c r="AL152" s="22"/>
      <c r="AM152" s="22"/>
      <c r="AN152" s="22"/>
      <c r="AO152" s="22"/>
      <c r="AP152" s="7"/>
      <c r="AT152" s="2"/>
    </row>
    <row r="153" spans="1:46">
      <c r="A153"/>
      <c r="V153" s="22"/>
      <c r="W153" s="22"/>
      <c r="X153" s="22"/>
      <c r="Y153" s="22"/>
      <c r="AD153" s="22"/>
      <c r="AE153" s="22"/>
      <c r="AF153" s="22"/>
      <c r="AG153" s="22"/>
      <c r="AL153" s="22"/>
      <c r="AM153" s="22"/>
      <c r="AN153" s="22"/>
      <c r="AO153" s="22"/>
      <c r="AP153" s="7"/>
      <c r="AT153" s="2"/>
    </row>
    <row r="154" spans="1:46">
      <c r="A154"/>
      <c r="V154" s="22"/>
      <c r="W154" s="22"/>
      <c r="X154" s="22"/>
      <c r="Y154" s="22"/>
      <c r="AD154" s="22"/>
      <c r="AE154" s="22"/>
      <c r="AF154" s="22"/>
      <c r="AG154" s="22"/>
      <c r="AL154" s="22"/>
      <c r="AM154" s="22"/>
      <c r="AN154" s="22"/>
      <c r="AO154" s="22"/>
      <c r="AP154" s="7"/>
      <c r="AT154" s="2"/>
    </row>
    <row r="155" spans="1:46">
      <c r="A155"/>
      <c r="V155" s="22"/>
      <c r="W155" s="22"/>
      <c r="X155" s="22"/>
      <c r="Y155" s="22"/>
      <c r="AD155" s="22"/>
      <c r="AE155" s="22"/>
      <c r="AF155" s="22"/>
      <c r="AG155" s="22"/>
      <c r="AL155" s="22"/>
      <c r="AM155" s="22"/>
      <c r="AN155" s="22"/>
      <c r="AO155" s="22"/>
      <c r="AP155" s="7"/>
      <c r="AT155" s="2"/>
    </row>
    <row r="156" spans="1:46">
      <c r="A156"/>
      <c r="V156" s="22"/>
      <c r="W156" s="22"/>
      <c r="X156" s="22"/>
      <c r="Y156" s="22"/>
      <c r="AD156" s="22"/>
      <c r="AE156" s="22"/>
      <c r="AF156" s="22"/>
      <c r="AG156" s="22"/>
      <c r="AL156" s="22"/>
      <c r="AM156" s="22"/>
      <c r="AN156" s="22"/>
      <c r="AO156" s="22"/>
      <c r="AP156" s="7"/>
      <c r="AT156" s="2"/>
    </row>
    <row r="157" spans="1:46">
      <c r="A157"/>
      <c r="V157" s="22"/>
      <c r="W157" s="22"/>
      <c r="X157" s="22"/>
      <c r="Y157" s="22"/>
      <c r="AD157" s="22"/>
      <c r="AE157" s="22"/>
      <c r="AF157" s="22"/>
      <c r="AG157" s="22"/>
      <c r="AL157" s="22"/>
      <c r="AM157" s="22"/>
      <c r="AN157" s="22"/>
      <c r="AO157" s="22"/>
      <c r="AP157" s="7"/>
      <c r="AT157" s="2"/>
    </row>
    <row r="158" spans="1:46">
      <c r="A158"/>
      <c r="V158" s="22"/>
      <c r="W158" s="22"/>
      <c r="X158" s="22"/>
      <c r="Y158" s="22"/>
      <c r="AD158" s="22"/>
      <c r="AE158" s="22"/>
      <c r="AF158" s="22"/>
      <c r="AG158" s="22"/>
      <c r="AL158" s="22"/>
      <c r="AM158" s="22"/>
      <c r="AN158" s="22"/>
      <c r="AO158" s="22"/>
      <c r="AP158" s="7"/>
      <c r="AT158" s="2"/>
    </row>
    <row r="159" spans="1:46">
      <c r="A159"/>
      <c r="V159" s="22"/>
      <c r="W159" s="22"/>
      <c r="X159" s="22"/>
      <c r="Y159" s="22"/>
      <c r="AD159" s="22"/>
      <c r="AE159" s="22"/>
      <c r="AF159" s="22"/>
      <c r="AG159" s="22"/>
      <c r="AL159" s="22"/>
      <c r="AM159" s="22"/>
      <c r="AN159" s="22"/>
      <c r="AO159" s="22"/>
      <c r="AP159" s="7"/>
      <c r="AT159" s="2"/>
    </row>
    <row r="160" spans="1:46">
      <c r="A160"/>
      <c r="V160" s="22"/>
      <c r="W160" s="22"/>
      <c r="X160" s="22"/>
      <c r="Y160" s="22"/>
      <c r="AD160" s="22"/>
      <c r="AE160" s="22"/>
      <c r="AF160" s="22"/>
      <c r="AG160" s="22"/>
      <c r="AL160" s="22"/>
      <c r="AM160" s="22"/>
      <c r="AN160" s="22"/>
      <c r="AO160" s="22"/>
      <c r="AP160" s="7"/>
      <c r="AT160" s="2"/>
    </row>
    <row r="161" spans="1:46">
      <c r="A161"/>
      <c r="V161" s="22"/>
      <c r="W161" s="22"/>
      <c r="X161" s="22"/>
      <c r="Y161" s="22"/>
      <c r="AD161" s="22"/>
      <c r="AE161" s="22"/>
      <c r="AF161" s="22"/>
      <c r="AG161" s="22"/>
      <c r="AL161" s="22"/>
      <c r="AM161" s="22"/>
      <c r="AN161" s="22"/>
      <c r="AO161" s="22"/>
      <c r="AP161" s="7"/>
      <c r="AT161" s="2"/>
    </row>
    <row r="162" spans="1:46">
      <c r="A162"/>
      <c r="V162" s="22"/>
      <c r="W162" s="22"/>
      <c r="X162" s="22"/>
      <c r="Y162" s="22"/>
      <c r="AD162" s="22"/>
      <c r="AE162" s="22"/>
      <c r="AF162" s="22"/>
      <c r="AG162" s="22"/>
      <c r="AL162" s="22"/>
      <c r="AM162" s="22"/>
      <c r="AN162" s="22"/>
      <c r="AO162" s="22"/>
      <c r="AP162" s="7"/>
      <c r="AT162" s="2"/>
    </row>
    <row r="163" spans="1:46">
      <c r="A163"/>
      <c r="V163" s="22"/>
      <c r="W163" s="22"/>
      <c r="X163" s="22"/>
      <c r="Y163" s="22"/>
      <c r="AD163" s="22"/>
      <c r="AE163" s="22"/>
      <c r="AF163" s="22"/>
      <c r="AG163" s="22"/>
      <c r="AL163" s="22"/>
      <c r="AM163" s="22"/>
      <c r="AN163" s="22"/>
      <c r="AO163" s="22"/>
      <c r="AP163" s="7"/>
      <c r="AT163" s="2"/>
    </row>
    <row r="164" spans="1:46">
      <c r="A164"/>
      <c r="V164" s="22"/>
      <c r="W164" s="22"/>
      <c r="X164" s="22"/>
      <c r="Y164" s="22"/>
      <c r="AD164" s="22"/>
      <c r="AE164" s="22"/>
      <c r="AF164" s="22"/>
      <c r="AG164" s="22"/>
      <c r="AL164" s="22"/>
      <c r="AM164" s="22"/>
      <c r="AN164" s="22"/>
      <c r="AO164" s="22"/>
      <c r="AP164" s="7"/>
      <c r="AT164" s="2"/>
    </row>
    <row r="165" spans="1:46">
      <c r="A165"/>
      <c r="V165" s="22"/>
      <c r="W165" s="22"/>
      <c r="X165" s="22"/>
      <c r="Y165" s="22"/>
      <c r="AD165" s="22"/>
      <c r="AE165" s="22"/>
      <c r="AF165" s="22"/>
      <c r="AG165" s="22"/>
      <c r="AL165" s="22"/>
      <c r="AM165" s="22"/>
      <c r="AN165" s="22"/>
      <c r="AO165" s="22"/>
      <c r="AP165" s="7"/>
      <c r="AT165" s="2"/>
    </row>
    <row r="166" spans="1:46">
      <c r="A166"/>
      <c r="V166" s="22"/>
      <c r="W166" s="22"/>
      <c r="X166" s="22"/>
      <c r="Y166" s="22"/>
      <c r="AD166" s="22"/>
      <c r="AE166" s="22"/>
      <c r="AF166" s="22"/>
      <c r="AG166" s="22"/>
      <c r="AL166" s="22"/>
      <c r="AM166" s="22"/>
      <c r="AN166" s="22"/>
      <c r="AO166" s="22"/>
      <c r="AP166" s="7"/>
      <c r="AT166" s="2"/>
    </row>
    <row r="167" spans="1:46">
      <c r="A167"/>
      <c r="V167" s="22"/>
      <c r="W167" s="22"/>
      <c r="X167" s="22"/>
      <c r="Y167" s="22"/>
      <c r="AD167" s="22"/>
      <c r="AE167" s="22"/>
      <c r="AF167" s="22"/>
      <c r="AG167" s="22"/>
      <c r="AL167" s="22"/>
      <c r="AM167" s="22"/>
      <c r="AN167" s="22"/>
      <c r="AO167" s="22"/>
      <c r="AP167" s="7"/>
      <c r="AT167" s="2"/>
    </row>
    <row r="168" spans="1:46">
      <c r="A168"/>
      <c r="V168" s="22"/>
      <c r="W168" s="22"/>
      <c r="X168" s="22"/>
      <c r="Y168" s="22"/>
      <c r="AD168" s="22"/>
      <c r="AE168" s="22"/>
      <c r="AF168" s="22"/>
      <c r="AG168" s="22"/>
      <c r="AL168" s="22"/>
      <c r="AM168" s="22"/>
      <c r="AN168" s="22"/>
      <c r="AO168" s="22"/>
      <c r="AP168" s="7"/>
      <c r="AT168" s="2"/>
    </row>
    <row r="169" spans="1:46">
      <c r="A169"/>
      <c r="V169" s="22"/>
      <c r="W169" s="22"/>
      <c r="X169" s="22"/>
      <c r="Y169" s="22"/>
      <c r="AD169" s="22"/>
      <c r="AE169" s="22"/>
      <c r="AF169" s="22"/>
      <c r="AG169" s="22"/>
      <c r="AL169" s="22"/>
      <c r="AM169" s="22"/>
      <c r="AN169" s="22"/>
      <c r="AO169" s="22"/>
      <c r="AP169" s="7"/>
      <c r="AT169" s="2"/>
    </row>
    <row r="170" spans="1:46">
      <c r="A170"/>
      <c r="V170" s="22"/>
      <c r="W170" s="22"/>
      <c r="X170" s="22"/>
      <c r="Y170" s="22"/>
      <c r="AD170" s="22"/>
      <c r="AE170" s="22"/>
      <c r="AF170" s="22"/>
      <c r="AG170" s="22"/>
      <c r="AL170" s="22"/>
      <c r="AM170" s="22"/>
      <c r="AN170" s="22"/>
      <c r="AO170" s="22"/>
      <c r="AP170" s="7"/>
      <c r="AT170" s="2"/>
    </row>
    <row r="171" spans="1:46">
      <c r="A171"/>
      <c r="V171" s="22"/>
      <c r="W171" s="22"/>
      <c r="X171" s="22"/>
      <c r="Y171" s="22"/>
      <c r="AD171" s="22"/>
      <c r="AE171" s="22"/>
      <c r="AF171" s="22"/>
      <c r="AG171" s="22"/>
      <c r="AL171" s="22"/>
      <c r="AM171" s="22"/>
      <c r="AN171" s="22"/>
      <c r="AO171" s="22"/>
      <c r="AP171" s="7"/>
      <c r="AT171" s="2"/>
    </row>
    <row r="172" spans="1:46">
      <c r="A172"/>
      <c r="V172" s="22"/>
      <c r="W172" s="22"/>
      <c r="X172" s="22"/>
      <c r="Y172" s="22"/>
      <c r="AD172" s="22"/>
      <c r="AE172" s="22"/>
      <c r="AF172" s="22"/>
      <c r="AG172" s="22"/>
      <c r="AL172" s="22"/>
      <c r="AM172" s="22"/>
      <c r="AN172" s="22"/>
      <c r="AO172" s="22"/>
      <c r="AP172" s="7"/>
      <c r="AT172" s="2"/>
    </row>
    <row r="173" spans="1:46">
      <c r="A173"/>
      <c r="V173" s="22"/>
      <c r="W173" s="22"/>
      <c r="X173" s="22"/>
      <c r="Y173" s="22"/>
      <c r="AD173" s="22"/>
      <c r="AE173" s="22"/>
      <c r="AF173" s="22"/>
      <c r="AG173" s="22"/>
      <c r="AL173" s="22"/>
      <c r="AM173" s="22"/>
      <c r="AN173" s="22"/>
      <c r="AO173" s="22"/>
      <c r="AP173" s="7"/>
      <c r="AT173" s="2"/>
    </row>
    <row r="174" spans="1:46">
      <c r="A174"/>
      <c r="V174" s="22"/>
      <c r="W174" s="22"/>
      <c r="X174" s="22"/>
      <c r="Y174" s="22"/>
      <c r="AD174" s="22"/>
      <c r="AE174" s="22"/>
      <c r="AF174" s="22"/>
      <c r="AG174" s="22"/>
      <c r="AL174" s="22"/>
      <c r="AM174" s="22"/>
      <c r="AN174" s="22"/>
      <c r="AO174" s="22"/>
      <c r="AP174" s="7"/>
      <c r="AT174" s="2"/>
    </row>
    <row r="175" spans="1:46">
      <c r="A175"/>
      <c r="V175" s="22"/>
      <c r="W175" s="22"/>
      <c r="X175" s="22"/>
      <c r="Y175" s="22"/>
      <c r="AD175" s="22"/>
      <c r="AE175" s="22"/>
      <c r="AF175" s="22"/>
      <c r="AG175" s="22"/>
      <c r="AL175" s="22"/>
      <c r="AM175" s="22"/>
      <c r="AN175" s="22"/>
      <c r="AO175" s="22"/>
      <c r="AP175" s="7"/>
      <c r="AT175" s="2"/>
    </row>
    <row r="176" spans="1:46">
      <c r="A176"/>
      <c r="V176" s="22"/>
      <c r="W176" s="22"/>
      <c r="X176" s="22"/>
      <c r="Y176" s="22"/>
      <c r="AD176" s="22"/>
      <c r="AE176" s="22"/>
      <c r="AF176" s="22"/>
      <c r="AG176" s="22"/>
      <c r="AL176" s="22"/>
      <c r="AM176" s="22"/>
      <c r="AN176" s="22"/>
      <c r="AO176" s="22"/>
      <c r="AP176" s="7"/>
      <c r="AT176" s="2"/>
    </row>
    <row r="177" spans="1:46">
      <c r="A177"/>
      <c r="V177" s="22"/>
      <c r="W177" s="22"/>
      <c r="X177" s="22"/>
      <c r="Y177" s="22"/>
      <c r="AD177" s="22"/>
      <c r="AE177" s="22"/>
      <c r="AF177" s="22"/>
      <c r="AG177" s="22"/>
      <c r="AL177" s="22"/>
      <c r="AM177" s="22"/>
      <c r="AN177" s="22"/>
      <c r="AO177" s="22"/>
      <c r="AP177" s="7"/>
      <c r="AT177" s="2"/>
    </row>
    <row r="178" spans="1:46">
      <c r="A178"/>
      <c r="V178" s="22"/>
      <c r="W178" s="22"/>
      <c r="X178" s="22"/>
      <c r="Y178" s="22"/>
      <c r="AD178" s="22"/>
      <c r="AE178" s="22"/>
      <c r="AF178" s="22"/>
      <c r="AG178" s="22"/>
      <c r="AL178" s="22"/>
      <c r="AM178" s="22"/>
      <c r="AN178" s="22"/>
      <c r="AO178" s="22"/>
      <c r="AP178" s="7"/>
      <c r="AT178" s="2"/>
    </row>
    <row r="179" spans="1:46">
      <c r="A179"/>
      <c r="V179" s="22"/>
      <c r="W179" s="22"/>
      <c r="X179" s="22"/>
      <c r="Y179" s="22"/>
      <c r="AD179" s="22"/>
      <c r="AE179" s="22"/>
      <c r="AF179" s="22"/>
      <c r="AG179" s="22"/>
      <c r="AL179" s="22"/>
      <c r="AM179" s="22"/>
      <c r="AN179" s="22"/>
      <c r="AO179" s="22"/>
      <c r="AP179" s="7"/>
      <c r="AT179" s="2"/>
    </row>
    <row r="180" spans="1:46">
      <c r="A180"/>
      <c r="V180" s="22"/>
      <c r="W180" s="22"/>
      <c r="X180" s="22"/>
      <c r="Y180" s="22"/>
      <c r="AD180" s="22"/>
      <c r="AE180" s="22"/>
      <c r="AF180" s="22"/>
      <c r="AG180" s="22"/>
      <c r="AL180" s="22"/>
      <c r="AM180" s="22"/>
      <c r="AN180" s="22"/>
      <c r="AO180" s="22"/>
      <c r="AP180" s="7"/>
      <c r="AT180" s="2"/>
    </row>
    <row r="181" spans="1:46">
      <c r="A181"/>
      <c r="V181" s="22"/>
      <c r="W181" s="22"/>
      <c r="X181" s="22"/>
      <c r="Y181" s="22"/>
      <c r="AD181" s="22"/>
      <c r="AE181" s="22"/>
      <c r="AF181" s="22"/>
      <c r="AG181" s="22"/>
      <c r="AL181" s="22"/>
      <c r="AM181" s="22"/>
      <c r="AN181" s="22"/>
      <c r="AO181" s="22"/>
      <c r="AP181" s="7"/>
      <c r="AT181" s="2"/>
    </row>
    <row r="182" spans="1:46">
      <c r="A182"/>
      <c r="V182" s="22"/>
      <c r="W182" s="22"/>
      <c r="X182" s="22"/>
      <c r="Y182" s="22"/>
      <c r="AD182" s="22"/>
      <c r="AE182" s="22"/>
      <c r="AF182" s="22"/>
      <c r="AG182" s="22"/>
      <c r="AL182" s="22"/>
      <c r="AM182" s="22"/>
      <c r="AN182" s="22"/>
      <c r="AO182" s="22"/>
      <c r="AP182" s="7"/>
      <c r="AT182" s="2"/>
    </row>
    <row r="183" spans="1:46">
      <c r="A183"/>
      <c r="V183" s="22"/>
      <c r="W183" s="22"/>
      <c r="X183" s="22"/>
      <c r="Y183" s="22"/>
      <c r="AD183" s="22"/>
      <c r="AE183" s="22"/>
      <c r="AF183" s="22"/>
      <c r="AG183" s="22"/>
      <c r="AL183" s="22"/>
      <c r="AM183" s="22"/>
      <c r="AN183" s="22"/>
      <c r="AO183" s="22"/>
      <c r="AP183" s="7"/>
      <c r="AT183" s="2"/>
    </row>
    <row r="184" spans="1:46">
      <c r="A184"/>
      <c r="V184" s="22"/>
      <c r="W184" s="22"/>
      <c r="X184" s="22"/>
      <c r="Y184" s="22"/>
      <c r="AD184" s="22"/>
      <c r="AE184" s="22"/>
      <c r="AF184" s="22"/>
      <c r="AG184" s="22"/>
      <c r="AL184" s="22"/>
      <c r="AM184" s="22"/>
      <c r="AN184" s="22"/>
      <c r="AO184" s="22"/>
      <c r="AP184" s="7"/>
      <c r="AT184" s="2"/>
    </row>
    <row r="185" spans="1:46">
      <c r="A185"/>
      <c r="V185" s="22"/>
      <c r="W185" s="22"/>
      <c r="X185" s="22"/>
      <c r="Y185" s="22"/>
      <c r="AD185" s="22"/>
      <c r="AE185" s="22"/>
      <c r="AF185" s="22"/>
      <c r="AG185" s="22"/>
      <c r="AL185" s="22"/>
      <c r="AM185" s="22"/>
      <c r="AN185" s="22"/>
      <c r="AO185" s="22"/>
      <c r="AP185" s="7"/>
      <c r="AT185" s="2"/>
    </row>
    <row r="186" spans="1:46">
      <c r="A186"/>
      <c r="V186" s="22"/>
      <c r="W186" s="22"/>
      <c r="X186" s="22"/>
      <c r="Y186" s="22"/>
      <c r="AD186" s="22"/>
      <c r="AE186" s="22"/>
      <c r="AF186" s="22"/>
      <c r="AG186" s="22"/>
      <c r="AL186" s="22"/>
      <c r="AM186" s="22"/>
      <c r="AN186" s="22"/>
      <c r="AO186" s="22"/>
      <c r="AP186" s="7"/>
      <c r="AT186" s="2"/>
    </row>
    <row r="187" spans="1:46">
      <c r="A187"/>
      <c r="V187" s="22"/>
      <c r="W187" s="22"/>
      <c r="X187" s="22"/>
      <c r="Y187" s="22"/>
      <c r="AD187" s="22"/>
      <c r="AE187" s="22"/>
      <c r="AF187" s="22"/>
      <c r="AG187" s="22"/>
      <c r="AL187" s="22"/>
      <c r="AM187" s="22"/>
      <c r="AN187" s="22"/>
      <c r="AO187" s="22"/>
      <c r="AP187" s="7"/>
      <c r="AT187" s="2"/>
    </row>
    <row r="188" spans="1:46">
      <c r="A188"/>
      <c r="V188" s="22"/>
      <c r="W188" s="22"/>
      <c r="X188" s="22"/>
      <c r="Y188" s="22"/>
      <c r="AD188" s="22"/>
      <c r="AE188" s="22"/>
      <c r="AF188" s="22"/>
      <c r="AG188" s="22"/>
      <c r="AL188" s="22"/>
      <c r="AM188" s="22"/>
      <c r="AN188" s="22"/>
      <c r="AO188" s="22"/>
      <c r="AP188" s="7"/>
      <c r="AT188" s="2"/>
    </row>
    <row r="189" spans="1:46">
      <c r="A189"/>
      <c r="V189" s="22"/>
      <c r="W189" s="22"/>
      <c r="X189" s="22"/>
      <c r="Y189" s="22"/>
      <c r="AD189" s="22"/>
      <c r="AE189" s="22"/>
      <c r="AF189" s="22"/>
      <c r="AG189" s="22"/>
      <c r="AL189" s="22"/>
      <c r="AM189" s="22"/>
      <c r="AN189" s="22"/>
      <c r="AO189" s="22"/>
      <c r="AP189" s="7"/>
      <c r="AT189" s="2"/>
    </row>
    <row r="190" spans="1:46">
      <c r="A190"/>
      <c r="V190" s="22"/>
      <c r="W190" s="22"/>
      <c r="X190" s="22"/>
      <c r="Y190" s="22"/>
      <c r="AD190" s="22"/>
      <c r="AE190" s="22"/>
      <c r="AF190" s="22"/>
      <c r="AG190" s="22"/>
      <c r="AL190" s="22"/>
      <c r="AM190" s="22"/>
      <c r="AN190" s="22"/>
      <c r="AO190" s="22"/>
      <c r="AP190" s="7"/>
      <c r="AT190" s="2"/>
    </row>
    <row r="191" spans="1:46">
      <c r="A191"/>
      <c r="V191" s="22"/>
      <c r="W191" s="22"/>
      <c r="X191" s="22"/>
      <c r="Y191" s="22"/>
      <c r="AD191" s="22"/>
      <c r="AE191" s="22"/>
      <c r="AF191" s="22"/>
      <c r="AG191" s="22"/>
      <c r="AL191" s="22"/>
      <c r="AM191" s="22"/>
      <c r="AN191" s="22"/>
      <c r="AO191" s="22"/>
      <c r="AP191" s="7"/>
      <c r="AT191" s="2"/>
    </row>
    <row r="192" spans="1:46">
      <c r="A192"/>
      <c r="V192" s="22"/>
      <c r="W192" s="22"/>
      <c r="X192" s="22"/>
      <c r="Y192" s="22"/>
      <c r="AD192" s="22"/>
      <c r="AE192" s="22"/>
      <c r="AF192" s="22"/>
      <c r="AG192" s="22"/>
      <c r="AL192" s="22"/>
      <c r="AM192" s="22"/>
      <c r="AN192" s="22"/>
      <c r="AO192" s="22"/>
      <c r="AP192" s="7"/>
      <c r="AT192" s="2"/>
    </row>
    <row r="193" spans="1:46">
      <c r="A193"/>
      <c r="V193" s="22"/>
      <c r="W193" s="22"/>
      <c r="X193" s="22"/>
      <c r="Y193" s="22"/>
      <c r="AD193" s="22"/>
      <c r="AE193" s="22"/>
      <c r="AF193" s="22"/>
      <c r="AG193" s="22"/>
      <c r="AL193" s="22"/>
      <c r="AM193" s="22"/>
      <c r="AN193" s="22"/>
      <c r="AO193" s="22"/>
      <c r="AP193" s="7"/>
      <c r="AT193" s="2"/>
    </row>
    <row r="194" spans="1:46">
      <c r="A194"/>
      <c r="V194" s="22"/>
      <c r="W194" s="22"/>
      <c r="X194" s="22"/>
      <c r="Y194" s="22"/>
      <c r="AD194" s="22"/>
      <c r="AE194" s="22"/>
      <c r="AF194" s="22"/>
      <c r="AG194" s="22"/>
      <c r="AL194" s="22"/>
      <c r="AM194" s="22"/>
      <c r="AN194" s="22"/>
      <c r="AO194" s="22"/>
      <c r="AP194" s="7"/>
      <c r="AT194" s="2"/>
    </row>
    <row r="195" spans="1:46">
      <c r="A195"/>
      <c r="V195" s="22"/>
      <c r="W195" s="22"/>
      <c r="X195" s="22"/>
      <c r="Y195" s="22"/>
      <c r="AD195" s="22"/>
      <c r="AE195" s="22"/>
      <c r="AF195" s="22"/>
      <c r="AG195" s="22"/>
      <c r="AL195" s="22"/>
      <c r="AM195" s="22"/>
      <c r="AN195" s="22"/>
      <c r="AO195" s="22"/>
      <c r="AP195" s="7"/>
      <c r="AT195" s="2"/>
    </row>
    <row r="196" spans="1:46">
      <c r="A196"/>
      <c r="V196" s="22"/>
      <c r="W196" s="22"/>
      <c r="X196" s="22"/>
      <c r="Y196" s="22"/>
      <c r="AD196" s="22"/>
      <c r="AE196" s="22"/>
      <c r="AF196" s="22"/>
      <c r="AG196" s="22"/>
      <c r="AL196" s="22"/>
      <c r="AM196" s="22"/>
      <c r="AN196" s="22"/>
      <c r="AO196" s="22"/>
      <c r="AP196" s="7"/>
      <c r="AT196" s="2"/>
    </row>
    <row r="197" spans="1:46">
      <c r="A197"/>
      <c r="V197" s="22"/>
      <c r="W197" s="22"/>
      <c r="X197" s="22"/>
      <c r="Y197" s="22"/>
      <c r="AD197" s="22"/>
      <c r="AE197" s="22"/>
      <c r="AF197" s="22"/>
      <c r="AG197" s="22"/>
      <c r="AL197" s="22"/>
      <c r="AM197" s="22"/>
      <c r="AN197" s="22"/>
      <c r="AO197" s="22"/>
      <c r="AP197" s="7"/>
      <c r="AT197" s="2"/>
    </row>
    <row r="198" spans="1:46">
      <c r="A198"/>
      <c r="V198" s="22"/>
      <c r="W198" s="22"/>
      <c r="X198" s="22"/>
      <c r="Y198" s="22"/>
      <c r="AD198" s="22"/>
      <c r="AE198" s="22"/>
      <c r="AF198" s="22"/>
      <c r="AG198" s="22"/>
      <c r="AL198" s="22"/>
      <c r="AM198" s="22"/>
      <c r="AN198" s="22"/>
      <c r="AO198" s="22"/>
      <c r="AP198" s="7"/>
      <c r="AT198" s="2"/>
    </row>
    <row r="199" spans="1:46">
      <c r="A199"/>
      <c r="V199" s="22"/>
      <c r="W199" s="22"/>
      <c r="X199" s="22"/>
      <c r="Y199" s="22"/>
      <c r="AD199" s="22"/>
      <c r="AE199" s="22"/>
      <c r="AF199" s="22"/>
      <c r="AG199" s="22"/>
      <c r="AL199" s="22"/>
      <c r="AM199" s="22"/>
      <c r="AN199" s="22"/>
      <c r="AO199" s="22"/>
      <c r="AP199" s="7"/>
      <c r="AT199" s="2"/>
    </row>
    <row r="200" spans="1:46">
      <c r="A200"/>
      <c r="V200" s="22"/>
      <c r="W200" s="22"/>
      <c r="X200" s="22"/>
      <c r="Y200" s="22"/>
      <c r="AD200" s="22"/>
      <c r="AE200" s="22"/>
      <c r="AF200" s="22"/>
      <c r="AG200" s="22"/>
      <c r="AL200" s="22"/>
      <c r="AM200" s="22"/>
      <c r="AN200" s="22"/>
      <c r="AO200" s="22"/>
      <c r="AP200" s="7"/>
      <c r="AT200" s="2"/>
    </row>
    <row r="201" spans="1:46">
      <c r="A201"/>
      <c r="V201" s="22"/>
      <c r="W201" s="22"/>
      <c r="X201" s="22"/>
      <c r="Y201" s="22"/>
      <c r="AD201" s="22"/>
      <c r="AE201" s="22"/>
      <c r="AF201" s="22"/>
      <c r="AG201" s="22"/>
      <c r="AL201" s="22"/>
      <c r="AM201" s="22"/>
      <c r="AN201" s="22"/>
      <c r="AO201" s="22"/>
      <c r="AP201" s="7"/>
      <c r="AT201" s="2"/>
    </row>
    <row r="202" spans="1:46">
      <c r="A202"/>
      <c r="V202" s="22"/>
      <c r="W202" s="22"/>
      <c r="X202" s="22"/>
      <c r="Y202" s="22"/>
      <c r="AD202" s="22"/>
      <c r="AE202" s="22"/>
      <c r="AF202" s="22"/>
      <c r="AG202" s="22"/>
      <c r="AL202" s="22"/>
      <c r="AM202" s="22"/>
      <c r="AN202" s="22"/>
      <c r="AO202" s="22"/>
      <c r="AP202" s="7"/>
      <c r="AT202" s="2"/>
    </row>
    <row r="203" spans="1:46">
      <c r="A203"/>
      <c r="V203" s="22"/>
      <c r="W203" s="22"/>
      <c r="X203" s="22"/>
      <c r="Y203" s="22"/>
      <c r="AD203" s="22"/>
      <c r="AE203" s="22"/>
      <c r="AF203" s="22"/>
      <c r="AG203" s="22"/>
      <c r="AL203" s="22"/>
      <c r="AM203" s="22"/>
      <c r="AN203" s="22"/>
      <c r="AO203" s="22"/>
      <c r="AP203" s="7"/>
      <c r="AT203" s="2"/>
    </row>
    <row r="204" spans="1:46">
      <c r="A204"/>
      <c r="V204" s="22"/>
      <c r="W204" s="22"/>
      <c r="X204" s="22"/>
      <c r="Y204" s="22"/>
      <c r="AD204" s="22"/>
      <c r="AE204" s="22"/>
      <c r="AF204" s="22"/>
      <c r="AG204" s="22"/>
      <c r="AL204" s="22"/>
      <c r="AM204" s="22"/>
      <c r="AN204" s="22"/>
      <c r="AO204" s="22"/>
      <c r="AP204" s="7"/>
      <c r="AT204" s="2"/>
    </row>
    <row r="205" spans="1:46">
      <c r="A205"/>
      <c r="V205" s="22"/>
      <c r="W205" s="22"/>
      <c r="X205" s="22"/>
      <c r="Y205" s="22"/>
      <c r="AD205" s="22"/>
      <c r="AE205" s="22"/>
      <c r="AF205" s="22"/>
      <c r="AG205" s="22"/>
      <c r="AL205" s="22"/>
      <c r="AM205" s="22"/>
      <c r="AN205" s="22"/>
      <c r="AO205" s="22"/>
      <c r="AP205" s="7"/>
      <c r="AT205" s="2"/>
    </row>
    <row r="206" spans="1:46">
      <c r="A206"/>
      <c r="V206" s="22"/>
      <c r="W206" s="22"/>
      <c r="X206" s="22"/>
      <c r="Y206" s="22"/>
      <c r="AD206" s="22"/>
      <c r="AE206" s="22"/>
      <c r="AF206" s="22"/>
      <c r="AG206" s="22"/>
      <c r="AL206" s="22"/>
      <c r="AM206" s="22"/>
      <c r="AN206" s="22"/>
      <c r="AO206" s="22"/>
      <c r="AP206" s="7"/>
      <c r="AT206" s="2"/>
    </row>
    <row r="207" spans="1:46">
      <c r="A207"/>
      <c r="V207" s="22"/>
      <c r="W207" s="22"/>
      <c r="X207" s="22"/>
      <c r="Y207" s="22"/>
      <c r="AD207" s="22"/>
      <c r="AE207" s="22"/>
      <c r="AF207" s="22"/>
      <c r="AG207" s="22"/>
      <c r="AL207" s="22"/>
      <c r="AM207" s="22"/>
      <c r="AN207" s="22"/>
      <c r="AO207" s="22"/>
      <c r="AP207" s="7"/>
      <c r="AT207" s="2"/>
    </row>
    <row r="208" spans="1:46">
      <c r="A208"/>
      <c r="V208" s="22"/>
      <c r="W208" s="22"/>
      <c r="X208" s="22"/>
      <c r="Y208" s="22"/>
      <c r="AD208" s="22"/>
      <c r="AE208" s="22"/>
      <c r="AF208" s="22"/>
      <c r="AG208" s="22"/>
      <c r="AL208" s="22"/>
      <c r="AM208" s="22"/>
      <c r="AN208" s="22"/>
      <c r="AO208" s="22"/>
      <c r="AP208" s="7"/>
      <c r="AT208" s="2"/>
    </row>
    <row r="209" spans="1:46">
      <c r="A209"/>
      <c r="V209" s="22"/>
      <c r="W209" s="22"/>
      <c r="X209" s="22"/>
      <c r="Y209" s="22"/>
      <c r="AD209" s="22"/>
      <c r="AE209" s="22"/>
      <c r="AF209" s="22"/>
      <c r="AG209" s="22"/>
      <c r="AL209" s="22"/>
      <c r="AM209" s="22"/>
      <c r="AN209" s="22"/>
      <c r="AO209" s="22"/>
      <c r="AP209" s="7"/>
      <c r="AT209" s="2"/>
    </row>
    <row r="210" spans="1:46">
      <c r="A210"/>
      <c r="V210" s="22"/>
      <c r="W210" s="22"/>
      <c r="X210" s="22"/>
      <c r="Y210" s="22"/>
      <c r="AD210" s="22"/>
      <c r="AE210" s="22"/>
      <c r="AF210" s="22"/>
      <c r="AG210" s="22"/>
      <c r="AL210" s="22"/>
      <c r="AM210" s="22"/>
      <c r="AN210" s="22"/>
      <c r="AO210" s="22"/>
      <c r="AP210" s="7"/>
      <c r="AT210" s="2"/>
    </row>
    <row r="211" spans="1:46">
      <c r="A211"/>
      <c r="V211" s="22"/>
      <c r="W211" s="22"/>
      <c r="X211" s="22"/>
      <c r="Y211" s="22"/>
      <c r="AD211" s="22"/>
      <c r="AE211" s="22"/>
      <c r="AF211" s="22"/>
      <c r="AG211" s="22"/>
      <c r="AL211" s="22"/>
      <c r="AM211" s="22"/>
      <c r="AN211" s="22"/>
      <c r="AO211" s="22"/>
      <c r="AP211" s="7"/>
      <c r="AT211" s="2"/>
    </row>
    <row r="212" spans="1:46">
      <c r="A212"/>
      <c r="V212" s="22"/>
      <c r="W212" s="22"/>
      <c r="X212" s="22"/>
      <c r="Y212" s="22"/>
      <c r="AD212" s="22"/>
      <c r="AE212" s="22"/>
      <c r="AF212" s="22"/>
      <c r="AG212" s="22"/>
      <c r="AL212" s="22"/>
      <c r="AM212" s="22"/>
      <c r="AN212" s="22"/>
      <c r="AO212" s="22"/>
      <c r="AP212" s="7"/>
      <c r="AT212" s="2"/>
    </row>
    <row r="213" spans="1:46">
      <c r="A213"/>
      <c r="V213" s="22"/>
      <c r="W213" s="22"/>
      <c r="X213" s="22"/>
      <c r="Y213" s="22"/>
      <c r="AD213" s="22"/>
      <c r="AE213" s="22"/>
      <c r="AF213" s="22"/>
      <c r="AG213" s="22"/>
      <c r="AL213" s="22"/>
      <c r="AM213" s="22"/>
      <c r="AN213" s="22"/>
      <c r="AO213" s="22"/>
      <c r="AP213" s="7"/>
      <c r="AT213" s="2"/>
    </row>
    <row r="214" spans="1:46">
      <c r="A214"/>
      <c r="V214" s="22"/>
      <c r="W214" s="22"/>
      <c r="X214" s="22"/>
      <c r="Y214" s="22"/>
      <c r="AD214" s="22"/>
      <c r="AE214" s="22"/>
      <c r="AF214" s="22"/>
      <c r="AG214" s="22"/>
      <c r="AL214" s="22"/>
      <c r="AM214" s="22"/>
      <c r="AN214" s="22"/>
      <c r="AO214" s="22"/>
      <c r="AP214" s="7"/>
      <c r="AT214" s="2"/>
    </row>
    <row r="215" spans="1:46">
      <c r="A215"/>
      <c r="V215" s="22"/>
      <c r="W215" s="22"/>
      <c r="X215" s="22"/>
      <c r="Y215" s="22"/>
      <c r="AD215" s="22"/>
      <c r="AE215" s="22"/>
      <c r="AF215" s="22"/>
      <c r="AG215" s="22"/>
      <c r="AL215" s="22"/>
      <c r="AM215" s="22"/>
      <c r="AN215" s="22"/>
      <c r="AO215" s="22"/>
      <c r="AP215" s="7"/>
      <c r="AT215" s="2"/>
    </row>
    <row r="216" spans="1:46">
      <c r="A216"/>
      <c r="V216" s="22"/>
      <c r="W216" s="22"/>
      <c r="X216" s="22"/>
      <c r="Y216" s="22"/>
      <c r="AD216" s="22"/>
      <c r="AE216" s="22"/>
      <c r="AF216" s="22"/>
      <c r="AG216" s="22"/>
      <c r="AL216" s="22"/>
      <c r="AM216" s="22"/>
      <c r="AN216" s="22"/>
      <c r="AO216" s="22"/>
      <c r="AP216" s="7"/>
      <c r="AT216" s="2"/>
    </row>
    <row r="217" spans="1:46">
      <c r="A217"/>
      <c r="V217" s="22"/>
      <c r="W217" s="22"/>
      <c r="X217" s="22"/>
      <c r="Y217" s="22"/>
      <c r="AD217" s="22"/>
      <c r="AE217" s="22"/>
      <c r="AF217" s="22"/>
      <c r="AG217" s="22"/>
      <c r="AL217" s="22"/>
      <c r="AM217" s="22"/>
      <c r="AN217" s="22"/>
      <c r="AO217" s="22"/>
      <c r="AP217" s="7"/>
      <c r="AT217" s="2"/>
    </row>
    <row r="218" spans="1:46">
      <c r="A218"/>
      <c r="V218" s="22"/>
      <c r="W218" s="22"/>
      <c r="X218" s="22"/>
      <c r="Y218" s="22"/>
      <c r="AD218" s="22"/>
      <c r="AE218" s="22"/>
      <c r="AF218" s="22"/>
      <c r="AG218" s="22"/>
      <c r="AL218" s="22"/>
      <c r="AM218" s="22"/>
      <c r="AN218" s="22"/>
      <c r="AO218" s="22"/>
      <c r="AP218" s="7"/>
      <c r="AT218" s="2"/>
    </row>
    <row r="219" spans="1:46">
      <c r="A219"/>
      <c r="V219" s="22"/>
      <c r="W219" s="22"/>
      <c r="X219" s="22"/>
      <c r="Y219" s="22"/>
      <c r="AD219" s="22"/>
      <c r="AE219" s="22"/>
      <c r="AF219" s="22"/>
      <c r="AG219" s="22"/>
      <c r="AL219" s="22"/>
      <c r="AM219" s="22"/>
      <c r="AN219" s="22"/>
      <c r="AO219" s="22"/>
      <c r="AP219" s="7"/>
      <c r="AT219" s="2"/>
    </row>
    <row r="220" spans="1:46">
      <c r="A220"/>
      <c r="V220" s="22"/>
      <c r="W220" s="22"/>
      <c r="X220" s="22"/>
      <c r="Y220" s="22"/>
      <c r="AD220" s="22"/>
      <c r="AE220" s="22"/>
      <c r="AF220" s="22"/>
      <c r="AG220" s="22"/>
      <c r="AL220" s="22"/>
      <c r="AM220" s="22"/>
      <c r="AN220" s="22"/>
      <c r="AO220" s="22"/>
      <c r="AP220" s="7"/>
      <c r="AT220" s="2"/>
    </row>
    <row r="221" spans="1:46">
      <c r="A221"/>
      <c r="V221" s="22"/>
      <c r="W221" s="22"/>
      <c r="X221" s="22"/>
      <c r="Y221" s="22"/>
      <c r="AD221" s="22"/>
      <c r="AE221" s="22"/>
      <c r="AF221" s="22"/>
      <c r="AG221" s="22"/>
      <c r="AL221" s="22"/>
      <c r="AM221" s="22"/>
      <c r="AN221" s="22"/>
      <c r="AO221" s="22"/>
      <c r="AP221" s="7"/>
      <c r="AT221" s="2"/>
    </row>
    <row r="222" spans="1:46">
      <c r="A222"/>
      <c r="V222" s="22"/>
      <c r="W222" s="22"/>
      <c r="X222" s="22"/>
      <c r="Y222" s="22"/>
      <c r="AD222" s="22"/>
      <c r="AE222" s="22"/>
      <c r="AF222" s="22"/>
      <c r="AG222" s="22"/>
      <c r="AL222" s="22"/>
      <c r="AM222" s="22"/>
      <c r="AN222" s="22"/>
      <c r="AO222" s="22"/>
      <c r="AP222" s="7"/>
      <c r="AT222" s="2"/>
    </row>
    <row r="223" spans="1:46">
      <c r="A223"/>
      <c r="V223" s="22"/>
      <c r="W223" s="22"/>
      <c r="X223" s="22"/>
      <c r="Y223" s="22"/>
      <c r="AD223" s="22"/>
      <c r="AE223" s="22"/>
      <c r="AF223" s="22"/>
      <c r="AG223" s="22"/>
      <c r="AL223" s="22"/>
      <c r="AM223" s="22"/>
      <c r="AN223" s="22"/>
      <c r="AO223" s="22"/>
      <c r="AP223" s="7"/>
      <c r="AT223" s="2"/>
    </row>
    <row r="224" spans="1:46">
      <c r="A224"/>
      <c r="V224" s="22"/>
      <c r="W224" s="22"/>
      <c r="X224" s="22"/>
      <c r="Y224" s="22"/>
      <c r="AD224" s="22"/>
      <c r="AE224" s="22"/>
      <c r="AF224" s="22"/>
      <c r="AG224" s="22"/>
      <c r="AL224" s="22"/>
      <c r="AM224" s="22"/>
      <c r="AN224" s="22"/>
      <c r="AO224" s="22"/>
      <c r="AP224" s="7"/>
      <c r="AT224" s="2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149" operator="lessThan">
      <formula>20</formula>
    </cfRule>
    <cfRule type="cellIs" dxfId="1" priority="4148" operator="greaterThan">
      <formula>120</formula>
    </cfRule>
    <cfRule type="containsText" dxfId="3" priority="4147" operator="between" text="库存">
      <formula>NOT(ISERROR(SEARCH("库存",AS2)))</formula>
    </cfRule>
  </conditionalFormatting>
  <conditionalFormatting sqref="AS6">
    <cfRule type="cellIs" dxfId="0" priority="186" operator="lessThan">
      <formula>20</formula>
    </cfRule>
    <cfRule type="cellIs" dxfId="1" priority="124" operator="greaterThan">
      <formula>120</formula>
    </cfRule>
    <cfRule type="containsText" dxfId="3" priority="62" operator="between" text="库存">
      <formula>NOT(ISERROR(SEARCH("库存",AS6)))</formula>
    </cfRule>
  </conditionalFormatting>
  <conditionalFormatting sqref="AS7">
    <cfRule type="cellIs" dxfId="0" priority="185" operator="lessThan">
      <formula>20</formula>
    </cfRule>
    <cfRule type="cellIs" dxfId="1" priority="123" operator="greaterThan">
      <formula>120</formula>
    </cfRule>
    <cfRule type="containsText" dxfId="3" priority="61" operator="between" text="库存">
      <formula>NOT(ISERROR(SEARCH("库存",AS7)))</formula>
    </cfRule>
  </conditionalFormatting>
  <conditionalFormatting sqref="AS8">
    <cfRule type="cellIs" dxfId="0" priority="184" operator="lessThan">
      <formula>20</formula>
    </cfRule>
    <cfRule type="cellIs" dxfId="1" priority="122" operator="greaterThan">
      <formula>120</formula>
    </cfRule>
    <cfRule type="containsText" dxfId="3" priority="60" operator="between" text="库存">
      <formula>NOT(ISERROR(SEARCH("库存",AS8)))</formula>
    </cfRule>
  </conditionalFormatting>
  <conditionalFormatting sqref="AS9">
    <cfRule type="cellIs" dxfId="0" priority="183" operator="lessThan">
      <formula>20</formula>
    </cfRule>
    <cfRule type="cellIs" dxfId="1" priority="121" operator="greaterThan">
      <formula>120</formula>
    </cfRule>
    <cfRule type="containsText" dxfId="3" priority="59" operator="between" text="库存">
      <formula>NOT(ISERROR(SEARCH("库存",AS9)))</formula>
    </cfRule>
  </conditionalFormatting>
  <conditionalFormatting sqref="AS10">
    <cfRule type="cellIs" dxfId="0" priority="182" operator="lessThan">
      <formula>20</formula>
    </cfRule>
    <cfRule type="cellIs" dxfId="1" priority="120" operator="greaterThan">
      <formula>120</formula>
    </cfRule>
    <cfRule type="containsText" dxfId="3" priority="58" operator="between" text="库存">
      <formula>NOT(ISERROR(SEARCH("库存",AS10)))</formula>
    </cfRule>
  </conditionalFormatting>
  <conditionalFormatting sqref="AS11">
    <cfRule type="cellIs" dxfId="0" priority="181" operator="lessThan">
      <formula>20</formula>
    </cfRule>
    <cfRule type="cellIs" dxfId="1" priority="119" operator="greaterThan">
      <formula>120</formula>
    </cfRule>
    <cfRule type="containsText" dxfId="3" priority="57" operator="between" text="库存">
      <formula>NOT(ISERROR(SEARCH("库存",AS11)))</formula>
    </cfRule>
  </conditionalFormatting>
  <conditionalFormatting sqref="AS12">
    <cfRule type="cellIs" dxfId="0" priority="180" operator="lessThan">
      <formula>20</formula>
    </cfRule>
    <cfRule type="cellIs" dxfId="1" priority="118" operator="greaterThan">
      <formula>120</formula>
    </cfRule>
    <cfRule type="containsText" dxfId="3" priority="56" operator="between" text="库存">
      <formula>NOT(ISERROR(SEARCH("库存",AS12)))</formula>
    </cfRule>
  </conditionalFormatting>
  <conditionalFormatting sqref="AS13">
    <cfRule type="cellIs" dxfId="0" priority="179" operator="lessThan">
      <formula>20</formula>
    </cfRule>
    <cfRule type="cellIs" dxfId="1" priority="117" operator="greaterThan">
      <formula>120</formula>
    </cfRule>
    <cfRule type="containsText" dxfId="3" priority="55" operator="between" text="库存">
      <formula>NOT(ISERROR(SEARCH("库存",AS13)))</formula>
    </cfRule>
  </conditionalFormatting>
  <conditionalFormatting sqref="AS14">
    <cfRule type="cellIs" dxfId="0" priority="178" operator="lessThan">
      <formula>20</formula>
    </cfRule>
    <cfRule type="cellIs" dxfId="1" priority="116" operator="greaterThan">
      <formula>120</formula>
    </cfRule>
    <cfRule type="containsText" dxfId="3" priority="54" operator="between" text="库存">
      <formula>NOT(ISERROR(SEARCH("库存",AS14)))</formula>
    </cfRule>
  </conditionalFormatting>
  <conditionalFormatting sqref="AS15">
    <cfRule type="cellIs" dxfId="0" priority="177" operator="lessThan">
      <formula>20</formula>
    </cfRule>
    <cfRule type="cellIs" dxfId="1" priority="115" operator="greaterThan">
      <formula>120</formula>
    </cfRule>
    <cfRule type="containsText" dxfId="3" priority="53" operator="between" text="库存">
      <formula>NOT(ISERROR(SEARCH("库存",AS15)))</formula>
    </cfRule>
  </conditionalFormatting>
  <conditionalFormatting sqref="AS16">
    <cfRule type="cellIs" dxfId="0" priority="176" operator="lessThan">
      <formula>20</formula>
    </cfRule>
    <cfRule type="cellIs" dxfId="1" priority="114" operator="greaterThan">
      <formula>120</formula>
    </cfRule>
    <cfRule type="containsText" dxfId="3" priority="52" operator="between" text="库存">
      <formula>NOT(ISERROR(SEARCH("库存",AS16)))</formula>
    </cfRule>
  </conditionalFormatting>
  <conditionalFormatting sqref="AS17">
    <cfRule type="cellIs" dxfId="0" priority="175" operator="lessThan">
      <formula>20</formula>
    </cfRule>
    <cfRule type="cellIs" dxfId="1" priority="113" operator="greaterThan">
      <formula>120</formula>
    </cfRule>
    <cfRule type="containsText" dxfId="3" priority="51" operator="between" text="库存">
      <formula>NOT(ISERROR(SEARCH("库存",AS17)))</formula>
    </cfRule>
  </conditionalFormatting>
  <conditionalFormatting sqref="AS18">
    <cfRule type="cellIs" dxfId="0" priority="174" operator="lessThan">
      <formula>20</formula>
    </cfRule>
    <cfRule type="cellIs" dxfId="1" priority="112" operator="greaterThan">
      <formula>120</formula>
    </cfRule>
    <cfRule type="containsText" dxfId="3" priority="50" operator="between" text="库存">
      <formula>NOT(ISERROR(SEARCH("库存",AS18)))</formula>
    </cfRule>
  </conditionalFormatting>
  <conditionalFormatting sqref="AS19">
    <cfRule type="cellIs" dxfId="0" priority="173" operator="lessThan">
      <formula>20</formula>
    </cfRule>
    <cfRule type="cellIs" dxfId="1" priority="111" operator="greaterThan">
      <formula>120</formula>
    </cfRule>
    <cfRule type="containsText" dxfId="3" priority="49" operator="between" text="库存">
      <formula>NOT(ISERROR(SEARCH("库存",AS19)))</formula>
    </cfRule>
  </conditionalFormatting>
  <conditionalFormatting sqref="AS20">
    <cfRule type="cellIs" dxfId="0" priority="172" operator="lessThan">
      <formula>20</formula>
    </cfRule>
    <cfRule type="cellIs" dxfId="1" priority="110" operator="greaterThan">
      <formula>120</formula>
    </cfRule>
    <cfRule type="containsText" dxfId="3" priority="48" operator="between" text="库存">
      <formula>NOT(ISERROR(SEARCH("库存",AS20)))</formula>
    </cfRule>
  </conditionalFormatting>
  <conditionalFormatting sqref="AS21">
    <cfRule type="cellIs" dxfId="0" priority="171" operator="lessThan">
      <formula>20</formula>
    </cfRule>
    <cfRule type="cellIs" dxfId="1" priority="109" operator="greaterThan">
      <formula>120</formula>
    </cfRule>
    <cfRule type="containsText" dxfId="3" priority="47" operator="between" text="库存">
      <formula>NOT(ISERROR(SEARCH("库存",AS21)))</formula>
    </cfRule>
  </conditionalFormatting>
  <conditionalFormatting sqref="AS22">
    <cfRule type="cellIs" dxfId="0" priority="170" operator="lessThan">
      <formula>20</formula>
    </cfRule>
    <cfRule type="cellIs" dxfId="1" priority="108" operator="greaterThan">
      <formula>120</formula>
    </cfRule>
    <cfRule type="containsText" dxfId="3" priority="46" operator="between" text="库存">
      <formula>NOT(ISERROR(SEARCH("库存",AS22)))</formula>
    </cfRule>
  </conditionalFormatting>
  <conditionalFormatting sqref="AS23">
    <cfRule type="cellIs" dxfId="0" priority="169" operator="lessThan">
      <formula>20</formula>
    </cfRule>
    <cfRule type="cellIs" dxfId="1" priority="107" operator="greaterThan">
      <formula>120</formula>
    </cfRule>
    <cfRule type="containsText" dxfId="3" priority="45" operator="between" text="库存">
      <formula>NOT(ISERROR(SEARCH("库存",AS23)))</formula>
    </cfRule>
  </conditionalFormatting>
  <conditionalFormatting sqref="AS24">
    <cfRule type="cellIs" dxfId="0" priority="168" operator="lessThan">
      <formula>20</formula>
    </cfRule>
    <cfRule type="cellIs" dxfId="1" priority="106" operator="greaterThan">
      <formula>120</formula>
    </cfRule>
    <cfRule type="containsText" dxfId="3" priority="44" operator="between" text="库存">
      <formula>NOT(ISERROR(SEARCH("库存",AS24)))</formula>
    </cfRule>
  </conditionalFormatting>
  <conditionalFormatting sqref="AS25">
    <cfRule type="cellIs" dxfId="0" priority="167" operator="lessThan">
      <formula>20</formula>
    </cfRule>
    <cfRule type="cellIs" dxfId="1" priority="105" operator="greaterThan">
      <formula>120</formula>
    </cfRule>
    <cfRule type="containsText" dxfId="3" priority="43" operator="between" text="库存">
      <formula>NOT(ISERROR(SEARCH("库存",AS25)))</formula>
    </cfRule>
  </conditionalFormatting>
  <conditionalFormatting sqref="AS26">
    <cfRule type="cellIs" dxfId="0" priority="166" operator="lessThan">
      <formula>20</formula>
    </cfRule>
    <cfRule type="cellIs" dxfId="1" priority="104" operator="greaterThan">
      <formula>120</formula>
    </cfRule>
    <cfRule type="containsText" dxfId="3" priority="42" operator="between" text="库存">
      <formula>NOT(ISERROR(SEARCH("库存",AS26)))</formula>
    </cfRule>
  </conditionalFormatting>
  <conditionalFormatting sqref="AS27">
    <cfRule type="cellIs" dxfId="0" priority="165" operator="lessThan">
      <formula>20</formula>
    </cfRule>
    <cfRule type="cellIs" dxfId="1" priority="103" operator="greaterThan">
      <formula>120</formula>
    </cfRule>
    <cfRule type="containsText" dxfId="3" priority="41" operator="between" text="库存">
      <formula>NOT(ISERROR(SEARCH("库存",AS27)))</formula>
    </cfRule>
  </conditionalFormatting>
  <conditionalFormatting sqref="AS28">
    <cfRule type="cellIs" dxfId="0" priority="164" operator="lessThan">
      <formula>20</formula>
    </cfRule>
    <cfRule type="cellIs" dxfId="1" priority="102" operator="greaterThan">
      <formula>120</formula>
    </cfRule>
    <cfRule type="containsText" dxfId="3" priority="40" operator="between" text="库存">
      <formula>NOT(ISERROR(SEARCH("库存",AS28)))</formula>
    </cfRule>
  </conditionalFormatting>
  <conditionalFormatting sqref="AS29">
    <cfRule type="cellIs" dxfId="0" priority="163" operator="lessThan">
      <formula>20</formula>
    </cfRule>
    <cfRule type="cellIs" dxfId="1" priority="101" operator="greaterThan">
      <formula>120</formula>
    </cfRule>
    <cfRule type="containsText" dxfId="3" priority="39" operator="between" text="库存">
      <formula>NOT(ISERROR(SEARCH("库存",AS29)))</formula>
    </cfRule>
  </conditionalFormatting>
  <conditionalFormatting sqref="AS30">
    <cfRule type="cellIs" dxfId="0" priority="162" operator="lessThan">
      <formula>20</formula>
    </cfRule>
    <cfRule type="cellIs" dxfId="1" priority="100" operator="greaterThan">
      <formula>120</formula>
    </cfRule>
    <cfRule type="containsText" dxfId="3" priority="38" operator="between" text="库存">
      <formula>NOT(ISERROR(SEARCH("库存",AS30)))</formula>
    </cfRule>
  </conditionalFormatting>
  <conditionalFormatting sqref="AS31">
    <cfRule type="cellIs" dxfId="0" priority="161" operator="lessThan">
      <formula>20</formula>
    </cfRule>
    <cfRule type="cellIs" dxfId="1" priority="99" operator="greaterThan">
      <formula>120</formula>
    </cfRule>
    <cfRule type="containsText" dxfId="3" priority="37" operator="between" text="库存">
      <formula>NOT(ISERROR(SEARCH("库存",AS31)))</formula>
    </cfRule>
  </conditionalFormatting>
  <conditionalFormatting sqref="AS32">
    <cfRule type="cellIs" dxfId="0" priority="160" operator="lessThan">
      <formula>20</formula>
    </cfRule>
    <cfRule type="cellIs" dxfId="1" priority="98" operator="greaterThan">
      <formula>120</formula>
    </cfRule>
    <cfRule type="containsText" dxfId="3" priority="36" operator="between" text="库存">
      <formula>NOT(ISERROR(SEARCH("库存",AS32)))</formula>
    </cfRule>
  </conditionalFormatting>
  <conditionalFormatting sqref="AS33">
    <cfRule type="cellIs" dxfId="0" priority="159" operator="lessThan">
      <formula>20</formula>
    </cfRule>
    <cfRule type="cellIs" dxfId="1" priority="97" operator="greaterThan">
      <formula>120</formula>
    </cfRule>
    <cfRule type="containsText" dxfId="3" priority="35" operator="between" text="库存">
      <formula>NOT(ISERROR(SEARCH("库存",AS33)))</formula>
    </cfRule>
  </conditionalFormatting>
  <conditionalFormatting sqref="AS34">
    <cfRule type="cellIs" dxfId="0" priority="158" operator="lessThan">
      <formula>20</formula>
    </cfRule>
    <cfRule type="cellIs" dxfId="1" priority="96" operator="greaterThan">
      <formula>120</formula>
    </cfRule>
    <cfRule type="containsText" dxfId="3" priority="34" operator="between" text="库存">
      <formula>NOT(ISERROR(SEARCH("库存",AS34)))</formula>
    </cfRule>
  </conditionalFormatting>
  <conditionalFormatting sqref="AS35">
    <cfRule type="cellIs" dxfId="0" priority="157" operator="lessThan">
      <formula>20</formula>
    </cfRule>
    <cfRule type="cellIs" dxfId="1" priority="95" operator="greaterThan">
      <formula>120</formula>
    </cfRule>
    <cfRule type="containsText" dxfId="3" priority="33" operator="between" text="库存">
      <formula>NOT(ISERROR(SEARCH("库存",AS35)))</formula>
    </cfRule>
  </conditionalFormatting>
  <conditionalFormatting sqref="AS36">
    <cfRule type="cellIs" dxfId="0" priority="156" operator="lessThan">
      <formula>20</formula>
    </cfRule>
    <cfRule type="cellIs" dxfId="1" priority="94" operator="greaterThan">
      <formula>120</formula>
    </cfRule>
    <cfRule type="containsText" dxfId="3" priority="32" operator="between" text="库存">
      <formula>NOT(ISERROR(SEARCH("库存",AS36)))</formula>
    </cfRule>
  </conditionalFormatting>
  <conditionalFormatting sqref="AS37">
    <cfRule type="cellIs" dxfId="0" priority="155" operator="lessThan">
      <formula>20</formula>
    </cfRule>
    <cfRule type="cellIs" dxfId="1" priority="93" operator="greaterThan">
      <formula>120</formula>
    </cfRule>
    <cfRule type="containsText" dxfId="3" priority="31" operator="between" text="库存">
      <formula>NOT(ISERROR(SEARCH("库存",AS37)))</formula>
    </cfRule>
  </conditionalFormatting>
  <conditionalFormatting sqref="AS38">
    <cfRule type="cellIs" dxfId="0" priority="154" operator="lessThan">
      <formula>20</formula>
    </cfRule>
    <cfRule type="cellIs" dxfId="1" priority="92" operator="greaterThan">
      <formula>120</formula>
    </cfRule>
    <cfRule type="containsText" dxfId="3" priority="30" operator="between" text="库存">
      <formula>NOT(ISERROR(SEARCH("库存",AS38)))</formula>
    </cfRule>
  </conditionalFormatting>
  <conditionalFormatting sqref="AS39">
    <cfRule type="cellIs" dxfId="0" priority="153" operator="lessThan">
      <formula>20</formula>
    </cfRule>
    <cfRule type="cellIs" dxfId="1" priority="91" operator="greaterThan">
      <formula>120</formula>
    </cfRule>
    <cfRule type="containsText" dxfId="3" priority="29" operator="between" text="库存">
      <formula>NOT(ISERROR(SEARCH("库存",AS39)))</formula>
    </cfRule>
  </conditionalFormatting>
  <conditionalFormatting sqref="AS40">
    <cfRule type="cellIs" dxfId="0" priority="152" operator="lessThan">
      <formula>20</formula>
    </cfRule>
    <cfRule type="cellIs" dxfId="1" priority="90" operator="greaterThan">
      <formula>120</formula>
    </cfRule>
    <cfRule type="containsText" dxfId="3" priority="28" operator="between" text="库存">
      <formula>NOT(ISERROR(SEARCH("库存",AS40)))</formula>
    </cfRule>
  </conditionalFormatting>
  <conditionalFormatting sqref="AS41">
    <cfRule type="cellIs" dxfId="0" priority="151" operator="lessThan">
      <formula>20</formula>
    </cfRule>
    <cfRule type="cellIs" dxfId="1" priority="89" operator="greaterThan">
      <formula>120</formula>
    </cfRule>
    <cfRule type="containsText" dxfId="3" priority="27" operator="between" text="库存">
      <formula>NOT(ISERROR(SEARCH("库存",AS41)))</formula>
    </cfRule>
  </conditionalFormatting>
  <conditionalFormatting sqref="AS42">
    <cfRule type="cellIs" dxfId="0" priority="150" operator="lessThan">
      <formula>20</formula>
    </cfRule>
    <cfRule type="cellIs" dxfId="1" priority="88" operator="greaterThan">
      <formula>120</formula>
    </cfRule>
    <cfRule type="containsText" dxfId="3" priority="26" operator="between" text="库存">
      <formula>NOT(ISERROR(SEARCH("库存",AS42)))</formula>
    </cfRule>
  </conditionalFormatting>
  <conditionalFormatting sqref="AS43">
    <cfRule type="cellIs" dxfId="0" priority="149" operator="lessThan">
      <formula>20</formula>
    </cfRule>
    <cfRule type="cellIs" dxfId="1" priority="87" operator="greaterThan">
      <formula>120</formula>
    </cfRule>
    <cfRule type="containsText" dxfId="3" priority="25" operator="between" text="库存">
      <formula>NOT(ISERROR(SEARCH("库存",AS43)))</formula>
    </cfRule>
  </conditionalFormatting>
  <conditionalFormatting sqref="AS44">
    <cfRule type="cellIs" dxfId="0" priority="148" operator="lessThan">
      <formula>20</formula>
    </cfRule>
    <cfRule type="cellIs" dxfId="1" priority="86" operator="greaterThan">
      <formula>120</formula>
    </cfRule>
    <cfRule type="containsText" dxfId="3" priority="24" operator="between" text="库存">
      <formula>NOT(ISERROR(SEARCH("库存",AS44)))</formula>
    </cfRule>
  </conditionalFormatting>
  <conditionalFormatting sqref="AS45">
    <cfRule type="cellIs" dxfId="0" priority="147" operator="lessThan">
      <formula>20</formula>
    </cfRule>
    <cfRule type="cellIs" dxfId="1" priority="85" operator="greaterThan">
      <formula>120</formula>
    </cfRule>
    <cfRule type="containsText" dxfId="3" priority="23" operator="between" text="库存">
      <formula>NOT(ISERROR(SEARCH("库存",AS45)))</formula>
    </cfRule>
  </conditionalFormatting>
  <conditionalFormatting sqref="AS46">
    <cfRule type="cellIs" dxfId="0" priority="146" operator="lessThan">
      <formula>20</formula>
    </cfRule>
    <cfRule type="cellIs" dxfId="1" priority="84" operator="greaterThan">
      <formula>120</formula>
    </cfRule>
    <cfRule type="containsText" dxfId="3" priority="22" operator="between" text="库存">
      <formula>NOT(ISERROR(SEARCH("库存",AS46)))</formula>
    </cfRule>
  </conditionalFormatting>
  <conditionalFormatting sqref="AS47">
    <cfRule type="cellIs" dxfId="0" priority="145" operator="lessThan">
      <formula>20</formula>
    </cfRule>
    <cfRule type="cellIs" dxfId="1" priority="83" operator="greaterThan">
      <formula>120</formula>
    </cfRule>
    <cfRule type="containsText" dxfId="3" priority="21" operator="between" text="库存">
      <formula>NOT(ISERROR(SEARCH("库存",AS47)))</formula>
    </cfRule>
  </conditionalFormatting>
  <conditionalFormatting sqref="AS48">
    <cfRule type="cellIs" dxfId="0" priority="144" operator="lessThan">
      <formula>20</formula>
    </cfRule>
    <cfRule type="cellIs" dxfId="1" priority="82" operator="greaterThan">
      <formula>120</formula>
    </cfRule>
    <cfRule type="containsText" dxfId="3" priority="20" operator="between" text="库存">
      <formula>NOT(ISERROR(SEARCH("库存",AS48)))</formula>
    </cfRule>
  </conditionalFormatting>
  <conditionalFormatting sqref="AS49">
    <cfRule type="cellIs" dxfId="0" priority="143" operator="lessThan">
      <formula>20</formula>
    </cfRule>
    <cfRule type="cellIs" dxfId="1" priority="81" operator="greaterThan">
      <formula>120</formula>
    </cfRule>
    <cfRule type="containsText" dxfId="3" priority="19" operator="between" text="库存">
      <formula>NOT(ISERROR(SEARCH("库存",AS49)))</formula>
    </cfRule>
  </conditionalFormatting>
  <conditionalFormatting sqref="AS50">
    <cfRule type="cellIs" dxfId="0" priority="142" operator="lessThan">
      <formula>20</formula>
    </cfRule>
    <cfRule type="cellIs" dxfId="1" priority="80" operator="greaterThan">
      <formula>120</formula>
    </cfRule>
    <cfRule type="containsText" dxfId="3" priority="18" operator="between" text="库存">
      <formula>NOT(ISERROR(SEARCH("库存",AS50)))</formula>
    </cfRule>
  </conditionalFormatting>
  <conditionalFormatting sqref="AS51">
    <cfRule type="cellIs" dxfId="0" priority="141" operator="lessThan">
      <formula>20</formula>
    </cfRule>
    <cfRule type="cellIs" dxfId="1" priority="79" operator="greaterThan">
      <formula>120</formula>
    </cfRule>
    <cfRule type="containsText" dxfId="3" priority="17" operator="between" text="库存">
      <formula>NOT(ISERROR(SEARCH("库存",AS51)))</formula>
    </cfRule>
  </conditionalFormatting>
  <conditionalFormatting sqref="AS52">
    <cfRule type="cellIs" dxfId="0" priority="140" operator="lessThan">
      <formula>20</formula>
    </cfRule>
    <cfRule type="cellIs" dxfId="1" priority="78" operator="greaterThan">
      <formula>120</formula>
    </cfRule>
    <cfRule type="containsText" dxfId="3" priority="16" operator="between" text="库存">
      <formula>NOT(ISERROR(SEARCH("库存",AS52)))</formula>
    </cfRule>
  </conditionalFormatting>
  <conditionalFormatting sqref="AS53">
    <cfRule type="cellIs" dxfId="0" priority="139" operator="lessThan">
      <formula>20</formula>
    </cfRule>
    <cfRule type="cellIs" dxfId="1" priority="77" operator="greaterThan">
      <formula>120</formula>
    </cfRule>
    <cfRule type="containsText" dxfId="3" priority="15" operator="between" text="库存">
      <formula>NOT(ISERROR(SEARCH("库存",AS53)))</formula>
    </cfRule>
  </conditionalFormatting>
  <conditionalFormatting sqref="AS54">
    <cfRule type="cellIs" dxfId="0" priority="138" operator="lessThan">
      <formula>20</formula>
    </cfRule>
    <cfRule type="cellIs" dxfId="1" priority="76" operator="greaterThan">
      <formula>120</formula>
    </cfRule>
    <cfRule type="containsText" dxfId="3" priority="14" operator="between" text="库存">
      <formula>NOT(ISERROR(SEARCH("库存",AS54)))</formula>
    </cfRule>
  </conditionalFormatting>
  <conditionalFormatting sqref="AS55">
    <cfRule type="cellIs" dxfId="0" priority="137" operator="lessThan">
      <formula>20</formula>
    </cfRule>
    <cfRule type="cellIs" dxfId="1" priority="75" operator="greaterThan">
      <formula>120</formula>
    </cfRule>
    <cfRule type="containsText" dxfId="3" priority="13" operator="between" text="库存">
      <formula>NOT(ISERROR(SEARCH("库存",AS55)))</formula>
    </cfRule>
  </conditionalFormatting>
  <conditionalFormatting sqref="AS56">
    <cfRule type="cellIs" dxfId="0" priority="136" operator="lessThan">
      <formula>20</formula>
    </cfRule>
    <cfRule type="cellIs" dxfId="1" priority="74" operator="greaterThan">
      <formula>120</formula>
    </cfRule>
    <cfRule type="containsText" dxfId="3" priority="12" operator="between" text="库存">
      <formula>NOT(ISERROR(SEARCH("库存",AS56)))</formula>
    </cfRule>
  </conditionalFormatting>
  <conditionalFormatting sqref="AS57">
    <cfRule type="cellIs" dxfId="0" priority="135" operator="lessThan">
      <formula>20</formula>
    </cfRule>
    <cfRule type="cellIs" dxfId="1" priority="73" operator="greaterThan">
      <formula>120</formula>
    </cfRule>
    <cfRule type="containsText" dxfId="3" priority="11" operator="between" text="库存">
      <formula>NOT(ISERROR(SEARCH("库存",AS57)))</formula>
    </cfRule>
  </conditionalFormatting>
  <conditionalFormatting sqref="AS58">
    <cfRule type="cellIs" dxfId="0" priority="134" operator="lessThan">
      <formula>20</formula>
    </cfRule>
    <cfRule type="cellIs" dxfId="1" priority="72" operator="greaterThan">
      <formula>120</formula>
    </cfRule>
    <cfRule type="containsText" dxfId="3" priority="10" operator="between" text="库存">
      <formula>NOT(ISERROR(SEARCH("库存",AS58)))</formula>
    </cfRule>
  </conditionalFormatting>
  <conditionalFormatting sqref="AS59">
    <cfRule type="cellIs" dxfId="0" priority="133" operator="lessThan">
      <formula>20</formula>
    </cfRule>
    <cfRule type="cellIs" dxfId="1" priority="71" operator="greaterThan">
      <formula>120</formula>
    </cfRule>
    <cfRule type="containsText" dxfId="3" priority="9" operator="between" text="库存">
      <formula>NOT(ISERROR(SEARCH("库存",AS59)))</formula>
    </cfRule>
  </conditionalFormatting>
  <conditionalFormatting sqref="AS60">
    <cfRule type="cellIs" dxfId="0" priority="132" operator="lessThan">
      <formula>20</formula>
    </cfRule>
    <cfRule type="cellIs" dxfId="1" priority="70" operator="greaterThan">
      <formula>120</formula>
    </cfRule>
    <cfRule type="containsText" dxfId="3" priority="8" operator="between" text="库存">
      <formula>NOT(ISERROR(SEARCH("库存",AS60)))</formula>
    </cfRule>
  </conditionalFormatting>
  <conditionalFormatting sqref="AS61">
    <cfRule type="cellIs" dxfId="0" priority="131" operator="lessThan">
      <formula>20</formula>
    </cfRule>
    <cfRule type="cellIs" dxfId="1" priority="69" operator="greaterThan">
      <formula>120</formula>
    </cfRule>
    <cfRule type="containsText" dxfId="3" priority="7" operator="between" text="库存">
      <formula>NOT(ISERROR(SEARCH("库存",AS61)))</formula>
    </cfRule>
  </conditionalFormatting>
  <conditionalFormatting sqref="AS62">
    <cfRule type="cellIs" dxfId="0" priority="130" operator="lessThan">
      <formula>20</formula>
    </cfRule>
    <cfRule type="cellIs" dxfId="1" priority="68" operator="greaterThan">
      <formula>120</formula>
    </cfRule>
    <cfRule type="containsText" dxfId="3" priority="6" operator="between" text="库存">
      <formula>NOT(ISERROR(SEARCH("库存",AS62)))</formula>
    </cfRule>
  </conditionalFormatting>
  <conditionalFormatting sqref="AS63">
    <cfRule type="cellIs" dxfId="0" priority="129" operator="lessThan">
      <formula>20</formula>
    </cfRule>
    <cfRule type="cellIs" dxfId="1" priority="67" operator="greaterThan">
      <formula>120</formula>
    </cfRule>
    <cfRule type="containsText" dxfId="3" priority="5" operator="between" text="库存">
      <formula>NOT(ISERROR(SEARCH("库存",AS63)))</formula>
    </cfRule>
  </conditionalFormatting>
  <conditionalFormatting sqref="AS64">
    <cfRule type="cellIs" dxfId="0" priority="128" operator="lessThan">
      <formula>20</formula>
    </cfRule>
    <cfRule type="cellIs" dxfId="1" priority="66" operator="greaterThan">
      <formula>120</formula>
    </cfRule>
    <cfRule type="containsText" dxfId="3" priority="4" operator="between" text="库存">
      <formula>NOT(ISERROR(SEARCH("库存",AS64)))</formula>
    </cfRule>
  </conditionalFormatting>
  <conditionalFormatting sqref="AS65">
    <cfRule type="cellIs" dxfId="0" priority="127" operator="lessThan">
      <formula>20</formula>
    </cfRule>
    <cfRule type="cellIs" dxfId="1" priority="65" operator="greaterThan">
      <formula>120</formula>
    </cfRule>
    <cfRule type="containsText" dxfId="3" priority="3" operator="between" text="库存">
      <formula>NOT(ISERROR(SEARCH("库存",AS65)))</formula>
    </cfRule>
  </conditionalFormatting>
  <conditionalFormatting sqref="AS66">
    <cfRule type="cellIs" dxfId="0" priority="126" operator="lessThan">
      <formula>20</formula>
    </cfRule>
    <cfRule type="cellIs" dxfId="1" priority="64" operator="greaterThan">
      <formula>120</formula>
    </cfRule>
    <cfRule type="containsText" dxfId="3" priority="2" operator="between" text="库存">
      <formula>NOT(ISERROR(SEARCH("库存",AS66)))</formula>
    </cfRule>
  </conditionalFormatting>
  <conditionalFormatting sqref="AS67">
    <cfRule type="cellIs" dxfId="0" priority="125" operator="lessThan">
      <formula>20</formula>
    </cfRule>
    <cfRule type="cellIs" dxfId="1" priority="63" operator="greaterThan">
      <formula>120</formula>
    </cfRule>
    <cfRule type="containsText" dxfId="3" priority="1" operator="between" text="库存">
      <formula>NOT(ISERROR(SEARCH("库存",AS67)))</formula>
    </cfRule>
  </conditionalFormatting>
  <conditionalFormatting sqref="AS68">
    <cfRule type="cellIs" dxfId="0" priority="313" operator="lessThan">
      <formula>20</formula>
    </cfRule>
    <cfRule type="cellIs" dxfId="1" priority="250" operator="greaterThan">
      <formula>120</formula>
    </cfRule>
    <cfRule type="containsText" dxfId="3" priority="187" operator="between" text="库存">
      <formula>NOT(ISERROR(SEARCH("库存",AS68)))</formula>
    </cfRule>
  </conditionalFormatting>
  <conditionalFormatting sqref="AS69">
    <cfRule type="cellIs" dxfId="0" priority="507" operator="lessThan">
      <formula>20</formula>
    </cfRule>
    <cfRule type="cellIs" dxfId="1" priority="442" operator="greaterThan">
      <formula>120</formula>
    </cfRule>
    <cfRule type="containsText" dxfId="3" priority="377" operator="between" text="库存">
      <formula>NOT(ISERROR(SEARCH("库存",AS69)))</formula>
    </cfRule>
  </conditionalFormatting>
  <conditionalFormatting sqref="AS70">
    <cfRule type="cellIs" dxfId="0" priority="506" operator="lessThan">
      <formula>20</formula>
    </cfRule>
    <cfRule type="cellIs" dxfId="1" priority="441" operator="greaterThan">
      <formula>120</formula>
    </cfRule>
    <cfRule type="containsText" dxfId="3" priority="376" operator="between" text="库存">
      <formula>NOT(ISERROR(SEARCH("库存",AS70)))</formula>
    </cfRule>
  </conditionalFormatting>
  <conditionalFormatting sqref="AS71">
    <cfRule type="cellIs" dxfId="0" priority="898" operator="lessThan">
      <formula>20</formula>
    </cfRule>
    <cfRule type="cellIs" dxfId="1" priority="832" operator="greaterThan">
      <formula>120</formula>
    </cfRule>
    <cfRule type="containsText" dxfId="3" priority="766" operator="between" text="库存">
      <formula>NOT(ISERROR(SEARCH("库存",AS71)))</formula>
    </cfRule>
  </conditionalFormatting>
  <conditionalFormatting sqref="AS72">
    <cfRule type="cellIs" dxfId="0" priority="1494" operator="lessThan">
      <formula>20</formula>
    </cfRule>
    <cfRule type="cellIs" dxfId="1" priority="1427" operator="greaterThan">
      <formula>120</formula>
    </cfRule>
    <cfRule type="containsText" dxfId="3" priority="1360" operator="between" text="库存">
      <formula>NOT(ISERROR(SEARCH("库存",AS72)))</formula>
    </cfRule>
  </conditionalFormatting>
  <conditionalFormatting sqref="AS73">
    <cfRule type="cellIs" dxfId="0" priority="2111" operator="lessThan">
      <formula>20</formula>
    </cfRule>
    <cfRule type="cellIs" dxfId="1" priority="2039" operator="greaterThan">
      <formula>120</formula>
    </cfRule>
    <cfRule type="containsText" dxfId="3" priority="1967" operator="between" text="库存">
      <formula>NOT(ISERROR(SEARCH("库存",AS73)))</formula>
    </cfRule>
  </conditionalFormatting>
  <conditionalFormatting sqref="AS74">
    <cfRule type="cellIs" dxfId="0" priority="2110" operator="lessThan">
      <formula>20</formula>
    </cfRule>
    <cfRule type="cellIs" dxfId="1" priority="2038" operator="greaterThan">
      <formula>120</formula>
    </cfRule>
    <cfRule type="containsText" dxfId="3" priority="1966" operator="between" text="库存">
      <formula>NOT(ISERROR(SEARCH("库存",AS74)))</formula>
    </cfRule>
  </conditionalFormatting>
  <conditionalFormatting sqref="AS75">
    <cfRule type="cellIs" dxfId="0" priority="2109" operator="lessThan">
      <formula>20</formula>
    </cfRule>
    <cfRule type="cellIs" dxfId="1" priority="2037" operator="greaterThan">
      <formula>120</formula>
    </cfRule>
    <cfRule type="containsText" dxfId="3" priority="1965" operator="between" text="库存">
      <formula>NOT(ISERROR(SEARCH("库存",AS75)))</formula>
    </cfRule>
  </conditionalFormatting>
  <conditionalFormatting sqref="AS76">
    <cfRule type="cellIs" dxfId="0" priority="2108" operator="lessThan">
      <formula>20</formula>
    </cfRule>
    <cfRule type="cellIs" dxfId="1" priority="2036" operator="greaterThan">
      <formula>120</formula>
    </cfRule>
    <cfRule type="containsText" dxfId="3" priority="1964" operator="between" text="库存">
      <formula>NOT(ISERROR(SEARCH("库存",AS76)))</formula>
    </cfRule>
  </conditionalFormatting>
  <conditionalFormatting sqref="AS77">
    <cfRule type="cellIs" dxfId="0" priority="2107" operator="lessThan">
      <formula>20</formula>
    </cfRule>
    <cfRule type="cellIs" dxfId="1" priority="2035" operator="greaterThan">
      <formula>120</formula>
    </cfRule>
    <cfRule type="containsText" dxfId="3" priority="1963" operator="between" text="库存">
      <formula>NOT(ISERROR(SEARCH("库存",AS77)))</formula>
    </cfRule>
  </conditionalFormatting>
  <conditionalFormatting sqref="AS78">
    <cfRule type="cellIs" dxfId="0" priority="2538" operator="lessThan">
      <formula>20</formula>
    </cfRule>
    <cfRule type="cellIs" dxfId="1" priority="2394" operator="greaterThan">
      <formula>120</formula>
    </cfRule>
    <cfRule type="containsText" dxfId="3" priority="2250" operator="between" text="库存">
      <formula>NOT(ISERROR(SEARCH("库存",AS78)))</formula>
    </cfRule>
  </conditionalFormatting>
  <conditionalFormatting sqref="AS79">
    <cfRule type="cellIs" dxfId="0" priority="2537" operator="lessThan">
      <formula>20</formula>
    </cfRule>
    <cfRule type="cellIs" dxfId="1" priority="2393" operator="greaterThan">
      <formula>120</formula>
    </cfRule>
    <cfRule type="containsText" dxfId="3" priority="2249" operator="between" text="库存">
      <formula>NOT(ISERROR(SEARCH("库存",AS79)))</formula>
    </cfRule>
  </conditionalFormatting>
  <conditionalFormatting sqref="AS80">
    <cfRule type="cellIs" dxfId="0" priority="2536" operator="lessThan">
      <formula>20</formula>
    </cfRule>
    <cfRule type="cellIs" dxfId="1" priority="2392" operator="greaterThan">
      <formula>120</formula>
    </cfRule>
    <cfRule type="containsText" dxfId="3" priority="2248" operator="between" text="库存">
      <formula>NOT(ISERROR(SEARCH("库存",AS80)))</formula>
    </cfRule>
  </conditionalFormatting>
  <conditionalFormatting sqref="AS81">
    <cfRule type="cellIs" dxfId="0" priority="2535" operator="lessThan">
      <formula>20</formula>
    </cfRule>
    <cfRule type="cellIs" dxfId="1" priority="2391" operator="greaterThan">
      <formula>120</formula>
    </cfRule>
    <cfRule type="containsText" dxfId="3" priority="2247" operator="between" text="库存">
      <formula>NOT(ISERROR(SEARCH("库存",AS81)))</formula>
    </cfRule>
  </conditionalFormatting>
  <conditionalFormatting sqref="AS82">
    <cfRule type="cellIs" dxfId="0" priority="2534" operator="lessThan">
      <formula>20</formula>
    </cfRule>
    <cfRule type="cellIs" dxfId="1" priority="2390" operator="greaterThan">
      <formula>120</formula>
    </cfRule>
    <cfRule type="containsText" dxfId="3" priority="2246" operator="between" text="库存">
      <formula>NOT(ISERROR(SEARCH("库存",AS82)))</formula>
    </cfRule>
  </conditionalFormatting>
  <conditionalFormatting sqref="AS83">
    <cfRule type="cellIs" dxfId="0" priority="2533" operator="lessThan">
      <formula>20</formula>
    </cfRule>
    <cfRule type="cellIs" dxfId="1" priority="2389" operator="greaterThan">
      <formula>120</formula>
    </cfRule>
    <cfRule type="containsText" dxfId="3" priority="2245" operator="between" text="库存">
      <formula>NOT(ISERROR(SEARCH("库存",AS83)))</formula>
    </cfRule>
  </conditionalFormatting>
  <conditionalFormatting sqref="AS84">
    <cfRule type="cellIs" dxfId="0" priority="2532" operator="lessThan">
      <formula>20</formula>
    </cfRule>
    <cfRule type="cellIs" dxfId="1" priority="2388" operator="greaterThan">
      <formula>120</formula>
    </cfRule>
    <cfRule type="containsText" dxfId="3" priority="2244" operator="between" text="库存">
      <formula>NOT(ISERROR(SEARCH("库存",AS84)))</formula>
    </cfRule>
  </conditionalFormatting>
  <conditionalFormatting sqref="AS85">
    <cfRule type="cellIs" dxfId="0" priority="2531" operator="lessThan">
      <formula>20</formula>
    </cfRule>
    <cfRule type="cellIs" dxfId="1" priority="2387" operator="greaterThan">
      <formula>120</formula>
    </cfRule>
    <cfRule type="containsText" dxfId="3" priority="2243" operator="between" text="库存">
      <formula>NOT(ISERROR(SEARCH("库存",AS85)))</formula>
    </cfRule>
  </conditionalFormatting>
  <conditionalFormatting sqref="AS86">
    <cfRule type="cellIs" dxfId="0" priority="2530" operator="lessThan">
      <formula>20</formula>
    </cfRule>
    <cfRule type="cellIs" dxfId="1" priority="2386" operator="greaterThan">
      <formula>120</formula>
    </cfRule>
    <cfRule type="containsText" dxfId="3" priority="2242" operator="between" text="库存">
      <formula>NOT(ISERROR(SEARCH("库存",AS86)))</formula>
    </cfRule>
  </conditionalFormatting>
  <conditionalFormatting sqref="AS87">
    <cfRule type="cellIs" dxfId="0" priority="2529" operator="lessThan">
      <formula>20</formula>
    </cfRule>
    <cfRule type="cellIs" dxfId="1" priority="2385" operator="greaterThan">
      <formula>120</formula>
    </cfRule>
    <cfRule type="containsText" dxfId="3" priority="2241" operator="between" text="库存">
      <formula>NOT(ISERROR(SEARCH("库存",AS87)))</formula>
    </cfRule>
  </conditionalFormatting>
  <conditionalFormatting sqref="AS88">
    <cfRule type="cellIs" dxfId="0" priority="2528" operator="lessThan">
      <formula>20</formula>
    </cfRule>
    <cfRule type="cellIs" dxfId="1" priority="2384" operator="greaterThan">
      <formula>120</formula>
    </cfRule>
    <cfRule type="containsText" dxfId="3" priority="2240" operator="between" text="库存">
      <formula>NOT(ISERROR(SEARCH("库存",AS88)))</formula>
    </cfRule>
  </conditionalFormatting>
  <conditionalFormatting sqref="AS89">
    <cfRule type="cellIs" dxfId="0" priority="2527" operator="lessThan">
      <formula>20</formula>
    </cfRule>
    <cfRule type="cellIs" dxfId="1" priority="2383" operator="greaterThan">
      <formula>120</formula>
    </cfRule>
    <cfRule type="containsText" dxfId="3" priority="2239" operator="between" text="库存">
      <formula>NOT(ISERROR(SEARCH("库存",AS89)))</formula>
    </cfRule>
  </conditionalFormatting>
  <conditionalFormatting sqref="AS90">
    <cfRule type="cellIs" dxfId="0" priority="2526" operator="lessThan">
      <formula>20</formula>
    </cfRule>
    <cfRule type="cellIs" dxfId="1" priority="2382" operator="greaterThan">
      <formula>120</formula>
    </cfRule>
    <cfRule type="containsText" dxfId="3" priority="2238" operator="between" text="库存">
      <formula>NOT(ISERROR(SEARCH("库存",AS90)))</formula>
    </cfRule>
  </conditionalFormatting>
  <conditionalFormatting sqref="AS91">
    <cfRule type="cellIs" dxfId="0" priority="2525" operator="lessThan">
      <formula>20</formula>
    </cfRule>
    <cfRule type="cellIs" dxfId="1" priority="2381" operator="greaterThan">
      <formula>120</formula>
    </cfRule>
    <cfRule type="containsText" dxfId="3" priority="2237" operator="between" text="库存">
      <formula>NOT(ISERROR(SEARCH("库存",AS91)))</formula>
    </cfRule>
  </conditionalFormatting>
  <conditionalFormatting sqref="AS92">
    <cfRule type="cellIs" dxfId="0" priority="2524" operator="lessThan">
      <formula>20</formula>
    </cfRule>
    <cfRule type="cellIs" dxfId="1" priority="2380" operator="greaterThan">
      <formula>120</formula>
    </cfRule>
    <cfRule type="containsText" dxfId="3" priority="2236" operator="between" text="库存">
      <formula>NOT(ISERROR(SEARCH("库存",AS92)))</formula>
    </cfRule>
  </conditionalFormatting>
  <conditionalFormatting sqref="AS93">
    <cfRule type="cellIs" dxfId="0" priority="2523" operator="lessThan">
      <formula>20</formula>
    </cfRule>
    <cfRule type="cellIs" dxfId="1" priority="2379" operator="greaterThan">
      <formula>120</formula>
    </cfRule>
    <cfRule type="containsText" dxfId="3" priority="2235" operator="between" text="库存">
      <formula>NOT(ISERROR(SEARCH("库存",AS93)))</formula>
    </cfRule>
  </conditionalFormatting>
  <conditionalFormatting sqref="AS94">
    <cfRule type="cellIs" dxfId="0" priority="2522" operator="lessThan">
      <formula>20</formula>
    </cfRule>
    <cfRule type="cellIs" dxfId="1" priority="2378" operator="greaterThan">
      <formula>120</formula>
    </cfRule>
    <cfRule type="containsText" dxfId="3" priority="2234" operator="between" text="库存">
      <formula>NOT(ISERROR(SEARCH("库存",AS94)))</formula>
    </cfRule>
  </conditionalFormatting>
  <conditionalFormatting sqref="AS95">
    <cfRule type="cellIs" dxfId="0" priority="2521" operator="lessThan">
      <formula>20</formula>
    </cfRule>
    <cfRule type="cellIs" dxfId="1" priority="2377" operator="greaterThan">
      <formula>120</formula>
    </cfRule>
    <cfRule type="containsText" dxfId="3" priority="2233" operator="between" text="库存">
      <formula>NOT(ISERROR(SEARCH("库存",AS95)))</formula>
    </cfRule>
  </conditionalFormatting>
  <conditionalFormatting sqref="AS96">
    <cfRule type="cellIs" dxfId="0" priority="2520" operator="lessThan">
      <formula>20</formula>
    </cfRule>
    <cfRule type="cellIs" dxfId="1" priority="2376" operator="greaterThan">
      <formula>120</formula>
    </cfRule>
    <cfRule type="containsText" dxfId="3" priority="2232" operator="between" text="库存">
      <formula>NOT(ISERROR(SEARCH("库存",AS96)))</formula>
    </cfRule>
  </conditionalFormatting>
  <conditionalFormatting sqref="AS97">
    <cfRule type="cellIs" dxfId="0" priority="2519" operator="lessThan">
      <formula>20</formula>
    </cfRule>
    <cfRule type="cellIs" dxfId="1" priority="2375" operator="greaterThan">
      <formula>120</formula>
    </cfRule>
    <cfRule type="containsText" dxfId="3" priority="2231" operator="between" text="库存">
      <formula>NOT(ISERROR(SEARCH("库存",AS97)))</formula>
    </cfRule>
  </conditionalFormatting>
  <conditionalFormatting sqref="AS98">
    <cfRule type="cellIs" dxfId="0" priority="2518" operator="lessThan">
      <formula>20</formula>
    </cfRule>
    <cfRule type="cellIs" dxfId="1" priority="2374" operator="greaterThan">
      <formula>120</formula>
    </cfRule>
    <cfRule type="containsText" dxfId="3" priority="2230" operator="between" text="库存">
      <formula>NOT(ISERROR(SEARCH("库存",AS98)))</formula>
    </cfRule>
  </conditionalFormatting>
  <conditionalFormatting sqref="AS99">
    <cfRule type="cellIs" dxfId="0" priority="2517" operator="lessThan">
      <formula>20</formula>
    </cfRule>
    <cfRule type="cellIs" dxfId="1" priority="2373" operator="greaterThan">
      <formula>120</formula>
    </cfRule>
    <cfRule type="containsText" dxfId="3" priority="2229" operator="between" text="库存">
      <formula>NOT(ISERROR(SEARCH("库存",AS99)))</formula>
    </cfRule>
  </conditionalFormatting>
  <conditionalFormatting sqref="AS100">
    <cfRule type="cellIs" dxfId="0" priority="2516" operator="lessThan">
      <formula>20</formula>
    </cfRule>
    <cfRule type="cellIs" dxfId="1" priority="2372" operator="greaterThan">
      <formula>120</formula>
    </cfRule>
    <cfRule type="containsText" dxfId="3" priority="2228" operator="between" text="库存">
      <formula>NOT(ISERROR(SEARCH("库存",AS100)))</formula>
    </cfRule>
  </conditionalFormatting>
  <conditionalFormatting sqref="AS101">
    <cfRule type="cellIs" dxfId="0" priority="2515" operator="lessThan">
      <formula>20</formula>
    </cfRule>
    <cfRule type="cellIs" dxfId="1" priority="2371" operator="greaterThan">
      <formula>120</formula>
    </cfRule>
    <cfRule type="containsText" dxfId="3" priority="2227" operator="between" text="库存">
      <formula>NOT(ISERROR(SEARCH("库存",AS101)))</formula>
    </cfRule>
  </conditionalFormatting>
  <conditionalFormatting sqref="AS102">
    <cfRule type="cellIs" dxfId="0" priority="2514" operator="lessThan">
      <formula>20</formula>
    </cfRule>
    <cfRule type="cellIs" dxfId="1" priority="2370" operator="greaterThan">
      <formula>120</formula>
    </cfRule>
    <cfRule type="containsText" dxfId="3" priority="2226" operator="between" text="库存">
      <formula>NOT(ISERROR(SEARCH("库存",AS102)))</formula>
    </cfRule>
  </conditionalFormatting>
  <conditionalFormatting sqref="AS103">
    <cfRule type="cellIs" dxfId="0" priority="2513" operator="lessThan">
      <formula>20</formula>
    </cfRule>
    <cfRule type="cellIs" dxfId="1" priority="2369" operator="greaterThan">
      <formula>120</formula>
    </cfRule>
    <cfRule type="containsText" dxfId="3" priority="2225" operator="between" text="库存">
      <formula>NOT(ISERROR(SEARCH("库存",AS103)))</formula>
    </cfRule>
  </conditionalFormatting>
  <conditionalFormatting sqref="AS104">
    <cfRule type="cellIs" dxfId="0" priority="2512" operator="lessThan">
      <formula>20</formula>
    </cfRule>
    <cfRule type="cellIs" dxfId="1" priority="2368" operator="greaterThan">
      <formula>120</formula>
    </cfRule>
    <cfRule type="containsText" dxfId="3" priority="2224" operator="between" text="库存">
      <formula>NOT(ISERROR(SEARCH("库存",AS104)))</formula>
    </cfRule>
  </conditionalFormatting>
  <conditionalFormatting sqref="AS105">
    <cfRule type="cellIs" dxfId="0" priority="2511" operator="lessThan">
      <formula>20</formula>
    </cfRule>
    <cfRule type="cellIs" dxfId="1" priority="2367" operator="greaterThan">
      <formula>120</formula>
    </cfRule>
    <cfRule type="containsText" dxfId="3" priority="2223" operator="between" text="库存">
      <formula>NOT(ISERROR(SEARCH("库存",AS105)))</formula>
    </cfRule>
  </conditionalFormatting>
  <conditionalFormatting sqref="AS106">
    <cfRule type="cellIs" dxfId="0" priority="2510" operator="lessThan">
      <formula>20</formula>
    </cfRule>
    <cfRule type="cellIs" dxfId="1" priority="2366" operator="greaterThan">
      <formula>120</formula>
    </cfRule>
    <cfRule type="containsText" dxfId="3" priority="2222" operator="between" text="库存">
      <formula>NOT(ISERROR(SEARCH("库存",AS106)))</formula>
    </cfRule>
  </conditionalFormatting>
  <conditionalFormatting sqref="AS107">
    <cfRule type="cellIs" dxfId="0" priority="2509" operator="lessThan">
      <formula>20</formula>
    </cfRule>
    <cfRule type="cellIs" dxfId="1" priority="2365" operator="greaterThan">
      <formula>120</formula>
    </cfRule>
    <cfRule type="containsText" dxfId="3" priority="2221" operator="between" text="库存">
      <formula>NOT(ISERROR(SEARCH("库存",AS107)))</formula>
    </cfRule>
  </conditionalFormatting>
  <conditionalFormatting sqref="AS108">
    <cfRule type="cellIs" dxfId="0" priority="2508" operator="lessThan">
      <formula>20</formula>
    </cfRule>
    <cfRule type="cellIs" dxfId="1" priority="2364" operator="greaterThan">
      <formula>120</formula>
    </cfRule>
    <cfRule type="containsText" dxfId="3" priority="2220" operator="between" text="库存">
      <formula>NOT(ISERROR(SEARCH("库存",AS108)))</formula>
    </cfRule>
  </conditionalFormatting>
  <conditionalFormatting sqref="AS109">
    <cfRule type="cellIs" dxfId="0" priority="2507" operator="lessThan">
      <formula>20</formula>
    </cfRule>
    <cfRule type="cellIs" dxfId="1" priority="2363" operator="greaterThan">
      <formula>120</formula>
    </cfRule>
    <cfRule type="containsText" dxfId="3" priority="2219" operator="between" text="库存">
      <formula>NOT(ISERROR(SEARCH("库存",AS109)))</formula>
    </cfRule>
  </conditionalFormatting>
  <conditionalFormatting sqref="AS110">
    <cfRule type="cellIs" dxfId="0" priority="2506" operator="lessThan">
      <formula>20</formula>
    </cfRule>
    <cfRule type="cellIs" dxfId="1" priority="2362" operator="greaterThan">
      <formula>120</formula>
    </cfRule>
    <cfRule type="containsText" dxfId="3" priority="2218" operator="between" text="库存">
      <formula>NOT(ISERROR(SEARCH("库存",AS110)))</formula>
    </cfRule>
  </conditionalFormatting>
  <conditionalFormatting sqref="AS111">
    <cfRule type="cellIs" dxfId="0" priority="2505" operator="lessThan">
      <formula>20</formula>
    </cfRule>
    <cfRule type="cellIs" dxfId="1" priority="2361" operator="greaterThan">
      <formula>120</formula>
    </cfRule>
    <cfRule type="containsText" dxfId="3" priority="2217" operator="between" text="库存">
      <formula>NOT(ISERROR(SEARCH("库存",AS111)))</formula>
    </cfRule>
  </conditionalFormatting>
  <conditionalFormatting sqref="AS112">
    <cfRule type="cellIs" dxfId="0" priority="2504" operator="lessThan">
      <formula>20</formula>
    </cfRule>
    <cfRule type="cellIs" dxfId="1" priority="2360" operator="greaterThan">
      <formula>120</formula>
    </cfRule>
    <cfRule type="containsText" dxfId="3" priority="2216" operator="between" text="库存">
      <formula>NOT(ISERROR(SEARCH("库存",AS112)))</formula>
    </cfRule>
  </conditionalFormatting>
  <conditionalFormatting sqref="AS113">
    <cfRule type="cellIs" dxfId="0" priority="2503" operator="lessThan">
      <formula>20</formula>
    </cfRule>
    <cfRule type="cellIs" dxfId="1" priority="2359" operator="greaterThan">
      <formula>120</formula>
    </cfRule>
    <cfRule type="containsText" dxfId="3" priority="2215" operator="between" text="库存">
      <formula>NOT(ISERROR(SEARCH("库存",AS113)))</formula>
    </cfRule>
  </conditionalFormatting>
  <conditionalFormatting sqref="AS114">
    <cfRule type="cellIs" dxfId="0" priority="2502" operator="lessThan">
      <formula>20</formula>
    </cfRule>
    <cfRule type="cellIs" dxfId="1" priority="2358" operator="greaterThan">
      <formula>120</formula>
    </cfRule>
    <cfRule type="containsText" dxfId="3" priority="2214" operator="between" text="库存">
      <formula>NOT(ISERROR(SEARCH("库存",AS114)))</formula>
    </cfRule>
  </conditionalFormatting>
  <conditionalFormatting sqref="AS115">
    <cfRule type="cellIs" dxfId="0" priority="2501" operator="lessThan">
      <formula>20</formula>
    </cfRule>
    <cfRule type="cellIs" dxfId="1" priority="2357" operator="greaterThan">
      <formula>120</formula>
    </cfRule>
    <cfRule type="containsText" dxfId="3" priority="2213" operator="between" text="库存">
      <formula>NOT(ISERROR(SEARCH("库存",AS115)))</formula>
    </cfRule>
  </conditionalFormatting>
  <conditionalFormatting sqref="AS116">
    <cfRule type="cellIs" dxfId="0" priority="2500" operator="lessThan">
      <formula>20</formula>
    </cfRule>
    <cfRule type="cellIs" dxfId="1" priority="2356" operator="greaterThan">
      <formula>120</formula>
    </cfRule>
    <cfRule type="containsText" dxfId="3" priority="2212" operator="between" text="库存">
      <formula>NOT(ISERROR(SEARCH("库存",AS116)))</formula>
    </cfRule>
  </conditionalFormatting>
  <conditionalFormatting sqref="AS117">
    <cfRule type="cellIs" dxfId="0" priority="2499" operator="lessThan">
      <formula>20</formula>
    </cfRule>
    <cfRule type="cellIs" dxfId="1" priority="2355" operator="greaterThan">
      <formula>120</formula>
    </cfRule>
    <cfRule type="containsText" dxfId="3" priority="2211" operator="between" text="库存">
      <formula>NOT(ISERROR(SEARCH("库存",AS117)))</formula>
    </cfRule>
  </conditionalFormatting>
  <conditionalFormatting sqref="AS118">
    <cfRule type="cellIs" dxfId="0" priority="2498" operator="lessThan">
      <formula>20</formula>
    </cfRule>
    <cfRule type="cellIs" dxfId="1" priority="2354" operator="greaterThan">
      <formula>120</formula>
    </cfRule>
    <cfRule type="containsText" dxfId="3" priority="2210" operator="between" text="库存">
      <formula>NOT(ISERROR(SEARCH("库存",AS118)))</formula>
    </cfRule>
  </conditionalFormatting>
  <conditionalFormatting sqref="AS119">
    <cfRule type="cellIs" dxfId="0" priority="2497" operator="lessThan">
      <formula>20</formula>
    </cfRule>
    <cfRule type="cellIs" dxfId="1" priority="2353" operator="greaterThan">
      <formula>120</formula>
    </cfRule>
    <cfRule type="containsText" dxfId="3" priority="2209" operator="between" text="库存">
      <formula>NOT(ISERROR(SEARCH("库存",AS119)))</formula>
    </cfRule>
  </conditionalFormatting>
  <conditionalFormatting sqref="AS120">
    <cfRule type="cellIs" dxfId="0" priority="2496" operator="lessThan">
      <formula>20</formula>
    </cfRule>
    <cfRule type="cellIs" dxfId="1" priority="2352" operator="greaterThan">
      <formula>120</formula>
    </cfRule>
    <cfRule type="containsText" dxfId="3" priority="2208" operator="between" text="库存">
      <formula>NOT(ISERROR(SEARCH("库存",AS120)))</formula>
    </cfRule>
  </conditionalFormatting>
  <conditionalFormatting sqref="AS121">
    <cfRule type="cellIs" dxfId="0" priority="2495" operator="lessThan">
      <formula>20</formula>
    </cfRule>
    <cfRule type="cellIs" dxfId="1" priority="2351" operator="greaterThan">
      <formula>120</formula>
    </cfRule>
    <cfRule type="containsText" dxfId="3" priority="2207" operator="between" text="库存">
      <formula>NOT(ISERROR(SEARCH("库存",AS121)))</formula>
    </cfRule>
  </conditionalFormatting>
  <conditionalFormatting sqref="AS122">
    <cfRule type="cellIs" dxfId="0" priority="2494" operator="lessThan">
      <formula>20</formula>
    </cfRule>
    <cfRule type="cellIs" dxfId="1" priority="2350" operator="greaterThan">
      <formula>120</formula>
    </cfRule>
    <cfRule type="containsText" dxfId="3" priority="2206" operator="between" text="库存">
      <formula>NOT(ISERROR(SEARCH("库存",AS122)))</formula>
    </cfRule>
  </conditionalFormatting>
  <conditionalFormatting sqref="AS123">
    <cfRule type="cellIs" dxfId="0" priority="2493" operator="lessThan">
      <formula>20</formula>
    </cfRule>
    <cfRule type="cellIs" dxfId="1" priority="2349" operator="greaterThan">
      <formula>120</formula>
    </cfRule>
    <cfRule type="containsText" dxfId="3" priority="2205" operator="between" text="库存">
      <formula>NOT(ISERROR(SEARCH("库存",AS123)))</formula>
    </cfRule>
  </conditionalFormatting>
  <conditionalFormatting sqref="AS124">
    <cfRule type="cellIs" dxfId="0" priority="2492" operator="lessThan">
      <formula>20</formula>
    </cfRule>
    <cfRule type="cellIs" dxfId="1" priority="2348" operator="greaterThan">
      <formula>120</formula>
    </cfRule>
    <cfRule type="containsText" dxfId="3" priority="2204" operator="between" text="库存">
      <formula>NOT(ISERROR(SEARCH("库存",AS124)))</formula>
    </cfRule>
  </conditionalFormatting>
  <conditionalFormatting sqref="AS125">
    <cfRule type="cellIs" dxfId="0" priority="2491" operator="lessThan">
      <formula>20</formula>
    </cfRule>
    <cfRule type="cellIs" dxfId="1" priority="2347" operator="greaterThan">
      <formula>120</formula>
    </cfRule>
    <cfRule type="containsText" dxfId="3" priority="2203" operator="between" text="库存">
      <formula>NOT(ISERROR(SEARCH("库存",AS125)))</formula>
    </cfRule>
  </conditionalFormatting>
  <conditionalFormatting sqref="AS126">
    <cfRule type="cellIs" dxfId="0" priority="2490" operator="lessThan">
      <formula>20</formula>
    </cfRule>
    <cfRule type="cellIs" dxfId="1" priority="2346" operator="greaterThan">
      <formula>120</formula>
    </cfRule>
    <cfRule type="containsText" dxfId="3" priority="2202" operator="between" text="库存">
      <formula>NOT(ISERROR(SEARCH("库存",AS126)))</formula>
    </cfRule>
  </conditionalFormatting>
  <conditionalFormatting sqref="AS127">
    <cfRule type="cellIs" dxfId="0" priority="2489" operator="lessThan">
      <formula>20</formula>
    </cfRule>
    <cfRule type="cellIs" dxfId="1" priority="2345" operator="greaterThan">
      <formula>120</formula>
    </cfRule>
    <cfRule type="containsText" dxfId="3" priority="2201" operator="between" text="库存">
      <formula>NOT(ISERROR(SEARCH("库存",AS127)))</formula>
    </cfRule>
  </conditionalFormatting>
  <conditionalFormatting sqref="AS128">
    <cfRule type="cellIs" dxfId="0" priority="2488" operator="lessThan">
      <formula>20</formula>
    </cfRule>
    <cfRule type="cellIs" dxfId="1" priority="2344" operator="greaterThan">
      <formula>120</formula>
    </cfRule>
    <cfRule type="containsText" dxfId="3" priority="2200" operator="between" text="库存">
      <formula>NOT(ISERROR(SEARCH("库存",AS128)))</formula>
    </cfRule>
  </conditionalFormatting>
  <conditionalFormatting sqref="AS129">
    <cfRule type="cellIs" dxfId="0" priority="2487" operator="lessThan">
      <formula>20</formula>
    </cfRule>
    <cfRule type="cellIs" dxfId="1" priority="2343" operator="greaterThan">
      <formula>120</formula>
    </cfRule>
    <cfRule type="containsText" dxfId="3" priority="2199" operator="between" text="库存">
      <formula>NOT(ISERROR(SEARCH("库存",AS129)))</formula>
    </cfRule>
  </conditionalFormatting>
  <conditionalFormatting sqref="AS130">
    <cfRule type="cellIs" dxfId="0" priority="2486" operator="lessThan">
      <formula>20</formula>
    </cfRule>
    <cfRule type="cellIs" dxfId="1" priority="2342" operator="greaterThan">
      <formula>120</formula>
    </cfRule>
    <cfRule type="containsText" dxfId="3" priority="2198" operator="between" text="库存">
      <formula>NOT(ISERROR(SEARCH("库存",AS130)))</formula>
    </cfRule>
  </conditionalFormatting>
  <conditionalFormatting sqref="AS131">
    <cfRule type="cellIs" dxfId="0" priority="2485" operator="lessThan">
      <formula>20</formula>
    </cfRule>
    <cfRule type="cellIs" dxfId="1" priority="2341" operator="greaterThan">
      <formula>120</formula>
    </cfRule>
    <cfRule type="containsText" dxfId="3" priority="2197" operator="between" text="库存">
      <formula>NOT(ISERROR(SEARCH("库存",AS131)))</formula>
    </cfRule>
  </conditionalFormatting>
  <conditionalFormatting sqref="AS132">
    <cfRule type="cellIs" dxfId="0" priority="2484" operator="lessThan">
      <formula>20</formula>
    </cfRule>
    <cfRule type="cellIs" dxfId="1" priority="2340" operator="greaterThan">
      <formula>120</formula>
    </cfRule>
    <cfRule type="containsText" dxfId="3" priority="2196" operator="between" text="库存">
      <formula>NOT(ISERROR(SEARCH("库存",AS132)))</formula>
    </cfRule>
  </conditionalFormatting>
  <conditionalFormatting sqref="AS133">
    <cfRule type="cellIs" dxfId="0" priority="2483" operator="lessThan">
      <formula>20</formula>
    </cfRule>
    <cfRule type="cellIs" dxfId="1" priority="2339" operator="greaterThan">
      <formula>120</formula>
    </cfRule>
    <cfRule type="containsText" dxfId="3" priority="2195" operator="between" text="库存">
      <formula>NOT(ISERROR(SEARCH("库存",AS133)))</formula>
    </cfRule>
  </conditionalFormatting>
  <conditionalFormatting sqref="AS134">
    <cfRule type="cellIs" dxfId="0" priority="2482" operator="lessThan">
      <formula>20</formula>
    </cfRule>
    <cfRule type="cellIs" dxfId="1" priority="2338" operator="greaterThan">
      <formula>120</formula>
    </cfRule>
    <cfRule type="containsText" dxfId="3" priority="2194" operator="between" text="库存">
      <formula>NOT(ISERROR(SEARCH("库存",AS134)))</formula>
    </cfRule>
  </conditionalFormatting>
  <conditionalFormatting sqref="AS135">
    <cfRule type="cellIs" dxfId="0" priority="2481" operator="lessThan">
      <formula>20</formula>
    </cfRule>
    <cfRule type="cellIs" dxfId="1" priority="2337" operator="greaterThan">
      <formula>120</formula>
    </cfRule>
    <cfRule type="containsText" dxfId="3" priority="2193" operator="between" text="库存">
      <formula>NOT(ISERROR(SEARCH("库存",AS135)))</formula>
    </cfRule>
  </conditionalFormatting>
  <conditionalFormatting sqref="AS136">
    <cfRule type="cellIs" dxfId="0" priority="2480" operator="lessThan">
      <formula>20</formula>
    </cfRule>
    <cfRule type="cellIs" dxfId="1" priority="2336" operator="greaterThan">
      <formula>120</formula>
    </cfRule>
    <cfRule type="containsText" dxfId="3" priority="2192" operator="between" text="库存">
      <formula>NOT(ISERROR(SEARCH("库存",AS136)))</formula>
    </cfRule>
  </conditionalFormatting>
  <conditionalFormatting sqref="AS137">
    <cfRule type="cellIs" dxfId="0" priority="2479" operator="lessThan">
      <formula>20</formula>
    </cfRule>
    <cfRule type="cellIs" dxfId="1" priority="2335" operator="greaterThan">
      <formula>120</formula>
    </cfRule>
    <cfRule type="containsText" dxfId="3" priority="2191" operator="between" text="库存">
      <formula>NOT(ISERROR(SEARCH("库存",AS137)))</formula>
    </cfRule>
  </conditionalFormatting>
  <conditionalFormatting sqref="AS138">
    <cfRule type="cellIs" dxfId="0" priority="2478" operator="lessThan">
      <formula>20</formula>
    </cfRule>
    <cfRule type="cellIs" dxfId="1" priority="2334" operator="greaterThan">
      <formula>120</formula>
    </cfRule>
    <cfRule type="containsText" dxfId="3" priority="2190" operator="between" text="库存">
      <formula>NOT(ISERROR(SEARCH("库存",AS138)))</formula>
    </cfRule>
  </conditionalFormatting>
  <conditionalFormatting sqref="AS139">
    <cfRule type="cellIs" dxfId="0" priority="2477" operator="lessThan">
      <formula>20</formula>
    </cfRule>
    <cfRule type="cellIs" dxfId="1" priority="2333" operator="greaterThan">
      <formula>120</formula>
    </cfRule>
    <cfRule type="containsText" dxfId="3" priority="2189" operator="between" text="库存">
      <formula>NOT(ISERROR(SEARCH("库存",AS139)))</formula>
    </cfRule>
  </conditionalFormatting>
  <conditionalFormatting sqref="AS140">
    <cfRule type="cellIs" dxfId="0" priority="2476" operator="lessThan">
      <formula>20</formula>
    </cfRule>
    <cfRule type="cellIs" dxfId="1" priority="2332" operator="greaterThan">
      <formula>120</formula>
    </cfRule>
    <cfRule type="containsText" dxfId="3" priority="2188" operator="between" text="库存">
      <formula>NOT(ISERROR(SEARCH("库存",AS140)))</formula>
    </cfRule>
  </conditionalFormatting>
  <conditionalFormatting sqref="AS141">
    <cfRule type="cellIs" dxfId="0" priority="2475" operator="lessThan">
      <formula>20</formula>
    </cfRule>
    <cfRule type="cellIs" dxfId="1" priority="2331" operator="greaterThan">
      <formula>120</formula>
    </cfRule>
    <cfRule type="containsText" dxfId="3" priority="2187" operator="between" text="库存">
      <formula>NOT(ISERROR(SEARCH("库存",AS141)))</formula>
    </cfRule>
  </conditionalFormatting>
  <conditionalFormatting sqref="AS142">
    <cfRule type="cellIs" dxfId="0" priority="2474" operator="lessThan">
      <formula>20</formula>
    </cfRule>
    <cfRule type="cellIs" dxfId="1" priority="2330" operator="greaterThan">
      <formula>120</formula>
    </cfRule>
    <cfRule type="containsText" dxfId="3" priority="2186" operator="between" text="库存">
      <formula>NOT(ISERROR(SEARCH("库存",AS142)))</formula>
    </cfRule>
  </conditionalFormatting>
  <conditionalFormatting sqref="AS143">
    <cfRule type="cellIs" dxfId="0" priority="2473" operator="lessThan">
      <formula>20</formula>
    </cfRule>
    <cfRule type="cellIs" dxfId="1" priority="2329" operator="greaterThan">
      <formula>120</formula>
    </cfRule>
    <cfRule type="containsText" dxfId="3" priority="2185" operator="between" text="库存">
      <formula>NOT(ISERROR(SEARCH("库存",AS143)))</formula>
    </cfRule>
  </conditionalFormatting>
  <conditionalFormatting sqref="AS144">
    <cfRule type="cellIs" dxfId="0" priority="2472" operator="lessThan">
      <formula>20</formula>
    </cfRule>
    <cfRule type="cellIs" dxfId="1" priority="2328" operator="greaterThan">
      <formula>120</formula>
    </cfRule>
    <cfRule type="containsText" dxfId="3" priority="2184" operator="between" text="库存">
      <formula>NOT(ISERROR(SEARCH("库存",AS144)))</formula>
    </cfRule>
  </conditionalFormatting>
  <conditionalFormatting sqref="AS145">
    <cfRule type="cellIs" dxfId="0" priority="2471" operator="lessThan">
      <formula>20</formula>
    </cfRule>
    <cfRule type="cellIs" dxfId="1" priority="2327" operator="greaterThan">
      <formula>120</formula>
    </cfRule>
    <cfRule type="containsText" dxfId="3" priority="2183" operator="between" text="库存">
      <formula>NOT(ISERROR(SEARCH("库存",AS145)))</formula>
    </cfRule>
  </conditionalFormatting>
  <conditionalFormatting sqref="AS146">
    <cfRule type="cellIs" dxfId="0" priority="2470" operator="lessThan">
      <formula>20</formula>
    </cfRule>
    <cfRule type="cellIs" dxfId="1" priority="2326" operator="greaterThan">
      <formula>120</formula>
    </cfRule>
    <cfRule type="containsText" dxfId="3" priority="2182" operator="between" text="库存">
      <formula>NOT(ISERROR(SEARCH("库存",AS146)))</formula>
    </cfRule>
  </conditionalFormatting>
  <conditionalFormatting sqref="AS147">
    <cfRule type="cellIs" dxfId="0" priority="2469" operator="lessThan">
      <formula>20</formula>
    </cfRule>
    <cfRule type="cellIs" dxfId="1" priority="2325" operator="greaterThan">
      <formula>120</formula>
    </cfRule>
    <cfRule type="containsText" dxfId="3" priority="2181" operator="between" text="库存">
      <formula>NOT(ISERROR(SEARCH("库存",AS147)))</formula>
    </cfRule>
  </conditionalFormatting>
  <conditionalFormatting sqref="AS148">
    <cfRule type="cellIs" dxfId="0" priority="2468" operator="lessThan">
      <formula>20</formula>
    </cfRule>
    <cfRule type="cellIs" dxfId="1" priority="2324" operator="greaterThan">
      <formula>120</formula>
    </cfRule>
    <cfRule type="containsText" dxfId="3" priority="2180" operator="between" text="库存">
      <formula>NOT(ISERROR(SEARCH("库存",AS148)))</formula>
    </cfRule>
  </conditionalFormatting>
  <conditionalFormatting sqref="AS149">
    <cfRule type="cellIs" dxfId="0" priority="2467" operator="lessThan">
      <formula>20</formula>
    </cfRule>
    <cfRule type="cellIs" dxfId="1" priority="2323" operator="greaterThan">
      <formula>120</formula>
    </cfRule>
    <cfRule type="containsText" dxfId="3" priority="2179" operator="between" text="库存">
      <formula>NOT(ISERROR(SEARCH("库存",AS149)))</formula>
    </cfRule>
  </conditionalFormatting>
  <conditionalFormatting sqref="AS1 AS3:AS5 AS150:AS1048576">
    <cfRule type="cellIs" dxfId="0" priority="4152" operator="lessThan">
      <formula>20</formula>
    </cfRule>
    <cfRule type="cellIs" dxfId="1" priority="4151" operator="greaterThan">
      <formula>120</formula>
    </cfRule>
    <cfRule type="containsText" dxfId="3" priority="4150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0</xdr:row>
                <xdr:rowOff>295275</xdr:rowOff>
              </from>
              <to>
                <xdr:col>46</xdr:col>
                <xdr:colOff>676275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4" sqref="F4"/>
    </sheetView>
  </sheetViews>
  <sheetFormatPr defaultColWidth="9" defaultRowHeight="14.25" outlineLevelCol="1"/>
  <cols>
    <col min="1" max="1" width="16.875" customWidth="1"/>
    <col min="2" max="2" width="20.375" customWidth="1"/>
  </cols>
  <sheetData>
    <row r="1" spans="1:2">
      <c r="A1" t="s">
        <v>652</v>
      </c>
      <c r="B1" s="1">
        <f>B12</f>
        <v>43311</v>
      </c>
    </row>
    <row r="2" spans="1:2">
      <c r="A2" t="s">
        <v>653</v>
      </c>
      <c r="B2" s="1">
        <v>43338</v>
      </c>
    </row>
    <row r="4" spans="1:2">
      <c r="A4" t="s">
        <v>654</v>
      </c>
      <c r="B4" s="2">
        <f>B2+1</f>
        <v>43339</v>
      </c>
    </row>
    <row r="5" spans="1:2">
      <c r="A5" t="s">
        <v>655</v>
      </c>
      <c r="B5" s="3">
        <f>B2</f>
        <v>43338</v>
      </c>
    </row>
    <row r="6" spans="1:2">
      <c r="A6" t="s">
        <v>656</v>
      </c>
      <c r="B6" s="2">
        <f>B5-6</f>
        <v>43332</v>
      </c>
    </row>
    <row r="7" spans="1:2">
      <c r="A7" t="s">
        <v>657</v>
      </c>
      <c r="B7" s="2">
        <f>B5-7</f>
        <v>43331</v>
      </c>
    </row>
    <row r="8" spans="1:2">
      <c r="A8" t="s">
        <v>658</v>
      </c>
      <c r="B8" s="2">
        <f>B5-13</f>
        <v>43325</v>
      </c>
    </row>
    <row r="9" spans="1:2">
      <c r="A9" t="s">
        <v>659</v>
      </c>
      <c r="B9" s="2">
        <f>B5-14</f>
        <v>43324</v>
      </c>
    </row>
    <row r="10" spans="1:2">
      <c r="A10" t="s">
        <v>660</v>
      </c>
      <c r="B10" s="2">
        <f>B5-20</f>
        <v>43318</v>
      </c>
    </row>
    <row r="11" spans="1:2">
      <c r="A11" t="s">
        <v>661</v>
      </c>
      <c r="B11" s="2">
        <f>B5-21</f>
        <v>43317</v>
      </c>
    </row>
    <row r="12" spans="1:2">
      <c r="A12" t="s">
        <v>662</v>
      </c>
      <c r="B12" s="2">
        <f>B5-27</f>
        <v>43311</v>
      </c>
    </row>
  </sheetData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4</xdr:col>
                <xdr:colOff>676275</xdr:colOff>
                <xdr:row>3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2018-08-28T06:41:37Z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